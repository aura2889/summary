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ОБЩАЯ папка\БжҰКЖЖЦ Ақпан 2026\"/>
    </mc:Choice>
  </mc:AlternateContent>
  <xr:revisionPtr revIDLastSave="0" documentId="13_ncr:1_{E0D7AF8A-436E-4231-9152-B1FD8003D5D3}" xr6:coauthVersionLast="47" xr6:coauthVersionMax="47" xr10:uidLastSave="{00000000-0000-0000-0000-000000000000}"/>
  <bookViews>
    <workbookView xWindow="-120" yWindow="-120" windowWidth="38640" windowHeight="21120" firstSheet="1" activeTab="15" xr2:uid="{00000000-000D-0000-FFFF-FFFF00000000}"/>
  </bookViews>
  <sheets>
    <sheet name="01.01.2026ж." sheetId="1" r:id="rId1"/>
    <sheet name="24.09.26ж." sheetId="275" r:id="rId2"/>
    <sheet name="25.09.26ж." sheetId="276" r:id="rId3"/>
    <sheet name="26.09.26ж." sheetId="277" r:id="rId4"/>
    <sheet name="05.10.26ж." sheetId="286" r:id="rId5"/>
    <sheet name="06.10.26ж." sheetId="287" r:id="rId6"/>
    <sheet name="07.10.26ж." sheetId="288" r:id="rId7"/>
    <sheet name="08.10.26ж." sheetId="289" r:id="rId8"/>
    <sheet name="09.10.26ж." sheetId="290" r:id="rId9"/>
    <sheet name="10.10.26ж." sheetId="291" r:id="rId10"/>
    <sheet name="11.10.26ж." sheetId="292" r:id="rId11"/>
    <sheet name="12.10.26ж." sheetId="293" r:id="rId12"/>
    <sheet name="13.10.26ж." sheetId="294" r:id="rId13"/>
    <sheet name="14.10.26ж." sheetId="295" r:id="rId14"/>
    <sheet name="15.10.26ж." sheetId="296" r:id="rId15"/>
    <sheet name="16.10.26ж." sheetId="29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6" i="297" l="1"/>
  <c r="S36" i="297"/>
  <c r="U36" i="296"/>
  <c r="S36" i="296"/>
  <c r="U36" i="295"/>
  <c r="S36" i="295"/>
  <c r="U36" i="294" l="1"/>
  <c r="S36" i="294"/>
  <c r="U36" i="293"/>
  <c r="S36" i="293"/>
  <c r="U36" i="292"/>
  <c r="S36" i="292"/>
  <c r="U36" i="291"/>
  <c r="S36" i="291"/>
  <c r="U36" i="290"/>
  <c r="S36" i="290"/>
  <c r="U36" i="289"/>
  <c r="S36" i="289"/>
  <c r="U36" i="288"/>
  <c r="S36" i="288"/>
  <c r="U36" i="287"/>
  <c r="S36" i="287"/>
  <c r="U36" i="286"/>
  <c r="S36" i="286"/>
  <c r="U36" i="277"/>
  <c r="S36" i="277"/>
  <c r="U36" i="276"/>
  <c r="S36" i="276"/>
  <c r="U36" i="275"/>
  <c r="S36" i="275"/>
  <c r="U36" i="1"/>
  <c r="S36" i="1"/>
  <c r="C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Хафиз Мақсут Зинорұлы</author>
  </authors>
  <commentList>
    <comment ref="F13" authorId="0" shapeId="0" xr:uid="{A39F53C2-73FA-4DFC-B99B-1EA6297F0225}">
      <text>
        <r>
          <rPr>
            <b/>
            <sz val="9"/>
            <color indexed="81"/>
            <rFont val="Tahoma"/>
            <family val="2"/>
            <charset val="204"/>
          </rPr>
          <t>Хафиз Мақсут Зинорұлы:</t>
        </r>
        <r>
          <rPr>
            <sz val="9"/>
            <color indexed="81"/>
            <rFont val="Tahoma"/>
            <family val="2"/>
            <charset val="204"/>
          </rPr>
          <t xml:space="preserve">
13:00-19:00 1АЦН шыққан жоқ.</t>
        </r>
      </text>
    </comment>
    <comment ref="H23" authorId="0" shapeId="0" xr:uid="{91BCE783-42AD-4D21-A275-2A3B8EDF50FD}">
      <text>
        <r>
          <rPr>
            <b/>
            <sz val="9"/>
            <color indexed="81"/>
            <rFont val="Tahoma"/>
            <family val="2"/>
            <charset val="204"/>
          </rPr>
          <t>Хафиз Мақсут Зинорұлы:</t>
        </r>
        <r>
          <rPr>
            <sz val="9"/>
            <color indexed="81"/>
            <rFont val="Tahoma"/>
            <family val="2"/>
            <charset val="204"/>
          </rPr>
          <t xml:space="preserve">
13:00-19:00 жұмысқа шықты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Хафиз Мақсут Зинорұлы</author>
  </authors>
  <commentList>
    <comment ref="H17" authorId="0" shapeId="0" xr:uid="{1B4729AF-9CA4-4CE7-9ED7-25B3DC334C37}">
      <text>
        <r>
          <rPr>
            <b/>
            <sz val="9"/>
            <color indexed="81"/>
            <rFont val="Tahoma"/>
            <family val="2"/>
            <charset val="204"/>
          </rPr>
          <t>Хафиз Мақсут Зинорұлы:</t>
        </r>
        <r>
          <rPr>
            <sz val="9"/>
            <color indexed="81"/>
            <rFont val="Tahoma"/>
            <family val="2"/>
            <charset val="204"/>
          </rPr>
          <t xml:space="preserve">
13:00-19:00 жұмысқа шықты.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Хафиз Мақсут Зинорұлы</author>
  </authors>
  <commentList>
    <comment ref="F22" authorId="0" shapeId="0" xr:uid="{2AEC13B0-7C07-42CD-8FAF-7C83AE903BC9}">
      <text>
        <r>
          <rPr>
            <b/>
            <sz val="9"/>
            <color indexed="81"/>
            <rFont val="Tahoma"/>
            <family val="2"/>
            <charset val="204"/>
          </rPr>
          <t>Хафиз Мақсут Зинорұлы:</t>
        </r>
        <r>
          <rPr>
            <sz val="9"/>
            <color indexed="81"/>
            <rFont val="Tahoma"/>
            <family val="2"/>
            <charset val="204"/>
          </rPr>
          <t xml:space="preserve">
Оқуда.</t>
        </r>
      </text>
    </comment>
  </commentList>
</comments>
</file>

<file path=xl/sharedStrings.xml><?xml version="1.0" encoding="utf-8"?>
<sst xmlns="http://schemas.openxmlformats.org/spreadsheetml/2006/main" count="1637" uniqueCount="303">
  <si>
    <t>ҰЖКЖЦ №2  шығатын  көліктер  01.01.26ж.</t>
  </si>
  <si>
    <t>№</t>
  </si>
  <si>
    <t>Көліктер</t>
  </si>
  <si>
    <t>Барлық шығатын көліктер</t>
  </si>
  <si>
    <t>Күн</t>
  </si>
  <si>
    <t>Түн</t>
  </si>
  <si>
    <t>Ескертпе</t>
  </si>
  <si>
    <t>Тазалық бригадасы</t>
  </si>
  <si>
    <t>Жөнделген  ұңғы саны</t>
  </si>
  <si>
    <t>Жоспар бойынша</t>
  </si>
  <si>
    <t>Нақты шыққаны</t>
  </si>
  <si>
    <t>Шықпаған техника</t>
  </si>
  <si>
    <t>Күні</t>
  </si>
  <si>
    <t>Тазаланған  ұңғы саны</t>
  </si>
  <si>
    <t>Барлық тазаланған ұңғы саны</t>
  </si>
  <si>
    <t>ӨҚБ</t>
  </si>
  <si>
    <t>ҰКЖЖБ</t>
  </si>
  <si>
    <t>Механик</t>
  </si>
  <si>
    <t xml:space="preserve">А/к № 1 легковых ТС </t>
  </si>
  <si>
    <t>01.12.26ж.</t>
  </si>
  <si>
    <t xml:space="preserve">Самовождение (Легковая оперативная пикап) </t>
  </si>
  <si>
    <t xml:space="preserve">А/к № 4 груз. подъемн. ТС </t>
  </si>
  <si>
    <t>22-Седельный тягач с полуприцепом</t>
  </si>
  <si>
    <t xml:space="preserve"> </t>
  </si>
  <si>
    <t xml:space="preserve">А/к №5 тяжел. cтроит. ТС </t>
  </si>
  <si>
    <t>20-Автобус до 30 пасс/мест(час)</t>
  </si>
  <si>
    <t>А/к № 7 вспом. груз. ТС</t>
  </si>
  <si>
    <t xml:space="preserve">Агрегат ЦА-320 </t>
  </si>
  <si>
    <t xml:space="preserve">АЦН техническая        </t>
  </si>
  <si>
    <t xml:space="preserve">ППУ паровая установка </t>
  </si>
  <si>
    <t xml:space="preserve">Кран-манипулятор </t>
  </si>
  <si>
    <t xml:space="preserve">Автокран 25тн </t>
  </si>
  <si>
    <t xml:space="preserve">Анкерный ямобур </t>
  </si>
  <si>
    <t>62-АСР</t>
  </si>
  <si>
    <t xml:space="preserve">А/к №8 тяжел. cтроит. ТС </t>
  </si>
  <si>
    <t xml:space="preserve">Легковая оперативная пикап </t>
  </si>
  <si>
    <t xml:space="preserve">Автобус до 30 пасс.мест (час) </t>
  </si>
  <si>
    <t xml:space="preserve">Вакуумная установка </t>
  </si>
  <si>
    <t>Reno Premium полуприцеп</t>
  </si>
  <si>
    <t>МОБИЛ СЕРВИС</t>
  </si>
  <si>
    <t>13-Легковая оперативная техника Пикап</t>
  </si>
  <si>
    <t>16-Бортовая машина до 1тн</t>
  </si>
  <si>
    <t>27-Кран-манипул бортов марки БАКМ890-1</t>
  </si>
  <si>
    <t>Мердігер (Аренда)</t>
  </si>
  <si>
    <t>24-Платформа с лебедкой</t>
  </si>
  <si>
    <t>Итого</t>
  </si>
  <si>
    <t>Көші-қон ақпары 01.01.2026ж.</t>
  </si>
  <si>
    <t>Топ.</t>
  </si>
  <si>
    <t>Тұрған орны.</t>
  </si>
  <si>
    <t>Көшіп барған орны.</t>
  </si>
  <si>
    <t>Ара қашықтық.</t>
  </si>
  <si>
    <t>Көшкен уақыт.</t>
  </si>
  <si>
    <t>Көш көліктері:</t>
  </si>
  <si>
    <t xml:space="preserve"> Ескертпе.</t>
  </si>
  <si>
    <t>Автокран.</t>
  </si>
  <si>
    <t>П/Пр-п.</t>
  </si>
  <si>
    <t>Вестерн.</t>
  </si>
  <si>
    <t>АЦН.</t>
  </si>
  <si>
    <t>Арог.</t>
  </si>
  <si>
    <t>Пикап.</t>
  </si>
  <si>
    <t>Вакуум.</t>
  </si>
  <si>
    <t>Ж/т-ш.</t>
  </si>
  <si>
    <t>27-птв /1205</t>
  </si>
  <si>
    <t>21-птв /2422</t>
  </si>
  <si>
    <t>4шм</t>
  </si>
  <si>
    <t>Барлығы</t>
  </si>
  <si>
    <t>31 б птв /3207</t>
  </si>
  <si>
    <t>32 а птв /5093</t>
  </si>
  <si>
    <t>18-птв 3571</t>
  </si>
  <si>
    <t>9шм</t>
  </si>
  <si>
    <t>10 шм</t>
  </si>
  <si>
    <t>31-птв /4968</t>
  </si>
  <si>
    <t>30-птв /5100</t>
  </si>
  <si>
    <t>3шм</t>
  </si>
  <si>
    <t>Барлығы:</t>
  </si>
  <si>
    <t>.09:00</t>
  </si>
  <si>
    <t>5.</t>
  </si>
  <si>
    <t>.24:00</t>
  </si>
  <si>
    <t>9.</t>
  </si>
  <si>
    <t>.05:30</t>
  </si>
  <si>
    <t>.06:30</t>
  </si>
  <si>
    <t>7 шм</t>
  </si>
  <si>
    <t>7 шм.</t>
  </si>
  <si>
    <t>4.</t>
  </si>
  <si>
    <t>.04:00</t>
  </si>
  <si>
    <t>01.09.26ж.</t>
  </si>
  <si>
    <t>02.09.26ж.</t>
  </si>
  <si>
    <t>03.09.26ж.</t>
  </si>
  <si>
    <t>.08:00</t>
  </si>
  <si>
    <t>04.09.26ж.</t>
  </si>
  <si>
    <t>05.09.26ж.</t>
  </si>
  <si>
    <t>06.09.26ж</t>
  </si>
  <si>
    <t>2шм</t>
  </si>
  <si>
    <t>07.09.26ж</t>
  </si>
  <si>
    <t>08.09.26ж</t>
  </si>
  <si>
    <t>09.09.26ж</t>
  </si>
  <si>
    <t>10.09.26ж</t>
  </si>
  <si>
    <t>11.09.26ж</t>
  </si>
  <si>
    <t>7шм</t>
  </si>
  <si>
    <t>12.09.26ж</t>
  </si>
  <si>
    <t>13.09.26ж</t>
  </si>
  <si>
    <t>14.09.26ж</t>
  </si>
  <si>
    <t>15.09.26ж</t>
  </si>
  <si>
    <t>16.09.26ж</t>
  </si>
  <si>
    <t>32-птв/4465</t>
  </si>
  <si>
    <t>6.</t>
  </si>
  <si>
    <t>17.09.26ж</t>
  </si>
  <si>
    <t>5 шм.</t>
  </si>
  <si>
    <t>3.</t>
  </si>
  <si>
    <t>27а-птв/4411</t>
  </si>
  <si>
    <t>18.09.26ж</t>
  </si>
  <si>
    <t>19.09.26ж</t>
  </si>
  <si>
    <t>10 шм.</t>
  </si>
  <si>
    <t>5 шм</t>
  </si>
  <si>
    <t>31-птв/9210</t>
  </si>
  <si>
    <t>20.09.26ж</t>
  </si>
  <si>
    <t>17 шм</t>
  </si>
  <si>
    <t>.02:00</t>
  </si>
  <si>
    <t>21.09.26ж.</t>
  </si>
  <si>
    <t>34-птв/1807</t>
  </si>
  <si>
    <t>14 шм.</t>
  </si>
  <si>
    <t>.07:30</t>
  </si>
  <si>
    <t>27а-птв/2035</t>
  </si>
  <si>
    <t>22.09.26ж.</t>
  </si>
  <si>
    <t>19-птв/1187</t>
  </si>
  <si>
    <t>20 шм</t>
  </si>
  <si>
    <t>12-ввг/6290</t>
  </si>
  <si>
    <t>33-птв/5785</t>
  </si>
  <si>
    <t>16-птв/1854</t>
  </si>
  <si>
    <t>.05:00</t>
  </si>
  <si>
    <t>23.09.26ж.</t>
  </si>
  <si>
    <t>6 шм</t>
  </si>
  <si>
    <t>8.</t>
  </si>
  <si>
    <t>16-птв/1921</t>
  </si>
  <si>
    <t>Көші-қон ақпары 24.09.26ж.</t>
  </si>
  <si>
    <t>ҰЖКЖЦ №2  шығатын  көліктер  24.09.2026ж.</t>
  </si>
  <si>
    <t>5-ввг/2293</t>
  </si>
  <si>
    <t>18-птв/5906</t>
  </si>
  <si>
    <t>1-ввг/2218</t>
  </si>
  <si>
    <t>19 шм</t>
  </si>
  <si>
    <t>12-птв/1355 G</t>
  </si>
  <si>
    <t>18 шм</t>
  </si>
  <si>
    <t>33-птв/4790</t>
  </si>
  <si>
    <t>24.09.26ж.</t>
  </si>
  <si>
    <t>ҰЖКЖЦ №2  шығатын  көліктер  25.09.2026ж.</t>
  </si>
  <si>
    <t>Көші-қон ақпары 25.09.26ж.</t>
  </si>
  <si>
    <t>18-птв/5917</t>
  </si>
  <si>
    <t>25.09.26ж.</t>
  </si>
  <si>
    <t>19-птв/1356</t>
  </si>
  <si>
    <t>31а-птв/2772</t>
  </si>
  <si>
    <t>30-птв/5479</t>
  </si>
  <si>
    <t>8-ввг/2218</t>
  </si>
  <si>
    <t>1-ввг/3818</t>
  </si>
  <si>
    <t>10-птв/2405</t>
  </si>
  <si>
    <t>34а-птв/549</t>
  </si>
  <si>
    <t>Көші-қон ақпары 26.09.26ж.</t>
  </si>
  <si>
    <t>ҰЖКЖЦ №2  шығатын  көліктер  26.09.2026ж.</t>
  </si>
  <si>
    <t>33-птв/2293</t>
  </si>
  <si>
    <t>34а-птв/605Д</t>
  </si>
  <si>
    <t>33а-птв/8128</t>
  </si>
  <si>
    <t>15 шм.</t>
  </si>
  <si>
    <t>.03:30</t>
  </si>
  <si>
    <t>.03:00</t>
  </si>
  <si>
    <t>.04:30</t>
  </si>
  <si>
    <t>17 шм.</t>
  </si>
  <si>
    <t>26.09.26ж.</t>
  </si>
  <si>
    <t>15шм</t>
  </si>
  <si>
    <t>01.10. 26ж.</t>
  </si>
  <si>
    <t>02.10.26ж</t>
  </si>
  <si>
    <t>11-птв/1263</t>
  </si>
  <si>
    <t>03.10.26ж</t>
  </si>
  <si>
    <t>34а-птв/602д</t>
  </si>
  <si>
    <t>33а-птв/1253</t>
  </si>
  <si>
    <t>12а-ввг/9500</t>
  </si>
  <si>
    <t>12-ввг/1015</t>
  </si>
  <si>
    <t>34 а птв /362</t>
  </si>
  <si>
    <t>12 а ввг /9500</t>
  </si>
  <si>
    <t>12 ввг /1015</t>
  </si>
  <si>
    <t>12 а ввг /6249</t>
  </si>
  <si>
    <t>12шм</t>
  </si>
  <si>
    <t>04.10.26ж</t>
  </si>
  <si>
    <t>1-ввг/2133</t>
  </si>
  <si>
    <t>ҰЖКЖЦ №2  шығатын  көліктер  05.10.2026ж.</t>
  </si>
  <si>
    <t>32-птв/3389</t>
  </si>
  <si>
    <t>12а-ввг6189</t>
  </si>
  <si>
    <t>34а-птв/571д</t>
  </si>
  <si>
    <t>34а-птв362</t>
  </si>
  <si>
    <t>34а-птв/1723</t>
  </si>
  <si>
    <t>31б-птв/2896</t>
  </si>
  <si>
    <t>31-птв/3420</t>
  </si>
  <si>
    <t>12-ввг/4004</t>
  </si>
  <si>
    <t>12а-ввг/6303</t>
  </si>
  <si>
    <t>05.10.26ж</t>
  </si>
  <si>
    <t>20-птв/1500</t>
  </si>
  <si>
    <t>Көші-қон ақпары 05.10.26ж.</t>
  </si>
  <si>
    <t>ҰЖКЖЦ №2  шығатын  көліктер  06.10.2026ж.</t>
  </si>
  <si>
    <t>Көші-қон ақпары 06.10.26ж.</t>
  </si>
  <si>
    <t>34а-птв/1718</t>
  </si>
  <si>
    <t>13 шм</t>
  </si>
  <si>
    <t>06.10.26ж.</t>
  </si>
  <si>
    <t xml:space="preserve">12-ввг/1015 </t>
  </si>
  <si>
    <t>1.</t>
  </si>
  <si>
    <t>12а-ввг/9614</t>
  </si>
  <si>
    <t>5-ввг/2256</t>
  </si>
  <si>
    <t>ҰЖКЖЦ №2  шығатын  көліктер  07.10.2026ж.</t>
  </si>
  <si>
    <t>9 шм.</t>
  </si>
  <si>
    <t>Көші-қон ақпары 07.10.26ж.</t>
  </si>
  <si>
    <t>30а-птв/5574</t>
  </si>
  <si>
    <t>8 шм</t>
  </si>
  <si>
    <t>34-птв/449</t>
  </si>
  <si>
    <t>30а-птв3362</t>
  </si>
  <si>
    <t>.09:30</t>
  </si>
  <si>
    <t>07.10.26ж.</t>
  </si>
  <si>
    <t>12а-ввг/6053</t>
  </si>
  <si>
    <t>1-ввг/151</t>
  </si>
  <si>
    <t>ҰЖКЖЦ №2  шығатын  көліктер  08.10.2026ж.</t>
  </si>
  <si>
    <t>Көші-қон ақпары 08.10.26ж.</t>
  </si>
  <si>
    <t>6 шм.</t>
  </si>
  <si>
    <t>2.</t>
  </si>
  <si>
    <t>12а-ввг/962</t>
  </si>
  <si>
    <t>32-птв/4703</t>
  </si>
  <si>
    <t>ШАБАШ.</t>
  </si>
  <si>
    <t>33-птв/5816</t>
  </si>
  <si>
    <t>31б-птв/4888</t>
  </si>
  <si>
    <t>34а-птв/8055</t>
  </si>
  <si>
    <t>13-птв/2305</t>
  </si>
  <si>
    <t>12а-ввг/9813</t>
  </si>
  <si>
    <t>08.10.26ж.</t>
  </si>
  <si>
    <t>11 шм</t>
  </si>
  <si>
    <t>ҰЖКЖЦ №2  шығатын  көліктер  09.10.2026ж.</t>
  </si>
  <si>
    <t>Көші-қон ақпары 09.10.26ж.</t>
  </si>
  <si>
    <t>7.</t>
  </si>
  <si>
    <t>27-птв/6784</t>
  </si>
  <si>
    <t>31а-птв/4617</t>
  </si>
  <si>
    <t>16 шм.</t>
  </si>
  <si>
    <t>30а-птв/3362</t>
  </si>
  <si>
    <t>31-птв/3027</t>
  </si>
  <si>
    <t>32-птв/4923</t>
  </si>
  <si>
    <t>09.10.26ж.</t>
  </si>
  <si>
    <t>12а-ввг/6119</t>
  </si>
  <si>
    <t>9 шм</t>
  </si>
  <si>
    <t>30-птв/3647</t>
  </si>
  <si>
    <t>Көші-қон ақпары 10.10.26ж.</t>
  </si>
  <si>
    <t>ҰЖКЖЦ №2  шығатын  көліктер  10.10.2026ж.</t>
  </si>
  <si>
    <t>11 шм.</t>
  </si>
  <si>
    <t>10.10.26ж.</t>
  </si>
  <si>
    <t>18-птв/5901</t>
  </si>
  <si>
    <t>31б-птв/9107</t>
  </si>
  <si>
    <t>ҰЖКЖЦ №2  шығатын  көліктер  11.10.2026ж.</t>
  </si>
  <si>
    <t>Көші-қон ақпары 11.10.26ж.</t>
  </si>
  <si>
    <t>31-птв/3201</t>
  </si>
  <si>
    <t>.06:00</t>
  </si>
  <si>
    <t>27а-птв/1675</t>
  </si>
  <si>
    <t>12а-ввг/4120</t>
  </si>
  <si>
    <t>24-птв/2032</t>
  </si>
  <si>
    <t>27а-птв/1838</t>
  </si>
  <si>
    <t>30-птв/3273</t>
  </si>
  <si>
    <t>32-птв/3383</t>
  </si>
  <si>
    <t>11.10.26ж.</t>
  </si>
  <si>
    <t>ҰЖКЖЦ №2  шығатын  көліктер  12.10.2026ж.</t>
  </si>
  <si>
    <t>Көші-қон ақпары 12.10.26ж.</t>
  </si>
  <si>
    <t>17-птв/1452</t>
  </si>
  <si>
    <t>27-птв/4287</t>
  </si>
  <si>
    <t>31а-птв/3621</t>
  </si>
  <si>
    <t>27-птв/1194</t>
  </si>
  <si>
    <t>ҰЖКЖЦ №2  шығатын  көліктер  13.10.2026ж.</t>
  </si>
  <si>
    <t>Көші-қон ақпары 13.10.26ж.</t>
  </si>
  <si>
    <t>12.10.26ж</t>
  </si>
  <si>
    <t>12.10.26ж.</t>
  </si>
  <si>
    <t>34а-птв/183</t>
  </si>
  <si>
    <t>31-птв/133</t>
  </si>
  <si>
    <t>25-птв/1368 G</t>
  </si>
  <si>
    <t>19-птв/1366</t>
  </si>
  <si>
    <t>.01:00</t>
  </si>
  <si>
    <t>13.10.26ж</t>
  </si>
  <si>
    <t>32-птв/2058</t>
  </si>
  <si>
    <t>12а-ввг/6069</t>
  </si>
  <si>
    <t>.08:30</t>
  </si>
  <si>
    <t>ҰЖКЖЦ №2  шығатын  көліктер  14.10.2026ж.</t>
  </si>
  <si>
    <t>Көші-қон ақпары 14.10.26ж.</t>
  </si>
  <si>
    <t>34-птв/8068</t>
  </si>
  <si>
    <t>31б-птв/9009</t>
  </si>
  <si>
    <t>32а-птв/4718</t>
  </si>
  <si>
    <t>8 шм.</t>
  </si>
  <si>
    <t>14.10.26ж</t>
  </si>
  <si>
    <t>33-птв/2630</t>
  </si>
  <si>
    <t>ҰЖКЖЦ №2  шығатын  көліктер  15.10.2026ж.</t>
  </si>
  <si>
    <t>Көші-қон ақпары 15.10.26ж.</t>
  </si>
  <si>
    <t>.00:00</t>
  </si>
  <si>
    <t>Ж/Жерек ауыстырды.</t>
  </si>
  <si>
    <t>31а-птв/4624</t>
  </si>
  <si>
    <t>.00:30</t>
  </si>
  <si>
    <t>.01:30</t>
  </si>
  <si>
    <t>5-ввг/788</t>
  </si>
  <si>
    <t>31б-птв/3644</t>
  </si>
  <si>
    <t>.07:00</t>
  </si>
  <si>
    <t>1-ввг/2120</t>
  </si>
  <si>
    <t>18 шм.</t>
  </si>
  <si>
    <t>34-птв/8118</t>
  </si>
  <si>
    <t>15.10.26ж</t>
  </si>
  <si>
    <t>25-птв/1368G</t>
  </si>
  <si>
    <t>ҰЖКЖЦ №2  шығатын  көліктер  16.10.2026ж.</t>
  </si>
  <si>
    <t>Көші-қон ақпары 16.10.26ж.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</si>
</sst>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indexed="8"/>
      <name val="Times New Roman"/>
      <family val="1"/>
      <charset val="204"/>
    </font>
    <font>
      <sz val="10"/>
      <name val="Arial Cyr"/>
      <charset val="204"/>
    </font>
    <font>
      <b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70C0"/>
      <name val="Times New Roman"/>
      <family val="1"/>
      <charset val="204"/>
    </font>
    <font>
      <b/>
      <sz val="10"/>
      <color theme="4" tint="-0.249977111117893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90">
    <xf numFmtId="0" fontId="0" fillId="0" borderId="0" xfId="0"/>
    <xf numFmtId="0" fontId="15" fillId="10" borderId="25" xfId="1" applyFont="1" applyFill="1" applyBorder="1" applyAlignment="1">
      <alignment horizontal="center" vertical="center" wrapText="1"/>
    </xf>
    <xf numFmtId="0" fontId="15" fillId="10" borderId="26" xfId="1" applyFont="1" applyFill="1" applyBorder="1" applyAlignment="1">
      <alignment horizontal="center" vertical="center" wrapText="1"/>
    </xf>
    <xf numFmtId="0" fontId="15" fillId="10" borderId="27" xfId="1" applyFont="1" applyFill="1" applyBorder="1" applyAlignment="1">
      <alignment horizontal="center" vertical="center" wrapText="1"/>
    </xf>
    <xf numFmtId="0" fontId="15" fillId="10" borderId="16" xfId="1" applyFont="1" applyFill="1" applyBorder="1" applyAlignment="1">
      <alignment horizontal="center" vertical="center" wrapText="1"/>
    </xf>
    <xf numFmtId="0" fontId="15" fillId="10" borderId="17" xfId="1" applyFont="1" applyFill="1" applyBorder="1" applyAlignment="1">
      <alignment horizontal="center" vertical="center" wrapText="1"/>
    </xf>
    <xf numFmtId="0" fontId="15" fillId="10" borderId="18" xfId="1" applyFont="1" applyFill="1" applyBorder="1" applyAlignment="1">
      <alignment horizontal="center" vertical="center" wrapText="1"/>
    </xf>
    <xf numFmtId="0" fontId="17" fillId="10" borderId="33" xfId="1" applyFont="1" applyFill="1" applyBorder="1" applyAlignment="1">
      <alignment vertical="center" wrapText="1"/>
    </xf>
    <xf numFmtId="0" fontId="18" fillId="10" borderId="34" xfId="1" applyFont="1" applyFill="1" applyBorder="1" applyAlignment="1">
      <alignment horizontal="center" vertical="center" wrapText="1"/>
    </xf>
    <xf numFmtId="0" fontId="18" fillId="10" borderId="35" xfId="1" applyFont="1" applyFill="1" applyBorder="1" applyAlignment="1">
      <alignment horizontal="center" vertical="center" wrapText="1"/>
    </xf>
    <xf numFmtId="0" fontId="18" fillId="10" borderId="36" xfId="1" applyFont="1" applyFill="1" applyBorder="1" applyAlignment="1">
      <alignment horizontal="center" vertical="center" wrapText="1"/>
    </xf>
    <xf numFmtId="0" fontId="17" fillId="10" borderId="33" xfId="1" applyFont="1" applyFill="1" applyBorder="1" applyAlignment="1">
      <alignment horizontal="center" vertical="center" wrapText="1"/>
    </xf>
    <xf numFmtId="0" fontId="18" fillId="10" borderId="34" xfId="2" applyFont="1" applyFill="1" applyBorder="1" applyAlignment="1">
      <alignment horizontal="center" vertical="center"/>
    </xf>
    <xf numFmtId="0" fontId="18" fillId="10" borderId="35" xfId="2" applyFont="1" applyFill="1" applyBorder="1" applyAlignment="1">
      <alignment horizontal="center" vertical="center"/>
    </xf>
    <xf numFmtId="0" fontId="18" fillId="10" borderId="36" xfId="2" applyFont="1" applyFill="1" applyBorder="1" applyAlignment="1">
      <alignment horizontal="center" vertical="center"/>
    </xf>
    <xf numFmtId="0" fontId="17" fillId="7" borderId="33" xfId="2" applyFont="1" applyFill="1" applyBorder="1" applyAlignment="1">
      <alignment horizontal="center" vertical="center"/>
    </xf>
    <xf numFmtId="16" fontId="19" fillId="0" borderId="39" xfId="0" applyNumberFormat="1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7" fillId="3" borderId="12" xfId="1" applyFont="1" applyFill="1" applyBorder="1" applyAlignment="1">
      <alignment horizontal="center" vertical="center" wrapText="1"/>
    </xf>
    <xf numFmtId="0" fontId="17" fillId="3" borderId="12" xfId="2" applyFont="1" applyFill="1" applyBorder="1" applyAlignment="1">
      <alignment horizontal="left" vertical="center"/>
    </xf>
    <xf numFmtId="0" fontId="17" fillId="5" borderId="42" xfId="1" applyFont="1" applyFill="1" applyBorder="1" applyAlignment="1">
      <alignment horizontal="center" vertical="center" wrapText="1"/>
    </xf>
    <xf numFmtId="0" fontId="17" fillId="6" borderId="42" xfId="1" applyFont="1" applyFill="1" applyBorder="1" applyAlignment="1">
      <alignment horizontal="center" vertical="center" wrapText="1"/>
    </xf>
    <xf numFmtId="0" fontId="18" fillId="10" borderId="43" xfId="1" applyFont="1" applyFill="1" applyBorder="1" applyAlignment="1">
      <alignment horizontal="center" vertical="center" wrapText="1"/>
    </xf>
    <xf numFmtId="0" fontId="18" fillId="10" borderId="20" xfId="1" applyFont="1" applyFill="1" applyBorder="1" applyAlignment="1">
      <alignment horizontal="center" vertical="center" wrapText="1"/>
    </xf>
    <xf numFmtId="0" fontId="18" fillId="10" borderId="13" xfId="1" applyFont="1" applyFill="1" applyBorder="1" applyAlignment="1">
      <alignment horizontal="center" vertical="center" wrapText="1"/>
    </xf>
    <xf numFmtId="0" fontId="17" fillId="7" borderId="42" xfId="1" applyFont="1" applyFill="1" applyBorder="1" applyAlignment="1">
      <alignment horizontal="center" vertical="center" wrapText="1"/>
    </xf>
    <xf numFmtId="0" fontId="18" fillId="10" borderId="43" xfId="2" applyFont="1" applyFill="1" applyBorder="1" applyAlignment="1">
      <alignment horizontal="center" vertical="center"/>
    </xf>
    <xf numFmtId="0" fontId="18" fillId="10" borderId="20" xfId="2" applyFont="1" applyFill="1" applyBorder="1" applyAlignment="1">
      <alignment horizontal="center" vertical="center"/>
    </xf>
    <xf numFmtId="0" fontId="18" fillId="10" borderId="13" xfId="2" applyFont="1" applyFill="1" applyBorder="1" applyAlignment="1">
      <alignment horizontal="center" vertical="center"/>
    </xf>
    <xf numFmtId="0" fontId="17" fillId="7" borderId="42" xfId="2" applyFont="1" applyFill="1" applyBorder="1" applyAlignment="1">
      <alignment horizontal="center" vertical="center"/>
    </xf>
    <xf numFmtId="16" fontId="19" fillId="0" borderId="19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7" fillId="10" borderId="42" xfId="1" applyFont="1" applyFill="1" applyBorder="1" applyAlignment="1">
      <alignment vertical="center" wrapText="1"/>
    </xf>
    <xf numFmtId="0" fontId="17" fillId="10" borderId="43" xfId="1" applyFont="1" applyFill="1" applyBorder="1" applyAlignment="1">
      <alignment horizontal="center" vertical="center" wrapText="1"/>
    </xf>
    <xf numFmtId="0" fontId="17" fillId="10" borderId="42" xfId="1" applyFont="1" applyFill="1" applyBorder="1" applyAlignment="1">
      <alignment horizontal="center" vertical="center" wrapText="1"/>
    </xf>
    <xf numFmtId="0" fontId="17" fillId="4" borderId="45" xfId="2" applyFont="1" applyFill="1" applyBorder="1" applyAlignment="1">
      <alignment horizontal="left" vertical="center"/>
    </xf>
    <xf numFmtId="0" fontId="17" fillId="4" borderId="46" xfId="2" applyFont="1" applyFill="1" applyBorder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7" fillId="10" borderId="42" xfId="2" applyFont="1" applyFill="1" applyBorder="1" applyAlignment="1">
      <alignment vertical="center"/>
    </xf>
    <xf numFmtId="0" fontId="17" fillId="10" borderId="43" xfId="2" applyFont="1" applyFill="1" applyBorder="1" applyAlignment="1">
      <alignment horizontal="center" vertical="center"/>
    </xf>
    <xf numFmtId="0" fontId="17" fillId="10" borderId="42" xfId="2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left" vertical="top"/>
    </xf>
    <xf numFmtId="0" fontId="17" fillId="5" borderId="42" xfId="2" applyFont="1" applyFill="1" applyBorder="1" applyAlignment="1">
      <alignment horizontal="center" vertical="center"/>
    </xf>
    <xf numFmtId="0" fontId="17" fillId="6" borderId="42" xfId="2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left" vertical="top"/>
    </xf>
    <xf numFmtId="0" fontId="20" fillId="5" borderId="42" xfId="1" applyFont="1" applyFill="1" applyBorder="1" applyAlignment="1">
      <alignment horizontal="center" vertical="center"/>
    </xf>
    <xf numFmtId="0" fontId="18" fillId="10" borderId="47" xfId="2" applyFont="1" applyFill="1" applyBorder="1" applyAlignment="1">
      <alignment horizontal="center" vertical="center"/>
    </xf>
    <xf numFmtId="0" fontId="17" fillId="4" borderId="48" xfId="0" applyFont="1" applyFill="1" applyBorder="1" applyAlignment="1">
      <alignment horizontal="center" vertical="center"/>
    </xf>
    <xf numFmtId="0" fontId="17" fillId="4" borderId="49" xfId="0" applyFont="1" applyFill="1" applyBorder="1" applyAlignment="1">
      <alignment horizontal="left" vertical="top"/>
    </xf>
    <xf numFmtId="0" fontId="17" fillId="4" borderId="2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left" vertical="top"/>
    </xf>
    <xf numFmtId="0" fontId="20" fillId="5" borderId="50" xfId="1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left" vertical="top"/>
    </xf>
    <xf numFmtId="0" fontId="17" fillId="5" borderId="50" xfId="2" applyFont="1" applyFill="1" applyBorder="1" applyAlignment="1">
      <alignment horizontal="center" vertical="center"/>
    </xf>
    <xf numFmtId="0" fontId="17" fillId="4" borderId="51" xfId="0" applyFont="1" applyFill="1" applyBorder="1" applyAlignment="1">
      <alignment horizontal="center" vertical="center"/>
    </xf>
    <xf numFmtId="0" fontId="17" fillId="4" borderId="52" xfId="0" applyFont="1" applyFill="1" applyBorder="1" applyAlignment="1">
      <alignment horizontal="left" vertical="top"/>
    </xf>
    <xf numFmtId="0" fontId="20" fillId="3" borderId="15" xfId="1" applyFont="1" applyFill="1" applyBorder="1" applyAlignment="1">
      <alignment horizontal="center" vertical="center"/>
    </xf>
    <xf numFmtId="0" fontId="17" fillId="4" borderId="38" xfId="2" applyFont="1" applyFill="1" applyBorder="1" applyAlignment="1">
      <alignment horizontal="left" vertical="center"/>
    </xf>
    <xf numFmtId="0" fontId="20" fillId="6" borderId="42" xfId="0" applyFont="1" applyFill="1" applyBorder="1" applyAlignment="1">
      <alignment horizontal="center" vertical="center"/>
    </xf>
    <xf numFmtId="164" fontId="18" fillId="10" borderId="43" xfId="1" applyNumberFormat="1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7" fillId="6" borderId="42" xfId="0" applyFont="1" applyFill="1" applyBorder="1" applyAlignment="1">
      <alignment horizontal="center" vertical="center"/>
    </xf>
    <xf numFmtId="164" fontId="20" fillId="7" borderId="42" xfId="1" applyNumberFormat="1" applyFont="1" applyFill="1" applyBorder="1" applyAlignment="1">
      <alignment horizontal="center" vertical="center"/>
    </xf>
    <xf numFmtId="0" fontId="20" fillId="3" borderId="33" xfId="1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/>
    </xf>
    <xf numFmtId="0" fontId="20" fillId="5" borderId="42" xfId="1" applyFont="1" applyFill="1" applyBorder="1" applyAlignment="1">
      <alignment horizontal="center" vertical="center" wrapText="1"/>
    </xf>
    <xf numFmtId="0" fontId="18" fillId="10" borderId="43" xfId="0" applyFont="1" applyFill="1" applyBorder="1" applyAlignment="1">
      <alignment horizontal="center" vertical="center"/>
    </xf>
    <xf numFmtId="0" fontId="18" fillId="10" borderId="20" xfId="0" applyFont="1" applyFill="1" applyBorder="1" applyAlignment="1">
      <alignment horizontal="center" vertical="center"/>
    </xf>
    <xf numFmtId="0" fontId="20" fillId="7" borderId="42" xfId="0" applyFont="1" applyFill="1" applyBorder="1" applyAlignment="1">
      <alignment horizontal="center" vertical="center"/>
    </xf>
    <xf numFmtId="164" fontId="18" fillId="10" borderId="20" xfId="1" applyNumberFormat="1" applyFont="1" applyFill="1" applyBorder="1" applyAlignment="1">
      <alignment horizontal="center" vertical="center"/>
    </xf>
    <xf numFmtId="164" fontId="18" fillId="10" borderId="13" xfId="1" applyNumberFormat="1" applyFont="1" applyFill="1" applyBorder="1" applyAlignment="1">
      <alignment horizontal="center" vertical="center"/>
    </xf>
    <xf numFmtId="164" fontId="17" fillId="7" borderId="42" xfId="1" applyNumberFormat="1" applyFont="1" applyFill="1" applyBorder="1" applyAlignment="1">
      <alignment horizontal="center" vertical="center"/>
    </xf>
    <xf numFmtId="0" fontId="20" fillId="3" borderId="48" xfId="0" applyFont="1" applyFill="1" applyBorder="1" applyAlignment="1">
      <alignment horizontal="center"/>
    </xf>
    <xf numFmtId="0" fontId="17" fillId="4" borderId="49" xfId="2" applyFont="1" applyFill="1" applyBorder="1" applyAlignment="1">
      <alignment horizontal="left" vertical="center"/>
    </xf>
    <xf numFmtId="0" fontId="17" fillId="5" borderId="48" xfId="2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/>
    </xf>
    <xf numFmtId="0" fontId="18" fillId="10" borderId="53" xfId="0" applyFont="1" applyFill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/>
    </xf>
    <xf numFmtId="0" fontId="17" fillId="10" borderId="54" xfId="0" applyFont="1" applyFill="1" applyBorder="1" applyAlignment="1">
      <alignment horizontal="center" vertical="center"/>
    </xf>
    <xf numFmtId="0" fontId="17" fillId="6" borderId="48" xfId="2" applyFont="1" applyFill="1" applyBorder="1" applyAlignment="1">
      <alignment horizontal="center" vertical="center"/>
    </xf>
    <xf numFmtId="0" fontId="20" fillId="7" borderId="48" xfId="0" applyFont="1" applyFill="1" applyBorder="1" applyAlignment="1">
      <alignment horizontal="center" vertical="center"/>
    </xf>
    <xf numFmtId="0" fontId="18" fillId="10" borderId="54" xfId="0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/>
    </xf>
    <xf numFmtId="0" fontId="20" fillId="10" borderId="42" xfId="0" applyFont="1" applyFill="1" applyBorder="1"/>
    <xf numFmtId="0" fontId="20" fillId="10" borderId="43" xfId="0" applyFont="1" applyFill="1" applyBorder="1"/>
    <xf numFmtId="0" fontId="23" fillId="10" borderId="20" xfId="0" applyFont="1" applyFill="1" applyBorder="1"/>
    <xf numFmtId="0" fontId="20" fillId="10" borderId="13" xfId="0" applyFont="1" applyFill="1" applyBorder="1"/>
    <xf numFmtId="0" fontId="20" fillId="10" borderId="20" xfId="0" applyFont="1" applyFill="1" applyBorder="1"/>
    <xf numFmtId="0" fontId="20" fillId="7" borderId="42" xfId="0" applyFont="1" applyFill="1" applyBorder="1"/>
    <xf numFmtId="0" fontId="20" fillId="10" borderId="45" xfId="0" applyFont="1" applyFill="1" applyBorder="1"/>
    <xf numFmtId="0" fontId="20" fillId="3" borderId="30" xfId="0" applyFont="1" applyFill="1" applyBorder="1"/>
    <xf numFmtId="0" fontId="20" fillId="3" borderId="54" xfId="0" applyFont="1" applyFill="1" applyBorder="1"/>
    <xf numFmtId="0" fontId="17" fillId="5" borderId="48" xfId="0" applyFont="1" applyFill="1" applyBorder="1" applyAlignment="1">
      <alignment horizontal="center"/>
    </xf>
    <xf numFmtId="0" fontId="20" fillId="6" borderId="48" xfId="0" applyFont="1" applyFill="1" applyBorder="1" applyAlignment="1">
      <alignment horizontal="center"/>
    </xf>
    <xf numFmtId="0" fontId="20" fillId="10" borderId="53" xfId="0" applyFont="1" applyFill="1" applyBorder="1" applyAlignment="1">
      <alignment horizontal="center"/>
    </xf>
    <xf numFmtId="0" fontId="20" fillId="10" borderId="54" xfId="0" applyFont="1" applyFill="1" applyBorder="1" applyAlignment="1">
      <alignment horizontal="center"/>
    </xf>
    <xf numFmtId="0" fontId="20" fillId="7" borderId="48" xfId="0" applyFont="1" applyFill="1" applyBorder="1" applyAlignment="1">
      <alignment horizontal="center"/>
    </xf>
    <xf numFmtId="0" fontId="20" fillId="10" borderId="31" xfId="0" applyFont="1" applyFill="1" applyBorder="1" applyAlignment="1">
      <alignment horizontal="center"/>
    </xf>
    <xf numFmtId="0" fontId="20" fillId="10" borderId="49" xfId="0" applyFont="1" applyFill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20" fillId="10" borderId="18" xfId="1" applyFont="1" applyFill="1" applyBorder="1" applyAlignment="1">
      <alignment vertical="center"/>
    </xf>
    <xf numFmtId="164" fontId="10" fillId="10" borderId="56" xfId="0" applyNumberFormat="1" applyFont="1" applyFill="1" applyBorder="1" applyAlignment="1">
      <alignment horizontal="center" vertical="center"/>
    </xf>
    <xf numFmtId="164" fontId="10" fillId="10" borderId="7" xfId="0" applyNumberFormat="1" applyFont="1" applyFill="1" applyBorder="1" applyAlignment="1">
      <alignment horizontal="center" vertical="center"/>
    </xf>
    <xf numFmtId="164" fontId="10" fillId="10" borderId="8" xfId="0" applyNumberFormat="1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vertical="center"/>
    </xf>
    <xf numFmtId="0" fontId="10" fillId="8" borderId="54" xfId="0" applyFont="1" applyFill="1" applyBorder="1" applyAlignment="1">
      <alignment vertical="center"/>
    </xf>
    <xf numFmtId="0" fontId="10" fillId="0" borderId="62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top"/>
    </xf>
    <xf numFmtId="0" fontId="0" fillId="10" borderId="10" xfId="0" applyFill="1" applyBorder="1" applyAlignment="1">
      <alignment horizontal="center" vertical="center"/>
    </xf>
    <xf numFmtId="20" fontId="0" fillId="10" borderId="10" xfId="0" applyNumberFormat="1" applyFill="1" applyBorder="1" applyAlignment="1">
      <alignment horizontal="center" vertical="top"/>
    </xf>
    <xf numFmtId="0" fontId="0" fillId="10" borderId="2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63" xfId="0" applyFill="1" applyBorder="1" applyAlignment="1">
      <alignment horizontal="center" vertical="top"/>
    </xf>
    <xf numFmtId="0" fontId="20" fillId="0" borderId="16" xfId="0" applyFont="1" applyBorder="1"/>
    <xf numFmtId="0" fontId="2" fillId="0" borderId="17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10" borderId="0" xfId="0" applyFont="1" applyFill="1"/>
    <xf numFmtId="0" fontId="26" fillId="10" borderId="19" xfId="0" applyFont="1" applyFill="1" applyBorder="1" applyAlignment="1">
      <alignment horizontal="center" vertical="top"/>
    </xf>
    <xf numFmtId="0" fontId="0" fillId="10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/>
    </xf>
    <xf numFmtId="20" fontId="0" fillId="10" borderId="20" xfId="0" applyNumberFormat="1" applyFill="1" applyBorder="1" applyAlignment="1">
      <alignment horizontal="center" vertical="top"/>
    </xf>
    <xf numFmtId="0" fontId="27" fillId="10" borderId="50" xfId="0" applyFont="1" applyFill="1" applyBorder="1" applyAlignment="1">
      <alignment horizontal="center" vertical="top"/>
    </xf>
    <xf numFmtId="0" fontId="0" fillId="10" borderId="50" xfId="0" applyFill="1" applyBorder="1" applyAlignment="1">
      <alignment horizontal="center" vertical="top"/>
    </xf>
    <xf numFmtId="0" fontId="0" fillId="10" borderId="20" xfId="0" applyFill="1" applyBorder="1" applyAlignment="1">
      <alignment horizontal="center" vertical="top"/>
    </xf>
    <xf numFmtId="0" fontId="0" fillId="10" borderId="21" xfId="0" applyFill="1" applyBorder="1" applyAlignment="1">
      <alignment horizontal="center" vertical="top"/>
    </xf>
    <xf numFmtId="0" fontId="26" fillId="0" borderId="19" xfId="0" applyFont="1" applyBorder="1" applyAlignment="1">
      <alignment horizontal="center" vertical="top"/>
    </xf>
    <xf numFmtId="0" fontId="0" fillId="10" borderId="65" xfId="0" applyFill="1" applyBorder="1" applyAlignment="1">
      <alignment horizontal="center" vertical="top"/>
    </xf>
    <xf numFmtId="0" fontId="26" fillId="0" borderId="51" xfId="0" applyFont="1" applyBorder="1" applyAlignment="1">
      <alignment horizontal="center" vertical="top"/>
    </xf>
    <xf numFmtId="0" fontId="0" fillId="10" borderId="62" xfId="0" applyFill="1" applyBorder="1" applyAlignment="1">
      <alignment horizontal="center" vertical="center"/>
    </xf>
    <xf numFmtId="20" fontId="0" fillId="10" borderId="62" xfId="0" applyNumberFormat="1" applyFill="1" applyBorder="1" applyAlignment="1">
      <alignment horizontal="center" vertical="top"/>
    </xf>
    <xf numFmtId="0" fontId="0" fillId="10" borderId="62" xfId="0" applyFill="1" applyBorder="1" applyAlignment="1">
      <alignment horizontal="center" vertical="top"/>
    </xf>
    <xf numFmtId="0" fontId="0" fillId="10" borderId="52" xfId="0" applyFill="1" applyBorder="1" applyAlignment="1">
      <alignment horizontal="center" vertical="top"/>
    </xf>
    <xf numFmtId="0" fontId="0" fillId="10" borderId="66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10" borderId="20" xfId="0" applyFill="1" applyBorder="1" applyAlignment="1">
      <alignment horizontal="center"/>
    </xf>
    <xf numFmtId="16" fontId="19" fillId="0" borderId="51" xfId="0" applyNumberFormat="1" applyFont="1" applyBorder="1" applyAlignment="1">
      <alignment horizontal="center"/>
    </xf>
    <xf numFmtId="0" fontId="9" fillId="10" borderId="19" xfId="0" applyFont="1" applyFill="1" applyBorder="1" applyAlignment="1">
      <alignment horizontal="center" vertical="top"/>
    </xf>
    <xf numFmtId="0" fontId="9" fillId="0" borderId="51" xfId="0" applyFont="1" applyBorder="1" applyAlignment="1">
      <alignment horizontal="center" vertical="top"/>
    </xf>
    <xf numFmtId="20" fontId="28" fillId="10" borderId="62" xfId="0" applyNumberFormat="1" applyFont="1" applyFill="1" applyBorder="1" applyAlignment="1">
      <alignment horizontal="center" vertical="top"/>
    </xf>
    <xf numFmtId="0" fontId="20" fillId="10" borderId="68" xfId="0" applyFont="1" applyFill="1" applyBorder="1" applyAlignment="1">
      <alignment horizontal="center"/>
    </xf>
    <xf numFmtId="0" fontId="29" fillId="10" borderId="20" xfId="0" applyFont="1" applyFill="1" applyBorder="1" applyAlignment="1">
      <alignment horizontal="center"/>
    </xf>
    <xf numFmtId="16" fontId="0" fillId="0" borderId="0" xfId="0" applyNumberFormat="1"/>
    <xf numFmtId="0" fontId="31" fillId="0" borderId="0" xfId="0" applyFont="1"/>
    <xf numFmtId="16" fontId="14" fillId="0" borderId="19" xfId="0" applyNumberFormat="1" applyFont="1" applyBorder="1" applyAlignment="1">
      <alignment horizontal="center"/>
    </xf>
    <xf numFmtId="0" fontId="30" fillId="0" borderId="2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29" fillId="10" borderId="21" xfId="0" applyFont="1" applyFill="1" applyBorder="1" applyAlignment="1">
      <alignment horizontal="center"/>
    </xf>
    <xf numFmtId="0" fontId="29" fillId="10" borderId="62" xfId="0" applyFont="1" applyFill="1" applyBorder="1" applyAlignment="1">
      <alignment horizontal="center"/>
    </xf>
    <xf numFmtId="0" fontId="28" fillId="10" borderId="62" xfId="0" applyFont="1" applyFill="1" applyBorder="1" applyAlignment="1">
      <alignment horizontal="center"/>
    </xf>
    <xf numFmtId="0" fontId="17" fillId="6" borderId="33" xfId="1" applyFont="1" applyFill="1" applyBorder="1" applyAlignment="1">
      <alignment horizontal="center" vertical="center" wrapText="1"/>
    </xf>
    <xf numFmtId="164" fontId="10" fillId="6" borderId="56" xfId="0" applyNumberFormat="1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top"/>
    </xf>
    <xf numFmtId="0" fontId="10" fillId="8" borderId="62" xfId="0" applyFont="1" applyFill="1" applyBorder="1" applyAlignment="1">
      <alignment vertical="center"/>
    </xf>
    <xf numFmtId="0" fontId="10" fillId="8" borderId="52" xfId="0" applyFont="1" applyFill="1" applyBorder="1" applyAlignment="1">
      <alignment vertical="center"/>
    </xf>
    <xf numFmtId="0" fontId="17" fillId="10" borderId="50" xfId="2" applyFont="1" applyFill="1" applyBorder="1" applyAlignment="1">
      <alignment vertical="center"/>
    </xf>
    <xf numFmtId="0" fontId="17" fillId="4" borderId="63" xfId="2" applyFont="1" applyFill="1" applyBorder="1" applyAlignment="1">
      <alignment horizontal="left" vertical="center"/>
    </xf>
    <xf numFmtId="0" fontId="17" fillId="4" borderId="69" xfId="2" applyFont="1" applyFill="1" applyBorder="1" applyAlignment="1">
      <alignment horizontal="left" vertical="center"/>
    </xf>
    <xf numFmtId="0" fontId="17" fillId="4" borderId="50" xfId="2" applyFont="1" applyFill="1" applyBorder="1" applyAlignment="1">
      <alignment horizontal="left" vertical="center"/>
    </xf>
    <xf numFmtId="0" fontId="20" fillId="3" borderId="28" xfId="0" applyFont="1" applyFill="1" applyBorder="1" applyAlignment="1">
      <alignment horizontal="center"/>
    </xf>
    <xf numFmtId="0" fontId="17" fillId="4" borderId="66" xfId="2" applyFont="1" applyFill="1" applyBorder="1" applyAlignment="1">
      <alignment horizontal="left" vertical="center"/>
    </xf>
    <xf numFmtId="0" fontId="17" fillId="5" borderId="65" xfId="0" applyFont="1" applyFill="1" applyBorder="1" applyAlignment="1">
      <alignment horizontal="center"/>
    </xf>
    <xf numFmtId="0" fontId="17" fillId="4" borderId="70" xfId="0" applyFont="1" applyFill="1" applyBorder="1" applyAlignment="1">
      <alignment horizontal="center" vertical="center"/>
    </xf>
    <xf numFmtId="0" fontId="20" fillId="3" borderId="71" xfId="0" applyFont="1" applyFill="1" applyBorder="1"/>
    <xf numFmtId="0" fontId="17" fillId="4" borderId="63" xfId="0" applyFont="1" applyFill="1" applyBorder="1" applyAlignment="1">
      <alignment horizontal="left" vertical="top"/>
    </xf>
    <xf numFmtId="0" fontId="17" fillId="4" borderId="50" xfId="0" applyFont="1" applyFill="1" applyBorder="1" applyAlignment="1">
      <alignment horizontal="left" vertical="top"/>
    </xf>
    <xf numFmtId="0" fontId="17" fillId="4" borderId="65" xfId="0" applyFont="1" applyFill="1" applyBorder="1" applyAlignment="1">
      <alignment horizontal="left" vertical="top"/>
    </xf>
    <xf numFmtId="0" fontId="17" fillId="4" borderId="66" xfId="0" applyFont="1" applyFill="1" applyBorder="1" applyAlignment="1">
      <alignment horizontal="left" vertical="top"/>
    </xf>
    <xf numFmtId="164" fontId="10" fillId="10" borderId="56" xfId="0" applyNumberFormat="1" applyFont="1" applyFill="1" applyBorder="1" applyAlignment="1">
      <alignment horizontal="center"/>
    </xf>
    <xf numFmtId="0" fontId="29" fillId="10" borderId="50" xfId="0" applyFont="1" applyFill="1" applyBorder="1" applyAlignment="1">
      <alignment horizontal="center"/>
    </xf>
    <xf numFmtId="0" fontId="29" fillId="10" borderId="31" xfId="0" applyFont="1" applyFill="1" applyBorder="1" applyAlignment="1">
      <alignment horizontal="center"/>
    </xf>
    <xf numFmtId="0" fontId="0" fillId="10" borderId="32" xfId="0" applyFill="1" applyBorder="1" applyAlignment="1">
      <alignment horizontal="center" vertical="top"/>
    </xf>
    <xf numFmtId="0" fontId="27" fillId="0" borderId="0" xfId="0" applyFont="1"/>
    <xf numFmtId="0" fontId="28" fillId="10" borderId="21" xfId="0" applyFont="1" applyFill="1" applyBorder="1" applyAlignment="1">
      <alignment horizontal="center" vertical="top"/>
    </xf>
    <xf numFmtId="0" fontId="29" fillId="10" borderId="36" xfId="0" applyFont="1" applyFill="1" applyBorder="1" applyAlignment="1">
      <alignment horizontal="center"/>
    </xf>
    <xf numFmtId="0" fontId="32" fillId="0" borderId="26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16" fontId="14" fillId="0" borderId="9" xfId="0" applyNumberFormat="1" applyFont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top"/>
    </xf>
    <xf numFmtId="20" fontId="29" fillId="10" borderId="31" xfId="0" applyNumberFormat="1" applyFont="1" applyFill="1" applyBorder="1" applyAlignment="1">
      <alignment horizontal="center" vertical="center"/>
    </xf>
    <xf numFmtId="0" fontId="20" fillId="0" borderId="70" xfId="0" applyFont="1" applyBorder="1"/>
    <xf numFmtId="0" fontId="27" fillId="0" borderId="29" xfId="0" applyFont="1" applyBorder="1" applyAlignment="1">
      <alignment horizontal="center" vertical="center"/>
    </xf>
    <xf numFmtId="20" fontId="29" fillId="10" borderId="20" xfId="0" applyNumberFormat="1" applyFont="1" applyFill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8" fillId="10" borderId="20" xfId="0" applyNumberFormat="1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top"/>
    </xf>
    <xf numFmtId="20" fontId="28" fillId="10" borderId="10" xfId="0" applyNumberFormat="1" applyFont="1" applyFill="1" applyBorder="1" applyAlignment="1">
      <alignment horizontal="center" vertical="center"/>
    </xf>
    <xf numFmtId="20" fontId="29" fillId="10" borderId="10" xfId="0" applyNumberFormat="1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/>
    </xf>
    <xf numFmtId="0" fontId="29" fillId="10" borderId="11" xfId="0" applyFont="1" applyFill="1" applyBorder="1" applyAlignment="1">
      <alignment horizont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9" fillId="11" borderId="36" xfId="0" applyFont="1" applyFill="1" applyBorder="1" applyAlignment="1">
      <alignment horizontal="center"/>
    </xf>
    <xf numFmtId="0" fontId="28" fillId="10" borderId="20" xfId="0" applyFont="1" applyFill="1" applyBorder="1" applyAlignment="1">
      <alignment horizontal="center" vertical="center"/>
    </xf>
    <xf numFmtId="0" fontId="29" fillId="11" borderId="21" xfId="0" applyFont="1" applyFill="1" applyBorder="1" applyAlignment="1">
      <alignment horizont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/>
    </xf>
    <xf numFmtId="0" fontId="0" fillId="10" borderId="20" xfId="0" applyFill="1" applyBorder="1" applyAlignment="1">
      <alignment horizontal="center" vertical="center"/>
    </xf>
    <xf numFmtId="0" fontId="0" fillId="10" borderId="62" xfId="0" applyFill="1" applyBorder="1" applyAlignment="1">
      <alignment horizontal="center" vertical="center"/>
    </xf>
    <xf numFmtId="0" fontId="0" fillId="10" borderId="62" xfId="0" applyFill="1" applyBorder="1" applyAlignment="1">
      <alignment horizontal="center"/>
    </xf>
    <xf numFmtId="20" fontId="0" fillId="10" borderId="20" xfId="0" applyNumberFormat="1" applyFill="1" applyBorder="1" applyAlignment="1">
      <alignment horizontal="center"/>
    </xf>
    <xf numFmtId="0" fontId="22" fillId="10" borderId="44" xfId="0" applyFont="1" applyFill="1" applyBorder="1" applyAlignment="1">
      <alignment horizontal="center"/>
    </xf>
    <xf numFmtId="0" fontId="22" fillId="10" borderId="45" xfId="0" applyFont="1" applyFill="1" applyBorder="1" applyAlignment="1">
      <alignment horizontal="center"/>
    </xf>
    <xf numFmtId="164" fontId="10" fillId="0" borderId="8" xfId="0" applyNumberFormat="1" applyFont="1" applyBorder="1" applyAlignment="1">
      <alignment horizontal="center" vertical="top"/>
    </xf>
    <xf numFmtId="164" fontId="10" fillId="0" borderId="6" xfId="0" applyNumberFormat="1" applyFont="1" applyBorder="1" applyAlignment="1">
      <alignment horizontal="center" vertical="top"/>
    </xf>
    <xf numFmtId="0" fontId="24" fillId="8" borderId="1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4" fillId="8" borderId="22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60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57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6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 wrapText="1"/>
    </xf>
    <xf numFmtId="0" fontId="10" fillId="8" borderId="59" xfId="0" applyFont="1" applyFill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164" fontId="17" fillId="0" borderId="44" xfId="1" applyNumberFormat="1" applyFont="1" applyBorder="1" applyAlignment="1">
      <alignment horizontal="center" vertical="center"/>
    </xf>
    <xf numFmtId="164" fontId="17" fillId="0" borderId="45" xfId="1" applyNumberFormat="1" applyFont="1" applyBorder="1" applyAlignment="1">
      <alignment horizontal="center" vertical="center"/>
    </xf>
    <xf numFmtId="0" fontId="17" fillId="0" borderId="44" xfId="2" applyFont="1" applyBorder="1" applyAlignment="1">
      <alignment horizontal="center" vertical="center"/>
    </xf>
    <xf numFmtId="0" fontId="17" fillId="0" borderId="45" xfId="2" applyFont="1" applyBorder="1" applyAlignment="1">
      <alignment horizontal="center" vertical="center"/>
    </xf>
    <xf numFmtId="0" fontId="17" fillId="10" borderId="44" xfId="0" applyFont="1" applyFill="1" applyBorder="1" applyAlignment="1">
      <alignment horizontal="center" vertical="center"/>
    </xf>
    <xf numFmtId="0" fontId="17" fillId="10" borderId="45" xfId="0" applyFont="1" applyFill="1" applyBorder="1" applyAlignment="1">
      <alignment horizontal="center" vertical="center"/>
    </xf>
    <xf numFmtId="0" fontId="21" fillId="10" borderId="22" xfId="0" applyFont="1" applyFill="1" applyBorder="1" applyAlignment="1">
      <alignment horizontal="center" vertical="center"/>
    </xf>
    <xf numFmtId="0" fontId="21" fillId="10" borderId="29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shrinkToFit="1"/>
    </xf>
    <xf numFmtId="0" fontId="16" fillId="10" borderId="2" xfId="0" applyFont="1" applyFill="1" applyBorder="1" applyAlignment="1">
      <alignment horizontal="center" vertical="center" shrinkToFit="1"/>
    </xf>
    <xf numFmtId="0" fontId="16" fillId="10" borderId="8" xfId="1" applyFont="1" applyFill="1" applyBorder="1" applyAlignment="1">
      <alignment horizontal="center" vertical="center" shrinkToFit="1"/>
    </xf>
    <xf numFmtId="0" fontId="16" fillId="10" borderId="6" xfId="1" applyFont="1" applyFill="1" applyBorder="1" applyAlignment="1">
      <alignment horizontal="center" vertical="center" shrinkToFit="1"/>
    </xf>
    <xf numFmtId="0" fontId="16" fillId="10" borderId="8" xfId="0" applyFont="1" applyFill="1" applyBorder="1" applyAlignment="1">
      <alignment horizontal="center" vertical="center" shrinkToFit="1"/>
    </xf>
    <xf numFmtId="0" fontId="16" fillId="10" borderId="6" xfId="0" applyFont="1" applyFill="1" applyBorder="1" applyAlignment="1">
      <alignment horizontal="center" vertical="center" shrinkToFit="1"/>
    </xf>
    <xf numFmtId="0" fontId="16" fillId="10" borderId="22" xfId="1" applyFont="1" applyFill="1" applyBorder="1" applyAlignment="1">
      <alignment horizontal="center" vertical="center" shrinkToFit="1"/>
    </xf>
    <xf numFmtId="0" fontId="16" fillId="10" borderId="29" xfId="1" applyFont="1" applyFill="1" applyBorder="1" applyAlignment="1">
      <alignment horizontal="center" vertical="center" shrinkToFit="1"/>
    </xf>
    <xf numFmtId="0" fontId="17" fillId="0" borderId="37" xfId="2" applyFont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32" xfId="0" applyFont="1" applyFill="1" applyBorder="1" applyAlignment="1">
      <alignment horizontal="center" vertical="center" wrapText="1"/>
    </xf>
    <xf numFmtId="0" fontId="11" fillId="6" borderId="5" xfId="1" applyFont="1" applyFill="1" applyBorder="1" applyAlignment="1">
      <alignment horizontal="center" vertical="center" wrapText="1"/>
    </xf>
    <xf numFmtId="0" fontId="11" fillId="6" borderId="24" xfId="1" applyFont="1" applyFill="1" applyBorder="1" applyAlignment="1">
      <alignment horizontal="center" vertical="center" wrapText="1"/>
    </xf>
    <xf numFmtId="0" fontId="12" fillId="6" borderId="6" xfId="1" applyFont="1" applyFill="1" applyBorder="1" applyAlignment="1">
      <alignment horizontal="center" vertical="center" wrapText="1"/>
    </xf>
    <xf numFmtId="0" fontId="13" fillId="6" borderId="5" xfId="1" applyFont="1" applyFill="1" applyBorder="1" applyAlignment="1">
      <alignment horizontal="center" vertical="center" wrapText="1"/>
    </xf>
    <xf numFmtId="0" fontId="13" fillId="6" borderId="24" xfId="1" applyFont="1" applyFill="1" applyBorder="1" applyAlignment="1">
      <alignment horizontal="center" vertical="center" wrapText="1"/>
    </xf>
    <xf numFmtId="0" fontId="11" fillId="7" borderId="15" xfId="1" applyFont="1" applyFill="1" applyBorder="1" applyAlignment="1">
      <alignment horizontal="center" vertical="center" wrapText="1"/>
    </xf>
    <xf numFmtId="0" fontId="11" fillId="7" borderId="28" xfId="1" applyFont="1" applyFill="1" applyBorder="1" applyAlignment="1">
      <alignment horizontal="center" vertical="center" wrapText="1"/>
    </xf>
    <xf numFmtId="0" fontId="12" fillId="7" borderId="16" xfId="1" applyFont="1" applyFill="1" applyBorder="1" applyAlignment="1">
      <alignment horizontal="center" vertical="center" wrapText="1"/>
    </xf>
    <xf numFmtId="0" fontId="12" fillId="7" borderId="17" xfId="1" applyFont="1" applyFill="1" applyBorder="1" applyAlignment="1">
      <alignment horizontal="center" vertical="center" wrapText="1"/>
    </xf>
    <xf numFmtId="0" fontId="12" fillId="7" borderId="18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7" borderId="22" xfId="1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3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23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24" xfId="1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0" fontId="7" fillId="6" borderId="7" xfId="1" applyFont="1" applyFill="1" applyBorder="1" applyAlignment="1">
      <alignment horizontal="center" vertical="center" wrapText="1"/>
    </xf>
    <xf numFmtId="0" fontId="7" fillId="7" borderId="8" xfId="1" applyFont="1" applyFill="1" applyBorder="1" applyAlignment="1">
      <alignment horizontal="center" vertical="center" wrapText="1"/>
    </xf>
    <xf numFmtId="0" fontId="7" fillId="7" borderId="6" xfId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20" fontId="29" fillId="10" borderId="13" xfId="0" applyNumberFormat="1" applyFont="1" applyFill="1" applyBorder="1" applyAlignment="1">
      <alignment horizontal="center" vertical="top"/>
    </xf>
    <xf numFmtId="20" fontId="29" fillId="10" borderId="43" xfId="0" applyNumberFormat="1" applyFont="1" applyFill="1" applyBorder="1" applyAlignment="1">
      <alignment horizontal="center" vertical="top"/>
    </xf>
    <xf numFmtId="0" fontId="28" fillId="10" borderId="13" xfId="0" applyFont="1" applyFill="1" applyBorder="1" applyAlignment="1">
      <alignment horizontal="center" vertical="center"/>
    </xf>
    <xf numFmtId="0" fontId="28" fillId="10" borderId="43" xfId="0" applyFont="1" applyFill="1" applyBorder="1" applyAlignment="1">
      <alignment horizontal="center" vertical="center"/>
    </xf>
    <xf numFmtId="20" fontId="29" fillId="10" borderId="62" xfId="0" applyNumberFormat="1" applyFont="1" applyFill="1" applyBorder="1" applyAlignment="1">
      <alignment horizontal="center" vertical="top"/>
    </xf>
    <xf numFmtId="0" fontId="28" fillId="10" borderId="62" xfId="0" applyFont="1" applyFill="1" applyBorder="1" applyAlignment="1">
      <alignment horizontal="center" vertical="center"/>
    </xf>
    <xf numFmtId="0" fontId="28" fillId="10" borderId="20" xfId="0" applyFont="1" applyFill="1" applyBorder="1" applyAlignment="1">
      <alignment horizontal="center" vertical="center"/>
    </xf>
    <xf numFmtId="20" fontId="29" fillId="10" borderId="20" xfId="0" applyNumberFormat="1" applyFont="1" applyFill="1" applyBorder="1" applyAlignment="1">
      <alignment horizontal="center" vertical="top"/>
    </xf>
    <xf numFmtId="0" fontId="10" fillId="8" borderId="9" xfId="0" applyFont="1" applyFill="1" applyBorder="1" applyAlignment="1">
      <alignment horizontal="center" vertical="center"/>
    </xf>
    <xf numFmtId="0" fontId="10" fillId="8" borderId="5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62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/>
    </xf>
    <xf numFmtId="0" fontId="25" fillId="8" borderId="22" xfId="0" applyFont="1" applyFill="1" applyBorder="1" applyAlignment="1">
      <alignment horizontal="center" vertical="center"/>
    </xf>
    <xf numFmtId="0" fontId="21" fillId="10" borderId="47" xfId="0" applyFont="1" applyFill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 wrapText="1"/>
    </xf>
    <xf numFmtId="0" fontId="30" fillId="9" borderId="21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 wrapText="1"/>
    </xf>
    <xf numFmtId="20" fontId="29" fillId="10" borderId="4" xfId="0" applyNumberFormat="1" applyFont="1" applyFill="1" applyBorder="1" applyAlignment="1">
      <alignment horizontal="center" vertical="top"/>
    </xf>
    <xf numFmtId="20" fontId="29" fillId="10" borderId="72" xfId="0" applyNumberFormat="1" applyFont="1" applyFill="1" applyBorder="1" applyAlignment="1">
      <alignment horizontal="center" vertical="top"/>
    </xf>
    <xf numFmtId="0" fontId="28" fillId="10" borderId="10" xfId="0" applyFont="1" applyFill="1" applyBorder="1" applyAlignment="1">
      <alignment horizontal="center" vertical="center"/>
    </xf>
  </cellXfs>
  <cellStyles count="3">
    <cellStyle name="Normal 4 2 2" xfId="1" xr:uid="{57AFAC76-835F-4878-A916-49B6D83431E4}"/>
    <cellStyle name="Обычный" xfId="0" builtinId="0"/>
    <cellStyle name="Обычный 12" xfId="2" xr:uid="{E526545A-DE8F-43B0-A70D-9DD0F689A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0.7109375" customWidth="1"/>
  </cols>
  <sheetData>
    <row r="1" spans="1:21" ht="23.25" thickBot="1" x14ac:dyDescent="0.35">
      <c r="A1" s="339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20" t="s">
        <v>8</v>
      </c>
    </row>
    <row r="3" spans="1:21" ht="15.75" thickBot="1" x14ac:dyDescent="0.3">
      <c r="A3" s="343"/>
      <c r="B3" s="346"/>
      <c r="C3" s="349"/>
      <c r="D3" s="323" t="s">
        <v>9</v>
      </c>
      <c r="E3" s="325" t="s">
        <v>10</v>
      </c>
      <c r="F3" s="325"/>
      <c r="G3" s="325"/>
      <c r="H3" s="326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37" t="s">
        <v>13</v>
      </c>
      <c r="T3" s="337" t="s">
        <v>14</v>
      </c>
      <c r="U3" s="321"/>
    </row>
    <row r="4" spans="1:21" ht="15.75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27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38"/>
      <c r="T4" s="338"/>
      <c r="U4" s="322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1"/>
      <c r="I5" s="11"/>
      <c r="J5" s="12"/>
      <c r="K5" s="13"/>
      <c r="L5" s="14"/>
      <c r="M5" s="15"/>
      <c r="N5" s="316"/>
      <c r="O5" s="317"/>
      <c r="P5" s="317"/>
      <c r="Q5" s="317"/>
      <c r="R5" s="16" t="s">
        <v>19</v>
      </c>
      <c r="S5" s="17">
        <v>7</v>
      </c>
      <c r="T5" s="17">
        <v>7</v>
      </c>
      <c r="U5" s="18">
        <v>5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31"/>
      <c r="S6" s="32"/>
      <c r="T6" s="32"/>
      <c r="U6" s="33"/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36"/>
      <c r="I7" s="36"/>
      <c r="J7" s="27"/>
      <c r="K7" s="28"/>
      <c r="L7" s="29"/>
      <c r="M7" s="30"/>
      <c r="N7" s="302"/>
      <c r="O7" s="303"/>
      <c r="P7" s="303"/>
      <c r="Q7" s="303"/>
      <c r="R7" s="31"/>
      <c r="S7" s="32"/>
      <c r="T7" s="32"/>
      <c r="U7" s="33"/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 t="s">
        <v>23</v>
      </c>
      <c r="J8" s="27"/>
      <c r="K8" s="28"/>
      <c r="L8" s="29"/>
      <c r="M8" s="30"/>
      <c r="N8" s="302"/>
      <c r="O8" s="303"/>
      <c r="P8" s="303"/>
      <c r="Q8" s="303"/>
      <c r="R8" s="31"/>
      <c r="S8" s="32"/>
      <c r="T8" s="32"/>
      <c r="U8" s="33"/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36"/>
      <c r="I9" s="36"/>
      <c r="J9" s="27"/>
      <c r="K9" s="28"/>
      <c r="L9" s="29"/>
      <c r="M9" s="30"/>
      <c r="N9" s="302"/>
      <c r="O9" s="303"/>
      <c r="P9" s="303"/>
      <c r="Q9" s="303"/>
      <c r="R9" s="31"/>
      <c r="S9" s="32"/>
      <c r="T9" s="32"/>
      <c r="U9" s="33"/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31"/>
      <c r="S10" s="32"/>
      <c r="T10" s="32"/>
      <c r="U10" s="33"/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2"/>
      <c r="I11" s="42"/>
      <c r="J11" s="27"/>
      <c r="L11" s="29"/>
      <c r="M11" s="30"/>
      <c r="N11" s="302"/>
      <c r="O11" s="303"/>
      <c r="P11" s="303"/>
      <c r="Q11" s="303"/>
      <c r="R11" s="31"/>
      <c r="S11" s="32"/>
      <c r="T11" s="32"/>
      <c r="U11" s="33"/>
    </row>
    <row r="12" spans="1:21" x14ac:dyDescent="0.25">
      <c r="A12" s="43">
        <v>4</v>
      </c>
      <c r="B12" s="44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31"/>
      <c r="S12" s="32"/>
      <c r="T12" s="32"/>
      <c r="U12" s="33"/>
    </row>
    <row r="13" spans="1:21" x14ac:dyDescent="0.25">
      <c r="A13" s="47">
        <v>5</v>
      </c>
      <c r="B13" s="48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31"/>
      <c r="S13" s="32"/>
      <c r="T13" s="32"/>
      <c r="U13" s="33"/>
    </row>
    <row r="14" spans="1:21" x14ac:dyDescent="0.25">
      <c r="A14" s="47">
        <v>6</v>
      </c>
      <c r="B14" s="48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31"/>
      <c r="S14" s="32"/>
      <c r="T14" s="32"/>
      <c r="U14" s="33"/>
    </row>
    <row r="15" spans="1:21" x14ac:dyDescent="0.25">
      <c r="A15" s="47">
        <v>7</v>
      </c>
      <c r="B15" s="48" t="s">
        <v>30</v>
      </c>
      <c r="C15" s="49">
        <v>3</v>
      </c>
      <c r="D15" s="46">
        <v>2</v>
      </c>
      <c r="E15" s="27">
        <v>1</v>
      </c>
      <c r="F15" s="24"/>
      <c r="G15" s="29"/>
      <c r="H15" s="46">
        <v>1</v>
      </c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31"/>
      <c r="S15" s="32"/>
      <c r="T15" s="32"/>
      <c r="U15" s="33"/>
    </row>
    <row r="16" spans="1:21" x14ac:dyDescent="0.25">
      <c r="A16" s="47">
        <v>8</v>
      </c>
      <c r="B16" s="48" t="s">
        <v>31</v>
      </c>
      <c r="C16" s="45">
        <v>6</v>
      </c>
      <c r="D16" s="46">
        <v>3</v>
      </c>
      <c r="E16" s="27"/>
      <c r="F16" s="28">
        <v>2</v>
      </c>
      <c r="G16" s="29"/>
      <c r="H16" s="46">
        <v>1</v>
      </c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31"/>
      <c r="S16" s="32"/>
      <c r="T16" s="32"/>
      <c r="U16" s="33"/>
    </row>
    <row r="17" spans="1:21" x14ac:dyDescent="0.25">
      <c r="A17" s="51">
        <v>9</v>
      </c>
      <c r="B17" s="52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31"/>
      <c r="S17" s="32"/>
      <c r="T17" s="32"/>
      <c r="U17" s="33"/>
    </row>
    <row r="18" spans="1:21" ht="15.75" thickBot="1" x14ac:dyDescent="0.3">
      <c r="A18" s="53">
        <v>10</v>
      </c>
      <c r="B18" s="52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31"/>
      <c r="S18" s="32"/>
      <c r="T18" s="32"/>
      <c r="U18" s="33"/>
    </row>
    <row r="19" spans="1:21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2"/>
      <c r="I19" s="42"/>
      <c r="J19" s="27"/>
      <c r="K19" s="28"/>
      <c r="L19" s="29"/>
      <c r="M19" s="30"/>
      <c r="N19" s="302"/>
      <c r="O19" s="303"/>
      <c r="P19" s="303"/>
      <c r="Q19" s="303"/>
      <c r="R19" s="31"/>
      <c r="S19" s="32"/>
      <c r="T19" s="32"/>
      <c r="U19" s="33"/>
    </row>
    <row r="20" spans="1:21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31"/>
      <c r="S20" s="32"/>
      <c r="T20" s="32"/>
      <c r="U20" s="33"/>
    </row>
    <row r="21" spans="1:21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31"/>
      <c r="S21" s="32"/>
      <c r="T21" s="32"/>
      <c r="U21" s="33"/>
    </row>
    <row r="22" spans="1:21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31"/>
      <c r="S22" s="32"/>
      <c r="T22" s="32"/>
      <c r="U22" s="33"/>
    </row>
    <row r="23" spans="1:21" ht="15.75" thickBot="1" x14ac:dyDescent="0.3">
      <c r="A23" s="60">
        <v>14</v>
      </c>
      <c r="B23" s="61" t="s">
        <v>38</v>
      </c>
      <c r="C23" s="59">
        <v>7</v>
      </c>
      <c r="D23" s="46">
        <v>4</v>
      </c>
      <c r="E23" s="27"/>
      <c r="F23" s="28">
        <v>3</v>
      </c>
      <c r="G23" s="28"/>
      <c r="H23" s="46">
        <v>1</v>
      </c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31"/>
      <c r="S23" s="32"/>
      <c r="T23" s="32"/>
      <c r="U23" s="33"/>
    </row>
    <row r="24" spans="1:21" ht="15.75" thickBot="1" x14ac:dyDescent="0.3">
      <c r="A24" s="306" t="s">
        <v>39</v>
      </c>
      <c r="B24" s="307"/>
      <c r="C24" s="40"/>
      <c r="D24" s="40"/>
      <c r="E24" s="41"/>
      <c r="F24" s="28"/>
      <c r="G24" s="29"/>
      <c r="H24" s="42"/>
      <c r="I24" s="42"/>
      <c r="J24" s="27"/>
      <c r="K24" s="28"/>
      <c r="L24" s="29"/>
      <c r="M24" s="30"/>
      <c r="N24" s="302"/>
      <c r="O24" s="303"/>
      <c r="P24" s="303"/>
      <c r="Q24" s="303"/>
      <c r="R24" s="31"/>
      <c r="S24" s="32"/>
      <c r="T24" s="32"/>
      <c r="U24" s="33"/>
    </row>
    <row r="25" spans="1:21" x14ac:dyDescent="0.25">
      <c r="A25" s="62">
        <v>15</v>
      </c>
      <c r="B25" s="63" t="s">
        <v>40</v>
      </c>
      <c r="C25" s="45">
        <v>2</v>
      </c>
      <c r="D25" s="64">
        <v>2</v>
      </c>
      <c r="E25" s="65"/>
      <c r="F25" s="28">
        <v>1</v>
      </c>
      <c r="G25" s="66">
        <v>1</v>
      </c>
      <c r="H25" s="67"/>
      <c r="I25" s="68"/>
      <c r="J25" s="27"/>
      <c r="K25" s="28"/>
      <c r="L25" s="29"/>
      <c r="M25" s="30"/>
      <c r="N25" s="302"/>
      <c r="O25" s="303"/>
      <c r="P25" s="303"/>
      <c r="Q25" s="303"/>
      <c r="R25" s="31"/>
      <c r="S25" s="32"/>
      <c r="T25" s="32"/>
      <c r="U25" s="33"/>
    </row>
    <row r="26" spans="1:21" x14ac:dyDescent="0.25">
      <c r="A26" s="69">
        <v>16</v>
      </c>
      <c r="B26" s="38" t="s">
        <v>25</v>
      </c>
      <c r="C26" s="45"/>
      <c r="D26" s="64"/>
      <c r="E26" s="65"/>
      <c r="F26" s="28"/>
      <c r="G26" s="66"/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31"/>
      <c r="S26" s="32"/>
      <c r="T26" s="32"/>
      <c r="U26" s="33"/>
    </row>
    <row r="27" spans="1:21" x14ac:dyDescent="0.25">
      <c r="A27" s="70">
        <v>17</v>
      </c>
      <c r="B27" s="37" t="s">
        <v>41</v>
      </c>
      <c r="C27" s="71">
        <v>1</v>
      </c>
      <c r="D27" s="64">
        <v>1</v>
      </c>
      <c r="E27" s="72"/>
      <c r="F27" s="73"/>
      <c r="G27" s="66"/>
      <c r="H27" s="67">
        <v>1</v>
      </c>
      <c r="I27" s="74"/>
      <c r="J27" s="65"/>
      <c r="K27" s="75"/>
      <c r="L27" s="76"/>
      <c r="M27" s="77"/>
      <c r="N27" s="300"/>
      <c r="O27" s="301"/>
      <c r="P27" s="301"/>
      <c r="Q27" s="301"/>
      <c r="R27" s="31"/>
      <c r="S27" s="32"/>
      <c r="T27" s="32"/>
      <c r="U27" s="33"/>
    </row>
    <row r="28" spans="1:21" x14ac:dyDescent="0.25">
      <c r="A28" s="78">
        <v>18</v>
      </c>
      <c r="B28" s="79" t="s">
        <v>42</v>
      </c>
      <c r="C28" s="80">
        <v>2</v>
      </c>
      <c r="D28" s="81">
        <v>1</v>
      </c>
      <c r="E28" s="82">
        <v>1</v>
      </c>
      <c r="F28" s="83"/>
      <c r="G28" s="84"/>
      <c r="H28" s="85"/>
      <c r="I28" s="86">
        <v>1</v>
      </c>
      <c r="J28" s="82"/>
      <c r="K28" s="83">
        <v>1</v>
      </c>
      <c r="L28" s="87"/>
      <c r="M28" s="88"/>
      <c r="N28" s="304"/>
      <c r="O28" s="305"/>
      <c r="P28" s="305"/>
      <c r="Q28" s="305"/>
      <c r="R28" s="31"/>
      <c r="S28" s="32"/>
      <c r="T28" s="32"/>
      <c r="U28" s="33"/>
    </row>
    <row r="29" spans="1:21" x14ac:dyDescent="0.25">
      <c r="A29" s="279" t="s">
        <v>43</v>
      </c>
      <c r="B29" s="280"/>
      <c r="C29" s="89"/>
      <c r="D29" s="89"/>
      <c r="E29" s="90"/>
      <c r="F29" s="91"/>
      <c r="G29" s="92"/>
      <c r="H29" s="89"/>
      <c r="I29" s="89"/>
      <c r="J29" s="90"/>
      <c r="K29" s="93"/>
      <c r="L29" s="92"/>
      <c r="M29" s="94"/>
      <c r="N29" s="95"/>
      <c r="O29" s="95"/>
      <c r="P29" s="95"/>
      <c r="Q29" s="95"/>
      <c r="R29" s="31"/>
      <c r="S29" s="32"/>
      <c r="T29" s="32"/>
      <c r="U29" s="33"/>
    </row>
    <row r="30" spans="1:21" ht="15.75" thickBot="1" x14ac:dyDescent="0.3">
      <c r="A30" s="96">
        <v>24</v>
      </c>
      <c r="B30" s="97" t="s">
        <v>44</v>
      </c>
      <c r="C30" s="98">
        <v>4</v>
      </c>
      <c r="D30" s="99">
        <v>2</v>
      </c>
      <c r="E30" s="100"/>
      <c r="F30" s="39">
        <v>1</v>
      </c>
      <c r="G30" s="101"/>
      <c r="H30" s="46">
        <v>1</v>
      </c>
      <c r="I30" s="102">
        <v>2</v>
      </c>
      <c r="J30" s="100"/>
      <c r="K30" s="103">
        <v>1</v>
      </c>
      <c r="L30" s="101"/>
      <c r="M30" s="102">
        <v>1</v>
      </c>
      <c r="N30" s="104"/>
      <c r="O30" s="104"/>
      <c r="P30" s="104"/>
      <c r="Q30" s="104"/>
      <c r="R30" s="31"/>
      <c r="S30" s="32"/>
      <c r="T30" s="32"/>
      <c r="U30" s="33"/>
    </row>
    <row r="31" spans="1:21" ht="15.75" thickBot="1" x14ac:dyDescent="0.3">
      <c r="A31" s="105"/>
      <c r="B31" s="106" t="s">
        <v>45</v>
      </c>
      <c r="C31" s="107">
        <f>SUM(C5:C30)</f>
        <v>73</v>
      </c>
      <c r="D31" s="107">
        <v>42</v>
      </c>
      <c r="E31" s="108">
        <v>5</v>
      </c>
      <c r="F31" s="107">
        <v>30</v>
      </c>
      <c r="G31" s="109">
        <v>2</v>
      </c>
      <c r="H31" s="107">
        <v>5</v>
      </c>
      <c r="I31" s="107">
        <v>31</v>
      </c>
      <c r="J31" s="108">
        <v>1</v>
      </c>
      <c r="K31" s="107">
        <v>27</v>
      </c>
      <c r="L31" s="109">
        <v>2</v>
      </c>
      <c r="M31" s="107">
        <v>1</v>
      </c>
      <c r="N31" s="281"/>
      <c r="O31" s="282"/>
      <c r="P31" s="282"/>
      <c r="Q31" s="282"/>
      <c r="R31" s="31"/>
      <c r="S31" s="32"/>
      <c r="T31" s="32"/>
      <c r="U31" s="33"/>
    </row>
    <row r="32" spans="1:21" ht="15.75" customHeight="1" x14ac:dyDescent="0.25">
      <c r="A32" s="283" t="s">
        <v>46</v>
      </c>
      <c r="B32" s="284"/>
      <c r="C32" s="284"/>
      <c r="D32" s="284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31"/>
      <c r="S32" s="32"/>
      <c r="T32" s="32"/>
      <c r="U32" s="33"/>
    </row>
    <row r="33" spans="1:40" ht="15.75" thickBot="1" x14ac:dyDescent="0.3">
      <c r="A33" s="285"/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31"/>
      <c r="S33" s="32"/>
      <c r="T33" s="32"/>
      <c r="U33" s="33"/>
    </row>
    <row r="34" spans="1:40" ht="15" customHeight="1" x14ac:dyDescent="0.25">
      <c r="A34" s="287" t="s">
        <v>47</v>
      </c>
      <c r="B34" s="289" t="s">
        <v>48</v>
      </c>
      <c r="C34" s="291" t="s">
        <v>49</v>
      </c>
      <c r="D34" s="292"/>
      <c r="E34" s="291" t="s">
        <v>50</v>
      </c>
      <c r="F34" s="292"/>
      <c r="G34" s="291" t="s">
        <v>51</v>
      </c>
      <c r="H34" s="292"/>
      <c r="I34" s="295" t="s">
        <v>52</v>
      </c>
      <c r="J34" s="296"/>
      <c r="K34" s="296"/>
      <c r="L34" s="296"/>
      <c r="M34" s="296"/>
      <c r="N34" s="296"/>
      <c r="O34" s="296"/>
      <c r="P34" s="296"/>
      <c r="Q34" s="297" t="s">
        <v>53</v>
      </c>
      <c r="R34" s="31"/>
      <c r="S34" s="32"/>
      <c r="T34" s="32"/>
      <c r="U34" s="33"/>
    </row>
    <row r="35" spans="1:40" ht="15.75" thickBot="1" x14ac:dyDescent="0.3">
      <c r="A35" s="288"/>
      <c r="B35" s="290"/>
      <c r="C35" s="293"/>
      <c r="D35" s="294"/>
      <c r="E35" s="293"/>
      <c r="F35" s="294"/>
      <c r="G35" s="293"/>
      <c r="H35" s="294"/>
      <c r="I35" s="110" t="s">
        <v>54</v>
      </c>
      <c r="J35" s="110" t="s">
        <v>55</v>
      </c>
      <c r="K35" s="110" t="s">
        <v>56</v>
      </c>
      <c r="L35" s="110" t="s">
        <v>57</v>
      </c>
      <c r="M35" s="110" t="s">
        <v>58</v>
      </c>
      <c r="N35" s="110" t="s">
        <v>59</v>
      </c>
      <c r="O35" s="110" t="s">
        <v>60</v>
      </c>
      <c r="P35" s="111" t="s">
        <v>61</v>
      </c>
      <c r="Q35" s="298"/>
      <c r="R35" s="31"/>
      <c r="S35" s="112"/>
      <c r="T35" s="112"/>
      <c r="U35" s="113"/>
    </row>
    <row r="36" spans="1:40" s="123" customFormat="1" ht="16.5" thickBot="1" x14ac:dyDescent="0.3">
      <c r="A36" s="114">
        <v>7</v>
      </c>
      <c r="B36" s="115" t="s">
        <v>62</v>
      </c>
      <c r="C36" s="299" t="s">
        <v>63</v>
      </c>
      <c r="D36" s="299"/>
      <c r="E36" s="299" t="s">
        <v>64</v>
      </c>
      <c r="F36" s="299"/>
      <c r="G36" s="116">
        <v>0.35416666666666669</v>
      </c>
      <c r="H36" s="116">
        <v>0.39583333333333331</v>
      </c>
      <c r="I36" s="117">
        <v>1</v>
      </c>
      <c r="J36" s="117">
        <v>1</v>
      </c>
      <c r="K36" s="117">
        <v>1</v>
      </c>
      <c r="L36" s="117">
        <v>1</v>
      </c>
      <c r="M36" s="117">
        <v>1</v>
      </c>
      <c r="N36" s="117">
        <v>1</v>
      </c>
      <c r="O36" s="117"/>
      <c r="P36" s="118">
        <v>1</v>
      </c>
      <c r="Q36" s="119"/>
      <c r="R36" s="120" t="s">
        <v>65</v>
      </c>
      <c r="S36" s="121">
        <f>SUM(S5:S35)</f>
        <v>7</v>
      </c>
      <c r="T36" s="121"/>
      <c r="U36" s="122">
        <f>SUM(U5:U35)</f>
        <v>5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16.5" thickBot="1" x14ac:dyDescent="0.3">
      <c r="A37" s="124">
        <v>8</v>
      </c>
      <c r="B37" s="125" t="s">
        <v>68</v>
      </c>
      <c r="C37" s="275" t="s">
        <v>67</v>
      </c>
      <c r="D37" s="275"/>
      <c r="E37" s="274" t="s">
        <v>69</v>
      </c>
      <c r="F37" s="274"/>
      <c r="G37" s="127">
        <v>0.85416666666666663</v>
      </c>
      <c r="H37" s="127">
        <v>0.9375</v>
      </c>
      <c r="I37" s="126">
        <v>1</v>
      </c>
      <c r="J37" s="126">
        <v>1</v>
      </c>
      <c r="K37" s="126">
        <v>1</v>
      </c>
      <c r="L37" s="126">
        <v>1</v>
      </c>
      <c r="M37" s="126">
        <v>1</v>
      </c>
      <c r="N37" s="126">
        <v>1</v>
      </c>
      <c r="O37" s="126"/>
      <c r="P37" s="118">
        <v>1</v>
      </c>
      <c r="Q37" s="128"/>
    </row>
    <row r="38" spans="1:40" ht="15.75" x14ac:dyDescent="0.25">
      <c r="A38" s="114">
        <v>7</v>
      </c>
      <c r="B38" s="125" t="s">
        <v>63</v>
      </c>
      <c r="C38" s="275" t="s">
        <v>66</v>
      </c>
      <c r="D38" s="275"/>
      <c r="E38" s="274" t="s">
        <v>70</v>
      </c>
      <c r="F38" s="274"/>
      <c r="G38" s="127">
        <v>0.85416666666666663</v>
      </c>
      <c r="H38" s="127">
        <v>0.91666666666666663</v>
      </c>
      <c r="I38" s="126">
        <v>1</v>
      </c>
      <c r="J38" s="126">
        <v>1</v>
      </c>
      <c r="K38" s="126">
        <v>1</v>
      </c>
      <c r="L38" s="126">
        <v>1</v>
      </c>
      <c r="M38" s="126">
        <v>1</v>
      </c>
      <c r="N38" s="126">
        <v>1</v>
      </c>
      <c r="O38" s="126"/>
      <c r="P38" s="118">
        <v>1</v>
      </c>
      <c r="Q38" s="129"/>
    </row>
    <row r="39" spans="1:40" ht="15.75" x14ac:dyDescent="0.25">
      <c r="A39" s="124">
        <v>5</v>
      </c>
      <c r="B39" s="125" t="s">
        <v>72</v>
      </c>
      <c r="C39" s="275" t="s">
        <v>71</v>
      </c>
      <c r="D39" s="275"/>
      <c r="E39" s="274" t="s">
        <v>73</v>
      </c>
      <c r="F39" s="274"/>
      <c r="G39" s="127">
        <v>0.10416666666666667</v>
      </c>
      <c r="H39" s="127">
        <v>0.16666666666666666</v>
      </c>
      <c r="I39" s="141">
        <v>1</v>
      </c>
      <c r="J39" s="141">
        <v>1</v>
      </c>
      <c r="K39" s="141">
        <v>1</v>
      </c>
      <c r="L39" s="141">
        <v>1</v>
      </c>
      <c r="M39" s="141">
        <v>1</v>
      </c>
      <c r="N39" s="141">
        <v>1</v>
      </c>
      <c r="O39" s="141"/>
      <c r="P39" s="118">
        <v>1</v>
      </c>
      <c r="Q39" s="129"/>
    </row>
    <row r="40" spans="1:40" ht="15.75" x14ac:dyDescent="0.25">
      <c r="A40" s="124"/>
      <c r="B40" s="125"/>
      <c r="C40" s="275"/>
      <c r="D40" s="275"/>
      <c r="E40" s="274"/>
      <c r="F40" s="274"/>
      <c r="G40" s="127"/>
      <c r="H40" s="127"/>
      <c r="I40" s="130"/>
      <c r="J40" s="130"/>
      <c r="K40" s="130"/>
      <c r="L40" s="130"/>
      <c r="M40" s="130"/>
      <c r="N40" s="130"/>
      <c r="O40" s="130"/>
      <c r="P40" s="131"/>
      <c r="Q40" s="129"/>
    </row>
    <row r="41" spans="1:40" ht="15.75" x14ac:dyDescent="0.25">
      <c r="A41" s="132"/>
      <c r="B41" s="130"/>
      <c r="C41" s="274"/>
      <c r="D41" s="274"/>
      <c r="E41" s="274"/>
      <c r="F41" s="274"/>
      <c r="G41" s="127"/>
      <c r="H41" s="127"/>
      <c r="I41" s="130"/>
      <c r="J41" s="130"/>
      <c r="K41" s="130"/>
      <c r="L41" s="130"/>
      <c r="M41" s="130"/>
      <c r="N41" s="130"/>
      <c r="O41" s="130"/>
      <c r="P41" s="131"/>
      <c r="Q41" s="129"/>
    </row>
    <row r="42" spans="1:40" ht="15.75" x14ac:dyDescent="0.25">
      <c r="A42" s="124"/>
      <c r="B42" s="130"/>
      <c r="C42" s="275"/>
      <c r="D42" s="275"/>
      <c r="E42" s="278"/>
      <c r="F42" s="278"/>
      <c r="G42" s="127"/>
      <c r="H42" s="127"/>
      <c r="I42" s="130"/>
      <c r="J42" s="130"/>
      <c r="K42" s="130"/>
      <c r="L42" s="130"/>
      <c r="M42" s="130"/>
      <c r="N42" s="130"/>
      <c r="O42" s="130"/>
      <c r="P42" s="131"/>
      <c r="Q42" s="128"/>
    </row>
    <row r="43" spans="1:40" ht="15.75" x14ac:dyDescent="0.25">
      <c r="A43" s="124"/>
      <c r="B43" s="125"/>
      <c r="C43" s="275"/>
      <c r="D43" s="275"/>
      <c r="E43" s="274"/>
      <c r="F43" s="274"/>
      <c r="G43" s="127"/>
      <c r="H43" s="127"/>
      <c r="I43" s="130"/>
      <c r="J43" s="130"/>
      <c r="K43" s="130"/>
      <c r="L43" s="130"/>
      <c r="M43" s="130"/>
      <c r="N43" s="130"/>
      <c r="O43" s="130"/>
      <c r="P43" s="131"/>
      <c r="Q43" s="129"/>
    </row>
    <row r="44" spans="1:40" ht="15.75" x14ac:dyDescent="0.25">
      <c r="A44" s="124"/>
      <c r="B44" s="125"/>
      <c r="C44" s="275"/>
      <c r="D44" s="275"/>
      <c r="E44" s="274"/>
      <c r="F44" s="274"/>
      <c r="G44" s="127"/>
      <c r="H44" s="127"/>
      <c r="I44" s="130"/>
      <c r="J44" s="130"/>
      <c r="K44" s="130"/>
      <c r="L44" s="130"/>
      <c r="M44" s="130"/>
      <c r="N44" s="130"/>
      <c r="O44" s="130"/>
      <c r="P44" s="131"/>
      <c r="Q44" s="129"/>
    </row>
    <row r="45" spans="1:40" ht="15.75" x14ac:dyDescent="0.25">
      <c r="A45" s="124"/>
      <c r="B45" s="125"/>
      <c r="C45" s="275"/>
      <c r="D45" s="275"/>
      <c r="E45" s="274"/>
      <c r="F45" s="274"/>
      <c r="G45" s="127"/>
      <c r="H45" s="127"/>
      <c r="I45" s="130"/>
      <c r="J45" s="130"/>
      <c r="K45" s="130"/>
      <c r="L45" s="130"/>
      <c r="M45" s="130"/>
      <c r="N45" s="130"/>
      <c r="O45" s="130"/>
      <c r="P45" s="131"/>
      <c r="Q45" s="133"/>
    </row>
    <row r="46" spans="1:40" ht="16.5" thickBot="1" x14ac:dyDescent="0.3">
      <c r="A46" s="134"/>
      <c r="B46" s="135"/>
      <c r="C46" s="276"/>
      <c r="D46" s="276"/>
      <c r="E46" s="277"/>
      <c r="F46" s="277"/>
      <c r="G46" s="136"/>
      <c r="H46" s="136"/>
      <c r="I46" s="137"/>
      <c r="J46" s="137"/>
      <c r="K46" s="137"/>
      <c r="L46" s="137"/>
      <c r="M46" s="137"/>
      <c r="N46" s="137"/>
      <c r="O46" s="137"/>
      <c r="P46" s="138"/>
      <c r="Q46" s="139"/>
    </row>
    <row r="50" spans="7:7" x14ac:dyDescent="0.25">
      <c r="G50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2:Q12"/>
    <mergeCell ref="N13:Q13"/>
    <mergeCell ref="N14:Q14"/>
    <mergeCell ref="N15:Q15"/>
    <mergeCell ref="N16:Q16"/>
    <mergeCell ref="N8:Q8"/>
    <mergeCell ref="A9:B9"/>
    <mergeCell ref="N9:Q9"/>
    <mergeCell ref="N10:Q10"/>
    <mergeCell ref="A11:B11"/>
    <mergeCell ref="N11:Q11"/>
    <mergeCell ref="A24:B24"/>
    <mergeCell ref="N24:Q24"/>
    <mergeCell ref="N25:Q25"/>
    <mergeCell ref="N26:Q26"/>
    <mergeCell ref="N17:Q17"/>
    <mergeCell ref="A19:B19"/>
    <mergeCell ref="N19:Q19"/>
    <mergeCell ref="N20:Q20"/>
    <mergeCell ref="N21:Q21"/>
    <mergeCell ref="N22:Q22"/>
    <mergeCell ref="C36:D36"/>
    <mergeCell ref="E36:F36"/>
    <mergeCell ref="C37:D37"/>
    <mergeCell ref="N27:Q27"/>
    <mergeCell ref="N18:Q18"/>
    <mergeCell ref="N23:Q23"/>
    <mergeCell ref="N28:Q28"/>
    <mergeCell ref="E37:F37"/>
    <mergeCell ref="A29:B29"/>
    <mergeCell ref="N31:Q31"/>
    <mergeCell ref="A32:Q33"/>
    <mergeCell ref="A34:A35"/>
    <mergeCell ref="B34:B35"/>
    <mergeCell ref="C34:D35"/>
    <mergeCell ref="E34:F35"/>
    <mergeCell ref="G34:H35"/>
    <mergeCell ref="I34:P34"/>
    <mergeCell ref="Q34:Q35"/>
    <mergeCell ref="C39:D39"/>
    <mergeCell ref="E39:F39"/>
    <mergeCell ref="C40:D40"/>
    <mergeCell ref="E40:F40"/>
    <mergeCell ref="C38:D38"/>
    <mergeCell ref="E38:F38"/>
    <mergeCell ref="C41:D41"/>
    <mergeCell ref="E41:F41"/>
    <mergeCell ref="C45:D45"/>
    <mergeCell ref="E45:F45"/>
    <mergeCell ref="C46:D46"/>
    <mergeCell ref="E46:F46"/>
    <mergeCell ref="C42:D42"/>
    <mergeCell ref="E42:F42"/>
    <mergeCell ref="C43:D43"/>
    <mergeCell ref="E43:F43"/>
    <mergeCell ref="C44:D44"/>
    <mergeCell ref="E44:F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F95B-910C-4792-8C7C-B62FD09CD00D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135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85</v>
      </c>
      <c r="S5" s="187">
        <v>5</v>
      </c>
      <c r="T5" s="187">
        <v>5</v>
      </c>
      <c r="U5" s="188">
        <v>5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86</v>
      </c>
      <c r="S6" s="151">
        <v>5</v>
      </c>
      <c r="T6" s="151">
        <v>10</v>
      </c>
      <c r="U6" s="153">
        <v>4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87</v>
      </c>
      <c r="S7" s="151">
        <v>5</v>
      </c>
      <c r="T7" s="151">
        <v>15</v>
      </c>
      <c r="U7" s="153">
        <v>7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89</v>
      </c>
      <c r="S8" s="151">
        <v>5</v>
      </c>
      <c r="T8" s="151">
        <v>20</v>
      </c>
      <c r="U8" s="153">
        <v>4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90</v>
      </c>
      <c r="S9" s="151">
        <v>5</v>
      </c>
      <c r="T9" s="151">
        <v>25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91</v>
      </c>
      <c r="S10" s="151">
        <v>1</v>
      </c>
      <c r="T10" s="151">
        <v>26</v>
      </c>
      <c r="U10" s="153">
        <v>7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93</v>
      </c>
      <c r="S11" s="151">
        <v>6</v>
      </c>
      <c r="T11" s="151">
        <v>32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94</v>
      </c>
      <c r="S12" s="151">
        <v>10</v>
      </c>
      <c r="T12" s="151">
        <v>42</v>
      </c>
      <c r="U12" s="153">
        <v>3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95</v>
      </c>
      <c r="S13" s="151">
        <v>6</v>
      </c>
      <c r="T13" s="151">
        <v>48</v>
      </c>
      <c r="U13" s="153">
        <v>6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96</v>
      </c>
      <c r="S14" s="151">
        <v>6</v>
      </c>
      <c r="T14" s="151">
        <v>54</v>
      </c>
      <c r="U14" s="153">
        <v>7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/>
      <c r="G15" s="29"/>
      <c r="H15" s="46">
        <v>1</v>
      </c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97</v>
      </c>
      <c r="S15" s="151">
        <v>5</v>
      </c>
      <c r="T15" s="194">
        <v>59</v>
      </c>
      <c r="U15" s="153">
        <v>4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99</v>
      </c>
      <c r="S16" s="151">
        <v>5</v>
      </c>
      <c r="T16" s="151">
        <v>64</v>
      </c>
      <c r="U16" s="153">
        <v>8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100</v>
      </c>
      <c r="S17" s="151">
        <v>9</v>
      </c>
      <c r="T17" s="151">
        <v>73</v>
      </c>
      <c r="U17" s="153">
        <v>10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 t="s">
        <v>101</v>
      </c>
      <c r="S18" s="151">
        <v>9</v>
      </c>
      <c r="T18" s="151">
        <v>82</v>
      </c>
      <c r="U18" s="153">
        <v>8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 t="s">
        <v>102</v>
      </c>
      <c r="S19" s="151">
        <v>8</v>
      </c>
      <c r="T19" s="151">
        <v>90</v>
      </c>
      <c r="U19" s="153">
        <v>3</v>
      </c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 t="s">
        <v>103</v>
      </c>
      <c r="S20" s="151">
        <v>1</v>
      </c>
      <c r="T20" s="151">
        <v>91</v>
      </c>
      <c r="U20" s="153">
        <v>6</v>
      </c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 t="s">
        <v>106</v>
      </c>
      <c r="S21" s="151">
        <v>5</v>
      </c>
      <c r="T21" s="151">
        <v>96</v>
      </c>
      <c r="U21" s="153">
        <v>5</v>
      </c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/>
      <c r="G22" s="29"/>
      <c r="H22" s="46">
        <v>1</v>
      </c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 t="s">
        <v>110</v>
      </c>
      <c r="S22" s="151">
        <v>5</v>
      </c>
      <c r="T22" s="151">
        <v>101</v>
      </c>
      <c r="U22" s="153">
        <v>4</v>
      </c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 t="s">
        <v>111</v>
      </c>
      <c r="S23" s="151">
        <v>5</v>
      </c>
      <c r="T23" s="151">
        <v>106</v>
      </c>
      <c r="U23" s="153">
        <v>8</v>
      </c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 t="s">
        <v>115</v>
      </c>
      <c r="S24" s="151">
        <v>5</v>
      </c>
      <c r="T24" s="151">
        <v>111</v>
      </c>
      <c r="U24" s="153">
        <v>1</v>
      </c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 t="s">
        <v>118</v>
      </c>
      <c r="S25" s="151">
        <v>5</v>
      </c>
      <c r="T25" s="151">
        <v>116</v>
      </c>
      <c r="U25" s="153">
        <v>8</v>
      </c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 t="s">
        <v>123</v>
      </c>
      <c r="S26" s="151">
        <v>10</v>
      </c>
      <c r="T26" s="151">
        <v>126</v>
      </c>
      <c r="U26" s="153">
        <v>7</v>
      </c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 t="s">
        <v>130</v>
      </c>
      <c r="S27" s="151">
        <v>5</v>
      </c>
      <c r="T27" s="151">
        <v>131</v>
      </c>
      <c r="U27" s="153">
        <v>3</v>
      </c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 t="s">
        <v>143</v>
      </c>
      <c r="S28" s="151">
        <v>5</v>
      </c>
      <c r="T28" s="151">
        <v>136</v>
      </c>
      <c r="U28" s="153">
        <v>6</v>
      </c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195"/>
      <c r="O29" s="196"/>
      <c r="P29" s="196"/>
      <c r="Q29" s="196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30</v>
      </c>
      <c r="G30" s="109">
        <v>2</v>
      </c>
      <c r="H30" s="160">
        <v>3</v>
      </c>
      <c r="I30" s="177">
        <v>31</v>
      </c>
      <c r="J30" s="108">
        <v>6</v>
      </c>
      <c r="K30" s="107">
        <v>22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134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31"/>
      <c r="S31" s="151"/>
      <c r="T31" s="151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31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31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31"/>
      <c r="S34" s="151"/>
      <c r="T34" s="151"/>
      <c r="U34" s="153"/>
    </row>
    <row r="35" spans="1:40" s="123" customFormat="1" ht="16.5" thickBot="1" x14ac:dyDescent="0.3">
      <c r="A35" s="161" t="s">
        <v>76</v>
      </c>
      <c r="B35" s="199" t="s">
        <v>126</v>
      </c>
      <c r="C35" s="361" t="s">
        <v>136</v>
      </c>
      <c r="D35" s="362"/>
      <c r="E35" s="367" t="s">
        <v>107</v>
      </c>
      <c r="F35" s="367"/>
      <c r="G35" s="193" t="s">
        <v>84</v>
      </c>
      <c r="H35" s="193" t="s">
        <v>129</v>
      </c>
      <c r="I35" s="147"/>
      <c r="J35" s="147"/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4</v>
      </c>
      <c r="B36" s="198" t="s">
        <v>137</v>
      </c>
      <c r="C36" s="361" t="s">
        <v>138</v>
      </c>
      <c r="D36" s="362"/>
      <c r="E36" s="367" t="s">
        <v>116</v>
      </c>
      <c r="F36" s="367"/>
      <c r="G36" s="193" t="s">
        <v>121</v>
      </c>
      <c r="H36" s="193" t="s">
        <v>75</v>
      </c>
      <c r="I36" s="147">
        <v>1</v>
      </c>
      <c r="J36" s="147">
        <v>2</v>
      </c>
      <c r="K36" s="147"/>
      <c r="L36" s="147">
        <v>1</v>
      </c>
      <c r="M36" s="147">
        <v>1</v>
      </c>
      <c r="N36" s="147">
        <v>1</v>
      </c>
      <c r="O36" s="147"/>
      <c r="P36" s="147">
        <v>1</v>
      </c>
      <c r="Q36" s="178"/>
      <c r="R36" s="191" t="s">
        <v>74</v>
      </c>
      <c r="S36" s="154">
        <f>SUM(S5:S35)</f>
        <v>136</v>
      </c>
      <c r="T36" s="192"/>
      <c r="U36" s="185">
        <f>SUM(U5:U35)</f>
        <v>134</v>
      </c>
    </row>
    <row r="37" spans="1:40" ht="15.75" x14ac:dyDescent="0.25">
      <c r="A37" s="161">
        <v>9</v>
      </c>
      <c r="B37" s="198" t="s">
        <v>128</v>
      </c>
      <c r="C37" s="361" t="s">
        <v>114</v>
      </c>
      <c r="D37" s="362"/>
      <c r="E37" s="367" t="s">
        <v>139</v>
      </c>
      <c r="F37" s="367"/>
      <c r="G37" s="193" t="s">
        <v>121</v>
      </c>
      <c r="H37" s="193" t="s">
        <v>75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/>
      <c r="P37" s="147">
        <v>1</v>
      </c>
      <c r="Q37" s="156"/>
    </row>
    <row r="38" spans="1:40" ht="18" customHeight="1" x14ac:dyDescent="0.25">
      <c r="A38" s="161">
        <v>1</v>
      </c>
      <c r="B38" s="198" t="s">
        <v>124</v>
      </c>
      <c r="C38" s="361" t="s">
        <v>140</v>
      </c>
      <c r="D38" s="362"/>
      <c r="E38" s="367" t="s">
        <v>131</v>
      </c>
      <c r="F38" s="367"/>
      <c r="G38" s="193" t="s">
        <v>88</v>
      </c>
      <c r="H38" s="193" t="s">
        <v>75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/>
      <c r="P38" s="147">
        <v>1</v>
      </c>
      <c r="Q38" s="131"/>
    </row>
    <row r="39" spans="1:40" ht="18.75" customHeight="1" x14ac:dyDescent="0.25">
      <c r="A39" s="143">
        <v>3</v>
      </c>
      <c r="B39" s="199" t="s">
        <v>119</v>
      </c>
      <c r="C39" s="361" t="s">
        <v>109</v>
      </c>
      <c r="D39" s="362"/>
      <c r="E39" s="367" t="s">
        <v>141</v>
      </c>
      <c r="F39" s="367"/>
      <c r="G39" s="193">
        <v>0.41666666666666669</v>
      </c>
      <c r="H39" s="193">
        <v>0.47916666666666669</v>
      </c>
      <c r="I39" s="147">
        <v>1</v>
      </c>
      <c r="J39" s="147">
        <v>2</v>
      </c>
      <c r="K39" s="147"/>
      <c r="L39" s="147">
        <v>1</v>
      </c>
      <c r="M39" s="147">
        <v>1</v>
      </c>
      <c r="N39" s="147">
        <v>1</v>
      </c>
      <c r="O39" s="147"/>
      <c r="P39" s="147">
        <v>1</v>
      </c>
      <c r="Q39" s="131"/>
      <c r="X39" s="181"/>
    </row>
    <row r="40" spans="1:40" ht="17.25" customHeight="1" x14ac:dyDescent="0.25">
      <c r="A40" s="161">
        <v>2</v>
      </c>
      <c r="B40" s="198" t="s">
        <v>127</v>
      </c>
      <c r="C40" s="361" t="s">
        <v>142</v>
      </c>
      <c r="D40" s="362"/>
      <c r="E40" s="367" t="s">
        <v>107</v>
      </c>
      <c r="F40" s="367"/>
      <c r="G40" s="193">
        <v>0.41666666666666669</v>
      </c>
      <c r="H40" s="193">
        <v>0.45833333333333331</v>
      </c>
      <c r="I40" s="147">
        <v>1</v>
      </c>
      <c r="J40" s="147">
        <v>1</v>
      </c>
      <c r="K40" s="147">
        <v>1</v>
      </c>
      <c r="L40" s="147">
        <v>1</v>
      </c>
      <c r="M40" s="147">
        <v>1</v>
      </c>
      <c r="N40" s="147">
        <v>1</v>
      </c>
      <c r="O40" s="147"/>
      <c r="P40" s="147">
        <v>1</v>
      </c>
      <c r="Q40" s="182"/>
      <c r="X40" s="181"/>
    </row>
    <row r="41" spans="1:40" ht="15.75" x14ac:dyDescent="0.25">
      <c r="A41" s="143"/>
      <c r="B41" s="198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43"/>
      <c r="B42" s="193"/>
      <c r="C42" s="368"/>
      <c r="D42" s="368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197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BFCC-8575-4951-B734-0139F39012CD}">
  <dimension ref="A1:AN47"/>
  <sheetViews>
    <sheetView workbookViewId="0">
      <selection activeCell="J12" sqref="J12:M30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144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85</v>
      </c>
      <c r="S5" s="187">
        <v>5</v>
      </c>
      <c r="T5" s="187">
        <v>5</v>
      </c>
      <c r="U5" s="188">
        <v>5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86</v>
      </c>
      <c r="S6" s="151">
        <v>5</v>
      </c>
      <c r="T6" s="151">
        <v>10</v>
      </c>
      <c r="U6" s="153">
        <v>4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87</v>
      </c>
      <c r="S7" s="151">
        <v>5</v>
      </c>
      <c r="T7" s="151">
        <v>15</v>
      </c>
      <c r="U7" s="153">
        <v>7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89</v>
      </c>
      <c r="S8" s="151">
        <v>5</v>
      </c>
      <c r="T8" s="151">
        <v>20</v>
      </c>
      <c r="U8" s="153">
        <v>4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90</v>
      </c>
      <c r="S9" s="151">
        <v>5</v>
      </c>
      <c r="T9" s="151">
        <v>25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91</v>
      </c>
      <c r="S10" s="151">
        <v>1</v>
      </c>
      <c r="T10" s="151">
        <v>26</v>
      </c>
      <c r="U10" s="153">
        <v>7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93</v>
      </c>
      <c r="S11" s="151">
        <v>6</v>
      </c>
      <c r="T11" s="151">
        <v>32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94</v>
      </c>
      <c r="S12" s="151">
        <v>10</v>
      </c>
      <c r="T12" s="151">
        <v>42</v>
      </c>
      <c r="U12" s="153">
        <v>3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95</v>
      </c>
      <c r="S13" s="151">
        <v>6</v>
      </c>
      <c r="T13" s="151">
        <v>48</v>
      </c>
      <c r="U13" s="153">
        <v>6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96</v>
      </c>
      <c r="S14" s="151">
        <v>6</v>
      </c>
      <c r="T14" s="151">
        <v>54</v>
      </c>
      <c r="U14" s="153">
        <v>7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/>
      <c r="G15" s="29"/>
      <c r="H15" s="46">
        <v>1</v>
      </c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97</v>
      </c>
      <c r="S15" s="151">
        <v>5</v>
      </c>
      <c r="T15" s="194">
        <v>59</v>
      </c>
      <c r="U15" s="153">
        <v>4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99</v>
      </c>
      <c r="S16" s="151">
        <v>5</v>
      </c>
      <c r="T16" s="151">
        <v>64</v>
      </c>
      <c r="U16" s="153">
        <v>8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100</v>
      </c>
      <c r="S17" s="151">
        <v>9</v>
      </c>
      <c r="T17" s="151">
        <v>73</v>
      </c>
      <c r="U17" s="153">
        <v>10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 t="s">
        <v>101</v>
      </c>
      <c r="S18" s="151">
        <v>9</v>
      </c>
      <c r="T18" s="151">
        <v>82</v>
      </c>
      <c r="U18" s="153">
        <v>8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 t="s">
        <v>102</v>
      </c>
      <c r="S19" s="151">
        <v>8</v>
      </c>
      <c r="T19" s="151">
        <v>90</v>
      </c>
      <c r="U19" s="153">
        <v>3</v>
      </c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 t="s">
        <v>103</v>
      </c>
      <c r="S20" s="151">
        <v>1</v>
      </c>
      <c r="T20" s="151">
        <v>91</v>
      </c>
      <c r="U20" s="153">
        <v>6</v>
      </c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 t="s">
        <v>106</v>
      </c>
      <c r="S21" s="151">
        <v>5</v>
      </c>
      <c r="T21" s="151">
        <v>96</v>
      </c>
      <c r="U21" s="153">
        <v>5</v>
      </c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 t="s">
        <v>110</v>
      </c>
      <c r="S22" s="151">
        <v>5</v>
      </c>
      <c r="T22" s="151">
        <v>101</v>
      </c>
      <c r="U22" s="153">
        <v>4</v>
      </c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2</v>
      </c>
      <c r="G23" s="28"/>
      <c r="H23" s="46">
        <v>1</v>
      </c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 t="s">
        <v>111</v>
      </c>
      <c r="S23" s="151">
        <v>5</v>
      </c>
      <c r="T23" s="151">
        <v>106</v>
      </c>
      <c r="U23" s="153">
        <v>8</v>
      </c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 t="s">
        <v>115</v>
      </c>
      <c r="S24" s="151">
        <v>5</v>
      </c>
      <c r="T24" s="151">
        <v>111</v>
      </c>
      <c r="U24" s="153">
        <v>1</v>
      </c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 t="s">
        <v>118</v>
      </c>
      <c r="S25" s="151">
        <v>5</v>
      </c>
      <c r="T25" s="151">
        <v>116</v>
      </c>
      <c r="U25" s="153">
        <v>8</v>
      </c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 t="s">
        <v>123</v>
      </c>
      <c r="S26" s="151">
        <v>10</v>
      </c>
      <c r="T26" s="151">
        <v>126</v>
      </c>
      <c r="U26" s="153">
        <v>7</v>
      </c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 t="s">
        <v>130</v>
      </c>
      <c r="S27" s="151">
        <v>5</v>
      </c>
      <c r="T27" s="151">
        <v>131</v>
      </c>
      <c r="U27" s="153">
        <v>3</v>
      </c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 t="s">
        <v>143</v>
      </c>
      <c r="S28" s="151">
        <v>5</v>
      </c>
      <c r="T28" s="151">
        <v>136</v>
      </c>
      <c r="U28" s="153">
        <v>6</v>
      </c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00"/>
      <c r="O29" s="201"/>
      <c r="P29" s="201"/>
      <c r="Q29" s="201"/>
      <c r="R29" s="150" t="s">
        <v>147</v>
      </c>
      <c r="S29" s="151">
        <v>5</v>
      </c>
      <c r="T29" s="151">
        <v>141</v>
      </c>
      <c r="U29" s="153">
        <v>7</v>
      </c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30</v>
      </c>
      <c r="G30" s="109">
        <v>2</v>
      </c>
      <c r="H30" s="160">
        <v>3</v>
      </c>
      <c r="I30" s="177">
        <v>31</v>
      </c>
      <c r="J30" s="108">
        <v>6</v>
      </c>
      <c r="K30" s="107">
        <v>22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145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31"/>
      <c r="S31" s="151"/>
      <c r="T31" s="151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31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31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31"/>
      <c r="S34" s="151"/>
      <c r="T34" s="151"/>
      <c r="U34" s="153"/>
    </row>
    <row r="35" spans="1:40" s="123" customFormat="1" ht="16.5" thickBot="1" x14ac:dyDescent="0.3">
      <c r="A35" s="161">
        <v>1</v>
      </c>
      <c r="B35" s="204" t="s">
        <v>140</v>
      </c>
      <c r="C35" s="361" t="s">
        <v>146</v>
      </c>
      <c r="D35" s="362"/>
      <c r="E35" s="367" t="s">
        <v>113</v>
      </c>
      <c r="F35" s="367"/>
      <c r="G35" s="193">
        <v>0.54166666666666663</v>
      </c>
      <c r="H35" s="193">
        <v>0.58333333333333337</v>
      </c>
      <c r="I35" s="147">
        <v>1</v>
      </c>
      <c r="J35" s="147">
        <v>2</v>
      </c>
      <c r="K35" s="147"/>
      <c r="L35" s="147">
        <v>1</v>
      </c>
      <c r="M35" s="147">
        <v>1</v>
      </c>
      <c r="N35" s="147">
        <v>1</v>
      </c>
      <c r="O35" s="147"/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7</v>
      </c>
      <c r="B36" s="203" t="s">
        <v>104</v>
      </c>
      <c r="C36" s="361" t="s">
        <v>148</v>
      </c>
      <c r="D36" s="362"/>
      <c r="E36" s="367" t="s">
        <v>81</v>
      </c>
      <c r="F36" s="367"/>
      <c r="G36" s="193">
        <v>0.58333333333333337</v>
      </c>
      <c r="H36" s="193">
        <v>0.625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78"/>
      <c r="R36" s="191" t="s">
        <v>74</v>
      </c>
      <c r="S36" s="154">
        <f>SUM(S5:S35)</f>
        <v>141</v>
      </c>
      <c r="T36" s="192"/>
      <c r="U36" s="185">
        <f>SUM(U5:U35)</f>
        <v>141</v>
      </c>
    </row>
    <row r="37" spans="1:40" ht="15.75" x14ac:dyDescent="0.25">
      <c r="A37" s="161">
        <v>2</v>
      </c>
      <c r="B37" s="203" t="s">
        <v>142</v>
      </c>
      <c r="C37" s="361" t="s">
        <v>149</v>
      </c>
      <c r="D37" s="362"/>
      <c r="E37" s="367" t="s">
        <v>125</v>
      </c>
      <c r="F37" s="367"/>
      <c r="G37" s="193">
        <v>0.64583333333333337</v>
      </c>
      <c r="H37" s="193">
        <v>0.70833333333333337</v>
      </c>
      <c r="I37" s="147">
        <v>1</v>
      </c>
      <c r="J37" s="147">
        <v>2</v>
      </c>
      <c r="K37" s="147"/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56"/>
    </row>
    <row r="38" spans="1:40" ht="18" customHeight="1" x14ac:dyDescent="0.25">
      <c r="A38" s="161">
        <v>9</v>
      </c>
      <c r="B38" s="203" t="s">
        <v>114</v>
      </c>
      <c r="C38" s="361" t="s">
        <v>150</v>
      </c>
      <c r="D38" s="362"/>
      <c r="E38" s="367" t="s">
        <v>131</v>
      </c>
      <c r="F38" s="367"/>
      <c r="G38" s="193">
        <v>0.72916666666666663</v>
      </c>
      <c r="H38" s="193">
        <v>0.77083333333333337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31"/>
    </row>
    <row r="39" spans="1:40" ht="18.75" customHeight="1" x14ac:dyDescent="0.25">
      <c r="A39" s="143" t="s">
        <v>83</v>
      </c>
      <c r="B39" s="204" t="s">
        <v>151</v>
      </c>
      <c r="C39" s="361" t="s">
        <v>152</v>
      </c>
      <c r="D39" s="362"/>
      <c r="E39" s="367" t="s">
        <v>82</v>
      </c>
      <c r="F39" s="367"/>
      <c r="G39" s="193">
        <v>0.83333333333333337</v>
      </c>
      <c r="H39" s="193">
        <v>0.875</v>
      </c>
      <c r="I39" s="147">
        <v>1</v>
      </c>
      <c r="J39" s="147">
        <v>2</v>
      </c>
      <c r="K39" s="147"/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61" t="s">
        <v>132</v>
      </c>
      <c r="B40" s="203" t="s">
        <v>133</v>
      </c>
      <c r="C40" s="361" t="s">
        <v>153</v>
      </c>
      <c r="D40" s="362"/>
      <c r="E40" s="367" t="s">
        <v>107</v>
      </c>
      <c r="F40" s="367"/>
      <c r="G40" s="193">
        <v>0.83333333333333337</v>
      </c>
      <c r="H40" s="193">
        <v>0.875</v>
      </c>
      <c r="I40" s="147"/>
      <c r="J40" s="147"/>
      <c r="K40" s="147">
        <v>1</v>
      </c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43" t="s">
        <v>108</v>
      </c>
      <c r="B41" s="203" t="s">
        <v>109</v>
      </c>
      <c r="C41" s="361" t="s">
        <v>154</v>
      </c>
      <c r="D41" s="362"/>
      <c r="E41" s="367" t="s">
        <v>120</v>
      </c>
      <c r="F41" s="367"/>
      <c r="G41" s="193">
        <v>0.9375</v>
      </c>
      <c r="H41" s="193" t="s">
        <v>77</v>
      </c>
      <c r="I41" s="147">
        <v>1</v>
      </c>
      <c r="J41" s="147">
        <v>2</v>
      </c>
      <c r="K41" s="147"/>
      <c r="L41" s="147">
        <v>1</v>
      </c>
      <c r="M41" s="147">
        <v>1</v>
      </c>
      <c r="N41" s="147">
        <v>1</v>
      </c>
      <c r="O41" s="147">
        <v>1</v>
      </c>
      <c r="P41" s="147">
        <v>1</v>
      </c>
      <c r="Q41" s="131"/>
    </row>
    <row r="42" spans="1:40" ht="18.600000000000001" customHeight="1" x14ac:dyDescent="0.25">
      <c r="A42" s="143"/>
      <c r="B42" s="193"/>
      <c r="C42" s="368"/>
      <c r="D42" s="368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02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6BFA-3A6E-4978-A945-55F27642ACCF}">
  <dimension ref="A1:AN47"/>
  <sheetViews>
    <sheetView workbookViewId="0">
      <selection activeCell="J12" sqref="J12:M30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156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85</v>
      </c>
      <c r="S5" s="187">
        <v>5</v>
      </c>
      <c r="T5" s="187">
        <v>5</v>
      </c>
      <c r="U5" s="188">
        <v>5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86</v>
      </c>
      <c r="S6" s="151">
        <v>5</v>
      </c>
      <c r="T6" s="151">
        <v>10</v>
      </c>
      <c r="U6" s="153">
        <v>4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87</v>
      </c>
      <c r="S7" s="151">
        <v>5</v>
      </c>
      <c r="T7" s="151">
        <v>15</v>
      </c>
      <c r="U7" s="153">
        <v>7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89</v>
      </c>
      <c r="S8" s="151">
        <v>5</v>
      </c>
      <c r="T8" s="151">
        <v>20</v>
      </c>
      <c r="U8" s="153">
        <v>4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90</v>
      </c>
      <c r="S9" s="151">
        <v>5</v>
      </c>
      <c r="T9" s="151">
        <v>25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91</v>
      </c>
      <c r="S10" s="151">
        <v>1</v>
      </c>
      <c r="T10" s="151">
        <v>26</v>
      </c>
      <c r="U10" s="153">
        <v>7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93</v>
      </c>
      <c r="S11" s="151">
        <v>6</v>
      </c>
      <c r="T11" s="151">
        <v>32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94</v>
      </c>
      <c r="S12" s="151">
        <v>10</v>
      </c>
      <c r="T12" s="151">
        <v>42</v>
      </c>
      <c r="U12" s="153">
        <v>3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95</v>
      </c>
      <c r="S13" s="151">
        <v>6</v>
      </c>
      <c r="T13" s="151">
        <v>48</v>
      </c>
      <c r="U13" s="153">
        <v>6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2</v>
      </c>
      <c r="G14" s="29"/>
      <c r="H14" s="46">
        <v>1</v>
      </c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96</v>
      </c>
      <c r="S14" s="151">
        <v>6</v>
      </c>
      <c r="T14" s="151">
        <v>54</v>
      </c>
      <c r="U14" s="153">
        <v>7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/>
      <c r="G15" s="29"/>
      <c r="H15" s="46">
        <v>1</v>
      </c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97</v>
      </c>
      <c r="S15" s="151">
        <v>5</v>
      </c>
      <c r="T15" s="194">
        <v>59</v>
      </c>
      <c r="U15" s="153">
        <v>4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99</v>
      </c>
      <c r="S16" s="151">
        <v>5</v>
      </c>
      <c r="T16" s="151">
        <v>64</v>
      </c>
      <c r="U16" s="153">
        <v>8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/>
      <c r="G17" s="29"/>
      <c r="H17" s="46">
        <v>1</v>
      </c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100</v>
      </c>
      <c r="S17" s="151">
        <v>9</v>
      </c>
      <c r="T17" s="151">
        <v>73</v>
      </c>
      <c r="U17" s="153">
        <v>10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 t="s">
        <v>101</v>
      </c>
      <c r="S18" s="151">
        <v>9</v>
      </c>
      <c r="T18" s="151">
        <v>82</v>
      </c>
      <c r="U18" s="153">
        <v>8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 t="s">
        <v>102</v>
      </c>
      <c r="S19" s="151">
        <v>8</v>
      </c>
      <c r="T19" s="151">
        <v>90</v>
      </c>
      <c r="U19" s="153">
        <v>3</v>
      </c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 t="s">
        <v>103</v>
      </c>
      <c r="S20" s="151">
        <v>1</v>
      </c>
      <c r="T20" s="151">
        <v>91</v>
      </c>
      <c r="U20" s="153">
        <v>6</v>
      </c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 t="s">
        <v>106</v>
      </c>
      <c r="S21" s="151">
        <v>5</v>
      </c>
      <c r="T21" s="151">
        <v>96</v>
      </c>
      <c r="U21" s="153">
        <v>5</v>
      </c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/>
      <c r="G22" s="29"/>
      <c r="H22" s="46">
        <v>1</v>
      </c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 t="s">
        <v>110</v>
      </c>
      <c r="S22" s="151">
        <v>5</v>
      </c>
      <c r="T22" s="151">
        <v>101</v>
      </c>
      <c r="U22" s="153">
        <v>4</v>
      </c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 t="s">
        <v>111</v>
      </c>
      <c r="S23" s="151">
        <v>5</v>
      </c>
      <c r="T23" s="151">
        <v>106</v>
      </c>
      <c r="U23" s="153">
        <v>8</v>
      </c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 t="s">
        <v>115</v>
      </c>
      <c r="S24" s="151">
        <v>5</v>
      </c>
      <c r="T24" s="151">
        <v>111</v>
      </c>
      <c r="U24" s="153">
        <v>1</v>
      </c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 t="s">
        <v>118</v>
      </c>
      <c r="S25" s="151">
        <v>5</v>
      </c>
      <c r="T25" s="151">
        <v>116</v>
      </c>
      <c r="U25" s="153">
        <v>8</v>
      </c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 t="s">
        <v>123</v>
      </c>
      <c r="S26" s="151">
        <v>10</v>
      </c>
      <c r="T26" s="151">
        <v>126</v>
      </c>
      <c r="U26" s="153">
        <v>7</v>
      </c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 t="s">
        <v>130</v>
      </c>
      <c r="S27" s="151">
        <v>5</v>
      </c>
      <c r="T27" s="151">
        <v>131</v>
      </c>
      <c r="U27" s="153">
        <v>3</v>
      </c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 t="s">
        <v>143</v>
      </c>
      <c r="S28" s="151">
        <v>5</v>
      </c>
      <c r="T28" s="151">
        <v>136</v>
      </c>
      <c r="U28" s="153">
        <v>6</v>
      </c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05"/>
      <c r="O29" s="206"/>
      <c r="P29" s="206"/>
      <c r="Q29" s="206"/>
      <c r="R29" s="150" t="s">
        <v>147</v>
      </c>
      <c r="S29" s="151">
        <v>5</v>
      </c>
      <c r="T29" s="151">
        <v>141</v>
      </c>
      <c r="U29" s="153">
        <v>7</v>
      </c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26</v>
      </c>
      <c r="G30" s="109">
        <v>2</v>
      </c>
      <c r="H30" s="160">
        <v>7</v>
      </c>
      <c r="I30" s="177">
        <v>31</v>
      </c>
      <c r="J30" s="108">
        <v>6</v>
      </c>
      <c r="K30" s="107">
        <v>21</v>
      </c>
      <c r="L30" s="109">
        <v>2</v>
      </c>
      <c r="M30" s="107">
        <v>2</v>
      </c>
      <c r="N30" s="281"/>
      <c r="O30" s="282"/>
      <c r="P30" s="282"/>
      <c r="Q30" s="282"/>
      <c r="R30" s="150" t="s">
        <v>165</v>
      </c>
      <c r="S30" s="151">
        <v>1</v>
      </c>
      <c r="T30" s="154">
        <v>142</v>
      </c>
      <c r="U30" s="153">
        <v>3</v>
      </c>
    </row>
    <row r="31" spans="1:28" ht="15.75" customHeight="1" x14ac:dyDescent="0.25">
      <c r="A31" s="283" t="s">
        <v>155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31"/>
      <c r="S31" s="151"/>
      <c r="T31" s="151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31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31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31"/>
      <c r="S34" s="151"/>
      <c r="T34" s="151"/>
      <c r="U34" s="153"/>
    </row>
    <row r="35" spans="1:40" s="123" customFormat="1" ht="16.5" thickBot="1" x14ac:dyDescent="0.3">
      <c r="A35" s="161" t="s">
        <v>78</v>
      </c>
      <c r="B35" s="208" t="s">
        <v>150</v>
      </c>
      <c r="C35" s="361" t="s">
        <v>159</v>
      </c>
      <c r="D35" s="362"/>
      <c r="E35" s="367" t="s">
        <v>160</v>
      </c>
      <c r="F35" s="367"/>
      <c r="G35" s="193" t="s">
        <v>117</v>
      </c>
      <c r="H35" s="193" t="s">
        <v>161</v>
      </c>
      <c r="I35" s="147"/>
      <c r="J35" s="147"/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 t="s">
        <v>105</v>
      </c>
      <c r="B36" s="210" t="s">
        <v>122</v>
      </c>
      <c r="C36" s="361" t="s">
        <v>158</v>
      </c>
      <c r="D36" s="362"/>
      <c r="E36" s="363" t="s">
        <v>164</v>
      </c>
      <c r="F36" s="364"/>
      <c r="G36" s="193" t="s">
        <v>162</v>
      </c>
      <c r="H36" s="193" t="s">
        <v>163</v>
      </c>
      <c r="I36" s="147">
        <v>1</v>
      </c>
      <c r="J36" s="147">
        <v>2</v>
      </c>
      <c r="K36" s="147"/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78"/>
      <c r="R36" s="191" t="s">
        <v>74</v>
      </c>
      <c r="S36" s="154">
        <f>SUM(S5:S35)</f>
        <v>142</v>
      </c>
      <c r="T36" s="192"/>
      <c r="U36" s="185">
        <f>SUM(U5:U35)</f>
        <v>144</v>
      </c>
    </row>
    <row r="37" spans="1:40" ht="15.75" x14ac:dyDescent="0.25">
      <c r="A37" s="161" t="s">
        <v>76</v>
      </c>
      <c r="B37" s="211" t="s">
        <v>136</v>
      </c>
      <c r="C37" s="361" t="s">
        <v>157</v>
      </c>
      <c r="D37" s="362"/>
      <c r="E37" s="363" t="s">
        <v>112</v>
      </c>
      <c r="F37" s="364"/>
      <c r="G37" s="193" t="s">
        <v>79</v>
      </c>
      <c r="H37" s="193" t="s">
        <v>80</v>
      </c>
      <c r="I37" s="147">
        <v>1</v>
      </c>
      <c r="J37" s="147">
        <v>2</v>
      </c>
      <c r="K37" s="147"/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56"/>
    </row>
    <row r="38" spans="1:40" ht="18" customHeight="1" x14ac:dyDescent="0.25">
      <c r="A38" s="143"/>
      <c r="B38" s="211"/>
      <c r="C38" s="361"/>
      <c r="D38" s="362"/>
      <c r="E38" s="367"/>
      <c r="F38" s="367"/>
      <c r="G38" s="193"/>
      <c r="H38" s="193"/>
      <c r="I38" s="147"/>
      <c r="J38" s="147"/>
      <c r="K38" s="147"/>
      <c r="L38" s="147"/>
      <c r="M38" s="147"/>
      <c r="N38" s="147"/>
      <c r="O38" s="147"/>
      <c r="P38" s="147"/>
      <c r="Q38" s="131"/>
    </row>
    <row r="39" spans="1:40" ht="18.75" customHeight="1" x14ac:dyDescent="0.25">
      <c r="A39" s="143"/>
      <c r="B39" s="208"/>
      <c r="C39" s="361"/>
      <c r="D39" s="362"/>
      <c r="E39" s="367"/>
      <c r="F39" s="367"/>
      <c r="G39" s="193"/>
      <c r="H39" s="193"/>
      <c r="I39" s="147"/>
      <c r="J39" s="147"/>
      <c r="K39" s="147"/>
      <c r="L39" s="147"/>
      <c r="M39" s="147"/>
      <c r="N39" s="147"/>
      <c r="O39" s="147"/>
      <c r="P39" s="147"/>
      <c r="Q39" s="131"/>
      <c r="X39" s="181"/>
    </row>
    <row r="40" spans="1:40" ht="17.25" customHeight="1" x14ac:dyDescent="0.25">
      <c r="A40" s="161"/>
      <c r="B40" s="207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43"/>
      <c r="B41" s="207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43"/>
      <c r="B42" s="193"/>
      <c r="C42" s="368"/>
      <c r="D42" s="368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09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9B73-ACD7-433F-8ED1-D63428B7E06F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182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/>
      <c r="S10" s="151"/>
      <c r="T10" s="151"/>
      <c r="U10" s="153"/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/>
      <c r="S11" s="151"/>
      <c r="T11" s="151"/>
      <c r="U11" s="153"/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/>
      <c r="S12" s="151"/>
      <c r="T12" s="151"/>
      <c r="U12" s="153"/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/>
      <c r="S13" s="151"/>
      <c r="T13" s="151"/>
      <c r="U13" s="153"/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/>
      <c r="S14" s="151"/>
      <c r="T14" s="151"/>
      <c r="U14" s="153"/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2</v>
      </c>
      <c r="G23" s="28"/>
      <c r="H23" s="46">
        <v>1</v>
      </c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12"/>
      <c r="O29" s="213"/>
      <c r="P29" s="213"/>
      <c r="Q29" s="213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29</v>
      </c>
      <c r="G30" s="109">
        <v>2</v>
      </c>
      <c r="H30" s="160">
        <v>4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4"/>
      <c r="U30" s="153"/>
    </row>
    <row r="31" spans="1:28" ht="15.75" customHeight="1" x14ac:dyDescent="0.25">
      <c r="A31" s="283" t="s">
        <v>194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51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>
        <v>3</v>
      </c>
      <c r="B35" s="215" t="s">
        <v>178</v>
      </c>
      <c r="C35" s="361" t="s">
        <v>175</v>
      </c>
      <c r="D35" s="362"/>
      <c r="E35" s="367" t="s">
        <v>179</v>
      </c>
      <c r="F35" s="367"/>
      <c r="G35" s="193">
        <v>0.33333333333333331</v>
      </c>
      <c r="H35" s="193">
        <v>0.41666666666666669</v>
      </c>
      <c r="I35" s="147">
        <v>1</v>
      </c>
      <c r="J35" s="147">
        <v>1</v>
      </c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4</v>
      </c>
      <c r="B36" s="214" t="s">
        <v>177</v>
      </c>
      <c r="C36" s="361" t="s">
        <v>176</v>
      </c>
      <c r="D36" s="362"/>
      <c r="E36" s="363" t="s">
        <v>98</v>
      </c>
      <c r="F36" s="364"/>
      <c r="G36" s="193">
        <v>0.41666666666666669</v>
      </c>
      <c r="H36" s="193">
        <v>0.47916666666666669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78"/>
      <c r="R36" s="191" t="s">
        <v>74</v>
      </c>
      <c r="S36" s="154">
        <f>SUM(S5:S35)</f>
        <v>33</v>
      </c>
      <c r="T36" s="187"/>
      <c r="U36" s="185">
        <f>SUM(U5:U35)</f>
        <v>28</v>
      </c>
    </row>
    <row r="37" spans="1:40" ht="15.75" x14ac:dyDescent="0.25">
      <c r="A37" s="161">
        <v>7</v>
      </c>
      <c r="B37" s="215" t="s">
        <v>171</v>
      </c>
      <c r="C37" s="361" t="s">
        <v>181</v>
      </c>
      <c r="D37" s="362"/>
      <c r="E37" s="363" t="s">
        <v>64</v>
      </c>
      <c r="F37" s="364"/>
      <c r="G37" s="193">
        <v>8.3333333333333329E-2</v>
      </c>
      <c r="H37" s="193">
        <v>0.125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/>
      <c r="P37" s="147">
        <v>1</v>
      </c>
      <c r="Q37" s="156"/>
    </row>
    <row r="38" spans="1:40" ht="18" customHeight="1" x14ac:dyDescent="0.25">
      <c r="A38" s="161">
        <v>4</v>
      </c>
      <c r="B38" s="215" t="s">
        <v>173</v>
      </c>
      <c r="C38" s="361" t="s">
        <v>174</v>
      </c>
      <c r="D38" s="362"/>
      <c r="E38" s="367" t="s">
        <v>98</v>
      </c>
      <c r="F38" s="367"/>
      <c r="G38" s="193">
        <v>8.3333333333333329E-2</v>
      </c>
      <c r="H38" s="193">
        <v>0.125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/>
      <c r="P38" s="147">
        <v>1</v>
      </c>
      <c r="Q38" s="131"/>
    </row>
    <row r="39" spans="1:40" ht="18.75" customHeight="1" x14ac:dyDescent="0.25">
      <c r="A39" s="143">
        <v>5</v>
      </c>
      <c r="B39" s="215" t="s">
        <v>172</v>
      </c>
      <c r="C39" s="361" t="s">
        <v>183</v>
      </c>
      <c r="D39" s="362"/>
      <c r="E39" s="367" t="s">
        <v>166</v>
      </c>
      <c r="F39" s="367"/>
      <c r="G39" s="193">
        <v>0.79166666666666663</v>
      </c>
      <c r="H39" s="193">
        <v>0.875</v>
      </c>
      <c r="I39" s="147">
        <v>1</v>
      </c>
      <c r="J39" s="147">
        <v>1</v>
      </c>
      <c r="K39" s="147">
        <v>1</v>
      </c>
      <c r="L39" s="147">
        <v>2</v>
      </c>
      <c r="M39" s="147">
        <v>1</v>
      </c>
      <c r="N39" s="147">
        <v>1</v>
      </c>
      <c r="O39" s="147"/>
      <c r="P39" s="147">
        <v>1</v>
      </c>
      <c r="Q39" s="131"/>
      <c r="X39" s="181"/>
    </row>
    <row r="40" spans="1:40" ht="17.25" customHeight="1" x14ac:dyDescent="0.25">
      <c r="A40" s="161">
        <v>8</v>
      </c>
      <c r="B40" s="214" t="s">
        <v>184</v>
      </c>
      <c r="C40" s="361" t="s">
        <v>185</v>
      </c>
      <c r="D40" s="362"/>
      <c r="E40" s="367" t="s">
        <v>98</v>
      </c>
      <c r="F40" s="367"/>
      <c r="G40" s="193">
        <v>0.8125</v>
      </c>
      <c r="H40" s="193">
        <v>0.875</v>
      </c>
      <c r="I40" s="147">
        <v>1</v>
      </c>
      <c r="J40" s="147">
        <v>2</v>
      </c>
      <c r="K40" s="147"/>
      <c r="L40" s="147">
        <v>1</v>
      </c>
      <c r="M40" s="147">
        <v>1</v>
      </c>
      <c r="N40" s="147">
        <v>1</v>
      </c>
      <c r="O40" s="147"/>
      <c r="P40" s="147">
        <v>1</v>
      </c>
      <c r="Q40" s="182"/>
      <c r="X40" s="181"/>
    </row>
    <row r="41" spans="1:40" ht="15.75" x14ac:dyDescent="0.25">
      <c r="A41" s="143">
        <v>3</v>
      </c>
      <c r="B41" s="214" t="s">
        <v>186</v>
      </c>
      <c r="C41" s="361" t="s">
        <v>187</v>
      </c>
      <c r="D41" s="362"/>
      <c r="E41" s="367" t="s">
        <v>92</v>
      </c>
      <c r="F41" s="367"/>
      <c r="G41" s="193">
        <v>0.95833333333333337</v>
      </c>
      <c r="H41" s="193">
        <v>1</v>
      </c>
      <c r="I41" s="147">
        <v>1</v>
      </c>
      <c r="J41" s="147">
        <v>1</v>
      </c>
      <c r="K41" s="147">
        <v>1</v>
      </c>
      <c r="L41" s="147">
        <v>1</v>
      </c>
      <c r="M41" s="147">
        <v>1</v>
      </c>
      <c r="N41" s="147">
        <v>1</v>
      </c>
      <c r="O41" s="147"/>
      <c r="P41" s="147">
        <v>1</v>
      </c>
      <c r="Q41" s="131"/>
    </row>
    <row r="42" spans="1:40" ht="18.600000000000001" customHeight="1" x14ac:dyDescent="0.25">
      <c r="A42" s="143">
        <v>2</v>
      </c>
      <c r="B42" s="193" t="s">
        <v>188</v>
      </c>
      <c r="C42" s="368" t="s">
        <v>189</v>
      </c>
      <c r="D42" s="368"/>
      <c r="E42" s="367" t="s">
        <v>73</v>
      </c>
      <c r="F42" s="367"/>
      <c r="G42" s="193">
        <v>6.25E-2</v>
      </c>
      <c r="H42" s="193">
        <v>0.10416666666666667</v>
      </c>
      <c r="I42" s="147">
        <v>1</v>
      </c>
      <c r="J42" s="147">
        <v>1</v>
      </c>
      <c r="K42" s="147">
        <v>1</v>
      </c>
      <c r="L42" s="147">
        <v>1</v>
      </c>
      <c r="M42" s="147">
        <v>1</v>
      </c>
      <c r="N42" s="147">
        <v>1</v>
      </c>
      <c r="O42" s="147"/>
      <c r="P42" s="147">
        <v>1</v>
      </c>
      <c r="Q42" s="131"/>
    </row>
    <row r="43" spans="1:40" ht="18.600000000000001" customHeight="1" x14ac:dyDescent="0.25">
      <c r="A43" s="143">
        <v>9</v>
      </c>
      <c r="B43" s="193" t="s">
        <v>190</v>
      </c>
      <c r="C43" s="368" t="s">
        <v>191</v>
      </c>
      <c r="D43" s="368"/>
      <c r="E43" s="367" t="s">
        <v>92</v>
      </c>
      <c r="F43" s="367"/>
      <c r="G43" s="193">
        <v>6.25E-2</v>
      </c>
      <c r="H43" s="193">
        <v>0.10416666666666667</v>
      </c>
      <c r="I43" s="147">
        <v>1</v>
      </c>
      <c r="J43" s="147">
        <v>1</v>
      </c>
      <c r="K43" s="147">
        <v>1</v>
      </c>
      <c r="L43" s="147">
        <v>1</v>
      </c>
      <c r="M43" s="147">
        <v>1</v>
      </c>
      <c r="N43" s="147">
        <v>1</v>
      </c>
      <c r="O43" s="147"/>
      <c r="P43" s="147">
        <v>1</v>
      </c>
      <c r="Q43" s="180"/>
    </row>
    <row r="44" spans="1:40" ht="18.600000000000001" customHeight="1" x14ac:dyDescent="0.25">
      <c r="A44" s="189">
        <v>6</v>
      </c>
      <c r="B44" s="190" t="s">
        <v>169</v>
      </c>
      <c r="C44" s="361" t="s">
        <v>193</v>
      </c>
      <c r="D44" s="362"/>
      <c r="E44" s="363" t="s">
        <v>64</v>
      </c>
      <c r="F44" s="364"/>
      <c r="G44" s="190">
        <v>0.20833333333333334</v>
      </c>
      <c r="H44" s="190">
        <v>0.29166666666666669</v>
      </c>
      <c r="I44" s="179">
        <v>1</v>
      </c>
      <c r="J44" s="179">
        <v>1</v>
      </c>
      <c r="K44" s="179">
        <v>1</v>
      </c>
      <c r="L44" s="179">
        <v>2</v>
      </c>
      <c r="M44" s="179">
        <v>1</v>
      </c>
      <c r="N44" s="179">
        <v>1</v>
      </c>
      <c r="O44" s="179"/>
      <c r="P44" s="179">
        <v>1</v>
      </c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16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09B0-91DB-4632-A353-B6D9340D83DB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195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/>
      <c r="S11" s="151"/>
      <c r="T11" s="151"/>
      <c r="U11" s="153"/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/>
      <c r="S12" s="151"/>
      <c r="T12" s="151"/>
      <c r="U12" s="153"/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/>
      <c r="S13" s="151"/>
      <c r="T13" s="151"/>
      <c r="U13" s="153"/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/>
      <c r="S14" s="151"/>
      <c r="T14" s="151"/>
      <c r="U14" s="153"/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2</v>
      </c>
      <c r="G23" s="28"/>
      <c r="H23" s="46">
        <v>1</v>
      </c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17"/>
      <c r="O29" s="218"/>
      <c r="P29" s="218"/>
      <c r="Q29" s="218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29</v>
      </c>
      <c r="G30" s="109">
        <v>2</v>
      </c>
      <c r="H30" s="160">
        <v>4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196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227">
        <v>3</v>
      </c>
      <c r="B35" s="228" t="s">
        <v>178</v>
      </c>
      <c r="C35" s="387" t="s">
        <v>175</v>
      </c>
      <c r="D35" s="388"/>
      <c r="E35" s="389" t="s">
        <v>179</v>
      </c>
      <c r="F35" s="389"/>
      <c r="G35" s="229">
        <v>0.33333333333333331</v>
      </c>
      <c r="H35" s="229">
        <v>0.41666666666666669</v>
      </c>
      <c r="I35" s="230">
        <v>1</v>
      </c>
      <c r="J35" s="230">
        <v>1</v>
      </c>
      <c r="K35" s="230">
        <v>1</v>
      </c>
      <c r="L35" s="230">
        <v>1</v>
      </c>
      <c r="M35" s="230">
        <v>1</v>
      </c>
      <c r="N35" s="230">
        <v>1</v>
      </c>
      <c r="O35" s="230">
        <v>1</v>
      </c>
      <c r="P35" s="230">
        <v>1</v>
      </c>
      <c r="Q35" s="231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43">
        <v>4</v>
      </c>
      <c r="B36" s="224" t="s">
        <v>177</v>
      </c>
      <c r="C36" s="361" t="s">
        <v>176</v>
      </c>
      <c r="D36" s="362"/>
      <c r="E36" s="363" t="s">
        <v>98</v>
      </c>
      <c r="F36" s="364"/>
      <c r="G36" s="193">
        <v>0.41666666666666669</v>
      </c>
      <c r="H36" s="193">
        <v>0.47916666666666669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78"/>
      <c r="R36" s="191" t="s">
        <v>74</v>
      </c>
      <c r="S36" s="154">
        <f>SUM(S5:S35)</f>
        <v>34</v>
      </c>
      <c r="T36" s="226"/>
      <c r="U36" s="185">
        <f>SUM(U5:U35)</f>
        <v>40</v>
      </c>
    </row>
    <row r="37" spans="1:40" ht="15.75" x14ac:dyDescent="0.25">
      <c r="A37" s="143">
        <v>7</v>
      </c>
      <c r="B37" s="223" t="s">
        <v>171</v>
      </c>
      <c r="C37" s="361" t="s">
        <v>181</v>
      </c>
      <c r="D37" s="362"/>
      <c r="E37" s="363" t="s">
        <v>64</v>
      </c>
      <c r="F37" s="364"/>
      <c r="G37" s="193">
        <v>8.3333333333333329E-2</v>
      </c>
      <c r="H37" s="193">
        <v>0.125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/>
      <c r="P37" s="147">
        <v>1</v>
      </c>
      <c r="Q37" s="156"/>
    </row>
    <row r="38" spans="1:40" ht="18" customHeight="1" x14ac:dyDescent="0.25">
      <c r="A38" s="143">
        <v>4</v>
      </c>
      <c r="B38" s="223" t="s">
        <v>173</v>
      </c>
      <c r="C38" s="361" t="s">
        <v>174</v>
      </c>
      <c r="D38" s="362"/>
      <c r="E38" s="367" t="s">
        <v>98</v>
      </c>
      <c r="F38" s="367"/>
      <c r="G38" s="193">
        <v>8.3333333333333329E-2</v>
      </c>
      <c r="H38" s="193">
        <v>0.125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/>
      <c r="P38" s="147">
        <v>1</v>
      </c>
      <c r="Q38" s="131"/>
    </row>
    <row r="39" spans="1:40" ht="18.75" customHeight="1" x14ac:dyDescent="0.25">
      <c r="A39" s="143">
        <v>5</v>
      </c>
      <c r="B39" s="223" t="s">
        <v>172</v>
      </c>
      <c r="C39" s="361" t="s">
        <v>183</v>
      </c>
      <c r="D39" s="362"/>
      <c r="E39" s="367" t="s">
        <v>166</v>
      </c>
      <c r="F39" s="367"/>
      <c r="G39" s="193">
        <v>0.79166666666666663</v>
      </c>
      <c r="H39" s="193">
        <v>0.875</v>
      </c>
      <c r="I39" s="147">
        <v>1</v>
      </c>
      <c r="J39" s="147">
        <v>1</v>
      </c>
      <c r="K39" s="147">
        <v>1</v>
      </c>
      <c r="L39" s="147">
        <v>2</v>
      </c>
      <c r="M39" s="147">
        <v>1</v>
      </c>
      <c r="N39" s="147">
        <v>1</v>
      </c>
      <c r="O39" s="147"/>
      <c r="P39" s="147">
        <v>1</v>
      </c>
      <c r="Q39" s="131"/>
      <c r="X39" s="181"/>
    </row>
    <row r="40" spans="1:40" ht="17.25" customHeight="1" x14ac:dyDescent="0.25">
      <c r="A40" s="143">
        <v>8</v>
      </c>
      <c r="B40" s="224" t="s">
        <v>184</v>
      </c>
      <c r="C40" s="361" t="s">
        <v>185</v>
      </c>
      <c r="D40" s="362"/>
      <c r="E40" s="367" t="s">
        <v>98</v>
      </c>
      <c r="F40" s="367"/>
      <c r="G40" s="193">
        <v>0.8125</v>
      </c>
      <c r="H40" s="193">
        <v>0.875</v>
      </c>
      <c r="I40" s="147">
        <v>1</v>
      </c>
      <c r="J40" s="147">
        <v>2</v>
      </c>
      <c r="K40" s="147"/>
      <c r="L40" s="147">
        <v>1</v>
      </c>
      <c r="M40" s="147">
        <v>1</v>
      </c>
      <c r="N40" s="147">
        <v>1</v>
      </c>
      <c r="O40" s="147"/>
      <c r="P40" s="147">
        <v>1</v>
      </c>
      <c r="Q40" s="182"/>
      <c r="X40" s="181"/>
    </row>
    <row r="41" spans="1:40" ht="15.75" x14ac:dyDescent="0.25">
      <c r="A41" s="143">
        <v>3</v>
      </c>
      <c r="B41" s="224" t="s">
        <v>186</v>
      </c>
      <c r="C41" s="361" t="s">
        <v>187</v>
      </c>
      <c r="D41" s="362"/>
      <c r="E41" s="367" t="s">
        <v>92</v>
      </c>
      <c r="F41" s="367"/>
      <c r="G41" s="193">
        <v>0.95833333333333337</v>
      </c>
      <c r="H41" s="193">
        <v>1</v>
      </c>
      <c r="I41" s="147">
        <v>1</v>
      </c>
      <c r="J41" s="147">
        <v>1</v>
      </c>
      <c r="K41" s="147">
        <v>1</v>
      </c>
      <c r="L41" s="147">
        <v>1</v>
      </c>
      <c r="M41" s="147">
        <v>1</v>
      </c>
      <c r="N41" s="147">
        <v>1</v>
      </c>
      <c r="O41" s="147"/>
      <c r="P41" s="147">
        <v>1</v>
      </c>
      <c r="Q41" s="131"/>
    </row>
    <row r="42" spans="1:40" ht="18.600000000000001" customHeight="1" x14ac:dyDescent="0.25">
      <c r="A42" s="143">
        <v>2</v>
      </c>
      <c r="B42" s="193" t="s">
        <v>188</v>
      </c>
      <c r="C42" s="368" t="s">
        <v>189</v>
      </c>
      <c r="D42" s="368"/>
      <c r="E42" s="367" t="s">
        <v>73</v>
      </c>
      <c r="F42" s="367"/>
      <c r="G42" s="193">
        <v>6.25E-2</v>
      </c>
      <c r="H42" s="193">
        <v>0.10416666666666667</v>
      </c>
      <c r="I42" s="147">
        <v>1</v>
      </c>
      <c r="J42" s="147">
        <v>1</v>
      </c>
      <c r="K42" s="147">
        <v>1</v>
      </c>
      <c r="L42" s="147">
        <v>1</v>
      </c>
      <c r="M42" s="147">
        <v>1</v>
      </c>
      <c r="N42" s="147">
        <v>1</v>
      </c>
      <c r="O42" s="147"/>
      <c r="P42" s="147">
        <v>1</v>
      </c>
      <c r="Q42" s="131"/>
    </row>
    <row r="43" spans="1:40" ht="18.600000000000001" customHeight="1" x14ac:dyDescent="0.25">
      <c r="A43" s="143">
        <v>9</v>
      </c>
      <c r="B43" s="193" t="s">
        <v>190</v>
      </c>
      <c r="C43" s="368" t="s">
        <v>191</v>
      </c>
      <c r="D43" s="368"/>
      <c r="E43" s="367" t="s">
        <v>92</v>
      </c>
      <c r="F43" s="367"/>
      <c r="G43" s="193">
        <v>6.25E-2</v>
      </c>
      <c r="H43" s="193">
        <v>0.10416666666666667</v>
      </c>
      <c r="I43" s="147">
        <v>1</v>
      </c>
      <c r="J43" s="147">
        <v>1</v>
      </c>
      <c r="K43" s="147">
        <v>1</v>
      </c>
      <c r="L43" s="147">
        <v>1</v>
      </c>
      <c r="M43" s="147">
        <v>1</v>
      </c>
      <c r="N43" s="147">
        <v>1</v>
      </c>
      <c r="O43" s="147"/>
      <c r="P43" s="147">
        <v>1</v>
      </c>
      <c r="Q43" s="180"/>
    </row>
    <row r="44" spans="1:40" ht="18.600000000000001" customHeight="1" x14ac:dyDescent="0.25">
      <c r="A44" s="189">
        <v>6</v>
      </c>
      <c r="B44" s="190" t="s">
        <v>169</v>
      </c>
      <c r="C44" s="361" t="s">
        <v>193</v>
      </c>
      <c r="D44" s="362"/>
      <c r="E44" s="363" t="s">
        <v>64</v>
      </c>
      <c r="F44" s="364"/>
      <c r="G44" s="190">
        <v>0.20833333333333334</v>
      </c>
      <c r="H44" s="190">
        <v>0.29166666666666669</v>
      </c>
      <c r="I44" s="179">
        <v>1</v>
      </c>
      <c r="J44" s="179">
        <v>1</v>
      </c>
      <c r="K44" s="179">
        <v>1</v>
      </c>
      <c r="L44" s="179">
        <v>2</v>
      </c>
      <c r="M44" s="179">
        <v>1</v>
      </c>
      <c r="N44" s="179">
        <v>1</v>
      </c>
      <c r="O44" s="179"/>
      <c r="P44" s="179">
        <v>1</v>
      </c>
      <c r="Q44" s="180"/>
    </row>
    <row r="45" spans="1:40" ht="18.600000000000001" customHeight="1" x14ac:dyDescent="0.25">
      <c r="A45" s="189">
        <v>4</v>
      </c>
      <c r="B45" s="190" t="s">
        <v>200</v>
      </c>
      <c r="C45" s="361" t="s">
        <v>197</v>
      </c>
      <c r="D45" s="362"/>
      <c r="E45" s="363" t="s">
        <v>198</v>
      </c>
      <c r="F45" s="364"/>
      <c r="G45" s="190">
        <v>0.5625</v>
      </c>
      <c r="H45" s="190">
        <v>0.64583333333333337</v>
      </c>
      <c r="I45" s="179">
        <v>1</v>
      </c>
      <c r="J45" s="179">
        <v>1</v>
      </c>
      <c r="K45" s="179">
        <v>1</v>
      </c>
      <c r="L45" s="179">
        <v>1</v>
      </c>
      <c r="M45" s="179">
        <v>1</v>
      </c>
      <c r="N45" s="179">
        <v>1</v>
      </c>
      <c r="O45" s="179">
        <v>1</v>
      </c>
      <c r="P45" s="179">
        <v>1</v>
      </c>
      <c r="Q45" s="180"/>
    </row>
    <row r="46" spans="1:40" ht="15.6" customHeight="1" thickBot="1" x14ac:dyDescent="0.3">
      <c r="A46" s="144" t="s">
        <v>201</v>
      </c>
      <c r="B46" s="225" t="s">
        <v>202</v>
      </c>
      <c r="C46" s="365" t="s">
        <v>203</v>
      </c>
      <c r="D46" s="365"/>
      <c r="E46" s="366" t="s">
        <v>205</v>
      </c>
      <c r="F46" s="366"/>
      <c r="G46" s="145">
        <v>0.9375</v>
      </c>
      <c r="H46" s="145">
        <v>0.97916666666666663</v>
      </c>
      <c r="I46" s="157">
        <v>1</v>
      </c>
      <c r="J46" s="157">
        <v>1</v>
      </c>
      <c r="K46" s="157">
        <v>1</v>
      </c>
      <c r="L46" s="157">
        <v>1</v>
      </c>
      <c r="M46" s="157">
        <v>1</v>
      </c>
      <c r="N46" s="157">
        <v>1</v>
      </c>
      <c r="O46" s="157">
        <v>1</v>
      </c>
      <c r="P46" s="157">
        <v>1</v>
      </c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DA3A-8459-4564-980A-8456990D8C05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204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/>
      <c r="S12" s="151"/>
      <c r="T12" s="151"/>
      <c r="U12" s="153"/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/>
      <c r="S13" s="151"/>
      <c r="T13" s="151"/>
      <c r="U13" s="153"/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/>
      <c r="S14" s="151"/>
      <c r="T14" s="151"/>
      <c r="U14" s="153"/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/>
      <c r="G17" s="29"/>
      <c r="H17" s="46">
        <v>1</v>
      </c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/>
      <c r="H18" s="46">
        <v>1</v>
      </c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19"/>
      <c r="O29" s="220"/>
      <c r="P29" s="220"/>
      <c r="Q29" s="220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28</v>
      </c>
      <c r="G30" s="109">
        <v>1</v>
      </c>
      <c r="H30" s="160">
        <v>6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206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>
        <v>5</v>
      </c>
      <c r="B35" s="223" t="s">
        <v>183</v>
      </c>
      <c r="C35" s="361" t="s">
        <v>207</v>
      </c>
      <c r="D35" s="362"/>
      <c r="E35" s="367" t="s">
        <v>208</v>
      </c>
      <c r="F35" s="367"/>
      <c r="G35" s="193" t="s">
        <v>88</v>
      </c>
      <c r="H35" s="193" t="s">
        <v>75</v>
      </c>
      <c r="I35" s="147">
        <v>1</v>
      </c>
      <c r="J35" s="147">
        <v>1</v>
      </c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/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7</v>
      </c>
      <c r="B36" s="222" t="s">
        <v>181</v>
      </c>
      <c r="C36" s="361" t="s">
        <v>209</v>
      </c>
      <c r="D36" s="362"/>
      <c r="E36" s="363" t="s">
        <v>81</v>
      </c>
      <c r="F36" s="364"/>
      <c r="G36" s="193" t="s">
        <v>75</v>
      </c>
      <c r="H36" s="193">
        <v>0.41666666666666669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/>
      <c r="Q36" s="178"/>
      <c r="R36" s="191" t="s">
        <v>74</v>
      </c>
      <c r="S36" s="154">
        <f>SUM(S5:S35)</f>
        <v>39</v>
      </c>
      <c r="T36" s="226"/>
      <c r="U36" s="185">
        <f>SUM(U5:U35)</f>
        <v>45</v>
      </c>
    </row>
    <row r="37" spans="1:40" ht="15.75" x14ac:dyDescent="0.25">
      <c r="A37" s="161">
        <v>3</v>
      </c>
      <c r="B37" s="223" t="s">
        <v>187</v>
      </c>
      <c r="C37" s="361" t="s">
        <v>210</v>
      </c>
      <c r="D37" s="362"/>
      <c r="E37" s="363" t="s">
        <v>139</v>
      </c>
      <c r="F37" s="364"/>
      <c r="G37" s="193" t="s">
        <v>211</v>
      </c>
      <c r="H37" s="193">
        <v>0.45833333333333331</v>
      </c>
      <c r="I37" s="147">
        <v>1</v>
      </c>
      <c r="J37" s="147">
        <v>2</v>
      </c>
      <c r="K37" s="147"/>
      <c r="L37" s="147">
        <v>1</v>
      </c>
      <c r="M37" s="147">
        <v>1</v>
      </c>
      <c r="N37" s="147">
        <v>1</v>
      </c>
      <c r="O37" s="147">
        <v>1</v>
      </c>
      <c r="P37" s="147"/>
      <c r="Q37" s="156"/>
    </row>
    <row r="38" spans="1:40" ht="18" customHeight="1" x14ac:dyDescent="0.25">
      <c r="A38" s="161">
        <v>9</v>
      </c>
      <c r="B38" s="223" t="s">
        <v>191</v>
      </c>
      <c r="C38" s="361" t="s">
        <v>213</v>
      </c>
      <c r="D38" s="362"/>
      <c r="E38" s="367" t="s">
        <v>113</v>
      </c>
      <c r="F38" s="367"/>
      <c r="G38" s="193">
        <v>0.70833333333333337</v>
      </c>
      <c r="H38" s="193">
        <v>0.75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/>
      <c r="Q38" s="131"/>
    </row>
    <row r="39" spans="1:40" ht="18.75" customHeight="1" x14ac:dyDescent="0.25">
      <c r="A39" s="143" t="s">
        <v>132</v>
      </c>
      <c r="B39" s="223" t="s">
        <v>185</v>
      </c>
      <c r="C39" s="361" t="s">
        <v>214</v>
      </c>
      <c r="D39" s="362"/>
      <c r="E39" s="367" t="s">
        <v>217</v>
      </c>
      <c r="F39" s="367"/>
      <c r="G39" s="193">
        <v>0.83333333333333337</v>
      </c>
      <c r="H39" s="193">
        <v>0.875</v>
      </c>
      <c r="I39" s="147"/>
      <c r="J39" s="147"/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61"/>
      <c r="B40" s="222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43"/>
      <c r="B41" s="222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43"/>
      <c r="B42" s="193"/>
      <c r="C42" s="368"/>
      <c r="D42" s="368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21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2AE4-8E53-4FE2-88AC-4F2A6D85F63E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215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/>
      <c r="S13" s="151"/>
      <c r="T13" s="151"/>
      <c r="U13" s="153"/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/>
      <c r="S14" s="151"/>
      <c r="T14" s="151"/>
      <c r="U14" s="153"/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/>
      <c r="H18" s="46">
        <v>1</v>
      </c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32"/>
      <c r="O29" s="233"/>
      <c r="P29" s="233"/>
      <c r="Q29" s="233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29</v>
      </c>
      <c r="G30" s="109">
        <v>1</v>
      </c>
      <c r="H30" s="160">
        <v>5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216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 t="s">
        <v>78</v>
      </c>
      <c r="B35" s="223" t="s">
        <v>213</v>
      </c>
      <c r="C35" s="361" t="s">
        <v>219</v>
      </c>
      <c r="D35" s="362"/>
      <c r="E35" s="367" t="s">
        <v>217</v>
      </c>
      <c r="F35" s="367"/>
      <c r="G35" s="193" t="s">
        <v>117</v>
      </c>
      <c r="H35" s="193" t="s">
        <v>162</v>
      </c>
      <c r="I35" s="147"/>
      <c r="J35" s="147"/>
      <c r="K35" s="147"/>
      <c r="L35" s="147">
        <v>1</v>
      </c>
      <c r="M35" s="147">
        <v>1</v>
      </c>
      <c r="N35" s="147">
        <v>1</v>
      </c>
      <c r="O35" s="147"/>
      <c r="P35" s="147">
        <v>1</v>
      </c>
      <c r="Q35" s="235" t="s">
        <v>221</v>
      </c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 t="s">
        <v>132</v>
      </c>
      <c r="B36" s="223" t="s">
        <v>214</v>
      </c>
      <c r="C36" s="361" t="s">
        <v>222</v>
      </c>
      <c r="D36" s="362"/>
      <c r="E36" s="363" t="s">
        <v>107</v>
      </c>
      <c r="F36" s="364"/>
      <c r="G36" s="193" t="s">
        <v>163</v>
      </c>
      <c r="H36" s="193" t="s">
        <v>79</v>
      </c>
      <c r="I36" s="147"/>
      <c r="J36" s="147"/>
      <c r="K36" s="147"/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237" t="s">
        <v>221</v>
      </c>
      <c r="R36" s="191" t="s">
        <v>74</v>
      </c>
      <c r="S36" s="154">
        <f>SUM(S5:S35)</f>
        <v>44</v>
      </c>
      <c r="T36" s="226"/>
      <c r="U36" s="185">
        <f>SUM(U5:U35)</f>
        <v>52</v>
      </c>
    </row>
    <row r="37" spans="1:40" ht="15.75" x14ac:dyDescent="0.25">
      <c r="A37" s="161" t="s">
        <v>218</v>
      </c>
      <c r="B37" s="236" t="s">
        <v>189</v>
      </c>
      <c r="C37" s="361" t="s">
        <v>220</v>
      </c>
      <c r="D37" s="362"/>
      <c r="E37" s="363" t="s">
        <v>112</v>
      </c>
      <c r="F37" s="364"/>
      <c r="G37" s="193" t="s">
        <v>79</v>
      </c>
      <c r="H37" s="193" t="s">
        <v>80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>
        <v>6</v>
      </c>
      <c r="B38" s="236" t="s">
        <v>193</v>
      </c>
      <c r="C38" s="361" t="s">
        <v>223</v>
      </c>
      <c r="D38" s="362"/>
      <c r="E38" s="363" t="s">
        <v>141</v>
      </c>
      <c r="F38" s="364"/>
      <c r="G38" s="193" t="s">
        <v>88</v>
      </c>
      <c r="H38" s="193" t="s">
        <v>211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/>
      <c r="P38" s="147">
        <v>1</v>
      </c>
      <c r="Q38" s="178"/>
    </row>
    <row r="39" spans="1:40" ht="18.75" customHeight="1" x14ac:dyDescent="0.25">
      <c r="A39" s="143">
        <v>4</v>
      </c>
      <c r="B39" s="223" t="s">
        <v>197</v>
      </c>
      <c r="C39" s="361" t="s">
        <v>224</v>
      </c>
      <c r="D39" s="362"/>
      <c r="E39" s="367" t="s">
        <v>81</v>
      </c>
      <c r="F39" s="367"/>
      <c r="G39" s="193">
        <v>0.58333333333333337</v>
      </c>
      <c r="H39" s="193">
        <v>0.625</v>
      </c>
      <c r="I39" s="147">
        <v>1</v>
      </c>
      <c r="J39" s="147">
        <v>1</v>
      </c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>
        <v>9</v>
      </c>
      <c r="B40" s="238" t="s">
        <v>219</v>
      </c>
      <c r="C40" s="361" t="s">
        <v>226</v>
      </c>
      <c r="D40" s="362"/>
      <c r="E40" s="367" t="s">
        <v>107</v>
      </c>
      <c r="F40" s="367"/>
      <c r="G40" s="193">
        <v>0.625</v>
      </c>
      <c r="H40" s="193">
        <v>0.66666666666666663</v>
      </c>
      <c r="I40" s="147">
        <v>1</v>
      </c>
      <c r="J40" s="147">
        <v>1</v>
      </c>
      <c r="K40" s="147">
        <v>1</v>
      </c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61">
        <v>5</v>
      </c>
      <c r="B41" s="238" t="s">
        <v>207</v>
      </c>
      <c r="C41" s="361" t="s">
        <v>225</v>
      </c>
      <c r="D41" s="362"/>
      <c r="E41" s="367" t="s">
        <v>228</v>
      </c>
      <c r="F41" s="367"/>
      <c r="G41" s="193">
        <v>0.70833333333333337</v>
      </c>
      <c r="H41" s="193">
        <v>0.75</v>
      </c>
      <c r="I41" s="147">
        <v>1</v>
      </c>
      <c r="J41" s="147">
        <v>1</v>
      </c>
      <c r="K41" s="147">
        <v>1</v>
      </c>
      <c r="L41" s="147">
        <v>1</v>
      </c>
      <c r="M41" s="147">
        <v>1</v>
      </c>
      <c r="N41" s="147">
        <v>1</v>
      </c>
      <c r="O41" s="147">
        <v>1</v>
      </c>
      <c r="P41" s="147">
        <v>1</v>
      </c>
      <c r="Q41" s="131"/>
    </row>
    <row r="42" spans="1:40" ht="18.600000000000001" customHeight="1" x14ac:dyDescent="0.25">
      <c r="A42" s="161"/>
      <c r="B42" s="238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34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7B0D-3DF7-4A66-B39E-82F0AAC87B96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229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/>
      <c r="S14" s="151"/>
      <c r="T14" s="151"/>
      <c r="U14" s="153"/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/>
      <c r="H18" s="46">
        <v>1</v>
      </c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39"/>
      <c r="O29" s="240"/>
      <c r="P29" s="240"/>
      <c r="Q29" s="240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29</v>
      </c>
      <c r="G30" s="109">
        <v>1</v>
      </c>
      <c r="H30" s="160">
        <v>5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230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 t="s">
        <v>201</v>
      </c>
      <c r="B35" s="223" t="s">
        <v>203</v>
      </c>
      <c r="C35" s="361" t="s">
        <v>232</v>
      </c>
      <c r="D35" s="362"/>
      <c r="E35" s="367" t="s">
        <v>234</v>
      </c>
      <c r="F35" s="367"/>
      <c r="G35" s="193" t="s">
        <v>162</v>
      </c>
      <c r="H35" s="193" t="s">
        <v>79</v>
      </c>
      <c r="I35" s="147"/>
      <c r="J35" s="147"/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 t="s">
        <v>231</v>
      </c>
      <c r="B36" s="223" t="s">
        <v>209</v>
      </c>
      <c r="C36" s="361" t="s">
        <v>233</v>
      </c>
      <c r="D36" s="362"/>
      <c r="E36" s="363" t="s">
        <v>160</v>
      </c>
      <c r="F36" s="364"/>
      <c r="G36" s="193" t="s">
        <v>162</v>
      </c>
      <c r="H36" s="193" t="s">
        <v>79</v>
      </c>
      <c r="I36" s="147">
        <v>1</v>
      </c>
      <c r="J36" s="147">
        <v>2</v>
      </c>
      <c r="K36" s="147"/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49</v>
      </c>
      <c r="T36" s="226"/>
      <c r="U36" s="185">
        <f>SUM(U5:U35)</f>
        <v>59</v>
      </c>
    </row>
    <row r="37" spans="1:40" ht="15.75" x14ac:dyDescent="0.25">
      <c r="A37" s="161">
        <v>3</v>
      </c>
      <c r="B37" s="241" t="s">
        <v>235</v>
      </c>
      <c r="C37" s="361" t="s">
        <v>236</v>
      </c>
      <c r="D37" s="362"/>
      <c r="E37" s="363" t="s">
        <v>81</v>
      </c>
      <c r="F37" s="364"/>
      <c r="G37" s="193" t="s">
        <v>88</v>
      </c>
      <c r="H37" s="193" t="s">
        <v>75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>
        <v>8</v>
      </c>
      <c r="B38" s="241" t="s">
        <v>226</v>
      </c>
      <c r="C38" s="361" t="s">
        <v>237</v>
      </c>
      <c r="D38" s="362"/>
      <c r="E38" s="363" t="s">
        <v>116</v>
      </c>
      <c r="F38" s="364"/>
      <c r="G38" s="193">
        <v>0.70833333333333337</v>
      </c>
      <c r="H38" s="193">
        <v>0.77083333333333337</v>
      </c>
      <c r="I38" s="147">
        <v>1</v>
      </c>
      <c r="J38" s="147">
        <v>2</v>
      </c>
      <c r="K38" s="147"/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>
        <v>9</v>
      </c>
      <c r="B39" s="243" t="s">
        <v>226</v>
      </c>
      <c r="C39" s="361" t="s">
        <v>239</v>
      </c>
      <c r="D39" s="362"/>
      <c r="E39" s="367" t="s">
        <v>240</v>
      </c>
      <c r="F39" s="367"/>
      <c r="G39" s="193">
        <v>0.72916666666666663</v>
      </c>
      <c r="H39" s="193">
        <v>0.77083333333333337</v>
      </c>
      <c r="I39" s="147"/>
      <c r="J39" s="147"/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>
        <v>2</v>
      </c>
      <c r="B40" s="241" t="s">
        <v>220</v>
      </c>
      <c r="C40" s="361" t="s">
        <v>241</v>
      </c>
      <c r="D40" s="362"/>
      <c r="E40" s="367" t="s">
        <v>208</v>
      </c>
      <c r="F40" s="367"/>
      <c r="G40" s="193">
        <v>0.72916666666666663</v>
      </c>
      <c r="H40" s="193">
        <v>0.77083333333333337</v>
      </c>
      <c r="I40" s="147">
        <v>1</v>
      </c>
      <c r="J40" s="147">
        <v>2</v>
      </c>
      <c r="K40" s="147"/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61" t="s">
        <v>83</v>
      </c>
      <c r="B41" s="241" t="s">
        <v>224</v>
      </c>
      <c r="C41" s="361" t="s">
        <v>214</v>
      </c>
      <c r="D41" s="362"/>
      <c r="E41" s="367" t="s">
        <v>82</v>
      </c>
      <c r="F41" s="367"/>
      <c r="G41" s="193">
        <v>0.9375</v>
      </c>
      <c r="H41" s="193">
        <v>0.97916666666666663</v>
      </c>
      <c r="I41" s="147">
        <v>1</v>
      </c>
      <c r="J41" s="147">
        <v>1</v>
      </c>
      <c r="K41" s="147">
        <v>1</v>
      </c>
      <c r="L41" s="147">
        <v>1</v>
      </c>
      <c r="M41" s="147">
        <v>1</v>
      </c>
      <c r="N41" s="147">
        <v>1</v>
      </c>
      <c r="O41" s="147">
        <v>1</v>
      </c>
      <c r="P41" s="147">
        <v>1</v>
      </c>
      <c r="Q41" s="131"/>
    </row>
    <row r="42" spans="1:40" ht="18.600000000000001" customHeight="1" x14ac:dyDescent="0.25">
      <c r="A42" s="161"/>
      <c r="B42" s="241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42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E67F-541C-4222-929E-4E5FA4398C13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243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4</v>
      </c>
      <c r="G12" s="29"/>
      <c r="H12" s="46">
        <v>1</v>
      </c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>
        <v>3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>
        <v>1</v>
      </c>
      <c r="L15" s="29"/>
      <c r="M15" s="30"/>
      <c r="N15" s="302"/>
      <c r="O15" s="303"/>
      <c r="P15" s="303"/>
      <c r="Q15" s="303"/>
      <c r="R15" s="150"/>
      <c r="S15" s="151"/>
      <c r="T15" s="194"/>
      <c r="U15" s="153"/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1</v>
      </c>
      <c r="G16" s="29"/>
      <c r="H16" s="46">
        <v>1</v>
      </c>
      <c r="I16" s="30">
        <v>3</v>
      </c>
      <c r="J16" s="27"/>
      <c r="K16" s="28">
        <v>3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/>
      <c r="H18" s="46">
        <v>1</v>
      </c>
      <c r="I18" s="30">
        <v>1</v>
      </c>
      <c r="J18" s="27"/>
      <c r="K18" s="28"/>
      <c r="L18" s="29">
        <v>1</v>
      </c>
      <c r="M18" s="30"/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3</v>
      </c>
      <c r="L20" s="29">
        <v>1</v>
      </c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2</v>
      </c>
      <c r="G23" s="28"/>
      <c r="H23" s="46">
        <v>1</v>
      </c>
      <c r="I23" s="30">
        <v>3</v>
      </c>
      <c r="J23" s="27"/>
      <c r="K23" s="28">
        <v>3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>
        <v>1</v>
      </c>
      <c r="L29" s="87"/>
      <c r="M29" s="88"/>
      <c r="N29" s="244"/>
      <c r="O29" s="245"/>
      <c r="P29" s="245"/>
      <c r="Q29" s="245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27</v>
      </c>
      <c r="G30" s="109">
        <v>1</v>
      </c>
      <c r="H30" s="160">
        <v>7</v>
      </c>
      <c r="I30" s="177">
        <v>31</v>
      </c>
      <c r="J30" s="108">
        <v>1</v>
      </c>
      <c r="K30" s="107">
        <v>27</v>
      </c>
      <c r="L30" s="109">
        <v>2</v>
      </c>
      <c r="M30" s="107">
        <v>1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242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 t="s">
        <v>76</v>
      </c>
      <c r="B35" s="223" t="s">
        <v>225</v>
      </c>
      <c r="C35" s="361" t="s">
        <v>237</v>
      </c>
      <c r="D35" s="362"/>
      <c r="E35" s="367" t="s">
        <v>244</v>
      </c>
      <c r="F35" s="367"/>
      <c r="G35" s="193" t="s">
        <v>79</v>
      </c>
      <c r="H35" s="193" t="s">
        <v>80</v>
      </c>
      <c r="I35" s="147">
        <v>1</v>
      </c>
      <c r="J35" s="147">
        <v>1</v>
      </c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1</v>
      </c>
      <c r="B36" s="223" t="s">
        <v>232</v>
      </c>
      <c r="C36" s="361" t="s">
        <v>246</v>
      </c>
      <c r="D36" s="362"/>
      <c r="E36" s="363" t="s">
        <v>81</v>
      </c>
      <c r="F36" s="364"/>
      <c r="G36" s="193">
        <v>0.58333333333333337</v>
      </c>
      <c r="H36" s="193">
        <v>0.625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54</v>
      </c>
      <c r="T36" s="226"/>
      <c r="U36" s="185">
        <f>SUM(U5:U35)</f>
        <v>62</v>
      </c>
    </row>
    <row r="37" spans="1:40" ht="15.75" x14ac:dyDescent="0.25">
      <c r="A37" s="161">
        <v>6</v>
      </c>
      <c r="B37" s="247" t="s">
        <v>223</v>
      </c>
      <c r="C37" s="361" t="s">
        <v>247</v>
      </c>
      <c r="D37" s="362"/>
      <c r="E37" s="363" t="s">
        <v>113</v>
      </c>
      <c r="F37" s="364"/>
      <c r="G37" s="193">
        <v>0.72916666666666663</v>
      </c>
      <c r="H37" s="193">
        <v>0.77083333333333337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/>
      <c r="B38" s="247"/>
      <c r="C38" s="361"/>
      <c r="D38" s="362"/>
      <c r="E38" s="363"/>
      <c r="F38" s="364"/>
      <c r="G38" s="193"/>
      <c r="H38" s="193"/>
      <c r="I38" s="147"/>
      <c r="J38" s="147"/>
      <c r="K38" s="147"/>
      <c r="L38" s="147"/>
      <c r="M38" s="147"/>
      <c r="N38" s="147"/>
      <c r="O38" s="147"/>
      <c r="P38" s="147"/>
      <c r="Q38" s="178"/>
    </row>
    <row r="39" spans="1:40" ht="18.75" customHeight="1" x14ac:dyDescent="0.25">
      <c r="A39" s="161"/>
      <c r="B39" s="247"/>
      <c r="C39" s="361"/>
      <c r="D39" s="362"/>
      <c r="E39" s="367"/>
      <c r="F39" s="367"/>
      <c r="G39" s="193"/>
      <c r="H39" s="193"/>
      <c r="I39" s="147"/>
      <c r="J39" s="147"/>
      <c r="K39" s="147"/>
      <c r="L39" s="147"/>
      <c r="M39" s="147"/>
      <c r="N39" s="147"/>
      <c r="O39" s="147"/>
      <c r="P39" s="147"/>
      <c r="Q39" s="131"/>
      <c r="X39" s="181"/>
    </row>
    <row r="40" spans="1:40" ht="17.25" customHeight="1" x14ac:dyDescent="0.25">
      <c r="A40" s="143"/>
      <c r="B40" s="247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61"/>
      <c r="B41" s="247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47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46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F73E-6B78-4730-A6CE-5166192F3EAF}">
  <dimension ref="A1:AN47"/>
  <sheetViews>
    <sheetView topLeftCell="A4"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248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6</v>
      </c>
      <c r="G13" s="29"/>
      <c r="H13" s="46"/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/>
      <c r="S16" s="151"/>
      <c r="T16" s="151"/>
      <c r="U16" s="153"/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/>
      <c r="H18" s="46">
        <v>1</v>
      </c>
      <c r="I18" s="30">
        <v>1</v>
      </c>
      <c r="J18" s="27"/>
      <c r="K18" s="28"/>
      <c r="L18" s="29"/>
      <c r="M18" s="30">
        <v>1</v>
      </c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2</v>
      </c>
      <c r="G20" s="29"/>
      <c r="H20" s="46">
        <v>1</v>
      </c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1</v>
      </c>
      <c r="L23" s="29"/>
      <c r="M23" s="30">
        <v>1</v>
      </c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48"/>
      <c r="O29" s="249"/>
      <c r="P29" s="249"/>
      <c r="Q29" s="249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1</v>
      </c>
      <c r="H30" s="160">
        <v>3</v>
      </c>
      <c r="I30" s="177">
        <v>31</v>
      </c>
      <c r="J30" s="108">
        <v>6</v>
      </c>
      <c r="K30" s="107">
        <v>20</v>
      </c>
      <c r="L30" s="109">
        <v>1</v>
      </c>
      <c r="M30" s="107">
        <v>4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249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 t="s">
        <v>83</v>
      </c>
      <c r="B35" s="223" t="s">
        <v>214</v>
      </c>
      <c r="C35" s="361" t="s">
        <v>252</v>
      </c>
      <c r="D35" s="362"/>
      <c r="E35" s="367" t="s">
        <v>244</v>
      </c>
      <c r="F35" s="367"/>
      <c r="G35" s="193" t="s">
        <v>129</v>
      </c>
      <c r="H35" s="193" t="s">
        <v>251</v>
      </c>
      <c r="I35" s="147">
        <v>1</v>
      </c>
      <c r="J35" s="147">
        <v>1</v>
      </c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 t="s">
        <v>76</v>
      </c>
      <c r="B36" s="223" t="s">
        <v>237</v>
      </c>
      <c r="C36" s="361" t="s">
        <v>250</v>
      </c>
      <c r="D36" s="362"/>
      <c r="E36" s="363" t="s">
        <v>217</v>
      </c>
      <c r="F36" s="364"/>
      <c r="G36" s="193" t="s">
        <v>79</v>
      </c>
      <c r="H36" s="193" t="s">
        <v>80</v>
      </c>
      <c r="I36" s="147">
        <v>1</v>
      </c>
      <c r="J36" s="147">
        <v>2</v>
      </c>
      <c r="K36" s="147"/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59</v>
      </c>
      <c r="T36" s="226"/>
      <c r="U36" s="185">
        <f>SUM(U5:U35)</f>
        <v>68</v>
      </c>
    </row>
    <row r="37" spans="1:40" ht="15.75" x14ac:dyDescent="0.25">
      <c r="A37" s="161">
        <v>9</v>
      </c>
      <c r="B37" s="250" t="s">
        <v>239</v>
      </c>
      <c r="C37" s="361" t="s">
        <v>253</v>
      </c>
      <c r="D37" s="362"/>
      <c r="E37" s="363" t="s">
        <v>208</v>
      </c>
      <c r="F37" s="364"/>
      <c r="G37" s="193" t="s">
        <v>88</v>
      </c>
      <c r="H37" s="193" t="s">
        <v>75</v>
      </c>
      <c r="I37" s="147"/>
      <c r="J37" s="147"/>
      <c r="K37" s="147">
        <v>2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>
        <v>7</v>
      </c>
      <c r="B38" s="250" t="s">
        <v>233</v>
      </c>
      <c r="C38" s="361" t="s">
        <v>254</v>
      </c>
      <c r="D38" s="362"/>
      <c r="E38" s="363" t="s">
        <v>240</v>
      </c>
      <c r="F38" s="364"/>
      <c r="G38" s="193" t="s">
        <v>88</v>
      </c>
      <c r="H38" s="193" t="s">
        <v>75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>
        <v>2</v>
      </c>
      <c r="B39" s="250" t="s">
        <v>241</v>
      </c>
      <c r="C39" s="361" t="s">
        <v>255</v>
      </c>
      <c r="D39" s="362"/>
      <c r="E39" s="367" t="s">
        <v>217</v>
      </c>
      <c r="F39" s="367"/>
      <c r="G39" s="193">
        <v>0.47916666666666669</v>
      </c>
      <c r="H39" s="193">
        <v>0.52083333333333337</v>
      </c>
      <c r="I39" s="147">
        <v>1</v>
      </c>
      <c r="J39" s="147">
        <v>1</v>
      </c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>
        <v>8</v>
      </c>
      <c r="B40" s="250" t="s">
        <v>256</v>
      </c>
      <c r="C40" s="361" t="s">
        <v>257</v>
      </c>
      <c r="D40" s="362"/>
      <c r="E40" s="367" t="s">
        <v>113</v>
      </c>
      <c r="F40" s="367"/>
      <c r="G40" s="193">
        <v>0.83333333333333337</v>
      </c>
      <c r="H40" s="193">
        <v>0.875</v>
      </c>
      <c r="I40" s="147">
        <v>1</v>
      </c>
      <c r="J40" s="147">
        <v>1</v>
      </c>
      <c r="K40" s="147">
        <v>1</v>
      </c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61"/>
      <c r="B41" s="250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50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51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CF95-AAFF-4333-B7FB-7163B7312B7E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259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268</v>
      </c>
      <c r="S16" s="151">
        <v>5</v>
      </c>
      <c r="T16" s="151">
        <v>64</v>
      </c>
      <c r="U16" s="153">
        <v>5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/>
      <c r="S17" s="151"/>
      <c r="T17" s="151"/>
      <c r="U17" s="153"/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/>
      <c r="M18" s="30">
        <v>1</v>
      </c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52"/>
      <c r="O29" s="253"/>
      <c r="P29" s="253"/>
      <c r="Q29" s="253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2</v>
      </c>
      <c r="H30" s="160">
        <v>2</v>
      </c>
      <c r="I30" s="177">
        <v>31</v>
      </c>
      <c r="J30" s="108">
        <v>6</v>
      </c>
      <c r="K30" s="107">
        <v>21</v>
      </c>
      <c r="L30" s="109">
        <v>1</v>
      </c>
      <c r="M30" s="107">
        <v>3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260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 t="s">
        <v>108</v>
      </c>
      <c r="B35" s="223" t="s">
        <v>236</v>
      </c>
      <c r="C35" s="361" t="s">
        <v>261</v>
      </c>
      <c r="D35" s="362"/>
      <c r="E35" s="367" t="s">
        <v>82</v>
      </c>
      <c r="F35" s="367"/>
      <c r="G35" s="193">
        <v>0.625</v>
      </c>
      <c r="H35" s="193">
        <v>0.66666666666666663</v>
      </c>
      <c r="I35" s="147">
        <v>1</v>
      </c>
      <c r="J35" s="147">
        <v>2</v>
      </c>
      <c r="K35" s="147"/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 t="s">
        <v>83</v>
      </c>
      <c r="B36" s="223" t="s">
        <v>252</v>
      </c>
      <c r="C36" s="361" t="s">
        <v>262</v>
      </c>
      <c r="D36" s="362"/>
      <c r="E36" s="363" t="s">
        <v>217</v>
      </c>
      <c r="F36" s="364"/>
      <c r="G36" s="193">
        <v>0.66666666666666663</v>
      </c>
      <c r="H36" s="193">
        <v>0.70833333333333337</v>
      </c>
      <c r="I36" s="147"/>
      <c r="J36" s="147"/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64</v>
      </c>
      <c r="T36" s="226"/>
      <c r="U36" s="185">
        <f>SUM(U5:U35)</f>
        <v>73</v>
      </c>
    </row>
    <row r="37" spans="1:40" ht="15.75" x14ac:dyDescent="0.25">
      <c r="A37" s="161">
        <v>6</v>
      </c>
      <c r="B37" s="255" t="s">
        <v>247</v>
      </c>
      <c r="C37" s="361" t="s">
        <v>263</v>
      </c>
      <c r="D37" s="362"/>
      <c r="E37" s="363" t="s">
        <v>82</v>
      </c>
      <c r="F37" s="364"/>
      <c r="G37" s="193">
        <v>0.83333333333333337</v>
      </c>
      <c r="H37" s="193">
        <v>0.875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>
        <v>3</v>
      </c>
      <c r="B38" s="260" t="s">
        <v>261</v>
      </c>
      <c r="C38" s="361" t="s">
        <v>269</v>
      </c>
      <c r="D38" s="362"/>
      <c r="E38" s="363" t="s">
        <v>240</v>
      </c>
      <c r="F38" s="364"/>
      <c r="G38" s="193">
        <v>0.89583333333333337</v>
      </c>
      <c r="H38" s="193">
        <v>0.9375</v>
      </c>
      <c r="I38" s="147">
        <v>1</v>
      </c>
      <c r="J38" s="147">
        <v>2</v>
      </c>
      <c r="K38" s="147"/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>
        <v>1</v>
      </c>
      <c r="B39" s="260" t="s">
        <v>246</v>
      </c>
      <c r="C39" s="361" t="s">
        <v>264</v>
      </c>
      <c r="D39" s="362"/>
      <c r="E39" s="367" t="s">
        <v>217</v>
      </c>
      <c r="F39" s="367"/>
      <c r="G39" s="193">
        <v>0.91666666666666663</v>
      </c>
      <c r="H39" s="193">
        <v>0.95833333333333337</v>
      </c>
      <c r="I39" s="147">
        <v>1</v>
      </c>
      <c r="J39" s="147">
        <v>1</v>
      </c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61"/>
      <c r="B40" s="260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61"/>
      <c r="B41" s="255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55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54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ADD8-3FE3-4E08-95FC-0E6C301587DA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265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267</v>
      </c>
      <c r="S16" s="151">
        <v>5</v>
      </c>
      <c r="T16" s="151">
        <v>64</v>
      </c>
      <c r="U16" s="153">
        <v>5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274</v>
      </c>
      <c r="S17" s="151">
        <v>10</v>
      </c>
      <c r="T17" s="151">
        <v>74</v>
      </c>
      <c r="U17" s="153">
        <v>5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/>
      <c r="M18" s="30">
        <v>1</v>
      </c>
      <c r="N18" s="302"/>
      <c r="O18" s="303"/>
      <c r="P18" s="303"/>
      <c r="Q18" s="303"/>
      <c r="R18" s="150"/>
      <c r="S18" s="151"/>
      <c r="T18" s="151"/>
      <c r="U18" s="153"/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56"/>
      <c r="O29" s="257"/>
      <c r="P29" s="257"/>
      <c r="Q29" s="257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2</v>
      </c>
      <c r="H30" s="160">
        <v>2</v>
      </c>
      <c r="I30" s="177">
        <v>31</v>
      </c>
      <c r="J30" s="108">
        <v>6</v>
      </c>
      <c r="K30" s="107">
        <v>21</v>
      </c>
      <c r="L30" s="109">
        <v>1</v>
      </c>
      <c r="M30" s="107">
        <v>3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266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>
        <v>4</v>
      </c>
      <c r="B35" s="223" t="s">
        <v>262</v>
      </c>
      <c r="C35" s="361" t="s">
        <v>270</v>
      </c>
      <c r="D35" s="362"/>
      <c r="E35" s="367" t="s">
        <v>240</v>
      </c>
      <c r="F35" s="367"/>
      <c r="G35" s="193" t="s">
        <v>273</v>
      </c>
      <c r="H35" s="193" t="s">
        <v>117</v>
      </c>
      <c r="I35" s="147">
        <v>1</v>
      </c>
      <c r="J35" s="147">
        <v>2</v>
      </c>
      <c r="K35" s="147"/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7</v>
      </c>
      <c r="B36" s="223" t="s">
        <v>254</v>
      </c>
      <c r="C36" s="361" t="s">
        <v>271</v>
      </c>
      <c r="D36" s="362"/>
      <c r="E36" s="363" t="s">
        <v>131</v>
      </c>
      <c r="F36" s="364"/>
      <c r="G36" s="193" t="s">
        <v>79</v>
      </c>
      <c r="H36" s="193" t="s">
        <v>80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74</v>
      </c>
      <c r="T36" s="226"/>
      <c r="U36" s="185">
        <f>SUM(U5:U35)</f>
        <v>78</v>
      </c>
    </row>
    <row r="37" spans="1:40" ht="15.75" x14ac:dyDescent="0.25">
      <c r="A37" s="161">
        <v>2</v>
      </c>
      <c r="B37" s="258" t="s">
        <v>255</v>
      </c>
      <c r="C37" s="361" t="s">
        <v>272</v>
      </c>
      <c r="D37" s="362"/>
      <c r="E37" s="363" t="s">
        <v>81</v>
      </c>
      <c r="F37" s="364"/>
      <c r="G37" s="193" t="s">
        <v>79</v>
      </c>
      <c r="H37" s="193" t="s">
        <v>80</v>
      </c>
      <c r="I37" s="147">
        <v>1</v>
      </c>
      <c r="J37" s="147">
        <v>1</v>
      </c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 t="s">
        <v>132</v>
      </c>
      <c r="B38" s="258" t="s">
        <v>257</v>
      </c>
      <c r="C38" s="361" t="s">
        <v>275</v>
      </c>
      <c r="D38" s="362"/>
      <c r="E38" s="363" t="s">
        <v>107</v>
      </c>
      <c r="F38" s="364"/>
      <c r="G38" s="193" t="s">
        <v>277</v>
      </c>
      <c r="H38" s="193" t="s">
        <v>211</v>
      </c>
      <c r="I38" s="147"/>
      <c r="J38" s="147"/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 t="s">
        <v>78</v>
      </c>
      <c r="B39" s="258" t="s">
        <v>253</v>
      </c>
      <c r="C39" s="361" t="s">
        <v>276</v>
      </c>
      <c r="D39" s="362"/>
      <c r="E39" s="367" t="s">
        <v>82</v>
      </c>
      <c r="F39" s="367"/>
      <c r="G39" s="193">
        <v>0.52083333333333337</v>
      </c>
      <c r="H39" s="193">
        <v>0.5625</v>
      </c>
      <c r="I39" s="147">
        <v>1</v>
      </c>
      <c r="J39" s="147">
        <v>2</v>
      </c>
      <c r="K39" s="147"/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/>
      <c r="B40" s="258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61"/>
      <c r="B41" s="258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58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59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22F-8945-4422-8C14-B1FF67EC7D49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278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267</v>
      </c>
      <c r="S16" s="151">
        <v>5</v>
      </c>
      <c r="T16" s="151">
        <v>64</v>
      </c>
      <c r="U16" s="153">
        <v>5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274</v>
      </c>
      <c r="S17" s="151">
        <v>10</v>
      </c>
      <c r="T17" s="151">
        <v>74</v>
      </c>
      <c r="U17" s="153">
        <v>5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/>
      <c r="M18" s="30">
        <v>1</v>
      </c>
      <c r="N18" s="302"/>
      <c r="O18" s="303"/>
      <c r="P18" s="303"/>
      <c r="Q18" s="303"/>
      <c r="R18" s="150" t="s">
        <v>284</v>
      </c>
      <c r="S18" s="151">
        <v>9</v>
      </c>
      <c r="T18" s="151">
        <v>83</v>
      </c>
      <c r="U18" s="153">
        <v>6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/>
      <c r="S19" s="151"/>
      <c r="T19" s="151"/>
      <c r="U19" s="153"/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61"/>
      <c r="O29" s="262"/>
      <c r="P29" s="262"/>
      <c r="Q29" s="262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2</v>
      </c>
      <c r="H30" s="160">
        <v>2</v>
      </c>
      <c r="I30" s="177">
        <v>31</v>
      </c>
      <c r="J30" s="108">
        <v>6</v>
      </c>
      <c r="K30" s="107">
        <v>21</v>
      </c>
      <c r="L30" s="109">
        <v>1</v>
      </c>
      <c r="M30" s="107">
        <v>3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279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>
        <v>3</v>
      </c>
      <c r="B35" s="223" t="s">
        <v>269</v>
      </c>
      <c r="C35" s="361" t="s">
        <v>280</v>
      </c>
      <c r="D35" s="362"/>
      <c r="E35" s="367" t="s">
        <v>131</v>
      </c>
      <c r="F35" s="367"/>
      <c r="G35" s="193" t="s">
        <v>163</v>
      </c>
      <c r="H35" s="193" t="s">
        <v>79</v>
      </c>
      <c r="I35" s="147">
        <v>1</v>
      </c>
      <c r="J35" s="147">
        <v>1</v>
      </c>
      <c r="K35" s="147">
        <v>1</v>
      </c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4</v>
      </c>
      <c r="B36" s="223" t="s">
        <v>270</v>
      </c>
      <c r="C36" s="361" t="s">
        <v>281</v>
      </c>
      <c r="D36" s="362"/>
      <c r="E36" s="363" t="s">
        <v>113</v>
      </c>
      <c r="F36" s="364"/>
      <c r="G36" s="193" t="s">
        <v>129</v>
      </c>
      <c r="H36" s="193" t="s">
        <v>251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83</v>
      </c>
      <c r="T36" s="226"/>
      <c r="U36" s="185">
        <f>SUM(U5:U35)</f>
        <v>84</v>
      </c>
    </row>
    <row r="37" spans="1:40" ht="15.75" x14ac:dyDescent="0.25">
      <c r="A37" s="161" t="s">
        <v>201</v>
      </c>
      <c r="B37" s="264" t="s">
        <v>264</v>
      </c>
      <c r="C37" s="361" t="s">
        <v>282</v>
      </c>
      <c r="D37" s="362"/>
      <c r="E37" s="363" t="s">
        <v>283</v>
      </c>
      <c r="F37" s="364"/>
      <c r="G37" s="193" t="s">
        <v>277</v>
      </c>
      <c r="H37" s="193" t="s">
        <v>211</v>
      </c>
      <c r="I37" s="147"/>
      <c r="J37" s="147"/>
      <c r="K37" s="147">
        <v>1</v>
      </c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 t="s">
        <v>201</v>
      </c>
      <c r="B38" s="265" t="s">
        <v>282</v>
      </c>
      <c r="C38" s="361" t="s">
        <v>185</v>
      </c>
      <c r="D38" s="362"/>
      <c r="E38" s="363" t="s">
        <v>164</v>
      </c>
      <c r="F38" s="364"/>
      <c r="G38" s="193">
        <v>0.70833333333333337</v>
      </c>
      <c r="H38" s="193">
        <v>0.77083333333333337</v>
      </c>
      <c r="I38" s="147"/>
      <c r="J38" s="147"/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>
        <v>8</v>
      </c>
      <c r="B39" s="264" t="s">
        <v>275</v>
      </c>
      <c r="C39" s="361" t="s">
        <v>254</v>
      </c>
      <c r="D39" s="362"/>
      <c r="E39" s="367" t="s">
        <v>283</v>
      </c>
      <c r="F39" s="367"/>
      <c r="G39" s="193">
        <v>0.83333333333333337</v>
      </c>
      <c r="H39" s="193">
        <v>0.875</v>
      </c>
      <c r="I39" s="147">
        <v>1</v>
      </c>
      <c r="J39" s="147">
        <v>1</v>
      </c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>
        <v>2</v>
      </c>
      <c r="B40" s="264" t="s">
        <v>272</v>
      </c>
      <c r="C40" s="361" t="s">
        <v>285</v>
      </c>
      <c r="D40" s="362"/>
      <c r="E40" s="367" t="s">
        <v>141</v>
      </c>
      <c r="F40" s="367"/>
      <c r="G40" s="193">
        <v>0.83333333333333337</v>
      </c>
      <c r="H40" s="193">
        <v>0.89583333333333337</v>
      </c>
      <c r="I40" s="147">
        <v>1</v>
      </c>
      <c r="J40" s="147">
        <v>2</v>
      </c>
      <c r="K40" s="147"/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61"/>
      <c r="B41" s="264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64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63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D44-86C2-4B5C-83B2-249FF8F7DDF9}">
  <dimension ref="A1:AN47"/>
  <sheetViews>
    <sheetView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286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>
        <v>5</v>
      </c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>
        <v>5</v>
      </c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>
        <v>1</v>
      </c>
      <c r="K14" s="28">
        <v>2</v>
      </c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>
        <v>1</v>
      </c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>
        <v>1</v>
      </c>
      <c r="K16" s="28">
        <v>2</v>
      </c>
      <c r="L16" s="29"/>
      <c r="M16" s="30"/>
      <c r="N16" s="302"/>
      <c r="O16" s="303"/>
      <c r="P16" s="303"/>
      <c r="Q16" s="303"/>
      <c r="R16" s="150" t="s">
        <v>267</v>
      </c>
      <c r="S16" s="151">
        <v>5</v>
      </c>
      <c r="T16" s="151">
        <v>64</v>
      </c>
      <c r="U16" s="153">
        <v>5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>
        <v>1</v>
      </c>
      <c r="L17" s="29"/>
      <c r="M17" s="30"/>
      <c r="N17" s="302"/>
      <c r="O17" s="303"/>
      <c r="P17" s="303"/>
      <c r="Q17" s="303"/>
      <c r="R17" s="150" t="s">
        <v>274</v>
      </c>
      <c r="S17" s="151">
        <v>10</v>
      </c>
      <c r="T17" s="151">
        <v>74</v>
      </c>
      <c r="U17" s="153">
        <v>5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/>
      <c r="M18" s="30">
        <v>1</v>
      </c>
      <c r="N18" s="302"/>
      <c r="O18" s="303"/>
      <c r="P18" s="303"/>
      <c r="Q18" s="303"/>
      <c r="R18" s="150" t="s">
        <v>284</v>
      </c>
      <c r="S18" s="151">
        <v>9</v>
      </c>
      <c r="T18" s="151">
        <v>83</v>
      </c>
      <c r="U18" s="153">
        <v>6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 t="s">
        <v>299</v>
      </c>
      <c r="S19" s="151">
        <v>5</v>
      </c>
      <c r="T19" s="151">
        <v>88</v>
      </c>
      <c r="U19" s="153">
        <v>7</v>
      </c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>
        <v>1</v>
      </c>
      <c r="K20" s="28">
        <v>2</v>
      </c>
      <c r="L20" s="29">
        <v>1</v>
      </c>
      <c r="M20" s="30">
        <v>1</v>
      </c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>
        <v>1</v>
      </c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>
        <v>1</v>
      </c>
      <c r="K23" s="28">
        <v>2</v>
      </c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>
        <v>1</v>
      </c>
      <c r="L24" s="101"/>
      <c r="M24" s="102">
        <v>1</v>
      </c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>
        <v>1</v>
      </c>
      <c r="K29" s="83"/>
      <c r="L29" s="87"/>
      <c r="M29" s="88"/>
      <c r="N29" s="266"/>
      <c r="O29" s="267"/>
      <c r="P29" s="267"/>
      <c r="Q29" s="267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2</v>
      </c>
      <c r="H30" s="160">
        <v>2</v>
      </c>
      <c r="I30" s="177">
        <v>31</v>
      </c>
      <c r="J30" s="108">
        <v>6</v>
      </c>
      <c r="K30" s="107">
        <v>21</v>
      </c>
      <c r="L30" s="109">
        <v>1</v>
      </c>
      <c r="M30" s="107">
        <v>3</v>
      </c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287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>
        <v>9</v>
      </c>
      <c r="B35" s="223" t="s">
        <v>276</v>
      </c>
      <c r="C35" s="361" t="s">
        <v>253</v>
      </c>
      <c r="D35" s="362"/>
      <c r="E35" s="367" t="s">
        <v>113</v>
      </c>
      <c r="F35" s="367"/>
      <c r="G35" s="193" t="s">
        <v>288</v>
      </c>
      <c r="H35" s="193" t="s">
        <v>273</v>
      </c>
      <c r="I35" s="147"/>
      <c r="J35" s="147"/>
      <c r="K35" s="147"/>
      <c r="L35" s="147">
        <v>1</v>
      </c>
      <c r="M35" s="147">
        <v>1</v>
      </c>
      <c r="N35" s="147">
        <v>1</v>
      </c>
      <c r="O35" s="147">
        <v>1</v>
      </c>
      <c r="P35" s="147">
        <v>1</v>
      </c>
      <c r="Q35" s="235" t="s">
        <v>289</v>
      </c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>
        <v>6</v>
      </c>
      <c r="B36" s="223" t="s">
        <v>263</v>
      </c>
      <c r="C36" s="361" t="s">
        <v>290</v>
      </c>
      <c r="D36" s="362"/>
      <c r="E36" s="363" t="s">
        <v>113</v>
      </c>
      <c r="F36" s="364"/>
      <c r="G36" s="193" t="s">
        <v>291</v>
      </c>
      <c r="H36" s="193" t="s">
        <v>292</v>
      </c>
      <c r="I36" s="147">
        <v>1</v>
      </c>
      <c r="J36" s="147">
        <v>1</v>
      </c>
      <c r="K36" s="147">
        <v>1</v>
      </c>
      <c r="L36" s="147">
        <v>1</v>
      </c>
      <c r="M36" s="147">
        <v>1</v>
      </c>
      <c r="N36" s="147">
        <v>1</v>
      </c>
      <c r="O36" s="147">
        <v>1</v>
      </c>
      <c r="P36" s="147">
        <v>1</v>
      </c>
      <c r="Q36" s="156"/>
      <c r="R36" s="191" t="s">
        <v>74</v>
      </c>
      <c r="S36" s="154">
        <f>SUM(S5:S35)</f>
        <v>88</v>
      </c>
      <c r="T36" s="226"/>
      <c r="U36" s="185">
        <f>SUM(U5:U35)</f>
        <v>91</v>
      </c>
    </row>
    <row r="37" spans="1:40" ht="15.75" x14ac:dyDescent="0.25">
      <c r="A37" s="161">
        <v>3</v>
      </c>
      <c r="B37" s="269" t="s">
        <v>280</v>
      </c>
      <c r="C37" s="361" t="s">
        <v>293</v>
      </c>
      <c r="D37" s="362"/>
      <c r="E37" s="363" t="s">
        <v>81</v>
      </c>
      <c r="F37" s="364"/>
      <c r="G37" s="193" t="s">
        <v>79</v>
      </c>
      <c r="H37" s="193" t="s">
        <v>80</v>
      </c>
      <c r="I37" s="147">
        <v>1</v>
      </c>
      <c r="J37" s="147">
        <v>2</v>
      </c>
      <c r="K37" s="147"/>
      <c r="L37" s="147">
        <v>1</v>
      </c>
      <c r="M37" s="147">
        <v>1</v>
      </c>
      <c r="N37" s="147">
        <v>1</v>
      </c>
      <c r="O37" s="147">
        <v>1</v>
      </c>
      <c r="P37" s="147">
        <v>1</v>
      </c>
      <c r="Q37" s="178"/>
    </row>
    <row r="38" spans="1:40" ht="18" customHeight="1" x14ac:dyDescent="0.25">
      <c r="A38" s="161">
        <v>8</v>
      </c>
      <c r="B38" s="269" t="s">
        <v>254</v>
      </c>
      <c r="C38" s="361" t="s">
        <v>294</v>
      </c>
      <c r="D38" s="362"/>
      <c r="E38" s="363" t="s">
        <v>141</v>
      </c>
      <c r="F38" s="364"/>
      <c r="G38" s="193" t="s">
        <v>79</v>
      </c>
      <c r="H38" s="193" t="s">
        <v>295</v>
      </c>
      <c r="I38" s="147">
        <v>1</v>
      </c>
      <c r="J38" s="147">
        <v>1</v>
      </c>
      <c r="K38" s="147">
        <v>1</v>
      </c>
      <c r="L38" s="147">
        <v>1</v>
      </c>
      <c r="M38" s="147">
        <v>1</v>
      </c>
      <c r="N38" s="147">
        <v>1</v>
      </c>
      <c r="O38" s="147">
        <v>1</v>
      </c>
      <c r="P38" s="147">
        <v>1</v>
      </c>
      <c r="Q38" s="178"/>
    </row>
    <row r="39" spans="1:40" ht="18.75" customHeight="1" x14ac:dyDescent="0.25">
      <c r="A39" s="161">
        <v>9</v>
      </c>
      <c r="B39" s="269" t="s">
        <v>253</v>
      </c>
      <c r="C39" s="361" t="s">
        <v>296</v>
      </c>
      <c r="D39" s="362"/>
      <c r="E39" s="367" t="s">
        <v>116</v>
      </c>
      <c r="F39" s="367"/>
      <c r="G39" s="193" t="s">
        <v>79</v>
      </c>
      <c r="H39" s="193" t="s">
        <v>295</v>
      </c>
      <c r="I39" s="147">
        <v>1</v>
      </c>
      <c r="J39" s="147">
        <v>2</v>
      </c>
      <c r="K39" s="147">
        <v>1</v>
      </c>
      <c r="L39" s="147">
        <v>1</v>
      </c>
      <c r="M39" s="147">
        <v>1</v>
      </c>
      <c r="N39" s="147">
        <v>1</v>
      </c>
      <c r="O39" s="147">
        <v>1</v>
      </c>
      <c r="P39" s="147">
        <v>1</v>
      </c>
      <c r="Q39" s="131"/>
      <c r="X39" s="181"/>
    </row>
    <row r="40" spans="1:40" ht="17.25" customHeight="1" x14ac:dyDescent="0.25">
      <c r="A40" s="143" t="s">
        <v>83</v>
      </c>
      <c r="B40" s="269" t="s">
        <v>281</v>
      </c>
      <c r="C40" s="361" t="s">
        <v>298</v>
      </c>
      <c r="D40" s="362"/>
      <c r="E40" s="367" t="s">
        <v>297</v>
      </c>
      <c r="F40" s="367"/>
      <c r="G40" s="193" t="s">
        <v>88</v>
      </c>
      <c r="H40" s="193" t="s">
        <v>211</v>
      </c>
      <c r="I40" s="147"/>
      <c r="J40" s="147"/>
      <c r="K40" s="147">
        <v>1</v>
      </c>
      <c r="L40" s="147">
        <v>1</v>
      </c>
      <c r="M40" s="147">
        <v>1</v>
      </c>
      <c r="N40" s="147">
        <v>1</v>
      </c>
      <c r="O40" s="147">
        <v>1</v>
      </c>
      <c r="P40" s="147">
        <v>1</v>
      </c>
      <c r="Q40" s="182"/>
      <c r="X40" s="181"/>
    </row>
    <row r="41" spans="1:40" ht="15.75" x14ac:dyDescent="0.25">
      <c r="A41" s="161" t="s">
        <v>231</v>
      </c>
      <c r="B41" s="269" t="s">
        <v>300</v>
      </c>
      <c r="C41" s="361" t="s">
        <v>280</v>
      </c>
      <c r="D41" s="362"/>
      <c r="E41" s="367" t="s">
        <v>112</v>
      </c>
      <c r="F41" s="367"/>
      <c r="G41" s="193">
        <v>0.66666666666666663</v>
      </c>
      <c r="H41" s="193">
        <v>0.70833333333333337</v>
      </c>
      <c r="I41" s="147"/>
      <c r="J41" s="147"/>
      <c r="K41" s="147">
        <v>1</v>
      </c>
      <c r="L41" s="147">
        <v>1</v>
      </c>
      <c r="M41" s="147">
        <v>1</v>
      </c>
      <c r="N41" s="147">
        <v>1</v>
      </c>
      <c r="O41" s="147">
        <v>1</v>
      </c>
      <c r="P41" s="147">
        <v>1</v>
      </c>
      <c r="Q41" s="131"/>
    </row>
    <row r="42" spans="1:40" ht="18.600000000000001" customHeight="1" x14ac:dyDescent="0.25">
      <c r="A42" s="161"/>
      <c r="B42" s="269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68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A1:Q1"/>
    <mergeCell ref="A2:A4"/>
    <mergeCell ref="B2:B4"/>
    <mergeCell ref="C2:C4"/>
    <mergeCell ref="D2:H2"/>
    <mergeCell ref="I2:M2"/>
    <mergeCell ref="N2:Q4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T3:T4"/>
    <mergeCell ref="A5:B5"/>
    <mergeCell ref="N5:Q5"/>
    <mergeCell ref="N6:Q6"/>
    <mergeCell ref="A7:B7"/>
    <mergeCell ref="N7:Q7"/>
    <mergeCell ref="N17:Q17"/>
    <mergeCell ref="N8:Q8"/>
    <mergeCell ref="A9:B9"/>
    <mergeCell ref="N9:Q9"/>
    <mergeCell ref="N10:Q10"/>
    <mergeCell ref="A11:B11"/>
    <mergeCell ref="N11:Q11"/>
    <mergeCell ref="N12:Q12"/>
    <mergeCell ref="N13:Q13"/>
    <mergeCell ref="N14:Q14"/>
    <mergeCell ref="N15:Q15"/>
    <mergeCell ref="N16:Q16"/>
    <mergeCell ref="N28:Q28"/>
    <mergeCell ref="N18:Q18"/>
    <mergeCell ref="A19:B19"/>
    <mergeCell ref="N19:Q19"/>
    <mergeCell ref="N20:Q20"/>
    <mergeCell ref="N21:Q21"/>
    <mergeCell ref="N22:Q22"/>
    <mergeCell ref="N23:Q23"/>
    <mergeCell ref="A25:B25"/>
    <mergeCell ref="N25:Q25"/>
    <mergeCell ref="N26:Q26"/>
    <mergeCell ref="N27:Q2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C7ED-8CF2-424B-9024-81740614BB98}">
  <dimension ref="A1:AN47"/>
  <sheetViews>
    <sheetView tabSelected="1" workbookViewId="0">
      <selection activeCell="T36" sqref="T36"/>
    </sheetView>
  </sheetViews>
  <sheetFormatPr defaultRowHeight="15" x14ac:dyDescent="0.25"/>
  <cols>
    <col min="1" max="1" width="6.140625" customWidth="1"/>
    <col min="2" max="2" width="41.42578125" customWidth="1"/>
    <col min="3" max="3" width="10.42578125" customWidth="1"/>
    <col min="4" max="4" width="10.85546875" customWidth="1"/>
    <col min="7" max="7" width="11.140625" customWidth="1"/>
    <col min="8" max="8" width="9.42578125" customWidth="1"/>
    <col min="9" max="9" width="10.140625" customWidth="1"/>
    <col min="17" max="17" width="54.28515625" customWidth="1"/>
    <col min="18" max="18" width="13" customWidth="1"/>
    <col min="19" max="21" width="9.140625" style="152"/>
  </cols>
  <sheetData>
    <row r="1" spans="1:21" ht="23.25" thickBot="1" x14ac:dyDescent="0.35">
      <c r="A1" s="339" t="s">
        <v>301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1"/>
    </row>
    <row r="2" spans="1:21" ht="16.5" thickBot="1" x14ac:dyDescent="0.3">
      <c r="A2" s="342" t="s">
        <v>1</v>
      </c>
      <c r="B2" s="345" t="s">
        <v>2</v>
      </c>
      <c r="C2" s="348" t="s">
        <v>3</v>
      </c>
      <c r="D2" s="351" t="s">
        <v>4</v>
      </c>
      <c r="E2" s="351"/>
      <c r="F2" s="351"/>
      <c r="G2" s="351"/>
      <c r="H2" s="352"/>
      <c r="I2" s="353" t="s">
        <v>5</v>
      </c>
      <c r="J2" s="354"/>
      <c r="K2" s="354"/>
      <c r="L2" s="354"/>
      <c r="M2" s="354"/>
      <c r="N2" s="355" t="s">
        <v>6</v>
      </c>
      <c r="O2" s="356"/>
      <c r="P2" s="356"/>
      <c r="Q2" s="356"/>
      <c r="R2" s="318" t="s">
        <v>7</v>
      </c>
      <c r="S2" s="319"/>
      <c r="T2" s="319"/>
      <c r="U2" s="382" t="s">
        <v>8</v>
      </c>
    </row>
    <row r="3" spans="1:21" ht="15.75" customHeight="1" thickBot="1" x14ac:dyDescent="0.3">
      <c r="A3" s="343"/>
      <c r="B3" s="346"/>
      <c r="C3" s="349"/>
      <c r="D3" s="323" t="s">
        <v>9</v>
      </c>
      <c r="E3" s="325"/>
      <c r="F3" s="325"/>
      <c r="G3" s="325"/>
      <c r="H3" s="333" t="s">
        <v>11</v>
      </c>
      <c r="I3" s="328" t="s">
        <v>9</v>
      </c>
      <c r="J3" s="330" t="s">
        <v>10</v>
      </c>
      <c r="K3" s="331"/>
      <c r="L3" s="332"/>
      <c r="M3" s="333" t="s">
        <v>11</v>
      </c>
      <c r="N3" s="357"/>
      <c r="O3" s="358"/>
      <c r="P3" s="358"/>
      <c r="Q3" s="358"/>
      <c r="R3" s="335" t="s">
        <v>12</v>
      </c>
      <c r="S3" s="385" t="s">
        <v>13</v>
      </c>
      <c r="T3" s="385" t="s">
        <v>14</v>
      </c>
      <c r="U3" s="383"/>
    </row>
    <row r="4" spans="1:21" ht="23.25" customHeight="1" thickBot="1" x14ac:dyDescent="0.3">
      <c r="A4" s="344"/>
      <c r="B4" s="347"/>
      <c r="C4" s="350"/>
      <c r="D4" s="324"/>
      <c r="E4" s="1" t="s">
        <v>15</v>
      </c>
      <c r="F4" s="2" t="s">
        <v>16</v>
      </c>
      <c r="G4" s="3" t="s">
        <v>17</v>
      </c>
      <c r="H4" s="334"/>
      <c r="I4" s="329"/>
      <c r="J4" s="4" t="s">
        <v>15</v>
      </c>
      <c r="K4" s="5" t="s">
        <v>16</v>
      </c>
      <c r="L4" s="6" t="s">
        <v>17</v>
      </c>
      <c r="M4" s="334"/>
      <c r="N4" s="359"/>
      <c r="O4" s="360"/>
      <c r="P4" s="360"/>
      <c r="Q4" s="360"/>
      <c r="R4" s="336"/>
      <c r="S4" s="386"/>
      <c r="T4" s="386"/>
      <c r="U4" s="384"/>
    </row>
    <row r="5" spans="1:21" ht="15.75" thickBot="1" x14ac:dyDescent="0.3">
      <c r="A5" s="314" t="s">
        <v>18</v>
      </c>
      <c r="B5" s="315"/>
      <c r="C5" s="7"/>
      <c r="D5" s="7"/>
      <c r="E5" s="8"/>
      <c r="F5" s="9"/>
      <c r="G5" s="10"/>
      <c r="H5" s="159"/>
      <c r="I5" s="11"/>
      <c r="J5" s="12"/>
      <c r="K5" s="13"/>
      <c r="L5" s="14"/>
      <c r="M5" s="15"/>
      <c r="N5" s="380"/>
      <c r="O5" s="381"/>
      <c r="P5" s="381"/>
      <c r="Q5" s="381"/>
      <c r="R5" s="186" t="s">
        <v>167</v>
      </c>
      <c r="S5" s="187">
        <v>6</v>
      </c>
      <c r="T5" s="188">
        <v>6</v>
      </c>
      <c r="U5" s="188">
        <v>6</v>
      </c>
    </row>
    <row r="6" spans="1:21" ht="15.75" thickBot="1" x14ac:dyDescent="0.3">
      <c r="A6" s="19">
        <v>1</v>
      </c>
      <c r="B6" s="20" t="s">
        <v>20</v>
      </c>
      <c r="C6" s="21"/>
      <c r="D6" s="22"/>
      <c r="E6" s="23"/>
      <c r="F6" s="24"/>
      <c r="G6" s="25"/>
      <c r="H6" s="22"/>
      <c r="I6" s="26"/>
      <c r="J6" s="27"/>
      <c r="K6" s="28"/>
      <c r="L6" s="29"/>
      <c r="M6" s="30"/>
      <c r="N6" s="302"/>
      <c r="O6" s="303"/>
      <c r="P6" s="303"/>
      <c r="Q6" s="303"/>
      <c r="R6" s="150" t="s">
        <v>168</v>
      </c>
      <c r="S6" s="151">
        <v>6</v>
      </c>
      <c r="T6" s="151">
        <v>12</v>
      </c>
      <c r="U6" s="153">
        <v>5</v>
      </c>
    </row>
    <row r="7" spans="1:21" ht="15.75" thickBot="1" x14ac:dyDescent="0.3">
      <c r="A7" s="310" t="s">
        <v>21</v>
      </c>
      <c r="B7" s="311"/>
      <c r="C7" s="34"/>
      <c r="D7" s="34"/>
      <c r="E7" s="35"/>
      <c r="F7" s="24"/>
      <c r="G7" s="25"/>
      <c r="H7" s="22"/>
      <c r="I7" s="36"/>
      <c r="J7" s="27"/>
      <c r="K7" s="28"/>
      <c r="L7" s="29"/>
      <c r="M7" s="30"/>
      <c r="N7" s="302"/>
      <c r="O7" s="303"/>
      <c r="P7" s="303"/>
      <c r="Q7" s="303"/>
      <c r="R7" s="150" t="s">
        <v>170</v>
      </c>
      <c r="S7" s="151">
        <v>5</v>
      </c>
      <c r="T7" s="151">
        <v>17</v>
      </c>
      <c r="U7" s="153">
        <v>6</v>
      </c>
    </row>
    <row r="8" spans="1:21" ht="15.75" thickBot="1" x14ac:dyDescent="0.3">
      <c r="A8" s="19">
        <v>2</v>
      </c>
      <c r="B8" s="37" t="s">
        <v>22</v>
      </c>
      <c r="C8" s="21"/>
      <c r="D8" s="22"/>
      <c r="E8" s="23"/>
      <c r="F8" s="24"/>
      <c r="G8" s="25"/>
      <c r="H8" s="22"/>
      <c r="I8" s="26"/>
      <c r="J8" s="27"/>
      <c r="K8" s="28"/>
      <c r="L8" s="29"/>
      <c r="M8" s="30"/>
      <c r="N8" s="302"/>
      <c r="O8" s="303"/>
      <c r="P8" s="303"/>
      <c r="Q8" s="303"/>
      <c r="R8" s="150" t="s">
        <v>180</v>
      </c>
      <c r="S8" s="151">
        <v>9</v>
      </c>
      <c r="T8" s="151">
        <v>26</v>
      </c>
      <c r="U8" s="153">
        <v>6</v>
      </c>
    </row>
    <row r="9" spans="1:21" ht="15.75" thickBot="1" x14ac:dyDescent="0.3">
      <c r="A9" s="310" t="s">
        <v>24</v>
      </c>
      <c r="B9" s="311"/>
      <c r="C9" s="34"/>
      <c r="D9" s="34"/>
      <c r="E9" s="35"/>
      <c r="F9" s="24"/>
      <c r="G9" s="25"/>
      <c r="H9" s="22"/>
      <c r="I9" s="36"/>
      <c r="J9" s="27"/>
      <c r="K9" s="28"/>
      <c r="L9" s="29"/>
      <c r="M9" s="30"/>
      <c r="N9" s="302"/>
      <c r="O9" s="303"/>
      <c r="P9" s="303"/>
      <c r="Q9" s="303"/>
      <c r="R9" s="150" t="s">
        <v>192</v>
      </c>
      <c r="S9" s="151">
        <v>7</v>
      </c>
      <c r="T9" s="151">
        <v>33</v>
      </c>
      <c r="U9" s="153">
        <v>5</v>
      </c>
    </row>
    <row r="10" spans="1:21" ht="15.75" thickBot="1" x14ac:dyDescent="0.3">
      <c r="A10" s="19">
        <v>3</v>
      </c>
      <c r="B10" s="38" t="s">
        <v>25</v>
      </c>
      <c r="C10" s="21">
        <v>1</v>
      </c>
      <c r="D10" s="22">
        <v>1</v>
      </c>
      <c r="E10" s="23">
        <v>1</v>
      </c>
      <c r="F10" s="39"/>
      <c r="G10" s="25"/>
      <c r="H10" s="22"/>
      <c r="I10" s="26"/>
      <c r="J10" s="27"/>
      <c r="K10" s="28"/>
      <c r="L10" s="29"/>
      <c r="M10" s="30"/>
      <c r="N10" s="302"/>
      <c r="O10" s="303"/>
      <c r="P10" s="303"/>
      <c r="Q10" s="303"/>
      <c r="R10" s="150" t="s">
        <v>199</v>
      </c>
      <c r="S10" s="151">
        <v>1</v>
      </c>
      <c r="T10" s="151">
        <v>34</v>
      </c>
      <c r="U10" s="153">
        <v>12</v>
      </c>
    </row>
    <row r="11" spans="1:21" ht="15.75" thickBot="1" x14ac:dyDescent="0.3">
      <c r="A11" s="312" t="s">
        <v>26</v>
      </c>
      <c r="B11" s="313"/>
      <c r="C11" s="40"/>
      <c r="D11" s="40"/>
      <c r="E11" s="41"/>
      <c r="F11" s="28"/>
      <c r="G11" s="29"/>
      <c r="H11" s="46"/>
      <c r="I11" s="42"/>
      <c r="J11" s="27"/>
      <c r="L11" s="29"/>
      <c r="M11" s="30"/>
      <c r="N11" s="302"/>
      <c r="O11" s="303"/>
      <c r="P11" s="303"/>
      <c r="Q11" s="303"/>
      <c r="R11" s="150" t="s">
        <v>212</v>
      </c>
      <c r="S11" s="151">
        <v>5</v>
      </c>
      <c r="T11" s="151">
        <v>39</v>
      </c>
      <c r="U11" s="153">
        <v>5</v>
      </c>
    </row>
    <row r="12" spans="1:21" x14ac:dyDescent="0.25">
      <c r="A12" s="43">
        <v>4</v>
      </c>
      <c r="B12" s="173" t="s">
        <v>27</v>
      </c>
      <c r="C12" s="45">
        <v>10</v>
      </c>
      <c r="D12" s="46">
        <v>5</v>
      </c>
      <c r="E12" s="27"/>
      <c r="F12" s="28">
        <v>5</v>
      </c>
      <c r="G12" s="29"/>
      <c r="H12" s="46"/>
      <c r="I12" s="30">
        <v>5</v>
      </c>
      <c r="J12" s="27"/>
      <c r="K12" s="28"/>
      <c r="L12" s="29"/>
      <c r="M12" s="30"/>
      <c r="N12" s="302"/>
      <c r="O12" s="303"/>
      <c r="P12" s="303"/>
      <c r="Q12" s="303"/>
      <c r="R12" s="150" t="s">
        <v>227</v>
      </c>
      <c r="S12" s="151">
        <v>5</v>
      </c>
      <c r="T12" s="151">
        <v>44</v>
      </c>
      <c r="U12" s="153">
        <v>7</v>
      </c>
    </row>
    <row r="13" spans="1:21" x14ac:dyDescent="0.25">
      <c r="A13" s="47">
        <v>5</v>
      </c>
      <c r="B13" s="174" t="s">
        <v>28</v>
      </c>
      <c r="C13" s="45">
        <v>11</v>
      </c>
      <c r="D13" s="46">
        <v>6</v>
      </c>
      <c r="E13" s="27"/>
      <c r="F13" s="28">
        <v>5</v>
      </c>
      <c r="G13" s="29"/>
      <c r="H13" s="46">
        <v>1</v>
      </c>
      <c r="I13" s="30">
        <v>5</v>
      </c>
      <c r="J13" s="27"/>
      <c r="K13" s="28"/>
      <c r="L13" s="29"/>
      <c r="M13" s="30"/>
      <c r="N13" s="302"/>
      <c r="O13" s="303"/>
      <c r="P13" s="303"/>
      <c r="Q13" s="303"/>
      <c r="R13" s="150" t="s">
        <v>238</v>
      </c>
      <c r="S13" s="151">
        <v>5</v>
      </c>
      <c r="T13" s="151">
        <v>49</v>
      </c>
      <c r="U13" s="153">
        <v>7</v>
      </c>
    </row>
    <row r="14" spans="1:21" x14ac:dyDescent="0.25">
      <c r="A14" s="47">
        <v>6</v>
      </c>
      <c r="B14" s="174" t="s">
        <v>29</v>
      </c>
      <c r="C14" s="49">
        <v>7</v>
      </c>
      <c r="D14" s="46">
        <v>4</v>
      </c>
      <c r="E14" s="27">
        <v>1</v>
      </c>
      <c r="F14" s="28">
        <v>3</v>
      </c>
      <c r="G14" s="29"/>
      <c r="H14" s="46"/>
      <c r="I14" s="30">
        <v>3</v>
      </c>
      <c r="J14" s="27"/>
      <c r="K14" s="28"/>
      <c r="L14" s="28"/>
      <c r="M14" s="30"/>
      <c r="N14" s="302"/>
      <c r="O14" s="303"/>
      <c r="P14" s="303"/>
      <c r="Q14" s="303"/>
      <c r="R14" s="150" t="s">
        <v>245</v>
      </c>
      <c r="S14" s="151">
        <v>5</v>
      </c>
      <c r="T14" s="151">
        <v>54</v>
      </c>
      <c r="U14" s="153">
        <v>3</v>
      </c>
    </row>
    <row r="15" spans="1:21" x14ac:dyDescent="0.25">
      <c r="A15" s="47">
        <v>7</v>
      </c>
      <c r="B15" s="174" t="s">
        <v>30</v>
      </c>
      <c r="C15" s="49">
        <v>3</v>
      </c>
      <c r="D15" s="46">
        <v>2</v>
      </c>
      <c r="E15" s="27">
        <v>1</v>
      </c>
      <c r="F15" s="24">
        <v>1</v>
      </c>
      <c r="G15" s="29"/>
      <c r="H15" s="46"/>
      <c r="I15" s="30">
        <v>1</v>
      </c>
      <c r="J15" s="27"/>
      <c r="K15" s="50"/>
      <c r="L15" s="29"/>
      <c r="M15" s="30"/>
      <c r="N15" s="302"/>
      <c r="O15" s="303"/>
      <c r="P15" s="303"/>
      <c r="Q15" s="303"/>
      <c r="R15" s="150" t="s">
        <v>258</v>
      </c>
      <c r="S15" s="151">
        <v>5</v>
      </c>
      <c r="T15" s="194">
        <v>59</v>
      </c>
      <c r="U15" s="153">
        <v>6</v>
      </c>
    </row>
    <row r="16" spans="1:21" x14ac:dyDescent="0.25">
      <c r="A16" s="47">
        <v>8</v>
      </c>
      <c r="B16" s="174" t="s">
        <v>31</v>
      </c>
      <c r="C16" s="45">
        <v>6</v>
      </c>
      <c r="D16" s="46">
        <v>3</v>
      </c>
      <c r="E16" s="27">
        <v>1</v>
      </c>
      <c r="F16" s="28">
        <v>2</v>
      </c>
      <c r="G16" s="29"/>
      <c r="H16" s="46"/>
      <c r="I16" s="30">
        <v>3</v>
      </c>
      <c r="J16" s="27"/>
      <c r="K16" s="28"/>
      <c r="L16" s="29"/>
      <c r="M16" s="30"/>
      <c r="N16" s="302"/>
      <c r="O16" s="303"/>
      <c r="P16" s="303"/>
      <c r="Q16" s="303"/>
      <c r="R16" s="150" t="s">
        <v>267</v>
      </c>
      <c r="S16" s="151">
        <v>5</v>
      </c>
      <c r="T16" s="151">
        <v>64</v>
      </c>
      <c r="U16" s="153">
        <v>5</v>
      </c>
    </row>
    <row r="17" spans="1:28" x14ac:dyDescent="0.25">
      <c r="A17" s="51">
        <v>9</v>
      </c>
      <c r="B17" s="175" t="s">
        <v>32</v>
      </c>
      <c r="C17" s="45">
        <v>2</v>
      </c>
      <c r="D17" s="46">
        <v>1</v>
      </c>
      <c r="E17" s="27"/>
      <c r="F17" s="28">
        <v>1</v>
      </c>
      <c r="G17" s="29"/>
      <c r="H17" s="46"/>
      <c r="I17" s="30">
        <v>1</v>
      </c>
      <c r="J17" s="27"/>
      <c r="K17" s="28"/>
      <c r="L17" s="29"/>
      <c r="M17" s="30"/>
      <c r="N17" s="302"/>
      <c r="O17" s="303"/>
      <c r="P17" s="303"/>
      <c r="Q17" s="303"/>
      <c r="R17" s="150" t="s">
        <v>274</v>
      </c>
      <c r="S17" s="151">
        <v>10</v>
      </c>
      <c r="T17" s="151">
        <v>74</v>
      </c>
      <c r="U17" s="153">
        <v>5</v>
      </c>
    </row>
    <row r="18" spans="1:28" ht="15.75" customHeight="1" thickBot="1" x14ac:dyDescent="0.3">
      <c r="A18" s="53">
        <v>10</v>
      </c>
      <c r="B18" s="176" t="s">
        <v>33</v>
      </c>
      <c r="C18" s="45">
        <v>2</v>
      </c>
      <c r="D18" s="46">
        <v>1</v>
      </c>
      <c r="E18" s="27"/>
      <c r="F18" s="28"/>
      <c r="G18" s="29">
        <v>1</v>
      </c>
      <c r="H18" s="46"/>
      <c r="I18" s="30">
        <v>1</v>
      </c>
      <c r="J18" s="27"/>
      <c r="K18" s="28"/>
      <c r="L18" s="29"/>
      <c r="M18" s="30"/>
      <c r="N18" s="302"/>
      <c r="O18" s="303"/>
      <c r="P18" s="303"/>
      <c r="Q18" s="303"/>
      <c r="R18" s="150" t="s">
        <v>284</v>
      </c>
      <c r="S18" s="151">
        <v>9</v>
      </c>
      <c r="T18" s="151">
        <v>83</v>
      </c>
      <c r="U18" s="153">
        <v>6</v>
      </c>
      <c r="X18" s="149"/>
    </row>
    <row r="19" spans="1:28" ht="15.75" thickBot="1" x14ac:dyDescent="0.3">
      <c r="A19" s="308" t="s">
        <v>34</v>
      </c>
      <c r="B19" s="309"/>
      <c r="C19" s="40"/>
      <c r="D19" s="40"/>
      <c r="E19" s="41"/>
      <c r="F19" s="28"/>
      <c r="G19" s="29"/>
      <c r="H19" s="46"/>
      <c r="I19" s="42"/>
      <c r="J19" s="27"/>
      <c r="K19" s="28"/>
      <c r="L19" s="29"/>
      <c r="M19" s="30"/>
      <c r="N19" s="302"/>
      <c r="O19" s="303"/>
      <c r="P19" s="303"/>
      <c r="Q19" s="303"/>
      <c r="R19" s="150" t="s">
        <v>299</v>
      </c>
      <c r="S19" s="151">
        <v>5</v>
      </c>
      <c r="T19" s="151">
        <v>88</v>
      </c>
      <c r="U19" s="153">
        <v>7</v>
      </c>
    </row>
    <row r="20" spans="1:28" x14ac:dyDescent="0.25">
      <c r="A20" s="54">
        <v>11</v>
      </c>
      <c r="B20" s="55" t="s">
        <v>35</v>
      </c>
      <c r="C20" s="56">
        <v>9</v>
      </c>
      <c r="D20" s="46">
        <v>4</v>
      </c>
      <c r="E20" s="27">
        <v>1</v>
      </c>
      <c r="F20" s="28">
        <v>3</v>
      </c>
      <c r="G20" s="29"/>
      <c r="H20" s="46"/>
      <c r="I20" s="30">
        <v>5</v>
      </c>
      <c r="J20" s="27"/>
      <c r="K20" s="28"/>
      <c r="L20" s="29"/>
      <c r="M20" s="30"/>
      <c r="N20" s="302"/>
      <c r="O20" s="303"/>
      <c r="P20" s="303"/>
      <c r="Q20" s="303"/>
      <c r="R20" s="150"/>
      <c r="S20" s="151"/>
      <c r="T20" s="151"/>
      <c r="U20" s="153"/>
    </row>
    <row r="21" spans="1:28" x14ac:dyDescent="0.25">
      <c r="A21" s="57">
        <v>12</v>
      </c>
      <c r="B21" s="58" t="s">
        <v>36</v>
      </c>
      <c r="C21" s="59">
        <v>4</v>
      </c>
      <c r="D21" s="46">
        <v>4</v>
      </c>
      <c r="E21" s="27"/>
      <c r="F21" s="28">
        <v>4</v>
      </c>
      <c r="G21" s="29"/>
      <c r="H21" s="46"/>
      <c r="I21" s="30"/>
      <c r="J21" s="28"/>
      <c r="K21" s="28"/>
      <c r="L21" s="29"/>
      <c r="M21" s="30"/>
      <c r="N21" s="302"/>
      <c r="O21" s="303"/>
      <c r="P21" s="303"/>
      <c r="Q21" s="303"/>
      <c r="R21" s="150"/>
      <c r="S21" s="151"/>
      <c r="T21" s="151"/>
      <c r="U21" s="153"/>
    </row>
    <row r="22" spans="1:28" x14ac:dyDescent="0.25">
      <c r="A22" s="57">
        <v>13</v>
      </c>
      <c r="B22" s="58" t="s">
        <v>37</v>
      </c>
      <c r="C22" s="56">
        <v>2</v>
      </c>
      <c r="D22" s="46">
        <v>1</v>
      </c>
      <c r="E22" s="27"/>
      <c r="F22" s="28">
        <v>1</v>
      </c>
      <c r="G22" s="29"/>
      <c r="H22" s="46"/>
      <c r="I22" s="30">
        <v>1</v>
      </c>
      <c r="J22" s="27"/>
      <c r="K22" s="28"/>
      <c r="L22" s="29"/>
      <c r="M22" s="30"/>
      <c r="N22" s="302"/>
      <c r="O22" s="303"/>
      <c r="P22" s="303"/>
      <c r="Q22" s="303"/>
      <c r="R22" s="150"/>
      <c r="S22" s="151"/>
      <c r="T22" s="151"/>
      <c r="U22" s="153"/>
    </row>
    <row r="23" spans="1:28" x14ac:dyDescent="0.25">
      <c r="A23" s="57">
        <v>14</v>
      </c>
      <c r="B23" s="58" t="s">
        <v>38</v>
      </c>
      <c r="C23" s="59">
        <v>7</v>
      </c>
      <c r="D23" s="46">
        <v>4</v>
      </c>
      <c r="E23" s="27">
        <v>1</v>
      </c>
      <c r="F23" s="28">
        <v>3</v>
      </c>
      <c r="G23" s="28"/>
      <c r="H23" s="46"/>
      <c r="I23" s="30">
        <v>3</v>
      </c>
      <c r="J23" s="27"/>
      <c r="K23" s="28"/>
      <c r="L23" s="29"/>
      <c r="M23" s="30"/>
      <c r="N23" s="302"/>
      <c r="O23" s="303"/>
      <c r="P23" s="303"/>
      <c r="Q23" s="303"/>
      <c r="R23" s="150"/>
      <c r="S23" s="151"/>
      <c r="T23" s="151"/>
      <c r="U23" s="153"/>
    </row>
    <row r="24" spans="1:28" ht="15.75" thickBot="1" x14ac:dyDescent="0.3">
      <c r="A24" s="171">
        <v>15</v>
      </c>
      <c r="B24" s="172" t="s">
        <v>44</v>
      </c>
      <c r="C24" s="170">
        <v>4</v>
      </c>
      <c r="D24" s="99">
        <v>2</v>
      </c>
      <c r="E24" s="100"/>
      <c r="F24" s="39">
        <v>1</v>
      </c>
      <c r="G24" s="101"/>
      <c r="H24" s="46">
        <v>1</v>
      </c>
      <c r="I24" s="102">
        <v>2</v>
      </c>
      <c r="J24" s="100"/>
      <c r="K24" s="83"/>
      <c r="L24" s="101"/>
      <c r="M24" s="102"/>
      <c r="N24" s="146"/>
      <c r="O24" s="104"/>
      <c r="P24" s="104"/>
      <c r="Q24" s="104"/>
      <c r="R24" s="150"/>
      <c r="S24" s="151"/>
      <c r="T24" s="151"/>
      <c r="U24" s="153"/>
    </row>
    <row r="25" spans="1:28" ht="15.75" thickBot="1" x14ac:dyDescent="0.3">
      <c r="A25" s="379" t="s">
        <v>39</v>
      </c>
      <c r="B25" s="379"/>
      <c r="C25" s="164"/>
      <c r="D25" s="40"/>
      <c r="E25" s="41"/>
      <c r="F25" s="28"/>
      <c r="G25" s="29"/>
      <c r="H25" s="46"/>
      <c r="I25" s="42"/>
      <c r="J25" s="27"/>
      <c r="K25" s="28"/>
      <c r="L25" s="29"/>
      <c r="M25" s="30"/>
      <c r="N25" s="302"/>
      <c r="O25" s="303"/>
      <c r="P25" s="303"/>
      <c r="Q25" s="303"/>
      <c r="R25" s="150"/>
      <c r="S25" s="151"/>
      <c r="T25" s="151"/>
      <c r="U25" s="153"/>
      <c r="AB25" s="148"/>
    </row>
    <row r="26" spans="1:28" x14ac:dyDescent="0.25">
      <c r="A26" s="62">
        <v>16</v>
      </c>
      <c r="B26" s="165" t="s">
        <v>40</v>
      </c>
      <c r="C26" s="45">
        <v>2</v>
      </c>
      <c r="D26" s="64">
        <v>2</v>
      </c>
      <c r="E26" s="65"/>
      <c r="F26" s="28">
        <v>1</v>
      </c>
      <c r="G26" s="66">
        <v>1</v>
      </c>
      <c r="H26" s="67"/>
      <c r="I26" s="68"/>
      <c r="J26" s="27"/>
      <c r="K26" s="28"/>
      <c r="L26" s="29"/>
      <c r="M26" s="30"/>
      <c r="N26" s="302"/>
      <c r="O26" s="303"/>
      <c r="P26" s="303"/>
      <c r="Q26" s="303"/>
      <c r="R26" s="150"/>
      <c r="S26" s="151"/>
      <c r="T26" s="151"/>
      <c r="U26" s="153"/>
    </row>
    <row r="27" spans="1:28" x14ac:dyDescent="0.25">
      <c r="A27" s="69">
        <v>17</v>
      </c>
      <c r="B27" s="166" t="s">
        <v>25</v>
      </c>
      <c r="C27" s="45"/>
      <c r="D27" s="64"/>
      <c r="E27" s="65"/>
      <c r="F27" s="28"/>
      <c r="G27" s="66"/>
      <c r="H27" s="67"/>
      <c r="I27" s="68"/>
      <c r="J27" s="27"/>
      <c r="K27" s="28"/>
      <c r="L27" s="29"/>
      <c r="M27" s="30"/>
      <c r="N27" s="302"/>
      <c r="O27" s="303"/>
      <c r="P27" s="303"/>
      <c r="Q27" s="303"/>
      <c r="R27" s="150"/>
      <c r="S27" s="151"/>
      <c r="T27" s="151"/>
      <c r="U27" s="153"/>
    </row>
    <row r="28" spans="1:28" x14ac:dyDescent="0.25">
      <c r="A28" s="70">
        <v>18</v>
      </c>
      <c r="B28" s="167" t="s">
        <v>41</v>
      </c>
      <c r="C28" s="71">
        <v>1</v>
      </c>
      <c r="D28" s="64">
        <v>1</v>
      </c>
      <c r="E28" s="72"/>
      <c r="F28" s="73">
        <v>1</v>
      </c>
      <c r="G28" s="66"/>
      <c r="H28" s="67"/>
      <c r="I28" s="74"/>
      <c r="J28" s="65"/>
      <c r="K28" s="75"/>
      <c r="L28" s="76"/>
      <c r="M28" s="77"/>
      <c r="N28" s="300"/>
      <c r="O28" s="301"/>
      <c r="P28" s="301"/>
      <c r="Q28" s="301"/>
      <c r="R28" s="150"/>
      <c r="S28" s="151"/>
      <c r="T28" s="151"/>
      <c r="U28" s="153"/>
    </row>
    <row r="29" spans="1:28" ht="15.75" thickBot="1" x14ac:dyDescent="0.3">
      <c r="A29" s="168">
        <v>19</v>
      </c>
      <c r="B29" s="169" t="s">
        <v>42</v>
      </c>
      <c r="C29" s="80">
        <v>2</v>
      </c>
      <c r="D29" s="81">
        <v>1</v>
      </c>
      <c r="E29" s="82">
        <v>1</v>
      </c>
      <c r="F29" s="83"/>
      <c r="G29" s="84"/>
      <c r="H29" s="85"/>
      <c r="I29" s="86">
        <v>1</v>
      </c>
      <c r="J29" s="82"/>
      <c r="K29" s="83"/>
      <c r="L29" s="87"/>
      <c r="M29" s="88"/>
      <c r="N29" s="270"/>
      <c r="O29" s="271"/>
      <c r="P29" s="271"/>
      <c r="Q29" s="271"/>
      <c r="R29" s="150"/>
      <c r="S29" s="151"/>
      <c r="T29" s="151"/>
      <c r="U29" s="153"/>
    </row>
    <row r="30" spans="1:28" ht="15.75" thickBot="1" x14ac:dyDescent="0.3">
      <c r="A30" s="105"/>
      <c r="B30" s="106" t="s">
        <v>45</v>
      </c>
      <c r="C30" s="107">
        <v>73</v>
      </c>
      <c r="D30" s="107">
        <v>42</v>
      </c>
      <c r="E30" s="108">
        <v>7</v>
      </c>
      <c r="F30" s="107">
        <v>31</v>
      </c>
      <c r="G30" s="109">
        <v>2</v>
      </c>
      <c r="H30" s="160">
        <v>2</v>
      </c>
      <c r="I30" s="177">
        <v>31</v>
      </c>
      <c r="J30" s="108"/>
      <c r="K30" s="107"/>
      <c r="L30" s="109"/>
      <c r="M30" s="107"/>
      <c r="N30" s="281"/>
      <c r="O30" s="282"/>
      <c r="P30" s="282"/>
      <c r="Q30" s="282"/>
      <c r="R30" s="150"/>
      <c r="S30" s="151"/>
      <c r="T30" s="151"/>
      <c r="U30" s="153"/>
    </row>
    <row r="31" spans="1:28" ht="15.75" customHeight="1" x14ac:dyDescent="0.25">
      <c r="A31" s="283" t="s">
        <v>302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150"/>
      <c r="S31" s="151"/>
      <c r="T31" s="194"/>
      <c r="U31" s="153"/>
    </row>
    <row r="32" spans="1:28" ht="15" customHeight="1" thickBot="1" x14ac:dyDescent="0.3">
      <c r="A32" s="285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150"/>
      <c r="S32" s="151"/>
      <c r="T32" s="151"/>
      <c r="U32" s="153"/>
    </row>
    <row r="33" spans="1:40" ht="15" customHeight="1" x14ac:dyDescent="0.25">
      <c r="A33" s="369" t="s">
        <v>47</v>
      </c>
      <c r="B33" s="371" t="s">
        <v>48</v>
      </c>
      <c r="C33" s="371" t="s">
        <v>49</v>
      </c>
      <c r="D33" s="371"/>
      <c r="E33" s="371" t="s">
        <v>50</v>
      </c>
      <c r="F33" s="371"/>
      <c r="G33" s="291" t="s">
        <v>51</v>
      </c>
      <c r="H33" s="292"/>
      <c r="I33" s="375" t="s">
        <v>52</v>
      </c>
      <c r="J33" s="375"/>
      <c r="K33" s="375"/>
      <c r="L33" s="375"/>
      <c r="M33" s="375"/>
      <c r="N33" s="375"/>
      <c r="O33" s="375"/>
      <c r="P33" s="376"/>
      <c r="Q33" s="377" t="s">
        <v>53</v>
      </c>
      <c r="R33" s="150"/>
      <c r="S33" s="151"/>
      <c r="T33" s="151"/>
      <c r="U33" s="153"/>
    </row>
    <row r="34" spans="1:40" ht="15.75" thickBot="1" x14ac:dyDescent="0.3">
      <c r="A34" s="370"/>
      <c r="B34" s="372"/>
      <c r="C34" s="372"/>
      <c r="D34" s="372"/>
      <c r="E34" s="372"/>
      <c r="F34" s="372"/>
      <c r="G34" s="373"/>
      <c r="H34" s="374"/>
      <c r="I34" s="162" t="s">
        <v>54</v>
      </c>
      <c r="J34" s="162" t="s">
        <v>55</v>
      </c>
      <c r="K34" s="162" t="s">
        <v>56</v>
      </c>
      <c r="L34" s="162" t="s">
        <v>57</v>
      </c>
      <c r="M34" s="162" t="s">
        <v>58</v>
      </c>
      <c r="N34" s="162" t="s">
        <v>59</v>
      </c>
      <c r="O34" s="162" t="s">
        <v>60</v>
      </c>
      <c r="P34" s="163" t="s">
        <v>61</v>
      </c>
      <c r="Q34" s="378"/>
      <c r="R34" s="150"/>
      <c r="S34" s="151"/>
      <c r="T34" s="151"/>
      <c r="U34" s="153"/>
    </row>
    <row r="35" spans="1:40" s="123" customFormat="1" ht="16.5" thickBot="1" x14ac:dyDescent="0.3">
      <c r="A35" s="161"/>
      <c r="B35" s="223"/>
      <c r="C35" s="361"/>
      <c r="D35" s="362"/>
      <c r="E35" s="367"/>
      <c r="F35" s="367"/>
      <c r="G35" s="193"/>
      <c r="H35" s="193"/>
      <c r="I35" s="147"/>
      <c r="J35" s="147"/>
      <c r="K35" s="147"/>
      <c r="L35" s="147"/>
      <c r="M35" s="147"/>
      <c r="N35" s="147"/>
      <c r="O35" s="147"/>
      <c r="P35" s="147"/>
      <c r="Q35" s="183"/>
      <c r="R35" s="142"/>
      <c r="S35" s="154"/>
      <c r="T35" s="184"/>
      <c r="U35" s="15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6.5" thickBot="1" x14ac:dyDescent="0.3">
      <c r="A36" s="161"/>
      <c r="B36" s="223"/>
      <c r="C36" s="361"/>
      <c r="D36" s="362"/>
      <c r="E36" s="363"/>
      <c r="F36" s="364"/>
      <c r="G36" s="193"/>
      <c r="H36" s="193"/>
      <c r="I36" s="147"/>
      <c r="J36" s="147"/>
      <c r="K36" s="147"/>
      <c r="L36" s="147"/>
      <c r="M36" s="147"/>
      <c r="N36" s="147"/>
      <c r="O36" s="147"/>
      <c r="P36" s="147"/>
      <c r="Q36" s="156"/>
      <c r="R36" s="191" t="s">
        <v>74</v>
      </c>
      <c r="S36" s="154">
        <f>SUM(S5:S35)</f>
        <v>88</v>
      </c>
      <c r="T36" s="226"/>
      <c r="U36" s="185">
        <f>SUM(U5:U35)</f>
        <v>91</v>
      </c>
    </row>
    <row r="37" spans="1:40" ht="15.75" x14ac:dyDescent="0.25">
      <c r="A37" s="161"/>
      <c r="B37" s="272"/>
      <c r="C37" s="361"/>
      <c r="D37" s="362"/>
      <c r="E37" s="363"/>
      <c r="F37" s="364"/>
      <c r="G37" s="193"/>
      <c r="H37" s="193"/>
      <c r="I37" s="147"/>
      <c r="J37" s="147"/>
      <c r="K37" s="147"/>
      <c r="L37" s="147"/>
      <c r="M37" s="147"/>
      <c r="N37" s="147"/>
      <c r="O37" s="147"/>
      <c r="P37" s="147"/>
      <c r="Q37" s="178"/>
    </row>
    <row r="38" spans="1:40" ht="18" customHeight="1" x14ac:dyDescent="0.25">
      <c r="A38" s="161"/>
      <c r="B38" s="272"/>
      <c r="C38" s="361"/>
      <c r="D38" s="362"/>
      <c r="E38" s="363"/>
      <c r="F38" s="364"/>
      <c r="G38" s="193"/>
      <c r="H38" s="193"/>
      <c r="I38" s="147"/>
      <c r="J38" s="147"/>
      <c r="K38" s="147"/>
      <c r="L38" s="147"/>
      <c r="M38" s="147"/>
      <c r="N38" s="147"/>
      <c r="O38" s="147"/>
      <c r="P38" s="147"/>
      <c r="Q38" s="178"/>
    </row>
    <row r="39" spans="1:40" ht="18.75" customHeight="1" x14ac:dyDescent="0.25">
      <c r="A39" s="161"/>
      <c r="B39" s="272"/>
      <c r="C39" s="361"/>
      <c r="D39" s="362"/>
      <c r="E39" s="367"/>
      <c r="F39" s="367"/>
      <c r="G39" s="193"/>
      <c r="H39" s="193"/>
      <c r="I39" s="147"/>
      <c r="J39" s="147"/>
      <c r="K39" s="147"/>
      <c r="L39" s="147"/>
      <c r="M39" s="147"/>
      <c r="N39" s="147"/>
      <c r="O39" s="147"/>
      <c r="P39" s="147"/>
      <c r="Q39" s="131"/>
      <c r="X39" s="181"/>
    </row>
    <row r="40" spans="1:40" ht="17.25" customHeight="1" x14ac:dyDescent="0.25">
      <c r="A40" s="143"/>
      <c r="B40" s="272"/>
      <c r="C40" s="361"/>
      <c r="D40" s="362"/>
      <c r="E40" s="367"/>
      <c r="F40" s="367"/>
      <c r="G40" s="193"/>
      <c r="H40" s="193"/>
      <c r="I40" s="147"/>
      <c r="J40" s="147"/>
      <c r="K40" s="147"/>
      <c r="L40" s="147"/>
      <c r="M40" s="147"/>
      <c r="N40" s="147"/>
      <c r="O40" s="147"/>
      <c r="P40" s="147"/>
      <c r="Q40" s="182"/>
      <c r="X40" s="181"/>
    </row>
    <row r="41" spans="1:40" ht="15.75" x14ac:dyDescent="0.25">
      <c r="A41" s="161"/>
      <c r="B41" s="272"/>
      <c r="C41" s="361"/>
      <c r="D41" s="362"/>
      <c r="E41" s="367"/>
      <c r="F41" s="367"/>
      <c r="G41" s="193"/>
      <c r="H41" s="193"/>
      <c r="I41" s="147"/>
      <c r="J41" s="147"/>
      <c r="K41" s="147"/>
      <c r="L41" s="147"/>
      <c r="M41" s="147"/>
      <c r="N41" s="147"/>
      <c r="O41" s="147"/>
      <c r="P41" s="147"/>
      <c r="Q41" s="131"/>
    </row>
    <row r="42" spans="1:40" ht="18.600000000000001" customHeight="1" x14ac:dyDescent="0.25">
      <c r="A42" s="161"/>
      <c r="B42" s="272"/>
      <c r="C42" s="361"/>
      <c r="D42" s="362"/>
      <c r="E42" s="367"/>
      <c r="F42" s="367"/>
      <c r="G42" s="193"/>
      <c r="H42" s="193"/>
      <c r="I42" s="147"/>
      <c r="J42" s="147"/>
      <c r="K42" s="147"/>
      <c r="L42" s="147"/>
      <c r="M42" s="147"/>
      <c r="N42" s="147"/>
      <c r="O42" s="147"/>
      <c r="P42" s="147"/>
      <c r="Q42" s="131"/>
    </row>
    <row r="43" spans="1:40" ht="18.600000000000001" customHeight="1" x14ac:dyDescent="0.25">
      <c r="A43" s="143"/>
      <c r="B43" s="193"/>
      <c r="C43" s="368"/>
      <c r="D43" s="368"/>
      <c r="E43" s="367"/>
      <c r="F43" s="367"/>
      <c r="G43" s="193"/>
      <c r="H43" s="193"/>
      <c r="I43" s="147"/>
      <c r="J43" s="147"/>
      <c r="K43" s="147"/>
      <c r="L43" s="147"/>
      <c r="M43" s="147"/>
      <c r="N43" s="147"/>
      <c r="O43" s="147"/>
      <c r="P43" s="147"/>
      <c r="Q43" s="180"/>
    </row>
    <row r="44" spans="1:40" ht="18.600000000000001" customHeight="1" x14ac:dyDescent="0.25">
      <c r="A44" s="189"/>
      <c r="B44" s="190"/>
      <c r="C44" s="361"/>
      <c r="D44" s="362"/>
      <c r="E44" s="363"/>
      <c r="F44" s="364"/>
      <c r="G44" s="190"/>
      <c r="H44" s="190"/>
      <c r="I44" s="179"/>
      <c r="J44" s="179"/>
      <c r="K44" s="179"/>
      <c r="L44" s="179"/>
      <c r="M44" s="179"/>
      <c r="N44" s="179"/>
      <c r="O44" s="179"/>
      <c r="P44" s="179"/>
      <c r="Q44" s="180"/>
    </row>
    <row r="45" spans="1:40" ht="18.600000000000001" customHeight="1" x14ac:dyDescent="0.25">
      <c r="A45" s="189"/>
      <c r="B45" s="190"/>
      <c r="C45" s="361"/>
      <c r="D45" s="362"/>
      <c r="E45" s="363"/>
      <c r="F45" s="364"/>
      <c r="G45" s="190"/>
      <c r="H45" s="190"/>
      <c r="I45" s="179"/>
      <c r="J45" s="179"/>
      <c r="K45" s="179"/>
      <c r="L45" s="179"/>
      <c r="M45" s="179"/>
      <c r="N45" s="179"/>
      <c r="O45" s="179"/>
      <c r="P45" s="179"/>
      <c r="Q45" s="180"/>
    </row>
    <row r="46" spans="1:40" ht="15.6" customHeight="1" thickBot="1" x14ac:dyDescent="0.3">
      <c r="A46" s="144"/>
      <c r="B46" s="273"/>
      <c r="C46" s="365"/>
      <c r="D46" s="365"/>
      <c r="E46" s="366"/>
      <c r="F46" s="366"/>
      <c r="G46" s="145"/>
      <c r="H46" s="145"/>
      <c r="I46" s="157"/>
      <c r="J46" s="157"/>
      <c r="K46" s="157"/>
      <c r="L46" s="157"/>
      <c r="M46" s="157"/>
      <c r="N46" s="157"/>
      <c r="O46" s="157"/>
      <c r="P46" s="158"/>
      <c r="Q46" s="138"/>
    </row>
    <row r="47" spans="1:40" x14ac:dyDescent="0.25">
      <c r="G47" s="140"/>
    </row>
  </sheetData>
  <mergeCells count="80"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N30:Q30"/>
    <mergeCell ref="A31:Q32"/>
    <mergeCell ref="A33:A34"/>
    <mergeCell ref="B33:B34"/>
    <mergeCell ref="C33:D34"/>
    <mergeCell ref="E33:F34"/>
    <mergeCell ref="G33:H34"/>
    <mergeCell ref="I33:P33"/>
    <mergeCell ref="Q33:Q34"/>
    <mergeCell ref="N23:Q23"/>
    <mergeCell ref="A25:B25"/>
    <mergeCell ref="N25:Q25"/>
    <mergeCell ref="N26:Q26"/>
    <mergeCell ref="N27:Q27"/>
    <mergeCell ref="N28:Q28"/>
    <mergeCell ref="N18:Q18"/>
    <mergeCell ref="A19:B19"/>
    <mergeCell ref="N19:Q19"/>
    <mergeCell ref="N20:Q20"/>
    <mergeCell ref="N21:Q21"/>
    <mergeCell ref="N22:Q22"/>
    <mergeCell ref="N12:Q12"/>
    <mergeCell ref="N13:Q13"/>
    <mergeCell ref="N14:Q14"/>
    <mergeCell ref="N15:Q15"/>
    <mergeCell ref="N16:Q16"/>
    <mergeCell ref="N17:Q17"/>
    <mergeCell ref="N8:Q8"/>
    <mergeCell ref="A9:B9"/>
    <mergeCell ref="N9:Q9"/>
    <mergeCell ref="N10:Q10"/>
    <mergeCell ref="A11:B11"/>
    <mergeCell ref="N11:Q11"/>
    <mergeCell ref="T3:T4"/>
    <mergeCell ref="A5:B5"/>
    <mergeCell ref="N5:Q5"/>
    <mergeCell ref="N6:Q6"/>
    <mergeCell ref="A7:B7"/>
    <mergeCell ref="N7:Q7"/>
    <mergeCell ref="R2:T2"/>
    <mergeCell ref="U2:U4"/>
    <mergeCell ref="D3:D4"/>
    <mergeCell ref="E3:G3"/>
    <mergeCell ref="H3:H4"/>
    <mergeCell ref="I3:I4"/>
    <mergeCell ref="J3:L3"/>
    <mergeCell ref="M3:M4"/>
    <mergeCell ref="R3:R4"/>
    <mergeCell ref="S3:S4"/>
    <mergeCell ref="A1:Q1"/>
    <mergeCell ref="A2:A4"/>
    <mergeCell ref="B2:B4"/>
    <mergeCell ref="C2:C4"/>
    <mergeCell ref="D2:H2"/>
    <mergeCell ref="I2:M2"/>
    <mergeCell ref="N2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01.01.2026ж.</vt:lpstr>
      <vt:lpstr>24.09.26ж.</vt:lpstr>
      <vt:lpstr>25.09.26ж.</vt:lpstr>
      <vt:lpstr>26.09.26ж.</vt:lpstr>
      <vt:lpstr>05.10.26ж.</vt:lpstr>
      <vt:lpstr>06.10.26ж.</vt:lpstr>
      <vt:lpstr>07.10.26ж.</vt:lpstr>
      <vt:lpstr>08.10.26ж.</vt:lpstr>
      <vt:lpstr>09.10.26ж.</vt:lpstr>
      <vt:lpstr>10.10.26ж.</vt:lpstr>
      <vt:lpstr>11.10.26ж.</vt:lpstr>
      <vt:lpstr>12.10.26ж.</vt:lpstr>
      <vt:lpstr>13.10.26ж.</vt:lpstr>
      <vt:lpstr>14.10.26ж.</vt:lpstr>
      <vt:lpstr>15.10.26ж.</vt:lpstr>
      <vt:lpstr>16.10.26ж.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Узакбаев Бердаулет Темирбаевич</dc:creator>
  <cp:lastModifiedBy>Жумакалиев Исатай Аскарович</cp:lastModifiedBy>
  <dcterms:created xsi:type="dcterms:W3CDTF">2015-06-05T18:17:20Z</dcterms:created>
  <dcterms:modified xsi:type="dcterms:W3CDTF">2026-10-16T01:32:28Z</dcterms:modified>
</cp:coreProperties>
</file>