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kbm.kz\ffs2\ATS\ЕЖЕДНЕВНЫЕ СВОДКИ МЕСТОРОЖДЕНИЕ\Колонна №4\Серік\"/>
    </mc:Choice>
  </mc:AlternateContent>
  <xr:revisionPtr revIDLastSave="0" documentId="13_ncr:1_{E82F0E2F-EF02-4993-9251-95302205C90D}" xr6:coauthVersionLast="47" xr6:coauthVersionMax="47" xr10:uidLastSave="{00000000-0000-0000-0000-000000000000}"/>
  <bookViews>
    <workbookView xWindow="-120" yWindow="-120" windowWidth="29040" windowHeight="15840" tabRatio="772" firstSheet="21" activeTab="36" xr2:uid="{00000000-000D-0000-FFFF-FFFF00000000}"/>
  </bookViews>
  <sheets>
    <sheet name="17.09.26" sheetId="994" r:id="rId1"/>
    <sheet name="18.09.26" sheetId="995" r:id="rId2"/>
    <sheet name="19.09.26" sheetId="996" r:id="rId3"/>
    <sheet name="20.09.26" sheetId="997" r:id="rId4"/>
    <sheet name="21.09.26" sheetId="998" r:id="rId5"/>
    <sheet name="22.09.26" sheetId="999" r:id="rId6"/>
    <sheet name="23.09.26" sheetId="1000" r:id="rId7"/>
    <sheet name="24.09.26" sheetId="1001" r:id="rId8"/>
    <sheet name="25.09.26" sheetId="1002" r:id="rId9"/>
    <sheet name="26.09.26" sheetId="1003" r:id="rId10"/>
    <sheet name="27.09.26" sheetId="1004" r:id="rId11"/>
    <sheet name="28.09.26" sheetId="1005" r:id="rId12"/>
    <sheet name="29.09.26" sheetId="1006" r:id="rId13"/>
    <sheet name="30.09.26" sheetId="1007" r:id="rId14"/>
    <sheet name="01.10.26" sheetId="1008" r:id="rId15"/>
    <sheet name="02.10.26" sheetId="1009" r:id="rId16"/>
    <sheet name="03.10.26" sheetId="1010" r:id="rId17"/>
    <sheet name="04.10.26" sheetId="1011" r:id="rId18"/>
    <sheet name="05.10.26" sheetId="1012" r:id="rId19"/>
    <sheet name="06.10.2026" sheetId="1013" r:id="rId20"/>
    <sheet name="07.10.26" sheetId="1014" r:id="rId21"/>
    <sheet name="08.10.26" sheetId="1015" r:id="rId22"/>
    <sheet name="09.10.26" sheetId="1016" r:id="rId23"/>
    <sheet name="10.10.26" sheetId="1017" r:id="rId24"/>
    <sheet name="11.10.26" sheetId="1018" r:id="rId25"/>
    <sheet name="12.10.26" sheetId="1019" r:id="rId26"/>
    <sheet name="13.10.26" sheetId="1020" r:id="rId27"/>
    <sheet name="14.10.26" sheetId="1021" r:id="rId28"/>
    <sheet name="15.10.26" sheetId="1022" r:id="rId29"/>
    <sheet name="16.10.26" sheetId="1023" r:id="rId30"/>
    <sheet name="17.10.26" sheetId="1024" r:id="rId31"/>
    <sheet name="18.10.26" sheetId="1025" r:id="rId32"/>
    <sheet name="19.10.2026" sheetId="1026" r:id="rId33"/>
    <sheet name="20.10.2026" sheetId="1027" r:id="rId34"/>
    <sheet name="21.10.2026" sheetId="1028" r:id="rId35"/>
    <sheet name="22.10.2026" sheetId="1029" r:id="rId36"/>
    <sheet name="23.10.2026" sheetId="1030" r:id="rId3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9" i="1030" l="1"/>
  <c r="M19" i="1030"/>
  <c r="L19" i="1030"/>
  <c r="N15" i="1030"/>
  <c r="M15" i="1030"/>
  <c r="L15" i="1030"/>
  <c r="N15" i="1029"/>
  <c r="M15" i="1029"/>
  <c r="L15" i="1029"/>
  <c r="N19" i="1029"/>
  <c r="M19" i="1029"/>
  <c r="L19" i="1029"/>
  <c r="N19" i="1028"/>
  <c r="M19" i="1028"/>
  <c r="L19" i="1028"/>
  <c r="N5" i="1028"/>
  <c r="M5" i="1028"/>
  <c r="L5" i="1028"/>
  <c r="N5" i="1027"/>
  <c r="M5" i="1027"/>
  <c r="L5" i="1027"/>
  <c r="N19" i="1027"/>
  <c r="M19" i="1027"/>
  <c r="L19" i="1027"/>
  <c r="N19" i="1026"/>
  <c r="M19" i="1026"/>
  <c r="L19" i="1026"/>
  <c r="N7" i="1026"/>
  <c r="M7" i="1026"/>
  <c r="L7" i="1026"/>
  <c r="N6" i="1026"/>
  <c r="M6" i="1026"/>
  <c r="L6" i="1026"/>
  <c r="N5" i="1026"/>
  <c r="M5" i="1026"/>
  <c r="L5" i="1026"/>
  <c r="N19" i="1025"/>
  <c r="M19" i="1025"/>
  <c r="L19" i="1025"/>
  <c r="N7" i="1025"/>
  <c r="M7" i="1025"/>
  <c r="L7" i="1025"/>
  <c r="N6" i="1025"/>
  <c r="M6" i="1025"/>
  <c r="L6" i="1025"/>
  <c r="N5" i="1025"/>
  <c r="M5" i="1025"/>
  <c r="L5" i="1025"/>
  <c r="N19" i="1024"/>
  <c r="M19" i="1024"/>
  <c r="L19" i="1024"/>
  <c r="N7" i="1024"/>
  <c r="M7" i="1024"/>
  <c r="L7" i="1024"/>
  <c r="N6" i="1024"/>
  <c r="M6" i="1024"/>
  <c r="L6" i="1024"/>
  <c r="N5" i="1024"/>
  <c r="M5" i="1024"/>
  <c r="L5" i="1024"/>
  <c r="N19" i="1023"/>
  <c r="M19" i="1023"/>
  <c r="L19" i="1023"/>
  <c r="N7" i="1023"/>
  <c r="M7" i="1023"/>
  <c r="L7" i="1023"/>
  <c r="N6" i="1023"/>
  <c r="M6" i="1023"/>
  <c r="L6" i="1023"/>
  <c r="N5" i="1023"/>
  <c r="M5" i="1023"/>
  <c r="L5" i="1023"/>
  <c r="N19" i="1022"/>
  <c r="M19" i="1022"/>
  <c r="L19" i="1022"/>
  <c r="N7" i="1022"/>
  <c r="M7" i="1022"/>
  <c r="L7" i="1022"/>
  <c r="N6" i="1022"/>
  <c r="M6" i="1022"/>
  <c r="L6" i="1022"/>
  <c r="N5" i="1022"/>
  <c r="M5" i="1022"/>
  <c r="L5" i="1022"/>
  <c r="N7" i="1021"/>
  <c r="M7" i="1021"/>
  <c r="L7" i="1021"/>
  <c r="N6" i="1021"/>
  <c r="M6" i="1021"/>
  <c r="L6" i="1021"/>
  <c r="N19" i="1021"/>
  <c r="M19" i="1021"/>
  <c r="L19" i="1021"/>
  <c r="N5" i="1021"/>
  <c r="M5" i="1021"/>
  <c r="L5" i="1021"/>
  <c r="L8" i="1020"/>
  <c r="M8" i="1020"/>
  <c r="N8" i="1020"/>
  <c r="N7" i="1020" l="1"/>
  <c r="M7" i="1020"/>
  <c r="L7" i="1020"/>
  <c r="N6" i="1020"/>
  <c r="M6" i="1020"/>
  <c r="L6" i="1020"/>
  <c r="N5" i="1020"/>
  <c r="M5" i="1020"/>
  <c r="L5" i="1020"/>
  <c r="N19" i="1020"/>
  <c r="M19" i="1020"/>
  <c r="L19" i="1020"/>
  <c r="L10" i="1019"/>
  <c r="M10" i="1019"/>
  <c r="N10" i="1019"/>
  <c r="L9" i="1019"/>
  <c r="M9" i="1019"/>
  <c r="N9" i="1019"/>
  <c r="N19" i="1019" l="1"/>
  <c r="M19" i="1019"/>
  <c r="L19" i="1019"/>
  <c r="N8" i="1019"/>
  <c r="M8" i="1019"/>
  <c r="L8" i="1019"/>
  <c r="N7" i="1019"/>
  <c r="M7" i="1019"/>
  <c r="L7" i="1019"/>
  <c r="N6" i="1019"/>
  <c r="M6" i="1019"/>
  <c r="L6" i="1019"/>
  <c r="N5" i="1019"/>
  <c r="M5" i="1019"/>
  <c r="L5" i="1019"/>
  <c r="N8" i="1018"/>
  <c r="M8" i="1018"/>
  <c r="L8" i="1018"/>
  <c r="N19" i="1018" l="1"/>
  <c r="M19" i="1018"/>
  <c r="L19" i="1018"/>
  <c r="N7" i="1018"/>
  <c r="M7" i="1018"/>
  <c r="L7" i="1018"/>
  <c r="N6" i="1018"/>
  <c r="M6" i="1018"/>
  <c r="L6" i="1018"/>
  <c r="N5" i="1018"/>
  <c r="M5" i="1018"/>
  <c r="L5" i="1018"/>
  <c r="L8" i="1017"/>
  <c r="M8" i="1017"/>
  <c r="N8" i="1017"/>
  <c r="N19" i="1017" l="1"/>
  <c r="M19" i="1017"/>
  <c r="L19" i="1017"/>
  <c r="N7" i="1017"/>
  <c r="M7" i="1017"/>
  <c r="L7" i="1017"/>
  <c r="N6" i="1017"/>
  <c r="M6" i="1017"/>
  <c r="L6" i="1017"/>
  <c r="N5" i="1017"/>
  <c r="M5" i="1017"/>
  <c r="L5" i="1017"/>
  <c r="L7" i="1016"/>
  <c r="M7" i="1016"/>
  <c r="N7" i="1016"/>
  <c r="N19" i="1016"/>
  <c r="M19" i="1016"/>
  <c r="L19" i="1016"/>
  <c r="N6" i="1016"/>
  <c r="M6" i="1016"/>
  <c r="L6" i="1016"/>
  <c r="N5" i="1016"/>
  <c r="M5" i="1016"/>
  <c r="L5" i="1016"/>
  <c r="N19" i="1015"/>
  <c r="M19" i="1015"/>
  <c r="L19" i="1015"/>
  <c r="N6" i="1015"/>
  <c r="M6" i="1015"/>
  <c r="L6" i="1015"/>
  <c r="N5" i="1015"/>
  <c r="M5" i="1015"/>
  <c r="L5" i="1015"/>
  <c r="N19" i="1014"/>
  <c r="M19" i="1014"/>
  <c r="L19" i="1014"/>
  <c r="N6" i="1014"/>
  <c r="M6" i="1014"/>
  <c r="L6" i="1014"/>
  <c r="N5" i="1014"/>
  <c r="M5" i="1014"/>
  <c r="L5" i="1014"/>
  <c r="N6" i="1013"/>
  <c r="M6" i="1013"/>
  <c r="L6" i="1013"/>
  <c r="N19" i="1013"/>
  <c r="M19" i="1013"/>
  <c r="L19" i="1013"/>
  <c r="N5" i="1013"/>
  <c r="M5" i="1013"/>
  <c r="L5" i="1013"/>
  <c r="N19" i="1012"/>
  <c r="M19" i="1012"/>
  <c r="L19" i="1012"/>
  <c r="N5" i="1012"/>
  <c r="M5" i="1012"/>
  <c r="L5" i="1012"/>
  <c r="N19" i="1011"/>
  <c r="M19" i="1011"/>
  <c r="L19" i="1011"/>
  <c r="N5" i="1011"/>
  <c r="M5" i="1011"/>
  <c r="L5" i="1011"/>
  <c r="N6" i="1010"/>
  <c r="M6" i="1010"/>
  <c r="L6" i="1010"/>
  <c r="N19" i="1010" l="1"/>
  <c r="M19" i="1010"/>
  <c r="L19" i="1010"/>
  <c r="N5" i="1010"/>
  <c r="M5" i="1010"/>
  <c r="L5" i="1010"/>
  <c r="N19" i="1009"/>
  <c r="M19" i="1009"/>
  <c r="L19" i="1009"/>
  <c r="N5" i="1009"/>
  <c r="M5" i="1009"/>
  <c r="L5" i="1009"/>
  <c r="N19" i="1008"/>
  <c r="M19" i="1008"/>
  <c r="L19" i="1008"/>
  <c r="N6" i="1008"/>
  <c r="M6" i="1008"/>
  <c r="L6" i="1008"/>
  <c r="N5" i="1008"/>
  <c r="M5" i="1008"/>
  <c r="L5" i="1008"/>
  <c r="N19" i="1007" l="1"/>
  <c r="M19" i="1007"/>
  <c r="L19" i="1007"/>
  <c r="N6" i="1007" l="1"/>
  <c r="M6" i="1007"/>
  <c r="L6" i="1007"/>
  <c r="N5" i="1007"/>
  <c r="M5" i="1007"/>
  <c r="L5" i="1007"/>
  <c r="N6" i="1006"/>
  <c r="M6" i="1006"/>
  <c r="L6" i="1006"/>
  <c r="N5" i="1006"/>
  <c r="M5" i="1006"/>
  <c r="L5" i="1006"/>
  <c r="N6" i="1005"/>
  <c r="M6" i="1005"/>
  <c r="L6" i="1005"/>
  <c r="N5" i="1005" l="1"/>
  <c r="M5" i="1005"/>
  <c r="L5" i="1005"/>
  <c r="L7" i="1004"/>
  <c r="M7" i="1004"/>
  <c r="N7" i="1004"/>
  <c r="N6" i="1004"/>
  <c r="M6" i="1004"/>
  <c r="L6" i="1004"/>
  <c r="N5" i="1004"/>
  <c r="M5" i="1004"/>
  <c r="L5" i="1004"/>
  <c r="N7" i="1003"/>
  <c r="M7" i="1003"/>
  <c r="L7" i="1003"/>
  <c r="N6" i="1003" l="1"/>
  <c r="M6" i="1003"/>
  <c r="L6" i="1003"/>
  <c r="N5" i="1003"/>
  <c r="M5" i="1003"/>
  <c r="L5" i="1003"/>
  <c r="N7" i="1002"/>
  <c r="M7" i="1002"/>
  <c r="L7" i="1002"/>
  <c r="N6" i="1002" l="1"/>
  <c r="M6" i="1002"/>
  <c r="L6" i="1002"/>
  <c r="N5" i="1002"/>
  <c r="M5" i="1002"/>
  <c r="L5" i="1002"/>
  <c r="L8" i="1001"/>
  <c r="M8" i="1001"/>
  <c r="N8" i="1001"/>
  <c r="N7" i="1001" l="1"/>
  <c r="M7" i="1001"/>
  <c r="L7" i="1001"/>
  <c r="N6" i="1001"/>
  <c r="M6" i="1001"/>
  <c r="L6" i="1001"/>
  <c r="N5" i="1001"/>
  <c r="M5" i="1001"/>
  <c r="L5" i="1001"/>
  <c r="N7" i="1000"/>
  <c r="M7" i="1000"/>
  <c r="L7" i="1000"/>
  <c r="N6" i="1000"/>
  <c r="M6" i="1000"/>
  <c r="L6" i="1000"/>
  <c r="N5" i="1000"/>
  <c r="M5" i="1000"/>
  <c r="L5" i="1000"/>
  <c r="N8" i="999"/>
  <c r="M8" i="999"/>
  <c r="L8" i="999"/>
  <c r="N7" i="999"/>
  <c r="M7" i="999"/>
  <c r="L7" i="999"/>
  <c r="N6" i="999"/>
  <c r="M6" i="999"/>
  <c r="L6" i="999"/>
  <c r="N5" i="999"/>
  <c r="M5" i="999"/>
  <c r="L5" i="999"/>
  <c r="L7" i="998"/>
  <c r="M7" i="998"/>
  <c r="N7" i="998"/>
  <c r="L8" i="998"/>
  <c r="M8" i="998"/>
  <c r="N8" i="998"/>
  <c r="N6" i="998" l="1"/>
  <c r="M6" i="998"/>
  <c r="L6" i="998"/>
  <c r="N5" i="998"/>
  <c r="M5" i="998"/>
  <c r="L5" i="998"/>
  <c r="N8" i="997"/>
  <c r="M8" i="997"/>
  <c r="L8" i="997"/>
  <c r="N7" i="997"/>
  <c r="M7" i="997"/>
  <c r="L7" i="997"/>
  <c r="N6" i="997"/>
  <c r="M6" i="997"/>
  <c r="L6" i="997"/>
  <c r="N5" i="997"/>
  <c r="M5" i="997"/>
  <c r="L5" i="997"/>
  <c r="N8" i="996"/>
  <c r="M8" i="996"/>
  <c r="L8" i="996"/>
  <c r="N7" i="996"/>
  <c r="M7" i="996"/>
  <c r="L7" i="996"/>
  <c r="N6" i="996"/>
  <c r="M6" i="996"/>
  <c r="L6" i="996"/>
  <c r="N5" i="996"/>
  <c r="M5" i="996"/>
  <c r="L5" i="996"/>
  <c r="L8" i="995"/>
  <c r="M8" i="995"/>
  <c r="N8" i="995"/>
  <c r="N7" i="995" l="1"/>
  <c r="M7" i="995"/>
  <c r="L7" i="995"/>
  <c r="N6" i="995"/>
  <c r="M6" i="995"/>
  <c r="L6" i="995"/>
  <c r="N5" i="995"/>
  <c r="M5" i="995"/>
  <c r="L5" i="995"/>
  <c r="N7" i="994"/>
  <c r="M7" i="994"/>
  <c r="L7" i="994"/>
  <c r="N6" i="994" l="1"/>
  <c r="M6" i="994"/>
  <c r="L6" i="994"/>
  <c r="N5" i="994"/>
  <c r="M5" i="994"/>
  <c r="L5" i="9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D4150860-B844-4240-924E-A215B23BA1BE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FE13FC90-FB3A-450A-98A8-FE8460BBAE32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A311508D-6A21-4F32-B606-34C65844CF5E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D1E8EBA8-A856-465F-912D-77BD4F56C0A2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BC31F62E-BF98-4E8F-ACEC-62A2964772A6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A3E6D068-0612-4CDC-B0CF-AE8573B3F16B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16D2EAC2-AFAD-4721-86FA-88D9B195CD80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CA7C3B78-8EA9-4D47-930A-A11C5E64554C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1DFE7A66-D57D-4E1F-A7B3-A4668D76253A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0F3F397C-7AF5-4E00-99BF-14E8F6EA2E36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02822E78-A2E3-4FBA-9736-10D3A565C154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CF4ACEAC-0B26-434B-8A3D-618E14E006E0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32229056-0A6C-4280-964B-5F06593AE2B1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05AC1CF5-1879-4BA7-882A-7ED8CD6912AB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946F905A-50E3-4E7E-9EE3-B9AC5C560EEC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1D143E51-FD9E-46FE-AABB-442072956B74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63D13B1F-AB07-4FA2-A2D0-D54026576B1A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FAF2A851-9BFA-4924-A622-7E79659332A8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50268DF1-A7F0-4E7C-8ABE-CA17EDADAEF1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40DC90C5-513A-4679-9910-3591F9766A8E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6E8B3F5C-68C2-4343-B415-6399678E5319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C54FDB04-99E7-4925-A0A2-83382A3AC3B7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F4B498EC-7757-44E0-92D2-0040D49FFF6C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DBF2B243-25F1-4484-AEDE-628464B0680F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FE922D55-C1AB-4917-B984-63ADFD929920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5A4733B3-4E15-496F-A278-8AE854523B12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67AA3928-BCF0-4297-8A58-479BD0D3ABED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0FF9BF1F-70BC-4F26-A92B-D4801065C4AB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6E4DE1E2-3E84-4315-99CD-AF02347924DB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E4E5D45E-C26B-4900-9D24-89485F83328F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521A80FB-90C8-4225-A326-6A2DFCDBD012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08AB97BF-F785-434C-AE14-647B0CD8AADA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C66F136D-67A3-4BBA-9C24-B082A58037B3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7C943A1B-E90E-449A-B642-ABD5574914CC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7DFF13A0-AF91-4202-BA1F-439444BCE028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C2E68C09-F402-4612-B21D-CE21005652DE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2774BE0A-B6E2-45CB-83D0-87D7B538DCE7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A148A457-C5AB-49D8-BDE2-D219491AC5D0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6F57E911-E61E-40CC-850A-51B44B26006C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DC6A964C-B4E6-4174-899F-BAD4D2E63395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E6941502-CCC7-437A-9F94-BDF6ED664E93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89648F8F-7959-4345-A775-E1C6438DDD8E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CDECC73D-4F89-4EF3-BA0A-53B132F5DD4B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6691955A-55BD-41C4-AA45-301856968089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C4157A1B-B615-464A-800C-16283EA910DA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AC15BC91-11C9-473F-B5FB-4AA5643E0820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7B61D7EE-9734-4016-B849-5AF586B4D689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2614574A-3A86-4935-A317-C789C5DD332D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AAE796BC-27B7-400E-A9AC-FC706299C76E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CB13DBE4-5DB2-4B2C-ADEF-97167F87E291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9B927FC6-FF27-4BCD-9FD6-CEFDEBEEAED3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6D690ED1-BEE7-45BC-970D-DA6B69C5DB43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036F4C9A-9717-4DDA-AC71-580441BA55C6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007D6E39-BA34-4A36-A80B-DADBA1B2AB4A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5F1BC399-3157-4C8B-936D-8A4A303DBD46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EFC75C5D-9A0F-4E6C-91CB-1E408DE33F47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73B01777-1B2B-4D7D-B869-E09287EB6574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C8F363B0-0B07-45A1-8DEA-B0337DC7B66E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AF80A64A-D380-408D-ABD3-614C023A84E3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F91BB682-E717-4876-AA6A-1975AC9ED487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BFD25794-295B-41C9-9F0F-98CBB993ED29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20C52047-13E5-4D1A-83D8-F8BA9F222977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ADF05615-B5F1-41FE-8C4A-6403C8F2D04F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555E3408-8867-47F9-8F43-1681BECAB278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81C7B636-3644-42BF-936D-BF19871762FF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1D6E857F-C932-480D-A4E8-302027AF0FE9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332A99BF-D6A1-4A49-83BC-2D76BD98CCEA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CCD8E7D1-366E-4EEA-BEE7-FFA9DCDC14CF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8CC9D945-49EB-4B6C-A97D-DC6C90C09D79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FA1A9BBE-55F7-4DF6-990D-8288030362A5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2B736379-C166-4157-A0C6-D53F33CC2C9A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5C3DE8BD-96D9-42B5-869B-2BD475DEB130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Сатимов Серик</author>
  </authors>
  <commentList>
    <comment ref="Q14" authorId="0" shapeId="0" xr:uid="{91F94CA6-8A76-428A-A4B0-30F8B2311BE6}">
      <text>
        <r>
          <rPr>
            <b/>
            <sz val="12"/>
            <color indexed="81"/>
            <rFont val="Times New Roman"/>
            <family val="1"/>
            <charset val="204"/>
          </rPr>
          <t>Көліктерді пайдалану бөлімі</t>
        </r>
      </text>
    </comment>
    <comment ref="Q16" authorId="0" shapeId="0" xr:uid="{36BCC9C5-E456-4204-A754-1BA12D90F25B}">
      <text>
        <r>
          <rPr>
            <b/>
            <sz val="12"/>
            <color indexed="81"/>
            <rFont val="Times New Roman"/>
            <family val="1"/>
            <charset val="204"/>
          </rPr>
          <t>Көліктерге техникалық қызмет көрсету және жөндеу бөлімі</t>
        </r>
      </text>
    </comment>
  </commentList>
</comments>
</file>

<file path=xl/sharedStrings.xml><?xml version="1.0" encoding="utf-8"?>
<sst xmlns="http://schemas.openxmlformats.org/spreadsheetml/2006/main" count="1667" uniqueCount="86">
  <si>
    <t>№</t>
  </si>
  <si>
    <t xml:space="preserve">Мемлекеттік белгі  </t>
  </si>
  <si>
    <t xml:space="preserve">                    Марка   
</t>
  </si>
  <si>
    <t>Түрі</t>
  </si>
  <si>
    <t xml:space="preserve">Шыққан жылы </t>
  </si>
  <si>
    <t>Жөндеуге бастап тұрған күні</t>
  </si>
  <si>
    <t>ЖМЦ-да жөндеуде тұрған күні</t>
  </si>
  <si>
    <t xml:space="preserve">ТҚжЖБ-ге сұраныс берілген күні </t>
  </si>
  <si>
    <t>ӨТБ-де жөндеуге бастап тұрған күні</t>
  </si>
  <si>
    <t>Транспорт бөлімінде жөндеуге бастап тұрған күні</t>
  </si>
  <si>
    <t>Жалпы жөндеуде тұрған күндері</t>
  </si>
  <si>
    <t xml:space="preserve">Жөндеу жұмыстарының түрі 
Қажетті қосалқы бөлшектер                                                         </t>
  </si>
  <si>
    <t xml:space="preserve">Жөндеуден шығатын күні </t>
  </si>
  <si>
    <t>Жөндеуден/резервтен шыққан көліктер</t>
  </si>
  <si>
    <t>Дайын тұрған көліктер</t>
  </si>
  <si>
    <t>Барлығы</t>
  </si>
  <si>
    <t>ЖМЦ</t>
  </si>
  <si>
    <t>ТҚжЖБ</t>
  </si>
  <si>
    <t>ӨТБ</t>
  </si>
  <si>
    <t>ТБ</t>
  </si>
  <si>
    <t xml:space="preserve"> </t>
  </si>
  <si>
    <t>камаз</t>
  </si>
  <si>
    <t>кран</t>
  </si>
  <si>
    <t>КПБ / ОЭТС</t>
  </si>
  <si>
    <t>КТҚКжЖБ / ОТОиРТС</t>
  </si>
  <si>
    <t>А/т №4 - Рзабек / Серік</t>
  </si>
  <si>
    <t>кму</t>
  </si>
  <si>
    <t>28-1877</t>
  </si>
  <si>
    <t>45-601</t>
  </si>
  <si>
    <t>27-1442</t>
  </si>
  <si>
    <t>38-2294</t>
  </si>
  <si>
    <t>28-3141</t>
  </si>
  <si>
    <t>27-1009</t>
  </si>
  <si>
    <t>38-588</t>
  </si>
  <si>
    <t>xcmg</t>
  </si>
  <si>
    <t>Есептен шығу, бірінші жарты жылдық 2027ж.</t>
  </si>
  <si>
    <t>Жүргізушімен, көмекшісімен
С водителем, помощником</t>
  </si>
  <si>
    <t>28-3156</t>
  </si>
  <si>
    <t>27-1888</t>
  </si>
  <si>
    <t>КМУ</t>
  </si>
  <si>
    <t>АГП</t>
  </si>
  <si>
    <t>Ж/Қ жебені жылжытатын цепь үзілген ж.ж.ж.</t>
  </si>
  <si>
    <t>28-3165</t>
  </si>
  <si>
    <t>28-648</t>
  </si>
  <si>
    <t>44-1434</t>
  </si>
  <si>
    <t>28-2889</t>
  </si>
  <si>
    <t>38-0619</t>
  </si>
  <si>
    <t>28-3140</t>
  </si>
  <si>
    <t>Алдыңғы рессора листтері сынған ж.ж.ж.</t>
  </si>
  <si>
    <t>Гидромуфта тексеру, су температурасы көтеріледі ж.ж.ж.</t>
  </si>
  <si>
    <t>Артқы мосттың рессор креплениесінің асыт шытынап сынған, мост түсіріп дәнекерлеу ж.ж.ж.</t>
  </si>
  <si>
    <t>Жанар май жүйесінен май ағады ж.ж.ж</t>
  </si>
  <si>
    <t>28-2977</t>
  </si>
  <si>
    <t>ІЖҚ ауыстыру ж.ж.ж.</t>
  </si>
  <si>
    <t>28-3209</t>
  </si>
  <si>
    <t>27-820</t>
  </si>
  <si>
    <t>XCMG</t>
  </si>
  <si>
    <t>Ж/Қ тіреуішінен май ағады, алдыңғы мосттан өзге дыбыс шығады ж.ж.ж</t>
  </si>
  <si>
    <t>Ж/Қ қосқанда, қысым майын қатты ысып тұр ж.ж.ж.</t>
  </si>
  <si>
    <r>
      <t>Артқы мост қазандығын дәнекерлеу (</t>
    </r>
    <r>
      <rPr>
        <b/>
        <sz val="9"/>
        <color rgb="FFFF0000"/>
        <rFont val="Arial"/>
        <family val="2"/>
        <charset val="204"/>
      </rPr>
      <t>мосты түсіруге гаражда погручик болмай жұмыс тұрып қалып тұр</t>
    </r>
    <r>
      <rPr>
        <sz val="9"/>
        <color rgb="FFFF0000"/>
        <rFont val="Arial"/>
        <family val="2"/>
        <charset val="204"/>
      </rPr>
      <t>) ж.ж.ж.</t>
    </r>
  </si>
  <si>
    <r>
      <t xml:space="preserve">Артқы мост қазандығын дәнекерлеу </t>
    </r>
    <r>
      <rPr>
        <sz val="9"/>
        <color rgb="FFFF0000"/>
        <rFont val="Arial"/>
        <family val="2"/>
        <charset val="204"/>
      </rPr>
      <t>(</t>
    </r>
    <r>
      <rPr>
        <b/>
        <sz val="9"/>
        <color rgb="FFFF0000"/>
        <rFont val="Arial"/>
        <family val="2"/>
        <charset val="204"/>
      </rPr>
      <t>мосты түсіруге гаражда погручик болмай жұмыс тұрып қалып тұр</t>
    </r>
    <r>
      <rPr>
        <sz val="9"/>
        <color rgb="FFFF0000"/>
        <rFont val="Arial"/>
        <family val="2"/>
        <charset val="204"/>
      </rPr>
      <t>)</t>
    </r>
    <r>
      <rPr>
        <sz val="9"/>
        <rFont val="Arial"/>
        <family val="2"/>
        <charset val="204"/>
      </rPr>
      <t xml:space="preserve"> ж.ж.ж.</t>
    </r>
  </si>
  <si>
    <t>ТНВД жинақтау ж.ж.ж.</t>
  </si>
  <si>
    <t xml:space="preserve">Жүріп тексеру </t>
  </si>
  <si>
    <t>Жүріп тексеру</t>
  </si>
  <si>
    <r>
      <t xml:space="preserve">Артқы мосты қазандығынан май ағады </t>
    </r>
    <r>
      <rPr>
        <sz val="9"/>
        <color rgb="FFFF0000"/>
        <rFont val="Arial"/>
        <family val="2"/>
        <charset val="204"/>
      </rPr>
      <t>(Екі мостыныда түсіріп қазандығын дәнекерлеу)</t>
    </r>
    <r>
      <rPr>
        <sz val="9"/>
        <rFont val="Arial"/>
        <family val="2"/>
        <charset val="204"/>
      </rPr>
      <t xml:space="preserve"> ж.ж.ж.</t>
    </r>
  </si>
  <si>
    <t>Артқы мосты қазандығынан май ағады ж.ж.ж.</t>
  </si>
  <si>
    <t>агп</t>
  </si>
  <si>
    <t>2027ж бірінші жартыда есептен шығару</t>
  </si>
  <si>
    <t>Ж/Қ қосқанда, қысым майы қатты ысып тұр ж.ж.ж.</t>
  </si>
  <si>
    <t>Су насосы жарамсыз ж.ж.ж.</t>
  </si>
  <si>
    <t>27-0995</t>
  </si>
  <si>
    <t>Артқы мост май ағып тұр ж ж ж.</t>
  </si>
  <si>
    <t>28-647</t>
  </si>
  <si>
    <t>28-3195</t>
  </si>
  <si>
    <t>Алдыңғы рессор листасын сынған ж.ж.ж.</t>
  </si>
  <si>
    <t>38-3645</t>
  </si>
  <si>
    <t>Артқы мосттан май ағады, дәнекерлеу ж.ж.ж</t>
  </si>
  <si>
    <t>ТНВД, форсунка тексеру ж.ж.ж.</t>
  </si>
  <si>
    <t>ямобур</t>
  </si>
  <si>
    <t>Форсункалары жасамайды тексеру ж.ж.ж.</t>
  </si>
  <si>
    <t>каран</t>
  </si>
  <si>
    <t>ІЖҚ от алмайды ж.ж.ж.</t>
  </si>
  <si>
    <t>Дөңгелек ауыстыру ж.ж.ж.</t>
  </si>
  <si>
    <t>Жүріп тексеру.</t>
  </si>
  <si>
    <t>Жебе көтеретін гидроцилиндрден май ағады ж.ж.ж.</t>
  </si>
  <si>
    <t>Жебе көтеретін гидроцилиндрден май ағады Наладчик күтілуде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</si>
</sst>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9]d\ mmm\ yy;@"/>
    <numFmt numFmtId="165" formatCode="[$-419]d\ mmm;@"/>
  </numFmts>
  <fonts count="19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indexed="81"/>
      <name val="Times New Roman"/>
      <family val="1"/>
      <charset val="204"/>
    </font>
    <font>
      <sz val="10"/>
      <name val="Helv"/>
    </font>
    <font>
      <sz val="9"/>
      <name val="Arial"/>
      <family val="2"/>
      <charset val="204"/>
    </font>
    <font>
      <sz val="9"/>
      <color theme="1"/>
      <name val="Arial"/>
      <family val="2"/>
      <charset val="204"/>
    </font>
    <font>
      <sz val="9"/>
      <color rgb="FFFF0000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name val="Arial"/>
      <family val="2"/>
      <charset val="204"/>
    </font>
    <font>
      <b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7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9" fillId="0" borderId="0"/>
    <xf numFmtId="0" fontId="1" fillId="0" borderId="0"/>
  </cellStyleXfs>
  <cellXfs count="36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5" fontId="1" fillId="5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64" fontId="7" fillId="6" borderId="6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164" fontId="15" fillId="0" borderId="6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4" fontId="14" fillId="0" borderId="6" xfId="0" applyNumberFormat="1" applyFont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6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</cellXfs>
  <cellStyles count="4">
    <cellStyle name="Normal 2 10" xfId="1" xr:uid="{00000000-0005-0000-0000-000000000000}"/>
    <cellStyle name="Style 1_Бюджет АТС 2010_замечания+ЗП" xfId="2" xr:uid="{00000000-0005-0000-0000-000001000000}"/>
    <cellStyle name="Обычный" xfId="0" builtinId="0"/>
    <cellStyle name="Обычный 2" xfId="3" xr:uid="{A3FF113F-9DF8-4896-9DAB-4FB412615701}"/>
  </cellStyles>
  <dxfs count="0"/>
  <tableStyles count="0" defaultTableStyle="TableStyleMedium2" defaultPivotStyle="PivotStyleLight16"/>
  <colors>
    <mruColors>
      <color rgb="FFABE9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0CA7-401B-4417-A712-087C5DEA0EB1}">
  <dimension ref="A1:V19"/>
  <sheetViews>
    <sheetView workbookViewId="0">
      <selection activeCell="T2" sqref="T2:T3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1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46282</v>
      </c>
      <c r="G1" s="5">
        <v>46282</v>
      </c>
      <c r="H1" s="5">
        <v>46282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54" t="s">
        <v>0</v>
      </c>
      <c r="B2" s="356" t="s">
        <v>1</v>
      </c>
      <c r="C2" s="354" t="s">
        <v>2</v>
      </c>
      <c r="D2" s="354" t="s">
        <v>3</v>
      </c>
      <c r="E2" s="354" t="s">
        <v>4</v>
      </c>
      <c r="F2" s="352" t="s">
        <v>5</v>
      </c>
      <c r="G2" s="352" t="s">
        <v>6</v>
      </c>
      <c r="H2" s="352" t="s">
        <v>7</v>
      </c>
      <c r="I2" s="352" t="s">
        <v>8</v>
      </c>
      <c r="J2" s="360" t="s">
        <v>9</v>
      </c>
      <c r="K2" s="362" t="s">
        <v>36</v>
      </c>
      <c r="L2" s="364" t="s">
        <v>10</v>
      </c>
      <c r="M2" s="365"/>
      <c r="N2" s="365"/>
      <c r="O2" s="365"/>
      <c r="P2" s="366"/>
      <c r="Q2" s="354" t="s">
        <v>11</v>
      </c>
      <c r="R2" s="354" t="s">
        <v>12</v>
      </c>
      <c r="S2" s="358" t="s">
        <v>13</v>
      </c>
      <c r="T2" s="358" t="s">
        <v>14</v>
      </c>
    </row>
    <row r="3" spans="1:22" s="8" customFormat="1" ht="27" customHeight="1" x14ac:dyDescent="0.2">
      <c r="A3" s="355"/>
      <c r="B3" s="357"/>
      <c r="C3" s="355"/>
      <c r="D3" s="355"/>
      <c r="E3" s="355"/>
      <c r="F3" s="353"/>
      <c r="G3" s="353"/>
      <c r="H3" s="353"/>
      <c r="I3" s="353"/>
      <c r="J3" s="361"/>
      <c r="K3" s="36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55"/>
      <c r="R3" s="355"/>
      <c r="S3" s="359"/>
      <c r="T3" s="35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2.6" customHeight="1" x14ac:dyDescent="0.2">
      <c r="A5" s="75">
        <v>1</v>
      </c>
      <c r="B5" s="79" t="s">
        <v>33</v>
      </c>
      <c r="C5" s="50" t="s">
        <v>21</v>
      </c>
      <c r="D5" s="50" t="s">
        <v>40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6" si="0">$F$1-F5</f>
        <v>35</v>
      </c>
      <c r="M5" s="36">
        <f t="shared" si="0"/>
        <v>35</v>
      </c>
      <c r="N5" s="36">
        <f t="shared" si="0"/>
        <v>35</v>
      </c>
      <c r="O5" s="37"/>
      <c r="P5" s="37"/>
      <c r="Q5" s="65" t="s">
        <v>41</v>
      </c>
      <c r="R5" s="78"/>
      <c r="S5" s="71"/>
      <c r="T5" s="71" t="s">
        <v>38</v>
      </c>
    </row>
    <row r="6" spans="1:22" s="15" customFormat="1" ht="12.75" customHeight="1" x14ac:dyDescent="0.2">
      <c r="A6" s="16">
        <v>2</v>
      </c>
      <c r="B6" s="80" t="s">
        <v>47</v>
      </c>
      <c r="C6" s="50" t="s">
        <v>34</v>
      </c>
      <c r="D6" s="50" t="s">
        <v>22</v>
      </c>
      <c r="E6" s="43">
        <v>2024</v>
      </c>
      <c r="F6" s="35">
        <v>46279</v>
      </c>
      <c r="G6" s="35">
        <v>46279</v>
      </c>
      <c r="H6" s="35">
        <v>46279</v>
      </c>
      <c r="I6" s="37"/>
      <c r="J6" s="37"/>
      <c r="K6" s="34"/>
      <c r="L6" s="36">
        <f t="shared" si="0"/>
        <v>3</v>
      </c>
      <c r="M6" s="36">
        <f t="shared" si="0"/>
        <v>3</v>
      </c>
      <c r="N6" s="36">
        <f t="shared" si="0"/>
        <v>3</v>
      </c>
      <c r="O6" s="37"/>
      <c r="P6" s="37"/>
      <c r="Q6" s="65" t="s">
        <v>48</v>
      </c>
      <c r="R6" s="81"/>
      <c r="S6" s="76"/>
      <c r="T6" s="71" t="s">
        <v>43</v>
      </c>
    </row>
    <row r="7" spans="1:22" s="15" customFormat="1" ht="12.75" customHeight="1" x14ac:dyDescent="0.2">
      <c r="A7" s="16">
        <v>3</v>
      </c>
      <c r="B7" s="81" t="s">
        <v>32</v>
      </c>
      <c r="C7" s="49" t="s">
        <v>21</v>
      </c>
      <c r="D7" s="49" t="s">
        <v>26</v>
      </c>
      <c r="E7" s="44">
        <v>2014</v>
      </c>
      <c r="F7" s="38">
        <v>46282</v>
      </c>
      <c r="G7" s="38">
        <v>46282</v>
      </c>
      <c r="H7" s="38">
        <v>46282</v>
      </c>
      <c r="I7" s="17"/>
      <c r="J7" s="17"/>
      <c r="K7" s="33"/>
      <c r="L7" s="39">
        <f t="shared" ref="L7" si="1">$F$1-F7</f>
        <v>0</v>
      </c>
      <c r="M7" s="39">
        <f t="shared" ref="M7" si="2">$F$1-G7</f>
        <v>0</v>
      </c>
      <c r="N7" s="39">
        <f t="shared" ref="N7" si="3">$F$1-H7</f>
        <v>0</v>
      </c>
      <c r="O7" s="17"/>
      <c r="P7" s="17"/>
      <c r="Q7" s="45" t="s">
        <v>49</v>
      </c>
      <c r="R7" s="62"/>
      <c r="S7" s="76"/>
      <c r="T7" s="71" t="s">
        <v>27</v>
      </c>
    </row>
    <row r="8" spans="1:22" s="15" customFormat="1" ht="12.6" customHeight="1" x14ac:dyDescent="0.2">
      <c r="A8" s="16"/>
      <c r="B8" s="62"/>
      <c r="C8" s="49"/>
      <c r="D8" s="49"/>
      <c r="E8" s="44"/>
      <c r="F8" s="38"/>
      <c r="G8" s="38"/>
      <c r="H8" s="38"/>
      <c r="I8" s="17"/>
      <c r="J8" s="17"/>
      <c r="K8" s="33"/>
      <c r="L8" s="39"/>
      <c r="M8" s="39"/>
      <c r="N8" s="39"/>
      <c r="O8" s="17"/>
      <c r="P8" s="17"/>
      <c r="Q8" s="45"/>
      <c r="R8" s="54"/>
      <c r="S8" s="76"/>
      <c r="T8" s="71" t="s">
        <v>46</v>
      </c>
      <c r="U8" s="46"/>
      <c r="V8" s="46"/>
    </row>
    <row r="9" spans="1:22" s="15" customFormat="1" ht="12.6" customHeight="1" x14ac:dyDescent="0.2">
      <c r="A9" s="16"/>
      <c r="B9" s="62"/>
      <c r="C9" s="49"/>
      <c r="D9" s="49"/>
      <c r="E9" s="44"/>
      <c r="F9" s="66"/>
      <c r="G9" s="66"/>
      <c r="H9" s="66"/>
      <c r="I9" s="67"/>
      <c r="J9" s="67"/>
      <c r="K9" s="54"/>
      <c r="L9" s="44"/>
      <c r="M9" s="44"/>
      <c r="N9" s="44"/>
      <c r="O9" s="70"/>
      <c r="P9" s="70"/>
      <c r="Q9" s="65"/>
      <c r="R9" s="54"/>
      <c r="S9" s="73"/>
      <c r="T9" s="71" t="s">
        <v>44</v>
      </c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/>
      <c r="B19" s="42"/>
      <c r="C19" s="50"/>
      <c r="D19" s="50"/>
      <c r="E19" s="41"/>
      <c r="F19" s="5"/>
      <c r="G19" s="5"/>
      <c r="H19" s="5"/>
      <c r="I19" s="5"/>
      <c r="J19" s="5"/>
      <c r="K19" s="56"/>
      <c r="L19" s="1"/>
      <c r="M19" s="1"/>
      <c r="N19" s="1"/>
      <c r="O19" s="1"/>
      <c r="P19" s="1"/>
      <c r="Q19" s="18"/>
      <c r="R19" s="53"/>
      <c r="S19" s="5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7BCDF-6F06-4CA2-A8FA-4BC01E5F934D}">
  <dimension ref="A1:V19"/>
  <sheetViews>
    <sheetView workbookViewId="0">
      <selection activeCell="C7" sqref="C7:E7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46283</v>
      </c>
      <c r="G1" s="5">
        <v>46283</v>
      </c>
      <c r="H1" s="5">
        <v>46283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54" t="s">
        <v>0</v>
      </c>
      <c r="B2" s="356" t="s">
        <v>1</v>
      </c>
      <c r="C2" s="354" t="s">
        <v>2</v>
      </c>
      <c r="D2" s="354" t="s">
        <v>3</v>
      </c>
      <c r="E2" s="354" t="s">
        <v>4</v>
      </c>
      <c r="F2" s="352" t="s">
        <v>5</v>
      </c>
      <c r="G2" s="352" t="s">
        <v>6</v>
      </c>
      <c r="H2" s="352" t="s">
        <v>7</v>
      </c>
      <c r="I2" s="352" t="s">
        <v>8</v>
      </c>
      <c r="J2" s="360" t="s">
        <v>9</v>
      </c>
      <c r="K2" s="362" t="s">
        <v>36</v>
      </c>
      <c r="L2" s="364" t="s">
        <v>10</v>
      </c>
      <c r="M2" s="365"/>
      <c r="N2" s="365"/>
      <c r="O2" s="365"/>
      <c r="P2" s="366"/>
      <c r="Q2" s="354" t="s">
        <v>11</v>
      </c>
      <c r="R2" s="354" t="s">
        <v>12</v>
      </c>
      <c r="S2" s="358" t="s">
        <v>13</v>
      </c>
      <c r="T2" s="358" t="s">
        <v>14</v>
      </c>
    </row>
    <row r="3" spans="1:22" s="8" customFormat="1" ht="27" customHeight="1" x14ac:dyDescent="0.2">
      <c r="A3" s="355"/>
      <c r="B3" s="357"/>
      <c r="C3" s="355"/>
      <c r="D3" s="355"/>
      <c r="E3" s="355"/>
      <c r="F3" s="353"/>
      <c r="G3" s="353"/>
      <c r="H3" s="353"/>
      <c r="I3" s="353"/>
      <c r="J3" s="361"/>
      <c r="K3" s="36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55"/>
      <c r="R3" s="355"/>
      <c r="S3" s="359"/>
      <c r="T3" s="35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2.6" customHeight="1" x14ac:dyDescent="0.2">
      <c r="A5" s="75">
        <v>1</v>
      </c>
      <c r="B5" s="79" t="s">
        <v>33</v>
      </c>
      <c r="C5" s="50" t="s">
        <v>21</v>
      </c>
      <c r="D5" s="50" t="s">
        <v>40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7" si="0">$F$1-F5</f>
        <v>36</v>
      </c>
      <c r="M5" s="36">
        <f t="shared" si="0"/>
        <v>36</v>
      </c>
      <c r="N5" s="36">
        <f t="shared" si="0"/>
        <v>36</v>
      </c>
      <c r="O5" s="37"/>
      <c r="P5" s="37"/>
      <c r="Q5" s="65" t="s">
        <v>41</v>
      </c>
      <c r="R5" s="81" t="s">
        <v>32</v>
      </c>
      <c r="S5" s="71" t="s">
        <v>43</v>
      </c>
      <c r="T5" s="71" t="s">
        <v>38</v>
      </c>
    </row>
    <row r="6" spans="1:22" s="15" customFormat="1" ht="12.75" customHeight="1" x14ac:dyDescent="0.2">
      <c r="A6" s="16">
        <v>2</v>
      </c>
      <c r="B6" s="80" t="s">
        <v>47</v>
      </c>
      <c r="C6" s="50" t="s">
        <v>34</v>
      </c>
      <c r="D6" s="50" t="s">
        <v>22</v>
      </c>
      <c r="E6" s="43">
        <v>2024</v>
      </c>
      <c r="F6" s="35">
        <v>46279</v>
      </c>
      <c r="G6" s="35">
        <v>46279</v>
      </c>
      <c r="H6" s="35">
        <v>46279</v>
      </c>
      <c r="I6" s="37"/>
      <c r="J6" s="37"/>
      <c r="K6" s="34"/>
      <c r="L6" s="36">
        <f t="shared" si="0"/>
        <v>4</v>
      </c>
      <c r="M6" s="36">
        <f t="shared" si="0"/>
        <v>4</v>
      </c>
      <c r="N6" s="36">
        <f t="shared" si="0"/>
        <v>4</v>
      </c>
      <c r="O6" s="37"/>
      <c r="P6" s="37"/>
      <c r="Q6" s="65" t="s">
        <v>48</v>
      </c>
      <c r="R6" s="81"/>
      <c r="S6" s="71" t="s">
        <v>27</v>
      </c>
      <c r="T6" s="71" t="s">
        <v>52</v>
      </c>
    </row>
    <row r="7" spans="1:22" s="15" customFormat="1" ht="12.75" customHeight="1" x14ac:dyDescent="0.2">
      <c r="A7" s="16">
        <v>3</v>
      </c>
      <c r="B7" s="62" t="s">
        <v>31</v>
      </c>
      <c r="C7" s="49" t="s">
        <v>34</v>
      </c>
      <c r="D7" s="49" t="s">
        <v>22</v>
      </c>
      <c r="E7" s="44">
        <v>2024</v>
      </c>
      <c r="F7" s="38">
        <v>46283</v>
      </c>
      <c r="G7" s="38">
        <v>46283</v>
      </c>
      <c r="H7" s="38">
        <v>46283</v>
      </c>
      <c r="I7" s="17"/>
      <c r="J7" s="17"/>
      <c r="K7" s="33"/>
      <c r="L7" s="39">
        <f t="shared" si="0"/>
        <v>0</v>
      </c>
      <c r="M7" s="39">
        <f t="shared" si="0"/>
        <v>0</v>
      </c>
      <c r="N7" s="39">
        <f t="shared" si="0"/>
        <v>0</v>
      </c>
      <c r="O7" s="17"/>
      <c r="P7" s="17"/>
      <c r="Q7" s="45" t="s">
        <v>50</v>
      </c>
      <c r="R7" s="62"/>
      <c r="S7" s="71" t="s">
        <v>44</v>
      </c>
      <c r="T7" s="71" t="s">
        <v>28</v>
      </c>
    </row>
    <row r="8" spans="1:22" s="15" customFormat="1" ht="12.6" customHeight="1" x14ac:dyDescent="0.2">
      <c r="A8" s="16">
        <v>4</v>
      </c>
      <c r="B8" s="62" t="s">
        <v>29</v>
      </c>
      <c r="C8" s="49" t="s">
        <v>21</v>
      </c>
      <c r="D8" s="49" t="s">
        <v>39</v>
      </c>
      <c r="E8" s="44">
        <v>2015</v>
      </c>
      <c r="F8" s="5">
        <v>46283</v>
      </c>
      <c r="G8" s="5">
        <v>46283</v>
      </c>
      <c r="H8" s="5">
        <v>46283</v>
      </c>
      <c r="I8" s="67"/>
      <c r="J8" s="67"/>
      <c r="K8" s="54"/>
      <c r="L8" s="39">
        <f t="shared" ref="L8" si="1">$F$1-F8</f>
        <v>0</v>
      </c>
      <c r="M8" s="39">
        <f t="shared" ref="M8" si="2">$F$1-G8</f>
        <v>0</v>
      </c>
      <c r="N8" s="39">
        <f t="shared" ref="N8" si="3">$F$1-H8</f>
        <v>0</v>
      </c>
      <c r="O8" s="70"/>
      <c r="P8" s="70"/>
      <c r="Q8" s="65" t="s">
        <v>51</v>
      </c>
      <c r="R8" s="54"/>
      <c r="S8" s="71" t="s">
        <v>46</v>
      </c>
      <c r="T8" s="71" t="s">
        <v>30</v>
      </c>
      <c r="U8" s="46"/>
      <c r="V8" s="46"/>
    </row>
    <row r="9" spans="1:22" s="15" customFormat="1" ht="12.6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71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/>
      <c r="B19" s="42"/>
      <c r="C19" s="50"/>
      <c r="D19" s="50"/>
      <c r="E19" s="41"/>
      <c r="F19" s="5"/>
      <c r="G19" s="5"/>
      <c r="H19" s="5"/>
      <c r="I19" s="5"/>
      <c r="J19" s="5"/>
      <c r="K19" s="56"/>
      <c r="L19" s="1"/>
      <c r="M19" s="1"/>
      <c r="N19" s="1"/>
      <c r="O19" s="1"/>
      <c r="P19" s="1"/>
      <c r="Q19" s="18"/>
      <c r="R19" s="53"/>
      <c r="S19" s="5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1530A-4046-4681-BB75-6A49B68B98B1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46284</v>
      </c>
      <c r="G1" s="5">
        <v>46284</v>
      </c>
      <c r="H1" s="5">
        <v>46284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54" t="s">
        <v>0</v>
      </c>
      <c r="B2" s="356" t="s">
        <v>1</v>
      </c>
      <c r="C2" s="354" t="s">
        <v>2</v>
      </c>
      <c r="D2" s="354" t="s">
        <v>3</v>
      </c>
      <c r="E2" s="354" t="s">
        <v>4</v>
      </c>
      <c r="F2" s="352" t="s">
        <v>5</v>
      </c>
      <c r="G2" s="352" t="s">
        <v>6</v>
      </c>
      <c r="H2" s="352" t="s">
        <v>7</v>
      </c>
      <c r="I2" s="352" t="s">
        <v>8</v>
      </c>
      <c r="J2" s="360" t="s">
        <v>9</v>
      </c>
      <c r="K2" s="362" t="s">
        <v>36</v>
      </c>
      <c r="L2" s="364" t="s">
        <v>10</v>
      </c>
      <c r="M2" s="365"/>
      <c r="N2" s="365"/>
      <c r="O2" s="365"/>
      <c r="P2" s="366"/>
      <c r="Q2" s="354" t="s">
        <v>11</v>
      </c>
      <c r="R2" s="354" t="s">
        <v>12</v>
      </c>
      <c r="S2" s="358" t="s">
        <v>13</v>
      </c>
      <c r="T2" s="358" t="s">
        <v>14</v>
      </c>
    </row>
    <row r="3" spans="1:22" s="8" customFormat="1" ht="27" customHeight="1" x14ac:dyDescent="0.2">
      <c r="A3" s="355"/>
      <c r="B3" s="357"/>
      <c r="C3" s="355"/>
      <c r="D3" s="355"/>
      <c r="E3" s="355"/>
      <c r="F3" s="353"/>
      <c r="G3" s="353"/>
      <c r="H3" s="353"/>
      <c r="I3" s="353"/>
      <c r="J3" s="361"/>
      <c r="K3" s="36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55"/>
      <c r="R3" s="355"/>
      <c r="S3" s="359"/>
      <c r="T3" s="35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2.6" customHeight="1" x14ac:dyDescent="0.2">
      <c r="A5" s="75">
        <v>1</v>
      </c>
      <c r="B5" s="79" t="s">
        <v>33</v>
      </c>
      <c r="C5" s="50" t="s">
        <v>21</v>
      </c>
      <c r="D5" s="50" t="s">
        <v>40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8" si="0">$F$1-F5</f>
        <v>37</v>
      </c>
      <c r="M5" s="36">
        <f t="shared" si="0"/>
        <v>37</v>
      </c>
      <c r="N5" s="36">
        <f t="shared" si="0"/>
        <v>37</v>
      </c>
      <c r="O5" s="37"/>
      <c r="P5" s="37"/>
      <c r="Q5" s="65" t="s">
        <v>41</v>
      </c>
      <c r="R5" s="62"/>
      <c r="S5" s="71"/>
      <c r="T5" s="71" t="s">
        <v>38</v>
      </c>
    </row>
    <row r="6" spans="1:22" s="15" customFormat="1" ht="12.75" customHeight="1" x14ac:dyDescent="0.2">
      <c r="A6" s="16">
        <v>2</v>
      </c>
      <c r="B6" s="80" t="s">
        <v>47</v>
      </c>
      <c r="C6" s="50" t="s">
        <v>34</v>
      </c>
      <c r="D6" s="50" t="s">
        <v>22</v>
      </c>
      <c r="E6" s="43">
        <v>2024</v>
      </c>
      <c r="F6" s="35">
        <v>46279</v>
      </c>
      <c r="G6" s="35">
        <v>46279</v>
      </c>
      <c r="H6" s="35">
        <v>46279</v>
      </c>
      <c r="I6" s="37"/>
      <c r="J6" s="37"/>
      <c r="K6" s="34"/>
      <c r="L6" s="36">
        <f t="shared" si="0"/>
        <v>5</v>
      </c>
      <c r="M6" s="36">
        <f t="shared" si="0"/>
        <v>5</v>
      </c>
      <c r="N6" s="36">
        <f t="shared" si="0"/>
        <v>5</v>
      </c>
      <c r="O6" s="37"/>
      <c r="P6" s="37"/>
      <c r="Q6" s="65" t="s">
        <v>48</v>
      </c>
      <c r="R6" s="81"/>
      <c r="S6" s="71"/>
      <c r="T6" s="71" t="s">
        <v>52</v>
      </c>
    </row>
    <row r="7" spans="1:22" s="15" customFormat="1" ht="12.75" customHeight="1" x14ac:dyDescent="0.2">
      <c r="A7" s="16">
        <v>3</v>
      </c>
      <c r="B7" s="62" t="s">
        <v>31</v>
      </c>
      <c r="C7" s="49" t="s">
        <v>34</v>
      </c>
      <c r="D7" s="49" t="s">
        <v>22</v>
      </c>
      <c r="E7" s="44">
        <v>2024</v>
      </c>
      <c r="F7" s="38">
        <v>46283</v>
      </c>
      <c r="G7" s="38">
        <v>46283</v>
      </c>
      <c r="H7" s="38">
        <v>46283</v>
      </c>
      <c r="I7" s="17"/>
      <c r="J7" s="17"/>
      <c r="K7" s="33"/>
      <c r="L7" s="39">
        <f t="shared" si="0"/>
        <v>1</v>
      </c>
      <c r="M7" s="39">
        <f t="shared" si="0"/>
        <v>1</v>
      </c>
      <c r="N7" s="39">
        <f t="shared" si="0"/>
        <v>1</v>
      </c>
      <c r="O7" s="17"/>
      <c r="P7" s="17"/>
      <c r="Q7" s="45" t="s">
        <v>50</v>
      </c>
      <c r="R7" s="62"/>
      <c r="S7" s="71"/>
      <c r="T7" s="71" t="s">
        <v>28</v>
      </c>
    </row>
    <row r="8" spans="1:22" s="15" customFormat="1" ht="12.6" customHeight="1" x14ac:dyDescent="0.2">
      <c r="A8" s="16">
        <v>4</v>
      </c>
      <c r="B8" s="62" t="s">
        <v>29</v>
      </c>
      <c r="C8" s="49" t="s">
        <v>21</v>
      </c>
      <c r="D8" s="49" t="s">
        <v>39</v>
      </c>
      <c r="E8" s="44">
        <v>2015</v>
      </c>
      <c r="F8" s="5">
        <v>46283</v>
      </c>
      <c r="G8" s="5">
        <v>46283</v>
      </c>
      <c r="H8" s="5">
        <v>46283</v>
      </c>
      <c r="I8" s="67"/>
      <c r="J8" s="67"/>
      <c r="K8" s="54"/>
      <c r="L8" s="39">
        <f t="shared" si="0"/>
        <v>1</v>
      </c>
      <c r="M8" s="39">
        <f t="shared" si="0"/>
        <v>1</v>
      </c>
      <c r="N8" s="39">
        <f t="shared" si="0"/>
        <v>1</v>
      </c>
      <c r="O8" s="70"/>
      <c r="P8" s="70"/>
      <c r="Q8" s="65" t="s">
        <v>53</v>
      </c>
      <c r="R8" s="54"/>
      <c r="S8" s="71"/>
      <c r="T8" s="71" t="s">
        <v>30</v>
      </c>
      <c r="U8" s="46"/>
      <c r="V8" s="46"/>
    </row>
    <row r="9" spans="1:22" s="15" customFormat="1" ht="12.6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71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/>
      <c r="B19" s="42"/>
      <c r="C19" s="50"/>
      <c r="D19" s="50"/>
      <c r="E19" s="41"/>
      <c r="F19" s="5"/>
      <c r="G19" s="5"/>
      <c r="H19" s="5"/>
      <c r="I19" s="5"/>
      <c r="J19" s="5"/>
      <c r="K19" s="56"/>
      <c r="L19" s="1"/>
      <c r="M19" s="1"/>
      <c r="N19" s="1"/>
      <c r="O19" s="1"/>
      <c r="P19" s="1"/>
      <c r="Q19" s="18"/>
      <c r="R19" s="53"/>
      <c r="S19" s="5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58845-8D9D-4727-8641-5F5A25B37612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46285</v>
      </c>
      <c r="G1" s="5">
        <v>46285</v>
      </c>
      <c r="H1" s="5">
        <v>46285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54" t="s">
        <v>0</v>
      </c>
      <c r="B2" s="356" t="s">
        <v>1</v>
      </c>
      <c r="C2" s="354" t="s">
        <v>2</v>
      </c>
      <c r="D2" s="354" t="s">
        <v>3</v>
      </c>
      <c r="E2" s="354" t="s">
        <v>4</v>
      </c>
      <c r="F2" s="352" t="s">
        <v>5</v>
      </c>
      <c r="G2" s="352" t="s">
        <v>6</v>
      </c>
      <c r="H2" s="352" t="s">
        <v>7</v>
      </c>
      <c r="I2" s="352" t="s">
        <v>8</v>
      </c>
      <c r="J2" s="360" t="s">
        <v>9</v>
      </c>
      <c r="K2" s="362" t="s">
        <v>36</v>
      </c>
      <c r="L2" s="364" t="s">
        <v>10</v>
      </c>
      <c r="M2" s="365"/>
      <c r="N2" s="365"/>
      <c r="O2" s="365"/>
      <c r="P2" s="366"/>
      <c r="Q2" s="354" t="s">
        <v>11</v>
      </c>
      <c r="R2" s="354" t="s">
        <v>12</v>
      </c>
      <c r="S2" s="358" t="s">
        <v>13</v>
      </c>
      <c r="T2" s="358" t="s">
        <v>14</v>
      </c>
    </row>
    <row r="3" spans="1:22" s="8" customFormat="1" ht="27" customHeight="1" x14ac:dyDescent="0.2">
      <c r="A3" s="355"/>
      <c r="B3" s="357"/>
      <c r="C3" s="355"/>
      <c r="D3" s="355"/>
      <c r="E3" s="355"/>
      <c r="F3" s="353"/>
      <c r="G3" s="353"/>
      <c r="H3" s="353"/>
      <c r="I3" s="353"/>
      <c r="J3" s="361"/>
      <c r="K3" s="36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55"/>
      <c r="R3" s="355"/>
      <c r="S3" s="359"/>
      <c r="T3" s="35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2.6" customHeight="1" x14ac:dyDescent="0.2">
      <c r="A5" s="75">
        <v>1</v>
      </c>
      <c r="B5" s="79" t="s">
        <v>33</v>
      </c>
      <c r="C5" s="50" t="s">
        <v>21</v>
      </c>
      <c r="D5" s="50" t="s">
        <v>40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8" si="0">$F$1-F5</f>
        <v>38</v>
      </c>
      <c r="M5" s="36">
        <f t="shared" si="0"/>
        <v>38</v>
      </c>
      <c r="N5" s="36">
        <f t="shared" si="0"/>
        <v>38</v>
      </c>
      <c r="O5" s="37"/>
      <c r="P5" s="37"/>
      <c r="Q5" s="65" t="s">
        <v>41</v>
      </c>
      <c r="R5" s="62"/>
      <c r="S5" s="71" t="s">
        <v>52</v>
      </c>
      <c r="T5" s="71" t="s">
        <v>38</v>
      </c>
    </row>
    <row r="6" spans="1:22" s="15" customFormat="1" ht="12.75" customHeight="1" x14ac:dyDescent="0.2">
      <c r="A6" s="16">
        <v>2</v>
      </c>
      <c r="B6" s="80" t="s">
        <v>47</v>
      </c>
      <c r="C6" s="50" t="s">
        <v>34</v>
      </c>
      <c r="D6" s="50" t="s">
        <v>22</v>
      </c>
      <c r="E6" s="43">
        <v>2024</v>
      </c>
      <c r="F6" s="35">
        <v>46279</v>
      </c>
      <c r="G6" s="35">
        <v>46279</v>
      </c>
      <c r="H6" s="35">
        <v>46279</v>
      </c>
      <c r="I6" s="37"/>
      <c r="J6" s="37"/>
      <c r="K6" s="34"/>
      <c r="L6" s="36">
        <f t="shared" si="0"/>
        <v>6</v>
      </c>
      <c r="M6" s="36">
        <f t="shared" si="0"/>
        <v>6</v>
      </c>
      <c r="N6" s="36">
        <f t="shared" si="0"/>
        <v>6</v>
      </c>
      <c r="O6" s="37"/>
      <c r="P6" s="37"/>
      <c r="Q6" s="65" t="s">
        <v>48</v>
      </c>
      <c r="R6" s="81"/>
      <c r="S6" s="71"/>
      <c r="T6" s="71" t="s">
        <v>28</v>
      </c>
    </row>
    <row r="7" spans="1:22" s="15" customFormat="1" ht="12.75" customHeight="1" x14ac:dyDescent="0.2">
      <c r="A7" s="16">
        <v>3</v>
      </c>
      <c r="B7" s="62" t="s">
        <v>31</v>
      </c>
      <c r="C7" s="49" t="s">
        <v>34</v>
      </c>
      <c r="D7" s="49" t="s">
        <v>22</v>
      </c>
      <c r="E7" s="44">
        <v>2024</v>
      </c>
      <c r="F7" s="38">
        <v>46283</v>
      </c>
      <c r="G7" s="38">
        <v>46283</v>
      </c>
      <c r="H7" s="38">
        <v>46283</v>
      </c>
      <c r="I7" s="17"/>
      <c r="J7" s="17"/>
      <c r="K7" s="33"/>
      <c r="L7" s="39">
        <f t="shared" si="0"/>
        <v>2</v>
      </c>
      <c r="M7" s="39">
        <f t="shared" si="0"/>
        <v>2</v>
      </c>
      <c r="N7" s="39">
        <f t="shared" si="0"/>
        <v>2</v>
      </c>
      <c r="O7" s="17"/>
      <c r="P7" s="17"/>
      <c r="Q7" s="45" t="s">
        <v>50</v>
      </c>
      <c r="R7" s="62"/>
      <c r="S7" s="71"/>
      <c r="T7" s="71" t="s">
        <v>30</v>
      </c>
    </row>
    <row r="8" spans="1:22" s="15" customFormat="1" ht="12.6" customHeight="1" x14ac:dyDescent="0.2">
      <c r="A8" s="16">
        <v>4</v>
      </c>
      <c r="B8" s="62" t="s">
        <v>29</v>
      </c>
      <c r="C8" s="49" t="s">
        <v>21</v>
      </c>
      <c r="D8" s="49" t="s">
        <v>39</v>
      </c>
      <c r="E8" s="44">
        <v>2015</v>
      </c>
      <c r="F8" s="5">
        <v>46283</v>
      </c>
      <c r="G8" s="5">
        <v>46283</v>
      </c>
      <c r="H8" s="5">
        <v>46283</v>
      </c>
      <c r="I8" s="67"/>
      <c r="J8" s="67"/>
      <c r="K8" s="54"/>
      <c r="L8" s="39">
        <f t="shared" si="0"/>
        <v>2</v>
      </c>
      <c r="M8" s="39">
        <f t="shared" si="0"/>
        <v>2</v>
      </c>
      <c r="N8" s="39">
        <f t="shared" si="0"/>
        <v>2</v>
      </c>
      <c r="O8" s="70"/>
      <c r="P8" s="70"/>
      <c r="Q8" s="65" t="s">
        <v>53</v>
      </c>
      <c r="R8" s="54"/>
      <c r="S8" s="71"/>
      <c r="T8" s="71"/>
      <c r="U8" s="46"/>
      <c r="V8" s="46"/>
    </row>
    <row r="9" spans="1:22" s="15" customFormat="1" ht="12.6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71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/>
      <c r="B19" s="42"/>
      <c r="C19" s="50"/>
      <c r="D19" s="50"/>
      <c r="E19" s="41"/>
      <c r="F19" s="5"/>
      <c r="G19" s="5"/>
      <c r="H19" s="5"/>
      <c r="I19" s="5"/>
      <c r="J19" s="5"/>
      <c r="K19" s="56"/>
      <c r="L19" s="1"/>
      <c r="M19" s="1"/>
      <c r="N19" s="1"/>
      <c r="O19" s="1"/>
      <c r="P19" s="1"/>
      <c r="Q19" s="18"/>
      <c r="R19" s="53"/>
      <c r="S19" s="5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3752-DDF6-4919-8C03-979712503B81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46286</v>
      </c>
      <c r="G1" s="5">
        <v>46286</v>
      </c>
      <c r="H1" s="5">
        <v>46286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54" t="s">
        <v>0</v>
      </c>
      <c r="B2" s="356" t="s">
        <v>1</v>
      </c>
      <c r="C2" s="354" t="s">
        <v>2</v>
      </c>
      <c r="D2" s="354" t="s">
        <v>3</v>
      </c>
      <c r="E2" s="354" t="s">
        <v>4</v>
      </c>
      <c r="F2" s="352" t="s">
        <v>5</v>
      </c>
      <c r="G2" s="352" t="s">
        <v>6</v>
      </c>
      <c r="H2" s="352" t="s">
        <v>7</v>
      </c>
      <c r="I2" s="352" t="s">
        <v>8</v>
      </c>
      <c r="J2" s="360" t="s">
        <v>9</v>
      </c>
      <c r="K2" s="362" t="s">
        <v>36</v>
      </c>
      <c r="L2" s="364" t="s">
        <v>10</v>
      </c>
      <c r="M2" s="365"/>
      <c r="N2" s="365"/>
      <c r="O2" s="365"/>
      <c r="P2" s="366"/>
      <c r="Q2" s="354" t="s">
        <v>11</v>
      </c>
      <c r="R2" s="354" t="s">
        <v>12</v>
      </c>
      <c r="S2" s="358" t="s">
        <v>13</v>
      </c>
      <c r="T2" s="358" t="s">
        <v>14</v>
      </c>
    </row>
    <row r="3" spans="1:22" s="8" customFormat="1" ht="27" customHeight="1" x14ac:dyDescent="0.2">
      <c r="A3" s="355"/>
      <c r="B3" s="357"/>
      <c r="C3" s="355"/>
      <c r="D3" s="355"/>
      <c r="E3" s="355"/>
      <c r="F3" s="353"/>
      <c r="G3" s="353"/>
      <c r="H3" s="353"/>
      <c r="I3" s="353"/>
      <c r="J3" s="361"/>
      <c r="K3" s="36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55"/>
      <c r="R3" s="355"/>
      <c r="S3" s="359"/>
      <c r="T3" s="35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2.6" customHeight="1" x14ac:dyDescent="0.2">
      <c r="A5" s="75">
        <v>1</v>
      </c>
      <c r="B5" s="79" t="s">
        <v>33</v>
      </c>
      <c r="C5" s="50" t="s">
        <v>21</v>
      </c>
      <c r="D5" s="50" t="s">
        <v>40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5" si="0">$F$1-F5</f>
        <v>39</v>
      </c>
      <c r="M5" s="36">
        <f t="shared" si="0"/>
        <v>39</v>
      </c>
      <c r="N5" s="36">
        <f t="shared" si="0"/>
        <v>39</v>
      </c>
      <c r="O5" s="37"/>
      <c r="P5" s="37"/>
      <c r="Q5" s="65" t="s">
        <v>58</v>
      </c>
      <c r="R5" s="80" t="s">
        <v>47</v>
      </c>
      <c r="S5" s="71"/>
      <c r="T5" s="71" t="s">
        <v>38</v>
      </c>
    </row>
    <row r="6" spans="1:22" s="15" customFormat="1" ht="12.75" customHeight="1" x14ac:dyDescent="0.2">
      <c r="A6" s="16">
        <v>2</v>
      </c>
      <c r="B6" s="63" t="s">
        <v>29</v>
      </c>
      <c r="C6" s="48" t="s">
        <v>21</v>
      </c>
      <c r="D6" s="48" t="s">
        <v>39</v>
      </c>
      <c r="E6" s="41">
        <v>2015</v>
      </c>
      <c r="F6" s="5">
        <v>46283</v>
      </c>
      <c r="G6" s="5">
        <v>46283</v>
      </c>
      <c r="H6" s="5">
        <v>46283</v>
      </c>
      <c r="I6" s="72"/>
      <c r="J6" s="72"/>
      <c r="K6" s="73"/>
      <c r="L6" s="1">
        <f t="shared" ref="L6" si="1">$F$1-F6</f>
        <v>3</v>
      </c>
      <c r="M6" s="1">
        <f t="shared" ref="M6" si="2">$F$1-G6</f>
        <v>3</v>
      </c>
      <c r="N6" s="1">
        <f t="shared" ref="N6" si="3">$F$1-H6</f>
        <v>3</v>
      </c>
      <c r="O6" s="72"/>
      <c r="P6" s="70"/>
      <c r="Q6" s="65" t="s">
        <v>53</v>
      </c>
      <c r="R6" s="62" t="s">
        <v>31</v>
      </c>
      <c r="S6" s="71"/>
      <c r="T6" s="71" t="s">
        <v>28</v>
      </c>
    </row>
    <row r="7" spans="1:22" s="15" customFormat="1" ht="28.15" customHeight="1" x14ac:dyDescent="0.2">
      <c r="A7" s="75">
        <v>3</v>
      </c>
      <c r="B7" s="62" t="s">
        <v>54</v>
      </c>
      <c r="C7" s="49" t="s">
        <v>56</v>
      </c>
      <c r="D7" s="49" t="s">
        <v>22</v>
      </c>
      <c r="E7" s="44">
        <v>2024</v>
      </c>
      <c r="F7" s="38">
        <v>46286</v>
      </c>
      <c r="G7" s="38">
        <v>46286</v>
      </c>
      <c r="H7" s="38">
        <v>46286</v>
      </c>
      <c r="I7" s="70"/>
      <c r="J7" s="70"/>
      <c r="K7" s="77"/>
      <c r="L7" s="39">
        <f t="shared" ref="L7:L8" si="4">$F$1-F7</f>
        <v>0</v>
      </c>
      <c r="M7" s="39">
        <f t="shared" ref="M7:M8" si="5">$F$1-G7</f>
        <v>0</v>
      </c>
      <c r="N7" s="39">
        <f t="shared" ref="N7:N8" si="6">$F$1-H7</f>
        <v>0</v>
      </c>
      <c r="O7" s="70"/>
      <c r="P7" s="70"/>
      <c r="Q7" s="68" t="s">
        <v>59</v>
      </c>
      <c r="R7" s="62"/>
      <c r="S7" s="71"/>
      <c r="T7" s="71" t="s">
        <v>30</v>
      </c>
    </row>
    <row r="8" spans="1:22" s="15" customFormat="1" ht="12.6" customHeight="1" x14ac:dyDescent="0.2">
      <c r="A8" s="16">
        <v>4</v>
      </c>
      <c r="B8" s="62" t="s">
        <v>55</v>
      </c>
      <c r="C8" s="49" t="s">
        <v>21</v>
      </c>
      <c r="D8" s="49" t="s">
        <v>39</v>
      </c>
      <c r="E8" s="44">
        <v>2022</v>
      </c>
      <c r="F8" s="38">
        <v>46286</v>
      </c>
      <c r="G8" s="38">
        <v>46286</v>
      </c>
      <c r="H8" s="38">
        <v>46286</v>
      </c>
      <c r="I8" s="70"/>
      <c r="J8" s="70"/>
      <c r="K8" s="77"/>
      <c r="L8" s="39">
        <f t="shared" si="4"/>
        <v>0</v>
      </c>
      <c r="M8" s="39">
        <f t="shared" si="5"/>
        <v>0</v>
      </c>
      <c r="N8" s="39">
        <f t="shared" si="6"/>
        <v>0</v>
      </c>
      <c r="O8" s="70"/>
      <c r="P8" s="70"/>
      <c r="Q8" s="68" t="s">
        <v>57</v>
      </c>
      <c r="R8" s="54"/>
      <c r="S8" s="71"/>
      <c r="T8" s="71" t="s">
        <v>42</v>
      </c>
      <c r="U8" s="46"/>
      <c r="V8" s="46"/>
    </row>
    <row r="9" spans="1:22" s="15" customFormat="1" ht="12.6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71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/>
      <c r="B19" s="42"/>
      <c r="C19" s="50"/>
      <c r="D19" s="50"/>
      <c r="E19" s="41"/>
      <c r="F19" s="5"/>
      <c r="G19" s="5"/>
      <c r="H19" s="5"/>
      <c r="I19" s="5"/>
      <c r="J19" s="5"/>
      <c r="K19" s="56"/>
      <c r="L19" s="1"/>
      <c r="M19" s="1"/>
      <c r="N19" s="1"/>
      <c r="O19" s="1"/>
      <c r="P19" s="1"/>
      <c r="Q19" s="18"/>
      <c r="R19" s="53"/>
      <c r="S19" s="5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9D05-4766-4DB0-9DC2-1E704EECC20E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46287</v>
      </c>
      <c r="G1" s="5">
        <v>46287</v>
      </c>
      <c r="H1" s="5">
        <v>46287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54" t="s">
        <v>0</v>
      </c>
      <c r="B2" s="356" t="s">
        <v>1</v>
      </c>
      <c r="C2" s="354" t="s">
        <v>2</v>
      </c>
      <c r="D2" s="354" t="s">
        <v>3</v>
      </c>
      <c r="E2" s="354" t="s">
        <v>4</v>
      </c>
      <c r="F2" s="352" t="s">
        <v>5</v>
      </c>
      <c r="G2" s="352" t="s">
        <v>6</v>
      </c>
      <c r="H2" s="352" t="s">
        <v>7</v>
      </c>
      <c r="I2" s="352" t="s">
        <v>8</v>
      </c>
      <c r="J2" s="360" t="s">
        <v>9</v>
      </c>
      <c r="K2" s="362" t="s">
        <v>36</v>
      </c>
      <c r="L2" s="364" t="s">
        <v>10</v>
      </c>
      <c r="M2" s="365"/>
      <c r="N2" s="365"/>
      <c r="O2" s="365"/>
      <c r="P2" s="366"/>
      <c r="Q2" s="354" t="s">
        <v>11</v>
      </c>
      <c r="R2" s="354" t="s">
        <v>12</v>
      </c>
      <c r="S2" s="358" t="s">
        <v>13</v>
      </c>
      <c r="T2" s="358" t="s">
        <v>14</v>
      </c>
    </row>
    <row r="3" spans="1:22" s="8" customFormat="1" ht="27" customHeight="1" x14ac:dyDescent="0.2">
      <c r="A3" s="355"/>
      <c r="B3" s="357"/>
      <c r="C3" s="355"/>
      <c r="D3" s="355"/>
      <c r="E3" s="355"/>
      <c r="F3" s="353"/>
      <c r="G3" s="353"/>
      <c r="H3" s="353"/>
      <c r="I3" s="353"/>
      <c r="J3" s="361"/>
      <c r="K3" s="36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55"/>
      <c r="R3" s="355"/>
      <c r="S3" s="359"/>
      <c r="T3" s="35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2.6" customHeight="1" x14ac:dyDescent="0.2">
      <c r="A5" s="75">
        <v>1</v>
      </c>
      <c r="B5" s="79" t="s">
        <v>33</v>
      </c>
      <c r="C5" s="50" t="s">
        <v>21</v>
      </c>
      <c r="D5" s="50" t="s">
        <v>40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8" si="0">$F$1-F5</f>
        <v>40</v>
      </c>
      <c r="M5" s="36">
        <f t="shared" si="0"/>
        <v>40</v>
      </c>
      <c r="N5" s="36">
        <f t="shared" si="0"/>
        <v>40</v>
      </c>
      <c r="O5" s="37"/>
      <c r="P5" s="37"/>
      <c r="Q5" s="65" t="s">
        <v>58</v>
      </c>
      <c r="R5" s="80"/>
      <c r="S5" s="71"/>
      <c r="T5" s="71" t="s">
        <v>38</v>
      </c>
    </row>
    <row r="6" spans="1:22" s="15" customFormat="1" ht="12.75" customHeight="1" x14ac:dyDescent="0.2">
      <c r="A6" s="16">
        <v>2</v>
      </c>
      <c r="B6" s="63" t="s">
        <v>29</v>
      </c>
      <c r="C6" s="48" t="s">
        <v>21</v>
      </c>
      <c r="D6" s="48" t="s">
        <v>39</v>
      </c>
      <c r="E6" s="41">
        <v>2015</v>
      </c>
      <c r="F6" s="5">
        <v>46283</v>
      </c>
      <c r="G6" s="5">
        <v>46283</v>
      </c>
      <c r="H6" s="5">
        <v>46283</v>
      </c>
      <c r="I6" s="72"/>
      <c r="J6" s="72"/>
      <c r="K6" s="73"/>
      <c r="L6" s="1">
        <f t="shared" si="0"/>
        <v>4</v>
      </c>
      <c r="M6" s="1">
        <f t="shared" si="0"/>
        <v>4</v>
      </c>
      <c r="N6" s="1">
        <f t="shared" si="0"/>
        <v>4</v>
      </c>
      <c r="O6" s="72"/>
      <c r="P6" s="70"/>
      <c r="Q6" s="65" t="s">
        <v>53</v>
      </c>
      <c r="R6" s="62"/>
      <c r="S6" s="71"/>
      <c r="T6" s="71" t="s">
        <v>28</v>
      </c>
    </row>
    <row r="7" spans="1:22" s="15" customFormat="1" ht="28.15" customHeight="1" x14ac:dyDescent="0.2">
      <c r="A7" s="75">
        <v>3</v>
      </c>
      <c r="B7" s="63" t="s">
        <v>54</v>
      </c>
      <c r="C7" s="48" t="s">
        <v>56</v>
      </c>
      <c r="D7" s="48" t="s">
        <v>22</v>
      </c>
      <c r="E7" s="41">
        <v>2024</v>
      </c>
      <c r="F7" s="5">
        <v>46286</v>
      </c>
      <c r="G7" s="5">
        <v>46286</v>
      </c>
      <c r="H7" s="5">
        <v>46286</v>
      </c>
      <c r="I7" s="72"/>
      <c r="J7" s="72"/>
      <c r="K7" s="73"/>
      <c r="L7" s="1">
        <f t="shared" si="0"/>
        <v>1</v>
      </c>
      <c r="M7" s="1">
        <f t="shared" si="0"/>
        <v>1</v>
      </c>
      <c r="N7" s="1">
        <f t="shared" si="0"/>
        <v>1</v>
      </c>
      <c r="O7" s="72"/>
      <c r="P7" s="72"/>
      <c r="Q7" s="74" t="s">
        <v>60</v>
      </c>
      <c r="R7" s="62"/>
      <c r="S7" s="71"/>
      <c r="T7" s="71" t="s">
        <v>30</v>
      </c>
    </row>
    <row r="8" spans="1:22" s="15" customFormat="1" ht="12.6" customHeight="1" x14ac:dyDescent="0.2">
      <c r="A8" s="16">
        <v>4</v>
      </c>
      <c r="B8" s="63" t="s">
        <v>55</v>
      </c>
      <c r="C8" s="48" t="s">
        <v>21</v>
      </c>
      <c r="D8" s="48" t="s">
        <v>39</v>
      </c>
      <c r="E8" s="41">
        <v>2022</v>
      </c>
      <c r="F8" s="5">
        <v>46286</v>
      </c>
      <c r="G8" s="5">
        <v>46286</v>
      </c>
      <c r="H8" s="5">
        <v>46286</v>
      </c>
      <c r="I8" s="72"/>
      <c r="J8" s="72"/>
      <c r="K8" s="73"/>
      <c r="L8" s="1">
        <f t="shared" si="0"/>
        <v>1</v>
      </c>
      <c r="M8" s="1">
        <f t="shared" si="0"/>
        <v>1</v>
      </c>
      <c r="N8" s="1">
        <f t="shared" si="0"/>
        <v>1</v>
      </c>
      <c r="O8" s="72"/>
      <c r="P8" s="72"/>
      <c r="Q8" s="74" t="s">
        <v>57</v>
      </c>
      <c r="R8" s="54"/>
      <c r="S8" s="71"/>
      <c r="T8" s="71" t="s">
        <v>42</v>
      </c>
      <c r="U8" s="46"/>
      <c r="V8" s="46"/>
    </row>
    <row r="9" spans="1:22" s="15" customFormat="1" ht="12.6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71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/>
      <c r="B19" s="42"/>
      <c r="C19" s="50"/>
      <c r="D19" s="50"/>
      <c r="E19" s="41"/>
      <c r="F19" s="5"/>
      <c r="G19" s="5"/>
      <c r="H19" s="5"/>
      <c r="I19" s="5"/>
      <c r="J19" s="5"/>
      <c r="K19" s="56"/>
      <c r="L19" s="1"/>
      <c r="M19" s="1"/>
      <c r="N19" s="1"/>
      <c r="O19" s="1"/>
      <c r="P19" s="1"/>
      <c r="Q19" s="18"/>
      <c r="R19" s="53"/>
      <c r="S19" s="5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6E05-6169-4CC9-B5BF-4187DB9D6541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46288</v>
      </c>
      <c r="G1" s="5">
        <v>46288</v>
      </c>
      <c r="H1" s="5">
        <v>46288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54" t="s">
        <v>0</v>
      </c>
      <c r="B2" s="356" t="s">
        <v>1</v>
      </c>
      <c r="C2" s="354" t="s">
        <v>2</v>
      </c>
      <c r="D2" s="354" t="s">
        <v>3</v>
      </c>
      <c r="E2" s="354" t="s">
        <v>4</v>
      </c>
      <c r="F2" s="352" t="s">
        <v>5</v>
      </c>
      <c r="G2" s="352" t="s">
        <v>6</v>
      </c>
      <c r="H2" s="352" t="s">
        <v>7</v>
      </c>
      <c r="I2" s="352" t="s">
        <v>8</v>
      </c>
      <c r="J2" s="360" t="s">
        <v>9</v>
      </c>
      <c r="K2" s="362" t="s">
        <v>36</v>
      </c>
      <c r="L2" s="364" t="s">
        <v>10</v>
      </c>
      <c r="M2" s="365"/>
      <c r="N2" s="365"/>
      <c r="O2" s="365"/>
      <c r="P2" s="366"/>
      <c r="Q2" s="354" t="s">
        <v>11</v>
      </c>
      <c r="R2" s="354" t="s">
        <v>12</v>
      </c>
      <c r="S2" s="358" t="s">
        <v>13</v>
      </c>
      <c r="T2" s="358" t="s">
        <v>14</v>
      </c>
    </row>
    <row r="3" spans="1:22" s="8" customFormat="1" ht="27" customHeight="1" x14ac:dyDescent="0.2">
      <c r="A3" s="355"/>
      <c r="B3" s="357"/>
      <c r="C3" s="355"/>
      <c r="D3" s="355"/>
      <c r="E3" s="355"/>
      <c r="F3" s="353"/>
      <c r="G3" s="353"/>
      <c r="H3" s="353"/>
      <c r="I3" s="353"/>
      <c r="J3" s="361"/>
      <c r="K3" s="36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55"/>
      <c r="R3" s="355"/>
      <c r="S3" s="359"/>
      <c r="T3" s="35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2.6" customHeight="1" x14ac:dyDescent="0.2">
      <c r="A5" s="75">
        <v>1</v>
      </c>
      <c r="B5" s="79" t="s">
        <v>33</v>
      </c>
      <c r="C5" s="50" t="s">
        <v>21</v>
      </c>
      <c r="D5" s="50" t="s">
        <v>40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7" si="0">$F$1-F5</f>
        <v>41</v>
      </c>
      <c r="M5" s="36">
        <f t="shared" si="0"/>
        <v>41</v>
      </c>
      <c r="N5" s="36">
        <f t="shared" si="0"/>
        <v>41</v>
      </c>
      <c r="O5" s="37"/>
      <c r="P5" s="37"/>
      <c r="Q5" s="65" t="s">
        <v>58</v>
      </c>
      <c r="R5" s="63" t="s">
        <v>55</v>
      </c>
      <c r="S5" s="71" t="s">
        <v>42</v>
      </c>
      <c r="T5" s="71" t="s">
        <v>38</v>
      </c>
    </row>
    <row r="6" spans="1:22" s="15" customFormat="1" ht="12.75" customHeight="1" x14ac:dyDescent="0.2">
      <c r="A6" s="16">
        <v>2</v>
      </c>
      <c r="B6" s="63" t="s">
        <v>29</v>
      </c>
      <c r="C6" s="48" t="s">
        <v>21</v>
      </c>
      <c r="D6" s="48" t="s">
        <v>39</v>
      </c>
      <c r="E6" s="41">
        <v>2015</v>
      </c>
      <c r="F6" s="5">
        <v>46283</v>
      </c>
      <c r="G6" s="5">
        <v>46283</v>
      </c>
      <c r="H6" s="5">
        <v>46283</v>
      </c>
      <c r="I6" s="72"/>
      <c r="J6" s="72"/>
      <c r="K6" s="73"/>
      <c r="L6" s="1">
        <f t="shared" si="0"/>
        <v>5</v>
      </c>
      <c r="M6" s="1">
        <f t="shared" si="0"/>
        <v>5</v>
      </c>
      <c r="N6" s="1">
        <f t="shared" si="0"/>
        <v>5</v>
      </c>
      <c r="O6" s="72"/>
      <c r="P6" s="70"/>
      <c r="Q6" s="65" t="s">
        <v>53</v>
      </c>
      <c r="R6" s="62"/>
      <c r="S6" s="71"/>
      <c r="T6" s="71" t="s">
        <v>28</v>
      </c>
    </row>
    <row r="7" spans="1:22" s="15" customFormat="1" ht="28.15" customHeight="1" x14ac:dyDescent="0.2">
      <c r="A7" s="75">
        <v>3</v>
      </c>
      <c r="B7" s="63" t="s">
        <v>54</v>
      </c>
      <c r="C7" s="48" t="s">
        <v>56</v>
      </c>
      <c r="D7" s="48" t="s">
        <v>22</v>
      </c>
      <c r="E7" s="41">
        <v>2024</v>
      </c>
      <c r="F7" s="5">
        <v>46286</v>
      </c>
      <c r="G7" s="5">
        <v>46286</v>
      </c>
      <c r="H7" s="5">
        <v>46286</v>
      </c>
      <c r="I7" s="72"/>
      <c r="J7" s="72"/>
      <c r="K7" s="73"/>
      <c r="L7" s="1">
        <f t="shared" si="0"/>
        <v>2</v>
      </c>
      <c r="M7" s="1">
        <f t="shared" si="0"/>
        <v>2</v>
      </c>
      <c r="N7" s="1">
        <f t="shared" si="0"/>
        <v>2</v>
      </c>
      <c r="O7" s="72"/>
      <c r="P7" s="72"/>
      <c r="Q7" s="74" t="s">
        <v>60</v>
      </c>
      <c r="R7" s="62"/>
      <c r="S7" s="71"/>
      <c r="T7" s="71" t="s">
        <v>30</v>
      </c>
    </row>
    <row r="8" spans="1:22" s="15" customFormat="1" ht="12.6" customHeight="1" x14ac:dyDescent="0.2">
      <c r="A8" s="16"/>
      <c r="B8" s="63"/>
      <c r="C8" s="48"/>
      <c r="D8" s="48"/>
      <c r="E8" s="41"/>
      <c r="F8" s="5"/>
      <c r="G8" s="5"/>
      <c r="H8" s="5"/>
      <c r="I8" s="72"/>
      <c r="J8" s="72"/>
      <c r="K8" s="73"/>
      <c r="L8" s="1"/>
      <c r="M8" s="1"/>
      <c r="N8" s="1"/>
      <c r="O8" s="72"/>
      <c r="P8" s="72"/>
      <c r="Q8" s="74"/>
      <c r="R8" s="54"/>
      <c r="S8" s="71"/>
      <c r="T8" s="71" t="s">
        <v>45</v>
      </c>
      <c r="U8" s="46"/>
      <c r="V8" s="46"/>
    </row>
    <row r="9" spans="1:22" s="15" customFormat="1" ht="12.6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71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/>
      <c r="B19" s="42"/>
      <c r="C19" s="50"/>
      <c r="D19" s="50"/>
      <c r="E19" s="41"/>
      <c r="F19" s="5"/>
      <c r="G19" s="5"/>
      <c r="H19" s="5"/>
      <c r="I19" s="5"/>
      <c r="J19" s="5"/>
      <c r="K19" s="56"/>
      <c r="L19" s="1"/>
      <c r="M19" s="1"/>
      <c r="N19" s="1"/>
      <c r="O19" s="1"/>
      <c r="P19" s="1"/>
      <c r="Q19" s="18"/>
      <c r="R19" s="53"/>
      <c r="S19" s="5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32B9-CBB0-4EDC-886A-C7232B760A23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46288</v>
      </c>
      <c r="G1" s="5">
        <v>46288</v>
      </c>
      <c r="H1" s="5">
        <v>46288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54" t="s">
        <v>0</v>
      </c>
      <c r="B2" s="356" t="s">
        <v>1</v>
      </c>
      <c r="C2" s="354" t="s">
        <v>2</v>
      </c>
      <c r="D2" s="354" t="s">
        <v>3</v>
      </c>
      <c r="E2" s="354" t="s">
        <v>4</v>
      </c>
      <c r="F2" s="352" t="s">
        <v>5</v>
      </c>
      <c r="G2" s="352" t="s">
        <v>6</v>
      </c>
      <c r="H2" s="352" t="s">
        <v>7</v>
      </c>
      <c r="I2" s="352" t="s">
        <v>8</v>
      </c>
      <c r="J2" s="360" t="s">
        <v>9</v>
      </c>
      <c r="K2" s="362" t="s">
        <v>36</v>
      </c>
      <c r="L2" s="364" t="s">
        <v>10</v>
      </c>
      <c r="M2" s="365"/>
      <c r="N2" s="365"/>
      <c r="O2" s="365"/>
      <c r="P2" s="366"/>
      <c r="Q2" s="354" t="s">
        <v>11</v>
      </c>
      <c r="R2" s="354" t="s">
        <v>12</v>
      </c>
      <c r="S2" s="358" t="s">
        <v>13</v>
      </c>
      <c r="T2" s="358" t="s">
        <v>14</v>
      </c>
    </row>
    <row r="3" spans="1:22" s="8" customFormat="1" ht="27" customHeight="1" x14ac:dyDescent="0.2">
      <c r="A3" s="355"/>
      <c r="B3" s="357"/>
      <c r="C3" s="355"/>
      <c r="D3" s="355"/>
      <c r="E3" s="355"/>
      <c r="F3" s="353"/>
      <c r="G3" s="353"/>
      <c r="H3" s="353"/>
      <c r="I3" s="353"/>
      <c r="J3" s="361"/>
      <c r="K3" s="36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55"/>
      <c r="R3" s="355"/>
      <c r="S3" s="359"/>
      <c r="T3" s="35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2.6" customHeight="1" x14ac:dyDescent="0.2">
      <c r="A5" s="75">
        <v>1</v>
      </c>
      <c r="B5" s="79" t="s">
        <v>33</v>
      </c>
      <c r="C5" s="50" t="s">
        <v>21</v>
      </c>
      <c r="D5" s="50" t="s">
        <v>40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7" si="0">$F$1-F5</f>
        <v>41</v>
      </c>
      <c r="M5" s="36">
        <f t="shared" si="0"/>
        <v>41</v>
      </c>
      <c r="N5" s="36">
        <f t="shared" si="0"/>
        <v>41</v>
      </c>
      <c r="O5" s="37"/>
      <c r="P5" s="37"/>
      <c r="Q5" s="65" t="s">
        <v>58</v>
      </c>
      <c r="R5" s="63"/>
      <c r="S5" s="71"/>
      <c r="T5" s="71" t="s">
        <v>38</v>
      </c>
    </row>
    <row r="6" spans="1:22" s="15" customFormat="1" ht="12.75" customHeight="1" x14ac:dyDescent="0.2">
      <c r="A6" s="16">
        <v>2</v>
      </c>
      <c r="B6" s="63" t="s">
        <v>29</v>
      </c>
      <c r="C6" s="48" t="s">
        <v>21</v>
      </c>
      <c r="D6" s="48" t="s">
        <v>39</v>
      </c>
      <c r="E6" s="41">
        <v>2015</v>
      </c>
      <c r="F6" s="5">
        <v>46283</v>
      </c>
      <c r="G6" s="5">
        <v>46283</v>
      </c>
      <c r="H6" s="5">
        <v>46283</v>
      </c>
      <c r="I6" s="72"/>
      <c r="J6" s="72"/>
      <c r="K6" s="73"/>
      <c r="L6" s="1">
        <f t="shared" si="0"/>
        <v>5</v>
      </c>
      <c r="M6" s="1">
        <f t="shared" si="0"/>
        <v>5</v>
      </c>
      <c r="N6" s="1">
        <f t="shared" si="0"/>
        <v>5</v>
      </c>
      <c r="O6" s="72"/>
      <c r="P6" s="70"/>
      <c r="Q6" s="65" t="s">
        <v>53</v>
      </c>
      <c r="R6" s="62"/>
      <c r="S6" s="71"/>
      <c r="T6" s="71" t="s">
        <v>28</v>
      </c>
    </row>
    <row r="7" spans="1:22" s="15" customFormat="1" ht="28.15" customHeight="1" x14ac:dyDescent="0.2">
      <c r="A7" s="75">
        <v>3</v>
      </c>
      <c r="B7" s="63" t="s">
        <v>54</v>
      </c>
      <c r="C7" s="48" t="s">
        <v>56</v>
      </c>
      <c r="D7" s="48" t="s">
        <v>22</v>
      </c>
      <c r="E7" s="41">
        <v>2024</v>
      </c>
      <c r="F7" s="5">
        <v>46286</v>
      </c>
      <c r="G7" s="5">
        <v>46286</v>
      </c>
      <c r="H7" s="5">
        <v>46286</v>
      </c>
      <c r="I7" s="72"/>
      <c r="J7" s="72"/>
      <c r="K7" s="73"/>
      <c r="L7" s="1">
        <f t="shared" si="0"/>
        <v>2</v>
      </c>
      <c r="M7" s="1">
        <f t="shared" si="0"/>
        <v>2</v>
      </c>
      <c r="N7" s="1">
        <f t="shared" si="0"/>
        <v>2</v>
      </c>
      <c r="O7" s="72"/>
      <c r="P7" s="72"/>
      <c r="Q7" s="74" t="s">
        <v>60</v>
      </c>
      <c r="R7" s="62"/>
      <c r="S7" s="71"/>
      <c r="T7" s="71" t="s">
        <v>30</v>
      </c>
    </row>
    <row r="8" spans="1:22" s="15" customFormat="1" ht="12.6" customHeight="1" x14ac:dyDescent="0.2">
      <c r="A8" s="16"/>
      <c r="B8" s="63" t="s">
        <v>32</v>
      </c>
      <c r="C8" s="48" t="s">
        <v>21</v>
      </c>
      <c r="D8" s="48" t="s">
        <v>39</v>
      </c>
      <c r="E8" s="41">
        <v>2014</v>
      </c>
      <c r="F8" s="5">
        <v>46288</v>
      </c>
      <c r="G8" s="5">
        <v>46288</v>
      </c>
      <c r="H8" s="5">
        <v>46288</v>
      </c>
      <c r="I8" s="72"/>
      <c r="J8" s="72"/>
      <c r="K8" s="73"/>
      <c r="L8" s="1">
        <f t="shared" ref="L8" si="1">$F$1-F8</f>
        <v>0</v>
      </c>
      <c r="M8" s="1">
        <f t="shared" ref="M8" si="2">$F$1-G8</f>
        <v>0</v>
      </c>
      <c r="N8" s="1">
        <f t="shared" ref="N8" si="3">$F$1-H8</f>
        <v>0</v>
      </c>
      <c r="O8" s="72"/>
      <c r="P8" s="72"/>
      <c r="Q8" s="74" t="s">
        <v>61</v>
      </c>
      <c r="R8" s="54"/>
      <c r="S8" s="71"/>
      <c r="T8" s="71" t="s">
        <v>45</v>
      </c>
      <c r="U8" s="46"/>
      <c r="V8" s="46"/>
    </row>
    <row r="9" spans="1:22" s="15" customFormat="1" ht="12.6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71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/>
      <c r="B19" s="42"/>
      <c r="C19" s="50"/>
      <c r="D19" s="50"/>
      <c r="E19" s="41"/>
      <c r="F19" s="5"/>
      <c r="G19" s="5"/>
      <c r="H19" s="5"/>
      <c r="I19" s="5"/>
      <c r="J19" s="5"/>
      <c r="K19" s="56"/>
      <c r="L19" s="1"/>
      <c r="M19" s="1"/>
      <c r="N19" s="1"/>
      <c r="O19" s="1"/>
      <c r="P19" s="1"/>
      <c r="Q19" s="18"/>
      <c r="R19" s="53"/>
      <c r="S19" s="5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A9D30-AEB2-45D2-A07B-552041188068}">
  <dimension ref="A1:V19"/>
  <sheetViews>
    <sheetView workbookViewId="0">
      <selection activeCell="A7" sqref="A7:Q7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46290</v>
      </c>
      <c r="G1" s="5">
        <v>46290</v>
      </c>
      <c r="H1" s="5">
        <v>46290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54" t="s">
        <v>0</v>
      </c>
      <c r="B2" s="356" t="s">
        <v>1</v>
      </c>
      <c r="C2" s="354" t="s">
        <v>2</v>
      </c>
      <c r="D2" s="354" t="s">
        <v>3</v>
      </c>
      <c r="E2" s="354" t="s">
        <v>4</v>
      </c>
      <c r="F2" s="352" t="s">
        <v>5</v>
      </c>
      <c r="G2" s="352" t="s">
        <v>6</v>
      </c>
      <c r="H2" s="352" t="s">
        <v>7</v>
      </c>
      <c r="I2" s="352" t="s">
        <v>8</v>
      </c>
      <c r="J2" s="360" t="s">
        <v>9</v>
      </c>
      <c r="K2" s="362" t="s">
        <v>36</v>
      </c>
      <c r="L2" s="364" t="s">
        <v>10</v>
      </c>
      <c r="M2" s="365"/>
      <c r="N2" s="365"/>
      <c r="O2" s="365"/>
      <c r="P2" s="366"/>
      <c r="Q2" s="354" t="s">
        <v>11</v>
      </c>
      <c r="R2" s="354" t="s">
        <v>12</v>
      </c>
      <c r="S2" s="358" t="s">
        <v>13</v>
      </c>
      <c r="T2" s="358" t="s">
        <v>14</v>
      </c>
    </row>
    <row r="3" spans="1:22" s="8" customFormat="1" ht="27" customHeight="1" x14ac:dyDescent="0.2">
      <c r="A3" s="355"/>
      <c r="B3" s="357"/>
      <c r="C3" s="355"/>
      <c r="D3" s="355"/>
      <c r="E3" s="355"/>
      <c r="F3" s="353"/>
      <c r="G3" s="353"/>
      <c r="H3" s="353"/>
      <c r="I3" s="353"/>
      <c r="J3" s="361"/>
      <c r="K3" s="36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55"/>
      <c r="R3" s="355"/>
      <c r="S3" s="359"/>
      <c r="T3" s="35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2.6" customHeight="1" x14ac:dyDescent="0.2">
      <c r="A5" s="75">
        <v>1</v>
      </c>
      <c r="B5" s="79" t="s">
        <v>33</v>
      </c>
      <c r="C5" s="50" t="s">
        <v>21</v>
      </c>
      <c r="D5" s="50" t="s">
        <v>40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6" si="0">$F$1-F5</f>
        <v>43</v>
      </c>
      <c r="M5" s="36">
        <f t="shared" si="0"/>
        <v>43</v>
      </c>
      <c r="N5" s="36">
        <f t="shared" si="0"/>
        <v>43</v>
      </c>
      <c r="O5" s="37"/>
      <c r="P5" s="37"/>
      <c r="Q5" s="65" t="s">
        <v>58</v>
      </c>
      <c r="R5" s="63" t="s">
        <v>54</v>
      </c>
      <c r="S5" s="71"/>
      <c r="T5" s="71" t="s">
        <v>38</v>
      </c>
    </row>
    <row r="6" spans="1:22" s="15" customFormat="1" ht="12.75" customHeight="1" x14ac:dyDescent="0.2">
      <c r="A6" s="16">
        <v>2</v>
      </c>
      <c r="B6" s="63" t="s">
        <v>29</v>
      </c>
      <c r="C6" s="48" t="s">
        <v>21</v>
      </c>
      <c r="D6" s="48" t="s">
        <v>39</v>
      </c>
      <c r="E6" s="41">
        <v>2015</v>
      </c>
      <c r="F6" s="5">
        <v>46283</v>
      </c>
      <c r="G6" s="5">
        <v>46283</v>
      </c>
      <c r="H6" s="5">
        <v>46283</v>
      </c>
      <c r="I6" s="72"/>
      <c r="J6" s="72"/>
      <c r="K6" s="73"/>
      <c r="L6" s="1">
        <f t="shared" si="0"/>
        <v>7</v>
      </c>
      <c r="M6" s="1">
        <f t="shared" si="0"/>
        <v>7</v>
      </c>
      <c r="N6" s="1">
        <f t="shared" si="0"/>
        <v>7</v>
      </c>
      <c r="O6" s="72"/>
      <c r="P6" s="70"/>
      <c r="Q6" s="65" t="s">
        <v>53</v>
      </c>
      <c r="R6" s="62"/>
      <c r="S6" s="71"/>
      <c r="T6" s="71" t="s">
        <v>28</v>
      </c>
    </row>
    <row r="7" spans="1:22" s="15" customFormat="1" ht="28.15" customHeight="1" x14ac:dyDescent="0.2">
      <c r="A7" s="75">
        <v>3</v>
      </c>
      <c r="B7" s="63" t="s">
        <v>32</v>
      </c>
      <c r="C7" s="48" t="s">
        <v>21</v>
      </c>
      <c r="D7" s="48" t="s">
        <v>39</v>
      </c>
      <c r="E7" s="41">
        <v>2014</v>
      </c>
      <c r="F7" s="5">
        <v>46288</v>
      </c>
      <c r="G7" s="5">
        <v>46288</v>
      </c>
      <c r="H7" s="5">
        <v>46288</v>
      </c>
      <c r="I7" s="72"/>
      <c r="J7" s="72"/>
      <c r="K7" s="73"/>
      <c r="L7" s="1">
        <f t="shared" ref="L7" si="1">$F$1-F7</f>
        <v>2</v>
      </c>
      <c r="M7" s="1">
        <f t="shared" ref="M7" si="2">$F$1-G7</f>
        <v>2</v>
      </c>
      <c r="N7" s="1">
        <f t="shared" ref="N7" si="3">$F$1-H7</f>
        <v>2</v>
      </c>
      <c r="O7" s="72"/>
      <c r="P7" s="72"/>
      <c r="Q7" s="74" t="s">
        <v>61</v>
      </c>
      <c r="R7" s="62"/>
      <c r="S7" s="71"/>
      <c r="T7" s="71" t="s">
        <v>30</v>
      </c>
    </row>
    <row r="8" spans="1:22" s="15" customFormat="1" ht="12.6" customHeight="1" x14ac:dyDescent="0.2">
      <c r="A8" s="16"/>
      <c r="B8" s="63"/>
      <c r="C8" s="48"/>
      <c r="D8" s="48"/>
      <c r="E8" s="41"/>
      <c r="F8" s="71"/>
      <c r="G8" s="71"/>
      <c r="H8" s="71"/>
      <c r="I8" s="72"/>
      <c r="J8" s="72"/>
      <c r="K8" s="73"/>
      <c r="L8" s="41"/>
      <c r="M8" s="41"/>
      <c r="N8" s="41"/>
      <c r="O8" s="72"/>
      <c r="P8" s="72"/>
      <c r="Q8" s="74"/>
      <c r="R8" s="54"/>
      <c r="S8" s="71"/>
      <c r="T8" s="71" t="s">
        <v>45</v>
      </c>
      <c r="U8" s="46"/>
      <c r="V8" s="46"/>
    </row>
    <row r="9" spans="1:22" s="15" customFormat="1" ht="12.6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66" t="s">
        <v>27</v>
      </c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/>
      <c r="B19" s="71"/>
      <c r="C19" s="48"/>
      <c r="D19" s="48"/>
      <c r="E19" s="41"/>
      <c r="F19" s="5"/>
      <c r="G19" s="5"/>
      <c r="H19" s="5"/>
      <c r="I19" s="5"/>
      <c r="J19" s="5"/>
      <c r="K19" s="56"/>
      <c r="L19" s="1"/>
      <c r="M19" s="1"/>
      <c r="N19" s="1"/>
      <c r="O19" s="1"/>
      <c r="P19" s="1"/>
      <c r="Q19" s="18"/>
      <c r="R19" s="53"/>
      <c r="S19" s="5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0FFD-A659-427E-80AB-0C3CD6BC93C0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46291</v>
      </c>
      <c r="G1" s="5">
        <v>46291</v>
      </c>
      <c r="H1" s="5">
        <v>46291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54" t="s">
        <v>0</v>
      </c>
      <c r="B2" s="356" t="s">
        <v>1</v>
      </c>
      <c r="C2" s="354" t="s">
        <v>2</v>
      </c>
      <c r="D2" s="354" t="s">
        <v>3</v>
      </c>
      <c r="E2" s="354" t="s">
        <v>4</v>
      </c>
      <c r="F2" s="352" t="s">
        <v>5</v>
      </c>
      <c r="G2" s="352" t="s">
        <v>6</v>
      </c>
      <c r="H2" s="352" t="s">
        <v>7</v>
      </c>
      <c r="I2" s="352" t="s">
        <v>8</v>
      </c>
      <c r="J2" s="360" t="s">
        <v>9</v>
      </c>
      <c r="K2" s="362" t="s">
        <v>36</v>
      </c>
      <c r="L2" s="364" t="s">
        <v>10</v>
      </c>
      <c r="M2" s="365"/>
      <c r="N2" s="365"/>
      <c r="O2" s="365"/>
      <c r="P2" s="366"/>
      <c r="Q2" s="354" t="s">
        <v>11</v>
      </c>
      <c r="R2" s="354" t="s">
        <v>12</v>
      </c>
      <c r="S2" s="358" t="s">
        <v>13</v>
      </c>
      <c r="T2" s="358" t="s">
        <v>14</v>
      </c>
    </row>
    <row r="3" spans="1:22" s="8" customFormat="1" ht="27" customHeight="1" x14ac:dyDescent="0.2">
      <c r="A3" s="355"/>
      <c r="B3" s="357"/>
      <c r="C3" s="355"/>
      <c r="D3" s="355"/>
      <c r="E3" s="355"/>
      <c r="F3" s="353"/>
      <c r="G3" s="353"/>
      <c r="H3" s="353"/>
      <c r="I3" s="353"/>
      <c r="J3" s="361"/>
      <c r="K3" s="36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55"/>
      <c r="R3" s="355"/>
      <c r="S3" s="359"/>
      <c r="T3" s="35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2.6" customHeight="1" x14ac:dyDescent="0.2">
      <c r="A5" s="75">
        <v>1</v>
      </c>
      <c r="B5" s="79" t="s">
        <v>33</v>
      </c>
      <c r="C5" s="50" t="s">
        <v>21</v>
      </c>
      <c r="D5" s="50" t="s">
        <v>40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7" si="0">$F$1-F5</f>
        <v>44</v>
      </c>
      <c r="M5" s="36">
        <f t="shared" si="0"/>
        <v>44</v>
      </c>
      <c r="N5" s="36">
        <f t="shared" si="0"/>
        <v>44</v>
      </c>
      <c r="O5" s="37"/>
      <c r="P5" s="37"/>
      <c r="Q5" s="65" t="s">
        <v>58</v>
      </c>
      <c r="R5" s="63"/>
      <c r="S5" s="71"/>
      <c r="T5" s="71" t="s">
        <v>38</v>
      </c>
    </row>
    <row r="6" spans="1:22" s="15" customFormat="1" ht="12.75" customHeight="1" x14ac:dyDescent="0.2">
      <c r="A6" s="16">
        <v>2</v>
      </c>
      <c r="B6" s="63" t="s">
        <v>29</v>
      </c>
      <c r="C6" s="48" t="s">
        <v>21</v>
      </c>
      <c r="D6" s="48" t="s">
        <v>39</v>
      </c>
      <c r="E6" s="41">
        <v>2015</v>
      </c>
      <c r="F6" s="5">
        <v>46283</v>
      </c>
      <c r="G6" s="5">
        <v>46283</v>
      </c>
      <c r="H6" s="5">
        <v>46283</v>
      </c>
      <c r="I6" s="72"/>
      <c r="J6" s="72"/>
      <c r="K6" s="73"/>
      <c r="L6" s="1">
        <f t="shared" si="0"/>
        <v>8</v>
      </c>
      <c r="M6" s="1">
        <f t="shared" si="0"/>
        <v>8</v>
      </c>
      <c r="N6" s="1">
        <f t="shared" si="0"/>
        <v>8</v>
      </c>
      <c r="O6" s="72"/>
      <c r="P6" s="70"/>
      <c r="Q6" s="65" t="s">
        <v>53</v>
      </c>
      <c r="R6" s="62"/>
      <c r="S6" s="71"/>
      <c r="T6" s="71" t="s">
        <v>28</v>
      </c>
    </row>
    <row r="7" spans="1:22" s="15" customFormat="1" ht="13.15" customHeight="1" x14ac:dyDescent="0.2">
      <c r="A7" s="75">
        <v>3</v>
      </c>
      <c r="B7" s="63" t="s">
        <v>32</v>
      </c>
      <c r="C7" s="48" t="s">
        <v>21</v>
      </c>
      <c r="D7" s="48" t="s">
        <v>39</v>
      </c>
      <c r="E7" s="41">
        <v>2014</v>
      </c>
      <c r="F7" s="5">
        <v>46288</v>
      </c>
      <c r="G7" s="5">
        <v>46288</v>
      </c>
      <c r="H7" s="5">
        <v>46288</v>
      </c>
      <c r="I7" s="72"/>
      <c r="J7" s="72"/>
      <c r="K7" s="73"/>
      <c r="L7" s="1">
        <f t="shared" si="0"/>
        <v>3</v>
      </c>
      <c r="M7" s="1">
        <f t="shared" si="0"/>
        <v>3</v>
      </c>
      <c r="N7" s="1">
        <f t="shared" si="0"/>
        <v>3</v>
      </c>
      <c r="O7" s="72"/>
      <c r="P7" s="72"/>
      <c r="Q7" s="74" t="s">
        <v>62</v>
      </c>
      <c r="R7" s="62"/>
      <c r="S7" s="71"/>
      <c r="T7" s="71" t="s">
        <v>30</v>
      </c>
    </row>
    <row r="8" spans="1:22" s="15" customFormat="1" ht="12.6" customHeight="1" x14ac:dyDescent="0.2">
      <c r="A8" s="16"/>
      <c r="B8" s="63"/>
      <c r="C8" s="48"/>
      <c r="D8" s="48"/>
      <c r="E8" s="41"/>
      <c r="F8" s="71"/>
      <c r="G8" s="71"/>
      <c r="H8" s="71"/>
      <c r="I8" s="72"/>
      <c r="J8" s="72"/>
      <c r="K8" s="73"/>
      <c r="L8" s="41"/>
      <c r="M8" s="41"/>
      <c r="N8" s="41"/>
      <c r="O8" s="72"/>
      <c r="P8" s="72"/>
      <c r="Q8" s="74"/>
      <c r="R8" s="54"/>
      <c r="S8" s="71"/>
      <c r="T8" s="71" t="s">
        <v>45</v>
      </c>
      <c r="U8" s="46"/>
      <c r="V8" s="46"/>
    </row>
    <row r="9" spans="1:22" s="15" customFormat="1" ht="12.6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66" t="s">
        <v>27</v>
      </c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/>
      <c r="B19" s="71"/>
      <c r="C19" s="48"/>
      <c r="D19" s="48"/>
      <c r="E19" s="41"/>
      <c r="F19" s="5"/>
      <c r="G19" s="5"/>
      <c r="H19" s="5"/>
      <c r="I19" s="5"/>
      <c r="J19" s="5"/>
      <c r="K19" s="56"/>
      <c r="L19" s="1"/>
      <c r="M19" s="1"/>
      <c r="N19" s="1"/>
      <c r="O19" s="1"/>
      <c r="P19" s="1"/>
      <c r="Q19" s="18"/>
      <c r="R19" s="53"/>
      <c r="S19" s="5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3057-9001-4325-9BB0-A1B93845CB36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46292</v>
      </c>
      <c r="G1" s="5">
        <v>46292</v>
      </c>
      <c r="H1" s="5">
        <v>46292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54" t="s">
        <v>0</v>
      </c>
      <c r="B2" s="356" t="s">
        <v>1</v>
      </c>
      <c r="C2" s="354" t="s">
        <v>2</v>
      </c>
      <c r="D2" s="354" t="s">
        <v>3</v>
      </c>
      <c r="E2" s="354" t="s">
        <v>4</v>
      </c>
      <c r="F2" s="352" t="s">
        <v>5</v>
      </c>
      <c r="G2" s="352" t="s">
        <v>6</v>
      </c>
      <c r="H2" s="352" t="s">
        <v>7</v>
      </c>
      <c r="I2" s="352" t="s">
        <v>8</v>
      </c>
      <c r="J2" s="360" t="s">
        <v>9</v>
      </c>
      <c r="K2" s="362" t="s">
        <v>36</v>
      </c>
      <c r="L2" s="364" t="s">
        <v>10</v>
      </c>
      <c r="M2" s="365"/>
      <c r="N2" s="365"/>
      <c r="O2" s="365"/>
      <c r="P2" s="366"/>
      <c r="Q2" s="354" t="s">
        <v>11</v>
      </c>
      <c r="R2" s="354" t="s">
        <v>12</v>
      </c>
      <c r="S2" s="358" t="s">
        <v>13</v>
      </c>
      <c r="T2" s="358" t="s">
        <v>14</v>
      </c>
    </row>
    <row r="3" spans="1:22" s="8" customFormat="1" ht="27" customHeight="1" x14ac:dyDescent="0.2">
      <c r="A3" s="355"/>
      <c r="B3" s="357"/>
      <c r="C3" s="355"/>
      <c r="D3" s="355"/>
      <c r="E3" s="355"/>
      <c r="F3" s="353"/>
      <c r="G3" s="353"/>
      <c r="H3" s="353"/>
      <c r="I3" s="353"/>
      <c r="J3" s="361"/>
      <c r="K3" s="36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55"/>
      <c r="R3" s="355"/>
      <c r="S3" s="359"/>
      <c r="T3" s="35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2.6" customHeight="1" x14ac:dyDescent="0.2">
      <c r="A5" s="75">
        <v>1</v>
      </c>
      <c r="B5" s="79" t="s">
        <v>33</v>
      </c>
      <c r="C5" s="50" t="s">
        <v>21</v>
      </c>
      <c r="D5" s="50" t="s">
        <v>40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6" si="0">$F$1-F5</f>
        <v>45</v>
      </c>
      <c r="M5" s="36">
        <f t="shared" si="0"/>
        <v>45</v>
      </c>
      <c r="N5" s="36">
        <f t="shared" si="0"/>
        <v>45</v>
      </c>
      <c r="O5" s="37"/>
      <c r="P5" s="37"/>
      <c r="Q5" s="65" t="s">
        <v>58</v>
      </c>
      <c r="R5" s="63"/>
      <c r="S5" s="66" t="s">
        <v>27</v>
      </c>
      <c r="T5" s="71" t="s">
        <v>38</v>
      </c>
    </row>
    <row r="6" spans="1:22" s="15" customFormat="1" ht="12.75" customHeight="1" x14ac:dyDescent="0.2">
      <c r="A6" s="16">
        <v>2</v>
      </c>
      <c r="B6" s="63" t="s">
        <v>29</v>
      </c>
      <c r="C6" s="48" t="s">
        <v>21</v>
      </c>
      <c r="D6" s="48" t="s">
        <v>39</v>
      </c>
      <c r="E6" s="41">
        <v>2015</v>
      </c>
      <c r="F6" s="5">
        <v>46283</v>
      </c>
      <c r="G6" s="5">
        <v>46283</v>
      </c>
      <c r="H6" s="5">
        <v>46283</v>
      </c>
      <c r="I6" s="72"/>
      <c r="J6" s="72"/>
      <c r="K6" s="73"/>
      <c r="L6" s="1">
        <f t="shared" si="0"/>
        <v>9</v>
      </c>
      <c r="M6" s="1">
        <f t="shared" si="0"/>
        <v>9</v>
      </c>
      <c r="N6" s="1">
        <f t="shared" si="0"/>
        <v>9</v>
      </c>
      <c r="O6" s="72"/>
      <c r="P6" s="70"/>
      <c r="Q6" s="65" t="s">
        <v>63</v>
      </c>
      <c r="R6" s="62"/>
      <c r="S6" s="71"/>
      <c r="T6" s="71" t="s">
        <v>28</v>
      </c>
    </row>
    <row r="7" spans="1:22" s="15" customFormat="1" ht="23.45" customHeight="1" x14ac:dyDescent="0.2">
      <c r="A7" s="75">
        <v>3</v>
      </c>
      <c r="B7" s="62" t="s">
        <v>37</v>
      </c>
      <c r="C7" s="49" t="s">
        <v>34</v>
      </c>
      <c r="D7" s="49" t="s">
        <v>22</v>
      </c>
      <c r="E7" s="44">
        <v>2024</v>
      </c>
      <c r="F7" s="38">
        <v>46292</v>
      </c>
      <c r="G7" s="38">
        <v>46292</v>
      </c>
      <c r="H7" s="38">
        <v>46292</v>
      </c>
      <c r="I7" s="70"/>
      <c r="J7" s="70"/>
      <c r="K7" s="77"/>
      <c r="L7" s="39">
        <f t="shared" ref="L7" si="1">$F$1-F7</f>
        <v>0</v>
      </c>
      <c r="M7" s="39">
        <f t="shared" ref="M7" si="2">$F$1-G7</f>
        <v>0</v>
      </c>
      <c r="N7" s="39">
        <f t="shared" ref="N7" si="3">$F$1-H7</f>
        <v>0</v>
      </c>
      <c r="O7" s="70"/>
      <c r="P7" s="72"/>
      <c r="Q7" s="74" t="s">
        <v>64</v>
      </c>
      <c r="R7" s="62"/>
      <c r="S7" s="71"/>
      <c r="T7" s="71" t="s">
        <v>30</v>
      </c>
    </row>
    <row r="8" spans="1:22" s="15" customFormat="1" ht="12.6" customHeight="1" x14ac:dyDescent="0.2">
      <c r="A8" s="16"/>
      <c r="B8" s="63"/>
      <c r="C8" s="48"/>
      <c r="D8" s="48"/>
      <c r="E8" s="41"/>
      <c r="F8" s="71"/>
      <c r="G8" s="71"/>
      <c r="H8" s="71"/>
      <c r="I8" s="72"/>
      <c r="J8" s="72"/>
      <c r="K8" s="73"/>
      <c r="L8" s="41"/>
      <c r="M8" s="41"/>
      <c r="N8" s="41"/>
      <c r="O8" s="72"/>
      <c r="P8" s="72"/>
      <c r="Q8" s="74"/>
      <c r="R8" s="54"/>
      <c r="S8" s="71"/>
      <c r="T8" s="71" t="s">
        <v>45</v>
      </c>
      <c r="U8" s="46"/>
      <c r="V8" s="46"/>
    </row>
    <row r="9" spans="1:22" s="15" customFormat="1" ht="12.6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63" t="s">
        <v>32</v>
      </c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/>
      <c r="B19" s="71"/>
      <c r="C19" s="48"/>
      <c r="D19" s="48"/>
      <c r="E19" s="41"/>
      <c r="F19" s="5"/>
      <c r="G19" s="5"/>
      <c r="H19" s="5"/>
      <c r="I19" s="5"/>
      <c r="J19" s="5"/>
      <c r="K19" s="56"/>
      <c r="L19" s="1"/>
      <c r="M19" s="1"/>
      <c r="N19" s="1"/>
      <c r="O19" s="1"/>
      <c r="P19" s="1"/>
      <c r="Q19" s="18"/>
      <c r="R19" s="53"/>
      <c r="S19" s="5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AF79-A44E-4BE4-B594-3D8DA08CF727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46293</v>
      </c>
      <c r="G1" s="5">
        <v>46293</v>
      </c>
      <c r="H1" s="5">
        <v>46293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54" t="s">
        <v>0</v>
      </c>
      <c r="B2" s="356" t="s">
        <v>1</v>
      </c>
      <c r="C2" s="354" t="s">
        <v>2</v>
      </c>
      <c r="D2" s="354" t="s">
        <v>3</v>
      </c>
      <c r="E2" s="354" t="s">
        <v>4</v>
      </c>
      <c r="F2" s="352" t="s">
        <v>5</v>
      </c>
      <c r="G2" s="352" t="s">
        <v>6</v>
      </c>
      <c r="H2" s="352" t="s">
        <v>7</v>
      </c>
      <c r="I2" s="352" t="s">
        <v>8</v>
      </c>
      <c r="J2" s="360" t="s">
        <v>9</v>
      </c>
      <c r="K2" s="362" t="s">
        <v>36</v>
      </c>
      <c r="L2" s="364" t="s">
        <v>10</v>
      </c>
      <c r="M2" s="365"/>
      <c r="N2" s="365"/>
      <c r="O2" s="365"/>
      <c r="P2" s="366"/>
      <c r="Q2" s="354" t="s">
        <v>11</v>
      </c>
      <c r="R2" s="354" t="s">
        <v>12</v>
      </c>
      <c r="S2" s="358" t="s">
        <v>13</v>
      </c>
      <c r="T2" s="358" t="s">
        <v>14</v>
      </c>
    </row>
    <row r="3" spans="1:22" s="8" customFormat="1" ht="27" customHeight="1" x14ac:dyDescent="0.2">
      <c r="A3" s="355"/>
      <c r="B3" s="357"/>
      <c r="C3" s="355"/>
      <c r="D3" s="355"/>
      <c r="E3" s="355"/>
      <c r="F3" s="353"/>
      <c r="G3" s="353"/>
      <c r="H3" s="353"/>
      <c r="I3" s="353"/>
      <c r="J3" s="361"/>
      <c r="K3" s="36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55"/>
      <c r="R3" s="355"/>
      <c r="S3" s="359"/>
      <c r="T3" s="35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79" t="s">
        <v>33</v>
      </c>
      <c r="C5" s="50" t="s">
        <v>21</v>
      </c>
      <c r="D5" s="50" t="s">
        <v>66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5" si="0">$F$1-F5</f>
        <v>46</v>
      </c>
      <c r="M5" s="36">
        <f t="shared" si="0"/>
        <v>46</v>
      </c>
      <c r="N5" s="36">
        <f t="shared" si="0"/>
        <v>46</v>
      </c>
      <c r="O5" s="37"/>
      <c r="P5" s="37"/>
      <c r="Q5" s="65" t="s">
        <v>58</v>
      </c>
      <c r="R5" s="63"/>
      <c r="S5" s="69" t="s">
        <v>29</v>
      </c>
      <c r="T5" s="71" t="s">
        <v>38</v>
      </c>
    </row>
    <row r="6" spans="1:22" s="15" customFormat="1" ht="13.15" customHeight="1" x14ac:dyDescent="0.2">
      <c r="A6" s="16">
        <v>2</v>
      </c>
      <c r="B6" s="79" t="s">
        <v>37</v>
      </c>
      <c r="C6" s="50" t="s">
        <v>34</v>
      </c>
      <c r="D6" s="50" t="s">
        <v>22</v>
      </c>
      <c r="E6" s="43">
        <v>2024</v>
      </c>
      <c r="F6" s="35">
        <v>46292</v>
      </c>
      <c r="G6" s="35">
        <v>46292</v>
      </c>
      <c r="H6" s="35">
        <v>46292</v>
      </c>
      <c r="I6" s="67"/>
      <c r="J6" s="67"/>
      <c r="K6" s="54"/>
      <c r="L6" s="36">
        <f t="shared" ref="L6" si="1">$F$1-F6</f>
        <v>1</v>
      </c>
      <c r="M6" s="36">
        <f t="shared" ref="M6" si="2">$F$1-G6</f>
        <v>1</v>
      </c>
      <c r="N6" s="36">
        <f t="shared" ref="N6" si="3">$F$1-H6</f>
        <v>1</v>
      </c>
      <c r="O6" s="67"/>
      <c r="P6" s="67"/>
      <c r="Q6" s="65" t="s">
        <v>65</v>
      </c>
      <c r="R6" s="62"/>
      <c r="S6" s="71"/>
      <c r="T6" s="71" t="s">
        <v>43</v>
      </c>
    </row>
    <row r="7" spans="1:22" s="15" customFormat="1" ht="13.15" customHeight="1" x14ac:dyDescent="0.2">
      <c r="A7" s="75"/>
      <c r="B7" s="79"/>
      <c r="C7" s="50"/>
      <c r="D7" s="50"/>
      <c r="E7" s="43"/>
      <c r="F7" s="35"/>
      <c r="G7" s="35"/>
      <c r="H7" s="35"/>
      <c r="I7" s="67"/>
      <c r="J7" s="67"/>
      <c r="K7" s="54"/>
      <c r="L7" s="36"/>
      <c r="M7" s="36"/>
      <c r="N7" s="36"/>
      <c r="O7" s="67"/>
      <c r="P7" s="67"/>
      <c r="Q7" s="65"/>
      <c r="R7" s="62"/>
      <c r="S7" s="71"/>
      <c r="T7" s="71"/>
    </row>
    <row r="8" spans="1:22" s="15" customFormat="1" ht="13.15" customHeight="1" x14ac:dyDescent="0.2">
      <c r="A8" s="16"/>
      <c r="B8" s="63"/>
      <c r="C8" s="48"/>
      <c r="D8" s="48"/>
      <c r="E8" s="41"/>
      <c r="F8" s="71"/>
      <c r="G8" s="71"/>
      <c r="H8" s="71"/>
      <c r="I8" s="72"/>
      <c r="J8" s="72"/>
      <c r="K8" s="73"/>
      <c r="L8" s="41"/>
      <c r="M8" s="41"/>
      <c r="N8" s="41"/>
      <c r="O8" s="72"/>
      <c r="P8" s="72"/>
      <c r="Q8" s="74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/>
      <c r="B19" s="71"/>
      <c r="C19" s="48"/>
      <c r="D19" s="48"/>
      <c r="E19" s="41"/>
      <c r="F19" s="5"/>
      <c r="G19" s="5"/>
      <c r="H19" s="5"/>
      <c r="I19" s="5"/>
      <c r="J19" s="5"/>
      <c r="K19" s="56"/>
      <c r="L19" s="1"/>
      <c r="M19" s="1"/>
      <c r="N19" s="1"/>
      <c r="O19" s="1"/>
      <c r="P19" s="1"/>
      <c r="Q19" s="18"/>
      <c r="R19" s="53"/>
      <c r="S19" s="5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A0D6-D6E2-45B9-B3CE-53D5ED5651D1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46294</v>
      </c>
      <c r="G1" s="5">
        <v>46294</v>
      </c>
      <c r="H1" s="5">
        <v>46294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54" t="s">
        <v>0</v>
      </c>
      <c r="B2" s="356" t="s">
        <v>1</v>
      </c>
      <c r="C2" s="354" t="s">
        <v>2</v>
      </c>
      <c r="D2" s="354" t="s">
        <v>3</v>
      </c>
      <c r="E2" s="354" t="s">
        <v>4</v>
      </c>
      <c r="F2" s="352" t="s">
        <v>5</v>
      </c>
      <c r="G2" s="352" t="s">
        <v>6</v>
      </c>
      <c r="H2" s="352" t="s">
        <v>7</v>
      </c>
      <c r="I2" s="352" t="s">
        <v>8</v>
      </c>
      <c r="J2" s="360" t="s">
        <v>9</v>
      </c>
      <c r="K2" s="362" t="s">
        <v>36</v>
      </c>
      <c r="L2" s="364" t="s">
        <v>10</v>
      </c>
      <c r="M2" s="365"/>
      <c r="N2" s="365"/>
      <c r="O2" s="365"/>
      <c r="P2" s="366"/>
      <c r="Q2" s="354" t="s">
        <v>11</v>
      </c>
      <c r="R2" s="354" t="s">
        <v>12</v>
      </c>
      <c r="S2" s="358" t="s">
        <v>13</v>
      </c>
      <c r="T2" s="358" t="s">
        <v>14</v>
      </c>
    </row>
    <row r="3" spans="1:22" s="8" customFormat="1" ht="27" customHeight="1" x14ac:dyDescent="0.2">
      <c r="A3" s="355"/>
      <c r="B3" s="357"/>
      <c r="C3" s="355"/>
      <c r="D3" s="355"/>
      <c r="E3" s="355"/>
      <c r="F3" s="353"/>
      <c r="G3" s="353"/>
      <c r="H3" s="353"/>
      <c r="I3" s="353"/>
      <c r="J3" s="361"/>
      <c r="K3" s="36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55"/>
      <c r="R3" s="355"/>
      <c r="S3" s="359"/>
      <c r="T3" s="35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79" t="s">
        <v>33</v>
      </c>
      <c r="C5" s="50" t="s">
        <v>21</v>
      </c>
      <c r="D5" s="50" t="s">
        <v>66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6" si="0">$F$1-F5</f>
        <v>47</v>
      </c>
      <c r="M5" s="36">
        <f t="shared" si="0"/>
        <v>47</v>
      </c>
      <c r="N5" s="36">
        <f t="shared" si="0"/>
        <v>47</v>
      </c>
      <c r="O5" s="37"/>
      <c r="P5" s="37"/>
      <c r="Q5" s="65" t="s">
        <v>58</v>
      </c>
      <c r="R5" s="63"/>
      <c r="S5" s="69"/>
      <c r="T5" s="71" t="s">
        <v>38</v>
      </c>
    </row>
    <row r="6" spans="1:22" s="15" customFormat="1" ht="13.15" customHeight="1" x14ac:dyDescent="0.2">
      <c r="A6" s="16">
        <v>2</v>
      </c>
      <c r="B6" s="79" t="s">
        <v>37</v>
      </c>
      <c r="C6" s="50" t="s">
        <v>34</v>
      </c>
      <c r="D6" s="50" t="s">
        <v>22</v>
      </c>
      <c r="E6" s="43">
        <v>2024</v>
      </c>
      <c r="F6" s="35">
        <v>46292</v>
      </c>
      <c r="G6" s="35">
        <v>46292</v>
      </c>
      <c r="H6" s="35">
        <v>46292</v>
      </c>
      <c r="I6" s="67"/>
      <c r="J6" s="67"/>
      <c r="K6" s="54"/>
      <c r="L6" s="36">
        <f t="shared" si="0"/>
        <v>2</v>
      </c>
      <c r="M6" s="36">
        <f t="shared" si="0"/>
        <v>2</v>
      </c>
      <c r="N6" s="36">
        <f t="shared" si="0"/>
        <v>2</v>
      </c>
      <c r="O6" s="67"/>
      <c r="P6" s="67"/>
      <c r="Q6" s="65" t="s">
        <v>65</v>
      </c>
      <c r="R6" s="62"/>
      <c r="S6" s="71"/>
      <c r="T6" s="71" t="s">
        <v>43</v>
      </c>
    </row>
    <row r="7" spans="1:22" s="15" customFormat="1" ht="13.15" customHeight="1" x14ac:dyDescent="0.2">
      <c r="A7" s="75"/>
      <c r="B7" s="79"/>
      <c r="C7" s="50"/>
      <c r="D7" s="50"/>
      <c r="E7" s="43"/>
      <c r="F7" s="35"/>
      <c r="G7" s="35"/>
      <c r="H7" s="35"/>
      <c r="I7" s="67"/>
      <c r="J7" s="67"/>
      <c r="K7" s="54"/>
      <c r="L7" s="36"/>
      <c r="M7" s="36"/>
      <c r="N7" s="36"/>
      <c r="O7" s="67"/>
      <c r="P7" s="67"/>
      <c r="Q7" s="65"/>
      <c r="R7" s="62"/>
      <c r="S7" s="71"/>
      <c r="T7" s="71"/>
    </row>
    <row r="8" spans="1:22" s="15" customFormat="1" ht="13.15" customHeight="1" x14ac:dyDescent="0.2">
      <c r="A8" s="16"/>
      <c r="B8" s="63"/>
      <c r="C8" s="48"/>
      <c r="D8" s="48"/>
      <c r="E8" s="41"/>
      <c r="F8" s="71"/>
      <c r="G8" s="71"/>
      <c r="H8" s="71"/>
      <c r="I8" s="72"/>
      <c r="J8" s="72"/>
      <c r="K8" s="73"/>
      <c r="L8" s="41"/>
      <c r="M8" s="41"/>
      <c r="N8" s="41"/>
      <c r="O8" s="72"/>
      <c r="P8" s="72"/>
      <c r="Q8" s="74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/>
      <c r="B19" s="71"/>
      <c r="C19" s="48"/>
      <c r="D19" s="48"/>
      <c r="E19" s="41"/>
      <c r="F19" s="5"/>
      <c r="G19" s="5"/>
      <c r="H19" s="5"/>
      <c r="I19" s="5"/>
      <c r="J19" s="5"/>
      <c r="K19" s="56"/>
      <c r="L19" s="1"/>
      <c r="M19" s="1"/>
      <c r="N19" s="1"/>
      <c r="O19" s="1"/>
      <c r="P19" s="1"/>
      <c r="Q19" s="18"/>
      <c r="R19" s="53"/>
      <c r="S19" s="5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86DC-98E1-49FB-9106-A6F13BF5450D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46295</v>
      </c>
      <c r="G1" s="5">
        <v>46295</v>
      </c>
      <c r="H1" s="5">
        <v>46295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54" t="s">
        <v>0</v>
      </c>
      <c r="B2" s="356" t="s">
        <v>1</v>
      </c>
      <c r="C2" s="354" t="s">
        <v>2</v>
      </c>
      <c r="D2" s="354" t="s">
        <v>3</v>
      </c>
      <c r="E2" s="354" t="s">
        <v>4</v>
      </c>
      <c r="F2" s="352" t="s">
        <v>5</v>
      </c>
      <c r="G2" s="352" t="s">
        <v>6</v>
      </c>
      <c r="H2" s="352" t="s">
        <v>7</v>
      </c>
      <c r="I2" s="352" t="s">
        <v>8</v>
      </c>
      <c r="J2" s="360" t="s">
        <v>9</v>
      </c>
      <c r="K2" s="362" t="s">
        <v>36</v>
      </c>
      <c r="L2" s="364" t="s">
        <v>10</v>
      </c>
      <c r="M2" s="365"/>
      <c r="N2" s="365"/>
      <c r="O2" s="365"/>
      <c r="P2" s="366"/>
      <c r="Q2" s="354" t="s">
        <v>11</v>
      </c>
      <c r="R2" s="354" t="s">
        <v>12</v>
      </c>
      <c r="S2" s="358" t="s">
        <v>13</v>
      </c>
      <c r="T2" s="358" t="s">
        <v>14</v>
      </c>
    </row>
    <row r="3" spans="1:22" s="8" customFormat="1" ht="27" customHeight="1" x14ac:dyDescent="0.2">
      <c r="A3" s="355"/>
      <c r="B3" s="357"/>
      <c r="C3" s="355"/>
      <c r="D3" s="355"/>
      <c r="E3" s="355"/>
      <c r="F3" s="353"/>
      <c r="G3" s="353"/>
      <c r="H3" s="353"/>
      <c r="I3" s="353"/>
      <c r="J3" s="361"/>
      <c r="K3" s="36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55"/>
      <c r="R3" s="355"/>
      <c r="S3" s="359"/>
      <c r="T3" s="35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79" t="s">
        <v>33</v>
      </c>
      <c r="C5" s="50" t="s">
        <v>21</v>
      </c>
      <c r="D5" s="50" t="s">
        <v>66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6" si="0">$F$1-F5</f>
        <v>48</v>
      </c>
      <c r="M5" s="36">
        <f t="shared" si="0"/>
        <v>48</v>
      </c>
      <c r="N5" s="36">
        <f t="shared" si="0"/>
        <v>48</v>
      </c>
      <c r="O5" s="37"/>
      <c r="P5" s="37"/>
      <c r="Q5" s="65" t="s">
        <v>58</v>
      </c>
      <c r="R5" s="63"/>
      <c r="S5" s="69"/>
      <c r="T5" s="71" t="s">
        <v>43</v>
      </c>
    </row>
    <row r="6" spans="1:22" s="15" customFormat="1" ht="13.15" customHeight="1" x14ac:dyDescent="0.2">
      <c r="A6" s="16">
        <v>2</v>
      </c>
      <c r="B6" s="79" t="s">
        <v>37</v>
      </c>
      <c r="C6" s="50" t="s">
        <v>34</v>
      </c>
      <c r="D6" s="50" t="s">
        <v>22</v>
      </c>
      <c r="E6" s="43">
        <v>2024</v>
      </c>
      <c r="F6" s="35">
        <v>46292</v>
      </c>
      <c r="G6" s="35">
        <v>46292</v>
      </c>
      <c r="H6" s="35">
        <v>46292</v>
      </c>
      <c r="I6" s="67"/>
      <c r="J6" s="67"/>
      <c r="K6" s="54"/>
      <c r="L6" s="36">
        <f t="shared" si="0"/>
        <v>3</v>
      </c>
      <c r="M6" s="36">
        <f t="shared" si="0"/>
        <v>3</v>
      </c>
      <c r="N6" s="36">
        <f t="shared" si="0"/>
        <v>3</v>
      </c>
      <c r="O6" s="67"/>
      <c r="P6" s="67"/>
      <c r="Q6" s="65" t="s">
        <v>65</v>
      </c>
      <c r="R6" s="62"/>
      <c r="S6" s="71"/>
      <c r="T6" s="71"/>
    </row>
    <row r="7" spans="1:22" s="15" customFormat="1" ht="13.15" customHeight="1" x14ac:dyDescent="0.2">
      <c r="A7" s="75"/>
      <c r="B7" s="79"/>
      <c r="C7" s="50"/>
      <c r="D7" s="50"/>
      <c r="E7" s="43"/>
      <c r="F7" s="35"/>
      <c r="G7" s="35"/>
      <c r="H7" s="35"/>
      <c r="I7" s="67"/>
      <c r="J7" s="67"/>
      <c r="K7" s="54"/>
      <c r="L7" s="36"/>
      <c r="M7" s="36"/>
      <c r="N7" s="36"/>
      <c r="O7" s="67"/>
      <c r="P7" s="67"/>
      <c r="Q7" s="65"/>
      <c r="R7" s="62"/>
      <c r="S7" s="71"/>
      <c r="T7" s="71"/>
    </row>
    <row r="8" spans="1:22" s="15" customFormat="1" ht="13.15" customHeight="1" x14ac:dyDescent="0.2">
      <c r="A8" s="16"/>
      <c r="B8" s="63"/>
      <c r="C8" s="48"/>
      <c r="D8" s="48"/>
      <c r="E8" s="41"/>
      <c r="F8" s="71"/>
      <c r="G8" s="71"/>
      <c r="H8" s="71"/>
      <c r="I8" s="72"/>
      <c r="J8" s="72"/>
      <c r="K8" s="73"/>
      <c r="L8" s="41"/>
      <c r="M8" s="41"/>
      <c r="N8" s="41"/>
      <c r="O8" s="72"/>
      <c r="P8" s="72"/>
      <c r="Q8" s="74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1">$F$1-F19</f>
        <v>0</v>
      </c>
      <c r="M19" s="1">
        <f t="shared" si="1"/>
        <v>0</v>
      </c>
      <c r="N19" s="1">
        <f t="shared" si="1"/>
        <v>0</v>
      </c>
      <c r="O19" s="1"/>
      <c r="P19" s="1"/>
      <c r="Q19" s="18" t="s">
        <v>67</v>
      </c>
      <c r="R19" s="53"/>
      <c r="S19" s="5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8CA6-0F13-4C71-9338-F284E1CDBCF4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46296</v>
      </c>
      <c r="G1" s="5">
        <v>46296</v>
      </c>
      <c r="H1" s="5">
        <v>46296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54" t="s">
        <v>0</v>
      </c>
      <c r="B2" s="356" t="s">
        <v>1</v>
      </c>
      <c r="C2" s="354" t="s">
        <v>2</v>
      </c>
      <c r="D2" s="354" t="s">
        <v>3</v>
      </c>
      <c r="E2" s="354" t="s">
        <v>4</v>
      </c>
      <c r="F2" s="352" t="s">
        <v>5</v>
      </c>
      <c r="G2" s="352" t="s">
        <v>6</v>
      </c>
      <c r="H2" s="352" t="s">
        <v>7</v>
      </c>
      <c r="I2" s="352" t="s">
        <v>8</v>
      </c>
      <c r="J2" s="360" t="s">
        <v>9</v>
      </c>
      <c r="K2" s="362" t="s">
        <v>36</v>
      </c>
      <c r="L2" s="364" t="s">
        <v>10</v>
      </c>
      <c r="M2" s="365"/>
      <c r="N2" s="365"/>
      <c r="O2" s="365"/>
      <c r="P2" s="366"/>
      <c r="Q2" s="354" t="s">
        <v>11</v>
      </c>
      <c r="R2" s="354" t="s">
        <v>12</v>
      </c>
      <c r="S2" s="358" t="s">
        <v>13</v>
      </c>
      <c r="T2" s="358" t="s">
        <v>14</v>
      </c>
    </row>
    <row r="3" spans="1:22" s="8" customFormat="1" ht="27" customHeight="1" x14ac:dyDescent="0.2">
      <c r="A3" s="355"/>
      <c r="B3" s="357"/>
      <c r="C3" s="355"/>
      <c r="D3" s="355"/>
      <c r="E3" s="355"/>
      <c r="F3" s="353"/>
      <c r="G3" s="353"/>
      <c r="H3" s="353"/>
      <c r="I3" s="353"/>
      <c r="J3" s="361"/>
      <c r="K3" s="36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55"/>
      <c r="R3" s="355"/>
      <c r="S3" s="359"/>
      <c r="T3" s="35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79" t="s">
        <v>33</v>
      </c>
      <c r="C5" s="50" t="s">
        <v>21</v>
      </c>
      <c r="D5" s="50" t="s">
        <v>66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6" si="0">$F$1-F5</f>
        <v>49</v>
      </c>
      <c r="M5" s="36">
        <f t="shared" si="0"/>
        <v>49</v>
      </c>
      <c r="N5" s="36">
        <f t="shared" si="0"/>
        <v>49</v>
      </c>
      <c r="O5" s="37"/>
      <c r="P5" s="37"/>
      <c r="Q5" s="65" t="s">
        <v>68</v>
      </c>
      <c r="R5" s="63"/>
      <c r="S5" s="69"/>
      <c r="T5" s="71" t="s">
        <v>43</v>
      </c>
    </row>
    <row r="6" spans="1:22" s="15" customFormat="1" ht="13.15" customHeight="1" x14ac:dyDescent="0.2">
      <c r="A6" s="16">
        <v>2</v>
      </c>
      <c r="B6" s="79" t="s">
        <v>37</v>
      </c>
      <c r="C6" s="50" t="s">
        <v>34</v>
      </c>
      <c r="D6" s="50" t="s">
        <v>22</v>
      </c>
      <c r="E6" s="43">
        <v>2024</v>
      </c>
      <c r="F6" s="35">
        <v>46292</v>
      </c>
      <c r="G6" s="35">
        <v>46292</v>
      </c>
      <c r="H6" s="35">
        <v>46292</v>
      </c>
      <c r="I6" s="67"/>
      <c r="J6" s="67"/>
      <c r="K6" s="54"/>
      <c r="L6" s="36">
        <f t="shared" si="0"/>
        <v>4</v>
      </c>
      <c r="M6" s="36">
        <f t="shared" si="0"/>
        <v>4</v>
      </c>
      <c r="N6" s="36">
        <f t="shared" si="0"/>
        <v>4</v>
      </c>
      <c r="O6" s="67"/>
      <c r="P6" s="67"/>
      <c r="Q6" s="65" t="s">
        <v>65</v>
      </c>
      <c r="R6" s="62"/>
      <c r="S6" s="71"/>
      <c r="T6" s="71"/>
    </row>
    <row r="7" spans="1:22" s="15" customFormat="1" ht="13.15" customHeight="1" x14ac:dyDescent="0.2">
      <c r="A7" s="75"/>
      <c r="B7" s="79"/>
      <c r="C7" s="50"/>
      <c r="D7" s="50"/>
      <c r="E7" s="43"/>
      <c r="F7" s="35"/>
      <c r="G7" s="35"/>
      <c r="H7" s="35"/>
      <c r="I7" s="67"/>
      <c r="J7" s="67"/>
      <c r="K7" s="54"/>
      <c r="L7" s="36"/>
      <c r="M7" s="36"/>
      <c r="N7" s="36"/>
      <c r="O7" s="67"/>
      <c r="P7" s="67"/>
      <c r="Q7" s="65"/>
      <c r="R7" s="62"/>
      <c r="S7" s="71"/>
      <c r="T7" s="71"/>
    </row>
    <row r="8" spans="1:22" s="15" customFormat="1" ht="13.15" customHeight="1" x14ac:dyDescent="0.2">
      <c r="A8" s="16"/>
      <c r="B8" s="63"/>
      <c r="C8" s="48"/>
      <c r="D8" s="48"/>
      <c r="E8" s="41"/>
      <c r="F8" s="71"/>
      <c r="G8" s="71"/>
      <c r="H8" s="71"/>
      <c r="I8" s="72"/>
      <c r="J8" s="72"/>
      <c r="K8" s="73"/>
      <c r="L8" s="41"/>
      <c r="M8" s="41"/>
      <c r="N8" s="41"/>
      <c r="O8" s="72"/>
      <c r="P8" s="72"/>
      <c r="Q8" s="74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1">$F$1-F19</f>
        <v>1</v>
      </c>
      <c r="M19" s="1">
        <f t="shared" si="1"/>
        <v>1</v>
      </c>
      <c r="N19" s="1">
        <f t="shared" si="1"/>
        <v>1</v>
      </c>
      <c r="O19" s="1"/>
      <c r="P19" s="1"/>
      <c r="Q19" s="18" t="s">
        <v>67</v>
      </c>
      <c r="R19" s="53"/>
      <c r="S19" s="5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B180-43C5-4528-9D7A-9A0546CB6757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46297</v>
      </c>
      <c r="G1" s="5">
        <v>46297</v>
      </c>
      <c r="H1" s="5">
        <v>46297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54" t="s">
        <v>0</v>
      </c>
      <c r="B2" s="356" t="s">
        <v>1</v>
      </c>
      <c r="C2" s="354" t="s">
        <v>2</v>
      </c>
      <c r="D2" s="354" t="s">
        <v>3</v>
      </c>
      <c r="E2" s="354" t="s">
        <v>4</v>
      </c>
      <c r="F2" s="352" t="s">
        <v>5</v>
      </c>
      <c r="G2" s="352" t="s">
        <v>6</v>
      </c>
      <c r="H2" s="352" t="s">
        <v>7</v>
      </c>
      <c r="I2" s="352" t="s">
        <v>8</v>
      </c>
      <c r="J2" s="360" t="s">
        <v>9</v>
      </c>
      <c r="K2" s="362" t="s">
        <v>36</v>
      </c>
      <c r="L2" s="364" t="s">
        <v>10</v>
      </c>
      <c r="M2" s="365"/>
      <c r="N2" s="365"/>
      <c r="O2" s="365"/>
      <c r="P2" s="366"/>
      <c r="Q2" s="354" t="s">
        <v>11</v>
      </c>
      <c r="R2" s="354" t="s">
        <v>12</v>
      </c>
      <c r="S2" s="358" t="s">
        <v>13</v>
      </c>
      <c r="T2" s="358" t="s">
        <v>14</v>
      </c>
    </row>
    <row r="3" spans="1:22" s="8" customFormat="1" ht="27" customHeight="1" x14ac:dyDescent="0.2">
      <c r="A3" s="355"/>
      <c r="B3" s="357"/>
      <c r="C3" s="355"/>
      <c r="D3" s="355"/>
      <c r="E3" s="355"/>
      <c r="F3" s="353"/>
      <c r="G3" s="353"/>
      <c r="H3" s="353"/>
      <c r="I3" s="353"/>
      <c r="J3" s="361"/>
      <c r="K3" s="36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55"/>
      <c r="R3" s="355"/>
      <c r="S3" s="359"/>
      <c r="T3" s="35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79" t="s">
        <v>33</v>
      </c>
      <c r="C5" s="50" t="s">
        <v>21</v>
      </c>
      <c r="D5" s="50" t="s">
        <v>66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5" si="0">$F$1-F5</f>
        <v>50</v>
      </c>
      <c r="M5" s="36">
        <f t="shared" si="0"/>
        <v>50</v>
      </c>
      <c r="N5" s="36">
        <f t="shared" si="0"/>
        <v>50</v>
      </c>
      <c r="O5" s="37"/>
      <c r="P5" s="37"/>
      <c r="Q5" s="65" t="s">
        <v>68</v>
      </c>
      <c r="R5" s="63"/>
      <c r="S5" s="69" t="s">
        <v>37</v>
      </c>
      <c r="T5" s="71" t="s">
        <v>28</v>
      </c>
    </row>
    <row r="6" spans="1:22" s="15" customFormat="1" ht="13.15" customHeight="1" x14ac:dyDescent="0.2">
      <c r="A6" s="16">
        <v>2</v>
      </c>
      <c r="B6" s="79"/>
      <c r="C6" s="50"/>
      <c r="D6" s="50"/>
      <c r="E6" s="43"/>
      <c r="F6" s="35"/>
      <c r="G6" s="35"/>
      <c r="H6" s="35"/>
      <c r="I6" s="67"/>
      <c r="J6" s="67"/>
      <c r="K6" s="54"/>
      <c r="L6" s="36"/>
      <c r="M6" s="36"/>
      <c r="N6" s="36"/>
      <c r="O6" s="67"/>
      <c r="P6" s="67"/>
      <c r="Q6" s="65"/>
      <c r="R6" s="62"/>
      <c r="S6" s="71"/>
      <c r="T6" s="71" t="s">
        <v>43</v>
      </c>
    </row>
    <row r="7" spans="1:22" s="15" customFormat="1" ht="13.15" customHeight="1" x14ac:dyDescent="0.2">
      <c r="A7" s="75"/>
      <c r="B7" s="79"/>
      <c r="C7" s="50"/>
      <c r="D7" s="50"/>
      <c r="E7" s="43"/>
      <c r="F7" s="35"/>
      <c r="G7" s="35"/>
      <c r="H7" s="35"/>
      <c r="I7" s="67"/>
      <c r="J7" s="67"/>
      <c r="K7" s="54"/>
      <c r="L7" s="36"/>
      <c r="M7" s="36"/>
      <c r="N7" s="36"/>
      <c r="O7" s="67"/>
      <c r="P7" s="67"/>
      <c r="Q7" s="65"/>
      <c r="R7" s="62"/>
      <c r="S7" s="71"/>
      <c r="T7" s="71"/>
    </row>
    <row r="8" spans="1:22" s="15" customFormat="1" ht="13.15" customHeight="1" x14ac:dyDescent="0.2">
      <c r="A8" s="16"/>
      <c r="B8" s="63"/>
      <c r="C8" s="48"/>
      <c r="D8" s="48"/>
      <c r="E8" s="41"/>
      <c r="F8" s="71"/>
      <c r="G8" s="71"/>
      <c r="H8" s="71"/>
      <c r="I8" s="72"/>
      <c r="J8" s="72"/>
      <c r="K8" s="73"/>
      <c r="L8" s="41"/>
      <c r="M8" s="41"/>
      <c r="N8" s="41"/>
      <c r="O8" s="72"/>
      <c r="P8" s="72"/>
      <c r="Q8" s="74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1">$F$1-F19</f>
        <v>2</v>
      </c>
      <c r="M19" s="1">
        <f t="shared" si="1"/>
        <v>2</v>
      </c>
      <c r="N19" s="1">
        <f t="shared" si="1"/>
        <v>2</v>
      </c>
      <c r="O19" s="1"/>
      <c r="P19" s="1"/>
      <c r="Q19" s="18" t="s">
        <v>67</v>
      </c>
      <c r="R19" s="53"/>
      <c r="S19" s="5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5633-3A49-4BB5-AD41-5A7412BED1E0}">
  <dimension ref="A1:V19"/>
  <sheetViews>
    <sheetView workbookViewId="0">
      <selection activeCell="F1" sqref="F1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46298</v>
      </c>
      <c r="G1" s="5">
        <v>46298</v>
      </c>
      <c r="H1" s="5">
        <v>46298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54" t="s">
        <v>0</v>
      </c>
      <c r="B2" s="356" t="s">
        <v>1</v>
      </c>
      <c r="C2" s="354" t="s">
        <v>2</v>
      </c>
      <c r="D2" s="354" t="s">
        <v>3</v>
      </c>
      <c r="E2" s="354" t="s">
        <v>4</v>
      </c>
      <c r="F2" s="352" t="s">
        <v>5</v>
      </c>
      <c r="G2" s="352" t="s">
        <v>6</v>
      </c>
      <c r="H2" s="352" t="s">
        <v>7</v>
      </c>
      <c r="I2" s="352" t="s">
        <v>8</v>
      </c>
      <c r="J2" s="360" t="s">
        <v>9</v>
      </c>
      <c r="K2" s="362" t="s">
        <v>36</v>
      </c>
      <c r="L2" s="364" t="s">
        <v>10</v>
      </c>
      <c r="M2" s="365"/>
      <c r="N2" s="365"/>
      <c r="O2" s="365"/>
      <c r="P2" s="366"/>
      <c r="Q2" s="354" t="s">
        <v>11</v>
      </c>
      <c r="R2" s="354" t="s">
        <v>12</v>
      </c>
      <c r="S2" s="358" t="s">
        <v>13</v>
      </c>
      <c r="T2" s="358" t="s">
        <v>14</v>
      </c>
    </row>
    <row r="3" spans="1:22" s="8" customFormat="1" ht="27" customHeight="1" x14ac:dyDescent="0.2">
      <c r="A3" s="355"/>
      <c r="B3" s="357"/>
      <c r="C3" s="355"/>
      <c r="D3" s="355"/>
      <c r="E3" s="355"/>
      <c r="F3" s="353"/>
      <c r="G3" s="353"/>
      <c r="H3" s="353"/>
      <c r="I3" s="353"/>
      <c r="J3" s="361"/>
      <c r="K3" s="36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55"/>
      <c r="R3" s="355"/>
      <c r="S3" s="359"/>
      <c r="T3" s="35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79" t="s">
        <v>33</v>
      </c>
      <c r="C5" s="50" t="s">
        <v>21</v>
      </c>
      <c r="D5" s="50" t="s">
        <v>66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5" si="0">$F$1-F5</f>
        <v>51</v>
      </c>
      <c r="M5" s="36">
        <f t="shared" si="0"/>
        <v>51</v>
      </c>
      <c r="N5" s="36">
        <f t="shared" si="0"/>
        <v>51</v>
      </c>
      <c r="O5" s="37"/>
      <c r="P5" s="37"/>
      <c r="Q5" s="65" t="s">
        <v>68</v>
      </c>
      <c r="R5" s="63"/>
      <c r="S5" s="69"/>
      <c r="T5" s="71" t="s">
        <v>28</v>
      </c>
    </row>
    <row r="6" spans="1:22" s="15" customFormat="1" ht="13.15" customHeight="1" x14ac:dyDescent="0.2">
      <c r="A6" s="16">
        <v>2</v>
      </c>
      <c r="B6" s="62" t="s">
        <v>70</v>
      </c>
      <c r="C6" s="49" t="s">
        <v>21</v>
      </c>
      <c r="D6" s="49" t="s">
        <v>26</v>
      </c>
      <c r="E6" s="44">
        <v>2014</v>
      </c>
      <c r="F6" s="38">
        <v>46298</v>
      </c>
      <c r="G6" s="38">
        <v>46298</v>
      </c>
      <c r="H6" s="38">
        <v>46298</v>
      </c>
      <c r="I6" s="70"/>
      <c r="J6" s="70"/>
      <c r="K6" s="77"/>
      <c r="L6" s="39">
        <f t="shared" ref="L6" si="1">$F$1-F6</f>
        <v>0</v>
      </c>
      <c r="M6" s="39">
        <f t="shared" ref="M6" si="2">$F$1-G6</f>
        <v>0</v>
      </c>
      <c r="N6" s="39">
        <f t="shared" ref="N6" si="3">$F$1-H6</f>
        <v>0</v>
      </c>
      <c r="O6" s="70"/>
      <c r="P6" s="70"/>
      <c r="Q6" s="45" t="s">
        <v>69</v>
      </c>
      <c r="R6" s="62"/>
      <c r="S6" s="71"/>
      <c r="T6" s="71" t="s">
        <v>43</v>
      </c>
    </row>
    <row r="7" spans="1:22" s="15" customFormat="1" ht="13.15" customHeight="1" x14ac:dyDescent="0.2">
      <c r="A7" s="75"/>
      <c r="B7" s="79"/>
      <c r="C7" s="50"/>
      <c r="D7" s="50"/>
      <c r="E7" s="43"/>
      <c r="F7" s="35"/>
      <c r="G7" s="35"/>
      <c r="H7" s="35"/>
      <c r="I7" s="67"/>
      <c r="J7" s="67"/>
      <c r="K7" s="54"/>
      <c r="L7" s="36"/>
      <c r="M7" s="36"/>
      <c r="N7" s="36"/>
      <c r="O7" s="67"/>
      <c r="P7" s="67"/>
      <c r="Q7" s="65"/>
      <c r="R7" s="62"/>
      <c r="S7" s="71"/>
      <c r="T7" s="71" t="s">
        <v>42</v>
      </c>
    </row>
    <row r="8" spans="1:22" s="15" customFormat="1" ht="13.15" customHeight="1" x14ac:dyDescent="0.2">
      <c r="A8" s="16"/>
      <c r="B8" s="63"/>
      <c r="C8" s="48"/>
      <c r="D8" s="48"/>
      <c r="E8" s="41"/>
      <c r="F8" s="71"/>
      <c r="G8" s="71"/>
      <c r="H8" s="71"/>
      <c r="I8" s="72"/>
      <c r="J8" s="72"/>
      <c r="K8" s="73"/>
      <c r="L8" s="41"/>
      <c r="M8" s="41"/>
      <c r="N8" s="41"/>
      <c r="O8" s="72"/>
      <c r="P8" s="72"/>
      <c r="Q8" s="74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4">$F$1-F19</f>
        <v>3</v>
      </c>
      <c r="M19" s="1">
        <f t="shared" si="4"/>
        <v>3</v>
      </c>
      <c r="N19" s="1">
        <f t="shared" si="4"/>
        <v>3</v>
      </c>
      <c r="O19" s="1"/>
      <c r="P19" s="1"/>
      <c r="Q19" s="18" t="s">
        <v>67</v>
      </c>
      <c r="R19" s="53"/>
      <c r="S19" s="53"/>
      <c r="T19" s="1"/>
    </row>
  </sheetData>
  <mergeCells count="16"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AAFB-830A-4D7B-94EB-3D60269C7961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46299</v>
      </c>
      <c r="G1" s="5">
        <v>46299</v>
      </c>
      <c r="H1" s="5">
        <v>46299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54" t="s">
        <v>0</v>
      </c>
      <c r="B2" s="356" t="s">
        <v>1</v>
      </c>
      <c r="C2" s="354" t="s">
        <v>2</v>
      </c>
      <c r="D2" s="354" t="s">
        <v>3</v>
      </c>
      <c r="E2" s="354" t="s">
        <v>4</v>
      </c>
      <c r="F2" s="352" t="s">
        <v>5</v>
      </c>
      <c r="G2" s="352" t="s">
        <v>6</v>
      </c>
      <c r="H2" s="352" t="s">
        <v>7</v>
      </c>
      <c r="I2" s="352" t="s">
        <v>8</v>
      </c>
      <c r="J2" s="360" t="s">
        <v>9</v>
      </c>
      <c r="K2" s="362" t="s">
        <v>36</v>
      </c>
      <c r="L2" s="364" t="s">
        <v>10</v>
      </c>
      <c r="M2" s="365"/>
      <c r="N2" s="365"/>
      <c r="O2" s="365"/>
      <c r="P2" s="366"/>
      <c r="Q2" s="354" t="s">
        <v>11</v>
      </c>
      <c r="R2" s="354" t="s">
        <v>12</v>
      </c>
      <c r="S2" s="358" t="s">
        <v>13</v>
      </c>
      <c r="T2" s="358" t="s">
        <v>14</v>
      </c>
    </row>
    <row r="3" spans="1:22" s="8" customFormat="1" ht="27" customHeight="1" x14ac:dyDescent="0.2">
      <c r="A3" s="355"/>
      <c r="B3" s="357"/>
      <c r="C3" s="355"/>
      <c r="D3" s="355"/>
      <c r="E3" s="355"/>
      <c r="F3" s="353"/>
      <c r="G3" s="353"/>
      <c r="H3" s="353"/>
      <c r="I3" s="353"/>
      <c r="J3" s="361"/>
      <c r="K3" s="36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55"/>
      <c r="R3" s="355"/>
      <c r="S3" s="359"/>
      <c r="T3" s="35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79" t="s">
        <v>33</v>
      </c>
      <c r="C5" s="50" t="s">
        <v>21</v>
      </c>
      <c r="D5" s="50" t="s">
        <v>66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5" si="0">$F$1-F5</f>
        <v>52</v>
      </c>
      <c r="M5" s="36">
        <f t="shared" si="0"/>
        <v>52</v>
      </c>
      <c r="N5" s="36">
        <f t="shared" si="0"/>
        <v>52</v>
      </c>
      <c r="O5" s="37"/>
      <c r="P5" s="37"/>
      <c r="Q5" s="65" t="s">
        <v>68</v>
      </c>
      <c r="R5" s="63"/>
      <c r="S5" s="69" t="s">
        <v>70</v>
      </c>
      <c r="T5" s="71" t="s">
        <v>28</v>
      </c>
    </row>
    <row r="6" spans="1:22" s="15" customFormat="1" ht="13.15" customHeight="1" x14ac:dyDescent="0.2">
      <c r="A6" s="16"/>
      <c r="B6" s="62"/>
      <c r="C6" s="49"/>
      <c r="D6" s="49"/>
      <c r="E6" s="44"/>
      <c r="F6" s="38"/>
      <c r="G6" s="38"/>
      <c r="H6" s="38"/>
      <c r="I6" s="70"/>
      <c r="J6" s="70"/>
      <c r="K6" s="77"/>
      <c r="L6" s="39"/>
      <c r="M6" s="39"/>
      <c r="N6" s="39"/>
      <c r="O6" s="70"/>
      <c r="P6" s="70"/>
      <c r="Q6" s="45"/>
      <c r="R6" s="62"/>
      <c r="S6" s="71"/>
      <c r="T6" s="71" t="s">
        <v>43</v>
      </c>
    </row>
    <row r="7" spans="1:22" s="15" customFormat="1" ht="13.15" customHeight="1" x14ac:dyDescent="0.2">
      <c r="A7" s="75"/>
      <c r="B7" s="79"/>
      <c r="C7" s="50"/>
      <c r="D7" s="50"/>
      <c r="E7" s="43"/>
      <c r="F7" s="35"/>
      <c r="G7" s="35"/>
      <c r="H7" s="35"/>
      <c r="I7" s="67"/>
      <c r="J7" s="67"/>
      <c r="K7" s="54"/>
      <c r="L7" s="36"/>
      <c r="M7" s="36"/>
      <c r="N7" s="36"/>
      <c r="O7" s="67"/>
      <c r="P7" s="67"/>
      <c r="Q7" s="65"/>
      <c r="R7" s="62"/>
      <c r="S7" s="71"/>
      <c r="T7" s="71" t="s">
        <v>42</v>
      </c>
    </row>
    <row r="8" spans="1:22" s="15" customFormat="1" ht="13.15" customHeight="1" x14ac:dyDescent="0.2">
      <c r="A8" s="16"/>
      <c r="B8" s="63"/>
      <c r="C8" s="48"/>
      <c r="D8" s="48"/>
      <c r="E8" s="41"/>
      <c r="F8" s="71"/>
      <c r="G8" s="71"/>
      <c r="H8" s="71"/>
      <c r="I8" s="72"/>
      <c r="J8" s="72"/>
      <c r="K8" s="73"/>
      <c r="L8" s="41"/>
      <c r="M8" s="41"/>
      <c r="N8" s="41"/>
      <c r="O8" s="72"/>
      <c r="P8" s="72"/>
      <c r="Q8" s="74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1">$F$1-F19</f>
        <v>4</v>
      </c>
      <c r="M19" s="1">
        <f t="shared" si="1"/>
        <v>4</v>
      </c>
      <c r="N19" s="1">
        <f t="shared" si="1"/>
        <v>4</v>
      </c>
      <c r="O19" s="1"/>
      <c r="P19" s="1"/>
      <c r="Q19" s="18" t="s">
        <v>67</v>
      </c>
      <c r="R19" s="53"/>
      <c r="S19" s="53"/>
      <c r="T19" s="1"/>
    </row>
  </sheetData>
  <mergeCells count="16">
    <mergeCell ref="F2:F3"/>
    <mergeCell ref="A2:A3"/>
    <mergeCell ref="B2:B3"/>
    <mergeCell ref="C2:C3"/>
    <mergeCell ref="D2:D3"/>
    <mergeCell ref="E2:E3"/>
    <mergeCell ref="Q2:Q3"/>
    <mergeCell ref="R2:R3"/>
    <mergeCell ref="S2:S3"/>
    <mergeCell ref="T2:T3"/>
    <mergeCell ref="G2:G3"/>
    <mergeCell ref="H2:H3"/>
    <mergeCell ref="I2:I3"/>
    <mergeCell ref="J2:J3"/>
    <mergeCell ref="K2:K3"/>
    <mergeCell ref="L2:P2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92D0-FA24-4ECE-9D23-792CFABCB742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46300</v>
      </c>
      <c r="G1" s="5">
        <v>46300</v>
      </c>
      <c r="H1" s="5">
        <v>46300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82" t="s">
        <v>0</v>
      </c>
      <c r="B2" s="95" t="s">
        <v>1</v>
      </c>
      <c r="C2" s="82" t="s">
        <v>2</v>
      </c>
      <c r="D2" s="82" t="s">
        <v>3</v>
      </c>
      <c r="E2" s="82" t="s">
        <v>4</v>
      </c>
      <c r="F2" s="86" t="s">
        <v>5</v>
      </c>
      <c r="G2" s="86" t="s">
        <v>6</v>
      </c>
      <c r="H2" s="86" t="s">
        <v>7</v>
      </c>
      <c r="I2" s="86" t="s">
        <v>8</v>
      </c>
      <c r="J2" s="88" t="s">
        <v>9</v>
      </c>
      <c r="K2" s="90" t="s">
        <v>36</v>
      </c>
      <c r="L2" s="92" t="s">
        <v>10</v>
      </c>
      <c r="M2" s="93"/>
      <c r="N2" s="93"/>
      <c r="O2" s="93"/>
      <c r="P2" s="94"/>
      <c r="Q2" s="82" t="s">
        <v>11</v>
      </c>
      <c r="R2" s="82" t="s">
        <v>12</v>
      </c>
      <c r="S2" s="84" t="s">
        <v>13</v>
      </c>
      <c r="T2" s="84" t="s">
        <v>14</v>
      </c>
    </row>
    <row r="3" spans="1:22" s="8" customFormat="1" ht="27" customHeight="1" x14ac:dyDescent="0.2">
      <c r="A3" s="83"/>
      <c r="B3" s="96"/>
      <c r="C3" s="83"/>
      <c r="D3" s="83"/>
      <c r="E3" s="83"/>
      <c r="F3" s="87"/>
      <c r="G3" s="87"/>
      <c r="H3" s="87"/>
      <c r="I3" s="87"/>
      <c r="J3" s="89"/>
      <c r="K3" s="91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83"/>
      <c r="R3" s="83"/>
      <c r="S3" s="85"/>
      <c r="T3" s="85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79" t="s">
        <v>33</v>
      </c>
      <c r="C5" s="50" t="s">
        <v>21</v>
      </c>
      <c r="D5" s="50" t="s">
        <v>66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5" si="0">$F$1-F5</f>
        <v>53</v>
      </c>
      <c r="M5" s="36">
        <f t="shared" si="0"/>
        <v>53</v>
      </c>
      <c r="N5" s="36">
        <f t="shared" si="0"/>
        <v>53</v>
      </c>
      <c r="O5" s="37"/>
      <c r="P5" s="37"/>
      <c r="Q5" s="65" t="s">
        <v>68</v>
      </c>
      <c r="R5" s="63"/>
      <c r="S5" s="69"/>
      <c r="T5" s="71" t="s">
        <v>28</v>
      </c>
    </row>
    <row r="6" spans="1:22" s="15" customFormat="1" ht="13.15" customHeight="1" x14ac:dyDescent="0.2">
      <c r="A6" s="16"/>
      <c r="B6" s="62"/>
      <c r="C6" s="49"/>
      <c r="D6" s="49"/>
      <c r="E6" s="44"/>
      <c r="F6" s="38"/>
      <c r="G6" s="38"/>
      <c r="H6" s="38"/>
      <c r="I6" s="70"/>
      <c r="J6" s="70"/>
      <c r="K6" s="77"/>
      <c r="L6" s="39"/>
      <c r="M6" s="39"/>
      <c r="N6" s="39"/>
      <c r="O6" s="70"/>
      <c r="P6" s="70"/>
      <c r="Q6" s="45"/>
      <c r="R6" s="62"/>
      <c r="S6" s="71"/>
      <c r="T6" s="71" t="s">
        <v>43</v>
      </c>
    </row>
    <row r="7" spans="1:22" s="15" customFormat="1" ht="13.15" customHeight="1" x14ac:dyDescent="0.2">
      <c r="A7" s="75"/>
      <c r="B7" s="79"/>
      <c r="C7" s="50"/>
      <c r="D7" s="50"/>
      <c r="E7" s="43"/>
      <c r="F7" s="35"/>
      <c r="G7" s="35"/>
      <c r="H7" s="35"/>
      <c r="I7" s="67"/>
      <c r="J7" s="67"/>
      <c r="K7" s="54"/>
      <c r="L7" s="36"/>
      <c r="M7" s="36"/>
      <c r="N7" s="36"/>
      <c r="O7" s="67"/>
      <c r="P7" s="67"/>
      <c r="Q7" s="65"/>
      <c r="R7" s="62"/>
      <c r="S7" s="71"/>
      <c r="T7" s="71" t="s">
        <v>42</v>
      </c>
    </row>
    <row r="8" spans="1:22" s="15" customFormat="1" ht="13.15" customHeight="1" x14ac:dyDescent="0.2">
      <c r="A8" s="16"/>
      <c r="B8" s="63"/>
      <c r="C8" s="48"/>
      <c r="D8" s="48"/>
      <c r="E8" s="41"/>
      <c r="F8" s="71"/>
      <c r="G8" s="71"/>
      <c r="H8" s="71"/>
      <c r="I8" s="72"/>
      <c r="J8" s="72"/>
      <c r="K8" s="73"/>
      <c r="L8" s="41"/>
      <c r="M8" s="41"/>
      <c r="N8" s="41"/>
      <c r="O8" s="72"/>
      <c r="P8" s="72"/>
      <c r="Q8" s="74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1">$F$1-F19</f>
        <v>5</v>
      </c>
      <c r="M19" s="1">
        <f t="shared" si="1"/>
        <v>5</v>
      </c>
      <c r="N19" s="1">
        <f t="shared" si="1"/>
        <v>5</v>
      </c>
      <c r="O19" s="1"/>
      <c r="P19" s="1"/>
      <c r="Q19" s="18" t="s">
        <v>67</v>
      </c>
      <c r="R19" s="53"/>
      <c r="S19" s="53"/>
      <c r="T19" s="1"/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9910-5462-49A2-8B8E-070AA63E52EC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46301</v>
      </c>
      <c r="G1" s="5">
        <v>46301</v>
      </c>
      <c r="H1" s="5">
        <v>46301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82" t="s">
        <v>0</v>
      </c>
      <c r="B2" s="95" t="s">
        <v>1</v>
      </c>
      <c r="C2" s="82" t="s">
        <v>2</v>
      </c>
      <c r="D2" s="82" t="s">
        <v>3</v>
      </c>
      <c r="E2" s="82" t="s">
        <v>4</v>
      </c>
      <c r="F2" s="86" t="s">
        <v>5</v>
      </c>
      <c r="G2" s="86" t="s">
        <v>6</v>
      </c>
      <c r="H2" s="86" t="s">
        <v>7</v>
      </c>
      <c r="I2" s="86" t="s">
        <v>8</v>
      </c>
      <c r="J2" s="88" t="s">
        <v>9</v>
      </c>
      <c r="K2" s="90" t="s">
        <v>36</v>
      </c>
      <c r="L2" s="92" t="s">
        <v>10</v>
      </c>
      <c r="M2" s="93"/>
      <c r="N2" s="93"/>
      <c r="O2" s="93"/>
      <c r="P2" s="94"/>
      <c r="Q2" s="82" t="s">
        <v>11</v>
      </c>
      <c r="R2" s="82" t="s">
        <v>12</v>
      </c>
      <c r="S2" s="84" t="s">
        <v>13</v>
      </c>
      <c r="T2" s="84" t="s">
        <v>14</v>
      </c>
    </row>
    <row r="3" spans="1:22" s="8" customFormat="1" ht="27" customHeight="1" x14ac:dyDescent="0.2">
      <c r="A3" s="83"/>
      <c r="B3" s="96"/>
      <c r="C3" s="83"/>
      <c r="D3" s="83"/>
      <c r="E3" s="83"/>
      <c r="F3" s="87"/>
      <c r="G3" s="87"/>
      <c r="H3" s="87"/>
      <c r="I3" s="87"/>
      <c r="J3" s="89"/>
      <c r="K3" s="91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83"/>
      <c r="R3" s="83"/>
      <c r="S3" s="85"/>
      <c r="T3" s="85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79" t="s">
        <v>33</v>
      </c>
      <c r="C5" s="50" t="s">
        <v>21</v>
      </c>
      <c r="D5" s="50" t="s">
        <v>66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5" si="0">$F$1-F5</f>
        <v>54</v>
      </c>
      <c r="M5" s="36">
        <f t="shared" si="0"/>
        <v>54</v>
      </c>
      <c r="N5" s="36">
        <f t="shared" si="0"/>
        <v>54</v>
      </c>
      <c r="O5" s="37"/>
      <c r="P5" s="37"/>
      <c r="Q5" s="65" t="s">
        <v>68</v>
      </c>
      <c r="R5" s="63"/>
      <c r="S5" s="69" t="s">
        <v>42</v>
      </c>
      <c r="T5" s="71" t="s">
        <v>28</v>
      </c>
    </row>
    <row r="6" spans="1:22" s="15" customFormat="1" ht="13.15" customHeight="1" x14ac:dyDescent="0.2">
      <c r="A6" s="16">
        <v>2</v>
      </c>
      <c r="B6" s="62" t="s">
        <v>31</v>
      </c>
      <c r="C6" s="49" t="s">
        <v>34</v>
      </c>
      <c r="D6" s="49" t="s">
        <v>22</v>
      </c>
      <c r="E6" s="44">
        <v>2024</v>
      </c>
      <c r="F6" s="38">
        <v>46301</v>
      </c>
      <c r="G6" s="38">
        <v>46301</v>
      </c>
      <c r="H6" s="38">
        <v>46301</v>
      </c>
      <c r="I6" s="70"/>
      <c r="J6" s="70"/>
      <c r="K6" s="77"/>
      <c r="L6" s="39">
        <f t="shared" ref="L6" si="1">$F$1-F6</f>
        <v>0</v>
      </c>
      <c r="M6" s="39">
        <f t="shared" ref="M6" si="2">$F$1-G6</f>
        <v>0</v>
      </c>
      <c r="N6" s="39">
        <f t="shared" ref="N6" si="3">$F$1-H6</f>
        <v>0</v>
      </c>
      <c r="O6" s="70"/>
      <c r="P6" s="70"/>
      <c r="Q6" s="45" t="s">
        <v>71</v>
      </c>
      <c r="R6" s="62"/>
      <c r="S6" s="71"/>
      <c r="T6" s="71" t="s">
        <v>43</v>
      </c>
    </row>
    <row r="7" spans="1:22" s="15" customFormat="1" ht="13.15" customHeight="1" x14ac:dyDescent="0.2">
      <c r="A7" s="75"/>
      <c r="B7" s="79"/>
      <c r="C7" s="50"/>
      <c r="D7" s="50"/>
      <c r="E7" s="43"/>
      <c r="F7" s="35"/>
      <c r="G7" s="35"/>
      <c r="H7" s="35"/>
      <c r="I7" s="67"/>
      <c r="J7" s="67"/>
      <c r="K7" s="54"/>
      <c r="L7" s="36"/>
      <c r="M7" s="36"/>
      <c r="N7" s="36"/>
      <c r="O7" s="67"/>
      <c r="P7" s="67"/>
      <c r="Q7" s="65"/>
      <c r="R7" s="62"/>
      <c r="S7" s="71"/>
      <c r="T7" s="71"/>
    </row>
    <row r="8" spans="1:22" s="15" customFormat="1" ht="13.15" customHeight="1" x14ac:dyDescent="0.2">
      <c r="A8" s="16"/>
      <c r="B8" s="63"/>
      <c r="C8" s="48"/>
      <c r="D8" s="48"/>
      <c r="E8" s="41"/>
      <c r="F8" s="71"/>
      <c r="G8" s="71"/>
      <c r="H8" s="71"/>
      <c r="I8" s="72"/>
      <c r="J8" s="72"/>
      <c r="K8" s="73"/>
      <c r="L8" s="41"/>
      <c r="M8" s="41"/>
      <c r="N8" s="41"/>
      <c r="O8" s="72"/>
      <c r="P8" s="72"/>
      <c r="Q8" s="74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4">$F$1-F19</f>
        <v>6</v>
      </c>
      <c r="M19" s="1">
        <f t="shared" si="4"/>
        <v>6</v>
      </c>
      <c r="N19" s="1">
        <f t="shared" si="4"/>
        <v>6</v>
      </c>
      <c r="O19" s="1"/>
      <c r="P19" s="1"/>
      <c r="Q19" s="18" t="s">
        <v>67</v>
      </c>
      <c r="R19" s="53"/>
      <c r="S19" s="53"/>
      <c r="T19" s="1"/>
    </row>
  </sheetData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58B4-2BDF-4FCB-92F9-405D69EA1F1A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46302</v>
      </c>
      <c r="G1" s="5">
        <v>46302</v>
      </c>
      <c r="H1" s="5">
        <v>46302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97" t="s">
        <v>0</v>
      </c>
      <c r="B2" s="110" t="s">
        <v>1</v>
      </c>
      <c r="C2" s="97" t="s">
        <v>2</v>
      </c>
      <c r="D2" s="97" t="s">
        <v>3</v>
      </c>
      <c r="E2" s="97" t="s">
        <v>4</v>
      </c>
      <c r="F2" s="101" t="s">
        <v>5</v>
      </c>
      <c r="G2" s="101" t="s">
        <v>6</v>
      </c>
      <c r="H2" s="101" t="s">
        <v>7</v>
      </c>
      <c r="I2" s="101" t="s">
        <v>8</v>
      </c>
      <c r="J2" s="103" t="s">
        <v>9</v>
      </c>
      <c r="K2" s="105" t="s">
        <v>36</v>
      </c>
      <c r="L2" s="107" t="s">
        <v>10</v>
      </c>
      <c r="M2" s="108"/>
      <c r="N2" s="108"/>
      <c r="O2" s="108"/>
      <c r="P2" s="109"/>
      <c r="Q2" s="97" t="s">
        <v>11</v>
      </c>
      <c r="R2" s="97" t="s">
        <v>12</v>
      </c>
      <c r="S2" s="99" t="s">
        <v>13</v>
      </c>
      <c r="T2" s="99" t="s">
        <v>14</v>
      </c>
    </row>
    <row r="3" spans="1:22" s="8" customFormat="1" ht="27" customHeight="1" x14ac:dyDescent="0.2">
      <c r="A3" s="98"/>
      <c r="B3" s="111"/>
      <c r="C3" s="98"/>
      <c r="D3" s="98"/>
      <c r="E3" s="98"/>
      <c r="F3" s="102"/>
      <c r="G3" s="102"/>
      <c r="H3" s="102"/>
      <c r="I3" s="102"/>
      <c r="J3" s="104"/>
      <c r="K3" s="106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98"/>
      <c r="R3" s="98"/>
      <c r="S3" s="100"/>
      <c r="T3" s="100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79" t="s">
        <v>33</v>
      </c>
      <c r="C5" s="50" t="s">
        <v>21</v>
      </c>
      <c r="D5" s="50" t="s">
        <v>66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6" si="0">$F$1-F5</f>
        <v>55</v>
      </c>
      <c r="M5" s="36">
        <f t="shared" si="0"/>
        <v>55</v>
      </c>
      <c r="N5" s="36">
        <f t="shared" si="0"/>
        <v>55</v>
      </c>
      <c r="O5" s="37"/>
      <c r="P5" s="37"/>
      <c r="Q5" s="65" t="s">
        <v>68</v>
      </c>
      <c r="R5" s="63"/>
      <c r="S5" s="69"/>
      <c r="T5" s="71" t="s">
        <v>28</v>
      </c>
    </row>
    <row r="6" spans="1:22" s="15" customFormat="1" ht="13.15" customHeight="1" x14ac:dyDescent="0.2">
      <c r="A6" s="16">
        <v>2</v>
      </c>
      <c r="B6" s="79" t="s">
        <v>31</v>
      </c>
      <c r="C6" s="48" t="s">
        <v>34</v>
      </c>
      <c r="D6" s="48" t="s">
        <v>22</v>
      </c>
      <c r="E6" s="41">
        <v>2024</v>
      </c>
      <c r="F6" s="5">
        <v>46301</v>
      </c>
      <c r="G6" s="5">
        <v>46301</v>
      </c>
      <c r="H6" s="5">
        <v>46301</v>
      </c>
      <c r="I6" s="72"/>
      <c r="J6" s="72"/>
      <c r="K6" s="73"/>
      <c r="L6" s="1">
        <f t="shared" si="0"/>
        <v>1</v>
      </c>
      <c r="M6" s="1">
        <f t="shared" si="0"/>
        <v>1</v>
      </c>
      <c r="N6" s="1">
        <f t="shared" si="0"/>
        <v>1</v>
      </c>
      <c r="O6" s="72"/>
      <c r="P6" s="72"/>
      <c r="Q6" s="47" t="s">
        <v>71</v>
      </c>
      <c r="R6" s="62"/>
      <c r="S6" s="71"/>
      <c r="T6" s="71" t="s">
        <v>43</v>
      </c>
    </row>
    <row r="7" spans="1:22" s="15" customFormat="1" ht="13.15" customHeight="1" x14ac:dyDescent="0.2">
      <c r="A7" s="75"/>
      <c r="B7" s="79"/>
      <c r="C7" s="50"/>
      <c r="D7" s="50"/>
      <c r="E7" s="43"/>
      <c r="F7" s="35"/>
      <c r="G7" s="35"/>
      <c r="H7" s="35"/>
      <c r="I7" s="67"/>
      <c r="J7" s="67"/>
      <c r="K7" s="54"/>
      <c r="L7" s="36"/>
      <c r="M7" s="36"/>
      <c r="N7" s="36"/>
      <c r="O7" s="67"/>
      <c r="P7" s="67"/>
      <c r="Q7" s="65"/>
      <c r="R7" s="62"/>
      <c r="S7" s="71"/>
      <c r="T7" s="71"/>
    </row>
    <row r="8" spans="1:22" s="15" customFormat="1" ht="13.15" customHeight="1" x14ac:dyDescent="0.2">
      <c r="A8" s="16"/>
      <c r="B8" s="63"/>
      <c r="C8" s="48"/>
      <c r="D8" s="48"/>
      <c r="E8" s="41"/>
      <c r="F8" s="71"/>
      <c r="G8" s="71"/>
      <c r="H8" s="71"/>
      <c r="I8" s="72"/>
      <c r="J8" s="72"/>
      <c r="K8" s="73"/>
      <c r="L8" s="41"/>
      <c r="M8" s="41"/>
      <c r="N8" s="41"/>
      <c r="O8" s="72"/>
      <c r="P8" s="72"/>
      <c r="Q8" s="74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1">$F$1-F19</f>
        <v>7</v>
      </c>
      <c r="M19" s="1">
        <f t="shared" si="1"/>
        <v>7</v>
      </c>
      <c r="N19" s="1">
        <f t="shared" si="1"/>
        <v>7</v>
      </c>
      <c r="O19" s="1"/>
      <c r="P19" s="1"/>
      <c r="Q19" s="18" t="s">
        <v>67</v>
      </c>
      <c r="R19" s="53"/>
      <c r="S19" s="53"/>
      <c r="T19" s="1"/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0791-642D-4DF5-9D5D-A1125A325997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46303</v>
      </c>
      <c r="G1" s="5">
        <v>46303</v>
      </c>
      <c r="H1" s="5">
        <v>46303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114" t="s">
        <v>0</v>
      </c>
      <c r="B2" s="116" t="s">
        <v>1</v>
      </c>
      <c r="C2" s="114" t="s">
        <v>2</v>
      </c>
      <c r="D2" s="114" t="s">
        <v>3</v>
      </c>
      <c r="E2" s="114" t="s">
        <v>4</v>
      </c>
      <c r="F2" s="112" t="s">
        <v>5</v>
      </c>
      <c r="G2" s="112" t="s">
        <v>6</v>
      </c>
      <c r="H2" s="112" t="s">
        <v>7</v>
      </c>
      <c r="I2" s="112" t="s">
        <v>8</v>
      </c>
      <c r="J2" s="120" t="s">
        <v>9</v>
      </c>
      <c r="K2" s="122" t="s">
        <v>36</v>
      </c>
      <c r="L2" s="124" t="s">
        <v>10</v>
      </c>
      <c r="M2" s="125"/>
      <c r="N2" s="125"/>
      <c r="O2" s="125"/>
      <c r="P2" s="126"/>
      <c r="Q2" s="114" t="s">
        <v>11</v>
      </c>
      <c r="R2" s="114" t="s">
        <v>12</v>
      </c>
      <c r="S2" s="118" t="s">
        <v>13</v>
      </c>
      <c r="T2" s="118" t="s">
        <v>14</v>
      </c>
    </row>
    <row r="3" spans="1:22" s="8" customFormat="1" ht="27" customHeight="1" x14ac:dyDescent="0.2">
      <c r="A3" s="115"/>
      <c r="B3" s="117"/>
      <c r="C3" s="115"/>
      <c r="D3" s="115"/>
      <c r="E3" s="115"/>
      <c r="F3" s="113"/>
      <c r="G3" s="113"/>
      <c r="H3" s="113"/>
      <c r="I3" s="113"/>
      <c r="J3" s="121"/>
      <c r="K3" s="12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115"/>
      <c r="R3" s="115"/>
      <c r="S3" s="119"/>
      <c r="T3" s="11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79" t="s">
        <v>33</v>
      </c>
      <c r="C5" s="50" t="s">
        <v>21</v>
      </c>
      <c r="D5" s="50" t="s">
        <v>66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6" si="0">$F$1-F5</f>
        <v>56</v>
      </c>
      <c r="M5" s="36">
        <f t="shared" si="0"/>
        <v>56</v>
      </c>
      <c r="N5" s="36">
        <f t="shared" si="0"/>
        <v>56</v>
      </c>
      <c r="O5" s="37"/>
      <c r="P5" s="37"/>
      <c r="Q5" s="65" t="s">
        <v>68</v>
      </c>
      <c r="R5" s="79" t="s">
        <v>31</v>
      </c>
      <c r="S5" s="71" t="s">
        <v>43</v>
      </c>
      <c r="T5" s="71" t="s">
        <v>28</v>
      </c>
    </row>
    <row r="6" spans="1:22" s="15" customFormat="1" ht="13.15" customHeight="1" x14ac:dyDescent="0.2">
      <c r="A6" s="16">
        <v>2</v>
      </c>
      <c r="B6" s="62" t="s">
        <v>73</v>
      </c>
      <c r="C6" s="49" t="s">
        <v>34</v>
      </c>
      <c r="D6" s="49" t="s">
        <v>22</v>
      </c>
      <c r="E6" s="44">
        <v>2024</v>
      </c>
      <c r="F6" s="38">
        <v>46303</v>
      </c>
      <c r="G6" s="38">
        <v>46303</v>
      </c>
      <c r="H6" s="38">
        <v>46303</v>
      </c>
      <c r="I6" s="70"/>
      <c r="J6" s="70"/>
      <c r="K6" s="77"/>
      <c r="L6" s="39">
        <f t="shared" si="0"/>
        <v>0</v>
      </c>
      <c r="M6" s="39">
        <f t="shared" si="0"/>
        <v>0</v>
      </c>
      <c r="N6" s="39">
        <f t="shared" si="0"/>
        <v>0</v>
      </c>
      <c r="O6" s="70"/>
      <c r="P6" s="70"/>
      <c r="Q6" s="45" t="s">
        <v>74</v>
      </c>
      <c r="R6" s="62"/>
      <c r="S6" s="71"/>
      <c r="T6" s="66" t="s">
        <v>72</v>
      </c>
    </row>
    <row r="7" spans="1:22" s="15" customFormat="1" ht="13.15" customHeight="1" x14ac:dyDescent="0.2">
      <c r="A7" s="75"/>
      <c r="B7" s="79"/>
      <c r="C7" s="50"/>
      <c r="D7" s="50"/>
      <c r="E7" s="43"/>
      <c r="F7" s="35"/>
      <c r="G7" s="35"/>
      <c r="H7" s="35"/>
      <c r="I7" s="67"/>
      <c r="J7" s="67"/>
      <c r="K7" s="54"/>
      <c r="L7" s="36"/>
      <c r="M7" s="36"/>
      <c r="N7" s="36"/>
      <c r="O7" s="67"/>
      <c r="P7" s="67"/>
      <c r="Q7" s="65"/>
      <c r="R7" s="62"/>
      <c r="S7" s="71"/>
      <c r="T7" s="66" t="s">
        <v>75</v>
      </c>
    </row>
    <row r="8" spans="1:22" s="15" customFormat="1" ht="13.15" customHeight="1" x14ac:dyDescent="0.2">
      <c r="A8" s="16"/>
      <c r="B8" s="63"/>
      <c r="C8" s="48"/>
      <c r="D8" s="48"/>
      <c r="E8" s="41"/>
      <c r="F8" s="71"/>
      <c r="G8" s="71"/>
      <c r="H8" s="71"/>
      <c r="I8" s="72"/>
      <c r="J8" s="72"/>
      <c r="K8" s="73"/>
      <c r="L8" s="41"/>
      <c r="M8" s="41"/>
      <c r="N8" s="41"/>
      <c r="O8" s="72"/>
      <c r="P8" s="72"/>
      <c r="Q8" s="74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1">$F$1-F19</f>
        <v>8</v>
      </c>
      <c r="M19" s="1">
        <f t="shared" si="1"/>
        <v>8</v>
      </c>
      <c r="N19" s="1">
        <f t="shared" si="1"/>
        <v>8</v>
      </c>
      <c r="O19" s="1"/>
      <c r="P19" s="1"/>
      <c r="Q19" s="18" t="s">
        <v>67</v>
      </c>
      <c r="R19" s="53"/>
      <c r="S19" s="53"/>
      <c r="T19" s="1"/>
    </row>
  </sheetData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4415-040C-4B4C-8E02-9B342E177232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46304</v>
      </c>
      <c r="G1" s="5">
        <v>46304</v>
      </c>
      <c r="H1" s="5">
        <v>46304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127" t="s">
        <v>0</v>
      </c>
      <c r="B2" s="140" t="s">
        <v>1</v>
      </c>
      <c r="C2" s="127" t="s">
        <v>2</v>
      </c>
      <c r="D2" s="127" t="s">
        <v>3</v>
      </c>
      <c r="E2" s="127" t="s">
        <v>4</v>
      </c>
      <c r="F2" s="131" t="s">
        <v>5</v>
      </c>
      <c r="G2" s="131" t="s">
        <v>6</v>
      </c>
      <c r="H2" s="131" t="s">
        <v>7</v>
      </c>
      <c r="I2" s="131" t="s">
        <v>8</v>
      </c>
      <c r="J2" s="133" t="s">
        <v>9</v>
      </c>
      <c r="K2" s="135" t="s">
        <v>36</v>
      </c>
      <c r="L2" s="137" t="s">
        <v>10</v>
      </c>
      <c r="M2" s="138"/>
      <c r="N2" s="138"/>
      <c r="O2" s="138"/>
      <c r="P2" s="139"/>
      <c r="Q2" s="127" t="s">
        <v>11</v>
      </c>
      <c r="R2" s="127" t="s">
        <v>12</v>
      </c>
      <c r="S2" s="129" t="s">
        <v>13</v>
      </c>
      <c r="T2" s="129" t="s">
        <v>14</v>
      </c>
    </row>
    <row r="3" spans="1:22" s="8" customFormat="1" ht="27" customHeight="1" x14ac:dyDescent="0.2">
      <c r="A3" s="128"/>
      <c r="B3" s="141"/>
      <c r="C3" s="128"/>
      <c r="D3" s="128"/>
      <c r="E3" s="128"/>
      <c r="F3" s="132"/>
      <c r="G3" s="132"/>
      <c r="H3" s="132"/>
      <c r="I3" s="132"/>
      <c r="J3" s="134"/>
      <c r="K3" s="136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128"/>
      <c r="R3" s="128"/>
      <c r="S3" s="130"/>
      <c r="T3" s="130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79" t="s">
        <v>33</v>
      </c>
      <c r="C5" s="50" t="s">
        <v>21</v>
      </c>
      <c r="D5" s="50" t="s">
        <v>66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6" si="0">$F$1-F5</f>
        <v>57</v>
      </c>
      <c r="M5" s="36">
        <f t="shared" si="0"/>
        <v>57</v>
      </c>
      <c r="N5" s="36">
        <f t="shared" si="0"/>
        <v>57</v>
      </c>
      <c r="O5" s="37"/>
      <c r="P5" s="37"/>
      <c r="Q5" s="65" t="s">
        <v>68</v>
      </c>
      <c r="R5" s="79"/>
      <c r="S5" s="66" t="s">
        <v>72</v>
      </c>
      <c r="T5" s="71" t="s">
        <v>28</v>
      </c>
    </row>
    <row r="6" spans="1:22" s="15" customFormat="1" ht="13.15" customHeight="1" x14ac:dyDescent="0.2">
      <c r="A6" s="16">
        <v>2</v>
      </c>
      <c r="B6" s="63" t="s">
        <v>73</v>
      </c>
      <c r="C6" s="48" t="s">
        <v>34</v>
      </c>
      <c r="D6" s="48" t="s">
        <v>22</v>
      </c>
      <c r="E6" s="41">
        <v>2024</v>
      </c>
      <c r="F6" s="5">
        <v>46303</v>
      </c>
      <c r="G6" s="5">
        <v>46303</v>
      </c>
      <c r="H6" s="5">
        <v>46303</v>
      </c>
      <c r="I6" s="72"/>
      <c r="J6" s="72"/>
      <c r="K6" s="73"/>
      <c r="L6" s="1">
        <f t="shared" si="0"/>
        <v>1</v>
      </c>
      <c r="M6" s="1">
        <f t="shared" si="0"/>
        <v>1</v>
      </c>
      <c r="N6" s="1">
        <f t="shared" si="0"/>
        <v>1</v>
      </c>
      <c r="O6" s="72"/>
      <c r="P6" s="72"/>
      <c r="Q6" s="47" t="s">
        <v>74</v>
      </c>
      <c r="R6" s="62"/>
      <c r="S6" s="71"/>
      <c r="T6" s="66" t="s">
        <v>75</v>
      </c>
    </row>
    <row r="7" spans="1:22" s="15" customFormat="1" ht="13.15" customHeight="1" x14ac:dyDescent="0.2">
      <c r="A7" s="75">
        <v>3</v>
      </c>
      <c r="B7" s="62" t="s">
        <v>31</v>
      </c>
      <c r="C7" s="49" t="s">
        <v>34</v>
      </c>
      <c r="D7" s="49" t="s">
        <v>22</v>
      </c>
      <c r="E7" s="44">
        <v>2024</v>
      </c>
      <c r="F7" s="38">
        <v>46304</v>
      </c>
      <c r="G7" s="38">
        <v>46304</v>
      </c>
      <c r="H7" s="38">
        <v>46304</v>
      </c>
      <c r="I7" s="70"/>
      <c r="J7" s="70"/>
      <c r="K7" s="77"/>
      <c r="L7" s="39">
        <f t="shared" ref="L7" si="1">$F$1-F7</f>
        <v>0</v>
      </c>
      <c r="M7" s="39">
        <f t="shared" ref="M7" si="2">$F$1-G7</f>
        <v>0</v>
      </c>
      <c r="N7" s="39">
        <f t="shared" ref="N7" si="3">$F$1-H7</f>
        <v>0</v>
      </c>
      <c r="O7" s="70"/>
      <c r="P7" s="70"/>
      <c r="Q7" s="45" t="s">
        <v>76</v>
      </c>
      <c r="R7" s="62"/>
      <c r="S7" s="71"/>
      <c r="T7" s="71"/>
    </row>
    <row r="8" spans="1:22" s="15" customFormat="1" ht="13.15" customHeight="1" x14ac:dyDescent="0.2">
      <c r="A8" s="16"/>
      <c r="B8" s="63"/>
      <c r="C8" s="48"/>
      <c r="D8" s="48"/>
      <c r="E8" s="41"/>
      <c r="F8" s="71"/>
      <c r="G8" s="71"/>
      <c r="H8" s="71"/>
      <c r="I8" s="72"/>
      <c r="J8" s="72"/>
      <c r="K8" s="73"/>
      <c r="L8" s="41"/>
      <c r="M8" s="41"/>
      <c r="N8" s="41"/>
      <c r="O8" s="72"/>
      <c r="P8" s="72"/>
      <c r="Q8" s="74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4">$F$1-F19</f>
        <v>9</v>
      </c>
      <c r="M19" s="1">
        <f t="shared" si="4"/>
        <v>9</v>
      </c>
      <c r="N19" s="1">
        <f t="shared" si="4"/>
        <v>9</v>
      </c>
      <c r="O19" s="1"/>
      <c r="P19" s="1"/>
      <c r="Q19" s="18" t="s">
        <v>67</v>
      </c>
      <c r="R19" s="53"/>
      <c r="S19" s="53"/>
      <c r="T19" s="1"/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7CD8-C922-4A42-9FF2-399EB36A6697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46305</v>
      </c>
      <c r="G1" s="5">
        <v>46305</v>
      </c>
      <c r="H1" s="5">
        <v>46305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142" t="s">
        <v>0</v>
      </c>
      <c r="B2" s="155" t="s">
        <v>1</v>
      </c>
      <c r="C2" s="142" t="s">
        <v>2</v>
      </c>
      <c r="D2" s="142" t="s">
        <v>3</v>
      </c>
      <c r="E2" s="142" t="s">
        <v>4</v>
      </c>
      <c r="F2" s="146" t="s">
        <v>5</v>
      </c>
      <c r="G2" s="146" t="s">
        <v>6</v>
      </c>
      <c r="H2" s="146" t="s">
        <v>7</v>
      </c>
      <c r="I2" s="146" t="s">
        <v>8</v>
      </c>
      <c r="J2" s="148" t="s">
        <v>9</v>
      </c>
      <c r="K2" s="150" t="s">
        <v>36</v>
      </c>
      <c r="L2" s="152" t="s">
        <v>10</v>
      </c>
      <c r="M2" s="153"/>
      <c r="N2" s="153"/>
      <c r="O2" s="153"/>
      <c r="P2" s="154"/>
      <c r="Q2" s="142" t="s">
        <v>11</v>
      </c>
      <c r="R2" s="142" t="s">
        <v>12</v>
      </c>
      <c r="S2" s="144" t="s">
        <v>13</v>
      </c>
      <c r="T2" s="144" t="s">
        <v>14</v>
      </c>
    </row>
    <row r="3" spans="1:22" s="8" customFormat="1" ht="27" customHeight="1" x14ac:dyDescent="0.2">
      <c r="A3" s="143"/>
      <c r="B3" s="156"/>
      <c r="C3" s="143"/>
      <c r="D3" s="143"/>
      <c r="E3" s="143"/>
      <c r="F3" s="147"/>
      <c r="G3" s="147"/>
      <c r="H3" s="147"/>
      <c r="I3" s="147"/>
      <c r="J3" s="149"/>
      <c r="K3" s="151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143"/>
      <c r="R3" s="143"/>
      <c r="S3" s="145"/>
      <c r="T3" s="145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79" t="s">
        <v>33</v>
      </c>
      <c r="C5" s="50" t="s">
        <v>21</v>
      </c>
      <c r="D5" s="50" t="s">
        <v>66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7" si="0">$F$1-F5</f>
        <v>58</v>
      </c>
      <c r="M5" s="36">
        <f t="shared" si="0"/>
        <v>58</v>
      </c>
      <c r="N5" s="36">
        <f t="shared" si="0"/>
        <v>58</v>
      </c>
      <c r="O5" s="37"/>
      <c r="P5" s="37"/>
      <c r="Q5" s="65" t="s">
        <v>68</v>
      </c>
      <c r="R5" s="79"/>
      <c r="S5" s="66"/>
      <c r="T5" s="71" t="s">
        <v>28</v>
      </c>
    </row>
    <row r="6" spans="1:22" s="15" customFormat="1" ht="13.15" customHeight="1" x14ac:dyDescent="0.2">
      <c r="A6" s="16">
        <v>2</v>
      </c>
      <c r="B6" s="63" t="s">
        <v>73</v>
      </c>
      <c r="C6" s="48" t="s">
        <v>34</v>
      </c>
      <c r="D6" s="48" t="s">
        <v>22</v>
      </c>
      <c r="E6" s="41">
        <v>2024</v>
      </c>
      <c r="F6" s="5">
        <v>46303</v>
      </c>
      <c r="G6" s="5">
        <v>46303</v>
      </c>
      <c r="H6" s="5">
        <v>46303</v>
      </c>
      <c r="I6" s="72"/>
      <c r="J6" s="72"/>
      <c r="K6" s="73"/>
      <c r="L6" s="1">
        <f t="shared" si="0"/>
        <v>2</v>
      </c>
      <c r="M6" s="1">
        <f t="shared" si="0"/>
        <v>2</v>
      </c>
      <c r="N6" s="1">
        <f t="shared" si="0"/>
        <v>2</v>
      </c>
      <c r="O6" s="72"/>
      <c r="P6" s="72"/>
      <c r="Q6" s="47" t="s">
        <v>74</v>
      </c>
      <c r="R6" s="62"/>
      <c r="S6" s="71"/>
      <c r="T6" s="66" t="s">
        <v>75</v>
      </c>
    </row>
    <row r="7" spans="1:22" s="15" customFormat="1" ht="13.15" customHeight="1" x14ac:dyDescent="0.2">
      <c r="A7" s="75">
        <v>3</v>
      </c>
      <c r="B7" s="63" t="s">
        <v>31</v>
      </c>
      <c r="C7" s="48" t="s">
        <v>34</v>
      </c>
      <c r="D7" s="48" t="s">
        <v>22</v>
      </c>
      <c r="E7" s="41">
        <v>2024</v>
      </c>
      <c r="F7" s="5">
        <v>46304</v>
      </c>
      <c r="G7" s="5">
        <v>46304</v>
      </c>
      <c r="H7" s="5">
        <v>46304</v>
      </c>
      <c r="I7" s="72"/>
      <c r="J7" s="72"/>
      <c r="K7" s="73"/>
      <c r="L7" s="1">
        <f t="shared" si="0"/>
        <v>1</v>
      </c>
      <c r="M7" s="1">
        <f t="shared" si="0"/>
        <v>1</v>
      </c>
      <c r="N7" s="1">
        <f t="shared" si="0"/>
        <v>1</v>
      </c>
      <c r="O7" s="72"/>
      <c r="P7" s="72"/>
      <c r="Q7" s="47" t="s">
        <v>76</v>
      </c>
      <c r="R7" s="62"/>
      <c r="S7" s="71"/>
      <c r="T7" s="66" t="s">
        <v>72</v>
      </c>
    </row>
    <row r="8" spans="1:22" s="15" customFormat="1" ht="13.15" customHeight="1" x14ac:dyDescent="0.2">
      <c r="A8" s="16">
        <v>4</v>
      </c>
      <c r="B8" s="62" t="s">
        <v>29</v>
      </c>
      <c r="C8" s="49" t="s">
        <v>21</v>
      </c>
      <c r="D8" s="49" t="s">
        <v>39</v>
      </c>
      <c r="E8" s="44">
        <v>2017</v>
      </c>
      <c r="F8" s="38">
        <v>46305</v>
      </c>
      <c r="G8" s="38">
        <v>46305</v>
      </c>
      <c r="H8" s="38">
        <v>46305</v>
      </c>
      <c r="I8" s="70"/>
      <c r="J8" s="70"/>
      <c r="K8" s="77"/>
      <c r="L8" s="39">
        <f t="shared" ref="L8" si="1">$F$1-F8</f>
        <v>0</v>
      </c>
      <c r="M8" s="39">
        <f t="shared" ref="M8" si="2">$F$1-G8</f>
        <v>0</v>
      </c>
      <c r="N8" s="39">
        <f t="shared" ref="N8" si="3">$F$1-H8</f>
        <v>0</v>
      </c>
      <c r="O8" s="70"/>
      <c r="P8" s="70"/>
      <c r="Q8" s="68" t="s">
        <v>77</v>
      </c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3"/>
      <c r="C9" s="48"/>
      <c r="D9" s="48"/>
      <c r="E9" s="41"/>
      <c r="F9" s="71"/>
      <c r="G9" s="71"/>
      <c r="H9" s="71"/>
      <c r="I9" s="72"/>
      <c r="J9" s="72"/>
      <c r="K9" s="73"/>
      <c r="L9" s="41"/>
      <c r="M9" s="41"/>
      <c r="N9" s="41"/>
      <c r="O9" s="72"/>
      <c r="P9" s="72"/>
      <c r="Q9" s="74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4">$F$1-F19</f>
        <v>10</v>
      </c>
      <c r="M19" s="1">
        <f t="shared" si="4"/>
        <v>10</v>
      </c>
      <c r="N19" s="1">
        <f t="shared" si="4"/>
        <v>10</v>
      </c>
      <c r="O19" s="1"/>
      <c r="P19" s="1"/>
      <c r="Q19" s="18" t="s">
        <v>67</v>
      </c>
      <c r="R19" s="53"/>
      <c r="S19" s="53"/>
      <c r="T19" s="1"/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7D76-08E1-48A5-8573-1D7BC717D9B0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46306</v>
      </c>
      <c r="G1" s="5">
        <v>46306</v>
      </c>
      <c r="H1" s="5">
        <v>46306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159" t="s">
        <v>0</v>
      </c>
      <c r="B2" s="161" t="s">
        <v>1</v>
      </c>
      <c r="C2" s="159" t="s">
        <v>2</v>
      </c>
      <c r="D2" s="159" t="s">
        <v>3</v>
      </c>
      <c r="E2" s="159" t="s">
        <v>4</v>
      </c>
      <c r="F2" s="157" t="s">
        <v>5</v>
      </c>
      <c r="G2" s="157" t="s">
        <v>6</v>
      </c>
      <c r="H2" s="157" t="s">
        <v>7</v>
      </c>
      <c r="I2" s="157" t="s">
        <v>8</v>
      </c>
      <c r="J2" s="165" t="s">
        <v>9</v>
      </c>
      <c r="K2" s="167" t="s">
        <v>36</v>
      </c>
      <c r="L2" s="169" t="s">
        <v>10</v>
      </c>
      <c r="M2" s="170"/>
      <c r="N2" s="170"/>
      <c r="O2" s="170"/>
      <c r="P2" s="171"/>
      <c r="Q2" s="159" t="s">
        <v>11</v>
      </c>
      <c r="R2" s="159" t="s">
        <v>12</v>
      </c>
      <c r="S2" s="163" t="s">
        <v>13</v>
      </c>
      <c r="T2" s="163" t="s">
        <v>14</v>
      </c>
    </row>
    <row r="3" spans="1:22" s="8" customFormat="1" ht="27" customHeight="1" x14ac:dyDescent="0.2">
      <c r="A3" s="160"/>
      <c r="B3" s="162"/>
      <c r="C3" s="160"/>
      <c r="D3" s="160"/>
      <c r="E3" s="160"/>
      <c r="F3" s="158"/>
      <c r="G3" s="158"/>
      <c r="H3" s="158"/>
      <c r="I3" s="158"/>
      <c r="J3" s="166"/>
      <c r="K3" s="168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160"/>
      <c r="R3" s="160"/>
      <c r="S3" s="164"/>
      <c r="T3" s="164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79" t="s">
        <v>33</v>
      </c>
      <c r="C5" s="50" t="s">
        <v>21</v>
      </c>
      <c r="D5" s="50" t="s">
        <v>66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8" si="0">$F$1-F5</f>
        <v>59</v>
      </c>
      <c r="M5" s="36">
        <f t="shared" si="0"/>
        <v>59</v>
      </c>
      <c r="N5" s="36">
        <f t="shared" si="0"/>
        <v>59</v>
      </c>
      <c r="O5" s="37"/>
      <c r="P5" s="37"/>
      <c r="Q5" s="65" t="s">
        <v>68</v>
      </c>
      <c r="R5" s="62" t="s">
        <v>29</v>
      </c>
      <c r="S5" s="66"/>
      <c r="T5" s="71" t="s">
        <v>28</v>
      </c>
    </row>
    <row r="6" spans="1:22" s="15" customFormat="1" ht="13.15" customHeight="1" x14ac:dyDescent="0.2">
      <c r="A6" s="16">
        <v>2</v>
      </c>
      <c r="B6" s="63" t="s">
        <v>73</v>
      </c>
      <c r="C6" s="48" t="s">
        <v>34</v>
      </c>
      <c r="D6" s="48" t="s">
        <v>22</v>
      </c>
      <c r="E6" s="41">
        <v>2024</v>
      </c>
      <c r="F6" s="5">
        <v>46303</v>
      </c>
      <c r="G6" s="5">
        <v>46303</v>
      </c>
      <c r="H6" s="5">
        <v>46303</v>
      </c>
      <c r="I6" s="72"/>
      <c r="J6" s="72"/>
      <c r="K6" s="73"/>
      <c r="L6" s="1">
        <f t="shared" si="0"/>
        <v>3</v>
      </c>
      <c r="M6" s="1">
        <f t="shared" si="0"/>
        <v>3</v>
      </c>
      <c r="N6" s="1">
        <f t="shared" si="0"/>
        <v>3</v>
      </c>
      <c r="O6" s="72"/>
      <c r="P6" s="72"/>
      <c r="Q6" s="47" t="s">
        <v>74</v>
      </c>
      <c r="R6" s="62"/>
      <c r="S6" s="71"/>
      <c r="T6" s="66" t="s">
        <v>75</v>
      </c>
    </row>
    <row r="7" spans="1:22" s="15" customFormat="1" ht="13.15" customHeight="1" x14ac:dyDescent="0.2">
      <c r="A7" s="75">
        <v>3</v>
      </c>
      <c r="B7" s="63" t="s">
        <v>31</v>
      </c>
      <c r="C7" s="48" t="s">
        <v>34</v>
      </c>
      <c r="D7" s="48" t="s">
        <v>22</v>
      </c>
      <c r="E7" s="41">
        <v>2024</v>
      </c>
      <c r="F7" s="5">
        <v>46304</v>
      </c>
      <c r="G7" s="5">
        <v>46304</v>
      </c>
      <c r="H7" s="5">
        <v>46304</v>
      </c>
      <c r="I7" s="72"/>
      <c r="J7" s="72"/>
      <c r="K7" s="73"/>
      <c r="L7" s="1">
        <f t="shared" si="0"/>
        <v>2</v>
      </c>
      <c r="M7" s="1">
        <f t="shared" si="0"/>
        <v>2</v>
      </c>
      <c r="N7" s="1">
        <f t="shared" si="0"/>
        <v>2</v>
      </c>
      <c r="O7" s="72"/>
      <c r="P7" s="72"/>
      <c r="Q7" s="47" t="s">
        <v>76</v>
      </c>
      <c r="R7" s="62"/>
      <c r="S7" s="71"/>
      <c r="T7" s="66" t="s">
        <v>72</v>
      </c>
    </row>
    <row r="8" spans="1:22" s="15" customFormat="1" ht="13.15" customHeight="1" x14ac:dyDescent="0.2">
      <c r="A8" s="16">
        <v>4</v>
      </c>
      <c r="B8" s="62" t="s">
        <v>44</v>
      </c>
      <c r="C8" s="49" t="s">
        <v>21</v>
      </c>
      <c r="D8" s="49" t="s">
        <v>78</v>
      </c>
      <c r="E8" s="44">
        <v>2017</v>
      </c>
      <c r="F8" s="38">
        <v>46306</v>
      </c>
      <c r="G8" s="38">
        <v>46306</v>
      </c>
      <c r="H8" s="38">
        <v>46306</v>
      </c>
      <c r="I8" s="70"/>
      <c r="J8" s="70"/>
      <c r="K8" s="77"/>
      <c r="L8" s="39">
        <f t="shared" si="0"/>
        <v>0</v>
      </c>
      <c r="M8" s="39">
        <f t="shared" si="0"/>
        <v>0</v>
      </c>
      <c r="N8" s="39">
        <f t="shared" si="0"/>
        <v>0</v>
      </c>
      <c r="O8" s="70"/>
      <c r="P8" s="70"/>
      <c r="Q8" s="68" t="s">
        <v>79</v>
      </c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2"/>
      <c r="C9" s="49"/>
      <c r="D9" s="49"/>
      <c r="E9" s="44"/>
      <c r="F9" s="66"/>
      <c r="G9" s="66"/>
      <c r="H9" s="66"/>
      <c r="I9" s="70"/>
      <c r="J9" s="70"/>
      <c r="K9" s="77"/>
      <c r="L9" s="44"/>
      <c r="M9" s="44"/>
      <c r="N9" s="44"/>
      <c r="O9" s="70"/>
      <c r="P9" s="70"/>
      <c r="Q9" s="68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1">$F$1-F19</f>
        <v>11</v>
      </c>
      <c r="M19" s="1">
        <f t="shared" si="1"/>
        <v>11</v>
      </c>
      <c r="N19" s="1">
        <f t="shared" si="1"/>
        <v>11</v>
      </c>
      <c r="O19" s="1"/>
      <c r="P19" s="1"/>
      <c r="Q19" s="18" t="s">
        <v>67</v>
      </c>
      <c r="R19" s="53"/>
      <c r="S19" s="53"/>
      <c r="T19" s="1"/>
    </row>
  </sheetData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1334-8710-4C68-BC36-9240A1BD3538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46307</v>
      </c>
      <c r="G1" s="5">
        <v>46307</v>
      </c>
      <c r="H1" s="5">
        <v>46307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172" t="s">
        <v>0</v>
      </c>
      <c r="B2" s="185" t="s">
        <v>1</v>
      </c>
      <c r="C2" s="172" t="s">
        <v>2</v>
      </c>
      <c r="D2" s="172" t="s">
        <v>3</v>
      </c>
      <c r="E2" s="172" t="s">
        <v>4</v>
      </c>
      <c r="F2" s="176" t="s">
        <v>5</v>
      </c>
      <c r="G2" s="176" t="s">
        <v>6</v>
      </c>
      <c r="H2" s="176" t="s">
        <v>7</v>
      </c>
      <c r="I2" s="176" t="s">
        <v>8</v>
      </c>
      <c r="J2" s="178" t="s">
        <v>9</v>
      </c>
      <c r="K2" s="180" t="s">
        <v>36</v>
      </c>
      <c r="L2" s="182" t="s">
        <v>10</v>
      </c>
      <c r="M2" s="183"/>
      <c r="N2" s="183"/>
      <c r="O2" s="183"/>
      <c r="P2" s="184"/>
      <c r="Q2" s="172" t="s">
        <v>11</v>
      </c>
      <c r="R2" s="172" t="s">
        <v>12</v>
      </c>
      <c r="S2" s="174" t="s">
        <v>13</v>
      </c>
      <c r="T2" s="174" t="s">
        <v>14</v>
      </c>
    </row>
    <row r="3" spans="1:22" s="8" customFormat="1" ht="27" customHeight="1" x14ac:dyDescent="0.2">
      <c r="A3" s="173"/>
      <c r="B3" s="186"/>
      <c r="C3" s="173"/>
      <c r="D3" s="173"/>
      <c r="E3" s="173"/>
      <c r="F3" s="177"/>
      <c r="G3" s="177"/>
      <c r="H3" s="177"/>
      <c r="I3" s="177"/>
      <c r="J3" s="179"/>
      <c r="K3" s="181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173"/>
      <c r="R3" s="173"/>
      <c r="S3" s="175"/>
      <c r="T3" s="175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79" t="s">
        <v>33</v>
      </c>
      <c r="C5" s="50" t="s">
        <v>21</v>
      </c>
      <c r="D5" s="50" t="s">
        <v>66</v>
      </c>
      <c r="E5" s="43">
        <v>2022</v>
      </c>
      <c r="F5" s="35">
        <v>46247</v>
      </c>
      <c r="G5" s="35">
        <v>46247</v>
      </c>
      <c r="H5" s="35">
        <v>46247</v>
      </c>
      <c r="I5" s="37"/>
      <c r="J5" s="37"/>
      <c r="K5" s="34"/>
      <c r="L5" s="36">
        <f t="shared" ref="L5:N8" si="0">$F$1-F5</f>
        <v>60</v>
      </c>
      <c r="M5" s="36">
        <f t="shared" si="0"/>
        <v>60</v>
      </c>
      <c r="N5" s="36">
        <f t="shared" si="0"/>
        <v>60</v>
      </c>
      <c r="O5" s="37"/>
      <c r="P5" s="37"/>
      <c r="Q5" s="65" t="s">
        <v>83</v>
      </c>
      <c r="R5" s="62"/>
      <c r="S5" s="66" t="s">
        <v>72</v>
      </c>
      <c r="T5" s="71" t="s">
        <v>28</v>
      </c>
    </row>
    <row r="6" spans="1:22" s="15" customFormat="1" ht="13.15" customHeight="1" x14ac:dyDescent="0.2">
      <c r="A6" s="16">
        <v>2</v>
      </c>
      <c r="B6" s="63" t="s">
        <v>73</v>
      </c>
      <c r="C6" s="48" t="s">
        <v>34</v>
      </c>
      <c r="D6" s="48" t="s">
        <v>22</v>
      </c>
      <c r="E6" s="41">
        <v>2024</v>
      </c>
      <c r="F6" s="5">
        <v>46303</v>
      </c>
      <c r="G6" s="5">
        <v>46303</v>
      </c>
      <c r="H6" s="5">
        <v>46303</v>
      </c>
      <c r="I6" s="72"/>
      <c r="J6" s="72"/>
      <c r="K6" s="73"/>
      <c r="L6" s="1">
        <f t="shared" si="0"/>
        <v>4</v>
      </c>
      <c r="M6" s="1">
        <f t="shared" si="0"/>
        <v>4</v>
      </c>
      <c r="N6" s="1">
        <f t="shared" si="0"/>
        <v>4</v>
      </c>
      <c r="O6" s="72"/>
      <c r="P6" s="72"/>
      <c r="Q6" s="47" t="s">
        <v>74</v>
      </c>
      <c r="R6" s="62"/>
      <c r="S6" s="71"/>
      <c r="T6" s="66" t="s">
        <v>75</v>
      </c>
    </row>
    <row r="7" spans="1:22" s="15" customFormat="1" ht="13.15" customHeight="1" x14ac:dyDescent="0.2">
      <c r="A7" s="75">
        <v>3</v>
      </c>
      <c r="B7" s="63" t="s">
        <v>31</v>
      </c>
      <c r="C7" s="48" t="s">
        <v>34</v>
      </c>
      <c r="D7" s="48" t="s">
        <v>22</v>
      </c>
      <c r="E7" s="41">
        <v>2024</v>
      </c>
      <c r="F7" s="5">
        <v>46304</v>
      </c>
      <c r="G7" s="5">
        <v>46304</v>
      </c>
      <c r="H7" s="5">
        <v>46304</v>
      </c>
      <c r="I7" s="72"/>
      <c r="J7" s="72"/>
      <c r="K7" s="73"/>
      <c r="L7" s="1">
        <f t="shared" si="0"/>
        <v>3</v>
      </c>
      <c r="M7" s="1">
        <f t="shared" si="0"/>
        <v>3</v>
      </c>
      <c r="N7" s="1">
        <f t="shared" si="0"/>
        <v>3</v>
      </c>
      <c r="O7" s="72"/>
      <c r="P7" s="72"/>
      <c r="Q7" s="47" t="s">
        <v>76</v>
      </c>
      <c r="R7" s="62"/>
      <c r="S7" s="71"/>
      <c r="T7" s="66"/>
    </row>
    <row r="8" spans="1:22" s="15" customFormat="1" ht="13.15" customHeight="1" x14ac:dyDescent="0.2">
      <c r="A8" s="16">
        <v>4</v>
      </c>
      <c r="B8" s="63" t="s">
        <v>44</v>
      </c>
      <c r="C8" s="48" t="s">
        <v>21</v>
      </c>
      <c r="D8" s="48" t="s">
        <v>78</v>
      </c>
      <c r="E8" s="41">
        <v>2017</v>
      </c>
      <c r="F8" s="5">
        <v>46306</v>
      </c>
      <c r="G8" s="5">
        <v>46306</v>
      </c>
      <c r="H8" s="5">
        <v>46306</v>
      </c>
      <c r="I8" s="72"/>
      <c r="J8" s="72"/>
      <c r="K8" s="73"/>
      <c r="L8" s="1">
        <f t="shared" si="0"/>
        <v>1</v>
      </c>
      <c r="M8" s="1">
        <f t="shared" si="0"/>
        <v>1</v>
      </c>
      <c r="N8" s="1">
        <f t="shared" si="0"/>
        <v>1</v>
      </c>
      <c r="O8" s="72"/>
      <c r="P8" s="72"/>
      <c r="Q8" s="74" t="s">
        <v>79</v>
      </c>
      <c r="R8" s="54"/>
      <c r="S8" s="71"/>
      <c r="T8" s="71"/>
      <c r="U8" s="46"/>
      <c r="V8" s="46"/>
    </row>
    <row r="9" spans="1:22" s="15" customFormat="1" ht="13.15" customHeight="1" x14ac:dyDescent="0.2">
      <c r="A9" s="16">
        <v>5</v>
      </c>
      <c r="B9" s="62" t="s">
        <v>27</v>
      </c>
      <c r="C9" s="49" t="s">
        <v>21</v>
      </c>
      <c r="D9" s="49" t="s">
        <v>80</v>
      </c>
      <c r="E9" s="44">
        <v>2018</v>
      </c>
      <c r="F9" s="38">
        <v>46307</v>
      </c>
      <c r="G9" s="38">
        <v>46307</v>
      </c>
      <c r="H9" s="38">
        <v>46307</v>
      </c>
      <c r="I9" s="70"/>
      <c r="J9" s="70"/>
      <c r="K9" s="77"/>
      <c r="L9" s="39">
        <f t="shared" ref="L9" si="1">$F$1-F9</f>
        <v>0</v>
      </c>
      <c r="M9" s="39">
        <f t="shared" ref="M9" si="2">$F$1-G9</f>
        <v>0</v>
      </c>
      <c r="N9" s="39">
        <f t="shared" ref="N9" si="3">$F$1-H9</f>
        <v>0</v>
      </c>
      <c r="O9" s="70"/>
      <c r="P9" s="70"/>
      <c r="Q9" s="68" t="s">
        <v>81</v>
      </c>
      <c r="R9" s="54"/>
      <c r="S9" s="73"/>
      <c r="T9" s="63"/>
      <c r="U9" s="46"/>
      <c r="V9" s="46"/>
    </row>
    <row r="10" spans="1:22" s="15" customFormat="1" ht="12.6" customHeight="1" x14ac:dyDescent="0.2">
      <c r="A10" s="16">
        <v>6</v>
      </c>
      <c r="B10" s="62" t="s">
        <v>32</v>
      </c>
      <c r="C10" s="49" t="s">
        <v>21</v>
      </c>
      <c r="D10" s="49" t="s">
        <v>26</v>
      </c>
      <c r="E10" s="44">
        <v>2014</v>
      </c>
      <c r="F10" s="38">
        <v>46307</v>
      </c>
      <c r="G10" s="38">
        <v>46307</v>
      </c>
      <c r="H10" s="38">
        <v>46307</v>
      </c>
      <c r="I10" s="70"/>
      <c r="J10" s="70"/>
      <c r="K10" s="77"/>
      <c r="L10" s="39">
        <f t="shared" ref="L10" si="4">$F$1-F10</f>
        <v>0</v>
      </c>
      <c r="M10" s="39">
        <f t="shared" ref="M10" si="5">$F$1-G10</f>
        <v>0</v>
      </c>
      <c r="N10" s="39">
        <f t="shared" ref="N10" si="6">$F$1-H10</f>
        <v>0</v>
      </c>
      <c r="O10" s="70"/>
      <c r="P10" s="70"/>
      <c r="Q10" s="68" t="s">
        <v>82</v>
      </c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7">$F$1-F19</f>
        <v>12</v>
      </c>
      <c r="M19" s="1">
        <f t="shared" si="7"/>
        <v>12</v>
      </c>
      <c r="N19" s="1">
        <f t="shared" si="7"/>
        <v>12</v>
      </c>
      <c r="O19" s="1"/>
      <c r="P19" s="1"/>
      <c r="Q19" s="18" t="s">
        <v>67</v>
      </c>
      <c r="R19" s="53"/>
      <c r="S19" s="53"/>
      <c r="T19" s="1"/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B910C-6A09-4AF1-91F5-8A1F53659FDB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46308</v>
      </c>
      <c r="G1" s="5">
        <v>46308</v>
      </c>
      <c r="H1" s="5">
        <v>46308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187" t="s">
        <v>0</v>
      </c>
      <c r="B2" s="200" t="s">
        <v>1</v>
      </c>
      <c r="C2" s="187" t="s">
        <v>2</v>
      </c>
      <c r="D2" s="187" t="s">
        <v>3</v>
      </c>
      <c r="E2" s="187" t="s">
        <v>4</v>
      </c>
      <c r="F2" s="191" t="s">
        <v>5</v>
      </c>
      <c r="G2" s="191" t="s">
        <v>6</v>
      </c>
      <c r="H2" s="191" t="s">
        <v>7</v>
      </c>
      <c r="I2" s="191" t="s">
        <v>8</v>
      </c>
      <c r="J2" s="193" t="s">
        <v>9</v>
      </c>
      <c r="K2" s="195" t="s">
        <v>36</v>
      </c>
      <c r="L2" s="197" t="s">
        <v>10</v>
      </c>
      <c r="M2" s="198"/>
      <c r="N2" s="198"/>
      <c r="O2" s="198"/>
      <c r="P2" s="199"/>
      <c r="Q2" s="187" t="s">
        <v>11</v>
      </c>
      <c r="R2" s="187" t="s">
        <v>12</v>
      </c>
      <c r="S2" s="189" t="s">
        <v>13</v>
      </c>
      <c r="T2" s="189" t="s">
        <v>14</v>
      </c>
    </row>
    <row r="3" spans="1:22" s="8" customFormat="1" ht="27" customHeight="1" x14ac:dyDescent="0.2">
      <c r="A3" s="188"/>
      <c r="B3" s="201"/>
      <c r="C3" s="188"/>
      <c r="D3" s="188"/>
      <c r="E3" s="188"/>
      <c r="F3" s="192"/>
      <c r="G3" s="192"/>
      <c r="H3" s="192"/>
      <c r="I3" s="192"/>
      <c r="J3" s="194"/>
      <c r="K3" s="196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188"/>
      <c r="R3" s="188"/>
      <c r="S3" s="190"/>
      <c r="T3" s="190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63" t="s">
        <v>73</v>
      </c>
      <c r="C5" s="48" t="s">
        <v>34</v>
      </c>
      <c r="D5" s="48" t="s">
        <v>22</v>
      </c>
      <c r="E5" s="41">
        <v>2024</v>
      </c>
      <c r="F5" s="5">
        <v>46303</v>
      </c>
      <c r="G5" s="5">
        <v>46303</v>
      </c>
      <c r="H5" s="5">
        <v>46303</v>
      </c>
      <c r="I5" s="72"/>
      <c r="J5" s="72"/>
      <c r="K5" s="73"/>
      <c r="L5" s="1">
        <f t="shared" ref="L5:L7" si="0">$F$1-F5</f>
        <v>5</v>
      </c>
      <c r="M5" s="1">
        <f t="shared" ref="M5:M7" si="1">$F$1-G5</f>
        <v>5</v>
      </c>
      <c r="N5" s="1">
        <f t="shared" ref="N5:N7" si="2">$F$1-H5</f>
        <v>5</v>
      </c>
      <c r="O5" s="72"/>
      <c r="P5" s="72"/>
      <c r="Q5" s="47" t="s">
        <v>74</v>
      </c>
      <c r="R5" s="62" t="s">
        <v>32</v>
      </c>
      <c r="S5" s="66"/>
      <c r="T5" s="71" t="s">
        <v>28</v>
      </c>
    </row>
    <row r="6" spans="1:22" s="15" customFormat="1" ht="13.15" customHeight="1" x14ac:dyDescent="0.2">
      <c r="A6" s="16">
        <v>2</v>
      </c>
      <c r="B6" s="63" t="s">
        <v>31</v>
      </c>
      <c r="C6" s="48" t="s">
        <v>34</v>
      </c>
      <c r="D6" s="48" t="s">
        <v>22</v>
      </c>
      <c r="E6" s="41">
        <v>2024</v>
      </c>
      <c r="F6" s="5">
        <v>46304</v>
      </c>
      <c r="G6" s="5">
        <v>46304</v>
      </c>
      <c r="H6" s="5">
        <v>46304</v>
      </c>
      <c r="I6" s="72"/>
      <c r="J6" s="72"/>
      <c r="K6" s="73"/>
      <c r="L6" s="1">
        <f t="shared" si="0"/>
        <v>4</v>
      </c>
      <c r="M6" s="1">
        <f t="shared" si="1"/>
        <v>4</v>
      </c>
      <c r="N6" s="1">
        <f t="shared" si="2"/>
        <v>4</v>
      </c>
      <c r="O6" s="72"/>
      <c r="P6" s="72"/>
      <c r="Q6" s="47" t="s">
        <v>76</v>
      </c>
      <c r="R6" s="62" t="s">
        <v>27</v>
      </c>
      <c r="S6" s="71"/>
      <c r="T6" s="66" t="s">
        <v>75</v>
      </c>
    </row>
    <row r="7" spans="1:22" s="15" customFormat="1" ht="13.15" customHeight="1" x14ac:dyDescent="0.2">
      <c r="A7" s="75">
        <v>3</v>
      </c>
      <c r="B7" s="63" t="s">
        <v>44</v>
      </c>
      <c r="C7" s="48" t="s">
        <v>21</v>
      </c>
      <c r="D7" s="48" t="s">
        <v>78</v>
      </c>
      <c r="E7" s="41">
        <v>2017</v>
      </c>
      <c r="F7" s="5">
        <v>46306</v>
      </c>
      <c r="G7" s="5">
        <v>46306</v>
      </c>
      <c r="H7" s="5">
        <v>46306</v>
      </c>
      <c r="I7" s="72"/>
      <c r="J7" s="72"/>
      <c r="K7" s="73"/>
      <c r="L7" s="1">
        <f t="shared" si="0"/>
        <v>2</v>
      </c>
      <c r="M7" s="1">
        <f t="shared" si="1"/>
        <v>2</v>
      </c>
      <c r="N7" s="1">
        <f t="shared" si="2"/>
        <v>2</v>
      </c>
      <c r="O7" s="72"/>
      <c r="P7" s="72"/>
      <c r="Q7" s="74" t="s">
        <v>79</v>
      </c>
      <c r="R7" s="79" t="s">
        <v>33</v>
      </c>
      <c r="S7" s="71"/>
      <c r="T7" s="66"/>
    </row>
    <row r="8" spans="1:22" s="15" customFormat="1" ht="13.15" customHeight="1" x14ac:dyDescent="0.2">
      <c r="A8" s="16">
        <v>4</v>
      </c>
      <c r="B8" s="62" t="s">
        <v>30</v>
      </c>
      <c r="C8" s="49" t="s">
        <v>21</v>
      </c>
      <c r="D8" s="49" t="s">
        <v>40</v>
      </c>
      <c r="E8" s="44">
        <v>2019</v>
      </c>
      <c r="F8" s="38">
        <v>46308</v>
      </c>
      <c r="G8" s="38">
        <v>46308</v>
      </c>
      <c r="H8" s="38">
        <v>46308</v>
      </c>
      <c r="I8" s="70"/>
      <c r="J8" s="70"/>
      <c r="K8" s="77"/>
      <c r="L8" s="39">
        <f t="shared" ref="L8" si="3">$F$1-F8</f>
        <v>0</v>
      </c>
      <c r="M8" s="39">
        <f t="shared" ref="M8" si="4">$F$1-G8</f>
        <v>0</v>
      </c>
      <c r="N8" s="39">
        <f t="shared" ref="N8" si="5">$F$1-H8</f>
        <v>0</v>
      </c>
      <c r="O8" s="70"/>
      <c r="P8" s="70"/>
      <c r="Q8" s="68" t="s">
        <v>84</v>
      </c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2"/>
      <c r="C9" s="49"/>
      <c r="D9" s="49"/>
      <c r="E9" s="44"/>
      <c r="F9" s="38"/>
      <c r="G9" s="38"/>
      <c r="H9" s="38"/>
      <c r="I9" s="70"/>
      <c r="J9" s="70"/>
      <c r="K9" s="77"/>
      <c r="L9" s="39"/>
      <c r="M9" s="39"/>
      <c r="N9" s="39"/>
      <c r="O9" s="70"/>
      <c r="P9" s="70"/>
      <c r="Q9" s="68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6">$F$1-F19</f>
        <v>13</v>
      </c>
      <c r="M19" s="1">
        <f t="shared" si="6"/>
        <v>13</v>
      </c>
      <c r="N19" s="1">
        <f t="shared" si="6"/>
        <v>13</v>
      </c>
      <c r="O19" s="1"/>
      <c r="P19" s="1"/>
      <c r="Q19" s="18" t="s">
        <v>67</v>
      </c>
      <c r="R19" s="53"/>
      <c r="S19" s="53"/>
      <c r="T19" s="1"/>
    </row>
  </sheetData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5E1C-5B12-4603-BFFA-7E67F506F775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46309</v>
      </c>
      <c r="G1" s="5">
        <v>46309</v>
      </c>
      <c r="H1" s="5">
        <v>46309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204" t="s">
        <v>0</v>
      </c>
      <c r="B2" s="206" t="s">
        <v>1</v>
      </c>
      <c r="C2" s="204" t="s">
        <v>2</v>
      </c>
      <c r="D2" s="204" t="s">
        <v>3</v>
      </c>
      <c r="E2" s="204" t="s">
        <v>4</v>
      </c>
      <c r="F2" s="202" t="s">
        <v>5</v>
      </c>
      <c r="G2" s="202" t="s">
        <v>6</v>
      </c>
      <c r="H2" s="202" t="s">
        <v>7</v>
      </c>
      <c r="I2" s="202" t="s">
        <v>8</v>
      </c>
      <c r="J2" s="210" t="s">
        <v>9</v>
      </c>
      <c r="K2" s="212" t="s">
        <v>36</v>
      </c>
      <c r="L2" s="214" t="s">
        <v>10</v>
      </c>
      <c r="M2" s="215"/>
      <c r="N2" s="215"/>
      <c r="O2" s="215"/>
      <c r="P2" s="216"/>
      <c r="Q2" s="204" t="s">
        <v>11</v>
      </c>
      <c r="R2" s="204" t="s">
        <v>12</v>
      </c>
      <c r="S2" s="208" t="s">
        <v>13</v>
      </c>
      <c r="T2" s="208" t="s">
        <v>14</v>
      </c>
    </row>
    <row r="3" spans="1:22" s="8" customFormat="1" ht="27" customHeight="1" x14ac:dyDescent="0.2">
      <c r="A3" s="205"/>
      <c r="B3" s="207"/>
      <c r="C3" s="205"/>
      <c r="D3" s="205"/>
      <c r="E3" s="205"/>
      <c r="F3" s="203"/>
      <c r="G3" s="203"/>
      <c r="H3" s="203"/>
      <c r="I3" s="203"/>
      <c r="J3" s="211"/>
      <c r="K3" s="21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205"/>
      <c r="R3" s="205"/>
      <c r="S3" s="209"/>
      <c r="T3" s="20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63" t="s">
        <v>73</v>
      </c>
      <c r="C5" s="48" t="s">
        <v>34</v>
      </c>
      <c r="D5" s="48" t="s">
        <v>22</v>
      </c>
      <c r="E5" s="41">
        <v>2024</v>
      </c>
      <c r="F5" s="5">
        <v>46303</v>
      </c>
      <c r="G5" s="5">
        <v>46303</v>
      </c>
      <c r="H5" s="5">
        <v>46303</v>
      </c>
      <c r="I5" s="72"/>
      <c r="J5" s="72"/>
      <c r="K5" s="73"/>
      <c r="L5" s="1">
        <f t="shared" ref="L5:N5" si="0">$F$1-F5</f>
        <v>6</v>
      </c>
      <c r="M5" s="1">
        <f t="shared" si="0"/>
        <v>6</v>
      </c>
      <c r="N5" s="1">
        <f t="shared" si="0"/>
        <v>6</v>
      </c>
      <c r="O5" s="72"/>
      <c r="P5" s="72"/>
      <c r="Q5" s="47" t="s">
        <v>74</v>
      </c>
      <c r="R5" s="63" t="s">
        <v>31</v>
      </c>
      <c r="S5" s="66"/>
      <c r="T5" s="71" t="s">
        <v>28</v>
      </c>
    </row>
    <row r="6" spans="1:22" s="15" customFormat="1" ht="13.15" customHeight="1" x14ac:dyDescent="0.2">
      <c r="A6" s="16">
        <v>2</v>
      </c>
      <c r="B6" s="63" t="s">
        <v>44</v>
      </c>
      <c r="C6" s="48" t="s">
        <v>21</v>
      </c>
      <c r="D6" s="48" t="s">
        <v>78</v>
      </c>
      <c r="E6" s="41">
        <v>2017</v>
      </c>
      <c r="F6" s="5">
        <v>46306</v>
      </c>
      <c r="G6" s="5">
        <v>46306</v>
      </c>
      <c r="H6" s="5">
        <v>46306</v>
      </c>
      <c r="I6" s="72"/>
      <c r="J6" s="72"/>
      <c r="K6" s="73"/>
      <c r="L6" s="1">
        <f t="shared" ref="L6:L7" si="1">$F$1-F6</f>
        <v>3</v>
      </c>
      <c r="M6" s="1">
        <f t="shared" ref="M6:M7" si="2">$F$1-G6</f>
        <v>3</v>
      </c>
      <c r="N6" s="1">
        <f t="shared" ref="N6:N7" si="3">$F$1-H6</f>
        <v>3</v>
      </c>
      <c r="O6" s="72"/>
      <c r="P6" s="72"/>
      <c r="Q6" s="74" t="s">
        <v>79</v>
      </c>
      <c r="R6" s="62"/>
      <c r="S6" s="71"/>
      <c r="T6" s="66" t="s">
        <v>75</v>
      </c>
    </row>
    <row r="7" spans="1:22" s="15" customFormat="1" ht="13.15" customHeight="1" x14ac:dyDescent="0.2">
      <c r="A7" s="75">
        <v>3</v>
      </c>
      <c r="B7" s="62" t="s">
        <v>30</v>
      </c>
      <c r="C7" s="49" t="s">
        <v>21</v>
      </c>
      <c r="D7" s="49" t="s">
        <v>40</v>
      </c>
      <c r="E7" s="44">
        <v>2019</v>
      </c>
      <c r="F7" s="38">
        <v>46308</v>
      </c>
      <c r="G7" s="38">
        <v>46308</v>
      </c>
      <c r="H7" s="38">
        <v>46308</v>
      </c>
      <c r="I7" s="70"/>
      <c r="J7" s="70"/>
      <c r="K7" s="77"/>
      <c r="L7" s="39">
        <f t="shared" si="1"/>
        <v>1</v>
      </c>
      <c r="M7" s="39">
        <f t="shared" si="2"/>
        <v>1</v>
      </c>
      <c r="N7" s="39">
        <f t="shared" si="3"/>
        <v>1</v>
      </c>
      <c r="O7" s="70"/>
      <c r="P7" s="70"/>
      <c r="Q7" s="68" t="s">
        <v>84</v>
      </c>
      <c r="R7" s="79"/>
      <c r="S7" s="71"/>
      <c r="T7" s="66"/>
    </row>
    <row r="8" spans="1:22" s="15" customFormat="1" ht="13.15" customHeight="1" x14ac:dyDescent="0.2">
      <c r="A8" s="16"/>
      <c r="B8" s="62"/>
      <c r="C8" s="49"/>
      <c r="D8" s="49"/>
      <c r="E8" s="44"/>
      <c r="F8" s="38"/>
      <c r="G8" s="38"/>
      <c r="H8" s="38"/>
      <c r="I8" s="70"/>
      <c r="J8" s="70"/>
      <c r="K8" s="77"/>
      <c r="L8" s="39"/>
      <c r="M8" s="39"/>
      <c r="N8" s="39"/>
      <c r="O8" s="70"/>
      <c r="P8" s="70"/>
      <c r="Q8" s="68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2"/>
      <c r="C9" s="49"/>
      <c r="D9" s="49"/>
      <c r="E9" s="44"/>
      <c r="F9" s="38"/>
      <c r="G9" s="38"/>
      <c r="H9" s="38"/>
      <c r="I9" s="70"/>
      <c r="J9" s="70"/>
      <c r="K9" s="77"/>
      <c r="L9" s="39"/>
      <c r="M9" s="39"/>
      <c r="N9" s="39"/>
      <c r="O9" s="70"/>
      <c r="P9" s="70"/>
      <c r="Q9" s="68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4">$F$1-F19</f>
        <v>14</v>
      </c>
      <c r="M19" s="1">
        <f t="shared" si="4"/>
        <v>14</v>
      </c>
      <c r="N19" s="1">
        <f t="shared" si="4"/>
        <v>14</v>
      </c>
      <c r="O19" s="1"/>
      <c r="P19" s="1"/>
      <c r="Q19" s="18" t="s">
        <v>67</v>
      </c>
      <c r="R19" s="53"/>
      <c r="S19" s="53"/>
      <c r="T19" s="1"/>
    </row>
  </sheetData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AAB5-9593-48BF-88FE-1B219411D589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46310</v>
      </c>
      <c r="G1" s="5">
        <v>46310</v>
      </c>
      <c r="H1" s="5">
        <v>46310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219" t="s">
        <v>0</v>
      </c>
      <c r="B2" s="221" t="s">
        <v>1</v>
      </c>
      <c r="C2" s="219" t="s">
        <v>2</v>
      </c>
      <c r="D2" s="219" t="s">
        <v>3</v>
      </c>
      <c r="E2" s="219" t="s">
        <v>4</v>
      </c>
      <c r="F2" s="217" t="s">
        <v>5</v>
      </c>
      <c r="G2" s="217" t="s">
        <v>6</v>
      </c>
      <c r="H2" s="217" t="s">
        <v>7</v>
      </c>
      <c r="I2" s="217" t="s">
        <v>8</v>
      </c>
      <c r="J2" s="225" t="s">
        <v>9</v>
      </c>
      <c r="K2" s="227" t="s">
        <v>36</v>
      </c>
      <c r="L2" s="229" t="s">
        <v>10</v>
      </c>
      <c r="M2" s="230"/>
      <c r="N2" s="230"/>
      <c r="O2" s="230"/>
      <c r="P2" s="231"/>
      <c r="Q2" s="219" t="s">
        <v>11</v>
      </c>
      <c r="R2" s="219" t="s">
        <v>12</v>
      </c>
      <c r="S2" s="223" t="s">
        <v>13</v>
      </c>
      <c r="T2" s="223" t="s">
        <v>14</v>
      </c>
    </row>
    <row r="3" spans="1:22" s="8" customFormat="1" ht="27" customHeight="1" x14ac:dyDescent="0.2">
      <c r="A3" s="220"/>
      <c r="B3" s="222"/>
      <c r="C3" s="220"/>
      <c r="D3" s="220"/>
      <c r="E3" s="220"/>
      <c r="F3" s="218"/>
      <c r="G3" s="218"/>
      <c r="H3" s="218"/>
      <c r="I3" s="218"/>
      <c r="J3" s="226"/>
      <c r="K3" s="228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220"/>
      <c r="R3" s="220"/>
      <c r="S3" s="224"/>
      <c r="T3" s="224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63" t="s">
        <v>73</v>
      </c>
      <c r="C5" s="48" t="s">
        <v>34</v>
      </c>
      <c r="D5" s="48" t="s">
        <v>22</v>
      </c>
      <c r="E5" s="41">
        <v>2024</v>
      </c>
      <c r="F5" s="5">
        <v>46303</v>
      </c>
      <c r="G5" s="5">
        <v>46303</v>
      </c>
      <c r="H5" s="5">
        <v>46303</v>
      </c>
      <c r="I5" s="72"/>
      <c r="J5" s="72"/>
      <c r="K5" s="73"/>
      <c r="L5" s="1">
        <f t="shared" ref="L5:N7" si="0">$F$1-F5</f>
        <v>7</v>
      </c>
      <c r="M5" s="1">
        <f t="shared" si="0"/>
        <v>7</v>
      </c>
      <c r="N5" s="1">
        <f t="shared" si="0"/>
        <v>7</v>
      </c>
      <c r="O5" s="72"/>
      <c r="P5" s="72"/>
      <c r="Q5" s="47" t="s">
        <v>74</v>
      </c>
      <c r="R5" s="63"/>
      <c r="S5" s="66" t="s">
        <v>75</v>
      </c>
      <c r="T5" s="71" t="s">
        <v>28</v>
      </c>
    </row>
    <row r="6" spans="1:22" s="15" customFormat="1" ht="13.15" customHeight="1" x14ac:dyDescent="0.2">
      <c r="A6" s="16">
        <v>2</v>
      </c>
      <c r="B6" s="63" t="s">
        <v>44</v>
      </c>
      <c r="C6" s="48" t="s">
        <v>21</v>
      </c>
      <c r="D6" s="48" t="s">
        <v>78</v>
      </c>
      <c r="E6" s="41">
        <v>2017</v>
      </c>
      <c r="F6" s="5">
        <v>46306</v>
      </c>
      <c r="G6" s="5">
        <v>46306</v>
      </c>
      <c r="H6" s="5">
        <v>46306</v>
      </c>
      <c r="I6" s="72"/>
      <c r="J6" s="72"/>
      <c r="K6" s="73"/>
      <c r="L6" s="1">
        <f t="shared" si="0"/>
        <v>4</v>
      </c>
      <c r="M6" s="1">
        <f t="shared" si="0"/>
        <v>4</v>
      </c>
      <c r="N6" s="1">
        <f t="shared" si="0"/>
        <v>4</v>
      </c>
      <c r="O6" s="72"/>
      <c r="P6" s="72"/>
      <c r="Q6" s="74" t="s">
        <v>79</v>
      </c>
      <c r="R6" s="62"/>
      <c r="S6" s="71"/>
      <c r="T6" s="66" t="s">
        <v>27</v>
      </c>
    </row>
    <row r="7" spans="1:22" s="15" customFormat="1" ht="13.15" customHeight="1" x14ac:dyDescent="0.2">
      <c r="A7" s="75">
        <v>3</v>
      </c>
      <c r="B7" s="63" t="s">
        <v>30</v>
      </c>
      <c r="C7" s="48" t="s">
        <v>21</v>
      </c>
      <c r="D7" s="48" t="s">
        <v>40</v>
      </c>
      <c r="E7" s="41">
        <v>2019</v>
      </c>
      <c r="F7" s="5">
        <v>46308</v>
      </c>
      <c r="G7" s="5">
        <v>46308</v>
      </c>
      <c r="H7" s="5">
        <v>46308</v>
      </c>
      <c r="I7" s="72"/>
      <c r="J7" s="72"/>
      <c r="K7" s="73"/>
      <c r="L7" s="1">
        <f t="shared" si="0"/>
        <v>2</v>
      </c>
      <c r="M7" s="1">
        <f t="shared" si="0"/>
        <v>2</v>
      </c>
      <c r="N7" s="1">
        <f t="shared" si="0"/>
        <v>2</v>
      </c>
      <c r="O7" s="72"/>
      <c r="P7" s="72"/>
      <c r="Q7" s="74" t="s">
        <v>84</v>
      </c>
      <c r="R7" s="79"/>
      <c r="S7" s="71"/>
      <c r="T7" s="66"/>
    </row>
    <row r="8" spans="1:22" s="15" customFormat="1" ht="13.15" customHeight="1" x14ac:dyDescent="0.2">
      <c r="A8" s="16"/>
      <c r="B8" s="62"/>
      <c r="C8" s="49"/>
      <c r="D8" s="49"/>
      <c r="E8" s="44"/>
      <c r="F8" s="38"/>
      <c r="G8" s="38"/>
      <c r="H8" s="38"/>
      <c r="I8" s="70"/>
      <c r="J8" s="70"/>
      <c r="K8" s="77"/>
      <c r="L8" s="39"/>
      <c r="M8" s="39"/>
      <c r="N8" s="39"/>
      <c r="O8" s="70"/>
      <c r="P8" s="70"/>
      <c r="Q8" s="68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2"/>
      <c r="C9" s="49"/>
      <c r="D9" s="49"/>
      <c r="E9" s="44"/>
      <c r="F9" s="38"/>
      <c r="G9" s="38"/>
      <c r="H9" s="38"/>
      <c r="I9" s="70"/>
      <c r="J9" s="70"/>
      <c r="K9" s="77"/>
      <c r="L9" s="39"/>
      <c r="M9" s="39"/>
      <c r="N9" s="39"/>
      <c r="O9" s="70"/>
      <c r="P9" s="70"/>
      <c r="Q9" s="68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1">$F$1-F19</f>
        <v>15</v>
      </c>
      <c r="M19" s="1">
        <f t="shared" si="1"/>
        <v>15</v>
      </c>
      <c r="N19" s="1">
        <f t="shared" si="1"/>
        <v>15</v>
      </c>
      <c r="O19" s="1"/>
      <c r="P19" s="1"/>
      <c r="Q19" s="18" t="s">
        <v>67</v>
      </c>
      <c r="R19" s="53"/>
      <c r="S19" s="53"/>
      <c r="T19" s="1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CB7A-37E9-4A56-B3D7-6745936693DC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46311</v>
      </c>
      <c r="G1" s="5">
        <v>46311</v>
      </c>
      <c r="H1" s="5">
        <v>46311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232" t="s">
        <v>0</v>
      </c>
      <c r="B2" s="245" t="s">
        <v>1</v>
      </c>
      <c r="C2" s="232" t="s">
        <v>2</v>
      </c>
      <c r="D2" s="232" t="s">
        <v>3</v>
      </c>
      <c r="E2" s="232" t="s">
        <v>4</v>
      </c>
      <c r="F2" s="236" t="s">
        <v>5</v>
      </c>
      <c r="G2" s="236" t="s">
        <v>6</v>
      </c>
      <c r="H2" s="236" t="s">
        <v>7</v>
      </c>
      <c r="I2" s="236" t="s">
        <v>8</v>
      </c>
      <c r="J2" s="238" t="s">
        <v>9</v>
      </c>
      <c r="K2" s="240" t="s">
        <v>36</v>
      </c>
      <c r="L2" s="242" t="s">
        <v>10</v>
      </c>
      <c r="M2" s="243"/>
      <c r="N2" s="243"/>
      <c r="O2" s="243"/>
      <c r="P2" s="244"/>
      <c r="Q2" s="232" t="s">
        <v>11</v>
      </c>
      <c r="R2" s="232" t="s">
        <v>12</v>
      </c>
      <c r="S2" s="234" t="s">
        <v>13</v>
      </c>
      <c r="T2" s="234" t="s">
        <v>14</v>
      </c>
    </row>
    <row r="3" spans="1:22" s="8" customFormat="1" ht="27" customHeight="1" x14ac:dyDescent="0.2">
      <c r="A3" s="233"/>
      <c r="B3" s="246"/>
      <c r="C3" s="233"/>
      <c r="D3" s="233"/>
      <c r="E3" s="233"/>
      <c r="F3" s="237"/>
      <c r="G3" s="237"/>
      <c r="H3" s="237"/>
      <c r="I3" s="237"/>
      <c r="J3" s="239"/>
      <c r="K3" s="241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233"/>
      <c r="R3" s="233"/>
      <c r="S3" s="235"/>
      <c r="T3" s="235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63" t="s">
        <v>73</v>
      </c>
      <c r="C5" s="48" t="s">
        <v>34</v>
      </c>
      <c r="D5" s="48" t="s">
        <v>22</v>
      </c>
      <c r="E5" s="41">
        <v>2024</v>
      </c>
      <c r="F5" s="5">
        <v>46303</v>
      </c>
      <c r="G5" s="5">
        <v>46303</v>
      </c>
      <c r="H5" s="5">
        <v>46303</v>
      </c>
      <c r="I5" s="72"/>
      <c r="J5" s="72"/>
      <c r="K5" s="73"/>
      <c r="L5" s="1">
        <f t="shared" ref="L5:N7" si="0">$F$1-F5</f>
        <v>8</v>
      </c>
      <c r="M5" s="1">
        <f t="shared" si="0"/>
        <v>8</v>
      </c>
      <c r="N5" s="1">
        <f t="shared" si="0"/>
        <v>8</v>
      </c>
      <c r="O5" s="72"/>
      <c r="P5" s="72"/>
      <c r="Q5" s="47" t="s">
        <v>74</v>
      </c>
      <c r="R5" s="63"/>
      <c r="S5" s="66"/>
      <c r="T5" s="71" t="s">
        <v>28</v>
      </c>
    </row>
    <row r="6" spans="1:22" s="15" customFormat="1" ht="13.15" customHeight="1" x14ac:dyDescent="0.2">
      <c r="A6" s="16">
        <v>2</v>
      </c>
      <c r="B6" s="63" t="s">
        <v>44</v>
      </c>
      <c r="C6" s="48" t="s">
        <v>21</v>
      </c>
      <c r="D6" s="48" t="s">
        <v>78</v>
      </c>
      <c r="E6" s="41">
        <v>2017</v>
      </c>
      <c r="F6" s="5">
        <v>46306</v>
      </c>
      <c r="G6" s="5">
        <v>46306</v>
      </c>
      <c r="H6" s="5">
        <v>46306</v>
      </c>
      <c r="I6" s="72"/>
      <c r="J6" s="72"/>
      <c r="K6" s="73"/>
      <c r="L6" s="1">
        <f t="shared" si="0"/>
        <v>5</v>
      </c>
      <c r="M6" s="1">
        <f t="shared" si="0"/>
        <v>5</v>
      </c>
      <c r="N6" s="1">
        <f t="shared" si="0"/>
        <v>5</v>
      </c>
      <c r="O6" s="72"/>
      <c r="P6" s="72"/>
      <c r="Q6" s="74" t="s">
        <v>79</v>
      </c>
      <c r="R6" s="62"/>
      <c r="S6" s="71"/>
      <c r="T6" s="66" t="s">
        <v>27</v>
      </c>
    </row>
    <row r="7" spans="1:22" s="15" customFormat="1" ht="13.15" customHeight="1" x14ac:dyDescent="0.2">
      <c r="A7" s="75">
        <v>3</v>
      </c>
      <c r="B7" s="63" t="s">
        <v>30</v>
      </c>
      <c r="C7" s="48" t="s">
        <v>21</v>
      </c>
      <c r="D7" s="48" t="s">
        <v>40</v>
      </c>
      <c r="E7" s="41">
        <v>2019</v>
      </c>
      <c r="F7" s="5">
        <v>46308</v>
      </c>
      <c r="G7" s="5">
        <v>46308</v>
      </c>
      <c r="H7" s="5">
        <v>46308</v>
      </c>
      <c r="I7" s="72"/>
      <c r="J7" s="72"/>
      <c r="K7" s="73"/>
      <c r="L7" s="1">
        <f t="shared" si="0"/>
        <v>3</v>
      </c>
      <c r="M7" s="1">
        <f t="shared" si="0"/>
        <v>3</v>
      </c>
      <c r="N7" s="1">
        <f t="shared" si="0"/>
        <v>3</v>
      </c>
      <c r="O7" s="72"/>
      <c r="P7" s="72"/>
      <c r="Q7" s="74" t="s">
        <v>84</v>
      </c>
      <c r="R7" s="79"/>
      <c r="S7" s="71"/>
      <c r="T7" s="66" t="s">
        <v>54</v>
      </c>
    </row>
    <row r="8" spans="1:22" s="15" customFormat="1" ht="13.15" customHeight="1" x14ac:dyDescent="0.2">
      <c r="A8" s="16"/>
      <c r="B8" s="62"/>
      <c r="C8" s="49"/>
      <c r="D8" s="49"/>
      <c r="E8" s="44"/>
      <c r="F8" s="38"/>
      <c r="G8" s="38"/>
      <c r="H8" s="38"/>
      <c r="I8" s="70"/>
      <c r="J8" s="70"/>
      <c r="K8" s="77"/>
      <c r="L8" s="39"/>
      <c r="M8" s="39"/>
      <c r="N8" s="39"/>
      <c r="O8" s="70"/>
      <c r="P8" s="70"/>
      <c r="Q8" s="68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2"/>
      <c r="C9" s="49"/>
      <c r="D9" s="49"/>
      <c r="E9" s="44"/>
      <c r="F9" s="38"/>
      <c r="G9" s="38"/>
      <c r="H9" s="38"/>
      <c r="I9" s="70"/>
      <c r="J9" s="70"/>
      <c r="K9" s="77"/>
      <c r="L9" s="39"/>
      <c r="M9" s="39"/>
      <c r="N9" s="39"/>
      <c r="O9" s="70"/>
      <c r="P9" s="70"/>
      <c r="Q9" s="68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1">$F$1-F19</f>
        <v>16</v>
      </c>
      <c r="M19" s="1">
        <f t="shared" si="1"/>
        <v>16</v>
      </c>
      <c r="N19" s="1">
        <f t="shared" si="1"/>
        <v>16</v>
      </c>
      <c r="O19" s="1"/>
      <c r="P19" s="1"/>
      <c r="Q19" s="18" t="s">
        <v>67</v>
      </c>
      <c r="R19" s="53"/>
      <c r="S19" s="53"/>
      <c r="T19" s="1"/>
    </row>
  </sheetData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8319C-CC12-45E8-9FA7-237D2A221CAA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46312</v>
      </c>
      <c r="G1" s="5">
        <v>46312</v>
      </c>
      <c r="H1" s="5">
        <v>46312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247" t="s">
        <v>0</v>
      </c>
      <c r="B2" s="260" t="s">
        <v>1</v>
      </c>
      <c r="C2" s="247" t="s">
        <v>2</v>
      </c>
      <c r="D2" s="247" t="s">
        <v>3</v>
      </c>
      <c r="E2" s="247" t="s">
        <v>4</v>
      </c>
      <c r="F2" s="251" t="s">
        <v>5</v>
      </c>
      <c r="G2" s="251" t="s">
        <v>6</v>
      </c>
      <c r="H2" s="251" t="s">
        <v>7</v>
      </c>
      <c r="I2" s="251" t="s">
        <v>8</v>
      </c>
      <c r="J2" s="253" t="s">
        <v>9</v>
      </c>
      <c r="K2" s="255" t="s">
        <v>36</v>
      </c>
      <c r="L2" s="257" t="s">
        <v>10</v>
      </c>
      <c r="M2" s="258"/>
      <c r="N2" s="258"/>
      <c r="O2" s="258"/>
      <c r="P2" s="259"/>
      <c r="Q2" s="247" t="s">
        <v>11</v>
      </c>
      <c r="R2" s="247" t="s">
        <v>12</v>
      </c>
      <c r="S2" s="249" t="s">
        <v>13</v>
      </c>
      <c r="T2" s="249" t="s">
        <v>14</v>
      </c>
    </row>
    <row r="3" spans="1:22" s="8" customFormat="1" ht="27" customHeight="1" x14ac:dyDescent="0.2">
      <c r="A3" s="248"/>
      <c r="B3" s="261"/>
      <c r="C3" s="248"/>
      <c r="D3" s="248"/>
      <c r="E3" s="248"/>
      <c r="F3" s="252"/>
      <c r="G3" s="252"/>
      <c r="H3" s="252"/>
      <c r="I3" s="252"/>
      <c r="J3" s="254"/>
      <c r="K3" s="256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248"/>
      <c r="R3" s="248"/>
      <c r="S3" s="250"/>
      <c r="T3" s="250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63" t="s">
        <v>73</v>
      </c>
      <c r="C5" s="48" t="s">
        <v>34</v>
      </c>
      <c r="D5" s="48" t="s">
        <v>22</v>
      </c>
      <c r="E5" s="41">
        <v>2024</v>
      </c>
      <c r="F5" s="5">
        <v>46303</v>
      </c>
      <c r="G5" s="5">
        <v>46303</v>
      </c>
      <c r="H5" s="5">
        <v>46303</v>
      </c>
      <c r="I5" s="72"/>
      <c r="J5" s="72"/>
      <c r="K5" s="73"/>
      <c r="L5" s="1">
        <f t="shared" ref="L5:N7" si="0">$F$1-F5</f>
        <v>9</v>
      </c>
      <c r="M5" s="1">
        <f t="shared" si="0"/>
        <v>9</v>
      </c>
      <c r="N5" s="1">
        <f t="shared" si="0"/>
        <v>9</v>
      </c>
      <c r="O5" s="72"/>
      <c r="P5" s="72"/>
      <c r="Q5" s="47" t="s">
        <v>74</v>
      </c>
      <c r="R5" s="63"/>
      <c r="S5" s="66"/>
      <c r="T5" s="71" t="s">
        <v>28</v>
      </c>
    </row>
    <row r="6" spans="1:22" s="15" customFormat="1" ht="13.15" customHeight="1" x14ac:dyDescent="0.2">
      <c r="A6" s="16">
        <v>2</v>
      </c>
      <c r="B6" s="63" t="s">
        <v>44</v>
      </c>
      <c r="C6" s="48" t="s">
        <v>21</v>
      </c>
      <c r="D6" s="48" t="s">
        <v>78</v>
      </c>
      <c r="E6" s="41">
        <v>2017</v>
      </c>
      <c r="F6" s="5">
        <v>46306</v>
      </c>
      <c r="G6" s="5">
        <v>46306</v>
      </c>
      <c r="H6" s="5">
        <v>46306</v>
      </c>
      <c r="I6" s="72"/>
      <c r="J6" s="72"/>
      <c r="K6" s="73"/>
      <c r="L6" s="1">
        <f t="shared" si="0"/>
        <v>6</v>
      </c>
      <c r="M6" s="1">
        <f t="shared" si="0"/>
        <v>6</v>
      </c>
      <c r="N6" s="1">
        <f t="shared" si="0"/>
        <v>6</v>
      </c>
      <c r="O6" s="72"/>
      <c r="P6" s="72"/>
      <c r="Q6" s="74" t="s">
        <v>79</v>
      </c>
      <c r="R6" s="62"/>
      <c r="S6" s="71"/>
      <c r="T6" s="71" t="s">
        <v>27</v>
      </c>
    </row>
    <row r="7" spans="1:22" s="15" customFormat="1" ht="13.15" customHeight="1" x14ac:dyDescent="0.2">
      <c r="A7" s="75">
        <v>3</v>
      </c>
      <c r="B7" s="63" t="s">
        <v>30</v>
      </c>
      <c r="C7" s="48" t="s">
        <v>21</v>
      </c>
      <c r="D7" s="48" t="s">
        <v>40</v>
      </c>
      <c r="E7" s="41">
        <v>2019</v>
      </c>
      <c r="F7" s="5">
        <v>46308</v>
      </c>
      <c r="G7" s="5">
        <v>46308</v>
      </c>
      <c r="H7" s="5">
        <v>46308</v>
      </c>
      <c r="I7" s="72"/>
      <c r="J7" s="72"/>
      <c r="K7" s="73"/>
      <c r="L7" s="1">
        <f t="shared" si="0"/>
        <v>4</v>
      </c>
      <c r="M7" s="1">
        <f t="shared" si="0"/>
        <v>4</v>
      </c>
      <c r="N7" s="1">
        <f t="shared" si="0"/>
        <v>4</v>
      </c>
      <c r="O7" s="72"/>
      <c r="P7" s="72"/>
      <c r="Q7" s="74" t="s">
        <v>84</v>
      </c>
      <c r="R7" s="79"/>
      <c r="S7" s="71"/>
      <c r="T7" s="71" t="s">
        <v>54</v>
      </c>
    </row>
    <row r="8" spans="1:22" s="15" customFormat="1" ht="13.15" customHeight="1" x14ac:dyDescent="0.2">
      <c r="A8" s="16"/>
      <c r="B8" s="62"/>
      <c r="C8" s="49"/>
      <c r="D8" s="49"/>
      <c r="E8" s="44"/>
      <c r="F8" s="38"/>
      <c r="G8" s="38"/>
      <c r="H8" s="38"/>
      <c r="I8" s="70"/>
      <c r="J8" s="70"/>
      <c r="K8" s="77"/>
      <c r="L8" s="39"/>
      <c r="M8" s="39"/>
      <c r="N8" s="39"/>
      <c r="O8" s="70"/>
      <c r="P8" s="70"/>
      <c r="Q8" s="68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2"/>
      <c r="C9" s="49"/>
      <c r="D9" s="49"/>
      <c r="E9" s="44"/>
      <c r="F9" s="38"/>
      <c r="G9" s="38"/>
      <c r="H9" s="38"/>
      <c r="I9" s="70"/>
      <c r="J9" s="70"/>
      <c r="K9" s="77"/>
      <c r="L9" s="39"/>
      <c r="M9" s="39"/>
      <c r="N9" s="39"/>
      <c r="O9" s="70"/>
      <c r="P9" s="70"/>
      <c r="Q9" s="68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1">$F$1-F19</f>
        <v>17</v>
      </c>
      <c r="M19" s="1">
        <f t="shared" si="1"/>
        <v>17</v>
      </c>
      <c r="N19" s="1">
        <f t="shared" si="1"/>
        <v>17</v>
      </c>
      <c r="O19" s="1"/>
      <c r="P19" s="1"/>
      <c r="Q19" s="18" t="s">
        <v>67</v>
      </c>
      <c r="R19" s="53"/>
      <c r="S19" s="53"/>
      <c r="T19" s="1"/>
    </row>
  </sheetData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4932-F6C0-40C8-978F-3AFDDFC85696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46313</v>
      </c>
      <c r="G1" s="5">
        <v>46313</v>
      </c>
      <c r="H1" s="5">
        <v>46313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264" t="s">
        <v>0</v>
      </c>
      <c r="B2" s="266" t="s">
        <v>1</v>
      </c>
      <c r="C2" s="264" t="s">
        <v>2</v>
      </c>
      <c r="D2" s="264" t="s">
        <v>3</v>
      </c>
      <c r="E2" s="264" t="s">
        <v>4</v>
      </c>
      <c r="F2" s="262" t="s">
        <v>5</v>
      </c>
      <c r="G2" s="262" t="s">
        <v>6</v>
      </c>
      <c r="H2" s="262" t="s">
        <v>7</v>
      </c>
      <c r="I2" s="262" t="s">
        <v>8</v>
      </c>
      <c r="J2" s="270" t="s">
        <v>9</v>
      </c>
      <c r="K2" s="272" t="s">
        <v>36</v>
      </c>
      <c r="L2" s="274" t="s">
        <v>10</v>
      </c>
      <c r="M2" s="275"/>
      <c r="N2" s="275"/>
      <c r="O2" s="275"/>
      <c r="P2" s="276"/>
      <c r="Q2" s="264" t="s">
        <v>11</v>
      </c>
      <c r="R2" s="264" t="s">
        <v>12</v>
      </c>
      <c r="S2" s="268" t="s">
        <v>13</v>
      </c>
      <c r="T2" s="268" t="s">
        <v>14</v>
      </c>
    </row>
    <row r="3" spans="1:22" s="8" customFormat="1" ht="27" customHeight="1" x14ac:dyDescent="0.2">
      <c r="A3" s="265"/>
      <c r="B3" s="267"/>
      <c r="C3" s="265"/>
      <c r="D3" s="265"/>
      <c r="E3" s="265"/>
      <c r="F3" s="263"/>
      <c r="G3" s="263"/>
      <c r="H3" s="263"/>
      <c r="I3" s="263"/>
      <c r="J3" s="271"/>
      <c r="K3" s="27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265"/>
      <c r="R3" s="265"/>
      <c r="S3" s="269"/>
      <c r="T3" s="26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63" t="s">
        <v>73</v>
      </c>
      <c r="C5" s="48" t="s">
        <v>34</v>
      </c>
      <c r="D5" s="48" t="s">
        <v>22</v>
      </c>
      <c r="E5" s="41">
        <v>2024</v>
      </c>
      <c r="F5" s="5">
        <v>46303</v>
      </c>
      <c r="G5" s="5">
        <v>46303</v>
      </c>
      <c r="H5" s="5">
        <v>46303</v>
      </c>
      <c r="I5" s="72"/>
      <c r="J5" s="72"/>
      <c r="K5" s="73"/>
      <c r="L5" s="1">
        <f t="shared" ref="L5:N7" si="0">$F$1-F5</f>
        <v>10</v>
      </c>
      <c r="M5" s="1">
        <f t="shared" si="0"/>
        <v>10</v>
      </c>
      <c r="N5" s="1">
        <f t="shared" si="0"/>
        <v>10</v>
      </c>
      <c r="O5" s="72"/>
      <c r="P5" s="72"/>
      <c r="Q5" s="47" t="s">
        <v>74</v>
      </c>
      <c r="R5" s="63"/>
      <c r="S5" s="66"/>
      <c r="T5" s="71" t="s">
        <v>28</v>
      </c>
    </row>
    <row r="6" spans="1:22" s="15" customFormat="1" ht="13.15" customHeight="1" x14ac:dyDescent="0.2">
      <c r="A6" s="16">
        <v>2</v>
      </c>
      <c r="B6" s="63" t="s">
        <v>44</v>
      </c>
      <c r="C6" s="48" t="s">
        <v>21</v>
      </c>
      <c r="D6" s="48" t="s">
        <v>78</v>
      </c>
      <c r="E6" s="41">
        <v>2017</v>
      </c>
      <c r="F6" s="5">
        <v>46306</v>
      </c>
      <c r="G6" s="5">
        <v>46306</v>
      </c>
      <c r="H6" s="5">
        <v>46306</v>
      </c>
      <c r="I6" s="72"/>
      <c r="J6" s="72"/>
      <c r="K6" s="73"/>
      <c r="L6" s="1">
        <f t="shared" si="0"/>
        <v>7</v>
      </c>
      <c r="M6" s="1">
        <f t="shared" si="0"/>
        <v>7</v>
      </c>
      <c r="N6" s="1">
        <f t="shared" si="0"/>
        <v>7</v>
      </c>
      <c r="O6" s="72"/>
      <c r="P6" s="72"/>
      <c r="Q6" s="74" t="s">
        <v>79</v>
      </c>
      <c r="R6" s="62"/>
      <c r="S6" s="71"/>
      <c r="T6" s="71"/>
    </row>
    <row r="7" spans="1:22" s="15" customFormat="1" ht="13.15" customHeight="1" x14ac:dyDescent="0.2">
      <c r="A7" s="75">
        <v>3</v>
      </c>
      <c r="B7" s="63" t="s">
        <v>30</v>
      </c>
      <c r="C7" s="48" t="s">
        <v>21</v>
      </c>
      <c r="D7" s="48" t="s">
        <v>40</v>
      </c>
      <c r="E7" s="41">
        <v>2019</v>
      </c>
      <c r="F7" s="5">
        <v>46308</v>
      </c>
      <c r="G7" s="5">
        <v>46308</v>
      </c>
      <c r="H7" s="5">
        <v>46308</v>
      </c>
      <c r="I7" s="72"/>
      <c r="J7" s="72"/>
      <c r="K7" s="73"/>
      <c r="L7" s="1">
        <f t="shared" si="0"/>
        <v>5</v>
      </c>
      <c r="M7" s="1">
        <f t="shared" si="0"/>
        <v>5</v>
      </c>
      <c r="N7" s="1">
        <f t="shared" si="0"/>
        <v>5</v>
      </c>
      <c r="O7" s="72"/>
      <c r="P7" s="72"/>
      <c r="Q7" s="74" t="s">
        <v>84</v>
      </c>
      <c r="R7" s="79"/>
      <c r="S7" s="71"/>
      <c r="T7" s="71"/>
    </row>
    <row r="8" spans="1:22" s="15" customFormat="1" ht="13.15" customHeight="1" x14ac:dyDescent="0.2">
      <c r="A8" s="16"/>
      <c r="B8" s="62"/>
      <c r="C8" s="49"/>
      <c r="D8" s="49"/>
      <c r="E8" s="44"/>
      <c r="F8" s="38"/>
      <c r="G8" s="38"/>
      <c r="H8" s="38"/>
      <c r="I8" s="70"/>
      <c r="J8" s="70"/>
      <c r="K8" s="77"/>
      <c r="L8" s="39"/>
      <c r="M8" s="39"/>
      <c r="N8" s="39"/>
      <c r="O8" s="70"/>
      <c r="P8" s="70"/>
      <c r="Q8" s="68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2"/>
      <c r="C9" s="49"/>
      <c r="D9" s="49"/>
      <c r="E9" s="44"/>
      <c r="F9" s="38"/>
      <c r="G9" s="38"/>
      <c r="H9" s="38"/>
      <c r="I9" s="70"/>
      <c r="J9" s="70"/>
      <c r="K9" s="77"/>
      <c r="L9" s="39"/>
      <c r="M9" s="39"/>
      <c r="N9" s="39"/>
      <c r="O9" s="70"/>
      <c r="P9" s="70"/>
      <c r="Q9" s="68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1">$F$1-F19</f>
        <v>18</v>
      </c>
      <c r="M19" s="1">
        <f t="shared" si="1"/>
        <v>18</v>
      </c>
      <c r="N19" s="1">
        <f t="shared" si="1"/>
        <v>18</v>
      </c>
      <c r="O19" s="1"/>
      <c r="P19" s="1"/>
      <c r="Q19" s="18" t="s">
        <v>67</v>
      </c>
      <c r="R19" s="53"/>
      <c r="S19" s="53"/>
      <c r="T19" s="1"/>
    </row>
  </sheetData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8F50-BD51-4E35-BD4D-BD86FF6A8309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46314</v>
      </c>
      <c r="G1" s="5">
        <v>46314</v>
      </c>
      <c r="H1" s="5">
        <v>46314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277" t="s">
        <v>0</v>
      </c>
      <c r="B2" s="290" t="s">
        <v>1</v>
      </c>
      <c r="C2" s="277" t="s">
        <v>2</v>
      </c>
      <c r="D2" s="277" t="s">
        <v>3</v>
      </c>
      <c r="E2" s="277" t="s">
        <v>4</v>
      </c>
      <c r="F2" s="281" t="s">
        <v>5</v>
      </c>
      <c r="G2" s="281" t="s">
        <v>6</v>
      </c>
      <c r="H2" s="281" t="s">
        <v>7</v>
      </c>
      <c r="I2" s="281" t="s">
        <v>8</v>
      </c>
      <c r="J2" s="283" t="s">
        <v>9</v>
      </c>
      <c r="K2" s="285" t="s">
        <v>36</v>
      </c>
      <c r="L2" s="287" t="s">
        <v>10</v>
      </c>
      <c r="M2" s="288"/>
      <c r="N2" s="288"/>
      <c r="O2" s="288"/>
      <c r="P2" s="289"/>
      <c r="Q2" s="277" t="s">
        <v>11</v>
      </c>
      <c r="R2" s="277" t="s">
        <v>12</v>
      </c>
      <c r="S2" s="279" t="s">
        <v>13</v>
      </c>
      <c r="T2" s="279" t="s">
        <v>14</v>
      </c>
    </row>
    <row r="3" spans="1:22" s="8" customFormat="1" ht="27" customHeight="1" x14ac:dyDescent="0.2">
      <c r="A3" s="278"/>
      <c r="B3" s="291"/>
      <c r="C3" s="278"/>
      <c r="D3" s="278"/>
      <c r="E3" s="278"/>
      <c r="F3" s="282"/>
      <c r="G3" s="282"/>
      <c r="H3" s="282"/>
      <c r="I3" s="282"/>
      <c r="J3" s="284"/>
      <c r="K3" s="286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278"/>
      <c r="R3" s="278"/>
      <c r="S3" s="280"/>
      <c r="T3" s="280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63" t="s">
        <v>73</v>
      </c>
      <c r="C5" s="48" t="s">
        <v>34</v>
      </c>
      <c r="D5" s="48" t="s">
        <v>22</v>
      </c>
      <c r="E5" s="41">
        <v>2024</v>
      </c>
      <c r="F5" s="5">
        <v>46303</v>
      </c>
      <c r="G5" s="5">
        <v>46303</v>
      </c>
      <c r="H5" s="5">
        <v>46303</v>
      </c>
      <c r="I5" s="72"/>
      <c r="J5" s="72"/>
      <c r="K5" s="73"/>
      <c r="L5" s="1">
        <f t="shared" ref="L5:N7" si="0">$F$1-F5</f>
        <v>11</v>
      </c>
      <c r="M5" s="1">
        <f t="shared" si="0"/>
        <v>11</v>
      </c>
      <c r="N5" s="1">
        <f t="shared" si="0"/>
        <v>11</v>
      </c>
      <c r="O5" s="72"/>
      <c r="P5" s="72"/>
      <c r="Q5" s="47" t="s">
        <v>74</v>
      </c>
      <c r="R5" s="63"/>
      <c r="S5" s="66"/>
      <c r="T5" s="71" t="s">
        <v>28</v>
      </c>
    </row>
    <row r="6" spans="1:22" s="15" customFormat="1" ht="13.15" customHeight="1" x14ac:dyDescent="0.2">
      <c r="A6" s="16">
        <v>2</v>
      </c>
      <c r="B6" s="63" t="s">
        <v>44</v>
      </c>
      <c r="C6" s="48" t="s">
        <v>21</v>
      </c>
      <c r="D6" s="48" t="s">
        <v>78</v>
      </c>
      <c r="E6" s="41">
        <v>2017</v>
      </c>
      <c r="F6" s="5">
        <v>46306</v>
      </c>
      <c r="G6" s="5">
        <v>46306</v>
      </c>
      <c r="H6" s="5">
        <v>46306</v>
      </c>
      <c r="I6" s="72"/>
      <c r="J6" s="72"/>
      <c r="K6" s="73"/>
      <c r="L6" s="1">
        <f t="shared" si="0"/>
        <v>8</v>
      </c>
      <c r="M6" s="1">
        <f t="shared" si="0"/>
        <v>8</v>
      </c>
      <c r="N6" s="1">
        <f t="shared" si="0"/>
        <v>8</v>
      </c>
      <c r="O6" s="72"/>
      <c r="P6" s="72"/>
      <c r="Q6" s="74" t="s">
        <v>79</v>
      </c>
      <c r="R6" s="62"/>
      <c r="S6" s="71"/>
      <c r="T6" s="71"/>
    </row>
    <row r="7" spans="1:22" s="15" customFormat="1" ht="13.15" customHeight="1" x14ac:dyDescent="0.2">
      <c r="A7" s="75">
        <v>3</v>
      </c>
      <c r="B7" s="63" t="s">
        <v>30</v>
      </c>
      <c r="C7" s="48" t="s">
        <v>21</v>
      </c>
      <c r="D7" s="48" t="s">
        <v>40</v>
      </c>
      <c r="E7" s="41">
        <v>2019</v>
      </c>
      <c r="F7" s="5">
        <v>46308</v>
      </c>
      <c r="G7" s="5">
        <v>46308</v>
      </c>
      <c r="H7" s="5">
        <v>46308</v>
      </c>
      <c r="I7" s="72"/>
      <c r="J7" s="72"/>
      <c r="K7" s="73"/>
      <c r="L7" s="1">
        <f t="shared" si="0"/>
        <v>6</v>
      </c>
      <c r="M7" s="1">
        <f t="shared" si="0"/>
        <v>6</v>
      </c>
      <c r="N7" s="1">
        <f t="shared" si="0"/>
        <v>6</v>
      </c>
      <c r="O7" s="72"/>
      <c r="P7" s="72"/>
      <c r="Q7" s="74" t="s">
        <v>84</v>
      </c>
      <c r="R7" s="79"/>
      <c r="S7" s="71"/>
      <c r="T7" s="71"/>
    </row>
    <row r="8" spans="1:22" s="15" customFormat="1" ht="13.15" customHeight="1" x14ac:dyDescent="0.2">
      <c r="A8" s="16"/>
      <c r="B8" s="62"/>
      <c r="C8" s="49"/>
      <c r="D8" s="49"/>
      <c r="E8" s="44"/>
      <c r="F8" s="38"/>
      <c r="G8" s="38"/>
      <c r="H8" s="38"/>
      <c r="I8" s="70"/>
      <c r="J8" s="70"/>
      <c r="K8" s="77"/>
      <c r="L8" s="39"/>
      <c r="M8" s="39"/>
      <c r="N8" s="39"/>
      <c r="O8" s="70"/>
      <c r="P8" s="70"/>
      <c r="Q8" s="68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2"/>
      <c r="C9" s="49"/>
      <c r="D9" s="49"/>
      <c r="E9" s="44"/>
      <c r="F9" s="38"/>
      <c r="G9" s="38"/>
      <c r="H9" s="38"/>
      <c r="I9" s="70"/>
      <c r="J9" s="70"/>
      <c r="K9" s="77"/>
      <c r="L9" s="39"/>
      <c r="M9" s="39"/>
      <c r="N9" s="39"/>
      <c r="O9" s="70"/>
      <c r="P9" s="70"/>
      <c r="Q9" s="68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1">$F$1-F19</f>
        <v>19</v>
      </c>
      <c r="M19" s="1">
        <f t="shared" si="1"/>
        <v>19</v>
      </c>
      <c r="N19" s="1">
        <f t="shared" si="1"/>
        <v>19</v>
      </c>
      <c r="O19" s="1"/>
      <c r="P19" s="1"/>
      <c r="Q19" s="18" t="s">
        <v>67</v>
      </c>
      <c r="R19" s="53"/>
      <c r="S19" s="53"/>
      <c r="T19" s="1"/>
    </row>
  </sheetData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697F-E3FB-4A88-A6FC-FE79A65FB82F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46316</v>
      </c>
      <c r="G1" s="5">
        <v>46316</v>
      </c>
      <c r="H1" s="5">
        <v>46316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294" t="s">
        <v>0</v>
      </c>
      <c r="B2" s="296" t="s">
        <v>1</v>
      </c>
      <c r="C2" s="294" t="s">
        <v>2</v>
      </c>
      <c r="D2" s="294" t="s">
        <v>3</v>
      </c>
      <c r="E2" s="294" t="s">
        <v>4</v>
      </c>
      <c r="F2" s="292" t="s">
        <v>5</v>
      </c>
      <c r="G2" s="292" t="s">
        <v>6</v>
      </c>
      <c r="H2" s="292" t="s">
        <v>7</v>
      </c>
      <c r="I2" s="292" t="s">
        <v>8</v>
      </c>
      <c r="J2" s="300" t="s">
        <v>9</v>
      </c>
      <c r="K2" s="302" t="s">
        <v>36</v>
      </c>
      <c r="L2" s="304" t="s">
        <v>10</v>
      </c>
      <c r="M2" s="305"/>
      <c r="N2" s="305"/>
      <c r="O2" s="305"/>
      <c r="P2" s="306"/>
      <c r="Q2" s="294" t="s">
        <v>11</v>
      </c>
      <c r="R2" s="294" t="s">
        <v>12</v>
      </c>
      <c r="S2" s="298" t="s">
        <v>13</v>
      </c>
      <c r="T2" s="298" t="s">
        <v>14</v>
      </c>
    </row>
    <row r="3" spans="1:22" s="8" customFormat="1" ht="27" customHeight="1" x14ac:dyDescent="0.2">
      <c r="A3" s="295"/>
      <c r="B3" s="297"/>
      <c r="C3" s="295"/>
      <c r="D3" s="295"/>
      <c r="E3" s="295"/>
      <c r="F3" s="293"/>
      <c r="G3" s="293"/>
      <c r="H3" s="293"/>
      <c r="I3" s="293"/>
      <c r="J3" s="301"/>
      <c r="K3" s="30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295"/>
      <c r="R3" s="295"/>
      <c r="S3" s="299"/>
      <c r="T3" s="29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63" t="s">
        <v>30</v>
      </c>
      <c r="C5" s="48" t="s">
        <v>21</v>
      </c>
      <c r="D5" s="48" t="s">
        <v>40</v>
      </c>
      <c r="E5" s="41">
        <v>2019</v>
      </c>
      <c r="F5" s="5">
        <v>46308</v>
      </c>
      <c r="G5" s="5">
        <v>46308</v>
      </c>
      <c r="H5" s="5">
        <v>46308</v>
      </c>
      <c r="I5" s="72"/>
      <c r="J5" s="72"/>
      <c r="K5" s="73"/>
      <c r="L5" s="1">
        <f t="shared" ref="L5" si="0">$F$1-F5</f>
        <v>8</v>
      </c>
      <c r="M5" s="1">
        <f t="shared" ref="M5" si="1">$F$1-G5</f>
        <v>8</v>
      </c>
      <c r="N5" s="1">
        <f t="shared" ref="N5" si="2">$F$1-H5</f>
        <v>8</v>
      </c>
      <c r="O5" s="72"/>
      <c r="P5" s="72"/>
      <c r="Q5" s="74" t="s">
        <v>84</v>
      </c>
      <c r="R5" s="63"/>
      <c r="S5" s="71" t="s">
        <v>44</v>
      </c>
      <c r="T5" s="71" t="s">
        <v>28</v>
      </c>
    </row>
    <row r="6" spans="1:22" s="15" customFormat="1" ht="13.15" customHeight="1" x14ac:dyDescent="0.2">
      <c r="A6" s="16">
        <v>2</v>
      </c>
      <c r="B6" s="63"/>
      <c r="C6" s="48"/>
      <c r="D6" s="48"/>
      <c r="E6" s="41"/>
      <c r="F6" s="5"/>
      <c r="G6" s="5"/>
      <c r="H6" s="5"/>
      <c r="I6" s="72"/>
      <c r="J6" s="72"/>
      <c r="K6" s="73"/>
      <c r="L6" s="1"/>
      <c r="M6" s="1"/>
      <c r="N6" s="1"/>
      <c r="O6" s="72"/>
      <c r="P6" s="72"/>
      <c r="Q6" s="74"/>
      <c r="R6" s="62"/>
      <c r="S6" s="71"/>
      <c r="T6" s="71" t="s">
        <v>52</v>
      </c>
    </row>
    <row r="7" spans="1:22" s="15" customFormat="1" ht="13.15" customHeight="1" x14ac:dyDescent="0.2">
      <c r="A7" s="75">
        <v>3</v>
      </c>
      <c r="B7" s="63"/>
      <c r="C7" s="48"/>
      <c r="D7" s="48"/>
      <c r="E7" s="41"/>
      <c r="F7" s="5"/>
      <c r="G7" s="5"/>
      <c r="H7" s="5"/>
      <c r="I7" s="72"/>
      <c r="J7" s="72"/>
      <c r="K7" s="73"/>
      <c r="L7" s="1"/>
      <c r="M7" s="1"/>
      <c r="N7" s="1"/>
      <c r="O7" s="72"/>
      <c r="P7" s="72"/>
      <c r="Q7" s="74"/>
      <c r="R7" s="79"/>
      <c r="S7" s="71"/>
      <c r="T7" s="71"/>
    </row>
    <row r="8" spans="1:22" s="15" customFormat="1" ht="13.15" customHeight="1" x14ac:dyDescent="0.2">
      <c r="A8" s="16"/>
      <c r="B8" s="62"/>
      <c r="C8" s="49"/>
      <c r="D8" s="49"/>
      <c r="E8" s="44"/>
      <c r="F8" s="38"/>
      <c r="G8" s="38"/>
      <c r="H8" s="38"/>
      <c r="I8" s="70"/>
      <c r="J8" s="70"/>
      <c r="K8" s="77"/>
      <c r="L8" s="39"/>
      <c r="M8" s="39"/>
      <c r="N8" s="39"/>
      <c r="O8" s="70"/>
      <c r="P8" s="70"/>
      <c r="Q8" s="68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2"/>
      <c r="C9" s="49"/>
      <c r="D9" s="49"/>
      <c r="E9" s="44"/>
      <c r="F9" s="38"/>
      <c r="G9" s="38"/>
      <c r="H9" s="38"/>
      <c r="I9" s="70"/>
      <c r="J9" s="70"/>
      <c r="K9" s="77"/>
      <c r="L9" s="39"/>
      <c r="M9" s="39"/>
      <c r="N9" s="39"/>
      <c r="O9" s="70"/>
      <c r="P9" s="70"/>
      <c r="Q9" s="68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3">$F$1-F19</f>
        <v>21</v>
      </c>
      <c r="M19" s="1">
        <f t="shared" si="3"/>
        <v>21</v>
      </c>
      <c r="N19" s="1">
        <f t="shared" si="3"/>
        <v>21</v>
      </c>
      <c r="O19" s="1"/>
      <c r="P19" s="1"/>
      <c r="Q19" s="18" t="s">
        <v>67</v>
      </c>
      <c r="R19" s="53"/>
      <c r="S19" s="53"/>
      <c r="T19" s="1"/>
    </row>
  </sheetData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87CD-DECB-478D-8A85-DCD3DD8E5035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46316</v>
      </c>
      <c r="G1" s="5">
        <v>46316</v>
      </c>
      <c r="H1" s="5">
        <v>46316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07" t="s">
        <v>0</v>
      </c>
      <c r="B2" s="320" t="s">
        <v>1</v>
      </c>
      <c r="C2" s="307" t="s">
        <v>2</v>
      </c>
      <c r="D2" s="307" t="s">
        <v>3</v>
      </c>
      <c r="E2" s="307" t="s">
        <v>4</v>
      </c>
      <c r="F2" s="311" t="s">
        <v>5</v>
      </c>
      <c r="G2" s="311" t="s">
        <v>6</v>
      </c>
      <c r="H2" s="311" t="s">
        <v>7</v>
      </c>
      <c r="I2" s="311" t="s">
        <v>8</v>
      </c>
      <c r="J2" s="313" t="s">
        <v>9</v>
      </c>
      <c r="K2" s="315" t="s">
        <v>36</v>
      </c>
      <c r="L2" s="317" t="s">
        <v>10</v>
      </c>
      <c r="M2" s="318"/>
      <c r="N2" s="318"/>
      <c r="O2" s="318"/>
      <c r="P2" s="319"/>
      <c r="Q2" s="307" t="s">
        <v>11</v>
      </c>
      <c r="R2" s="307" t="s">
        <v>12</v>
      </c>
      <c r="S2" s="309" t="s">
        <v>13</v>
      </c>
      <c r="T2" s="309" t="s">
        <v>14</v>
      </c>
    </row>
    <row r="3" spans="1:22" s="8" customFormat="1" ht="27" customHeight="1" x14ac:dyDescent="0.2">
      <c r="A3" s="308"/>
      <c r="B3" s="321"/>
      <c r="C3" s="308"/>
      <c r="D3" s="308"/>
      <c r="E3" s="308"/>
      <c r="F3" s="312"/>
      <c r="G3" s="312"/>
      <c r="H3" s="312"/>
      <c r="I3" s="312"/>
      <c r="J3" s="314"/>
      <c r="K3" s="316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08"/>
      <c r="R3" s="308"/>
      <c r="S3" s="310"/>
      <c r="T3" s="310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63" t="s">
        <v>30</v>
      </c>
      <c r="C5" s="48" t="s">
        <v>21</v>
      </c>
      <c r="D5" s="48" t="s">
        <v>40</v>
      </c>
      <c r="E5" s="41">
        <v>2019</v>
      </c>
      <c r="F5" s="5">
        <v>46308</v>
      </c>
      <c r="G5" s="5">
        <v>46308</v>
      </c>
      <c r="H5" s="5">
        <v>46308</v>
      </c>
      <c r="I5" s="72"/>
      <c r="J5" s="72"/>
      <c r="K5" s="73"/>
      <c r="L5" s="1">
        <f t="shared" ref="L5:N5" si="0">$F$1-F5</f>
        <v>8</v>
      </c>
      <c r="M5" s="1">
        <f t="shared" si="0"/>
        <v>8</v>
      </c>
      <c r="N5" s="1">
        <f t="shared" si="0"/>
        <v>8</v>
      </c>
      <c r="O5" s="72"/>
      <c r="P5" s="72"/>
      <c r="Q5" s="74" t="s">
        <v>84</v>
      </c>
      <c r="R5" s="63"/>
      <c r="S5" s="71" t="s">
        <v>44</v>
      </c>
      <c r="T5" s="71" t="s">
        <v>28</v>
      </c>
    </row>
    <row r="6" spans="1:22" s="15" customFormat="1" ht="13.15" customHeight="1" x14ac:dyDescent="0.2">
      <c r="A6" s="16">
        <v>2</v>
      </c>
      <c r="B6" s="63"/>
      <c r="C6" s="48"/>
      <c r="D6" s="48"/>
      <c r="E6" s="41"/>
      <c r="F6" s="5"/>
      <c r="G6" s="5"/>
      <c r="H6" s="5"/>
      <c r="I6" s="72"/>
      <c r="J6" s="72"/>
      <c r="K6" s="73"/>
      <c r="L6" s="1"/>
      <c r="M6" s="1"/>
      <c r="N6" s="1"/>
      <c r="O6" s="72"/>
      <c r="P6" s="72"/>
      <c r="Q6" s="74"/>
      <c r="R6" s="62"/>
      <c r="S6" s="71"/>
      <c r="T6" s="71" t="s">
        <v>52</v>
      </c>
    </row>
    <row r="7" spans="1:22" s="15" customFormat="1" ht="13.15" customHeight="1" x14ac:dyDescent="0.2">
      <c r="A7" s="75">
        <v>3</v>
      </c>
      <c r="B7" s="63"/>
      <c r="C7" s="48"/>
      <c r="D7" s="48"/>
      <c r="E7" s="41"/>
      <c r="F7" s="5"/>
      <c r="G7" s="5"/>
      <c r="H7" s="5"/>
      <c r="I7" s="72"/>
      <c r="J7" s="72"/>
      <c r="K7" s="73"/>
      <c r="L7" s="1"/>
      <c r="M7" s="1"/>
      <c r="N7" s="1"/>
      <c r="O7" s="72"/>
      <c r="P7" s="72"/>
      <c r="Q7" s="74"/>
      <c r="R7" s="79"/>
      <c r="S7" s="71"/>
      <c r="T7" s="71"/>
    </row>
    <row r="8" spans="1:22" s="15" customFormat="1" ht="13.15" customHeight="1" x14ac:dyDescent="0.2">
      <c r="A8" s="16"/>
      <c r="B8" s="62"/>
      <c r="C8" s="49"/>
      <c r="D8" s="49"/>
      <c r="E8" s="44"/>
      <c r="F8" s="38"/>
      <c r="G8" s="38"/>
      <c r="H8" s="38"/>
      <c r="I8" s="70"/>
      <c r="J8" s="70"/>
      <c r="K8" s="77"/>
      <c r="L8" s="39"/>
      <c r="M8" s="39"/>
      <c r="N8" s="39"/>
      <c r="O8" s="70"/>
      <c r="P8" s="70"/>
      <c r="Q8" s="68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2"/>
      <c r="C9" s="49"/>
      <c r="D9" s="49"/>
      <c r="E9" s="44"/>
      <c r="F9" s="38"/>
      <c r="G9" s="38"/>
      <c r="H9" s="38"/>
      <c r="I9" s="70"/>
      <c r="J9" s="70"/>
      <c r="K9" s="77"/>
      <c r="L9" s="39"/>
      <c r="M9" s="39"/>
      <c r="N9" s="39"/>
      <c r="O9" s="70"/>
      <c r="P9" s="70"/>
      <c r="Q9" s="68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/>
      <c r="C15" s="48"/>
      <c r="D15" s="48"/>
      <c r="E15" s="41"/>
      <c r="F15" s="5"/>
      <c r="G15" s="5"/>
      <c r="H15" s="5"/>
      <c r="I15" s="18"/>
      <c r="J15" s="18"/>
      <c r="K15" s="4"/>
      <c r="L15" s="1"/>
      <c r="M15" s="1"/>
      <c r="N15" s="1"/>
      <c r="O15" s="18"/>
      <c r="P15" s="18"/>
      <c r="Q15" s="47"/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1">$F$1-F19</f>
        <v>21</v>
      </c>
      <c r="M19" s="1">
        <f t="shared" si="1"/>
        <v>21</v>
      </c>
      <c r="N19" s="1">
        <f t="shared" si="1"/>
        <v>21</v>
      </c>
      <c r="O19" s="1"/>
      <c r="P19" s="1"/>
      <c r="Q19" s="18" t="s">
        <v>67</v>
      </c>
      <c r="R19" s="53"/>
      <c r="S19" s="53"/>
      <c r="T19" s="1"/>
    </row>
  </sheetData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D4A1-2BBD-483D-90F6-6242AC0D05FB}">
  <dimension ref="A1:V19"/>
  <sheetViews>
    <sheetView workbookViewId="0">
      <selection sqref="A1:XFD1048576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46317</v>
      </c>
      <c r="G1" s="5">
        <v>46317</v>
      </c>
      <c r="H1" s="5">
        <v>46317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24" t="s">
        <v>0</v>
      </c>
      <c r="B2" s="326" t="s">
        <v>1</v>
      </c>
      <c r="C2" s="324" t="s">
        <v>2</v>
      </c>
      <c r="D2" s="324" t="s">
        <v>3</v>
      </c>
      <c r="E2" s="324" t="s">
        <v>4</v>
      </c>
      <c r="F2" s="322" t="s">
        <v>5</v>
      </c>
      <c r="G2" s="322" t="s">
        <v>6</v>
      </c>
      <c r="H2" s="322" t="s">
        <v>7</v>
      </c>
      <c r="I2" s="322" t="s">
        <v>8</v>
      </c>
      <c r="J2" s="330" t="s">
        <v>9</v>
      </c>
      <c r="K2" s="332" t="s">
        <v>36</v>
      </c>
      <c r="L2" s="334" t="s">
        <v>10</v>
      </c>
      <c r="M2" s="335"/>
      <c r="N2" s="335"/>
      <c r="O2" s="335"/>
      <c r="P2" s="336"/>
      <c r="Q2" s="324" t="s">
        <v>11</v>
      </c>
      <c r="R2" s="324" t="s">
        <v>12</v>
      </c>
      <c r="S2" s="328" t="s">
        <v>13</v>
      </c>
      <c r="T2" s="328" t="s">
        <v>14</v>
      </c>
    </row>
    <row r="3" spans="1:22" s="8" customFormat="1" ht="27" customHeight="1" x14ac:dyDescent="0.2">
      <c r="A3" s="325"/>
      <c r="B3" s="327"/>
      <c r="C3" s="325"/>
      <c r="D3" s="325"/>
      <c r="E3" s="325"/>
      <c r="F3" s="323"/>
      <c r="G3" s="323"/>
      <c r="H3" s="323"/>
      <c r="I3" s="323"/>
      <c r="J3" s="331"/>
      <c r="K3" s="333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25"/>
      <c r="R3" s="325"/>
      <c r="S3" s="329"/>
      <c r="T3" s="329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63"/>
      <c r="C5" s="48"/>
      <c r="D5" s="48"/>
      <c r="E5" s="41"/>
      <c r="F5" s="5"/>
      <c r="G5" s="5"/>
      <c r="H5" s="5"/>
      <c r="I5" s="72"/>
      <c r="J5" s="72"/>
      <c r="K5" s="73"/>
      <c r="L5" s="1"/>
      <c r="M5" s="1"/>
      <c r="N5" s="1"/>
      <c r="O5" s="72"/>
      <c r="P5" s="72"/>
      <c r="Q5" s="74"/>
      <c r="R5" s="63"/>
      <c r="S5" s="71"/>
      <c r="T5" s="71" t="s">
        <v>28</v>
      </c>
    </row>
    <row r="6" spans="1:22" s="15" customFormat="1" ht="13.15" customHeight="1" x14ac:dyDescent="0.2">
      <c r="A6" s="16">
        <v>2</v>
      </c>
      <c r="B6" s="63"/>
      <c r="C6" s="48"/>
      <c r="D6" s="48"/>
      <c r="E6" s="41"/>
      <c r="F6" s="5"/>
      <c r="G6" s="5"/>
      <c r="H6" s="5"/>
      <c r="I6" s="72"/>
      <c r="J6" s="72"/>
      <c r="K6" s="73"/>
      <c r="L6" s="1"/>
      <c r="M6" s="1"/>
      <c r="N6" s="1"/>
      <c r="O6" s="72"/>
      <c r="P6" s="72"/>
      <c r="Q6" s="74"/>
      <c r="R6" s="62"/>
      <c r="S6" s="71"/>
      <c r="T6" s="71" t="s">
        <v>52</v>
      </c>
    </row>
    <row r="7" spans="1:22" s="15" customFormat="1" ht="13.15" customHeight="1" x14ac:dyDescent="0.2">
      <c r="A7" s="75">
        <v>3</v>
      </c>
      <c r="B7" s="63"/>
      <c r="C7" s="48"/>
      <c r="D7" s="48"/>
      <c r="E7" s="41"/>
      <c r="F7" s="5"/>
      <c r="G7" s="5"/>
      <c r="H7" s="5"/>
      <c r="I7" s="72"/>
      <c r="J7" s="72"/>
      <c r="K7" s="73"/>
      <c r="L7" s="1"/>
      <c r="M7" s="1"/>
      <c r="N7" s="1"/>
      <c r="O7" s="72"/>
      <c r="P7" s="72"/>
      <c r="Q7" s="74"/>
      <c r="R7" s="79"/>
      <c r="S7" s="71"/>
      <c r="T7" s="71"/>
    </row>
    <row r="8" spans="1:22" s="15" customFormat="1" ht="13.15" customHeight="1" x14ac:dyDescent="0.2">
      <c r="A8" s="16"/>
      <c r="B8" s="62"/>
      <c r="C8" s="49"/>
      <c r="D8" s="49"/>
      <c r="E8" s="44"/>
      <c r="F8" s="38"/>
      <c r="G8" s="38"/>
      <c r="H8" s="38"/>
      <c r="I8" s="70"/>
      <c r="J8" s="70"/>
      <c r="K8" s="77"/>
      <c r="L8" s="39"/>
      <c r="M8" s="39"/>
      <c r="N8" s="39"/>
      <c r="O8" s="70"/>
      <c r="P8" s="70"/>
      <c r="Q8" s="68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2"/>
      <c r="C9" s="49"/>
      <c r="D9" s="49"/>
      <c r="E9" s="44"/>
      <c r="F9" s="38"/>
      <c r="G9" s="38"/>
      <c r="H9" s="38"/>
      <c r="I9" s="70"/>
      <c r="J9" s="70"/>
      <c r="K9" s="77"/>
      <c r="L9" s="39"/>
      <c r="M9" s="39"/>
      <c r="N9" s="39"/>
      <c r="O9" s="70"/>
      <c r="P9" s="70"/>
      <c r="Q9" s="68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 t="s">
        <v>30</v>
      </c>
      <c r="C15" s="48" t="s">
        <v>21</v>
      </c>
      <c r="D15" s="48" t="s">
        <v>40</v>
      </c>
      <c r="E15" s="41">
        <v>2019</v>
      </c>
      <c r="F15" s="5">
        <v>46308</v>
      </c>
      <c r="G15" s="5">
        <v>46308</v>
      </c>
      <c r="H15" s="5">
        <v>46308</v>
      </c>
      <c r="I15" s="72"/>
      <c r="J15" s="72"/>
      <c r="K15" s="73"/>
      <c r="L15" s="1">
        <f t="shared" ref="L15" si="0">$F$1-F15</f>
        <v>9</v>
      </c>
      <c r="M15" s="1">
        <f t="shared" ref="M15" si="1">$F$1-G15</f>
        <v>9</v>
      </c>
      <c r="N15" s="1">
        <f t="shared" ref="N15" si="2">$F$1-H15</f>
        <v>9</v>
      </c>
      <c r="O15" s="72"/>
      <c r="P15" s="72"/>
      <c r="Q15" s="74" t="s">
        <v>85</v>
      </c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3">$F$1-F19</f>
        <v>22</v>
      </c>
      <c r="M19" s="1">
        <f t="shared" si="3"/>
        <v>22</v>
      </c>
      <c r="N19" s="1">
        <f t="shared" si="3"/>
        <v>22</v>
      </c>
      <c r="O19" s="1"/>
      <c r="P19" s="1"/>
      <c r="Q19" s="18" t="s">
        <v>67</v>
      </c>
      <c r="R19" s="53"/>
      <c r="S19" s="53"/>
      <c r="T19" s="1"/>
    </row>
  </sheetData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A76B-F665-4CF4-A4FC-A0B7EE9A1B15}">
  <dimension ref="A1:V19"/>
  <sheetViews>
    <sheetView tabSelected="1" workbookViewId="0">
      <selection activeCell="H34" sqref="H34"/>
    </sheetView>
  </sheetViews>
  <sheetFormatPr defaultColWidth="9.140625" defaultRowHeight="12.75" x14ac:dyDescent="0.2"/>
  <cols>
    <col min="1" max="1" width="3.140625" style="28" customWidth="1"/>
    <col min="2" max="2" width="10.5703125" style="29" customWidth="1"/>
    <col min="3" max="3" width="8.140625" style="22" customWidth="1"/>
    <col min="4" max="4" width="8.5703125" style="22" customWidth="1"/>
    <col min="5" max="5" width="7.42578125" style="30" customWidth="1"/>
    <col min="6" max="6" width="11.5703125" style="31" customWidth="1"/>
    <col min="7" max="7" width="10.28515625" style="31" customWidth="1"/>
    <col min="8" max="8" width="9.7109375" style="31" customWidth="1"/>
    <col min="9" max="9" width="6.140625" style="31" hidden="1" customWidth="1"/>
    <col min="10" max="10" width="6.28515625" style="31" customWidth="1"/>
    <col min="11" max="11" width="4.85546875" style="32" customWidth="1"/>
    <col min="12" max="12" width="7.28515625" style="28" customWidth="1"/>
    <col min="13" max="13" width="4.85546875" style="28" customWidth="1"/>
    <col min="14" max="14" width="8" style="28" customWidth="1"/>
    <col min="15" max="15" width="4.5703125" style="28" customWidth="1"/>
    <col min="16" max="16" width="3.85546875" style="28" customWidth="1"/>
    <col min="17" max="17" width="55.7109375" style="22" customWidth="1"/>
    <col min="18" max="18" width="11.42578125" style="28" customWidth="1"/>
    <col min="19" max="19" width="9.7109375" style="22" customWidth="1"/>
    <col min="20" max="20" width="12.28515625" style="28" customWidth="1"/>
    <col min="21" max="16384" width="9.140625" style="7"/>
  </cols>
  <sheetData>
    <row r="1" spans="1:22" ht="14.25" customHeight="1" x14ac:dyDescent="0.2">
      <c r="A1" s="64"/>
      <c r="B1" s="2"/>
      <c r="C1" s="3"/>
      <c r="D1" s="3"/>
      <c r="E1" s="4"/>
      <c r="F1" s="5">
        <v>46318</v>
      </c>
      <c r="G1" s="5">
        <v>46318</v>
      </c>
      <c r="H1" s="5">
        <v>46318</v>
      </c>
      <c r="I1" s="5">
        <v>44751</v>
      </c>
      <c r="J1" s="5"/>
      <c r="K1" s="6"/>
      <c r="L1" s="1"/>
      <c r="M1" s="1"/>
      <c r="N1" s="1"/>
      <c r="O1" s="1"/>
      <c r="P1" s="1"/>
      <c r="Q1" s="3"/>
      <c r="R1" s="1"/>
      <c r="S1" s="3"/>
      <c r="T1" s="1"/>
    </row>
    <row r="2" spans="1:22" s="8" customFormat="1" ht="27" customHeight="1" x14ac:dyDescent="0.2">
      <c r="A2" s="337" t="s">
        <v>0</v>
      </c>
      <c r="B2" s="350" t="s">
        <v>1</v>
      </c>
      <c r="C2" s="337" t="s">
        <v>2</v>
      </c>
      <c r="D2" s="337" t="s">
        <v>3</v>
      </c>
      <c r="E2" s="337" t="s">
        <v>4</v>
      </c>
      <c r="F2" s="341" t="s">
        <v>5</v>
      </c>
      <c r="G2" s="341" t="s">
        <v>6</v>
      </c>
      <c r="H2" s="341" t="s">
        <v>7</v>
      </c>
      <c r="I2" s="341" t="s">
        <v>8</v>
      </c>
      <c r="J2" s="343" t="s">
        <v>9</v>
      </c>
      <c r="K2" s="345" t="s">
        <v>36</v>
      </c>
      <c r="L2" s="347" t="s">
        <v>10</v>
      </c>
      <c r="M2" s="348"/>
      <c r="N2" s="348"/>
      <c r="O2" s="348"/>
      <c r="P2" s="349"/>
      <c r="Q2" s="337" t="s">
        <v>11</v>
      </c>
      <c r="R2" s="337" t="s">
        <v>12</v>
      </c>
      <c r="S2" s="339" t="s">
        <v>13</v>
      </c>
      <c r="T2" s="339" t="s">
        <v>14</v>
      </c>
    </row>
    <row r="3" spans="1:22" s="8" customFormat="1" ht="27" customHeight="1" x14ac:dyDescent="0.2">
      <c r="A3" s="338"/>
      <c r="B3" s="351"/>
      <c r="C3" s="338"/>
      <c r="D3" s="338"/>
      <c r="E3" s="338"/>
      <c r="F3" s="342"/>
      <c r="G3" s="342"/>
      <c r="H3" s="342"/>
      <c r="I3" s="342"/>
      <c r="J3" s="344"/>
      <c r="K3" s="346"/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338"/>
      <c r="R3" s="338"/>
      <c r="S3" s="340"/>
      <c r="T3" s="340"/>
    </row>
    <row r="4" spans="1:22" s="15" customFormat="1" ht="12.6" customHeight="1" x14ac:dyDescent="0.2">
      <c r="A4" s="10"/>
      <c r="B4" s="57"/>
      <c r="C4" s="58"/>
      <c r="D4" s="59"/>
      <c r="E4" s="59"/>
      <c r="F4" s="60"/>
      <c r="G4" s="60"/>
      <c r="H4" s="60"/>
      <c r="I4" s="60"/>
      <c r="J4" s="51"/>
      <c r="K4" s="61"/>
      <c r="L4" s="59"/>
      <c r="M4" s="59"/>
      <c r="N4" s="59"/>
      <c r="O4" s="59"/>
      <c r="P4" s="59"/>
      <c r="Q4" s="57" t="s">
        <v>25</v>
      </c>
      <c r="R4" s="13"/>
      <c r="S4" s="11" t="s">
        <v>20</v>
      </c>
      <c r="T4" s="14"/>
    </row>
    <row r="5" spans="1:22" s="15" customFormat="1" ht="13.15" customHeight="1" x14ac:dyDescent="0.2">
      <c r="A5" s="75">
        <v>1</v>
      </c>
      <c r="B5" s="63"/>
      <c r="C5" s="48"/>
      <c r="D5" s="48"/>
      <c r="E5" s="41"/>
      <c r="F5" s="5"/>
      <c r="G5" s="5"/>
      <c r="H5" s="5"/>
      <c r="I5" s="72"/>
      <c r="J5" s="72"/>
      <c r="K5" s="73"/>
      <c r="L5" s="1"/>
      <c r="M5" s="1"/>
      <c r="N5" s="1"/>
      <c r="O5" s="72"/>
      <c r="P5" s="72"/>
      <c r="Q5" s="74"/>
      <c r="R5" s="63"/>
      <c r="S5" s="71"/>
      <c r="T5" s="71" t="s">
        <v>28</v>
      </c>
    </row>
    <row r="6" spans="1:22" s="15" customFormat="1" ht="13.15" customHeight="1" x14ac:dyDescent="0.2">
      <c r="A6" s="16">
        <v>2</v>
      </c>
      <c r="B6" s="63"/>
      <c r="C6" s="48"/>
      <c r="D6" s="48"/>
      <c r="E6" s="41"/>
      <c r="F6" s="5"/>
      <c r="G6" s="5"/>
      <c r="H6" s="5"/>
      <c r="I6" s="72"/>
      <c r="J6" s="72"/>
      <c r="K6" s="73"/>
      <c r="L6" s="1"/>
      <c r="M6" s="1"/>
      <c r="N6" s="1"/>
      <c r="O6" s="72"/>
      <c r="P6" s="72"/>
      <c r="Q6" s="74"/>
      <c r="R6" s="62"/>
      <c r="S6" s="71"/>
      <c r="T6" s="71" t="s">
        <v>52</v>
      </c>
    </row>
    <row r="7" spans="1:22" s="15" customFormat="1" ht="13.15" customHeight="1" x14ac:dyDescent="0.2">
      <c r="A7" s="75">
        <v>3</v>
      </c>
      <c r="B7" s="63"/>
      <c r="C7" s="48"/>
      <c r="D7" s="48"/>
      <c r="E7" s="41"/>
      <c r="F7" s="5"/>
      <c r="G7" s="5"/>
      <c r="H7" s="5"/>
      <c r="I7" s="72"/>
      <c r="J7" s="72"/>
      <c r="K7" s="73"/>
      <c r="L7" s="1"/>
      <c r="M7" s="1"/>
      <c r="N7" s="1"/>
      <c r="O7" s="72"/>
      <c r="P7" s="72"/>
      <c r="Q7" s="74"/>
      <c r="R7" s="79"/>
      <c r="S7" s="71"/>
      <c r="T7" s="71"/>
    </row>
    <row r="8" spans="1:22" s="15" customFormat="1" ht="13.15" customHeight="1" x14ac:dyDescent="0.2">
      <c r="A8" s="16"/>
      <c r="B8" s="62"/>
      <c r="C8" s="49"/>
      <c r="D8" s="49"/>
      <c r="E8" s="44"/>
      <c r="F8" s="38"/>
      <c r="G8" s="38"/>
      <c r="H8" s="38"/>
      <c r="I8" s="70"/>
      <c r="J8" s="70"/>
      <c r="K8" s="77"/>
      <c r="L8" s="39"/>
      <c r="M8" s="39"/>
      <c r="N8" s="39"/>
      <c r="O8" s="70"/>
      <c r="P8" s="70"/>
      <c r="Q8" s="68"/>
      <c r="R8" s="54"/>
      <c r="S8" s="71"/>
      <c r="T8" s="71"/>
      <c r="U8" s="46"/>
      <c r="V8" s="46"/>
    </row>
    <row r="9" spans="1:22" s="15" customFormat="1" ht="13.15" customHeight="1" x14ac:dyDescent="0.2">
      <c r="A9" s="16"/>
      <c r="B9" s="62"/>
      <c r="C9" s="49"/>
      <c r="D9" s="49"/>
      <c r="E9" s="44"/>
      <c r="F9" s="38"/>
      <c r="G9" s="38"/>
      <c r="H9" s="38"/>
      <c r="I9" s="70"/>
      <c r="J9" s="70"/>
      <c r="K9" s="77"/>
      <c r="L9" s="39"/>
      <c r="M9" s="39"/>
      <c r="N9" s="39"/>
      <c r="O9" s="70"/>
      <c r="P9" s="70"/>
      <c r="Q9" s="68"/>
      <c r="R9" s="54"/>
      <c r="S9" s="73"/>
      <c r="T9" s="63"/>
      <c r="U9" s="46"/>
      <c r="V9" s="46"/>
    </row>
    <row r="10" spans="1:22" s="15" customFormat="1" ht="12.6" customHeight="1" x14ac:dyDescent="0.2">
      <c r="A10" s="16"/>
      <c r="B10" s="63"/>
      <c r="C10" s="48"/>
      <c r="D10" s="48"/>
      <c r="E10" s="41"/>
      <c r="F10" s="71"/>
      <c r="G10" s="71"/>
      <c r="H10" s="71"/>
      <c r="I10" s="72"/>
      <c r="J10" s="72"/>
      <c r="K10" s="73"/>
      <c r="L10" s="41"/>
      <c r="M10" s="41"/>
      <c r="N10" s="41"/>
      <c r="O10" s="72"/>
      <c r="P10" s="72"/>
      <c r="Q10" s="74"/>
      <c r="R10" s="54"/>
      <c r="S10" s="73"/>
      <c r="T10" s="73"/>
      <c r="U10" s="46"/>
      <c r="V10" s="46"/>
    </row>
    <row r="11" spans="1:22" s="15" customFormat="1" ht="12.6" customHeight="1" x14ac:dyDescent="0.2">
      <c r="A11" s="16"/>
      <c r="B11" s="63"/>
      <c r="C11" s="48"/>
      <c r="D11" s="48"/>
      <c r="E11" s="41"/>
      <c r="F11" s="71"/>
      <c r="G11" s="71"/>
      <c r="H11" s="71"/>
      <c r="I11" s="72"/>
      <c r="J11" s="72"/>
      <c r="K11" s="73"/>
      <c r="L11" s="41"/>
      <c r="M11" s="41"/>
      <c r="N11" s="41"/>
      <c r="O11" s="72"/>
      <c r="P11" s="72"/>
      <c r="Q11" s="74"/>
      <c r="R11" s="54"/>
      <c r="S11" s="73"/>
      <c r="T11" s="73"/>
      <c r="U11" s="46"/>
      <c r="V11" s="46"/>
    </row>
    <row r="12" spans="1:22" s="15" customFormat="1" ht="12.6" customHeight="1" x14ac:dyDescent="0.2">
      <c r="A12" s="16"/>
      <c r="B12" s="63"/>
      <c r="C12" s="48"/>
      <c r="D12" s="48"/>
      <c r="E12" s="41"/>
      <c r="F12" s="71"/>
      <c r="G12" s="71"/>
      <c r="H12" s="71"/>
      <c r="I12" s="72"/>
      <c r="J12" s="72"/>
      <c r="K12" s="73"/>
      <c r="L12" s="41"/>
      <c r="M12" s="41"/>
      <c r="N12" s="41"/>
      <c r="O12" s="72"/>
      <c r="P12" s="72"/>
      <c r="Q12" s="74"/>
      <c r="R12" s="54"/>
      <c r="S12" s="54"/>
      <c r="T12" s="73"/>
      <c r="U12" s="46"/>
      <c r="V12" s="46"/>
    </row>
    <row r="13" spans="1:22" s="15" customFormat="1" ht="12.6" customHeight="1" x14ac:dyDescent="0.2">
      <c r="A13" s="16"/>
      <c r="B13" s="63"/>
      <c r="C13" s="48"/>
      <c r="D13" s="48"/>
      <c r="E13" s="41"/>
      <c r="F13" s="71"/>
      <c r="G13" s="71"/>
      <c r="H13" s="71"/>
      <c r="I13" s="72"/>
      <c r="J13" s="72"/>
      <c r="K13" s="73"/>
      <c r="L13" s="41"/>
      <c r="M13" s="41"/>
      <c r="N13" s="41"/>
      <c r="O13" s="72"/>
      <c r="P13" s="72"/>
      <c r="Q13" s="74"/>
      <c r="R13" s="54"/>
      <c r="S13" s="54"/>
      <c r="T13" s="73"/>
      <c r="U13" s="46"/>
      <c r="V13" s="46"/>
    </row>
    <row r="14" spans="1:22" s="15" customFormat="1" ht="12" customHeight="1" x14ac:dyDescent="0.2">
      <c r="A14" s="20"/>
      <c r="B14" s="11"/>
      <c r="C14" s="11"/>
      <c r="D14" s="20"/>
      <c r="E14" s="20"/>
      <c r="F14" s="12"/>
      <c r="G14" s="12"/>
      <c r="H14" s="12"/>
      <c r="I14" s="12"/>
      <c r="J14" s="12"/>
      <c r="K14" s="21"/>
      <c r="L14" s="20"/>
      <c r="M14" s="20"/>
      <c r="N14" s="20"/>
      <c r="O14" s="20"/>
      <c r="P14" s="20"/>
      <c r="Q14" s="40" t="s">
        <v>23</v>
      </c>
      <c r="R14" s="12"/>
      <c r="S14" s="12"/>
      <c r="T14" s="55"/>
    </row>
    <row r="15" spans="1:22" s="15" customFormat="1" ht="13.9" customHeight="1" x14ac:dyDescent="0.2">
      <c r="A15" s="16"/>
      <c r="B15" s="63" t="s">
        <v>30</v>
      </c>
      <c r="C15" s="48" t="s">
        <v>21</v>
      </c>
      <c r="D15" s="48" t="s">
        <v>40</v>
      </c>
      <c r="E15" s="41">
        <v>2019</v>
      </c>
      <c r="F15" s="5">
        <v>46308</v>
      </c>
      <c r="G15" s="5">
        <v>46308</v>
      </c>
      <c r="H15" s="5">
        <v>46308</v>
      </c>
      <c r="I15" s="72"/>
      <c r="J15" s="72"/>
      <c r="K15" s="73"/>
      <c r="L15" s="1">
        <f t="shared" ref="L15:N15" si="0">$F$1-F15</f>
        <v>10</v>
      </c>
      <c r="M15" s="1">
        <f t="shared" si="0"/>
        <v>10</v>
      </c>
      <c r="N15" s="1">
        <f t="shared" si="0"/>
        <v>10</v>
      </c>
      <c r="O15" s="72"/>
      <c r="P15" s="72"/>
      <c r="Q15" s="74" t="s">
        <v>85</v>
      </c>
      <c r="R15" s="19"/>
      <c r="S15" s="34"/>
      <c r="T15" s="52"/>
    </row>
    <row r="16" spans="1:22" s="22" customFormat="1" ht="12.6" customHeight="1" x14ac:dyDescent="0.2">
      <c r="A16" s="20"/>
      <c r="B16" s="11"/>
      <c r="C16" s="23"/>
      <c r="D16" s="20" t="s">
        <v>20</v>
      </c>
      <c r="E16" s="20"/>
      <c r="F16" s="24"/>
      <c r="G16" s="24"/>
      <c r="H16" s="24"/>
      <c r="I16" s="24"/>
      <c r="J16" s="24"/>
      <c r="K16" s="21"/>
      <c r="L16" s="20"/>
      <c r="M16" s="20"/>
      <c r="N16" s="20"/>
      <c r="O16" s="20"/>
      <c r="P16" s="20"/>
      <c r="Q16" s="40" t="s">
        <v>24</v>
      </c>
      <c r="R16" s="20"/>
      <c r="S16" s="20"/>
      <c r="T16" s="20"/>
    </row>
    <row r="17" spans="1:20" s="22" customFormat="1" ht="13.15" customHeight="1" x14ac:dyDescent="0.2">
      <c r="A17" s="16"/>
      <c r="B17" s="42"/>
      <c r="C17" s="50"/>
      <c r="D17" s="50"/>
      <c r="E17" s="43"/>
      <c r="F17" s="35"/>
      <c r="G17" s="35"/>
      <c r="H17" s="35"/>
      <c r="I17" s="37"/>
      <c r="J17" s="37"/>
      <c r="K17" s="34"/>
      <c r="L17" s="36"/>
      <c r="M17" s="36"/>
      <c r="N17" s="36"/>
      <c r="O17" s="37"/>
      <c r="P17" s="37"/>
      <c r="Q17" s="65"/>
      <c r="R17" s="1"/>
      <c r="S17" s="1"/>
      <c r="T17" s="1"/>
    </row>
    <row r="18" spans="1:20" s="22" customFormat="1" ht="12.6" customHeight="1" x14ac:dyDescent="0.2">
      <c r="A18" s="20"/>
      <c r="B18" s="23"/>
      <c r="C18" s="23"/>
      <c r="D18" s="20" t="s">
        <v>20</v>
      </c>
      <c r="E18" s="20"/>
      <c r="F18" s="24"/>
      <c r="G18" s="24"/>
      <c r="H18" s="24"/>
      <c r="I18" s="24"/>
      <c r="J18" s="24"/>
      <c r="K18" s="21"/>
      <c r="L18" s="25"/>
      <c r="M18" s="25"/>
      <c r="N18" s="25"/>
      <c r="O18" s="25"/>
      <c r="P18" s="25"/>
      <c r="Q18" s="27" t="s">
        <v>35</v>
      </c>
      <c r="R18" s="26"/>
      <c r="S18" s="26"/>
      <c r="T18" s="20"/>
    </row>
    <row r="19" spans="1:20" s="22" customFormat="1" ht="12.6" customHeight="1" x14ac:dyDescent="0.2">
      <c r="A19" s="1">
        <v>1</v>
      </c>
      <c r="B19" s="42" t="s">
        <v>38</v>
      </c>
      <c r="C19" s="50" t="s">
        <v>21</v>
      </c>
      <c r="D19" s="50" t="s">
        <v>26</v>
      </c>
      <c r="E19" s="41">
        <v>2019</v>
      </c>
      <c r="F19" s="5">
        <v>46295</v>
      </c>
      <c r="G19" s="5">
        <v>46295</v>
      </c>
      <c r="H19" s="5">
        <v>46295</v>
      </c>
      <c r="I19" s="5"/>
      <c r="J19" s="5"/>
      <c r="K19" s="56"/>
      <c r="L19" s="1">
        <f t="shared" ref="L19:N19" si="1">$F$1-F19</f>
        <v>23</v>
      </c>
      <c r="M19" s="1">
        <f t="shared" si="1"/>
        <v>23</v>
      </c>
      <c r="N19" s="1">
        <f t="shared" si="1"/>
        <v>23</v>
      </c>
      <c r="O19" s="1"/>
      <c r="P19" s="1"/>
      <c r="Q19" s="18" t="s">
        <v>67</v>
      </c>
      <c r="R19" s="53"/>
      <c r="S19" s="53"/>
      <c r="T19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37</vt:i4>
      </vt:variant>
    </vt:vector>
  </HeadingPairs>
  <TitlesOfParts>
    <vt:vector size="37" baseType="lpstr">
      <vt:lpstr>17.09.26</vt:lpstr>
      <vt:lpstr>18.09.26</vt:lpstr>
      <vt:lpstr>19.09.26</vt:lpstr>
      <vt:lpstr>20.09.26</vt:lpstr>
      <vt:lpstr>21.09.26</vt:lpstr>
      <vt:lpstr>22.09.26</vt:lpstr>
      <vt:lpstr>23.09.26</vt:lpstr>
      <vt:lpstr>24.09.26</vt:lpstr>
      <vt:lpstr>25.09.26</vt:lpstr>
      <vt:lpstr>26.09.26</vt:lpstr>
      <vt:lpstr>27.09.26</vt:lpstr>
      <vt:lpstr>28.09.26</vt:lpstr>
      <vt:lpstr>29.09.26</vt:lpstr>
      <vt:lpstr>30.09.26</vt:lpstr>
      <vt:lpstr>01.10.26</vt:lpstr>
      <vt:lpstr>02.10.26</vt:lpstr>
      <vt:lpstr>03.10.26</vt:lpstr>
      <vt:lpstr>04.10.26</vt:lpstr>
      <vt:lpstr>05.10.26</vt:lpstr>
      <vt:lpstr>06.10.2026</vt:lpstr>
      <vt:lpstr>07.10.26</vt:lpstr>
      <vt:lpstr>08.10.26</vt:lpstr>
      <vt:lpstr>09.10.26</vt:lpstr>
      <vt:lpstr>10.10.26</vt:lpstr>
      <vt:lpstr>11.10.26</vt:lpstr>
      <vt:lpstr>12.10.26</vt:lpstr>
      <vt:lpstr>13.10.26</vt:lpstr>
      <vt:lpstr>14.10.26</vt:lpstr>
      <vt:lpstr>15.10.26</vt:lpstr>
      <vt:lpstr>16.10.26</vt:lpstr>
      <vt:lpstr>17.10.26</vt:lpstr>
      <vt:lpstr>18.10.26</vt:lpstr>
      <vt:lpstr>19.10.2026</vt:lpstr>
      <vt:lpstr>20.10.2026</vt:lpstr>
      <vt:lpstr>21.10.2026</vt:lpstr>
      <vt:lpstr>22.10.2026</vt:lpstr>
      <vt:lpstr>23.10.2026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Арешов Бердихан Буркиталыевич</dc:creator>
  <cp:lastModifiedBy>Абуов Досберген Кудайбергенович</cp:lastModifiedBy>
  <cp:lastPrinted>2026-06-23T01:18:22Z</cp:lastPrinted>
  <dcterms:created xsi:type="dcterms:W3CDTF">2024-01-01T01:01:56Z</dcterms:created>
  <dcterms:modified xsi:type="dcterms:W3CDTF">2026-10-23T00:52:32Z</dcterms:modified>
</cp:coreProperties>
</file>