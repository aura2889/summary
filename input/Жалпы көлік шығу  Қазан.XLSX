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R:\ДТТ\Диспетчер\Сводки Ерлан - Бауыржан\"/>
    </mc:Choice>
  </mc:AlternateContent>
  <xr:revisionPtr revIDLastSave="0" documentId="13_ncr:1_{C0FF9943-0546-48A2-908C-031F6856D6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Сегодня" sheetId="2" r:id="rId1"/>
    <sheet name="2026" sheetId="1" r:id="rId2"/>
  </sheets>
  <definedNames>
    <definedName name="_xlnm._FilterDatabase" localSheetId="1" hidden="1">'2026'!$A$1:$K$655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" i="1" l="1"/>
  <c r="I6" i="1"/>
  <c r="J2" i="1" s="1"/>
  <c r="H5" i="1"/>
  <c r="G5" i="1"/>
  <c r="F5" i="1"/>
  <c r="E5" i="1"/>
  <c r="D5" i="1"/>
  <c r="C5" i="1"/>
  <c r="I5" i="1" s="1"/>
  <c r="I4" i="1"/>
  <c r="I3" i="1"/>
  <c r="K2" i="1"/>
  <c r="I2" i="1"/>
  <c r="I3" i="2" l="1"/>
  <c r="I4" i="2"/>
  <c r="I13" i="1"/>
  <c r="I12" i="1"/>
  <c r="H11" i="1"/>
  <c r="G11" i="1"/>
  <c r="F11" i="1"/>
  <c r="E11" i="1"/>
  <c r="D11" i="1"/>
  <c r="C11" i="1"/>
  <c r="I11" i="1" s="1"/>
  <c r="I10" i="1"/>
  <c r="I9" i="1"/>
  <c r="I8" i="1"/>
  <c r="I19" i="1"/>
  <c r="I18" i="1"/>
  <c r="H17" i="1"/>
  <c r="G17" i="1"/>
  <c r="F17" i="1"/>
  <c r="E17" i="1"/>
  <c r="D17" i="1"/>
  <c r="C17" i="1"/>
  <c r="I16" i="1"/>
  <c r="I15" i="1"/>
  <c r="I14" i="1"/>
  <c r="J14" i="1" l="1"/>
  <c r="K8" i="1"/>
  <c r="I17" i="1"/>
  <c r="J8" i="1"/>
  <c r="K14" i="1"/>
  <c r="I25" i="1"/>
  <c r="I24" i="1"/>
  <c r="H23" i="1"/>
  <c r="G23" i="1"/>
  <c r="F23" i="1"/>
  <c r="E23" i="1"/>
  <c r="D23" i="1"/>
  <c r="C23" i="1"/>
  <c r="I22" i="1"/>
  <c r="I21" i="1"/>
  <c r="I20" i="1"/>
  <c r="K20" i="1" l="1"/>
  <c r="I23" i="1"/>
  <c r="J20" i="1"/>
  <c r="I31" i="1"/>
  <c r="I30" i="1"/>
  <c r="H29" i="1"/>
  <c r="G29" i="1"/>
  <c r="F29" i="1"/>
  <c r="E29" i="1"/>
  <c r="D29" i="1"/>
  <c r="C29" i="1"/>
  <c r="I29" i="1" s="1"/>
  <c r="I28" i="1"/>
  <c r="I27" i="1"/>
  <c r="I26" i="1"/>
  <c r="I37" i="1"/>
  <c r="I36" i="1"/>
  <c r="H35" i="1"/>
  <c r="G35" i="1"/>
  <c r="F35" i="1"/>
  <c r="E35" i="1"/>
  <c r="D35" i="1"/>
  <c r="C35" i="1"/>
  <c r="I34" i="1"/>
  <c r="I33" i="1"/>
  <c r="I32" i="1"/>
  <c r="I43" i="1"/>
  <c r="I42" i="1"/>
  <c r="H41" i="1"/>
  <c r="G41" i="1"/>
  <c r="F41" i="1"/>
  <c r="E41" i="1"/>
  <c r="D41" i="1"/>
  <c r="C41" i="1"/>
  <c r="I40" i="1"/>
  <c r="I39" i="1"/>
  <c r="I38" i="1"/>
  <c r="I49" i="1"/>
  <c r="I48" i="1"/>
  <c r="H47" i="1"/>
  <c r="G47" i="1"/>
  <c r="F47" i="1"/>
  <c r="E47" i="1"/>
  <c r="D47" i="1"/>
  <c r="C47" i="1"/>
  <c r="I46" i="1"/>
  <c r="I45" i="1"/>
  <c r="I44" i="1"/>
  <c r="I55" i="1"/>
  <c r="I54" i="1"/>
  <c r="H53" i="1"/>
  <c r="G53" i="1"/>
  <c r="F53" i="1"/>
  <c r="E53" i="1"/>
  <c r="D53" i="1"/>
  <c r="C53" i="1"/>
  <c r="I52" i="1"/>
  <c r="I51" i="1"/>
  <c r="I50" i="1"/>
  <c r="I61" i="1"/>
  <c r="I60" i="1"/>
  <c r="H59" i="1"/>
  <c r="G59" i="1"/>
  <c r="F59" i="1"/>
  <c r="E59" i="1"/>
  <c r="D59" i="1"/>
  <c r="C59" i="1"/>
  <c r="I58" i="1"/>
  <c r="I57" i="1"/>
  <c r="I56" i="1"/>
  <c r="I62" i="1"/>
  <c r="I63" i="1"/>
  <c r="I64" i="1"/>
  <c r="C65" i="1"/>
  <c r="D65" i="1"/>
  <c r="E65" i="1"/>
  <c r="F65" i="1"/>
  <c r="G65" i="1"/>
  <c r="H65" i="1"/>
  <c r="I66" i="1"/>
  <c r="I67" i="1"/>
  <c r="I73" i="1"/>
  <c r="I72" i="1"/>
  <c r="H71" i="1"/>
  <c r="G71" i="1"/>
  <c r="F71" i="1"/>
  <c r="E71" i="1"/>
  <c r="D71" i="1"/>
  <c r="C71" i="1"/>
  <c r="I70" i="1"/>
  <c r="I69" i="1"/>
  <c r="I68" i="1"/>
  <c r="I79" i="1"/>
  <c r="I78" i="1"/>
  <c r="H77" i="1"/>
  <c r="G77" i="1"/>
  <c r="F77" i="1"/>
  <c r="E77" i="1"/>
  <c r="D77" i="1"/>
  <c r="C77" i="1"/>
  <c r="I76" i="1"/>
  <c r="I75" i="1"/>
  <c r="I74" i="1"/>
  <c r="I85" i="1"/>
  <c r="I84" i="1"/>
  <c r="H83" i="1"/>
  <c r="G83" i="1"/>
  <c r="F83" i="1"/>
  <c r="E83" i="1"/>
  <c r="D83" i="1"/>
  <c r="C83" i="1"/>
  <c r="I82" i="1"/>
  <c r="I81" i="1"/>
  <c r="I80" i="1"/>
  <c r="I91" i="1"/>
  <c r="I90" i="1"/>
  <c r="H89" i="1"/>
  <c r="G89" i="1"/>
  <c r="F89" i="1"/>
  <c r="E89" i="1"/>
  <c r="D89" i="1"/>
  <c r="C89" i="1"/>
  <c r="I88" i="1"/>
  <c r="I87" i="1"/>
  <c r="I86" i="1"/>
  <c r="I41" i="1" l="1"/>
  <c r="I59" i="1"/>
  <c r="K26" i="1"/>
  <c r="J38" i="1"/>
  <c r="J26" i="1"/>
  <c r="K32" i="1"/>
  <c r="J44" i="1"/>
  <c r="I35" i="1"/>
  <c r="I77" i="1"/>
  <c r="I47" i="1"/>
  <c r="J32" i="1"/>
  <c r="K38" i="1"/>
  <c r="K44" i="1"/>
  <c r="I53" i="1"/>
  <c r="K56" i="1"/>
  <c r="K50" i="1"/>
  <c r="J50" i="1"/>
  <c r="I71" i="1"/>
  <c r="I83" i="1"/>
  <c r="J56" i="1"/>
  <c r="I89" i="1"/>
  <c r="I65" i="1"/>
  <c r="J62" i="1"/>
  <c r="K68" i="1"/>
  <c r="K62" i="1"/>
  <c r="J86" i="1"/>
  <c r="J74" i="1"/>
  <c r="J68" i="1"/>
  <c r="K80" i="1"/>
  <c r="K74" i="1"/>
  <c r="J80" i="1"/>
  <c r="K86" i="1"/>
  <c r="I97" i="1"/>
  <c r="I96" i="1"/>
  <c r="H95" i="1"/>
  <c r="G95" i="1"/>
  <c r="F95" i="1"/>
  <c r="E95" i="1"/>
  <c r="D95" i="1"/>
  <c r="C95" i="1"/>
  <c r="I94" i="1"/>
  <c r="I93" i="1"/>
  <c r="I92" i="1"/>
  <c r="K92" i="1" l="1"/>
  <c r="I95" i="1"/>
  <c r="J92" i="1"/>
  <c r="I103" i="1"/>
  <c r="I102" i="1"/>
  <c r="H101" i="1"/>
  <c r="G101" i="1"/>
  <c r="F101" i="1"/>
  <c r="E101" i="1"/>
  <c r="D101" i="1"/>
  <c r="C101" i="1"/>
  <c r="I100" i="1"/>
  <c r="I99" i="1"/>
  <c r="I98" i="1"/>
  <c r="I101" i="1" l="1"/>
  <c r="K98" i="1"/>
  <c r="J98" i="1"/>
  <c r="I109" i="1"/>
  <c r="I108" i="1"/>
  <c r="H107" i="1"/>
  <c r="G107" i="1"/>
  <c r="F107" i="1"/>
  <c r="E107" i="1"/>
  <c r="D107" i="1"/>
  <c r="C107" i="1"/>
  <c r="I106" i="1"/>
  <c r="I105" i="1"/>
  <c r="I104" i="1"/>
  <c r="I115" i="1"/>
  <c r="I114" i="1"/>
  <c r="H113" i="1"/>
  <c r="G113" i="1"/>
  <c r="F113" i="1"/>
  <c r="E113" i="1"/>
  <c r="D113" i="1"/>
  <c r="C113" i="1"/>
  <c r="I112" i="1"/>
  <c r="I111" i="1"/>
  <c r="I110" i="1"/>
  <c r="I121" i="1"/>
  <c r="I120" i="1"/>
  <c r="H119" i="1"/>
  <c r="G119" i="1"/>
  <c r="F119" i="1"/>
  <c r="E119" i="1"/>
  <c r="D119" i="1"/>
  <c r="C119" i="1"/>
  <c r="I118" i="1"/>
  <c r="I117" i="1"/>
  <c r="I116" i="1"/>
  <c r="I127" i="1"/>
  <c r="I126" i="1"/>
  <c r="H125" i="1"/>
  <c r="G125" i="1"/>
  <c r="F125" i="1"/>
  <c r="E125" i="1"/>
  <c r="D125" i="1"/>
  <c r="C125" i="1"/>
  <c r="I124" i="1"/>
  <c r="I123" i="1"/>
  <c r="I122" i="1"/>
  <c r="K104" i="1" l="1"/>
  <c r="J104" i="1"/>
  <c r="I107" i="1"/>
  <c r="J110" i="1"/>
  <c r="I113" i="1"/>
  <c r="I119" i="1"/>
  <c r="K110" i="1"/>
  <c r="J116" i="1"/>
  <c r="J122" i="1"/>
  <c r="K116" i="1"/>
  <c r="I125" i="1"/>
  <c r="K122" i="1"/>
  <c r="I133" i="1"/>
  <c r="I132" i="1"/>
  <c r="H131" i="1"/>
  <c r="G131" i="1"/>
  <c r="F131" i="1"/>
  <c r="E131" i="1"/>
  <c r="D131" i="1"/>
  <c r="C131" i="1"/>
  <c r="I130" i="1"/>
  <c r="I129" i="1"/>
  <c r="I128" i="1"/>
  <c r="I139" i="1"/>
  <c r="I138" i="1"/>
  <c r="H137" i="1"/>
  <c r="G137" i="1"/>
  <c r="F137" i="1"/>
  <c r="E137" i="1"/>
  <c r="D137" i="1"/>
  <c r="C137" i="1"/>
  <c r="I136" i="1"/>
  <c r="I135" i="1"/>
  <c r="I134" i="1"/>
  <c r="I145" i="1"/>
  <c r="I144" i="1"/>
  <c r="H143" i="1"/>
  <c r="G143" i="1"/>
  <c r="F143" i="1"/>
  <c r="E143" i="1"/>
  <c r="D143" i="1"/>
  <c r="C143" i="1"/>
  <c r="I142" i="1"/>
  <c r="I141" i="1"/>
  <c r="I140" i="1"/>
  <c r="I151" i="1"/>
  <c r="I150" i="1"/>
  <c r="H149" i="1"/>
  <c r="G149" i="1"/>
  <c r="F149" i="1"/>
  <c r="E149" i="1"/>
  <c r="D149" i="1"/>
  <c r="C149" i="1"/>
  <c r="I148" i="1"/>
  <c r="I147" i="1"/>
  <c r="I146" i="1"/>
  <c r="I152" i="1"/>
  <c r="I153" i="1"/>
  <c r="I154" i="1"/>
  <c r="C155" i="1"/>
  <c r="D155" i="1"/>
  <c r="E155" i="1"/>
  <c r="F155" i="1"/>
  <c r="G155" i="1"/>
  <c r="H155" i="1"/>
  <c r="I156" i="1"/>
  <c r="I157" i="1"/>
  <c r="I163" i="1"/>
  <c r="I162" i="1"/>
  <c r="H161" i="1"/>
  <c r="G161" i="1"/>
  <c r="F161" i="1"/>
  <c r="E161" i="1"/>
  <c r="D161" i="1"/>
  <c r="C161" i="1"/>
  <c r="I160" i="1"/>
  <c r="I159" i="1"/>
  <c r="I158" i="1"/>
  <c r="I169" i="1"/>
  <c r="I168" i="1"/>
  <c r="H167" i="1"/>
  <c r="G167" i="1"/>
  <c r="F167" i="1"/>
  <c r="E167" i="1"/>
  <c r="D167" i="1"/>
  <c r="C167" i="1"/>
  <c r="I166" i="1"/>
  <c r="I165" i="1"/>
  <c r="I164" i="1"/>
  <c r="I175" i="1"/>
  <c r="I174" i="1"/>
  <c r="H173" i="1"/>
  <c r="G173" i="1"/>
  <c r="F173" i="1"/>
  <c r="E173" i="1"/>
  <c r="D173" i="1"/>
  <c r="C173" i="1"/>
  <c r="I172" i="1"/>
  <c r="I171" i="1"/>
  <c r="I170" i="1"/>
  <c r="I181" i="1"/>
  <c r="I180" i="1"/>
  <c r="H179" i="1"/>
  <c r="G179" i="1"/>
  <c r="F179" i="1"/>
  <c r="E179" i="1"/>
  <c r="D179" i="1"/>
  <c r="C179" i="1"/>
  <c r="I178" i="1"/>
  <c r="I177" i="1"/>
  <c r="I176" i="1"/>
  <c r="I187" i="1"/>
  <c r="I186" i="1"/>
  <c r="H185" i="1"/>
  <c r="G185" i="1"/>
  <c r="F185" i="1"/>
  <c r="E185" i="1"/>
  <c r="D185" i="1"/>
  <c r="C185" i="1"/>
  <c r="I184" i="1"/>
  <c r="I183" i="1"/>
  <c r="I182" i="1"/>
  <c r="I193" i="1"/>
  <c r="I192" i="1"/>
  <c r="H191" i="1"/>
  <c r="G191" i="1"/>
  <c r="F191" i="1"/>
  <c r="E191" i="1"/>
  <c r="D191" i="1"/>
  <c r="C191" i="1"/>
  <c r="I190" i="1"/>
  <c r="I189" i="1"/>
  <c r="I188" i="1"/>
  <c r="I199" i="1"/>
  <c r="I198" i="1"/>
  <c r="H197" i="1"/>
  <c r="G197" i="1"/>
  <c r="F197" i="1"/>
  <c r="E197" i="1"/>
  <c r="D197" i="1"/>
  <c r="C197" i="1"/>
  <c r="I196" i="1"/>
  <c r="I195" i="1"/>
  <c r="I194" i="1"/>
  <c r="I200" i="1"/>
  <c r="I201" i="1"/>
  <c r="I202" i="1"/>
  <c r="C203" i="1"/>
  <c r="D203" i="1"/>
  <c r="E203" i="1"/>
  <c r="F203" i="1"/>
  <c r="G203" i="1"/>
  <c r="H203" i="1"/>
  <c r="I204" i="1"/>
  <c r="I205" i="1"/>
  <c r="I211" i="1"/>
  <c r="I210" i="1"/>
  <c r="H209" i="1"/>
  <c r="G209" i="1"/>
  <c r="F209" i="1"/>
  <c r="E209" i="1"/>
  <c r="D209" i="1"/>
  <c r="C209" i="1"/>
  <c r="I208" i="1"/>
  <c r="I207" i="1"/>
  <c r="I206" i="1"/>
  <c r="I131" i="1" l="1"/>
  <c r="J140" i="1"/>
  <c r="I137" i="1"/>
  <c r="K128" i="1"/>
  <c r="J134" i="1"/>
  <c r="K134" i="1"/>
  <c r="J146" i="1"/>
  <c r="J128" i="1"/>
  <c r="K140" i="1"/>
  <c r="I143" i="1"/>
  <c r="I149" i="1"/>
  <c r="K146" i="1"/>
  <c r="I155" i="1"/>
  <c r="J152" i="1"/>
  <c r="J164" i="1"/>
  <c r="K158" i="1"/>
  <c r="K152" i="1"/>
  <c r="K182" i="1"/>
  <c r="I161" i="1"/>
  <c r="J158" i="1"/>
  <c r="I167" i="1"/>
  <c r="K170" i="1"/>
  <c r="K164" i="1"/>
  <c r="I179" i="1"/>
  <c r="I173" i="1"/>
  <c r="I185" i="1"/>
  <c r="J170" i="1"/>
  <c r="I191" i="1"/>
  <c r="K176" i="1"/>
  <c r="I209" i="1"/>
  <c r="J188" i="1"/>
  <c r="J176" i="1"/>
  <c r="I197" i="1"/>
  <c r="J182" i="1"/>
  <c r="J194" i="1"/>
  <c r="K200" i="1"/>
  <c r="J206" i="1"/>
  <c r="K188" i="1"/>
  <c r="I203" i="1"/>
  <c r="J200" i="1"/>
  <c r="K194" i="1"/>
  <c r="K206" i="1"/>
  <c r="I217" i="1"/>
  <c r="I216" i="1"/>
  <c r="H215" i="1"/>
  <c r="G215" i="1"/>
  <c r="F215" i="1"/>
  <c r="E215" i="1"/>
  <c r="D215" i="1"/>
  <c r="C215" i="1"/>
  <c r="I214" i="1"/>
  <c r="I213" i="1"/>
  <c r="I212" i="1"/>
  <c r="I223" i="1"/>
  <c r="I222" i="1"/>
  <c r="H221" i="1"/>
  <c r="G221" i="1"/>
  <c r="F221" i="1"/>
  <c r="E221" i="1"/>
  <c r="D221" i="1"/>
  <c r="C221" i="1"/>
  <c r="I220" i="1"/>
  <c r="I219" i="1"/>
  <c r="I218" i="1"/>
  <c r="I229" i="1"/>
  <c r="I228" i="1"/>
  <c r="H227" i="1"/>
  <c r="G227" i="1"/>
  <c r="F227" i="1"/>
  <c r="E227" i="1"/>
  <c r="D227" i="1"/>
  <c r="C227" i="1"/>
  <c r="I226" i="1"/>
  <c r="I225" i="1"/>
  <c r="I224" i="1"/>
  <c r="I235" i="1"/>
  <c r="I234" i="1"/>
  <c r="H233" i="1"/>
  <c r="G233" i="1"/>
  <c r="F233" i="1"/>
  <c r="E233" i="1"/>
  <c r="D233" i="1"/>
  <c r="C233" i="1"/>
  <c r="I232" i="1"/>
  <c r="I231" i="1"/>
  <c r="I230" i="1"/>
  <c r="K212" i="1" l="1"/>
  <c r="J212" i="1"/>
  <c r="I215" i="1"/>
  <c r="K218" i="1"/>
  <c r="I221" i="1"/>
  <c r="J224" i="1"/>
  <c r="K230" i="1"/>
  <c r="J218" i="1"/>
  <c r="K224" i="1"/>
  <c r="I227" i="1"/>
  <c r="I233" i="1"/>
  <c r="J230" i="1"/>
  <c r="I241" i="1"/>
  <c r="I240" i="1"/>
  <c r="H239" i="1"/>
  <c r="G239" i="1"/>
  <c r="F239" i="1"/>
  <c r="E239" i="1"/>
  <c r="D239" i="1"/>
  <c r="C239" i="1"/>
  <c r="I238" i="1"/>
  <c r="I237" i="1"/>
  <c r="I236" i="1"/>
  <c r="I239" i="1" l="1"/>
  <c r="K236" i="1"/>
  <c r="J236" i="1"/>
  <c r="I247" i="1"/>
  <c r="I246" i="1"/>
  <c r="H245" i="1"/>
  <c r="G245" i="1"/>
  <c r="F245" i="1"/>
  <c r="E245" i="1"/>
  <c r="D245" i="1"/>
  <c r="C245" i="1"/>
  <c r="I244" i="1"/>
  <c r="I243" i="1"/>
  <c r="I242" i="1"/>
  <c r="K242" i="1" l="1"/>
  <c r="I245" i="1"/>
  <c r="J242" i="1"/>
  <c r="I253" i="1"/>
  <c r="I252" i="1"/>
  <c r="H251" i="1"/>
  <c r="G251" i="1"/>
  <c r="F251" i="1"/>
  <c r="E251" i="1"/>
  <c r="D251" i="1"/>
  <c r="C251" i="1"/>
  <c r="I250" i="1"/>
  <c r="I249" i="1"/>
  <c r="I248" i="1"/>
  <c r="I259" i="1"/>
  <c r="I258" i="1"/>
  <c r="H257" i="1"/>
  <c r="G257" i="1"/>
  <c r="F257" i="1"/>
  <c r="E257" i="1"/>
  <c r="D257" i="1"/>
  <c r="C257" i="1"/>
  <c r="I256" i="1"/>
  <c r="I255" i="1"/>
  <c r="I254" i="1"/>
  <c r="I265" i="1"/>
  <c r="I264" i="1"/>
  <c r="H263" i="1"/>
  <c r="G263" i="1"/>
  <c r="F263" i="1"/>
  <c r="E263" i="1"/>
  <c r="D263" i="1"/>
  <c r="C263" i="1"/>
  <c r="I262" i="1"/>
  <c r="I261" i="1"/>
  <c r="I260" i="1"/>
  <c r="I271" i="1"/>
  <c r="I270" i="1"/>
  <c r="H269" i="1"/>
  <c r="G269" i="1"/>
  <c r="F269" i="1"/>
  <c r="E269" i="1"/>
  <c r="D269" i="1"/>
  <c r="C269" i="1"/>
  <c r="I268" i="1"/>
  <c r="I267" i="1"/>
  <c r="I266" i="1"/>
  <c r="I277" i="1"/>
  <c r="I276" i="1"/>
  <c r="H275" i="1"/>
  <c r="G275" i="1"/>
  <c r="F275" i="1"/>
  <c r="E275" i="1"/>
  <c r="D275" i="1"/>
  <c r="C275" i="1"/>
  <c r="I274" i="1"/>
  <c r="I273" i="1"/>
  <c r="I272" i="1"/>
  <c r="I283" i="1"/>
  <c r="I282" i="1"/>
  <c r="H281" i="1"/>
  <c r="G281" i="1"/>
  <c r="F281" i="1"/>
  <c r="E281" i="1"/>
  <c r="D281" i="1"/>
  <c r="C281" i="1"/>
  <c r="I280" i="1"/>
  <c r="I279" i="1"/>
  <c r="I278" i="1"/>
  <c r="I289" i="1"/>
  <c r="I288" i="1"/>
  <c r="H287" i="1"/>
  <c r="G287" i="1"/>
  <c r="F287" i="1"/>
  <c r="E287" i="1"/>
  <c r="D287" i="1"/>
  <c r="C287" i="1"/>
  <c r="I286" i="1"/>
  <c r="I285" i="1"/>
  <c r="I284" i="1"/>
  <c r="F26" i="2"/>
  <c r="F25" i="2"/>
  <c r="F24" i="2"/>
  <c r="K17" i="2"/>
  <c r="I17" i="2"/>
  <c r="H17" i="2"/>
  <c r="G17" i="2"/>
  <c r="F17" i="2"/>
  <c r="D17" i="2"/>
  <c r="C17" i="2"/>
  <c r="L16" i="2"/>
  <c r="L15" i="2"/>
  <c r="K14" i="2"/>
  <c r="I14" i="2"/>
  <c r="H14" i="2"/>
  <c r="G14" i="2"/>
  <c r="E14" i="2"/>
  <c r="C14" i="2"/>
  <c r="L13" i="2"/>
  <c r="I8" i="2"/>
  <c r="I7" i="2"/>
  <c r="H6" i="2"/>
  <c r="G6" i="2"/>
  <c r="F6" i="2"/>
  <c r="E6" i="2"/>
  <c r="D6" i="2"/>
  <c r="C6" i="2"/>
  <c r="I5" i="2"/>
  <c r="I251" i="1" l="1"/>
  <c r="J266" i="1"/>
  <c r="K248" i="1"/>
  <c r="J248" i="1"/>
  <c r="J260" i="1"/>
  <c r="I257" i="1"/>
  <c r="K254" i="1"/>
  <c r="K260" i="1"/>
  <c r="J254" i="1"/>
  <c r="I263" i="1"/>
  <c r="I275" i="1"/>
  <c r="I269" i="1"/>
  <c r="K266" i="1"/>
  <c r="K272" i="1"/>
  <c r="J278" i="1"/>
  <c r="J284" i="1"/>
  <c r="J272" i="1"/>
  <c r="I281" i="1"/>
  <c r="K278" i="1"/>
  <c r="I287" i="1"/>
  <c r="K284" i="1"/>
  <c r="K3" i="2"/>
  <c r="J3" i="2"/>
  <c r="F27" i="2"/>
  <c r="L14" i="2"/>
  <c r="L17" i="2"/>
  <c r="I6" i="2"/>
  <c r="E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Y_Kailyubayev</author>
    <author>Кайлюбаев Ерлан Сейтканулы</author>
  </authors>
  <commentList>
    <comment ref="J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7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D12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29-04-2026 бастап</t>
        </r>
      </text>
    </comment>
    <comment ref="E14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15-06-2026 бастап келісім шарт аяқталды</t>
        </r>
      </text>
    </comment>
    <comment ref="H14" authorId="1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17-03-2025 түнге шығып бастады</t>
        </r>
      </text>
    </comment>
    <comment ref="D16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Sela-отказға кетті 01.04.2026 бастап</t>
        </r>
      </text>
    </comment>
    <comment ref="K16" authorId="1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по заявке 30 күн</t>
        </r>
      </text>
    </comment>
    <comment ref="A19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Y_Kailyubayev:</t>
        </r>
        <r>
          <rPr>
            <sz val="9"/>
            <color indexed="81"/>
            <rFont val="Tahoma"/>
            <family val="2"/>
            <charset val="204"/>
          </rPr>
          <t xml:space="preserve">
Жалдамалы және түнде жүрген көліктерді қоса есептегенде</t>
        </r>
      </text>
    </comment>
    <comment ref="F26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 -1ед  100т кран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Y_Kailyubayev</author>
    <author>Кайлюбаев Ерлан Сейтканулы</author>
  </authors>
  <commentList>
    <comment ref="J4" authorId="0" shapeId="0" xr:uid="{4AD239DB-388F-459A-B697-5230EE99B648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6" authorId="1" shapeId="0" xr:uid="{3FA542A8-07B0-4321-BDD4-B904856DD01F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0" authorId="0" shapeId="0" xr:uid="{CD6662BC-948C-4BB0-93E5-696AAABDD5C5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2" authorId="1" shapeId="0" xr:uid="{F12B538B-9E56-4C61-81A0-72148C5A77FE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6" authorId="0" shapeId="0" xr:uid="{DCA93FFF-0E52-40AA-950A-C50438D0BE84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8" authorId="1" shapeId="0" xr:uid="{F63B5084-6BDA-46EE-B0D1-45FEC0948C75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2" authorId="0" shapeId="0" xr:uid="{D888419A-1761-46CE-AEEF-DBB704126B61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4" authorId="1" shapeId="0" xr:uid="{6D7864AF-5351-4090-A031-093AB1706329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8" authorId="0" shapeId="0" xr:uid="{F00FF821-A38D-4E11-846F-E51FF64EB9D0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30" authorId="1" shapeId="0" xr:uid="{BBAC42B9-AB99-497C-A652-0EA72BFF76A2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34" authorId="0" shapeId="0" xr:uid="{939342C4-692A-422B-B6DA-089D211057A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36" authorId="1" shapeId="0" xr:uid="{F598A016-0477-411F-B194-857C75692553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40" authorId="0" shapeId="0" xr:uid="{765E2EDB-4EFC-4BBE-8976-A12328EADB87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42" authorId="1" shapeId="0" xr:uid="{E1AF4FE7-F03E-4AEA-BFF4-2D057C16A762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46" authorId="0" shapeId="0" xr:uid="{978BDCD4-DBCF-40AA-9BBC-8F75FBD6245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48" authorId="1" shapeId="0" xr:uid="{6D27F11D-249C-4FD1-AB68-2B442E806BD5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52" authorId="0" shapeId="0" xr:uid="{4204BD6D-787C-4FDD-9DBB-1852205D11E7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54" authorId="1" shapeId="0" xr:uid="{6728B9AB-197C-44DE-81E1-ADB5673C3CF4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58" authorId="0" shapeId="0" xr:uid="{06E07FB3-9170-4352-A130-882937357FA5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60" authorId="1" shapeId="0" xr:uid="{46CE65EC-6E2C-496F-97A5-E912E23CA84B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64" authorId="0" shapeId="0" xr:uid="{AD7EC65C-3A13-463E-BD3F-85401D1DB0DD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66" authorId="1" shapeId="0" xr:uid="{AD8338EE-562C-46D5-8091-475312F12D82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70" authorId="0" shapeId="0" xr:uid="{A00C3361-9C60-4554-838D-698DAE813E6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72" authorId="1" shapeId="0" xr:uid="{74F971E4-E2A9-4337-A087-E4D316603694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76" authorId="0" shapeId="0" xr:uid="{5213F31E-A778-47C7-BCC1-8D8CD9461543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78" authorId="1" shapeId="0" xr:uid="{92743BD4-773E-4087-9FDC-B95835F46F1E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82" authorId="0" shapeId="0" xr:uid="{DFC6E0B5-3D96-47AA-B818-730760C4AD65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84" authorId="1" shapeId="0" xr:uid="{8C4128C5-1AA6-41F8-83DC-8B399B93D49D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88" authorId="0" shapeId="0" xr:uid="{2BCB3ABB-15F1-4864-951C-2C24C879B44B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90" authorId="1" shapeId="0" xr:uid="{0F09D012-8C7D-4512-B9DC-DAADCF22360A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94" authorId="0" shapeId="0" xr:uid="{43656EAC-C680-46FF-8523-1EF9B76F3B97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96" authorId="1" shapeId="0" xr:uid="{28FFE0D1-2AD4-41A1-AC27-435D6D5E323F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00" authorId="0" shapeId="0" xr:uid="{8AE2307F-890C-45F9-8722-63125A4D3B1D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02" authorId="1" shapeId="0" xr:uid="{182B1104-EF73-4C74-85A8-223CB74ECFC8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06" authorId="0" shapeId="0" xr:uid="{36574100-19F2-4579-8AAF-6EF821A21EF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08" authorId="1" shapeId="0" xr:uid="{EF7E93E9-CC1F-469A-A90F-6199307D7693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12" authorId="0" shapeId="0" xr:uid="{0D509F34-974F-4306-9323-A4421C1AE24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14" authorId="1" shapeId="0" xr:uid="{EE9F8974-645F-4B75-80A5-CAD3CAE9498D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18" authorId="0" shapeId="0" xr:uid="{D73BA153-3212-4778-BDEB-1F8C958FD207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20" authorId="1" shapeId="0" xr:uid="{D8DDC276-A1FF-481E-91AF-5F757746E9C5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24" authorId="0" shapeId="0" xr:uid="{C1CF3DB7-C39F-4993-9FA9-EB891DB56746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26" authorId="1" shapeId="0" xr:uid="{EAE15FCB-5DCC-4DD8-B6E5-50D681F87750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30" authorId="0" shapeId="0" xr:uid="{BF063FE4-97E5-4620-B4AB-45946C5BA831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32" authorId="1" shapeId="0" xr:uid="{80D5C612-4D91-4EF1-96D6-FE459C3F3158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36" authorId="0" shapeId="0" xr:uid="{C56A628A-6F18-40D6-B8C4-B0831FC4171F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38" authorId="1" shapeId="0" xr:uid="{59F5F3E5-F4D2-4FB0-BD66-903A5F058216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42" authorId="0" shapeId="0" xr:uid="{0F7216F6-DBC6-4422-BDB7-5A48E54F8AB1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44" authorId="1" shapeId="0" xr:uid="{6F07A8ED-B208-49E5-8A11-0C4D90FDB2AC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48" authorId="0" shapeId="0" xr:uid="{2F6EEA0C-41B8-4519-BE6B-D2BAEB409C2E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50" authorId="1" shapeId="0" xr:uid="{66182189-2C4A-4296-BC05-FD7DB99BDFC3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54" authorId="0" shapeId="0" xr:uid="{AD83D290-2B8E-4E92-A32A-966382FD3584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56" authorId="1" shapeId="0" xr:uid="{0E8AB115-F161-46CB-8BAE-F10C1BCD9D3D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60" authorId="0" shapeId="0" xr:uid="{4FA27B43-1E3E-4700-B974-8AFFD714BD73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62" authorId="1" shapeId="0" xr:uid="{944E722A-C5D4-4A79-AA8E-B220848597E5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66" authorId="0" shapeId="0" xr:uid="{7FF8664C-CEC7-4D33-8628-F7ACFFD7F718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68" authorId="1" shapeId="0" xr:uid="{4E2D682E-4082-4ABF-86D9-278DE85294EB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72" authorId="0" shapeId="0" xr:uid="{BC8D39B0-B16B-45EB-A477-401438BF30C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74" authorId="1" shapeId="0" xr:uid="{82D6A7C0-A600-425D-9D07-179FCBFCC88F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78" authorId="0" shapeId="0" xr:uid="{31C004A3-B5C9-4107-B633-7EDE5001A067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80" authorId="1" shapeId="0" xr:uid="{E2F5763E-7343-4A64-83BB-227A4B461440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84" authorId="0" shapeId="0" xr:uid="{5ACBF5A6-1330-4488-93D2-263E79367BD1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86" authorId="1" shapeId="0" xr:uid="{B04B7613-77ED-4D8C-8911-A3835FFB83F2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90" authorId="0" shapeId="0" xr:uid="{9DC45F1A-925F-48B7-917D-3F23B5402306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92" authorId="1" shapeId="0" xr:uid="{59191B45-AF0B-4A60-8FEC-832A19D92099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196" authorId="0" shapeId="0" xr:uid="{ED6C4745-A372-4E68-B69B-57D18B7AE696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198" authorId="1" shapeId="0" xr:uid="{A477C4D1-0055-4417-B814-5A5E3250D3C5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02" authorId="0" shapeId="0" xr:uid="{BE37CBFA-E380-4A54-95C8-A4EDA53704F5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04" authorId="1" shapeId="0" xr:uid="{1EEFA598-127F-4426-85E4-5CD38E565F8B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08" authorId="0" shapeId="0" xr:uid="{1601493B-66DB-4CE3-A3F5-EFC56B52B0F1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10" authorId="1" shapeId="0" xr:uid="{21035290-BB56-4918-A393-489A5E690747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14" authorId="0" shapeId="0" xr:uid="{211CCB8E-AB90-4AD9-B723-B21E4E8DA302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16" authorId="1" shapeId="0" xr:uid="{85AE7409-81EC-4C6E-AD4E-5CF751D51833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20" authorId="0" shapeId="0" xr:uid="{BF7F2E3A-FE62-406B-9520-029B30F00BE8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22" authorId="1" shapeId="0" xr:uid="{5B3E61AE-FAE3-4E1E-B32D-49ABC0A0D32A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26" authorId="0" shapeId="0" xr:uid="{EB23D803-19C9-4027-A9E4-9671D57CB6DC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28" authorId="1" shapeId="0" xr:uid="{1AB9BAA3-7AC6-4D24-916A-2D495112EE95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32" authorId="0" shapeId="0" xr:uid="{8FAFC56A-D57F-4FF2-BE64-554F9463BCFB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34" authorId="1" shapeId="0" xr:uid="{BB7E0837-64DD-4460-9B8F-8093F92BA00B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38" authorId="0" shapeId="0" xr:uid="{AFF9F5C3-FA18-4EA4-8CA6-3E131C2CB05E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40" authorId="1" shapeId="0" xr:uid="{5EF28E3C-BC98-4FD2-B760-FCA89B4161A7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44" authorId="0" shapeId="0" xr:uid="{00B3EAFE-6B17-41E3-BB18-7996F4235038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46" authorId="1" shapeId="0" xr:uid="{5B032315-4389-49E3-AB6B-857928623862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50" authorId="0" shapeId="0" xr:uid="{1EDB827D-D77B-4128-99CB-257EC7FAE086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52" authorId="1" shapeId="0" xr:uid="{6C42B57C-023D-4A39-96F9-D7FC27FF5A4D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56" authorId="0" shapeId="0" xr:uid="{6041902D-200F-4C0D-B04A-B7220B196669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58" authorId="1" shapeId="0" xr:uid="{132AA072-473B-425C-A6D9-B5E2EADBD226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62" authorId="0" shapeId="0" xr:uid="{123B15C7-6596-4BC3-8492-B2000B16360B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64" authorId="1" shapeId="0" xr:uid="{72825132-9D73-4723-B04C-48FCA828AB43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68" authorId="0" shapeId="0" xr:uid="{54921C61-0365-4AFB-B1A0-5FE59EE06585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70" authorId="1" shapeId="0" xr:uid="{118B58A3-9FB6-43D1-99F4-3F52A0EA98C0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74" authorId="0" shapeId="0" xr:uid="{DE05E2C7-E3D9-4FA0-9F97-B6DA48BD3163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76" authorId="1" shapeId="0" xr:uid="{E8442474-28C1-4EF3-A365-0F04056E8281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80" authorId="0" shapeId="0" xr:uid="{F90CE4E8-38F1-4FEA-9C42-968F727FCF7B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82" authorId="1" shapeId="0" xr:uid="{27F613BC-B278-4726-9D75-4481615C367D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  <comment ref="J286" authorId="0" shapeId="0" xr:uid="{1F0DCA11-9F53-48E6-9FAF-3CD7EC38E6E7}">
      <text>
        <r>
          <rPr>
            <b/>
            <sz val="9"/>
            <color indexed="81"/>
            <rFont val="Tahoma"/>
            <family val="2"/>
            <charset val="204"/>
          </rPr>
          <t>Кол-во ТС работающих круглосуточно</t>
        </r>
      </text>
    </comment>
    <comment ref="C288" authorId="1" shapeId="0" xr:uid="{866D3451-F019-4F29-B538-79147C46BC24}">
      <text>
        <r>
          <rPr>
            <b/>
            <sz val="9"/>
            <color indexed="81"/>
            <rFont val="Tahoma"/>
            <family val="2"/>
            <charset val="204"/>
          </rPr>
          <t>Кайлюбаев Ерлан:</t>
        </r>
        <r>
          <rPr>
            <sz val="9"/>
            <color indexed="81"/>
            <rFont val="Tahoma"/>
            <family val="2"/>
            <charset val="204"/>
          </rPr>
          <t xml:space="preserve">
из них
+21ед Метта
</t>
        </r>
      </text>
    </comment>
  </commentList>
</comments>
</file>

<file path=xl/sharedStrings.xml><?xml version="1.0" encoding="utf-8"?>
<sst xmlns="http://schemas.openxmlformats.org/spreadsheetml/2006/main" count="347" uniqueCount="40">
  <si>
    <t>а</t>
  </si>
  <si>
    <t>г</t>
  </si>
  <si>
    <t>у</t>
  </si>
  <si>
    <t>б</t>
  </si>
  <si>
    <t>Күні / Дата</t>
  </si>
  <si>
    <t xml:space="preserve">Статус </t>
  </si>
  <si>
    <t>диспетчер # 1 А</t>
  </si>
  <si>
    <t>диспетчер # 2 А</t>
  </si>
  <si>
    <t>диспетчер # 3 А</t>
  </si>
  <si>
    <t>диспетчер # 4 А</t>
  </si>
  <si>
    <t>диспетчер # 5 У</t>
  </si>
  <si>
    <t>диспетчер # 6 У</t>
  </si>
  <si>
    <t>Барлығы / Всего</t>
  </si>
  <si>
    <t>КТГ</t>
  </si>
  <si>
    <t>КИП</t>
  </si>
  <si>
    <t>Жөндеуде / Ремонт</t>
  </si>
  <si>
    <t>Резерв</t>
  </si>
  <si>
    <t>Түн / Ночь</t>
  </si>
  <si>
    <t>Желіде / Выход</t>
  </si>
  <si>
    <t xml:space="preserve">Жалпы / Всего </t>
  </si>
  <si>
    <t>Есептен шығу / Списание</t>
  </si>
  <si>
    <t>Жалдамалы көлік бойынша мәлімет</t>
  </si>
  <si>
    <t>13 (Мобил)</t>
  </si>
  <si>
    <t>16(Мобил)</t>
  </si>
  <si>
    <t>24 (ТТС)</t>
  </si>
  <si>
    <t>20 (мобил)</t>
  </si>
  <si>
    <t>22 (мобил)</t>
  </si>
  <si>
    <t>27 (Мобил)</t>
  </si>
  <si>
    <t>40 (мобил)</t>
  </si>
  <si>
    <t>63 (Кран 100т Мобил)</t>
  </si>
  <si>
    <t>Күн / Түн жүрген көліктер</t>
  </si>
  <si>
    <t>Жоспар / План</t>
  </si>
  <si>
    <t>Мобил СГ</t>
  </si>
  <si>
    <t>пикап</t>
  </si>
  <si>
    <t>Нақты / Факт</t>
  </si>
  <si>
    <t>Жалпы көлік шығуы:</t>
  </si>
  <si>
    <t>гараж-1</t>
  </si>
  <si>
    <t>гараж-2</t>
  </si>
  <si>
    <t>аренда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</si>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</sst>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3" x14ac:knownFonts="1">
    <font>
      <sz val="10"/>
      <name val="Arial"/>
    </font>
    <font>
      <sz val="11"/>
      <color rgb="FF9C0006"/>
      <name val="Calibri"/>
      <family val="2"/>
      <charset val="204"/>
      <scheme val="minor"/>
    </font>
    <font>
      <sz val="9"/>
      <name val="Arial"/>
      <family val="2"/>
      <charset val="204"/>
    </font>
    <font>
      <sz val="9"/>
      <color indexed="10"/>
      <name val="Arial"/>
      <family val="2"/>
      <charset val="204"/>
    </font>
    <font>
      <b/>
      <sz val="9"/>
      <name val="Arial"/>
      <family val="2"/>
      <charset val="204"/>
    </font>
    <font>
      <b/>
      <sz val="9"/>
      <color indexed="10"/>
      <name val="Arial"/>
      <family val="2"/>
      <charset val="204"/>
    </font>
    <font>
      <b/>
      <sz val="9"/>
      <color indexed="17"/>
      <name val="Arial"/>
      <family val="2"/>
      <charset val="204"/>
    </font>
    <font>
      <sz val="9"/>
      <color indexed="8"/>
      <name val="Arial"/>
      <family val="2"/>
      <charset val="204"/>
    </font>
    <font>
      <b/>
      <sz val="9"/>
      <color rgb="FF0000FF"/>
      <name val="Arial"/>
      <family val="2"/>
      <charset val="204"/>
    </font>
    <font>
      <sz val="9"/>
      <color indexed="60"/>
      <name val="Arial"/>
      <family val="2"/>
      <charset val="204"/>
    </font>
    <font>
      <b/>
      <sz val="8"/>
      <name val="Arial"/>
      <family val="2"/>
      <charset val="204"/>
    </font>
    <font>
      <b/>
      <sz val="9"/>
      <color rgb="FF800000"/>
      <name val="Arial"/>
      <family val="2"/>
      <charset val="204"/>
    </font>
    <font>
      <b/>
      <sz val="11"/>
      <color rgb="FF800000"/>
      <name val="Arial"/>
      <family val="2"/>
      <charset val="204"/>
    </font>
    <font>
      <b/>
      <sz val="9"/>
      <color indexed="53"/>
      <name val="Arial"/>
      <family val="2"/>
      <charset val="204"/>
    </font>
    <font>
      <b/>
      <sz val="11"/>
      <name val="Arial"/>
      <family val="2"/>
      <charset val="204"/>
    </font>
    <font>
      <b/>
      <sz val="9"/>
      <color indexed="12"/>
      <name val="Arial"/>
      <family val="2"/>
      <charset val="204"/>
    </font>
    <font>
      <b/>
      <sz val="11"/>
      <color indexed="1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1"/>
      <color indexed="17"/>
      <name val="Arial"/>
      <family val="2"/>
      <charset val="204"/>
    </font>
    <font>
      <b/>
      <sz val="11"/>
      <color rgb="FF0000FF"/>
      <name val="Arial"/>
      <family val="2"/>
      <charset val="204"/>
    </font>
    <font>
      <b/>
      <sz val="11"/>
      <color indexed="12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9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4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2" fontId="6" fillId="0" borderId="0" xfId="0" applyNumberFormat="1" applyFont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 shrinkToFit="1"/>
    </xf>
    <xf numFmtId="0" fontId="2" fillId="0" borderId="0" xfId="0" applyFont="1" applyAlignment="1">
      <alignment vertical="center" wrapText="1" shrinkToFit="1"/>
    </xf>
    <xf numFmtId="0" fontId="8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vertical="center" wrapText="1" shrinkToFit="1"/>
    </xf>
    <xf numFmtId="0" fontId="5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vertical="center" wrapText="1"/>
    </xf>
    <xf numFmtId="0" fontId="4" fillId="0" borderId="0" xfId="0" applyFont="1"/>
    <xf numFmtId="164" fontId="4" fillId="0" borderId="0" xfId="0" applyNumberFormat="1" applyFont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wrapText="1" shrinkToFi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shrinkToFit="1"/>
    </xf>
    <xf numFmtId="0" fontId="16" fillId="4" borderId="1" xfId="1" applyFont="1" applyFill="1" applyBorder="1" applyAlignment="1">
      <alignment horizontal="center" vertical="center" shrinkToFit="1"/>
    </xf>
    <xf numFmtId="0" fontId="17" fillId="0" borderId="0" xfId="1" applyFont="1" applyFill="1" applyBorder="1" applyAlignment="1">
      <alignment horizontal="center" vertical="center" wrapText="1" shrinkToFi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18" fillId="4" borderId="1" xfId="1" applyFont="1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9" fillId="4" borderId="1" xfId="1" applyFont="1" applyFill="1" applyBorder="1" applyAlignment="1">
      <alignment horizontal="center" vertical="center" shrinkToFit="1"/>
    </xf>
    <xf numFmtId="49" fontId="2" fillId="0" borderId="0" xfId="0" applyNumberFormat="1" applyFont="1"/>
    <xf numFmtId="0" fontId="15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shrinkToFit="1"/>
    </xf>
    <xf numFmtId="0" fontId="2" fillId="0" borderId="0" xfId="0" applyFont="1" applyAlignment="1">
      <alignment vertical="top"/>
    </xf>
    <xf numFmtId="0" fontId="20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2">
    <cellStyle name="Обычный" xfId="0" builtinId="0"/>
    <cellStyle name="Плохой" xfId="1" builtinId="27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"/>
  <sheetViews>
    <sheetView tabSelected="1" zoomScale="90" zoomScaleNormal="90" workbookViewId="0">
      <pane ySplit="1" topLeftCell="A2" activePane="bottomLeft" state="frozen"/>
      <selection pane="bottomLeft" activeCell="L7" sqref="L7"/>
    </sheetView>
  </sheetViews>
  <sheetFormatPr defaultColWidth="9.109375" defaultRowHeight="12.15" customHeight="1" x14ac:dyDescent="0.2"/>
  <cols>
    <col min="1" max="1" width="12.33203125" style="2" customWidth="1"/>
    <col min="2" max="2" width="19" style="2" customWidth="1"/>
    <col min="3" max="8" width="13.33203125" style="2" customWidth="1"/>
    <col min="9" max="9" width="10.44140625" style="2" customWidth="1"/>
    <col min="10" max="10" width="10" style="2" customWidth="1"/>
    <col min="11" max="11" width="10.6640625" style="2" customWidth="1"/>
    <col min="12" max="12" width="9.109375" style="2"/>
    <col min="13" max="13" width="7.6640625" style="2" customWidth="1"/>
    <col min="14" max="14" width="9" style="2" bestFit="1" customWidth="1"/>
    <col min="15" max="15" width="7.88671875" style="2" customWidth="1"/>
    <col min="16" max="16" width="6.77734375" style="2" customWidth="1"/>
    <col min="17" max="17" width="10.44140625" style="2" customWidth="1"/>
    <col min="18" max="28" width="9.33203125" style="2" customWidth="1"/>
    <col min="29" max="30" width="9.33203125" style="5" customWidth="1"/>
    <col min="31" max="34" width="9.33203125" style="2" customWidth="1"/>
    <col min="35" max="256" width="9.109375" style="2"/>
    <col min="257" max="257" width="12.33203125" style="2" customWidth="1"/>
    <col min="258" max="258" width="19" style="2" customWidth="1"/>
    <col min="259" max="259" width="10.88671875" style="2" customWidth="1"/>
    <col min="260" max="260" width="10.5546875" style="2" customWidth="1"/>
    <col min="261" max="265" width="10.44140625" style="2" customWidth="1"/>
    <col min="266" max="266" width="10" style="2" customWidth="1"/>
    <col min="267" max="268" width="9.109375" style="2"/>
    <col min="269" max="269" width="7.6640625" style="2" customWidth="1"/>
    <col min="270" max="270" width="10.88671875" style="2" customWidth="1"/>
    <col min="271" max="272" width="7.88671875" style="2" customWidth="1"/>
    <col min="273" max="273" width="10.44140625" style="2" customWidth="1"/>
    <col min="274" max="290" width="9.33203125" style="2" customWidth="1"/>
    <col min="291" max="512" width="9.109375" style="2"/>
    <col min="513" max="513" width="12.33203125" style="2" customWidth="1"/>
    <col min="514" max="514" width="19" style="2" customWidth="1"/>
    <col min="515" max="515" width="10.88671875" style="2" customWidth="1"/>
    <col min="516" max="516" width="10.5546875" style="2" customWidth="1"/>
    <col min="517" max="521" width="10.44140625" style="2" customWidth="1"/>
    <col min="522" max="522" width="10" style="2" customWidth="1"/>
    <col min="523" max="524" width="9.109375" style="2"/>
    <col min="525" max="525" width="7.6640625" style="2" customWidth="1"/>
    <col min="526" max="526" width="10.88671875" style="2" customWidth="1"/>
    <col min="527" max="528" width="7.88671875" style="2" customWidth="1"/>
    <col min="529" max="529" width="10.44140625" style="2" customWidth="1"/>
    <col min="530" max="546" width="9.33203125" style="2" customWidth="1"/>
    <col min="547" max="768" width="9.109375" style="2"/>
    <col min="769" max="769" width="12.33203125" style="2" customWidth="1"/>
    <col min="770" max="770" width="19" style="2" customWidth="1"/>
    <col min="771" max="771" width="10.88671875" style="2" customWidth="1"/>
    <col min="772" max="772" width="10.5546875" style="2" customWidth="1"/>
    <col min="773" max="777" width="10.44140625" style="2" customWidth="1"/>
    <col min="778" max="778" width="10" style="2" customWidth="1"/>
    <col min="779" max="780" width="9.109375" style="2"/>
    <col min="781" max="781" width="7.6640625" style="2" customWidth="1"/>
    <col min="782" max="782" width="10.88671875" style="2" customWidth="1"/>
    <col min="783" max="784" width="7.88671875" style="2" customWidth="1"/>
    <col min="785" max="785" width="10.44140625" style="2" customWidth="1"/>
    <col min="786" max="802" width="9.33203125" style="2" customWidth="1"/>
    <col min="803" max="1024" width="9.109375" style="2"/>
    <col min="1025" max="1025" width="12.33203125" style="2" customWidth="1"/>
    <col min="1026" max="1026" width="19" style="2" customWidth="1"/>
    <col min="1027" max="1027" width="10.88671875" style="2" customWidth="1"/>
    <col min="1028" max="1028" width="10.5546875" style="2" customWidth="1"/>
    <col min="1029" max="1033" width="10.44140625" style="2" customWidth="1"/>
    <col min="1034" max="1034" width="10" style="2" customWidth="1"/>
    <col min="1035" max="1036" width="9.109375" style="2"/>
    <col min="1037" max="1037" width="7.6640625" style="2" customWidth="1"/>
    <col min="1038" max="1038" width="10.88671875" style="2" customWidth="1"/>
    <col min="1039" max="1040" width="7.88671875" style="2" customWidth="1"/>
    <col min="1041" max="1041" width="10.44140625" style="2" customWidth="1"/>
    <col min="1042" max="1058" width="9.33203125" style="2" customWidth="1"/>
    <col min="1059" max="1280" width="9.109375" style="2"/>
    <col min="1281" max="1281" width="12.33203125" style="2" customWidth="1"/>
    <col min="1282" max="1282" width="19" style="2" customWidth="1"/>
    <col min="1283" max="1283" width="10.88671875" style="2" customWidth="1"/>
    <col min="1284" max="1284" width="10.5546875" style="2" customWidth="1"/>
    <col min="1285" max="1289" width="10.44140625" style="2" customWidth="1"/>
    <col min="1290" max="1290" width="10" style="2" customWidth="1"/>
    <col min="1291" max="1292" width="9.109375" style="2"/>
    <col min="1293" max="1293" width="7.6640625" style="2" customWidth="1"/>
    <col min="1294" max="1294" width="10.88671875" style="2" customWidth="1"/>
    <col min="1295" max="1296" width="7.88671875" style="2" customWidth="1"/>
    <col min="1297" max="1297" width="10.44140625" style="2" customWidth="1"/>
    <col min="1298" max="1314" width="9.33203125" style="2" customWidth="1"/>
    <col min="1315" max="1536" width="9.109375" style="2"/>
    <col min="1537" max="1537" width="12.33203125" style="2" customWidth="1"/>
    <col min="1538" max="1538" width="19" style="2" customWidth="1"/>
    <col min="1539" max="1539" width="10.88671875" style="2" customWidth="1"/>
    <col min="1540" max="1540" width="10.5546875" style="2" customWidth="1"/>
    <col min="1541" max="1545" width="10.44140625" style="2" customWidth="1"/>
    <col min="1546" max="1546" width="10" style="2" customWidth="1"/>
    <col min="1547" max="1548" width="9.109375" style="2"/>
    <col min="1549" max="1549" width="7.6640625" style="2" customWidth="1"/>
    <col min="1550" max="1550" width="10.88671875" style="2" customWidth="1"/>
    <col min="1551" max="1552" width="7.88671875" style="2" customWidth="1"/>
    <col min="1553" max="1553" width="10.44140625" style="2" customWidth="1"/>
    <col min="1554" max="1570" width="9.33203125" style="2" customWidth="1"/>
    <col min="1571" max="1792" width="9.109375" style="2"/>
    <col min="1793" max="1793" width="12.33203125" style="2" customWidth="1"/>
    <col min="1794" max="1794" width="19" style="2" customWidth="1"/>
    <col min="1795" max="1795" width="10.88671875" style="2" customWidth="1"/>
    <col min="1796" max="1796" width="10.5546875" style="2" customWidth="1"/>
    <col min="1797" max="1801" width="10.44140625" style="2" customWidth="1"/>
    <col min="1802" max="1802" width="10" style="2" customWidth="1"/>
    <col min="1803" max="1804" width="9.109375" style="2"/>
    <col min="1805" max="1805" width="7.6640625" style="2" customWidth="1"/>
    <col min="1806" max="1806" width="10.88671875" style="2" customWidth="1"/>
    <col min="1807" max="1808" width="7.88671875" style="2" customWidth="1"/>
    <col min="1809" max="1809" width="10.44140625" style="2" customWidth="1"/>
    <col min="1810" max="1826" width="9.33203125" style="2" customWidth="1"/>
    <col min="1827" max="2048" width="9.109375" style="2"/>
    <col min="2049" max="2049" width="12.33203125" style="2" customWidth="1"/>
    <col min="2050" max="2050" width="19" style="2" customWidth="1"/>
    <col min="2051" max="2051" width="10.88671875" style="2" customWidth="1"/>
    <col min="2052" max="2052" width="10.5546875" style="2" customWidth="1"/>
    <col min="2053" max="2057" width="10.44140625" style="2" customWidth="1"/>
    <col min="2058" max="2058" width="10" style="2" customWidth="1"/>
    <col min="2059" max="2060" width="9.109375" style="2"/>
    <col min="2061" max="2061" width="7.6640625" style="2" customWidth="1"/>
    <col min="2062" max="2062" width="10.88671875" style="2" customWidth="1"/>
    <col min="2063" max="2064" width="7.88671875" style="2" customWidth="1"/>
    <col min="2065" max="2065" width="10.44140625" style="2" customWidth="1"/>
    <col min="2066" max="2082" width="9.33203125" style="2" customWidth="1"/>
    <col min="2083" max="2304" width="9.109375" style="2"/>
    <col min="2305" max="2305" width="12.33203125" style="2" customWidth="1"/>
    <col min="2306" max="2306" width="19" style="2" customWidth="1"/>
    <col min="2307" max="2307" width="10.88671875" style="2" customWidth="1"/>
    <col min="2308" max="2308" width="10.5546875" style="2" customWidth="1"/>
    <col min="2309" max="2313" width="10.44140625" style="2" customWidth="1"/>
    <col min="2314" max="2314" width="10" style="2" customWidth="1"/>
    <col min="2315" max="2316" width="9.109375" style="2"/>
    <col min="2317" max="2317" width="7.6640625" style="2" customWidth="1"/>
    <col min="2318" max="2318" width="10.88671875" style="2" customWidth="1"/>
    <col min="2319" max="2320" width="7.88671875" style="2" customWidth="1"/>
    <col min="2321" max="2321" width="10.44140625" style="2" customWidth="1"/>
    <col min="2322" max="2338" width="9.33203125" style="2" customWidth="1"/>
    <col min="2339" max="2560" width="9.109375" style="2"/>
    <col min="2561" max="2561" width="12.33203125" style="2" customWidth="1"/>
    <col min="2562" max="2562" width="19" style="2" customWidth="1"/>
    <col min="2563" max="2563" width="10.88671875" style="2" customWidth="1"/>
    <col min="2564" max="2564" width="10.5546875" style="2" customWidth="1"/>
    <col min="2565" max="2569" width="10.44140625" style="2" customWidth="1"/>
    <col min="2570" max="2570" width="10" style="2" customWidth="1"/>
    <col min="2571" max="2572" width="9.109375" style="2"/>
    <col min="2573" max="2573" width="7.6640625" style="2" customWidth="1"/>
    <col min="2574" max="2574" width="10.88671875" style="2" customWidth="1"/>
    <col min="2575" max="2576" width="7.88671875" style="2" customWidth="1"/>
    <col min="2577" max="2577" width="10.44140625" style="2" customWidth="1"/>
    <col min="2578" max="2594" width="9.33203125" style="2" customWidth="1"/>
    <col min="2595" max="2816" width="9.109375" style="2"/>
    <col min="2817" max="2817" width="12.33203125" style="2" customWidth="1"/>
    <col min="2818" max="2818" width="19" style="2" customWidth="1"/>
    <col min="2819" max="2819" width="10.88671875" style="2" customWidth="1"/>
    <col min="2820" max="2820" width="10.5546875" style="2" customWidth="1"/>
    <col min="2821" max="2825" width="10.44140625" style="2" customWidth="1"/>
    <col min="2826" max="2826" width="10" style="2" customWidth="1"/>
    <col min="2827" max="2828" width="9.109375" style="2"/>
    <col min="2829" max="2829" width="7.6640625" style="2" customWidth="1"/>
    <col min="2830" max="2830" width="10.88671875" style="2" customWidth="1"/>
    <col min="2831" max="2832" width="7.88671875" style="2" customWidth="1"/>
    <col min="2833" max="2833" width="10.44140625" style="2" customWidth="1"/>
    <col min="2834" max="2850" width="9.33203125" style="2" customWidth="1"/>
    <col min="2851" max="3072" width="9.109375" style="2"/>
    <col min="3073" max="3073" width="12.33203125" style="2" customWidth="1"/>
    <col min="3074" max="3074" width="19" style="2" customWidth="1"/>
    <col min="3075" max="3075" width="10.88671875" style="2" customWidth="1"/>
    <col min="3076" max="3076" width="10.5546875" style="2" customWidth="1"/>
    <col min="3077" max="3081" width="10.44140625" style="2" customWidth="1"/>
    <col min="3082" max="3082" width="10" style="2" customWidth="1"/>
    <col min="3083" max="3084" width="9.109375" style="2"/>
    <col min="3085" max="3085" width="7.6640625" style="2" customWidth="1"/>
    <col min="3086" max="3086" width="10.88671875" style="2" customWidth="1"/>
    <col min="3087" max="3088" width="7.88671875" style="2" customWidth="1"/>
    <col min="3089" max="3089" width="10.44140625" style="2" customWidth="1"/>
    <col min="3090" max="3106" width="9.33203125" style="2" customWidth="1"/>
    <col min="3107" max="3328" width="9.109375" style="2"/>
    <col min="3329" max="3329" width="12.33203125" style="2" customWidth="1"/>
    <col min="3330" max="3330" width="19" style="2" customWidth="1"/>
    <col min="3331" max="3331" width="10.88671875" style="2" customWidth="1"/>
    <col min="3332" max="3332" width="10.5546875" style="2" customWidth="1"/>
    <col min="3333" max="3337" width="10.44140625" style="2" customWidth="1"/>
    <col min="3338" max="3338" width="10" style="2" customWidth="1"/>
    <col min="3339" max="3340" width="9.109375" style="2"/>
    <col min="3341" max="3341" width="7.6640625" style="2" customWidth="1"/>
    <col min="3342" max="3342" width="10.88671875" style="2" customWidth="1"/>
    <col min="3343" max="3344" width="7.88671875" style="2" customWidth="1"/>
    <col min="3345" max="3345" width="10.44140625" style="2" customWidth="1"/>
    <col min="3346" max="3362" width="9.33203125" style="2" customWidth="1"/>
    <col min="3363" max="3584" width="9.109375" style="2"/>
    <col min="3585" max="3585" width="12.33203125" style="2" customWidth="1"/>
    <col min="3586" max="3586" width="19" style="2" customWidth="1"/>
    <col min="3587" max="3587" width="10.88671875" style="2" customWidth="1"/>
    <col min="3588" max="3588" width="10.5546875" style="2" customWidth="1"/>
    <col min="3589" max="3593" width="10.44140625" style="2" customWidth="1"/>
    <col min="3594" max="3594" width="10" style="2" customWidth="1"/>
    <col min="3595" max="3596" width="9.109375" style="2"/>
    <col min="3597" max="3597" width="7.6640625" style="2" customWidth="1"/>
    <col min="3598" max="3598" width="10.88671875" style="2" customWidth="1"/>
    <col min="3599" max="3600" width="7.88671875" style="2" customWidth="1"/>
    <col min="3601" max="3601" width="10.44140625" style="2" customWidth="1"/>
    <col min="3602" max="3618" width="9.33203125" style="2" customWidth="1"/>
    <col min="3619" max="3840" width="9.109375" style="2"/>
    <col min="3841" max="3841" width="12.33203125" style="2" customWidth="1"/>
    <col min="3842" max="3842" width="19" style="2" customWidth="1"/>
    <col min="3843" max="3843" width="10.88671875" style="2" customWidth="1"/>
    <col min="3844" max="3844" width="10.5546875" style="2" customWidth="1"/>
    <col min="3845" max="3849" width="10.44140625" style="2" customWidth="1"/>
    <col min="3850" max="3850" width="10" style="2" customWidth="1"/>
    <col min="3851" max="3852" width="9.109375" style="2"/>
    <col min="3853" max="3853" width="7.6640625" style="2" customWidth="1"/>
    <col min="3854" max="3854" width="10.88671875" style="2" customWidth="1"/>
    <col min="3855" max="3856" width="7.88671875" style="2" customWidth="1"/>
    <col min="3857" max="3857" width="10.44140625" style="2" customWidth="1"/>
    <col min="3858" max="3874" width="9.33203125" style="2" customWidth="1"/>
    <col min="3875" max="4096" width="9.109375" style="2"/>
    <col min="4097" max="4097" width="12.33203125" style="2" customWidth="1"/>
    <col min="4098" max="4098" width="19" style="2" customWidth="1"/>
    <col min="4099" max="4099" width="10.88671875" style="2" customWidth="1"/>
    <col min="4100" max="4100" width="10.5546875" style="2" customWidth="1"/>
    <col min="4101" max="4105" width="10.44140625" style="2" customWidth="1"/>
    <col min="4106" max="4106" width="10" style="2" customWidth="1"/>
    <col min="4107" max="4108" width="9.109375" style="2"/>
    <col min="4109" max="4109" width="7.6640625" style="2" customWidth="1"/>
    <col min="4110" max="4110" width="10.88671875" style="2" customWidth="1"/>
    <col min="4111" max="4112" width="7.88671875" style="2" customWidth="1"/>
    <col min="4113" max="4113" width="10.44140625" style="2" customWidth="1"/>
    <col min="4114" max="4130" width="9.33203125" style="2" customWidth="1"/>
    <col min="4131" max="4352" width="9.109375" style="2"/>
    <col min="4353" max="4353" width="12.33203125" style="2" customWidth="1"/>
    <col min="4354" max="4354" width="19" style="2" customWidth="1"/>
    <col min="4355" max="4355" width="10.88671875" style="2" customWidth="1"/>
    <col min="4356" max="4356" width="10.5546875" style="2" customWidth="1"/>
    <col min="4357" max="4361" width="10.44140625" style="2" customWidth="1"/>
    <col min="4362" max="4362" width="10" style="2" customWidth="1"/>
    <col min="4363" max="4364" width="9.109375" style="2"/>
    <col min="4365" max="4365" width="7.6640625" style="2" customWidth="1"/>
    <col min="4366" max="4366" width="10.88671875" style="2" customWidth="1"/>
    <col min="4367" max="4368" width="7.88671875" style="2" customWidth="1"/>
    <col min="4369" max="4369" width="10.44140625" style="2" customWidth="1"/>
    <col min="4370" max="4386" width="9.33203125" style="2" customWidth="1"/>
    <col min="4387" max="4608" width="9.109375" style="2"/>
    <col min="4609" max="4609" width="12.33203125" style="2" customWidth="1"/>
    <col min="4610" max="4610" width="19" style="2" customWidth="1"/>
    <col min="4611" max="4611" width="10.88671875" style="2" customWidth="1"/>
    <col min="4612" max="4612" width="10.5546875" style="2" customWidth="1"/>
    <col min="4613" max="4617" width="10.44140625" style="2" customWidth="1"/>
    <col min="4618" max="4618" width="10" style="2" customWidth="1"/>
    <col min="4619" max="4620" width="9.109375" style="2"/>
    <col min="4621" max="4621" width="7.6640625" style="2" customWidth="1"/>
    <col min="4622" max="4622" width="10.88671875" style="2" customWidth="1"/>
    <col min="4623" max="4624" width="7.88671875" style="2" customWidth="1"/>
    <col min="4625" max="4625" width="10.44140625" style="2" customWidth="1"/>
    <col min="4626" max="4642" width="9.33203125" style="2" customWidth="1"/>
    <col min="4643" max="4864" width="9.109375" style="2"/>
    <col min="4865" max="4865" width="12.33203125" style="2" customWidth="1"/>
    <col min="4866" max="4866" width="19" style="2" customWidth="1"/>
    <col min="4867" max="4867" width="10.88671875" style="2" customWidth="1"/>
    <col min="4868" max="4868" width="10.5546875" style="2" customWidth="1"/>
    <col min="4869" max="4873" width="10.44140625" style="2" customWidth="1"/>
    <col min="4874" max="4874" width="10" style="2" customWidth="1"/>
    <col min="4875" max="4876" width="9.109375" style="2"/>
    <col min="4877" max="4877" width="7.6640625" style="2" customWidth="1"/>
    <col min="4878" max="4878" width="10.88671875" style="2" customWidth="1"/>
    <col min="4879" max="4880" width="7.88671875" style="2" customWidth="1"/>
    <col min="4881" max="4881" width="10.44140625" style="2" customWidth="1"/>
    <col min="4882" max="4898" width="9.33203125" style="2" customWidth="1"/>
    <col min="4899" max="5120" width="9.109375" style="2"/>
    <col min="5121" max="5121" width="12.33203125" style="2" customWidth="1"/>
    <col min="5122" max="5122" width="19" style="2" customWidth="1"/>
    <col min="5123" max="5123" width="10.88671875" style="2" customWidth="1"/>
    <col min="5124" max="5124" width="10.5546875" style="2" customWidth="1"/>
    <col min="5125" max="5129" width="10.44140625" style="2" customWidth="1"/>
    <col min="5130" max="5130" width="10" style="2" customWidth="1"/>
    <col min="5131" max="5132" width="9.109375" style="2"/>
    <col min="5133" max="5133" width="7.6640625" style="2" customWidth="1"/>
    <col min="5134" max="5134" width="10.88671875" style="2" customWidth="1"/>
    <col min="5135" max="5136" width="7.88671875" style="2" customWidth="1"/>
    <col min="5137" max="5137" width="10.44140625" style="2" customWidth="1"/>
    <col min="5138" max="5154" width="9.33203125" style="2" customWidth="1"/>
    <col min="5155" max="5376" width="9.109375" style="2"/>
    <col min="5377" max="5377" width="12.33203125" style="2" customWidth="1"/>
    <col min="5378" max="5378" width="19" style="2" customWidth="1"/>
    <col min="5379" max="5379" width="10.88671875" style="2" customWidth="1"/>
    <col min="5380" max="5380" width="10.5546875" style="2" customWidth="1"/>
    <col min="5381" max="5385" width="10.44140625" style="2" customWidth="1"/>
    <col min="5386" max="5386" width="10" style="2" customWidth="1"/>
    <col min="5387" max="5388" width="9.109375" style="2"/>
    <col min="5389" max="5389" width="7.6640625" style="2" customWidth="1"/>
    <col min="5390" max="5390" width="10.88671875" style="2" customWidth="1"/>
    <col min="5391" max="5392" width="7.88671875" style="2" customWidth="1"/>
    <col min="5393" max="5393" width="10.44140625" style="2" customWidth="1"/>
    <col min="5394" max="5410" width="9.33203125" style="2" customWidth="1"/>
    <col min="5411" max="5632" width="9.109375" style="2"/>
    <col min="5633" max="5633" width="12.33203125" style="2" customWidth="1"/>
    <col min="5634" max="5634" width="19" style="2" customWidth="1"/>
    <col min="5635" max="5635" width="10.88671875" style="2" customWidth="1"/>
    <col min="5636" max="5636" width="10.5546875" style="2" customWidth="1"/>
    <col min="5637" max="5641" width="10.44140625" style="2" customWidth="1"/>
    <col min="5642" max="5642" width="10" style="2" customWidth="1"/>
    <col min="5643" max="5644" width="9.109375" style="2"/>
    <col min="5645" max="5645" width="7.6640625" style="2" customWidth="1"/>
    <col min="5646" max="5646" width="10.88671875" style="2" customWidth="1"/>
    <col min="5647" max="5648" width="7.88671875" style="2" customWidth="1"/>
    <col min="5649" max="5649" width="10.44140625" style="2" customWidth="1"/>
    <col min="5650" max="5666" width="9.33203125" style="2" customWidth="1"/>
    <col min="5667" max="5888" width="9.109375" style="2"/>
    <col min="5889" max="5889" width="12.33203125" style="2" customWidth="1"/>
    <col min="5890" max="5890" width="19" style="2" customWidth="1"/>
    <col min="5891" max="5891" width="10.88671875" style="2" customWidth="1"/>
    <col min="5892" max="5892" width="10.5546875" style="2" customWidth="1"/>
    <col min="5893" max="5897" width="10.44140625" style="2" customWidth="1"/>
    <col min="5898" max="5898" width="10" style="2" customWidth="1"/>
    <col min="5899" max="5900" width="9.109375" style="2"/>
    <col min="5901" max="5901" width="7.6640625" style="2" customWidth="1"/>
    <col min="5902" max="5902" width="10.88671875" style="2" customWidth="1"/>
    <col min="5903" max="5904" width="7.88671875" style="2" customWidth="1"/>
    <col min="5905" max="5905" width="10.44140625" style="2" customWidth="1"/>
    <col min="5906" max="5922" width="9.33203125" style="2" customWidth="1"/>
    <col min="5923" max="6144" width="9.109375" style="2"/>
    <col min="6145" max="6145" width="12.33203125" style="2" customWidth="1"/>
    <col min="6146" max="6146" width="19" style="2" customWidth="1"/>
    <col min="6147" max="6147" width="10.88671875" style="2" customWidth="1"/>
    <col min="6148" max="6148" width="10.5546875" style="2" customWidth="1"/>
    <col min="6149" max="6153" width="10.44140625" style="2" customWidth="1"/>
    <col min="6154" max="6154" width="10" style="2" customWidth="1"/>
    <col min="6155" max="6156" width="9.109375" style="2"/>
    <col min="6157" max="6157" width="7.6640625" style="2" customWidth="1"/>
    <col min="6158" max="6158" width="10.88671875" style="2" customWidth="1"/>
    <col min="6159" max="6160" width="7.88671875" style="2" customWidth="1"/>
    <col min="6161" max="6161" width="10.44140625" style="2" customWidth="1"/>
    <col min="6162" max="6178" width="9.33203125" style="2" customWidth="1"/>
    <col min="6179" max="6400" width="9.109375" style="2"/>
    <col min="6401" max="6401" width="12.33203125" style="2" customWidth="1"/>
    <col min="6402" max="6402" width="19" style="2" customWidth="1"/>
    <col min="6403" max="6403" width="10.88671875" style="2" customWidth="1"/>
    <col min="6404" max="6404" width="10.5546875" style="2" customWidth="1"/>
    <col min="6405" max="6409" width="10.44140625" style="2" customWidth="1"/>
    <col min="6410" max="6410" width="10" style="2" customWidth="1"/>
    <col min="6411" max="6412" width="9.109375" style="2"/>
    <col min="6413" max="6413" width="7.6640625" style="2" customWidth="1"/>
    <col min="6414" max="6414" width="10.88671875" style="2" customWidth="1"/>
    <col min="6415" max="6416" width="7.88671875" style="2" customWidth="1"/>
    <col min="6417" max="6417" width="10.44140625" style="2" customWidth="1"/>
    <col min="6418" max="6434" width="9.33203125" style="2" customWidth="1"/>
    <col min="6435" max="6656" width="9.109375" style="2"/>
    <col min="6657" max="6657" width="12.33203125" style="2" customWidth="1"/>
    <col min="6658" max="6658" width="19" style="2" customWidth="1"/>
    <col min="6659" max="6659" width="10.88671875" style="2" customWidth="1"/>
    <col min="6660" max="6660" width="10.5546875" style="2" customWidth="1"/>
    <col min="6661" max="6665" width="10.44140625" style="2" customWidth="1"/>
    <col min="6666" max="6666" width="10" style="2" customWidth="1"/>
    <col min="6667" max="6668" width="9.109375" style="2"/>
    <col min="6669" max="6669" width="7.6640625" style="2" customWidth="1"/>
    <col min="6670" max="6670" width="10.88671875" style="2" customWidth="1"/>
    <col min="6671" max="6672" width="7.88671875" style="2" customWidth="1"/>
    <col min="6673" max="6673" width="10.44140625" style="2" customWidth="1"/>
    <col min="6674" max="6690" width="9.33203125" style="2" customWidth="1"/>
    <col min="6691" max="6912" width="9.109375" style="2"/>
    <col min="6913" max="6913" width="12.33203125" style="2" customWidth="1"/>
    <col min="6914" max="6914" width="19" style="2" customWidth="1"/>
    <col min="6915" max="6915" width="10.88671875" style="2" customWidth="1"/>
    <col min="6916" max="6916" width="10.5546875" style="2" customWidth="1"/>
    <col min="6917" max="6921" width="10.44140625" style="2" customWidth="1"/>
    <col min="6922" max="6922" width="10" style="2" customWidth="1"/>
    <col min="6923" max="6924" width="9.109375" style="2"/>
    <col min="6925" max="6925" width="7.6640625" style="2" customWidth="1"/>
    <col min="6926" max="6926" width="10.88671875" style="2" customWidth="1"/>
    <col min="6927" max="6928" width="7.88671875" style="2" customWidth="1"/>
    <col min="6929" max="6929" width="10.44140625" style="2" customWidth="1"/>
    <col min="6930" max="6946" width="9.33203125" style="2" customWidth="1"/>
    <col min="6947" max="7168" width="9.109375" style="2"/>
    <col min="7169" max="7169" width="12.33203125" style="2" customWidth="1"/>
    <col min="7170" max="7170" width="19" style="2" customWidth="1"/>
    <col min="7171" max="7171" width="10.88671875" style="2" customWidth="1"/>
    <col min="7172" max="7172" width="10.5546875" style="2" customWidth="1"/>
    <col min="7173" max="7177" width="10.44140625" style="2" customWidth="1"/>
    <col min="7178" max="7178" width="10" style="2" customWidth="1"/>
    <col min="7179" max="7180" width="9.109375" style="2"/>
    <col min="7181" max="7181" width="7.6640625" style="2" customWidth="1"/>
    <col min="7182" max="7182" width="10.88671875" style="2" customWidth="1"/>
    <col min="7183" max="7184" width="7.88671875" style="2" customWidth="1"/>
    <col min="7185" max="7185" width="10.44140625" style="2" customWidth="1"/>
    <col min="7186" max="7202" width="9.33203125" style="2" customWidth="1"/>
    <col min="7203" max="7424" width="9.109375" style="2"/>
    <col min="7425" max="7425" width="12.33203125" style="2" customWidth="1"/>
    <col min="7426" max="7426" width="19" style="2" customWidth="1"/>
    <col min="7427" max="7427" width="10.88671875" style="2" customWidth="1"/>
    <col min="7428" max="7428" width="10.5546875" style="2" customWidth="1"/>
    <col min="7429" max="7433" width="10.44140625" style="2" customWidth="1"/>
    <col min="7434" max="7434" width="10" style="2" customWidth="1"/>
    <col min="7435" max="7436" width="9.109375" style="2"/>
    <col min="7437" max="7437" width="7.6640625" style="2" customWidth="1"/>
    <col min="7438" max="7438" width="10.88671875" style="2" customWidth="1"/>
    <col min="7439" max="7440" width="7.88671875" style="2" customWidth="1"/>
    <col min="7441" max="7441" width="10.44140625" style="2" customWidth="1"/>
    <col min="7442" max="7458" width="9.33203125" style="2" customWidth="1"/>
    <col min="7459" max="7680" width="9.109375" style="2"/>
    <col min="7681" max="7681" width="12.33203125" style="2" customWidth="1"/>
    <col min="7682" max="7682" width="19" style="2" customWidth="1"/>
    <col min="7683" max="7683" width="10.88671875" style="2" customWidth="1"/>
    <col min="7684" max="7684" width="10.5546875" style="2" customWidth="1"/>
    <col min="7685" max="7689" width="10.44140625" style="2" customWidth="1"/>
    <col min="7690" max="7690" width="10" style="2" customWidth="1"/>
    <col min="7691" max="7692" width="9.109375" style="2"/>
    <col min="7693" max="7693" width="7.6640625" style="2" customWidth="1"/>
    <col min="7694" max="7694" width="10.88671875" style="2" customWidth="1"/>
    <col min="7695" max="7696" width="7.88671875" style="2" customWidth="1"/>
    <col min="7697" max="7697" width="10.44140625" style="2" customWidth="1"/>
    <col min="7698" max="7714" width="9.33203125" style="2" customWidth="1"/>
    <col min="7715" max="7936" width="9.109375" style="2"/>
    <col min="7937" max="7937" width="12.33203125" style="2" customWidth="1"/>
    <col min="7938" max="7938" width="19" style="2" customWidth="1"/>
    <col min="7939" max="7939" width="10.88671875" style="2" customWidth="1"/>
    <col min="7940" max="7940" width="10.5546875" style="2" customWidth="1"/>
    <col min="7941" max="7945" width="10.44140625" style="2" customWidth="1"/>
    <col min="7946" max="7946" width="10" style="2" customWidth="1"/>
    <col min="7947" max="7948" width="9.109375" style="2"/>
    <col min="7949" max="7949" width="7.6640625" style="2" customWidth="1"/>
    <col min="7950" max="7950" width="10.88671875" style="2" customWidth="1"/>
    <col min="7951" max="7952" width="7.88671875" style="2" customWidth="1"/>
    <col min="7953" max="7953" width="10.44140625" style="2" customWidth="1"/>
    <col min="7954" max="7970" width="9.33203125" style="2" customWidth="1"/>
    <col min="7971" max="8192" width="9.109375" style="2"/>
    <col min="8193" max="8193" width="12.33203125" style="2" customWidth="1"/>
    <col min="8194" max="8194" width="19" style="2" customWidth="1"/>
    <col min="8195" max="8195" width="10.88671875" style="2" customWidth="1"/>
    <col min="8196" max="8196" width="10.5546875" style="2" customWidth="1"/>
    <col min="8197" max="8201" width="10.44140625" style="2" customWidth="1"/>
    <col min="8202" max="8202" width="10" style="2" customWidth="1"/>
    <col min="8203" max="8204" width="9.109375" style="2"/>
    <col min="8205" max="8205" width="7.6640625" style="2" customWidth="1"/>
    <col min="8206" max="8206" width="10.88671875" style="2" customWidth="1"/>
    <col min="8207" max="8208" width="7.88671875" style="2" customWidth="1"/>
    <col min="8209" max="8209" width="10.44140625" style="2" customWidth="1"/>
    <col min="8210" max="8226" width="9.33203125" style="2" customWidth="1"/>
    <col min="8227" max="8448" width="9.109375" style="2"/>
    <col min="8449" max="8449" width="12.33203125" style="2" customWidth="1"/>
    <col min="8450" max="8450" width="19" style="2" customWidth="1"/>
    <col min="8451" max="8451" width="10.88671875" style="2" customWidth="1"/>
    <col min="8452" max="8452" width="10.5546875" style="2" customWidth="1"/>
    <col min="8453" max="8457" width="10.44140625" style="2" customWidth="1"/>
    <col min="8458" max="8458" width="10" style="2" customWidth="1"/>
    <col min="8459" max="8460" width="9.109375" style="2"/>
    <col min="8461" max="8461" width="7.6640625" style="2" customWidth="1"/>
    <col min="8462" max="8462" width="10.88671875" style="2" customWidth="1"/>
    <col min="8463" max="8464" width="7.88671875" style="2" customWidth="1"/>
    <col min="8465" max="8465" width="10.44140625" style="2" customWidth="1"/>
    <col min="8466" max="8482" width="9.33203125" style="2" customWidth="1"/>
    <col min="8483" max="8704" width="9.109375" style="2"/>
    <col min="8705" max="8705" width="12.33203125" style="2" customWidth="1"/>
    <col min="8706" max="8706" width="19" style="2" customWidth="1"/>
    <col min="8707" max="8707" width="10.88671875" style="2" customWidth="1"/>
    <col min="8708" max="8708" width="10.5546875" style="2" customWidth="1"/>
    <col min="8709" max="8713" width="10.44140625" style="2" customWidth="1"/>
    <col min="8714" max="8714" width="10" style="2" customWidth="1"/>
    <col min="8715" max="8716" width="9.109375" style="2"/>
    <col min="8717" max="8717" width="7.6640625" style="2" customWidth="1"/>
    <col min="8718" max="8718" width="10.88671875" style="2" customWidth="1"/>
    <col min="8719" max="8720" width="7.88671875" style="2" customWidth="1"/>
    <col min="8721" max="8721" width="10.44140625" style="2" customWidth="1"/>
    <col min="8722" max="8738" width="9.33203125" style="2" customWidth="1"/>
    <col min="8739" max="8960" width="9.109375" style="2"/>
    <col min="8961" max="8961" width="12.33203125" style="2" customWidth="1"/>
    <col min="8962" max="8962" width="19" style="2" customWidth="1"/>
    <col min="8963" max="8963" width="10.88671875" style="2" customWidth="1"/>
    <col min="8964" max="8964" width="10.5546875" style="2" customWidth="1"/>
    <col min="8965" max="8969" width="10.44140625" style="2" customWidth="1"/>
    <col min="8970" max="8970" width="10" style="2" customWidth="1"/>
    <col min="8971" max="8972" width="9.109375" style="2"/>
    <col min="8973" max="8973" width="7.6640625" style="2" customWidth="1"/>
    <col min="8974" max="8974" width="10.88671875" style="2" customWidth="1"/>
    <col min="8975" max="8976" width="7.88671875" style="2" customWidth="1"/>
    <col min="8977" max="8977" width="10.44140625" style="2" customWidth="1"/>
    <col min="8978" max="8994" width="9.33203125" style="2" customWidth="1"/>
    <col min="8995" max="9216" width="9.109375" style="2"/>
    <col min="9217" max="9217" width="12.33203125" style="2" customWidth="1"/>
    <col min="9218" max="9218" width="19" style="2" customWidth="1"/>
    <col min="9219" max="9219" width="10.88671875" style="2" customWidth="1"/>
    <col min="9220" max="9220" width="10.5546875" style="2" customWidth="1"/>
    <col min="9221" max="9225" width="10.44140625" style="2" customWidth="1"/>
    <col min="9226" max="9226" width="10" style="2" customWidth="1"/>
    <col min="9227" max="9228" width="9.109375" style="2"/>
    <col min="9229" max="9229" width="7.6640625" style="2" customWidth="1"/>
    <col min="9230" max="9230" width="10.88671875" style="2" customWidth="1"/>
    <col min="9231" max="9232" width="7.88671875" style="2" customWidth="1"/>
    <col min="9233" max="9233" width="10.44140625" style="2" customWidth="1"/>
    <col min="9234" max="9250" width="9.33203125" style="2" customWidth="1"/>
    <col min="9251" max="9472" width="9.109375" style="2"/>
    <col min="9473" max="9473" width="12.33203125" style="2" customWidth="1"/>
    <col min="9474" max="9474" width="19" style="2" customWidth="1"/>
    <col min="9475" max="9475" width="10.88671875" style="2" customWidth="1"/>
    <col min="9476" max="9476" width="10.5546875" style="2" customWidth="1"/>
    <col min="9477" max="9481" width="10.44140625" style="2" customWidth="1"/>
    <col min="9482" max="9482" width="10" style="2" customWidth="1"/>
    <col min="9483" max="9484" width="9.109375" style="2"/>
    <col min="9485" max="9485" width="7.6640625" style="2" customWidth="1"/>
    <col min="9486" max="9486" width="10.88671875" style="2" customWidth="1"/>
    <col min="9487" max="9488" width="7.88671875" style="2" customWidth="1"/>
    <col min="9489" max="9489" width="10.44140625" style="2" customWidth="1"/>
    <col min="9490" max="9506" width="9.33203125" style="2" customWidth="1"/>
    <col min="9507" max="9728" width="9.109375" style="2"/>
    <col min="9729" max="9729" width="12.33203125" style="2" customWidth="1"/>
    <col min="9730" max="9730" width="19" style="2" customWidth="1"/>
    <col min="9731" max="9731" width="10.88671875" style="2" customWidth="1"/>
    <col min="9732" max="9732" width="10.5546875" style="2" customWidth="1"/>
    <col min="9733" max="9737" width="10.44140625" style="2" customWidth="1"/>
    <col min="9738" max="9738" width="10" style="2" customWidth="1"/>
    <col min="9739" max="9740" width="9.109375" style="2"/>
    <col min="9741" max="9741" width="7.6640625" style="2" customWidth="1"/>
    <col min="9742" max="9742" width="10.88671875" style="2" customWidth="1"/>
    <col min="9743" max="9744" width="7.88671875" style="2" customWidth="1"/>
    <col min="9745" max="9745" width="10.44140625" style="2" customWidth="1"/>
    <col min="9746" max="9762" width="9.33203125" style="2" customWidth="1"/>
    <col min="9763" max="9984" width="9.109375" style="2"/>
    <col min="9985" max="9985" width="12.33203125" style="2" customWidth="1"/>
    <col min="9986" max="9986" width="19" style="2" customWidth="1"/>
    <col min="9987" max="9987" width="10.88671875" style="2" customWidth="1"/>
    <col min="9988" max="9988" width="10.5546875" style="2" customWidth="1"/>
    <col min="9989" max="9993" width="10.44140625" style="2" customWidth="1"/>
    <col min="9994" max="9994" width="10" style="2" customWidth="1"/>
    <col min="9995" max="9996" width="9.109375" style="2"/>
    <col min="9997" max="9997" width="7.6640625" style="2" customWidth="1"/>
    <col min="9998" max="9998" width="10.88671875" style="2" customWidth="1"/>
    <col min="9999" max="10000" width="7.88671875" style="2" customWidth="1"/>
    <col min="10001" max="10001" width="10.44140625" style="2" customWidth="1"/>
    <col min="10002" max="10018" width="9.33203125" style="2" customWidth="1"/>
    <col min="10019" max="10240" width="9.109375" style="2"/>
    <col min="10241" max="10241" width="12.33203125" style="2" customWidth="1"/>
    <col min="10242" max="10242" width="19" style="2" customWidth="1"/>
    <col min="10243" max="10243" width="10.88671875" style="2" customWidth="1"/>
    <col min="10244" max="10244" width="10.5546875" style="2" customWidth="1"/>
    <col min="10245" max="10249" width="10.44140625" style="2" customWidth="1"/>
    <col min="10250" max="10250" width="10" style="2" customWidth="1"/>
    <col min="10251" max="10252" width="9.109375" style="2"/>
    <col min="10253" max="10253" width="7.6640625" style="2" customWidth="1"/>
    <col min="10254" max="10254" width="10.88671875" style="2" customWidth="1"/>
    <col min="10255" max="10256" width="7.88671875" style="2" customWidth="1"/>
    <col min="10257" max="10257" width="10.44140625" style="2" customWidth="1"/>
    <col min="10258" max="10274" width="9.33203125" style="2" customWidth="1"/>
    <col min="10275" max="10496" width="9.109375" style="2"/>
    <col min="10497" max="10497" width="12.33203125" style="2" customWidth="1"/>
    <col min="10498" max="10498" width="19" style="2" customWidth="1"/>
    <col min="10499" max="10499" width="10.88671875" style="2" customWidth="1"/>
    <col min="10500" max="10500" width="10.5546875" style="2" customWidth="1"/>
    <col min="10501" max="10505" width="10.44140625" style="2" customWidth="1"/>
    <col min="10506" max="10506" width="10" style="2" customWidth="1"/>
    <col min="10507" max="10508" width="9.109375" style="2"/>
    <col min="10509" max="10509" width="7.6640625" style="2" customWidth="1"/>
    <col min="10510" max="10510" width="10.88671875" style="2" customWidth="1"/>
    <col min="10511" max="10512" width="7.88671875" style="2" customWidth="1"/>
    <col min="10513" max="10513" width="10.44140625" style="2" customWidth="1"/>
    <col min="10514" max="10530" width="9.33203125" style="2" customWidth="1"/>
    <col min="10531" max="10752" width="9.109375" style="2"/>
    <col min="10753" max="10753" width="12.33203125" style="2" customWidth="1"/>
    <col min="10754" max="10754" width="19" style="2" customWidth="1"/>
    <col min="10755" max="10755" width="10.88671875" style="2" customWidth="1"/>
    <col min="10756" max="10756" width="10.5546875" style="2" customWidth="1"/>
    <col min="10757" max="10761" width="10.44140625" style="2" customWidth="1"/>
    <col min="10762" max="10762" width="10" style="2" customWidth="1"/>
    <col min="10763" max="10764" width="9.109375" style="2"/>
    <col min="10765" max="10765" width="7.6640625" style="2" customWidth="1"/>
    <col min="10766" max="10766" width="10.88671875" style="2" customWidth="1"/>
    <col min="10767" max="10768" width="7.88671875" style="2" customWidth="1"/>
    <col min="10769" max="10769" width="10.44140625" style="2" customWidth="1"/>
    <col min="10770" max="10786" width="9.33203125" style="2" customWidth="1"/>
    <col min="10787" max="11008" width="9.109375" style="2"/>
    <col min="11009" max="11009" width="12.33203125" style="2" customWidth="1"/>
    <col min="11010" max="11010" width="19" style="2" customWidth="1"/>
    <col min="11011" max="11011" width="10.88671875" style="2" customWidth="1"/>
    <col min="11012" max="11012" width="10.5546875" style="2" customWidth="1"/>
    <col min="11013" max="11017" width="10.44140625" style="2" customWidth="1"/>
    <col min="11018" max="11018" width="10" style="2" customWidth="1"/>
    <col min="11019" max="11020" width="9.109375" style="2"/>
    <col min="11021" max="11021" width="7.6640625" style="2" customWidth="1"/>
    <col min="11022" max="11022" width="10.88671875" style="2" customWidth="1"/>
    <col min="11023" max="11024" width="7.88671875" style="2" customWidth="1"/>
    <col min="11025" max="11025" width="10.44140625" style="2" customWidth="1"/>
    <col min="11026" max="11042" width="9.33203125" style="2" customWidth="1"/>
    <col min="11043" max="11264" width="9.109375" style="2"/>
    <col min="11265" max="11265" width="12.33203125" style="2" customWidth="1"/>
    <col min="11266" max="11266" width="19" style="2" customWidth="1"/>
    <col min="11267" max="11267" width="10.88671875" style="2" customWidth="1"/>
    <col min="11268" max="11268" width="10.5546875" style="2" customWidth="1"/>
    <col min="11269" max="11273" width="10.44140625" style="2" customWidth="1"/>
    <col min="11274" max="11274" width="10" style="2" customWidth="1"/>
    <col min="11275" max="11276" width="9.109375" style="2"/>
    <col min="11277" max="11277" width="7.6640625" style="2" customWidth="1"/>
    <col min="11278" max="11278" width="10.88671875" style="2" customWidth="1"/>
    <col min="11279" max="11280" width="7.88671875" style="2" customWidth="1"/>
    <col min="11281" max="11281" width="10.44140625" style="2" customWidth="1"/>
    <col min="11282" max="11298" width="9.33203125" style="2" customWidth="1"/>
    <col min="11299" max="11520" width="9.109375" style="2"/>
    <col min="11521" max="11521" width="12.33203125" style="2" customWidth="1"/>
    <col min="11522" max="11522" width="19" style="2" customWidth="1"/>
    <col min="11523" max="11523" width="10.88671875" style="2" customWidth="1"/>
    <col min="11524" max="11524" width="10.5546875" style="2" customWidth="1"/>
    <col min="11525" max="11529" width="10.44140625" style="2" customWidth="1"/>
    <col min="11530" max="11530" width="10" style="2" customWidth="1"/>
    <col min="11531" max="11532" width="9.109375" style="2"/>
    <col min="11533" max="11533" width="7.6640625" style="2" customWidth="1"/>
    <col min="11534" max="11534" width="10.88671875" style="2" customWidth="1"/>
    <col min="11535" max="11536" width="7.88671875" style="2" customWidth="1"/>
    <col min="11537" max="11537" width="10.44140625" style="2" customWidth="1"/>
    <col min="11538" max="11554" width="9.33203125" style="2" customWidth="1"/>
    <col min="11555" max="11776" width="9.109375" style="2"/>
    <col min="11777" max="11777" width="12.33203125" style="2" customWidth="1"/>
    <col min="11778" max="11778" width="19" style="2" customWidth="1"/>
    <col min="11779" max="11779" width="10.88671875" style="2" customWidth="1"/>
    <col min="11780" max="11780" width="10.5546875" style="2" customWidth="1"/>
    <col min="11781" max="11785" width="10.44140625" style="2" customWidth="1"/>
    <col min="11786" max="11786" width="10" style="2" customWidth="1"/>
    <col min="11787" max="11788" width="9.109375" style="2"/>
    <col min="11789" max="11789" width="7.6640625" style="2" customWidth="1"/>
    <col min="11790" max="11790" width="10.88671875" style="2" customWidth="1"/>
    <col min="11791" max="11792" width="7.88671875" style="2" customWidth="1"/>
    <col min="11793" max="11793" width="10.44140625" style="2" customWidth="1"/>
    <col min="11794" max="11810" width="9.33203125" style="2" customWidth="1"/>
    <col min="11811" max="12032" width="9.109375" style="2"/>
    <col min="12033" max="12033" width="12.33203125" style="2" customWidth="1"/>
    <col min="12034" max="12034" width="19" style="2" customWidth="1"/>
    <col min="12035" max="12035" width="10.88671875" style="2" customWidth="1"/>
    <col min="12036" max="12036" width="10.5546875" style="2" customWidth="1"/>
    <col min="12037" max="12041" width="10.44140625" style="2" customWidth="1"/>
    <col min="12042" max="12042" width="10" style="2" customWidth="1"/>
    <col min="12043" max="12044" width="9.109375" style="2"/>
    <col min="12045" max="12045" width="7.6640625" style="2" customWidth="1"/>
    <col min="12046" max="12046" width="10.88671875" style="2" customWidth="1"/>
    <col min="12047" max="12048" width="7.88671875" style="2" customWidth="1"/>
    <col min="12049" max="12049" width="10.44140625" style="2" customWidth="1"/>
    <col min="12050" max="12066" width="9.33203125" style="2" customWidth="1"/>
    <col min="12067" max="12288" width="9.109375" style="2"/>
    <col min="12289" max="12289" width="12.33203125" style="2" customWidth="1"/>
    <col min="12290" max="12290" width="19" style="2" customWidth="1"/>
    <col min="12291" max="12291" width="10.88671875" style="2" customWidth="1"/>
    <col min="12292" max="12292" width="10.5546875" style="2" customWidth="1"/>
    <col min="12293" max="12297" width="10.44140625" style="2" customWidth="1"/>
    <col min="12298" max="12298" width="10" style="2" customWidth="1"/>
    <col min="12299" max="12300" width="9.109375" style="2"/>
    <col min="12301" max="12301" width="7.6640625" style="2" customWidth="1"/>
    <col min="12302" max="12302" width="10.88671875" style="2" customWidth="1"/>
    <col min="12303" max="12304" width="7.88671875" style="2" customWidth="1"/>
    <col min="12305" max="12305" width="10.44140625" style="2" customWidth="1"/>
    <col min="12306" max="12322" width="9.33203125" style="2" customWidth="1"/>
    <col min="12323" max="12544" width="9.109375" style="2"/>
    <col min="12545" max="12545" width="12.33203125" style="2" customWidth="1"/>
    <col min="12546" max="12546" width="19" style="2" customWidth="1"/>
    <col min="12547" max="12547" width="10.88671875" style="2" customWidth="1"/>
    <col min="12548" max="12548" width="10.5546875" style="2" customWidth="1"/>
    <col min="12549" max="12553" width="10.44140625" style="2" customWidth="1"/>
    <col min="12554" max="12554" width="10" style="2" customWidth="1"/>
    <col min="12555" max="12556" width="9.109375" style="2"/>
    <col min="12557" max="12557" width="7.6640625" style="2" customWidth="1"/>
    <col min="12558" max="12558" width="10.88671875" style="2" customWidth="1"/>
    <col min="12559" max="12560" width="7.88671875" style="2" customWidth="1"/>
    <col min="12561" max="12561" width="10.44140625" style="2" customWidth="1"/>
    <col min="12562" max="12578" width="9.33203125" style="2" customWidth="1"/>
    <col min="12579" max="12800" width="9.109375" style="2"/>
    <col min="12801" max="12801" width="12.33203125" style="2" customWidth="1"/>
    <col min="12802" max="12802" width="19" style="2" customWidth="1"/>
    <col min="12803" max="12803" width="10.88671875" style="2" customWidth="1"/>
    <col min="12804" max="12804" width="10.5546875" style="2" customWidth="1"/>
    <col min="12805" max="12809" width="10.44140625" style="2" customWidth="1"/>
    <col min="12810" max="12810" width="10" style="2" customWidth="1"/>
    <col min="12811" max="12812" width="9.109375" style="2"/>
    <col min="12813" max="12813" width="7.6640625" style="2" customWidth="1"/>
    <col min="12814" max="12814" width="10.88671875" style="2" customWidth="1"/>
    <col min="12815" max="12816" width="7.88671875" style="2" customWidth="1"/>
    <col min="12817" max="12817" width="10.44140625" style="2" customWidth="1"/>
    <col min="12818" max="12834" width="9.33203125" style="2" customWidth="1"/>
    <col min="12835" max="13056" width="9.109375" style="2"/>
    <col min="13057" max="13057" width="12.33203125" style="2" customWidth="1"/>
    <col min="13058" max="13058" width="19" style="2" customWidth="1"/>
    <col min="13059" max="13059" width="10.88671875" style="2" customWidth="1"/>
    <col min="13060" max="13060" width="10.5546875" style="2" customWidth="1"/>
    <col min="13061" max="13065" width="10.44140625" style="2" customWidth="1"/>
    <col min="13066" max="13066" width="10" style="2" customWidth="1"/>
    <col min="13067" max="13068" width="9.109375" style="2"/>
    <col min="13069" max="13069" width="7.6640625" style="2" customWidth="1"/>
    <col min="13070" max="13070" width="10.88671875" style="2" customWidth="1"/>
    <col min="13071" max="13072" width="7.88671875" style="2" customWidth="1"/>
    <col min="13073" max="13073" width="10.44140625" style="2" customWidth="1"/>
    <col min="13074" max="13090" width="9.33203125" style="2" customWidth="1"/>
    <col min="13091" max="13312" width="9.109375" style="2"/>
    <col min="13313" max="13313" width="12.33203125" style="2" customWidth="1"/>
    <col min="13314" max="13314" width="19" style="2" customWidth="1"/>
    <col min="13315" max="13315" width="10.88671875" style="2" customWidth="1"/>
    <col min="13316" max="13316" width="10.5546875" style="2" customWidth="1"/>
    <col min="13317" max="13321" width="10.44140625" style="2" customWidth="1"/>
    <col min="13322" max="13322" width="10" style="2" customWidth="1"/>
    <col min="13323" max="13324" width="9.109375" style="2"/>
    <col min="13325" max="13325" width="7.6640625" style="2" customWidth="1"/>
    <col min="13326" max="13326" width="10.88671875" style="2" customWidth="1"/>
    <col min="13327" max="13328" width="7.88671875" style="2" customWidth="1"/>
    <col min="13329" max="13329" width="10.44140625" style="2" customWidth="1"/>
    <col min="13330" max="13346" width="9.33203125" style="2" customWidth="1"/>
    <col min="13347" max="13568" width="9.109375" style="2"/>
    <col min="13569" max="13569" width="12.33203125" style="2" customWidth="1"/>
    <col min="13570" max="13570" width="19" style="2" customWidth="1"/>
    <col min="13571" max="13571" width="10.88671875" style="2" customWidth="1"/>
    <col min="13572" max="13572" width="10.5546875" style="2" customWidth="1"/>
    <col min="13573" max="13577" width="10.44140625" style="2" customWidth="1"/>
    <col min="13578" max="13578" width="10" style="2" customWidth="1"/>
    <col min="13579" max="13580" width="9.109375" style="2"/>
    <col min="13581" max="13581" width="7.6640625" style="2" customWidth="1"/>
    <col min="13582" max="13582" width="10.88671875" style="2" customWidth="1"/>
    <col min="13583" max="13584" width="7.88671875" style="2" customWidth="1"/>
    <col min="13585" max="13585" width="10.44140625" style="2" customWidth="1"/>
    <col min="13586" max="13602" width="9.33203125" style="2" customWidth="1"/>
    <col min="13603" max="13824" width="9.109375" style="2"/>
    <col min="13825" max="13825" width="12.33203125" style="2" customWidth="1"/>
    <col min="13826" max="13826" width="19" style="2" customWidth="1"/>
    <col min="13827" max="13827" width="10.88671875" style="2" customWidth="1"/>
    <col min="13828" max="13828" width="10.5546875" style="2" customWidth="1"/>
    <col min="13829" max="13833" width="10.44140625" style="2" customWidth="1"/>
    <col min="13834" max="13834" width="10" style="2" customWidth="1"/>
    <col min="13835" max="13836" width="9.109375" style="2"/>
    <col min="13837" max="13837" width="7.6640625" style="2" customWidth="1"/>
    <col min="13838" max="13838" width="10.88671875" style="2" customWidth="1"/>
    <col min="13839" max="13840" width="7.88671875" style="2" customWidth="1"/>
    <col min="13841" max="13841" width="10.44140625" style="2" customWidth="1"/>
    <col min="13842" max="13858" width="9.33203125" style="2" customWidth="1"/>
    <col min="13859" max="14080" width="9.109375" style="2"/>
    <col min="14081" max="14081" width="12.33203125" style="2" customWidth="1"/>
    <col min="14082" max="14082" width="19" style="2" customWidth="1"/>
    <col min="14083" max="14083" width="10.88671875" style="2" customWidth="1"/>
    <col min="14084" max="14084" width="10.5546875" style="2" customWidth="1"/>
    <col min="14085" max="14089" width="10.44140625" style="2" customWidth="1"/>
    <col min="14090" max="14090" width="10" style="2" customWidth="1"/>
    <col min="14091" max="14092" width="9.109375" style="2"/>
    <col min="14093" max="14093" width="7.6640625" style="2" customWidth="1"/>
    <col min="14094" max="14094" width="10.88671875" style="2" customWidth="1"/>
    <col min="14095" max="14096" width="7.88671875" style="2" customWidth="1"/>
    <col min="14097" max="14097" width="10.44140625" style="2" customWidth="1"/>
    <col min="14098" max="14114" width="9.33203125" style="2" customWidth="1"/>
    <col min="14115" max="14336" width="9.109375" style="2"/>
    <col min="14337" max="14337" width="12.33203125" style="2" customWidth="1"/>
    <col min="14338" max="14338" width="19" style="2" customWidth="1"/>
    <col min="14339" max="14339" width="10.88671875" style="2" customWidth="1"/>
    <col min="14340" max="14340" width="10.5546875" style="2" customWidth="1"/>
    <col min="14341" max="14345" width="10.44140625" style="2" customWidth="1"/>
    <col min="14346" max="14346" width="10" style="2" customWidth="1"/>
    <col min="14347" max="14348" width="9.109375" style="2"/>
    <col min="14349" max="14349" width="7.6640625" style="2" customWidth="1"/>
    <col min="14350" max="14350" width="10.88671875" style="2" customWidth="1"/>
    <col min="14351" max="14352" width="7.88671875" style="2" customWidth="1"/>
    <col min="14353" max="14353" width="10.44140625" style="2" customWidth="1"/>
    <col min="14354" max="14370" width="9.33203125" style="2" customWidth="1"/>
    <col min="14371" max="14592" width="9.109375" style="2"/>
    <col min="14593" max="14593" width="12.33203125" style="2" customWidth="1"/>
    <col min="14594" max="14594" width="19" style="2" customWidth="1"/>
    <col min="14595" max="14595" width="10.88671875" style="2" customWidth="1"/>
    <col min="14596" max="14596" width="10.5546875" style="2" customWidth="1"/>
    <col min="14597" max="14601" width="10.44140625" style="2" customWidth="1"/>
    <col min="14602" max="14602" width="10" style="2" customWidth="1"/>
    <col min="14603" max="14604" width="9.109375" style="2"/>
    <col min="14605" max="14605" width="7.6640625" style="2" customWidth="1"/>
    <col min="14606" max="14606" width="10.88671875" style="2" customWidth="1"/>
    <col min="14607" max="14608" width="7.88671875" style="2" customWidth="1"/>
    <col min="14609" max="14609" width="10.44140625" style="2" customWidth="1"/>
    <col min="14610" max="14626" width="9.33203125" style="2" customWidth="1"/>
    <col min="14627" max="14848" width="9.109375" style="2"/>
    <col min="14849" max="14849" width="12.33203125" style="2" customWidth="1"/>
    <col min="14850" max="14850" width="19" style="2" customWidth="1"/>
    <col min="14851" max="14851" width="10.88671875" style="2" customWidth="1"/>
    <col min="14852" max="14852" width="10.5546875" style="2" customWidth="1"/>
    <col min="14853" max="14857" width="10.44140625" style="2" customWidth="1"/>
    <col min="14858" max="14858" width="10" style="2" customWidth="1"/>
    <col min="14859" max="14860" width="9.109375" style="2"/>
    <col min="14861" max="14861" width="7.6640625" style="2" customWidth="1"/>
    <col min="14862" max="14862" width="10.88671875" style="2" customWidth="1"/>
    <col min="14863" max="14864" width="7.88671875" style="2" customWidth="1"/>
    <col min="14865" max="14865" width="10.44140625" style="2" customWidth="1"/>
    <col min="14866" max="14882" width="9.33203125" style="2" customWidth="1"/>
    <col min="14883" max="15104" width="9.109375" style="2"/>
    <col min="15105" max="15105" width="12.33203125" style="2" customWidth="1"/>
    <col min="15106" max="15106" width="19" style="2" customWidth="1"/>
    <col min="15107" max="15107" width="10.88671875" style="2" customWidth="1"/>
    <col min="15108" max="15108" width="10.5546875" style="2" customWidth="1"/>
    <col min="15109" max="15113" width="10.44140625" style="2" customWidth="1"/>
    <col min="15114" max="15114" width="10" style="2" customWidth="1"/>
    <col min="15115" max="15116" width="9.109375" style="2"/>
    <col min="15117" max="15117" width="7.6640625" style="2" customWidth="1"/>
    <col min="15118" max="15118" width="10.88671875" style="2" customWidth="1"/>
    <col min="15119" max="15120" width="7.88671875" style="2" customWidth="1"/>
    <col min="15121" max="15121" width="10.44140625" style="2" customWidth="1"/>
    <col min="15122" max="15138" width="9.33203125" style="2" customWidth="1"/>
    <col min="15139" max="15360" width="9.109375" style="2"/>
    <col min="15361" max="15361" width="12.33203125" style="2" customWidth="1"/>
    <col min="15362" max="15362" width="19" style="2" customWidth="1"/>
    <col min="15363" max="15363" width="10.88671875" style="2" customWidth="1"/>
    <col min="15364" max="15364" width="10.5546875" style="2" customWidth="1"/>
    <col min="15365" max="15369" width="10.44140625" style="2" customWidth="1"/>
    <col min="15370" max="15370" width="10" style="2" customWidth="1"/>
    <col min="15371" max="15372" width="9.109375" style="2"/>
    <col min="15373" max="15373" width="7.6640625" style="2" customWidth="1"/>
    <col min="15374" max="15374" width="10.88671875" style="2" customWidth="1"/>
    <col min="15375" max="15376" width="7.88671875" style="2" customWidth="1"/>
    <col min="15377" max="15377" width="10.44140625" style="2" customWidth="1"/>
    <col min="15378" max="15394" width="9.33203125" style="2" customWidth="1"/>
    <col min="15395" max="15616" width="9.109375" style="2"/>
    <col min="15617" max="15617" width="12.33203125" style="2" customWidth="1"/>
    <col min="15618" max="15618" width="19" style="2" customWidth="1"/>
    <col min="15619" max="15619" width="10.88671875" style="2" customWidth="1"/>
    <col min="15620" max="15620" width="10.5546875" style="2" customWidth="1"/>
    <col min="15621" max="15625" width="10.44140625" style="2" customWidth="1"/>
    <col min="15626" max="15626" width="10" style="2" customWidth="1"/>
    <col min="15627" max="15628" width="9.109375" style="2"/>
    <col min="15629" max="15629" width="7.6640625" style="2" customWidth="1"/>
    <col min="15630" max="15630" width="10.88671875" style="2" customWidth="1"/>
    <col min="15631" max="15632" width="7.88671875" style="2" customWidth="1"/>
    <col min="15633" max="15633" width="10.44140625" style="2" customWidth="1"/>
    <col min="15634" max="15650" width="9.33203125" style="2" customWidth="1"/>
    <col min="15651" max="15872" width="9.109375" style="2"/>
    <col min="15873" max="15873" width="12.33203125" style="2" customWidth="1"/>
    <col min="15874" max="15874" width="19" style="2" customWidth="1"/>
    <col min="15875" max="15875" width="10.88671875" style="2" customWidth="1"/>
    <col min="15876" max="15876" width="10.5546875" style="2" customWidth="1"/>
    <col min="15877" max="15881" width="10.44140625" style="2" customWidth="1"/>
    <col min="15882" max="15882" width="10" style="2" customWidth="1"/>
    <col min="15883" max="15884" width="9.109375" style="2"/>
    <col min="15885" max="15885" width="7.6640625" style="2" customWidth="1"/>
    <col min="15886" max="15886" width="10.88671875" style="2" customWidth="1"/>
    <col min="15887" max="15888" width="7.88671875" style="2" customWidth="1"/>
    <col min="15889" max="15889" width="10.44140625" style="2" customWidth="1"/>
    <col min="15890" max="15906" width="9.33203125" style="2" customWidth="1"/>
    <col min="15907" max="16128" width="9.109375" style="2"/>
    <col min="16129" max="16129" width="12.33203125" style="2" customWidth="1"/>
    <col min="16130" max="16130" width="19" style="2" customWidth="1"/>
    <col min="16131" max="16131" width="10.88671875" style="2" customWidth="1"/>
    <col min="16132" max="16132" width="10.5546875" style="2" customWidth="1"/>
    <col min="16133" max="16137" width="10.44140625" style="2" customWidth="1"/>
    <col min="16138" max="16138" width="10" style="2" customWidth="1"/>
    <col min="16139" max="16140" width="9.109375" style="2"/>
    <col min="16141" max="16141" width="7.6640625" style="2" customWidth="1"/>
    <col min="16142" max="16142" width="10.88671875" style="2" customWidth="1"/>
    <col min="16143" max="16144" width="7.88671875" style="2" customWidth="1"/>
    <col min="16145" max="16145" width="10.44140625" style="2" customWidth="1"/>
    <col min="16146" max="16162" width="9.33203125" style="2" customWidth="1"/>
    <col min="16163" max="16384" width="9.109375" style="2"/>
  </cols>
  <sheetData>
    <row r="1" spans="1:32" ht="11.4" x14ac:dyDescent="0.2">
      <c r="B1" s="3"/>
      <c r="C1" s="4" t="s">
        <v>0</v>
      </c>
      <c r="D1" s="4" t="s">
        <v>1</v>
      </c>
      <c r="E1" s="4" t="s">
        <v>0</v>
      </c>
      <c r="F1" s="4" t="s">
        <v>2</v>
      </c>
      <c r="G1" s="4" t="s">
        <v>3</v>
      </c>
      <c r="H1" s="4" t="s">
        <v>0</v>
      </c>
      <c r="AB1" s="5"/>
      <c r="AD1" s="2"/>
    </row>
    <row r="2" spans="1:32" ht="25.2" customHeight="1" x14ac:dyDescent="0.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8" t="s">
        <v>12</v>
      </c>
      <c r="J2" s="9" t="s">
        <v>13</v>
      </c>
      <c r="K2" s="9" t="s">
        <v>14</v>
      </c>
      <c r="L2" s="10"/>
      <c r="M2" s="9"/>
      <c r="N2" s="9"/>
      <c r="U2" s="10"/>
      <c r="V2" s="10"/>
      <c r="AC2" s="2"/>
      <c r="AD2" s="2"/>
      <c r="AE2" s="5"/>
      <c r="AF2" s="5"/>
    </row>
    <row r="3" spans="1:32" s="17" customFormat="1" ht="15.6" customHeight="1" x14ac:dyDescent="0.25">
      <c r="A3" s="11">
        <v>46314</v>
      </c>
      <c r="B3" s="12" t="s">
        <v>15</v>
      </c>
      <c r="C3" s="13">
        <v>8</v>
      </c>
      <c r="D3" s="13">
        <v>5</v>
      </c>
      <c r="E3" s="13">
        <v>10</v>
      </c>
      <c r="F3" s="14">
        <v>4</v>
      </c>
      <c r="G3" s="14">
        <v>2</v>
      </c>
      <c r="H3" s="14">
        <v>4</v>
      </c>
      <c r="I3" s="12">
        <f>SUM(C3:H3)</f>
        <v>33</v>
      </c>
      <c r="J3" s="15">
        <f>(I7)/(I3+I7+J5)</f>
        <v>0.90252100840336136</v>
      </c>
      <c r="K3" s="15">
        <f>(I7-I3-I4-J5)/(I7)</f>
        <v>0.83240223463687146</v>
      </c>
      <c r="L3" s="10"/>
      <c r="M3" s="15"/>
      <c r="N3" s="15"/>
      <c r="O3" s="16"/>
      <c r="W3" s="18"/>
      <c r="X3" s="18"/>
      <c r="AE3" s="16"/>
      <c r="AF3" s="16"/>
    </row>
    <row r="4" spans="1:32" s="17" customFormat="1" ht="15.6" customHeight="1" x14ac:dyDescent="0.25">
      <c r="A4" s="11">
        <v>46314</v>
      </c>
      <c r="B4" s="12" t="s">
        <v>16</v>
      </c>
      <c r="C4" s="13">
        <v>9</v>
      </c>
      <c r="D4" s="13">
        <v>6</v>
      </c>
      <c r="E4" s="13">
        <v>4</v>
      </c>
      <c r="F4" s="14">
        <v>3</v>
      </c>
      <c r="G4" s="14">
        <v>3</v>
      </c>
      <c r="H4" s="14">
        <v>7</v>
      </c>
      <c r="I4" s="12">
        <f>SUM(C4:H4)</f>
        <v>32</v>
      </c>
      <c r="L4" s="10"/>
      <c r="W4" s="18"/>
      <c r="X4" s="18"/>
      <c r="AE4" s="16"/>
      <c r="AF4" s="16"/>
    </row>
    <row r="5" spans="1:32" s="17" customFormat="1" ht="15.6" customHeight="1" x14ac:dyDescent="0.25">
      <c r="A5" s="11">
        <v>46314</v>
      </c>
      <c r="B5" s="12" t="s">
        <v>17</v>
      </c>
      <c r="C5" s="14">
        <v>20</v>
      </c>
      <c r="D5" s="14">
        <v>15</v>
      </c>
      <c r="E5" s="14">
        <v>25</v>
      </c>
      <c r="F5" s="14">
        <v>18</v>
      </c>
      <c r="G5" s="14">
        <v>23</v>
      </c>
      <c r="H5" s="14">
        <v>13</v>
      </c>
      <c r="I5" s="12">
        <f t="shared" ref="I5:I8" si="0">SUM(C5:H5)</f>
        <v>114</v>
      </c>
      <c r="J5" s="19">
        <v>25</v>
      </c>
      <c r="K5" s="20"/>
      <c r="L5" s="10"/>
      <c r="W5" s="16"/>
      <c r="X5" s="16"/>
      <c r="AE5" s="16"/>
      <c r="AF5" s="16"/>
    </row>
    <row r="6" spans="1:32" s="17" customFormat="1" ht="15.6" customHeight="1" x14ac:dyDescent="0.25">
      <c r="A6" s="11">
        <v>46314</v>
      </c>
      <c r="B6" s="12" t="s">
        <v>18</v>
      </c>
      <c r="C6" s="14">
        <f t="shared" ref="C6:H6" si="1">SUM(C7-C4-C3-C8)</f>
        <v>105</v>
      </c>
      <c r="D6" s="14">
        <f t="shared" si="1"/>
        <v>95</v>
      </c>
      <c r="E6" s="14">
        <f t="shared" si="1"/>
        <v>73</v>
      </c>
      <c r="F6" s="14">
        <f t="shared" si="1"/>
        <v>74</v>
      </c>
      <c r="G6" s="14">
        <f t="shared" si="1"/>
        <v>52</v>
      </c>
      <c r="H6" s="14">
        <f t="shared" si="1"/>
        <v>64</v>
      </c>
      <c r="I6" s="21">
        <f t="shared" si="0"/>
        <v>463</v>
      </c>
      <c r="J6" s="20"/>
      <c r="K6" s="20"/>
      <c r="L6" s="22"/>
      <c r="W6" s="16"/>
      <c r="X6" s="16"/>
      <c r="AE6" s="16"/>
      <c r="AF6" s="16"/>
    </row>
    <row r="7" spans="1:32" s="17" customFormat="1" ht="15.6" customHeight="1" x14ac:dyDescent="0.25">
      <c r="A7" s="11">
        <v>46314</v>
      </c>
      <c r="B7" s="23" t="s">
        <v>19</v>
      </c>
      <c r="C7" s="23">
        <v>125</v>
      </c>
      <c r="D7" s="23">
        <v>108</v>
      </c>
      <c r="E7" s="23">
        <v>91</v>
      </c>
      <c r="F7" s="23">
        <v>81</v>
      </c>
      <c r="G7" s="23">
        <v>57</v>
      </c>
      <c r="H7" s="23">
        <v>75</v>
      </c>
      <c r="I7" s="23">
        <f t="shared" si="0"/>
        <v>537</v>
      </c>
      <c r="J7" s="20"/>
      <c r="K7" s="20"/>
      <c r="L7" s="10"/>
      <c r="M7" s="24"/>
      <c r="W7" s="16"/>
      <c r="X7" s="16"/>
      <c r="AE7" s="16"/>
      <c r="AF7" s="16"/>
    </row>
    <row r="8" spans="1:32" s="17" customFormat="1" ht="15.6" customHeight="1" x14ac:dyDescent="0.25">
      <c r="A8" s="11">
        <v>46314</v>
      </c>
      <c r="B8" s="12" t="s">
        <v>20</v>
      </c>
      <c r="C8" s="14">
        <v>3</v>
      </c>
      <c r="D8" s="14">
        <v>2</v>
      </c>
      <c r="E8" s="14">
        <v>4</v>
      </c>
      <c r="F8" s="14">
        <v>0</v>
      </c>
      <c r="G8" s="14">
        <v>0</v>
      </c>
      <c r="H8" s="14">
        <v>0</v>
      </c>
      <c r="I8" s="12">
        <f t="shared" si="0"/>
        <v>9</v>
      </c>
      <c r="J8" s="20"/>
      <c r="K8" s="20"/>
      <c r="L8" s="25"/>
      <c r="U8" s="2"/>
      <c r="V8" s="2"/>
      <c r="W8" s="5"/>
      <c r="X8" s="5"/>
      <c r="AE8" s="16"/>
      <c r="AF8" s="16"/>
    </row>
    <row r="9" spans="1:32" ht="12" x14ac:dyDescent="0.25">
      <c r="A9" s="26"/>
      <c r="M9" s="25"/>
    </row>
    <row r="10" spans="1:32" ht="12" x14ac:dyDescent="0.25">
      <c r="C10" s="25" t="s">
        <v>21</v>
      </c>
      <c r="D10" s="25"/>
      <c r="E10" s="25"/>
      <c r="F10" s="25"/>
    </row>
    <row r="11" spans="1:32" ht="12" x14ac:dyDescent="0.25">
      <c r="C11" s="25"/>
      <c r="D11" s="25"/>
      <c r="E11" s="25"/>
      <c r="F11" s="25"/>
    </row>
    <row r="12" spans="1:32" ht="22.8" customHeight="1" x14ac:dyDescent="0.2">
      <c r="A12" s="6" t="s">
        <v>4</v>
      </c>
      <c r="B12" s="7" t="s">
        <v>5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7" t="s">
        <v>27</v>
      </c>
      <c r="I12" s="7" t="s">
        <v>28</v>
      </c>
      <c r="J12" s="7">
        <v>0</v>
      </c>
      <c r="K12" s="27" t="s">
        <v>29</v>
      </c>
      <c r="L12" s="8" t="s">
        <v>12</v>
      </c>
      <c r="M12" s="28"/>
      <c r="N12" s="64" t="s">
        <v>30</v>
      </c>
      <c r="O12" s="65"/>
      <c r="P12" s="66"/>
      <c r="AC12" s="2"/>
      <c r="AD12" s="2"/>
    </row>
    <row r="13" spans="1:32" s="17" customFormat="1" ht="16.8" customHeight="1" x14ac:dyDescent="0.25">
      <c r="A13" s="11">
        <v>46314</v>
      </c>
      <c r="B13" s="29" t="s">
        <v>31</v>
      </c>
      <c r="C13" s="29">
        <v>170</v>
      </c>
      <c r="D13" s="29">
        <v>4</v>
      </c>
      <c r="E13" s="29">
        <v>0</v>
      </c>
      <c r="F13" s="29">
        <v>19</v>
      </c>
      <c r="G13" s="29">
        <v>0</v>
      </c>
      <c r="H13" s="29">
        <v>2</v>
      </c>
      <c r="I13" s="29">
        <v>4</v>
      </c>
      <c r="J13" s="29">
        <v>0</v>
      </c>
      <c r="K13" s="29">
        <v>1</v>
      </c>
      <c r="L13" s="30">
        <f>SUM(C13:K13)</f>
        <v>200</v>
      </c>
      <c r="M13" s="31"/>
      <c r="N13" s="63" t="s">
        <v>32</v>
      </c>
      <c r="O13" s="33">
        <v>10</v>
      </c>
      <c r="P13" s="34" t="s">
        <v>33</v>
      </c>
    </row>
    <row r="14" spans="1:32" s="17" customFormat="1" ht="18" customHeight="1" x14ac:dyDescent="0.25">
      <c r="A14" s="11">
        <v>46314</v>
      </c>
      <c r="B14" s="12" t="s">
        <v>34</v>
      </c>
      <c r="C14" s="35">
        <f>SUM(C13-C15-C16)</f>
        <v>170</v>
      </c>
      <c r="D14" s="35">
        <v>4</v>
      </c>
      <c r="E14" s="35">
        <f>SUM(E13-E15-E16)</f>
        <v>0</v>
      </c>
      <c r="F14" s="35">
        <v>19</v>
      </c>
      <c r="G14" s="35">
        <f>SUM(G13-G15-G16)</f>
        <v>0</v>
      </c>
      <c r="H14" s="35">
        <f>SUM(H13-H15-H16)</f>
        <v>2</v>
      </c>
      <c r="I14" s="35">
        <f>SUM(I13-I15-I16)</f>
        <v>4</v>
      </c>
      <c r="J14" s="35">
        <v>0</v>
      </c>
      <c r="K14" s="35">
        <f>SUM(K13-K15-K16)</f>
        <v>0</v>
      </c>
      <c r="L14" s="36">
        <f>SUM(C14:K14)</f>
        <v>199</v>
      </c>
      <c r="M14" s="37"/>
      <c r="N14" s="32"/>
      <c r="O14" s="38"/>
      <c r="P14" s="39"/>
    </row>
    <row r="15" spans="1:32" s="17" customFormat="1" ht="15" customHeight="1" x14ac:dyDescent="0.25">
      <c r="A15" s="11">
        <v>46314</v>
      </c>
      <c r="B15" s="40" t="s">
        <v>15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1">
        <f>SUM(C15:K15)</f>
        <v>0</v>
      </c>
      <c r="M15" s="42"/>
      <c r="N15" s="43"/>
      <c r="O15" s="44"/>
      <c r="P15" s="38"/>
    </row>
    <row r="16" spans="1:32" s="17" customFormat="1" ht="18" customHeight="1" x14ac:dyDescent="0.25">
      <c r="A16" s="11">
        <v>46314</v>
      </c>
      <c r="B16" s="45" t="s">
        <v>16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1</v>
      </c>
      <c r="L16" s="47">
        <f>SUM(C16:K16)</f>
        <v>1</v>
      </c>
      <c r="M16" s="42"/>
      <c r="N16" s="43"/>
      <c r="O16" s="44"/>
      <c r="P16" s="38"/>
    </row>
    <row r="17" spans="1:17" s="17" customFormat="1" ht="15" customHeight="1" x14ac:dyDescent="0.25">
      <c r="A17" s="11">
        <v>46314</v>
      </c>
      <c r="B17" s="48" t="s">
        <v>18</v>
      </c>
      <c r="C17" s="48">
        <f>SUM(C13-(C15+C16))</f>
        <v>170</v>
      </c>
      <c r="D17" s="48">
        <f t="shared" ref="D17:K17" si="2">SUM(D13-(D15+D16))</f>
        <v>4</v>
      </c>
      <c r="E17" s="48">
        <v>0</v>
      </c>
      <c r="F17" s="48">
        <f t="shared" si="2"/>
        <v>19</v>
      </c>
      <c r="G17" s="48">
        <f t="shared" si="2"/>
        <v>0</v>
      </c>
      <c r="H17" s="48">
        <f t="shared" si="2"/>
        <v>2</v>
      </c>
      <c r="I17" s="48">
        <f t="shared" si="2"/>
        <v>4</v>
      </c>
      <c r="J17" s="48">
        <v>0</v>
      </c>
      <c r="K17" s="48">
        <f t="shared" si="2"/>
        <v>0</v>
      </c>
      <c r="L17" s="49">
        <f>SUM(C17:K17)</f>
        <v>199</v>
      </c>
      <c r="M17" s="42"/>
      <c r="O17" s="16"/>
      <c r="P17" s="16"/>
    </row>
    <row r="18" spans="1:17" ht="12.6" thickBot="1" x14ac:dyDescent="0.25">
      <c r="A18" s="26"/>
      <c r="D18" s="50"/>
    </row>
    <row r="19" spans="1:17" ht="14.4" thickBot="1" x14ac:dyDescent="0.3">
      <c r="A19" s="67" t="s">
        <v>35</v>
      </c>
      <c r="B19" s="68"/>
      <c r="D19" s="51"/>
      <c r="E19" s="62">
        <f>SUM(I6,J5,L17)</f>
        <v>687</v>
      </c>
      <c r="F19" s="51"/>
    </row>
    <row r="20" spans="1:17" ht="11.4" x14ac:dyDescent="0.2"/>
    <row r="21" spans="1:17" ht="11.4" x14ac:dyDescent="0.2"/>
    <row r="22" spans="1:17" ht="11.4" x14ac:dyDescent="0.2"/>
    <row r="23" spans="1:17" ht="11.4" x14ac:dyDescent="0.2"/>
    <row r="24" spans="1:17" ht="11.4" x14ac:dyDescent="0.2">
      <c r="E24" s="52" t="s">
        <v>36</v>
      </c>
      <c r="F24" s="52">
        <f>SUM(C7:F7)</f>
        <v>405</v>
      </c>
    </row>
    <row r="25" spans="1:17" ht="11.4" x14ac:dyDescent="0.2">
      <c r="E25" s="52" t="s">
        <v>37</v>
      </c>
      <c r="F25" s="52">
        <f>SUM(G7:H7)</f>
        <v>132</v>
      </c>
    </row>
    <row r="26" spans="1:17" ht="11.4" x14ac:dyDescent="0.2">
      <c r="E26" s="52" t="s">
        <v>38</v>
      </c>
      <c r="F26" s="52">
        <f>SUM(L13)</f>
        <v>200</v>
      </c>
    </row>
    <row r="27" spans="1:17" ht="12" x14ac:dyDescent="0.2">
      <c r="E27" s="53" t="s">
        <v>39</v>
      </c>
      <c r="F27" s="53">
        <f>SUM(F24:F26)</f>
        <v>737</v>
      </c>
    </row>
    <row r="28" spans="1:17" ht="11.4" x14ac:dyDescent="0.2"/>
    <row r="29" spans="1:17" ht="11.4" x14ac:dyDescent="0.2"/>
    <row r="30" spans="1:17" ht="11.4" x14ac:dyDescent="0.2"/>
    <row r="31" spans="1:17" ht="12" x14ac:dyDescent="0.2">
      <c r="H31" s="54"/>
      <c r="I31" s="55"/>
      <c r="J31" s="56"/>
      <c r="K31" s="56"/>
      <c r="L31" s="56"/>
      <c r="M31" s="57"/>
      <c r="N31" s="57"/>
      <c r="O31" s="57"/>
      <c r="P31" s="57"/>
      <c r="Q31" s="55"/>
    </row>
    <row r="32" spans="1:17" ht="12" x14ac:dyDescent="0.2">
      <c r="H32" s="54"/>
      <c r="I32" s="19"/>
      <c r="J32" s="56"/>
      <c r="K32" s="56"/>
      <c r="L32" s="56"/>
      <c r="M32" s="57"/>
      <c r="N32" s="57"/>
      <c r="O32" s="57"/>
      <c r="P32" s="57"/>
      <c r="Q32" s="55"/>
    </row>
    <row r="33" spans="8:17" ht="12" x14ac:dyDescent="0.2">
      <c r="H33" s="54"/>
      <c r="I33" s="19"/>
      <c r="J33" s="57"/>
      <c r="K33" s="57"/>
      <c r="L33" s="57"/>
      <c r="M33" s="57"/>
      <c r="N33" s="57"/>
      <c r="O33" s="57"/>
      <c r="P33" s="57"/>
      <c r="Q33" s="55"/>
    </row>
    <row r="34" spans="8:17" ht="12" x14ac:dyDescent="0.2">
      <c r="H34" s="54"/>
      <c r="I34" s="19"/>
      <c r="J34" s="57"/>
      <c r="K34" s="57"/>
      <c r="L34" s="57"/>
      <c r="M34" s="57"/>
      <c r="N34" s="57"/>
      <c r="O34" s="57"/>
      <c r="P34" s="57"/>
      <c r="Q34" s="58"/>
    </row>
    <row r="35" spans="8:17" ht="12" x14ac:dyDescent="0.2">
      <c r="H35" s="54"/>
      <c r="I35" s="59"/>
      <c r="J35" s="60"/>
      <c r="K35" s="60"/>
      <c r="L35" s="60"/>
      <c r="M35" s="60"/>
      <c r="N35" s="60"/>
      <c r="O35" s="60"/>
      <c r="P35" s="60"/>
      <c r="Q35" s="60"/>
    </row>
    <row r="36" spans="8:17" ht="12" x14ac:dyDescent="0.2">
      <c r="H36" s="54"/>
      <c r="I36" s="55"/>
      <c r="J36" s="57"/>
      <c r="K36" s="57"/>
      <c r="L36" s="57"/>
      <c r="M36" s="57"/>
      <c r="N36" s="57"/>
      <c r="O36" s="57"/>
      <c r="P36" s="57"/>
      <c r="Q36" s="57"/>
    </row>
  </sheetData>
  <mergeCells count="2">
    <mergeCell ref="N12:P12"/>
    <mergeCell ref="A19:B19"/>
  </mergeCells>
  <conditionalFormatting sqref="A3:A9">
    <cfRule type="timePeriod" dxfId="18" priority="92" stopIfTrue="1" timePeriod="lastMonth">
      <formula>AND(MONTH(A3)=MONTH(EDATE(TODAY(),0-1)),YEAR(A3)=YEAR(EDATE(TODAY(),0-1)))</formula>
    </cfRule>
  </conditionalFormatting>
  <conditionalFormatting sqref="A13:A17">
    <cfRule type="timePeriod" dxfId="17" priority="1" stopIfTrue="1" timePeriod="lastMonth">
      <formula>AND(MONTH(A13)=MONTH(EDATE(TODAY(),0-1)),YEAR(A13)=YEAR(EDATE(TODAY(),0-1)))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59"/>
  <sheetViews>
    <sheetView zoomScale="80" zoomScaleNormal="80" workbookViewId="0">
      <selection activeCell="A2" sqref="A2:XFD7"/>
    </sheetView>
  </sheetViews>
  <sheetFormatPr defaultRowHeight="13.2" x14ac:dyDescent="0.25"/>
  <cols>
    <col min="2" max="2" width="16.6640625" customWidth="1"/>
    <col min="3" max="5" width="14" customWidth="1"/>
    <col min="6" max="6" width="14" style="1" customWidth="1"/>
    <col min="7" max="8" width="14" customWidth="1"/>
    <col min="9" max="11" width="7.5546875" customWidth="1"/>
  </cols>
  <sheetData>
    <row r="1" spans="1:32" ht="36" x14ac:dyDescent="0.25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8" t="s">
        <v>12</v>
      </c>
      <c r="J1" s="9" t="s">
        <v>13</v>
      </c>
      <c r="K1" s="9" t="s">
        <v>14</v>
      </c>
    </row>
    <row r="2" spans="1:32" s="17" customFormat="1" ht="15.6" customHeight="1" x14ac:dyDescent="0.25">
      <c r="A2" s="11">
        <v>46313</v>
      </c>
      <c r="B2" s="12" t="s">
        <v>15</v>
      </c>
      <c r="C2" s="13">
        <v>9</v>
      </c>
      <c r="D2" s="13">
        <v>4</v>
      </c>
      <c r="E2" s="13">
        <v>8</v>
      </c>
      <c r="F2" s="14">
        <v>4</v>
      </c>
      <c r="G2" s="14">
        <v>2</v>
      </c>
      <c r="H2" s="14">
        <v>6</v>
      </c>
      <c r="I2" s="12">
        <f>SUM(C2:H2)</f>
        <v>33</v>
      </c>
      <c r="J2" s="15">
        <f>(I6)/(I2+I6+J4)</f>
        <v>0.90252100840336136</v>
      </c>
      <c r="K2" s="15">
        <f>(I6-I2-I3-J4)/(I6)</f>
        <v>0.82681564245810057</v>
      </c>
      <c r="L2" s="10"/>
      <c r="M2" s="15"/>
      <c r="N2" s="15"/>
      <c r="O2" s="16"/>
      <c r="W2" s="18"/>
      <c r="X2" s="18"/>
      <c r="AE2" s="16"/>
      <c r="AF2" s="16"/>
    </row>
    <row r="3" spans="1:32" s="17" customFormat="1" ht="15.6" customHeight="1" x14ac:dyDescent="0.25">
      <c r="A3" s="11">
        <v>46313</v>
      </c>
      <c r="B3" s="12" t="s">
        <v>16</v>
      </c>
      <c r="C3" s="13">
        <v>11</v>
      </c>
      <c r="D3" s="13">
        <v>7</v>
      </c>
      <c r="E3" s="13">
        <v>5</v>
      </c>
      <c r="F3" s="14">
        <v>3</v>
      </c>
      <c r="G3" s="14">
        <v>3</v>
      </c>
      <c r="H3" s="14">
        <v>6</v>
      </c>
      <c r="I3" s="12">
        <f>SUM(C3:H3)</f>
        <v>35</v>
      </c>
      <c r="L3" s="10"/>
      <c r="W3" s="18"/>
      <c r="X3" s="18"/>
      <c r="AE3" s="16"/>
      <c r="AF3" s="16"/>
    </row>
    <row r="4" spans="1:32" s="17" customFormat="1" ht="15.6" customHeight="1" x14ac:dyDescent="0.25">
      <c r="A4" s="11">
        <v>46313</v>
      </c>
      <c r="B4" s="12" t="s">
        <v>17</v>
      </c>
      <c r="C4" s="14">
        <v>20</v>
      </c>
      <c r="D4" s="14">
        <v>15</v>
      </c>
      <c r="E4" s="14">
        <v>25</v>
      </c>
      <c r="F4" s="14">
        <v>18</v>
      </c>
      <c r="G4" s="14">
        <v>23</v>
      </c>
      <c r="H4" s="14">
        <v>13</v>
      </c>
      <c r="I4" s="12">
        <f t="shared" ref="I4:I7" si="0">SUM(C4:H4)</f>
        <v>114</v>
      </c>
      <c r="J4" s="19">
        <v>25</v>
      </c>
      <c r="K4" s="20"/>
      <c r="L4" s="10"/>
      <c r="W4" s="16"/>
      <c r="X4" s="16"/>
      <c r="AE4" s="16"/>
      <c r="AF4" s="16"/>
    </row>
    <row r="5" spans="1:32" s="17" customFormat="1" ht="15.6" customHeight="1" x14ac:dyDescent="0.25">
      <c r="A5" s="11">
        <v>46313</v>
      </c>
      <c r="B5" s="12" t="s">
        <v>18</v>
      </c>
      <c r="C5" s="14">
        <f t="shared" ref="C5:H5" si="1">SUM(C6-C3-C2-C7)</f>
        <v>102</v>
      </c>
      <c r="D5" s="14">
        <f t="shared" si="1"/>
        <v>95</v>
      </c>
      <c r="E5" s="14">
        <f t="shared" si="1"/>
        <v>74</v>
      </c>
      <c r="F5" s="14">
        <f t="shared" si="1"/>
        <v>74</v>
      </c>
      <c r="G5" s="14">
        <f t="shared" si="1"/>
        <v>52</v>
      </c>
      <c r="H5" s="14">
        <f t="shared" si="1"/>
        <v>63</v>
      </c>
      <c r="I5" s="21">
        <f t="shared" si="0"/>
        <v>460</v>
      </c>
      <c r="J5" s="20"/>
      <c r="K5" s="20"/>
      <c r="L5" s="22"/>
      <c r="W5" s="16"/>
      <c r="X5" s="16"/>
      <c r="AE5" s="16"/>
      <c r="AF5" s="16"/>
    </row>
    <row r="6" spans="1:32" s="17" customFormat="1" ht="15.6" customHeight="1" x14ac:dyDescent="0.25">
      <c r="A6" s="11">
        <v>46313</v>
      </c>
      <c r="B6" s="23" t="s">
        <v>19</v>
      </c>
      <c r="C6" s="23">
        <v>125</v>
      </c>
      <c r="D6" s="23">
        <v>108</v>
      </c>
      <c r="E6" s="23">
        <v>91</v>
      </c>
      <c r="F6" s="23">
        <v>81</v>
      </c>
      <c r="G6" s="23">
        <v>57</v>
      </c>
      <c r="H6" s="23">
        <v>75</v>
      </c>
      <c r="I6" s="23">
        <f t="shared" si="0"/>
        <v>537</v>
      </c>
      <c r="J6" s="20"/>
      <c r="K6" s="20"/>
      <c r="L6" s="10"/>
      <c r="M6" s="24"/>
      <c r="W6" s="16"/>
      <c r="X6" s="16"/>
      <c r="AE6" s="16"/>
      <c r="AF6" s="16"/>
    </row>
    <row r="7" spans="1:32" s="17" customFormat="1" ht="15.6" customHeight="1" x14ac:dyDescent="0.25">
      <c r="A7" s="11">
        <v>46313</v>
      </c>
      <c r="B7" s="12" t="s">
        <v>20</v>
      </c>
      <c r="C7" s="14">
        <v>3</v>
      </c>
      <c r="D7" s="14">
        <v>2</v>
      </c>
      <c r="E7" s="14">
        <v>4</v>
      </c>
      <c r="F7" s="14">
        <v>0</v>
      </c>
      <c r="G7" s="14">
        <v>0</v>
      </c>
      <c r="H7" s="14">
        <v>0</v>
      </c>
      <c r="I7" s="12">
        <f t="shared" si="0"/>
        <v>9</v>
      </c>
      <c r="J7" s="20"/>
      <c r="K7" s="20"/>
      <c r="L7" s="25"/>
      <c r="U7" s="2"/>
      <c r="V7" s="2"/>
      <c r="W7" s="5"/>
      <c r="X7" s="5"/>
      <c r="AE7" s="16"/>
      <c r="AF7" s="16"/>
    </row>
    <row r="8" spans="1:32" s="17" customFormat="1" ht="15.6" customHeight="1" x14ac:dyDescent="0.25">
      <c r="A8" s="11">
        <v>46312</v>
      </c>
      <c r="B8" s="12" t="s">
        <v>15</v>
      </c>
      <c r="C8" s="13">
        <v>9</v>
      </c>
      <c r="D8" s="13">
        <v>6</v>
      </c>
      <c r="E8" s="13">
        <v>8</v>
      </c>
      <c r="F8" s="14">
        <v>4</v>
      </c>
      <c r="G8" s="14">
        <v>2</v>
      </c>
      <c r="H8" s="14">
        <v>6</v>
      </c>
      <c r="I8" s="12">
        <f>SUM(C8:H8)</f>
        <v>35</v>
      </c>
      <c r="J8" s="15">
        <f>(I12)/(I8+I12+J10)</f>
        <v>0.89500000000000002</v>
      </c>
      <c r="K8" s="15">
        <f>(I12-I8-I9-J10)/(I12)</f>
        <v>0.81191806331471139</v>
      </c>
      <c r="L8" s="10"/>
      <c r="M8" s="15"/>
      <c r="N8" s="15"/>
      <c r="O8" s="16"/>
      <c r="W8" s="18"/>
      <c r="X8" s="18"/>
      <c r="AE8" s="16"/>
      <c r="AF8" s="16"/>
    </row>
    <row r="9" spans="1:32" s="17" customFormat="1" ht="15.6" customHeight="1" x14ac:dyDescent="0.25">
      <c r="A9" s="11">
        <v>46312</v>
      </c>
      <c r="B9" s="12" t="s">
        <v>16</v>
      </c>
      <c r="C9" s="13">
        <v>9</v>
      </c>
      <c r="D9" s="13">
        <v>8</v>
      </c>
      <c r="E9" s="13">
        <v>8</v>
      </c>
      <c r="F9" s="14">
        <v>3</v>
      </c>
      <c r="G9" s="14">
        <v>3</v>
      </c>
      <c r="H9" s="14">
        <v>7</v>
      </c>
      <c r="I9" s="12">
        <f t="shared" ref="I9:I13" si="2">SUM(C9:H9)</f>
        <v>38</v>
      </c>
      <c r="L9" s="10"/>
      <c r="W9" s="18"/>
      <c r="X9" s="18"/>
      <c r="AE9" s="16"/>
      <c r="AF9" s="16"/>
    </row>
    <row r="10" spans="1:32" s="17" customFormat="1" ht="15.6" customHeight="1" x14ac:dyDescent="0.25">
      <c r="A10" s="11">
        <v>46312</v>
      </c>
      <c r="B10" s="12" t="s">
        <v>17</v>
      </c>
      <c r="C10" s="14">
        <v>20</v>
      </c>
      <c r="D10" s="14">
        <v>15</v>
      </c>
      <c r="E10" s="14">
        <v>25</v>
      </c>
      <c r="F10" s="14">
        <v>18</v>
      </c>
      <c r="G10" s="14">
        <v>23</v>
      </c>
      <c r="H10" s="14">
        <v>13</v>
      </c>
      <c r="I10" s="12">
        <f t="shared" si="2"/>
        <v>114</v>
      </c>
      <c r="J10" s="19">
        <v>28</v>
      </c>
      <c r="K10" s="20"/>
      <c r="L10" s="10"/>
      <c r="W10" s="16"/>
      <c r="X10" s="16"/>
      <c r="AE10" s="16"/>
      <c r="AF10" s="16"/>
    </row>
    <row r="11" spans="1:32" s="17" customFormat="1" ht="15.6" customHeight="1" x14ac:dyDescent="0.25">
      <c r="A11" s="11">
        <v>46312</v>
      </c>
      <c r="B11" s="12" t="s">
        <v>18</v>
      </c>
      <c r="C11" s="14">
        <f t="shared" ref="C11:H11" si="3">SUM(C12-C9-C8-C13)</f>
        <v>104</v>
      </c>
      <c r="D11" s="14">
        <f t="shared" si="3"/>
        <v>92</v>
      </c>
      <c r="E11" s="14">
        <f t="shared" si="3"/>
        <v>71</v>
      </c>
      <c r="F11" s="14">
        <f t="shared" si="3"/>
        <v>74</v>
      </c>
      <c r="G11" s="14">
        <f t="shared" si="3"/>
        <v>52</v>
      </c>
      <c r="H11" s="14">
        <f t="shared" si="3"/>
        <v>62</v>
      </c>
      <c r="I11" s="21">
        <f t="shared" si="2"/>
        <v>455</v>
      </c>
      <c r="J11" s="20"/>
      <c r="K11" s="20"/>
      <c r="L11" s="22"/>
      <c r="W11" s="16"/>
      <c r="X11" s="16"/>
      <c r="AE11" s="16"/>
      <c r="AF11" s="16"/>
    </row>
    <row r="12" spans="1:32" s="17" customFormat="1" ht="15.6" customHeight="1" x14ac:dyDescent="0.25">
      <c r="A12" s="11">
        <v>46312</v>
      </c>
      <c r="B12" s="23" t="s">
        <v>19</v>
      </c>
      <c r="C12" s="23">
        <v>125</v>
      </c>
      <c r="D12" s="23">
        <v>108</v>
      </c>
      <c r="E12" s="23">
        <v>91</v>
      </c>
      <c r="F12" s="23">
        <v>81</v>
      </c>
      <c r="G12" s="23">
        <v>57</v>
      </c>
      <c r="H12" s="23">
        <v>75</v>
      </c>
      <c r="I12" s="23">
        <f t="shared" si="2"/>
        <v>537</v>
      </c>
      <c r="J12" s="20"/>
      <c r="K12" s="20"/>
      <c r="L12" s="10"/>
      <c r="M12" s="24"/>
      <c r="W12" s="16"/>
      <c r="X12" s="16"/>
      <c r="AE12" s="16"/>
      <c r="AF12" s="16"/>
    </row>
    <row r="13" spans="1:32" s="17" customFormat="1" ht="15.6" customHeight="1" x14ac:dyDescent="0.25">
      <c r="A13" s="11">
        <v>46312</v>
      </c>
      <c r="B13" s="12" t="s">
        <v>20</v>
      </c>
      <c r="C13" s="14">
        <v>3</v>
      </c>
      <c r="D13" s="14">
        <v>2</v>
      </c>
      <c r="E13" s="14">
        <v>4</v>
      </c>
      <c r="F13" s="14">
        <v>0</v>
      </c>
      <c r="G13" s="14">
        <v>0</v>
      </c>
      <c r="H13" s="14">
        <v>0</v>
      </c>
      <c r="I13" s="12">
        <f t="shared" si="2"/>
        <v>9</v>
      </c>
      <c r="J13" s="20"/>
      <c r="K13" s="20"/>
      <c r="L13" s="25"/>
      <c r="U13" s="2"/>
      <c r="V13" s="2"/>
      <c r="W13" s="5"/>
      <c r="X13" s="5"/>
      <c r="AE13" s="16"/>
      <c r="AF13" s="16"/>
    </row>
    <row r="14" spans="1:32" s="17" customFormat="1" ht="15.6" customHeight="1" x14ac:dyDescent="0.25">
      <c r="A14" s="11">
        <v>46311</v>
      </c>
      <c r="B14" s="12" t="s">
        <v>15</v>
      </c>
      <c r="C14" s="13">
        <v>10</v>
      </c>
      <c r="D14" s="13">
        <v>6</v>
      </c>
      <c r="E14" s="13">
        <v>7</v>
      </c>
      <c r="F14" s="14">
        <v>5</v>
      </c>
      <c r="G14" s="14">
        <v>2</v>
      </c>
      <c r="H14" s="14">
        <v>6</v>
      </c>
      <c r="I14" s="12">
        <f>SUM(C14:H14)</f>
        <v>36</v>
      </c>
      <c r="J14" s="15">
        <f>(I18)/(I14+I18+J16)</f>
        <v>0.89799331103678925</v>
      </c>
      <c r="K14" s="15">
        <f>(I18-I14-I15-J16)/(I18)</f>
        <v>0.82495344506517687</v>
      </c>
      <c r="L14" s="10"/>
      <c r="M14" s="15"/>
      <c r="N14" s="15"/>
      <c r="O14" s="16"/>
      <c r="W14" s="18"/>
      <c r="X14" s="18"/>
      <c r="AE14" s="16"/>
      <c r="AF14" s="16"/>
    </row>
    <row r="15" spans="1:32" s="17" customFormat="1" ht="15.6" customHeight="1" x14ac:dyDescent="0.25">
      <c r="A15" s="11">
        <v>46311</v>
      </c>
      <c r="B15" s="12" t="s">
        <v>16</v>
      </c>
      <c r="C15" s="13">
        <v>10</v>
      </c>
      <c r="D15" s="13">
        <v>7</v>
      </c>
      <c r="E15" s="13">
        <v>7</v>
      </c>
      <c r="F15" s="14">
        <v>3</v>
      </c>
      <c r="G15" s="14">
        <v>1</v>
      </c>
      <c r="H15" s="14">
        <v>5</v>
      </c>
      <c r="I15" s="12">
        <f t="shared" ref="I15:I19" si="4">SUM(C15:H15)</f>
        <v>33</v>
      </c>
      <c r="L15" s="10"/>
      <c r="W15" s="18"/>
      <c r="X15" s="18"/>
      <c r="AE15" s="16"/>
      <c r="AF15" s="16"/>
    </row>
    <row r="16" spans="1:32" s="17" customFormat="1" ht="15.6" customHeight="1" x14ac:dyDescent="0.25">
      <c r="A16" s="11">
        <v>46311</v>
      </c>
      <c r="B16" s="12" t="s">
        <v>17</v>
      </c>
      <c r="C16" s="14">
        <v>20</v>
      </c>
      <c r="D16" s="14">
        <v>15</v>
      </c>
      <c r="E16" s="14">
        <v>25</v>
      </c>
      <c r="F16" s="14">
        <v>18</v>
      </c>
      <c r="G16" s="14">
        <v>23</v>
      </c>
      <c r="H16" s="14">
        <v>13</v>
      </c>
      <c r="I16" s="12">
        <f t="shared" si="4"/>
        <v>114</v>
      </c>
      <c r="J16" s="19">
        <v>25</v>
      </c>
      <c r="K16" s="20"/>
      <c r="L16" s="10"/>
      <c r="W16" s="16"/>
      <c r="X16" s="16"/>
      <c r="AE16" s="16"/>
      <c r="AF16" s="16"/>
    </row>
    <row r="17" spans="1:32" s="17" customFormat="1" ht="15.6" customHeight="1" x14ac:dyDescent="0.25">
      <c r="A17" s="11">
        <v>46311</v>
      </c>
      <c r="B17" s="12" t="s">
        <v>18</v>
      </c>
      <c r="C17" s="14">
        <f t="shared" ref="C17:H17" si="5">SUM(C18-C15-C14-C19)</f>
        <v>102</v>
      </c>
      <c r="D17" s="14">
        <f t="shared" si="5"/>
        <v>93</v>
      </c>
      <c r="E17" s="14">
        <f t="shared" si="5"/>
        <v>73</v>
      </c>
      <c r="F17" s="14">
        <f t="shared" si="5"/>
        <v>73</v>
      </c>
      <c r="G17" s="14">
        <f t="shared" si="5"/>
        <v>54</v>
      </c>
      <c r="H17" s="14">
        <f t="shared" si="5"/>
        <v>64</v>
      </c>
      <c r="I17" s="21">
        <f t="shared" si="4"/>
        <v>459</v>
      </c>
      <c r="J17" s="20"/>
      <c r="K17" s="20"/>
      <c r="L17" s="22"/>
      <c r="W17" s="16"/>
      <c r="X17" s="16"/>
      <c r="AE17" s="16"/>
      <c r="AF17" s="16"/>
    </row>
    <row r="18" spans="1:32" s="17" customFormat="1" ht="15.6" customHeight="1" x14ac:dyDescent="0.25">
      <c r="A18" s="11">
        <v>46311</v>
      </c>
      <c r="B18" s="23" t="s">
        <v>19</v>
      </c>
      <c r="C18" s="23">
        <v>125</v>
      </c>
      <c r="D18" s="23">
        <v>108</v>
      </c>
      <c r="E18" s="23">
        <v>91</v>
      </c>
      <c r="F18" s="23">
        <v>81</v>
      </c>
      <c r="G18" s="23">
        <v>57</v>
      </c>
      <c r="H18" s="23">
        <v>75</v>
      </c>
      <c r="I18" s="23">
        <f t="shared" si="4"/>
        <v>537</v>
      </c>
      <c r="J18" s="20"/>
      <c r="K18" s="20"/>
      <c r="L18" s="10"/>
      <c r="M18" s="24"/>
      <c r="W18" s="16"/>
      <c r="X18" s="16"/>
      <c r="AE18" s="16"/>
      <c r="AF18" s="16"/>
    </row>
    <row r="19" spans="1:32" s="17" customFormat="1" ht="15.6" customHeight="1" x14ac:dyDescent="0.25">
      <c r="A19" s="11">
        <v>46311</v>
      </c>
      <c r="B19" s="12" t="s">
        <v>20</v>
      </c>
      <c r="C19" s="14">
        <v>3</v>
      </c>
      <c r="D19" s="14">
        <v>2</v>
      </c>
      <c r="E19" s="14">
        <v>4</v>
      </c>
      <c r="F19" s="14">
        <v>0</v>
      </c>
      <c r="G19" s="14">
        <v>0</v>
      </c>
      <c r="H19" s="14">
        <v>0</v>
      </c>
      <c r="I19" s="12">
        <f t="shared" si="4"/>
        <v>9</v>
      </c>
      <c r="J19" s="20"/>
      <c r="K19" s="20"/>
      <c r="L19" s="25"/>
      <c r="U19" s="2"/>
      <c r="V19" s="2"/>
      <c r="W19" s="5"/>
      <c r="X19" s="5"/>
      <c r="AE19" s="16"/>
      <c r="AF19" s="16"/>
    </row>
    <row r="20" spans="1:32" s="17" customFormat="1" ht="15.6" customHeight="1" x14ac:dyDescent="0.25">
      <c r="A20" s="11">
        <v>46310</v>
      </c>
      <c r="B20" s="12" t="s">
        <v>15</v>
      </c>
      <c r="C20" s="13">
        <v>12</v>
      </c>
      <c r="D20" s="13">
        <v>5</v>
      </c>
      <c r="E20" s="13">
        <v>6</v>
      </c>
      <c r="F20" s="14">
        <v>5</v>
      </c>
      <c r="G20" s="14">
        <v>2</v>
      </c>
      <c r="H20" s="14">
        <v>5</v>
      </c>
      <c r="I20" s="12">
        <f t="shared" ref="I20:I25" si="6">SUM(C20:H20)</f>
        <v>35</v>
      </c>
      <c r="J20" s="15">
        <f>(I24)/(I20+I24+J22)</f>
        <v>0.89649415692821366</v>
      </c>
      <c r="K20" s="15">
        <f>(I24-I20-I21-J22)/(I24)</f>
        <v>0.83985102420856605</v>
      </c>
      <c r="L20" s="10"/>
      <c r="M20" s="15"/>
      <c r="N20" s="15"/>
      <c r="O20" s="16"/>
      <c r="W20" s="18"/>
      <c r="X20" s="18"/>
      <c r="AE20" s="16"/>
      <c r="AF20" s="16"/>
    </row>
    <row r="21" spans="1:32" s="17" customFormat="1" ht="15.6" customHeight="1" x14ac:dyDescent="0.25">
      <c r="A21" s="11">
        <v>46310</v>
      </c>
      <c r="B21" s="12" t="s">
        <v>16</v>
      </c>
      <c r="C21" s="13">
        <v>5</v>
      </c>
      <c r="D21" s="13">
        <v>5</v>
      </c>
      <c r="E21" s="13">
        <v>4</v>
      </c>
      <c r="F21" s="14">
        <v>4</v>
      </c>
      <c r="G21" s="14">
        <v>1</v>
      </c>
      <c r="H21" s="14">
        <v>5</v>
      </c>
      <c r="I21" s="12">
        <f t="shared" si="6"/>
        <v>24</v>
      </c>
      <c r="L21" s="10"/>
      <c r="W21" s="18"/>
      <c r="X21" s="18"/>
      <c r="AE21" s="16"/>
      <c r="AF21" s="16"/>
    </row>
    <row r="22" spans="1:32" s="17" customFormat="1" ht="15.6" customHeight="1" x14ac:dyDescent="0.25">
      <c r="A22" s="11">
        <v>46310</v>
      </c>
      <c r="B22" s="12" t="s">
        <v>17</v>
      </c>
      <c r="C22" s="14">
        <v>20</v>
      </c>
      <c r="D22" s="14">
        <v>15</v>
      </c>
      <c r="E22" s="14">
        <v>25</v>
      </c>
      <c r="F22" s="14">
        <v>18</v>
      </c>
      <c r="G22" s="14">
        <v>23</v>
      </c>
      <c r="H22" s="14">
        <v>13</v>
      </c>
      <c r="I22" s="12">
        <f t="shared" si="6"/>
        <v>114</v>
      </c>
      <c r="J22" s="19">
        <v>27</v>
      </c>
      <c r="K22" s="20"/>
      <c r="L22" s="10"/>
      <c r="W22" s="16"/>
      <c r="X22" s="16"/>
      <c r="AE22" s="16"/>
      <c r="AF22" s="16"/>
    </row>
    <row r="23" spans="1:32" s="17" customFormat="1" ht="15.6" customHeight="1" x14ac:dyDescent="0.25">
      <c r="A23" s="11">
        <v>46310</v>
      </c>
      <c r="B23" s="12" t="s">
        <v>18</v>
      </c>
      <c r="C23" s="14">
        <f t="shared" ref="C23:H23" si="7">SUM(C24-C21-C20-C25)</f>
        <v>105</v>
      </c>
      <c r="D23" s="14">
        <f t="shared" si="7"/>
        <v>96</v>
      </c>
      <c r="E23" s="14">
        <f t="shared" si="7"/>
        <v>77</v>
      </c>
      <c r="F23" s="14">
        <f t="shared" si="7"/>
        <v>72</v>
      </c>
      <c r="G23" s="14">
        <f t="shared" si="7"/>
        <v>54</v>
      </c>
      <c r="H23" s="14">
        <f t="shared" si="7"/>
        <v>65</v>
      </c>
      <c r="I23" s="21">
        <f t="shared" si="6"/>
        <v>469</v>
      </c>
      <c r="J23" s="20"/>
      <c r="K23" s="20"/>
      <c r="L23" s="22"/>
      <c r="W23" s="16"/>
      <c r="X23" s="16"/>
      <c r="AE23" s="16"/>
      <c r="AF23" s="16"/>
    </row>
    <row r="24" spans="1:32" s="17" customFormat="1" ht="15.6" customHeight="1" x14ac:dyDescent="0.25">
      <c r="A24" s="11">
        <v>46310</v>
      </c>
      <c r="B24" s="23" t="s">
        <v>19</v>
      </c>
      <c r="C24" s="23">
        <v>125</v>
      </c>
      <c r="D24" s="23">
        <v>108</v>
      </c>
      <c r="E24" s="23">
        <v>91</v>
      </c>
      <c r="F24" s="23">
        <v>81</v>
      </c>
      <c r="G24" s="23">
        <v>57</v>
      </c>
      <c r="H24" s="23">
        <v>75</v>
      </c>
      <c r="I24" s="23">
        <f t="shared" si="6"/>
        <v>537</v>
      </c>
      <c r="J24" s="20"/>
      <c r="K24" s="20"/>
      <c r="L24" s="10"/>
      <c r="M24" s="24"/>
      <c r="W24" s="16"/>
      <c r="X24" s="16"/>
      <c r="AE24" s="16"/>
      <c r="AF24" s="16"/>
    </row>
    <row r="25" spans="1:32" s="17" customFormat="1" ht="15.6" customHeight="1" x14ac:dyDescent="0.25">
      <c r="A25" s="11">
        <v>46310</v>
      </c>
      <c r="B25" s="12" t="s">
        <v>20</v>
      </c>
      <c r="C25" s="14">
        <v>3</v>
      </c>
      <c r="D25" s="14">
        <v>2</v>
      </c>
      <c r="E25" s="14">
        <v>4</v>
      </c>
      <c r="F25" s="14">
        <v>0</v>
      </c>
      <c r="G25" s="14">
        <v>0</v>
      </c>
      <c r="H25" s="14">
        <v>0</v>
      </c>
      <c r="I25" s="12">
        <f t="shared" si="6"/>
        <v>9</v>
      </c>
      <c r="J25" s="20"/>
      <c r="K25" s="20"/>
      <c r="L25" s="25"/>
      <c r="U25" s="2"/>
      <c r="V25" s="2"/>
      <c r="W25" s="5"/>
      <c r="X25" s="5"/>
      <c r="AE25" s="16"/>
      <c r="AF25" s="16"/>
    </row>
    <row r="26" spans="1:32" s="17" customFormat="1" ht="15.6" customHeight="1" x14ac:dyDescent="0.25">
      <c r="A26" s="11">
        <v>46309</v>
      </c>
      <c r="B26" s="12" t="s">
        <v>15</v>
      </c>
      <c r="C26" s="13">
        <v>8</v>
      </c>
      <c r="D26" s="13">
        <v>5</v>
      </c>
      <c r="E26" s="13">
        <v>6</v>
      </c>
      <c r="F26" s="14">
        <v>5</v>
      </c>
      <c r="G26" s="14">
        <v>2</v>
      </c>
      <c r="H26" s="14">
        <v>5</v>
      </c>
      <c r="I26" s="12">
        <f t="shared" ref="I26:I31" si="8">SUM(C26:H26)</f>
        <v>31</v>
      </c>
      <c r="J26" s="15">
        <f>(I30)/(I26+I30+J28)</f>
        <v>0.90252100840336136</v>
      </c>
      <c r="K26" s="15">
        <f>(I30-I26-I27-J28)/(I30)</f>
        <v>0.84357541899441346</v>
      </c>
      <c r="L26" s="10"/>
      <c r="M26" s="15"/>
      <c r="N26" s="15"/>
      <c r="O26" s="16"/>
      <c r="W26" s="18"/>
      <c r="X26" s="18"/>
      <c r="AE26" s="16"/>
      <c r="AF26" s="16"/>
    </row>
    <row r="27" spans="1:32" s="17" customFormat="1" ht="15.6" customHeight="1" x14ac:dyDescent="0.25">
      <c r="A27" s="11">
        <v>46309</v>
      </c>
      <c r="B27" s="12" t="s">
        <v>16</v>
      </c>
      <c r="C27" s="13">
        <v>5</v>
      </c>
      <c r="D27" s="13">
        <v>7</v>
      </c>
      <c r="E27" s="13">
        <v>4</v>
      </c>
      <c r="F27" s="14">
        <v>4</v>
      </c>
      <c r="G27" s="14">
        <v>1</v>
      </c>
      <c r="H27" s="14">
        <v>5</v>
      </c>
      <c r="I27" s="12">
        <f t="shared" si="8"/>
        <v>26</v>
      </c>
      <c r="L27" s="10"/>
      <c r="W27" s="18"/>
      <c r="X27" s="18"/>
      <c r="AE27" s="16"/>
      <c r="AF27" s="16"/>
    </row>
    <row r="28" spans="1:32" s="17" customFormat="1" ht="15.6" customHeight="1" x14ac:dyDescent="0.25">
      <c r="A28" s="11">
        <v>46309</v>
      </c>
      <c r="B28" s="12" t="s">
        <v>17</v>
      </c>
      <c r="C28" s="14">
        <v>20</v>
      </c>
      <c r="D28" s="14">
        <v>15</v>
      </c>
      <c r="E28" s="14">
        <v>25</v>
      </c>
      <c r="F28" s="14">
        <v>18</v>
      </c>
      <c r="G28" s="14">
        <v>23</v>
      </c>
      <c r="H28" s="14">
        <v>13</v>
      </c>
      <c r="I28" s="12">
        <f t="shared" si="8"/>
        <v>114</v>
      </c>
      <c r="J28" s="19">
        <v>27</v>
      </c>
      <c r="K28" s="20"/>
      <c r="L28" s="10"/>
      <c r="W28" s="16"/>
      <c r="X28" s="16"/>
      <c r="AE28" s="16"/>
      <c r="AF28" s="16"/>
    </row>
    <row r="29" spans="1:32" s="17" customFormat="1" ht="15.6" customHeight="1" x14ac:dyDescent="0.25">
      <c r="A29" s="11">
        <v>46309</v>
      </c>
      <c r="B29" s="12" t="s">
        <v>18</v>
      </c>
      <c r="C29" s="14">
        <f t="shared" ref="C29:H29" si="9">SUM(C30-C27-C26-C31)</f>
        <v>109</v>
      </c>
      <c r="D29" s="14">
        <f t="shared" si="9"/>
        <v>94</v>
      </c>
      <c r="E29" s="14">
        <f t="shared" si="9"/>
        <v>77</v>
      </c>
      <c r="F29" s="14">
        <f t="shared" si="9"/>
        <v>72</v>
      </c>
      <c r="G29" s="14">
        <f t="shared" si="9"/>
        <v>54</v>
      </c>
      <c r="H29" s="14">
        <f t="shared" si="9"/>
        <v>65</v>
      </c>
      <c r="I29" s="21">
        <f t="shared" si="8"/>
        <v>471</v>
      </c>
      <c r="J29" s="20"/>
      <c r="K29" s="20"/>
      <c r="L29" s="22"/>
      <c r="W29" s="16"/>
      <c r="X29" s="16"/>
      <c r="AE29" s="16"/>
      <c r="AF29" s="16"/>
    </row>
    <row r="30" spans="1:32" s="17" customFormat="1" ht="15.6" customHeight="1" x14ac:dyDescent="0.25">
      <c r="A30" s="11">
        <v>46309</v>
      </c>
      <c r="B30" s="23" t="s">
        <v>19</v>
      </c>
      <c r="C30" s="23">
        <v>125</v>
      </c>
      <c r="D30" s="23">
        <v>108</v>
      </c>
      <c r="E30" s="23">
        <v>91</v>
      </c>
      <c r="F30" s="23">
        <v>81</v>
      </c>
      <c r="G30" s="23">
        <v>57</v>
      </c>
      <c r="H30" s="23">
        <v>75</v>
      </c>
      <c r="I30" s="23">
        <f t="shared" si="8"/>
        <v>537</v>
      </c>
      <c r="J30" s="20"/>
      <c r="K30" s="20"/>
      <c r="L30" s="10"/>
      <c r="M30" s="24"/>
      <c r="W30" s="16"/>
      <c r="X30" s="16"/>
      <c r="AE30" s="16"/>
      <c r="AF30" s="16"/>
    </row>
    <row r="31" spans="1:32" s="17" customFormat="1" ht="15.6" customHeight="1" x14ac:dyDescent="0.25">
      <c r="A31" s="11">
        <v>46309</v>
      </c>
      <c r="B31" s="12" t="s">
        <v>20</v>
      </c>
      <c r="C31" s="14">
        <v>3</v>
      </c>
      <c r="D31" s="14">
        <v>2</v>
      </c>
      <c r="E31" s="14">
        <v>4</v>
      </c>
      <c r="F31" s="14">
        <v>0</v>
      </c>
      <c r="G31" s="14">
        <v>0</v>
      </c>
      <c r="H31" s="14">
        <v>0</v>
      </c>
      <c r="I31" s="12">
        <f t="shared" si="8"/>
        <v>9</v>
      </c>
      <c r="J31" s="20"/>
      <c r="K31" s="20"/>
      <c r="L31" s="25"/>
      <c r="U31" s="2"/>
      <c r="V31" s="2"/>
      <c r="W31" s="5"/>
      <c r="X31" s="5"/>
      <c r="AE31" s="16"/>
      <c r="AF31" s="16"/>
    </row>
    <row r="32" spans="1:32" s="17" customFormat="1" ht="15.6" customHeight="1" x14ac:dyDescent="0.25">
      <c r="A32" s="11">
        <v>46308</v>
      </c>
      <c r="B32" s="12" t="s">
        <v>15</v>
      </c>
      <c r="C32" s="13">
        <v>8</v>
      </c>
      <c r="D32" s="13">
        <v>5</v>
      </c>
      <c r="E32" s="13">
        <v>7</v>
      </c>
      <c r="F32" s="14">
        <v>4</v>
      </c>
      <c r="G32" s="14">
        <v>2</v>
      </c>
      <c r="H32" s="14">
        <v>5</v>
      </c>
      <c r="I32" s="12">
        <f t="shared" ref="I32:I37" si="10">SUM(C32:H32)</f>
        <v>31</v>
      </c>
      <c r="J32" s="15">
        <f>(I36)/(I32+I36+J34)</f>
        <v>0.90725126475548057</v>
      </c>
      <c r="K32" s="15">
        <f>(I36-I32-I33-J34)/(I36)</f>
        <v>0.84758364312267653</v>
      </c>
      <c r="L32" s="10"/>
      <c r="M32" s="15"/>
      <c r="N32" s="15"/>
      <c r="O32" s="16"/>
      <c r="W32" s="18"/>
      <c r="X32" s="18"/>
      <c r="AE32" s="16"/>
      <c r="AF32" s="16"/>
    </row>
    <row r="33" spans="1:32" s="17" customFormat="1" ht="15.6" customHeight="1" x14ac:dyDescent="0.25">
      <c r="A33" s="11">
        <v>46308</v>
      </c>
      <c r="B33" s="12" t="s">
        <v>16</v>
      </c>
      <c r="C33" s="13">
        <v>5</v>
      </c>
      <c r="D33" s="13">
        <v>7</v>
      </c>
      <c r="E33" s="13">
        <v>5</v>
      </c>
      <c r="F33" s="14">
        <v>4</v>
      </c>
      <c r="G33" s="14">
        <v>1</v>
      </c>
      <c r="H33" s="14">
        <v>5</v>
      </c>
      <c r="I33" s="12">
        <f t="shared" si="10"/>
        <v>27</v>
      </c>
      <c r="L33" s="10"/>
      <c r="W33" s="18"/>
      <c r="X33" s="18"/>
      <c r="AE33" s="16"/>
      <c r="AF33" s="16"/>
    </row>
    <row r="34" spans="1:32" s="17" customFormat="1" ht="15.6" customHeight="1" x14ac:dyDescent="0.25">
      <c r="A34" s="11">
        <v>46308</v>
      </c>
      <c r="B34" s="12" t="s">
        <v>17</v>
      </c>
      <c r="C34" s="14">
        <v>20</v>
      </c>
      <c r="D34" s="14">
        <v>15</v>
      </c>
      <c r="E34" s="14">
        <v>25</v>
      </c>
      <c r="F34" s="14">
        <v>18</v>
      </c>
      <c r="G34" s="14">
        <v>23</v>
      </c>
      <c r="H34" s="14">
        <v>13</v>
      </c>
      <c r="I34" s="12">
        <f t="shared" si="10"/>
        <v>114</v>
      </c>
      <c r="J34" s="19">
        <v>24</v>
      </c>
      <c r="K34" s="20"/>
      <c r="L34" s="10"/>
      <c r="W34" s="16"/>
      <c r="X34" s="16"/>
      <c r="AE34" s="16"/>
      <c r="AF34" s="16"/>
    </row>
    <row r="35" spans="1:32" s="17" customFormat="1" ht="15.6" customHeight="1" x14ac:dyDescent="0.25">
      <c r="A35" s="11">
        <v>46308</v>
      </c>
      <c r="B35" s="12" t="s">
        <v>18</v>
      </c>
      <c r="C35" s="14">
        <f t="shared" ref="C35:H35" si="11">SUM(C36-C33-C32-C37)</f>
        <v>109</v>
      </c>
      <c r="D35" s="14">
        <f t="shared" si="11"/>
        <v>95</v>
      </c>
      <c r="E35" s="14">
        <f t="shared" si="11"/>
        <v>75</v>
      </c>
      <c r="F35" s="14">
        <f t="shared" si="11"/>
        <v>73</v>
      </c>
      <c r="G35" s="14">
        <f t="shared" si="11"/>
        <v>54</v>
      </c>
      <c r="H35" s="14">
        <f t="shared" si="11"/>
        <v>65</v>
      </c>
      <c r="I35" s="21">
        <f t="shared" si="10"/>
        <v>471</v>
      </c>
      <c r="J35" s="20"/>
      <c r="K35" s="20"/>
      <c r="L35" s="22"/>
      <c r="W35" s="16"/>
      <c r="X35" s="16"/>
      <c r="AE35" s="16"/>
      <c r="AF35" s="16"/>
    </row>
    <row r="36" spans="1:32" s="17" customFormat="1" ht="15.6" customHeight="1" x14ac:dyDescent="0.25">
      <c r="A36" s="11">
        <v>46308</v>
      </c>
      <c r="B36" s="23" t="s">
        <v>19</v>
      </c>
      <c r="C36" s="23">
        <v>125</v>
      </c>
      <c r="D36" s="23">
        <v>109</v>
      </c>
      <c r="E36" s="23">
        <v>91</v>
      </c>
      <c r="F36" s="23">
        <v>81</v>
      </c>
      <c r="G36" s="23">
        <v>57</v>
      </c>
      <c r="H36" s="23">
        <v>75</v>
      </c>
      <c r="I36" s="23">
        <f t="shared" si="10"/>
        <v>538</v>
      </c>
      <c r="J36" s="20"/>
      <c r="K36" s="20"/>
      <c r="L36" s="10"/>
      <c r="M36" s="24"/>
      <c r="W36" s="16"/>
      <c r="X36" s="16"/>
      <c r="AE36" s="16"/>
      <c r="AF36" s="16"/>
    </row>
    <row r="37" spans="1:32" s="17" customFormat="1" ht="15.6" customHeight="1" x14ac:dyDescent="0.25">
      <c r="A37" s="11">
        <v>46308</v>
      </c>
      <c r="B37" s="12" t="s">
        <v>20</v>
      </c>
      <c r="C37" s="14">
        <v>3</v>
      </c>
      <c r="D37" s="14">
        <v>2</v>
      </c>
      <c r="E37" s="14">
        <v>4</v>
      </c>
      <c r="F37" s="14">
        <v>0</v>
      </c>
      <c r="G37" s="14">
        <v>0</v>
      </c>
      <c r="H37" s="14">
        <v>0</v>
      </c>
      <c r="I37" s="12">
        <f t="shared" si="10"/>
        <v>9</v>
      </c>
      <c r="J37" s="20"/>
      <c r="K37" s="20"/>
      <c r="L37" s="25"/>
      <c r="U37" s="2"/>
      <c r="V37" s="2"/>
      <c r="W37" s="5"/>
      <c r="X37" s="5"/>
      <c r="AE37" s="16"/>
      <c r="AF37" s="16"/>
    </row>
    <row r="38" spans="1:32" s="17" customFormat="1" ht="15.6" customHeight="1" x14ac:dyDescent="0.25">
      <c r="A38" s="11">
        <v>46307</v>
      </c>
      <c r="B38" s="12" t="s">
        <v>15</v>
      </c>
      <c r="C38" s="13">
        <v>7</v>
      </c>
      <c r="D38" s="13">
        <v>8</v>
      </c>
      <c r="E38" s="13">
        <v>7</v>
      </c>
      <c r="F38" s="14">
        <v>5</v>
      </c>
      <c r="G38" s="14">
        <v>2</v>
      </c>
      <c r="H38" s="14">
        <v>5</v>
      </c>
      <c r="I38" s="12">
        <f t="shared" ref="I38:I43" si="12">SUM(C38:H38)</f>
        <v>34</v>
      </c>
      <c r="J38" s="15">
        <f>(I42)/(I38+I42+J40)</f>
        <v>0.90252100840336136</v>
      </c>
      <c r="K38" s="15">
        <f>(I42-I38-I39-J40)/(I42)</f>
        <v>0.84171322160148976</v>
      </c>
      <c r="L38" s="10"/>
      <c r="M38" s="15"/>
      <c r="N38" s="15"/>
      <c r="O38" s="16"/>
      <c r="W38" s="18"/>
      <c r="X38" s="18"/>
      <c r="AE38" s="16"/>
      <c r="AF38" s="16"/>
    </row>
    <row r="39" spans="1:32" s="17" customFormat="1" ht="15.6" customHeight="1" x14ac:dyDescent="0.25">
      <c r="A39" s="11">
        <v>46307</v>
      </c>
      <c r="B39" s="12" t="s">
        <v>16</v>
      </c>
      <c r="C39" s="13">
        <v>7</v>
      </c>
      <c r="D39" s="13">
        <v>5</v>
      </c>
      <c r="E39" s="13">
        <v>4</v>
      </c>
      <c r="F39" s="14">
        <v>4</v>
      </c>
      <c r="G39" s="14">
        <v>1</v>
      </c>
      <c r="H39" s="14">
        <v>6</v>
      </c>
      <c r="I39" s="12">
        <f t="shared" si="12"/>
        <v>27</v>
      </c>
      <c r="L39" s="10"/>
      <c r="W39" s="18"/>
      <c r="X39" s="18"/>
      <c r="AE39" s="16"/>
      <c r="AF39" s="16"/>
    </row>
    <row r="40" spans="1:32" s="17" customFormat="1" ht="15.6" customHeight="1" x14ac:dyDescent="0.25">
      <c r="A40" s="11">
        <v>46307</v>
      </c>
      <c r="B40" s="12" t="s">
        <v>17</v>
      </c>
      <c r="C40" s="14">
        <v>20</v>
      </c>
      <c r="D40" s="14">
        <v>15</v>
      </c>
      <c r="E40" s="14">
        <v>25</v>
      </c>
      <c r="F40" s="14">
        <v>18</v>
      </c>
      <c r="G40" s="14">
        <v>23</v>
      </c>
      <c r="H40" s="14">
        <v>13</v>
      </c>
      <c r="I40" s="12">
        <f t="shared" si="12"/>
        <v>114</v>
      </c>
      <c r="J40" s="19">
        <v>24</v>
      </c>
      <c r="K40" s="20"/>
      <c r="L40" s="10"/>
      <c r="W40" s="16"/>
      <c r="X40" s="16"/>
      <c r="AE40" s="16"/>
      <c r="AF40" s="16"/>
    </row>
    <row r="41" spans="1:32" s="17" customFormat="1" ht="15.6" customHeight="1" x14ac:dyDescent="0.25">
      <c r="A41" s="11">
        <v>46307</v>
      </c>
      <c r="B41" s="12" t="s">
        <v>18</v>
      </c>
      <c r="C41" s="14">
        <f t="shared" ref="C41:H41" si="13">SUM(C42-C39-C38-C43)</f>
        <v>108</v>
      </c>
      <c r="D41" s="14">
        <f t="shared" si="13"/>
        <v>93</v>
      </c>
      <c r="E41" s="14">
        <f t="shared" si="13"/>
        <v>76</v>
      </c>
      <c r="F41" s="14">
        <f t="shared" si="13"/>
        <v>72</v>
      </c>
      <c r="G41" s="14">
        <f t="shared" si="13"/>
        <v>54</v>
      </c>
      <c r="H41" s="14">
        <f t="shared" si="13"/>
        <v>64</v>
      </c>
      <c r="I41" s="21">
        <f t="shared" si="12"/>
        <v>467</v>
      </c>
      <c r="J41" s="20"/>
      <c r="K41" s="20"/>
      <c r="L41" s="22"/>
      <c r="W41" s="16"/>
      <c r="X41" s="16"/>
      <c r="AE41" s="16"/>
      <c r="AF41" s="16"/>
    </row>
    <row r="42" spans="1:32" s="17" customFormat="1" ht="15.6" customHeight="1" x14ac:dyDescent="0.25">
      <c r="A42" s="11">
        <v>46307</v>
      </c>
      <c r="B42" s="23" t="s">
        <v>19</v>
      </c>
      <c r="C42" s="23">
        <v>125</v>
      </c>
      <c r="D42" s="23">
        <v>108</v>
      </c>
      <c r="E42" s="23">
        <v>91</v>
      </c>
      <c r="F42" s="23">
        <v>81</v>
      </c>
      <c r="G42" s="23">
        <v>57</v>
      </c>
      <c r="H42" s="23">
        <v>75</v>
      </c>
      <c r="I42" s="23">
        <f t="shared" si="12"/>
        <v>537</v>
      </c>
      <c r="J42" s="20"/>
      <c r="K42" s="20"/>
      <c r="L42" s="10"/>
      <c r="M42" s="24"/>
      <c r="W42" s="16"/>
      <c r="X42" s="16"/>
      <c r="AE42" s="16"/>
      <c r="AF42" s="16"/>
    </row>
    <row r="43" spans="1:32" s="17" customFormat="1" ht="15.6" customHeight="1" x14ac:dyDescent="0.25">
      <c r="A43" s="11">
        <v>46307</v>
      </c>
      <c r="B43" s="12" t="s">
        <v>20</v>
      </c>
      <c r="C43" s="14">
        <v>3</v>
      </c>
      <c r="D43" s="14">
        <v>2</v>
      </c>
      <c r="E43" s="14">
        <v>4</v>
      </c>
      <c r="F43" s="14">
        <v>0</v>
      </c>
      <c r="G43" s="14">
        <v>0</v>
      </c>
      <c r="H43" s="14">
        <v>0</v>
      </c>
      <c r="I43" s="12">
        <f t="shared" si="12"/>
        <v>9</v>
      </c>
      <c r="J43" s="20"/>
      <c r="K43" s="20"/>
      <c r="L43" s="25"/>
      <c r="U43" s="2"/>
      <c r="V43" s="2"/>
      <c r="W43" s="5"/>
      <c r="X43" s="5"/>
      <c r="AE43" s="16"/>
      <c r="AF43" s="16"/>
    </row>
    <row r="44" spans="1:32" s="17" customFormat="1" ht="15.6" customHeight="1" x14ac:dyDescent="0.25">
      <c r="A44" s="11">
        <v>46306</v>
      </c>
      <c r="B44" s="12" t="s">
        <v>15</v>
      </c>
      <c r="C44" s="13">
        <v>12</v>
      </c>
      <c r="D44" s="13">
        <v>4</v>
      </c>
      <c r="E44" s="13">
        <v>4</v>
      </c>
      <c r="F44" s="14">
        <v>4</v>
      </c>
      <c r="G44" s="14">
        <v>4</v>
      </c>
      <c r="H44" s="14">
        <v>6</v>
      </c>
      <c r="I44" s="12">
        <f t="shared" ref="I44:I49" si="14">SUM(C44:H44)</f>
        <v>34</v>
      </c>
      <c r="J44" s="15">
        <f>(I48)/(I44+I48+J46)</f>
        <v>0.90252100840336136</v>
      </c>
      <c r="K44" s="15">
        <f>(I48-I44-I45-J46)/(I48)</f>
        <v>0.84357541899441346</v>
      </c>
      <c r="L44" s="10"/>
      <c r="M44" s="15"/>
      <c r="N44" s="15"/>
      <c r="O44" s="16"/>
      <c r="W44" s="18"/>
      <c r="X44" s="18"/>
      <c r="AE44" s="16"/>
      <c r="AF44" s="16"/>
    </row>
    <row r="45" spans="1:32" s="17" customFormat="1" ht="15.6" customHeight="1" x14ac:dyDescent="0.25">
      <c r="A45" s="11">
        <v>46306</v>
      </c>
      <c r="B45" s="12" t="s">
        <v>16</v>
      </c>
      <c r="C45" s="13">
        <v>6</v>
      </c>
      <c r="D45" s="13">
        <v>7</v>
      </c>
      <c r="E45" s="13">
        <v>4</v>
      </c>
      <c r="F45" s="14">
        <v>3</v>
      </c>
      <c r="G45" s="14">
        <v>1</v>
      </c>
      <c r="H45" s="14">
        <v>5</v>
      </c>
      <c r="I45" s="12">
        <f t="shared" si="14"/>
        <v>26</v>
      </c>
      <c r="L45" s="10"/>
      <c r="W45" s="18"/>
      <c r="X45" s="18"/>
      <c r="AE45" s="16"/>
      <c r="AF45" s="16"/>
    </row>
    <row r="46" spans="1:32" s="17" customFormat="1" ht="15.6" customHeight="1" x14ac:dyDescent="0.25">
      <c r="A46" s="11">
        <v>46306</v>
      </c>
      <c r="B46" s="12" t="s">
        <v>17</v>
      </c>
      <c r="C46" s="14">
        <v>20</v>
      </c>
      <c r="D46" s="14">
        <v>15</v>
      </c>
      <c r="E46" s="14">
        <v>25</v>
      </c>
      <c r="F46" s="14">
        <v>18</v>
      </c>
      <c r="G46" s="14">
        <v>23</v>
      </c>
      <c r="H46" s="14">
        <v>13</v>
      </c>
      <c r="I46" s="12">
        <f t="shared" si="14"/>
        <v>114</v>
      </c>
      <c r="J46" s="19">
        <v>24</v>
      </c>
      <c r="K46" s="20"/>
      <c r="L46" s="10"/>
      <c r="W46" s="16"/>
      <c r="X46" s="16"/>
      <c r="AE46" s="16"/>
      <c r="AF46" s="16"/>
    </row>
    <row r="47" spans="1:32" s="17" customFormat="1" ht="15.6" customHeight="1" x14ac:dyDescent="0.25">
      <c r="A47" s="11">
        <v>46306</v>
      </c>
      <c r="B47" s="12" t="s">
        <v>18</v>
      </c>
      <c r="C47" s="14">
        <f t="shared" ref="C47:H47" si="15">SUM(C48-C45-C44-C49)</f>
        <v>104</v>
      </c>
      <c r="D47" s="14">
        <f t="shared" si="15"/>
        <v>95</v>
      </c>
      <c r="E47" s="14">
        <f t="shared" si="15"/>
        <v>79</v>
      </c>
      <c r="F47" s="14">
        <f t="shared" si="15"/>
        <v>74</v>
      </c>
      <c r="G47" s="14">
        <f t="shared" si="15"/>
        <v>52</v>
      </c>
      <c r="H47" s="14">
        <f t="shared" si="15"/>
        <v>64</v>
      </c>
      <c r="I47" s="21">
        <f t="shared" si="14"/>
        <v>468</v>
      </c>
      <c r="J47" s="20"/>
      <c r="K47" s="20"/>
      <c r="L47" s="22"/>
      <c r="W47" s="16"/>
      <c r="X47" s="16"/>
      <c r="AE47" s="16"/>
      <c r="AF47" s="16"/>
    </row>
    <row r="48" spans="1:32" s="17" customFormat="1" ht="15.6" customHeight="1" x14ac:dyDescent="0.25">
      <c r="A48" s="11">
        <v>46306</v>
      </c>
      <c r="B48" s="23" t="s">
        <v>19</v>
      </c>
      <c r="C48" s="23">
        <v>125</v>
      </c>
      <c r="D48" s="23">
        <v>108</v>
      </c>
      <c r="E48" s="23">
        <v>91</v>
      </c>
      <c r="F48" s="23">
        <v>81</v>
      </c>
      <c r="G48" s="23">
        <v>57</v>
      </c>
      <c r="H48" s="23">
        <v>75</v>
      </c>
      <c r="I48" s="23">
        <f t="shared" si="14"/>
        <v>537</v>
      </c>
      <c r="J48" s="20"/>
      <c r="K48" s="20"/>
      <c r="L48" s="10"/>
      <c r="M48" s="24"/>
      <c r="W48" s="16"/>
      <c r="X48" s="16"/>
      <c r="AE48" s="16"/>
      <c r="AF48" s="16"/>
    </row>
    <row r="49" spans="1:32" s="17" customFormat="1" ht="15.6" customHeight="1" x14ac:dyDescent="0.25">
      <c r="A49" s="11">
        <v>46306</v>
      </c>
      <c r="B49" s="12" t="s">
        <v>20</v>
      </c>
      <c r="C49" s="14">
        <v>3</v>
      </c>
      <c r="D49" s="14">
        <v>2</v>
      </c>
      <c r="E49" s="14">
        <v>4</v>
      </c>
      <c r="F49" s="14">
        <v>0</v>
      </c>
      <c r="G49" s="14">
        <v>0</v>
      </c>
      <c r="H49" s="14">
        <v>0</v>
      </c>
      <c r="I49" s="12">
        <f t="shared" si="14"/>
        <v>9</v>
      </c>
      <c r="J49" s="20"/>
      <c r="K49" s="20"/>
      <c r="L49" s="25"/>
      <c r="U49" s="2"/>
      <c r="V49" s="2"/>
      <c r="W49" s="5"/>
      <c r="X49" s="5"/>
      <c r="AE49" s="16"/>
      <c r="AF49" s="16"/>
    </row>
    <row r="50" spans="1:32" s="17" customFormat="1" ht="15.6" customHeight="1" x14ac:dyDescent="0.25">
      <c r="A50" s="11">
        <v>46305</v>
      </c>
      <c r="B50" s="12" t="s">
        <v>15</v>
      </c>
      <c r="C50" s="13">
        <v>11</v>
      </c>
      <c r="D50" s="13">
        <v>4</v>
      </c>
      <c r="E50" s="13">
        <v>4</v>
      </c>
      <c r="F50" s="14">
        <v>4</v>
      </c>
      <c r="G50" s="14">
        <v>4</v>
      </c>
      <c r="H50" s="14">
        <v>6</v>
      </c>
      <c r="I50" s="12">
        <f t="shared" ref="I50:I55" si="16">SUM(C50:H50)</f>
        <v>33</v>
      </c>
      <c r="J50" s="15">
        <f>(I54)/(I50+I54+J52)</f>
        <v>0.90404040404040409</v>
      </c>
      <c r="K50" s="15">
        <f>(I54-I50-I51-J52)/(I54)</f>
        <v>0.84543761638733705</v>
      </c>
      <c r="L50" s="10"/>
      <c r="M50" s="15"/>
      <c r="N50" s="15"/>
      <c r="O50" s="16"/>
      <c r="W50" s="18"/>
      <c r="X50" s="18"/>
      <c r="AE50" s="16"/>
      <c r="AF50" s="16"/>
    </row>
    <row r="51" spans="1:32" s="17" customFormat="1" ht="15.6" customHeight="1" x14ac:dyDescent="0.25">
      <c r="A51" s="11">
        <v>46305</v>
      </c>
      <c r="B51" s="12" t="s">
        <v>16</v>
      </c>
      <c r="C51" s="13">
        <v>6</v>
      </c>
      <c r="D51" s="13">
        <v>7</v>
      </c>
      <c r="E51" s="13">
        <v>4</v>
      </c>
      <c r="F51" s="14">
        <v>3</v>
      </c>
      <c r="G51" s="14">
        <v>1</v>
      </c>
      <c r="H51" s="14">
        <v>5</v>
      </c>
      <c r="I51" s="12">
        <f t="shared" si="16"/>
        <v>26</v>
      </c>
      <c r="L51" s="10"/>
      <c r="W51" s="18"/>
      <c r="X51" s="18"/>
      <c r="AE51" s="16"/>
      <c r="AF51" s="16"/>
    </row>
    <row r="52" spans="1:32" s="17" customFormat="1" ht="15.6" customHeight="1" x14ac:dyDescent="0.25">
      <c r="A52" s="11">
        <v>46305</v>
      </c>
      <c r="B52" s="12" t="s">
        <v>17</v>
      </c>
      <c r="C52" s="14">
        <v>20</v>
      </c>
      <c r="D52" s="14">
        <v>15</v>
      </c>
      <c r="E52" s="14">
        <v>25</v>
      </c>
      <c r="F52" s="14">
        <v>18</v>
      </c>
      <c r="G52" s="14">
        <v>23</v>
      </c>
      <c r="H52" s="14">
        <v>13</v>
      </c>
      <c r="I52" s="12">
        <f t="shared" si="16"/>
        <v>114</v>
      </c>
      <c r="J52" s="19">
        <v>24</v>
      </c>
      <c r="K52" s="20"/>
      <c r="L52" s="10"/>
      <c r="W52" s="16"/>
      <c r="X52" s="16"/>
      <c r="AE52" s="16"/>
      <c r="AF52" s="16"/>
    </row>
    <row r="53" spans="1:32" s="17" customFormat="1" ht="15.6" customHeight="1" x14ac:dyDescent="0.25">
      <c r="A53" s="11">
        <v>46305</v>
      </c>
      <c r="B53" s="12" t="s">
        <v>18</v>
      </c>
      <c r="C53" s="14">
        <f t="shared" ref="C53:H53" si="17">SUM(C54-C51-C50-C55)</f>
        <v>105</v>
      </c>
      <c r="D53" s="14">
        <f t="shared" si="17"/>
        <v>95</v>
      </c>
      <c r="E53" s="14">
        <f t="shared" si="17"/>
        <v>79</v>
      </c>
      <c r="F53" s="14">
        <f t="shared" si="17"/>
        <v>74</v>
      </c>
      <c r="G53" s="14">
        <f t="shared" si="17"/>
        <v>52</v>
      </c>
      <c r="H53" s="14">
        <f t="shared" si="17"/>
        <v>64</v>
      </c>
      <c r="I53" s="21">
        <f t="shared" si="16"/>
        <v>469</v>
      </c>
      <c r="J53" s="20"/>
      <c r="K53" s="20"/>
      <c r="L53" s="22"/>
      <c r="W53" s="16"/>
      <c r="X53" s="16"/>
      <c r="AE53" s="16"/>
      <c r="AF53" s="16"/>
    </row>
    <row r="54" spans="1:32" s="17" customFormat="1" ht="15.6" customHeight="1" x14ac:dyDescent="0.25">
      <c r="A54" s="11">
        <v>46305</v>
      </c>
      <c r="B54" s="23" t="s">
        <v>19</v>
      </c>
      <c r="C54" s="23">
        <v>125</v>
      </c>
      <c r="D54" s="23">
        <v>108</v>
      </c>
      <c r="E54" s="23">
        <v>91</v>
      </c>
      <c r="F54" s="23">
        <v>81</v>
      </c>
      <c r="G54" s="23">
        <v>57</v>
      </c>
      <c r="H54" s="23">
        <v>75</v>
      </c>
      <c r="I54" s="23">
        <f t="shared" si="16"/>
        <v>537</v>
      </c>
      <c r="J54" s="20"/>
      <c r="K54" s="20"/>
      <c r="L54" s="10"/>
      <c r="M54" s="24"/>
      <c r="W54" s="16"/>
      <c r="X54" s="16"/>
      <c r="AE54" s="16"/>
      <c r="AF54" s="16"/>
    </row>
    <row r="55" spans="1:32" s="17" customFormat="1" ht="15.6" customHeight="1" x14ac:dyDescent="0.25">
      <c r="A55" s="11">
        <v>46305</v>
      </c>
      <c r="B55" s="12" t="s">
        <v>20</v>
      </c>
      <c r="C55" s="14">
        <v>3</v>
      </c>
      <c r="D55" s="14">
        <v>2</v>
      </c>
      <c r="E55" s="14">
        <v>4</v>
      </c>
      <c r="F55" s="14">
        <v>0</v>
      </c>
      <c r="G55" s="14">
        <v>0</v>
      </c>
      <c r="H55" s="14">
        <v>0</v>
      </c>
      <c r="I55" s="12">
        <f t="shared" si="16"/>
        <v>9</v>
      </c>
      <c r="J55" s="20"/>
      <c r="K55" s="20"/>
      <c r="L55" s="25"/>
      <c r="U55" s="2"/>
      <c r="V55" s="2"/>
      <c r="W55" s="5"/>
      <c r="X55" s="5"/>
      <c r="AE55" s="16"/>
      <c r="AF55" s="16"/>
    </row>
    <row r="56" spans="1:32" s="17" customFormat="1" ht="15.6" customHeight="1" x14ac:dyDescent="0.25">
      <c r="A56" s="11">
        <v>46304</v>
      </c>
      <c r="B56" s="12" t="s">
        <v>15</v>
      </c>
      <c r="C56" s="13">
        <v>12</v>
      </c>
      <c r="D56" s="13">
        <v>4</v>
      </c>
      <c r="E56" s="13">
        <v>4</v>
      </c>
      <c r="F56" s="14">
        <v>4</v>
      </c>
      <c r="G56" s="14">
        <v>4</v>
      </c>
      <c r="H56" s="14">
        <v>6</v>
      </c>
      <c r="I56" s="12">
        <f t="shared" ref="I56:I61" si="18">SUM(C56:H56)</f>
        <v>34</v>
      </c>
      <c r="J56" s="15">
        <f>(I60)/(I56+I60+J58)</f>
        <v>0.90252100840336136</v>
      </c>
      <c r="K56" s="15">
        <f>(I60-I56-I57-J58)/(I60)</f>
        <v>0.84543761638733705</v>
      </c>
      <c r="L56" s="10"/>
      <c r="M56" s="15"/>
      <c r="N56" s="15"/>
      <c r="O56" s="16"/>
      <c r="W56" s="18"/>
      <c r="X56" s="18"/>
      <c r="AE56" s="16"/>
      <c r="AF56" s="16"/>
    </row>
    <row r="57" spans="1:32" s="17" customFormat="1" ht="15.6" customHeight="1" x14ac:dyDescent="0.25">
      <c r="A57" s="11">
        <v>46304</v>
      </c>
      <c r="B57" s="12" t="s">
        <v>16</v>
      </c>
      <c r="C57" s="13">
        <v>5</v>
      </c>
      <c r="D57" s="13">
        <v>7</v>
      </c>
      <c r="E57" s="13">
        <v>4</v>
      </c>
      <c r="F57" s="14">
        <v>3</v>
      </c>
      <c r="G57" s="14">
        <v>1</v>
      </c>
      <c r="H57" s="14">
        <v>5</v>
      </c>
      <c r="I57" s="12">
        <f t="shared" si="18"/>
        <v>25</v>
      </c>
      <c r="L57" s="10"/>
      <c r="W57" s="18"/>
      <c r="X57" s="18"/>
      <c r="AE57" s="16"/>
      <c r="AF57" s="16"/>
    </row>
    <row r="58" spans="1:32" s="17" customFormat="1" ht="15.6" customHeight="1" x14ac:dyDescent="0.25">
      <c r="A58" s="11">
        <v>46304</v>
      </c>
      <c r="B58" s="12" t="s">
        <v>17</v>
      </c>
      <c r="C58" s="14">
        <v>20</v>
      </c>
      <c r="D58" s="14">
        <v>15</v>
      </c>
      <c r="E58" s="14">
        <v>25</v>
      </c>
      <c r="F58" s="14">
        <v>18</v>
      </c>
      <c r="G58" s="14">
        <v>23</v>
      </c>
      <c r="H58" s="14">
        <v>13</v>
      </c>
      <c r="I58" s="12">
        <f t="shared" si="18"/>
        <v>114</v>
      </c>
      <c r="J58" s="19">
        <v>24</v>
      </c>
      <c r="K58" s="20"/>
      <c r="L58" s="10"/>
      <c r="W58" s="16"/>
      <c r="X58" s="16"/>
      <c r="AE58" s="16"/>
      <c r="AF58" s="16"/>
    </row>
    <row r="59" spans="1:32" s="17" customFormat="1" ht="15.6" customHeight="1" x14ac:dyDescent="0.25">
      <c r="A59" s="11">
        <v>46304</v>
      </c>
      <c r="B59" s="12" t="s">
        <v>18</v>
      </c>
      <c r="C59" s="14">
        <f t="shared" ref="C59:H59" si="19">SUM(C60-C57-C56-C61)</f>
        <v>105</v>
      </c>
      <c r="D59" s="14">
        <f t="shared" si="19"/>
        <v>95</v>
      </c>
      <c r="E59" s="14">
        <f t="shared" si="19"/>
        <v>79</v>
      </c>
      <c r="F59" s="14">
        <f t="shared" si="19"/>
        <v>74</v>
      </c>
      <c r="G59" s="14">
        <f t="shared" si="19"/>
        <v>52</v>
      </c>
      <c r="H59" s="14">
        <f t="shared" si="19"/>
        <v>64</v>
      </c>
      <c r="I59" s="21">
        <f t="shared" si="18"/>
        <v>469</v>
      </c>
      <c r="J59" s="20"/>
      <c r="K59" s="20"/>
      <c r="L59" s="22"/>
      <c r="W59" s="16"/>
      <c r="X59" s="16"/>
      <c r="AE59" s="16"/>
      <c r="AF59" s="16"/>
    </row>
    <row r="60" spans="1:32" s="17" customFormat="1" ht="15.6" customHeight="1" x14ac:dyDescent="0.25">
      <c r="A60" s="11">
        <v>46304</v>
      </c>
      <c r="B60" s="23" t="s">
        <v>19</v>
      </c>
      <c r="C60" s="23">
        <v>125</v>
      </c>
      <c r="D60" s="23">
        <v>108</v>
      </c>
      <c r="E60" s="23">
        <v>91</v>
      </c>
      <c r="F60" s="23">
        <v>81</v>
      </c>
      <c r="G60" s="23">
        <v>57</v>
      </c>
      <c r="H60" s="23">
        <v>75</v>
      </c>
      <c r="I60" s="23">
        <f t="shared" si="18"/>
        <v>537</v>
      </c>
      <c r="J60" s="20"/>
      <c r="K60" s="20"/>
      <c r="L60" s="10"/>
      <c r="M60" s="24"/>
      <c r="W60" s="16"/>
      <c r="X60" s="16"/>
      <c r="AE60" s="16"/>
      <c r="AF60" s="16"/>
    </row>
    <row r="61" spans="1:32" s="17" customFormat="1" ht="15.6" customHeight="1" x14ac:dyDescent="0.25">
      <c r="A61" s="11">
        <v>46304</v>
      </c>
      <c r="B61" s="12" t="s">
        <v>20</v>
      </c>
      <c r="C61" s="14">
        <v>3</v>
      </c>
      <c r="D61" s="14">
        <v>2</v>
      </c>
      <c r="E61" s="14">
        <v>4</v>
      </c>
      <c r="F61" s="14">
        <v>0</v>
      </c>
      <c r="G61" s="14">
        <v>0</v>
      </c>
      <c r="H61" s="14">
        <v>0</v>
      </c>
      <c r="I61" s="12">
        <f t="shared" si="18"/>
        <v>9</v>
      </c>
      <c r="J61" s="20"/>
      <c r="K61" s="20"/>
      <c r="L61" s="25"/>
      <c r="U61" s="2"/>
      <c r="V61" s="2"/>
      <c r="W61" s="5"/>
      <c r="X61" s="5"/>
      <c r="AE61" s="16"/>
      <c r="AF61" s="16"/>
    </row>
    <row r="62" spans="1:32" s="17" customFormat="1" ht="15.6" customHeight="1" x14ac:dyDescent="0.25">
      <c r="A62" s="11">
        <v>46303</v>
      </c>
      <c r="B62" s="12" t="s">
        <v>15</v>
      </c>
      <c r="C62" s="13">
        <v>9</v>
      </c>
      <c r="D62" s="13">
        <v>4</v>
      </c>
      <c r="E62" s="13">
        <v>4</v>
      </c>
      <c r="F62" s="14">
        <v>3</v>
      </c>
      <c r="G62" s="14">
        <v>3</v>
      </c>
      <c r="H62" s="14">
        <v>6</v>
      </c>
      <c r="I62" s="12">
        <f t="shared" ref="I62:I67" si="20">SUM(C62:H62)</f>
        <v>29</v>
      </c>
      <c r="J62" s="15">
        <f>(I66)/(I62+I66+J64)</f>
        <v>0.9101694915254237</v>
      </c>
      <c r="K62" s="15">
        <f>(I66-I62-I63-J64)/(I66)</f>
        <v>0.84171322160148976</v>
      </c>
      <c r="L62" s="10"/>
      <c r="M62" s="15"/>
      <c r="N62" s="15"/>
      <c r="O62" s="16"/>
      <c r="W62" s="18"/>
      <c r="X62" s="18"/>
      <c r="AE62" s="16"/>
      <c r="AF62" s="16"/>
    </row>
    <row r="63" spans="1:32" s="17" customFormat="1" ht="15.6" customHeight="1" x14ac:dyDescent="0.25">
      <c r="A63" s="11">
        <v>46303</v>
      </c>
      <c r="B63" s="12" t="s">
        <v>16</v>
      </c>
      <c r="C63" s="13">
        <v>9</v>
      </c>
      <c r="D63" s="13">
        <v>9</v>
      </c>
      <c r="E63" s="13">
        <v>4</v>
      </c>
      <c r="F63" s="14">
        <v>4</v>
      </c>
      <c r="G63" s="14">
        <v>1</v>
      </c>
      <c r="H63" s="14">
        <v>5</v>
      </c>
      <c r="I63" s="12">
        <f t="shared" si="20"/>
        <v>32</v>
      </c>
      <c r="L63" s="10"/>
      <c r="W63" s="18"/>
      <c r="X63" s="18"/>
      <c r="AE63" s="16"/>
      <c r="AF63" s="16"/>
    </row>
    <row r="64" spans="1:32" s="17" customFormat="1" ht="15.6" customHeight="1" x14ac:dyDescent="0.25">
      <c r="A64" s="11">
        <v>46303</v>
      </c>
      <c r="B64" s="12" t="s">
        <v>17</v>
      </c>
      <c r="C64" s="14">
        <v>20</v>
      </c>
      <c r="D64" s="14">
        <v>15</v>
      </c>
      <c r="E64" s="14">
        <v>25</v>
      </c>
      <c r="F64" s="14">
        <v>18</v>
      </c>
      <c r="G64" s="14">
        <v>23</v>
      </c>
      <c r="H64" s="14">
        <v>13</v>
      </c>
      <c r="I64" s="12">
        <f t="shared" si="20"/>
        <v>114</v>
      </c>
      <c r="J64" s="19">
        <v>24</v>
      </c>
      <c r="K64" s="20"/>
      <c r="L64" s="10"/>
      <c r="W64" s="16"/>
      <c r="X64" s="16"/>
      <c r="AE64" s="16"/>
      <c r="AF64" s="16"/>
    </row>
    <row r="65" spans="1:32" s="17" customFormat="1" ht="15.6" customHeight="1" x14ac:dyDescent="0.25">
      <c r="A65" s="11">
        <v>46303</v>
      </c>
      <c r="B65" s="12" t="s">
        <v>18</v>
      </c>
      <c r="C65" s="14">
        <f t="shared" ref="C65:H65" si="21">SUM(C66-C63-C62-C67)</f>
        <v>104</v>
      </c>
      <c r="D65" s="14">
        <f t="shared" si="21"/>
        <v>93</v>
      </c>
      <c r="E65" s="14">
        <f t="shared" si="21"/>
        <v>79</v>
      </c>
      <c r="F65" s="14">
        <f t="shared" si="21"/>
        <v>74</v>
      </c>
      <c r="G65" s="14">
        <f t="shared" si="21"/>
        <v>53</v>
      </c>
      <c r="H65" s="14">
        <f t="shared" si="21"/>
        <v>64</v>
      </c>
      <c r="I65" s="21">
        <f t="shared" si="20"/>
        <v>467</v>
      </c>
      <c r="J65" s="20"/>
      <c r="K65" s="20"/>
      <c r="L65" s="22"/>
      <c r="W65" s="16"/>
      <c r="X65" s="16"/>
      <c r="AE65" s="16"/>
      <c r="AF65" s="16"/>
    </row>
    <row r="66" spans="1:32" s="17" customFormat="1" ht="15.6" customHeight="1" x14ac:dyDescent="0.25">
      <c r="A66" s="11">
        <v>46303</v>
      </c>
      <c r="B66" s="23" t="s">
        <v>19</v>
      </c>
      <c r="C66" s="23">
        <v>125</v>
      </c>
      <c r="D66" s="23">
        <v>108</v>
      </c>
      <c r="E66" s="23">
        <v>91</v>
      </c>
      <c r="F66" s="23">
        <v>81</v>
      </c>
      <c r="G66" s="23">
        <v>57</v>
      </c>
      <c r="H66" s="23">
        <v>75</v>
      </c>
      <c r="I66" s="23">
        <f t="shared" si="20"/>
        <v>537</v>
      </c>
      <c r="J66" s="20"/>
      <c r="K66" s="20"/>
      <c r="L66" s="10"/>
      <c r="M66" s="24"/>
      <c r="W66" s="16"/>
      <c r="X66" s="16"/>
      <c r="AE66" s="16"/>
      <c r="AF66" s="16"/>
    </row>
    <row r="67" spans="1:32" s="17" customFormat="1" ht="15.6" customHeight="1" x14ac:dyDescent="0.25">
      <c r="A67" s="11">
        <v>46303</v>
      </c>
      <c r="B67" s="12" t="s">
        <v>20</v>
      </c>
      <c r="C67" s="14">
        <v>3</v>
      </c>
      <c r="D67" s="14">
        <v>2</v>
      </c>
      <c r="E67" s="14">
        <v>4</v>
      </c>
      <c r="F67" s="14">
        <v>0</v>
      </c>
      <c r="G67" s="14">
        <v>0</v>
      </c>
      <c r="H67" s="14">
        <v>0</v>
      </c>
      <c r="I67" s="12">
        <f t="shared" si="20"/>
        <v>9</v>
      </c>
      <c r="J67" s="20"/>
      <c r="K67" s="20"/>
      <c r="L67" s="25"/>
      <c r="U67" s="2"/>
      <c r="V67" s="2"/>
      <c r="W67" s="5"/>
      <c r="X67" s="5"/>
      <c r="AE67" s="16"/>
      <c r="AF67" s="16"/>
    </row>
    <row r="68" spans="1:32" s="17" customFormat="1" ht="15.6" customHeight="1" x14ac:dyDescent="0.25">
      <c r="A68" s="11">
        <v>46302</v>
      </c>
      <c r="B68" s="12" t="s">
        <v>15</v>
      </c>
      <c r="C68" s="13">
        <v>12</v>
      </c>
      <c r="D68" s="13">
        <v>5</v>
      </c>
      <c r="E68" s="13">
        <v>8</v>
      </c>
      <c r="F68" s="14">
        <v>4</v>
      </c>
      <c r="G68" s="14">
        <v>3</v>
      </c>
      <c r="H68" s="14">
        <v>6</v>
      </c>
      <c r="I68" s="12">
        <f t="shared" ref="I68:I73" si="22">SUM(C68:H68)</f>
        <v>38</v>
      </c>
      <c r="J68" s="15">
        <f>(I72)/(I68+I72+J70)</f>
        <v>0.89649415692821366</v>
      </c>
      <c r="K68" s="15">
        <f>(I72-I68-I69-J70)/(I72)</f>
        <v>0.82867783985102417</v>
      </c>
      <c r="L68" s="10"/>
      <c r="M68" s="15"/>
      <c r="N68" s="15"/>
      <c r="O68" s="16"/>
      <c r="W68" s="18"/>
      <c r="X68" s="18"/>
      <c r="AE68" s="16"/>
      <c r="AF68" s="16"/>
    </row>
    <row r="69" spans="1:32" s="17" customFormat="1" ht="15.6" customHeight="1" x14ac:dyDescent="0.25">
      <c r="A69" s="11">
        <v>46302</v>
      </c>
      <c r="B69" s="12" t="s">
        <v>16</v>
      </c>
      <c r="C69" s="13">
        <v>9</v>
      </c>
      <c r="D69" s="13">
        <v>8</v>
      </c>
      <c r="E69" s="13">
        <v>4</v>
      </c>
      <c r="F69" s="14">
        <v>3</v>
      </c>
      <c r="G69" s="14">
        <v>1</v>
      </c>
      <c r="H69" s="14">
        <v>5</v>
      </c>
      <c r="I69" s="12">
        <f t="shared" si="22"/>
        <v>30</v>
      </c>
      <c r="L69" s="10"/>
      <c r="W69" s="18"/>
      <c r="X69" s="18"/>
      <c r="AE69" s="16"/>
      <c r="AF69" s="16"/>
    </row>
    <row r="70" spans="1:32" s="17" customFormat="1" ht="15.6" customHeight="1" x14ac:dyDescent="0.25">
      <c r="A70" s="11">
        <v>46302</v>
      </c>
      <c r="B70" s="12" t="s">
        <v>17</v>
      </c>
      <c r="C70" s="14">
        <v>20</v>
      </c>
      <c r="D70" s="14">
        <v>15</v>
      </c>
      <c r="E70" s="14">
        <v>25</v>
      </c>
      <c r="F70" s="14">
        <v>18</v>
      </c>
      <c r="G70" s="14">
        <v>23</v>
      </c>
      <c r="H70" s="14">
        <v>13</v>
      </c>
      <c r="I70" s="12">
        <f t="shared" si="22"/>
        <v>114</v>
      </c>
      <c r="J70" s="19">
        <v>24</v>
      </c>
      <c r="K70" s="20"/>
      <c r="L70" s="10"/>
      <c r="W70" s="16"/>
      <c r="X70" s="16"/>
      <c r="AE70" s="16"/>
      <c r="AF70" s="16"/>
    </row>
    <row r="71" spans="1:32" s="17" customFormat="1" ht="15.6" customHeight="1" x14ac:dyDescent="0.25">
      <c r="A71" s="11">
        <v>46302</v>
      </c>
      <c r="B71" s="12" t="s">
        <v>18</v>
      </c>
      <c r="C71" s="14">
        <f t="shared" ref="C71:H71" si="23">SUM(C72-C69-C68-C73)</f>
        <v>101</v>
      </c>
      <c r="D71" s="14">
        <f t="shared" si="23"/>
        <v>93</v>
      </c>
      <c r="E71" s="14">
        <f t="shared" si="23"/>
        <v>75</v>
      </c>
      <c r="F71" s="14">
        <f t="shared" si="23"/>
        <v>74</v>
      </c>
      <c r="G71" s="14">
        <f t="shared" si="23"/>
        <v>53</v>
      </c>
      <c r="H71" s="14">
        <f t="shared" si="23"/>
        <v>64</v>
      </c>
      <c r="I71" s="21">
        <f t="shared" si="22"/>
        <v>460</v>
      </c>
      <c r="J71" s="20"/>
      <c r="K71" s="20"/>
      <c r="L71" s="22"/>
      <c r="W71" s="16"/>
      <c r="X71" s="16"/>
      <c r="AE71" s="16"/>
      <c r="AF71" s="16"/>
    </row>
    <row r="72" spans="1:32" s="17" customFormat="1" ht="15.6" customHeight="1" x14ac:dyDescent="0.25">
      <c r="A72" s="11">
        <v>46302</v>
      </c>
      <c r="B72" s="23" t="s">
        <v>19</v>
      </c>
      <c r="C72" s="23">
        <v>125</v>
      </c>
      <c r="D72" s="23">
        <v>108</v>
      </c>
      <c r="E72" s="23">
        <v>91</v>
      </c>
      <c r="F72" s="23">
        <v>81</v>
      </c>
      <c r="G72" s="23">
        <v>57</v>
      </c>
      <c r="H72" s="23">
        <v>75</v>
      </c>
      <c r="I72" s="23">
        <f t="shared" si="22"/>
        <v>537</v>
      </c>
      <c r="J72" s="20"/>
      <c r="K72" s="20"/>
      <c r="L72" s="10"/>
      <c r="M72" s="24"/>
      <c r="W72" s="16"/>
      <c r="X72" s="16"/>
      <c r="AE72" s="16"/>
      <c r="AF72" s="16"/>
    </row>
    <row r="73" spans="1:32" s="17" customFormat="1" ht="15.6" customHeight="1" x14ac:dyDescent="0.25">
      <c r="A73" s="11">
        <v>46302</v>
      </c>
      <c r="B73" s="12" t="s">
        <v>20</v>
      </c>
      <c r="C73" s="14">
        <v>3</v>
      </c>
      <c r="D73" s="14">
        <v>2</v>
      </c>
      <c r="E73" s="14">
        <v>4</v>
      </c>
      <c r="F73" s="14">
        <v>0</v>
      </c>
      <c r="G73" s="14">
        <v>0</v>
      </c>
      <c r="H73" s="14">
        <v>0</v>
      </c>
      <c r="I73" s="12">
        <f t="shared" si="22"/>
        <v>9</v>
      </c>
      <c r="J73" s="20"/>
      <c r="K73" s="20"/>
      <c r="L73" s="25"/>
      <c r="U73" s="2"/>
      <c r="V73" s="2"/>
      <c r="W73" s="5"/>
      <c r="X73" s="5"/>
      <c r="AE73" s="16"/>
      <c r="AF73" s="16"/>
    </row>
    <row r="74" spans="1:32" s="17" customFormat="1" ht="15.6" customHeight="1" x14ac:dyDescent="0.25">
      <c r="A74" s="11">
        <v>46301</v>
      </c>
      <c r="B74" s="12" t="s">
        <v>15</v>
      </c>
      <c r="C74" s="13">
        <v>12</v>
      </c>
      <c r="D74" s="13">
        <v>6</v>
      </c>
      <c r="E74" s="13">
        <v>6</v>
      </c>
      <c r="F74" s="14">
        <v>4</v>
      </c>
      <c r="G74" s="14">
        <v>2</v>
      </c>
      <c r="H74" s="14">
        <v>7</v>
      </c>
      <c r="I74" s="12">
        <f t="shared" ref="I74:I79" si="24">SUM(C74:H74)</f>
        <v>37</v>
      </c>
      <c r="J74" s="15">
        <f>(I78)/(I74+I78+J76)</f>
        <v>0.89799331103678925</v>
      </c>
      <c r="K74" s="15">
        <f>(I78-I74-I75-J76)/(I78)</f>
        <v>0.83426443202979517</v>
      </c>
      <c r="L74" s="10"/>
      <c r="M74" s="15"/>
      <c r="N74" s="15"/>
      <c r="O74" s="16"/>
      <c r="W74" s="18"/>
      <c r="X74" s="18"/>
      <c r="AE74" s="16"/>
      <c r="AF74" s="16"/>
    </row>
    <row r="75" spans="1:32" s="17" customFormat="1" ht="15.6" customHeight="1" x14ac:dyDescent="0.25">
      <c r="A75" s="11">
        <v>46301</v>
      </c>
      <c r="B75" s="12" t="s">
        <v>16</v>
      </c>
      <c r="C75" s="13">
        <v>8</v>
      </c>
      <c r="D75" s="13">
        <v>7</v>
      </c>
      <c r="E75" s="13">
        <v>2</v>
      </c>
      <c r="F75" s="14">
        <v>4</v>
      </c>
      <c r="G75" s="14">
        <v>0</v>
      </c>
      <c r="H75" s="14">
        <v>7</v>
      </c>
      <c r="I75" s="12">
        <f t="shared" si="24"/>
        <v>28</v>
      </c>
      <c r="L75" s="10"/>
      <c r="W75" s="18"/>
      <c r="X75" s="18"/>
      <c r="AE75" s="16"/>
      <c r="AF75" s="16"/>
    </row>
    <row r="76" spans="1:32" s="17" customFormat="1" ht="15.6" customHeight="1" x14ac:dyDescent="0.25">
      <c r="A76" s="11">
        <v>46301</v>
      </c>
      <c r="B76" s="12" t="s">
        <v>17</v>
      </c>
      <c r="C76" s="14">
        <v>19</v>
      </c>
      <c r="D76" s="14">
        <v>15</v>
      </c>
      <c r="E76" s="14">
        <v>25</v>
      </c>
      <c r="F76" s="14">
        <v>18</v>
      </c>
      <c r="G76" s="14">
        <v>23</v>
      </c>
      <c r="H76" s="14">
        <v>12</v>
      </c>
      <c r="I76" s="12">
        <f t="shared" si="24"/>
        <v>112</v>
      </c>
      <c r="J76" s="19">
        <v>24</v>
      </c>
      <c r="K76" s="20"/>
      <c r="L76" s="10"/>
      <c r="W76" s="16"/>
      <c r="X76" s="16"/>
      <c r="AE76" s="16"/>
      <c r="AF76" s="16"/>
    </row>
    <row r="77" spans="1:32" s="17" customFormat="1" ht="15.6" customHeight="1" x14ac:dyDescent="0.25">
      <c r="A77" s="11">
        <v>46301</v>
      </c>
      <c r="B77" s="12" t="s">
        <v>18</v>
      </c>
      <c r="C77" s="14">
        <f t="shared" ref="C77:H77" si="25">SUM(C78-C75-C74-C79)</f>
        <v>102</v>
      </c>
      <c r="D77" s="14">
        <f t="shared" si="25"/>
        <v>93</v>
      </c>
      <c r="E77" s="14">
        <f t="shared" si="25"/>
        <v>79</v>
      </c>
      <c r="F77" s="14">
        <f t="shared" si="25"/>
        <v>73</v>
      </c>
      <c r="G77" s="14">
        <f t="shared" si="25"/>
        <v>55</v>
      </c>
      <c r="H77" s="14">
        <f t="shared" si="25"/>
        <v>61</v>
      </c>
      <c r="I77" s="21">
        <f t="shared" si="24"/>
        <v>463</v>
      </c>
      <c r="J77" s="20"/>
      <c r="K77" s="20"/>
      <c r="L77" s="22"/>
      <c r="W77" s="16"/>
      <c r="X77" s="16"/>
      <c r="AE77" s="16"/>
      <c r="AF77" s="16"/>
    </row>
    <row r="78" spans="1:32" s="17" customFormat="1" ht="15.6" customHeight="1" x14ac:dyDescent="0.25">
      <c r="A78" s="11">
        <v>46301</v>
      </c>
      <c r="B78" s="23" t="s">
        <v>19</v>
      </c>
      <c r="C78" s="23">
        <v>125</v>
      </c>
      <c r="D78" s="23">
        <v>108</v>
      </c>
      <c r="E78" s="23">
        <v>91</v>
      </c>
      <c r="F78" s="23">
        <v>81</v>
      </c>
      <c r="G78" s="23">
        <v>57</v>
      </c>
      <c r="H78" s="23">
        <v>75</v>
      </c>
      <c r="I78" s="23">
        <f t="shared" si="24"/>
        <v>537</v>
      </c>
      <c r="J78" s="20"/>
      <c r="K78" s="20"/>
      <c r="L78" s="10"/>
      <c r="M78" s="24"/>
      <c r="W78" s="16"/>
      <c r="X78" s="16"/>
      <c r="AE78" s="16"/>
      <c r="AF78" s="16"/>
    </row>
    <row r="79" spans="1:32" s="17" customFormat="1" ht="15.6" customHeight="1" x14ac:dyDescent="0.25">
      <c r="A79" s="11">
        <v>46301</v>
      </c>
      <c r="B79" s="12" t="s">
        <v>20</v>
      </c>
      <c r="C79" s="14">
        <v>3</v>
      </c>
      <c r="D79" s="14">
        <v>2</v>
      </c>
      <c r="E79" s="14">
        <v>4</v>
      </c>
      <c r="F79" s="14">
        <v>0</v>
      </c>
      <c r="G79" s="14">
        <v>0</v>
      </c>
      <c r="H79" s="14">
        <v>0</v>
      </c>
      <c r="I79" s="12">
        <f t="shared" si="24"/>
        <v>9</v>
      </c>
      <c r="J79" s="20"/>
      <c r="K79" s="20"/>
      <c r="L79" s="25"/>
      <c r="U79" s="2"/>
      <c r="V79" s="2"/>
      <c r="W79" s="5"/>
      <c r="X79" s="5"/>
      <c r="AE79" s="16"/>
      <c r="AF79" s="16"/>
    </row>
    <row r="80" spans="1:32" s="17" customFormat="1" ht="15.6" customHeight="1" x14ac:dyDescent="0.25">
      <c r="A80" s="11">
        <v>46300</v>
      </c>
      <c r="B80" s="12" t="s">
        <v>15</v>
      </c>
      <c r="C80" s="13">
        <v>11</v>
      </c>
      <c r="D80" s="13">
        <v>4</v>
      </c>
      <c r="E80" s="13">
        <v>8</v>
      </c>
      <c r="F80" s="14">
        <v>3</v>
      </c>
      <c r="G80" s="14">
        <v>2</v>
      </c>
      <c r="H80" s="14">
        <v>6</v>
      </c>
      <c r="I80" s="12">
        <f t="shared" ref="I80:I85" si="26">SUM(C80:H80)</f>
        <v>34</v>
      </c>
      <c r="J80" s="15">
        <f>(I84)/(I80+I84+J82)</f>
        <v>0.90252100840336136</v>
      </c>
      <c r="K80" s="15">
        <f>(I84-I80-I81-J82)/(I84)</f>
        <v>0.83985102420856605</v>
      </c>
      <c r="L80" s="10"/>
      <c r="M80" s="15"/>
      <c r="N80" s="15"/>
      <c r="O80" s="16"/>
      <c r="W80" s="18"/>
      <c r="X80" s="18"/>
      <c r="AE80" s="16"/>
      <c r="AF80" s="16"/>
    </row>
    <row r="81" spans="1:32" s="17" customFormat="1" ht="15.6" customHeight="1" x14ac:dyDescent="0.25">
      <c r="A81" s="11">
        <v>46300</v>
      </c>
      <c r="B81" s="12" t="s">
        <v>16</v>
      </c>
      <c r="C81" s="13">
        <v>8</v>
      </c>
      <c r="D81" s="13">
        <v>7</v>
      </c>
      <c r="E81" s="13">
        <v>2</v>
      </c>
      <c r="F81" s="14">
        <v>4</v>
      </c>
      <c r="G81" s="14">
        <v>0</v>
      </c>
      <c r="H81" s="14">
        <v>7</v>
      </c>
      <c r="I81" s="12">
        <f t="shared" si="26"/>
        <v>28</v>
      </c>
      <c r="L81" s="10"/>
      <c r="W81" s="18"/>
      <c r="X81" s="18"/>
      <c r="AE81" s="16"/>
      <c r="AF81" s="16"/>
    </row>
    <row r="82" spans="1:32" s="17" customFormat="1" ht="15.6" customHeight="1" x14ac:dyDescent="0.25">
      <c r="A82" s="11">
        <v>46300</v>
      </c>
      <c r="B82" s="12" t="s">
        <v>17</v>
      </c>
      <c r="C82" s="14">
        <v>18</v>
      </c>
      <c r="D82" s="14">
        <v>13</v>
      </c>
      <c r="E82" s="14">
        <v>25</v>
      </c>
      <c r="F82" s="14">
        <v>18</v>
      </c>
      <c r="G82" s="14">
        <v>23</v>
      </c>
      <c r="H82" s="14">
        <v>14</v>
      </c>
      <c r="I82" s="12">
        <f t="shared" si="26"/>
        <v>111</v>
      </c>
      <c r="J82" s="19">
        <v>24</v>
      </c>
      <c r="K82" s="20"/>
      <c r="L82" s="10"/>
      <c r="W82" s="16"/>
      <c r="X82" s="16"/>
      <c r="AE82" s="16"/>
      <c r="AF82" s="16"/>
    </row>
    <row r="83" spans="1:32" s="17" customFormat="1" ht="15.6" customHeight="1" x14ac:dyDescent="0.25">
      <c r="A83" s="11">
        <v>46300</v>
      </c>
      <c r="B83" s="12" t="s">
        <v>18</v>
      </c>
      <c r="C83" s="14">
        <f t="shared" ref="C83:H83" si="27">SUM(C84-C81-C80-C85)</f>
        <v>103</v>
      </c>
      <c r="D83" s="14">
        <f t="shared" si="27"/>
        <v>95</v>
      </c>
      <c r="E83" s="14">
        <f t="shared" si="27"/>
        <v>77</v>
      </c>
      <c r="F83" s="14">
        <f t="shared" si="27"/>
        <v>74</v>
      </c>
      <c r="G83" s="14">
        <f t="shared" si="27"/>
        <v>55</v>
      </c>
      <c r="H83" s="14">
        <f t="shared" si="27"/>
        <v>62</v>
      </c>
      <c r="I83" s="21">
        <f t="shared" si="26"/>
        <v>466</v>
      </c>
      <c r="J83" s="20"/>
      <c r="K83" s="20"/>
      <c r="L83" s="22"/>
      <c r="W83" s="16"/>
      <c r="X83" s="16"/>
      <c r="AE83" s="16"/>
      <c r="AF83" s="16"/>
    </row>
    <row r="84" spans="1:32" s="17" customFormat="1" ht="15.6" customHeight="1" x14ac:dyDescent="0.25">
      <c r="A84" s="11">
        <v>46300</v>
      </c>
      <c r="B84" s="23" t="s">
        <v>19</v>
      </c>
      <c r="C84" s="23">
        <v>125</v>
      </c>
      <c r="D84" s="23">
        <v>108</v>
      </c>
      <c r="E84" s="23">
        <v>91</v>
      </c>
      <c r="F84" s="23">
        <v>81</v>
      </c>
      <c r="G84" s="23">
        <v>57</v>
      </c>
      <c r="H84" s="23">
        <v>75</v>
      </c>
      <c r="I84" s="23">
        <f t="shared" si="26"/>
        <v>537</v>
      </c>
      <c r="J84" s="20"/>
      <c r="K84" s="20"/>
      <c r="L84" s="10"/>
      <c r="M84" s="24"/>
      <c r="W84" s="16"/>
      <c r="X84" s="16"/>
      <c r="AE84" s="16"/>
      <c r="AF84" s="16"/>
    </row>
    <row r="85" spans="1:32" s="17" customFormat="1" ht="15.6" customHeight="1" x14ac:dyDescent="0.25">
      <c r="A85" s="11">
        <v>46300</v>
      </c>
      <c r="B85" s="12" t="s">
        <v>20</v>
      </c>
      <c r="C85" s="14">
        <v>3</v>
      </c>
      <c r="D85" s="14">
        <v>2</v>
      </c>
      <c r="E85" s="14">
        <v>4</v>
      </c>
      <c r="F85" s="14">
        <v>0</v>
      </c>
      <c r="G85" s="14">
        <v>0</v>
      </c>
      <c r="H85" s="14">
        <v>0</v>
      </c>
      <c r="I85" s="12">
        <f t="shared" si="26"/>
        <v>9</v>
      </c>
      <c r="J85" s="20"/>
      <c r="K85" s="20"/>
      <c r="L85" s="25"/>
      <c r="U85" s="2"/>
      <c r="V85" s="2"/>
      <c r="W85" s="5"/>
      <c r="X85" s="5"/>
      <c r="AE85" s="16"/>
      <c r="AF85" s="16"/>
    </row>
    <row r="86" spans="1:32" s="17" customFormat="1" ht="15.6" customHeight="1" x14ac:dyDescent="0.25">
      <c r="A86" s="11">
        <v>46299</v>
      </c>
      <c r="B86" s="12" t="s">
        <v>15</v>
      </c>
      <c r="C86" s="13">
        <v>12</v>
      </c>
      <c r="D86" s="13">
        <v>5</v>
      </c>
      <c r="E86" s="13">
        <v>6</v>
      </c>
      <c r="F86" s="14">
        <v>3</v>
      </c>
      <c r="G86" s="14">
        <v>2</v>
      </c>
      <c r="H86" s="14">
        <v>5</v>
      </c>
      <c r="I86" s="12">
        <f t="shared" ref="I86:I91" si="28">SUM(C86:H86)</f>
        <v>33</v>
      </c>
      <c r="J86" s="15">
        <f>(I90)/(I86+I90+J88)</f>
        <v>0.90709459459459463</v>
      </c>
      <c r="K86" s="15">
        <f>(I90-I86-I87-J88)/(I90)</f>
        <v>0.84357541899441346</v>
      </c>
      <c r="L86" s="10"/>
      <c r="M86" s="15"/>
      <c r="N86" s="15"/>
      <c r="O86" s="16"/>
      <c r="W86" s="18"/>
      <c r="X86" s="18"/>
      <c r="AE86" s="16"/>
      <c r="AF86" s="16"/>
    </row>
    <row r="87" spans="1:32" s="17" customFormat="1" ht="15.6" customHeight="1" x14ac:dyDescent="0.25">
      <c r="A87" s="11">
        <v>46299</v>
      </c>
      <c r="B87" s="12" t="s">
        <v>16</v>
      </c>
      <c r="C87" s="13">
        <v>8</v>
      </c>
      <c r="D87" s="13">
        <v>8</v>
      </c>
      <c r="E87" s="13">
        <v>2</v>
      </c>
      <c r="F87" s="14">
        <v>4</v>
      </c>
      <c r="G87" s="14">
        <v>0</v>
      </c>
      <c r="H87" s="14">
        <v>7</v>
      </c>
      <c r="I87" s="12">
        <f t="shared" si="28"/>
        <v>29</v>
      </c>
      <c r="L87" s="10"/>
      <c r="W87" s="18"/>
      <c r="X87" s="18"/>
      <c r="AE87" s="16"/>
      <c r="AF87" s="16"/>
    </row>
    <row r="88" spans="1:32" s="17" customFormat="1" ht="15.6" customHeight="1" x14ac:dyDescent="0.25">
      <c r="A88" s="11">
        <v>46299</v>
      </c>
      <c r="B88" s="12" t="s">
        <v>17</v>
      </c>
      <c r="C88" s="14">
        <v>18</v>
      </c>
      <c r="D88" s="14">
        <v>13</v>
      </c>
      <c r="E88" s="14">
        <v>25</v>
      </c>
      <c r="F88" s="14">
        <v>18</v>
      </c>
      <c r="G88" s="14">
        <v>23</v>
      </c>
      <c r="H88" s="14">
        <v>14</v>
      </c>
      <c r="I88" s="12">
        <f t="shared" si="28"/>
        <v>111</v>
      </c>
      <c r="J88" s="19">
        <v>22</v>
      </c>
      <c r="K88" s="20"/>
      <c r="L88" s="10"/>
      <c r="W88" s="16"/>
      <c r="X88" s="16"/>
      <c r="AE88" s="16"/>
      <c r="AF88" s="16"/>
    </row>
    <row r="89" spans="1:32" s="17" customFormat="1" ht="15.6" customHeight="1" x14ac:dyDescent="0.25">
      <c r="A89" s="11">
        <v>46299</v>
      </c>
      <c r="B89" s="12" t="s">
        <v>18</v>
      </c>
      <c r="C89" s="14">
        <f t="shared" ref="C89:H89" si="29">SUM(C90-C87-C86-C91)</f>
        <v>102</v>
      </c>
      <c r="D89" s="14">
        <f t="shared" si="29"/>
        <v>93</v>
      </c>
      <c r="E89" s="14">
        <f t="shared" si="29"/>
        <v>79</v>
      </c>
      <c r="F89" s="14">
        <f t="shared" si="29"/>
        <v>74</v>
      </c>
      <c r="G89" s="14">
        <f t="shared" si="29"/>
        <v>55</v>
      </c>
      <c r="H89" s="14">
        <f t="shared" si="29"/>
        <v>63</v>
      </c>
      <c r="I89" s="21">
        <f t="shared" si="28"/>
        <v>466</v>
      </c>
      <c r="J89" s="20"/>
      <c r="K89" s="20"/>
      <c r="L89" s="22"/>
      <c r="W89" s="16"/>
      <c r="X89" s="16"/>
      <c r="AE89" s="16"/>
      <c r="AF89" s="16"/>
    </row>
    <row r="90" spans="1:32" s="17" customFormat="1" ht="15.6" customHeight="1" x14ac:dyDescent="0.25">
      <c r="A90" s="11">
        <v>46299</v>
      </c>
      <c r="B90" s="23" t="s">
        <v>19</v>
      </c>
      <c r="C90" s="23">
        <v>125</v>
      </c>
      <c r="D90" s="23">
        <v>108</v>
      </c>
      <c r="E90" s="23">
        <v>91</v>
      </c>
      <c r="F90" s="23">
        <v>81</v>
      </c>
      <c r="G90" s="23">
        <v>57</v>
      </c>
      <c r="H90" s="23">
        <v>75</v>
      </c>
      <c r="I90" s="23">
        <f t="shared" si="28"/>
        <v>537</v>
      </c>
      <c r="J90" s="20"/>
      <c r="K90" s="20"/>
      <c r="L90" s="10"/>
      <c r="M90" s="24"/>
      <c r="W90" s="16"/>
      <c r="X90" s="16"/>
      <c r="AE90" s="16"/>
      <c r="AF90" s="16"/>
    </row>
    <row r="91" spans="1:32" s="17" customFormat="1" ht="15.6" customHeight="1" x14ac:dyDescent="0.25">
      <c r="A91" s="11">
        <v>46299</v>
      </c>
      <c r="B91" s="12" t="s">
        <v>20</v>
      </c>
      <c r="C91" s="14">
        <v>3</v>
      </c>
      <c r="D91" s="14">
        <v>2</v>
      </c>
      <c r="E91" s="14">
        <v>4</v>
      </c>
      <c r="F91" s="14">
        <v>0</v>
      </c>
      <c r="G91" s="14">
        <v>0</v>
      </c>
      <c r="H91" s="14">
        <v>0</v>
      </c>
      <c r="I91" s="12">
        <f t="shared" si="28"/>
        <v>9</v>
      </c>
      <c r="J91" s="20"/>
      <c r="K91" s="20"/>
      <c r="L91" s="25"/>
      <c r="U91" s="2"/>
      <c r="V91" s="2"/>
      <c r="W91" s="5"/>
      <c r="X91" s="5"/>
      <c r="AE91" s="16"/>
      <c r="AF91" s="16"/>
    </row>
    <row r="92" spans="1:32" s="17" customFormat="1" ht="15.6" customHeight="1" x14ac:dyDescent="0.25">
      <c r="A92" s="11">
        <v>46298</v>
      </c>
      <c r="B92" s="12" t="s">
        <v>15</v>
      </c>
      <c r="C92" s="13">
        <v>14</v>
      </c>
      <c r="D92" s="13">
        <v>5</v>
      </c>
      <c r="E92" s="13">
        <v>7</v>
      </c>
      <c r="F92" s="14">
        <v>3</v>
      </c>
      <c r="G92" s="14">
        <v>2</v>
      </c>
      <c r="H92" s="14">
        <v>6</v>
      </c>
      <c r="I92" s="12">
        <f t="shared" ref="I92:I97" si="30">SUM(C92:H92)</f>
        <v>37</v>
      </c>
      <c r="J92" s="15">
        <f>(I96)/(I92+I96+J94)</f>
        <v>0.89500000000000002</v>
      </c>
      <c r="K92" s="15">
        <f>(I96-I92-I93-J94)/(I96)</f>
        <v>0.82867783985102417</v>
      </c>
      <c r="L92" s="10"/>
      <c r="M92" s="15"/>
      <c r="N92" s="15"/>
      <c r="O92" s="16"/>
      <c r="W92" s="18"/>
      <c r="X92" s="18"/>
      <c r="AE92" s="16"/>
      <c r="AF92" s="16"/>
    </row>
    <row r="93" spans="1:32" s="17" customFormat="1" ht="15.6" customHeight="1" x14ac:dyDescent="0.25">
      <c r="A93" s="11">
        <v>46298</v>
      </c>
      <c r="B93" s="12" t="s">
        <v>16</v>
      </c>
      <c r="C93" s="13">
        <v>7</v>
      </c>
      <c r="D93" s="13">
        <v>8</v>
      </c>
      <c r="E93" s="13">
        <v>2</v>
      </c>
      <c r="F93" s="14">
        <v>4</v>
      </c>
      <c r="G93" s="14">
        <v>1</v>
      </c>
      <c r="H93" s="14">
        <v>7</v>
      </c>
      <c r="I93" s="12">
        <f t="shared" si="30"/>
        <v>29</v>
      </c>
      <c r="L93" s="10"/>
      <c r="W93" s="18"/>
      <c r="X93" s="18"/>
      <c r="AE93" s="16"/>
      <c r="AF93" s="16"/>
    </row>
    <row r="94" spans="1:32" s="17" customFormat="1" ht="15.6" customHeight="1" x14ac:dyDescent="0.25">
      <c r="A94" s="11">
        <v>46298</v>
      </c>
      <c r="B94" s="12" t="s">
        <v>17</v>
      </c>
      <c r="C94" s="14">
        <v>18</v>
      </c>
      <c r="D94" s="14">
        <v>13</v>
      </c>
      <c r="E94" s="14">
        <v>25</v>
      </c>
      <c r="F94" s="14">
        <v>18</v>
      </c>
      <c r="G94" s="14">
        <v>23</v>
      </c>
      <c r="H94" s="14">
        <v>14</v>
      </c>
      <c r="I94" s="12">
        <f t="shared" si="30"/>
        <v>111</v>
      </c>
      <c r="J94" s="19">
        <v>26</v>
      </c>
      <c r="K94" s="20"/>
      <c r="L94" s="10"/>
      <c r="W94" s="16"/>
      <c r="X94" s="16"/>
      <c r="AE94" s="16"/>
      <c r="AF94" s="16"/>
    </row>
    <row r="95" spans="1:32" s="17" customFormat="1" ht="15.6" customHeight="1" x14ac:dyDescent="0.25">
      <c r="A95" s="11">
        <v>46298</v>
      </c>
      <c r="B95" s="12" t="s">
        <v>18</v>
      </c>
      <c r="C95" s="14">
        <f t="shared" ref="C95:H95" si="31">SUM(C96-C93-C92-C97)</f>
        <v>101</v>
      </c>
      <c r="D95" s="14">
        <f t="shared" si="31"/>
        <v>94</v>
      </c>
      <c r="E95" s="14">
        <f t="shared" si="31"/>
        <v>78</v>
      </c>
      <c r="F95" s="14">
        <f t="shared" si="31"/>
        <v>74</v>
      </c>
      <c r="G95" s="14">
        <f t="shared" si="31"/>
        <v>54</v>
      </c>
      <c r="H95" s="14">
        <f t="shared" si="31"/>
        <v>62</v>
      </c>
      <c r="I95" s="21">
        <f t="shared" si="30"/>
        <v>463</v>
      </c>
      <c r="J95" s="20"/>
      <c r="K95" s="20"/>
      <c r="L95" s="22"/>
      <c r="W95" s="16"/>
      <c r="X95" s="16"/>
      <c r="AE95" s="16"/>
      <c r="AF95" s="16"/>
    </row>
    <row r="96" spans="1:32" s="17" customFormat="1" ht="15.6" customHeight="1" x14ac:dyDescent="0.25">
      <c r="A96" s="11">
        <v>46298</v>
      </c>
      <c r="B96" s="23" t="s">
        <v>19</v>
      </c>
      <c r="C96" s="23">
        <v>125</v>
      </c>
      <c r="D96" s="23">
        <v>108</v>
      </c>
      <c r="E96" s="23">
        <v>91</v>
      </c>
      <c r="F96" s="23">
        <v>81</v>
      </c>
      <c r="G96" s="23">
        <v>57</v>
      </c>
      <c r="H96" s="23">
        <v>75</v>
      </c>
      <c r="I96" s="23">
        <f t="shared" si="30"/>
        <v>537</v>
      </c>
      <c r="J96" s="20"/>
      <c r="K96" s="20"/>
      <c r="L96" s="10"/>
      <c r="M96" s="24"/>
      <c r="W96" s="16"/>
      <c r="X96" s="16"/>
      <c r="AE96" s="16"/>
      <c r="AF96" s="16"/>
    </row>
    <row r="97" spans="1:32" s="17" customFormat="1" ht="15.6" customHeight="1" x14ac:dyDescent="0.25">
      <c r="A97" s="11">
        <v>46298</v>
      </c>
      <c r="B97" s="12" t="s">
        <v>20</v>
      </c>
      <c r="C97" s="14">
        <v>3</v>
      </c>
      <c r="D97" s="14">
        <v>1</v>
      </c>
      <c r="E97" s="14">
        <v>4</v>
      </c>
      <c r="F97" s="14">
        <v>0</v>
      </c>
      <c r="G97" s="14">
        <v>0</v>
      </c>
      <c r="H97" s="14">
        <v>0</v>
      </c>
      <c r="I97" s="12">
        <f t="shared" si="30"/>
        <v>8</v>
      </c>
      <c r="J97" s="20"/>
      <c r="K97" s="20"/>
      <c r="L97" s="25"/>
      <c r="U97" s="2"/>
      <c r="V97" s="2"/>
      <c r="W97" s="5"/>
      <c r="X97" s="5"/>
      <c r="AE97" s="16"/>
      <c r="AF97" s="16"/>
    </row>
    <row r="98" spans="1:32" s="17" customFormat="1" ht="15.6" customHeight="1" x14ac:dyDescent="0.25">
      <c r="A98" s="11">
        <v>46297</v>
      </c>
      <c r="B98" s="12" t="s">
        <v>15</v>
      </c>
      <c r="C98" s="13">
        <v>13</v>
      </c>
      <c r="D98" s="13">
        <v>6</v>
      </c>
      <c r="E98" s="13">
        <v>6</v>
      </c>
      <c r="F98" s="14">
        <v>1</v>
      </c>
      <c r="G98" s="14">
        <v>2</v>
      </c>
      <c r="H98" s="14">
        <v>6</v>
      </c>
      <c r="I98" s="12">
        <f t="shared" ref="I98:I103" si="32">SUM(C98:H98)</f>
        <v>34</v>
      </c>
      <c r="J98" s="15">
        <f>(I102)/(I98+I102+J100)</f>
        <v>0.90556492411467115</v>
      </c>
      <c r="K98" s="15">
        <f>(I102-I98-I99-J100)/(I102)</f>
        <v>0.83985102420856605</v>
      </c>
      <c r="L98" s="10"/>
      <c r="M98" s="15"/>
      <c r="N98" s="15"/>
      <c r="O98" s="16"/>
      <c r="W98" s="18"/>
      <c r="X98" s="18"/>
      <c r="AE98" s="16"/>
      <c r="AF98" s="16"/>
    </row>
    <row r="99" spans="1:32" s="17" customFormat="1" ht="15.6" customHeight="1" x14ac:dyDescent="0.25">
      <c r="A99" s="11">
        <v>46297</v>
      </c>
      <c r="B99" s="12" t="s">
        <v>16</v>
      </c>
      <c r="C99" s="13">
        <v>7</v>
      </c>
      <c r="D99" s="13">
        <v>6</v>
      </c>
      <c r="E99" s="13">
        <v>4</v>
      </c>
      <c r="F99" s="14">
        <v>5</v>
      </c>
      <c r="G99" s="14">
        <v>1</v>
      </c>
      <c r="H99" s="14">
        <v>7</v>
      </c>
      <c r="I99" s="12">
        <f t="shared" si="32"/>
        <v>30</v>
      </c>
      <c r="L99" s="10"/>
      <c r="W99" s="18"/>
      <c r="X99" s="18"/>
      <c r="AE99" s="16"/>
      <c r="AF99" s="16"/>
    </row>
    <row r="100" spans="1:32" s="17" customFormat="1" ht="15.6" customHeight="1" x14ac:dyDescent="0.25">
      <c r="A100" s="11">
        <v>46297</v>
      </c>
      <c r="B100" s="12" t="s">
        <v>17</v>
      </c>
      <c r="C100" s="14">
        <v>18</v>
      </c>
      <c r="D100" s="14">
        <v>13</v>
      </c>
      <c r="E100" s="14">
        <v>25</v>
      </c>
      <c r="F100" s="14">
        <v>18</v>
      </c>
      <c r="G100" s="14">
        <v>23</v>
      </c>
      <c r="H100" s="14">
        <v>14</v>
      </c>
      <c r="I100" s="12">
        <f t="shared" si="32"/>
        <v>111</v>
      </c>
      <c r="J100" s="19">
        <v>22</v>
      </c>
      <c r="K100" s="20"/>
      <c r="L100" s="10"/>
      <c r="W100" s="16"/>
      <c r="X100" s="16"/>
      <c r="AE100" s="16"/>
      <c r="AF100" s="16"/>
    </row>
    <row r="101" spans="1:32" s="17" customFormat="1" ht="15.6" customHeight="1" x14ac:dyDescent="0.25">
      <c r="A101" s="11">
        <v>46297</v>
      </c>
      <c r="B101" s="12" t="s">
        <v>18</v>
      </c>
      <c r="C101" s="14">
        <f t="shared" ref="C101:H101" si="33">SUM(C102-C99-C98-C103)</f>
        <v>102</v>
      </c>
      <c r="D101" s="14">
        <f t="shared" si="33"/>
        <v>95</v>
      </c>
      <c r="E101" s="14">
        <f t="shared" si="33"/>
        <v>77</v>
      </c>
      <c r="F101" s="14">
        <f t="shared" si="33"/>
        <v>75</v>
      </c>
      <c r="G101" s="14">
        <f t="shared" si="33"/>
        <v>54</v>
      </c>
      <c r="H101" s="14">
        <f t="shared" si="33"/>
        <v>62</v>
      </c>
      <c r="I101" s="21">
        <f t="shared" si="32"/>
        <v>465</v>
      </c>
      <c r="J101" s="20"/>
      <c r="K101" s="20"/>
      <c r="L101" s="22"/>
      <c r="W101" s="16"/>
      <c r="X101" s="16"/>
      <c r="AE101" s="16"/>
      <c r="AF101" s="16"/>
    </row>
    <row r="102" spans="1:32" s="17" customFormat="1" ht="15.6" customHeight="1" x14ac:dyDescent="0.25">
      <c r="A102" s="11">
        <v>46297</v>
      </c>
      <c r="B102" s="23" t="s">
        <v>19</v>
      </c>
      <c r="C102" s="23">
        <v>125</v>
      </c>
      <c r="D102" s="23">
        <v>108</v>
      </c>
      <c r="E102" s="23">
        <v>91</v>
      </c>
      <c r="F102" s="23">
        <v>81</v>
      </c>
      <c r="G102" s="23">
        <v>57</v>
      </c>
      <c r="H102" s="23">
        <v>75</v>
      </c>
      <c r="I102" s="23">
        <f t="shared" si="32"/>
        <v>537</v>
      </c>
      <c r="J102" s="20"/>
      <c r="K102" s="20"/>
      <c r="L102" s="10"/>
      <c r="M102" s="24"/>
      <c r="W102" s="16"/>
      <c r="X102" s="16"/>
      <c r="AE102" s="16"/>
      <c r="AF102" s="16"/>
    </row>
    <row r="103" spans="1:32" s="17" customFormat="1" ht="15.6" customHeight="1" x14ac:dyDescent="0.25">
      <c r="A103" s="11">
        <v>46297</v>
      </c>
      <c r="B103" s="12" t="s">
        <v>20</v>
      </c>
      <c r="C103" s="14">
        <v>3</v>
      </c>
      <c r="D103" s="14">
        <v>1</v>
      </c>
      <c r="E103" s="14">
        <v>4</v>
      </c>
      <c r="F103" s="14">
        <v>0</v>
      </c>
      <c r="G103" s="14">
        <v>0</v>
      </c>
      <c r="H103" s="14">
        <v>0</v>
      </c>
      <c r="I103" s="12">
        <f t="shared" si="32"/>
        <v>8</v>
      </c>
      <c r="J103" s="20"/>
      <c r="K103" s="20"/>
      <c r="L103" s="25"/>
      <c r="U103" s="2"/>
      <c r="V103" s="2"/>
      <c r="W103" s="5"/>
      <c r="X103" s="5"/>
      <c r="AE103" s="16"/>
      <c r="AF103" s="16"/>
    </row>
    <row r="104" spans="1:32" s="17" customFormat="1" ht="15.6" customHeight="1" x14ac:dyDescent="0.25">
      <c r="A104" s="11">
        <v>46296</v>
      </c>
      <c r="B104" s="12" t="s">
        <v>15</v>
      </c>
      <c r="C104" s="13">
        <v>12</v>
      </c>
      <c r="D104" s="13">
        <v>7</v>
      </c>
      <c r="E104" s="13">
        <v>7</v>
      </c>
      <c r="F104" s="14">
        <v>2</v>
      </c>
      <c r="G104" s="14">
        <v>2</v>
      </c>
      <c r="H104" s="14">
        <v>4</v>
      </c>
      <c r="I104" s="12">
        <f t="shared" ref="I104:I109" si="34">SUM(C104:H104)</f>
        <v>34</v>
      </c>
      <c r="J104" s="15">
        <f>(I108)/(I104+I108+J106)</f>
        <v>0.90862944162436543</v>
      </c>
      <c r="K104" s="15">
        <f>(I108-I104-I105-J106)/(I108)</f>
        <v>0.84543761638733705</v>
      </c>
      <c r="L104" s="10"/>
      <c r="M104" s="15"/>
      <c r="N104" s="15"/>
      <c r="O104" s="16"/>
      <c r="W104" s="18"/>
      <c r="X104" s="18"/>
      <c r="AE104" s="16"/>
      <c r="AF104" s="16"/>
    </row>
    <row r="105" spans="1:32" s="17" customFormat="1" ht="15.6" customHeight="1" x14ac:dyDescent="0.25">
      <c r="A105" s="11">
        <v>46296</v>
      </c>
      <c r="B105" s="12" t="s">
        <v>16</v>
      </c>
      <c r="C105" s="13">
        <v>8</v>
      </c>
      <c r="D105" s="13">
        <v>5</v>
      </c>
      <c r="E105" s="13">
        <v>5</v>
      </c>
      <c r="F105" s="14">
        <v>3</v>
      </c>
      <c r="G105" s="14">
        <v>1</v>
      </c>
      <c r="H105" s="14">
        <v>7</v>
      </c>
      <c r="I105" s="12">
        <f t="shared" si="34"/>
        <v>29</v>
      </c>
      <c r="L105" s="10"/>
      <c r="W105" s="18"/>
      <c r="X105" s="18"/>
      <c r="AE105" s="16"/>
      <c r="AF105" s="16"/>
    </row>
    <row r="106" spans="1:32" s="17" customFormat="1" ht="15.6" customHeight="1" x14ac:dyDescent="0.25">
      <c r="A106" s="11">
        <v>46296</v>
      </c>
      <c r="B106" s="12" t="s">
        <v>17</v>
      </c>
      <c r="C106" s="14">
        <v>18</v>
      </c>
      <c r="D106" s="14">
        <v>13</v>
      </c>
      <c r="E106" s="14">
        <v>25</v>
      </c>
      <c r="F106" s="14">
        <v>18</v>
      </c>
      <c r="G106" s="14">
        <v>23</v>
      </c>
      <c r="H106" s="14">
        <v>14</v>
      </c>
      <c r="I106" s="12">
        <f t="shared" si="34"/>
        <v>111</v>
      </c>
      <c r="J106" s="19">
        <v>20</v>
      </c>
      <c r="K106" s="20"/>
      <c r="L106" s="10"/>
      <c r="W106" s="16"/>
      <c r="X106" s="16"/>
      <c r="AE106" s="16"/>
      <c r="AF106" s="16"/>
    </row>
    <row r="107" spans="1:32" s="17" customFormat="1" ht="15.6" customHeight="1" x14ac:dyDescent="0.25">
      <c r="A107" s="11">
        <v>46296</v>
      </c>
      <c r="B107" s="12" t="s">
        <v>18</v>
      </c>
      <c r="C107" s="14">
        <f t="shared" ref="C107:H107" si="35">SUM(C108-C105-C104-C109)</f>
        <v>102</v>
      </c>
      <c r="D107" s="14">
        <f t="shared" si="35"/>
        <v>95</v>
      </c>
      <c r="E107" s="14">
        <f t="shared" si="35"/>
        <v>75</v>
      </c>
      <c r="F107" s="14">
        <f t="shared" si="35"/>
        <v>76</v>
      </c>
      <c r="G107" s="14">
        <f t="shared" si="35"/>
        <v>54</v>
      </c>
      <c r="H107" s="14">
        <f t="shared" si="35"/>
        <v>64</v>
      </c>
      <c r="I107" s="21">
        <f t="shared" si="34"/>
        <v>466</v>
      </c>
      <c r="J107" s="20"/>
      <c r="K107" s="20"/>
      <c r="L107" s="22"/>
      <c r="W107" s="16"/>
      <c r="X107" s="16"/>
      <c r="AE107" s="16"/>
      <c r="AF107" s="16"/>
    </row>
    <row r="108" spans="1:32" s="17" customFormat="1" ht="15.6" customHeight="1" x14ac:dyDescent="0.25">
      <c r="A108" s="11">
        <v>46296</v>
      </c>
      <c r="B108" s="23" t="s">
        <v>19</v>
      </c>
      <c r="C108" s="23">
        <v>125</v>
      </c>
      <c r="D108" s="23">
        <v>108</v>
      </c>
      <c r="E108" s="23">
        <v>91</v>
      </c>
      <c r="F108" s="23">
        <v>81</v>
      </c>
      <c r="G108" s="23">
        <v>57</v>
      </c>
      <c r="H108" s="23">
        <v>75</v>
      </c>
      <c r="I108" s="23">
        <f t="shared" si="34"/>
        <v>537</v>
      </c>
      <c r="J108" s="20"/>
      <c r="K108" s="20"/>
      <c r="L108" s="10"/>
      <c r="M108" s="24"/>
      <c r="W108" s="16"/>
      <c r="X108" s="16"/>
      <c r="AE108" s="16"/>
      <c r="AF108" s="16"/>
    </row>
    <row r="109" spans="1:32" s="17" customFormat="1" ht="15.6" customHeight="1" x14ac:dyDescent="0.25">
      <c r="A109" s="11">
        <v>46296</v>
      </c>
      <c r="B109" s="12" t="s">
        <v>20</v>
      </c>
      <c r="C109" s="14">
        <v>3</v>
      </c>
      <c r="D109" s="14">
        <v>1</v>
      </c>
      <c r="E109" s="14">
        <v>4</v>
      </c>
      <c r="F109" s="14">
        <v>0</v>
      </c>
      <c r="G109" s="14">
        <v>0</v>
      </c>
      <c r="H109" s="14">
        <v>0</v>
      </c>
      <c r="I109" s="12">
        <f t="shared" si="34"/>
        <v>8</v>
      </c>
      <c r="J109" s="20"/>
      <c r="K109" s="20"/>
      <c r="L109" s="25"/>
      <c r="U109" s="2"/>
      <c r="V109" s="2"/>
      <c r="W109" s="5"/>
      <c r="X109" s="5"/>
      <c r="AE109" s="16"/>
      <c r="AF109" s="16"/>
    </row>
    <row r="110" spans="1:32" s="17" customFormat="1" ht="15.6" customHeight="1" x14ac:dyDescent="0.25">
      <c r="A110" s="11">
        <v>46295</v>
      </c>
      <c r="B110" s="12" t="s">
        <v>15</v>
      </c>
      <c r="C110" s="13">
        <v>11</v>
      </c>
      <c r="D110" s="13">
        <v>7</v>
      </c>
      <c r="E110" s="13">
        <v>4</v>
      </c>
      <c r="F110" s="14">
        <v>1</v>
      </c>
      <c r="G110" s="14">
        <v>3</v>
      </c>
      <c r="H110" s="14">
        <v>2</v>
      </c>
      <c r="I110" s="12">
        <f t="shared" ref="I110:I115" si="36">SUM(C110:H110)</f>
        <v>28</v>
      </c>
      <c r="J110" s="15">
        <f>(I114)/(I110+I114+J112)</f>
        <v>0.91952054794520544</v>
      </c>
      <c r="K110" s="15">
        <f>(I114-I110-I111-J112)/(I114)</f>
        <v>0.84729981378026076</v>
      </c>
      <c r="L110" s="10"/>
      <c r="M110" s="15"/>
      <c r="N110" s="15"/>
      <c r="O110" s="16"/>
      <c r="W110" s="18"/>
      <c r="X110" s="18"/>
      <c r="AE110" s="16"/>
      <c r="AF110" s="16"/>
    </row>
    <row r="111" spans="1:32" s="17" customFormat="1" ht="15.6" customHeight="1" x14ac:dyDescent="0.25">
      <c r="A111" s="11">
        <v>46295</v>
      </c>
      <c r="B111" s="12" t="s">
        <v>16</v>
      </c>
      <c r="C111" s="13">
        <v>9</v>
      </c>
      <c r="D111" s="13">
        <v>5</v>
      </c>
      <c r="E111" s="13">
        <v>7</v>
      </c>
      <c r="F111" s="14">
        <v>4</v>
      </c>
      <c r="G111" s="14">
        <v>1</v>
      </c>
      <c r="H111" s="14">
        <v>9</v>
      </c>
      <c r="I111" s="12">
        <f t="shared" si="36"/>
        <v>35</v>
      </c>
      <c r="L111" s="10"/>
      <c r="W111" s="18"/>
      <c r="X111" s="18"/>
      <c r="AE111" s="16"/>
      <c r="AF111" s="16"/>
    </row>
    <row r="112" spans="1:32" s="17" customFormat="1" ht="15.6" customHeight="1" x14ac:dyDescent="0.25">
      <c r="A112" s="11">
        <v>46295</v>
      </c>
      <c r="B112" s="12" t="s">
        <v>17</v>
      </c>
      <c r="C112" s="14">
        <v>18</v>
      </c>
      <c r="D112" s="14">
        <v>13</v>
      </c>
      <c r="E112" s="14">
        <v>25</v>
      </c>
      <c r="F112" s="14">
        <v>18</v>
      </c>
      <c r="G112" s="14">
        <v>23</v>
      </c>
      <c r="H112" s="14">
        <v>14</v>
      </c>
      <c r="I112" s="12">
        <f t="shared" si="36"/>
        <v>111</v>
      </c>
      <c r="J112" s="19">
        <v>19</v>
      </c>
      <c r="K112" s="20"/>
      <c r="L112" s="10"/>
      <c r="W112" s="16"/>
      <c r="X112" s="16"/>
      <c r="AE112" s="16"/>
      <c r="AF112" s="16"/>
    </row>
    <row r="113" spans="1:32" s="17" customFormat="1" ht="15.6" customHeight="1" x14ac:dyDescent="0.25">
      <c r="A113" s="11">
        <v>46295</v>
      </c>
      <c r="B113" s="12" t="s">
        <v>18</v>
      </c>
      <c r="C113" s="14">
        <f t="shared" ref="C113:H113" si="37">SUM(C114-C111-C110-C115)</f>
        <v>102</v>
      </c>
      <c r="D113" s="14">
        <f t="shared" si="37"/>
        <v>95</v>
      </c>
      <c r="E113" s="14">
        <f t="shared" si="37"/>
        <v>76</v>
      </c>
      <c r="F113" s="14">
        <f t="shared" si="37"/>
        <v>76</v>
      </c>
      <c r="G113" s="14">
        <f t="shared" si="37"/>
        <v>53</v>
      </c>
      <c r="H113" s="14">
        <f t="shared" si="37"/>
        <v>64</v>
      </c>
      <c r="I113" s="21">
        <f t="shared" si="36"/>
        <v>466</v>
      </c>
      <c r="J113" s="20"/>
      <c r="K113" s="20"/>
      <c r="L113" s="22"/>
      <c r="W113" s="16"/>
      <c r="X113" s="16"/>
      <c r="AE113" s="16"/>
      <c r="AF113" s="16"/>
    </row>
    <row r="114" spans="1:32" s="17" customFormat="1" ht="15.6" customHeight="1" x14ac:dyDescent="0.25">
      <c r="A114" s="11">
        <v>46295</v>
      </c>
      <c r="B114" s="23" t="s">
        <v>19</v>
      </c>
      <c r="C114" s="23">
        <v>125</v>
      </c>
      <c r="D114" s="23">
        <v>108</v>
      </c>
      <c r="E114" s="23">
        <v>91</v>
      </c>
      <c r="F114" s="23">
        <v>81</v>
      </c>
      <c r="G114" s="23">
        <v>57</v>
      </c>
      <c r="H114" s="23">
        <v>75</v>
      </c>
      <c r="I114" s="23">
        <f t="shared" si="36"/>
        <v>537</v>
      </c>
      <c r="J114" s="20"/>
      <c r="K114" s="20"/>
      <c r="L114" s="10"/>
      <c r="M114" s="24"/>
      <c r="W114" s="16"/>
      <c r="X114" s="16"/>
      <c r="AE114" s="16"/>
      <c r="AF114" s="16"/>
    </row>
    <row r="115" spans="1:32" s="17" customFormat="1" ht="15.6" customHeight="1" x14ac:dyDescent="0.25">
      <c r="A115" s="11">
        <v>46295</v>
      </c>
      <c r="B115" s="12" t="s">
        <v>20</v>
      </c>
      <c r="C115" s="14">
        <v>3</v>
      </c>
      <c r="D115" s="14">
        <v>1</v>
      </c>
      <c r="E115" s="14">
        <v>4</v>
      </c>
      <c r="F115" s="14">
        <v>0</v>
      </c>
      <c r="G115" s="14">
        <v>0</v>
      </c>
      <c r="H115" s="14">
        <v>0</v>
      </c>
      <c r="I115" s="12">
        <f t="shared" si="36"/>
        <v>8</v>
      </c>
      <c r="J115" s="20"/>
      <c r="K115" s="20"/>
      <c r="L115" s="25"/>
      <c r="U115" s="2"/>
      <c r="V115" s="2"/>
      <c r="W115" s="5"/>
      <c r="X115" s="5"/>
      <c r="AE115" s="16"/>
      <c r="AF115" s="16"/>
    </row>
    <row r="116" spans="1:32" s="17" customFormat="1" ht="15.6" customHeight="1" x14ac:dyDescent="0.25">
      <c r="A116" s="11">
        <v>46294</v>
      </c>
      <c r="B116" s="12" t="s">
        <v>15</v>
      </c>
      <c r="C116" s="13">
        <v>14</v>
      </c>
      <c r="D116" s="13">
        <v>8</v>
      </c>
      <c r="E116" s="13">
        <v>7</v>
      </c>
      <c r="F116" s="14">
        <v>1</v>
      </c>
      <c r="G116" s="14">
        <v>3</v>
      </c>
      <c r="H116" s="14">
        <v>3</v>
      </c>
      <c r="I116" s="12">
        <f t="shared" ref="I116:I121" si="38">SUM(C116:H116)</f>
        <v>36</v>
      </c>
      <c r="J116" s="15">
        <f>(I120)/(I116+I120+J118)</f>
        <v>0.89649415692821366</v>
      </c>
      <c r="K116" s="15">
        <f>(I120-I116-I117-J118)/(I120)</f>
        <v>0.81936685288640598</v>
      </c>
      <c r="L116" s="10"/>
      <c r="M116" s="15"/>
      <c r="N116" s="15"/>
      <c r="O116" s="16"/>
      <c r="W116" s="18"/>
      <c r="X116" s="18"/>
      <c r="AE116" s="16"/>
      <c r="AF116" s="16"/>
    </row>
    <row r="117" spans="1:32" s="17" customFormat="1" ht="15.6" customHeight="1" x14ac:dyDescent="0.25">
      <c r="A117" s="11">
        <v>46294</v>
      </c>
      <c r="B117" s="12" t="s">
        <v>16</v>
      </c>
      <c r="C117" s="13">
        <v>7</v>
      </c>
      <c r="D117" s="13">
        <v>6</v>
      </c>
      <c r="E117" s="13">
        <v>5</v>
      </c>
      <c r="F117" s="14">
        <v>4</v>
      </c>
      <c r="G117" s="14">
        <v>3</v>
      </c>
      <c r="H117" s="14">
        <v>10</v>
      </c>
      <c r="I117" s="12">
        <f t="shared" si="38"/>
        <v>35</v>
      </c>
      <c r="L117" s="10"/>
      <c r="W117" s="18"/>
      <c r="X117" s="18"/>
      <c r="AE117" s="16"/>
      <c r="AF117" s="16"/>
    </row>
    <row r="118" spans="1:32" s="17" customFormat="1" ht="15.6" customHeight="1" x14ac:dyDescent="0.25">
      <c r="A118" s="11">
        <v>46294</v>
      </c>
      <c r="B118" s="12" t="s">
        <v>17</v>
      </c>
      <c r="C118" s="14">
        <v>18</v>
      </c>
      <c r="D118" s="14">
        <v>13</v>
      </c>
      <c r="E118" s="14">
        <v>25</v>
      </c>
      <c r="F118" s="14">
        <v>18</v>
      </c>
      <c r="G118" s="14">
        <v>23</v>
      </c>
      <c r="H118" s="14">
        <v>14</v>
      </c>
      <c r="I118" s="12">
        <f t="shared" si="38"/>
        <v>111</v>
      </c>
      <c r="J118" s="19">
        <v>26</v>
      </c>
      <c r="K118" s="20"/>
      <c r="L118" s="10"/>
      <c r="W118" s="16"/>
      <c r="X118" s="16"/>
      <c r="AE118" s="16"/>
      <c r="AF118" s="16"/>
    </row>
    <row r="119" spans="1:32" s="17" customFormat="1" ht="15.6" customHeight="1" x14ac:dyDescent="0.25">
      <c r="A119" s="11">
        <v>46294</v>
      </c>
      <c r="B119" s="12" t="s">
        <v>18</v>
      </c>
      <c r="C119" s="14">
        <f t="shared" ref="C119:H119" si="39">SUM(C120-C117-C116-C121)</f>
        <v>101</v>
      </c>
      <c r="D119" s="14">
        <f t="shared" si="39"/>
        <v>94</v>
      </c>
      <c r="E119" s="14">
        <f t="shared" si="39"/>
        <v>75</v>
      </c>
      <c r="F119" s="14">
        <f t="shared" si="39"/>
        <v>76</v>
      </c>
      <c r="G119" s="14">
        <f t="shared" si="39"/>
        <v>51</v>
      </c>
      <c r="H119" s="14">
        <f t="shared" si="39"/>
        <v>62</v>
      </c>
      <c r="I119" s="21">
        <f t="shared" si="38"/>
        <v>459</v>
      </c>
      <c r="J119" s="20"/>
      <c r="K119" s="20"/>
      <c r="L119" s="22"/>
      <c r="W119" s="16"/>
      <c r="X119" s="16"/>
      <c r="AE119" s="16"/>
      <c r="AF119" s="16"/>
    </row>
    <row r="120" spans="1:32" s="17" customFormat="1" ht="15.6" customHeight="1" x14ac:dyDescent="0.25">
      <c r="A120" s="11">
        <v>46294</v>
      </c>
      <c r="B120" s="23" t="s">
        <v>19</v>
      </c>
      <c r="C120" s="23">
        <v>125</v>
      </c>
      <c r="D120" s="23">
        <v>108</v>
      </c>
      <c r="E120" s="23">
        <v>91</v>
      </c>
      <c r="F120" s="23">
        <v>81</v>
      </c>
      <c r="G120" s="23">
        <v>57</v>
      </c>
      <c r="H120" s="23">
        <v>75</v>
      </c>
      <c r="I120" s="23">
        <f t="shared" si="38"/>
        <v>537</v>
      </c>
      <c r="J120" s="20"/>
      <c r="K120" s="20"/>
      <c r="L120" s="10"/>
      <c r="M120" s="24"/>
      <c r="W120" s="16"/>
      <c r="X120" s="16"/>
      <c r="AE120" s="16"/>
      <c r="AF120" s="16"/>
    </row>
    <row r="121" spans="1:32" s="17" customFormat="1" ht="15.6" customHeight="1" x14ac:dyDescent="0.25">
      <c r="A121" s="11">
        <v>46294</v>
      </c>
      <c r="B121" s="12" t="s">
        <v>20</v>
      </c>
      <c r="C121" s="14">
        <v>3</v>
      </c>
      <c r="D121" s="14">
        <v>0</v>
      </c>
      <c r="E121" s="14">
        <v>4</v>
      </c>
      <c r="F121" s="14">
        <v>0</v>
      </c>
      <c r="G121" s="14">
        <v>0</v>
      </c>
      <c r="H121" s="14">
        <v>0</v>
      </c>
      <c r="I121" s="12">
        <f t="shared" si="38"/>
        <v>7</v>
      </c>
      <c r="J121" s="20"/>
      <c r="K121" s="20"/>
      <c r="L121" s="25"/>
      <c r="U121" s="2"/>
      <c r="V121" s="2"/>
      <c r="W121" s="5"/>
      <c r="X121" s="5"/>
      <c r="AE121" s="16"/>
      <c r="AF121" s="16"/>
    </row>
    <row r="122" spans="1:32" s="17" customFormat="1" ht="15.6" customHeight="1" x14ac:dyDescent="0.25">
      <c r="A122" s="11">
        <v>46293</v>
      </c>
      <c r="B122" s="12" t="s">
        <v>15</v>
      </c>
      <c r="C122" s="13">
        <v>12</v>
      </c>
      <c r="D122" s="13">
        <v>7</v>
      </c>
      <c r="E122" s="13">
        <v>8</v>
      </c>
      <c r="F122" s="14">
        <v>1</v>
      </c>
      <c r="G122" s="14">
        <v>4</v>
      </c>
      <c r="H122" s="14">
        <v>5</v>
      </c>
      <c r="I122" s="12">
        <f t="shared" ref="I122:I127" si="40">SUM(C122:H122)</f>
        <v>37</v>
      </c>
      <c r="J122" s="15">
        <f>(I126)/(I122+I126+J124)</f>
        <v>0.90252100840336136</v>
      </c>
      <c r="K122" s="15">
        <f>(I126-I122-I123-J124)/(I126)</f>
        <v>0.83054003724394787</v>
      </c>
      <c r="L122" s="10"/>
      <c r="M122" s="15"/>
      <c r="N122" s="15"/>
      <c r="O122" s="16"/>
      <c r="W122" s="18"/>
      <c r="X122" s="18"/>
      <c r="AE122" s="16"/>
      <c r="AF122" s="16"/>
    </row>
    <row r="123" spans="1:32" s="17" customFormat="1" ht="15.6" customHeight="1" x14ac:dyDescent="0.25">
      <c r="A123" s="11">
        <v>46293</v>
      </c>
      <c r="B123" s="12" t="s">
        <v>16</v>
      </c>
      <c r="C123" s="13">
        <v>8</v>
      </c>
      <c r="D123" s="13">
        <v>7</v>
      </c>
      <c r="E123" s="13">
        <v>4</v>
      </c>
      <c r="F123" s="14">
        <v>4</v>
      </c>
      <c r="G123" s="14">
        <v>2</v>
      </c>
      <c r="H123" s="14">
        <v>8</v>
      </c>
      <c r="I123" s="12">
        <f t="shared" si="40"/>
        <v>33</v>
      </c>
      <c r="L123" s="10"/>
      <c r="W123" s="18"/>
      <c r="X123" s="18"/>
      <c r="AE123" s="16"/>
      <c r="AF123" s="16"/>
    </row>
    <row r="124" spans="1:32" s="17" customFormat="1" ht="15.6" customHeight="1" x14ac:dyDescent="0.25">
      <c r="A124" s="11">
        <v>46293</v>
      </c>
      <c r="B124" s="12" t="s">
        <v>17</v>
      </c>
      <c r="C124" s="14">
        <v>18</v>
      </c>
      <c r="D124" s="14">
        <v>13</v>
      </c>
      <c r="E124" s="14">
        <v>25</v>
      </c>
      <c r="F124" s="14">
        <v>18</v>
      </c>
      <c r="G124" s="14">
        <v>23</v>
      </c>
      <c r="H124" s="14">
        <v>14</v>
      </c>
      <c r="I124" s="12">
        <f t="shared" si="40"/>
        <v>111</v>
      </c>
      <c r="J124" s="19">
        <v>21</v>
      </c>
      <c r="K124" s="20"/>
      <c r="L124" s="10"/>
      <c r="W124" s="16"/>
      <c r="X124" s="16"/>
      <c r="AE124" s="16"/>
      <c r="AF124" s="16"/>
    </row>
    <row r="125" spans="1:32" s="17" customFormat="1" ht="15.6" customHeight="1" x14ac:dyDescent="0.25">
      <c r="A125" s="11">
        <v>46293</v>
      </c>
      <c r="B125" s="12" t="s">
        <v>18</v>
      </c>
      <c r="C125" s="14">
        <f t="shared" ref="C125:H125" si="41">SUM(C126-C123-C122-C127)</f>
        <v>102</v>
      </c>
      <c r="D125" s="14">
        <f t="shared" si="41"/>
        <v>94</v>
      </c>
      <c r="E125" s="14">
        <f t="shared" si="41"/>
        <v>75</v>
      </c>
      <c r="F125" s="14">
        <f t="shared" si="41"/>
        <v>76</v>
      </c>
      <c r="G125" s="14">
        <f t="shared" si="41"/>
        <v>51</v>
      </c>
      <c r="H125" s="14">
        <f t="shared" si="41"/>
        <v>62</v>
      </c>
      <c r="I125" s="21">
        <f t="shared" si="40"/>
        <v>460</v>
      </c>
      <c r="J125" s="20"/>
      <c r="K125" s="20"/>
      <c r="L125" s="22"/>
      <c r="W125" s="16"/>
      <c r="X125" s="16"/>
      <c r="AE125" s="16"/>
      <c r="AF125" s="16"/>
    </row>
    <row r="126" spans="1:32" s="17" customFormat="1" ht="15.6" customHeight="1" x14ac:dyDescent="0.25">
      <c r="A126" s="11">
        <v>46293</v>
      </c>
      <c r="B126" s="23" t="s">
        <v>19</v>
      </c>
      <c r="C126" s="23">
        <v>125</v>
      </c>
      <c r="D126" s="23">
        <v>108</v>
      </c>
      <c r="E126" s="23">
        <v>91</v>
      </c>
      <c r="F126" s="23">
        <v>81</v>
      </c>
      <c r="G126" s="23">
        <v>57</v>
      </c>
      <c r="H126" s="23">
        <v>75</v>
      </c>
      <c r="I126" s="23">
        <f t="shared" si="40"/>
        <v>537</v>
      </c>
      <c r="J126" s="20"/>
      <c r="K126" s="20"/>
      <c r="L126" s="10"/>
      <c r="M126" s="24"/>
      <c r="W126" s="16"/>
      <c r="X126" s="16"/>
      <c r="AE126" s="16"/>
      <c r="AF126" s="16"/>
    </row>
    <row r="127" spans="1:32" s="17" customFormat="1" ht="15.6" customHeight="1" x14ac:dyDescent="0.25">
      <c r="A127" s="11">
        <v>46293</v>
      </c>
      <c r="B127" s="12" t="s">
        <v>20</v>
      </c>
      <c r="C127" s="14">
        <v>3</v>
      </c>
      <c r="D127" s="14">
        <v>0</v>
      </c>
      <c r="E127" s="14">
        <v>4</v>
      </c>
      <c r="F127" s="14">
        <v>0</v>
      </c>
      <c r="G127" s="14">
        <v>0</v>
      </c>
      <c r="H127" s="14">
        <v>0</v>
      </c>
      <c r="I127" s="12">
        <f t="shared" si="40"/>
        <v>7</v>
      </c>
      <c r="J127" s="20"/>
      <c r="K127" s="20"/>
      <c r="L127" s="25"/>
      <c r="U127" s="2"/>
      <c r="V127" s="2"/>
      <c r="W127" s="5"/>
      <c r="X127" s="5"/>
      <c r="AE127" s="16"/>
      <c r="AF127" s="16"/>
    </row>
    <row r="128" spans="1:32" s="17" customFormat="1" ht="15.6" customHeight="1" x14ac:dyDescent="0.25">
      <c r="A128" s="11">
        <v>46292</v>
      </c>
      <c r="B128" s="12" t="s">
        <v>15</v>
      </c>
      <c r="C128" s="13">
        <v>12</v>
      </c>
      <c r="D128" s="13">
        <v>7</v>
      </c>
      <c r="E128" s="13">
        <v>4</v>
      </c>
      <c r="F128" s="14">
        <v>2</v>
      </c>
      <c r="G128" s="14">
        <v>3</v>
      </c>
      <c r="H128" s="14">
        <v>7</v>
      </c>
      <c r="I128" s="12">
        <f t="shared" ref="I128:I133" si="42">SUM(C128:H128)</f>
        <v>35</v>
      </c>
      <c r="J128" s="15">
        <f>(I132)/(I128+I132+J130)</f>
        <v>0.90252100840336136</v>
      </c>
      <c r="K128" s="15">
        <f>(I132-I128-I129-J130)/(I132)</f>
        <v>0.82309124767225328</v>
      </c>
      <c r="L128" s="10"/>
      <c r="M128" s="15"/>
      <c r="N128" s="15"/>
      <c r="O128" s="16"/>
      <c r="W128" s="18"/>
      <c r="X128" s="18"/>
      <c r="AE128" s="16"/>
      <c r="AF128" s="16"/>
    </row>
    <row r="129" spans="1:32" s="17" customFormat="1" ht="15.6" customHeight="1" x14ac:dyDescent="0.25">
      <c r="A129" s="11">
        <v>46292</v>
      </c>
      <c r="B129" s="12" t="s">
        <v>16</v>
      </c>
      <c r="C129" s="13">
        <v>9</v>
      </c>
      <c r="D129" s="13">
        <v>9</v>
      </c>
      <c r="E129" s="13">
        <v>6</v>
      </c>
      <c r="F129" s="14">
        <v>4</v>
      </c>
      <c r="G129" s="14">
        <v>3</v>
      </c>
      <c r="H129" s="14">
        <v>6</v>
      </c>
      <c r="I129" s="12">
        <f t="shared" si="42"/>
        <v>37</v>
      </c>
      <c r="L129" s="10"/>
      <c r="W129" s="18"/>
      <c r="X129" s="18"/>
      <c r="AE129" s="16"/>
      <c r="AF129" s="16"/>
    </row>
    <row r="130" spans="1:32" s="17" customFormat="1" ht="15.6" customHeight="1" x14ac:dyDescent="0.25">
      <c r="A130" s="11">
        <v>46292</v>
      </c>
      <c r="B130" s="12" t="s">
        <v>17</v>
      </c>
      <c r="C130" s="14">
        <v>18</v>
      </c>
      <c r="D130" s="14">
        <v>13</v>
      </c>
      <c r="E130" s="14">
        <v>25</v>
      </c>
      <c r="F130" s="14">
        <v>18</v>
      </c>
      <c r="G130" s="14">
        <v>23</v>
      </c>
      <c r="H130" s="14">
        <v>14</v>
      </c>
      <c r="I130" s="12">
        <f t="shared" si="42"/>
        <v>111</v>
      </c>
      <c r="J130" s="19">
        <v>23</v>
      </c>
      <c r="K130" s="20"/>
      <c r="L130" s="10"/>
      <c r="W130" s="16"/>
      <c r="X130" s="16"/>
      <c r="AE130" s="16"/>
      <c r="AF130" s="16"/>
    </row>
    <row r="131" spans="1:32" s="17" customFormat="1" ht="15.6" customHeight="1" x14ac:dyDescent="0.25">
      <c r="A131" s="11">
        <v>46292</v>
      </c>
      <c r="B131" s="12" t="s">
        <v>18</v>
      </c>
      <c r="C131" s="14">
        <f t="shared" ref="C131:H131" si="43">SUM(C132-C129-C128-C133)</f>
        <v>101</v>
      </c>
      <c r="D131" s="14">
        <f t="shared" si="43"/>
        <v>92</v>
      </c>
      <c r="E131" s="14">
        <f t="shared" si="43"/>
        <v>77</v>
      </c>
      <c r="F131" s="14">
        <f t="shared" si="43"/>
        <v>75</v>
      </c>
      <c r="G131" s="14">
        <f t="shared" si="43"/>
        <v>51</v>
      </c>
      <c r="H131" s="14">
        <f t="shared" si="43"/>
        <v>62</v>
      </c>
      <c r="I131" s="21">
        <f t="shared" si="42"/>
        <v>458</v>
      </c>
      <c r="J131" s="20"/>
      <c r="K131" s="20"/>
      <c r="L131" s="22"/>
      <c r="W131" s="16"/>
      <c r="X131" s="16"/>
      <c r="AE131" s="16"/>
      <c r="AF131" s="16"/>
    </row>
    <row r="132" spans="1:32" s="17" customFormat="1" ht="15.6" customHeight="1" x14ac:dyDescent="0.25">
      <c r="A132" s="11">
        <v>46292</v>
      </c>
      <c r="B132" s="23" t="s">
        <v>19</v>
      </c>
      <c r="C132" s="23">
        <v>125</v>
      </c>
      <c r="D132" s="23">
        <v>108</v>
      </c>
      <c r="E132" s="23">
        <v>91</v>
      </c>
      <c r="F132" s="23">
        <v>81</v>
      </c>
      <c r="G132" s="23">
        <v>57</v>
      </c>
      <c r="H132" s="23">
        <v>75</v>
      </c>
      <c r="I132" s="23">
        <f t="shared" si="42"/>
        <v>537</v>
      </c>
      <c r="J132" s="20"/>
      <c r="K132" s="20"/>
      <c r="L132" s="10"/>
      <c r="M132" s="24"/>
      <c r="W132" s="16"/>
      <c r="X132" s="16"/>
      <c r="AE132" s="16"/>
      <c r="AF132" s="16"/>
    </row>
    <row r="133" spans="1:32" s="17" customFormat="1" ht="15.6" customHeight="1" x14ac:dyDescent="0.25">
      <c r="A133" s="11">
        <v>46292</v>
      </c>
      <c r="B133" s="12" t="s">
        <v>20</v>
      </c>
      <c r="C133" s="14">
        <v>3</v>
      </c>
      <c r="D133" s="14">
        <v>0</v>
      </c>
      <c r="E133" s="14">
        <v>4</v>
      </c>
      <c r="F133" s="14">
        <v>0</v>
      </c>
      <c r="G133" s="14">
        <v>0</v>
      </c>
      <c r="H133" s="14">
        <v>0</v>
      </c>
      <c r="I133" s="12">
        <f t="shared" si="42"/>
        <v>7</v>
      </c>
      <c r="J133" s="20"/>
      <c r="K133" s="20"/>
      <c r="L133" s="25"/>
      <c r="U133" s="2"/>
      <c r="V133" s="2"/>
      <c r="W133" s="5"/>
      <c r="X133" s="5"/>
      <c r="AE133" s="16"/>
      <c r="AF133" s="16"/>
    </row>
    <row r="134" spans="1:32" s="17" customFormat="1" ht="15.6" customHeight="1" x14ac:dyDescent="0.25">
      <c r="A134" s="11">
        <v>46291</v>
      </c>
      <c r="B134" s="12" t="s">
        <v>15</v>
      </c>
      <c r="C134" s="13">
        <v>13</v>
      </c>
      <c r="D134" s="13">
        <v>6</v>
      </c>
      <c r="E134" s="13">
        <v>5</v>
      </c>
      <c r="F134" s="14">
        <v>3</v>
      </c>
      <c r="G134" s="14">
        <v>0</v>
      </c>
      <c r="H134" s="14">
        <v>6</v>
      </c>
      <c r="I134" s="12">
        <f t="shared" ref="I134:I139" si="44">SUM(C134:H134)</f>
        <v>33</v>
      </c>
      <c r="J134" s="15">
        <f>(I138)/(I134+I138+J136)</f>
        <v>0.90252100840336136</v>
      </c>
      <c r="K134" s="15">
        <f>(I138-I134-I135-J136)/(I138)</f>
        <v>0.81936685288640598</v>
      </c>
      <c r="L134" s="10"/>
      <c r="M134" s="15"/>
      <c r="N134" s="15"/>
      <c r="O134" s="16"/>
      <c r="W134" s="18"/>
      <c r="X134" s="18"/>
      <c r="AE134" s="16"/>
      <c r="AF134" s="16"/>
    </row>
    <row r="135" spans="1:32" s="17" customFormat="1" ht="15.6" customHeight="1" x14ac:dyDescent="0.25">
      <c r="A135" s="11">
        <v>46291</v>
      </c>
      <c r="B135" s="12" t="s">
        <v>16</v>
      </c>
      <c r="C135" s="13">
        <v>8</v>
      </c>
      <c r="D135" s="13">
        <v>11</v>
      </c>
      <c r="E135" s="13">
        <v>6</v>
      </c>
      <c r="F135" s="14">
        <v>4</v>
      </c>
      <c r="G135" s="14">
        <v>4</v>
      </c>
      <c r="H135" s="14">
        <v>6</v>
      </c>
      <c r="I135" s="12">
        <f t="shared" si="44"/>
        <v>39</v>
      </c>
      <c r="L135" s="10"/>
      <c r="W135" s="18"/>
      <c r="X135" s="18"/>
      <c r="AE135" s="16"/>
      <c r="AF135" s="16"/>
    </row>
    <row r="136" spans="1:32" s="17" customFormat="1" ht="15.6" customHeight="1" x14ac:dyDescent="0.25">
      <c r="A136" s="11">
        <v>46291</v>
      </c>
      <c r="B136" s="12" t="s">
        <v>17</v>
      </c>
      <c r="C136" s="14">
        <v>18</v>
      </c>
      <c r="D136" s="14">
        <v>13</v>
      </c>
      <c r="E136" s="14">
        <v>25</v>
      </c>
      <c r="F136" s="14">
        <v>18</v>
      </c>
      <c r="G136" s="14">
        <v>23</v>
      </c>
      <c r="H136" s="14">
        <v>14</v>
      </c>
      <c r="I136" s="12">
        <f t="shared" si="44"/>
        <v>111</v>
      </c>
      <c r="J136" s="19">
        <v>25</v>
      </c>
      <c r="K136" s="20"/>
      <c r="L136" s="10"/>
      <c r="W136" s="16"/>
      <c r="X136" s="16"/>
      <c r="AE136" s="16"/>
      <c r="AF136" s="16"/>
    </row>
    <row r="137" spans="1:32" s="17" customFormat="1" ht="15.6" customHeight="1" x14ac:dyDescent="0.25">
      <c r="A137" s="11">
        <v>46291</v>
      </c>
      <c r="B137" s="12" t="s">
        <v>18</v>
      </c>
      <c r="C137" s="14">
        <f t="shared" ref="C137:H137" si="45">SUM(C138-C135-C134-C139)</f>
        <v>101</v>
      </c>
      <c r="D137" s="14">
        <f t="shared" si="45"/>
        <v>91</v>
      </c>
      <c r="E137" s="14">
        <f t="shared" si="45"/>
        <v>76</v>
      </c>
      <c r="F137" s="14">
        <f t="shared" si="45"/>
        <v>74</v>
      </c>
      <c r="G137" s="14">
        <f t="shared" si="45"/>
        <v>53</v>
      </c>
      <c r="H137" s="14">
        <f t="shared" si="45"/>
        <v>63</v>
      </c>
      <c r="I137" s="21">
        <f t="shared" si="44"/>
        <v>458</v>
      </c>
      <c r="J137" s="20"/>
      <c r="K137" s="20"/>
      <c r="L137" s="22"/>
      <c r="W137" s="16"/>
      <c r="X137" s="16"/>
      <c r="AE137" s="16"/>
      <c r="AF137" s="16"/>
    </row>
    <row r="138" spans="1:32" s="17" customFormat="1" ht="15.6" customHeight="1" x14ac:dyDescent="0.25">
      <c r="A138" s="11">
        <v>46291</v>
      </c>
      <c r="B138" s="23" t="s">
        <v>19</v>
      </c>
      <c r="C138" s="23">
        <v>125</v>
      </c>
      <c r="D138" s="23">
        <v>108</v>
      </c>
      <c r="E138" s="23">
        <v>91</v>
      </c>
      <c r="F138" s="23">
        <v>81</v>
      </c>
      <c r="G138" s="23">
        <v>57</v>
      </c>
      <c r="H138" s="23">
        <v>75</v>
      </c>
      <c r="I138" s="23">
        <f t="shared" si="44"/>
        <v>537</v>
      </c>
      <c r="J138" s="20"/>
      <c r="K138" s="20"/>
      <c r="L138" s="10"/>
      <c r="M138" s="24"/>
      <c r="W138" s="16"/>
      <c r="X138" s="16"/>
      <c r="AE138" s="16"/>
      <c r="AF138" s="16"/>
    </row>
    <row r="139" spans="1:32" s="17" customFormat="1" ht="15.6" customHeight="1" x14ac:dyDescent="0.25">
      <c r="A139" s="11">
        <v>46291</v>
      </c>
      <c r="B139" s="12" t="s">
        <v>20</v>
      </c>
      <c r="C139" s="14">
        <v>3</v>
      </c>
      <c r="D139" s="14">
        <v>0</v>
      </c>
      <c r="E139" s="14">
        <v>4</v>
      </c>
      <c r="F139" s="14">
        <v>0</v>
      </c>
      <c r="G139" s="14">
        <v>0</v>
      </c>
      <c r="H139" s="14">
        <v>0</v>
      </c>
      <c r="I139" s="12">
        <f t="shared" si="44"/>
        <v>7</v>
      </c>
      <c r="J139" s="20"/>
      <c r="K139" s="20"/>
      <c r="L139" s="25"/>
      <c r="U139" s="2"/>
      <c r="V139" s="2"/>
      <c r="W139" s="5"/>
      <c r="X139" s="5"/>
      <c r="AE139" s="16"/>
      <c r="AF139" s="16"/>
    </row>
    <row r="140" spans="1:32" s="17" customFormat="1" ht="15.6" customHeight="1" x14ac:dyDescent="0.25">
      <c r="A140" s="11">
        <v>46290</v>
      </c>
      <c r="B140" s="12" t="s">
        <v>15</v>
      </c>
      <c r="C140" s="13">
        <v>10</v>
      </c>
      <c r="D140" s="13">
        <v>4</v>
      </c>
      <c r="E140" s="13">
        <v>4</v>
      </c>
      <c r="F140" s="14">
        <v>2</v>
      </c>
      <c r="G140" s="14">
        <v>1</v>
      </c>
      <c r="H140" s="14">
        <v>4</v>
      </c>
      <c r="I140" s="12">
        <f t="shared" ref="I140:I145" si="46">SUM(C140:H140)</f>
        <v>25</v>
      </c>
      <c r="J140" s="15">
        <f>(I144)/(I140+I144+J142)</f>
        <v>0.93043478260869561</v>
      </c>
      <c r="K140" s="15">
        <f>(I144-I140-I141-J142)/(I144)</f>
        <v>0.87102803738317758</v>
      </c>
      <c r="L140" s="10"/>
      <c r="M140" s="15"/>
      <c r="N140" s="15"/>
      <c r="O140" s="16"/>
      <c r="W140" s="18"/>
      <c r="X140" s="18"/>
      <c r="AE140" s="16"/>
      <c r="AF140" s="16"/>
    </row>
    <row r="141" spans="1:32" s="17" customFormat="1" ht="15.6" customHeight="1" x14ac:dyDescent="0.25">
      <c r="A141" s="11">
        <v>46290</v>
      </c>
      <c r="B141" s="12" t="s">
        <v>16</v>
      </c>
      <c r="C141" s="13">
        <v>7</v>
      </c>
      <c r="D141" s="13">
        <v>4</v>
      </c>
      <c r="E141" s="13">
        <v>4</v>
      </c>
      <c r="F141" s="14">
        <v>5</v>
      </c>
      <c r="G141" s="14">
        <v>4</v>
      </c>
      <c r="H141" s="14">
        <v>5</v>
      </c>
      <c r="I141" s="12">
        <f t="shared" si="46"/>
        <v>29</v>
      </c>
      <c r="L141" s="10"/>
      <c r="W141" s="18"/>
      <c r="X141" s="18"/>
      <c r="AE141" s="16"/>
      <c r="AF141" s="16"/>
    </row>
    <row r="142" spans="1:32" s="17" customFormat="1" ht="15.6" customHeight="1" x14ac:dyDescent="0.25">
      <c r="A142" s="11">
        <v>46290</v>
      </c>
      <c r="B142" s="12" t="s">
        <v>17</v>
      </c>
      <c r="C142" s="14">
        <v>18</v>
      </c>
      <c r="D142" s="14">
        <v>13</v>
      </c>
      <c r="E142" s="14">
        <v>25</v>
      </c>
      <c r="F142" s="14">
        <v>18</v>
      </c>
      <c r="G142" s="14">
        <v>23</v>
      </c>
      <c r="H142" s="14">
        <v>14</v>
      </c>
      <c r="I142" s="12">
        <f t="shared" si="46"/>
        <v>111</v>
      </c>
      <c r="J142" s="19">
        <v>15</v>
      </c>
      <c r="K142" s="20"/>
      <c r="L142" s="10"/>
      <c r="W142" s="16"/>
      <c r="X142" s="16"/>
      <c r="AE142" s="16"/>
      <c r="AF142" s="16"/>
    </row>
    <row r="143" spans="1:32" s="17" customFormat="1" ht="15.6" customHeight="1" x14ac:dyDescent="0.25">
      <c r="A143" s="11">
        <v>46290</v>
      </c>
      <c r="B143" s="12" t="s">
        <v>18</v>
      </c>
      <c r="C143" s="14">
        <f t="shared" ref="C143:H143" si="47">SUM(C144-C141-C140-C145)</f>
        <v>105</v>
      </c>
      <c r="D143" s="14">
        <f t="shared" si="47"/>
        <v>97</v>
      </c>
      <c r="E143" s="14">
        <f t="shared" si="47"/>
        <v>79</v>
      </c>
      <c r="F143" s="14">
        <f t="shared" si="47"/>
        <v>74</v>
      </c>
      <c r="G143" s="14">
        <f t="shared" si="47"/>
        <v>52</v>
      </c>
      <c r="H143" s="14">
        <f t="shared" si="47"/>
        <v>66</v>
      </c>
      <c r="I143" s="21">
        <f t="shared" si="46"/>
        <v>473</v>
      </c>
      <c r="J143" s="20"/>
      <c r="K143" s="20"/>
      <c r="L143" s="22"/>
      <c r="W143" s="16"/>
      <c r="X143" s="16"/>
      <c r="AE143" s="16"/>
      <c r="AF143" s="16"/>
    </row>
    <row r="144" spans="1:32" s="17" customFormat="1" ht="15.6" customHeight="1" x14ac:dyDescent="0.25">
      <c r="A144" s="11">
        <v>46290</v>
      </c>
      <c r="B144" s="23" t="s">
        <v>19</v>
      </c>
      <c r="C144" s="23">
        <v>125</v>
      </c>
      <c r="D144" s="23">
        <v>106</v>
      </c>
      <c r="E144" s="23">
        <v>91</v>
      </c>
      <c r="F144" s="23">
        <v>81</v>
      </c>
      <c r="G144" s="23">
        <v>57</v>
      </c>
      <c r="H144" s="23">
        <v>75</v>
      </c>
      <c r="I144" s="23">
        <f t="shared" si="46"/>
        <v>535</v>
      </c>
      <c r="J144" s="20"/>
      <c r="K144" s="20"/>
      <c r="L144" s="10"/>
      <c r="M144" s="24"/>
      <c r="W144" s="16"/>
      <c r="X144" s="16"/>
      <c r="AE144" s="16"/>
      <c r="AF144" s="16"/>
    </row>
    <row r="145" spans="1:32" s="17" customFormat="1" ht="15.6" customHeight="1" x14ac:dyDescent="0.25">
      <c r="A145" s="11">
        <v>46290</v>
      </c>
      <c r="B145" s="12" t="s">
        <v>20</v>
      </c>
      <c r="C145" s="14">
        <v>3</v>
      </c>
      <c r="D145" s="14">
        <v>1</v>
      </c>
      <c r="E145" s="14">
        <v>4</v>
      </c>
      <c r="F145" s="14">
        <v>0</v>
      </c>
      <c r="G145" s="14">
        <v>0</v>
      </c>
      <c r="H145" s="14">
        <v>0</v>
      </c>
      <c r="I145" s="12">
        <f t="shared" si="46"/>
        <v>8</v>
      </c>
      <c r="J145" s="20"/>
      <c r="K145" s="20"/>
      <c r="L145" s="25"/>
      <c r="U145" s="2"/>
      <c r="V145" s="2"/>
      <c r="W145" s="5"/>
      <c r="X145" s="5"/>
      <c r="AE145" s="16"/>
      <c r="AF145" s="16"/>
    </row>
    <row r="146" spans="1:32" s="17" customFormat="1" ht="15.6" customHeight="1" x14ac:dyDescent="0.25">
      <c r="A146" s="11">
        <v>46289</v>
      </c>
      <c r="B146" s="12" t="s">
        <v>15</v>
      </c>
      <c r="C146" s="13">
        <v>7</v>
      </c>
      <c r="D146" s="13">
        <v>4</v>
      </c>
      <c r="E146" s="13">
        <v>4</v>
      </c>
      <c r="F146" s="14">
        <v>2</v>
      </c>
      <c r="G146" s="14">
        <v>1</v>
      </c>
      <c r="H146" s="14">
        <v>4</v>
      </c>
      <c r="I146" s="12">
        <f t="shared" ref="I146:I151" si="48">SUM(C146:H146)</f>
        <v>22</v>
      </c>
      <c r="J146" s="15">
        <f>(I150)/(I146+I150+J148)</f>
        <v>0.93531468531468531</v>
      </c>
      <c r="K146" s="15">
        <f>(I150-I146-I147-J148)/(I150)</f>
        <v>0.87663551401869155</v>
      </c>
      <c r="L146" s="18"/>
      <c r="S146" s="16"/>
      <c r="T146" s="16"/>
    </row>
    <row r="147" spans="1:32" s="17" customFormat="1" ht="15.6" customHeight="1" x14ac:dyDescent="0.25">
      <c r="A147" s="11">
        <v>46289</v>
      </c>
      <c r="B147" s="12" t="s">
        <v>16</v>
      </c>
      <c r="C147" s="13">
        <v>7</v>
      </c>
      <c r="D147" s="13">
        <v>4</v>
      </c>
      <c r="E147" s="13">
        <v>4</v>
      </c>
      <c r="F147" s="14">
        <v>5</v>
      </c>
      <c r="G147" s="14">
        <v>4</v>
      </c>
      <c r="H147" s="14">
        <v>5</v>
      </c>
      <c r="I147" s="12">
        <f t="shared" si="48"/>
        <v>29</v>
      </c>
      <c r="L147" s="18"/>
      <c r="S147" s="16"/>
      <c r="T147" s="16"/>
    </row>
    <row r="148" spans="1:32" s="17" customFormat="1" ht="15.6" customHeight="1" x14ac:dyDescent="0.25">
      <c r="A148" s="11">
        <v>46289</v>
      </c>
      <c r="B148" s="12" t="s">
        <v>17</v>
      </c>
      <c r="C148" s="14">
        <v>18</v>
      </c>
      <c r="D148" s="14">
        <v>13</v>
      </c>
      <c r="E148" s="14">
        <v>25</v>
      </c>
      <c r="F148" s="14">
        <v>18</v>
      </c>
      <c r="G148" s="14">
        <v>23</v>
      </c>
      <c r="H148" s="14">
        <v>14</v>
      </c>
      <c r="I148" s="12">
        <f t="shared" si="48"/>
        <v>111</v>
      </c>
      <c r="J148" s="19">
        <v>15</v>
      </c>
      <c r="K148" s="20"/>
      <c r="L148" s="16"/>
      <c r="S148" s="16"/>
      <c r="T148" s="16"/>
    </row>
    <row r="149" spans="1:32" s="17" customFormat="1" ht="15.6" customHeight="1" x14ac:dyDescent="0.25">
      <c r="A149" s="11">
        <v>46289</v>
      </c>
      <c r="B149" s="12" t="s">
        <v>18</v>
      </c>
      <c r="C149" s="14">
        <f t="shared" ref="C149:H149" si="49">SUM(C150-C147-C146-C151)</f>
        <v>108</v>
      </c>
      <c r="D149" s="14">
        <f t="shared" si="49"/>
        <v>97</v>
      </c>
      <c r="E149" s="14">
        <f t="shared" si="49"/>
        <v>79</v>
      </c>
      <c r="F149" s="14">
        <f t="shared" si="49"/>
        <v>74</v>
      </c>
      <c r="G149" s="14">
        <f t="shared" si="49"/>
        <v>52</v>
      </c>
      <c r="H149" s="14">
        <f t="shared" si="49"/>
        <v>66</v>
      </c>
      <c r="I149" s="21">
        <f t="shared" si="48"/>
        <v>476</v>
      </c>
      <c r="J149" s="20"/>
      <c r="K149" s="20"/>
      <c r="L149" s="16"/>
      <c r="S149" s="16"/>
      <c r="T149" s="16"/>
    </row>
    <row r="150" spans="1:32" s="17" customFormat="1" ht="15.6" customHeight="1" x14ac:dyDescent="0.25">
      <c r="A150" s="11">
        <v>46289</v>
      </c>
      <c r="B150" s="23" t="s">
        <v>19</v>
      </c>
      <c r="C150" s="23">
        <v>125</v>
      </c>
      <c r="D150" s="23">
        <v>106</v>
      </c>
      <c r="E150" s="23">
        <v>91</v>
      </c>
      <c r="F150" s="23">
        <v>81</v>
      </c>
      <c r="G150" s="23">
        <v>57</v>
      </c>
      <c r="H150" s="23">
        <v>75</v>
      </c>
      <c r="I150" s="23">
        <f t="shared" si="48"/>
        <v>535</v>
      </c>
      <c r="J150" s="20"/>
      <c r="K150" s="20"/>
      <c r="L150" s="16"/>
      <c r="S150" s="16"/>
      <c r="T150" s="16"/>
    </row>
    <row r="151" spans="1:32" s="17" customFormat="1" ht="15.6" customHeight="1" x14ac:dyDescent="0.2">
      <c r="A151" s="11">
        <v>46289</v>
      </c>
      <c r="B151" s="12" t="s">
        <v>20</v>
      </c>
      <c r="C151" s="14">
        <v>3</v>
      </c>
      <c r="D151" s="14">
        <v>1</v>
      </c>
      <c r="E151" s="14">
        <v>4</v>
      </c>
      <c r="F151" s="14">
        <v>0</v>
      </c>
      <c r="G151" s="14">
        <v>0</v>
      </c>
      <c r="H151" s="14">
        <v>0</v>
      </c>
      <c r="I151" s="12">
        <f t="shared" si="48"/>
        <v>8</v>
      </c>
      <c r="J151" s="20"/>
      <c r="K151" s="20"/>
      <c r="L151" s="5"/>
      <c r="S151" s="16"/>
      <c r="T151" s="16"/>
    </row>
    <row r="152" spans="1:32" s="17" customFormat="1" ht="15.6" customHeight="1" x14ac:dyDescent="0.25">
      <c r="A152" s="11">
        <v>46288</v>
      </c>
      <c r="B152" s="12" t="s">
        <v>15</v>
      </c>
      <c r="C152" s="13">
        <v>7</v>
      </c>
      <c r="D152" s="13">
        <v>4</v>
      </c>
      <c r="E152" s="13">
        <v>4</v>
      </c>
      <c r="F152" s="14">
        <v>2</v>
      </c>
      <c r="G152" s="14">
        <v>1</v>
      </c>
      <c r="H152" s="14">
        <v>4</v>
      </c>
      <c r="I152" s="12">
        <f t="shared" ref="I152:I157" si="50">SUM(C152:H152)</f>
        <v>22</v>
      </c>
      <c r="J152" s="15">
        <f>(I156)/(I152+I156+J154)</f>
        <v>0.93531468531468531</v>
      </c>
      <c r="K152" s="15">
        <f>(I156-I152-I153-J154)/(I156)</f>
        <v>0.87289719626168227</v>
      </c>
      <c r="L152" s="18"/>
      <c r="S152" s="16"/>
      <c r="T152" s="16"/>
    </row>
    <row r="153" spans="1:32" s="17" customFormat="1" ht="15.6" customHeight="1" x14ac:dyDescent="0.25">
      <c r="A153" s="11">
        <v>46288</v>
      </c>
      <c r="B153" s="12" t="s">
        <v>16</v>
      </c>
      <c r="C153" s="13">
        <v>7</v>
      </c>
      <c r="D153" s="13">
        <v>6</v>
      </c>
      <c r="E153" s="13">
        <v>4</v>
      </c>
      <c r="F153" s="14">
        <v>5</v>
      </c>
      <c r="G153" s="14">
        <v>4</v>
      </c>
      <c r="H153" s="14">
        <v>5</v>
      </c>
      <c r="I153" s="12">
        <f t="shared" si="50"/>
        <v>31</v>
      </c>
      <c r="L153" s="18"/>
      <c r="S153" s="16"/>
      <c r="T153" s="16"/>
    </row>
    <row r="154" spans="1:32" s="17" customFormat="1" ht="15.6" customHeight="1" x14ac:dyDescent="0.25">
      <c r="A154" s="11">
        <v>46288</v>
      </c>
      <c r="B154" s="12" t="s">
        <v>17</v>
      </c>
      <c r="C154" s="14">
        <v>18</v>
      </c>
      <c r="D154" s="14">
        <v>13</v>
      </c>
      <c r="E154" s="14">
        <v>25</v>
      </c>
      <c r="F154" s="14">
        <v>18</v>
      </c>
      <c r="G154" s="14">
        <v>23</v>
      </c>
      <c r="H154" s="14">
        <v>14</v>
      </c>
      <c r="I154" s="12">
        <f t="shared" si="50"/>
        <v>111</v>
      </c>
      <c r="J154" s="19">
        <v>15</v>
      </c>
      <c r="K154" s="20"/>
      <c r="L154" s="16"/>
      <c r="S154" s="16"/>
      <c r="T154" s="16"/>
    </row>
    <row r="155" spans="1:32" s="17" customFormat="1" ht="15.6" customHeight="1" x14ac:dyDescent="0.25">
      <c r="A155" s="11">
        <v>46288</v>
      </c>
      <c r="B155" s="12" t="s">
        <v>18</v>
      </c>
      <c r="C155" s="14">
        <f t="shared" ref="C155:H155" si="51">SUM(C156-C153-C152-C157)</f>
        <v>108</v>
      </c>
      <c r="D155" s="14">
        <f t="shared" si="51"/>
        <v>95</v>
      </c>
      <c r="E155" s="14">
        <f t="shared" si="51"/>
        <v>79</v>
      </c>
      <c r="F155" s="14">
        <f t="shared" si="51"/>
        <v>74</v>
      </c>
      <c r="G155" s="14">
        <f t="shared" si="51"/>
        <v>52</v>
      </c>
      <c r="H155" s="14">
        <f t="shared" si="51"/>
        <v>66</v>
      </c>
      <c r="I155" s="21">
        <f t="shared" si="50"/>
        <v>474</v>
      </c>
      <c r="J155" s="20"/>
      <c r="K155" s="20"/>
      <c r="L155" s="16"/>
      <c r="S155" s="16"/>
      <c r="T155" s="16"/>
    </row>
    <row r="156" spans="1:32" s="17" customFormat="1" ht="15.6" customHeight="1" x14ac:dyDescent="0.25">
      <c r="A156" s="11">
        <v>46288</v>
      </c>
      <c r="B156" s="23" t="s">
        <v>19</v>
      </c>
      <c r="C156" s="23">
        <v>125</v>
      </c>
      <c r="D156" s="23">
        <v>106</v>
      </c>
      <c r="E156" s="23">
        <v>91</v>
      </c>
      <c r="F156" s="23">
        <v>81</v>
      </c>
      <c r="G156" s="23">
        <v>57</v>
      </c>
      <c r="H156" s="23">
        <v>75</v>
      </c>
      <c r="I156" s="23">
        <f t="shared" si="50"/>
        <v>535</v>
      </c>
      <c r="J156" s="20"/>
      <c r="K156" s="20"/>
      <c r="L156" s="16"/>
      <c r="S156" s="16"/>
      <c r="T156" s="16"/>
    </row>
    <row r="157" spans="1:32" s="17" customFormat="1" ht="15.6" customHeight="1" x14ac:dyDescent="0.2">
      <c r="A157" s="11">
        <v>46288</v>
      </c>
      <c r="B157" s="12" t="s">
        <v>20</v>
      </c>
      <c r="C157" s="14">
        <v>3</v>
      </c>
      <c r="D157" s="14">
        <v>1</v>
      </c>
      <c r="E157" s="14">
        <v>4</v>
      </c>
      <c r="F157" s="14">
        <v>0</v>
      </c>
      <c r="G157" s="14">
        <v>0</v>
      </c>
      <c r="H157" s="14">
        <v>0</v>
      </c>
      <c r="I157" s="12">
        <f t="shared" si="50"/>
        <v>8</v>
      </c>
      <c r="J157" s="20"/>
      <c r="K157" s="20"/>
      <c r="L157" s="5"/>
      <c r="S157" s="16"/>
      <c r="T157" s="16"/>
    </row>
    <row r="158" spans="1:32" s="17" customFormat="1" ht="15.6" customHeight="1" x14ac:dyDescent="0.25">
      <c r="A158" s="11">
        <v>46287</v>
      </c>
      <c r="B158" s="12" t="s">
        <v>15</v>
      </c>
      <c r="C158" s="13">
        <v>7</v>
      </c>
      <c r="D158" s="13">
        <v>5</v>
      </c>
      <c r="E158" s="13">
        <v>3</v>
      </c>
      <c r="F158" s="14">
        <v>1</v>
      </c>
      <c r="G158" s="14">
        <v>1</v>
      </c>
      <c r="H158" s="14">
        <v>5</v>
      </c>
      <c r="I158" s="12">
        <f t="shared" ref="I158:I163" si="52">SUM(C158:H158)</f>
        <v>22</v>
      </c>
      <c r="J158" s="15">
        <f>(I162)/(I158+I162+J160)</f>
        <v>0.93531468531468531</v>
      </c>
      <c r="K158" s="15">
        <f>(I162-I158-I159-J160)/(I162)</f>
        <v>0.87289719626168227</v>
      </c>
      <c r="L158" s="18"/>
      <c r="S158" s="16"/>
      <c r="T158" s="16"/>
    </row>
    <row r="159" spans="1:32" s="17" customFormat="1" ht="15.6" customHeight="1" x14ac:dyDescent="0.25">
      <c r="A159" s="11">
        <v>46287</v>
      </c>
      <c r="B159" s="12" t="s">
        <v>16</v>
      </c>
      <c r="C159" s="13">
        <v>5</v>
      </c>
      <c r="D159" s="13">
        <v>7</v>
      </c>
      <c r="E159" s="13">
        <v>7</v>
      </c>
      <c r="F159" s="14">
        <v>6</v>
      </c>
      <c r="G159" s="14">
        <v>2</v>
      </c>
      <c r="H159" s="14">
        <v>4</v>
      </c>
      <c r="I159" s="12">
        <f t="shared" si="52"/>
        <v>31</v>
      </c>
      <c r="L159" s="18"/>
      <c r="S159" s="16"/>
      <c r="T159" s="16"/>
    </row>
    <row r="160" spans="1:32" s="17" customFormat="1" ht="15.6" customHeight="1" x14ac:dyDescent="0.25">
      <c r="A160" s="11">
        <v>46287</v>
      </c>
      <c r="B160" s="12" t="s">
        <v>17</v>
      </c>
      <c r="C160" s="14">
        <v>18</v>
      </c>
      <c r="D160" s="14">
        <v>14</v>
      </c>
      <c r="E160" s="14">
        <v>25</v>
      </c>
      <c r="F160" s="14">
        <v>18</v>
      </c>
      <c r="G160" s="14">
        <v>23</v>
      </c>
      <c r="H160" s="14">
        <v>15</v>
      </c>
      <c r="I160" s="12">
        <f t="shared" si="52"/>
        <v>113</v>
      </c>
      <c r="J160" s="19">
        <v>15</v>
      </c>
      <c r="K160" s="20"/>
      <c r="L160" s="16"/>
      <c r="S160" s="16"/>
      <c r="T160" s="16"/>
    </row>
    <row r="161" spans="1:20" s="17" customFormat="1" ht="15.6" customHeight="1" x14ac:dyDescent="0.25">
      <c r="A161" s="11">
        <v>46287</v>
      </c>
      <c r="B161" s="12" t="s">
        <v>18</v>
      </c>
      <c r="C161" s="14">
        <f t="shared" ref="C161:H161" si="53">SUM(C162-C159-C158-C163)</f>
        <v>110</v>
      </c>
      <c r="D161" s="14">
        <f t="shared" si="53"/>
        <v>93</v>
      </c>
      <c r="E161" s="14">
        <f t="shared" si="53"/>
        <v>77</v>
      </c>
      <c r="F161" s="14">
        <f t="shared" si="53"/>
        <v>74</v>
      </c>
      <c r="G161" s="14">
        <f t="shared" si="53"/>
        <v>54</v>
      </c>
      <c r="H161" s="14">
        <f t="shared" si="53"/>
        <v>66</v>
      </c>
      <c r="I161" s="21">
        <f t="shared" si="52"/>
        <v>474</v>
      </c>
      <c r="J161" s="20"/>
      <c r="K161" s="20"/>
      <c r="L161" s="16"/>
      <c r="S161" s="16"/>
      <c r="T161" s="16"/>
    </row>
    <row r="162" spans="1:20" s="17" customFormat="1" ht="15.6" customHeight="1" x14ac:dyDescent="0.25">
      <c r="A162" s="11">
        <v>46287</v>
      </c>
      <c r="B162" s="23" t="s">
        <v>19</v>
      </c>
      <c r="C162" s="23">
        <v>125</v>
      </c>
      <c r="D162" s="23">
        <v>106</v>
      </c>
      <c r="E162" s="23">
        <v>91</v>
      </c>
      <c r="F162" s="23">
        <v>81</v>
      </c>
      <c r="G162" s="23">
        <v>57</v>
      </c>
      <c r="H162" s="23">
        <v>75</v>
      </c>
      <c r="I162" s="23">
        <f t="shared" si="52"/>
        <v>535</v>
      </c>
      <c r="J162" s="20"/>
      <c r="K162" s="20"/>
      <c r="L162" s="16"/>
      <c r="S162" s="16"/>
      <c r="T162" s="16"/>
    </row>
    <row r="163" spans="1:20" s="17" customFormat="1" ht="15.6" customHeight="1" x14ac:dyDescent="0.2">
      <c r="A163" s="11">
        <v>46287</v>
      </c>
      <c r="B163" s="12" t="s">
        <v>20</v>
      </c>
      <c r="C163" s="14">
        <v>3</v>
      </c>
      <c r="D163" s="14">
        <v>1</v>
      </c>
      <c r="E163" s="14">
        <v>4</v>
      </c>
      <c r="F163" s="14">
        <v>0</v>
      </c>
      <c r="G163" s="14">
        <v>0</v>
      </c>
      <c r="H163" s="14">
        <v>0</v>
      </c>
      <c r="I163" s="12">
        <f t="shared" si="52"/>
        <v>8</v>
      </c>
      <c r="J163" s="20"/>
      <c r="K163" s="20"/>
      <c r="L163" s="5"/>
      <c r="S163" s="16"/>
      <c r="T163" s="16"/>
    </row>
    <row r="164" spans="1:20" s="17" customFormat="1" ht="15.6" customHeight="1" x14ac:dyDescent="0.25">
      <c r="A164" s="11">
        <v>46286</v>
      </c>
      <c r="B164" s="12" t="s">
        <v>15</v>
      </c>
      <c r="C164" s="13">
        <v>9</v>
      </c>
      <c r="D164" s="13">
        <v>5</v>
      </c>
      <c r="E164" s="13">
        <v>4</v>
      </c>
      <c r="F164" s="14">
        <v>2</v>
      </c>
      <c r="G164" s="14">
        <v>1</v>
      </c>
      <c r="H164" s="14">
        <v>5</v>
      </c>
      <c r="I164" s="12">
        <f t="shared" ref="I164:I169" si="54">SUM(C164:H164)</f>
        <v>26</v>
      </c>
      <c r="J164" s="15">
        <f>(I168)/(I164+I168+J166)</f>
        <v>0.92881944444444442</v>
      </c>
      <c r="K164" s="15">
        <f>(I168-I164-I165-J166)/(I168)</f>
        <v>0.87289719626168227</v>
      </c>
      <c r="L164" s="18"/>
      <c r="S164" s="16"/>
      <c r="T164" s="16"/>
    </row>
    <row r="165" spans="1:20" s="17" customFormat="1" ht="15.6" customHeight="1" x14ac:dyDescent="0.25">
      <c r="A165" s="11">
        <v>46286</v>
      </c>
      <c r="B165" s="12" t="s">
        <v>16</v>
      </c>
      <c r="C165" s="13">
        <v>4</v>
      </c>
      <c r="D165" s="13">
        <v>7</v>
      </c>
      <c r="E165" s="13">
        <v>6</v>
      </c>
      <c r="F165" s="14">
        <v>5</v>
      </c>
      <c r="G165" s="14">
        <v>1</v>
      </c>
      <c r="H165" s="14">
        <v>4</v>
      </c>
      <c r="I165" s="12">
        <f t="shared" si="54"/>
        <v>27</v>
      </c>
      <c r="L165" s="18"/>
      <c r="S165" s="16"/>
      <c r="T165" s="16"/>
    </row>
    <row r="166" spans="1:20" s="17" customFormat="1" ht="15.6" customHeight="1" x14ac:dyDescent="0.25">
      <c r="A166" s="11">
        <v>46286</v>
      </c>
      <c r="B166" s="12" t="s">
        <v>17</v>
      </c>
      <c r="C166" s="14">
        <v>18</v>
      </c>
      <c r="D166" s="14">
        <v>14</v>
      </c>
      <c r="E166" s="14">
        <v>25</v>
      </c>
      <c r="F166" s="14">
        <v>18</v>
      </c>
      <c r="G166" s="14">
        <v>23</v>
      </c>
      <c r="H166" s="14">
        <v>15</v>
      </c>
      <c r="I166" s="12">
        <f t="shared" si="54"/>
        <v>113</v>
      </c>
      <c r="J166" s="19">
        <v>15</v>
      </c>
      <c r="K166" s="20"/>
      <c r="L166" s="16"/>
      <c r="S166" s="16"/>
      <c r="T166" s="16"/>
    </row>
    <row r="167" spans="1:20" s="17" customFormat="1" ht="15.6" customHeight="1" x14ac:dyDescent="0.25">
      <c r="A167" s="11">
        <v>46286</v>
      </c>
      <c r="B167" s="12" t="s">
        <v>18</v>
      </c>
      <c r="C167" s="14">
        <f t="shared" ref="C167:H167" si="55">SUM(C168-C165-C164-C169)</f>
        <v>109</v>
      </c>
      <c r="D167" s="14">
        <f t="shared" si="55"/>
        <v>93</v>
      </c>
      <c r="E167" s="14">
        <f t="shared" si="55"/>
        <v>77</v>
      </c>
      <c r="F167" s="14">
        <f t="shared" si="55"/>
        <v>74</v>
      </c>
      <c r="G167" s="14">
        <f t="shared" si="55"/>
        <v>55</v>
      </c>
      <c r="H167" s="14">
        <f t="shared" si="55"/>
        <v>66</v>
      </c>
      <c r="I167" s="21">
        <f t="shared" si="54"/>
        <v>474</v>
      </c>
      <c r="J167" s="20"/>
      <c r="K167" s="20"/>
      <c r="L167" s="16"/>
      <c r="S167" s="16"/>
      <c r="T167" s="16"/>
    </row>
    <row r="168" spans="1:20" s="17" customFormat="1" ht="15.6" customHeight="1" x14ac:dyDescent="0.25">
      <c r="A168" s="11">
        <v>46286</v>
      </c>
      <c r="B168" s="23" t="s">
        <v>19</v>
      </c>
      <c r="C168" s="23">
        <v>125</v>
      </c>
      <c r="D168" s="23">
        <v>106</v>
      </c>
      <c r="E168" s="23">
        <v>91</v>
      </c>
      <c r="F168" s="23">
        <v>81</v>
      </c>
      <c r="G168" s="23">
        <v>57</v>
      </c>
      <c r="H168" s="23">
        <v>75</v>
      </c>
      <c r="I168" s="23">
        <f t="shared" si="54"/>
        <v>535</v>
      </c>
      <c r="J168" s="20"/>
      <c r="K168" s="20"/>
      <c r="L168" s="16"/>
      <c r="S168" s="16"/>
      <c r="T168" s="16"/>
    </row>
    <row r="169" spans="1:20" s="17" customFormat="1" ht="15.6" customHeight="1" x14ac:dyDescent="0.2">
      <c r="A169" s="11">
        <v>46286</v>
      </c>
      <c r="B169" s="12" t="s">
        <v>20</v>
      </c>
      <c r="C169" s="14">
        <v>3</v>
      </c>
      <c r="D169" s="14">
        <v>1</v>
      </c>
      <c r="E169" s="14">
        <v>4</v>
      </c>
      <c r="F169" s="14">
        <v>0</v>
      </c>
      <c r="G169" s="14">
        <v>0</v>
      </c>
      <c r="H169" s="14">
        <v>0</v>
      </c>
      <c r="I169" s="12">
        <f t="shared" si="54"/>
        <v>8</v>
      </c>
      <c r="J169" s="20"/>
      <c r="K169" s="20"/>
      <c r="L169" s="5"/>
      <c r="S169" s="16"/>
      <c r="T169" s="16"/>
    </row>
    <row r="170" spans="1:20" s="17" customFormat="1" ht="15.6" customHeight="1" x14ac:dyDescent="0.25">
      <c r="A170" s="11">
        <v>46285</v>
      </c>
      <c r="B170" s="12" t="s">
        <v>15</v>
      </c>
      <c r="C170" s="13">
        <v>7</v>
      </c>
      <c r="D170" s="13">
        <v>3</v>
      </c>
      <c r="E170" s="13">
        <v>4</v>
      </c>
      <c r="F170" s="14">
        <v>2</v>
      </c>
      <c r="G170" s="14">
        <v>0</v>
      </c>
      <c r="H170" s="14">
        <v>5</v>
      </c>
      <c r="I170" s="12">
        <f t="shared" ref="I170:I175" si="56">SUM(C170:H170)</f>
        <v>21</v>
      </c>
      <c r="J170" s="15">
        <f>(I174)/(I170+I174+J172)</f>
        <v>0.9369527145359019</v>
      </c>
      <c r="K170" s="15">
        <f>(I174-I170-I171-J172)/(I174)</f>
        <v>0.87476635514018697</v>
      </c>
      <c r="L170" s="18"/>
      <c r="S170" s="16"/>
      <c r="T170" s="16"/>
    </row>
    <row r="171" spans="1:20" s="17" customFormat="1" ht="15.6" customHeight="1" x14ac:dyDescent="0.25">
      <c r="A171" s="11">
        <v>46285</v>
      </c>
      <c r="B171" s="12" t="s">
        <v>16</v>
      </c>
      <c r="C171" s="13">
        <v>5</v>
      </c>
      <c r="D171" s="13">
        <v>7</v>
      </c>
      <c r="E171" s="13">
        <v>7</v>
      </c>
      <c r="F171" s="14">
        <v>6</v>
      </c>
      <c r="G171" s="14">
        <v>2</v>
      </c>
      <c r="H171" s="14">
        <v>4</v>
      </c>
      <c r="I171" s="12">
        <f t="shared" si="56"/>
        <v>31</v>
      </c>
      <c r="L171" s="18"/>
      <c r="S171" s="16"/>
      <c r="T171" s="16"/>
    </row>
    <row r="172" spans="1:20" s="17" customFormat="1" ht="15.6" customHeight="1" x14ac:dyDescent="0.25">
      <c r="A172" s="11">
        <v>46285</v>
      </c>
      <c r="B172" s="12" t="s">
        <v>17</v>
      </c>
      <c r="C172" s="14">
        <v>18</v>
      </c>
      <c r="D172" s="14">
        <v>15</v>
      </c>
      <c r="E172" s="14">
        <v>25</v>
      </c>
      <c r="F172" s="14">
        <v>18</v>
      </c>
      <c r="G172" s="14">
        <v>23</v>
      </c>
      <c r="H172" s="14">
        <v>14</v>
      </c>
      <c r="I172" s="12">
        <f t="shared" si="56"/>
        <v>113</v>
      </c>
      <c r="J172" s="19">
        <v>15</v>
      </c>
      <c r="K172" s="20"/>
      <c r="L172" s="16"/>
      <c r="S172" s="16"/>
      <c r="T172" s="16"/>
    </row>
    <row r="173" spans="1:20" s="17" customFormat="1" ht="15.6" customHeight="1" x14ac:dyDescent="0.25">
      <c r="A173" s="11">
        <v>46285</v>
      </c>
      <c r="B173" s="12" t="s">
        <v>18</v>
      </c>
      <c r="C173" s="14">
        <f t="shared" ref="C173:H173" si="57">SUM(C174-C171-C170-C175)</f>
        <v>110</v>
      </c>
      <c r="D173" s="14">
        <f t="shared" si="57"/>
        <v>95</v>
      </c>
      <c r="E173" s="14">
        <f t="shared" si="57"/>
        <v>76</v>
      </c>
      <c r="F173" s="14">
        <f t="shared" si="57"/>
        <v>73</v>
      </c>
      <c r="G173" s="14">
        <f t="shared" si="57"/>
        <v>55</v>
      </c>
      <c r="H173" s="14">
        <f t="shared" si="57"/>
        <v>66</v>
      </c>
      <c r="I173" s="21">
        <f t="shared" si="56"/>
        <v>475</v>
      </c>
      <c r="J173" s="20"/>
      <c r="K173" s="20"/>
      <c r="L173" s="16"/>
      <c r="S173" s="16"/>
      <c r="T173" s="16"/>
    </row>
    <row r="174" spans="1:20" s="17" customFormat="1" ht="15.6" customHeight="1" x14ac:dyDescent="0.25">
      <c r="A174" s="11">
        <v>46285</v>
      </c>
      <c r="B174" s="23" t="s">
        <v>19</v>
      </c>
      <c r="C174" s="23">
        <v>125</v>
      </c>
      <c r="D174" s="23">
        <v>106</v>
      </c>
      <c r="E174" s="23">
        <v>91</v>
      </c>
      <c r="F174" s="23">
        <v>81</v>
      </c>
      <c r="G174" s="23">
        <v>57</v>
      </c>
      <c r="H174" s="23">
        <v>75</v>
      </c>
      <c r="I174" s="23">
        <f t="shared" si="56"/>
        <v>535</v>
      </c>
      <c r="J174" s="20"/>
      <c r="K174" s="20"/>
      <c r="L174" s="16"/>
      <c r="S174" s="16"/>
      <c r="T174" s="16"/>
    </row>
    <row r="175" spans="1:20" s="17" customFormat="1" ht="15.6" customHeight="1" x14ac:dyDescent="0.2">
      <c r="A175" s="11">
        <v>46285</v>
      </c>
      <c r="B175" s="12" t="s">
        <v>20</v>
      </c>
      <c r="C175" s="14">
        <v>3</v>
      </c>
      <c r="D175" s="14">
        <v>1</v>
      </c>
      <c r="E175" s="14">
        <v>4</v>
      </c>
      <c r="F175" s="14">
        <v>0</v>
      </c>
      <c r="G175" s="14">
        <v>0</v>
      </c>
      <c r="H175" s="14">
        <v>0</v>
      </c>
      <c r="I175" s="12">
        <f t="shared" si="56"/>
        <v>8</v>
      </c>
      <c r="J175" s="20"/>
      <c r="K175" s="20"/>
      <c r="L175" s="5"/>
      <c r="S175" s="16"/>
      <c r="T175" s="16"/>
    </row>
    <row r="176" spans="1:20" s="17" customFormat="1" ht="15.6" customHeight="1" x14ac:dyDescent="0.25">
      <c r="A176" s="11">
        <v>46284</v>
      </c>
      <c r="B176" s="12" t="s">
        <v>15</v>
      </c>
      <c r="C176" s="13">
        <v>7</v>
      </c>
      <c r="D176" s="13">
        <v>6</v>
      </c>
      <c r="E176" s="13">
        <v>5</v>
      </c>
      <c r="F176" s="14">
        <v>2</v>
      </c>
      <c r="G176" s="14">
        <v>0</v>
      </c>
      <c r="H176" s="14">
        <v>6</v>
      </c>
      <c r="I176" s="12">
        <f t="shared" ref="I176:I181" si="58">SUM(C176:H176)</f>
        <v>26</v>
      </c>
      <c r="J176" s="15">
        <f>(I180)/(I176+I180+J178)</f>
        <v>0.92881944444444442</v>
      </c>
      <c r="K176" s="15">
        <f>(I180-I176-I177-J178)/(I180)</f>
        <v>0.86728971962616819</v>
      </c>
      <c r="L176" s="18"/>
      <c r="S176" s="16"/>
      <c r="T176" s="16"/>
    </row>
    <row r="177" spans="1:20" s="17" customFormat="1" ht="15.6" customHeight="1" x14ac:dyDescent="0.25">
      <c r="A177" s="11">
        <v>46284</v>
      </c>
      <c r="B177" s="12" t="s">
        <v>16</v>
      </c>
      <c r="C177" s="13">
        <v>5</v>
      </c>
      <c r="D177" s="13">
        <v>7</v>
      </c>
      <c r="E177" s="13">
        <v>7</v>
      </c>
      <c r="F177" s="14">
        <v>6</v>
      </c>
      <c r="G177" s="14">
        <v>2</v>
      </c>
      <c r="H177" s="14">
        <v>3</v>
      </c>
      <c r="I177" s="12">
        <f t="shared" si="58"/>
        <v>30</v>
      </c>
      <c r="L177" s="18"/>
      <c r="S177" s="16"/>
      <c r="T177" s="16"/>
    </row>
    <row r="178" spans="1:20" s="17" customFormat="1" ht="15.6" customHeight="1" x14ac:dyDescent="0.25">
      <c r="A178" s="11">
        <v>46284</v>
      </c>
      <c r="B178" s="12" t="s">
        <v>17</v>
      </c>
      <c r="C178" s="14">
        <v>18</v>
      </c>
      <c r="D178" s="14">
        <v>15</v>
      </c>
      <c r="E178" s="14">
        <v>25</v>
      </c>
      <c r="F178" s="14">
        <v>18</v>
      </c>
      <c r="G178" s="14">
        <v>23</v>
      </c>
      <c r="H178" s="14">
        <v>14</v>
      </c>
      <c r="I178" s="12">
        <f t="shared" si="58"/>
        <v>113</v>
      </c>
      <c r="J178" s="19">
        <v>15</v>
      </c>
      <c r="K178" s="20"/>
      <c r="L178" s="16"/>
      <c r="S178" s="16"/>
      <c r="T178" s="16"/>
    </row>
    <row r="179" spans="1:20" s="17" customFormat="1" ht="15.6" customHeight="1" x14ac:dyDescent="0.25">
      <c r="A179" s="11">
        <v>46284</v>
      </c>
      <c r="B179" s="12" t="s">
        <v>18</v>
      </c>
      <c r="C179" s="14">
        <f t="shared" ref="C179:H179" si="59">SUM(C180-C177-C176-C181)</f>
        <v>110</v>
      </c>
      <c r="D179" s="14">
        <f t="shared" si="59"/>
        <v>92</v>
      </c>
      <c r="E179" s="14">
        <f t="shared" si="59"/>
        <v>75</v>
      </c>
      <c r="F179" s="14">
        <f t="shared" si="59"/>
        <v>73</v>
      </c>
      <c r="G179" s="14">
        <f t="shared" si="59"/>
        <v>55</v>
      </c>
      <c r="H179" s="14">
        <f t="shared" si="59"/>
        <v>66</v>
      </c>
      <c r="I179" s="21">
        <f t="shared" si="58"/>
        <v>471</v>
      </c>
      <c r="J179" s="20"/>
      <c r="K179" s="20"/>
      <c r="L179" s="16"/>
      <c r="S179" s="16"/>
      <c r="T179" s="16"/>
    </row>
    <row r="180" spans="1:20" s="17" customFormat="1" ht="15.6" customHeight="1" x14ac:dyDescent="0.25">
      <c r="A180" s="11">
        <v>46284</v>
      </c>
      <c r="B180" s="23" t="s">
        <v>19</v>
      </c>
      <c r="C180" s="23">
        <v>125</v>
      </c>
      <c r="D180" s="23">
        <v>106</v>
      </c>
      <c r="E180" s="23">
        <v>91</v>
      </c>
      <c r="F180" s="23">
        <v>81</v>
      </c>
      <c r="G180" s="23">
        <v>57</v>
      </c>
      <c r="H180" s="23">
        <v>75</v>
      </c>
      <c r="I180" s="23">
        <f t="shared" si="58"/>
        <v>535</v>
      </c>
      <c r="J180" s="20"/>
      <c r="K180" s="20"/>
      <c r="L180" s="16"/>
      <c r="S180" s="16"/>
      <c r="T180" s="16"/>
    </row>
    <row r="181" spans="1:20" s="17" customFormat="1" ht="15.6" customHeight="1" x14ac:dyDescent="0.2">
      <c r="A181" s="11">
        <v>46284</v>
      </c>
      <c r="B181" s="12" t="s">
        <v>20</v>
      </c>
      <c r="C181" s="14">
        <v>3</v>
      </c>
      <c r="D181" s="14">
        <v>1</v>
      </c>
      <c r="E181" s="14">
        <v>4</v>
      </c>
      <c r="F181" s="14">
        <v>0</v>
      </c>
      <c r="G181" s="14">
        <v>0</v>
      </c>
      <c r="H181" s="14">
        <v>0</v>
      </c>
      <c r="I181" s="12">
        <f t="shared" si="58"/>
        <v>8</v>
      </c>
      <c r="J181" s="20"/>
      <c r="K181" s="20"/>
      <c r="L181" s="5"/>
      <c r="S181" s="16"/>
      <c r="T181" s="16"/>
    </row>
    <row r="182" spans="1:20" s="17" customFormat="1" ht="15.6" customHeight="1" x14ac:dyDescent="0.25">
      <c r="A182" s="11">
        <v>46283</v>
      </c>
      <c r="B182" s="12" t="s">
        <v>15</v>
      </c>
      <c r="C182" s="13">
        <v>8</v>
      </c>
      <c r="D182" s="13">
        <v>6</v>
      </c>
      <c r="E182" s="13">
        <v>5</v>
      </c>
      <c r="F182" s="14">
        <v>2</v>
      </c>
      <c r="G182" s="14">
        <v>0</v>
      </c>
      <c r="H182" s="14">
        <v>6</v>
      </c>
      <c r="I182" s="12">
        <f t="shared" ref="I182:I187" si="60">SUM(C182:H182)</f>
        <v>27</v>
      </c>
      <c r="J182" s="15">
        <f>(I186)/(I182+I186+J184)</f>
        <v>0.92720970537261693</v>
      </c>
      <c r="K182" s="15">
        <f>(I186-I182-I183-J184)/(I186)</f>
        <v>0.8654205607476636</v>
      </c>
      <c r="L182" s="18"/>
      <c r="S182" s="16"/>
      <c r="T182" s="16"/>
    </row>
    <row r="183" spans="1:20" s="17" customFormat="1" ht="14.4" customHeight="1" x14ac:dyDescent="0.25">
      <c r="A183" s="11">
        <v>46283</v>
      </c>
      <c r="B183" s="12" t="s">
        <v>16</v>
      </c>
      <c r="C183" s="13">
        <v>5</v>
      </c>
      <c r="D183" s="13">
        <v>7</v>
      </c>
      <c r="E183" s="13">
        <v>7</v>
      </c>
      <c r="F183" s="14">
        <v>6</v>
      </c>
      <c r="G183" s="14">
        <v>2</v>
      </c>
      <c r="H183" s="14">
        <v>3</v>
      </c>
      <c r="I183" s="12">
        <f t="shared" si="60"/>
        <v>30</v>
      </c>
      <c r="L183" s="18"/>
      <c r="S183" s="16"/>
      <c r="T183" s="16"/>
    </row>
    <row r="184" spans="1:20" s="17" customFormat="1" ht="15" customHeight="1" x14ac:dyDescent="0.25">
      <c r="A184" s="11">
        <v>46283</v>
      </c>
      <c r="B184" s="12" t="s">
        <v>17</v>
      </c>
      <c r="C184" s="14">
        <v>18</v>
      </c>
      <c r="D184" s="14">
        <v>15</v>
      </c>
      <c r="E184" s="14">
        <v>25</v>
      </c>
      <c r="F184" s="14">
        <v>18</v>
      </c>
      <c r="G184" s="14">
        <v>23</v>
      </c>
      <c r="H184" s="14">
        <v>14</v>
      </c>
      <c r="I184" s="12">
        <f t="shared" si="60"/>
        <v>113</v>
      </c>
      <c r="J184" s="19">
        <v>15</v>
      </c>
      <c r="K184" s="20"/>
      <c r="L184" s="16"/>
      <c r="S184" s="16"/>
      <c r="T184" s="16"/>
    </row>
    <row r="185" spans="1:20" s="17" customFormat="1" ht="13.8" customHeight="1" x14ac:dyDescent="0.25">
      <c r="A185" s="11">
        <v>46283</v>
      </c>
      <c r="B185" s="12" t="s">
        <v>18</v>
      </c>
      <c r="C185" s="14">
        <f t="shared" ref="C185:H185" si="61">SUM(C186-C183-C182-C187)</f>
        <v>109</v>
      </c>
      <c r="D185" s="14">
        <f t="shared" si="61"/>
        <v>92</v>
      </c>
      <c r="E185" s="14">
        <f t="shared" si="61"/>
        <v>75</v>
      </c>
      <c r="F185" s="14">
        <f t="shared" si="61"/>
        <v>73</v>
      </c>
      <c r="G185" s="14">
        <f t="shared" si="61"/>
        <v>55</v>
      </c>
      <c r="H185" s="14">
        <f t="shared" si="61"/>
        <v>66</v>
      </c>
      <c r="I185" s="21">
        <f t="shared" si="60"/>
        <v>470</v>
      </c>
      <c r="J185" s="20"/>
      <c r="K185" s="20"/>
      <c r="L185" s="16"/>
      <c r="S185" s="16"/>
      <c r="T185" s="16"/>
    </row>
    <row r="186" spans="1:20" s="17" customFormat="1" ht="14.4" customHeight="1" x14ac:dyDescent="0.25">
      <c r="A186" s="11">
        <v>46283</v>
      </c>
      <c r="B186" s="23" t="s">
        <v>19</v>
      </c>
      <c r="C186" s="23">
        <v>125</v>
      </c>
      <c r="D186" s="23">
        <v>106</v>
      </c>
      <c r="E186" s="23">
        <v>91</v>
      </c>
      <c r="F186" s="23">
        <v>81</v>
      </c>
      <c r="G186" s="23">
        <v>57</v>
      </c>
      <c r="H186" s="23">
        <v>75</v>
      </c>
      <c r="I186" s="23">
        <f t="shared" si="60"/>
        <v>535</v>
      </c>
      <c r="J186" s="20"/>
      <c r="K186" s="20"/>
      <c r="L186" s="16"/>
      <c r="S186" s="16"/>
      <c r="T186" s="16"/>
    </row>
    <row r="187" spans="1:20" s="17" customFormat="1" ht="14.4" customHeight="1" x14ac:dyDescent="0.2">
      <c r="A187" s="11">
        <v>46283</v>
      </c>
      <c r="B187" s="12" t="s">
        <v>20</v>
      </c>
      <c r="C187" s="14">
        <v>3</v>
      </c>
      <c r="D187" s="14">
        <v>1</v>
      </c>
      <c r="E187" s="14">
        <v>4</v>
      </c>
      <c r="F187" s="14">
        <v>0</v>
      </c>
      <c r="G187" s="14">
        <v>0</v>
      </c>
      <c r="H187" s="14">
        <v>0</v>
      </c>
      <c r="I187" s="12">
        <f t="shared" si="60"/>
        <v>8</v>
      </c>
      <c r="J187" s="20"/>
      <c r="K187" s="20"/>
      <c r="L187" s="5"/>
      <c r="S187" s="16"/>
      <c r="T187" s="16"/>
    </row>
    <row r="188" spans="1:20" s="17" customFormat="1" ht="15.6" customHeight="1" x14ac:dyDescent="0.25">
      <c r="A188" s="11">
        <v>46282</v>
      </c>
      <c r="B188" s="12" t="s">
        <v>15</v>
      </c>
      <c r="C188" s="13">
        <v>9</v>
      </c>
      <c r="D188" s="13">
        <v>4</v>
      </c>
      <c r="E188" s="13">
        <v>4</v>
      </c>
      <c r="F188" s="14">
        <v>3</v>
      </c>
      <c r="G188" s="14">
        <v>0</v>
      </c>
      <c r="H188" s="14">
        <v>5</v>
      </c>
      <c r="I188" s="12">
        <f t="shared" ref="I188:I193" si="62">SUM(C188:H188)</f>
        <v>25</v>
      </c>
      <c r="J188" s="15">
        <f>(I192)/(I188+I192+J190)</f>
        <v>0.93043478260869561</v>
      </c>
      <c r="K188" s="15">
        <f>(I192-I188-I189-J190)/(I192)</f>
        <v>0.87850467289719625</v>
      </c>
      <c r="L188" s="18"/>
      <c r="S188" s="16"/>
      <c r="T188" s="16"/>
    </row>
    <row r="189" spans="1:20" s="17" customFormat="1" ht="14.4" customHeight="1" x14ac:dyDescent="0.25">
      <c r="A189" s="11">
        <v>46282</v>
      </c>
      <c r="B189" s="12" t="s">
        <v>16</v>
      </c>
      <c r="C189" s="13">
        <v>4</v>
      </c>
      <c r="D189" s="13">
        <v>6</v>
      </c>
      <c r="E189" s="13">
        <v>4</v>
      </c>
      <c r="F189" s="14">
        <v>5</v>
      </c>
      <c r="G189" s="14">
        <v>2</v>
      </c>
      <c r="H189" s="14">
        <v>4</v>
      </c>
      <c r="I189" s="12">
        <f t="shared" si="62"/>
        <v>25</v>
      </c>
      <c r="L189" s="18"/>
      <c r="S189" s="16"/>
      <c r="T189" s="16"/>
    </row>
    <row r="190" spans="1:20" s="17" customFormat="1" ht="15" customHeight="1" x14ac:dyDescent="0.25">
      <c r="A190" s="11">
        <v>46282</v>
      </c>
      <c r="B190" s="12" t="s">
        <v>17</v>
      </c>
      <c r="C190" s="14">
        <v>19</v>
      </c>
      <c r="D190" s="14">
        <v>14</v>
      </c>
      <c r="E190" s="14">
        <v>24</v>
      </c>
      <c r="F190" s="14">
        <v>18</v>
      </c>
      <c r="G190" s="14">
        <v>23</v>
      </c>
      <c r="H190" s="14">
        <v>14</v>
      </c>
      <c r="I190" s="12">
        <f t="shared" si="62"/>
        <v>112</v>
      </c>
      <c r="J190" s="19">
        <v>15</v>
      </c>
      <c r="K190" s="20"/>
      <c r="L190" s="16"/>
      <c r="S190" s="16"/>
      <c r="T190" s="16"/>
    </row>
    <row r="191" spans="1:20" s="17" customFormat="1" ht="13.8" customHeight="1" x14ac:dyDescent="0.25">
      <c r="A191" s="11">
        <v>46282</v>
      </c>
      <c r="B191" s="12" t="s">
        <v>18</v>
      </c>
      <c r="C191" s="14">
        <f t="shared" ref="C191:H191" si="63">SUM(C192-C189-C188-C193)</f>
        <v>109</v>
      </c>
      <c r="D191" s="14">
        <f t="shared" si="63"/>
        <v>95</v>
      </c>
      <c r="E191" s="14">
        <f t="shared" si="63"/>
        <v>79</v>
      </c>
      <c r="F191" s="14">
        <f t="shared" si="63"/>
        <v>73</v>
      </c>
      <c r="G191" s="14">
        <f t="shared" si="63"/>
        <v>55</v>
      </c>
      <c r="H191" s="14">
        <f t="shared" si="63"/>
        <v>66</v>
      </c>
      <c r="I191" s="21">
        <f t="shared" si="62"/>
        <v>477</v>
      </c>
      <c r="J191" s="20"/>
      <c r="K191" s="20"/>
      <c r="L191" s="16"/>
      <c r="S191" s="16"/>
      <c r="T191" s="16"/>
    </row>
    <row r="192" spans="1:20" s="17" customFormat="1" ht="14.4" customHeight="1" x14ac:dyDescent="0.25">
      <c r="A192" s="11">
        <v>46282</v>
      </c>
      <c r="B192" s="23" t="s">
        <v>19</v>
      </c>
      <c r="C192" s="23">
        <v>125</v>
      </c>
      <c r="D192" s="23">
        <v>106</v>
      </c>
      <c r="E192" s="23">
        <v>91</v>
      </c>
      <c r="F192" s="23">
        <v>81</v>
      </c>
      <c r="G192" s="23">
        <v>57</v>
      </c>
      <c r="H192" s="23">
        <v>75</v>
      </c>
      <c r="I192" s="23">
        <f t="shared" si="62"/>
        <v>535</v>
      </c>
      <c r="J192" s="20"/>
      <c r="K192" s="20"/>
      <c r="L192" s="16"/>
      <c r="S192" s="16"/>
      <c r="T192" s="16"/>
    </row>
    <row r="193" spans="1:20" s="17" customFormat="1" ht="14.4" customHeight="1" x14ac:dyDescent="0.2">
      <c r="A193" s="11">
        <v>46282</v>
      </c>
      <c r="B193" s="12" t="s">
        <v>20</v>
      </c>
      <c r="C193" s="14">
        <v>3</v>
      </c>
      <c r="D193" s="14">
        <v>1</v>
      </c>
      <c r="E193" s="14">
        <v>4</v>
      </c>
      <c r="F193" s="14">
        <v>0</v>
      </c>
      <c r="G193" s="14">
        <v>0</v>
      </c>
      <c r="H193" s="14">
        <v>0</v>
      </c>
      <c r="I193" s="12">
        <f t="shared" si="62"/>
        <v>8</v>
      </c>
      <c r="J193" s="20"/>
      <c r="K193" s="20"/>
      <c r="L193" s="5"/>
      <c r="S193" s="16"/>
      <c r="T193" s="16"/>
    </row>
    <row r="194" spans="1:20" s="17" customFormat="1" ht="15.6" customHeight="1" x14ac:dyDescent="0.25">
      <c r="A194" s="11">
        <v>46281</v>
      </c>
      <c r="B194" s="12" t="s">
        <v>15</v>
      </c>
      <c r="C194" s="13">
        <v>8</v>
      </c>
      <c r="D194" s="13">
        <v>4</v>
      </c>
      <c r="E194" s="13">
        <v>8</v>
      </c>
      <c r="F194" s="14">
        <v>1</v>
      </c>
      <c r="G194" s="14">
        <v>2</v>
      </c>
      <c r="H194" s="14">
        <v>6</v>
      </c>
      <c r="I194" s="12">
        <f t="shared" ref="I194:I199" si="64">SUM(C194:H194)</f>
        <v>29</v>
      </c>
      <c r="J194" s="15">
        <f>(I198)/(I194+I198+J196)</f>
        <v>0.92400690846286704</v>
      </c>
      <c r="K194" s="15">
        <f>(I198-I194-I195-J196)/(I198)</f>
        <v>0.8654205607476636</v>
      </c>
      <c r="L194" s="18"/>
      <c r="S194" s="16"/>
      <c r="T194" s="16"/>
    </row>
    <row r="195" spans="1:20" s="17" customFormat="1" ht="14.4" customHeight="1" x14ac:dyDescent="0.25">
      <c r="A195" s="11">
        <v>46281</v>
      </c>
      <c r="B195" s="12" t="s">
        <v>16</v>
      </c>
      <c r="C195" s="13">
        <v>6</v>
      </c>
      <c r="D195" s="13">
        <v>6</v>
      </c>
      <c r="E195" s="13">
        <v>5</v>
      </c>
      <c r="F195" s="14">
        <v>7</v>
      </c>
      <c r="G195" s="14">
        <v>1</v>
      </c>
      <c r="H195" s="14">
        <v>3</v>
      </c>
      <c r="I195" s="12">
        <f t="shared" si="64"/>
        <v>28</v>
      </c>
      <c r="L195" s="18"/>
      <c r="S195" s="16"/>
      <c r="T195" s="16"/>
    </row>
    <row r="196" spans="1:20" s="17" customFormat="1" ht="15" customHeight="1" x14ac:dyDescent="0.25">
      <c r="A196" s="11">
        <v>46281</v>
      </c>
      <c r="B196" s="12" t="s">
        <v>17</v>
      </c>
      <c r="C196" s="14">
        <v>20</v>
      </c>
      <c r="D196" s="14">
        <v>15</v>
      </c>
      <c r="E196" s="14">
        <v>24</v>
      </c>
      <c r="F196" s="14">
        <v>18</v>
      </c>
      <c r="G196" s="14">
        <v>23</v>
      </c>
      <c r="H196" s="14">
        <v>14</v>
      </c>
      <c r="I196" s="12">
        <f t="shared" si="64"/>
        <v>114</v>
      </c>
      <c r="J196" s="19">
        <v>15</v>
      </c>
      <c r="K196" s="20"/>
      <c r="L196" s="16"/>
      <c r="S196" s="16"/>
      <c r="T196" s="16"/>
    </row>
    <row r="197" spans="1:20" s="17" customFormat="1" ht="13.8" customHeight="1" x14ac:dyDescent="0.25">
      <c r="A197" s="11">
        <v>46281</v>
      </c>
      <c r="B197" s="12" t="s">
        <v>18</v>
      </c>
      <c r="C197" s="14">
        <f t="shared" ref="C197:H197" si="65">SUM(C198-C195-C194-C199)</f>
        <v>108</v>
      </c>
      <c r="D197" s="14">
        <f t="shared" si="65"/>
        <v>95</v>
      </c>
      <c r="E197" s="14">
        <f t="shared" si="65"/>
        <v>74</v>
      </c>
      <c r="F197" s="14">
        <f t="shared" si="65"/>
        <v>73</v>
      </c>
      <c r="G197" s="14">
        <f t="shared" si="65"/>
        <v>54</v>
      </c>
      <c r="H197" s="14">
        <f t="shared" si="65"/>
        <v>66</v>
      </c>
      <c r="I197" s="21">
        <f t="shared" si="64"/>
        <v>470</v>
      </c>
      <c r="J197" s="20"/>
      <c r="K197" s="20"/>
      <c r="L197" s="16"/>
      <c r="S197" s="16"/>
      <c r="T197" s="16"/>
    </row>
    <row r="198" spans="1:20" s="17" customFormat="1" ht="14.4" customHeight="1" x14ac:dyDescent="0.25">
      <c r="A198" s="11">
        <v>46281</v>
      </c>
      <c r="B198" s="23" t="s">
        <v>19</v>
      </c>
      <c r="C198" s="23">
        <v>125</v>
      </c>
      <c r="D198" s="23">
        <v>106</v>
      </c>
      <c r="E198" s="23">
        <v>91</v>
      </c>
      <c r="F198" s="23">
        <v>81</v>
      </c>
      <c r="G198" s="23">
        <v>57</v>
      </c>
      <c r="H198" s="23">
        <v>75</v>
      </c>
      <c r="I198" s="23">
        <f t="shared" si="64"/>
        <v>535</v>
      </c>
      <c r="J198" s="20"/>
      <c r="K198" s="20"/>
      <c r="L198" s="16"/>
      <c r="S198" s="16"/>
      <c r="T198" s="16"/>
    </row>
    <row r="199" spans="1:20" s="17" customFormat="1" ht="14.4" customHeight="1" x14ac:dyDescent="0.2">
      <c r="A199" s="11">
        <v>46281</v>
      </c>
      <c r="B199" s="12" t="s">
        <v>20</v>
      </c>
      <c r="C199" s="14">
        <v>3</v>
      </c>
      <c r="D199" s="14">
        <v>1</v>
      </c>
      <c r="E199" s="14">
        <v>4</v>
      </c>
      <c r="F199" s="14">
        <v>0</v>
      </c>
      <c r="G199" s="14">
        <v>0</v>
      </c>
      <c r="H199" s="14">
        <v>0</v>
      </c>
      <c r="I199" s="12">
        <f t="shared" si="64"/>
        <v>8</v>
      </c>
      <c r="J199" s="20"/>
      <c r="K199" s="20"/>
      <c r="L199" s="5"/>
      <c r="S199" s="16"/>
      <c r="T199" s="16"/>
    </row>
    <row r="200" spans="1:20" s="17" customFormat="1" ht="15.6" customHeight="1" x14ac:dyDescent="0.25">
      <c r="A200" s="11">
        <v>46280</v>
      </c>
      <c r="B200" s="12" t="s">
        <v>15</v>
      </c>
      <c r="C200" s="13">
        <v>13</v>
      </c>
      <c r="D200" s="13">
        <v>5</v>
      </c>
      <c r="E200" s="13">
        <v>4</v>
      </c>
      <c r="F200" s="14">
        <v>0</v>
      </c>
      <c r="G200" s="14">
        <v>1</v>
      </c>
      <c r="H200" s="14">
        <v>6</v>
      </c>
      <c r="I200" s="12">
        <f t="shared" ref="I200:I205" si="66">SUM(C200:H200)</f>
        <v>29</v>
      </c>
      <c r="J200" s="15">
        <f>(I204)/(I200+I204+J202)</f>
        <v>0.92400690846286704</v>
      </c>
      <c r="K200" s="15">
        <f>(I204-I200-I201-J202)/(I204)</f>
        <v>0.85607476635514024</v>
      </c>
      <c r="L200" s="18"/>
      <c r="S200" s="16"/>
      <c r="T200" s="16"/>
    </row>
    <row r="201" spans="1:20" s="17" customFormat="1" ht="14.4" customHeight="1" x14ac:dyDescent="0.25">
      <c r="A201" s="11">
        <v>46280</v>
      </c>
      <c r="B201" s="12" t="s">
        <v>16</v>
      </c>
      <c r="C201" s="13">
        <v>10</v>
      </c>
      <c r="D201" s="13">
        <v>6</v>
      </c>
      <c r="E201" s="13">
        <v>7</v>
      </c>
      <c r="F201" s="14">
        <v>6</v>
      </c>
      <c r="G201" s="14">
        <v>0</v>
      </c>
      <c r="H201" s="14">
        <v>4</v>
      </c>
      <c r="I201" s="12">
        <f t="shared" si="66"/>
        <v>33</v>
      </c>
      <c r="L201" s="18"/>
      <c r="S201" s="16"/>
      <c r="T201" s="16"/>
    </row>
    <row r="202" spans="1:20" s="17" customFormat="1" ht="15" customHeight="1" x14ac:dyDescent="0.25">
      <c r="A202" s="11">
        <v>46280</v>
      </c>
      <c r="B202" s="12" t="s">
        <v>17</v>
      </c>
      <c r="C202" s="14">
        <v>19</v>
      </c>
      <c r="D202" s="14">
        <v>15</v>
      </c>
      <c r="E202" s="14">
        <v>25</v>
      </c>
      <c r="F202" s="14">
        <v>18</v>
      </c>
      <c r="G202" s="14">
        <v>23</v>
      </c>
      <c r="H202" s="14">
        <v>14</v>
      </c>
      <c r="I202" s="12">
        <f t="shared" si="66"/>
        <v>114</v>
      </c>
      <c r="J202" s="19">
        <v>15</v>
      </c>
      <c r="K202" s="20"/>
      <c r="L202" s="16"/>
      <c r="S202" s="16"/>
      <c r="T202" s="16"/>
    </row>
    <row r="203" spans="1:20" s="17" customFormat="1" ht="13.8" customHeight="1" x14ac:dyDescent="0.25">
      <c r="A203" s="11">
        <v>46280</v>
      </c>
      <c r="B203" s="12" t="s">
        <v>18</v>
      </c>
      <c r="C203" s="14">
        <f t="shared" ref="C203:H203" si="67">SUM(C204-C201-C200-C205)</f>
        <v>99</v>
      </c>
      <c r="D203" s="14">
        <f t="shared" si="67"/>
        <v>94</v>
      </c>
      <c r="E203" s="14">
        <f t="shared" si="67"/>
        <v>76</v>
      </c>
      <c r="F203" s="14">
        <f t="shared" si="67"/>
        <v>75</v>
      </c>
      <c r="G203" s="14">
        <f t="shared" si="67"/>
        <v>56</v>
      </c>
      <c r="H203" s="14">
        <f t="shared" si="67"/>
        <v>65</v>
      </c>
      <c r="I203" s="21">
        <f t="shared" si="66"/>
        <v>465</v>
      </c>
      <c r="J203" s="20"/>
      <c r="K203" s="20"/>
      <c r="L203" s="16"/>
      <c r="S203" s="16"/>
      <c r="T203" s="16"/>
    </row>
    <row r="204" spans="1:20" s="17" customFormat="1" ht="14.4" customHeight="1" x14ac:dyDescent="0.25">
      <c r="A204" s="11">
        <v>46280</v>
      </c>
      <c r="B204" s="23" t="s">
        <v>19</v>
      </c>
      <c r="C204" s="23">
        <v>125</v>
      </c>
      <c r="D204" s="23">
        <v>106</v>
      </c>
      <c r="E204" s="23">
        <v>91</v>
      </c>
      <c r="F204" s="23">
        <v>81</v>
      </c>
      <c r="G204" s="23">
        <v>57</v>
      </c>
      <c r="H204" s="23">
        <v>75</v>
      </c>
      <c r="I204" s="23">
        <f t="shared" si="66"/>
        <v>535</v>
      </c>
      <c r="J204" s="20"/>
      <c r="K204" s="20"/>
      <c r="L204" s="16"/>
      <c r="S204" s="16"/>
      <c r="T204" s="16"/>
    </row>
    <row r="205" spans="1:20" s="17" customFormat="1" ht="14.4" customHeight="1" x14ac:dyDescent="0.2">
      <c r="A205" s="11">
        <v>46280</v>
      </c>
      <c r="B205" s="12" t="s">
        <v>20</v>
      </c>
      <c r="C205" s="14">
        <v>3</v>
      </c>
      <c r="D205" s="14">
        <v>1</v>
      </c>
      <c r="E205" s="14">
        <v>4</v>
      </c>
      <c r="F205" s="14">
        <v>0</v>
      </c>
      <c r="G205" s="14">
        <v>0</v>
      </c>
      <c r="H205" s="14">
        <v>0</v>
      </c>
      <c r="I205" s="12">
        <f t="shared" si="66"/>
        <v>8</v>
      </c>
      <c r="J205" s="20"/>
      <c r="K205" s="20"/>
      <c r="L205" s="5"/>
      <c r="S205" s="16"/>
      <c r="T205" s="16"/>
    </row>
    <row r="206" spans="1:20" s="17" customFormat="1" ht="15.6" customHeight="1" x14ac:dyDescent="0.25">
      <c r="A206" s="11">
        <v>46279</v>
      </c>
      <c r="B206" s="12" t="s">
        <v>15</v>
      </c>
      <c r="C206" s="13">
        <v>11</v>
      </c>
      <c r="D206" s="13">
        <v>5</v>
      </c>
      <c r="E206" s="13">
        <v>4</v>
      </c>
      <c r="F206" s="14">
        <v>1</v>
      </c>
      <c r="G206" s="14">
        <v>2</v>
      </c>
      <c r="H206" s="14">
        <v>4</v>
      </c>
      <c r="I206" s="12">
        <f t="shared" ref="I206:I211" si="68">SUM(C206:H206)</f>
        <v>27</v>
      </c>
      <c r="J206" s="15">
        <f>(I210)/(I206+I210+J208)</f>
        <v>0.92720970537261693</v>
      </c>
      <c r="K206" s="15">
        <f>(I210-I206-I207-J208)/(I210)</f>
        <v>0.86168224299065421</v>
      </c>
      <c r="L206" s="18"/>
      <c r="S206" s="16"/>
      <c r="T206" s="16"/>
    </row>
    <row r="207" spans="1:20" s="17" customFormat="1" ht="14.4" customHeight="1" x14ac:dyDescent="0.25">
      <c r="A207" s="11">
        <v>46279</v>
      </c>
      <c r="B207" s="12" t="s">
        <v>16</v>
      </c>
      <c r="C207" s="13">
        <v>9</v>
      </c>
      <c r="D207" s="13">
        <v>6</v>
      </c>
      <c r="E207" s="13">
        <v>7</v>
      </c>
      <c r="F207" s="14">
        <v>5</v>
      </c>
      <c r="G207" s="14">
        <v>0</v>
      </c>
      <c r="H207" s="14">
        <v>5</v>
      </c>
      <c r="I207" s="12">
        <f t="shared" si="68"/>
        <v>32</v>
      </c>
      <c r="L207" s="18"/>
      <c r="S207" s="16"/>
      <c r="T207" s="16"/>
    </row>
    <row r="208" spans="1:20" s="17" customFormat="1" ht="15" customHeight="1" x14ac:dyDescent="0.25">
      <c r="A208" s="11">
        <v>46279</v>
      </c>
      <c r="B208" s="12" t="s">
        <v>17</v>
      </c>
      <c r="C208" s="14">
        <v>19</v>
      </c>
      <c r="D208" s="14">
        <v>15</v>
      </c>
      <c r="E208" s="14">
        <v>25</v>
      </c>
      <c r="F208" s="14">
        <v>18</v>
      </c>
      <c r="G208" s="14">
        <v>23</v>
      </c>
      <c r="H208" s="14">
        <v>14</v>
      </c>
      <c r="I208" s="12">
        <f t="shared" si="68"/>
        <v>114</v>
      </c>
      <c r="J208" s="19">
        <v>15</v>
      </c>
      <c r="K208" s="20"/>
      <c r="L208" s="16"/>
      <c r="S208" s="16"/>
      <c r="T208" s="16"/>
    </row>
    <row r="209" spans="1:20" s="17" customFormat="1" ht="13.8" customHeight="1" x14ac:dyDescent="0.25">
      <c r="A209" s="11">
        <v>46279</v>
      </c>
      <c r="B209" s="12" t="s">
        <v>18</v>
      </c>
      <c r="C209" s="14">
        <f t="shared" ref="C209:H209" si="69">SUM(C210-C207-C206-C211)</f>
        <v>100</v>
      </c>
      <c r="D209" s="14">
        <f t="shared" si="69"/>
        <v>94</v>
      </c>
      <c r="E209" s="14">
        <f t="shared" si="69"/>
        <v>76</v>
      </c>
      <c r="F209" s="14">
        <f t="shared" si="69"/>
        <v>75</v>
      </c>
      <c r="G209" s="14">
        <f t="shared" si="69"/>
        <v>55</v>
      </c>
      <c r="H209" s="14">
        <f t="shared" si="69"/>
        <v>65</v>
      </c>
      <c r="I209" s="21">
        <f t="shared" si="68"/>
        <v>465</v>
      </c>
      <c r="J209" s="20"/>
      <c r="K209" s="20"/>
      <c r="L209" s="16"/>
      <c r="S209" s="16"/>
      <c r="T209" s="16"/>
    </row>
    <row r="210" spans="1:20" s="17" customFormat="1" ht="14.4" customHeight="1" x14ac:dyDescent="0.25">
      <c r="A210" s="11">
        <v>46279</v>
      </c>
      <c r="B210" s="23" t="s">
        <v>19</v>
      </c>
      <c r="C210" s="23">
        <v>125</v>
      </c>
      <c r="D210" s="23">
        <v>106</v>
      </c>
      <c r="E210" s="23">
        <v>91</v>
      </c>
      <c r="F210" s="23">
        <v>81</v>
      </c>
      <c r="G210" s="23">
        <v>57</v>
      </c>
      <c r="H210" s="23">
        <v>75</v>
      </c>
      <c r="I210" s="23">
        <f t="shared" si="68"/>
        <v>535</v>
      </c>
      <c r="J210" s="20"/>
      <c r="K210" s="20"/>
      <c r="L210" s="16"/>
      <c r="S210" s="16"/>
      <c r="T210" s="16"/>
    </row>
    <row r="211" spans="1:20" s="17" customFormat="1" ht="14.4" customHeight="1" x14ac:dyDescent="0.2">
      <c r="A211" s="11">
        <v>46279</v>
      </c>
      <c r="B211" s="12" t="s">
        <v>20</v>
      </c>
      <c r="C211" s="14">
        <v>5</v>
      </c>
      <c r="D211" s="14">
        <v>1</v>
      </c>
      <c r="E211" s="14">
        <v>4</v>
      </c>
      <c r="F211" s="14">
        <v>0</v>
      </c>
      <c r="G211" s="14">
        <v>0</v>
      </c>
      <c r="H211" s="14">
        <v>1</v>
      </c>
      <c r="I211" s="12">
        <f t="shared" si="68"/>
        <v>11</v>
      </c>
      <c r="J211" s="20"/>
      <c r="K211" s="20"/>
      <c r="L211" s="5"/>
      <c r="S211" s="16"/>
      <c r="T211" s="16"/>
    </row>
    <row r="212" spans="1:20" s="17" customFormat="1" ht="15.6" customHeight="1" x14ac:dyDescent="0.25">
      <c r="A212" s="11">
        <v>46278</v>
      </c>
      <c r="B212" s="12" t="s">
        <v>15</v>
      </c>
      <c r="C212" s="13">
        <v>10</v>
      </c>
      <c r="D212" s="13">
        <v>5</v>
      </c>
      <c r="E212" s="13">
        <v>3</v>
      </c>
      <c r="F212" s="14">
        <v>4</v>
      </c>
      <c r="G212" s="14">
        <v>2</v>
      </c>
      <c r="H212" s="14">
        <v>5</v>
      </c>
      <c r="I212" s="12">
        <f t="shared" ref="I212:I217" si="70">SUM(C212:H212)</f>
        <v>29</v>
      </c>
      <c r="J212" s="15">
        <f>(I216)/(I212+I216+J214)</f>
        <v>0.92400690846286704</v>
      </c>
      <c r="K212" s="15">
        <f>(I216-I212-I213-J214)/(I216)</f>
        <v>0.85420560747663554</v>
      </c>
      <c r="L212" s="18"/>
      <c r="S212" s="16"/>
      <c r="T212" s="16"/>
    </row>
    <row r="213" spans="1:20" s="17" customFormat="1" ht="14.4" customHeight="1" x14ac:dyDescent="0.25">
      <c r="A213" s="11">
        <v>46278</v>
      </c>
      <c r="B213" s="12" t="s">
        <v>16</v>
      </c>
      <c r="C213" s="13">
        <v>11</v>
      </c>
      <c r="D213" s="13">
        <v>9</v>
      </c>
      <c r="E213" s="13">
        <v>7</v>
      </c>
      <c r="F213" s="14">
        <v>2</v>
      </c>
      <c r="G213" s="14">
        <v>0</v>
      </c>
      <c r="H213" s="14">
        <v>5</v>
      </c>
      <c r="I213" s="12">
        <f t="shared" si="70"/>
        <v>34</v>
      </c>
      <c r="L213" s="18"/>
      <c r="S213" s="16"/>
      <c r="T213" s="16"/>
    </row>
    <row r="214" spans="1:20" s="17" customFormat="1" ht="15" customHeight="1" x14ac:dyDescent="0.25">
      <c r="A214" s="11">
        <v>46278</v>
      </c>
      <c r="B214" s="12" t="s">
        <v>17</v>
      </c>
      <c r="C214" s="14">
        <v>19</v>
      </c>
      <c r="D214" s="14">
        <v>15</v>
      </c>
      <c r="E214" s="14">
        <v>25</v>
      </c>
      <c r="F214" s="14">
        <v>18</v>
      </c>
      <c r="G214" s="14">
        <v>23</v>
      </c>
      <c r="H214" s="14">
        <v>14</v>
      </c>
      <c r="I214" s="12">
        <f t="shared" si="70"/>
        <v>114</v>
      </c>
      <c r="J214" s="19">
        <v>15</v>
      </c>
      <c r="K214" s="20"/>
      <c r="L214" s="16"/>
      <c r="S214" s="16"/>
      <c r="T214" s="16"/>
    </row>
    <row r="215" spans="1:20" s="17" customFormat="1" ht="13.8" customHeight="1" x14ac:dyDescent="0.25">
      <c r="A215" s="11">
        <v>46278</v>
      </c>
      <c r="B215" s="12" t="s">
        <v>18</v>
      </c>
      <c r="C215" s="14">
        <f t="shared" ref="C215:H215" si="71">SUM(C216-C213-C212-C217)</f>
        <v>100</v>
      </c>
      <c r="D215" s="14">
        <f t="shared" si="71"/>
        <v>91</v>
      </c>
      <c r="E215" s="14">
        <f t="shared" si="71"/>
        <v>77</v>
      </c>
      <c r="F215" s="14">
        <f t="shared" si="71"/>
        <v>75</v>
      </c>
      <c r="G215" s="14">
        <f t="shared" si="71"/>
        <v>55</v>
      </c>
      <c r="H215" s="14">
        <f t="shared" si="71"/>
        <v>65</v>
      </c>
      <c r="I215" s="21">
        <f t="shared" si="70"/>
        <v>463</v>
      </c>
      <c r="J215" s="20"/>
      <c r="K215" s="20"/>
      <c r="L215" s="16"/>
      <c r="S215" s="16"/>
      <c r="T215" s="16"/>
    </row>
    <row r="216" spans="1:20" s="17" customFormat="1" ht="14.4" customHeight="1" x14ac:dyDescent="0.25">
      <c r="A216" s="11">
        <v>46278</v>
      </c>
      <c r="B216" s="23" t="s">
        <v>19</v>
      </c>
      <c r="C216" s="23">
        <v>125</v>
      </c>
      <c r="D216" s="23">
        <v>106</v>
      </c>
      <c r="E216" s="23">
        <v>91</v>
      </c>
      <c r="F216" s="23">
        <v>81</v>
      </c>
      <c r="G216" s="23">
        <v>57</v>
      </c>
      <c r="H216" s="23">
        <v>75</v>
      </c>
      <c r="I216" s="23">
        <f t="shared" si="70"/>
        <v>535</v>
      </c>
      <c r="J216" s="20"/>
      <c r="K216" s="20"/>
      <c r="L216" s="16"/>
      <c r="S216" s="16"/>
      <c r="T216" s="16"/>
    </row>
    <row r="217" spans="1:20" s="17" customFormat="1" ht="14.4" customHeight="1" x14ac:dyDescent="0.2">
      <c r="A217" s="11">
        <v>46278</v>
      </c>
      <c r="B217" s="12" t="s">
        <v>20</v>
      </c>
      <c r="C217" s="14">
        <v>4</v>
      </c>
      <c r="D217" s="14">
        <v>1</v>
      </c>
      <c r="E217" s="14">
        <v>4</v>
      </c>
      <c r="F217" s="14">
        <v>0</v>
      </c>
      <c r="G217" s="14">
        <v>0</v>
      </c>
      <c r="H217" s="14">
        <v>0</v>
      </c>
      <c r="I217" s="12">
        <f t="shared" si="70"/>
        <v>9</v>
      </c>
      <c r="J217" s="20"/>
      <c r="K217" s="20"/>
      <c r="L217" s="5"/>
      <c r="S217" s="16"/>
      <c r="T217" s="16"/>
    </row>
    <row r="218" spans="1:20" s="17" customFormat="1" ht="15.6" customHeight="1" x14ac:dyDescent="0.25">
      <c r="A218" s="11">
        <v>46277</v>
      </c>
      <c r="B218" s="12" t="s">
        <v>15</v>
      </c>
      <c r="C218" s="13">
        <v>10</v>
      </c>
      <c r="D218" s="13">
        <v>6</v>
      </c>
      <c r="E218" s="13">
        <v>5</v>
      </c>
      <c r="F218" s="14">
        <v>2</v>
      </c>
      <c r="G218" s="14">
        <v>0</v>
      </c>
      <c r="H218" s="14">
        <v>6</v>
      </c>
      <c r="I218" s="12">
        <f t="shared" ref="I218:I223" si="72">SUM(C218:H218)</f>
        <v>29</v>
      </c>
      <c r="J218" s="15">
        <f>(I222)/(I218+I222+J220)</f>
        <v>0.9256055363321799</v>
      </c>
      <c r="K218" s="15">
        <f>(I222-I218-I219-J220)/(I222)</f>
        <v>0.84672897196261687</v>
      </c>
      <c r="L218" s="18"/>
      <c r="S218" s="16"/>
      <c r="T218" s="16"/>
    </row>
    <row r="219" spans="1:20" s="17" customFormat="1" ht="14.4" customHeight="1" x14ac:dyDescent="0.25">
      <c r="A219" s="11">
        <v>46277</v>
      </c>
      <c r="B219" s="12" t="s">
        <v>16</v>
      </c>
      <c r="C219" s="13">
        <v>11</v>
      </c>
      <c r="D219" s="13">
        <v>9</v>
      </c>
      <c r="E219" s="13">
        <v>6</v>
      </c>
      <c r="F219" s="14">
        <v>5</v>
      </c>
      <c r="G219" s="14">
        <v>2</v>
      </c>
      <c r="H219" s="14">
        <v>6</v>
      </c>
      <c r="I219" s="12">
        <f t="shared" si="72"/>
        <v>39</v>
      </c>
      <c r="L219" s="18"/>
      <c r="S219" s="16"/>
      <c r="T219" s="16"/>
    </row>
    <row r="220" spans="1:20" s="17" customFormat="1" ht="15" customHeight="1" x14ac:dyDescent="0.25">
      <c r="A220" s="11">
        <v>46277</v>
      </c>
      <c r="B220" s="12" t="s">
        <v>17</v>
      </c>
      <c r="C220" s="14">
        <v>19</v>
      </c>
      <c r="D220" s="14">
        <v>15</v>
      </c>
      <c r="E220" s="14">
        <v>25</v>
      </c>
      <c r="F220" s="14">
        <v>18</v>
      </c>
      <c r="G220" s="14">
        <v>23</v>
      </c>
      <c r="H220" s="14">
        <v>14</v>
      </c>
      <c r="I220" s="12">
        <f t="shared" si="72"/>
        <v>114</v>
      </c>
      <c r="J220" s="19">
        <v>14</v>
      </c>
      <c r="K220" s="20"/>
      <c r="L220" s="16"/>
      <c r="S220" s="16"/>
      <c r="T220" s="16"/>
    </row>
    <row r="221" spans="1:20" s="17" customFormat="1" ht="13.8" customHeight="1" x14ac:dyDescent="0.25">
      <c r="A221" s="11">
        <v>46277</v>
      </c>
      <c r="B221" s="12" t="s">
        <v>18</v>
      </c>
      <c r="C221" s="14">
        <f t="shared" ref="C221:H221" si="73">SUM(C222-C219-C218-C223)</f>
        <v>100</v>
      </c>
      <c r="D221" s="14">
        <f t="shared" si="73"/>
        <v>90</v>
      </c>
      <c r="E221" s="14">
        <f t="shared" si="73"/>
        <v>76</v>
      </c>
      <c r="F221" s="14">
        <f t="shared" si="73"/>
        <v>74</v>
      </c>
      <c r="G221" s="14">
        <f t="shared" si="73"/>
        <v>55</v>
      </c>
      <c r="H221" s="14">
        <f t="shared" si="73"/>
        <v>63</v>
      </c>
      <c r="I221" s="21">
        <f t="shared" si="72"/>
        <v>458</v>
      </c>
      <c r="J221" s="20"/>
      <c r="K221" s="20"/>
      <c r="L221" s="16"/>
      <c r="S221" s="16"/>
      <c r="T221" s="16"/>
    </row>
    <row r="222" spans="1:20" s="17" customFormat="1" ht="14.4" customHeight="1" x14ac:dyDescent="0.25">
      <c r="A222" s="11">
        <v>46277</v>
      </c>
      <c r="B222" s="23" t="s">
        <v>19</v>
      </c>
      <c r="C222" s="23">
        <v>125</v>
      </c>
      <c r="D222" s="23">
        <v>106</v>
      </c>
      <c r="E222" s="23">
        <v>91</v>
      </c>
      <c r="F222" s="23">
        <v>81</v>
      </c>
      <c r="G222" s="23">
        <v>57</v>
      </c>
      <c r="H222" s="23">
        <v>75</v>
      </c>
      <c r="I222" s="23">
        <f t="shared" si="72"/>
        <v>535</v>
      </c>
      <c r="J222" s="20"/>
      <c r="K222" s="20"/>
      <c r="L222" s="16"/>
      <c r="S222" s="16"/>
      <c r="T222" s="16"/>
    </row>
    <row r="223" spans="1:20" s="17" customFormat="1" ht="14.4" customHeight="1" x14ac:dyDescent="0.2">
      <c r="A223" s="11">
        <v>46277</v>
      </c>
      <c r="B223" s="12" t="s">
        <v>20</v>
      </c>
      <c r="C223" s="14">
        <v>4</v>
      </c>
      <c r="D223" s="14">
        <v>1</v>
      </c>
      <c r="E223" s="14">
        <v>4</v>
      </c>
      <c r="F223" s="14">
        <v>0</v>
      </c>
      <c r="G223" s="14">
        <v>0</v>
      </c>
      <c r="H223" s="14">
        <v>0</v>
      </c>
      <c r="I223" s="12">
        <f t="shared" si="72"/>
        <v>9</v>
      </c>
      <c r="J223" s="20"/>
      <c r="K223" s="20"/>
      <c r="L223" s="5"/>
      <c r="S223" s="16"/>
      <c r="T223" s="16"/>
    </row>
    <row r="224" spans="1:20" s="17" customFormat="1" ht="15.6" customHeight="1" x14ac:dyDescent="0.25">
      <c r="A224" s="11">
        <v>46276</v>
      </c>
      <c r="B224" s="12" t="s">
        <v>15</v>
      </c>
      <c r="C224" s="13">
        <v>12</v>
      </c>
      <c r="D224" s="13">
        <v>5</v>
      </c>
      <c r="E224" s="13">
        <v>5</v>
      </c>
      <c r="F224" s="14">
        <v>5</v>
      </c>
      <c r="G224" s="14">
        <v>0</v>
      </c>
      <c r="H224" s="14">
        <v>7</v>
      </c>
      <c r="I224" s="12">
        <f t="shared" ref="I224:I229" si="74">SUM(C224:H224)</f>
        <v>34</v>
      </c>
      <c r="J224" s="15">
        <f>(I228)/(I224+I228+J226)</f>
        <v>0.9145299145299145</v>
      </c>
      <c r="K224" s="15">
        <f>(I228-I224-I225-J226)/(I228)</f>
        <v>0.84112149532710279</v>
      </c>
      <c r="L224" s="18"/>
      <c r="S224" s="16"/>
      <c r="T224" s="16"/>
    </row>
    <row r="225" spans="1:20" s="17" customFormat="1" ht="14.4" customHeight="1" x14ac:dyDescent="0.25">
      <c r="A225" s="11">
        <v>46276</v>
      </c>
      <c r="B225" s="12" t="s">
        <v>16</v>
      </c>
      <c r="C225" s="13">
        <v>9</v>
      </c>
      <c r="D225" s="13">
        <v>9</v>
      </c>
      <c r="E225" s="13">
        <v>6</v>
      </c>
      <c r="F225" s="14">
        <v>3</v>
      </c>
      <c r="G225" s="14">
        <v>3</v>
      </c>
      <c r="H225" s="14">
        <v>5</v>
      </c>
      <c r="I225" s="12">
        <f t="shared" si="74"/>
        <v>35</v>
      </c>
      <c r="L225" s="18"/>
      <c r="S225" s="16"/>
      <c r="T225" s="16"/>
    </row>
    <row r="226" spans="1:20" s="17" customFormat="1" ht="15" customHeight="1" x14ac:dyDescent="0.25">
      <c r="A226" s="11">
        <v>46276</v>
      </c>
      <c r="B226" s="12" t="s">
        <v>17</v>
      </c>
      <c r="C226" s="14">
        <v>19</v>
      </c>
      <c r="D226" s="14">
        <v>15</v>
      </c>
      <c r="E226" s="14">
        <v>25</v>
      </c>
      <c r="F226" s="14">
        <v>18</v>
      </c>
      <c r="G226" s="14">
        <v>23</v>
      </c>
      <c r="H226" s="14">
        <v>14</v>
      </c>
      <c r="I226" s="12">
        <f t="shared" si="74"/>
        <v>114</v>
      </c>
      <c r="J226" s="19">
        <v>16</v>
      </c>
      <c r="K226" s="20"/>
      <c r="L226" s="16"/>
      <c r="S226" s="16"/>
      <c r="T226" s="16"/>
    </row>
    <row r="227" spans="1:20" s="17" customFormat="1" ht="13.8" customHeight="1" x14ac:dyDescent="0.25">
      <c r="A227" s="11">
        <v>46276</v>
      </c>
      <c r="B227" s="12" t="s">
        <v>18</v>
      </c>
      <c r="C227" s="14">
        <f t="shared" ref="C227:H227" si="75">SUM(C228-C225-C224-C229)</f>
        <v>100</v>
      </c>
      <c r="D227" s="14">
        <f t="shared" si="75"/>
        <v>91</v>
      </c>
      <c r="E227" s="14">
        <f t="shared" si="75"/>
        <v>76</v>
      </c>
      <c r="F227" s="14">
        <f t="shared" si="75"/>
        <v>73</v>
      </c>
      <c r="G227" s="14">
        <f t="shared" si="75"/>
        <v>54</v>
      </c>
      <c r="H227" s="14">
        <f t="shared" si="75"/>
        <v>63</v>
      </c>
      <c r="I227" s="21">
        <f t="shared" si="74"/>
        <v>457</v>
      </c>
      <c r="J227" s="20"/>
      <c r="K227" s="20"/>
      <c r="L227" s="16"/>
      <c r="S227" s="16"/>
      <c r="T227" s="16"/>
    </row>
    <row r="228" spans="1:20" s="17" customFormat="1" ht="14.4" customHeight="1" x14ac:dyDescent="0.25">
      <c r="A228" s="11">
        <v>46276</v>
      </c>
      <c r="B228" s="23" t="s">
        <v>19</v>
      </c>
      <c r="C228" s="23">
        <v>125</v>
      </c>
      <c r="D228" s="23">
        <v>106</v>
      </c>
      <c r="E228" s="23">
        <v>91</v>
      </c>
      <c r="F228" s="23">
        <v>81</v>
      </c>
      <c r="G228" s="23">
        <v>57</v>
      </c>
      <c r="H228" s="23">
        <v>75</v>
      </c>
      <c r="I228" s="23">
        <f t="shared" si="74"/>
        <v>535</v>
      </c>
      <c r="J228" s="20"/>
      <c r="K228" s="20"/>
      <c r="L228" s="16"/>
      <c r="S228" s="16"/>
      <c r="T228" s="16"/>
    </row>
    <row r="229" spans="1:20" s="17" customFormat="1" ht="14.4" customHeight="1" x14ac:dyDescent="0.2">
      <c r="A229" s="11">
        <v>46276</v>
      </c>
      <c r="B229" s="12" t="s">
        <v>20</v>
      </c>
      <c r="C229" s="14">
        <v>4</v>
      </c>
      <c r="D229" s="14">
        <v>1</v>
      </c>
      <c r="E229" s="14">
        <v>4</v>
      </c>
      <c r="F229" s="14">
        <v>0</v>
      </c>
      <c r="G229" s="14">
        <v>0</v>
      </c>
      <c r="H229" s="14">
        <v>0</v>
      </c>
      <c r="I229" s="12">
        <f t="shared" si="74"/>
        <v>9</v>
      </c>
      <c r="J229" s="20"/>
      <c r="K229" s="20"/>
      <c r="L229" s="5"/>
      <c r="S229" s="16"/>
      <c r="T229" s="16"/>
    </row>
    <row r="230" spans="1:20" s="17" customFormat="1" ht="15.6" customHeight="1" x14ac:dyDescent="0.25">
      <c r="A230" s="11">
        <v>46275</v>
      </c>
      <c r="B230" s="12" t="s">
        <v>15</v>
      </c>
      <c r="C230" s="13">
        <v>13</v>
      </c>
      <c r="D230" s="13">
        <v>5</v>
      </c>
      <c r="E230" s="13">
        <v>6</v>
      </c>
      <c r="F230" s="14">
        <v>2</v>
      </c>
      <c r="G230" s="14">
        <v>0</v>
      </c>
      <c r="H230" s="14">
        <v>5</v>
      </c>
      <c r="I230" s="12">
        <f t="shared" ref="I230:I235" si="76">SUM(C230:H230)</f>
        <v>31</v>
      </c>
      <c r="J230" s="15">
        <f>(I234)/(I230+I234+J232)</f>
        <v>0.92400690846286704</v>
      </c>
      <c r="K230" s="15">
        <f>(I234-I230-I231-J232)/(I234)</f>
        <v>0.85046728971962615</v>
      </c>
      <c r="L230" s="18"/>
      <c r="S230" s="16"/>
      <c r="T230" s="16"/>
    </row>
    <row r="231" spans="1:20" s="17" customFormat="1" ht="14.4" customHeight="1" x14ac:dyDescent="0.25">
      <c r="A231" s="11">
        <v>46275</v>
      </c>
      <c r="B231" s="12" t="s">
        <v>16</v>
      </c>
      <c r="C231" s="13">
        <v>8</v>
      </c>
      <c r="D231" s="13">
        <v>8</v>
      </c>
      <c r="E231" s="13">
        <v>7</v>
      </c>
      <c r="F231" s="14">
        <v>4</v>
      </c>
      <c r="G231" s="14">
        <v>3</v>
      </c>
      <c r="H231" s="14">
        <v>6</v>
      </c>
      <c r="I231" s="12">
        <f t="shared" si="76"/>
        <v>36</v>
      </c>
      <c r="L231" s="18"/>
      <c r="S231" s="16"/>
      <c r="T231" s="16"/>
    </row>
    <row r="232" spans="1:20" s="17" customFormat="1" ht="15" customHeight="1" x14ac:dyDescent="0.25">
      <c r="A232" s="11">
        <v>46275</v>
      </c>
      <c r="B232" s="12" t="s">
        <v>17</v>
      </c>
      <c r="C232" s="14">
        <v>19</v>
      </c>
      <c r="D232" s="14">
        <v>15</v>
      </c>
      <c r="E232" s="14">
        <v>25</v>
      </c>
      <c r="F232" s="14">
        <v>18</v>
      </c>
      <c r="G232" s="14">
        <v>23</v>
      </c>
      <c r="H232" s="14">
        <v>14</v>
      </c>
      <c r="I232" s="12">
        <f t="shared" si="76"/>
        <v>114</v>
      </c>
      <c r="J232" s="19">
        <v>13</v>
      </c>
      <c r="K232" s="20"/>
      <c r="L232" s="16"/>
      <c r="S232" s="16"/>
      <c r="T232" s="16"/>
    </row>
    <row r="233" spans="1:20" s="17" customFormat="1" ht="13.8" customHeight="1" x14ac:dyDescent="0.25">
      <c r="A233" s="11">
        <v>46275</v>
      </c>
      <c r="B233" s="12" t="s">
        <v>18</v>
      </c>
      <c r="C233" s="14">
        <f t="shared" ref="C233:H233" si="77">SUM(C234-C231-C230-C235)</f>
        <v>101</v>
      </c>
      <c r="D233" s="14">
        <f t="shared" si="77"/>
        <v>92</v>
      </c>
      <c r="E233" s="14">
        <f t="shared" si="77"/>
        <v>76</v>
      </c>
      <c r="F233" s="14">
        <f t="shared" si="77"/>
        <v>75</v>
      </c>
      <c r="G233" s="14">
        <f t="shared" si="77"/>
        <v>54</v>
      </c>
      <c r="H233" s="14">
        <f t="shared" si="77"/>
        <v>64</v>
      </c>
      <c r="I233" s="21">
        <f t="shared" si="76"/>
        <v>462</v>
      </c>
      <c r="J233" s="20"/>
      <c r="K233" s="20"/>
      <c r="L233" s="16"/>
      <c r="S233" s="16"/>
      <c r="T233" s="16"/>
    </row>
    <row r="234" spans="1:20" s="17" customFormat="1" ht="14.4" customHeight="1" x14ac:dyDescent="0.25">
      <c r="A234" s="11">
        <v>46275</v>
      </c>
      <c r="B234" s="23" t="s">
        <v>19</v>
      </c>
      <c r="C234" s="23">
        <v>125</v>
      </c>
      <c r="D234" s="23">
        <v>106</v>
      </c>
      <c r="E234" s="23">
        <v>91</v>
      </c>
      <c r="F234" s="23">
        <v>81</v>
      </c>
      <c r="G234" s="23">
        <v>57</v>
      </c>
      <c r="H234" s="23">
        <v>75</v>
      </c>
      <c r="I234" s="23">
        <f t="shared" si="76"/>
        <v>535</v>
      </c>
      <c r="J234" s="20"/>
      <c r="K234" s="20"/>
      <c r="L234" s="16"/>
      <c r="S234" s="16"/>
      <c r="T234" s="16"/>
    </row>
    <row r="235" spans="1:20" s="17" customFormat="1" ht="14.4" customHeight="1" x14ac:dyDescent="0.2">
      <c r="A235" s="11">
        <v>46275</v>
      </c>
      <c r="B235" s="12" t="s">
        <v>20</v>
      </c>
      <c r="C235" s="14">
        <v>3</v>
      </c>
      <c r="D235" s="14">
        <v>1</v>
      </c>
      <c r="E235" s="14">
        <v>2</v>
      </c>
      <c r="F235" s="14">
        <v>0</v>
      </c>
      <c r="G235" s="14">
        <v>0</v>
      </c>
      <c r="H235" s="14">
        <v>0</v>
      </c>
      <c r="I235" s="12">
        <f t="shared" si="76"/>
        <v>6</v>
      </c>
      <c r="J235" s="20"/>
      <c r="K235" s="20"/>
      <c r="L235" s="5"/>
      <c r="S235" s="16"/>
      <c r="T235" s="16"/>
    </row>
    <row r="236" spans="1:20" s="17" customFormat="1" ht="15.6" customHeight="1" x14ac:dyDescent="0.25">
      <c r="A236" s="11">
        <v>46274</v>
      </c>
      <c r="B236" s="12" t="s">
        <v>15</v>
      </c>
      <c r="C236" s="13">
        <v>13</v>
      </c>
      <c r="D236" s="13">
        <v>3</v>
      </c>
      <c r="E236" s="13">
        <v>5</v>
      </c>
      <c r="F236" s="14">
        <v>4</v>
      </c>
      <c r="G236" s="14">
        <v>0</v>
      </c>
      <c r="H236" s="14">
        <v>6</v>
      </c>
      <c r="I236" s="12">
        <f t="shared" ref="I236:I241" si="78">SUM(C236:H236)</f>
        <v>31</v>
      </c>
      <c r="J236" s="15">
        <f>(I240)/(I236+I240+J238)</f>
        <v>0.92241379310344829</v>
      </c>
      <c r="K236" s="15">
        <f>(I240-I236-I237-J238)/(I240)</f>
        <v>0.84672897196261687</v>
      </c>
      <c r="L236" s="18"/>
      <c r="S236" s="16"/>
      <c r="T236" s="16"/>
    </row>
    <row r="237" spans="1:20" s="17" customFormat="1" ht="14.4" customHeight="1" x14ac:dyDescent="0.25">
      <c r="A237" s="11">
        <v>46274</v>
      </c>
      <c r="B237" s="12" t="s">
        <v>16</v>
      </c>
      <c r="C237" s="13">
        <v>10</v>
      </c>
      <c r="D237" s="13">
        <v>10</v>
      </c>
      <c r="E237" s="13">
        <v>7</v>
      </c>
      <c r="F237" s="14">
        <v>2</v>
      </c>
      <c r="G237" s="14">
        <v>3</v>
      </c>
      <c r="H237" s="14">
        <v>5</v>
      </c>
      <c r="I237" s="12">
        <f t="shared" si="78"/>
        <v>37</v>
      </c>
      <c r="L237" s="18"/>
      <c r="S237" s="16"/>
      <c r="T237" s="16"/>
    </row>
    <row r="238" spans="1:20" s="17" customFormat="1" ht="15" customHeight="1" x14ac:dyDescent="0.25">
      <c r="A238" s="11">
        <v>46274</v>
      </c>
      <c r="B238" s="12" t="s">
        <v>17</v>
      </c>
      <c r="C238" s="14">
        <v>19</v>
      </c>
      <c r="D238" s="14">
        <v>15</v>
      </c>
      <c r="E238" s="14">
        <v>25</v>
      </c>
      <c r="F238" s="14">
        <v>18</v>
      </c>
      <c r="G238" s="14">
        <v>23</v>
      </c>
      <c r="H238" s="14">
        <v>14</v>
      </c>
      <c r="I238" s="12">
        <f t="shared" si="78"/>
        <v>114</v>
      </c>
      <c r="J238" s="19">
        <v>14</v>
      </c>
      <c r="K238" s="20"/>
      <c r="L238" s="16"/>
      <c r="S238" s="16"/>
      <c r="T238" s="16"/>
    </row>
    <row r="239" spans="1:20" s="17" customFormat="1" ht="13.8" customHeight="1" x14ac:dyDescent="0.25">
      <c r="A239" s="11">
        <v>46274</v>
      </c>
      <c r="B239" s="12" t="s">
        <v>18</v>
      </c>
      <c r="C239" s="14">
        <f t="shared" ref="C239:H239" si="79">SUM(C240-C237-C236-C241)</f>
        <v>99</v>
      </c>
      <c r="D239" s="14">
        <f t="shared" si="79"/>
        <v>92</v>
      </c>
      <c r="E239" s="14">
        <f t="shared" si="79"/>
        <v>77</v>
      </c>
      <c r="F239" s="14">
        <f t="shared" si="79"/>
        <v>75</v>
      </c>
      <c r="G239" s="14">
        <f t="shared" si="79"/>
        <v>54</v>
      </c>
      <c r="H239" s="14">
        <f t="shared" si="79"/>
        <v>64</v>
      </c>
      <c r="I239" s="21">
        <f t="shared" si="78"/>
        <v>461</v>
      </c>
      <c r="J239" s="20"/>
      <c r="K239" s="20"/>
      <c r="L239" s="16"/>
      <c r="S239" s="16"/>
      <c r="T239" s="16"/>
    </row>
    <row r="240" spans="1:20" s="17" customFormat="1" ht="14.4" customHeight="1" x14ac:dyDescent="0.25">
      <c r="A240" s="11">
        <v>46274</v>
      </c>
      <c r="B240" s="23" t="s">
        <v>19</v>
      </c>
      <c r="C240" s="23">
        <v>125</v>
      </c>
      <c r="D240" s="23">
        <v>106</v>
      </c>
      <c r="E240" s="23">
        <v>91</v>
      </c>
      <c r="F240" s="23">
        <v>81</v>
      </c>
      <c r="G240" s="23">
        <v>57</v>
      </c>
      <c r="H240" s="23">
        <v>75</v>
      </c>
      <c r="I240" s="23">
        <f t="shared" si="78"/>
        <v>535</v>
      </c>
      <c r="J240" s="20"/>
      <c r="K240" s="20"/>
      <c r="L240" s="16"/>
      <c r="S240" s="16"/>
      <c r="T240" s="16"/>
    </row>
    <row r="241" spans="1:20" s="17" customFormat="1" ht="14.4" customHeight="1" x14ac:dyDescent="0.2">
      <c r="A241" s="11">
        <v>46274</v>
      </c>
      <c r="B241" s="12" t="s">
        <v>20</v>
      </c>
      <c r="C241" s="14">
        <v>3</v>
      </c>
      <c r="D241" s="14">
        <v>1</v>
      </c>
      <c r="E241" s="14">
        <v>2</v>
      </c>
      <c r="F241" s="14">
        <v>0</v>
      </c>
      <c r="G241" s="14">
        <v>0</v>
      </c>
      <c r="H241" s="14">
        <v>0</v>
      </c>
      <c r="I241" s="12">
        <f t="shared" si="78"/>
        <v>6</v>
      </c>
      <c r="J241" s="20"/>
      <c r="K241" s="20"/>
      <c r="L241" s="5"/>
      <c r="S241" s="16"/>
      <c r="T241" s="16"/>
    </row>
    <row r="242" spans="1:20" s="17" customFormat="1" ht="15.6" customHeight="1" x14ac:dyDescent="0.25">
      <c r="A242" s="11">
        <v>46273</v>
      </c>
      <c r="B242" s="12" t="s">
        <v>15</v>
      </c>
      <c r="C242" s="13">
        <v>16</v>
      </c>
      <c r="D242" s="13">
        <v>3</v>
      </c>
      <c r="E242" s="13">
        <v>6</v>
      </c>
      <c r="F242" s="14">
        <v>3</v>
      </c>
      <c r="G242" s="14">
        <v>1</v>
      </c>
      <c r="H242" s="14">
        <v>4</v>
      </c>
      <c r="I242" s="12">
        <f t="shared" ref="I242:I247" si="80">SUM(C242:H242)</f>
        <v>33</v>
      </c>
      <c r="J242" s="15">
        <f>(I246)/(I242+I246+J244)</f>
        <v>0.91766723842195541</v>
      </c>
      <c r="K242" s="15">
        <f>(I246-I242-I243-J244)/(I246)</f>
        <v>0.83925233644859809</v>
      </c>
      <c r="L242" s="18"/>
      <c r="S242" s="16"/>
      <c r="T242" s="16"/>
    </row>
    <row r="243" spans="1:20" s="17" customFormat="1" ht="14.4" customHeight="1" x14ac:dyDescent="0.25">
      <c r="A243" s="11">
        <v>46273</v>
      </c>
      <c r="B243" s="12" t="s">
        <v>16</v>
      </c>
      <c r="C243" s="13">
        <v>9</v>
      </c>
      <c r="D243" s="13">
        <v>10</v>
      </c>
      <c r="E243" s="13">
        <v>8</v>
      </c>
      <c r="F243" s="14">
        <v>4</v>
      </c>
      <c r="G243" s="14">
        <v>2</v>
      </c>
      <c r="H243" s="14">
        <v>5</v>
      </c>
      <c r="I243" s="12">
        <f t="shared" si="80"/>
        <v>38</v>
      </c>
      <c r="L243" s="18"/>
      <c r="S243" s="16"/>
      <c r="T243" s="16"/>
    </row>
    <row r="244" spans="1:20" s="17" customFormat="1" ht="15" customHeight="1" x14ac:dyDescent="0.25">
      <c r="A244" s="11">
        <v>46273</v>
      </c>
      <c r="B244" s="12" t="s">
        <v>17</v>
      </c>
      <c r="C244" s="14">
        <v>19</v>
      </c>
      <c r="D244" s="14">
        <v>15</v>
      </c>
      <c r="E244" s="14">
        <v>25</v>
      </c>
      <c r="F244" s="14">
        <v>18</v>
      </c>
      <c r="G244" s="14">
        <v>23</v>
      </c>
      <c r="H244" s="14">
        <v>14</v>
      </c>
      <c r="I244" s="12">
        <f t="shared" si="80"/>
        <v>114</v>
      </c>
      <c r="J244" s="19">
        <v>15</v>
      </c>
      <c r="K244" s="20"/>
      <c r="L244" s="16"/>
      <c r="S244" s="16"/>
      <c r="T244" s="16"/>
    </row>
    <row r="245" spans="1:20" s="17" customFormat="1" ht="13.8" customHeight="1" x14ac:dyDescent="0.25">
      <c r="A245" s="11">
        <v>46273</v>
      </c>
      <c r="B245" s="12" t="s">
        <v>18</v>
      </c>
      <c r="C245" s="14">
        <f t="shared" ref="C245:H245" si="81">SUM(C246-C243-C242-C247)</f>
        <v>97</v>
      </c>
      <c r="D245" s="14">
        <f t="shared" si="81"/>
        <v>92</v>
      </c>
      <c r="E245" s="14">
        <f t="shared" si="81"/>
        <v>75</v>
      </c>
      <c r="F245" s="14">
        <f t="shared" si="81"/>
        <v>74</v>
      </c>
      <c r="G245" s="14">
        <f t="shared" si="81"/>
        <v>54</v>
      </c>
      <c r="H245" s="14">
        <f t="shared" si="81"/>
        <v>66</v>
      </c>
      <c r="I245" s="21">
        <f t="shared" si="80"/>
        <v>458</v>
      </c>
      <c r="J245" s="20"/>
      <c r="K245" s="20"/>
      <c r="L245" s="16"/>
      <c r="S245" s="16"/>
      <c r="T245" s="16"/>
    </row>
    <row r="246" spans="1:20" s="17" customFormat="1" ht="14.4" customHeight="1" x14ac:dyDescent="0.25">
      <c r="A246" s="11">
        <v>46273</v>
      </c>
      <c r="B246" s="23" t="s">
        <v>19</v>
      </c>
      <c r="C246" s="23">
        <v>125</v>
      </c>
      <c r="D246" s="23">
        <v>106</v>
      </c>
      <c r="E246" s="23">
        <v>91</v>
      </c>
      <c r="F246" s="23">
        <v>81</v>
      </c>
      <c r="G246" s="23">
        <v>57</v>
      </c>
      <c r="H246" s="23">
        <v>75</v>
      </c>
      <c r="I246" s="23">
        <f t="shared" si="80"/>
        <v>535</v>
      </c>
      <c r="J246" s="20"/>
      <c r="K246" s="20"/>
      <c r="L246" s="16"/>
      <c r="S246" s="16"/>
      <c r="T246" s="16"/>
    </row>
    <row r="247" spans="1:20" s="17" customFormat="1" ht="14.4" customHeight="1" x14ac:dyDescent="0.2">
      <c r="A247" s="11">
        <v>46273</v>
      </c>
      <c r="B247" s="12" t="s">
        <v>20</v>
      </c>
      <c r="C247" s="14">
        <v>3</v>
      </c>
      <c r="D247" s="14">
        <v>1</v>
      </c>
      <c r="E247" s="14">
        <v>2</v>
      </c>
      <c r="F247" s="14">
        <v>0</v>
      </c>
      <c r="G247" s="14">
        <v>0</v>
      </c>
      <c r="H247" s="14">
        <v>0</v>
      </c>
      <c r="I247" s="12">
        <f t="shared" si="80"/>
        <v>6</v>
      </c>
      <c r="J247" s="20"/>
      <c r="K247" s="20"/>
      <c r="L247" s="5"/>
      <c r="S247" s="16"/>
      <c r="T247" s="16"/>
    </row>
    <row r="248" spans="1:20" s="17" customFormat="1" ht="15.6" customHeight="1" x14ac:dyDescent="0.25">
      <c r="A248" s="11">
        <v>46272</v>
      </c>
      <c r="B248" s="12" t="s">
        <v>15</v>
      </c>
      <c r="C248" s="13">
        <v>15</v>
      </c>
      <c r="D248" s="13">
        <v>3</v>
      </c>
      <c r="E248" s="13">
        <v>6</v>
      </c>
      <c r="F248" s="14">
        <v>3</v>
      </c>
      <c r="G248" s="14">
        <v>0</v>
      </c>
      <c r="H248" s="14">
        <v>4</v>
      </c>
      <c r="I248" s="12">
        <f t="shared" ref="I248:I253" si="82">SUM(C248:H248)</f>
        <v>31</v>
      </c>
      <c r="J248" s="15">
        <f>(I252)/(I248+I252+J250)</f>
        <v>0.92082616179001719</v>
      </c>
      <c r="K248" s="15">
        <f>(I252-I248-I249-J250)/(I252)</f>
        <v>0.84672897196261687</v>
      </c>
      <c r="L248" s="18"/>
      <c r="S248" s="16"/>
      <c r="T248" s="16"/>
    </row>
    <row r="249" spans="1:20" s="17" customFormat="1" ht="14.4" customHeight="1" x14ac:dyDescent="0.25">
      <c r="A249" s="11">
        <v>46272</v>
      </c>
      <c r="B249" s="12" t="s">
        <v>16</v>
      </c>
      <c r="C249" s="13">
        <v>10</v>
      </c>
      <c r="D249" s="13">
        <v>8</v>
      </c>
      <c r="E249" s="13">
        <v>5</v>
      </c>
      <c r="F249" s="14">
        <v>4</v>
      </c>
      <c r="G249" s="14">
        <v>4</v>
      </c>
      <c r="H249" s="14">
        <v>5</v>
      </c>
      <c r="I249" s="12">
        <f t="shared" si="82"/>
        <v>36</v>
      </c>
      <c r="L249" s="18"/>
      <c r="S249" s="16"/>
      <c r="T249" s="16"/>
    </row>
    <row r="250" spans="1:20" s="17" customFormat="1" ht="15" customHeight="1" x14ac:dyDescent="0.25">
      <c r="A250" s="11">
        <v>46272</v>
      </c>
      <c r="B250" s="12" t="s">
        <v>17</v>
      </c>
      <c r="C250" s="14">
        <v>19</v>
      </c>
      <c r="D250" s="14">
        <v>15</v>
      </c>
      <c r="E250" s="14">
        <v>25</v>
      </c>
      <c r="F250" s="14">
        <v>18</v>
      </c>
      <c r="G250" s="14">
        <v>23</v>
      </c>
      <c r="H250" s="14">
        <v>14</v>
      </c>
      <c r="I250" s="12">
        <f t="shared" si="82"/>
        <v>114</v>
      </c>
      <c r="J250" s="19">
        <v>15</v>
      </c>
      <c r="K250" s="20"/>
      <c r="L250" s="16"/>
      <c r="S250" s="16"/>
      <c r="T250" s="16"/>
    </row>
    <row r="251" spans="1:20" s="17" customFormat="1" ht="13.8" customHeight="1" x14ac:dyDescent="0.25">
      <c r="A251" s="11">
        <v>46272</v>
      </c>
      <c r="B251" s="12" t="s">
        <v>18</v>
      </c>
      <c r="C251" s="14">
        <f t="shared" ref="C251:H251" si="83">SUM(C252-C249-C248-C253)</f>
        <v>97</v>
      </c>
      <c r="D251" s="14">
        <f t="shared" si="83"/>
        <v>94</v>
      </c>
      <c r="E251" s="14">
        <f t="shared" si="83"/>
        <v>78</v>
      </c>
      <c r="F251" s="14">
        <f t="shared" si="83"/>
        <v>74</v>
      </c>
      <c r="G251" s="14">
        <f t="shared" si="83"/>
        <v>53</v>
      </c>
      <c r="H251" s="14">
        <f t="shared" si="83"/>
        <v>66</v>
      </c>
      <c r="I251" s="21">
        <f t="shared" si="82"/>
        <v>462</v>
      </c>
      <c r="J251" s="20"/>
      <c r="K251" s="20"/>
      <c r="L251" s="16"/>
      <c r="S251" s="16"/>
      <c r="T251" s="16"/>
    </row>
    <row r="252" spans="1:20" s="17" customFormat="1" ht="14.4" customHeight="1" x14ac:dyDescent="0.25">
      <c r="A252" s="11">
        <v>46272</v>
      </c>
      <c r="B252" s="23" t="s">
        <v>19</v>
      </c>
      <c r="C252" s="23">
        <v>125</v>
      </c>
      <c r="D252" s="23">
        <v>106</v>
      </c>
      <c r="E252" s="23">
        <v>91</v>
      </c>
      <c r="F252" s="23">
        <v>81</v>
      </c>
      <c r="G252" s="23">
        <v>57</v>
      </c>
      <c r="H252" s="23">
        <v>75</v>
      </c>
      <c r="I252" s="23">
        <f t="shared" si="82"/>
        <v>535</v>
      </c>
      <c r="J252" s="20"/>
      <c r="K252" s="20"/>
      <c r="L252" s="16"/>
      <c r="S252" s="16"/>
      <c r="T252" s="16"/>
    </row>
    <row r="253" spans="1:20" s="17" customFormat="1" ht="14.4" customHeight="1" x14ac:dyDescent="0.2">
      <c r="A253" s="11">
        <v>46272</v>
      </c>
      <c r="B253" s="12" t="s">
        <v>20</v>
      </c>
      <c r="C253" s="14">
        <v>3</v>
      </c>
      <c r="D253" s="14">
        <v>1</v>
      </c>
      <c r="E253" s="14">
        <v>2</v>
      </c>
      <c r="F253" s="14">
        <v>0</v>
      </c>
      <c r="G253" s="14">
        <v>0</v>
      </c>
      <c r="H253" s="14">
        <v>0</v>
      </c>
      <c r="I253" s="12">
        <f t="shared" si="82"/>
        <v>6</v>
      </c>
      <c r="J253" s="20"/>
      <c r="K253" s="20"/>
      <c r="L253" s="5"/>
      <c r="S253" s="16"/>
      <c r="T253" s="16"/>
    </row>
    <row r="254" spans="1:20" s="17" customFormat="1" ht="15.6" customHeight="1" x14ac:dyDescent="0.25">
      <c r="A254" s="11">
        <v>46271</v>
      </c>
      <c r="B254" s="12" t="s">
        <v>15</v>
      </c>
      <c r="C254" s="13">
        <v>14</v>
      </c>
      <c r="D254" s="13">
        <v>3</v>
      </c>
      <c r="E254" s="13">
        <v>6</v>
      </c>
      <c r="F254" s="14">
        <v>4</v>
      </c>
      <c r="G254" s="14">
        <v>0</v>
      </c>
      <c r="H254" s="14">
        <v>4</v>
      </c>
      <c r="I254" s="12">
        <f t="shared" ref="I254:I259" si="84">SUM(C254:H254)</f>
        <v>31</v>
      </c>
      <c r="J254" s="15">
        <f>(I258)/(I254+I258+J256)</f>
        <v>0.91766723842195541</v>
      </c>
      <c r="K254" s="15">
        <f>(I258-I254-I255-J256)/(I258)</f>
        <v>0.85046728971962615</v>
      </c>
      <c r="L254" s="18"/>
      <c r="S254" s="16"/>
      <c r="T254" s="16"/>
    </row>
    <row r="255" spans="1:20" s="17" customFormat="1" ht="14.4" customHeight="1" x14ac:dyDescent="0.25">
      <c r="A255" s="11">
        <v>46271</v>
      </c>
      <c r="B255" s="12" t="s">
        <v>16</v>
      </c>
      <c r="C255" s="13">
        <v>7</v>
      </c>
      <c r="D255" s="13">
        <v>8</v>
      </c>
      <c r="E255" s="13">
        <v>6</v>
      </c>
      <c r="F255" s="14">
        <v>2</v>
      </c>
      <c r="G255" s="14">
        <v>3</v>
      </c>
      <c r="H255" s="14">
        <v>6</v>
      </c>
      <c r="I255" s="12">
        <f t="shared" si="84"/>
        <v>32</v>
      </c>
      <c r="L255" s="18"/>
      <c r="S255" s="16"/>
      <c r="T255" s="16"/>
    </row>
    <row r="256" spans="1:20" s="17" customFormat="1" ht="15" customHeight="1" x14ac:dyDescent="0.25">
      <c r="A256" s="11">
        <v>46271</v>
      </c>
      <c r="B256" s="12" t="s">
        <v>17</v>
      </c>
      <c r="C256" s="14">
        <v>19</v>
      </c>
      <c r="D256" s="14">
        <v>15</v>
      </c>
      <c r="E256" s="14">
        <v>25</v>
      </c>
      <c r="F256" s="14">
        <v>18</v>
      </c>
      <c r="G256" s="14">
        <v>23</v>
      </c>
      <c r="H256" s="14">
        <v>14</v>
      </c>
      <c r="I256" s="12">
        <f t="shared" si="84"/>
        <v>114</v>
      </c>
      <c r="J256" s="19">
        <v>17</v>
      </c>
      <c r="K256" s="20"/>
      <c r="L256" s="16"/>
      <c r="S256" s="16"/>
      <c r="T256" s="16"/>
    </row>
    <row r="257" spans="1:20" s="17" customFormat="1" ht="13.8" customHeight="1" x14ac:dyDescent="0.25">
      <c r="A257" s="11">
        <v>46271</v>
      </c>
      <c r="B257" s="12" t="s">
        <v>18</v>
      </c>
      <c r="C257" s="14">
        <f t="shared" ref="C257:H257" si="85">SUM(C258-C255-C254-C259)</f>
        <v>101</v>
      </c>
      <c r="D257" s="14">
        <f t="shared" si="85"/>
        <v>94</v>
      </c>
      <c r="E257" s="14">
        <f t="shared" si="85"/>
        <v>77</v>
      </c>
      <c r="F257" s="14">
        <f t="shared" si="85"/>
        <v>75</v>
      </c>
      <c r="G257" s="14">
        <f t="shared" si="85"/>
        <v>54</v>
      </c>
      <c r="H257" s="14">
        <f t="shared" si="85"/>
        <v>65</v>
      </c>
      <c r="I257" s="21">
        <f t="shared" si="84"/>
        <v>466</v>
      </c>
      <c r="J257" s="20"/>
      <c r="K257" s="20"/>
      <c r="L257" s="16"/>
      <c r="S257" s="16"/>
      <c r="T257" s="16"/>
    </row>
    <row r="258" spans="1:20" s="17" customFormat="1" ht="14.4" customHeight="1" x14ac:dyDescent="0.25">
      <c r="A258" s="11">
        <v>46271</v>
      </c>
      <c r="B258" s="23" t="s">
        <v>19</v>
      </c>
      <c r="C258" s="23">
        <v>125</v>
      </c>
      <c r="D258" s="23">
        <v>106</v>
      </c>
      <c r="E258" s="23">
        <v>91</v>
      </c>
      <c r="F258" s="23">
        <v>81</v>
      </c>
      <c r="G258" s="23">
        <v>57</v>
      </c>
      <c r="H258" s="23">
        <v>75</v>
      </c>
      <c r="I258" s="23">
        <f t="shared" si="84"/>
        <v>535</v>
      </c>
      <c r="J258" s="20"/>
      <c r="K258" s="20"/>
      <c r="L258" s="16"/>
      <c r="S258" s="16"/>
      <c r="T258" s="16"/>
    </row>
    <row r="259" spans="1:20" s="17" customFormat="1" ht="14.4" customHeight="1" x14ac:dyDescent="0.2">
      <c r="A259" s="11">
        <v>46271</v>
      </c>
      <c r="B259" s="12" t="s">
        <v>20</v>
      </c>
      <c r="C259" s="14">
        <v>3</v>
      </c>
      <c r="D259" s="14">
        <v>1</v>
      </c>
      <c r="E259" s="14">
        <v>2</v>
      </c>
      <c r="F259" s="14">
        <v>0</v>
      </c>
      <c r="G259" s="14">
        <v>0</v>
      </c>
      <c r="H259" s="14">
        <v>0</v>
      </c>
      <c r="I259" s="12">
        <f t="shared" si="84"/>
        <v>6</v>
      </c>
      <c r="J259" s="20"/>
      <c r="K259" s="20"/>
      <c r="L259" s="5"/>
      <c r="S259" s="16"/>
      <c r="T259" s="16"/>
    </row>
    <row r="260" spans="1:20" s="17" customFormat="1" ht="15.6" customHeight="1" x14ac:dyDescent="0.25">
      <c r="A260" s="11">
        <v>46270</v>
      </c>
      <c r="B260" s="12" t="s">
        <v>15</v>
      </c>
      <c r="C260" s="13">
        <v>8</v>
      </c>
      <c r="D260" s="13">
        <v>3</v>
      </c>
      <c r="E260" s="13">
        <v>5</v>
      </c>
      <c r="F260" s="14">
        <v>3</v>
      </c>
      <c r="G260" s="14">
        <v>1</v>
      </c>
      <c r="H260" s="14">
        <v>5</v>
      </c>
      <c r="I260" s="12">
        <f t="shared" ref="I260:I265" si="86">SUM(C260:H260)</f>
        <v>25</v>
      </c>
      <c r="J260" s="15">
        <f>(I264)/(I260+I264+J262)</f>
        <v>0.93043478260869561</v>
      </c>
      <c r="K260" s="15">
        <f>(I264-I260-I261-J262)/(I264)</f>
        <v>0.87476635514018697</v>
      </c>
      <c r="L260" s="18"/>
      <c r="S260" s="16"/>
      <c r="T260" s="16"/>
    </row>
    <row r="261" spans="1:20" s="17" customFormat="1" ht="14.4" customHeight="1" x14ac:dyDescent="0.25">
      <c r="A261" s="11">
        <v>46270</v>
      </c>
      <c r="B261" s="12" t="s">
        <v>16</v>
      </c>
      <c r="C261" s="13">
        <v>5</v>
      </c>
      <c r="D261" s="13">
        <v>8</v>
      </c>
      <c r="E261" s="13">
        <v>6</v>
      </c>
      <c r="F261" s="14">
        <v>2</v>
      </c>
      <c r="G261" s="14">
        <v>0</v>
      </c>
      <c r="H261" s="14">
        <v>6</v>
      </c>
      <c r="I261" s="12">
        <f t="shared" si="86"/>
        <v>27</v>
      </c>
      <c r="L261" s="18"/>
      <c r="S261" s="16"/>
      <c r="T261" s="16"/>
    </row>
    <row r="262" spans="1:20" s="17" customFormat="1" ht="15" customHeight="1" x14ac:dyDescent="0.25">
      <c r="A262" s="11">
        <v>46270</v>
      </c>
      <c r="B262" s="12" t="s">
        <v>17</v>
      </c>
      <c r="C262" s="14">
        <v>19</v>
      </c>
      <c r="D262" s="14">
        <v>15</v>
      </c>
      <c r="E262" s="14">
        <v>25</v>
      </c>
      <c r="F262" s="14">
        <v>18</v>
      </c>
      <c r="G262" s="14">
        <v>23</v>
      </c>
      <c r="H262" s="14">
        <v>14</v>
      </c>
      <c r="I262" s="12">
        <f t="shared" si="86"/>
        <v>114</v>
      </c>
      <c r="J262" s="19">
        <v>15</v>
      </c>
      <c r="K262" s="20"/>
      <c r="L262" s="16"/>
      <c r="S262" s="16"/>
      <c r="T262" s="16"/>
    </row>
    <row r="263" spans="1:20" s="17" customFormat="1" ht="13.8" customHeight="1" x14ac:dyDescent="0.25">
      <c r="A263" s="11">
        <v>46270</v>
      </c>
      <c r="B263" s="12" t="s">
        <v>18</v>
      </c>
      <c r="C263" s="14">
        <f t="shared" ref="C263:H263" si="87">SUM(C264-C261-C260-C265)</f>
        <v>109</v>
      </c>
      <c r="D263" s="14">
        <f t="shared" si="87"/>
        <v>94</v>
      </c>
      <c r="E263" s="14">
        <f t="shared" si="87"/>
        <v>78</v>
      </c>
      <c r="F263" s="14">
        <f t="shared" si="87"/>
        <v>76</v>
      </c>
      <c r="G263" s="14">
        <f t="shared" si="87"/>
        <v>56</v>
      </c>
      <c r="H263" s="14">
        <f t="shared" si="87"/>
        <v>64</v>
      </c>
      <c r="I263" s="21">
        <f t="shared" si="86"/>
        <v>477</v>
      </c>
      <c r="J263" s="20"/>
      <c r="K263" s="20"/>
      <c r="L263" s="16"/>
      <c r="S263" s="16"/>
      <c r="T263" s="16"/>
    </row>
    <row r="264" spans="1:20" s="17" customFormat="1" ht="14.4" customHeight="1" x14ac:dyDescent="0.25">
      <c r="A264" s="11">
        <v>46270</v>
      </c>
      <c r="B264" s="23" t="s">
        <v>19</v>
      </c>
      <c r="C264" s="23">
        <v>125</v>
      </c>
      <c r="D264" s="23">
        <v>106</v>
      </c>
      <c r="E264" s="23">
        <v>91</v>
      </c>
      <c r="F264" s="23">
        <v>81</v>
      </c>
      <c r="G264" s="23">
        <v>57</v>
      </c>
      <c r="H264" s="23">
        <v>75</v>
      </c>
      <c r="I264" s="23">
        <f t="shared" si="86"/>
        <v>535</v>
      </c>
      <c r="J264" s="20"/>
      <c r="K264" s="20"/>
      <c r="L264" s="16"/>
      <c r="S264" s="16"/>
      <c r="T264" s="16"/>
    </row>
    <row r="265" spans="1:20" s="17" customFormat="1" ht="14.4" customHeight="1" x14ac:dyDescent="0.2">
      <c r="A265" s="11">
        <v>46270</v>
      </c>
      <c r="B265" s="12" t="s">
        <v>20</v>
      </c>
      <c r="C265" s="14">
        <v>3</v>
      </c>
      <c r="D265" s="14">
        <v>1</v>
      </c>
      <c r="E265" s="14">
        <v>2</v>
      </c>
      <c r="F265" s="14">
        <v>0</v>
      </c>
      <c r="G265" s="14">
        <v>0</v>
      </c>
      <c r="H265" s="14">
        <v>0</v>
      </c>
      <c r="I265" s="12">
        <f t="shared" si="86"/>
        <v>6</v>
      </c>
      <c r="J265" s="20"/>
      <c r="K265" s="20"/>
      <c r="L265" s="5"/>
      <c r="S265" s="16"/>
      <c r="T265" s="16"/>
    </row>
    <row r="266" spans="1:20" s="17" customFormat="1" ht="15.6" customHeight="1" x14ac:dyDescent="0.25">
      <c r="A266" s="11">
        <v>46269</v>
      </c>
      <c r="B266" s="12" t="s">
        <v>15</v>
      </c>
      <c r="C266" s="13">
        <v>9</v>
      </c>
      <c r="D266" s="13">
        <v>3</v>
      </c>
      <c r="E266" s="13">
        <v>5</v>
      </c>
      <c r="F266" s="14">
        <v>3</v>
      </c>
      <c r="G266" s="14">
        <v>1</v>
      </c>
      <c r="H266" s="14">
        <v>5</v>
      </c>
      <c r="I266" s="12">
        <f t="shared" ref="I266:I271" si="88">SUM(C266:H266)</f>
        <v>26</v>
      </c>
      <c r="J266" s="15">
        <f>(I270)/(I266+I270+J268)</f>
        <v>0.92881944444444442</v>
      </c>
      <c r="K266" s="15">
        <f>(I270-I266-I267-J268)/(I270)</f>
        <v>0.87289719626168227</v>
      </c>
      <c r="L266" s="18"/>
      <c r="S266" s="16"/>
      <c r="T266" s="16"/>
    </row>
    <row r="267" spans="1:20" s="17" customFormat="1" ht="14.4" customHeight="1" x14ac:dyDescent="0.25">
      <c r="A267" s="11">
        <v>46269</v>
      </c>
      <c r="B267" s="12" t="s">
        <v>16</v>
      </c>
      <c r="C267" s="13">
        <v>5</v>
      </c>
      <c r="D267" s="13">
        <v>8</v>
      </c>
      <c r="E267" s="13">
        <v>6</v>
      </c>
      <c r="F267" s="14">
        <v>2</v>
      </c>
      <c r="G267" s="14">
        <v>0</v>
      </c>
      <c r="H267" s="14">
        <v>6</v>
      </c>
      <c r="I267" s="12">
        <f t="shared" si="88"/>
        <v>27</v>
      </c>
      <c r="L267" s="18"/>
      <c r="S267" s="16"/>
      <c r="T267" s="16"/>
    </row>
    <row r="268" spans="1:20" s="17" customFormat="1" ht="15" customHeight="1" x14ac:dyDescent="0.25">
      <c r="A268" s="11">
        <v>46269</v>
      </c>
      <c r="B268" s="12" t="s">
        <v>17</v>
      </c>
      <c r="C268" s="14">
        <v>19</v>
      </c>
      <c r="D268" s="14">
        <v>15</v>
      </c>
      <c r="E268" s="14">
        <v>25</v>
      </c>
      <c r="F268" s="14">
        <v>18</v>
      </c>
      <c r="G268" s="14">
        <v>23</v>
      </c>
      <c r="H268" s="14">
        <v>14</v>
      </c>
      <c r="I268" s="12">
        <f t="shared" si="88"/>
        <v>114</v>
      </c>
      <c r="J268" s="19">
        <v>15</v>
      </c>
      <c r="K268" s="20"/>
      <c r="L268" s="16"/>
      <c r="S268" s="16"/>
      <c r="T268" s="16"/>
    </row>
    <row r="269" spans="1:20" s="17" customFormat="1" ht="13.8" customHeight="1" x14ac:dyDescent="0.25">
      <c r="A269" s="11">
        <v>46269</v>
      </c>
      <c r="B269" s="12" t="s">
        <v>18</v>
      </c>
      <c r="C269" s="14">
        <f t="shared" ref="C269:H269" si="89">SUM(C270-C267-C266-C271)</f>
        <v>108</v>
      </c>
      <c r="D269" s="14">
        <f t="shared" si="89"/>
        <v>94</v>
      </c>
      <c r="E269" s="14">
        <f t="shared" si="89"/>
        <v>78</v>
      </c>
      <c r="F269" s="14">
        <f t="shared" si="89"/>
        <v>76</v>
      </c>
      <c r="G269" s="14">
        <f t="shared" si="89"/>
        <v>56</v>
      </c>
      <c r="H269" s="14">
        <f t="shared" si="89"/>
        <v>64</v>
      </c>
      <c r="I269" s="21">
        <f t="shared" si="88"/>
        <v>476</v>
      </c>
      <c r="J269" s="20"/>
      <c r="K269" s="20"/>
      <c r="L269" s="16"/>
      <c r="S269" s="16"/>
      <c r="T269" s="16"/>
    </row>
    <row r="270" spans="1:20" s="17" customFormat="1" ht="14.4" customHeight="1" x14ac:dyDescent="0.25">
      <c r="A270" s="11">
        <v>46269</v>
      </c>
      <c r="B270" s="23" t="s">
        <v>19</v>
      </c>
      <c r="C270" s="23">
        <v>125</v>
      </c>
      <c r="D270" s="23">
        <v>106</v>
      </c>
      <c r="E270" s="23">
        <v>91</v>
      </c>
      <c r="F270" s="23">
        <v>81</v>
      </c>
      <c r="G270" s="23">
        <v>57</v>
      </c>
      <c r="H270" s="23">
        <v>75</v>
      </c>
      <c r="I270" s="23">
        <f t="shared" si="88"/>
        <v>535</v>
      </c>
      <c r="J270" s="20"/>
      <c r="K270" s="20"/>
      <c r="L270" s="16"/>
      <c r="S270" s="16"/>
      <c r="T270" s="16"/>
    </row>
    <row r="271" spans="1:20" s="17" customFormat="1" ht="14.4" customHeight="1" x14ac:dyDescent="0.2">
      <c r="A271" s="11">
        <v>46269</v>
      </c>
      <c r="B271" s="12" t="s">
        <v>20</v>
      </c>
      <c r="C271" s="14">
        <v>3</v>
      </c>
      <c r="D271" s="14">
        <v>1</v>
      </c>
      <c r="E271" s="14">
        <v>2</v>
      </c>
      <c r="F271" s="14">
        <v>0</v>
      </c>
      <c r="G271" s="14">
        <v>0</v>
      </c>
      <c r="H271" s="14">
        <v>0</v>
      </c>
      <c r="I271" s="12">
        <f t="shared" si="88"/>
        <v>6</v>
      </c>
      <c r="J271" s="20"/>
      <c r="K271" s="20"/>
      <c r="L271" s="5"/>
      <c r="S271" s="16"/>
      <c r="T271" s="16"/>
    </row>
    <row r="272" spans="1:20" s="61" customFormat="1" ht="13.8" customHeight="1" x14ac:dyDescent="0.25">
      <c r="A272" s="11">
        <v>46268</v>
      </c>
      <c r="B272" s="12" t="s">
        <v>15</v>
      </c>
      <c r="C272" s="13">
        <v>12</v>
      </c>
      <c r="D272" s="13">
        <v>4</v>
      </c>
      <c r="E272" s="13">
        <v>5</v>
      </c>
      <c r="F272" s="14">
        <v>3</v>
      </c>
      <c r="G272" s="14">
        <v>1</v>
      </c>
      <c r="H272" s="14">
        <v>3</v>
      </c>
      <c r="I272" s="12">
        <f t="shared" ref="I272:I277" si="90">SUM(C272:H272)</f>
        <v>28</v>
      </c>
      <c r="J272" s="15">
        <f>(I276)/(I272+I276+J274)</f>
        <v>0.9256055363321799</v>
      </c>
      <c r="K272" s="15">
        <f>(I276-I272-I273-J274)/(I276)</f>
        <v>0.86915887850467288</v>
      </c>
    </row>
    <row r="273" spans="1:11" s="61" customFormat="1" ht="12.6" customHeight="1" x14ac:dyDescent="0.25">
      <c r="A273" s="11">
        <v>46268</v>
      </c>
      <c r="B273" s="12" t="s">
        <v>16</v>
      </c>
      <c r="C273" s="13">
        <v>4</v>
      </c>
      <c r="D273" s="13">
        <v>9</v>
      </c>
      <c r="E273" s="13">
        <v>6</v>
      </c>
      <c r="F273" s="14">
        <v>2</v>
      </c>
      <c r="G273" s="14">
        <v>0</v>
      </c>
      <c r="H273" s="14">
        <v>6</v>
      </c>
      <c r="I273" s="12">
        <f t="shared" si="90"/>
        <v>27</v>
      </c>
      <c r="J273" s="17"/>
      <c r="K273" s="17"/>
    </row>
    <row r="274" spans="1:11" s="61" customFormat="1" ht="12.6" customHeight="1" x14ac:dyDescent="0.25">
      <c r="A274" s="11">
        <v>46268</v>
      </c>
      <c r="B274" s="12" t="s">
        <v>17</v>
      </c>
      <c r="C274" s="14">
        <v>19</v>
      </c>
      <c r="D274" s="14">
        <v>15</v>
      </c>
      <c r="E274" s="14">
        <v>24</v>
      </c>
      <c r="F274" s="14">
        <v>18</v>
      </c>
      <c r="G274" s="14">
        <v>23</v>
      </c>
      <c r="H274" s="14">
        <v>15</v>
      </c>
      <c r="I274" s="12">
        <f t="shared" si="90"/>
        <v>114</v>
      </c>
      <c r="J274" s="19">
        <v>15</v>
      </c>
      <c r="K274" s="20"/>
    </row>
    <row r="275" spans="1:11" s="61" customFormat="1" ht="11.4" customHeight="1" x14ac:dyDescent="0.25">
      <c r="A275" s="11">
        <v>46268</v>
      </c>
      <c r="B275" s="12" t="s">
        <v>18</v>
      </c>
      <c r="C275" s="14">
        <f t="shared" ref="C275:H275" si="91">SUM(C276-C273-C272-C277)</f>
        <v>106</v>
      </c>
      <c r="D275" s="14">
        <f t="shared" si="91"/>
        <v>92</v>
      </c>
      <c r="E275" s="14">
        <f t="shared" si="91"/>
        <v>78</v>
      </c>
      <c r="F275" s="14">
        <f t="shared" si="91"/>
        <v>76</v>
      </c>
      <c r="G275" s="14">
        <f t="shared" si="91"/>
        <v>56</v>
      </c>
      <c r="H275" s="14">
        <f t="shared" si="91"/>
        <v>66</v>
      </c>
      <c r="I275" s="21">
        <f t="shared" si="90"/>
        <v>474</v>
      </c>
      <c r="J275" s="20"/>
      <c r="K275" s="20"/>
    </row>
    <row r="276" spans="1:11" s="61" customFormat="1" ht="11.4" customHeight="1" x14ac:dyDescent="0.25">
      <c r="A276" s="11">
        <v>46268</v>
      </c>
      <c r="B276" s="23" t="s">
        <v>19</v>
      </c>
      <c r="C276" s="23">
        <v>125</v>
      </c>
      <c r="D276" s="23">
        <v>106</v>
      </c>
      <c r="E276" s="23">
        <v>91</v>
      </c>
      <c r="F276" s="23">
        <v>81</v>
      </c>
      <c r="G276" s="23">
        <v>57</v>
      </c>
      <c r="H276" s="23">
        <v>75</v>
      </c>
      <c r="I276" s="23">
        <f t="shared" si="90"/>
        <v>535</v>
      </c>
      <c r="J276" s="20"/>
      <c r="K276" s="20"/>
    </row>
    <row r="277" spans="1:11" s="61" customFormat="1" ht="12.6" customHeight="1" x14ac:dyDescent="0.25">
      <c r="A277" s="11">
        <v>46268</v>
      </c>
      <c r="B277" s="12" t="s">
        <v>20</v>
      </c>
      <c r="C277" s="14">
        <v>3</v>
      </c>
      <c r="D277" s="14">
        <v>1</v>
      </c>
      <c r="E277" s="14">
        <v>2</v>
      </c>
      <c r="F277" s="14">
        <v>0</v>
      </c>
      <c r="G277" s="14">
        <v>0</v>
      </c>
      <c r="H277" s="14">
        <v>0</v>
      </c>
      <c r="I277" s="12">
        <f t="shared" si="90"/>
        <v>6</v>
      </c>
      <c r="J277" s="20"/>
      <c r="K277" s="20"/>
    </row>
    <row r="278" spans="1:11" s="61" customFormat="1" ht="10.199999999999999" customHeight="1" x14ac:dyDescent="0.25">
      <c r="A278" s="11">
        <v>46267</v>
      </c>
      <c r="B278" s="12" t="s">
        <v>15</v>
      </c>
      <c r="C278" s="13">
        <v>7</v>
      </c>
      <c r="D278" s="13">
        <v>5</v>
      </c>
      <c r="E278" s="13">
        <v>4</v>
      </c>
      <c r="F278" s="14">
        <v>1</v>
      </c>
      <c r="G278" s="14">
        <v>0</v>
      </c>
      <c r="H278" s="14">
        <v>4</v>
      </c>
      <c r="I278" s="12">
        <f t="shared" ref="I278:I283" si="92">SUM(C278:H278)</f>
        <v>21</v>
      </c>
      <c r="J278" s="15">
        <f>(I282)/(I278+I282+J280)</f>
        <v>0.9369527145359019</v>
      </c>
      <c r="K278" s="15">
        <f>(I282-I278-I279-J280)/(I282)</f>
        <v>0.86915887850467288</v>
      </c>
    </row>
    <row r="279" spans="1:11" s="61" customFormat="1" ht="13.8" customHeight="1" x14ac:dyDescent="0.25">
      <c r="A279" s="11">
        <v>46267</v>
      </c>
      <c r="B279" s="12" t="s">
        <v>16</v>
      </c>
      <c r="C279" s="13">
        <v>4</v>
      </c>
      <c r="D279" s="13">
        <v>10</v>
      </c>
      <c r="E279" s="13">
        <v>8</v>
      </c>
      <c r="F279" s="14">
        <v>4</v>
      </c>
      <c r="G279" s="14">
        <v>2</v>
      </c>
      <c r="H279" s="14">
        <v>6</v>
      </c>
      <c r="I279" s="12">
        <f t="shared" si="92"/>
        <v>34</v>
      </c>
      <c r="J279" s="17"/>
      <c r="K279" s="17"/>
    </row>
    <row r="280" spans="1:11" s="61" customFormat="1" ht="11.4" customHeight="1" x14ac:dyDescent="0.25">
      <c r="A280" s="11">
        <v>46267</v>
      </c>
      <c r="B280" s="12" t="s">
        <v>17</v>
      </c>
      <c r="C280" s="14">
        <v>19</v>
      </c>
      <c r="D280" s="14">
        <v>15</v>
      </c>
      <c r="E280" s="14">
        <v>25</v>
      </c>
      <c r="F280" s="14">
        <v>18</v>
      </c>
      <c r="G280" s="14">
        <v>23</v>
      </c>
      <c r="H280" s="14">
        <v>12</v>
      </c>
      <c r="I280" s="12">
        <f t="shared" si="92"/>
        <v>112</v>
      </c>
      <c r="J280" s="19">
        <v>15</v>
      </c>
      <c r="K280" s="20"/>
    </row>
    <row r="281" spans="1:11" s="61" customFormat="1" ht="12.6" customHeight="1" x14ac:dyDescent="0.25">
      <c r="A281" s="11">
        <v>46267</v>
      </c>
      <c r="B281" s="12" t="s">
        <v>18</v>
      </c>
      <c r="C281" s="14">
        <f t="shared" ref="C281:H281" si="93">SUM(C282-C279-C278-C283)</f>
        <v>111</v>
      </c>
      <c r="D281" s="14">
        <f t="shared" si="93"/>
        <v>90</v>
      </c>
      <c r="E281" s="14">
        <f t="shared" si="93"/>
        <v>77</v>
      </c>
      <c r="F281" s="14">
        <f t="shared" si="93"/>
        <v>76</v>
      </c>
      <c r="G281" s="14">
        <f t="shared" si="93"/>
        <v>55</v>
      </c>
      <c r="H281" s="14">
        <f t="shared" si="93"/>
        <v>65</v>
      </c>
      <c r="I281" s="21">
        <f t="shared" si="92"/>
        <v>474</v>
      </c>
      <c r="J281" s="20"/>
      <c r="K281" s="20"/>
    </row>
    <row r="282" spans="1:11" s="61" customFormat="1" ht="12.6" customHeight="1" x14ac:dyDescent="0.25">
      <c r="A282" s="11">
        <v>46267</v>
      </c>
      <c r="B282" s="23" t="s">
        <v>19</v>
      </c>
      <c r="C282" s="23">
        <v>125</v>
      </c>
      <c r="D282" s="23">
        <v>106</v>
      </c>
      <c r="E282" s="23">
        <v>91</v>
      </c>
      <c r="F282" s="23">
        <v>81</v>
      </c>
      <c r="G282" s="23">
        <v>57</v>
      </c>
      <c r="H282" s="23">
        <v>75</v>
      </c>
      <c r="I282" s="23">
        <f t="shared" si="92"/>
        <v>535</v>
      </c>
      <c r="J282" s="20"/>
      <c r="K282" s="20"/>
    </row>
    <row r="283" spans="1:11" s="61" customFormat="1" ht="14.4" customHeight="1" x14ac:dyDescent="0.25">
      <c r="A283" s="11">
        <v>46267</v>
      </c>
      <c r="B283" s="12" t="s">
        <v>20</v>
      </c>
      <c r="C283" s="14">
        <v>3</v>
      </c>
      <c r="D283" s="14">
        <v>1</v>
      </c>
      <c r="E283" s="14">
        <v>2</v>
      </c>
      <c r="F283" s="14">
        <v>0</v>
      </c>
      <c r="G283" s="14">
        <v>0</v>
      </c>
      <c r="H283" s="14">
        <v>0</v>
      </c>
      <c r="I283" s="12">
        <f t="shared" si="92"/>
        <v>6</v>
      </c>
      <c r="J283" s="20"/>
      <c r="K283" s="20"/>
    </row>
    <row r="284" spans="1:11" s="61" customFormat="1" ht="10.199999999999999" customHeight="1" x14ac:dyDescent="0.25">
      <c r="A284" s="11">
        <v>46266</v>
      </c>
      <c r="B284" s="12" t="s">
        <v>15</v>
      </c>
      <c r="C284" s="13">
        <v>7</v>
      </c>
      <c r="D284" s="13">
        <v>5</v>
      </c>
      <c r="E284" s="13">
        <v>4</v>
      </c>
      <c r="F284" s="14">
        <v>1</v>
      </c>
      <c r="G284" s="14">
        <v>0</v>
      </c>
      <c r="H284" s="14">
        <v>4</v>
      </c>
      <c r="I284" s="12">
        <f t="shared" ref="I284:I289" si="94">SUM(C284:H284)</f>
        <v>21</v>
      </c>
      <c r="J284" s="15">
        <f>(I288)/(I284+I288+J286)</f>
        <v>0.9369527145359019</v>
      </c>
      <c r="K284" s="15">
        <f>(I288-I284-I285-J286)/(I288)</f>
        <v>0.86915887850467288</v>
      </c>
    </row>
    <row r="285" spans="1:11" s="61" customFormat="1" ht="11.4" customHeight="1" x14ac:dyDescent="0.25">
      <c r="A285" s="11">
        <v>46266</v>
      </c>
      <c r="B285" s="12" t="s">
        <v>16</v>
      </c>
      <c r="C285" s="13">
        <v>4</v>
      </c>
      <c r="D285" s="13">
        <v>10</v>
      </c>
      <c r="E285" s="13">
        <v>8</v>
      </c>
      <c r="F285" s="14">
        <v>4</v>
      </c>
      <c r="G285" s="14">
        <v>2</v>
      </c>
      <c r="H285" s="14">
        <v>6</v>
      </c>
      <c r="I285" s="12">
        <f t="shared" si="94"/>
        <v>34</v>
      </c>
      <c r="J285" s="17"/>
      <c r="K285" s="17"/>
    </row>
    <row r="286" spans="1:11" s="61" customFormat="1" ht="11.4" customHeight="1" x14ac:dyDescent="0.25">
      <c r="A286" s="11">
        <v>46266</v>
      </c>
      <c r="B286" s="12" t="s">
        <v>17</v>
      </c>
      <c r="C286" s="14">
        <v>19</v>
      </c>
      <c r="D286" s="14">
        <v>15</v>
      </c>
      <c r="E286" s="14">
        <v>25</v>
      </c>
      <c r="F286" s="14">
        <v>18</v>
      </c>
      <c r="G286" s="14">
        <v>23</v>
      </c>
      <c r="H286" s="14">
        <v>12</v>
      </c>
      <c r="I286" s="12">
        <f t="shared" si="94"/>
        <v>112</v>
      </c>
      <c r="J286" s="19">
        <v>15</v>
      </c>
      <c r="K286" s="20"/>
    </row>
    <row r="287" spans="1:11" s="61" customFormat="1" ht="12" customHeight="1" x14ac:dyDescent="0.25">
      <c r="A287" s="11">
        <v>46266</v>
      </c>
      <c r="B287" s="12" t="s">
        <v>18</v>
      </c>
      <c r="C287" s="14">
        <f t="shared" ref="C287:H287" si="95">SUM(C288-C285-C284-C289)</f>
        <v>111</v>
      </c>
      <c r="D287" s="14">
        <f t="shared" si="95"/>
        <v>90</v>
      </c>
      <c r="E287" s="14">
        <f t="shared" si="95"/>
        <v>77</v>
      </c>
      <c r="F287" s="14">
        <f t="shared" si="95"/>
        <v>76</v>
      </c>
      <c r="G287" s="14">
        <f t="shared" si="95"/>
        <v>55</v>
      </c>
      <c r="H287" s="14">
        <f t="shared" si="95"/>
        <v>65</v>
      </c>
      <c r="I287" s="21">
        <f t="shared" si="94"/>
        <v>474</v>
      </c>
      <c r="J287" s="20"/>
      <c r="K287" s="20"/>
    </row>
    <row r="288" spans="1:11" s="61" customFormat="1" ht="12" x14ac:dyDescent="0.25">
      <c r="A288" s="11">
        <v>46266</v>
      </c>
      <c r="B288" s="23" t="s">
        <v>19</v>
      </c>
      <c r="C288" s="23">
        <v>125</v>
      </c>
      <c r="D288" s="23">
        <v>106</v>
      </c>
      <c r="E288" s="23">
        <v>91</v>
      </c>
      <c r="F288" s="23">
        <v>81</v>
      </c>
      <c r="G288" s="23">
        <v>57</v>
      </c>
      <c r="H288" s="23">
        <v>75</v>
      </c>
      <c r="I288" s="23">
        <f t="shared" si="94"/>
        <v>535</v>
      </c>
      <c r="J288" s="20"/>
      <c r="K288" s="20"/>
    </row>
    <row r="289" spans="1:11" s="61" customFormat="1" ht="12" x14ac:dyDescent="0.25">
      <c r="A289" s="11">
        <v>46266</v>
      </c>
      <c r="B289" s="12" t="s">
        <v>20</v>
      </c>
      <c r="C289" s="14">
        <v>3</v>
      </c>
      <c r="D289" s="14">
        <v>1</v>
      </c>
      <c r="E289" s="14">
        <v>2</v>
      </c>
      <c r="F289" s="14">
        <v>0</v>
      </c>
      <c r="G289" s="14">
        <v>0</v>
      </c>
      <c r="H289" s="14">
        <v>0</v>
      </c>
      <c r="I289" s="12">
        <f t="shared" si="94"/>
        <v>6</v>
      </c>
      <c r="J289" s="20"/>
      <c r="K289" s="20"/>
    </row>
    <row r="290" spans="1:11" s="61" customFormat="1" ht="12" x14ac:dyDescent="0.25">
      <c r="A290" s="15"/>
      <c r="B290" s="15"/>
      <c r="C290" s="16"/>
      <c r="D290" s="17"/>
      <c r="E290" s="17"/>
      <c r="F290" s="17"/>
      <c r="G290" s="17"/>
      <c r="H290" s="17"/>
      <c r="I290" s="17"/>
      <c r="J290" s="17"/>
      <c r="K290" s="18"/>
    </row>
    <row r="291" spans="1:11" s="61" customFormat="1" ht="11.4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8"/>
    </row>
    <row r="292" spans="1:11" s="61" customFormat="1" ht="11.4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6"/>
    </row>
    <row r="293" spans="1:11" s="61" customFormat="1" ht="11.4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6"/>
    </row>
    <row r="294" spans="1:11" s="61" customFormat="1" ht="11.4" x14ac:dyDescent="0.25">
      <c r="A294" s="24"/>
      <c r="B294" s="17"/>
      <c r="C294" s="17"/>
      <c r="D294" s="17"/>
      <c r="E294" s="17"/>
      <c r="F294" s="17"/>
      <c r="G294" s="17"/>
      <c r="H294" s="17"/>
      <c r="I294" s="17"/>
      <c r="J294" s="17"/>
      <c r="K294" s="16"/>
    </row>
    <row r="295" spans="1:11" s="61" customFormat="1" ht="13.8" customHeight="1" x14ac:dyDescent="0.2">
      <c r="A295" s="17"/>
      <c r="B295" s="17"/>
      <c r="C295" s="17"/>
      <c r="D295" s="17"/>
      <c r="E295" s="17"/>
      <c r="F295" s="17"/>
      <c r="G295" s="17"/>
      <c r="H295" s="17"/>
      <c r="I295" s="2"/>
      <c r="J295" s="2"/>
      <c r="K295" s="5"/>
    </row>
    <row r="296" spans="1:11" x14ac:dyDescent="0.25">
      <c r="A296" s="15"/>
      <c r="B296" s="15"/>
      <c r="C296" s="16"/>
      <c r="D296" s="17"/>
      <c r="E296" s="17"/>
      <c r="F296" s="17"/>
      <c r="G296" s="17"/>
      <c r="H296" s="17"/>
      <c r="I296" s="17"/>
      <c r="J296" s="17"/>
      <c r="K296" s="18"/>
    </row>
    <row r="297" spans="1:1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8"/>
    </row>
    <row r="298" spans="1:1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6"/>
    </row>
    <row r="299" spans="1:1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6"/>
    </row>
    <row r="300" spans="1:11" x14ac:dyDescent="0.25">
      <c r="A300" s="24"/>
      <c r="B300" s="17"/>
      <c r="C300" s="17"/>
      <c r="D300" s="17"/>
      <c r="E300" s="17"/>
      <c r="F300" s="17"/>
      <c r="G300" s="17"/>
      <c r="H300" s="17"/>
      <c r="I300" s="17"/>
      <c r="J300" s="17"/>
      <c r="K300" s="16"/>
    </row>
    <row r="301" spans="1:11" x14ac:dyDescent="0.2">
      <c r="A301" s="17"/>
      <c r="B301" s="17"/>
      <c r="C301" s="17"/>
      <c r="D301" s="17"/>
      <c r="E301" s="17"/>
      <c r="F301" s="17"/>
      <c r="G301" s="17"/>
      <c r="H301" s="17"/>
      <c r="I301" s="2"/>
      <c r="J301" s="2"/>
      <c r="K301" s="5"/>
    </row>
    <row r="302" spans="1:11" x14ac:dyDescent="0.25">
      <c r="A302" s="15"/>
      <c r="B302" s="15"/>
      <c r="C302" s="16"/>
      <c r="D302" s="17"/>
      <c r="E302" s="17"/>
      <c r="F302" s="17"/>
      <c r="G302" s="17"/>
      <c r="H302" s="17"/>
      <c r="I302" s="17"/>
      <c r="J302" s="17"/>
      <c r="K302" s="18"/>
    </row>
    <row r="303" spans="1:1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8"/>
    </row>
    <row r="304" spans="1:1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6"/>
    </row>
    <row r="305" spans="1:1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6"/>
    </row>
    <row r="306" spans="1:11" x14ac:dyDescent="0.25">
      <c r="A306" s="24"/>
      <c r="B306" s="17"/>
      <c r="C306" s="17"/>
      <c r="D306" s="17"/>
      <c r="E306" s="17"/>
      <c r="F306" s="17"/>
      <c r="G306" s="17"/>
      <c r="H306" s="17"/>
      <c r="I306" s="17"/>
      <c r="J306" s="17"/>
      <c r="K306" s="16"/>
    </row>
    <row r="307" spans="1:11" x14ac:dyDescent="0.2">
      <c r="A307" s="17"/>
      <c r="B307" s="17"/>
      <c r="C307" s="17"/>
      <c r="D307" s="17"/>
      <c r="E307" s="17"/>
      <c r="F307" s="17"/>
      <c r="G307" s="17"/>
      <c r="H307" s="17"/>
      <c r="I307" s="2"/>
      <c r="J307" s="2"/>
      <c r="K307" s="5"/>
    </row>
    <row r="308" spans="1:11" x14ac:dyDescent="0.25">
      <c r="A308" s="15"/>
      <c r="B308" s="15"/>
      <c r="C308" s="16"/>
      <c r="D308" s="17"/>
      <c r="E308" s="17"/>
      <c r="F308" s="17"/>
      <c r="G308" s="17"/>
      <c r="H308" s="17"/>
      <c r="I308" s="17"/>
      <c r="J308" s="17"/>
      <c r="K308" s="18"/>
    </row>
    <row r="309" spans="1:1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8"/>
    </row>
    <row r="310" spans="1:1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6"/>
    </row>
    <row r="311" spans="1:1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6"/>
    </row>
    <row r="312" spans="1:11" x14ac:dyDescent="0.25">
      <c r="A312" s="24"/>
      <c r="B312" s="17"/>
      <c r="C312" s="17"/>
      <c r="D312" s="17"/>
      <c r="E312" s="17"/>
      <c r="F312" s="17"/>
      <c r="G312" s="17"/>
      <c r="H312" s="17"/>
      <c r="I312" s="17"/>
      <c r="J312" s="17"/>
      <c r="K312" s="16"/>
    </row>
    <row r="313" spans="1:11" x14ac:dyDescent="0.2">
      <c r="A313" s="17"/>
      <c r="B313" s="17"/>
      <c r="C313" s="17"/>
      <c r="D313" s="17"/>
      <c r="E313" s="17"/>
      <c r="F313" s="17"/>
      <c r="G313" s="17"/>
      <c r="H313" s="17"/>
      <c r="I313" s="2"/>
      <c r="J313" s="2"/>
      <c r="K313" s="5"/>
    </row>
    <row r="314" spans="1:11" x14ac:dyDescent="0.25">
      <c r="A314" s="15"/>
      <c r="B314" s="15"/>
      <c r="C314" s="16"/>
      <c r="D314" s="17"/>
      <c r="E314" s="17"/>
      <c r="F314" s="17"/>
      <c r="G314" s="17"/>
      <c r="H314" s="17"/>
      <c r="I314" s="17"/>
      <c r="J314" s="17"/>
      <c r="K314" s="18"/>
    </row>
    <row r="315" spans="1:1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8"/>
    </row>
    <row r="316" spans="1:1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6"/>
    </row>
    <row r="317" spans="1:1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6"/>
    </row>
    <row r="318" spans="1:11" x14ac:dyDescent="0.25">
      <c r="A318" s="24"/>
      <c r="B318" s="17"/>
      <c r="C318" s="17"/>
      <c r="D318" s="17"/>
      <c r="E318" s="17"/>
      <c r="F318" s="17"/>
      <c r="G318" s="17"/>
      <c r="H318" s="17"/>
      <c r="I318" s="17"/>
      <c r="J318" s="17"/>
      <c r="K318" s="16"/>
    </row>
    <row r="319" spans="1:11" x14ac:dyDescent="0.2">
      <c r="A319" s="17"/>
      <c r="B319" s="17"/>
      <c r="C319" s="17"/>
      <c r="D319" s="17"/>
      <c r="E319" s="17"/>
      <c r="F319" s="17"/>
      <c r="G319" s="17"/>
      <c r="H319" s="17"/>
      <c r="I319" s="2"/>
      <c r="J319" s="2"/>
      <c r="K319" s="5"/>
    </row>
    <row r="320" spans="1:11" x14ac:dyDescent="0.25">
      <c r="A320" s="15"/>
      <c r="B320" s="15"/>
      <c r="C320" s="16"/>
      <c r="D320" s="17"/>
      <c r="E320" s="17"/>
      <c r="F320" s="17"/>
      <c r="G320" s="17"/>
      <c r="H320" s="17"/>
      <c r="I320" s="17"/>
      <c r="J320" s="17"/>
      <c r="K320" s="18"/>
    </row>
    <row r="321" spans="1:20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8"/>
    </row>
    <row r="322" spans="1:20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6"/>
    </row>
    <row r="323" spans="1:20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6"/>
    </row>
    <row r="324" spans="1:20" x14ac:dyDescent="0.25">
      <c r="A324" s="24"/>
      <c r="B324" s="17"/>
      <c r="C324" s="17"/>
      <c r="D324" s="17"/>
      <c r="E324" s="17"/>
      <c r="F324" s="17"/>
      <c r="G324" s="17"/>
      <c r="H324" s="17"/>
      <c r="I324" s="17"/>
      <c r="J324" s="17"/>
      <c r="K324" s="16"/>
    </row>
    <row r="325" spans="1:20" x14ac:dyDescent="0.2">
      <c r="A325" s="17"/>
      <c r="B325" s="17"/>
      <c r="C325" s="17"/>
      <c r="D325" s="17"/>
      <c r="E325" s="17"/>
      <c r="F325" s="17"/>
      <c r="G325" s="17"/>
      <c r="H325" s="17"/>
      <c r="I325" s="2"/>
      <c r="J325" s="2"/>
      <c r="K325" s="5"/>
    </row>
    <row r="326" spans="1:20" s="17" customFormat="1" ht="17.399999999999999" customHeight="1" x14ac:dyDescent="0.25">
      <c r="A326" s="15"/>
      <c r="B326" s="15"/>
      <c r="C326" s="16"/>
      <c r="K326" s="18"/>
      <c r="L326" s="18"/>
      <c r="S326" s="16"/>
      <c r="T326" s="16"/>
    </row>
    <row r="327" spans="1:20" s="17" customFormat="1" ht="17.399999999999999" customHeight="1" x14ac:dyDescent="0.25">
      <c r="K327" s="18"/>
      <c r="L327" s="18"/>
      <c r="S327" s="16"/>
      <c r="T327" s="16"/>
    </row>
    <row r="328" spans="1:20" s="17" customFormat="1" ht="17.399999999999999" customHeight="1" x14ac:dyDescent="0.25">
      <c r="K328" s="16"/>
      <c r="L328" s="16"/>
      <c r="S328" s="16"/>
      <c r="T328" s="16"/>
    </row>
    <row r="329" spans="1:20" s="17" customFormat="1" ht="17.399999999999999" customHeight="1" x14ac:dyDescent="0.25">
      <c r="K329" s="16"/>
      <c r="L329" s="16"/>
      <c r="S329" s="16"/>
      <c r="T329" s="16"/>
    </row>
    <row r="330" spans="1:20" s="17" customFormat="1" ht="17.100000000000001" customHeight="1" x14ac:dyDescent="0.25">
      <c r="A330" s="24"/>
      <c r="K330" s="16"/>
      <c r="L330" s="16"/>
      <c r="S330" s="16"/>
      <c r="T330" s="16"/>
    </row>
    <row r="331" spans="1:20" s="17" customFormat="1" ht="17.399999999999999" customHeight="1" x14ac:dyDescent="0.2">
      <c r="I331" s="2"/>
      <c r="J331" s="2"/>
      <c r="K331" s="5"/>
      <c r="L331" s="5"/>
      <c r="S331" s="16"/>
      <c r="T331" s="16"/>
    </row>
    <row r="332" spans="1:20" s="17" customFormat="1" ht="17.399999999999999" customHeight="1" x14ac:dyDescent="0.25">
      <c r="A332" s="15"/>
      <c r="B332" s="15"/>
      <c r="C332" s="16"/>
      <c r="K332" s="18"/>
      <c r="L332" s="18"/>
      <c r="S332" s="16"/>
      <c r="T332" s="16"/>
    </row>
    <row r="333" spans="1:20" s="17" customFormat="1" ht="17.399999999999999" customHeight="1" x14ac:dyDescent="0.25">
      <c r="K333" s="18"/>
      <c r="L333" s="18"/>
      <c r="S333" s="16"/>
      <c r="T333" s="16"/>
    </row>
    <row r="334" spans="1:20" s="17" customFormat="1" ht="17.399999999999999" customHeight="1" x14ac:dyDescent="0.25">
      <c r="K334" s="16"/>
      <c r="L334" s="16"/>
      <c r="S334" s="16"/>
      <c r="T334" s="16"/>
    </row>
    <row r="335" spans="1:20" s="17" customFormat="1" ht="17.399999999999999" customHeight="1" x14ac:dyDescent="0.25">
      <c r="K335" s="16"/>
      <c r="L335" s="16"/>
      <c r="S335" s="16"/>
      <c r="T335" s="16"/>
    </row>
    <row r="336" spans="1:20" s="17" customFormat="1" ht="17.100000000000001" customHeight="1" x14ac:dyDescent="0.25">
      <c r="A336" s="24"/>
      <c r="K336" s="16"/>
      <c r="L336" s="16"/>
      <c r="S336" s="16"/>
      <c r="T336" s="16"/>
    </row>
    <row r="337" spans="1:20" s="17" customFormat="1" ht="17.399999999999999" customHeight="1" x14ac:dyDescent="0.2">
      <c r="I337" s="2"/>
      <c r="J337" s="2"/>
      <c r="K337" s="5"/>
      <c r="L337" s="5"/>
      <c r="S337" s="16"/>
      <c r="T337" s="16"/>
    </row>
    <row r="338" spans="1:20" s="17" customFormat="1" ht="17.399999999999999" customHeight="1" x14ac:dyDescent="0.25">
      <c r="A338" s="15"/>
      <c r="B338" s="15"/>
      <c r="C338" s="16"/>
      <c r="K338" s="18"/>
      <c r="L338" s="18"/>
      <c r="S338" s="16"/>
      <c r="T338" s="16"/>
    </row>
    <row r="339" spans="1:20" s="17" customFormat="1" ht="17.399999999999999" customHeight="1" x14ac:dyDescent="0.25">
      <c r="K339" s="18"/>
      <c r="L339" s="18"/>
      <c r="S339" s="16"/>
      <c r="T339" s="16"/>
    </row>
    <row r="340" spans="1:20" s="17" customFormat="1" ht="17.399999999999999" customHeight="1" x14ac:dyDescent="0.25">
      <c r="K340" s="16"/>
      <c r="L340" s="16"/>
      <c r="S340" s="16"/>
      <c r="T340" s="16"/>
    </row>
    <row r="341" spans="1:20" s="17" customFormat="1" ht="17.399999999999999" customHeight="1" x14ac:dyDescent="0.25">
      <c r="K341" s="16"/>
      <c r="L341" s="16"/>
      <c r="S341" s="16"/>
      <c r="T341" s="16"/>
    </row>
    <row r="342" spans="1:20" s="17" customFormat="1" ht="17.100000000000001" customHeight="1" x14ac:dyDescent="0.25">
      <c r="A342" s="24"/>
      <c r="K342" s="16"/>
      <c r="L342" s="16"/>
      <c r="S342" s="16"/>
      <c r="T342" s="16"/>
    </row>
    <row r="343" spans="1:20" s="17" customFormat="1" ht="17.399999999999999" customHeight="1" x14ac:dyDescent="0.2">
      <c r="I343" s="2"/>
      <c r="J343" s="2"/>
      <c r="K343" s="5"/>
      <c r="L343" s="5"/>
      <c r="S343" s="16"/>
      <c r="T343" s="16"/>
    </row>
    <row r="344" spans="1:20" s="17" customFormat="1" ht="17.399999999999999" customHeight="1" x14ac:dyDescent="0.25">
      <c r="A344" s="15"/>
      <c r="B344" s="15"/>
      <c r="C344" s="16"/>
      <c r="K344" s="18"/>
      <c r="L344" s="18"/>
      <c r="S344" s="16"/>
      <c r="T344" s="16"/>
    </row>
    <row r="345" spans="1:20" s="17" customFormat="1" ht="17.399999999999999" customHeight="1" x14ac:dyDescent="0.25">
      <c r="K345" s="18"/>
      <c r="L345" s="18"/>
      <c r="S345" s="16"/>
      <c r="T345" s="16"/>
    </row>
    <row r="346" spans="1:20" s="17" customFormat="1" ht="17.399999999999999" customHeight="1" x14ac:dyDescent="0.25">
      <c r="K346" s="16"/>
      <c r="L346" s="16"/>
      <c r="S346" s="16"/>
      <c r="T346" s="16"/>
    </row>
    <row r="347" spans="1:20" s="17" customFormat="1" ht="17.399999999999999" customHeight="1" x14ac:dyDescent="0.25">
      <c r="K347" s="16"/>
      <c r="L347" s="16"/>
      <c r="S347" s="16"/>
      <c r="T347" s="16"/>
    </row>
    <row r="348" spans="1:20" s="17" customFormat="1" ht="17.100000000000001" customHeight="1" x14ac:dyDescent="0.25">
      <c r="A348" s="24"/>
      <c r="K348" s="16"/>
      <c r="L348" s="16"/>
      <c r="S348" s="16"/>
      <c r="T348" s="16"/>
    </row>
    <row r="349" spans="1:20" s="17" customFormat="1" ht="17.399999999999999" customHeight="1" x14ac:dyDescent="0.2">
      <c r="I349" s="2"/>
      <c r="J349" s="2"/>
      <c r="K349" s="5"/>
      <c r="L349" s="5"/>
      <c r="S349" s="16"/>
      <c r="T349" s="16"/>
    </row>
    <row r="350" spans="1:20" s="17" customFormat="1" ht="17.399999999999999" customHeight="1" x14ac:dyDescent="0.25">
      <c r="A350" s="15"/>
      <c r="B350" s="15"/>
      <c r="C350" s="16"/>
      <c r="K350" s="18"/>
      <c r="L350" s="18"/>
      <c r="S350" s="16"/>
      <c r="T350" s="16"/>
    </row>
    <row r="351" spans="1:20" s="17" customFormat="1" ht="17.399999999999999" customHeight="1" x14ac:dyDescent="0.25">
      <c r="K351" s="18"/>
      <c r="L351" s="18"/>
      <c r="S351" s="16"/>
      <c r="T351" s="16"/>
    </row>
    <row r="352" spans="1:20" s="17" customFormat="1" ht="17.399999999999999" customHeight="1" x14ac:dyDescent="0.25">
      <c r="K352" s="16"/>
      <c r="L352" s="16"/>
      <c r="S352" s="16"/>
      <c r="T352" s="16"/>
    </row>
    <row r="353" spans="1:20" s="17" customFormat="1" ht="17.399999999999999" customHeight="1" x14ac:dyDescent="0.25">
      <c r="K353" s="16"/>
      <c r="L353" s="16"/>
      <c r="S353" s="16"/>
      <c r="T353" s="16"/>
    </row>
    <row r="354" spans="1:20" s="17" customFormat="1" ht="17.100000000000001" customHeight="1" x14ac:dyDescent="0.25">
      <c r="A354" s="24"/>
      <c r="K354" s="16"/>
      <c r="L354" s="16"/>
      <c r="S354" s="16"/>
      <c r="T354" s="16"/>
    </row>
    <row r="355" spans="1:20" s="17" customFormat="1" ht="17.399999999999999" customHeight="1" x14ac:dyDescent="0.2">
      <c r="I355" s="2"/>
      <c r="J355" s="2"/>
      <c r="K355" s="5"/>
      <c r="L355" s="5"/>
      <c r="S355" s="16"/>
      <c r="T355" s="16"/>
    </row>
    <row r="356" spans="1:20" s="17" customFormat="1" ht="17.399999999999999" customHeight="1" x14ac:dyDescent="0.25">
      <c r="A356" s="15"/>
      <c r="B356" s="15"/>
      <c r="C356" s="16"/>
      <c r="K356" s="18"/>
      <c r="L356" s="18"/>
      <c r="S356" s="16"/>
      <c r="T356" s="16"/>
    </row>
    <row r="357" spans="1:20" s="17" customFormat="1" ht="17.399999999999999" customHeight="1" x14ac:dyDescent="0.25">
      <c r="K357" s="18"/>
      <c r="L357" s="18"/>
      <c r="S357" s="16"/>
      <c r="T357" s="16"/>
    </row>
    <row r="358" spans="1:20" s="17" customFormat="1" ht="17.399999999999999" customHeight="1" x14ac:dyDescent="0.25">
      <c r="K358" s="16"/>
      <c r="L358" s="16"/>
      <c r="S358" s="16"/>
      <c r="T358" s="16"/>
    </row>
    <row r="359" spans="1:20" s="17" customFormat="1" ht="17.399999999999999" customHeight="1" x14ac:dyDescent="0.25">
      <c r="K359" s="16"/>
      <c r="L359" s="16"/>
      <c r="S359" s="16"/>
      <c r="T359" s="16"/>
    </row>
    <row r="360" spans="1:20" s="17" customFormat="1" ht="17.100000000000001" customHeight="1" x14ac:dyDescent="0.25">
      <c r="A360" s="24"/>
      <c r="K360" s="16"/>
      <c r="L360" s="16"/>
      <c r="S360" s="16"/>
      <c r="T360" s="16"/>
    </row>
    <row r="361" spans="1:20" s="17" customFormat="1" ht="17.399999999999999" customHeight="1" x14ac:dyDescent="0.2">
      <c r="I361" s="2"/>
      <c r="J361" s="2"/>
      <c r="K361" s="5"/>
      <c r="L361" s="5"/>
      <c r="S361" s="16"/>
      <c r="T361" s="16"/>
    </row>
    <row r="362" spans="1:20" s="17" customFormat="1" ht="17.399999999999999" customHeight="1" x14ac:dyDescent="0.25">
      <c r="A362" s="15"/>
      <c r="B362" s="15"/>
      <c r="C362" s="16"/>
      <c r="K362" s="18"/>
      <c r="L362" s="18"/>
      <c r="S362" s="16"/>
      <c r="T362" s="16"/>
    </row>
    <row r="363" spans="1:20" s="17" customFormat="1" ht="17.399999999999999" customHeight="1" x14ac:dyDescent="0.25">
      <c r="K363" s="18"/>
      <c r="L363" s="18"/>
      <c r="S363" s="16"/>
      <c r="T363" s="16"/>
    </row>
    <row r="364" spans="1:20" s="17" customFormat="1" ht="17.399999999999999" customHeight="1" x14ac:dyDescent="0.25">
      <c r="K364" s="16"/>
      <c r="L364" s="16"/>
      <c r="S364" s="16"/>
      <c r="T364" s="16"/>
    </row>
    <row r="365" spans="1:20" s="17" customFormat="1" ht="17.399999999999999" customHeight="1" x14ac:dyDescent="0.25">
      <c r="K365" s="16"/>
      <c r="L365" s="16"/>
      <c r="S365" s="16"/>
      <c r="T365" s="16"/>
    </row>
    <row r="366" spans="1:20" s="17" customFormat="1" ht="17.100000000000001" customHeight="1" x14ac:dyDescent="0.25">
      <c r="A366" s="24"/>
      <c r="K366" s="16"/>
      <c r="L366" s="16"/>
      <c r="S366" s="16"/>
      <c r="T366" s="16"/>
    </row>
    <row r="367" spans="1:20" s="17" customFormat="1" ht="17.399999999999999" customHeight="1" x14ac:dyDescent="0.2">
      <c r="I367" s="2"/>
      <c r="J367" s="2"/>
      <c r="K367" s="5"/>
      <c r="L367" s="5"/>
      <c r="S367" s="16"/>
      <c r="T367" s="16"/>
    </row>
    <row r="368" spans="1:20" s="17" customFormat="1" ht="17.399999999999999" customHeight="1" x14ac:dyDescent="0.25">
      <c r="A368" s="15"/>
      <c r="B368" s="15"/>
      <c r="C368" s="16"/>
      <c r="K368" s="18"/>
      <c r="L368" s="18"/>
      <c r="S368" s="16"/>
      <c r="T368" s="16"/>
    </row>
    <row r="369" spans="1:20" s="17" customFormat="1" ht="17.399999999999999" customHeight="1" x14ac:dyDescent="0.25">
      <c r="K369" s="18"/>
      <c r="L369" s="18"/>
      <c r="S369" s="16"/>
      <c r="T369" s="16"/>
    </row>
    <row r="370" spans="1:20" s="17" customFormat="1" ht="17.399999999999999" customHeight="1" x14ac:dyDescent="0.25">
      <c r="K370" s="16"/>
      <c r="L370" s="16"/>
      <c r="S370" s="16"/>
      <c r="T370" s="16"/>
    </row>
    <row r="371" spans="1:20" s="17" customFormat="1" ht="17.399999999999999" customHeight="1" x14ac:dyDescent="0.25">
      <c r="K371" s="16"/>
      <c r="L371" s="16"/>
      <c r="S371" s="16"/>
      <c r="T371" s="16"/>
    </row>
    <row r="372" spans="1:20" s="17" customFormat="1" ht="17.100000000000001" customHeight="1" x14ac:dyDescent="0.25">
      <c r="A372" s="24"/>
      <c r="K372" s="16"/>
      <c r="L372" s="16"/>
      <c r="S372" s="16"/>
      <c r="T372" s="16"/>
    </row>
    <row r="373" spans="1:20" s="17" customFormat="1" ht="17.399999999999999" customHeight="1" x14ac:dyDescent="0.2">
      <c r="I373" s="2"/>
      <c r="J373" s="2"/>
      <c r="K373" s="5"/>
      <c r="L373" s="5"/>
      <c r="S373" s="16"/>
      <c r="T373" s="16"/>
    </row>
    <row r="374" spans="1:20" s="17" customFormat="1" ht="17.399999999999999" customHeight="1" x14ac:dyDescent="0.25">
      <c r="A374" s="15"/>
      <c r="B374" s="15"/>
      <c r="C374" s="16"/>
      <c r="K374" s="18"/>
      <c r="L374" s="18"/>
      <c r="S374" s="16"/>
      <c r="T374" s="16"/>
    </row>
    <row r="375" spans="1:20" s="17" customFormat="1" ht="17.399999999999999" customHeight="1" x14ac:dyDescent="0.25">
      <c r="K375" s="18"/>
      <c r="L375" s="18"/>
      <c r="S375" s="16"/>
      <c r="T375" s="16"/>
    </row>
    <row r="376" spans="1:20" s="17" customFormat="1" ht="17.399999999999999" customHeight="1" x14ac:dyDescent="0.25">
      <c r="K376" s="16"/>
      <c r="L376" s="16"/>
      <c r="S376" s="16"/>
      <c r="T376" s="16"/>
    </row>
    <row r="377" spans="1:20" s="17" customFormat="1" ht="17.399999999999999" customHeight="1" x14ac:dyDescent="0.25">
      <c r="K377" s="16"/>
      <c r="L377" s="16"/>
      <c r="S377" s="16"/>
      <c r="T377" s="16"/>
    </row>
    <row r="378" spans="1:20" s="17" customFormat="1" ht="17.100000000000001" customHeight="1" x14ac:dyDescent="0.25">
      <c r="A378" s="24"/>
      <c r="K378" s="16"/>
      <c r="L378" s="16"/>
      <c r="S378" s="16"/>
      <c r="T378" s="16"/>
    </row>
    <row r="379" spans="1:20" s="17" customFormat="1" ht="17.399999999999999" customHeight="1" x14ac:dyDescent="0.2">
      <c r="I379" s="2"/>
      <c r="J379" s="2"/>
      <c r="K379" s="5"/>
      <c r="L379" s="5"/>
      <c r="S379" s="16"/>
      <c r="T379" s="16"/>
    </row>
    <row r="380" spans="1:20" s="17" customFormat="1" ht="17.399999999999999" customHeight="1" x14ac:dyDescent="0.25">
      <c r="A380" s="15"/>
      <c r="B380" s="15"/>
      <c r="C380" s="16"/>
      <c r="K380" s="18"/>
      <c r="L380" s="18"/>
      <c r="S380" s="16"/>
      <c r="T380" s="16"/>
    </row>
    <row r="381" spans="1:20" s="17" customFormat="1" ht="17.399999999999999" customHeight="1" x14ac:dyDescent="0.25">
      <c r="K381" s="18"/>
      <c r="L381" s="18"/>
      <c r="S381" s="16"/>
      <c r="T381" s="16"/>
    </row>
    <row r="382" spans="1:20" s="17" customFormat="1" ht="17.399999999999999" customHeight="1" x14ac:dyDescent="0.25">
      <c r="K382" s="16"/>
      <c r="L382" s="16"/>
      <c r="S382" s="16"/>
      <c r="T382" s="16"/>
    </row>
    <row r="383" spans="1:20" s="17" customFormat="1" ht="17.399999999999999" customHeight="1" x14ac:dyDescent="0.25">
      <c r="K383" s="16"/>
      <c r="L383" s="16"/>
      <c r="S383" s="16"/>
      <c r="T383" s="16"/>
    </row>
    <row r="384" spans="1:20" s="17" customFormat="1" ht="17.100000000000001" customHeight="1" x14ac:dyDescent="0.25">
      <c r="A384" s="24"/>
      <c r="K384" s="16"/>
      <c r="L384" s="16"/>
      <c r="S384" s="16"/>
      <c r="T384" s="16"/>
    </row>
    <row r="385" spans="1:20" s="17" customFormat="1" ht="17.399999999999999" customHeight="1" x14ac:dyDescent="0.2">
      <c r="I385" s="2"/>
      <c r="J385" s="2"/>
      <c r="K385" s="5"/>
      <c r="L385" s="5"/>
      <c r="S385" s="16"/>
      <c r="T385" s="16"/>
    </row>
    <row r="386" spans="1:20" s="17" customFormat="1" ht="17.399999999999999" customHeight="1" x14ac:dyDescent="0.25">
      <c r="A386" s="15"/>
      <c r="B386" s="15"/>
      <c r="C386" s="16"/>
      <c r="K386" s="18"/>
      <c r="L386" s="18"/>
      <c r="S386" s="16"/>
      <c r="T386" s="16"/>
    </row>
    <row r="387" spans="1:20" s="17" customFormat="1" ht="17.399999999999999" customHeight="1" x14ac:dyDescent="0.25">
      <c r="K387" s="18"/>
      <c r="L387" s="18"/>
      <c r="S387" s="16"/>
      <c r="T387" s="16"/>
    </row>
    <row r="388" spans="1:20" s="17" customFormat="1" ht="17.399999999999999" customHeight="1" x14ac:dyDescent="0.25">
      <c r="K388" s="16"/>
      <c r="L388" s="16"/>
      <c r="S388" s="16"/>
      <c r="T388" s="16"/>
    </row>
    <row r="389" spans="1:20" s="17" customFormat="1" ht="17.399999999999999" customHeight="1" x14ac:dyDescent="0.25">
      <c r="K389" s="16"/>
      <c r="L389" s="16"/>
      <c r="S389" s="16"/>
      <c r="T389" s="16"/>
    </row>
    <row r="390" spans="1:20" s="17" customFormat="1" ht="17.100000000000001" customHeight="1" x14ac:dyDescent="0.25">
      <c r="A390" s="24"/>
      <c r="K390" s="16"/>
      <c r="L390" s="16"/>
      <c r="S390" s="16"/>
      <c r="T390" s="16"/>
    </row>
    <row r="391" spans="1:20" s="17" customFormat="1" ht="17.399999999999999" customHeight="1" x14ac:dyDescent="0.2">
      <c r="I391" s="2"/>
      <c r="J391" s="2"/>
      <c r="K391" s="5"/>
      <c r="L391" s="5"/>
      <c r="S391" s="16"/>
      <c r="T391" s="16"/>
    </row>
    <row r="392" spans="1:20" s="17" customFormat="1" ht="17.399999999999999" customHeight="1" x14ac:dyDescent="0.25">
      <c r="A392" s="15"/>
      <c r="B392" s="15"/>
      <c r="C392" s="16"/>
      <c r="K392" s="18"/>
      <c r="L392" s="18"/>
      <c r="S392" s="16"/>
      <c r="T392" s="16"/>
    </row>
    <row r="393" spans="1:20" s="17" customFormat="1" ht="17.399999999999999" customHeight="1" x14ac:dyDescent="0.25">
      <c r="K393" s="18"/>
      <c r="L393" s="18"/>
      <c r="S393" s="16"/>
      <c r="T393" s="16"/>
    </row>
    <row r="394" spans="1:20" s="17" customFormat="1" ht="17.399999999999999" customHeight="1" x14ac:dyDescent="0.25">
      <c r="K394" s="16"/>
      <c r="L394" s="16"/>
      <c r="S394" s="16"/>
      <c r="T394" s="16"/>
    </row>
    <row r="395" spans="1:20" s="17" customFormat="1" ht="17.399999999999999" customHeight="1" x14ac:dyDescent="0.25">
      <c r="K395" s="16"/>
      <c r="L395" s="16"/>
      <c r="S395" s="16"/>
      <c r="T395" s="16"/>
    </row>
    <row r="396" spans="1:20" s="17" customFormat="1" ht="17.100000000000001" customHeight="1" x14ac:dyDescent="0.25">
      <c r="A396" s="24"/>
      <c r="K396" s="16"/>
      <c r="L396" s="16"/>
      <c r="S396" s="16"/>
      <c r="T396" s="16"/>
    </row>
    <row r="397" spans="1:20" s="17" customFormat="1" ht="17.399999999999999" customHeight="1" x14ac:dyDescent="0.2">
      <c r="I397" s="2"/>
      <c r="J397" s="2"/>
      <c r="K397" s="5"/>
      <c r="L397" s="5"/>
      <c r="S397" s="16"/>
      <c r="T397" s="16"/>
    </row>
    <row r="398" spans="1:20" s="17" customFormat="1" ht="17.399999999999999" customHeight="1" x14ac:dyDescent="0.25">
      <c r="A398" s="15"/>
      <c r="B398" s="15"/>
      <c r="C398" s="16"/>
      <c r="K398" s="18"/>
      <c r="L398" s="18"/>
      <c r="S398" s="16"/>
      <c r="T398" s="16"/>
    </row>
    <row r="399" spans="1:20" s="17" customFormat="1" ht="17.399999999999999" customHeight="1" x14ac:dyDescent="0.25">
      <c r="K399" s="18"/>
      <c r="L399" s="18"/>
      <c r="S399" s="16"/>
      <c r="T399" s="16"/>
    </row>
    <row r="400" spans="1:20" s="17" customFormat="1" ht="17.399999999999999" customHeight="1" x14ac:dyDescent="0.25">
      <c r="K400" s="16"/>
      <c r="L400" s="16"/>
      <c r="S400" s="16"/>
      <c r="T400" s="16"/>
    </row>
    <row r="401" spans="1:20" s="17" customFormat="1" ht="17.399999999999999" customHeight="1" x14ac:dyDescent="0.25">
      <c r="K401" s="16"/>
      <c r="L401" s="16"/>
      <c r="S401" s="16"/>
      <c r="T401" s="16"/>
    </row>
    <row r="402" spans="1:20" s="17" customFormat="1" ht="17.100000000000001" customHeight="1" x14ac:dyDescent="0.25">
      <c r="A402" s="24"/>
      <c r="K402" s="16"/>
      <c r="L402" s="16"/>
      <c r="S402" s="16"/>
      <c r="T402" s="16"/>
    </row>
    <row r="403" spans="1:20" s="17" customFormat="1" ht="17.399999999999999" customHeight="1" x14ac:dyDescent="0.2">
      <c r="I403" s="2"/>
      <c r="J403" s="2"/>
      <c r="K403" s="5"/>
      <c r="L403" s="5"/>
      <c r="S403" s="16"/>
      <c r="T403" s="16"/>
    </row>
    <row r="404" spans="1:20" s="17" customFormat="1" ht="17.399999999999999" customHeight="1" x14ac:dyDescent="0.25">
      <c r="A404" s="15"/>
      <c r="B404" s="15"/>
      <c r="C404" s="16"/>
      <c r="K404" s="18"/>
      <c r="L404" s="18"/>
      <c r="S404" s="16"/>
      <c r="T404" s="16"/>
    </row>
    <row r="405" spans="1:20" s="17" customFormat="1" ht="17.399999999999999" customHeight="1" x14ac:dyDescent="0.25">
      <c r="K405" s="18"/>
      <c r="L405" s="18"/>
      <c r="S405" s="16"/>
      <c r="T405" s="16"/>
    </row>
    <row r="406" spans="1:20" s="17" customFormat="1" ht="17.399999999999999" customHeight="1" x14ac:dyDescent="0.25">
      <c r="K406" s="16"/>
      <c r="L406" s="16"/>
      <c r="S406" s="16"/>
      <c r="T406" s="16"/>
    </row>
    <row r="407" spans="1:20" s="17" customFormat="1" ht="17.399999999999999" customHeight="1" x14ac:dyDescent="0.25">
      <c r="K407" s="16"/>
      <c r="L407" s="16"/>
      <c r="S407" s="16"/>
      <c r="T407" s="16"/>
    </row>
    <row r="408" spans="1:20" s="17" customFormat="1" ht="17.100000000000001" customHeight="1" x14ac:dyDescent="0.25">
      <c r="A408" s="24"/>
      <c r="K408" s="16"/>
      <c r="L408" s="16"/>
      <c r="S408" s="16"/>
      <c r="T408" s="16"/>
    </row>
    <row r="409" spans="1:20" s="17" customFormat="1" ht="17.399999999999999" customHeight="1" x14ac:dyDescent="0.2">
      <c r="I409" s="2"/>
      <c r="J409" s="2"/>
      <c r="K409" s="5"/>
      <c r="L409" s="5"/>
      <c r="S409" s="16"/>
      <c r="T409" s="16"/>
    </row>
    <row r="410" spans="1:20" s="17" customFormat="1" ht="17.399999999999999" customHeight="1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18"/>
      <c r="S410" s="16"/>
      <c r="T410" s="16"/>
    </row>
    <row r="411" spans="1:20" s="17" customFormat="1" ht="17.399999999999999" customHeight="1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18"/>
      <c r="S411" s="16"/>
      <c r="T411" s="16"/>
    </row>
    <row r="412" spans="1:20" s="17" customFormat="1" ht="17.399999999999999" customHeight="1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16"/>
      <c r="S412" s="16"/>
      <c r="T412" s="16"/>
    </row>
    <row r="413" spans="1:20" s="17" customFormat="1" ht="17.399999999999999" customHeight="1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16"/>
      <c r="S413" s="16"/>
      <c r="T413" s="16"/>
    </row>
    <row r="414" spans="1:20" s="17" customFormat="1" ht="17.100000000000001" customHeight="1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16"/>
      <c r="S414" s="16"/>
      <c r="T414" s="16"/>
    </row>
    <row r="415" spans="1:20" s="17" customFormat="1" ht="17.399999999999999" customHeight="1" x14ac:dyDescent="0.2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5"/>
      <c r="S415" s="16"/>
      <c r="T415" s="16"/>
    </row>
    <row r="416" spans="1:20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</row>
    <row r="417" spans="1:11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</row>
    <row r="418" spans="1:11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</row>
    <row r="419" spans="1:11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</row>
    <row r="420" spans="1:11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</row>
    <row r="421" spans="1:11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</row>
    <row r="422" spans="1:11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</row>
    <row r="423" spans="1:11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</row>
    <row r="424" spans="1:11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</row>
    <row r="425" spans="1:11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</row>
    <row r="426" spans="1:11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</row>
    <row r="427" spans="1:11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</row>
    <row r="428" spans="1:11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</row>
    <row r="429" spans="1:11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</row>
    <row r="430" spans="1:11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</row>
    <row r="431" spans="1:11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</row>
    <row r="432" spans="1:11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</row>
    <row r="433" spans="1:11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</row>
    <row r="434" spans="1:11" x14ac:dyDescent="0.25">
      <c r="F434"/>
    </row>
    <row r="435" spans="1:11" x14ac:dyDescent="0.25">
      <c r="F435"/>
    </row>
    <row r="436" spans="1:11" x14ac:dyDescent="0.25">
      <c r="F436"/>
    </row>
    <row r="437" spans="1:11" x14ac:dyDescent="0.25">
      <c r="F437"/>
    </row>
    <row r="438" spans="1:11" x14ac:dyDescent="0.25">
      <c r="F438"/>
    </row>
    <row r="439" spans="1:11" x14ac:dyDescent="0.25">
      <c r="F439"/>
    </row>
    <row r="440" spans="1:11" x14ac:dyDescent="0.25">
      <c r="F440"/>
    </row>
    <row r="441" spans="1:11" x14ac:dyDescent="0.25">
      <c r="F441"/>
    </row>
    <row r="442" spans="1:11" x14ac:dyDescent="0.25">
      <c r="F442"/>
    </row>
    <row r="443" spans="1:11" x14ac:dyDescent="0.25">
      <c r="F443"/>
    </row>
    <row r="444" spans="1:11" x14ac:dyDescent="0.25">
      <c r="F444"/>
    </row>
    <row r="445" spans="1:11" x14ac:dyDescent="0.25">
      <c r="F445"/>
    </row>
    <row r="446" spans="1:11" x14ac:dyDescent="0.25">
      <c r="F446"/>
    </row>
    <row r="447" spans="1:11" x14ac:dyDescent="0.25">
      <c r="F447"/>
    </row>
    <row r="448" spans="1:11" x14ac:dyDescent="0.25">
      <c r="F448"/>
    </row>
    <row r="449" spans="1:11" x14ac:dyDescent="0.25">
      <c r="F449"/>
    </row>
    <row r="450" spans="1:11" x14ac:dyDescent="0.25">
      <c r="F450"/>
    </row>
    <row r="451" spans="1:11" x14ac:dyDescent="0.25">
      <c r="F451"/>
    </row>
    <row r="452" spans="1:11" x14ac:dyDescent="0.25">
      <c r="F452"/>
    </row>
    <row r="453" spans="1:11" x14ac:dyDescent="0.25">
      <c r="F453"/>
    </row>
    <row r="454" spans="1:11" x14ac:dyDescent="0.25">
      <c r="F454"/>
    </row>
    <row r="455" spans="1:11" x14ac:dyDescent="0.25">
      <c r="F455"/>
    </row>
    <row r="456" spans="1:11" x14ac:dyDescent="0.25">
      <c r="F456"/>
    </row>
    <row r="457" spans="1:11" x14ac:dyDescent="0.25">
      <c r="F457"/>
    </row>
    <row r="458" spans="1:11" x14ac:dyDescent="0.25">
      <c r="F458"/>
    </row>
    <row r="459" spans="1:11" x14ac:dyDescent="0.25">
      <c r="F459"/>
    </row>
    <row r="460" spans="1:11" x14ac:dyDescent="0.25">
      <c r="F460"/>
    </row>
    <row r="461" spans="1:11" x14ac:dyDescent="0.25">
      <c r="F461"/>
    </row>
    <row r="462" spans="1:11" x14ac:dyDescent="0.25">
      <c r="F462"/>
    </row>
    <row r="463" spans="1:11" x14ac:dyDescent="0.25">
      <c r="F463"/>
    </row>
    <row r="464" spans="1:11" x14ac:dyDescent="0.25">
      <c r="A464" s="15"/>
      <c r="B464" s="15"/>
      <c r="C464" s="16"/>
      <c r="D464" s="17"/>
      <c r="E464" s="17"/>
      <c r="F464" s="17"/>
      <c r="G464" s="17"/>
      <c r="H464" s="17"/>
      <c r="I464" s="17"/>
      <c r="J464" s="17"/>
      <c r="K464" s="18"/>
    </row>
    <row r="465" spans="1:1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8"/>
    </row>
    <row r="466" spans="1:1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6"/>
    </row>
    <row r="467" spans="1:1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6"/>
    </row>
    <row r="468" spans="1:11" x14ac:dyDescent="0.25">
      <c r="A468" s="24"/>
      <c r="B468" s="17"/>
      <c r="C468" s="17"/>
      <c r="D468" s="17"/>
      <c r="E468" s="17"/>
      <c r="F468" s="17"/>
      <c r="G468" s="17"/>
      <c r="H468" s="17"/>
      <c r="I468" s="17"/>
      <c r="J468" s="17"/>
      <c r="K468" s="16"/>
    </row>
    <row r="469" spans="1:11" x14ac:dyDescent="0.2">
      <c r="A469" s="17"/>
      <c r="B469" s="17"/>
      <c r="C469" s="17"/>
      <c r="D469" s="17"/>
      <c r="E469" s="17"/>
      <c r="F469" s="17"/>
      <c r="G469" s="17"/>
      <c r="H469" s="17"/>
      <c r="I469" s="2"/>
      <c r="J469" s="2"/>
      <c r="K469" s="5"/>
    </row>
    <row r="470" spans="1:11" x14ac:dyDescent="0.25">
      <c r="A470" s="15"/>
      <c r="B470" s="15"/>
      <c r="C470" s="16"/>
      <c r="D470" s="17"/>
      <c r="E470" s="17"/>
      <c r="F470" s="17"/>
      <c r="G470" s="17"/>
      <c r="H470" s="17"/>
      <c r="I470" s="17"/>
      <c r="J470" s="17"/>
      <c r="K470" s="18"/>
    </row>
    <row r="471" spans="1:1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8"/>
    </row>
    <row r="472" spans="1:1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6"/>
    </row>
    <row r="473" spans="1:1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6"/>
    </row>
    <row r="474" spans="1:11" x14ac:dyDescent="0.25">
      <c r="A474" s="24"/>
      <c r="B474" s="17"/>
      <c r="C474" s="17"/>
      <c r="D474" s="17"/>
      <c r="E474" s="17"/>
      <c r="F474" s="17"/>
      <c r="G474" s="17"/>
      <c r="H474" s="17"/>
      <c r="I474" s="17"/>
      <c r="J474" s="17"/>
      <c r="K474" s="16"/>
    </row>
    <row r="475" spans="1:11" x14ac:dyDescent="0.2">
      <c r="A475" s="17"/>
      <c r="B475" s="17"/>
      <c r="C475" s="17"/>
      <c r="D475" s="17"/>
      <c r="E475" s="17"/>
      <c r="F475" s="17"/>
      <c r="G475" s="17"/>
      <c r="H475" s="17"/>
      <c r="I475" s="2"/>
      <c r="J475" s="2"/>
      <c r="K475" s="5"/>
    </row>
    <row r="476" spans="1:11" x14ac:dyDescent="0.25">
      <c r="A476" s="15"/>
      <c r="B476" s="15"/>
      <c r="C476" s="16"/>
      <c r="D476" s="17"/>
      <c r="E476" s="17"/>
      <c r="F476" s="17"/>
      <c r="G476" s="17"/>
      <c r="H476" s="17"/>
      <c r="I476" s="17"/>
      <c r="J476" s="17"/>
      <c r="K476" s="18"/>
    </row>
    <row r="477" spans="1:1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8"/>
    </row>
    <row r="478" spans="1:1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6"/>
    </row>
    <row r="479" spans="1:1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6"/>
    </row>
    <row r="480" spans="1:11" x14ac:dyDescent="0.25">
      <c r="A480" s="24"/>
      <c r="B480" s="17"/>
      <c r="C480" s="17"/>
      <c r="D480" s="17"/>
      <c r="E480" s="17"/>
      <c r="F480" s="17"/>
      <c r="G480" s="17"/>
      <c r="H480" s="17"/>
      <c r="I480" s="17"/>
      <c r="J480" s="17"/>
      <c r="K480" s="16"/>
    </row>
    <row r="481" spans="1:11" x14ac:dyDescent="0.2">
      <c r="A481" s="17"/>
      <c r="B481" s="17"/>
      <c r="C481" s="17"/>
      <c r="D481" s="17"/>
      <c r="E481" s="17"/>
      <c r="F481" s="17"/>
      <c r="G481" s="17"/>
      <c r="H481" s="17"/>
      <c r="I481" s="2"/>
      <c r="J481" s="2"/>
      <c r="K481" s="5"/>
    </row>
    <row r="482" spans="1:11" x14ac:dyDescent="0.25">
      <c r="A482" s="15"/>
      <c r="B482" s="15"/>
      <c r="C482" s="16"/>
      <c r="D482" s="17"/>
      <c r="E482" s="17"/>
      <c r="F482" s="17"/>
      <c r="G482" s="17"/>
      <c r="H482" s="17"/>
      <c r="I482" s="17"/>
      <c r="J482" s="17"/>
      <c r="K482" s="18"/>
    </row>
    <row r="483" spans="1:1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8"/>
    </row>
    <row r="484" spans="1:1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6"/>
    </row>
    <row r="485" spans="1:1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6"/>
    </row>
    <row r="486" spans="1:11" x14ac:dyDescent="0.25">
      <c r="A486" s="24"/>
      <c r="B486" s="17"/>
      <c r="C486" s="17"/>
      <c r="D486" s="17"/>
      <c r="E486" s="17"/>
      <c r="F486" s="17"/>
      <c r="G486" s="17"/>
      <c r="H486" s="17"/>
      <c r="I486" s="17"/>
      <c r="J486" s="17"/>
      <c r="K486" s="16"/>
    </row>
    <row r="487" spans="1:11" x14ac:dyDescent="0.2">
      <c r="A487" s="17"/>
      <c r="B487" s="17"/>
      <c r="C487" s="17"/>
      <c r="D487" s="17"/>
      <c r="E487" s="17"/>
      <c r="F487" s="17"/>
      <c r="G487" s="17"/>
      <c r="H487" s="17"/>
      <c r="I487" s="2"/>
      <c r="J487" s="2"/>
      <c r="K487" s="5"/>
    </row>
    <row r="488" spans="1:11" x14ac:dyDescent="0.25">
      <c r="A488" s="15"/>
      <c r="B488" s="15"/>
      <c r="C488" s="16"/>
      <c r="D488" s="17"/>
      <c r="E488" s="17"/>
      <c r="F488" s="17"/>
      <c r="G488" s="17"/>
      <c r="H488" s="17"/>
      <c r="I488" s="17"/>
      <c r="J488" s="17"/>
      <c r="K488" s="18"/>
    </row>
    <row r="489" spans="1:1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8"/>
    </row>
    <row r="490" spans="1:1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6"/>
    </row>
    <row r="491" spans="1:1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6"/>
    </row>
    <row r="492" spans="1:11" x14ac:dyDescent="0.25">
      <c r="A492" s="24"/>
      <c r="B492" s="17"/>
      <c r="C492" s="17"/>
      <c r="D492" s="17"/>
      <c r="E492" s="17"/>
      <c r="F492" s="17"/>
      <c r="G492" s="17"/>
      <c r="H492" s="17"/>
      <c r="I492" s="17"/>
      <c r="J492" s="17"/>
      <c r="K492" s="16"/>
    </row>
    <row r="493" spans="1:11" x14ac:dyDescent="0.2">
      <c r="A493" s="17"/>
      <c r="B493" s="17"/>
      <c r="C493" s="17"/>
      <c r="D493" s="17"/>
      <c r="E493" s="17"/>
      <c r="F493" s="17"/>
      <c r="G493" s="17"/>
      <c r="H493" s="17"/>
      <c r="I493" s="2"/>
      <c r="J493" s="2"/>
      <c r="K493" s="5"/>
    </row>
    <row r="494" spans="1:11" x14ac:dyDescent="0.25">
      <c r="A494" s="15"/>
      <c r="B494" s="15"/>
      <c r="C494" s="16"/>
      <c r="D494" s="17"/>
      <c r="E494" s="17"/>
      <c r="F494" s="17"/>
      <c r="G494" s="17"/>
      <c r="H494" s="17"/>
      <c r="I494" s="17"/>
      <c r="J494" s="17"/>
      <c r="K494" s="18"/>
    </row>
    <row r="495" spans="1:1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8"/>
    </row>
    <row r="496" spans="1:1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6"/>
    </row>
    <row r="497" spans="1:1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6"/>
    </row>
    <row r="498" spans="1:11" x14ac:dyDescent="0.25">
      <c r="A498" s="24"/>
      <c r="B498" s="17"/>
      <c r="C498" s="17"/>
      <c r="D498" s="17"/>
      <c r="E498" s="17"/>
      <c r="F498" s="17"/>
      <c r="G498" s="17"/>
      <c r="H498" s="17"/>
      <c r="I498" s="17"/>
      <c r="J498" s="17"/>
      <c r="K498" s="16"/>
    </row>
    <row r="499" spans="1:11" x14ac:dyDescent="0.2">
      <c r="A499" s="17"/>
      <c r="B499" s="17"/>
      <c r="C499" s="17"/>
      <c r="D499" s="17"/>
      <c r="E499" s="17"/>
      <c r="F499" s="17"/>
      <c r="G499" s="17"/>
      <c r="H499" s="17"/>
      <c r="I499" s="2"/>
      <c r="J499" s="2"/>
      <c r="K499" s="5"/>
    </row>
    <row r="500" spans="1:11" x14ac:dyDescent="0.25">
      <c r="A500" s="15"/>
      <c r="B500" s="15"/>
      <c r="C500" s="16"/>
      <c r="D500" s="17"/>
      <c r="E500" s="17"/>
      <c r="F500" s="17"/>
      <c r="G500" s="17"/>
      <c r="H500" s="17"/>
      <c r="I500" s="17"/>
      <c r="J500" s="17"/>
      <c r="K500" s="18"/>
    </row>
    <row r="501" spans="1:1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8"/>
    </row>
    <row r="502" spans="1:1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6"/>
    </row>
    <row r="503" spans="1:1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6"/>
    </row>
    <row r="504" spans="1:11" x14ac:dyDescent="0.25">
      <c r="A504" s="24"/>
      <c r="B504" s="17"/>
      <c r="C504" s="17"/>
      <c r="D504" s="17"/>
      <c r="E504" s="17"/>
      <c r="F504" s="17"/>
      <c r="G504" s="17"/>
      <c r="H504" s="17"/>
      <c r="I504" s="17"/>
      <c r="J504" s="17"/>
      <c r="K504" s="16"/>
    </row>
    <row r="505" spans="1:11" x14ac:dyDescent="0.2">
      <c r="A505" s="17"/>
      <c r="B505" s="17"/>
      <c r="C505" s="17"/>
      <c r="D505" s="17"/>
      <c r="E505" s="17"/>
      <c r="F505" s="17"/>
      <c r="G505" s="17"/>
      <c r="H505" s="17"/>
      <c r="I505" s="2"/>
      <c r="J505" s="2"/>
      <c r="K505" s="5"/>
    </row>
    <row r="506" spans="1:11" x14ac:dyDescent="0.25">
      <c r="A506" s="15"/>
      <c r="B506" s="15"/>
      <c r="C506" s="16"/>
      <c r="D506" s="17"/>
      <c r="E506" s="17"/>
      <c r="F506" s="17"/>
      <c r="G506" s="17"/>
      <c r="H506" s="17"/>
      <c r="I506" s="17"/>
      <c r="J506" s="17"/>
      <c r="K506" s="18"/>
    </row>
    <row r="507" spans="1:1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8"/>
    </row>
    <row r="508" spans="1:1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6"/>
    </row>
    <row r="509" spans="1:1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6"/>
    </row>
    <row r="510" spans="1:11" x14ac:dyDescent="0.25">
      <c r="A510" s="24"/>
      <c r="B510" s="17"/>
      <c r="C510" s="17"/>
      <c r="D510" s="17"/>
      <c r="E510" s="17"/>
      <c r="F510" s="17"/>
      <c r="G510" s="17"/>
      <c r="H510" s="17"/>
      <c r="I510" s="17"/>
      <c r="J510" s="17"/>
      <c r="K510" s="16"/>
    </row>
    <row r="511" spans="1:11" x14ac:dyDescent="0.2">
      <c r="A511" s="17"/>
      <c r="B511" s="17"/>
      <c r="C511" s="17"/>
      <c r="D511" s="17"/>
      <c r="E511" s="17"/>
      <c r="F511" s="17"/>
      <c r="G511" s="17"/>
      <c r="H511" s="17"/>
      <c r="I511" s="2"/>
      <c r="J511" s="2"/>
      <c r="K511" s="5"/>
    </row>
    <row r="512" spans="1:11" x14ac:dyDescent="0.25">
      <c r="A512" s="15"/>
      <c r="B512" s="15"/>
      <c r="C512" s="16"/>
      <c r="D512" s="17"/>
      <c r="E512" s="17"/>
      <c r="F512" s="17"/>
      <c r="G512" s="17"/>
      <c r="H512" s="17"/>
      <c r="I512" s="17"/>
      <c r="J512" s="17"/>
      <c r="K512" s="18"/>
    </row>
    <row r="513" spans="1:1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8"/>
    </row>
    <row r="514" spans="1:1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6"/>
    </row>
    <row r="515" spans="1:1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6"/>
    </row>
    <row r="516" spans="1:11" x14ac:dyDescent="0.25">
      <c r="A516" s="24"/>
      <c r="B516" s="17"/>
      <c r="C516" s="17"/>
      <c r="D516" s="17"/>
      <c r="E516" s="17"/>
      <c r="F516" s="17"/>
      <c r="G516" s="17"/>
      <c r="H516" s="17"/>
      <c r="I516" s="17"/>
      <c r="J516" s="17"/>
      <c r="K516" s="16"/>
    </row>
    <row r="517" spans="1:11" x14ac:dyDescent="0.2">
      <c r="A517" s="17"/>
      <c r="B517" s="17"/>
      <c r="C517" s="17"/>
      <c r="D517" s="17"/>
      <c r="E517" s="17"/>
      <c r="F517" s="17"/>
      <c r="G517" s="17"/>
      <c r="H517" s="17"/>
      <c r="I517" s="2"/>
      <c r="J517" s="2"/>
      <c r="K517" s="5"/>
    </row>
    <row r="518" spans="1:11" x14ac:dyDescent="0.25">
      <c r="A518" s="15"/>
      <c r="B518" s="15"/>
      <c r="C518" s="16"/>
      <c r="D518" s="17"/>
      <c r="E518" s="17"/>
      <c r="F518" s="17"/>
      <c r="G518" s="17"/>
      <c r="H518" s="17"/>
      <c r="I518" s="17"/>
      <c r="J518" s="17"/>
      <c r="K518" s="18"/>
    </row>
    <row r="519" spans="1:1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8"/>
    </row>
    <row r="520" spans="1:1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6"/>
    </row>
    <row r="521" spans="1:1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6"/>
    </row>
    <row r="522" spans="1:11" x14ac:dyDescent="0.25">
      <c r="A522" s="24"/>
      <c r="B522" s="17"/>
      <c r="C522" s="17"/>
      <c r="D522" s="17"/>
      <c r="E522" s="17"/>
      <c r="F522" s="17"/>
      <c r="G522" s="17"/>
      <c r="H522" s="17"/>
      <c r="I522" s="17"/>
      <c r="J522" s="17"/>
      <c r="K522" s="16"/>
    </row>
    <row r="523" spans="1:11" x14ac:dyDescent="0.2">
      <c r="A523" s="17"/>
      <c r="B523" s="17"/>
      <c r="C523" s="17"/>
      <c r="D523" s="17"/>
      <c r="E523" s="17"/>
      <c r="F523" s="17"/>
      <c r="G523" s="17"/>
      <c r="H523" s="17"/>
      <c r="I523" s="2"/>
      <c r="J523" s="2"/>
      <c r="K523" s="5"/>
    </row>
    <row r="524" spans="1:11" x14ac:dyDescent="0.25">
      <c r="A524" s="15"/>
      <c r="B524" s="15"/>
      <c r="C524" s="16"/>
      <c r="D524" s="17"/>
      <c r="E524" s="17"/>
      <c r="F524" s="17"/>
      <c r="G524" s="17"/>
      <c r="H524" s="17"/>
      <c r="I524" s="17"/>
      <c r="J524" s="17"/>
      <c r="K524" s="18"/>
    </row>
    <row r="525" spans="1:1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8"/>
    </row>
    <row r="526" spans="1:1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6"/>
    </row>
    <row r="527" spans="1:1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6"/>
    </row>
    <row r="528" spans="1:11" x14ac:dyDescent="0.25">
      <c r="A528" s="24"/>
      <c r="B528" s="17"/>
      <c r="C528" s="17"/>
      <c r="D528" s="17"/>
      <c r="E528" s="17"/>
      <c r="F528" s="17"/>
      <c r="G528" s="17"/>
      <c r="H528" s="17"/>
      <c r="I528" s="17"/>
      <c r="J528" s="17"/>
      <c r="K528" s="16"/>
    </row>
    <row r="529" spans="1:11" x14ac:dyDescent="0.2">
      <c r="A529" s="17"/>
      <c r="B529" s="17"/>
      <c r="C529" s="17"/>
      <c r="D529" s="17"/>
      <c r="E529" s="17"/>
      <c r="F529" s="17"/>
      <c r="G529" s="17"/>
      <c r="H529" s="17"/>
      <c r="I529" s="2"/>
      <c r="J529" s="2"/>
      <c r="K529" s="5"/>
    </row>
    <row r="530" spans="1:11" x14ac:dyDescent="0.25">
      <c r="A530" s="15"/>
      <c r="B530" s="15"/>
      <c r="C530" s="16"/>
      <c r="D530" s="17"/>
      <c r="E530" s="17"/>
      <c r="F530" s="17"/>
      <c r="G530" s="17"/>
      <c r="H530" s="17"/>
      <c r="I530" s="17"/>
      <c r="J530" s="17"/>
      <c r="K530" s="18"/>
    </row>
    <row r="531" spans="1:1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8"/>
    </row>
    <row r="532" spans="1:1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6"/>
    </row>
    <row r="533" spans="1:1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6"/>
    </row>
    <row r="534" spans="1:11" x14ac:dyDescent="0.25">
      <c r="A534" s="24"/>
      <c r="B534" s="17"/>
      <c r="C534" s="17"/>
      <c r="D534" s="17"/>
      <c r="E534" s="17"/>
      <c r="F534" s="17"/>
      <c r="G534" s="17"/>
      <c r="H534" s="17"/>
      <c r="I534" s="17"/>
      <c r="J534" s="17"/>
      <c r="K534" s="16"/>
    </row>
    <row r="535" spans="1:11" x14ac:dyDescent="0.2">
      <c r="A535" s="17"/>
      <c r="B535" s="17"/>
      <c r="C535" s="17"/>
      <c r="D535" s="17"/>
      <c r="E535" s="17"/>
      <c r="F535" s="17"/>
      <c r="G535" s="17"/>
      <c r="H535" s="17"/>
      <c r="I535" s="2"/>
      <c r="J535" s="2"/>
      <c r="K535" s="5"/>
    </row>
    <row r="536" spans="1:11" x14ac:dyDescent="0.25">
      <c r="A536" s="15"/>
      <c r="B536" s="15"/>
      <c r="C536" s="16"/>
      <c r="D536" s="17"/>
      <c r="E536" s="17"/>
      <c r="F536" s="17"/>
      <c r="G536" s="17"/>
      <c r="H536" s="17"/>
      <c r="I536" s="17"/>
      <c r="J536" s="17"/>
      <c r="K536" s="18"/>
    </row>
    <row r="537" spans="1:1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8"/>
    </row>
    <row r="538" spans="1:1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6"/>
    </row>
    <row r="539" spans="1:1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6"/>
    </row>
    <row r="540" spans="1:11" x14ac:dyDescent="0.25">
      <c r="A540" s="24"/>
      <c r="B540" s="17"/>
      <c r="C540" s="17"/>
      <c r="D540" s="17"/>
      <c r="E540" s="17"/>
      <c r="F540" s="17"/>
      <c r="G540" s="17"/>
      <c r="H540" s="17"/>
      <c r="I540" s="17"/>
      <c r="J540" s="17"/>
      <c r="K540" s="16"/>
    </row>
    <row r="541" spans="1:11" x14ac:dyDescent="0.2">
      <c r="A541" s="17"/>
      <c r="B541" s="17"/>
      <c r="C541" s="17"/>
      <c r="D541" s="17"/>
      <c r="E541" s="17"/>
      <c r="F541" s="17"/>
      <c r="G541" s="17"/>
      <c r="H541" s="17"/>
      <c r="I541" s="2"/>
      <c r="J541" s="2"/>
      <c r="K541" s="5"/>
    </row>
    <row r="542" spans="1:11" x14ac:dyDescent="0.25">
      <c r="A542" s="15"/>
      <c r="B542" s="15"/>
      <c r="C542" s="16"/>
      <c r="D542" s="17"/>
      <c r="E542" s="17"/>
      <c r="F542" s="17"/>
      <c r="G542" s="17"/>
      <c r="H542" s="17"/>
      <c r="I542" s="17"/>
      <c r="J542" s="17"/>
      <c r="K542" s="18"/>
    </row>
    <row r="543" spans="1:1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8"/>
    </row>
    <row r="544" spans="1:1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6"/>
    </row>
    <row r="545" spans="1:1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6"/>
    </row>
    <row r="546" spans="1:11" x14ac:dyDescent="0.25">
      <c r="A546" s="24"/>
      <c r="B546" s="17"/>
      <c r="C546" s="17"/>
      <c r="D546" s="17"/>
      <c r="E546" s="17"/>
      <c r="F546" s="17"/>
      <c r="G546" s="17"/>
      <c r="H546" s="17"/>
      <c r="I546" s="17"/>
      <c r="J546" s="17"/>
      <c r="K546" s="16"/>
    </row>
    <row r="547" spans="1:11" x14ac:dyDescent="0.2">
      <c r="A547" s="17"/>
      <c r="B547" s="17"/>
      <c r="C547" s="17"/>
      <c r="D547" s="17"/>
      <c r="E547" s="17"/>
      <c r="F547" s="17"/>
      <c r="G547" s="17"/>
      <c r="H547" s="17"/>
      <c r="I547" s="2"/>
      <c r="J547" s="2"/>
      <c r="K547" s="5"/>
    </row>
    <row r="548" spans="1:11" x14ac:dyDescent="0.25">
      <c r="A548" s="15"/>
      <c r="B548" s="15"/>
      <c r="C548" s="16"/>
      <c r="D548" s="17"/>
      <c r="E548" s="17"/>
      <c r="F548" s="17"/>
      <c r="G548" s="17"/>
      <c r="H548" s="17"/>
      <c r="I548" s="17"/>
      <c r="J548" s="17"/>
      <c r="K548" s="18"/>
    </row>
    <row r="549" spans="1:1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8"/>
    </row>
    <row r="550" spans="1:1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6"/>
    </row>
    <row r="551" spans="1:1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6"/>
    </row>
    <row r="552" spans="1:11" x14ac:dyDescent="0.25">
      <c r="A552" s="24"/>
      <c r="B552" s="17"/>
      <c r="C552" s="17"/>
      <c r="D552" s="17"/>
      <c r="E552" s="17"/>
      <c r="F552" s="17"/>
      <c r="G552" s="17"/>
      <c r="H552" s="17"/>
      <c r="I552" s="17"/>
      <c r="J552" s="17"/>
      <c r="K552" s="16"/>
    </row>
    <row r="553" spans="1:11" x14ac:dyDescent="0.2">
      <c r="A553" s="17"/>
      <c r="B553" s="17"/>
      <c r="C553" s="17"/>
      <c r="D553" s="17"/>
      <c r="E553" s="17"/>
      <c r="F553" s="17"/>
      <c r="G553" s="17"/>
      <c r="H553" s="17"/>
      <c r="I553" s="2"/>
      <c r="J553" s="2"/>
      <c r="K553" s="5"/>
    </row>
    <row r="554" spans="1:11" x14ac:dyDescent="0.25">
      <c r="F554"/>
    </row>
    <row r="555" spans="1:11" x14ac:dyDescent="0.25">
      <c r="F555"/>
    </row>
    <row r="556" spans="1:11" x14ac:dyDescent="0.25">
      <c r="F556"/>
    </row>
    <row r="557" spans="1:11" x14ac:dyDescent="0.25">
      <c r="F557"/>
    </row>
    <row r="558" spans="1:11" x14ac:dyDescent="0.25">
      <c r="F558"/>
    </row>
    <row r="559" spans="1:11" x14ac:dyDescent="0.25">
      <c r="F559"/>
    </row>
    <row r="560" spans="1:11" x14ac:dyDescent="0.25">
      <c r="F560"/>
    </row>
    <row r="561" spans="6:6" x14ac:dyDescent="0.25">
      <c r="F561"/>
    </row>
    <row r="562" spans="6:6" x14ac:dyDescent="0.25">
      <c r="F562"/>
    </row>
    <row r="563" spans="6:6" x14ac:dyDescent="0.25">
      <c r="F563"/>
    </row>
    <row r="564" spans="6:6" x14ac:dyDescent="0.25">
      <c r="F564"/>
    </row>
    <row r="565" spans="6:6" x14ac:dyDescent="0.25">
      <c r="F565"/>
    </row>
    <row r="566" spans="6:6" x14ac:dyDescent="0.25">
      <c r="F566"/>
    </row>
    <row r="567" spans="6:6" x14ac:dyDescent="0.25">
      <c r="F567"/>
    </row>
    <row r="568" spans="6:6" x14ac:dyDescent="0.25">
      <c r="F568"/>
    </row>
    <row r="569" spans="6:6" x14ac:dyDescent="0.25">
      <c r="F569"/>
    </row>
    <row r="570" spans="6:6" x14ac:dyDescent="0.25">
      <c r="F570"/>
    </row>
    <row r="571" spans="6:6" x14ac:dyDescent="0.25">
      <c r="F571"/>
    </row>
    <row r="572" spans="6:6" x14ac:dyDescent="0.25">
      <c r="F572"/>
    </row>
    <row r="573" spans="6:6" x14ac:dyDescent="0.25">
      <c r="F573"/>
    </row>
    <row r="574" spans="6:6" x14ac:dyDescent="0.25">
      <c r="F574"/>
    </row>
    <row r="575" spans="6:6" x14ac:dyDescent="0.25">
      <c r="F575"/>
    </row>
    <row r="576" spans="6:6" x14ac:dyDescent="0.25">
      <c r="F576"/>
    </row>
    <row r="577" spans="6:6" x14ac:dyDescent="0.25">
      <c r="F577"/>
    </row>
    <row r="578" spans="6:6" x14ac:dyDescent="0.25">
      <c r="F578"/>
    </row>
    <row r="579" spans="6:6" x14ac:dyDescent="0.25">
      <c r="F579"/>
    </row>
    <row r="580" spans="6:6" x14ac:dyDescent="0.25">
      <c r="F580"/>
    </row>
    <row r="581" spans="6:6" x14ac:dyDescent="0.25">
      <c r="F581"/>
    </row>
    <row r="582" spans="6:6" x14ac:dyDescent="0.25">
      <c r="F582"/>
    </row>
    <row r="583" spans="6:6" x14ac:dyDescent="0.25">
      <c r="F583"/>
    </row>
    <row r="584" spans="6:6" x14ac:dyDescent="0.25">
      <c r="F584"/>
    </row>
    <row r="585" spans="6:6" x14ac:dyDescent="0.25">
      <c r="F585"/>
    </row>
    <row r="586" spans="6:6" x14ac:dyDescent="0.25">
      <c r="F586"/>
    </row>
    <row r="587" spans="6:6" x14ac:dyDescent="0.25">
      <c r="F587"/>
    </row>
    <row r="588" spans="6:6" x14ac:dyDescent="0.25">
      <c r="F588"/>
    </row>
    <row r="589" spans="6:6" x14ac:dyDescent="0.25">
      <c r="F589"/>
    </row>
    <row r="590" spans="6:6" x14ac:dyDescent="0.25">
      <c r="F590"/>
    </row>
    <row r="591" spans="6:6" x14ac:dyDescent="0.25">
      <c r="F591"/>
    </row>
    <row r="592" spans="6:6" x14ac:dyDescent="0.25">
      <c r="F592"/>
    </row>
    <row r="593" spans="6:6" x14ac:dyDescent="0.25">
      <c r="F593"/>
    </row>
    <row r="594" spans="6:6" x14ac:dyDescent="0.25">
      <c r="F594"/>
    </row>
    <row r="595" spans="6:6" x14ac:dyDescent="0.25">
      <c r="F595"/>
    </row>
    <row r="596" spans="6:6" x14ac:dyDescent="0.25">
      <c r="F596"/>
    </row>
    <row r="597" spans="6:6" x14ac:dyDescent="0.25">
      <c r="F597"/>
    </row>
    <row r="598" spans="6:6" x14ac:dyDescent="0.25">
      <c r="F598"/>
    </row>
    <row r="599" spans="6:6" x14ac:dyDescent="0.25">
      <c r="F599"/>
    </row>
    <row r="600" spans="6:6" x14ac:dyDescent="0.25">
      <c r="F600"/>
    </row>
    <row r="601" spans="6:6" x14ac:dyDescent="0.25">
      <c r="F601"/>
    </row>
    <row r="602" spans="6:6" x14ac:dyDescent="0.25">
      <c r="F602"/>
    </row>
    <row r="603" spans="6:6" x14ac:dyDescent="0.25">
      <c r="F603"/>
    </row>
    <row r="604" spans="6:6" x14ac:dyDescent="0.25">
      <c r="F604"/>
    </row>
    <row r="605" spans="6:6" x14ac:dyDescent="0.25">
      <c r="F605"/>
    </row>
    <row r="606" spans="6:6" x14ac:dyDescent="0.25">
      <c r="F606"/>
    </row>
    <row r="607" spans="6:6" x14ac:dyDescent="0.25">
      <c r="F607"/>
    </row>
    <row r="608" spans="6:6" x14ac:dyDescent="0.25">
      <c r="F608"/>
    </row>
    <row r="609" spans="6:6" x14ac:dyDescent="0.25">
      <c r="F609"/>
    </row>
    <row r="610" spans="6:6" x14ac:dyDescent="0.25">
      <c r="F610"/>
    </row>
    <row r="611" spans="6:6" x14ac:dyDescent="0.25">
      <c r="F611"/>
    </row>
    <row r="612" spans="6:6" x14ac:dyDescent="0.25">
      <c r="F612"/>
    </row>
    <row r="613" spans="6:6" x14ac:dyDescent="0.25">
      <c r="F613"/>
    </row>
    <row r="614" spans="6:6" x14ac:dyDescent="0.25">
      <c r="F614"/>
    </row>
    <row r="615" spans="6:6" x14ac:dyDescent="0.25">
      <c r="F615"/>
    </row>
    <row r="616" spans="6:6" x14ac:dyDescent="0.25">
      <c r="F616"/>
    </row>
    <row r="617" spans="6:6" x14ac:dyDescent="0.25">
      <c r="F617"/>
    </row>
    <row r="618" spans="6:6" x14ac:dyDescent="0.25">
      <c r="F618"/>
    </row>
    <row r="619" spans="6:6" x14ac:dyDescent="0.25">
      <c r="F619"/>
    </row>
    <row r="620" spans="6:6" x14ac:dyDescent="0.25">
      <c r="F620"/>
    </row>
    <row r="621" spans="6:6" x14ac:dyDescent="0.25">
      <c r="F621"/>
    </row>
    <row r="622" spans="6:6" x14ac:dyDescent="0.25">
      <c r="F622"/>
    </row>
    <row r="623" spans="6:6" x14ac:dyDescent="0.25">
      <c r="F623"/>
    </row>
    <row r="624" spans="6:6" x14ac:dyDescent="0.25">
      <c r="F624"/>
    </row>
    <row r="625" spans="6:6" x14ac:dyDescent="0.25">
      <c r="F625"/>
    </row>
    <row r="626" spans="6:6" x14ac:dyDescent="0.25">
      <c r="F626"/>
    </row>
    <row r="627" spans="6:6" x14ac:dyDescent="0.25">
      <c r="F627"/>
    </row>
    <row r="628" spans="6:6" x14ac:dyDescent="0.25">
      <c r="F628"/>
    </row>
    <row r="629" spans="6:6" x14ac:dyDescent="0.25">
      <c r="F629"/>
    </row>
    <row r="630" spans="6:6" x14ac:dyDescent="0.25">
      <c r="F630"/>
    </row>
    <row r="631" spans="6:6" x14ac:dyDescent="0.25">
      <c r="F631"/>
    </row>
    <row r="632" spans="6:6" x14ac:dyDescent="0.25">
      <c r="F632"/>
    </row>
    <row r="633" spans="6:6" x14ac:dyDescent="0.25">
      <c r="F633"/>
    </row>
    <row r="634" spans="6:6" x14ac:dyDescent="0.25">
      <c r="F634"/>
    </row>
    <row r="635" spans="6:6" x14ac:dyDescent="0.25">
      <c r="F635"/>
    </row>
    <row r="636" spans="6:6" x14ac:dyDescent="0.25">
      <c r="F636"/>
    </row>
    <row r="637" spans="6:6" x14ac:dyDescent="0.25">
      <c r="F637"/>
    </row>
    <row r="638" spans="6:6" x14ac:dyDescent="0.25">
      <c r="F638"/>
    </row>
    <row r="639" spans="6:6" x14ac:dyDescent="0.25">
      <c r="F639"/>
    </row>
    <row r="640" spans="6:6" x14ac:dyDescent="0.25">
      <c r="F640"/>
    </row>
    <row r="641" spans="6:6" x14ac:dyDescent="0.25">
      <c r="F641"/>
    </row>
    <row r="642" spans="6:6" x14ac:dyDescent="0.25">
      <c r="F642"/>
    </row>
    <row r="643" spans="6:6" x14ac:dyDescent="0.25">
      <c r="F643"/>
    </row>
    <row r="644" spans="6:6" x14ac:dyDescent="0.25">
      <c r="F644"/>
    </row>
    <row r="645" spans="6:6" x14ac:dyDescent="0.25">
      <c r="F645"/>
    </row>
    <row r="646" spans="6:6" x14ac:dyDescent="0.25">
      <c r="F646"/>
    </row>
    <row r="647" spans="6:6" x14ac:dyDescent="0.25">
      <c r="F647"/>
    </row>
    <row r="648" spans="6:6" x14ac:dyDescent="0.25">
      <c r="F648"/>
    </row>
    <row r="649" spans="6:6" x14ac:dyDescent="0.25">
      <c r="F649"/>
    </row>
    <row r="650" spans="6:6" x14ac:dyDescent="0.25">
      <c r="F650"/>
    </row>
    <row r="651" spans="6:6" x14ac:dyDescent="0.25">
      <c r="F651"/>
    </row>
    <row r="652" spans="6:6" x14ac:dyDescent="0.25">
      <c r="F652"/>
    </row>
    <row r="653" spans="6:6" x14ac:dyDescent="0.25">
      <c r="F653"/>
    </row>
    <row r="654" spans="6:6" x14ac:dyDescent="0.25">
      <c r="F654"/>
    </row>
    <row r="655" spans="6:6" x14ac:dyDescent="0.25">
      <c r="F655"/>
    </row>
    <row r="656" spans="6:6" x14ac:dyDescent="0.25">
      <c r="F656"/>
    </row>
    <row r="657" spans="6:6" x14ac:dyDescent="0.25">
      <c r="F657"/>
    </row>
    <row r="658" spans="6:6" x14ac:dyDescent="0.25">
      <c r="F658"/>
    </row>
    <row r="659" spans="6:6" x14ac:dyDescent="0.25">
      <c r="F659"/>
    </row>
  </sheetData>
  <autoFilter ref="A1:K655" xr:uid="{00000000-0009-0000-0000-000001000000}"/>
  <phoneticPr fontId="0" type="noConversion"/>
  <conditionalFormatting sqref="A98:A103">
    <cfRule type="timePeriod" dxfId="16" priority="17" stopIfTrue="1" timePeriod="lastMonth">
      <formula>AND(MONTH(A98)=MONTH(EDATE(TODAY(),0-1)),YEAR(A98)=YEAR(EDATE(TODAY(),0-1)))</formula>
    </cfRule>
  </conditionalFormatting>
  <conditionalFormatting sqref="A92:A97">
    <cfRule type="timePeriod" dxfId="15" priority="16" stopIfTrue="1" timePeriod="lastMonth">
      <formula>AND(MONTH(A92)=MONTH(EDATE(TODAY(),0-1)),YEAR(A92)=YEAR(EDATE(TODAY(),0-1)))</formula>
    </cfRule>
  </conditionalFormatting>
  <conditionalFormatting sqref="A86:A91">
    <cfRule type="timePeriod" dxfId="14" priority="15" stopIfTrue="1" timePeriod="lastMonth">
      <formula>AND(MONTH(A86)=MONTH(EDATE(TODAY(),0-1)),YEAR(A86)=YEAR(EDATE(TODAY(),0-1)))</formula>
    </cfRule>
  </conditionalFormatting>
  <conditionalFormatting sqref="A80:A85">
    <cfRule type="timePeriod" dxfId="13" priority="14" stopIfTrue="1" timePeriod="lastMonth">
      <formula>AND(MONTH(A80)=MONTH(EDATE(TODAY(),0-1)),YEAR(A80)=YEAR(EDATE(TODAY(),0-1)))</formula>
    </cfRule>
  </conditionalFormatting>
  <conditionalFormatting sqref="A74:A79">
    <cfRule type="timePeriod" dxfId="12" priority="13" stopIfTrue="1" timePeriod="lastMonth">
      <formula>AND(MONTH(A74)=MONTH(EDATE(TODAY(),0-1)),YEAR(A74)=YEAR(EDATE(TODAY(),0-1)))</formula>
    </cfRule>
  </conditionalFormatting>
  <conditionalFormatting sqref="A68:A73">
    <cfRule type="timePeriod" dxfId="11" priority="12" stopIfTrue="1" timePeriod="lastMonth">
      <formula>AND(MONTH(A68)=MONTH(EDATE(TODAY(),0-1)),YEAR(A68)=YEAR(EDATE(TODAY(),0-1)))</formula>
    </cfRule>
  </conditionalFormatting>
  <conditionalFormatting sqref="A62:A67">
    <cfRule type="timePeriod" dxfId="10" priority="11" stopIfTrue="1" timePeriod="lastMonth">
      <formula>AND(MONTH(A62)=MONTH(EDATE(TODAY(),0-1)),YEAR(A62)=YEAR(EDATE(TODAY(),0-1)))</formula>
    </cfRule>
  </conditionalFormatting>
  <conditionalFormatting sqref="A56:A61">
    <cfRule type="timePeriod" dxfId="9" priority="10" stopIfTrue="1" timePeriod="lastMonth">
      <formula>AND(MONTH(A56)=MONTH(EDATE(TODAY(),0-1)),YEAR(A56)=YEAR(EDATE(TODAY(),0-1)))</formula>
    </cfRule>
  </conditionalFormatting>
  <conditionalFormatting sqref="A50:A55">
    <cfRule type="timePeriod" dxfId="8" priority="9" stopIfTrue="1" timePeriod="lastMonth">
      <formula>AND(MONTH(A50)=MONTH(EDATE(TODAY(),0-1)),YEAR(A50)=YEAR(EDATE(TODAY(),0-1)))</formula>
    </cfRule>
  </conditionalFormatting>
  <conditionalFormatting sqref="A44:A49">
    <cfRule type="timePeriod" dxfId="7" priority="8" stopIfTrue="1" timePeriod="lastMonth">
      <formula>AND(MONTH(A44)=MONTH(EDATE(TODAY(),0-1)),YEAR(A44)=YEAR(EDATE(TODAY(),0-1)))</formula>
    </cfRule>
  </conditionalFormatting>
  <conditionalFormatting sqref="A38:A43">
    <cfRule type="timePeriod" dxfId="6" priority="7" stopIfTrue="1" timePeriod="lastMonth">
      <formula>AND(MONTH(A38)=MONTH(EDATE(TODAY(),0-1)),YEAR(A38)=YEAR(EDATE(TODAY(),0-1)))</formula>
    </cfRule>
  </conditionalFormatting>
  <conditionalFormatting sqref="A32:A37">
    <cfRule type="timePeriod" dxfId="5" priority="6" stopIfTrue="1" timePeriod="lastMonth">
      <formula>AND(MONTH(A32)=MONTH(EDATE(TODAY(),0-1)),YEAR(A32)=YEAR(EDATE(TODAY(),0-1)))</formula>
    </cfRule>
  </conditionalFormatting>
  <conditionalFormatting sqref="A26:A31">
    <cfRule type="timePeriod" dxfId="4" priority="5" stopIfTrue="1" timePeriod="lastMonth">
      <formula>AND(MONTH(A26)=MONTH(EDATE(TODAY(),0-1)),YEAR(A26)=YEAR(EDATE(TODAY(),0-1)))</formula>
    </cfRule>
  </conditionalFormatting>
  <conditionalFormatting sqref="A20:A25">
    <cfRule type="timePeriod" dxfId="3" priority="4" stopIfTrue="1" timePeriod="lastMonth">
      <formula>AND(MONTH(A20)=MONTH(EDATE(TODAY(),0-1)),YEAR(A20)=YEAR(EDATE(TODAY(),0-1)))</formula>
    </cfRule>
  </conditionalFormatting>
  <conditionalFormatting sqref="A14:A19">
    <cfRule type="timePeriod" dxfId="2" priority="3" stopIfTrue="1" timePeriod="lastMonth">
      <formula>AND(MONTH(A14)=MONTH(EDATE(TODAY(),0-1)),YEAR(A14)=YEAR(EDATE(TODAY(),0-1)))</formula>
    </cfRule>
  </conditionalFormatting>
  <conditionalFormatting sqref="A8:A13">
    <cfRule type="timePeriod" dxfId="1" priority="2" stopIfTrue="1" timePeriod="lastMonth">
      <formula>AND(MONTH(A8)=MONTH(EDATE(TODAY(),0-1)),YEAR(A8)=YEAR(EDATE(TODAY(),0-1)))</formula>
    </cfRule>
  </conditionalFormatting>
  <conditionalFormatting sqref="A2:A7">
    <cfRule type="timePeriod" dxfId="0" priority="1" stopIfTrue="1" timePeriod="lastMonth">
      <formula>AND(MONTH(A2)=MONTH(EDATE(TODAY(),0-1)),YEAR(A2)=YEAR(EDATE(TODAY(),0-1)))</formula>
    </cfRule>
  </conditionalFormatting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Сегодня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2026-10-19T04:01:53Z</dcterms:modified>
  <cp:category/>
</cp:coreProperties>
</file>