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B1B9F807-BEAA-4842-9656-0B05F6595A00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'2026'!$A$1:$K$643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6" i="1"/>
  <c r="J2" i="1" s="1"/>
  <c r="H5" i="1"/>
  <c r="G5" i="1"/>
  <c r="F5" i="1"/>
  <c r="E5" i="1"/>
  <c r="D5" i="1"/>
  <c r="C5" i="1"/>
  <c r="I5" i="1" s="1"/>
  <c r="I4" i="1"/>
  <c r="I3" i="1"/>
  <c r="I2" i="1"/>
  <c r="K2" i="1" s="1"/>
  <c r="I3" i="2"/>
  <c r="I13" i="1" l="1"/>
  <c r="I12" i="1"/>
  <c r="H11" i="1"/>
  <c r="G11" i="1"/>
  <c r="F11" i="1"/>
  <c r="E11" i="1"/>
  <c r="D11" i="1"/>
  <c r="C11" i="1"/>
  <c r="I10" i="1"/>
  <c r="I9" i="1"/>
  <c r="K8" i="1" s="1"/>
  <c r="I8" i="1"/>
  <c r="I11" i="1" l="1"/>
  <c r="J8" i="1"/>
  <c r="I19" i="1"/>
  <c r="I18" i="1"/>
  <c r="H17" i="1"/>
  <c r="G17" i="1"/>
  <c r="F17" i="1"/>
  <c r="E17" i="1"/>
  <c r="D17" i="1"/>
  <c r="C17" i="1"/>
  <c r="I17" i="1" s="1"/>
  <c r="I16" i="1"/>
  <c r="I15" i="1"/>
  <c r="I14" i="1"/>
  <c r="I25" i="1"/>
  <c r="I24" i="1"/>
  <c r="H23" i="1"/>
  <c r="G23" i="1"/>
  <c r="F23" i="1"/>
  <c r="E23" i="1"/>
  <c r="D23" i="1"/>
  <c r="C23" i="1"/>
  <c r="I22" i="1"/>
  <c r="I21" i="1"/>
  <c r="I20" i="1"/>
  <c r="I31" i="1"/>
  <c r="I30" i="1"/>
  <c r="H29" i="1"/>
  <c r="G29" i="1"/>
  <c r="F29" i="1"/>
  <c r="E29" i="1"/>
  <c r="D29" i="1"/>
  <c r="C29" i="1"/>
  <c r="I29" i="1" s="1"/>
  <c r="I28" i="1"/>
  <c r="I27" i="1"/>
  <c r="I26" i="1"/>
  <c r="I37" i="1"/>
  <c r="I36" i="1"/>
  <c r="H35" i="1"/>
  <c r="G35" i="1"/>
  <c r="F35" i="1"/>
  <c r="E35" i="1"/>
  <c r="D35" i="1"/>
  <c r="C35" i="1"/>
  <c r="I34" i="1"/>
  <c r="I33" i="1"/>
  <c r="I32" i="1"/>
  <c r="I43" i="1"/>
  <c r="I42" i="1"/>
  <c r="H41" i="1"/>
  <c r="G41" i="1"/>
  <c r="F41" i="1"/>
  <c r="E41" i="1"/>
  <c r="D41" i="1"/>
  <c r="C41" i="1"/>
  <c r="I40" i="1"/>
  <c r="I39" i="1"/>
  <c r="I38" i="1"/>
  <c r="I49" i="1"/>
  <c r="I48" i="1"/>
  <c r="H47" i="1"/>
  <c r="G47" i="1"/>
  <c r="F47" i="1"/>
  <c r="E47" i="1"/>
  <c r="D47" i="1"/>
  <c r="C47" i="1"/>
  <c r="I46" i="1"/>
  <c r="I45" i="1"/>
  <c r="I44" i="1"/>
  <c r="I50" i="1"/>
  <c r="I51" i="1"/>
  <c r="I52" i="1"/>
  <c r="C53" i="1"/>
  <c r="D53" i="1"/>
  <c r="E53" i="1"/>
  <c r="F53" i="1"/>
  <c r="G53" i="1"/>
  <c r="H53" i="1"/>
  <c r="I54" i="1"/>
  <c r="I55" i="1"/>
  <c r="I61" i="1"/>
  <c r="I60" i="1"/>
  <c r="H59" i="1"/>
  <c r="G59" i="1"/>
  <c r="F59" i="1"/>
  <c r="E59" i="1"/>
  <c r="D59" i="1"/>
  <c r="C59" i="1"/>
  <c r="I58" i="1"/>
  <c r="I57" i="1"/>
  <c r="I56" i="1"/>
  <c r="I67" i="1"/>
  <c r="I66" i="1"/>
  <c r="H65" i="1"/>
  <c r="G65" i="1"/>
  <c r="F65" i="1"/>
  <c r="E65" i="1"/>
  <c r="D65" i="1"/>
  <c r="C65" i="1"/>
  <c r="I64" i="1"/>
  <c r="I63" i="1"/>
  <c r="I62" i="1"/>
  <c r="I73" i="1"/>
  <c r="I72" i="1"/>
  <c r="H71" i="1"/>
  <c r="G71" i="1"/>
  <c r="F71" i="1"/>
  <c r="E71" i="1"/>
  <c r="D71" i="1"/>
  <c r="C71" i="1"/>
  <c r="I70" i="1"/>
  <c r="I69" i="1"/>
  <c r="I68" i="1"/>
  <c r="I79" i="1"/>
  <c r="I78" i="1"/>
  <c r="H77" i="1"/>
  <c r="G77" i="1"/>
  <c r="F77" i="1"/>
  <c r="E77" i="1"/>
  <c r="D77" i="1"/>
  <c r="C77" i="1"/>
  <c r="I76" i="1"/>
  <c r="I75" i="1"/>
  <c r="I74" i="1"/>
  <c r="I47" i="1" l="1"/>
  <c r="K14" i="1"/>
  <c r="J26" i="1"/>
  <c r="J14" i="1"/>
  <c r="K20" i="1"/>
  <c r="J32" i="1"/>
  <c r="I23" i="1"/>
  <c r="I65" i="1"/>
  <c r="I35" i="1"/>
  <c r="J20" i="1"/>
  <c r="K26" i="1"/>
  <c r="K32" i="1"/>
  <c r="I41" i="1"/>
  <c r="K44" i="1"/>
  <c r="K38" i="1"/>
  <c r="J38" i="1"/>
  <c r="I59" i="1"/>
  <c r="I71" i="1"/>
  <c r="J44" i="1"/>
  <c r="I77" i="1"/>
  <c r="I53" i="1"/>
  <c r="J50" i="1"/>
  <c r="K56" i="1"/>
  <c r="K50" i="1"/>
  <c r="J74" i="1"/>
  <c r="J62" i="1"/>
  <c r="J56" i="1"/>
  <c r="K68" i="1"/>
  <c r="K62" i="1"/>
  <c r="J68" i="1"/>
  <c r="K74" i="1"/>
  <c r="I85" i="1"/>
  <c r="I84" i="1"/>
  <c r="H83" i="1"/>
  <c r="G83" i="1"/>
  <c r="F83" i="1"/>
  <c r="E83" i="1"/>
  <c r="D83" i="1"/>
  <c r="C83" i="1"/>
  <c r="I82" i="1"/>
  <c r="I81" i="1"/>
  <c r="I80" i="1"/>
  <c r="K80" i="1" l="1"/>
  <c r="I83" i="1"/>
  <c r="J80" i="1"/>
  <c r="I91" i="1"/>
  <c r="I90" i="1"/>
  <c r="H89" i="1"/>
  <c r="G89" i="1"/>
  <c r="F89" i="1"/>
  <c r="E89" i="1"/>
  <c r="D89" i="1"/>
  <c r="C89" i="1"/>
  <c r="I88" i="1"/>
  <c r="I87" i="1"/>
  <c r="I86" i="1"/>
  <c r="I89" i="1" l="1"/>
  <c r="K86" i="1"/>
  <c r="J86" i="1"/>
  <c r="I97" i="1"/>
  <c r="I96" i="1"/>
  <c r="H95" i="1"/>
  <c r="G95" i="1"/>
  <c r="F95" i="1"/>
  <c r="E95" i="1"/>
  <c r="D95" i="1"/>
  <c r="C95" i="1"/>
  <c r="I94" i="1"/>
  <c r="I93" i="1"/>
  <c r="I92" i="1"/>
  <c r="I103" i="1"/>
  <c r="I102" i="1"/>
  <c r="H101" i="1"/>
  <c r="G101" i="1"/>
  <c r="F101" i="1"/>
  <c r="E101" i="1"/>
  <c r="D101" i="1"/>
  <c r="C101" i="1"/>
  <c r="I100" i="1"/>
  <c r="I99" i="1"/>
  <c r="I98" i="1"/>
  <c r="I109" i="1"/>
  <c r="I108" i="1"/>
  <c r="H107" i="1"/>
  <c r="G107" i="1"/>
  <c r="F107" i="1"/>
  <c r="E107" i="1"/>
  <c r="D107" i="1"/>
  <c r="C107" i="1"/>
  <c r="I106" i="1"/>
  <c r="I105" i="1"/>
  <c r="I104" i="1"/>
  <c r="I115" i="1"/>
  <c r="I114" i="1"/>
  <c r="H113" i="1"/>
  <c r="G113" i="1"/>
  <c r="F113" i="1"/>
  <c r="E113" i="1"/>
  <c r="D113" i="1"/>
  <c r="C113" i="1"/>
  <c r="I112" i="1"/>
  <c r="I111" i="1"/>
  <c r="I110" i="1"/>
  <c r="K92" i="1" l="1"/>
  <c r="J92" i="1"/>
  <c r="I95" i="1"/>
  <c r="J98" i="1"/>
  <c r="I101" i="1"/>
  <c r="I107" i="1"/>
  <c r="K98" i="1"/>
  <c r="J104" i="1"/>
  <c r="J110" i="1"/>
  <c r="K104" i="1"/>
  <c r="I113" i="1"/>
  <c r="K110" i="1"/>
  <c r="I121" i="1"/>
  <c r="I120" i="1"/>
  <c r="H119" i="1"/>
  <c r="G119" i="1"/>
  <c r="F119" i="1"/>
  <c r="E119" i="1"/>
  <c r="D119" i="1"/>
  <c r="C119" i="1"/>
  <c r="I118" i="1"/>
  <c r="I117" i="1"/>
  <c r="I116" i="1"/>
  <c r="I127" i="1"/>
  <c r="I126" i="1"/>
  <c r="H125" i="1"/>
  <c r="G125" i="1"/>
  <c r="F125" i="1"/>
  <c r="E125" i="1"/>
  <c r="D125" i="1"/>
  <c r="C125" i="1"/>
  <c r="I124" i="1"/>
  <c r="I123" i="1"/>
  <c r="I122" i="1"/>
  <c r="I133" i="1"/>
  <c r="I132" i="1"/>
  <c r="H131" i="1"/>
  <c r="G131" i="1"/>
  <c r="F131" i="1"/>
  <c r="E131" i="1"/>
  <c r="D131" i="1"/>
  <c r="C131" i="1"/>
  <c r="I130" i="1"/>
  <c r="I129" i="1"/>
  <c r="I128" i="1"/>
  <c r="I139" i="1"/>
  <c r="I138" i="1"/>
  <c r="H137" i="1"/>
  <c r="G137" i="1"/>
  <c r="F137" i="1"/>
  <c r="E137" i="1"/>
  <c r="D137" i="1"/>
  <c r="C137" i="1"/>
  <c r="I136" i="1"/>
  <c r="I135" i="1"/>
  <c r="I134" i="1"/>
  <c r="I140" i="1"/>
  <c r="I141" i="1"/>
  <c r="I142" i="1"/>
  <c r="C143" i="1"/>
  <c r="D143" i="1"/>
  <c r="E143" i="1"/>
  <c r="F143" i="1"/>
  <c r="G143" i="1"/>
  <c r="H143" i="1"/>
  <c r="I144" i="1"/>
  <c r="I145" i="1"/>
  <c r="I151" i="1"/>
  <c r="I150" i="1"/>
  <c r="H149" i="1"/>
  <c r="G149" i="1"/>
  <c r="F149" i="1"/>
  <c r="E149" i="1"/>
  <c r="D149" i="1"/>
  <c r="C149" i="1"/>
  <c r="I148" i="1"/>
  <c r="I147" i="1"/>
  <c r="I146" i="1"/>
  <c r="I157" i="1"/>
  <c r="I156" i="1"/>
  <c r="H155" i="1"/>
  <c r="G155" i="1"/>
  <c r="F155" i="1"/>
  <c r="E155" i="1"/>
  <c r="D155" i="1"/>
  <c r="C155" i="1"/>
  <c r="I154" i="1"/>
  <c r="I153" i="1"/>
  <c r="I152" i="1"/>
  <c r="I163" i="1"/>
  <c r="I162" i="1"/>
  <c r="H161" i="1"/>
  <c r="G161" i="1"/>
  <c r="F161" i="1"/>
  <c r="E161" i="1"/>
  <c r="D161" i="1"/>
  <c r="C161" i="1"/>
  <c r="I160" i="1"/>
  <c r="I159" i="1"/>
  <c r="I158" i="1"/>
  <c r="I169" i="1"/>
  <c r="I168" i="1"/>
  <c r="H167" i="1"/>
  <c r="G167" i="1"/>
  <c r="F167" i="1"/>
  <c r="E167" i="1"/>
  <c r="D167" i="1"/>
  <c r="C167" i="1"/>
  <c r="I166" i="1"/>
  <c r="I165" i="1"/>
  <c r="I164" i="1"/>
  <c r="I175" i="1"/>
  <c r="I174" i="1"/>
  <c r="H173" i="1"/>
  <c r="G173" i="1"/>
  <c r="F173" i="1"/>
  <c r="E173" i="1"/>
  <c r="D173" i="1"/>
  <c r="C173" i="1"/>
  <c r="I172" i="1"/>
  <c r="I171" i="1"/>
  <c r="I170" i="1"/>
  <c r="I181" i="1"/>
  <c r="I180" i="1"/>
  <c r="H179" i="1"/>
  <c r="G179" i="1"/>
  <c r="F179" i="1"/>
  <c r="E179" i="1"/>
  <c r="D179" i="1"/>
  <c r="C179" i="1"/>
  <c r="I178" i="1"/>
  <c r="I177" i="1"/>
  <c r="I176" i="1"/>
  <c r="I187" i="1"/>
  <c r="I186" i="1"/>
  <c r="H185" i="1"/>
  <c r="G185" i="1"/>
  <c r="F185" i="1"/>
  <c r="E185" i="1"/>
  <c r="D185" i="1"/>
  <c r="C185" i="1"/>
  <c r="I184" i="1"/>
  <c r="I183" i="1"/>
  <c r="I182" i="1"/>
  <c r="I188" i="1"/>
  <c r="I189" i="1"/>
  <c r="I190" i="1"/>
  <c r="C191" i="1"/>
  <c r="D191" i="1"/>
  <c r="E191" i="1"/>
  <c r="F191" i="1"/>
  <c r="G191" i="1"/>
  <c r="H191" i="1"/>
  <c r="I192" i="1"/>
  <c r="I193" i="1"/>
  <c r="I199" i="1"/>
  <c r="I198" i="1"/>
  <c r="H197" i="1"/>
  <c r="G197" i="1"/>
  <c r="F197" i="1"/>
  <c r="E197" i="1"/>
  <c r="D197" i="1"/>
  <c r="C197" i="1"/>
  <c r="I196" i="1"/>
  <c r="I195" i="1"/>
  <c r="I194" i="1"/>
  <c r="I119" i="1" l="1"/>
  <c r="J128" i="1"/>
  <c r="I125" i="1"/>
  <c r="K116" i="1"/>
  <c r="J122" i="1"/>
  <c r="K122" i="1"/>
  <c r="J134" i="1"/>
  <c r="J116" i="1"/>
  <c r="K128" i="1"/>
  <c r="I131" i="1"/>
  <c r="I137" i="1"/>
  <c r="K134" i="1"/>
  <c r="I143" i="1"/>
  <c r="J140" i="1"/>
  <c r="J152" i="1"/>
  <c r="K146" i="1"/>
  <c r="K140" i="1"/>
  <c r="K170" i="1"/>
  <c r="I149" i="1"/>
  <c r="J146" i="1"/>
  <c r="I155" i="1"/>
  <c r="K158" i="1"/>
  <c r="K152" i="1"/>
  <c r="I167" i="1"/>
  <c r="I161" i="1"/>
  <c r="I173" i="1"/>
  <c r="J158" i="1"/>
  <c r="I179" i="1"/>
  <c r="K164" i="1"/>
  <c r="I197" i="1"/>
  <c r="J176" i="1"/>
  <c r="J164" i="1"/>
  <c r="I185" i="1"/>
  <c r="J170" i="1"/>
  <c r="J182" i="1"/>
  <c r="K188" i="1"/>
  <c r="J194" i="1"/>
  <c r="K176" i="1"/>
  <c r="I191" i="1"/>
  <c r="J188" i="1"/>
  <c r="K182" i="1"/>
  <c r="K194" i="1"/>
  <c r="I205" i="1"/>
  <c r="I204" i="1"/>
  <c r="H203" i="1"/>
  <c r="G203" i="1"/>
  <c r="F203" i="1"/>
  <c r="E203" i="1"/>
  <c r="D203" i="1"/>
  <c r="C203" i="1"/>
  <c r="I202" i="1"/>
  <c r="I201" i="1"/>
  <c r="I200" i="1"/>
  <c r="I211" i="1"/>
  <c r="I210" i="1"/>
  <c r="H209" i="1"/>
  <c r="G209" i="1"/>
  <c r="F209" i="1"/>
  <c r="E209" i="1"/>
  <c r="D209" i="1"/>
  <c r="C209" i="1"/>
  <c r="I208" i="1"/>
  <c r="I207" i="1"/>
  <c r="I206" i="1"/>
  <c r="I217" i="1"/>
  <c r="I216" i="1"/>
  <c r="H215" i="1"/>
  <c r="G215" i="1"/>
  <c r="F215" i="1"/>
  <c r="E215" i="1"/>
  <c r="D215" i="1"/>
  <c r="C215" i="1"/>
  <c r="I214" i="1"/>
  <c r="I213" i="1"/>
  <c r="I212" i="1"/>
  <c r="I223" i="1"/>
  <c r="I222" i="1"/>
  <c r="H221" i="1"/>
  <c r="G221" i="1"/>
  <c r="F221" i="1"/>
  <c r="E221" i="1"/>
  <c r="D221" i="1"/>
  <c r="C221" i="1"/>
  <c r="I220" i="1"/>
  <c r="I219" i="1"/>
  <c r="I218" i="1"/>
  <c r="K200" i="1" l="1"/>
  <c r="J200" i="1"/>
  <c r="I203" i="1"/>
  <c r="K206" i="1"/>
  <c r="I209" i="1"/>
  <c r="J212" i="1"/>
  <c r="K218" i="1"/>
  <c r="J206" i="1"/>
  <c r="K212" i="1"/>
  <c r="I215" i="1"/>
  <c r="I221" i="1"/>
  <c r="J218" i="1"/>
  <c r="I229" i="1"/>
  <c r="I228" i="1"/>
  <c r="H227" i="1"/>
  <c r="G227" i="1"/>
  <c r="F227" i="1"/>
  <c r="E227" i="1"/>
  <c r="D227" i="1"/>
  <c r="C227" i="1"/>
  <c r="I226" i="1"/>
  <c r="I225" i="1"/>
  <c r="I224" i="1"/>
  <c r="I227" i="1" l="1"/>
  <c r="K224" i="1"/>
  <c r="J224" i="1"/>
  <c r="I235" i="1"/>
  <c r="I234" i="1"/>
  <c r="H233" i="1"/>
  <c r="G233" i="1"/>
  <c r="F233" i="1"/>
  <c r="E233" i="1"/>
  <c r="D233" i="1"/>
  <c r="C233" i="1"/>
  <c r="I232" i="1"/>
  <c r="I231" i="1"/>
  <c r="I230" i="1"/>
  <c r="K230" i="1" l="1"/>
  <c r="I233" i="1"/>
  <c r="J230" i="1"/>
  <c r="I241" i="1"/>
  <c r="I240" i="1"/>
  <c r="H239" i="1"/>
  <c r="G239" i="1"/>
  <c r="F239" i="1"/>
  <c r="E239" i="1"/>
  <c r="D239" i="1"/>
  <c r="C239" i="1"/>
  <c r="I238" i="1"/>
  <c r="I237" i="1"/>
  <c r="I236" i="1"/>
  <c r="I247" i="1"/>
  <c r="I246" i="1"/>
  <c r="H245" i="1"/>
  <c r="G245" i="1"/>
  <c r="F245" i="1"/>
  <c r="E245" i="1"/>
  <c r="D245" i="1"/>
  <c r="C245" i="1"/>
  <c r="I244" i="1"/>
  <c r="I243" i="1"/>
  <c r="I242" i="1"/>
  <c r="I253" i="1"/>
  <c r="I252" i="1"/>
  <c r="H251" i="1"/>
  <c r="G251" i="1"/>
  <c r="F251" i="1"/>
  <c r="E251" i="1"/>
  <c r="D251" i="1"/>
  <c r="C251" i="1"/>
  <c r="I250" i="1"/>
  <c r="I249" i="1"/>
  <c r="I248" i="1"/>
  <c r="I259" i="1"/>
  <c r="I258" i="1"/>
  <c r="H257" i="1"/>
  <c r="G257" i="1"/>
  <c r="F257" i="1"/>
  <c r="E257" i="1"/>
  <c r="D257" i="1"/>
  <c r="C257" i="1"/>
  <c r="I256" i="1"/>
  <c r="I255" i="1"/>
  <c r="I254" i="1"/>
  <c r="I265" i="1"/>
  <c r="I264" i="1"/>
  <c r="H263" i="1"/>
  <c r="G263" i="1"/>
  <c r="F263" i="1"/>
  <c r="E263" i="1"/>
  <c r="D263" i="1"/>
  <c r="C263" i="1"/>
  <c r="I262" i="1"/>
  <c r="I261" i="1"/>
  <c r="I260" i="1"/>
  <c r="I271" i="1"/>
  <c r="I270" i="1"/>
  <c r="H269" i="1"/>
  <c r="G269" i="1"/>
  <c r="F269" i="1"/>
  <c r="E269" i="1"/>
  <c r="D269" i="1"/>
  <c r="C269" i="1"/>
  <c r="I268" i="1"/>
  <c r="I267" i="1"/>
  <c r="I266" i="1"/>
  <c r="I277" i="1"/>
  <c r="I276" i="1"/>
  <c r="H275" i="1"/>
  <c r="G275" i="1"/>
  <c r="F275" i="1"/>
  <c r="E275" i="1"/>
  <c r="D275" i="1"/>
  <c r="C275" i="1"/>
  <c r="I274" i="1"/>
  <c r="I273" i="1"/>
  <c r="I272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4" i="2"/>
  <c r="I239" i="1" l="1"/>
  <c r="J254" i="1"/>
  <c r="K236" i="1"/>
  <c r="J236" i="1"/>
  <c r="J248" i="1"/>
  <c r="I245" i="1"/>
  <c r="K242" i="1"/>
  <c r="K248" i="1"/>
  <c r="J242" i="1"/>
  <c r="I251" i="1"/>
  <c r="I263" i="1"/>
  <c r="I257" i="1"/>
  <c r="K254" i="1"/>
  <c r="K260" i="1"/>
  <c r="J266" i="1"/>
  <c r="J272" i="1"/>
  <c r="J260" i="1"/>
  <c r="I269" i="1"/>
  <c r="K266" i="1"/>
  <c r="I275" i="1"/>
  <c r="K272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DCA93FFF-0E52-40AA-950A-C50438D0BE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F63B5084-6BDA-46EE-B0D1-45FEC0948C7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74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6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<sst xmlns="http://schemas.openxmlformats.org/spreadsheetml/2006/main" count="335" uniqueCount="40">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</sst>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2">
    <cellStyle name="Обычный" xfId="0" builtinId="0"/>
    <cellStyle name="Плохой" xfId="1" builtinId="27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L7" sqref="L7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46312</v>
      </c>
      <c r="B3" s="12" t="s">
        <v>15</v>
      </c>
      <c r="C3" s="13">
        <v>9</v>
      </c>
      <c r="D3" s="13">
        <v>6</v>
      </c>
      <c r="E3" s="13">
        <v>8</v>
      </c>
      <c r="F3" s="14">
        <v>4</v>
      </c>
      <c r="G3" s="14">
        <v>2</v>
      </c>
      <c r="H3" s="14">
        <v>6</v>
      </c>
      <c r="I3" s="12">
        <f>SUM(C3:H3)</f>
        <v>35</v>
      </c>
      <c r="J3" s="15">
        <f>(I7)/(I3+I7+J5)</f>
        <v>0.89500000000000002</v>
      </c>
      <c r="K3" s="15">
        <f>(I7-I3-I4-J5)/(I7)</f>
        <v>0.81191806331471139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46312</v>
      </c>
      <c r="B4" s="12" t="s">
        <v>16</v>
      </c>
      <c r="C4" s="13">
        <v>9</v>
      </c>
      <c r="D4" s="13">
        <v>8</v>
      </c>
      <c r="E4" s="13">
        <v>8</v>
      </c>
      <c r="F4" s="14">
        <v>3</v>
      </c>
      <c r="G4" s="14">
        <v>3</v>
      </c>
      <c r="H4" s="14">
        <v>7</v>
      </c>
      <c r="I4" s="12">
        <f t="shared" ref="I4:I8" si="0">SUM(C4:H4)</f>
        <v>38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46312</v>
      </c>
      <c r="B5" s="12" t="s">
        <v>17</v>
      </c>
      <c r="C5" s="14">
        <v>20</v>
      </c>
      <c r="D5" s="14">
        <v>15</v>
      </c>
      <c r="E5" s="14">
        <v>25</v>
      </c>
      <c r="F5" s="14">
        <v>18</v>
      </c>
      <c r="G5" s="14">
        <v>23</v>
      </c>
      <c r="H5" s="14">
        <v>13</v>
      </c>
      <c r="I5" s="12">
        <f t="shared" si="0"/>
        <v>114</v>
      </c>
      <c r="J5" s="19">
        <v>28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46312</v>
      </c>
      <c r="B6" s="12" t="s">
        <v>18</v>
      </c>
      <c r="C6" s="14">
        <f t="shared" ref="C6:H6" si="1">SUM(C7-C4-C3-C8)</f>
        <v>104</v>
      </c>
      <c r="D6" s="14">
        <f t="shared" si="1"/>
        <v>92</v>
      </c>
      <c r="E6" s="14">
        <f t="shared" si="1"/>
        <v>71</v>
      </c>
      <c r="F6" s="14">
        <f t="shared" si="1"/>
        <v>74</v>
      </c>
      <c r="G6" s="14">
        <f t="shared" si="1"/>
        <v>52</v>
      </c>
      <c r="H6" s="14">
        <f t="shared" si="1"/>
        <v>62</v>
      </c>
      <c r="I6" s="21">
        <f t="shared" si="0"/>
        <v>455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46312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46312</v>
      </c>
      <c r="B8" s="12" t="s">
        <v>20</v>
      </c>
      <c r="C8" s="14">
        <v>3</v>
      </c>
      <c r="D8" s="14">
        <v>2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9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4" t="s">
        <v>30</v>
      </c>
      <c r="O12" s="65"/>
      <c r="P12" s="66"/>
      <c r="AC12" s="2"/>
      <c r="AD12" s="2"/>
    </row>
    <row r="13" spans="1:32" s="17" customFormat="1" ht="16.8" customHeight="1" x14ac:dyDescent="0.25">
      <c r="A13" s="11">
        <v>46312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3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46312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4</v>
      </c>
      <c r="J14" s="35">
        <v>0</v>
      </c>
      <c r="K14" s="35">
        <f>SUM(K13-K15-K16)</f>
        <v>0</v>
      </c>
      <c r="L14" s="36">
        <f>SUM(C14:K14)</f>
        <v>199</v>
      </c>
      <c r="M14" s="37"/>
      <c r="N14" s="32"/>
      <c r="O14" s="38"/>
      <c r="P14" s="39"/>
    </row>
    <row r="15" spans="1:32" s="17" customFormat="1" ht="15" customHeight="1" x14ac:dyDescent="0.25">
      <c r="A15" s="11">
        <v>46312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1">
        <f>SUM(C15:K15)</f>
        <v>0</v>
      </c>
      <c r="M15" s="42"/>
      <c r="N15" s="43"/>
      <c r="O15" s="44"/>
      <c r="P15" s="38"/>
    </row>
    <row r="16" spans="1:32" s="17" customFormat="1" ht="18" customHeight="1" x14ac:dyDescent="0.25">
      <c r="A16" s="11">
        <v>46312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46312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4</v>
      </c>
      <c r="J17" s="48">
        <v>0</v>
      </c>
      <c r="K17" s="48">
        <f t="shared" si="2"/>
        <v>0</v>
      </c>
      <c r="L17" s="49">
        <f>SUM(C17:K17)</f>
        <v>199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7" t="s">
        <v>35</v>
      </c>
      <c r="B19" s="68"/>
      <c r="D19" s="51"/>
      <c r="E19" s="62">
        <f>SUM(I6,J5,L17)</f>
        <v>682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16" priority="90" stopIfTrue="1" timePeriod="lastMonth">
      <formula>AND(MONTH(A3)=MONTH(EDATE(TODAY(),0-1)),YEAR(A3)=YEAR(EDATE(TODAY(),0-1)))</formula>
    </cfRule>
  </conditionalFormatting>
  <conditionalFormatting sqref="A13:A17">
    <cfRule type="timePeriod" dxfId="15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647"/>
  <sheetViews>
    <sheetView zoomScale="80" zoomScaleNormal="80" workbookViewId="0">
      <selection activeCell="A2" sqref="A2:XFD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46311</v>
      </c>
      <c r="B2" s="12" t="s">
        <v>15</v>
      </c>
      <c r="C2" s="13">
        <v>10</v>
      </c>
      <c r="D2" s="13">
        <v>6</v>
      </c>
      <c r="E2" s="13">
        <v>7</v>
      </c>
      <c r="F2" s="14">
        <v>5</v>
      </c>
      <c r="G2" s="14">
        <v>2</v>
      </c>
      <c r="H2" s="14">
        <v>6</v>
      </c>
      <c r="I2" s="12">
        <f>SUM(C2:H2)</f>
        <v>36</v>
      </c>
      <c r="J2" s="15">
        <f>(I6)/(I2+I6+J4)</f>
        <v>0.89799331103678925</v>
      </c>
      <c r="K2" s="15">
        <f>(I6-I2-I3-J4)/(I6)</f>
        <v>0.82495344506517687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46311</v>
      </c>
      <c r="B3" s="12" t="s">
        <v>16</v>
      </c>
      <c r="C3" s="13">
        <v>10</v>
      </c>
      <c r="D3" s="13">
        <v>7</v>
      </c>
      <c r="E3" s="13">
        <v>7</v>
      </c>
      <c r="F3" s="14">
        <v>3</v>
      </c>
      <c r="G3" s="14">
        <v>1</v>
      </c>
      <c r="H3" s="14">
        <v>5</v>
      </c>
      <c r="I3" s="12">
        <f t="shared" ref="I3:I7" si="0">SUM(C3:H3)</f>
        <v>33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46311</v>
      </c>
      <c r="B4" s="12" t="s">
        <v>17</v>
      </c>
      <c r="C4" s="14">
        <v>20</v>
      </c>
      <c r="D4" s="14">
        <v>15</v>
      </c>
      <c r="E4" s="14">
        <v>25</v>
      </c>
      <c r="F4" s="14">
        <v>18</v>
      </c>
      <c r="G4" s="14">
        <v>23</v>
      </c>
      <c r="H4" s="14">
        <v>13</v>
      </c>
      <c r="I4" s="12">
        <f t="shared" si="0"/>
        <v>114</v>
      </c>
      <c r="J4" s="19">
        <v>25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46311</v>
      </c>
      <c r="B5" s="12" t="s">
        <v>18</v>
      </c>
      <c r="C5" s="14">
        <f t="shared" ref="C5:H5" si="1">SUM(C6-C3-C2-C7)</f>
        <v>102</v>
      </c>
      <c r="D5" s="14">
        <f t="shared" si="1"/>
        <v>93</v>
      </c>
      <c r="E5" s="14">
        <f t="shared" si="1"/>
        <v>73</v>
      </c>
      <c r="F5" s="14">
        <f t="shared" si="1"/>
        <v>73</v>
      </c>
      <c r="G5" s="14">
        <f t="shared" si="1"/>
        <v>54</v>
      </c>
      <c r="H5" s="14">
        <f t="shared" si="1"/>
        <v>64</v>
      </c>
      <c r="I5" s="21">
        <f t="shared" si="0"/>
        <v>459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46311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46311</v>
      </c>
      <c r="B7" s="12" t="s">
        <v>20</v>
      </c>
      <c r="C7" s="14">
        <v>3</v>
      </c>
      <c r="D7" s="14">
        <v>2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9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46310</v>
      </c>
      <c r="B8" s="12" t="s">
        <v>15</v>
      </c>
      <c r="C8" s="13">
        <v>12</v>
      </c>
      <c r="D8" s="13">
        <v>5</v>
      </c>
      <c r="E8" s="13">
        <v>6</v>
      </c>
      <c r="F8" s="14">
        <v>5</v>
      </c>
      <c r="G8" s="14">
        <v>2</v>
      </c>
      <c r="H8" s="14">
        <v>5</v>
      </c>
      <c r="I8" s="12">
        <f t="shared" ref="I8:I13" si="2">SUM(C8:H8)</f>
        <v>35</v>
      </c>
      <c r="J8" s="15">
        <f>(I12)/(I8+I12+J10)</f>
        <v>0.89649415692821366</v>
      </c>
      <c r="K8" s="15">
        <f>(I12-I8-I9-J10)/(I12)</f>
        <v>0.83985102420856605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46310</v>
      </c>
      <c r="B9" s="12" t="s">
        <v>16</v>
      </c>
      <c r="C9" s="13">
        <v>5</v>
      </c>
      <c r="D9" s="13">
        <v>5</v>
      </c>
      <c r="E9" s="13">
        <v>4</v>
      </c>
      <c r="F9" s="14">
        <v>4</v>
      </c>
      <c r="G9" s="14">
        <v>1</v>
      </c>
      <c r="H9" s="14">
        <v>5</v>
      </c>
      <c r="I9" s="12">
        <f t="shared" si="2"/>
        <v>24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46310</v>
      </c>
      <c r="B10" s="12" t="s">
        <v>17</v>
      </c>
      <c r="C10" s="14">
        <v>20</v>
      </c>
      <c r="D10" s="14">
        <v>15</v>
      </c>
      <c r="E10" s="14">
        <v>25</v>
      </c>
      <c r="F10" s="14">
        <v>18</v>
      </c>
      <c r="G10" s="14">
        <v>23</v>
      </c>
      <c r="H10" s="14">
        <v>13</v>
      </c>
      <c r="I10" s="12">
        <f t="shared" si="2"/>
        <v>114</v>
      </c>
      <c r="J10" s="19">
        <v>27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46310</v>
      </c>
      <c r="B11" s="12" t="s">
        <v>18</v>
      </c>
      <c r="C11" s="14">
        <f t="shared" ref="C11:H11" si="3">SUM(C12-C9-C8-C13)</f>
        <v>105</v>
      </c>
      <c r="D11" s="14">
        <f t="shared" si="3"/>
        <v>96</v>
      </c>
      <c r="E11" s="14">
        <f t="shared" si="3"/>
        <v>77</v>
      </c>
      <c r="F11" s="14">
        <f t="shared" si="3"/>
        <v>72</v>
      </c>
      <c r="G11" s="14">
        <f t="shared" si="3"/>
        <v>54</v>
      </c>
      <c r="H11" s="14">
        <f t="shared" si="3"/>
        <v>65</v>
      </c>
      <c r="I11" s="21">
        <f t="shared" si="2"/>
        <v>469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46310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46310</v>
      </c>
      <c r="B13" s="12" t="s">
        <v>20</v>
      </c>
      <c r="C13" s="14">
        <v>3</v>
      </c>
      <c r="D13" s="14">
        <v>2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9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46309</v>
      </c>
      <c r="B14" s="12" t="s">
        <v>15</v>
      </c>
      <c r="C14" s="13">
        <v>8</v>
      </c>
      <c r="D14" s="13">
        <v>5</v>
      </c>
      <c r="E14" s="13">
        <v>6</v>
      </c>
      <c r="F14" s="14">
        <v>5</v>
      </c>
      <c r="G14" s="14">
        <v>2</v>
      </c>
      <c r="H14" s="14">
        <v>5</v>
      </c>
      <c r="I14" s="12">
        <f t="shared" ref="I14:I19" si="4">SUM(C14:H14)</f>
        <v>31</v>
      </c>
      <c r="J14" s="15">
        <f>(I18)/(I14+I18+J16)</f>
        <v>0.90252100840336136</v>
      </c>
      <c r="K14" s="15">
        <f>(I18-I14-I15-J16)/(I18)</f>
        <v>0.84357541899441346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46309</v>
      </c>
      <c r="B15" s="12" t="s">
        <v>16</v>
      </c>
      <c r="C15" s="13">
        <v>5</v>
      </c>
      <c r="D15" s="13">
        <v>7</v>
      </c>
      <c r="E15" s="13">
        <v>4</v>
      </c>
      <c r="F15" s="14">
        <v>4</v>
      </c>
      <c r="G15" s="14">
        <v>1</v>
      </c>
      <c r="H15" s="14">
        <v>5</v>
      </c>
      <c r="I15" s="12">
        <f t="shared" si="4"/>
        <v>26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46309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si="4"/>
        <v>114</v>
      </c>
      <c r="J16" s="19">
        <v>27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46309</v>
      </c>
      <c r="B17" s="12" t="s">
        <v>18</v>
      </c>
      <c r="C17" s="14">
        <f t="shared" ref="C17:H17" si="5">SUM(C18-C15-C14-C19)</f>
        <v>109</v>
      </c>
      <c r="D17" s="14">
        <f t="shared" si="5"/>
        <v>94</v>
      </c>
      <c r="E17" s="14">
        <f t="shared" si="5"/>
        <v>77</v>
      </c>
      <c r="F17" s="14">
        <f t="shared" si="5"/>
        <v>72</v>
      </c>
      <c r="G17" s="14">
        <f t="shared" si="5"/>
        <v>54</v>
      </c>
      <c r="H17" s="14">
        <f t="shared" si="5"/>
        <v>65</v>
      </c>
      <c r="I17" s="21">
        <f t="shared" si="4"/>
        <v>471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46309</v>
      </c>
      <c r="B18" s="23" t="s">
        <v>19</v>
      </c>
      <c r="C18" s="23">
        <v>125</v>
      </c>
      <c r="D18" s="23">
        <v>108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537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46309</v>
      </c>
      <c r="B19" s="12" t="s">
        <v>20</v>
      </c>
      <c r="C19" s="14">
        <v>3</v>
      </c>
      <c r="D19" s="14">
        <v>2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9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46308</v>
      </c>
      <c r="B20" s="12" t="s">
        <v>15</v>
      </c>
      <c r="C20" s="13">
        <v>8</v>
      </c>
      <c r="D20" s="13">
        <v>5</v>
      </c>
      <c r="E20" s="13">
        <v>7</v>
      </c>
      <c r="F20" s="14">
        <v>4</v>
      </c>
      <c r="G20" s="14">
        <v>2</v>
      </c>
      <c r="H20" s="14">
        <v>5</v>
      </c>
      <c r="I20" s="12">
        <f t="shared" ref="I20:I25" si="6">SUM(C20:H20)</f>
        <v>31</v>
      </c>
      <c r="J20" s="15">
        <f>(I24)/(I20+I24+J22)</f>
        <v>0.90725126475548057</v>
      </c>
      <c r="K20" s="15">
        <f>(I24-I20-I21-J22)/(I24)</f>
        <v>0.84758364312267653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46308</v>
      </c>
      <c r="B21" s="12" t="s">
        <v>16</v>
      </c>
      <c r="C21" s="13">
        <v>5</v>
      </c>
      <c r="D21" s="13">
        <v>7</v>
      </c>
      <c r="E21" s="13">
        <v>5</v>
      </c>
      <c r="F21" s="14">
        <v>4</v>
      </c>
      <c r="G21" s="14">
        <v>1</v>
      </c>
      <c r="H21" s="14">
        <v>5</v>
      </c>
      <c r="I21" s="12">
        <f t="shared" si="6"/>
        <v>27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46308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si="6"/>
        <v>114</v>
      </c>
      <c r="J22" s="19">
        <v>24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46308</v>
      </c>
      <c r="B23" s="12" t="s">
        <v>18</v>
      </c>
      <c r="C23" s="14">
        <f t="shared" ref="C23:H23" si="7">SUM(C24-C21-C20-C25)</f>
        <v>109</v>
      </c>
      <c r="D23" s="14">
        <f t="shared" si="7"/>
        <v>95</v>
      </c>
      <c r="E23" s="14">
        <f t="shared" si="7"/>
        <v>75</v>
      </c>
      <c r="F23" s="14">
        <f t="shared" si="7"/>
        <v>73</v>
      </c>
      <c r="G23" s="14">
        <f t="shared" si="7"/>
        <v>54</v>
      </c>
      <c r="H23" s="14">
        <f t="shared" si="7"/>
        <v>65</v>
      </c>
      <c r="I23" s="21">
        <f t="shared" si="6"/>
        <v>471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46308</v>
      </c>
      <c r="B24" s="23" t="s">
        <v>19</v>
      </c>
      <c r="C24" s="23">
        <v>125</v>
      </c>
      <c r="D24" s="23">
        <v>109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538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46308</v>
      </c>
      <c r="B25" s="12" t="s">
        <v>20</v>
      </c>
      <c r="C25" s="14">
        <v>3</v>
      </c>
      <c r="D25" s="14">
        <v>2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9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46307</v>
      </c>
      <c r="B26" s="12" t="s">
        <v>15</v>
      </c>
      <c r="C26" s="13">
        <v>7</v>
      </c>
      <c r="D26" s="13">
        <v>8</v>
      </c>
      <c r="E26" s="13">
        <v>7</v>
      </c>
      <c r="F26" s="14">
        <v>5</v>
      </c>
      <c r="G26" s="14">
        <v>2</v>
      </c>
      <c r="H26" s="14">
        <v>5</v>
      </c>
      <c r="I26" s="12">
        <f t="shared" ref="I26:I31" si="8">SUM(C26:H26)</f>
        <v>34</v>
      </c>
      <c r="J26" s="15">
        <f>(I30)/(I26+I30+J28)</f>
        <v>0.90252100840336136</v>
      </c>
      <c r="K26" s="15">
        <f>(I30-I26-I27-J28)/(I30)</f>
        <v>0.84171322160148976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46307</v>
      </c>
      <c r="B27" s="12" t="s">
        <v>16</v>
      </c>
      <c r="C27" s="13">
        <v>7</v>
      </c>
      <c r="D27" s="13">
        <v>5</v>
      </c>
      <c r="E27" s="13">
        <v>4</v>
      </c>
      <c r="F27" s="14">
        <v>4</v>
      </c>
      <c r="G27" s="14">
        <v>1</v>
      </c>
      <c r="H27" s="14">
        <v>6</v>
      </c>
      <c r="I27" s="12">
        <f t="shared" si="8"/>
        <v>27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46307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si="8"/>
        <v>114</v>
      </c>
      <c r="J28" s="19">
        <v>24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46307</v>
      </c>
      <c r="B29" s="12" t="s">
        <v>18</v>
      </c>
      <c r="C29" s="14">
        <f t="shared" ref="C29:H29" si="9">SUM(C30-C27-C26-C31)</f>
        <v>108</v>
      </c>
      <c r="D29" s="14">
        <f t="shared" si="9"/>
        <v>93</v>
      </c>
      <c r="E29" s="14">
        <f t="shared" si="9"/>
        <v>76</v>
      </c>
      <c r="F29" s="14">
        <f t="shared" si="9"/>
        <v>72</v>
      </c>
      <c r="G29" s="14">
        <f t="shared" si="9"/>
        <v>54</v>
      </c>
      <c r="H29" s="14">
        <f t="shared" si="9"/>
        <v>64</v>
      </c>
      <c r="I29" s="21">
        <f t="shared" si="8"/>
        <v>467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46307</v>
      </c>
      <c r="B30" s="23" t="s">
        <v>19</v>
      </c>
      <c r="C30" s="23">
        <v>125</v>
      </c>
      <c r="D30" s="23">
        <v>108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537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46307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46306</v>
      </c>
      <c r="B32" s="12" t="s">
        <v>15</v>
      </c>
      <c r="C32" s="13">
        <v>12</v>
      </c>
      <c r="D32" s="13">
        <v>4</v>
      </c>
      <c r="E32" s="13">
        <v>4</v>
      </c>
      <c r="F32" s="14">
        <v>4</v>
      </c>
      <c r="G32" s="14">
        <v>4</v>
      </c>
      <c r="H32" s="14">
        <v>6</v>
      </c>
      <c r="I32" s="12">
        <f t="shared" ref="I32:I37" si="10">SUM(C32:H32)</f>
        <v>34</v>
      </c>
      <c r="J32" s="15">
        <f>(I36)/(I32+I36+J34)</f>
        <v>0.90252100840336136</v>
      </c>
      <c r="K32" s="15">
        <f>(I36-I32-I33-J34)/(I36)</f>
        <v>0.84357541899441346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46306</v>
      </c>
      <c r="B33" s="12" t="s">
        <v>16</v>
      </c>
      <c r="C33" s="13">
        <v>6</v>
      </c>
      <c r="D33" s="13">
        <v>7</v>
      </c>
      <c r="E33" s="13">
        <v>4</v>
      </c>
      <c r="F33" s="14">
        <v>3</v>
      </c>
      <c r="G33" s="14">
        <v>1</v>
      </c>
      <c r="H33" s="14">
        <v>5</v>
      </c>
      <c r="I33" s="12">
        <f t="shared" si="10"/>
        <v>26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46306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si="10"/>
        <v>114</v>
      </c>
      <c r="J34" s="19">
        <v>24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46306</v>
      </c>
      <c r="B35" s="12" t="s">
        <v>18</v>
      </c>
      <c r="C35" s="14">
        <f t="shared" ref="C35:H35" si="11">SUM(C36-C33-C32-C37)</f>
        <v>104</v>
      </c>
      <c r="D35" s="14">
        <f t="shared" si="11"/>
        <v>95</v>
      </c>
      <c r="E35" s="14">
        <f t="shared" si="11"/>
        <v>79</v>
      </c>
      <c r="F35" s="14">
        <f t="shared" si="11"/>
        <v>74</v>
      </c>
      <c r="G35" s="14">
        <f t="shared" si="11"/>
        <v>52</v>
      </c>
      <c r="H35" s="14">
        <f t="shared" si="11"/>
        <v>64</v>
      </c>
      <c r="I35" s="21">
        <f t="shared" si="10"/>
        <v>468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46306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46306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46305</v>
      </c>
      <c r="B38" s="12" t="s">
        <v>15</v>
      </c>
      <c r="C38" s="13">
        <v>11</v>
      </c>
      <c r="D38" s="13">
        <v>4</v>
      </c>
      <c r="E38" s="13">
        <v>4</v>
      </c>
      <c r="F38" s="14">
        <v>4</v>
      </c>
      <c r="G38" s="14">
        <v>4</v>
      </c>
      <c r="H38" s="14">
        <v>6</v>
      </c>
      <c r="I38" s="12">
        <f t="shared" ref="I38:I43" si="12">SUM(C38:H38)</f>
        <v>33</v>
      </c>
      <c r="J38" s="15">
        <f>(I42)/(I38+I42+J40)</f>
        <v>0.90404040404040409</v>
      </c>
      <c r="K38" s="15">
        <f>(I42-I38-I39-J40)/(I42)</f>
        <v>0.84543761638733705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46305</v>
      </c>
      <c r="B39" s="12" t="s">
        <v>16</v>
      </c>
      <c r="C39" s="13">
        <v>6</v>
      </c>
      <c r="D39" s="13">
        <v>7</v>
      </c>
      <c r="E39" s="13">
        <v>4</v>
      </c>
      <c r="F39" s="14">
        <v>3</v>
      </c>
      <c r="G39" s="14">
        <v>1</v>
      </c>
      <c r="H39" s="14">
        <v>5</v>
      </c>
      <c r="I39" s="12">
        <f t="shared" si="12"/>
        <v>26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46305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si="12"/>
        <v>114</v>
      </c>
      <c r="J40" s="19">
        <v>24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46305</v>
      </c>
      <c r="B41" s="12" t="s">
        <v>18</v>
      </c>
      <c r="C41" s="14">
        <f t="shared" ref="C41:H41" si="13">SUM(C42-C39-C38-C43)</f>
        <v>105</v>
      </c>
      <c r="D41" s="14">
        <f t="shared" si="13"/>
        <v>95</v>
      </c>
      <c r="E41" s="14">
        <f t="shared" si="13"/>
        <v>79</v>
      </c>
      <c r="F41" s="14">
        <f t="shared" si="13"/>
        <v>74</v>
      </c>
      <c r="G41" s="14">
        <f t="shared" si="13"/>
        <v>52</v>
      </c>
      <c r="H41" s="14">
        <f t="shared" si="13"/>
        <v>64</v>
      </c>
      <c r="I41" s="21">
        <f t="shared" si="12"/>
        <v>469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46305</v>
      </c>
      <c r="B42" s="23" t="s">
        <v>19</v>
      </c>
      <c r="C42" s="23">
        <v>125</v>
      </c>
      <c r="D42" s="23">
        <v>108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537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46305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46304</v>
      </c>
      <c r="B44" s="12" t="s">
        <v>15</v>
      </c>
      <c r="C44" s="13">
        <v>12</v>
      </c>
      <c r="D44" s="13">
        <v>4</v>
      </c>
      <c r="E44" s="13">
        <v>4</v>
      </c>
      <c r="F44" s="14">
        <v>4</v>
      </c>
      <c r="G44" s="14">
        <v>4</v>
      </c>
      <c r="H44" s="14">
        <v>6</v>
      </c>
      <c r="I44" s="12">
        <f t="shared" ref="I44:I49" si="14">SUM(C44:H44)</f>
        <v>34</v>
      </c>
      <c r="J44" s="15">
        <f>(I48)/(I44+I48+J46)</f>
        <v>0.90252100840336136</v>
      </c>
      <c r="K44" s="15">
        <f>(I48-I44-I45-J46)/(I48)</f>
        <v>0.84543761638733705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46304</v>
      </c>
      <c r="B45" s="12" t="s">
        <v>16</v>
      </c>
      <c r="C45" s="13">
        <v>5</v>
      </c>
      <c r="D45" s="13">
        <v>7</v>
      </c>
      <c r="E45" s="13">
        <v>4</v>
      </c>
      <c r="F45" s="14">
        <v>3</v>
      </c>
      <c r="G45" s="14">
        <v>1</v>
      </c>
      <c r="H45" s="14">
        <v>5</v>
      </c>
      <c r="I45" s="12">
        <f t="shared" si="14"/>
        <v>25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46304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si="14"/>
        <v>114</v>
      </c>
      <c r="J46" s="19">
        <v>24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46304</v>
      </c>
      <c r="B47" s="12" t="s">
        <v>18</v>
      </c>
      <c r="C47" s="14">
        <f t="shared" ref="C47:H47" si="15">SUM(C48-C45-C44-C49)</f>
        <v>105</v>
      </c>
      <c r="D47" s="14">
        <f t="shared" si="15"/>
        <v>95</v>
      </c>
      <c r="E47" s="14">
        <f t="shared" si="15"/>
        <v>79</v>
      </c>
      <c r="F47" s="14">
        <f t="shared" si="15"/>
        <v>74</v>
      </c>
      <c r="G47" s="14">
        <f t="shared" si="15"/>
        <v>52</v>
      </c>
      <c r="H47" s="14">
        <f t="shared" si="15"/>
        <v>64</v>
      </c>
      <c r="I47" s="21">
        <f t="shared" si="14"/>
        <v>469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46304</v>
      </c>
      <c r="B48" s="23" t="s">
        <v>19</v>
      </c>
      <c r="C48" s="23">
        <v>125</v>
      </c>
      <c r="D48" s="23">
        <v>108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537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46304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46303</v>
      </c>
      <c r="B50" s="12" t="s">
        <v>15</v>
      </c>
      <c r="C50" s="13">
        <v>9</v>
      </c>
      <c r="D50" s="13">
        <v>4</v>
      </c>
      <c r="E50" s="13">
        <v>4</v>
      </c>
      <c r="F50" s="14">
        <v>3</v>
      </c>
      <c r="G50" s="14">
        <v>3</v>
      </c>
      <c r="H50" s="14">
        <v>6</v>
      </c>
      <c r="I50" s="12">
        <f t="shared" ref="I50:I55" si="16">SUM(C50:H50)</f>
        <v>29</v>
      </c>
      <c r="J50" s="15">
        <f>(I54)/(I50+I54+J52)</f>
        <v>0.9101694915254237</v>
      </c>
      <c r="K50" s="15">
        <f>(I54-I50-I51-J52)/(I54)</f>
        <v>0.84171322160148976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46303</v>
      </c>
      <c r="B51" s="12" t="s">
        <v>16</v>
      </c>
      <c r="C51" s="13">
        <v>9</v>
      </c>
      <c r="D51" s="13">
        <v>9</v>
      </c>
      <c r="E51" s="13">
        <v>4</v>
      </c>
      <c r="F51" s="14">
        <v>4</v>
      </c>
      <c r="G51" s="14">
        <v>1</v>
      </c>
      <c r="H51" s="14">
        <v>5</v>
      </c>
      <c r="I51" s="12">
        <f t="shared" si="16"/>
        <v>32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46303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si="16"/>
        <v>114</v>
      </c>
      <c r="J52" s="19">
        <v>24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46303</v>
      </c>
      <c r="B53" s="12" t="s">
        <v>18</v>
      </c>
      <c r="C53" s="14">
        <f t="shared" ref="C53:H53" si="17">SUM(C54-C51-C50-C55)</f>
        <v>104</v>
      </c>
      <c r="D53" s="14">
        <f t="shared" si="17"/>
        <v>93</v>
      </c>
      <c r="E53" s="14">
        <f t="shared" si="17"/>
        <v>79</v>
      </c>
      <c r="F53" s="14">
        <f t="shared" si="17"/>
        <v>74</v>
      </c>
      <c r="G53" s="14">
        <f t="shared" si="17"/>
        <v>53</v>
      </c>
      <c r="H53" s="14">
        <f t="shared" si="17"/>
        <v>64</v>
      </c>
      <c r="I53" s="21">
        <f t="shared" si="16"/>
        <v>467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46303</v>
      </c>
      <c r="B54" s="23" t="s">
        <v>19</v>
      </c>
      <c r="C54" s="23">
        <v>125</v>
      </c>
      <c r="D54" s="23">
        <v>108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537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46303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46302</v>
      </c>
      <c r="B56" s="12" t="s">
        <v>15</v>
      </c>
      <c r="C56" s="13">
        <v>12</v>
      </c>
      <c r="D56" s="13">
        <v>5</v>
      </c>
      <c r="E56" s="13">
        <v>8</v>
      </c>
      <c r="F56" s="14">
        <v>4</v>
      </c>
      <c r="G56" s="14">
        <v>3</v>
      </c>
      <c r="H56" s="14">
        <v>6</v>
      </c>
      <c r="I56" s="12">
        <f t="shared" ref="I56:I61" si="18">SUM(C56:H56)</f>
        <v>38</v>
      </c>
      <c r="J56" s="15">
        <f>(I60)/(I56+I60+J58)</f>
        <v>0.89649415692821366</v>
      </c>
      <c r="K56" s="15">
        <f>(I60-I56-I57-J58)/(I60)</f>
        <v>0.82867783985102417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46302</v>
      </c>
      <c r="B57" s="12" t="s">
        <v>16</v>
      </c>
      <c r="C57" s="13">
        <v>9</v>
      </c>
      <c r="D57" s="13">
        <v>8</v>
      </c>
      <c r="E57" s="13">
        <v>4</v>
      </c>
      <c r="F57" s="14">
        <v>3</v>
      </c>
      <c r="G57" s="14">
        <v>1</v>
      </c>
      <c r="H57" s="14">
        <v>5</v>
      </c>
      <c r="I57" s="12">
        <f t="shared" si="18"/>
        <v>30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46302</v>
      </c>
      <c r="B58" s="12" t="s">
        <v>17</v>
      </c>
      <c r="C58" s="14">
        <v>20</v>
      </c>
      <c r="D58" s="14">
        <v>15</v>
      </c>
      <c r="E58" s="14">
        <v>25</v>
      </c>
      <c r="F58" s="14">
        <v>18</v>
      </c>
      <c r="G58" s="14">
        <v>23</v>
      </c>
      <c r="H58" s="14">
        <v>13</v>
      </c>
      <c r="I58" s="12">
        <f t="shared" si="18"/>
        <v>114</v>
      </c>
      <c r="J58" s="19">
        <v>24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46302</v>
      </c>
      <c r="B59" s="12" t="s">
        <v>18</v>
      </c>
      <c r="C59" s="14">
        <f t="shared" ref="C59:H59" si="19">SUM(C60-C57-C56-C61)</f>
        <v>101</v>
      </c>
      <c r="D59" s="14">
        <f t="shared" si="19"/>
        <v>93</v>
      </c>
      <c r="E59" s="14">
        <f t="shared" si="19"/>
        <v>75</v>
      </c>
      <c r="F59" s="14">
        <f t="shared" si="19"/>
        <v>74</v>
      </c>
      <c r="G59" s="14">
        <f t="shared" si="19"/>
        <v>53</v>
      </c>
      <c r="H59" s="14">
        <f t="shared" si="19"/>
        <v>64</v>
      </c>
      <c r="I59" s="21">
        <f t="shared" si="18"/>
        <v>460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46302</v>
      </c>
      <c r="B60" s="23" t="s">
        <v>19</v>
      </c>
      <c r="C60" s="23">
        <v>125</v>
      </c>
      <c r="D60" s="23">
        <v>108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537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46302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46301</v>
      </c>
      <c r="B62" s="12" t="s">
        <v>15</v>
      </c>
      <c r="C62" s="13">
        <v>12</v>
      </c>
      <c r="D62" s="13">
        <v>6</v>
      </c>
      <c r="E62" s="13">
        <v>6</v>
      </c>
      <c r="F62" s="14">
        <v>4</v>
      </c>
      <c r="G62" s="14">
        <v>2</v>
      </c>
      <c r="H62" s="14">
        <v>7</v>
      </c>
      <c r="I62" s="12">
        <f t="shared" ref="I62:I67" si="20">SUM(C62:H62)</f>
        <v>37</v>
      </c>
      <c r="J62" s="15">
        <f>(I66)/(I62+I66+J64)</f>
        <v>0.89799331103678925</v>
      </c>
      <c r="K62" s="15">
        <f>(I66-I62-I63-J64)/(I66)</f>
        <v>0.83426443202979517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46301</v>
      </c>
      <c r="B63" s="12" t="s">
        <v>16</v>
      </c>
      <c r="C63" s="13">
        <v>8</v>
      </c>
      <c r="D63" s="13">
        <v>7</v>
      </c>
      <c r="E63" s="13">
        <v>2</v>
      </c>
      <c r="F63" s="14">
        <v>4</v>
      </c>
      <c r="G63" s="14">
        <v>0</v>
      </c>
      <c r="H63" s="14">
        <v>7</v>
      </c>
      <c r="I63" s="12">
        <f t="shared" si="20"/>
        <v>28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46301</v>
      </c>
      <c r="B64" s="12" t="s">
        <v>17</v>
      </c>
      <c r="C64" s="14">
        <v>19</v>
      </c>
      <c r="D64" s="14">
        <v>15</v>
      </c>
      <c r="E64" s="14">
        <v>25</v>
      </c>
      <c r="F64" s="14">
        <v>18</v>
      </c>
      <c r="G64" s="14">
        <v>23</v>
      </c>
      <c r="H64" s="14">
        <v>12</v>
      </c>
      <c r="I64" s="12">
        <f t="shared" si="20"/>
        <v>112</v>
      </c>
      <c r="J64" s="19">
        <v>24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46301</v>
      </c>
      <c r="B65" s="12" t="s">
        <v>18</v>
      </c>
      <c r="C65" s="14">
        <f t="shared" ref="C65:H65" si="21">SUM(C66-C63-C62-C67)</f>
        <v>102</v>
      </c>
      <c r="D65" s="14">
        <f t="shared" si="21"/>
        <v>93</v>
      </c>
      <c r="E65" s="14">
        <f t="shared" si="21"/>
        <v>79</v>
      </c>
      <c r="F65" s="14">
        <f t="shared" si="21"/>
        <v>73</v>
      </c>
      <c r="G65" s="14">
        <f t="shared" si="21"/>
        <v>55</v>
      </c>
      <c r="H65" s="14">
        <f t="shared" si="21"/>
        <v>61</v>
      </c>
      <c r="I65" s="21">
        <f t="shared" si="20"/>
        <v>463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46301</v>
      </c>
      <c r="B66" s="23" t="s">
        <v>19</v>
      </c>
      <c r="C66" s="23">
        <v>125</v>
      </c>
      <c r="D66" s="23">
        <v>108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537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46301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46300</v>
      </c>
      <c r="B68" s="12" t="s">
        <v>15</v>
      </c>
      <c r="C68" s="13">
        <v>11</v>
      </c>
      <c r="D68" s="13">
        <v>4</v>
      </c>
      <c r="E68" s="13">
        <v>8</v>
      </c>
      <c r="F68" s="14">
        <v>3</v>
      </c>
      <c r="G68" s="14">
        <v>2</v>
      </c>
      <c r="H68" s="14">
        <v>6</v>
      </c>
      <c r="I68" s="12">
        <f t="shared" ref="I68:I73" si="22">SUM(C68:H68)</f>
        <v>34</v>
      </c>
      <c r="J68" s="15">
        <f>(I72)/(I68+I72+J70)</f>
        <v>0.90252100840336136</v>
      </c>
      <c r="K68" s="15">
        <f>(I72-I68-I69-J70)/(I72)</f>
        <v>0.83985102420856605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46300</v>
      </c>
      <c r="B69" s="12" t="s">
        <v>16</v>
      </c>
      <c r="C69" s="13">
        <v>8</v>
      </c>
      <c r="D69" s="13">
        <v>7</v>
      </c>
      <c r="E69" s="13">
        <v>2</v>
      </c>
      <c r="F69" s="14">
        <v>4</v>
      </c>
      <c r="G69" s="14">
        <v>0</v>
      </c>
      <c r="H69" s="14">
        <v>7</v>
      </c>
      <c r="I69" s="12">
        <f t="shared" si="22"/>
        <v>28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46300</v>
      </c>
      <c r="B70" s="12" t="s">
        <v>17</v>
      </c>
      <c r="C70" s="14">
        <v>18</v>
      </c>
      <c r="D70" s="14">
        <v>13</v>
      </c>
      <c r="E70" s="14">
        <v>25</v>
      </c>
      <c r="F70" s="14">
        <v>18</v>
      </c>
      <c r="G70" s="14">
        <v>23</v>
      </c>
      <c r="H70" s="14">
        <v>14</v>
      </c>
      <c r="I70" s="12">
        <f t="shared" si="22"/>
        <v>111</v>
      </c>
      <c r="J70" s="19">
        <v>24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46300</v>
      </c>
      <c r="B71" s="12" t="s">
        <v>18</v>
      </c>
      <c r="C71" s="14">
        <f t="shared" ref="C71:H71" si="23">SUM(C72-C69-C68-C73)</f>
        <v>103</v>
      </c>
      <c r="D71" s="14">
        <f t="shared" si="23"/>
        <v>95</v>
      </c>
      <c r="E71" s="14">
        <f t="shared" si="23"/>
        <v>77</v>
      </c>
      <c r="F71" s="14">
        <f t="shared" si="23"/>
        <v>74</v>
      </c>
      <c r="G71" s="14">
        <f t="shared" si="23"/>
        <v>55</v>
      </c>
      <c r="H71" s="14">
        <f t="shared" si="23"/>
        <v>62</v>
      </c>
      <c r="I71" s="21">
        <f t="shared" si="22"/>
        <v>466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46300</v>
      </c>
      <c r="B72" s="23" t="s">
        <v>19</v>
      </c>
      <c r="C72" s="23">
        <v>125</v>
      </c>
      <c r="D72" s="23">
        <v>108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537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46300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46299</v>
      </c>
      <c r="B74" s="12" t="s">
        <v>15</v>
      </c>
      <c r="C74" s="13">
        <v>12</v>
      </c>
      <c r="D74" s="13">
        <v>5</v>
      </c>
      <c r="E74" s="13">
        <v>6</v>
      </c>
      <c r="F74" s="14">
        <v>3</v>
      </c>
      <c r="G74" s="14">
        <v>2</v>
      </c>
      <c r="H74" s="14">
        <v>5</v>
      </c>
      <c r="I74" s="12">
        <f t="shared" ref="I74:I79" si="24">SUM(C74:H74)</f>
        <v>33</v>
      </c>
      <c r="J74" s="15">
        <f>(I78)/(I74+I78+J76)</f>
        <v>0.90709459459459463</v>
      </c>
      <c r="K74" s="15">
        <f>(I78-I74-I75-J76)/(I78)</f>
        <v>0.84357541899441346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46299</v>
      </c>
      <c r="B75" s="12" t="s">
        <v>16</v>
      </c>
      <c r="C75" s="13">
        <v>8</v>
      </c>
      <c r="D75" s="13">
        <v>8</v>
      </c>
      <c r="E75" s="13">
        <v>2</v>
      </c>
      <c r="F75" s="14">
        <v>4</v>
      </c>
      <c r="G75" s="14">
        <v>0</v>
      </c>
      <c r="H75" s="14">
        <v>7</v>
      </c>
      <c r="I75" s="12">
        <f t="shared" si="24"/>
        <v>29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46299</v>
      </c>
      <c r="B76" s="12" t="s">
        <v>17</v>
      </c>
      <c r="C76" s="14">
        <v>18</v>
      </c>
      <c r="D76" s="14">
        <v>13</v>
      </c>
      <c r="E76" s="14">
        <v>25</v>
      </c>
      <c r="F76" s="14">
        <v>18</v>
      </c>
      <c r="G76" s="14">
        <v>23</v>
      </c>
      <c r="H76" s="14">
        <v>14</v>
      </c>
      <c r="I76" s="12">
        <f t="shared" si="24"/>
        <v>111</v>
      </c>
      <c r="J76" s="19">
        <v>22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46299</v>
      </c>
      <c r="B77" s="12" t="s">
        <v>18</v>
      </c>
      <c r="C77" s="14">
        <f t="shared" ref="C77:H77" si="25">SUM(C78-C75-C74-C79)</f>
        <v>102</v>
      </c>
      <c r="D77" s="14">
        <f t="shared" si="25"/>
        <v>93</v>
      </c>
      <c r="E77" s="14">
        <f t="shared" si="25"/>
        <v>79</v>
      </c>
      <c r="F77" s="14">
        <f t="shared" si="25"/>
        <v>74</v>
      </c>
      <c r="G77" s="14">
        <f t="shared" si="25"/>
        <v>55</v>
      </c>
      <c r="H77" s="14">
        <f t="shared" si="25"/>
        <v>63</v>
      </c>
      <c r="I77" s="21">
        <f t="shared" si="24"/>
        <v>466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46299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46299</v>
      </c>
      <c r="B79" s="12" t="s">
        <v>20</v>
      </c>
      <c r="C79" s="14">
        <v>3</v>
      </c>
      <c r="D79" s="14">
        <v>2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9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46298</v>
      </c>
      <c r="B80" s="12" t="s">
        <v>15</v>
      </c>
      <c r="C80" s="13">
        <v>14</v>
      </c>
      <c r="D80" s="13">
        <v>5</v>
      </c>
      <c r="E80" s="13">
        <v>7</v>
      </c>
      <c r="F80" s="14">
        <v>3</v>
      </c>
      <c r="G80" s="14">
        <v>2</v>
      </c>
      <c r="H80" s="14">
        <v>6</v>
      </c>
      <c r="I80" s="12">
        <f t="shared" ref="I80:I85" si="26">SUM(C80:H80)</f>
        <v>37</v>
      </c>
      <c r="J80" s="15">
        <f>(I84)/(I80+I84+J82)</f>
        <v>0.89500000000000002</v>
      </c>
      <c r="K80" s="15">
        <f>(I84-I80-I81-J82)/(I84)</f>
        <v>0.82867783985102417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46298</v>
      </c>
      <c r="B81" s="12" t="s">
        <v>16</v>
      </c>
      <c r="C81" s="13">
        <v>7</v>
      </c>
      <c r="D81" s="13">
        <v>8</v>
      </c>
      <c r="E81" s="13">
        <v>2</v>
      </c>
      <c r="F81" s="14">
        <v>4</v>
      </c>
      <c r="G81" s="14">
        <v>1</v>
      </c>
      <c r="H81" s="14">
        <v>7</v>
      </c>
      <c r="I81" s="12">
        <f t="shared" si="26"/>
        <v>29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46298</v>
      </c>
      <c r="B82" s="12" t="s">
        <v>17</v>
      </c>
      <c r="C82" s="14">
        <v>18</v>
      </c>
      <c r="D82" s="14">
        <v>13</v>
      </c>
      <c r="E82" s="14">
        <v>25</v>
      </c>
      <c r="F82" s="14">
        <v>18</v>
      </c>
      <c r="G82" s="14">
        <v>23</v>
      </c>
      <c r="H82" s="14">
        <v>14</v>
      </c>
      <c r="I82" s="12">
        <f t="shared" si="26"/>
        <v>111</v>
      </c>
      <c r="J82" s="19">
        <v>26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46298</v>
      </c>
      <c r="B83" s="12" t="s">
        <v>18</v>
      </c>
      <c r="C83" s="14">
        <f t="shared" ref="C83:H83" si="27">SUM(C84-C81-C80-C85)</f>
        <v>101</v>
      </c>
      <c r="D83" s="14">
        <f t="shared" si="27"/>
        <v>94</v>
      </c>
      <c r="E83" s="14">
        <f t="shared" si="27"/>
        <v>78</v>
      </c>
      <c r="F83" s="14">
        <f t="shared" si="27"/>
        <v>74</v>
      </c>
      <c r="G83" s="14">
        <f t="shared" si="27"/>
        <v>54</v>
      </c>
      <c r="H83" s="14">
        <f t="shared" si="27"/>
        <v>62</v>
      </c>
      <c r="I83" s="21">
        <f t="shared" si="26"/>
        <v>463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46298</v>
      </c>
      <c r="B84" s="23" t="s">
        <v>19</v>
      </c>
      <c r="C84" s="23">
        <v>125</v>
      </c>
      <c r="D84" s="23">
        <v>108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537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46298</v>
      </c>
      <c r="B85" s="12" t="s">
        <v>20</v>
      </c>
      <c r="C85" s="14">
        <v>3</v>
      </c>
      <c r="D85" s="14">
        <v>1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8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46297</v>
      </c>
      <c r="B86" s="12" t="s">
        <v>15</v>
      </c>
      <c r="C86" s="13">
        <v>13</v>
      </c>
      <c r="D86" s="13">
        <v>6</v>
      </c>
      <c r="E86" s="13">
        <v>6</v>
      </c>
      <c r="F86" s="14">
        <v>1</v>
      </c>
      <c r="G86" s="14">
        <v>2</v>
      </c>
      <c r="H86" s="14">
        <v>6</v>
      </c>
      <c r="I86" s="12">
        <f t="shared" ref="I86:I91" si="28">SUM(C86:H86)</f>
        <v>34</v>
      </c>
      <c r="J86" s="15">
        <f>(I90)/(I86+I90+J88)</f>
        <v>0.90556492411467115</v>
      </c>
      <c r="K86" s="15">
        <f>(I90-I86-I87-J88)/(I90)</f>
        <v>0.83985102420856605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46297</v>
      </c>
      <c r="B87" s="12" t="s">
        <v>16</v>
      </c>
      <c r="C87" s="13">
        <v>7</v>
      </c>
      <c r="D87" s="13">
        <v>6</v>
      </c>
      <c r="E87" s="13">
        <v>4</v>
      </c>
      <c r="F87" s="14">
        <v>5</v>
      </c>
      <c r="G87" s="14">
        <v>1</v>
      </c>
      <c r="H87" s="14">
        <v>7</v>
      </c>
      <c r="I87" s="12">
        <f t="shared" si="28"/>
        <v>30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46297</v>
      </c>
      <c r="B88" s="12" t="s">
        <v>17</v>
      </c>
      <c r="C88" s="14">
        <v>18</v>
      </c>
      <c r="D88" s="14">
        <v>13</v>
      </c>
      <c r="E88" s="14">
        <v>25</v>
      </c>
      <c r="F88" s="14">
        <v>18</v>
      </c>
      <c r="G88" s="14">
        <v>23</v>
      </c>
      <c r="H88" s="14">
        <v>14</v>
      </c>
      <c r="I88" s="12">
        <f t="shared" si="28"/>
        <v>111</v>
      </c>
      <c r="J88" s="19">
        <v>22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46297</v>
      </c>
      <c r="B89" s="12" t="s">
        <v>18</v>
      </c>
      <c r="C89" s="14">
        <f t="shared" ref="C89:H89" si="29">SUM(C90-C87-C86-C91)</f>
        <v>102</v>
      </c>
      <c r="D89" s="14">
        <f t="shared" si="29"/>
        <v>95</v>
      </c>
      <c r="E89" s="14">
        <f t="shared" si="29"/>
        <v>77</v>
      </c>
      <c r="F89" s="14">
        <f t="shared" si="29"/>
        <v>75</v>
      </c>
      <c r="G89" s="14">
        <f t="shared" si="29"/>
        <v>54</v>
      </c>
      <c r="H89" s="14">
        <f t="shared" si="29"/>
        <v>62</v>
      </c>
      <c r="I89" s="21">
        <f t="shared" si="28"/>
        <v>465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46297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46297</v>
      </c>
      <c r="B91" s="12" t="s">
        <v>20</v>
      </c>
      <c r="C91" s="14">
        <v>3</v>
      </c>
      <c r="D91" s="14">
        <v>1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8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46296</v>
      </c>
      <c r="B92" s="12" t="s">
        <v>15</v>
      </c>
      <c r="C92" s="13">
        <v>12</v>
      </c>
      <c r="D92" s="13">
        <v>7</v>
      </c>
      <c r="E92" s="13">
        <v>7</v>
      </c>
      <c r="F92" s="14">
        <v>2</v>
      </c>
      <c r="G92" s="14">
        <v>2</v>
      </c>
      <c r="H92" s="14">
        <v>4</v>
      </c>
      <c r="I92" s="12">
        <f t="shared" ref="I92:I97" si="30">SUM(C92:H92)</f>
        <v>34</v>
      </c>
      <c r="J92" s="15">
        <f>(I96)/(I92+I96+J94)</f>
        <v>0.90862944162436543</v>
      </c>
      <c r="K92" s="15">
        <f>(I96-I92-I93-J94)/(I96)</f>
        <v>0.84543761638733705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46296</v>
      </c>
      <c r="B93" s="12" t="s">
        <v>16</v>
      </c>
      <c r="C93" s="13">
        <v>8</v>
      </c>
      <c r="D93" s="13">
        <v>5</v>
      </c>
      <c r="E93" s="13">
        <v>5</v>
      </c>
      <c r="F93" s="14">
        <v>3</v>
      </c>
      <c r="G93" s="14">
        <v>1</v>
      </c>
      <c r="H93" s="14">
        <v>7</v>
      </c>
      <c r="I93" s="12">
        <f t="shared" si="30"/>
        <v>29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46296</v>
      </c>
      <c r="B94" s="12" t="s">
        <v>17</v>
      </c>
      <c r="C94" s="14">
        <v>18</v>
      </c>
      <c r="D94" s="14">
        <v>13</v>
      </c>
      <c r="E94" s="14">
        <v>25</v>
      </c>
      <c r="F94" s="14">
        <v>18</v>
      </c>
      <c r="G94" s="14">
        <v>23</v>
      </c>
      <c r="H94" s="14">
        <v>14</v>
      </c>
      <c r="I94" s="12">
        <f t="shared" si="30"/>
        <v>111</v>
      </c>
      <c r="J94" s="19">
        <v>20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46296</v>
      </c>
      <c r="B95" s="12" t="s">
        <v>18</v>
      </c>
      <c r="C95" s="14">
        <f t="shared" ref="C95:H95" si="31">SUM(C96-C93-C92-C97)</f>
        <v>102</v>
      </c>
      <c r="D95" s="14">
        <f t="shared" si="31"/>
        <v>95</v>
      </c>
      <c r="E95" s="14">
        <f t="shared" si="31"/>
        <v>75</v>
      </c>
      <c r="F95" s="14">
        <f t="shared" si="31"/>
        <v>76</v>
      </c>
      <c r="G95" s="14">
        <f t="shared" si="31"/>
        <v>54</v>
      </c>
      <c r="H95" s="14">
        <f t="shared" si="31"/>
        <v>64</v>
      </c>
      <c r="I95" s="21">
        <f t="shared" si="30"/>
        <v>466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46296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46296</v>
      </c>
      <c r="B97" s="12" t="s">
        <v>20</v>
      </c>
      <c r="C97" s="14">
        <v>3</v>
      </c>
      <c r="D97" s="14">
        <v>1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8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46295</v>
      </c>
      <c r="B98" s="12" t="s">
        <v>15</v>
      </c>
      <c r="C98" s="13">
        <v>11</v>
      </c>
      <c r="D98" s="13">
        <v>7</v>
      </c>
      <c r="E98" s="13">
        <v>4</v>
      </c>
      <c r="F98" s="14">
        <v>1</v>
      </c>
      <c r="G98" s="14">
        <v>3</v>
      </c>
      <c r="H98" s="14">
        <v>2</v>
      </c>
      <c r="I98" s="12">
        <f t="shared" ref="I98:I103" si="32">SUM(C98:H98)</f>
        <v>28</v>
      </c>
      <c r="J98" s="15">
        <f>(I102)/(I98+I102+J100)</f>
        <v>0.91952054794520544</v>
      </c>
      <c r="K98" s="15">
        <f>(I102-I98-I99-J100)/(I102)</f>
        <v>0.84729981378026076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46295</v>
      </c>
      <c r="B99" s="12" t="s">
        <v>16</v>
      </c>
      <c r="C99" s="13">
        <v>9</v>
      </c>
      <c r="D99" s="13">
        <v>5</v>
      </c>
      <c r="E99" s="13">
        <v>7</v>
      </c>
      <c r="F99" s="14">
        <v>4</v>
      </c>
      <c r="G99" s="14">
        <v>1</v>
      </c>
      <c r="H99" s="14">
        <v>9</v>
      </c>
      <c r="I99" s="12">
        <f t="shared" si="32"/>
        <v>35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46295</v>
      </c>
      <c r="B100" s="12" t="s">
        <v>17</v>
      </c>
      <c r="C100" s="14">
        <v>18</v>
      </c>
      <c r="D100" s="14">
        <v>13</v>
      </c>
      <c r="E100" s="14">
        <v>25</v>
      </c>
      <c r="F100" s="14">
        <v>18</v>
      </c>
      <c r="G100" s="14">
        <v>23</v>
      </c>
      <c r="H100" s="14">
        <v>14</v>
      </c>
      <c r="I100" s="12">
        <f t="shared" si="32"/>
        <v>111</v>
      </c>
      <c r="J100" s="19">
        <v>19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46295</v>
      </c>
      <c r="B101" s="12" t="s">
        <v>18</v>
      </c>
      <c r="C101" s="14">
        <f t="shared" ref="C101:H101" si="33">SUM(C102-C99-C98-C103)</f>
        <v>102</v>
      </c>
      <c r="D101" s="14">
        <f t="shared" si="33"/>
        <v>95</v>
      </c>
      <c r="E101" s="14">
        <f t="shared" si="33"/>
        <v>76</v>
      </c>
      <c r="F101" s="14">
        <f t="shared" si="33"/>
        <v>76</v>
      </c>
      <c r="G101" s="14">
        <f t="shared" si="33"/>
        <v>53</v>
      </c>
      <c r="H101" s="14">
        <f t="shared" si="33"/>
        <v>64</v>
      </c>
      <c r="I101" s="21">
        <f t="shared" si="32"/>
        <v>466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46295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46295</v>
      </c>
      <c r="B103" s="12" t="s">
        <v>20</v>
      </c>
      <c r="C103" s="14">
        <v>3</v>
      </c>
      <c r="D103" s="14">
        <v>1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8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46294</v>
      </c>
      <c r="B104" s="12" t="s">
        <v>15</v>
      </c>
      <c r="C104" s="13">
        <v>14</v>
      </c>
      <c r="D104" s="13">
        <v>8</v>
      </c>
      <c r="E104" s="13">
        <v>7</v>
      </c>
      <c r="F104" s="14">
        <v>1</v>
      </c>
      <c r="G104" s="14">
        <v>3</v>
      </c>
      <c r="H104" s="14">
        <v>3</v>
      </c>
      <c r="I104" s="12">
        <f t="shared" ref="I104:I109" si="34">SUM(C104:H104)</f>
        <v>36</v>
      </c>
      <c r="J104" s="15">
        <f>(I108)/(I104+I108+J106)</f>
        <v>0.89649415692821366</v>
      </c>
      <c r="K104" s="15">
        <f>(I108-I104-I105-J106)/(I108)</f>
        <v>0.81936685288640598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46294</v>
      </c>
      <c r="B105" s="12" t="s">
        <v>16</v>
      </c>
      <c r="C105" s="13">
        <v>7</v>
      </c>
      <c r="D105" s="13">
        <v>6</v>
      </c>
      <c r="E105" s="13">
        <v>5</v>
      </c>
      <c r="F105" s="14">
        <v>4</v>
      </c>
      <c r="G105" s="14">
        <v>3</v>
      </c>
      <c r="H105" s="14">
        <v>10</v>
      </c>
      <c r="I105" s="12">
        <f t="shared" si="34"/>
        <v>35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46294</v>
      </c>
      <c r="B106" s="12" t="s">
        <v>17</v>
      </c>
      <c r="C106" s="14">
        <v>18</v>
      </c>
      <c r="D106" s="14">
        <v>13</v>
      </c>
      <c r="E106" s="14">
        <v>25</v>
      </c>
      <c r="F106" s="14">
        <v>18</v>
      </c>
      <c r="G106" s="14">
        <v>23</v>
      </c>
      <c r="H106" s="14">
        <v>14</v>
      </c>
      <c r="I106" s="12">
        <f t="shared" si="34"/>
        <v>111</v>
      </c>
      <c r="J106" s="19">
        <v>26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46294</v>
      </c>
      <c r="B107" s="12" t="s">
        <v>18</v>
      </c>
      <c r="C107" s="14">
        <f t="shared" ref="C107:H107" si="35">SUM(C108-C105-C104-C109)</f>
        <v>101</v>
      </c>
      <c r="D107" s="14">
        <f t="shared" si="35"/>
        <v>94</v>
      </c>
      <c r="E107" s="14">
        <f t="shared" si="35"/>
        <v>75</v>
      </c>
      <c r="F107" s="14">
        <f t="shared" si="35"/>
        <v>76</v>
      </c>
      <c r="G107" s="14">
        <f t="shared" si="35"/>
        <v>51</v>
      </c>
      <c r="H107" s="14">
        <f t="shared" si="35"/>
        <v>62</v>
      </c>
      <c r="I107" s="21">
        <f t="shared" si="34"/>
        <v>459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46294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46294</v>
      </c>
      <c r="B109" s="12" t="s">
        <v>20</v>
      </c>
      <c r="C109" s="14">
        <v>3</v>
      </c>
      <c r="D109" s="14">
        <v>0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7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46293</v>
      </c>
      <c r="B110" s="12" t="s">
        <v>15</v>
      </c>
      <c r="C110" s="13">
        <v>12</v>
      </c>
      <c r="D110" s="13">
        <v>7</v>
      </c>
      <c r="E110" s="13">
        <v>8</v>
      </c>
      <c r="F110" s="14">
        <v>1</v>
      </c>
      <c r="G110" s="14">
        <v>4</v>
      </c>
      <c r="H110" s="14">
        <v>5</v>
      </c>
      <c r="I110" s="12">
        <f t="shared" ref="I110:I115" si="36">SUM(C110:H110)</f>
        <v>37</v>
      </c>
      <c r="J110" s="15">
        <f>(I114)/(I110+I114+J112)</f>
        <v>0.90252100840336136</v>
      </c>
      <c r="K110" s="15">
        <f>(I114-I110-I111-J112)/(I114)</f>
        <v>0.83054003724394787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46293</v>
      </c>
      <c r="B111" s="12" t="s">
        <v>16</v>
      </c>
      <c r="C111" s="13">
        <v>8</v>
      </c>
      <c r="D111" s="13">
        <v>7</v>
      </c>
      <c r="E111" s="13">
        <v>4</v>
      </c>
      <c r="F111" s="14">
        <v>4</v>
      </c>
      <c r="G111" s="14">
        <v>2</v>
      </c>
      <c r="H111" s="14">
        <v>8</v>
      </c>
      <c r="I111" s="12">
        <f t="shared" si="36"/>
        <v>33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46293</v>
      </c>
      <c r="B112" s="12" t="s">
        <v>17</v>
      </c>
      <c r="C112" s="14">
        <v>18</v>
      </c>
      <c r="D112" s="14">
        <v>13</v>
      </c>
      <c r="E112" s="14">
        <v>25</v>
      </c>
      <c r="F112" s="14">
        <v>18</v>
      </c>
      <c r="G112" s="14">
        <v>23</v>
      </c>
      <c r="H112" s="14">
        <v>14</v>
      </c>
      <c r="I112" s="12">
        <f t="shared" si="36"/>
        <v>111</v>
      </c>
      <c r="J112" s="19">
        <v>21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46293</v>
      </c>
      <c r="B113" s="12" t="s">
        <v>18</v>
      </c>
      <c r="C113" s="14">
        <f t="shared" ref="C113:H113" si="37">SUM(C114-C111-C110-C115)</f>
        <v>102</v>
      </c>
      <c r="D113" s="14">
        <f t="shared" si="37"/>
        <v>94</v>
      </c>
      <c r="E113" s="14">
        <f t="shared" si="37"/>
        <v>75</v>
      </c>
      <c r="F113" s="14">
        <f t="shared" si="37"/>
        <v>76</v>
      </c>
      <c r="G113" s="14">
        <f t="shared" si="37"/>
        <v>51</v>
      </c>
      <c r="H113" s="14">
        <f t="shared" si="37"/>
        <v>62</v>
      </c>
      <c r="I113" s="21">
        <f t="shared" si="36"/>
        <v>460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46293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46293</v>
      </c>
      <c r="B115" s="12" t="s">
        <v>20</v>
      </c>
      <c r="C115" s="14">
        <v>3</v>
      </c>
      <c r="D115" s="14">
        <v>0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7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46292</v>
      </c>
      <c r="B116" s="12" t="s">
        <v>15</v>
      </c>
      <c r="C116" s="13">
        <v>12</v>
      </c>
      <c r="D116" s="13">
        <v>7</v>
      </c>
      <c r="E116" s="13">
        <v>4</v>
      </c>
      <c r="F116" s="14">
        <v>2</v>
      </c>
      <c r="G116" s="14">
        <v>3</v>
      </c>
      <c r="H116" s="14">
        <v>7</v>
      </c>
      <c r="I116" s="12">
        <f t="shared" ref="I116:I121" si="38">SUM(C116:H116)</f>
        <v>35</v>
      </c>
      <c r="J116" s="15">
        <f>(I120)/(I116+I120+J118)</f>
        <v>0.90252100840336136</v>
      </c>
      <c r="K116" s="15">
        <f>(I120-I116-I117-J118)/(I120)</f>
        <v>0.82309124767225328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46292</v>
      </c>
      <c r="B117" s="12" t="s">
        <v>16</v>
      </c>
      <c r="C117" s="13">
        <v>9</v>
      </c>
      <c r="D117" s="13">
        <v>9</v>
      </c>
      <c r="E117" s="13">
        <v>6</v>
      </c>
      <c r="F117" s="14">
        <v>4</v>
      </c>
      <c r="G117" s="14">
        <v>3</v>
      </c>
      <c r="H117" s="14">
        <v>6</v>
      </c>
      <c r="I117" s="12">
        <f t="shared" si="38"/>
        <v>37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46292</v>
      </c>
      <c r="B118" s="12" t="s">
        <v>17</v>
      </c>
      <c r="C118" s="14">
        <v>18</v>
      </c>
      <c r="D118" s="14">
        <v>13</v>
      </c>
      <c r="E118" s="14">
        <v>25</v>
      </c>
      <c r="F118" s="14">
        <v>18</v>
      </c>
      <c r="G118" s="14">
        <v>23</v>
      </c>
      <c r="H118" s="14">
        <v>14</v>
      </c>
      <c r="I118" s="12">
        <f t="shared" si="38"/>
        <v>111</v>
      </c>
      <c r="J118" s="19">
        <v>23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46292</v>
      </c>
      <c r="B119" s="12" t="s">
        <v>18</v>
      </c>
      <c r="C119" s="14">
        <f t="shared" ref="C119:H119" si="39">SUM(C120-C117-C116-C121)</f>
        <v>101</v>
      </c>
      <c r="D119" s="14">
        <f t="shared" si="39"/>
        <v>92</v>
      </c>
      <c r="E119" s="14">
        <f t="shared" si="39"/>
        <v>77</v>
      </c>
      <c r="F119" s="14">
        <f t="shared" si="39"/>
        <v>75</v>
      </c>
      <c r="G119" s="14">
        <f t="shared" si="39"/>
        <v>51</v>
      </c>
      <c r="H119" s="14">
        <f t="shared" si="39"/>
        <v>62</v>
      </c>
      <c r="I119" s="21">
        <f t="shared" si="38"/>
        <v>458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46292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46292</v>
      </c>
      <c r="B121" s="12" t="s">
        <v>20</v>
      </c>
      <c r="C121" s="14">
        <v>3</v>
      </c>
      <c r="D121" s="14">
        <v>0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7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46291</v>
      </c>
      <c r="B122" s="12" t="s">
        <v>15</v>
      </c>
      <c r="C122" s="13">
        <v>13</v>
      </c>
      <c r="D122" s="13">
        <v>6</v>
      </c>
      <c r="E122" s="13">
        <v>5</v>
      </c>
      <c r="F122" s="14">
        <v>3</v>
      </c>
      <c r="G122" s="14">
        <v>0</v>
      </c>
      <c r="H122" s="14">
        <v>6</v>
      </c>
      <c r="I122" s="12">
        <f t="shared" ref="I122:I127" si="40">SUM(C122:H122)</f>
        <v>33</v>
      </c>
      <c r="J122" s="15">
        <f>(I126)/(I122+I126+J124)</f>
        <v>0.90252100840336136</v>
      </c>
      <c r="K122" s="15">
        <f>(I126-I122-I123-J124)/(I126)</f>
        <v>0.81936685288640598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46291</v>
      </c>
      <c r="B123" s="12" t="s">
        <v>16</v>
      </c>
      <c r="C123" s="13">
        <v>8</v>
      </c>
      <c r="D123" s="13">
        <v>11</v>
      </c>
      <c r="E123" s="13">
        <v>6</v>
      </c>
      <c r="F123" s="14">
        <v>4</v>
      </c>
      <c r="G123" s="14">
        <v>4</v>
      </c>
      <c r="H123" s="14">
        <v>6</v>
      </c>
      <c r="I123" s="12">
        <f t="shared" si="40"/>
        <v>39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46291</v>
      </c>
      <c r="B124" s="12" t="s">
        <v>17</v>
      </c>
      <c r="C124" s="14">
        <v>18</v>
      </c>
      <c r="D124" s="14">
        <v>13</v>
      </c>
      <c r="E124" s="14">
        <v>25</v>
      </c>
      <c r="F124" s="14">
        <v>18</v>
      </c>
      <c r="G124" s="14">
        <v>23</v>
      </c>
      <c r="H124" s="14">
        <v>14</v>
      </c>
      <c r="I124" s="12">
        <f t="shared" si="40"/>
        <v>111</v>
      </c>
      <c r="J124" s="19">
        <v>25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46291</v>
      </c>
      <c r="B125" s="12" t="s">
        <v>18</v>
      </c>
      <c r="C125" s="14">
        <f t="shared" ref="C125:H125" si="41">SUM(C126-C123-C122-C127)</f>
        <v>101</v>
      </c>
      <c r="D125" s="14">
        <f t="shared" si="41"/>
        <v>91</v>
      </c>
      <c r="E125" s="14">
        <f t="shared" si="41"/>
        <v>76</v>
      </c>
      <c r="F125" s="14">
        <f t="shared" si="41"/>
        <v>74</v>
      </c>
      <c r="G125" s="14">
        <f t="shared" si="41"/>
        <v>53</v>
      </c>
      <c r="H125" s="14">
        <f t="shared" si="41"/>
        <v>63</v>
      </c>
      <c r="I125" s="21">
        <f t="shared" si="40"/>
        <v>458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46291</v>
      </c>
      <c r="B126" s="23" t="s">
        <v>19</v>
      </c>
      <c r="C126" s="23">
        <v>125</v>
      </c>
      <c r="D126" s="23">
        <v>108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537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46291</v>
      </c>
      <c r="B127" s="12" t="s">
        <v>20</v>
      </c>
      <c r="C127" s="14">
        <v>3</v>
      </c>
      <c r="D127" s="14">
        <v>0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7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46290</v>
      </c>
      <c r="B128" s="12" t="s">
        <v>15</v>
      </c>
      <c r="C128" s="13">
        <v>10</v>
      </c>
      <c r="D128" s="13">
        <v>4</v>
      </c>
      <c r="E128" s="13">
        <v>4</v>
      </c>
      <c r="F128" s="14">
        <v>2</v>
      </c>
      <c r="G128" s="14">
        <v>1</v>
      </c>
      <c r="H128" s="14">
        <v>4</v>
      </c>
      <c r="I128" s="12">
        <f t="shared" ref="I128:I133" si="42">SUM(C128:H128)</f>
        <v>25</v>
      </c>
      <c r="J128" s="15">
        <f>(I132)/(I128+I132+J130)</f>
        <v>0.93043478260869561</v>
      </c>
      <c r="K128" s="15">
        <f>(I132-I128-I129-J130)/(I132)</f>
        <v>0.87102803738317758</v>
      </c>
      <c r="L128" s="10"/>
      <c r="M128" s="15"/>
      <c r="N128" s="15"/>
      <c r="O128" s="16"/>
      <c r="W128" s="18"/>
      <c r="X128" s="18"/>
      <c r="AE128" s="16"/>
      <c r="AF128" s="16"/>
    </row>
    <row r="129" spans="1:32" s="17" customFormat="1" ht="15.6" customHeight="1" x14ac:dyDescent="0.25">
      <c r="A129" s="11">
        <v>46290</v>
      </c>
      <c r="B129" s="12" t="s">
        <v>16</v>
      </c>
      <c r="C129" s="13">
        <v>7</v>
      </c>
      <c r="D129" s="13">
        <v>4</v>
      </c>
      <c r="E129" s="13">
        <v>4</v>
      </c>
      <c r="F129" s="14">
        <v>5</v>
      </c>
      <c r="G129" s="14">
        <v>4</v>
      </c>
      <c r="H129" s="14">
        <v>5</v>
      </c>
      <c r="I129" s="12">
        <f t="shared" si="42"/>
        <v>29</v>
      </c>
      <c r="L129" s="10"/>
      <c r="W129" s="18"/>
      <c r="X129" s="18"/>
      <c r="AE129" s="16"/>
      <c r="AF129" s="16"/>
    </row>
    <row r="130" spans="1:32" s="17" customFormat="1" ht="15.6" customHeight="1" x14ac:dyDescent="0.25">
      <c r="A130" s="11">
        <v>46290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15</v>
      </c>
      <c r="K130" s="20"/>
      <c r="L130" s="10"/>
      <c r="W130" s="16"/>
      <c r="X130" s="16"/>
      <c r="AE130" s="16"/>
      <c r="AF130" s="16"/>
    </row>
    <row r="131" spans="1:32" s="17" customFormat="1" ht="15.6" customHeight="1" x14ac:dyDescent="0.25">
      <c r="A131" s="11">
        <v>46290</v>
      </c>
      <c r="B131" s="12" t="s">
        <v>18</v>
      </c>
      <c r="C131" s="14">
        <f t="shared" ref="C131:H131" si="43">SUM(C132-C129-C128-C133)</f>
        <v>105</v>
      </c>
      <c r="D131" s="14">
        <f t="shared" si="43"/>
        <v>97</v>
      </c>
      <c r="E131" s="14">
        <f t="shared" si="43"/>
        <v>79</v>
      </c>
      <c r="F131" s="14">
        <f t="shared" si="43"/>
        <v>74</v>
      </c>
      <c r="G131" s="14">
        <f t="shared" si="43"/>
        <v>52</v>
      </c>
      <c r="H131" s="14">
        <f t="shared" si="43"/>
        <v>66</v>
      </c>
      <c r="I131" s="21">
        <f t="shared" si="42"/>
        <v>473</v>
      </c>
      <c r="J131" s="20"/>
      <c r="K131" s="20"/>
      <c r="L131" s="22"/>
      <c r="W131" s="16"/>
      <c r="X131" s="16"/>
      <c r="AE131" s="16"/>
      <c r="AF131" s="16"/>
    </row>
    <row r="132" spans="1:32" s="17" customFormat="1" ht="15.6" customHeight="1" x14ac:dyDescent="0.25">
      <c r="A132" s="11">
        <v>46290</v>
      </c>
      <c r="B132" s="23" t="s">
        <v>19</v>
      </c>
      <c r="C132" s="23">
        <v>125</v>
      </c>
      <c r="D132" s="23">
        <v>106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535</v>
      </c>
      <c r="J132" s="20"/>
      <c r="K132" s="20"/>
      <c r="L132" s="10"/>
      <c r="M132" s="24"/>
      <c r="W132" s="16"/>
      <c r="X132" s="16"/>
      <c r="AE132" s="16"/>
      <c r="AF132" s="16"/>
    </row>
    <row r="133" spans="1:32" s="17" customFormat="1" ht="15.6" customHeight="1" x14ac:dyDescent="0.25">
      <c r="A133" s="11">
        <v>46290</v>
      </c>
      <c r="B133" s="12" t="s">
        <v>20</v>
      </c>
      <c r="C133" s="14">
        <v>3</v>
      </c>
      <c r="D133" s="14">
        <v>1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8</v>
      </c>
      <c r="J133" s="20"/>
      <c r="K133" s="20"/>
      <c r="L133" s="25"/>
      <c r="U133" s="2"/>
      <c r="V133" s="2"/>
      <c r="W133" s="5"/>
      <c r="X133" s="5"/>
      <c r="AE133" s="16"/>
      <c r="AF133" s="16"/>
    </row>
    <row r="134" spans="1:32" s="17" customFormat="1" ht="15.6" customHeight="1" x14ac:dyDescent="0.25">
      <c r="A134" s="11">
        <v>46289</v>
      </c>
      <c r="B134" s="12" t="s">
        <v>15</v>
      </c>
      <c r="C134" s="13">
        <v>7</v>
      </c>
      <c r="D134" s="13">
        <v>4</v>
      </c>
      <c r="E134" s="13">
        <v>4</v>
      </c>
      <c r="F134" s="14">
        <v>2</v>
      </c>
      <c r="G134" s="14">
        <v>1</v>
      </c>
      <c r="H134" s="14">
        <v>4</v>
      </c>
      <c r="I134" s="12">
        <f t="shared" ref="I134:I139" si="44">SUM(C134:H134)</f>
        <v>22</v>
      </c>
      <c r="J134" s="15">
        <f>(I138)/(I134+I138+J136)</f>
        <v>0.93531468531468531</v>
      </c>
      <c r="K134" s="15">
        <f>(I138-I134-I135-J136)/(I138)</f>
        <v>0.87663551401869155</v>
      </c>
      <c r="L134" s="18"/>
      <c r="S134" s="16"/>
      <c r="T134" s="16"/>
    </row>
    <row r="135" spans="1:32" s="17" customFormat="1" ht="15.6" customHeight="1" x14ac:dyDescent="0.25">
      <c r="A135" s="11">
        <v>46289</v>
      </c>
      <c r="B135" s="12" t="s">
        <v>16</v>
      </c>
      <c r="C135" s="13">
        <v>7</v>
      </c>
      <c r="D135" s="13">
        <v>4</v>
      </c>
      <c r="E135" s="13">
        <v>4</v>
      </c>
      <c r="F135" s="14">
        <v>5</v>
      </c>
      <c r="G135" s="14">
        <v>4</v>
      </c>
      <c r="H135" s="14">
        <v>5</v>
      </c>
      <c r="I135" s="12">
        <f t="shared" si="44"/>
        <v>29</v>
      </c>
      <c r="L135" s="18"/>
      <c r="S135" s="16"/>
      <c r="T135" s="16"/>
    </row>
    <row r="136" spans="1:32" s="17" customFormat="1" ht="15.6" customHeight="1" x14ac:dyDescent="0.25">
      <c r="A136" s="11">
        <v>46289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15</v>
      </c>
      <c r="K136" s="20"/>
      <c r="L136" s="16"/>
      <c r="S136" s="16"/>
      <c r="T136" s="16"/>
    </row>
    <row r="137" spans="1:32" s="17" customFormat="1" ht="15.6" customHeight="1" x14ac:dyDescent="0.25">
      <c r="A137" s="11">
        <v>46289</v>
      </c>
      <c r="B137" s="12" t="s">
        <v>18</v>
      </c>
      <c r="C137" s="14">
        <f t="shared" ref="C137:H137" si="45">SUM(C138-C135-C134-C139)</f>
        <v>108</v>
      </c>
      <c r="D137" s="14">
        <f t="shared" si="45"/>
        <v>97</v>
      </c>
      <c r="E137" s="14">
        <f t="shared" si="45"/>
        <v>79</v>
      </c>
      <c r="F137" s="14">
        <f t="shared" si="45"/>
        <v>74</v>
      </c>
      <c r="G137" s="14">
        <f t="shared" si="45"/>
        <v>52</v>
      </c>
      <c r="H137" s="14">
        <f t="shared" si="45"/>
        <v>66</v>
      </c>
      <c r="I137" s="21">
        <f t="shared" si="44"/>
        <v>476</v>
      </c>
      <c r="J137" s="20"/>
      <c r="K137" s="20"/>
      <c r="L137" s="16"/>
      <c r="S137" s="16"/>
      <c r="T137" s="16"/>
    </row>
    <row r="138" spans="1:32" s="17" customFormat="1" ht="15.6" customHeight="1" x14ac:dyDescent="0.25">
      <c r="A138" s="11">
        <v>46289</v>
      </c>
      <c r="B138" s="23" t="s">
        <v>19</v>
      </c>
      <c r="C138" s="23">
        <v>125</v>
      </c>
      <c r="D138" s="23">
        <v>106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535</v>
      </c>
      <c r="J138" s="20"/>
      <c r="K138" s="20"/>
      <c r="L138" s="16"/>
      <c r="S138" s="16"/>
      <c r="T138" s="16"/>
    </row>
    <row r="139" spans="1:32" s="17" customFormat="1" ht="15.6" customHeight="1" x14ac:dyDescent="0.2">
      <c r="A139" s="11">
        <v>46289</v>
      </c>
      <c r="B139" s="12" t="s">
        <v>20</v>
      </c>
      <c r="C139" s="14">
        <v>3</v>
      </c>
      <c r="D139" s="14">
        <v>1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8</v>
      </c>
      <c r="J139" s="20"/>
      <c r="K139" s="20"/>
      <c r="L139" s="5"/>
      <c r="S139" s="16"/>
      <c r="T139" s="16"/>
    </row>
    <row r="140" spans="1:32" s="17" customFormat="1" ht="15.6" customHeight="1" x14ac:dyDescent="0.25">
      <c r="A140" s="11">
        <v>46288</v>
      </c>
      <c r="B140" s="12" t="s">
        <v>15</v>
      </c>
      <c r="C140" s="13">
        <v>7</v>
      </c>
      <c r="D140" s="13">
        <v>4</v>
      </c>
      <c r="E140" s="13">
        <v>4</v>
      </c>
      <c r="F140" s="14">
        <v>2</v>
      </c>
      <c r="G140" s="14">
        <v>1</v>
      </c>
      <c r="H140" s="14">
        <v>4</v>
      </c>
      <c r="I140" s="12">
        <f t="shared" ref="I140:I145" si="46">SUM(C140:H140)</f>
        <v>22</v>
      </c>
      <c r="J140" s="15">
        <f>(I144)/(I140+I144+J142)</f>
        <v>0.93531468531468531</v>
      </c>
      <c r="K140" s="15">
        <f>(I144-I140-I141-J142)/(I144)</f>
        <v>0.87289719626168227</v>
      </c>
      <c r="L140" s="18"/>
      <c r="S140" s="16"/>
      <c r="T140" s="16"/>
    </row>
    <row r="141" spans="1:32" s="17" customFormat="1" ht="15.6" customHeight="1" x14ac:dyDescent="0.25">
      <c r="A141" s="11">
        <v>46288</v>
      </c>
      <c r="B141" s="12" t="s">
        <v>16</v>
      </c>
      <c r="C141" s="13">
        <v>7</v>
      </c>
      <c r="D141" s="13">
        <v>6</v>
      </c>
      <c r="E141" s="13">
        <v>4</v>
      </c>
      <c r="F141" s="14">
        <v>5</v>
      </c>
      <c r="G141" s="14">
        <v>4</v>
      </c>
      <c r="H141" s="14">
        <v>5</v>
      </c>
      <c r="I141" s="12">
        <f t="shared" si="46"/>
        <v>31</v>
      </c>
      <c r="L141" s="18"/>
      <c r="S141" s="16"/>
      <c r="T141" s="16"/>
    </row>
    <row r="142" spans="1:32" s="17" customFormat="1" ht="15.6" customHeight="1" x14ac:dyDescent="0.25">
      <c r="A142" s="11">
        <v>46288</v>
      </c>
      <c r="B142" s="12" t="s">
        <v>17</v>
      </c>
      <c r="C142" s="14">
        <v>18</v>
      </c>
      <c r="D142" s="14">
        <v>13</v>
      </c>
      <c r="E142" s="14">
        <v>25</v>
      </c>
      <c r="F142" s="14">
        <v>18</v>
      </c>
      <c r="G142" s="14">
        <v>23</v>
      </c>
      <c r="H142" s="14">
        <v>14</v>
      </c>
      <c r="I142" s="12">
        <f t="shared" si="46"/>
        <v>111</v>
      </c>
      <c r="J142" s="19">
        <v>15</v>
      </c>
      <c r="K142" s="20"/>
      <c r="L142" s="16"/>
      <c r="S142" s="16"/>
      <c r="T142" s="16"/>
    </row>
    <row r="143" spans="1:32" s="17" customFormat="1" ht="15.6" customHeight="1" x14ac:dyDescent="0.25">
      <c r="A143" s="11">
        <v>46288</v>
      </c>
      <c r="B143" s="12" t="s">
        <v>18</v>
      </c>
      <c r="C143" s="14">
        <f t="shared" ref="C143:H143" si="47">SUM(C144-C141-C140-C145)</f>
        <v>108</v>
      </c>
      <c r="D143" s="14">
        <f t="shared" si="47"/>
        <v>95</v>
      </c>
      <c r="E143" s="14">
        <f t="shared" si="47"/>
        <v>79</v>
      </c>
      <c r="F143" s="14">
        <f t="shared" si="47"/>
        <v>74</v>
      </c>
      <c r="G143" s="14">
        <f t="shared" si="47"/>
        <v>52</v>
      </c>
      <c r="H143" s="14">
        <f t="shared" si="47"/>
        <v>66</v>
      </c>
      <c r="I143" s="21">
        <f t="shared" si="46"/>
        <v>474</v>
      </c>
      <c r="J143" s="20"/>
      <c r="K143" s="20"/>
      <c r="L143" s="16"/>
      <c r="S143" s="16"/>
      <c r="T143" s="16"/>
    </row>
    <row r="144" spans="1:32" s="17" customFormat="1" ht="15.6" customHeight="1" x14ac:dyDescent="0.25">
      <c r="A144" s="11">
        <v>46288</v>
      </c>
      <c r="B144" s="23" t="s">
        <v>19</v>
      </c>
      <c r="C144" s="23">
        <v>125</v>
      </c>
      <c r="D144" s="23">
        <v>106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535</v>
      </c>
      <c r="J144" s="20"/>
      <c r="K144" s="20"/>
      <c r="L144" s="16"/>
      <c r="S144" s="16"/>
      <c r="T144" s="16"/>
    </row>
    <row r="145" spans="1:20" s="17" customFormat="1" ht="15.6" customHeight="1" x14ac:dyDescent="0.2">
      <c r="A145" s="11">
        <v>46288</v>
      </c>
      <c r="B145" s="12" t="s">
        <v>20</v>
      </c>
      <c r="C145" s="14">
        <v>3</v>
      </c>
      <c r="D145" s="14">
        <v>1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8</v>
      </c>
      <c r="J145" s="20"/>
      <c r="K145" s="20"/>
      <c r="L145" s="5"/>
      <c r="S145" s="16"/>
      <c r="T145" s="16"/>
    </row>
    <row r="146" spans="1:20" s="17" customFormat="1" ht="15.6" customHeight="1" x14ac:dyDescent="0.25">
      <c r="A146" s="11">
        <v>46287</v>
      </c>
      <c r="B146" s="12" t="s">
        <v>15</v>
      </c>
      <c r="C146" s="13">
        <v>7</v>
      </c>
      <c r="D146" s="13">
        <v>5</v>
      </c>
      <c r="E146" s="13">
        <v>3</v>
      </c>
      <c r="F146" s="14">
        <v>1</v>
      </c>
      <c r="G146" s="14">
        <v>1</v>
      </c>
      <c r="H146" s="14">
        <v>5</v>
      </c>
      <c r="I146" s="12">
        <f t="shared" ref="I146:I151" si="48">SUM(C146:H146)</f>
        <v>22</v>
      </c>
      <c r="J146" s="15">
        <f>(I150)/(I146+I150+J148)</f>
        <v>0.93531468531468531</v>
      </c>
      <c r="K146" s="15">
        <f>(I150-I146-I147-J148)/(I150)</f>
        <v>0.87289719626168227</v>
      </c>
      <c r="L146" s="18"/>
      <c r="S146" s="16"/>
      <c r="T146" s="16"/>
    </row>
    <row r="147" spans="1:20" s="17" customFormat="1" ht="15.6" customHeight="1" x14ac:dyDescent="0.25">
      <c r="A147" s="11">
        <v>46287</v>
      </c>
      <c r="B147" s="12" t="s">
        <v>16</v>
      </c>
      <c r="C147" s="13">
        <v>5</v>
      </c>
      <c r="D147" s="13">
        <v>7</v>
      </c>
      <c r="E147" s="13">
        <v>7</v>
      </c>
      <c r="F147" s="14">
        <v>6</v>
      </c>
      <c r="G147" s="14">
        <v>2</v>
      </c>
      <c r="H147" s="14">
        <v>4</v>
      </c>
      <c r="I147" s="12">
        <f t="shared" si="48"/>
        <v>31</v>
      </c>
      <c r="L147" s="18"/>
      <c r="S147" s="16"/>
      <c r="T147" s="16"/>
    </row>
    <row r="148" spans="1:20" s="17" customFormat="1" ht="15.6" customHeight="1" x14ac:dyDescent="0.25">
      <c r="A148" s="11">
        <v>46287</v>
      </c>
      <c r="B148" s="12" t="s">
        <v>17</v>
      </c>
      <c r="C148" s="14">
        <v>18</v>
      </c>
      <c r="D148" s="14">
        <v>14</v>
      </c>
      <c r="E148" s="14">
        <v>25</v>
      </c>
      <c r="F148" s="14">
        <v>18</v>
      </c>
      <c r="G148" s="14">
        <v>23</v>
      </c>
      <c r="H148" s="14">
        <v>15</v>
      </c>
      <c r="I148" s="12">
        <f t="shared" si="48"/>
        <v>113</v>
      </c>
      <c r="J148" s="19">
        <v>15</v>
      </c>
      <c r="K148" s="20"/>
      <c r="L148" s="16"/>
      <c r="S148" s="16"/>
      <c r="T148" s="16"/>
    </row>
    <row r="149" spans="1:20" s="17" customFormat="1" ht="15.6" customHeight="1" x14ac:dyDescent="0.25">
      <c r="A149" s="11">
        <v>46287</v>
      </c>
      <c r="B149" s="12" t="s">
        <v>18</v>
      </c>
      <c r="C149" s="14">
        <f t="shared" ref="C149:H149" si="49">SUM(C150-C147-C146-C151)</f>
        <v>110</v>
      </c>
      <c r="D149" s="14">
        <f t="shared" si="49"/>
        <v>93</v>
      </c>
      <c r="E149" s="14">
        <f t="shared" si="49"/>
        <v>77</v>
      </c>
      <c r="F149" s="14">
        <f t="shared" si="49"/>
        <v>74</v>
      </c>
      <c r="G149" s="14">
        <f t="shared" si="49"/>
        <v>54</v>
      </c>
      <c r="H149" s="14">
        <f t="shared" si="49"/>
        <v>66</v>
      </c>
      <c r="I149" s="21">
        <f t="shared" si="48"/>
        <v>474</v>
      </c>
      <c r="J149" s="20"/>
      <c r="K149" s="20"/>
      <c r="L149" s="16"/>
      <c r="S149" s="16"/>
      <c r="T149" s="16"/>
    </row>
    <row r="150" spans="1:20" s="17" customFormat="1" ht="15.6" customHeight="1" x14ac:dyDescent="0.25">
      <c r="A150" s="11">
        <v>46287</v>
      </c>
      <c r="B150" s="23" t="s">
        <v>19</v>
      </c>
      <c r="C150" s="23">
        <v>125</v>
      </c>
      <c r="D150" s="23">
        <v>106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535</v>
      </c>
      <c r="J150" s="20"/>
      <c r="K150" s="20"/>
      <c r="L150" s="16"/>
      <c r="S150" s="16"/>
      <c r="T150" s="16"/>
    </row>
    <row r="151" spans="1:20" s="17" customFormat="1" ht="15.6" customHeight="1" x14ac:dyDescent="0.2">
      <c r="A151" s="11">
        <v>46287</v>
      </c>
      <c r="B151" s="12" t="s">
        <v>20</v>
      </c>
      <c r="C151" s="14">
        <v>3</v>
      </c>
      <c r="D151" s="14">
        <v>1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8</v>
      </c>
      <c r="J151" s="20"/>
      <c r="K151" s="20"/>
      <c r="L151" s="5"/>
      <c r="S151" s="16"/>
      <c r="T151" s="16"/>
    </row>
    <row r="152" spans="1:20" s="17" customFormat="1" ht="15.6" customHeight="1" x14ac:dyDescent="0.25">
      <c r="A152" s="11">
        <v>46286</v>
      </c>
      <c r="B152" s="12" t="s">
        <v>15</v>
      </c>
      <c r="C152" s="13">
        <v>9</v>
      </c>
      <c r="D152" s="13">
        <v>5</v>
      </c>
      <c r="E152" s="13">
        <v>4</v>
      </c>
      <c r="F152" s="14">
        <v>2</v>
      </c>
      <c r="G152" s="14">
        <v>1</v>
      </c>
      <c r="H152" s="14">
        <v>5</v>
      </c>
      <c r="I152" s="12">
        <f t="shared" ref="I152:I157" si="50">SUM(C152:H152)</f>
        <v>26</v>
      </c>
      <c r="J152" s="15">
        <f>(I156)/(I152+I156+J154)</f>
        <v>0.92881944444444442</v>
      </c>
      <c r="K152" s="15">
        <f>(I156-I152-I153-J154)/(I156)</f>
        <v>0.87289719626168227</v>
      </c>
      <c r="L152" s="18"/>
      <c r="S152" s="16"/>
      <c r="T152" s="16"/>
    </row>
    <row r="153" spans="1:20" s="17" customFormat="1" ht="15.6" customHeight="1" x14ac:dyDescent="0.25">
      <c r="A153" s="11">
        <v>46286</v>
      </c>
      <c r="B153" s="12" t="s">
        <v>16</v>
      </c>
      <c r="C153" s="13">
        <v>4</v>
      </c>
      <c r="D153" s="13">
        <v>7</v>
      </c>
      <c r="E153" s="13">
        <v>6</v>
      </c>
      <c r="F153" s="14">
        <v>5</v>
      </c>
      <c r="G153" s="14">
        <v>1</v>
      </c>
      <c r="H153" s="14">
        <v>4</v>
      </c>
      <c r="I153" s="12">
        <f t="shared" si="50"/>
        <v>27</v>
      </c>
      <c r="L153" s="18"/>
      <c r="S153" s="16"/>
      <c r="T153" s="16"/>
    </row>
    <row r="154" spans="1:20" s="17" customFormat="1" ht="15.6" customHeight="1" x14ac:dyDescent="0.25">
      <c r="A154" s="11">
        <v>46286</v>
      </c>
      <c r="B154" s="12" t="s">
        <v>17</v>
      </c>
      <c r="C154" s="14">
        <v>18</v>
      </c>
      <c r="D154" s="14">
        <v>14</v>
      </c>
      <c r="E154" s="14">
        <v>25</v>
      </c>
      <c r="F154" s="14">
        <v>18</v>
      </c>
      <c r="G154" s="14">
        <v>23</v>
      </c>
      <c r="H154" s="14">
        <v>15</v>
      </c>
      <c r="I154" s="12">
        <f t="shared" si="50"/>
        <v>113</v>
      </c>
      <c r="J154" s="19">
        <v>15</v>
      </c>
      <c r="K154" s="20"/>
      <c r="L154" s="16"/>
      <c r="S154" s="16"/>
      <c r="T154" s="16"/>
    </row>
    <row r="155" spans="1:20" s="17" customFormat="1" ht="15.6" customHeight="1" x14ac:dyDescent="0.25">
      <c r="A155" s="11">
        <v>46286</v>
      </c>
      <c r="B155" s="12" t="s">
        <v>18</v>
      </c>
      <c r="C155" s="14">
        <f t="shared" ref="C155:H155" si="51">SUM(C156-C153-C152-C157)</f>
        <v>109</v>
      </c>
      <c r="D155" s="14">
        <f t="shared" si="51"/>
        <v>93</v>
      </c>
      <c r="E155" s="14">
        <f t="shared" si="51"/>
        <v>77</v>
      </c>
      <c r="F155" s="14">
        <f t="shared" si="51"/>
        <v>74</v>
      </c>
      <c r="G155" s="14">
        <f t="shared" si="51"/>
        <v>55</v>
      </c>
      <c r="H155" s="14">
        <f t="shared" si="51"/>
        <v>66</v>
      </c>
      <c r="I155" s="21">
        <f t="shared" si="50"/>
        <v>474</v>
      </c>
      <c r="J155" s="20"/>
      <c r="K155" s="20"/>
      <c r="L155" s="16"/>
      <c r="S155" s="16"/>
      <c r="T155" s="16"/>
    </row>
    <row r="156" spans="1:20" s="17" customFormat="1" ht="15.6" customHeight="1" x14ac:dyDescent="0.25">
      <c r="A156" s="11">
        <v>46286</v>
      </c>
      <c r="B156" s="23" t="s">
        <v>19</v>
      </c>
      <c r="C156" s="23">
        <v>125</v>
      </c>
      <c r="D156" s="23">
        <v>106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535</v>
      </c>
      <c r="J156" s="20"/>
      <c r="K156" s="20"/>
      <c r="L156" s="16"/>
      <c r="S156" s="16"/>
      <c r="T156" s="16"/>
    </row>
    <row r="157" spans="1:20" s="17" customFormat="1" ht="15.6" customHeight="1" x14ac:dyDescent="0.2">
      <c r="A157" s="11">
        <v>46286</v>
      </c>
      <c r="B157" s="12" t="s">
        <v>20</v>
      </c>
      <c r="C157" s="14">
        <v>3</v>
      </c>
      <c r="D157" s="14">
        <v>1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8</v>
      </c>
      <c r="J157" s="20"/>
      <c r="K157" s="20"/>
      <c r="L157" s="5"/>
      <c r="S157" s="16"/>
      <c r="T157" s="16"/>
    </row>
    <row r="158" spans="1:20" s="17" customFormat="1" ht="15.6" customHeight="1" x14ac:dyDescent="0.25">
      <c r="A158" s="11">
        <v>46285</v>
      </c>
      <c r="B158" s="12" t="s">
        <v>15</v>
      </c>
      <c r="C158" s="13">
        <v>7</v>
      </c>
      <c r="D158" s="13">
        <v>3</v>
      </c>
      <c r="E158" s="13">
        <v>4</v>
      </c>
      <c r="F158" s="14">
        <v>2</v>
      </c>
      <c r="G158" s="14">
        <v>0</v>
      </c>
      <c r="H158" s="14">
        <v>5</v>
      </c>
      <c r="I158" s="12">
        <f t="shared" ref="I158:I163" si="52">SUM(C158:H158)</f>
        <v>21</v>
      </c>
      <c r="J158" s="15">
        <f>(I162)/(I158+I162+J160)</f>
        <v>0.9369527145359019</v>
      </c>
      <c r="K158" s="15">
        <f>(I162-I158-I159-J160)/(I162)</f>
        <v>0.87476635514018697</v>
      </c>
      <c r="L158" s="18"/>
      <c r="S158" s="16"/>
      <c r="T158" s="16"/>
    </row>
    <row r="159" spans="1:20" s="17" customFormat="1" ht="15.6" customHeight="1" x14ac:dyDescent="0.25">
      <c r="A159" s="11">
        <v>46285</v>
      </c>
      <c r="B159" s="12" t="s">
        <v>16</v>
      </c>
      <c r="C159" s="13">
        <v>5</v>
      </c>
      <c r="D159" s="13">
        <v>7</v>
      </c>
      <c r="E159" s="13">
        <v>7</v>
      </c>
      <c r="F159" s="14">
        <v>6</v>
      </c>
      <c r="G159" s="14">
        <v>2</v>
      </c>
      <c r="H159" s="14">
        <v>4</v>
      </c>
      <c r="I159" s="12">
        <f t="shared" si="52"/>
        <v>31</v>
      </c>
      <c r="L159" s="18"/>
      <c r="S159" s="16"/>
      <c r="T159" s="16"/>
    </row>
    <row r="160" spans="1:20" s="17" customFormat="1" ht="15.6" customHeight="1" x14ac:dyDescent="0.25">
      <c r="A160" s="11">
        <v>46285</v>
      </c>
      <c r="B160" s="12" t="s">
        <v>17</v>
      </c>
      <c r="C160" s="14">
        <v>18</v>
      </c>
      <c r="D160" s="14">
        <v>15</v>
      </c>
      <c r="E160" s="14">
        <v>25</v>
      </c>
      <c r="F160" s="14">
        <v>18</v>
      </c>
      <c r="G160" s="14">
        <v>23</v>
      </c>
      <c r="H160" s="14">
        <v>14</v>
      </c>
      <c r="I160" s="12">
        <f t="shared" si="52"/>
        <v>113</v>
      </c>
      <c r="J160" s="19">
        <v>15</v>
      </c>
      <c r="K160" s="20"/>
      <c r="L160" s="16"/>
      <c r="S160" s="16"/>
      <c r="T160" s="16"/>
    </row>
    <row r="161" spans="1:20" s="17" customFormat="1" ht="15.6" customHeight="1" x14ac:dyDescent="0.25">
      <c r="A161" s="11">
        <v>46285</v>
      </c>
      <c r="B161" s="12" t="s">
        <v>18</v>
      </c>
      <c r="C161" s="14">
        <f t="shared" ref="C161:H161" si="53">SUM(C162-C159-C158-C163)</f>
        <v>110</v>
      </c>
      <c r="D161" s="14">
        <f t="shared" si="53"/>
        <v>95</v>
      </c>
      <c r="E161" s="14">
        <f t="shared" si="53"/>
        <v>76</v>
      </c>
      <c r="F161" s="14">
        <f t="shared" si="53"/>
        <v>73</v>
      </c>
      <c r="G161" s="14">
        <f t="shared" si="53"/>
        <v>55</v>
      </c>
      <c r="H161" s="14">
        <f t="shared" si="53"/>
        <v>66</v>
      </c>
      <c r="I161" s="21">
        <f t="shared" si="52"/>
        <v>475</v>
      </c>
      <c r="J161" s="20"/>
      <c r="K161" s="20"/>
      <c r="L161" s="16"/>
      <c r="S161" s="16"/>
      <c r="T161" s="16"/>
    </row>
    <row r="162" spans="1:20" s="17" customFormat="1" ht="15.6" customHeight="1" x14ac:dyDescent="0.25">
      <c r="A162" s="11">
        <v>46285</v>
      </c>
      <c r="B162" s="23" t="s">
        <v>19</v>
      </c>
      <c r="C162" s="23">
        <v>125</v>
      </c>
      <c r="D162" s="23">
        <v>106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535</v>
      </c>
      <c r="J162" s="20"/>
      <c r="K162" s="20"/>
      <c r="L162" s="16"/>
      <c r="S162" s="16"/>
      <c r="T162" s="16"/>
    </row>
    <row r="163" spans="1:20" s="17" customFormat="1" ht="15.6" customHeight="1" x14ac:dyDescent="0.2">
      <c r="A163" s="11">
        <v>46285</v>
      </c>
      <c r="B163" s="12" t="s">
        <v>20</v>
      </c>
      <c r="C163" s="14">
        <v>3</v>
      </c>
      <c r="D163" s="14">
        <v>1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8</v>
      </c>
      <c r="J163" s="20"/>
      <c r="K163" s="20"/>
      <c r="L163" s="5"/>
      <c r="S163" s="16"/>
      <c r="T163" s="16"/>
    </row>
    <row r="164" spans="1:20" s="17" customFormat="1" ht="15.6" customHeight="1" x14ac:dyDescent="0.25">
      <c r="A164" s="11">
        <v>46284</v>
      </c>
      <c r="B164" s="12" t="s">
        <v>15</v>
      </c>
      <c r="C164" s="13">
        <v>7</v>
      </c>
      <c r="D164" s="13">
        <v>6</v>
      </c>
      <c r="E164" s="13">
        <v>5</v>
      </c>
      <c r="F164" s="14">
        <v>2</v>
      </c>
      <c r="G164" s="14">
        <v>0</v>
      </c>
      <c r="H164" s="14">
        <v>6</v>
      </c>
      <c r="I164" s="12">
        <f t="shared" ref="I164:I169" si="54">SUM(C164:H164)</f>
        <v>26</v>
      </c>
      <c r="J164" s="15">
        <f>(I168)/(I164+I168+J166)</f>
        <v>0.92881944444444442</v>
      </c>
      <c r="K164" s="15">
        <f>(I168-I164-I165-J166)/(I168)</f>
        <v>0.86728971962616819</v>
      </c>
      <c r="L164" s="18"/>
      <c r="S164" s="16"/>
      <c r="T164" s="16"/>
    </row>
    <row r="165" spans="1:20" s="17" customFormat="1" ht="15.6" customHeight="1" x14ac:dyDescent="0.25">
      <c r="A165" s="11">
        <v>46284</v>
      </c>
      <c r="B165" s="12" t="s">
        <v>16</v>
      </c>
      <c r="C165" s="13">
        <v>5</v>
      </c>
      <c r="D165" s="13">
        <v>7</v>
      </c>
      <c r="E165" s="13">
        <v>7</v>
      </c>
      <c r="F165" s="14">
        <v>6</v>
      </c>
      <c r="G165" s="14">
        <v>2</v>
      </c>
      <c r="H165" s="14">
        <v>3</v>
      </c>
      <c r="I165" s="12">
        <f t="shared" si="54"/>
        <v>30</v>
      </c>
      <c r="L165" s="18"/>
      <c r="S165" s="16"/>
      <c r="T165" s="16"/>
    </row>
    <row r="166" spans="1:20" s="17" customFormat="1" ht="15.6" customHeight="1" x14ac:dyDescent="0.25">
      <c r="A166" s="11">
        <v>46284</v>
      </c>
      <c r="B166" s="12" t="s">
        <v>17</v>
      </c>
      <c r="C166" s="14">
        <v>18</v>
      </c>
      <c r="D166" s="14">
        <v>15</v>
      </c>
      <c r="E166" s="14">
        <v>25</v>
      </c>
      <c r="F166" s="14">
        <v>18</v>
      </c>
      <c r="G166" s="14">
        <v>23</v>
      </c>
      <c r="H166" s="14">
        <v>14</v>
      </c>
      <c r="I166" s="12">
        <f t="shared" si="54"/>
        <v>113</v>
      </c>
      <c r="J166" s="19">
        <v>15</v>
      </c>
      <c r="K166" s="20"/>
      <c r="L166" s="16"/>
      <c r="S166" s="16"/>
      <c r="T166" s="16"/>
    </row>
    <row r="167" spans="1:20" s="17" customFormat="1" ht="15.6" customHeight="1" x14ac:dyDescent="0.25">
      <c r="A167" s="11">
        <v>46284</v>
      </c>
      <c r="B167" s="12" t="s">
        <v>18</v>
      </c>
      <c r="C167" s="14">
        <f t="shared" ref="C167:H167" si="55">SUM(C168-C165-C164-C169)</f>
        <v>110</v>
      </c>
      <c r="D167" s="14">
        <f t="shared" si="55"/>
        <v>92</v>
      </c>
      <c r="E167" s="14">
        <f t="shared" si="55"/>
        <v>75</v>
      </c>
      <c r="F167" s="14">
        <f t="shared" si="55"/>
        <v>73</v>
      </c>
      <c r="G167" s="14">
        <f t="shared" si="55"/>
        <v>55</v>
      </c>
      <c r="H167" s="14">
        <f t="shared" si="55"/>
        <v>66</v>
      </c>
      <c r="I167" s="21">
        <f t="shared" si="54"/>
        <v>471</v>
      </c>
      <c r="J167" s="20"/>
      <c r="K167" s="20"/>
      <c r="L167" s="16"/>
      <c r="S167" s="16"/>
      <c r="T167" s="16"/>
    </row>
    <row r="168" spans="1:20" s="17" customFormat="1" ht="15.6" customHeight="1" x14ac:dyDescent="0.25">
      <c r="A168" s="11">
        <v>46284</v>
      </c>
      <c r="B168" s="23" t="s">
        <v>19</v>
      </c>
      <c r="C168" s="23">
        <v>125</v>
      </c>
      <c r="D168" s="23">
        <v>106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535</v>
      </c>
      <c r="J168" s="20"/>
      <c r="K168" s="20"/>
      <c r="L168" s="16"/>
      <c r="S168" s="16"/>
      <c r="T168" s="16"/>
    </row>
    <row r="169" spans="1:20" s="17" customFormat="1" ht="15.6" customHeight="1" x14ac:dyDescent="0.2">
      <c r="A169" s="11">
        <v>46284</v>
      </c>
      <c r="B169" s="12" t="s">
        <v>20</v>
      </c>
      <c r="C169" s="14">
        <v>3</v>
      </c>
      <c r="D169" s="14">
        <v>1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8</v>
      </c>
      <c r="J169" s="20"/>
      <c r="K169" s="20"/>
      <c r="L169" s="5"/>
      <c r="S169" s="16"/>
      <c r="T169" s="16"/>
    </row>
    <row r="170" spans="1:20" s="17" customFormat="1" ht="15.6" customHeight="1" x14ac:dyDescent="0.25">
      <c r="A170" s="11">
        <v>46283</v>
      </c>
      <c r="B170" s="12" t="s">
        <v>15</v>
      </c>
      <c r="C170" s="13">
        <v>8</v>
      </c>
      <c r="D170" s="13">
        <v>6</v>
      </c>
      <c r="E170" s="13">
        <v>5</v>
      </c>
      <c r="F170" s="14">
        <v>2</v>
      </c>
      <c r="G170" s="14">
        <v>0</v>
      </c>
      <c r="H170" s="14">
        <v>6</v>
      </c>
      <c r="I170" s="12">
        <f t="shared" ref="I170:I175" si="56">SUM(C170:H170)</f>
        <v>27</v>
      </c>
      <c r="J170" s="15">
        <f>(I174)/(I170+I174+J172)</f>
        <v>0.92720970537261693</v>
      </c>
      <c r="K170" s="15">
        <f>(I174-I170-I171-J172)/(I174)</f>
        <v>0.8654205607476636</v>
      </c>
      <c r="L170" s="18"/>
      <c r="S170" s="16"/>
      <c r="T170" s="16"/>
    </row>
    <row r="171" spans="1:20" s="17" customFormat="1" ht="14.4" customHeight="1" x14ac:dyDescent="0.25">
      <c r="A171" s="11">
        <v>46283</v>
      </c>
      <c r="B171" s="12" t="s">
        <v>16</v>
      </c>
      <c r="C171" s="13">
        <v>5</v>
      </c>
      <c r="D171" s="13">
        <v>7</v>
      </c>
      <c r="E171" s="13">
        <v>7</v>
      </c>
      <c r="F171" s="14">
        <v>6</v>
      </c>
      <c r="G171" s="14">
        <v>2</v>
      </c>
      <c r="H171" s="14">
        <v>3</v>
      </c>
      <c r="I171" s="12">
        <f t="shared" si="56"/>
        <v>30</v>
      </c>
      <c r="L171" s="18"/>
      <c r="S171" s="16"/>
      <c r="T171" s="16"/>
    </row>
    <row r="172" spans="1:20" s="17" customFormat="1" ht="15" customHeight="1" x14ac:dyDescent="0.25">
      <c r="A172" s="11">
        <v>46283</v>
      </c>
      <c r="B172" s="12" t="s">
        <v>17</v>
      </c>
      <c r="C172" s="14">
        <v>18</v>
      </c>
      <c r="D172" s="14">
        <v>15</v>
      </c>
      <c r="E172" s="14">
        <v>25</v>
      </c>
      <c r="F172" s="14">
        <v>18</v>
      </c>
      <c r="G172" s="14">
        <v>23</v>
      </c>
      <c r="H172" s="14">
        <v>14</v>
      </c>
      <c r="I172" s="12">
        <f t="shared" si="56"/>
        <v>113</v>
      </c>
      <c r="J172" s="19">
        <v>15</v>
      </c>
      <c r="K172" s="20"/>
      <c r="L172" s="16"/>
      <c r="S172" s="16"/>
      <c r="T172" s="16"/>
    </row>
    <row r="173" spans="1:20" s="17" customFormat="1" ht="13.8" customHeight="1" x14ac:dyDescent="0.25">
      <c r="A173" s="11">
        <v>46283</v>
      </c>
      <c r="B173" s="12" t="s">
        <v>18</v>
      </c>
      <c r="C173" s="14">
        <f t="shared" ref="C173:H173" si="57">SUM(C174-C171-C170-C175)</f>
        <v>109</v>
      </c>
      <c r="D173" s="14">
        <f t="shared" si="57"/>
        <v>92</v>
      </c>
      <c r="E173" s="14">
        <f t="shared" si="57"/>
        <v>75</v>
      </c>
      <c r="F173" s="14">
        <f t="shared" si="57"/>
        <v>73</v>
      </c>
      <c r="G173" s="14">
        <f t="shared" si="57"/>
        <v>55</v>
      </c>
      <c r="H173" s="14">
        <f t="shared" si="57"/>
        <v>66</v>
      </c>
      <c r="I173" s="21">
        <f t="shared" si="56"/>
        <v>470</v>
      </c>
      <c r="J173" s="20"/>
      <c r="K173" s="20"/>
      <c r="L173" s="16"/>
      <c r="S173" s="16"/>
      <c r="T173" s="16"/>
    </row>
    <row r="174" spans="1:20" s="17" customFormat="1" ht="14.4" customHeight="1" x14ac:dyDescent="0.25">
      <c r="A174" s="11">
        <v>46283</v>
      </c>
      <c r="B174" s="23" t="s">
        <v>19</v>
      </c>
      <c r="C174" s="23">
        <v>125</v>
      </c>
      <c r="D174" s="23">
        <v>106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535</v>
      </c>
      <c r="J174" s="20"/>
      <c r="K174" s="20"/>
      <c r="L174" s="16"/>
      <c r="S174" s="16"/>
      <c r="T174" s="16"/>
    </row>
    <row r="175" spans="1:20" s="17" customFormat="1" ht="14.4" customHeight="1" x14ac:dyDescent="0.2">
      <c r="A175" s="11">
        <v>46283</v>
      </c>
      <c r="B175" s="12" t="s">
        <v>20</v>
      </c>
      <c r="C175" s="14">
        <v>3</v>
      </c>
      <c r="D175" s="14">
        <v>1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8</v>
      </c>
      <c r="J175" s="20"/>
      <c r="K175" s="20"/>
      <c r="L175" s="5"/>
      <c r="S175" s="16"/>
      <c r="T175" s="16"/>
    </row>
    <row r="176" spans="1:20" s="17" customFormat="1" ht="15.6" customHeight="1" x14ac:dyDescent="0.25">
      <c r="A176" s="11">
        <v>46282</v>
      </c>
      <c r="B176" s="12" t="s">
        <v>15</v>
      </c>
      <c r="C176" s="13">
        <v>9</v>
      </c>
      <c r="D176" s="13">
        <v>4</v>
      </c>
      <c r="E176" s="13">
        <v>4</v>
      </c>
      <c r="F176" s="14">
        <v>3</v>
      </c>
      <c r="G176" s="14">
        <v>0</v>
      </c>
      <c r="H176" s="14">
        <v>5</v>
      </c>
      <c r="I176" s="12">
        <f t="shared" ref="I176:I181" si="58">SUM(C176:H176)</f>
        <v>25</v>
      </c>
      <c r="J176" s="15">
        <f>(I180)/(I176+I180+J178)</f>
        <v>0.93043478260869561</v>
      </c>
      <c r="K176" s="15">
        <f>(I180-I176-I177-J178)/(I180)</f>
        <v>0.87850467289719625</v>
      </c>
      <c r="L176" s="18"/>
      <c r="S176" s="16"/>
      <c r="T176" s="16"/>
    </row>
    <row r="177" spans="1:20" s="17" customFormat="1" ht="14.4" customHeight="1" x14ac:dyDescent="0.25">
      <c r="A177" s="11">
        <v>46282</v>
      </c>
      <c r="B177" s="12" t="s">
        <v>16</v>
      </c>
      <c r="C177" s="13">
        <v>4</v>
      </c>
      <c r="D177" s="13">
        <v>6</v>
      </c>
      <c r="E177" s="13">
        <v>4</v>
      </c>
      <c r="F177" s="14">
        <v>5</v>
      </c>
      <c r="G177" s="14">
        <v>2</v>
      </c>
      <c r="H177" s="14">
        <v>4</v>
      </c>
      <c r="I177" s="12">
        <f t="shared" si="58"/>
        <v>25</v>
      </c>
      <c r="L177" s="18"/>
      <c r="S177" s="16"/>
      <c r="T177" s="16"/>
    </row>
    <row r="178" spans="1:20" s="17" customFormat="1" ht="15" customHeight="1" x14ac:dyDescent="0.25">
      <c r="A178" s="11">
        <v>46282</v>
      </c>
      <c r="B178" s="12" t="s">
        <v>17</v>
      </c>
      <c r="C178" s="14">
        <v>19</v>
      </c>
      <c r="D178" s="14">
        <v>14</v>
      </c>
      <c r="E178" s="14">
        <v>24</v>
      </c>
      <c r="F178" s="14">
        <v>18</v>
      </c>
      <c r="G178" s="14">
        <v>23</v>
      </c>
      <c r="H178" s="14">
        <v>14</v>
      </c>
      <c r="I178" s="12">
        <f t="shared" si="58"/>
        <v>112</v>
      </c>
      <c r="J178" s="19">
        <v>15</v>
      </c>
      <c r="K178" s="20"/>
      <c r="L178" s="16"/>
      <c r="S178" s="16"/>
      <c r="T178" s="16"/>
    </row>
    <row r="179" spans="1:20" s="17" customFormat="1" ht="13.8" customHeight="1" x14ac:dyDescent="0.25">
      <c r="A179" s="11">
        <v>46282</v>
      </c>
      <c r="B179" s="12" t="s">
        <v>18</v>
      </c>
      <c r="C179" s="14">
        <f t="shared" ref="C179:H179" si="59">SUM(C180-C177-C176-C181)</f>
        <v>109</v>
      </c>
      <c r="D179" s="14">
        <f t="shared" si="59"/>
        <v>95</v>
      </c>
      <c r="E179" s="14">
        <f t="shared" si="59"/>
        <v>79</v>
      </c>
      <c r="F179" s="14">
        <f t="shared" si="59"/>
        <v>73</v>
      </c>
      <c r="G179" s="14">
        <f t="shared" si="59"/>
        <v>55</v>
      </c>
      <c r="H179" s="14">
        <f t="shared" si="59"/>
        <v>66</v>
      </c>
      <c r="I179" s="21">
        <f t="shared" si="58"/>
        <v>477</v>
      </c>
      <c r="J179" s="20"/>
      <c r="K179" s="20"/>
      <c r="L179" s="16"/>
      <c r="S179" s="16"/>
      <c r="T179" s="16"/>
    </row>
    <row r="180" spans="1:20" s="17" customFormat="1" ht="14.4" customHeight="1" x14ac:dyDescent="0.25">
      <c r="A180" s="11">
        <v>46282</v>
      </c>
      <c r="B180" s="23" t="s">
        <v>19</v>
      </c>
      <c r="C180" s="23">
        <v>125</v>
      </c>
      <c r="D180" s="23">
        <v>106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535</v>
      </c>
      <c r="J180" s="20"/>
      <c r="K180" s="20"/>
      <c r="L180" s="16"/>
      <c r="S180" s="16"/>
      <c r="T180" s="16"/>
    </row>
    <row r="181" spans="1:20" s="17" customFormat="1" ht="14.4" customHeight="1" x14ac:dyDescent="0.2">
      <c r="A181" s="11">
        <v>46282</v>
      </c>
      <c r="B181" s="12" t="s">
        <v>20</v>
      </c>
      <c r="C181" s="14">
        <v>3</v>
      </c>
      <c r="D181" s="14">
        <v>1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8</v>
      </c>
      <c r="J181" s="20"/>
      <c r="K181" s="20"/>
      <c r="L181" s="5"/>
      <c r="S181" s="16"/>
      <c r="T181" s="16"/>
    </row>
    <row r="182" spans="1:20" s="17" customFormat="1" ht="15.6" customHeight="1" x14ac:dyDescent="0.25">
      <c r="A182" s="11">
        <v>46281</v>
      </c>
      <c r="B182" s="12" t="s">
        <v>15</v>
      </c>
      <c r="C182" s="13">
        <v>8</v>
      </c>
      <c r="D182" s="13">
        <v>4</v>
      </c>
      <c r="E182" s="13">
        <v>8</v>
      </c>
      <c r="F182" s="14">
        <v>1</v>
      </c>
      <c r="G182" s="14">
        <v>2</v>
      </c>
      <c r="H182" s="14">
        <v>6</v>
      </c>
      <c r="I182" s="12">
        <f t="shared" ref="I182:I187" si="60">SUM(C182:H182)</f>
        <v>29</v>
      </c>
      <c r="J182" s="15">
        <f>(I186)/(I182+I186+J184)</f>
        <v>0.92400690846286704</v>
      </c>
      <c r="K182" s="15">
        <f>(I186-I182-I183-J184)/(I186)</f>
        <v>0.8654205607476636</v>
      </c>
      <c r="L182" s="18"/>
      <c r="S182" s="16"/>
      <c r="T182" s="16"/>
    </row>
    <row r="183" spans="1:20" s="17" customFormat="1" ht="14.4" customHeight="1" x14ac:dyDescent="0.25">
      <c r="A183" s="11">
        <v>46281</v>
      </c>
      <c r="B183" s="12" t="s">
        <v>16</v>
      </c>
      <c r="C183" s="13">
        <v>6</v>
      </c>
      <c r="D183" s="13">
        <v>6</v>
      </c>
      <c r="E183" s="13">
        <v>5</v>
      </c>
      <c r="F183" s="14">
        <v>7</v>
      </c>
      <c r="G183" s="14">
        <v>1</v>
      </c>
      <c r="H183" s="14">
        <v>3</v>
      </c>
      <c r="I183" s="12">
        <f t="shared" si="60"/>
        <v>28</v>
      </c>
      <c r="L183" s="18"/>
      <c r="S183" s="16"/>
      <c r="T183" s="16"/>
    </row>
    <row r="184" spans="1:20" s="17" customFormat="1" ht="15" customHeight="1" x14ac:dyDescent="0.25">
      <c r="A184" s="11">
        <v>46281</v>
      </c>
      <c r="B184" s="12" t="s">
        <v>17</v>
      </c>
      <c r="C184" s="14">
        <v>20</v>
      </c>
      <c r="D184" s="14">
        <v>15</v>
      </c>
      <c r="E184" s="14">
        <v>24</v>
      </c>
      <c r="F184" s="14">
        <v>18</v>
      </c>
      <c r="G184" s="14">
        <v>23</v>
      </c>
      <c r="H184" s="14">
        <v>14</v>
      </c>
      <c r="I184" s="12">
        <f t="shared" si="60"/>
        <v>114</v>
      </c>
      <c r="J184" s="19">
        <v>15</v>
      </c>
      <c r="K184" s="20"/>
      <c r="L184" s="16"/>
      <c r="S184" s="16"/>
      <c r="T184" s="16"/>
    </row>
    <row r="185" spans="1:20" s="17" customFormat="1" ht="13.8" customHeight="1" x14ac:dyDescent="0.25">
      <c r="A185" s="11">
        <v>46281</v>
      </c>
      <c r="B185" s="12" t="s">
        <v>18</v>
      </c>
      <c r="C185" s="14">
        <f t="shared" ref="C185:H185" si="61">SUM(C186-C183-C182-C187)</f>
        <v>108</v>
      </c>
      <c r="D185" s="14">
        <f t="shared" si="61"/>
        <v>95</v>
      </c>
      <c r="E185" s="14">
        <f t="shared" si="61"/>
        <v>74</v>
      </c>
      <c r="F185" s="14">
        <f t="shared" si="61"/>
        <v>73</v>
      </c>
      <c r="G185" s="14">
        <f t="shared" si="61"/>
        <v>54</v>
      </c>
      <c r="H185" s="14">
        <f t="shared" si="61"/>
        <v>66</v>
      </c>
      <c r="I185" s="21">
        <f t="shared" si="60"/>
        <v>470</v>
      </c>
      <c r="J185" s="20"/>
      <c r="K185" s="20"/>
      <c r="L185" s="16"/>
      <c r="S185" s="16"/>
      <c r="T185" s="16"/>
    </row>
    <row r="186" spans="1:20" s="17" customFormat="1" ht="14.4" customHeight="1" x14ac:dyDescent="0.25">
      <c r="A186" s="11">
        <v>46281</v>
      </c>
      <c r="B186" s="23" t="s">
        <v>19</v>
      </c>
      <c r="C186" s="23">
        <v>125</v>
      </c>
      <c r="D186" s="23">
        <v>106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535</v>
      </c>
      <c r="J186" s="20"/>
      <c r="K186" s="20"/>
      <c r="L186" s="16"/>
      <c r="S186" s="16"/>
      <c r="T186" s="16"/>
    </row>
    <row r="187" spans="1:20" s="17" customFormat="1" ht="14.4" customHeight="1" x14ac:dyDescent="0.2">
      <c r="A187" s="11">
        <v>46281</v>
      </c>
      <c r="B187" s="12" t="s">
        <v>20</v>
      </c>
      <c r="C187" s="14">
        <v>3</v>
      </c>
      <c r="D187" s="14">
        <v>1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8</v>
      </c>
      <c r="J187" s="20"/>
      <c r="K187" s="20"/>
      <c r="L187" s="5"/>
      <c r="S187" s="16"/>
      <c r="T187" s="16"/>
    </row>
    <row r="188" spans="1:20" s="17" customFormat="1" ht="15.6" customHeight="1" x14ac:dyDescent="0.25">
      <c r="A188" s="11">
        <v>46280</v>
      </c>
      <c r="B188" s="12" t="s">
        <v>15</v>
      </c>
      <c r="C188" s="13">
        <v>13</v>
      </c>
      <c r="D188" s="13">
        <v>5</v>
      </c>
      <c r="E188" s="13">
        <v>4</v>
      </c>
      <c r="F188" s="14">
        <v>0</v>
      </c>
      <c r="G188" s="14">
        <v>1</v>
      </c>
      <c r="H188" s="14">
        <v>6</v>
      </c>
      <c r="I188" s="12">
        <f t="shared" ref="I188:I193" si="62">SUM(C188:H188)</f>
        <v>29</v>
      </c>
      <c r="J188" s="15">
        <f>(I192)/(I188+I192+J190)</f>
        <v>0.92400690846286704</v>
      </c>
      <c r="K188" s="15">
        <f>(I192-I188-I189-J190)/(I192)</f>
        <v>0.85607476635514024</v>
      </c>
      <c r="L188" s="18"/>
      <c r="S188" s="16"/>
      <c r="T188" s="16"/>
    </row>
    <row r="189" spans="1:20" s="17" customFormat="1" ht="14.4" customHeight="1" x14ac:dyDescent="0.25">
      <c r="A189" s="11">
        <v>46280</v>
      </c>
      <c r="B189" s="12" t="s">
        <v>16</v>
      </c>
      <c r="C189" s="13">
        <v>10</v>
      </c>
      <c r="D189" s="13">
        <v>6</v>
      </c>
      <c r="E189" s="13">
        <v>7</v>
      </c>
      <c r="F189" s="14">
        <v>6</v>
      </c>
      <c r="G189" s="14">
        <v>0</v>
      </c>
      <c r="H189" s="14">
        <v>4</v>
      </c>
      <c r="I189" s="12">
        <f t="shared" si="62"/>
        <v>33</v>
      </c>
      <c r="L189" s="18"/>
      <c r="S189" s="16"/>
      <c r="T189" s="16"/>
    </row>
    <row r="190" spans="1:20" s="17" customFormat="1" ht="15" customHeight="1" x14ac:dyDescent="0.25">
      <c r="A190" s="11">
        <v>46280</v>
      </c>
      <c r="B190" s="12" t="s">
        <v>17</v>
      </c>
      <c r="C190" s="14">
        <v>19</v>
      </c>
      <c r="D190" s="14">
        <v>15</v>
      </c>
      <c r="E190" s="14">
        <v>25</v>
      </c>
      <c r="F190" s="14">
        <v>18</v>
      </c>
      <c r="G190" s="14">
        <v>23</v>
      </c>
      <c r="H190" s="14">
        <v>14</v>
      </c>
      <c r="I190" s="12">
        <f t="shared" si="62"/>
        <v>114</v>
      </c>
      <c r="J190" s="19">
        <v>15</v>
      </c>
      <c r="K190" s="20"/>
      <c r="L190" s="16"/>
      <c r="S190" s="16"/>
      <c r="T190" s="16"/>
    </row>
    <row r="191" spans="1:20" s="17" customFormat="1" ht="13.8" customHeight="1" x14ac:dyDescent="0.25">
      <c r="A191" s="11">
        <v>46280</v>
      </c>
      <c r="B191" s="12" t="s">
        <v>18</v>
      </c>
      <c r="C191" s="14">
        <f t="shared" ref="C191:H191" si="63">SUM(C192-C189-C188-C193)</f>
        <v>99</v>
      </c>
      <c r="D191" s="14">
        <f t="shared" si="63"/>
        <v>94</v>
      </c>
      <c r="E191" s="14">
        <f t="shared" si="63"/>
        <v>76</v>
      </c>
      <c r="F191" s="14">
        <f t="shared" si="63"/>
        <v>75</v>
      </c>
      <c r="G191" s="14">
        <f t="shared" si="63"/>
        <v>56</v>
      </c>
      <c r="H191" s="14">
        <f t="shared" si="63"/>
        <v>65</v>
      </c>
      <c r="I191" s="21">
        <f t="shared" si="62"/>
        <v>465</v>
      </c>
      <c r="J191" s="20"/>
      <c r="K191" s="20"/>
      <c r="L191" s="16"/>
      <c r="S191" s="16"/>
      <c r="T191" s="16"/>
    </row>
    <row r="192" spans="1:20" s="17" customFormat="1" ht="14.4" customHeight="1" x14ac:dyDescent="0.25">
      <c r="A192" s="11">
        <v>46280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4.4" customHeight="1" x14ac:dyDescent="0.2">
      <c r="A193" s="11">
        <v>46280</v>
      </c>
      <c r="B193" s="12" t="s">
        <v>20</v>
      </c>
      <c r="C193" s="14">
        <v>3</v>
      </c>
      <c r="D193" s="14">
        <v>1</v>
      </c>
      <c r="E193" s="14">
        <v>4</v>
      </c>
      <c r="F193" s="14">
        <v>0</v>
      </c>
      <c r="G193" s="14">
        <v>0</v>
      </c>
      <c r="H193" s="14">
        <v>0</v>
      </c>
      <c r="I193" s="12">
        <f t="shared" si="62"/>
        <v>8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46279</v>
      </c>
      <c r="B194" s="12" t="s">
        <v>15</v>
      </c>
      <c r="C194" s="13">
        <v>11</v>
      </c>
      <c r="D194" s="13">
        <v>5</v>
      </c>
      <c r="E194" s="13">
        <v>4</v>
      </c>
      <c r="F194" s="14">
        <v>1</v>
      </c>
      <c r="G194" s="14">
        <v>2</v>
      </c>
      <c r="H194" s="14">
        <v>4</v>
      </c>
      <c r="I194" s="12">
        <f t="shared" ref="I194:I199" si="64">SUM(C194:H194)</f>
        <v>27</v>
      </c>
      <c r="J194" s="15">
        <f>(I198)/(I194+I198+J196)</f>
        <v>0.92720970537261693</v>
      </c>
      <c r="K194" s="15">
        <f>(I198-I194-I195-J196)/(I198)</f>
        <v>0.86168224299065421</v>
      </c>
      <c r="L194" s="18"/>
      <c r="S194" s="16"/>
      <c r="T194" s="16"/>
    </row>
    <row r="195" spans="1:20" s="17" customFormat="1" ht="14.4" customHeight="1" x14ac:dyDescent="0.25">
      <c r="A195" s="11">
        <v>46279</v>
      </c>
      <c r="B195" s="12" t="s">
        <v>16</v>
      </c>
      <c r="C195" s="13">
        <v>9</v>
      </c>
      <c r="D195" s="13">
        <v>6</v>
      </c>
      <c r="E195" s="13">
        <v>7</v>
      </c>
      <c r="F195" s="14">
        <v>5</v>
      </c>
      <c r="G195" s="14">
        <v>0</v>
      </c>
      <c r="H195" s="14">
        <v>5</v>
      </c>
      <c r="I195" s="12">
        <f t="shared" si="64"/>
        <v>32</v>
      </c>
      <c r="L195" s="18"/>
      <c r="S195" s="16"/>
      <c r="T195" s="16"/>
    </row>
    <row r="196" spans="1:20" s="17" customFormat="1" ht="15" customHeight="1" x14ac:dyDescent="0.25">
      <c r="A196" s="11">
        <v>46279</v>
      </c>
      <c r="B196" s="12" t="s">
        <v>17</v>
      </c>
      <c r="C196" s="14">
        <v>19</v>
      </c>
      <c r="D196" s="14">
        <v>15</v>
      </c>
      <c r="E196" s="14">
        <v>25</v>
      </c>
      <c r="F196" s="14">
        <v>18</v>
      </c>
      <c r="G196" s="14">
        <v>23</v>
      </c>
      <c r="H196" s="14">
        <v>14</v>
      </c>
      <c r="I196" s="12">
        <f t="shared" si="64"/>
        <v>114</v>
      </c>
      <c r="J196" s="19">
        <v>15</v>
      </c>
      <c r="K196" s="20"/>
      <c r="L196" s="16"/>
      <c r="S196" s="16"/>
      <c r="T196" s="16"/>
    </row>
    <row r="197" spans="1:20" s="17" customFormat="1" ht="13.8" customHeight="1" x14ac:dyDescent="0.25">
      <c r="A197" s="11">
        <v>46279</v>
      </c>
      <c r="B197" s="12" t="s">
        <v>18</v>
      </c>
      <c r="C197" s="14">
        <f t="shared" ref="C197:H197" si="65">SUM(C198-C195-C194-C199)</f>
        <v>100</v>
      </c>
      <c r="D197" s="14">
        <f t="shared" si="65"/>
        <v>94</v>
      </c>
      <c r="E197" s="14">
        <f t="shared" si="65"/>
        <v>76</v>
      </c>
      <c r="F197" s="14">
        <f t="shared" si="65"/>
        <v>75</v>
      </c>
      <c r="G197" s="14">
        <f t="shared" si="65"/>
        <v>55</v>
      </c>
      <c r="H197" s="14">
        <f t="shared" si="65"/>
        <v>65</v>
      </c>
      <c r="I197" s="21">
        <f t="shared" si="64"/>
        <v>465</v>
      </c>
      <c r="J197" s="20"/>
      <c r="K197" s="20"/>
      <c r="L197" s="16"/>
      <c r="S197" s="16"/>
      <c r="T197" s="16"/>
    </row>
    <row r="198" spans="1:20" s="17" customFormat="1" ht="14.4" customHeight="1" x14ac:dyDescent="0.25">
      <c r="A198" s="11">
        <v>46279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4.4" customHeight="1" x14ac:dyDescent="0.2">
      <c r="A199" s="11">
        <v>46279</v>
      </c>
      <c r="B199" s="12" t="s">
        <v>20</v>
      </c>
      <c r="C199" s="14">
        <v>5</v>
      </c>
      <c r="D199" s="14">
        <v>1</v>
      </c>
      <c r="E199" s="14">
        <v>4</v>
      </c>
      <c r="F199" s="14">
        <v>0</v>
      </c>
      <c r="G199" s="14">
        <v>0</v>
      </c>
      <c r="H199" s="14">
        <v>1</v>
      </c>
      <c r="I199" s="12">
        <f t="shared" si="64"/>
        <v>11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46278</v>
      </c>
      <c r="B200" s="12" t="s">
        <v>15</v>
      </c>
      <c r="C200" s="13">
        <v>10</v>
      </c>
      <c r="D200" s="13">
        <v>5</v>
      </c>
      <c r="E200" s="13">
        <v>3</v>
      </c>
      <c r="F200" s="14">
        <v>4</v>
      </c>
      <c r="G200" s="14">
        <v>2</v>
      </c>
      <c r="H200" s="14">
        <v>5</v>
      </c>
      <c r="I200" s="12">
        <f t="shared" ref="I200:I205" si="66">SUM(C200:H200)</f>
        <v>29</v>
      </c>
      <c r="J200" s="15">
        <f>(I204)/(I200+I204+J202)</f>
        <v>0.92400690846286704</v>
      </c>
      <c r="K200" s="15">
        <f>(I204-I200-I201-J202)/(I204)</f>
        <v>0.85420560747663554</v>
      </c>
      <c r="L200" s="18"/>
      <c r="S200" s="16"/>
      <c r="T200" s="16"/>
    </row>
    <row r="201" spans="1:20" s="17" customFormat="1" ht="14.4" customHeight="1" x14ac:dyDescent="0.25">
      <c r="A201" s="11">
        <v>46278</v>
      </c>
      <c r="B201" s="12" t="s">
        <v>16</v>
      </c>
      <c r="C201" s="13">
        <v>11</v>
      </c>
      <c r="D201" s="13">
        <v>9</v>
      </c>
      <c r="E201" s="13">
        <v>7</v>
      </c>
      <c r="F201" s="14">
        <v>2</v>
      </c>
      <c r="G201" s="14">
        <v>0</v>
      </c>
      <c r="H201" s="14">
        <v>5</v>
      </c>
      <c r="I201" s="12">
        <f t="shared" si="66"/>
        <v>34</v>
      </c>
      <c r="L201" s="18"/>
      <c r="S201" s="16"/>
      <c r="T201" s="16"/>
    </row>
    <row r="202" spans="1:20" s="17" customFormat="1" ht="15" customHeight="1" x14ac:dyDescent="0.25">
      <c r="A202" s="11">
        <v>46278</v>
      </c>
      <c r="B202" s="12" t="s">
        <v>17</v>
      </c>
      <c r="C202" s="14">
        <v>19</v>
      </c>
      <c r="D202" s="14">
        <v>15</v>
      </c>
      <c r="E202" s="14">
        <v>25</v>
      </c>
      <c r="F202" s="14">
        <v>18</v>
      </c>
      <c r="G202" s="14">
        <v>23</v>
      </c>
      <c r="H202" s="14">
        <v>14</v>
      </c>
      <c r="I202" s="12">
        <f t="shared" si="66"/>
        <v>114</v>
      </c>
      <c r="J202" s="19">
        <v>15</v>
      </c>
      <c r="K202" s="20"/>
      <c r="L202" s="16"/>
      <c r="S202" s="16"/>
      <c r="T202" s="16"/>
    </row>
    <row r="203" spans="1:20" s="17" customFormat="1" ht="13.8" customHeight="1" x14ac:dyDescent="0.25">
      <c r="A203" s="11">
        <v>46278</v>
      </c>
      <c r="B203" s="12" t="s">
        <v>18</v>
      </c>
      <c r="C203" s="14">
        <f t="shared" ref="C203:H203" si="67">SUM(C204-C201-C200-C205)</f>
        <v>100</v>
      </c>
      <c r="D203" s="14">
        <f t="shared" si="67"/>
        <v>91</v>
      </c>
      <c r="E203" s="14">
        <f t="shared" si="67"/>
        <v>77</v>
      </c>
      <c r="F203" s="14">
        <f t="shared" si="67"/>
        <v>75</v>
      </c>
      <c r="G203" s="14">
        <f t="shared" si="67"/>
        <v>55</v>
      </c>
      <c r="H203" s="14">
        <f t="shared" si="67"/>
        <v>65</v>
      </c>
      <c r="I203" s="21">
        <f t="shared" si="66"/>
        <v>463</v>
      </c>
      <c r="J203" s="20"/>
      <c r="K203" s="20"/>
      <c r="L203" s="16"/>
      <c r="S203" s="16"/>
      <c r="T203" s="16"/>
    </row>
    <row r="204" spans="1:20" s="17" customFormat="1" ht="14.4" customHeight="1" x14ac:dyDescent="0.25">
      <c r="A204" s="11">
        <v>46278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4.4" customHeight="1" x14ac:dyDescent="0.2">
      <c r="A205" s="11">
        <v>46278</v>
      </c>
      <c r="B205" s="12" t="s">
        <v>20</v>
      </c>
      <c r="C205" s="14">
        <v>4</v>
      </c>
      <c r="D205" s="14">
        <v>1</v>
      </c>
      <c r="E205" s="14">
        <v>4</v>
      </c>
      <c r="F205" s="14">
        <v>0</v>
      </c>
      <c r="G205" s="14">
        <v>0</v>
      </c>
      <c r="H205" s="14">
        <v>0</v>
      </c>
      <c r="I205" s="12">
        <f t="shared" si="66"/>
        <v>9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46277</v>
      </c>
      <c r="B206" s="12" t="s">
        <v>15</v>
      </c>
      <c r="C206" s="13">
        <v>10</v>
      </c>
      <c r="D206" s="13">
        <v>6</v>
      </c>
      <c r="E206" s="13">
        <v>5</v>
      </c>
      <c r="F206" s="14">
        <v>2</v>
      </c>
      <c r="G206" s="14">
        <v>0</v>
      </c>
      <c r="H206" s="14">
        <v>6</v>
      </c>
      <c r="I206" s="12">
        <f t="shared" ref="I206:I211" si="68">SUM(C206:H206)</f>
        <v>29</v>
      </c>
      <c r="J206" s="15">
        <f>(I210)/(I206+I210+J208)</f>
        <v>0.9256055363321799</v>
      </c>
      <c r="K206" s="15">
        <f>(I210-I206-I207-J208)/(I210)</f>
        <v>0.84672897196261687</v>
      </c>
      <c r="L206" s="18"/>
      <c r="S206" s="16"/>
      <c r="T206" s="16"/>
    </row>
    <row r="207" spans="1:20" s="17" customFormat="1" ht="14.4" customHeight="1" x14ac:dyDescent="0.25">
      <c r="A207" s="11">
        <v>46277</v>
      </c>
      <c r="B207" s="12" t="s">
        <v>16</v>
      </c>
      <c r="C207" s="13">
        <v>11</v>
      </c>
      <c r="D207" s="13">
        <v>9</v>
      </c>
      <c r="E207" s="13">
        <v>6</v>
      </c>
      <c r="F207" s="14">
        <v>5</v>
      </c>
      <c r="G207" s="14">
        <v>2</v>
      </c>
      <c r="H207" s="14">
        <v>6</v>
      </c>
      <c r="I207" s="12">
        <f t="shared" si="68"/>
        <v>39</v>
      </c>
      <c r="L207" s="18"/>
      <c r="S207" s="16"/>
      <c r="T207" s="16"/>
    </row>
    <row r="208" spans="1:20" s="17" customFormat="1" ht="15" customHeight="1" x14ac:dyDescent="0.25">
      <c r="A208" s="11">
        <v>46277</v>
      </c>
      <c r="B208" s="12" t="s">
        <v>17</v>
      </c>
      <c r="C208" s="14">
        <v>19</v>
      </c>
      <c r="D208" s="14">
        <v>15</v>
      </c>
      <c r="E208" s="14">
        <v>25</v>
      </c>
      <c r="F208" s="14">
        <v>18</v>
      </c>
      <c r="G208" s="14">
        <v>23</v>
      </c>
      <c r="H208" s="14">
        <v>14</v>
      </c>
      <c r="I208" s="12">
        <f t="shared" si="68"/>
        <v>114</v>
      </c>
      <c r="J208" s="19">
        <v>14</v>
      </c>
      <c r="K208" s="20"/>
      <c r="L208" s="16"/>
      <c r="S208" s="16"/>
      <c r="T208" s="16"/>
    </row>
    <row r="209" spans="1:20" s="17" customFormat="1" ht="13.8" customHeight="1" x14ac:dyDescent="0.25">
      <c r="A209" s="11">
        <v>46277</v>
      </c>
      <c r="B209" s="12" t="s">
        <v>18</v>
      </c>
      <c r="C209" s="14">
        <f t="shared" ref="C209:H209" si="69">SUM(C210-C207-C206-C211)</f>
        <v>100</v>
      </c>
      <c r="D209" s="14">
        <f t="shared" si="69"/>
        <v>90</v>
      </c>
      <c r="E209" s="14">
        <f t="shared" si="69"/>
        <v>76</v>
      </c>
      <c r="F209" s="14">
        <f t="shared" si="69"/>
        <v>74</v>
      </c>
      <c r="G209" s="14">
        <f t="shared" si="69"/>
        <v>55</v>
      </c>
      <c r="H209" s="14">
        <f t="shared" si="69"/>
        <v>63</v>
      </c>
      <c r="I209" s="21">
        <f t="shared" si="68"/>
        <v>458</v>
      </c>
      <c r="J209" s="20"/>
      <c r="K209" s="20"/>
      <c r="L209" s="16"/>
      <c r="S209" s="16"/>
      <c r="T209" s="16"/>
    </row>
    <row r="210" spans="1:20" s="17" customFormat="1" ht="14.4" customHeight="1" x14ac:dyDescent="0.25">
      <c r="A210" s="11">
        <v>46277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4.4" customHeight="1" x14ac:dyDescent="0.2">
      <c r="A211" s="11">
        <v>46277</v>
      </c>
      <c r="B211" s="12" t="s">
        <v>20</v>
      </c>
      <c r="C211" s="14">
        <v>4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9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46276</v>
      </c>
      <c r="B212" s="12" t="s">
        <v>15</v>
      </c>
      <c r="C212" s="13">
        <v>12</v>
      </c>
      <c r="D212" s="13">
        <v>5</v>
      </c>
      <c r="E212" s="13">
        <v>5</v>
      </c>
      <c r="F212" s="14">
        <v>5</v>
      </c>
      <c r="G212" s="14">
        <v>0</v>
      </c>
      <c r="H212" s="14">
        <v>7</v>
      </c>
      <c r="I212" s="12">
        <f t="shared" ref="I212:I217" si="70">SUM(C212:H212)</f>
        <v>34</v>
      </c>
      <c r="J212" s="15">
        <f>(I216)/(I212+I216+J214)</f>
        <v>0.9145299145299145</v>
      </c>
      <c r="K212" s="15">
        <f>(I216-I212-I213-J214)/(I216)</f>
        <v>0.84112149532710279</v>
      </c>
      <c r="L212" s="18"/>
      <c r="S212" s="16"/>
      <c r="T212" s="16"/>
    </row>
    <row r="213" spans="1:20" s="17" customFormat="1" ht="14.4" customHeight="1" x14ac:dyDescent="0.25">
      <c r="A213" s="11">
        <v>46276</v>
      </c>
      <c r="B213" s="12" t="s">
        <v>16</v>
      </c>
      <c r="C213" s="13">
        <v>9</v>
      </c>
      <c r="D213" s="13">
        <v>9</v>
      </c>
      <c r="E213" s="13">
        <v>6</v>
      </c>
      <c r="F213" s="14">
        <v>3</v>
      </c>
      <c r="G213" s="14">
        <v>3</v>
      </c>
      <c r="H213" s="14">
        <v>5</v>
      </c>
      <c r="I213" s="12">
        <f t="shared" si="70"/>
        <v>35</v>
      </c>
      <c r="L213" s="18"/>
      <c r="S213" s="16"/>
      <c r="T213" s="16"/>
    </row>
    <row r="214" spans="1:20" s="17" customFormat="1" ht="15" customHeight="1" x14ac:dyDescent="0.25">
      <c r="A214" s="11">
        <v>46276</v>
      </c>
      <c r="B214" s="12" t="s">
        <v>17</v>
      </c>
      <c r="C214" s="14">
        <v>19</v>
      </c>
      <c r="D214" s="14">
        <v>15</v>
      </c>
      <c r="E214" s="14">
        <v>25</v>
      </c>
      <c r="F214" s="14">
        <v>18</v>
      </c>
      <c r="G214" s="14">
        <v>23</v>
      </c>
      <c r="H214" s="14">
        <v>14</v>
      </c>
      <c r="I214" s="12">
        <f t="shared" si="70"/>
        <v>114</v>
      </c>
      <c r="J214" s="19">
        <v>16</v>
      </c>
      <c r="K214" s="20"/>
      <c r="L214" s="16"/>
      <c r="S214" s="16"/>
      <c r="T214" s="16"/>
    </row>
    <row r="215" spans="1:20" s="17" customFormat="1" ht="13.8" customHeight="1" x14ac:dyDescent="0.25">
      <c r="A215" s="11">
        <v>46276</v>
      </c>
      <c r="B215" s="12" t="s">
        <v>18</v>
      </c>
      <c r="C215" s="14">
        <f t="shared" ref="C215:H215" si="71">SUM(C216-C213-C212-C217)</f>
        <v>100</v>
      </c>
      <c r="D215" s="14">
        <f t="shared" si="71"/>
        <v>91</v>
      </c>
      <c r="E215" s="14">
        <f t="shared" si="71"/>
        <v>76</v>
      </c>
      <c r="F215" s="14">
        <f t="shared" si="71"/>
        <v>73</v>
      </c>
      <c r="G215" s="14">
        <f t="shared" si="71"/>
        <v>54</v>
      </c>
      <c r="H215" s="14">
        <f t="shared" si="71"/>
        <v>63</v>
      </c>
      <c r="I215" s="21">
        <f t="shared" si="70"/>
        <v>457</v>
      </c>
      <c r="J215" s="20"/>
      <c r="K215" s="20"/>
      <c r="L215" s="16"/>
      <c r="S215" s="16"/>
      <c r="T215" s="16"/>
    </row>
    <row r="216" spans="1:20" s="17" customFormat="1" ht="14.4" customHeight="1" x14ac:dyDescent="0.25">
      <c r="A216" s="11">
        <v>46276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4.4" customHeight="1" x14ac:dyDescent="0.2">
      <c r="A217" s="11">
        <v>46276</v>
      </c>
      <c r="B217" s="12" t="s">
        <v>20</v>
      </c>
      <c r="C217" s="14">
        <v>4</v>
      </c>
      <c r="D217" s="14">
        <v>1</v>
      </c>
      <c r="E217" s="14">
        <v>4</v>
      </c>
      <c r="F217" s="14">
        <v>0</v>
      </c>
      <c r="G217" s="14">
        <v>0</v>
      </c>
      <c r="H217" s="14">
        <v>0</v>
      </c>
      <c r="I217" s="12">
        <f t="shared" si="70"/>
        <v>9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46275</v>
      </c>
      <c r="B218" s="12" t="s">
        <v>15</v>
      </c>
      <c r="C218" s="13">
        <v>13</v>
      </c>
      <c r="D218" s="13">
        <v>5</v>
      </c>
      <c r="E218" s="13">
        <v>6</v>
      </c>
      <c r="F218" s="14">
        <v>2</v>
      </c>
      <c r="G218" s="14">
        <v>0</v>
      </c>
      <c r="H218" s="14">
        <v>5</v>
      </c>
      <c r="I218" s="12">
        <f t="shared" ref="I218:I223" si="72">SUM(C218:H218)</f>
        <v>31</v>
      </c>
      <c r="J218" s="15">
        <f>(I222)/(I218+I222+J220)</f>
        <v>0.92400690846286704</v>
      </c>
      <c r="K218" s="15">
        <f>(I222-I218-I219-J220)/(I222)</f>
        <v>0.85046728971962615</v>
      </c>
      <c r="L218" s="18"/>
      <c r="S218" s="16"/>
      <c r="T218" s="16"/>
    </row>
    <row r="219" spans="1:20" s="17" customFormat="1" ht="14.4" customHeight="1" x14ac:dyDescent="0.25">
      <c r="A219" s="11">
        <v>46275</v>
      </c>
      <c r="B219" s="12" t="s">
        <v>16</v>
      </c>
      <c r="C219" s="13">
        <v>8</v>
      </c>
      <c r="D219" s="13">
        <v>8</v>
      </c>
      <c r="E219" s="13">
        <v>7</v>
      </c>
      <c r="F219" s="14">
        <v>4</v>
      </c>
      <c r="G219" s="14">
        <v>3</v>
      </c>
      <c r="H219" s="14">
        <v>6</v>
      </c>
      <c r="I219" s="12">
        <f t="shared" si="72"/>
        <v>36</v>
      </c>
      <c r="L219" s="18"/>
      <c r="S219" s="16"/>
      <c r="T219" s="16"/>
    </row>
    <row r="220" spans="1:20" s="17" customFormat="1" ht="15" customHeight="1" x14ac:dyDescent="0.25">
      <c r="A220" s="11">
        <v>46275</v>
      </c>
      <c r="B220" s="12" t="s">
        <v>17</v>
      </c>
      <c r="C220" s="14">
        <v>19</v>
      </c>
      <c r="D220" s="14">
        <v>15</v>
      </c>
      <c r="E220" s="14">
        <v>25</v>
      </c>
      <c r="F220" s="14">
        <v>18</v>
      </c>
      <c r="G220" s="14">
        <v>23</v>
      </c>
      <c r="H220" s="14">
        <v>14</v>
      </c>
      <c r="I220" s="12">
        <f t="shared" si="72"/>
        <v>114</v>
      </c>
      <c r="J220" s="19">
        <v>13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46275</v>
      </c>
      <c r="B221" s="12" t="s">
        <v>18</v>
      </c>
      <c r="C221" s="14">
        <f t="shared" ref="C221:H221" si="73">SUM(C222-C219-C218-C223)</f>
        <v>101</v>
      </c>
      <c r="D221" s="14">
        <f t="shared" si="73"/>
        <v>92</v>
      </c>
      <c r="E221" s="14">
        <f t="shared" si="73"/>
        <v>76</v>
      </c>
      <c r="F221" s="14">
        <f t="shared" si="73"/>
        <v>75</v>
      </c>
      <c r="G221" s="14">
        <f t="shared" si="73"/>
        <v>54</v>
      </c>
      <c r="H221" s="14">
        <f t="shared" si="73"/>
        <v>64</v>
      </c>
      <c r="I221" s="21">
        <f t="shared" si="72"/>
        <v>462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46275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46275</v>
      </c>
      <c r="B223" s="12" t="s">
        <v>20</v>
      </c>
      <c r="C223" s="14">
        <v>3</v>
      </c>
      <c r="D223" s="14">
        <v>1</v>
      </c>
      <c r="E223" s="14">
        <v>2</v>
      </c>
      <c r="F223" s="14">
        <v>0</v>
      </c>
      <c r="G223" s="14">
        <v>0</v>
      </c>
      <c r="H223" s="14">
        <v>0</v>
      </c>
      <c r="I223" s="12">
        <f t="shared" si="72"/>
        <v>6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46274</v>
      </c>
      <c r="B224" s="12" t="s">
        <v>15</v>
      </c>
      <c r="C224" s="13">
        <v>13</v>
      </c>
      <c r="D224" s="13">
        <v>3</v>
      </c>
      <c r="E224" s="13">
        <v>5</v>
      </c>
      <c r="F224" s="14">
        <v>4</v>
      </c>
      <c r="G224" s="14">
        <v>0</v>
      </c>
      <c r="H224" s="14">
        <v>6</v>
      </c>
      <c r="I224" s="12">
        <f t="shared" ref="I224:I229" si="74">SUM(C224:H224)</f>
        <v>31</v>
      </c>
      <c r="J224" s="15">
        <f>(I228)/(I224+I228+J226)</f>
        <v>0.92241379310344829</v>
      </c>
      <c r="K224" s="15">
        <f>(I228-I224-I225-J226)/(I228)</f>
        <v>0.84672897196261687</v>
      </c>
      <c r="L224" s="18"/>
      <c r="S224" s="16"/>
      <c r="T224" s="16"/>
    </row>
    <row r="225" spans="1:20" s="17" customFormat="1" ht="14.4" customHeight="1" x14ac:dyDescent="0.25">
      <c r="A225" s="11">
        <v>46274</v>
      </c>
      <c r="B225" s="12" t="s">
        <v>16</v>
      </c>
      <c r="C225" s="13">
        <v>10</v>
      </c>
      <c r="D225" s="13">
        <v>10</v>
      </c>
      <c r="E225" s="13">
        <v>7</v>
      </c>
      <c r="F225" s="14">
        <v>2</v>
      </c>
      <c r="G225" s="14">
        <v>3</v>
      </c>
      <c r="H225" s="14">
        <v>5</v>
      </c>
      <c r="I225" s="12">
        <f t="shared" si="74"/>
        <v>37</v>
      </c>
      <c r="L225" s="18"/>
      <c r="S225" s="16"/>
      <c r="T225" s="16"/>
    </row>
    <row r="226" spans="1:20" s="17" customFormat="1" ht="15" customHeight="1" x14ac:dyDescent="0.25">
      <c r="A226" s="11">
        <v>46274</v>
      </c>
      <c r="B226" s="12" t="s">
        <v>17</v>
      </c>
      <c r="C226" s="14">
        <v>19</v>
      </c>
      <c r="D226" s="14">
        <v>15</v>
      </c>
      <c r="E226" s="14">
        <v>25</v>
      </c>
      <c r="F226" s="14">
        <v>18</v>
      </c>
      <c r="G226" s="14">
        <v>23</v>
      </c>
      <c r="H226" s="14">
        <v>14</v>
      </c>
      <c r="I226" s="12">
        <f t="shared" si="74"/>
        <v>114</v>
      </c>
      <c r="J226" s="19">
        <v>14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46274</v>
      </c>
      <c r="B227" s="12" t="s">
        <v>18</v>
      </c>
      <c r="C227" s="14">
        <f t="shared" ref="C227:H227" si="75">SUM(C228-C225-C224-C229)</f>
        <v>99</v>
      </c>
      <c r="D227" s="14">
        <f t="shared" si="75"/>
        <v>92</v>
      </c>
      <c r="E227" s="14">
        <f t="shared" si="75"/>
        <v>77</v>
      </c>
      <c r="F227" s="14">
        <f t="shared" si="75"/>
        <v>75</v>
      </c>
      <c r="G227" s="14">
        <f t="shared" si="75"/>
        <v>54</v>
      </c>
      <c r="H227" s="14">
        <f t="shared" si="75"/>
        <v>64</v>
      </c>
      <c r="I227" s="21">
        <f t="shared" si="74"/>
        <v>461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46274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46274</v>
      </c>
      <c r="B229" s="12" t="s">
        <v>20</v>
      </c>
      <c r="C229" s="14">
        <v>3</v>
      </c>
      <c r="D229" s="14">
        <v>1</v>
      </c>
      <c r="E229" s="14">
        <v>2</v>
      </c>
      <c r="F229" s="14">
        <v>0</v>
      </c>
      <c r="G229" s="14">
        <v>0</v>
      </c>
      <c r="H229" s="14">
        <v>0</v>
      </c>
      <c r="I229" s="12">
        <f t="shared" si="74"/>
        <v>6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46273</v>
      </c>
      <c r="B230" s="12" t="s">
        <v>15</v>
      </c>
      <c r="C230" s="13">
        <v>16</v>
      </c>
      <c r="D230" s="13">
        <v>3</v>
      </c>
      <c r="E230" s="13">
        <v>6</v>
      </c>
      <c r="F230" s="14">
        <v>3</v>
      </c>
      <c r="G230" s="14">
        <v>1</v>
      </c>
      <c r="H230" s="14">
        <v>4</v>
      </c>
      <c r="I230" s="12">
        <f t="shared" ref="I230:I235" si="76">SUM(C230:H230)</f>
        <v>33</v>
      </c>
      <c r="J230" s="15">
        <f>(I234)/(I230+I234+J232)</f>
        <v>0.91766723842195541</v>
      </c>
      <c r="K230" s="15">
        <f>(I234-I230-I231-J232)/(I234)</f>
        <v>0.83925233644859809</v>
      </c>
      <c r="L230" s="18"/>
      <c r="S230" s="16"/>
      <c r="T230" s="16"/>
    </row>
    <row r="231" spans="1:20" s="17" customFormat="1" ht="14.4" customHeight="1" x14ac:dyDescent="0.25">
      <c r="A231" s="11">
        <v>46273</v>
      </c>
      <c r="B231" s="12" t="s">
        <v>16</v>
      </c>
      <c r="C231" s="13">
        <v>9</v>
      </c>
      <c r="D231" s="13">
        <v>10</v>
      </c>
      <c r="E231" s="13">
        <v>8</v>
      </c>
      <c r="F231" s="14">
        <v>4</v>
      </c>
      <c r="G231" s="14">
        <v>2</v>
      </c>
      <c r="H231" s="14">
        <v>5</v>
      </c>
      <c r="I231" s="12">
        <f t="shared" si="76"/>
        <v>38</v>
      </c>
      <c r="L231" s="18"/>
      <c r="S231" s="16"/>
      <c r="T231" s="16"/>
    </row>
    <row r="232" spans="1:20" s="17" customFormat="1" ht="15" customHeight="1" x14ac:dyDescent="0.25">
      <c r="A232" s="11">
        <v>46273</v>
      </c>
      <c r="B232" s="12" t="s">
        <v>17</v>
      </c>
      <c r="C232" s="14">
        <v>19</v>
      </c>
      <c r="D232" s="14">
        <v>15</v>
      </c>
      <c r="E232" s="14">
        <v>25</v>
      </c>
      <c r="F232" s="14">
        <v>18</v>
      </c>
      <c r="G232" s="14">
        <v>23</v>
      </c>
      <c r="H232" s="14">
        <v>14</v>
      </c>
      <c r="I232" s="12">
        <f t="shared" si="76"/>
        <v>114</v>
      </c>
      <c r="J232" s="19">
        <v>15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46273</v>
      </c>
      <c r="B233" s="12" t="s">
        <v>18</v>
      </c>
      <c r="C233" s="14">
        <f t="shared" ref="C233:H233" si="77">SUM(C234-C231-C230-C235)</f>
        <v>97</v>
      </c>
      <c r="D233" s="14">
        <f t="shared" si="77"/>
        <v>92</v>
      </c>
      <c r="E233" s="14">
        <f t="shared" si="77"/>
        <v>75</v>
      </c>
      <c r="F233" s="14">
        <f t="shared" si="77"/>
        <v>74</v>
      </c>
      <c r="G233" s="14">
        <f t="shared" si="77"/>
        <v>54</v>
      </c>
      <c r="H233" s="14">
        <f t="shared" si="77"/>
        <v>66</v>
      </c>
      <c r="I233" s="21">
        <f t="shared" si="76"/>
        <v>458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46273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46273</v>
      </c>
      <c r="B235" s="12" t="s">
        <v>20</v>
      </c>
      <c r="C235" s="14">
        <v>3</v>
      </c>
      <c r="D235" s="14">
        <v>1</v>
      </c>
      <c r="E235" s="14">
        <v>2</v>
      </c>
      <c r="F235" s="14">
        <v>0</v>
      </c>
      <c r="G235" s="14">
        <v>0</v>
      </c>
      <c r="H235" s="14">
        <v>0</v>
      </c>
      <c r="I235" s="12">
        <f t="shared" si="76"/>
        <v>6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46272</v>
      </c>
      <c r="B236" s="12" t="s">
        <v>15</v>
      </c>
      <c r="C236" s="13">
        <v>15</v>
      </c>
      <c r="D236" s="13">
        <v>3</v>
      </c>
      <c r="E236" s="13">
        <v>6</v>
      </c>
      <c r="F236" s="14">
        <v>3</v>
      </c>
      <c r="G236" s="14">
        <v>0</v>
      </c>
      <c r="H236" s="14">
        <v>4</v>
      </c>
      <c r="I236" s="12">
        <f t="shared" ref="I236:I241" si="78">SUM(C236:H236)</f>
        <v>31</v>
      </c>
      <c r="J236" s="15">
        <f>(I240)/(I236+I240+J238)</f>
        <v>0.92082616179001719</v>
      </c>
      <c r="K236" s="15">
        <f>(I240-I236-I237-J238)/(I240)</f>
        <v>0.84672897196261687</v>
      </c>
      <c r="L236" s="18"/>
      <c r="S236" s="16"/>
      <c r="T236" s="16"/>
    </row>
    <row r="237" spans="1:20" s="17" customFormat="1" ht="14.4" customHeight="1" x14ac:dyDescent="0.25">
      <c r="A237" s="11">
        <v>46272</v>
      </c>
      <c r="B237" s="12" t="s">
        <v>16</v>
      </c>
      <c r="C237" s="13">
        <v>10</v>
      </c>
      <c r="D237" s="13">
        <v>8</v>
      </c>
      <c r="E237" s="13">
        <v>5</v>
      </c>
      <c r="F237" s="14">
        <v>4</v>
      </c>
      <c r="G237" s="14">
        <v>4</v>
      </c>
      <c r="H237" s="14">
        <v>5</v>
      </c>
      <c r="I237" s="12">
        <f t="shared" si="78"/>
        <v>36</v>
      </c>
      <c r="L237" s="18"/>
      <c r="S237" s="16"/>
      <c r="T237" s="16"/>
    </row>
    <row r="238" spans="1:20" s="17" customFormat="1" ht="15" customHeight="1" x14ac:dyDescent="0.25">
      <c r="A238" s="11">
        <v>46272</v>
      </c>
      <c r="B238" s="12" t="s">
        <v>17</v>
      </c>
      <c r="C238" s="14">
        <v>19</v>
      </c>
      <c r="D238" s="14">
        <v>15</v>
      </c>
      <c r="E238" s="14">
        <v>25</v>
      </c>
      <c r="F238" s="14">
        <v>18</v>
      </c>
      <c r="G238" s="14">
        <v>23</v>
      </c>
      <c r="H238" s="14">
        <v>14</v>
      </c>
      <c r="I238" s="12">
        <f t="shared" si="78"/>
        <v>114</v>
      </c>
      <c r="J238" s="19">
        <v>15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46272</v>
      </c>
      <c r="B239" s="12" t="s">
        <v>18</v>
      </c>
      <c r="C239" s="14">
        <f t="shared" ref="C239:H239" si="79">SUM(C240-C237-C236-C241)</f>
        <v>97</v>
      </c>
      <c r="D239" s="14">
        <f t="shared" si="79"/>
        <v>94</v>
      </c>
      <c r="E239" s="14">
        <f t="shared" si="79"/>
        <v>78</v>
      </c>
      <c r="F239" s="14">
        <f t="shared" si="79"/>
        <v>74</v>
      </c>
      <c r="G239" s="14">
        <f t="shared" si="79"/>
        <v>53</v>
      </c>
      <c r="H239" s="14">
        <f t="shared" si="79"/>
        <v>66</v>
      </c>
      <c r="I239" s="21">
        <f t="shared" si="78"/>
        <v>462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46272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46272</v>
      </c>
      <c r="B241" s="12" t="s">
        <v>20</v>
      </c>
      <c r="C241" s="14">
        <v>3</v>
      </c>
      <c r="D241" s="14">
        <v>1</v>
      </c>
      <c r="E241" s="14">
        <v>2</v>
      </c>
      <c r="F241" s="14">
        <v>0</v>
      </c>
      <c r="G241" s="14">
        <v>0</v>
      </c>
      <c r="H241" s="14">
        <v>0</v>
      </c>
      <c r="I241" s="12">
        <f t="shared" si="78"/>
        <v>6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46271</v>
      </c>
      <c r="B242" s="12" t="s">
        <v>15</v>
      </c>
      <c r="C242" s="13">
        <v>14</v>
      </c>
      <c r="D242" s="13">
        <v>3</v>
      </c>
      <c r="E242" s="13">
        <v>6</v>
      </c>
      <c r="F242" s="14">
        <v>4</v>
      </c>
      <c r="G242" s="14">
        <v>0</v>
      </c>
      <c r="H242" s="14">
        <v>4</v>
      </c>
      <c r="I242" s="12">
        <f t="shared" ref="I242:I247" si="80">SUM(C242:H242)</f>
        <v>31</v>
      </c>
      <c r="J242" s="15">
        <f>(I246)/(I242+I246+J244)</f>
        <v>0.91766723842195541</v>
      </c>
      <c r="K242" s="15">
        <f>(I246-I242-I243-J244)/(I246)</f>
        <v>0.85046728971962615</v>
      </c>
      <c r="L242" s="18"/>
      <c r="S242" s="16"/>
      <c r="T242" s="16"/>
    </row>
    <row r="243" spans="1:20" s="17" customFormat="1" ht="14.4" customHeight="1" x14ac:dyDescent="0.25">
      <c r="A243" s="11">
        <v>46271</v>
      </c>
      <c r="B243" s="12" t="s">
        <v>16</v>
      </c>
      <c r="C243" s="13">
        <v>7</v>
      </c>
      <c r="D243" s="13">
        <v>8</v>
      </c>
      <c r="E243" s="13">
        <v>6</v>
      </c>
      <c r="F243" s="14">
        <v>2</v>
      </c>
      <c r="G243" s="14">
        <v>3</v>
      </c>
      <c r="H243" s="14">
        <v>6</v>
      </c>
      <c r="I243" s="12">
        <f t="shared" si="80"/>
        <v>32</v>
      </c>
      <c r="L243" s="18"/>
      <c r="S243" s="16"/>
      <c r="T243" s="16"/>
    </row>
    <row r="244" spans="1:20" s="17" customFormat="1" ht="15" customHeight="1" x14ac:dyDescent="0.25">
      <c r="A244" s="11">
        <v>46271</v>
      </c>
      <c r="B244" s="12" t="s">
        <v>17</v>
      </c>
      <c r="C244" s="14">
        <v>19</v>
      </c>
      <c r="D244" s="14">
        <v>15</v>
      </c>
      <c r="E244" s="14">
        <v>25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17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46271</v>
      </c>
      <c r="B245" s="12" t="s">
        <v>18</v>
      </c>
      <c r="C245" s="14">
        <f t="shared" ref="C245:H245" si="81">SUM(C246-C243-C242-C247)</f>
        <v>101</v>
      </c>
      <c r="D245" s="14">
        <f t="shared" si="81"/>
        <v>94</v>
      </c>
      <c r="E245" s="14">
        <f t="shared" si="81"/>
        <v>77</v>
      </c>
      <c r="F245" s="14">
        <f t="shared" si="81"/>
        <v>75</v>
      </c>
      <c r="G245" s="14">
        <f t="shared" si="81"/>
        <v>54</v>
      </c>
      <c r="H245" s="14">
        <f t="shared" si="81"/>
        <v>65</v>
      </c>
      <c r="I245" s="21">
        <f t="shared" si="80"/>
        <v>466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46271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46271</v>
      </c>
      <c r="B247" s="12" t="s">
        <v>20</v>
      </c>
      <c r="C247" s="14">
        <v>3</v>
      </c>
      <c r="D247" s="14">
        <v>1</v>
      </c>
      <c r="E247" s="14">
        <v>2</v>
      </c>
      <c r="F247" s="14">
        <v>0</v>
      </c>
      <c r="G247" s="14">
        <v>0</v>
      </c>
      <c r="H247" s="14">
        <v>0</v>
      </c>
      <c r="I247" s="12">
        <f t="shared" si="80"/>
        <v>6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46270</v>
      </c>
      <c r="B248" s="12" t="s">
        <v>15</v>
      </c>
      <c r="C248" s="13">
        <v>8</v>
      </c>
      <c r="D248" s="13">
        <v>3</v>
      </c>
      <c r="E248" s="13">
        <v>5</v>
      </c>
      <c r="F248" s="14">
        <v>3</v>
      </c>
      <c r="G248" s="14">
        <v>1</v>
      </c>
      <c r="H248" s="14">
        <v>5</v>
      </c>
      <c r="I248" s="12">
        <f t="shared" ref="I248:I253" si="82">SUM(C248:H248)</f>
        <v>25</v>
      </c>
      <c r="J248" s="15">
        <f>(I252)/(I248+I252+J250)</f>
        <v>0.93043478260869561</v>
      </c>
      <c r="K248" s="15">
        <f>(I252-I248-I249-J250)/(I252)</f>
        <v>0.87476635514018697</v>
      </c>
      <c r="L248" s="18"/>
      <c r="S248" s="16"/>
      <c r="T248" s="16"/>
    </row>
    <row r="249" spans="1:20" s="17" customFormat="1" ht="14.4" customHeight="1" x14ac:dyDescent="0.25">
      <c r="A249" s="11">
        <v>46270</v>
      </c>
      <c r="B249" s="12" t="s">
        <v>16</v>
      </c>
      <c r="C249" s="13">
        <v>5</v>
      </c>
      <c r="D249" s="13">
        <v>8</v>
      </c>
      <c r="E249" s="13">
        <v>6</v>
      </c>
      <c r="F249" s="14">
        <v>2</v>
      </c>
      <c r="G249" s="14">
        <v>0</v>
      </c>
      <c r="H249" s="14">
        <v>6</v>
      </c>
      <c r="I249" s="12">
        <f t="shared" si="82"/>
        <v>27</v>
      </c>
      <c r="L249" s="18"/>
      <c r="S249" s="16"/>
      <c r="T249" s="16"/>
    </row>
    <row r="250" spans="1:20" s="17" customFormat="1" ht="15" customHeight="1" x14ac:dyDescent="0.25">
      <c r="A250" s="11">
        <v>46270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15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46270</v>
      </c>
      <c r="B251" s="12" t="s">
        <v>18</v>
      </c>
      <c r="C251" s="14">
        <f t="shared" ref="C251:H251" si="83">SUM(C252-C249-C248-C253)</f>
        <v>109</v>
      </c>
      <c r="D251" s="14">
        <f t="shared" si="83"/>
        <v>94</v>
      </c>
      <c r="E251" s="14">
        <f t="shared" si="83"/>
        <v>78</v>
      </c>
      <c r="F251" s="14">
        <f t="shared" si="83"/>
        <v>76</v>
      </c>
      <c r="G251" s="14">
        <f t="shared" si="83"/>
        <v>56</v>
      </c>
      <c r="H251" s="14">
        <f t="shared" si="83"/>
        <v>64</v>
      </c>
      <c r="I251" s="21">
        <f t="shared" si="82"/>
        <v>477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46270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46270</v>
      </c>
      <c r="B253" s="12" t="s">
        <v>20</v>
      </c>
      <c r="C253" s="14">
        <v>3</v>
      </c>
      <c r="D253" s="14">
        <v>1</v>
      </c>
      <c r="E253" s="14">
        <v>2</v>
      </c>
      <c r="F253" s="14">
        <v>0</v>
      </c>
      <c r="G253" s="14">
        <v>0</v>
      </c>
      <c r="H253" s="14">
        <v>0</v>
      </c>
      <c r="I253" s="12">
        <f t="shared" si="82"/>
        <v>6</v>
      </c>
      <c r="J253" s="20"/>
      <c r="K253" s="20"/>
      <c r="L253" s="5"/>
      <c r="S253" s="16"/>
      <c r="T253" s="16"/>
    </row>
    <row r="254" spans="1:20" s="17" customFormat="1" ht="15.6" customHeight="1" x14ac:dyDescent="0.25">
      <c r="A254" s="11">
        <v>46269</v>
      </c>
      <c r="B254" s="12" t="s">
        <v>15</v>
      </c>
      <c r="C254" s="13">
        <v>9</v>
      </c>
      <c r="D254" s="13">
        <v>3</v>
      </c>
      <c r="E254" s="13">
        <v>5</v>
      </c>
      <c r="F254" s="14">
        <v>3</v>
      </c>
      <c r="G254" s="14">
        <v>1</v>
      </c>
      <c r="H254" s="14">
        <v>5</v>
      </c>
      <c r="I254" s="12">
        <f t="shared" ref="I254:I259" si="84">SUM(C254:H254)</f>
        <v>26</v>
      </c>
      <c r="J254" s="15">
        <f>(I258)/(I254+I258+J256)</f>
        <v>0.92881944444444442</v>
      </c>
      <c r="K254" s="15">
        <f>(I258-I254-I255-J256)/(I258)</f>
        <v>0.87289719626168227</v>
      </c>
      <c r="L254" s="18"/>
      <c r="S254" s="16"/>
      <c r="T254" s="16"/>
    </row>
    <row r="255" spans="1:20" s="17" customFormat="1" ht="14.4" customHeight="1" x14ac:dyDescent="0.25">
      <c r="A255" s="11">
        <v>46269</v>
      </c>
      <c r="B255" s="12" t="s">
        <v>16</v>
      </c>
      <c r="C255" s="13">
        <v>5</v>
      </c>
      <c r="D255" s="13">
        <v>8</v>
      </c>
      <c r="E255" s="13">
        <v>6</v>
      </c>
      <c r="F255" s="14">
        <v>2</v>
      </c>
      <c r="G255" s="14">
        <v>0</v>
      </c>
      <c r="H255" s="14">
        <v>6</v>
      </c>
      <c r="I255" s="12">
        <f t="shared" si="84"/>
        <v>27</v>
      </c>
      <c r="L255" s="18"/>
      <c r="S255" s="16"/>
      <c r="T255" s="16"/>
    </row>
    <row r="256" spans="1:20" s="17" customFormat="1" ht="15" customHeight="1" x14ac:dyDescent="0.25">
      <c r="A256" s="11">
        <v>46269</v>
      </c>
      <c r="B256" s="12" t="s">
        <v>17</v>
      </c>
      <c r="C256" s="14">
        <v>19</v>
      </c>
      <c r="D256" s="14">
        <v>15</v>
      </c>
      <c r="E256" s="14">
        <v>25</v>
      </c>
      <c r="F256" s="14">
        <v>18</v>
      </c>
      <c r="G256" s="14">
        <v>23</v>
      </c>
      <c r="H256" s="14">
        <v>14</v>
      </c>
      <c r="I256" s="12">
        <f t="shared" si="84"/>
        <v>114</v>
      </c>
      <c r="J256" s="19">
        <v>15</v>
      </c>
      <c r="K256" s="20"/>
      <c r="L256" s="16"/>
      <c r="S256" s="16"/>
      <c r="T256" s="16"/>
    </row>
    <row r="257" spans="1:20" s="17" customFormat="1" ht="13.8" customHeight="1" x14ac:dyDescent="0.25">
      <c r="A257" s="11">
        <v>46269</v>
      </c>
      <c r="B257" s="12" t="s">
        <v>18</v>
      </c>
      <c r="C257" s="14">
        <f t="shared" ref="C257:H257" si="85">SUM(C258-C255-C254-C259)</f>
        <v>108</v>
      </c>
      <c r="D257" s="14">
        <f t="shared" si="85"/>
        <v>94</v>
      </c>
      <c r="E257" s="14">
        <f t="shared" si="85"/>
        <v>78</v>
      </c>
      <c r="F257" s="14">
        <f t="shared" si="85"/>
        <v>76</v>
      </c>
      <c r="G257" s="14">
        <f t="shared" si="85"/>
        <v>56</v>
      </c>
      <c r="H257" s="14">
        <f t="shared" si="85"/>
        <v>64</v>
      </c>
      <c r="I257" s="21">
        <f t="shared" si="84"/>
        <v>476</v>
      </c>
      <c r="J257" s="20"/>
      <c r="K257" s="20"/>
      <c r="L257" s="16"/>
      <c r="S257" s="16"/>
      <c r="T257" s="16"/>
    </row>
    <row r="258" spans="1:20" s="17" customFormat="1" ht="14.4" customHeight="1" x14ac:dyDescent="0.25">
      <c r="A258" s="11">
        <v>46269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  <c r="L258" s="16"/>
      <c r="S258" s="16"/>
      <c r="T258" s="16"/>
    </row>
    <row r="259" spans="1:20" s="17" customFormat="1" ht="14.4" customHeight="1" x14ac:dyDescent="0.2">
      <c r="A259" s="11">
        <v>46269</v>
      </c>
      <c r="B259" s="12" t="s">
        <v>20</v>
      </c>
      <c r="C259" s="14">
        <v>3</v>
      </c>
      <c r="D259" s="14">
        <v>1</v>
      </c>
      <c r="E259" s="14">
        <v>2</v>
      </c>
      <c r="F259" s="14">
        <v>0</v>
      </c>
      <c r="G259" s="14">
        <v>0</v>
      </c>
      <c r="H259" s="14">
        <v>0</v>
      </c>
      <c r="I259" s="12">
        <f t="shared" si="84"/>
        <v>6</v>
      </c>
      <c r="J259" s="20"/>
      <c r="K259" s="20"/>
      <c r="L259" s="5"/>
      <c r="S259" s="16"/>
      <c r="T259" s="16"/>
    </row>
    <row r="260" spans="1:20" s="61" customFormat="1" ht="13.8" customHeight="1" x14ac:dyDescent="0.25">
      <c r="A260" s="11">
        <v>46268</v>
      </c>
      <c r="B260" s="12" t="s">
        <v>15</v>
      </c>
      <c r="C260" s="13">
        <v>12</v>
      </c>
      <c r="D260" s="13">
        <v>4</v>
      </c>
      <c r="E260" s="13">
        <v>5</v>
      </c>
      <c r="F260" s="14">
        <v>3</v>
      </c>
      <c r="G260" s="14">
        <v>1</v>
      </c>
      <c r="H260" s="14">
        <v>3</v>
      </c>
      <c r="I260" s="12">
        <f t="shared" ref="I260:I265" si="86">SUM(C260:H260)</f>
        <v>28</v>
      </c>
      <c r="J260" s="15">
        <f>(I264)/(I260+I264+J262)</f>
        <v>0.9256055363321799</v>
      </c>
      <c r="K260" s="15">
        <f>(I264-I260-I261-J262)/(I264)</f>
        <v>0.86915887850467288</v>
      </c>
    </row>
    <row r="261" spans="1:20" s="61" customFormat="1" ht="12.6" customHeight="1" x14ac:dyDescent="0.25">
      <c r="A261" s="11">
        <v>46268</v>
      </c>
      <c r="B261" s="12" t="s">
        <v>16</v>
      </c>
      <c r="C261" s="13">
        <v>4</v>
      </c>
      <c r="D261" s="13">
        <v>9</v>
      </c>
      <c r="E261" s="13">
        <v>6</v>
      </c>
      <c r="F261" s="14">
        <v>2</v>
      </c>
      <c r="G261" s="14">
        <v>0</v>
      </c>
      <c r="H261" s="14">
        <v>6</v>
      </c>
      <c r="I261" s="12">
        <f t="shared" si="86"/>
        <v>27</v>
      </c>
      <c r="J261" s="17"/>
      <c r="K261" s="17"/>
    </row>
    <row r="262" spans="1:20" s="61" customFormat="1" ht="12.6" customHeight="1" x14ac:dyDescent="0.25">
      <c r="A262" s="11">
        <v>46268</v>
      </c>
      <c r="B262" s="12" t="s">
        <v>17</v>
      </c>
      <c r="C262" s="14">
        <v>19</v>
      </c>
      <c r="D262" s="14">
        <v>15</v>
      </c>
      <c r="E262" s="14">
        <v>24</v>
      </c>
      <c r="F262" s="14">
        <v>18</v>
      </c>
      <c r="G262" s="14">
        <v>23</v>
      </c>
      <c r="H262" s="14">
        <v>15</v>
      </c>
      <c r="I262" s="12">
        <f t="shared" si="86"/>
        <v>114</v>
      </c>
      <c r="J262" s="19">
        <v>15</v>
      </c>
      <c r="K262" s="20"/>
    </row>
    <row r="263" spans="1:20" s="61" customFormat="1" ht="11.4" customHeight="1" x14ac:dyDescent="0.25">
      <c r="A263" s="11">
        <v>46268</v>
      </c>
      <c r="B263" s="12" t="s">
        <v>18</v>
      </c>
      <c r="C263" s="14">
        <f t="shared" ref="C263:H263" si="87">SUM(C264-C261-C260-C265)</f>
        <v>106</v>
      </c>
      <c r="D263" s="14">
        <f t="shared" si="87"/>
        <v>92</v>
      </c>
      <c r="E263" s="14">
        <f t="shared" si="87"/>
        <v>78</v>
      </c>
      <c r="F263" s="14">
        <f t="shared" si="87"/>
        <v>76</v>
      </c>
      <c r="G263" s="14">
        <f t="shared" si="87"/>
        <v>56</v>
      </c>
      <c r="H263" s="14">
        <f t="shared" si="87"/>
        <v>66</v>
      </c>
      <c r="I263" s="21">
        <f t="shared" si="86"/>
        <v>474</v>
      </c>
      <c r="J263" s="20"/>
      <c r="K263" s="20"/>
    </row>
    <row r="264" spans="1:20" s="61" customFormat="1" ht="11.4" customHeight="1" x14ac:dyDescent="0.25">
      <c r="A264" s="11">
        <v>46268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</row>
    <row r="265" spans="1:20" s="61" customFormat="1" ht="12.6" customHeight="1" x14ac:dyDescent="0.25">
      <c r="A265" s="11">
        <v>46268</v>
      </c>
      <c r="B265" s="12" t="s">
        <v>20</v>
      </c>
      <c r="C265" s="14">
        <v>3</v>
      </c>
      <c r="D265" s="14">
        <v>1</v>
      </c>
      <c r="E265" s="14">
        <v>2</v>
      </c>
      <c r="F265" s="14">
        <v>0</v>
      </c>
      <c r="G265" s="14">
        <v>0</v>
      </c>
      <c r="H265" s="14">
        <v>0</v>
      </c>
      <c r="I265" s="12">
        <f t="shared" si="86"/>
        <v>6</v>
      </c>
      <c r="J265" s="20"/>
      <c r="K265" s="20"/>
    </row>
    <row r="266" spans="1:20" s="61" customFormat="1" ht="10.199999999999999" customHeight="1" x14ac:dyDescent="0.25">
      <c r="A266" s="11">
        <v>46267</v>
      </c>
      <c r="B266" s="12" t="s">
        <v>15</v>
      </c>
      <c r="C266" s="13">
        <v>7</v>
      </c>
      <c r="D266" s="13">
        <v>5</v>
      </c>
      <c r="E266" s="13">
        <v>4</v>
      </c>
      <c r="F266" s="14">
        <v>1</v>
      </c>
      <c r="G266" s="14">
        <v>0</v>
      </c>
      <c r="H266" s="14">
        <v>4</v>
      </c>
      <c r="I266" s="12">
        <f t="shared" ref="I266:I271" si="88">SUM(C266:H266)</f>
        <v>21</v>
      </c>
      <c r="J266" s="15">
        <f>(I270)/(I266+I270+J268)</f>
        <v>0.9369527145359019</v>
      </c>
      <c r="K266" s="15">
        <f>(I270-I266-I267-J268)/(I270)</f>
        <v>0.86915887850467288</v>
      </c>
    </row>
    <row r="267" spans="1:20" s="61" customFormat="1" ht="13.8" customHeight="1" x14ac:dyDescent="0.25">
      <c r="A267" s="11">
        <v>46267</v>
      </c>
      <c r="B267" s="12" t="s">
        <v>16</v>
      </c>
      <c r="C267" s="13">
        <v>4</v>
      </c>
      <c r="D267" s="13">
        <v>10</v>
      </c>
      <c r="E267" s="13">
        <v>8</v>
      </c>
      <c r="F267" s="14">
        <v>4</v>
      </c>
      <c r="G267" s="14">
        <v>2</v>
      </c>
      <c r="H267" s="14">
        <v>6</v>
      </c>
      <c r="I267" s="12">
        <f t="shared" si="88"/>
        <v>34</v>
      </c>
      <c r="J267" s="17"/>
      <c r="K267" s="17"/>
    </row>
    <row r="268" spans="1:20" s="61" customFormat="1" ht="11.4" customHeight="1" x14ac:dyDescent="0.25">
      <c r="A268" s="11">
        <v>46267</v>
      </c>
      <c r="B268" s="12" t="s">
        <v>17</v>
      </c>
      <c r="C268" s="14">
        <v>19</v>
      </c>
      <c r="D268" s="14">
        <v>15</v>
      </c>
      <c r="E268" s="14">
        <v>25</v>
      </c>
      <c r="F268" s="14">
        <v>18</v>
      </c>
      <c r="G268" s="14">
        <v>23</v>
      </c>
      <c r="H268" s="14">
        <v>12</v>
      </c>
      <c r="I268" s="12">
        <f t="shared" si="88"/>
        <v>112</v>
      </c>
      <c r="J268" s="19">
        <v>15</v>
      </c>
      <c r="K268" s="20"/>
    </row>
    <row r="269" spans="1:20" s="61" customFormat="1" ht="12.6" customHeight="1" x14ac:dyDescent="0.25">
      <c r="A269" s="11">
        <v>46267</v>
      </c>
      <c r="B269" s="12" t="s">
        <v>18</v>
      </c>
      <c r="C269" s="14">
        <f t="shared" ref="C269:H269" si="89">SUM(C270-C267-C266-C271)</f>
        <v>111</v>
      </c>
      <c r="D269" s="14">
        <f t="shared" si="89"/>
        <v>90</v>
      </c>
      <c r="E269" s="14">
        <f t="shared" si="89"/>
        <v>77</v>
      </c>
      <c r="F269" s="14">
        <f t="shared" si="89"/>
        <v>76</v>
      </c>
      <c r="G269" s="14">
        <f t="shared" si="89"/>
        <v>55</v>
      </c>
      <c r="H269" s="14">
        <f t="shared" si="89"/>
        <v>65</v>
      </c>
      <c r="I269" s="21">
        <f t="shared" si="88"/>
        <v>474</v>
      </c>
      <c r="J269" s="20"/>
      <c r="K269" s="20"/>
    </row>
    <row r="270" spans="1:20" s="61" customFormat="1" ht="12.6" customHeight="1" x14ac:dyDescent="0.25">
      <c r="A270" s="11">
        <v>46267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</row>
    <row r="271" spans="1:20" s="61" customFormat="1" ht="14.4" customHeight="1" x14ac:dyDescent="0.25">
      <c r="A271" s="11">
        <v>46267</v>
      </c>
      <c r="B271" s="12" t="s">
        <v>20</v>
      </c>
      <c r="C271" s="14">
        <v>3</v>
      </c>
      <c r="D271" s="14">
        <v>1</v>
      </c>
      <c r="E271" s="14">
        <v>2</v>
      </c>
      <c r="F271" s="14">
        <v>0</v>
      </c>
      <c r="G271" s="14">
        <v>0</v>
      </c>
      <c r="H271" s="14">
        <v>0</v>
      </c>
      <c r="I271" s="12">
        <f t="shared" si="88"/>
        <v>6</v>
      </c>
      <c r="J271" s="20"/>
      <c r="K271" s="20"/>
    </row>
    <row r="272" spans="1:20" s="61" customFormat="1" ht="10.199999999999999" customHeight="1" x14ac:dyDescent="0.25">
      <c r="A272" s="11">
        <v>46266</v>
      </c>
      <c r="B272" s="12" t="s">
        <v>15</v>
      </c>
      <c r="C272" s="13">
        <v>7</v>
      </c>
      <c r="D272" s="13">
        <v>5</v>
      </c>
      <c r="E272" s="13">
        <v>4</v>
      </c>
      <c r="F272" s="14">
        <v>1</v>
      </c>
      <c r="G272" s="14">
        <v>0</v>
      </c>
      <c r="H272" s="14">
        <v>4</v>
      </c>
      <c r="I272" s="12">
        <f t="shared" ref="I272:I277" si="90">SUM(C272:H272)</f>
        <v>21</v>
      </c>
      <c r="J272" s="15">
        <f>(I276)/(I272+I276+J274)</f>
        <v>0.9369527145359019</v>
      </c>
      <c r="K272" s="15">
        <f>(I276-I272-I273-J274)/(I276)</f>
        <v>0.86915887850467288</v>
      </c>
    </row>
    <row r="273" spans="1:11" s="61" customFormat="1" ht="11.4" customHeight="1" x14ac:dyDescent="0.25">
      <c r="A273" s="11">
        <v>46266</v>
      </c>
      <c r="B273" s="12" t="s">
        <v>16</v>
      </c>
      <c r="C273" s="13">
        <v>4</v>
      </c>
      <c r="D273" s="13">
        <v>10</v>
      </c>
      <c r="E273" s="13">
        <v>8</v>
      </c>
      <c r="F273" s="14">
        <v>4</v>
      </c>
      <c r="G273" s="14">
        <v>2</v>
      </c>
      <c r="H273" s="14">
        <v>6</v>
      </c>
      <c r="I273" s="12">
        <f t="shared" si="90"/>
        <v>34</v>
      </c>
      <c r="J273" s="17"/>
      <c r="K273" s="17"/>
    </row>
    <row r="274" spans="1:11" s="61" customFormat="1" ht="11.4" customHeight="1" x14ac:dyDescent="0.25">
      <c r="A274" s="11">
        <v>46266</v>
      </c>
      <c r="B274" s="12" t="s">
        <v>17</v>
      </c>
      <c r="C274" s="14">
        <v>19</v>
      </c>
      <c r="D274" s="14">
        <v>15</v>
      </c>
      <c r="E274" s="14">
        <v>25</v>
      </c>
      <c r="F274" s="14">
        <v>18</v>
      </c>
      <c r="G274" s="14">
        <v>23</v>
      </c>
      <c r="H274" s="14">
        <v>12</v>
      </c>
      <c r="I274" s="12">
        <f t="shared" si="90"/>
        <v>112</v>
      </c>
      <c r="J274" s="19">
        <v>15</v>
      </c>
      <c r="K274" s="20"/>
    </row>
    <row r="275" spans="1:11" s="61" customFormat="1" ht="12" customHeight="1" x14ac:dyDescent="0.25">
      <c r="A275" s="11">
        <v>46266</v>
      </c>
      <c r="B275" s="12" t="s">
        <v>18</v>
      </c>
      <c r="C275" s="14">
        <f t="shared" ref="C275:H275" si="91">SUM(C276-C273-C272-C277)</f>
        <v>111</v>
      </c>
      <c r="D275" s="14">
        <f t="shared" si="91"/>
        <v>90</v>
      </c>
      <c r="E275" s="14">
        <f t="shared" si="91"/>
        <v>77</v>
      </c>
      <c r="F275" s="14">
        <f t="shared" si="91"/>
        <v>76</v>
      </c>
      <c r="G275" s="14">
        <f t="shared" si="91"/>
        <v>55</v>
      </c>
      <c r="H275" s="14">
        <f t="shared" si="91"/>
        <v>65</v>
      </c>
      <c r="I275" s="21">
        <f t="shared" si="90"/>
        <v>474</v>
      </c>
      <c r="J275" s="20"/>
      <c r="K275" s="20"/>
    </row>
    <row r="276" spans="1:11" s="61" customFormat="1" ht="12" x14ac:dyDescent="0.25">
      <c r="A276" s="11">
        <v>46266</v>
      </c>
      <c r="B276" s="23" t="s">
        <v>19</v>
      </c>
      <c r="C276" s="23">
        <v>125</v>
      </c>
      <c r="D276" s="23">
        <v>106</v>
      </c>
      <c r="E276" s="23">
        <v>91</v>
      </c>
      <c r="F276" s="23">
        <v>81</v>
      </c>
      <c r="G276" s="23">
        <v>57</v>
      </c>
      <c r="H276" s="23">
        <v>75</v>
      </c>
      <c r="I276" s="23">
        <f t="shared" si="90"/>
        <v>535</v>
      </c>
      <c r="J276" s="20"/>
      <c r="K276" s="20"/>
    </row>
    <row r="277" spans="1:11" s="61" customFormat="1" ht="12" x14ac:dyDescent="0.25">
      <c r="A277" s="11">
        <v>46266</v>
      </c>
      <c r="B277" s="12" t="s">
        <v>20</v>
      </c>
      <c r="C277" s="14">
        <v>3</v>
      </c>
      <c r="D277" s="14">
        <v>1</v>
      </c>
      <c r="E277" s="14">
        <v>2</v>
      </c>
      <c r="F277" s="14">
        <v>0</v>
      </c>
      <c r="G277" s="14">
        <v>0</v>
      </c>
      <c r="H277" s="14">
        <v>0</v>
      </c>
      <c r="I277" s="12">
        <f t="shared" si="90"/>
        <v>6</v>
      </c>
      <c r="J277" s="20"/>
      <c r="K277" s="20"/>
    </row>
    <row r="278" spans="1:11" s="61" customFormat="1" ht="12" x14ac:dyDescent="0.25">
      <c r="A278" s="15"/>
      <c r="B278" s="15"/>
      <c r="C278" s="16"/>
      <c r="D278" s="17"/>
      <c r="E278" s="17"/>
      <c r="F278" s="17"/>
      <c r="G278" s="17"/>
      <c r="H278" s="17"/>
      <c r="I278" s="17"/>
      <c r="J278" s="17"/>
      <c r="K278" s="18"/>
    </row>
    <row r="279" spans="1:11" s="61" customFormat="1" ht="11.4" x14ac:dyDescent="0.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8"/>
    </row>
    <row r="280" spans="1:11" s="61" customFormat="1" ht="11.4" x14ac:dyDescent="0.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6"/>
    </row>
    <row r="281" spans="1:11" s="61" customFormat="1" ht="11.4" x14ac:dyDescent="0.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6"/>
    </row>
    <row r="282" spans="1:11" s="61" customFormat="1" ht="11.4" x14ac:dyDescent="0.25">
      <c r="A282" s="24"/>
      <c r="B282" s="17"/>
      <c r="C282" s="17"/>
      <c r="D282" s="17"/>
      <c r="E282" s="17"/>
      <c r="F282" s="17"/>
      <c r="G282" s="17"/>
      <c r="H282" s="17"/>
      <c r="I282" s="17"/>
      <c r="J282" s="17"/>
      <c r="K282" s="16"/>
    </row>
    <row r="283" spans="1:11" s="61" customFormat="1" ht="13.8" customHeight="1" x14ac:dyDescent="0.2">
      <c r="A283" s="17"/>
      <c r="B283" s="17"/>
      <c r="C283" s="17"/>
      <c r="D283" s="17"/>
      <c r="E283" s="17"/>
      <c r="F283" s="17"/>
      <c r="G283" s="17"/>
      <c r="H283" s="17"/>
      <c r="I283" s="2"/>
      <c r="J283" s="2"/>
      <c r="K283" s="5"/>
    </row>
    <row r="284" spans="1:11" x14ac:dyDescent="0.25">
      <c r="A284" s="15"/>
      <c r="B284" s="15"/>
      <c r="C284" s="16"/>
      <c r="D284" s="17"/>
      <c r="E284" s="17"/>
      <c r="F284" s="17"/>
      <c r="G284" s="17"/>
      <c r="H284" s="17"/>
      <c r="I284" s="17"/>
      <c r="J284" s="17"/>
      <c r="K284" s="18"/>
    </row>
    <row r="285" spans="1:11" x14ac:dyDescent="0.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8"/>
    </row>
    <row r="286" spans="1:11" x14ac:dyDescent="0.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6"/>
    </row>
    <row r="287" spans="1:11" x14ac:dyDescent="0.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6"/>
    </row>
    <row r="288" spans="1:11" x14ac:dyDescent="0.25">
      <c r="A288" s="24"/>
      <c r="B288" s="17"/>
      <c r="C288" s="17"/>
      <c r="D288" s="17"/>
      <c r="E288" s="17"/>
      <c r="F288" s="17"/>
      <c r="G288" s="17"/>
      <c r="H288" s="17"/>
      <c r="I288" s="17"/>
      <c r="J288" s="17"/>
      <c r="K288" s="16"/>
    </row>
    <row r="289" spans="1:11" x14ac:dyDescent="0.2">
      <c r="A289" s="17"/>
      <c r="B289" s="17"/>
      <c r="C289" s="17"/>
      <c r="D289" s="17"/>
      <c r="E289" s="17"/>
      <c r="F289" s="17"/>
      <c r="G289" s="17"/>
      <c r="H289" s="17"/>
      <c r="I289" s="2"/>
      <c r="J289" s="2"/>
      <c r="K289" s="5"/>
    </row>
    <row r="290" spans="1:11" x14ac:dyDescent="0.25">
      <c r="A290" s="15"/>
      <c r="B290" s="15"/>
      <c r="C290" s="16"/>
      <c r="D290" s="17"/>
      <c r="E290" s="17"/>
      <c r="F290" s="17"/>
      <c r="G290" s="17"/>
      <c r="H290" s="17"/>
      <c r="I290" s="17"/>
      <c r="J290" s="17"/>
      <c r="K290" s="18"/>
    </row>
    <row r="291" spans="1:11" x14ac:dyDescent="0.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8"/>
    </row>
    <row r="292" spans="1:11" x14ac:dyDescent="0.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6"/>
    </row>
    <row r="293" spans="1:11" x14ac:dyDescent="0.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6"/>
    </row>
    <row r="294" spans="1:11" x14ac:dyDescent="0.25">
      <c r="A294" s="24"/>
      <c r="B294" s="17"/>
      <c r="C294" s="17"/>
      <c r="D294" s="17"/>
      <c r="E294" s="17"/>
      <c r="F294" s="17"/>
      <c r="G294" s="17"/>
      <c r="H294" s="17"/>
      <c r="I294" s="17"/>
      <c r="J294" s="17"/>
      <c r="K294" s="16"/>
    </row>
    <row r="295" spans="1:11" x14ac:dyDescent="0.2">
      <c r="A295" s="17"/>
      <c r="B295" s="17"/>
      <c r="C295" s="17"/>
      <c r="D295" s="17"/>
      <c r="E295" s="17"/>
      <c r="F295" s="17"/>
      <c r="G295" s="17"/>
      <c r="H295" s="17"/>
      <c r="I295" s="2"/>
      <c r="J295" s="2"/>
      <c r="K295" s="5"/>
    </row>
    <row r="296" spans="1:11" x14ac:dyDescent="0.25">
      <c r="A296" s="15"/>
      <c r="B296" s="15"/>
      <c r="C296" s="16"/>
      <c r="D296" s="17"/>
      <c r="E296" s="17"/>
      <c r="F296" s="17"/>
      <c r="G296" s="17"/>
      <c r="H296" s="17"/>
      <c r="I296" s="17"/>
      <c r="J296" s="17"/>
      <c r="K296" s="18"/>
    </row>
    <row r="297" spans="1:11" x14ac:dyDescent="0.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8"/>
    </row>
    <row r="298" spans="1:11" x14ac:dyDescent="0.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6"/>
    </row>
    <row r="299" spans="1:11" x14ac:dyDescent="0.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6"/>
    </row>
    <row r="300" spans="1:11" x14ac:dyDescent="0.25">
      <c r="A300" s="24"/>
      <c r="B300" s="17"/>
      <c r="C300" s="17"/>
      <c r="D300" s="17"/>
      <c r="E300" s="17"/>
      <c r="F300" s="17"/>
      <c r="G300" s="17"/>
      <c r="H300" s="17"/>
      <c r="I300" s="17"/>
      <c r="J300" s="17"/>
      <c r="K300" s="16"/>
    </row>
    <row r="301" spans="1:11" x14ac:dyDescent="0.2">
      <c r="A301" s="17"/>
      <c r="B301" s="17"/>
      <c r="C301" s="17"/>
      <c r="D301" s="17"/>
      <c r="E301" s="17"/>
      <c r="F301" s="17"/>
      <c r="G301" s="17"/>
      <c r="H301" s="17"/>
      <c r="I301" s="2"/>
      <c r="J301" s="2"/>
      <c r="K301" s="5"/>
    </row>
    <row r="302" spans="1:11" x14ac:dyDescent="0.25">
      <c r="A302" s="15"/>
      <c r="B302" s="15"/>
      <c r="C302" s="16"/>
      <c r="D302" s="17"/>
      <c r="E302" s="17"/>
      <c r="F302" s="17"/>
      <c r="G302" s="17"/>
      <c r="H302" s="17"/>
      <c r="I302" s="17"/>
      <c r="J302" s="17"/>
      <c r="K302" s="18"/>
    </row>
    <row r="303" spans="1:11" x14ac:dyDescent="0.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8"/>
    </row>
    <row r="304" spans="1:11" x14ac:dyDescent="0.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6"/>
    </row>
    <row r="305" spans="1:20" x14ac:dyDescent="0.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6"/>
    </row>
    <row r="306" spans="1:20" x14ac:dyDescent="0.25">
      <c r="A306" s="24"/>
      <c r="B306" s="17"/>
      <c r="C306" s="17"/>
      <c r="D306" s="17"/>
      <c r="E306" s="17"/>
      <c r="F306" s="17"/>
      <c r="G306" s="17"/>
      <c r="H306" s="17"/>
      <c r="I306" s="17"/>
      <c r="J306" s="17"/>
      <c r="K306" s="16"/>
    </row>
    <row r="307" spans="1:20" x14ac:dyDescent="0.2">
      <c r="A307" s="17"/>
      <c r="B307" s="17"/>
      <c r="C307" s="17"/>
      <c r="D307" s="17"/>
      <c r="E307" s="17"/>
      <c r="F307" s="17"/>
      <c r="G307" s="17"/>
      <c r="H307" s="17"/>
      <c r="I307" s="2"/>
      <c r="J307" s="2"/>
      <c r="K307" s="5"/>
    </row>
    <row r="308" spans="1:20" x14ac:dyDescent="0.25">
      <c r="A308" s="15"/>
      <c r="B308" s="15"/>
      <c r="C308" s="16"/>
      <c r="D308" s="17"/>
      <c r="E308" s="17"/>
      <c r="F308" s="17"/>
      <c r="G308" s="17"/>
      <c r="H308" s="17"/>
      <c r="I308" s="17"/>
      <c r="J308" s="17"/>
      <c r="K308" s="18"/>
    </row>
    <row r="309" spans="1:20" x14ac:dyDescent="0.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8"/>
    </row>
    <row r="310" spans="1:20" x14ac:dyDescent="0.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6"/>
    </row>
    <row r="311" spans="1:20" x14ac:dyDescent="0.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6"/>
    </row>
    <row r="312" spans="1:20" x14ac:dyDescent="0.25">
      <c r="A312" s="24"/>
      <c r="B312" s="17"/>
      <c r="C312" s="17"/>
      <c r="D312" s="17"/>
      <c r="E312" s="17"/>
      <c r="F312" s="17"/>
      <c r="G312" s="17"/>
      <c r="H312" s="17"/>
      <c r="I312" s="17"/>
      <c r="J312" s="17"/>
      <c r="K312" s="16"/>
    </row>
    <row r="313" spans="1:20" x14ac:dyDescent="0.2">
      <c r="A313" s="17"/>
      <c r="B313" s="17"/>
      <c r="C313" s="17"/>
      <c r="D313" s="17"/>
      <c r="E313" s="17"/>
      <c r="F313" s="17"/>
      <c r="G313" s="17"/>
      <c r="H313" s="17"/>
      <c r="I313" s="2"/>
      <c r="J313" s="2"/>
      <c r="K313" s="5"/>
    </row>
    <row r="314" spans="1:20" s="17" customFormat="1" ht="17.399999999999999" customHeight="1" x14ac:dyDescent="0.25">
      <c r="A314" s="15"/>
      <c r="B314" s="15"/>
      <c r="C314" s="16"/>
      <c r="K314" s="18"/>
      <c r="L314" s="18"/>
      <c r="S314" s="16"/>
      <c r="T314" s="16"/>
    </row>
    <row r="315" spans="1:20" s="17" customFormat="1" ht="17.399999999999999" customHeight="1" x14ac:dyDescent="0.25">
      <c r="K315" s="18"/>
      <c r="L315" s="18"/>
      <c r="S315" s="16"/>
      <c r="T315" s="16"/>
    </row>
    <row r="316" spans="1:20" s="17" customFormat="1" ht="17.399999999999999" customHeight="1" x14ac:dyDescent="0.25">
      <c r="K316" s="16"/>
      <c r="L316" s="16"/>
      <c r="S316" s="16"/>
      <c r="T316" s="16"/>
    </row>
    <row r="317" spans="1:20" s="17" customFormat="1" ht="17.399999999999999" customHeight="1" x14ac:dyDescent="0.25">
      <c r="K317" s="16"/>
      <c r="L317" s="16"/>
      <c r="S317" s="16"/>
      <c r="T317" s="16"/>
    </row>
    <row r="318" spans="1:20" s="17" customFormat="1" ht="17.100000000000001" customHeight="1" x14ac:dyDescent="0.25">
      <c r="A318" s="24"/>
      <c r="K318" s="16"/>
      <c r="L318" s="16"/>
      <c r="S318" s="16"/>
      <c r="T318" s="16"/>
    </row>
    <row r="319" spans="1:20" s="17" customFormat="1" ht="17.399999999999999" customHeight="1" x14ac:dyDescent="0.2">
      <c r="I319" s="2"/>
      <c r="J319" s="2"/>
      <c r="K319" s="5"/>
      <c r="L319" s="5"/>
      <c r="S319" s="16"/>
      <c r="T319" s="16"/>
    </row>
    <row r="320" spans="1:20" s="17" customFormat="1" ht="17.399999999999999" customHeight="1" x14ac:dyDescent="0.25">
      <c r="A320" s="15"/>
      <c r="B320" s="15"/>
      <c r="C320" s="16"/>
      <c r="K320" s="18"/>
      <c r="L320" s="18"/>
      <c r="S320" s="16"/>
      <c r="T320" s="16"/>
    </row>
    <row r="321" spans="1:20" s="17" customFormat="1" ht="17.399999999999999" customHeight="1" x14ac:dyDescent="0.25">
      <c r="K321" s="18"/>
      <c r="L321" s="18"/>
      <c r="S321" s="16"/>
      <c r="T321" s="16"/>
    </row>
    <row r="322" spans="1:20" s="17" customFormat="1" ht="17.399999999999999" customHeight="1" x14ac:dyDescent="0.25">
      <c r="K322" s="16"/>
      <c r="L322" s="16"/>
      <c r="S322" s="16"/>
      <c r="T322" s="16"/>
    </row>
    <row r="323" spans="1:20" s="17" customFormat="1" ht="17.399999999999999" customHeight="1" x14ac:dyDescent="0.25">
      <c r="K323" s="16"/>
      <c r="L323" s="16"/>
      <c r="S323" s="16"/>
      <c r="T323" s="16"/>
    </row>
    <row r="324" spans="1:20" s="17" customFormat="1" ht="17.100000000000001" customHeight="1" x14ac:dyDescent="0.25">
      <c r="A324" s="24"/>
      <c r="K324" s="16"/>
      <c r="L324" s="16"/>
      <c r="S324" s="16"/>
      <c r="T324" s="16"/>
    </row>
    <row r="325" spans="1:20" s="17" customFormat="1" ht="17.399999999999999" customHeight="1" x14ac:dyDescent="0.2">
      <c r="I325" s="2"/>
      <c r="J325" s="2"/>
      <c r="K325" s="5"/>
      <c r="L325" s="5"/>
      <c r="S325" s="16"/>
      <c r="T325" s="16"/>
    </row>
    <row r="326" spans="1:20" s="17" customFormat="1" ht="17.399999999999999" customHeight="1" x14ac:dyDescent="0.25">
      <c r="A326" s="15"/>
      <c r="B326" s="15"/>
      <c r="C326" s="16"/>
      <c r="K326" s="18"/>
      <c r="L326" s="18"/>
      <c r="S326" s="16"/>
      <c r="T326" s="16"/>
    </row>
    <row r="327" spans="1:20" s="17" customFormat="1" ht="17.399999999999999" customHeight="1" x14ac:dyDescent="0.25">
      <c r="K327" s="18"/>
      <c r="L327" s="18"/>
      <c r="S327" s="16"/>
      <c r="T327" s="16"/>
    </row>
    <row r="328" spans="1:20" s="17" customFormat="1" ht="17.399999999999999" customHeight="1" x14ac:dyDescent="0.25">
      <c r="K328" s="16"/>
      <c r="L328" s="16"/>
      <c r="S328" s="16"/>
      <c r="T328" s="16"/>
    </row>
    <row r="329" spans="1:20" s="17" customFormat="1" ht="17.399999999999999" customHeight="1" x14ac:dyDescent="0.25">
      <c r="K329" s="16"/>
      <c r="L329" s="16"/>
      <c r="S329" s="16"/>
      <c r="T329" s="16"/>
    </row>
    <row r="330" spans="1:20" s="17" customFormat="1" ht="17.100000000000001" customHeight="1" x14ac:dyDescent="0.25">
      <c r="A330" s="24"/>
      <c r="K330" s="16"/>
      <c r="L330" s="16"/>
      <c r="S330" s="16"/>
      <c r="T330" s="16"/>
    </row>
    <row r="331" spans="1:20" s="17" customFormat="1" ht="17.399999999999999" customHeight="1" x14ac:dyDescent="0.2">
      <c r="I331" s="2"/>
      <c r="J331" s="2"/>
      <c r="K331" s="5"/>
      <c r="L331" s="5"/>
      <c r="S331" s="16"/>
      <c r="T331" s="16"/>
    </row>
    <row r="332" spans="1:20" s="17" customFormat="1" ht="17.399999999999999" customHeight="1" x14ac:dyDescent="0.25">
      <c r="A332" s="15"/>
      <c r="B332" s="15"/>
      <c r="C332" s="16"/>
      <c r="K332" s="18"/>
      <c r="L332" s="18"/>
      <c r="S332" s="16"/>
      <c r="T332" s="16"/>
    </row>
    <row r="333" spans="1:20" s="17" customFormat="1" ht="17.399999999999999" customHeight="1" x14ac:dyDescent="0.25">
      <c r="K333" s="18"/>
      <c r="L333" s="18"/>
      <c r="S333" s="16"/>
      <c r="T333" s="16"/>
    </row>
    <row r="334" spans="1:20" s="17" customFormat="1" ht="17.399999999999999" customHeight="1" x14ac:dyDescent="0.25">
      <c r="K334" s="16"/>
      <c r="L334" s="16"/>
      <c r="S334" s="16"/>
      <c r="T334" s="16"/>
    </row>
    <row r="335" spans="1:20" s="17" customFormat="1" ht="17.399999999999999" customHeight="1" x14ac:dyDescent="0.25">
      <c r="K335" s="16"/>
      <c r="L335" s="16"/>
      <c r="S335" s="16"/>
      <c r="T335" s="16"/>
    </row>
    <row r="336" spans="1:20" s="17" customFormat="1" ht="17.100000000000001" customHeight="1" x14ac:dyDescent="0.25">
      <c r="A336" s="24"/>
      <c r="K336" s="16"/>
      <c r="L336" s="16"/>
      <c r="S336" s="16"/>
      <c r="T336" s="16"/>
    </row>
    <row r="337" spans="1:20" s="17" customFormat="1" ht="17.399999999999999" customHeight="1" x14ac:dyDescent="0.2">
      <c r="I337" s="2"/>
      <c r="J337" s="2"/>
      <c r="K337" s="5"/>
      <c r="L337" s="5"/>
      <c r="S337" s="16"/>
      <c r="T337" s="16"/>
    </row>
    <row r="338" spans="1:20" s="17" customFormat="1" ht="17.399999999999999" customHeight="1" x14ac:dyDescent="0.25">
      <c r="A338" s="15"/>
      <c r="B338" s="15"/>
      <c r="C338" s="16"/>
      <c r="K338" s="18"/>
      <c r="L338" s="18"/>
      <c r="S338" s="16"/>
      <c r="T338" s="16"/>
    </row>
    <row r="339" spans="1:20" s="17" customFormat="1" ht="17.399999999999999" customHeight="1" x14ac:dyDescent="0.25">
      <c r="K339" s="18"/>
      <c r="L339" s="18"/>
      <c r="S339" s="16"/>
      <c r="T339" s="16"/>
    </row>
    <row r="340" spans="1:20" s="17" customFormat="1" ht="17.399999999999999" customHeight="1" x14ac:dyDescent="0.25">
      <c r="K340" s="16"/>
      <c r="L340" s="16"/>
      <c r="S340" s="16"/>
      <c r="T340" s="16"/>
    </row>
    <row r="341" spans="1:20" s="17" customFormat="1" ht="17.399999999999999" customHeight="1" x14ac:dyDescent="0.25">
      <c r="K341" s="16"/>
      <c r="L341" s="16"/>
      <c r="S341" s="16"/>
      <c r="T341" s="16"/>
    </row>
    <row r="342" spans="1:20" s="17" customFormat="1" ht="17.100000000000001" customHeight="1" x14ac:dyDescent="0.25">
      <c r="A342" s="24"/>
      <c r="K342" s="16"/>
      <c r="L342" s="16"/>
      <c r="S342" s="16"/>
      <c r="T342" s="16"/>
    </row>
    <row r="343" spans="1:20" s="17" customFormat="1" ht="17.399999999999999" customHeight="1" x14ac:dyDescent="0.2">
      <c r="I343" s="2"/>
      <c r="J343" s="2"/>
      <c r="K343" s="5"/>
      <c r="L343" s="5"/>
      <c r="S343" s="16"/>
      <c r="T343" s="16"/>
    </row>
    <row r="344" spans="1:20" s="17" customFormat="1" ht="17.399999999999999" customHeight="1" x14ac:dyDescent="0.25">
      <c r="A344" s="15"/>
      <c r="B344" s="15"/>
      <c r="C344" s="16"/>
      <c r="K344" s="18"/>
      <c r="L344" s="18"/>
      <c r="S344" s="16"/>
      <c r="T344" s="16"/>
    </row>
    <row r="345" spans="1:20" s="17" customFormat="1" ht="17.399999999999999" customHeight="1" x14ac:dyDescent="0.25">
      <c r="K345" s="18"/>
      <c r="L345" s="18"/>
      <c r="S345" s="16"/>
      <c r="T345" s="16"/>
    </row>
    <row r="346" spans="1:20" s="17" customFormat="1" ht="17.399999999999999" customHeight="1" x14ac:dyDescent="0.25">
      <c r="K346" s="16"/>
      <c r="L346" s="16"/>
      <c r="S346" s="16"/>
      <c r="T346" s="16"/>
    </row>
    <row r="347" spans="1:20" s="17" customFormat="1" ht="17.399999999999999" customHeight="1" x14ac:dyDescent="0.25">
      <c r="K347" s="16"/>
      <c r="L347" s="16"/>
      <c r="S347" s="16"/>
      <c r="T347" s="16"/>
    </row>
    <row r="348" spans="1:20" s="17" customFormat="1" ht="17.100000000000001" customHeight="1" x14ac:dyDescent="0.25">
      <c r="A348" s="24"/>
      <c r="K348" s="16"/>
      <c r="L348" s="16"/>
      <c r="S348" s="16"/>
      <c r="T348" s="16"/>
    </row>
    <row r="349" spans="1:20" s="17" customFormat="1" ht="17.399999999999999" customHeight="1" x14ac:dyDescent="0.2">
      <c r="I349" s="2"/>
      <c r="J349" s="2"/>
      <c r="K349" s="5"/>
      <c r="L349" s="5"/>
      <c r="S349" s="16"/>
      <c r="T349" s="16"/>
    </row>
    <row r="350" spans="1:20" s="17" customFormat="1" ht="17.399999999999999" customHeight="1" x14ac:dyDescent="0.25">
      <c r="A350" s="15"/>
      <c r="B350" s="15"/>
      <c r="C350" s="16"/>
      <c r="K350" s="18"/>
      <c r="L350" s="18"/>
      <c r="S350" s="16"/>
      <c r="T350" s="16"/>
    </row>
    <row r="351" spans="1:20" s="17" customFormat="1" ht="17.399999999999999" customHeight="1" x14ac:dyDescent="0.25">
      <c r="K351" s="18"/>
      <c r="L351" s="18"/>
      <c r="S351" s="16"/>
      <c r="T351" s="16"/>
    </row>
    <row r="352" spans="1:20" s="17" customFormat="1" ht="17.399999999999999" customHeight="1" x14ac:dyDescent="0.25">
      <c r="K352" s="16"/>
      <c r="L352" s="16"/>
      <c r="S352" s="16"/>
      <c r="T352" s="16"/>
    </row>
    <row r="353" spans="1:20" s="17" customFormat="1" ht="17.399999999999999" customHeight="1" x14ac:dyDescent="0.25">
      <c r="K353" s="16"/>
      <c r="L353" s="16"/>
      <c r="S353" s="16"/>
      <c r="T353" s="16"/>
    </row>
    <row r="354" spans="1:20" s="17" customFormat="1" ht="17.100000000000001" customHeight="1" x14ac:dyDescent="0.25">
      <c r="A354" s="24"/>
      <c r="K354" s="16"/>
      <c r="L354" s="16"/>
      <c r="S354" s="16"/>
      <c r="T354" s="16"/>
    </row>
    <row r="355" spans="1:20" s="17" customFormat="1" ht="17.399999999999999" customHeight="1" x14ac:dyDescent="0.2">
      <c r="I355" s="2"/>
      <c r="J355" s="2"/>
      <c r="K355" s="5"/>
      <c r="L355" s="5"/>
      <c r="S355" s="16"/>
      <c r="T355" s="16"/>
    </row>
    <row r="356" spans="1:20" s="17" customFormat="1" ht="17.399999999999999" customHeight="1" x14ac:dyDescent="0.25">
      <c r="A356" s="15"/>
      <c r="B356" s="15"/>
      <c r="C356" s="16"/>
      <c r="K356" s="18"/>
      <c r="L356" s="18"/>
      <c r="S356" s="16"/>
      <c r="T356" s="16"/>
    </row>
    <row r="357" spans="1:20" s="17" customFormat="1" ht="17.399999999999999" customHeight="1" x14ac:dyDescent="0.25">
      <c r="K357" s="18"/>
      <c r="L357" s="18"/>
      <c r="S357" s="16"/>
      <c r="T357" s="16"/>
    </row>
    <row r="358" spans="1:20" s="17" customFormat="1" ht="17.399999999999999" customHeight="1" x14ac:dyDescent="0.25">
      <c r="K358" s="16"/>
      <c r="L358" s="16"/>
      <c r="S358" s="16"/>
      <c r="T358" s="16"/>
    </row>
    <row r="359" spans="1:20" s="17" customFormat="1" ht="17.399999999999999" customHeight="1" x14ac:dyDescent="0.25">
      <c r="K359" s="16"/>
      <c r="L359" s="16"/>
      <c r="S359" s="16"/>
      <c r="T359" s="16"/>
    </row>
    <row r="360" spans="1:20" s="17" customFormat="1" ht="17.100000000000001" customHeight="1" x14ac:dyDescent="0.25">
      <c r="A360" s="24"/>
      <c r="K360" s="16"/>
      <c r="L360" s="16"/>
      <c r="S360" s="16"/>
      <c r="T360" s="16"/>
    </row>
    <row r="361" spans="1:20" s="17" customFormat="1" ht="17.399999999999999" customHeight="1" x14ac:dyDescent="0.2">
      <c r="I361" s="2"/>
      <c r="J361" s="2"/>
      <c r="K361" s="5"/>
      <c r="L361" s="5"/>
      <c r="S361" s="16"/>
      <c r="T361" s="16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15"/>
      <c r="B392" s="15"/>
      <c r="C392" s="16"/>
      <c r="K392" s="18"/>
      <c r="L392" s="18"/>
      <c r="S392" s="16"/>
      <c r="T392" s="16"/>
    </row>
    <row r="393" spans="1:20" s="17" customFormat="1" ht="17.399999999999999" customHeight="1" x14ac:dyDescent="0.25">
      <c r="K393" s="18"/>
      <c r="L393" s="18"/>
      <c r="S393" s="16"/>
      <c r="T393" s="16"/>
    </row>
    <row r="394" spans="1:20" s="17" customFormat="1" ht="17.399999999999999" customHeight="1" x14ac:dyDescent="0.25">
      <c r="K394" s="16"/>
      <c r="L394" s="16"/>
      <c r="S394" s="16"/>
      <c r="T394" s="16"/>
    </row>
    <row r="395" spans="1:20" s="17" customFormat="1" ht="17.399999999999999" customHeight="1" x14ac:dyDescent="0.25">
      <c r="K395" s="16"/>
      <c r="L395" s="16"/>
      <c r="S395" s="16"/>
      <c r="T395" s="16"/>
    </row>
    <row r="396" spans="1:20" s="17" customFormat="1" ht="17.100000000000001" customHeight="1" x14ac:dyDescent="0.25">
      <c r="A396" s="24"/>
      <c r="K396" s="16"/>
      <c r="L396" s="16"/>
      <c r="S396" s="16"/>
      <c r="T396" s="16"/>
    </row>
    <row r="397" spans="1:20" s="17" customFormat="1" ht="17.399999999999999" customHeight="1" x14ac:dyDescent="0.2">
      <c r="I397" s="2"/>
      <c r="J397" s="2"/>
      <c r="K397" s="5"/>
      <c r="L397" s="5"/>
      <c r="S397" s="16"/>
      <c r="T397" s="16"/>
    </row>
    <row r="398" spans="1:20" s="17" customFormat="1" ht="17.399999999999999" customHeight="1" x14ac:dyDescent="0.25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18"/>
      <c r="S398" s="16"/>
      <c r="T398" s="16"/>
    </row>
    <row r="399" spans="1:20" s="17" customFormat="1" ht="17.399999999999999" customHeight="1" x14ac:dyDescent="0.25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18"/>
      <c r="S399" s="16"/>
      <c r="T399" s="16"/>
    </row>
    <row r="400" spans="1:20" s="17" customFormat="1" ht="17.399999999999999" customHeight="1" x14ac:dyDescent="0.25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16"/>
      <c r="S400" s="16"/>
      <c r="T400" s="16"/>
    </row>
    <row r="401" spans="1:20" s="17" customFormat="1" ht="17.399999999999999" customHeight="1" x14ac:dyDescent="0.25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16"/>
      <c r="S401" s="16"/>
      <c r="T401" s="16"/>
    </row>
    <row r="402" spans="1:20" s="17" customFormat="1" ht="17.100000000000001" customHeight="1" x14ac:dyDescent="0.25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16"/>
      <c r="S402" s="16"/>
      <c r="T402" s="16"/>
    </row>
    <row r="403" spans="1:20" s="17" customFormat="1" ht="17.399999999999999" customHeight="1" x14ac:dyDescent="0.2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5"/>
      <c r="S403" s="16"/>
      <c r="T403" s="16"/>
    </row>
    <row r="404" spans="1:20" x14ac:dyDescent="0.25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</row>
    <row r="405" spans="1:20" x14ac:dyDescent="0.25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</row>
    <row r="406" spans="1:20" x14ac:dyDescent="0.25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</row>
    <row r="407" spans="1:20" x14ac:dyDescent="0.25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</row>
    <row r="408" spans="1:20" x14ac:dyDescent="0.25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</row>
    <row r="409" spans="1:20" x14ac:dyDescent="0.25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</row>
    <row r="410" spans="1:20" x14ac:dyDescent="0.25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</row>
    <row r="411" spans="1:20" x14ac:dyDescent="0.25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</row>
    <row r="412" spans="1:20" x14ac:dyDescent="0.25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</row>
    <row r="413" spans="1:20" x14ac:dyDescent="0.25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</row>
    <row r="414" spans="1:20" x14ac:dyDescent="0.25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</row>
    <row r="415" spans="1:20" x14ac:dyDescent="0.25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</row>
    <row r="416" spans="1:20" x14ac:dyDescent="0.25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</row>
    <row r="417" spans="1:11" x14ac:dyDescent="0.25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</row>
    <row r="418" spans="1:11" x14ac:dyDescent="0.25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</row>
    <row r="419" spans="1:11" x14ac:dyDescent="0.25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</row>
    <row r="420" spans="1:11" x14ac:dyDescent="0.25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</row>
    <row r="421" spans="1:11" x14ac:dyDescent="0.25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</row>
    <row r="422" spans="1:11" x14ac:dyDescent="0.25">
      <c r="F422"/>
    </row>
    <row r="423" spans="1:11" x14ac:dyDescent="0.25">
      <c r="F423"/>
    </row>
    <row r="424" spans="1:11" x14ac:dyDescent="0.25">
      <c r="F424"/>
    </row>
    <row r="425" spans="1:11" x14ac:dyDescent="0.25">
      <c r="F425"/>
    </row>
    <row r="426" spans="1:11" x14ac:dyDescent="0.25">
      <c r="F426"/>
    </row>
    <row r="427" spans="1:11" x14ac:dyDescent="0.25">
      <c r="F427"/>
    </row>
    <row r="428" spans="1:11" x14ac:dyDescent="0.25">
      <c r="F428"/>
    </row>
    <row r="429" spans="1:11" x14ac:dyDescent="0.25">
      <c r="F429"/>
    </row>
    <row r="430" spans="1:11" x14ac:dyDescent="0.25">
      <c r="F430"/>
    </row>
    <row r="431" spans="1:11" x14ac:dyDescent="0.25">
      <c r="F431"/>
    </row>
    <row r="432" spans="1:11" x14ac:dyDescent="0.25">
      <c r="F432"/>
    </row>
    <row r="433" spans="6:6" x14ac:dyDescent="0.25">
      <c r="F433"/>
    </row>
    <row r="434" spans="6:6" x14ac:dyDescent="0.25">
      <c r="F434"/>
    </row>
    <row r="435" spans="6:6" x14ac:dyDescent="0.25">
      <c r="F435"/>
    </row>
    <row r="436" spans="6:6" x14ac:dyDescent="0.25">
      <c r="F436"/>
    </row>
    <row r="437" spans="6:6" x14ac:dyDescent="0.25">
      <c r="F437"/>
    </row>
    <row r="438" spans="6:6" x14ac:dyDescent="0.25">
      <c r="F438"/>
    </row>
    <row r="439" spans="6:6" x14ac:dyDescent="0.25">
      <c r="F439"/>
    </row>
    <row r="440" spans="6:6" x14ac:dyDescent="0.25">
      <c r="F440"/>
    </row>
    <row r="441" spans="6:6" x14ac:dyDescent="0.25">
      <c r="F441"/>
    </row>
    <row r="442" spans="6:6" x14ac:dyDescent="0.25">
      <c r="F442"/>
    </row>
    <row r="443" spans="6:6" x14ac:dyDescent="0.25">
      <c r="F443"/>
    </row>
    <row r="444" spans="6:6" x14ac:dyDescent="0.25">
      <c r="F444"/>
    </row>
    <row r="445" spans="6:6" x14ac:dyDescent="0.25">
      <c r="F445"/>
    </row>
    <row r="446" spans="6:6" x14ac:dyDescent="0.25">
      <c r="F446"/>
    </row>
    <row r="447" spans="6:6" x14ac:dyDescent="0.25">
      <c r="F447"/>
    </row>
    <row r="448" spans="6:6" x14ac:dyDescent="0.25">
      <c r="F448"/>
    </row>
    <row r="449" spans="1:11" x14ac:dyDescent="0.25">
      <c r="F449"/>
    </row>
    <row r="450" spans="1:11" x14ac:dyDescent="0.25">
      <c r="F450"/>
    </row>
    <row r="451" spans="1:11" x14ac:dyDescent="0.25">
      <c r="F451"/>
    </row>
    <row r="452" spans="1:11" x14ac:dyDescent="0.25">
      <c r="A452" s="15"/>
      <c r="B452" s="15"/>
      <c r="C452" s="16"/>
      <c r="D452" s="17"/>
      <c r="E452" s="17"/>
      <c r="F452" s="17"/>
      <c r="G452" s="17"/>
      <c r="H452" s="17"/>
      <c r="I452" s="17"/>
      <c r="J452" s="17"/>
      <c r="K452" s="18"/>
    </row>
    <row r="453" spans="1:11" x14ac:dyDescent="0.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8"/>
    </row>
    <row r="454" spans="1:11" x14ac:dyDescent="0.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6"/>
    </row>
    <row r="455" spans="1:11" x14ac:dyDescent="0.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6"/>
    </row>
    <row r="456" spans="1:11" x14ac:dyDescent="0.25">
      <c r="A456" s="24"/>
      <c r="B456" s="17"/>
      <c r="C456" s="17"/>
      <c r="D456" s="17"/>
      <c r="E456" s="17"/>
      <c r="F456" s="17"/>
      <c r="G456" s="17"/>
      <c r="H456" s="17"/>
      <c r="I456" s="17"/>
      <c r="J456" s="17"/>
      <c r="K456" s="16"/>
    </row>
    <row r="457" spans="1:11" x14ac:dyDescent="0.2">
      <c r="A457" s="17"/>
      <c r="B457" s="17"/>
      <c r="C457" s="17"/>
      <c r="D457" s="17"/>
      <c r="E457" s="17"/>
      <c r="F457" s="17"/>
      <c r="G457" s="17"/>
      <c r="H457" s="17"/>
      <c r="I457" s="2"/>
      <c r="J457" s="2"/>
      <c r="K457" s="5"/>
    </row>
    <row r="458" spans="1:11" x14ac:dyDescent="0.25">
      <c r="A458" s="15"/>
      <c r="B458" s="15"/>
      <c r="C458" s="16"/>
      <c r="D458" s="17"/>
      <c r="E458" s="17"/>
      <c r="F458" s="17"/>
      <c r="G458" s="17"/>
      <c r="H458" s="17"/>
      <c r="I458" s="17"/>
      <c r="J458" s="17"/>
      <c r="K458" s="18"/>
    </row>
    <row r="459" spans="1:11" x14ac:dyDescent="0.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8"/>
    </row>
    <row r="460" spans="1:11" x14ac:dyDescent="0.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6"/>
    </row>
    <row r="461" spans="1:11" x14ac:dyDescent="0.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6"/>
    </row>
    <row r="462" spans="1:11" x14ac:dyDescent="0.25">
      <c r="A462" s="24"/>
      <c r="B462" s="17"/>
      <c r="C462" s="17"/>
      <c r="D462" s="17"/>
      <c r="E462" s="17"/>
      <c r="F462" s="17"/>
      <c r="G462" s="17"/>
      <c r="H462" s="17"/>
      <c r="I462" s="17"/>
      <c r="J462" s="17"/>
      <c r="K462" s="16"/>
    </row>
    <row r="463" spans="1:11" x14ac:dyDescent="0.2">
      <c r="A463" s="17"/>
      <c r="B463" s="17"/>
      <c r="C463" s="17"/>
      <c r="D463" s="17"/>
      <c r="E463" s="17"/>
      <c r="F463" s="17"/>
      <c r="G463" s="17"/>
      <c r="H463" s="17"/>
      <c r="I463" s="2"/>
      <c r="J463" s="2"/>
      <c r="K463" s="5"/>
    </row>
    <row r="464" spans="1:11" x14ac:dyDescent="0.25">
      <c r="A464" s="15"/>
      <c r="B464" s="15"/>
      <c r="C464" s="16"/>
      <c r="D464" s="17"/>
      <c r="E464" s="17"/>
      <c r="F464" s="17"/>
      <c r="G464" s="17"/>
      <c r="H464" s="17"/>
      <c r="I464" s="17"/>
      <c r="J464" s="17"/>
      <c r="K464" s="18"/>
    </row>
    <row r="465" spans="1:11" x14ac:dyDescent="0.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8"/>
    </row>
    <row r="466" spans="1:11" x14ac:dyDescent="0.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6"/>
    </row>
    <row r="467" spans="1:11" x14ac:dyDescent="0.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6"/>
    </row>
    <row r="468" spans="1:11" x14ac:dyDescent="0.25">
      <c r="A468" s="24"/>
      <c r="B468" s="17"/>
      <c r="C468" s="17"/>
      <c r="D468" s="17"/>
      <c r="E468" s="17"/>
      <c r="F468" s="17"/>
      <c r="G468" s="17"/>
      <c r="H468" s="17"/>
      <c r="I468" s="17"/>
      <c r="J468" s="17"/>
      <c r="K468" s="16"/>
    </row>
    <row r="469" spans="1:11" x14ac:dyDescent="0.2">
      <c r="A469" s="17"/>
      <c r="B469" s="17"/>
      <c r="C469" s="17"/>
      <c r="D469" s="17"/>
      <c r="E469" s="17"/>
      <c r="F469" s="17"/>
      <c r="G469" s="17"/>
      <c r="H469" s="17"/>
      <c r="I469" s="2"/>
      <c r="J469" s="2"/>
      <c r="K469" s="5"/>
    </row>
    <row r="470" spans="1:11" x14ac:dyDescent="0.25">
      <c r="A470" s="15"/>
      <c r="B470" s="15"/>
      <c r="C470" s="16"/>
      <c r="D470" s="17"/>
      <c r="E470" s="17"/>
      <c r="F470" s="17"/>
      <c r="G470" s="17"/>
      <c r="H470" s="17"/>
      <c r="I470" s="17"/>
      <c r="J470" s="17"/>
      <c r="K470" s="18"/>
    </row>
    <row r="471" spans="1:11" x14ac:dyDescent="0.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8"/>
    </row>
    <row r="472" spans="1:11" x14ac:dyDescent="0.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6"/>
    </row>
    <row r="473" spans="1:11" x14ac:dyDescent="0.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6"/>
    </row>
    <row r="474" spans="1:11" x14ac:dyDescent="0.25">
      <c r="A474" s="24"/>
      <c r="B474" s="17"/>
      <c r="C474" s="17"/>
      <c r="D474" s="17"/>
      <c r="E474" s="17"/>
      <c r="F474" s="17"/>
      <c r="G474" s="17"/>
      <c r="H474" s="17"/>
      <c r="I474" s="17"/>
      <c r="J474" s="17"/>
      <c r="K474" s="16"/>
    </row>
    <row r="475" spans="1:11" x14ac:dyDescent="0.2">
      <c r="A475" s="17"/>
      <c r="B475" s="17"/>
      <c r="C475" s="17"/>
      <c r="D475" s="17"/>
      <c r="E475" s="17"/>
      <c r="F475" s="17"/>
      <c r="G475" s="17"/>
      <c r="H475" s="17"/>
      <c r="I475" s="2"/>
      <c r="J475" s="2"/>
      <c r="K475" s="5"/>
    </row>
    <row r="476" spans="1:11" x14ac:dyDescent="0.25">
      <c r="A476" s="15"/>
      <c r="B476" s="15"/>
      <c r="C476" s="16"/>
      <c r="D476" s="17"/>
      <c r="E476" s="17"/>
      <c r="F476" s="17"/>
      <c r="G476" s="17"/>
      <c r="H476" s="17"/>
      <c r="I476" s="17"/>
      <c r="J476" s="17"/>
      <c r="K476" s="18"/>
    </row>
    <row r="477" spans="1:11" x14ac:dyDescent="0.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8"/>
    </row>
    <row r="478" spans="1:11" x14ac:dyDescent="0.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6"/>
    </row>
    <row r="479" spans="1:11" x14ac:dyDescent="0.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6"/>
    </row>
    <row r="480" spans="1:11" x14ac:dyDescent="0.25">
      <c r="A480" s="24"/>
      <c r="B480" s="17"/>
      <c r="C480" s="17"/>
      <c r="D480" s="17"/>
      <c r="E480" s="17"/>
      <c r="F480" s="17"/>
      <c r="G480" s="17"/>
      <c r="H480" s="17"/>
      <c r="I480" s="17"/>
      <c r="J480" s="17"/>
      <c r="K480" s="16"/>
    </row>
    <row r="481" spans="1:11" x14ac:dyDescent="0.2">
      <c r="A481" s="17"/>
      <c r="B481" s="17"/>
      <c r="C481" s="17"/>
      <c r="D481" s="17"/>
      <c r="E481" s="17"/>
      <c r="F481" s="17"/>
      <c r="G481" s="17"/>
      <c r="H481" s="17"/>
      <c r="I481" s="2"/>
      <c r="J481" s="2"/>
      <c r="K481" s="5"/>
    </row>
    <row r="482" spans="1:11" x14ac:dyDescent="0.25">
      <c r="A482" s="15"/>
      <c r="B482" s="15"/>
      <c r="C482" s="16"/>
      <c r="D482" s="17"/>
      <c r="E482" s="17"/>
      <c r="F482" s="17"/>
      <c r="G482" s="17"/>
      <c r="H482" s="17"/>
      <c r="I482" s="17"/>
      <c r="J482" s="17"/>
      <c r="K482" s="18"/>
    </row>
    <row r="483" spans="1:11" x14ac:dyDescent="0.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8"/>
    </row>
    <row r="484" spans="1:11" x14ac:dyDescent="0.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6"/>
    </row>
    <row r="485" spans="1:11" x14ac:dyDescent="0.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6"/>
    </row>
    <row r="486" spans="1:11" x14ac:dyDescent="0.25">
      <c r="A486" s="24"/>
      <c r="B486" s="17"/>
      <c r="C486" s="17"/>
      <c r="D486" s="17"/>
      <c r="E486" s="17"/>
      <c r="F486" s="17"/>
      <c r="G486" s="17"/>
      <c r="H486" s="17"/>
      <c r="I486" s="17"/>
      <c r="J486" s="17"/>
      <c r="K486" s="16"/>
    </row>
    <row r="487" spans="1:11" x14ac:dyDescent="0.2">
      <c r="A487" s="17"/>
      <c r="B487" s="17"/>
      <c r="C487" s="17"/>
      <c r="D487" s="17"/>
      <c r="E487" s="17"/>
      <c r="F487" s="17"/>
      <c r="G487" s="17"/>
      <c r="H487" s="17"/>
      <c r="I487" s="2"/>
      <c r="J487" s="2"/>
      <c r="K487" s="5"/>
    </row>
    <row r="488" spans="1:11" x14ac:dyDescent="0.25">
      <c r="A488" s="15"/>
      <c r="B488" s="15"/>
      <c r="C488" s="16"/>
      <c r="D488" s="17"/>
      <c r="E488" s="17"/>
      <c r="F488" s="17"/>
      <c r="G488" s="17"/>
      <c r="H488" s="17"/>
      <c r="I488" s="17"/>
      <c r="J488" s="17"/>
      <c r="K488" s="18"/>
    </row>
    <row r="489" spans="1:11" x14ac:dyDescent="0.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8"/>
    </row>
    <row r="490" spans="1:11" x14ac:dyDescent="0.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6"/>
    </row>
    <row r="491" spans="1:11" x14ac:dyDescent="0.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6"/>
    </row>
    <row r="492" spans="1:11" x14ac:dyDescent="0.25">
      <c r="A492" s="24"/>
      <c r="B492" s="17"/>
      <c r="C492" s="17"/>
      <c r="D492" s="17"/>
      <c r="E492" s="17"/>
      <c r="F492" s="17"/>
      <c r="G492" s="17"/>
      <c r="H492" s="17"/>
      <c r="I492" s="17"/>
      <c r="J492" s="17"/>
      <c r="K492" s="16"/>
    </row>
    <row r="493" spans="1:11" x14ac:dyDescent="0.2">
      <c r="A493" s="17"/>
      <c r="B493" s="17"/>
      <c r="C493" s="17"/>
      <c r="D493" s="17"/>
      <c r="E493" s="17"/>
      <c r="F493" s="17"/>
      <c r="G493" s="17"/>
      <c r="H493" s="17"/>
      <c r="I493" s="2"/>
      <c r="J493" s="2"/>
      <c r="K493" s="5"/>
    </row>
    <row r="494" spans="1:11" x14ac:dyDescent="0.25">
      <c r="A494" s="15"/>
      <c r="B494" s="15"/>
      <c r="C494" s="16"/>
      <c r="D494" s="17"/>
      <c r="E494" s="17"/>
      <c r="F494" s="17"/>
      <c r="G494" s="17"/>
      <c r="H494" s="17"/>
      <c r="I494" s="17"/>
      <c r="J494" s="17"/>
      <c r="K494" s="18"/>
    </row>
    <row r="495" spans="1:11" x14ac:dyDescent="0.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8"/>
    </row>
    <row r="496" spans="1:11" x14ac:dyDescent="0.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6"/>
    </row>
    <row r="497" spans="1:11" x14ac:dyDescent="0.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6"/>
    </row>
    <row r="498" spans="1:11" x14ac:dyDescent="0.25">
      <c r="A498" s="24"/>
      <c r="B498" s="17"/>
      <c r="C498" s="17"/>
      <c r="D498" s="17"/>
      <c r="E498" s="17"/>
      <c r="F498" s="17"/>
      <c r="G498" s="17"/>
      <c r="H498" s="17"/>
      <c r="I498" s="17"/>
      <c r="J498" s="17"/>
      <c r="K498" s="16"/>
    </row>
    <row r="499" spans="1:11" x14ac:dyDescent="0.2">
      <c r="A499" s="17"/>
      <c r="B499" s="17"/>
      <c r="C499" s="17"/>
      <c r="D499" s="17"/>
      <c r="E499" s="17"/>
      <c r="F499" s="17"/>
      <c r="G499" s="17"/>
      <c r="H499" s="17"/>
      <c r="I499" s="2"/>
      <c r="J499" s="2"/>
      <c r="K499" s="5"/>
    </row>
    <row r="500" spans="1:11" x14ac:dyDescent="0.25">
      <c r="A500" s="15"/>
      <c r="B500" s="15"/>
      <c r="C500" s="16"/>
      <c r="D500" s="17"/>
      <c r="E500" s="17"/>
      <c r="F500" s="17"/>
      <c r="G500" s="17"/>
      <c r="H500" s="17"/>
      <c r="I500" s="17"/>
      <c r="J500" s="17"/>
      <c r="K500" s="18"/>
    </row>
    <row r="501" spans="1:11" x14ac:dyDescent="0.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8"/>
    </row>
    <row r="502" spans="1:11" x14ac:dyDescent="0.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6"/>
    </row>
    <row r="503" spans="1:11" x14ac:dyDescent="0.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6"/>
    </row>
    <row r="504" spans="1:11" x14ac:dyDescent="0.25">
      <c r="A504" s="24"/>
      <c r="B504" s="17"/>
      <c r="C504" s="17"/>
      <c r="D504" s="17"/>
      <c r="E504" s="17"/>
      <c r="F504" s="17"/>
      <c r="G504" s="17"/>
      <c r="H504" s="17"/>
      <c r="I504" s="17"/>
      <c r="J504" s="17"/>
      <c r="K504" s="16"/>
    </row>
    <row r="505" spans="1:11" x14ac:dyDescent="0.2">
      <c r="A505" s="17"/>
      <c r="B505" s="17"/>
      <c r="C505" s="17"/>
      <c r="D505" s="17"/>
      <c r="E505" s="17"/>
      <c r="F505" s="17"/>
      <c r="G505" s="17"/>
      <c r="H505" s="17"/>
      <c r="I505" s="2"/>
      <c r="J505" s="2"/>
      <c r="K505" s="5"/>
    </row>
    <row r="506" spans="1:11" x14ac:dyDescent="0.25">
      <c r="A506" s="15"/>
      <c r="B506" s="15"/>
      <c r="C506" s="16"/>
      <c r="D506" s="17"/>
      <c r="E506" s="17"/>
      <c r="F506" s="17"/>
      <c r="G506" s="17"/>
      <c r="H506" s="17"/>
      <c r="I506" s="17"/>
      <c r="J506" s="17"/>
      <c r="K506" s="18"/>
    </row>
    <row r="507" spans="1:11" x14ac:dyDescent="0.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8"/>
    </row>
    <row r="508" spans="1:11" x14ac:dyDescent="0.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6"/>
    </row>
    <row r="509" spans="1:11" x14ac:dyDescent="0.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6"/>
    </row>
    <row r="510" spans="1:11" x14ac:dyDescent="0.25">
      <c r="A510" s="24"/>
      <c r="B510" s="17"/>
      <c r="C510" s="17"/>
      <c r="D510" s="17"/>
      <c r="E510" s="17"/>
      <c r="F510" s="17"/>
      <c r="G510" s="17"/>
      <c r="H510" s="17"/>
      <c r="I510" s="17"/>
      <c r="J510" s="17"/>
      <c r="K510" s="16"/>
    </row>
    <row r="511" spans="1:11" x14ac:dyDescent="0.2">
      <c r="A511" s="17"/>
      <c r="B511" s="17"/>
      <c r="C511" s="17"/>
      <c r="D511" s="17"/>
      <c r="E511" s="17"/>
      <c r="F511" s="17"/>
      <c r="G511" s="17"/>
      <c r="H511" s="17"/>
      <c r="I511" s="2"/>
      <c r="J511" s="2"/>
      <c r="K511" s="5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A536" s="15"/>
      <c r="B536" s="15"/>
      <c r="C536" s="16"/>
      <c r="D536" s="17"/>
      <c r="E536" s="17"/>
      <c r="F536" s="17"/>
      <c r="G536" s="17"/>
      <c r="H536" s="17"/>
      <c r="I536" s="17"/>
      <c r="J536" s="17"/>
      <c r="K536" s="18"/>
    </row>
    <row r="537" spans="1:1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8"/>
    </row>
    <row r="538" spans="1:1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6"/>
    </row>
    <row r="539" spans="1:1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6"/>
    </row>
    <row r="540" spans="1:11" x14ac:dyDescent="0.25">
      <c r="A540" s="24"/>
      <c r="B540" s="17"/>
      <c r="C540" s="17"/>
      <c r="D540" s="17"/>
      <c r="E540" s="17"/>
      <c r="F540" s="17"/>
      <c r="G540" s="17"/>
      <c r="H540" s="17"/>
      <c r="I540" s="17"/>
      <c r="J540" s="17"/>
      <c r="K540" s="16"/>
    </row>
    <row r="541" spans="1:11" x14ac:dyDescent="0.2">
      <c r="A541" s="17"/>
      <c r="B541" s="17"/>
      <c r="C541" s="17"/>
      <c r="D541" s="17"/>
      <c r="E541" s="17"/>
      <c r="F541" s="17"/>
      <c r="G541" s="17"/>
      <c r="H541" s="17"/>
      <c r="I541" s="2"/>
      <c r="J541" s="2"/>
      <c r="K541" s="5"/>
    </row>
    <row r="542" spans="1:11" x14ac:dyDescent="0.25">
      <c r="F542"/>
    </row>
    <row r="543" spans="1:11" x14ac:dyDescent="0.25">
      <c r="F543"/>
    </row>
    <row r="544" spans="1:11" x14ac:dyDescent="0.25">
      <c r="F544"/>
    </row>
    <row r="545" spans="6:6" x14ac:dyDescent="0.25">
      <c r="F545"/>
    </row>
    <row r="546" spans="6:6" x14ac:dyDescent="0.25">
      <c r="F546"/>
    </row>
    <row r="547" spans="6:6" x14ac:dyDescent="0.25">
      <c r="F547"/>
    </row>
    <row r="548" spans="6:6" x14ac:dyDescent="0.25">
      <c r="F548"/>
    </row>
    <row r="549" spans="6:6" x14ac:dyDescent="0.25">
      <c r="F549"/>
    </row>
    <row r="550" spans="6:6" x14ac:dyDescent="0.25">
      <c r="F550"/>
    </row>
    <row r="551" spans="6:6" x14ac:dyDescent="0.25">
      <c r="F551"/>
    </row>
    <row r="552" spans="6:6" x14ac:dyDescent="0.25">
      <c r="F552"/>
    </row>
    <row r="553" spans="6:6" x14ac:dyDescent="0.25">
      <c r="F553"/>
    </row>
    <row r="554" spans="6:6" x14ac:dyDescent="0.25">
      <c r="F554"/>
    </row>
    <row r="555" spans="6:6" x14ac:dyDescent="0.25">
      <c r="F555"/>
    </row>
    <row r="556" spans="6:6" x14ac:dyDescent="0.25">
      <c r="F556"/>
    </row>
    <row r="557" spans="6:6" x14ac:dyDescent="0.25">
      <c r="F557"/>
    </row>
    <row r="558" spans="6:6" x14ac:dyDescent="0.25">
      <c r="F558"/>
    </row>
    <row r="559" spans="6:6" x14ac:dyDescent="0.25">
      <c r="F559"/>
    </row>
    <row r="560" spans="6:6" x14ac:dyDescent="0.25">
      <c r="F560"/>
    </row>
    <row r="561" spans="6:6" x14ac:dyDescent="0.25">
      <c r="F561"/>
    </row>
    <row r="562" spans="6:6" x14ac:dyDescent="0.25">
      <c r="F562"/>
    </row>
    <row r="563" spans="6:6" x14ac:dyDescent="0.25">
      <c r="F563"/>
    </row>
    <row r="564" spans="6:6" x14ac:dyDescent="0.25">
      <c r="F564"/>
    </row>
    <row r="565" spans="6:6" x14ac:dyDescent="0.25">
      <c r="F565"/>
    </row>
    <row r="566" spans="6:6" x14ac:dyDescent="0.25">
      <c r="F566"/>
    </row>
    <row r="567" spans="6:6" x14ac:dyDescent="0.25">
      <c r="F567"/>
    </row>
    <row r="568" spans="6:6" x14ac:dyDescent="0.25">
      <c r="F568"/>
    </row>
    <row r="569" spans="6:6" x14ac:dyDescent="0.25">
      <c r="F569"/>
    </row>
    <row r="570" spans="6:6" x14ac:dyDescent="0.25">
      <c r="F570"/>
    </row>
    <row r="571" spans="6:6" x14ac:dyDescent="0.25">
      <c r="F571"/>
    </row>
    <row r="572" spans="6:6" x14ac:dyDescent="0.25">
      <c r="F572"/>
    </row>
    <row r="573" spans="6:6" x14ac:dyDescent="0.25">
      <c r="F573"/>
    </row>
    <row r="574" spans="6:6" x14ac:dyDescent="0.25">
      <c r="F574"/>
    </row>
    <row r="575" spans="6:6" x14ac:dyDescent="0.25">
      <c r="F575"/>
    </row>
    <row r="576" spans="6:6" x14ac:dyDescent="0.25">
      <c r="F576"/>
    </row>
    <row r="577" spans="6:6" x14ac:dyDescent="0.25">
      <c r="F577"/>
    </row>
    <row r="578" spans="6:6" x14ac:dyDescent="0.25">
      <c r="F578"/>
    </row>
    <row r="579" spans="6:6" x14ac:dyDescent="0.25">
      <c r="F579"/>
    </row>
    <row r="580" spans="6:6" x14ac:dyDescent="0.25">
      <c r="F580"/>
    </row>
    <row r="581" spans="6:6" x14ac:dyDescent="0.25">
      <c r="F581"/>
    </row>
    <row r="582" spans="6:6" x14ac:dyDescent="0.25">
      <c r="F582"/>
    </row>
    <row r="583" spans="6:6" x14ac:dyDescent="0.25">
      <c r="F583"/>
    </row>
    <row r="584" spans="6:6" x14ac:dyDescent="0.25">
      <c r="F584"/>
    </row>
    <row r="585" spans="6:6" x14ac:dyDescent="0.25">
      <c r="F585"/>
    </row>
    <row r="586" spans="6:6" x14ac:dyDescent="0.25">
      <c r="F586"/>
    </row>
    <row r="587" spans="6:6" x14ac:dyDescent="0.25">
      <c r="F587"/>
    </row>
    <row r="588" spans="6:6" x14ac:dyDescent="0.25">
      <c r="F588"/>
    </row>
    <row r="589" spans="6:6" x14ac:dyDescent="0.25">
      <c r="F589"/>
    </row>
    <row r="590" spans="6:6" x14ac:dyDescent="0.25">
      <c r="F590"/>
    </row>
    <row r="591" spans="6:6" x14ac:dyDescent="0.25">
      <c r="F591"/>
    </row>
    <row r="592" spans="6:6" x14ac:dyDescent="0.25">
      <c r="F592"/>
    </row>
    <row r="593" spans="6:6" x14ac:dyDescent="0.25">
      <c r="F593"/>
    </row>
    <row r="594" spans="6:6" x14ac:dyDescent="0.25">
      <c r="F594"/>
    </row>
    <row r="595" spans="6:6" x14ac:dyDescent="0.25">
      <c r="F595"/>
    </row>
    <row r="596" spans="6:6" x14ac:dyDescent="0.25">
      <c r="F596"/>
    </row>
    <row r="597" spans="6:6" x14ac:dyDescent="0.25">
      <c r="F597"/>
    </row>
    <row r="598" spans="6:6" x14ac:dyDescent="0.25">
      <c r="F598"/>
    </row>
    <row r="599" spans="6:6" x14ac:dyDescent="0.25">
      <c r="F599"/>
    </row>
    <row r="600" spans="6:6" x14ac:dyDescent="0.25">
      <c r="F600"/>
    </row>
    <row r="601" spans="6:6" x14ac:dyDescent="0.25">
      <c r="F601"/>
    </row>
    <row r="602" spans="6:6" x14ac:dyDescent="0.25">
      <c r="F602"/>
    </row>
    <row r="603" spans="6:6" x14ac:dyDescent="0.25">
      <c r="F603"/>
    </row>
    <row r="604" spans="6:6" x14ac:dyDescent="0.25">
      <c r="F604"/>
    </row>
    <row r="605" spans="6:6" x14ac:dyDescent="0.25">
      <c r="F605"/>
    </row>
    <row r="606" spans="6:6" x14ac:dyDescent="0.25">
      <c r="F606"/>
    </row>
    <row r="607" spans="6:6" x14ac:dyDescent="0.25">
      <c r="F607"/>
    </row>
    <row r="608" spans="6:6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  <row r="642" spans="6:6" x14ac:dyDescent="0.25">
      <c r="F642"/>
    </row>
    <row r="643" spans="6:6" x14ac:dyDescent="0.25">
      <c r="F643"/>
    </row>
    <row r="644" spans="6:6" x14ac:dyDescent="0.25">
      <c r="F644"/>
    </row>
    <row r="645" spans="6:6" x14ac:dyDescent="0.25">
      <c r="F645"/>
    </row>
    <row r="646" spans="6:6" x14ac:dyDescent="0.25">
      <c r="F646"/>
    </row>
    <row r="647" spans="6:6" x14ac:dyDescent="0.25">
      <c r="F647"/>
    </row>
  </sheetData>
  <autoFilter ref="A1:K643" xr:uid="{00000000-0009-0000-0000-000001000000}"/>
  <phoneticPr fontId="0" type="noConversion"/>
  <conditionalFormatting sqref="A86:A91">
    <cfRule type="timePeriod" dxfId="14" priority="15" stopIfTrue="1" timePeriod="lastMonth">
      <formula>AND(MONTH(A86)=MONTH(EDATE(TODAY(),0-1)),YEAR(A86)=YEAR(EDATE(TODAY(),0-1)))</formula>
    </cfRule>
  </conditionalFormatting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2026-10-17T03:51:31Z</dcterms:modified>
  <cp:category/>
</cp:coreProperties>
</file>