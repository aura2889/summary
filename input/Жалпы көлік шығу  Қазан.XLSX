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69DEDC11-2E2F-4836-9D58-8AB5753C47C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'2026'!$A$1:$K$703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J2" i="1" s="1"/>
  <c r="H5" i="1"/>
  <c r="G5" i="1"/>
  <c r="F5" i="1"/>
  <c r="E5" i="1"/>
  <c r="D5" i="1"/>
  <c r="C5" i="1"/>
  <c r="I5" i="1" s="1"/>
  <c r="I4" i="1"/>
  <c r="I3" i="1"/>
  <c r="K2" i="1"/>
  <c r="I2" i="1"/>
  <c r="I13" i="1"/>
  <c r="I12" i="1"/>
  <c r="K8" i="1" s="1"/>
  <c r="H11" i="1"/>
  <c r="G11" i="1"/>
  <c r="F11" i="1"/>
  <c r="E11" i="1"/>
  <c r="D11" i="1"/>
  <c r="C11" i="1"/>
  <c r="I11" i="1" s="1"/>
  <c r="I10" i="1"/>
  <c r="I9" i="1"/>
  <c r="I8" i="1"/>
  <c r="J8" i="1" l="1"/>
  <c r="I19" i="1"/>
  <c r="I18" i="1"/>
  <c r="H17" i="1"/>
  <c r="G17" i="1"/>
  <c r="F17" i="1"/>
  <c r="E17" i="1"/>
  <c r="D17" i="1"/>
  <c r="C17" i="1"/>
  <c r="I16" i="1"/>
  <c r="I15" i="1"/>
  <c r="I14" i="1"/>
  <c r="J14" i="1" s="1"/>
  <c r="K14" i="1" l="1"/>
  <c r="I17" i="1"/>
  <c r="I25" i="1"/>
  <c r="I24" i="1"/>
  <c r="H23" i="1"/>
  <c r="G23" i="1"/>
  <c r="F23" i="1"/>
  <c r="E23" i="1"/>
  <c r="D23" i="1"/>
  <c r="C23" i="1"/>
  <c r="I23" i="1" s="1"/>
  <c r="I22" i="1"/>
  <c r="I21" i="1"/>
  <c r="I20" i="1"/>
  <c r="K20" i="1" l="1"/>
  <c r="J20" i="1"/>
  <c r="I31" i="1"/>
  <c r="I30" i="1"/>
  <c r="H29" i="1"/>
  <c r="G29" i="1"/>
  <c r="F29" i="1"/>
  <c r="E29" i="1"/>
  <c r="D29" i="1"/>
  <c r="C29" i="1"/>
  <c r="I28" i="1"/>
  <c r="I27" i="1"/>
  <c r="I26" i="1"/>
  <c r="K26" i="1" l="1"/>
  <c r="I29" i="1"/>
  <c r="J26" i="1"/>
  <c r="I37" i="1"/>
  <c r="I36" i="1"/>
  <c r="H35" i="1"/>
  <c r="G35" i="1"/>
  <c r="F35" i="1"/>
  <c r="E35" i="1"/>
  <c r="D35" i="1"/>
  <c r="C35" i="1"/>
  <c r="I34" i="1"/>
  <c r="I33" i="1"/>
  <c r="I32" i="1"/>
  <c r="I43" i="1"/>
  <c r="I42" i="1"/>
  <c r="H41" i="1"/>
  <c r="G41" i="1"/>
  <c r="F41" i="1"/>
  <c r="E41" i="1"/>
  <c r="D41" i="1"/>
  <c r="C41" i="1"/>
  <c r="I40" i="1"/>
  <c r="I39" i="1"/>
  <c r="I38" i="1"/>
  <c r="I41" i="1" l="1"/>
  <c r="K38" i="1"/>
  <c r="I35" i="1"/>
  <c r="J32" i="1"/>
  <c r="K32" i="1"/>
  <c r="J38" i="1"/>
  <c r="I49" i="1"/>
  <c r="I48" i="1"/>
  <c r="H47" i="1"/>
  <c r="G47" i="1"/>
  <c r="F47" i="1"/>
  <c r="E47" i="1"/>
  <c r="D47" i="1"/>
  <c r="C47" i="1"/>
  <c r="I46" i="1"/>
  <c r="I45" i="1"/>
  <c r="I44" i="1"/>
  <c r="I47" i="1" l="1"/>
  <c r="K44" i="1"/>
  <c r="J44" i="1"/>
  <c r="I55" i="1"/>
  <c r="I54" i="1"/>
  <c r="H53" i="1"/>
  <c r="G53" i="1"/>
  <c r="F53" i="1"/>
  <c r="E53" i="1"/>
  <c r="D53" i="1"/>
  <c r="C53" i="1"/>
  <c r="I53" i="1" s="1"/>
  <c r="I52" i="1"/>
  <c r="I51" i="1"/>
  <c r="I50" i="1"/>
  <c r="K50" i="1" l="1"/>
  <c r="J50" i="1"/>
  <c r="I3" i="2"/>
  <c r="I4" i="2"/>
  <c r="I61" i="1"/>
  <c r="I60" i="1"/>
  <c r="H59" i="1"/>
  <c r="G59" i="1"/>
  <c r="F59" i="1"/>
  <c r="E59" i="1"/>
  <c r="D59" i="1"/>
  <c r="C59" i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59" i="1" l="1"/>
  <c r="J62" i="1"/>
  <c r="K56" i="1"/>
  <c r="I65" i="1"/>
  <c r="J56" i="1"/>
  <c r="K62" i="1"/>
  <c r="I73" i="1"/>
  <c r="I72" i="1"/>
  <c r="H71" i="1"/>
  <c r="G71" i="1"/>
  <c r="F71" i="1"/>
  <c r="E71" i="1"/>
  <c r="D71" i="1"/>
  <c r="C71" i="1"/>
  <c r="I70" i="1"/>
  <c r="I69" i="1"/>
  <c r="I68" i="1"/>
  <c r="K68" i="1" l="1"/>
  <c r="I71" i="1"/>
  <c r="J68" i="1"/>
  <c r="I79" i="1"/>
  <c r="I78" i="1"/>
  <c r="H77" i="1"/>
  <c r="G77" i="1"/>
  <c r="F77" i="1"/>
  <c r="E77" i="1"/>
  <c r="D77" i="1"/>
  <c r="C77" i="1"/>
  <c r="I77" i="1" s="1"/>
  <c r="I76" i="1"/>
  <c r="I75" i="1"/>
  <c r="I74" i="1"/>
  <c r="I85" i="1"/>
  <c r="I84" i="1"/>
  <c r="H83" i="1"/>
  <c r="G83" i="1"/>
  <c r="F83" i="1"/>
  <c r="E83" i="1"/>
  <c r="D83" i="1"/>
  <c r="C83" i="1"/>
  <c r="I82" i="1"/>
  <c r="I81" i="1"/>
  <c r="I80" i="1"/>
  <c r="I91" i="1"/>
  <c r="I90" i="1"/>
  <c r="H89" i="1"/>
  <c r="G89" i="1"/>
  <c r="F89" i="1"/>
  <c r="E89" i="1"/>
  <c r="D89" i="1"/>
  <c r="C89" i="1"/>
  <c r="I88" i="1"/>
  <c r="I87" i="1"/>
  <c r="I86" i="1"/>
  <c r="I97" i="1"/>
  <c r="I96" i="1"/>
  <c r="H95" i="1"/>
  <c r="G95" i="1"/>
  <c r="F95" i="1"/>
  <c r="E95" i="1"/>
  <c r="D95" i="1"/>
  <c r="C95" i="1"/>
  <c r="I94" i="1"/>
  <c r="I93" i="1"/>
  <c r="I92" i="1"/>
  <c r="I103" i="1"/>
  <c r="I102" i="1"/>
  <c r="H101" i="1"/>
  <c r="G101" i="1"/>
  <c r="F101" i="1"/>
  <c r="E101" i="1"/>
  <c r="D101" i="1"/>
  <c r="C101" i="1"/>
  <c r="I100" i="1"/>
  <c r="I99" i="1"/>
  <c r="I98" i="1"/>
  <c r="I109" i="1"/>
  <c r="I108" i="1"/>
  <c r="H107" i="1"/>
  <c r="G107" i="1"/>
  <c r="F107" i="1"/>
  <c r="E107" i="1"/>
  <c r="D107" i="1"/>
  <c r="C107" i="1"/>
  <c r="I106" i="1"/>
  <c r="I105" i="1"/>
  <c r="I104" i="1"/>
  <c r="I110" i="1"/>
  <c r="I111" i="1"/>
  <c r="I112" i="1"/>
  <c r="C113" i="1"/>
  <c r="D113" i="1"/>
  <c r="E113" i="1"/>
  <c r="F113" i="1"/>
  <c r="G113" i="1"/>
  <c r="H113" i="1"/>
  <c r="I114" i="1"/>
  <c r="I115" i="1"/>
  <c r="I121" i="1"/>
  <c r="I120" i="1"/>
  <c r="H119" i="1"/>
  <c r="G119" i="1"/>
  <c r="F119" i="1"/>
  <c r="E119" i="1"/>
  <c r="D119" i="1"/>
  <c r="C119" i="1"/>
  <c r="I118" i="1"/>
  <c r="I117" i="1"/>
  <c r="I116" i="1"/>
  <c r="I127" i="1"/>
  <c r="I126" i="1"/>
  <c r="H125" i="1"/>
  <c r="G125" i="1"/>
  <c r="F125" i="1"/>
  <c r="E125" i="1"/>
  <c r="D125" i="1"/>
  <c r="C125" i="1"/>
  <c r="I124" i="1"/>
  <c r="I123" i="1"/>
  <c r="I122" i="1"/>
  <c r="I133" i="1"/>
  <c r="I132" i="1"/>
  <c r="H131" i="1"/>
  <c r="G131" i="1"/>
  <c r="F131" i="1"/>
  <c r="E131" i="1"/>
  <c r="D131" i="1"/>
  <c r="C131" i="1"/>
  <c r="I130" i="1"/>
  <c r="I129" i="1"/>
  <c r="I128" i="1"/>
  <c r="I139" i="1"/>
  <c r="I138" i="1"/>
  <c r="H137" i="1"/>
  <c r="G137" i="1"/>
  <c r="F137" i="1"/>
  <c r="E137" i="1"/>
  <c r="D137" i="1"/>
  <c r="C137" i="1"/>
  <c r="I136" i="1"/>
  <c r="I135" i="1"/>
  <c r="I134" i="1"/>
  <c r="I89" i="1" l="1"/>
  <c r="I107" i="1"/>
  <c r="K74" i="1"/>
  <c r="J86" i="1"/>
  <c r="J74" i="1"/>
  <c r="K80" i="1"/>
  <c r="J92" i="1"/>
  <c r="I83" i="1"/>
  <c r="I125" i="1"/>
  <c r="I95" i="1"/>
  <c r="J80" i="1"/>
  <c r="K86" i="1"/>
  <c r="K92" i="1"/>
  <c r="I101" i="1"/>
  <c r="K104" i="1"/>
  <c r="K98" i="1"/>
  <c r="J98" i="1"/>
  <c r="I119" i="1"/>
  <c r="I131" i="1"/>
  <c r="J104" i="1"/>
  <c r="I137" i="1"/>
  <c r="I113" i="1"/>
  <c r="J110" i="1"/>
  <c r="K116" i="1"/>
  <c r="K110" i="1"/>
  <c r="J134" i="1"/>
  <c r="J122" i="1"/>
  <c r="J116" i="1"/>
  <c r="K128" i="1"/>
  <c r="K122" i="1"/>
  <c r="J128" i="1"/>
  <c r="K134" i="1"/>
  <c r="I145" i="1"/>
  <c r="I144" i="1"/>
  <c r="H143" i="1"/>
  <c r="G143" i="1"/>
  <c r="F143" i="1"/>
  <c r="E143" i="1"/>
  <c r="D143" i="1"/>
  <c r="C143" i="1"/>
  <c r="I142" i="1"/>
  <c r="I141" i="1"/>
  <c r="I140" i="1"/>
  <c r="K140" i="1" l="1"/>
  <c r="I143" i="1"/>
  <c r="J140" i="1"/>
  <c r="I151" i="1"/>
  <c r="I150" i="1"/>
  <c r="H149" i="1"/>
  <c r="G149" i="1"/>
  <c r="F149" i="1"/>
  <c r="E149" i="1"/>
  <c r="D149" i="1"/>
  <c r="C149" i="1"/>
  <c r="I148" i="1"/>
  <c r="I147" i="1"/>
  <c r="I146" i="1"/>
  <c r="I149" i="1" l="1"/>
  <c r="K146" i="1"/>
  <c r="J146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K152" i="1" l="1"/>
  <c r="J152" i="1"/>
  <c r="I155" i="1"/>
  <c r="J158" i="1"/>
  <c r="I161" i="1"/>
  <c r="I167" i="1"/>
  <c r="K158" i="1"/>
  <c r="J164" i="1"/>
  <c r="J170" i="1"/>
  <c r="K164" i="1"/>
  <c r="I173" i="1"/>
  <c r="K170" i="1"/>
  <c r="I181" i="1"/>
  <c r="I180" i="1"/>
  <c r="H179" i="1"/>
  <c r="G179" i="1"/>
  <c r="F179" i="1"/>
  <c r="E179" i="1"/>
  <c r="D179" i="1"/>
  <c r="C179" i="1"/>
  <c r="I178" i="1"/>
  <c r="I177" i="1"/>
  <c r="I176" i="1"/>
  <c r="I187" i="1"/>
  <c r="I186" i="1"/>
  <c r="H185" i="1"/>
  <c r="G185" i="1"/>
  <c r="F185" i="1"/>
  <c r="E185" i="1"/>
  <c r="D185" i="1"/>
  <c r="C185" i="1"/>
  <c r="I184" i="1"/>
  <c r="I183" i="1"/>
  <c r="I182" i="1"/>
  <c r="I193" i="1"/>
  <c r="I192" i="1"/>
  <c r="H191" i="1"/>
  <c r="G191" i="1"/>
  <c r="F191" i="1"/>
  <c r="E191" i="1"/>
  <c r="D191" i="1"/>
  <c r="C191" i="1"/>
  <c r="I190" i="1"/>
  <c r="I189" i="1"/>
  <c r="I188" i="1"/>
  <c r="I199" i="1"/>
  <c r="I198" i="1"/>
  <c r="H197" i="1"/>
  <c r="G197" i="1"/>
  <c r="F197" i="1"/>
  <c r="E197" i="1"/>
  <c r="D197" i="1"/>
  <c r="C197" i="1"/>
  <c r="I196" i="1"/>
  <c r="I195" i="1"/>
  <c r="I194" i="1"/>
  <c r="I200" i="1"/>
  <c r="I201" i="1"/>
  <c r="I202" i="1"/>
  <c r="C203" i="1"/>
  <c r="D203" i="1"/>
  <c r="E203" i="1"/>
  <c r="F203" i="1"/>
  <c r="G203" i="1"/>
  <c r="H203" i="1"/>
  <c r="I204" i="1"/>
  <c r="I205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I223" i="1"/>
  <c r="I222" i="1"/>
  <c r="H221" i="1"/>
  <c r="G221" i="1"/>
  <c r="F221" i="1"/>
  <c r="E221" i="1"/>
  <c r="D221" i="1"/>
  <c r="C221" i="1"/>
  <c r="I220" i="1"/>
  <c r="I219" i="1"/>
  <c r="I218" i="1"/>
  <c r="I229" i="1"/>
  <c r="I228" i="1"/>
  <c r="H227" i="1"/>
  <c r="G227" i="1"/>
  <c r="F227" i="1"/>
  <c r="E227" i="1"/>
  <c r="D227" i="1"/>
  <c r="C227" i="1"/>
  <c r="I226" i="1"/>
  <c r="I225" i="1"/>
  <c r="I224" i="1"/>
  <c r="I235" i="1"/>
  <c r="I234" i="1"/>
  <c r="H233" i="1"/>
  <c r="G233" i="1"/>
  <c r="F233" i="1"/>
  <c r="E233" i="1"/>
  <c r="D233" i="1"/>
  <c r="C233" i="1"/>
  <c r="I232" i="1"/>
  <c r="I231" i="1"/>
  <c r="I230" i="1"/>
  <c r="I241" i="1"/>
  <c r="I240" i="1"/>
  <c r="H239" i="1"/>
  <c r="G239" i="1"/>
  <c r="F239" i="1"/>
  <c r="E239" i="1"/>
  <c r="D239" i="1"/>
  <c r="C239" i="1"/>
  <c r="I238" i="1"/>
  <c r="I237" i="1"/>
  <c r="I236" i="1"/>
  <c r="I247" i="1"/>
  <c r="I246" i="1"/>
  <c r="H245" i="1"/>
  <c r="G245" i="1"/>
  <c r="F245" i="1"/>
  <c r="E245" i="1"/>
  <c r="D245" i="1"/>
  <c r="C245" i="1"/>
  <c r="I244" i="1"/>
  <c r="I243" i="1"/>
  <c r="I242" i="1"/>
  <c r="I248" i="1"/>
  <c r="I249" i="1"/>
  <c r="I250" i="1"/>
  <c r="C251" i="1"/>
  <c r="D251" i="1"/>
  <c r="E251" i="1"/>
  <c r="F251" i="1"/>
  <c r="G251" i="1"/>
  <c r="H251" i="1"/>
  <c r="I252" i="1"/>
  <c r="I253" i="1"/>
  <c r="I259" i="1"/>
  <c r="I258" i="1"/>
  <c r="H257" i="1"/>
  <c r="G257" i="1"/>
  <c r="F257" i="1"/>
  <c r="E257" i="1"/>
  <c r="D257" i="1"/>
  <c r="C257" i="1"/>
  <c r="I256" i="1"/>
  <c r="I255" i="1"/>
  <c r="I254" i="1"/>
  <c r="I179" i="1" l="1"/>
  <c r="J188" i="1"/>
  <c r="I185" i="1"/>
  <c r="K176" i="1"/>
  <c r="J182" i="1"/>
  <c r="K182" i="1"/>
  <c r="J194" i="1"/>
  <c r="J176" i="1"/>
  <c r="K188" i="1"/>
  <c r="I191" i="1"/>
  <c r="I197" i="1"/>
  <c r="K194" i="1"/>
  <c r="I203" i="1"/>
  <c r="J200" i="1"/>
  <c r="J212" i="1"/>
  <c r="K206" i="1"/>
  <c r="K200" i="1"/>
  <c r="K230" i="1"/>
  <c r="I209" i="1"/>
  <c r="J206" i="1"/>
  <c r="I215" i="1"/>
  <c r="K218" i="1"/>
  <c r="K212" i="1"/>
  <c r="I227" i="1"/>
  <c r="I221" i="1"/>
  <c r="I233" i="1"/>
  <c r="J218" i="1"/>
  <c r="I239" i="1"/>
  <c r="K224" i="1"/>
  <c r="I257" i="1"/>
  <c r="J236" i="1"/>
  <c r="J224" i="1"/>
  <c r="I245" i="1"/>
  <c r="J230" i="1"/>
  <c r="J242" i="1"/>
  <c r="K248" i="1"/>
  <c r="J254" i="1"/>
  <c r="K236" i="1"/>
  <c r="I251" i="1"/>
  <c r="J248" i="1"/>
  <c r="K242" i="1"/>
  <c r="K254" i="1"/>
  <c r="I265" i="1"/>
  <c r="I264" i="1"/>
  <c r="H263" i="1"/>
  <c r="G263" i="1"/>
  <c r="F263" i="1"/>
  <c r="E263" i="1"/>
  <c r="D263" i="1"/>
  <c r="C263" i="1"/>
  <c r="I262" i="1"/>
  <c r="I261" i="1"/>
  <c r="I260" i="1"/>
  <c r="I271" i="1"/>
  <c r="I270" i="1"/>
  <c r="H269" i="1"/>
  <c r="G269" i="1"/>
  <c r="F269" i="1"/>
  <c r="E269" i="1"/>
  <c r="D269" i="1"/>
  <c r="C269" i="1"/>
  <c r="I268" i="1"/>
  <c r="I267" i="1"/>
  <c r="I266" i="1"/>
  <c r="I277" i="1"/>
  <c r="I276" i="1"/>
  <c r="H275" i="1"/>
  <c r="G275" i="1"/>
  <c r="F275" i="1"/>
  <c r="E275" i="1"/>
  <c r="D275" i="1"/>
  <c r="C275" i="1"/>
  <c r="I274" i="1"/>
  <c r="I273" i="1"/>
  <c r="I272" i="1"/>
  <c r="I283" i="1"/>
  <c r="I282" i="1"/>
  <c r="H281" i="1"/>
  <c r="G281" i="1"/>
  <c r="F281" i="1"/>
  <c r="E281" i="1"/>
  <c r="D281" i="1"/>
  <c r="C281" i="1"/>
  <c r="I280" i="1"/>
  <c r="I279" i="1"/>
  <c r="I278" i="1"/>
  <c r="K260" i="1" l="1"/>
  <c r="J260" i="1"/>
  <c r="I263" i="1"/>
  <c r="K266" i="1"/>
  <c r="I269" i="1"/>
  <c r="J272" i="1"/>
  <c r="K278" i="1"/>
  <c r="J266" i="1"/>
  <c r="K272" i="1"/>
  <c r="I275" i="1"/>
  <c r="I281" i="1"/>
  <c r="J278" i="1"/>
  <c r="I289" i="1"/>
  <c r="I288" i="1"/>
  <c r="H287" i="1"/>
  <c r="G287" i="1"/>
  <c r="F287" i="1"/>
  <c r="E287" i="1"/>
  <c r="D287" i="1"/>
  <c r="C287" i="1"/>
  <c r="I286" i="1"/>
  <c r="I285" i="1"/>
  <c r="I284" i="1"/>
  <c r="I287" i="1" l="1"/>
  <c r="K284" i="1"/>
  <c r="J284" i="1"/>
  <c r="I295" i="1"/>
  <c r="I294" i="1"/>
  <c r="H293" i="1"/>
  <c r="G293" i="1"/>
  <c r="F293" i="1"/>
  <c r="E293" i="1"/>
  <c r="D293" i="1"/>
  <c r="C293" i="1"/>
  <c r="I292" i="1"/>
  <c r="I291" i="1"/>
  <c r="I290" i="1"/>
  <c r="K290" i="1" l="1"/>
  <c r="I293" i="1"/>
  <c r="J290" i="1"/>
  <c r="I301" i="1"/>
  <c r="I300" i="1"/>
  <c r="H299" i="1"/>
  <c r="G299" i="1"/>
  <c r="F299" i="1"/>
  <c r="E299" i="1"/>
  <c r="D299" i="1"/>
  <c r="C299" i="1"/>
  <c r="I298" i="1"/>
  <c r="I297" i="1"/>
  <c r="I296" i="1"/>
  <c r="I307" i="1"/>
  <c r="I306" i="1"/>
  <c r="H305" i="1"/>
  <c r="G305" i="1"/>
  <c r="F305" i="1"/>
  <c r="E305" i="1"/>
  <c r="D305" i="1"/>
  <c r="C305" i="1"/>
  <c r="I304" i="1"/>
  <c r="I303" i="1"/>
  <c r="I302" i="1"/>
  <c r="I313" i="1"/>
  <c r="I312" i="1"/>
  <c r="H311" i="1"/>
  <c r="G311" i="1"/>
  <c r="F311" i="1"/>
  <c r="E311" i="1"/>
  <c r="D311" i="1"/>
  <c r="C311" i="1"/>
  <c r="I310" i="1"/>
  <c r="I309" i="1"/>
  <c r="I308" i="1"/>
  <c r="I319" i="1"/>
  <c r="I318" i="1"/>
  <c r="H317" i="1"/>
  <c r="G317" i="1"/>
  <c r="F317" i="1"/>
  <c r="E317" i="1"/>
  <c r="D317" i="1"/>
  <c r="C317" i="1"/>
  <c r="I316" i="1"/>
  <c r="I315" i="1"/>
  <c r="I314" i="1"/>
  <c r="I325" i="1"/>
  <c r="I324" i="1"/>
  <c r="H323" i="1"/>
  <c r="G323" i="1"/>
  <c r="F323" i="1"/>
  <c r="E323" i="1"/>
  <c r="D323" i="1"/>
  <c r="C323" i="1"/>
  <c r="I322" i="1"/>
  <c r="I321" i="1"/>
  <c r="I320" i="1"/>
  <c r="I331" i="1"/>
  <c r="I330" i="1"/>
  <c r="H329" i="1"/>
  <c r="G329" i="1"/>
  <c r="F329" i="1"/>
  <c r="E329" i="1"/>
  <c r="D329" i="1"/>
  <c r="C329" i="1"/>
  <c r="I328" i="1"/>
  <c r="I327" i="1"/>
  <c r="I326" i="1"/>
  <c r="I337" i="1"/>
  <c r="I336" i="1"/>
  <c r="H335" i="1"/>
  <c r="G335" i="1"/>
  <c r="F335" i="1"/>
  <c r="E335" i="1"/>
  <c r="D335" i="1"/>
  <c r="C335" i="1"/>
  <c r="I334" i="1"/>
  <c r="I333" i="1"/>
  <c r="I332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99" i="1" l="1"/>
  <c r="J314" i="1"/>
  <c r="K296" i="1"/>
  <c r="J296" i="1"/>
  <c r="J308" i="1"/>
  <c r="I305" i="1"/>
  <c r="K302" i="1"/>
  <c r="K308" i="1"/>
  <c r="J302" i="1"/>
  <c r="I311" i="1"/>
  <c r="I323" i="1"/>
  <c r="I317" i="1"/>
  <c r="K314" i="1"/>
  <c r="K320" i="1"/>
  <c r="J326" i="1"/>
  <c r="J332" i="1"/>
  <c r="J320" i="1"/>
  <c r="I329" i="1"/>
  <c r="K326" i="1"/>
  <c r="I335" i="1"/>
  <c r="K332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AF892A7D-4BB1-481A-8261-BB475B461F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0097BF64-0171-4C38-8056-41192CF9AF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8F00EE59-02F4-45EC-961E-685FABC6010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1BB4EB51-3E50-4174-8D67-E4A6AD99FC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DB2521F2-6099-4CED-9D89-A32ED1EDFE4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0D67D56C-C4C8-4F25-83C1-CC3679DB9F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F4558C4F-9A8C-47E3-9183-56F547A795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EEA5FCEB-A60D-4812-A275-85842314C3B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82588067-E49C-4882-B446-F4FC1B740E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3609B497-85CF-4D1C-A0F8-C95314750EE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609F5E79-619D-4FD7-BAA0-8F42E5D01A0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0BC0EFBE-C7E3-4093-A53D-89B7C8D964D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74137883-731B-416D-8B5E-3965ECF19CC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24BB15B1-3BBF-484B-AE64-FE21B48B20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4C4246F1-BE8D-4A5E-B8B2-2EA92D37661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85F012E7-E699-4ACB-A1A8-589583210BF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4AD239DB-388F-459A-B697-5230EE99B64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3FA542A8-07B0-4321-BDD4-B904856DD01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6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8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2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94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8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0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04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6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0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2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6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8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22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24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28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30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34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36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<sst xmlns="http://schemas.openxmlformats.org/spreadsheetml/2006/main" count="395" uniqueCount="40">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</sst>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J23" sqref="J23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46321</v>
      </c>
      <c r="B3" s="12" t="s">
        <v>15</v>
      </c>
      <c r="C3" s="13">
        <v>5</v>
      </c>
      <c r="D3" s="13">
        <v>3</v>
      </c>
      <c r="E3" s="13">
        <v>8</v>
      </c>
      <c r="F3" s="14">
        <v>3</v>
      </c>
      <c r="G3" s="14">
        <v>1</v>
      </c>
      <c r="H3" s="14">
        <v>7</v>
      </c>
      <c r="I3" s="12">
        <f>SUM(C3:H3)</f>
        <v>27</v>
      </c>
      <c r="J3" s="15">
        <f>(I7)/(I3+I7+J5)</f>
        <v>0.91794871794871791</v>
      </c>
      <c r="K3" s="15">
        <f>(I7-I3-I4-J5)/(I7)</f>
        <v>0.85847299813780265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46321</v>
      </c>
      <c r="B4" s="12" t="s">
        <v>16</v>
      </c>
      <c r="C4" s="13">
        <v>7</v>
      </c>
      <c r="D4" s="13">
        <v>7</v>
      </c>
      <c r="E4" s="13">
        <v>4</v>
      </c>
      <c r="F4" s="14">
        <v>4</v>
      </c>
      <c r="G4" s="14">
        <v>3</v>
      </c>
      <c r="H4" s="14">
        <v>3</v>
      </c>
      <c r="I4" s="12">
        <f>SUM(C4:H4)</f>
        <v>28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46321</v>
      </c>
      <c r="B5" s="12" t="s">
        <v>17</v>
      </c>
      <c r="C5" s="14">
        <v>21</v>
      </c>
      <c r="D5" s="14">
        <v>15</v>
      </c>
      <c r="E5" s="14">
        <v>24</v>
      </c>
      <c r="F5" s="14">
        <v>18</v>
      </c>
      <c r="G5" s="14">
        <v>22</v>
      </c>
      <c r="H5" s="14">
        <v>12</v>
      </c>
      <c r="I5" s="12">
        <f t="shared" ref="I5:I8" si="0">SUM(C5:H5)</f>
        <v>112</v>
      </c>
      <c r="J5" s="19">
        <v>21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46321</v>
      </c>
      <c r="B6" s="12" t="s">
        <v>18</v>
      </c>
      <c r="C6" s="14">
        <f t="shared" ref="C6:H6" si="1">SUM(C7-C4-C3-C8)</f>
        <v>110</v>
      </c>
      <c r="D6" s="14">
        <f t="shared" si="1"/>
        <v>97</v>
      </c>
      <c r="E6" s="14">
        <f t="shared" si="1"/>
        <v>75</v>
      </c>
      <c r="F6" s="14">
        <f t="shared" si="1"/>
        <v>74</v>
      </c>
      <c r="G6" s="14">
        <f t="shared" si="1"/>
        <v>53</v>
      </c>
      <c r="H6" s="14">
        <f t="shared" si="1"/>
        <v>65</v>
      </c>
      <c r="I6" s="21">
        <f t="shared" si="0"/>
        <v>474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46321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46321</v>
      </c>
      <c r="B8" s="12" t="s">
        <v>20</v>
      </c>
      <c r="C8" s="14">
        <v>3</v>
      </c>
      <c r="D8" s="14">
        <v>1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8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46321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46321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3</v>
      </c>
      <c r="J14" s="35">
        <v>0</v>
      </c>
      <c r="K14" s="35">
        <f>SUM(K13-K15-K16)</f>
        <v>0</v>
      </c>
      <c r="L14" s="36">
        <f>SUM(C14:K14)</f>
        <v>198</v>
      </c>
      <c r="M14" s="37"/>
      <c r="N14" s="32"/>
      <c r="O14" s="38"/>
      <c r="P14" s="39"/>
    </row>
    <row r="15" spans="1:32" s="17" customFormat="1" ht="15" customHeight="1" x14ac:dyDescent="0.25">
      <c r="A15" s="11">
        <v>46321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1</v>
      </c>
      <c r="J15" s="40">
        <v>0</v>
      </c>
      <c r="K15" s="40">
        <v>0</v>
      </c>
      <c r="L15" s="41">
        <f>SUM(C15:K15)</f>
        <v>1</v>
      </c>
      <c r="M15" s="42"/>
      <c r="N15" s="43"/>
      <c r="O15" s="44"/>
      <c r="P15" s="38"/>
    </row>
    <row r="16" spans="1:32" s="17" customFormat="1" ht="18" customHeight="1" x14ac:dyDescent="0.25">
      <c r="A16" s="11">
        <v>46321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46321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3</v>
      </c>
      <c r="J17" s="48">
        <v>0</v>
      </c>
      <c r="K17" s="48">
        <f t="shared" si="2"/>
        <v>0</v>
      </c>
      <c r="L17" s="49">
        <f>SUM(C17:K17)</f>
        <v>198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693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27" priority="99" stopIfTrue="1" timePeriod="lastMonth">
      <formula>AND(MONTH(A3)=MONTH(EDATE(TODAY(),0-1)),YEAR(A3)=YEAR(EDATE(TODAY(),0-1)))</formula>
    </cfRule>
  </conditionalFormatting>
  <conditionalFormatting sqref="A13:A17">
    <cfRule type="timePeriod" dxfId="26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07"/>
  <sheetViews>
    <sheetView zoomScale="90" zoomScaleNormal="90" workbookViewId="0">
      <selection activeCell="T17" sqref="T1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46321</v>
      </c>
      <c r="B2" s="12" t="s">
        <v>15</v>
      </c>
      <c r="C2" s="13">
        <v>5</v>
      </c>
      <c r="D2" s="13">
        <v>3</v>
      </c>
      <c r="E2" s="13">
        <v>8</v>
      </c>
      <c r="F2" s="14">
        <v>3</v>
      </c>
      <c r="G2" s="14">
        <v>1</v>
      </c>
      <c r="H2" s="14">
        <v>7</v>
      </c>
      <c r="I2" s="12">
        <f>SUM(C2:H2)</f>
        <v>27</v>
      </c>
      <c r="J2" s="15">
        <f>(I6)/(I2+I6+J4)</f>
        <v>0.91794871794871791</v>
      </c>
      <c r="K2" s="15">
        <f>(I6-I2-I3-J4)/(I6)</f>
        <v>0.85847299813780265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46321</v>
      </c>
      <c r="B3" s="12" t="s">
        <v>16</v>
      </c>
      <c r="C3" s="13">
        <v>7</v>
      </c>
      <c r="D3" s="13">
        <v>7</v>
      </c>
      <c r="E3" s="13">
        <v>4</v>
      </c>
      <c r="F3" s="14">
        <v>4</v>
      </c>
      <c r="G3" s="14">
        <v>3</v>
      </c>
      <c r="H3" s="14">
        <v>3</v>
      </c>
      <c r="I3" s="12">
        <f>SUM(C3:H3)</f>
        <v>28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46321</v>
      </c>
      <c r="B4" s="12" t="s">
        <v>17</v>
      </c>
      <c r="C4" s="14">
        <v>21</v>
      </c>
      <c r="D4" s="14">
        <v>15</v>
      </c>
      <c r="E4" s="14">
        <v>24</v>
      </c>
      <c r="F4" s="14">
        <v>18</v>
      </c>
      <c r="G4" s="14">
        <v>22</v>
      </c>
      <c r="H4" s="14">
        <v>12</v>
      </c>
      <c r="I4" s="12">
        <f t="shared" ref="I4:I7" si="0">SUM(C4:H4)</f>
        <v>112</v>
      </c>
      <c r="J4" s="19">
        <v>21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46321</v>
      </c>
      <c r="B5" s="12" t="s">
        <v>18</v>
      </c>
      <c r="C5" s="14">
        <f t="shared" ref="C5:H5" si="1">SUM(C6-C3-C2-C7)</f>
        <v>110</v>
      </c>
      <c r="D5" s="14">
        <f t="shared" si="1"/>
        <v>97</v>
      </c>
      <c r="E5" s="14">
        <f t="shared" si="1"/>
        <v>75</v>
      </c>
      <c r="F5" s="14">
        <f t="shared" si="1"/>
        <v>74</v>
      </c>
      <c r="G5" s="14">
        <f t="shared" si="1"/>
        <v>53</v>
      </c>
      <c r="H5" s="14">
        <f t="shared" si="1"/>
        <v>65</v>
      </c>
      <c r="I5" s="21">
        <f t="shared" si="0"/>
        <v>474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46321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46321</v>
      </c>
      <c r="B7" s="12" t="s">
        <v>20</v>
      </c>
      <c r="C7" s="14">
        <v>3</v>
      </c>
      <c r="D7" s="14">
        <v>1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8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46320</v>
      </c>
      <c r="B8" s="12" t="s">
        <v>15</v>
      </c>
      <c r="C8" s="13">
        <v>5</v>
      </c>
      <c r="D8" s="13">
        <v>3</v>
      </c>
      <c r="E8" s="13">
        <v>8</v>
      </c>
      <c r="F8" s="14">
        <v>3</v>
      </c>
      <c r="G8" s="14">
        <v>1</v>
      </c>
      <c r="H8" s="14">
        <v>7</v>
      </c>
      <c r="I8" s="12">
        <f>SUM(C8:H8)</f>
        <v>27</v>
      </c>
      <c r="J8" s="15">
        <f>(I12)/(I8+I12+J10)</f>
        <v>0.91794871794871791</v>
      </c>
      <c r="K8" s="15">
        <f>(I12-I8-I9-J10)/(I12)</f>
        <v>0.85847299813780265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46320</v>
      </c>
      <c r="B9" s="12" t="s">
        <v>16</v>
      </c>
      <c r="C9" s="13">
        <v>7</v>
      </c>
      <c r="D9" s="13">
        <v>7</v>
      </c>
      <c r="E9" s="13">
        <v>4</v>
      </c>
      <c r="F9" s="14">
        <v>4</v>
      </c>
      <c r="G9" s="14">
        <v>3</v>
      </c>
      <c r="H9" s="14">
        <v>3</v>
      </c>
      <c r="I9" s="12">
        <f>SUM(C9:H9)</f>
        <v>28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46320</v>
      </c>
      <c r="B10" s="12" t="s">
        <v>17</v>
      </c>
      <c r="C10" s="14">
        <v>21</v>
      </c>
      <c r="D10" s="14">
        <v>15</v>
      </c>
      <c r="E10" s="14">
        <v>24</v>
      </c>
      <c r="F10" s="14">
        <v>18</v>
      </c>
      <c r="G10" s="14">
        <v>22</v>
      </c>
      <c r="H10" s="14">
        <v>12</v>
      </c>
      <c r="I10" s="12">
        <f t="shared" ref="I10:I13" si="2">SUM(C10:H10)</f>
        <v>112</v>
      </c>
      <c r="J10" s="19">
        <v>21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46320</v>
      </c>
      <c r="B11" s="12" t="s">
        <v>18</v>
      </c>
      <c r="C11" s="14">
        <f t="shared" ref="C11:H11" si="3">SUM(C12-C9-C8-C13)</f>
        <v>110</v>
      </c>
      <c r="D11" s="14">
        <f t="shared" si="3"/>
        <v>97</v>
      </c>
      <c r="E11" s="14">
        <f t="shared" si="3"/>
        <v>75</v>
      </c>
      <c r="F11" s="14">
        <f t="shared" si="3"/>
        <v>74</v>
      </c>
      <c r="G11" s="14">
        <f t="shared" si="3"/>
        <v>53</v>
      </c>
      <c r="H11" s="14">
        <f t="shared" si="3"/>
        <v>65</v>
      </c>
      <c r="I11" s="21">
        <f t="shared" si="2"/>
        <v>474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46320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46320</v>
      </c>
      <c r="B13" s="12" t="s">
        <v>20</v>
      </c>
      <c r="C13" s="14">
        <v>3</v>
      </c>
      <c r="D13" s="14">
        <v>1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8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46319</v>
      </c>
      <c r="B14" s="12" t="s">
        <v>15</v>
      </c>
      <c r="C14" s="13">
        <v>8</v>
      </c>
      <c r="D14" s="13">
        <v>2</v>
      </c>
      <c r="E14" s="13">
        <v>10</v>
      </c>
      <c r="F14" s="14">
        <v>1</v>
      </c>
      <c r="G14" s="14">
        <v>2</v>
      </c>
      <c r="H14" s="14">
        <v>9</v>
      </c>
      <c r="I14" s="12">
        <f>SUM(C14:H14)</f>
        <v>32</v>
      </c>
      <c r="J14" s="15">
        <f>(I18)/(I14+I18+J16)</f>
        <v>0.9101694915254237</v>
      </c>
      <c r="K14" s="15">
        <f>(I18-I14-I15-J16)/(I18)</f>
        <v>0.84729981378026076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46319</v>
      </c>
      <c r="B15" s="12" t="s">
        <v>16</v>
      </c>
      <c r="C15" s="13">
        <v>6</v>
      </c>
      <c r="D15" s="13">
        <v>8</v>
      </c>
      <c r="E15" s="13">
        <v>4</v>
      </c>
      <c r="F15" s="14">
        <v>5</v>
      </c>
      <c r="G15" s="14">
        <v>3</v>
      </c>
      <c r="H15" s="14">
        <v>3</v>
      </c>
      <c r="I15" s="12">
        <f>SUM(C15:H15)</f>
        <v>29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46319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ref="I16:I19" si="4">SUM(C16:H16)</f>
        <v>114</v>
      </c>
      <c r="J16" s="19">
        <v>21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46319</v>
      </c>
      <c r="B17" s="12" t="s">
        <v>18</v>
      </c>
      <c r="C17" s="14">
        <f t="shared" ref="C17:H17" si="5">SUM(C18-C15-C14-C19)</f>
        <v>108</v>
      </c>
      <c r="D17" s="14">
        <f t="shared" si="5"/>
        <v>97</v>
      </c>
      <c r="E17" s="14">
        <f t="shared" si="5"/>
        <v>73</v>
      </c>
      <c r="F17" s="14">
        <f t="shared" si="5"/>
        <v>75</v>
      </c>
      <c r="G17" s="14">
        <f t="shared" si="5"/>
        <v>52</v>
      </c>
      <c r="H17" s="14">
        <f t="shared" si="5"/>
        <v>63</v>
      </c>
      <c r="I17" s="21">
        <f t="shared" si="4"/>
        <v>468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46319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46319</v>
      </c>
      <c r="B19" s="12" t="s">
        <v>20</v>
      </c>
      <c r="C19" s="14">
        <v>3</v>
      </c>
      <c r="D19" s="14">
        <v>1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8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46318</v>
      </c>
      <c r="B20" s="12" t="s">
        <v>15</v>
      </c>
      <c r="C20" s="13">
        <v>7</v>
      </c>
      <c r="D20" s="13">
        <v>3</v>
      </c>
      <c r="E20" s="13">
        <v>10</v>
      </c>
      <c r="F20" s="14">
        <v>4</v>
      </c>
      <c r="G20" s="14">
        <v>4</v>
      </c>
      <c r="H20" s="14">
        <v>7</v>
      </c>
      <c r="I20" s="12">
        <f>SUM(C20:H20)</f>
        <v>35</v>
      </c>
      <c r="J20" s="15">
        <f>(I24)/(I20+I24+J22)</f>
        <v>0.90404040404040409</v>
      </c>
      <c r="K20" s="15">
        <f>(I24-I20-I21-J22)/(I24)</f>
        <v>0.84543761638733705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46318</v>
      </c>
      <c r="B21" s="12" t="s">
        <v>16</v>
      </c>
      <c r="C21" s="13">
        <v>7</v>
      </c>
      <c r="D21" s="13">
        <v>8</v>
      </c>
      <c r="E21" s="13">
        <v>4</v>
      </c>
      <c r="F21" s="14">
        <v>2</v>
      </c>
      <c r="G21" s="14">
        <v>2</v>
      </c>
      <c r="H21" s="14">
        <v>3</v>
      </c>
      <c r="I21" s="12">
        <f>SUM(C21:H21)</f>
        <v>26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46318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ref="I22:I25" si="6">SUM(C22:H22)</f>
        <v>114</v>
      </c>
      <c r="J22" s="19">
        <v>22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46318</v>
      </c>
      <c r="B23" s="12" t="s">
        <v>18</v>
      </c>
      <c r="C23" s="14">
        <f t="shared" ref="C23:H23" si="7">SUM(C24-C21-C20-C25)</f>
        <v>108</v>
      </c>
      <c r="D23" s="14">
        <f t="shared" si="7"/>
        <v>96</v>
      </c>
      <c r="E23" s="14">
        <f t="shared" si="7"/>
        <v>73</v>
      </c>
      <c r="F23" s="14">
        <f t="shared" si="7"/>
        <v>75</v>
      </c>
      <c r="G23" s="14">
        <f t="shared" si="7"/>
        <v>51</v>
      </c>
      <c r="H23" s="14">
        <f t="shared" si="7"/>
        <v>65</v>
      </c>
      <c r="I23" s="21">
        <f t="shared" si="6"/>
        <v>468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46318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46318</v>
      </c>
      <c r="B25" s="12" t="s">
        <v>20</v>
      </c>
      <c r="C25" s="14">
        <v>3</v>
      </c>
      <c r="D25" s="14">
        <v>1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8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46317</v>
      </c>
      <c r="B26" s="12" t="s">
        <v>15</v>
      </c>
      <c r="C26" s="13">
        <v>8</v>
      </c>
      <c r="D26" s="13">
        <v>3</v>
      </c>
      <c r="E26" s="13">
        <v>8</v>
      </c>
      <c r="F26" s="14">
        <v>4</v>
      </c>
      <c r="G26" s="14">
        <v>2</v>
      </c>
      <c r="H26" s="14">
        <v>7</v>
      </c>
      <c r="I26" s="12">
        <f>SUM(C26:H26)</f>
        <v>32</v>
      </c>
      <c r="J26" s="15">
        <f>(I30)/(I26+I30+J28)</f>
        <v>0.90862944162436543</v>
      </c>
      <c r="K26" s="15">
        <f>(I30-I26-I27-J28)/(I30)</f>
        <v>0.84357541899441346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46317</v>
      </c>
      <c r="B27" s="12" t="s">
        <v>16</v>
      </c>
      <c r="C27" s="13">
        <v>9</v>
      </c>
      <c r="D27" s="13">
        <v>8</v>
      </c>
      <c r="E27" s="13">
        <v>4</v>
      </c>
      <c r="F27" s="14">
        <v>2</v>
      </c>
      <c r="G27" s="14">
        <v>2</v>
      </c>
      <c r="H27" s="14">
        <v>5</v>
      </c>
      <c r="I27" s="12">
        <f>SUM(C27:H27)</f>
        <v>30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46317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ref="I28:I31" si="8">SUM(C28:H28)</f>
        <v>114</v>
      </c>
      <c r="J28" s="19">
        <v>22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46317</v>
      </c>
      <c r="B29" s="12" t="s">
        <v>18</v>
      </c>
      <c r="C29" s="14">
        <f t="shared" ref="C29:H29" si="9">SUM(C30-C27-C26-C31)</f>
        <v>105</v>
      </c>
      <c r="D29" s="14">
        <f t="shared" si="9"/>
        <v>95</v>
      </c>
      <c r="E29" s="14">
        <f t="shared" si="9"/>
        <v>75</v>
      </c>
      <c r="F29" s="14">
        <f t="shared" si="9"/>
        <v>75</v>
      </c>
      <c r="G29" s="14">
        <f t="shared" si="9"/>
        <v>53</v>
      </c>
      <c r="H29" s="14">
        <f t="shared" si="9"/>
        <v>63</v>
      </c>
      <c r="I29" s="21">
        <f t="shared" si="8"/>
        <v>466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46317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46317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46316</v>
      </c>
      <c r="B32" s="12" t="s">
        <v>15</v>
      </c>
      <c r="C32" s="13">
        <v>8</v>
      </c>
      <c r="D32" s="13">
        <v>3</v>
      </c>
      <c r="E32" s="13">
        <v>8</v>
      </c>
      <c r="F32" s="14">
        <v>3</v>
      </c>
      <c r="G32" s="14">
        <v>2</v>
      </c>
      <c r="H32" s="14">
        <v>5</v>
      </c>
      <c r="I32" s="12">
        <f>SUM(C32:H32)</f>
        <v>29</v>
      </c>
      <c r="J32" s="15">
        <f>(I36)/(I32+I36+J34)</f>
        <v>0.91326530612244894</v>
      </c>
      <c r="K32" s="15">
        <f>(I36-I32-I33-J34)/(I36)</f>
        <v>0.84357541899441346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46316</v>
      </c>
      <c r="B33" s="12" t="s">
        <v>16</v>
      </c>
      <c r="C33" s="13">
        <v>9</v>
      </c>
      <c r="D33" s="13">
        <v>8</v>
      </c>
      <c r="E33" s="13">
        <v>5</v>
      </c>
      <c r="F33" s="14">
        <v>3</v>
      </c>
      <c r="G33" s="14">
        <v>2</v>
      </c>
      <c r="H33" s="14">
        <v>6</v>
      </c>
      <c r="I33" s="12">
        <f>SUM(C33:H33)</f>
        <v>33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46316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ref="I34:I37" si="10">SUM(C34:H34)</f>
        <v>114</v>
      </c>
      <c r="J34" s="19">
        <v>22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46316</v>
      </c>
      <c r="B35" s="12" t="s">
        <v>18</v>
      </c>
      <c r="C35" s="14">
        <f t="shared" ref="C35:H35" si="11">SUM(C36-C33-C32-C37)</f>
        <v>105</v>
      </c>
      <c r="D35" s="14">
        <f t="shared" si="11"/>
        <v>95</v>
      </c>
      <c r="E35" s="14">
        <f t="shared" si="11"/>
        <v>74</v>
      </c>
      <c r="F35" s="14">
        <f t="shared" si="11"/>
        <v>75</v>
      </c>
      <c r="G35" s="14">
        <f t="shared" si="11"/>
        <v>53</v>
      </c>
      <c r="H35" s="14">
        <f t="shared" si="11"/>
        <v>64</v>
      </c>
      <c r="I35" s="21">
        <f t="shared" si="10"/>
        <v>466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46316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46316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46315</v>
      </c>
      <c r="B38" s="12" t="s">
        <v>15</v>
      </c>
      <c r="C38" s="13">
        <v>7</v>
      </c>
      <c r="D38" s="13">
        <v>6</v>
      </c>
      <c r="E38" s="13">
        <v>9</v>
      </c>
      <c r="F38" s="14">
        <v>4</v>
      </c>
      <c r="G38" s="14">
        <v>3</v>
      </c>
      <c r="H38" s="14">
        <v>6</v>
      </c>
      <c r="I38" s="12">
        <f>SUM(C38:H38)</f>
        <v>35</v>
      </c>
      <c r="J38" s="15">
        <f>(I42)/(I38+I42+J40)</f>
        <v>0.89649415692821366</v>
      </c>
      <c r="K38" s="15">
        <f>(I42-I38-I39-J40)/(I42)</f>
        <v>0.81750465549348228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46315</v>
      </c>
      <c r="B39" s="12" t="s">
        <v>16</v>
      </c>
      <c r="C39" s="13">
        <v>11</v>
      </c>
      <c r="D39" s="13">
        <v>8</v>
      </c>
      <c r="E39" s="13">
        <v>5</v>
      </c>
      <c r="F39" s="14">
        <v>3</v>
      </c>
      <c r="G39" s="14">
        <v>3</v>
      </c>
      <c r="H39" s="14">
        <v>6</v>
      </c>
      <c r="I39" s="12">
        <f>SUM(C39:H39)</f>
        <v>36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46315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ref="I40:I43" si="12">SUM(C40:H40)</f>
        <v>114</v>
      </c>
      <c r="J40" s="19">
        <v>27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46315</v>
      </c>
      <c r="B41" s="12" t="s">
        <v>18</v>
      </c>
      <c r="C41" s="14">
        <f t="shared" ref="C41:H41" si="13">SUM(C42-C39-C38-C43)</f>
        <v>104</v>
      </c>
      <c r="D41" s="14">
        <f t="shared" si="13"/>
        <v>92</v>
      </c>
      <c r="E41" s="14">
        <f t="shared" si="13"/>
        <v>73</v>
      </c>
      <c r="F41" s="14">
        <f t="shared" si="13"/>
        <v>74</v>
      </c>
      <c r="G41" s="14">
        <f t="shared" si="13"/>
        <v>51</v>
      </c>
      <c r="H41" s="14">
        <f t="shared" si="13"/>
        <v>63</v>
      </c>
      <c r="I41" s="21">
        <f t="shared" si="12"/>
        <v>457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46315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46315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46314</v>
      </c>
      <c r="B44" s="12" t="s">
        <v>15</v>
      </c>
      <c r="C44" s="13">
        <v>8</v>
      </c>
      <c r="D44" s="13">
        <v>5</v>
      </c>
      <c r="E44" s="13">
        <v>10</v>
      </c>
      <c r="F44" s="14">
        <v>4</v>
      </c>
      <c r="G44" s="14">
        <v>2</v>
      </c>
      <c r="H44" s="14">
        <v>4</v>
      </c>
      <c r="I44" s="12">
        <f>SUM(C44:H44)</f>
        <v>33</v>
      </c>
      <c r="J44" s="15">
        <f>(I48)/(I44+I48+J46)</f>
        <v>0.90252100840336136</v>
      </c>
      <c r="K44" s="15">
        <f>(I48-I44-I45-J46)/(I48)</f>
        <v>0.83240223463687146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46314</v>
      </c>
      <c r="B45" s="12" t="s">
        <v>16</v>
      </c>
      <c r="C45" s="13">
        <v>9</v>
      </c>
      <c r="D45" s="13">
        <v>6</v>
      </c>
      <c r="E45" s="13">
        <v>4</v>
      </c>
      <c r="F45" s="14">
        <v>3</v>
      </c>
      <c r="G45" s="14">
        <v>3</v>
      </c>
      <c r="H45" s="14">
        <v>7</v>
      </c>
      <c r="I45" s="12">
        <f>SUM(C45:H45)</f>
        <v>32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46314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ref="I46:I49" si="14">SUM(C46:H46)</f>
        <v>114</v>
      </c>
      <c r="J46" s="19">
        <v>25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46314</v>
      </c>
      <c r="B47" s="12" t="s">
        <v>18</v>
      </c>
      <c r="C47" s="14">
        <f t="shared" ref="C47:H47" si="15">SUM(C48-C45-C44-C49)</f>
        <v>105</v>
      </c>
      <c r="D47" s="14">
        <f t="shared" si="15"/>
        <v>95</v>
      </c>
      <c r="E47" s="14">
        <f t="shared" si="15"/>
        <v>73</v>
      </c>
      <c r="F47" s="14">
        <f t="shared" si="15"/>
        <v>74</v>
      </c>
      <c r="G47" s="14">
        <f t="shared" si="15"/>
        <v>52</v>
      </c>
      <c r="H47" s="14">
        <f t="shared" si="15"/>
        <v>64</v>
      </c>
      <c r="I47" s="21">
        <f t="shared" si="14"/>
        <v>463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46314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46314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46313</v>
      </c>
      <c r="B50" s="12" t="s">
        <v>15</v>
      </c>
      <c r="C50" s="13">
        <v>9</v>
      </c>
      <c r="D50" s="13">
        <v>4</v>
      </c>
      <c r="E50" s="13">
        <v>8</v>
      </c>
      <c r="F50" s="14">
        <v>4</v>
      </c>
      <c r="G50" s="14">
        <v>2</v>
      </c>
      <c r="H50" s="14">
        <v>6</v>
      </c>
      <c r="I50" s="12">
        <f>SUM(C50:H50)</f>
        <v>33</v>
      </c>
      <c r="J50" s="15">
        <f>(I54)/(I50+I54+J52)</f>
        <v>0.90252100840336136</v>
      </c>
      <c r="K50" s="15">
        <f>(I54-I50-I51-J52)/(I54)</f>
        <v>0.82681564245810057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46313</v>
      </c>
      <c r="B51" s="12" t="s">
        <v>16</v>
      </c>
      <c r="C51" s="13">
        <v>11</v>
      </c>
      <c r="D51" s="13">
        <v>7</v>
      </c>
      <c r="E51" s="13">
        <v>5</v>
      </c>
      <c r="F51" s="14">
        <v>3</v>
      </c>
      <c r="G51" s="14">
        <v>3</v>
      </c>
      <c r="H51" s="14">
        <v>6</v>
      </c>
      <c r="I51" s="12">
        <f>SUM(C51:H51)</f>
        <v>35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46313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ref="I52:I55" si="16">SUM(C52:H52)</f>
        <v>114</v>
      </c>
      <c r="J52" s="19">
        <v>25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46313</v>
      </c>
      <c r="B53" s="12" t="s">
        <v>18</v>
      </c>
      <c r="C53" s="14">
        <f t="shared" ref="C53:H53" si="17">SUM(C54-C51-C50-C55)</f>
        <v>102</v>
      </c>
      <c r="D53" s="14">
        <f t="shared" si="17"/>
        <v>95</v>
      </c>
      <c r="E53" s="14">
        <f t="shared" si="17"/>
        <v>74</v>
      </c>
      <c r="F53" s="14">
        <f t="shared" si="17"/>
        <v>74</v>
      </c>
      <c r="G53" s="14">
        <f t="shared" si="17"/>
        <v>52</v>
      </c>
      <c r="H53" s="14">
        <f t="shared" si="17"/>
        <v>63</v>
      </c>
      <c r="I53" s="21">
        <f t="shared" si="16"/>
        <v>460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46313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46313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46312</v>
      </c>
      <c r="B56" s="12" t="s">
        <v>15</v>
      </c>
      <c r="C56" s="13">
        <v>9</v>
      </c>
      <c r="D56" s="13">
        <v>6</v>
      </c>
      <c r="E56" s="13">
        <v>8</v>
      </c>
      <c r="F56" s="14">
        <v>4</v>
      </c>
      <c r="G56" s="14">
        <v>2</v>
      </c>
      <c r="H56" s="14">
        <v>6</v>
      </c>
      <c r="I56" s="12">
        <f>SUM(C56:H56)</f>
        <v>35</v>
      </c>
      <c r="J56" s="15">
        <f>(I60)/(I56+I60+J58)</f>
        <v>0.89500000000000002</v>
      </c>
      <c r="K56" s="15">
        <f>(I60-I56-I57-J58)/(I60)</f>
        <v>0.81191806331471139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46312</v>
      </c>
      <c r="B57" s="12" t="s">
        <v>16</v>
      </c>
      <c r="C57" s="13">
        <v>9</v>
      </c>
      <c r="D57" s="13">
        <v>8</v>
      </c>
      <c r="E57" s="13">
        <v>8</v>
      </c>
      <c r="F57" s="14">
        <v>3</v>
      </c>
      <c r="G57" s="14">
        <v>3</v>
      </c>
      <c r="H57" s="14">
        <v>7</v>
      </c>
      <c r="I57" s="12">
        <f t="shared" ref="I57:I61" si="18">SUM(C57:H57)</f>
        <v>38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46312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28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46312</v>
      </c>
      <c r="B59" s="12" t="s">
        <v>18</v>
      </c>
      <c r="C59" s="14">
        <f t="shared" ref="C59:H59" si="19">SUM(C60-C57-C56-C61)</f>
        <v>104</v>
      </c>
      <c r="D59" s="14">
        <f t="shared" si="19"/>
        <v>92</v>
      </c>
      <c r="E59" s="14">
        <f t="shared" si="19"/>
        <v>71</v>
      </c>
      <c r="F59" s="14">
        <f t="shared" si="19"/>
        <v>74</v>
      </c>
      <c r="G59" s="14">
        <f t="shared" si="19"/>
        <v>52</v>
      </c>
      <c r="H59" s="14">
        <f t="shared" si="19"/>
        <v>62</v>
      </c>
      <c r="I59" s="21">
        <f t="shared" si="18"/>
        <v>455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46312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46312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46311</v>
      </c>
      <c r="B62" s="12" t="s">
        <v>15</v>
      </c>
      <c r="C62" s="13">
        <v>10</v>
      </c>
      <c r="D62" s="13">
        <v>6</v>
      </c>
      <c r="E62" s="13">
        <v>7</v>
      </c>
      <c r="F62" s="14">
        <v>5</v>
      </c>
      <c r="G62" s="14">
        <v>2</v>
      </c>
      <c r="H62" s="14">
        <v>6</v>
      </c>
      <c r="I62" s="12">
        <f>SUM(C62:H62)</f>
        <v>36</v>
      </c>
      <c r="J62" s="15">
        <f>(I66)/(I62+I66+J64)</f>
        <v>0.89799331103678925</v>
      </c>
      <c r="K62" s="15">
        <f>(I66-I62-I63-J64)/(I66)</f>
        <v>0.82495344506517687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46311</v>
      </c>
      <c r="B63" s="12" t="s">
        <v>16</v>
      </c>
      <c r="C63" s="13">
        <v>10</v>
      </c>
      <c r="D63" s="13">
        <v>7</v>
      </c>
      <c r="E63" s="13">
        <v>7</v>
      </c>
      <c r="F63" s="14">
        <v>3</v>
      </c>
      <c r="G63" s="14">
        <v>1</v>
      </c>
      <c r="H63" s="14">
        <v>5</v>
      </c>
      <c r="I63" s="12">
        <f t="shared" ref="I63:I67" si="20">SUM(C63:H63)</f>
        <v>33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46311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25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46311</v>
      </c>
      <c r="B65" s="12" t="s">
        <v>18</v>
      </c>
      <c r="C65" s="14">
        <f t="shared" ref="C65:H65" si="21">SUM(C66-C63-C62-C67)</f>
        <v>102</v>
      </c>
      <c r="D65" s="14">
        <f t="shared" si="21"/>
        <v>93</v>
      </c>
      <c r="E65" s="14">
        <f t="shared" si="21"/>
        <v>73</v>
      </c>
      <c r="F65" s="14">
        <f t="shared" si="21"/>
        <v>73</v>
      </c>
      <c r="G65" s="14">
        <f t="shared" si="21"/>
        <v>54</v>
      </c>
      <c r="H65" s="14">
        <f t="shared" si="21"/>
        <v>64</v>
      </c>
      <c r="I65" s="21">
        <f t="shared" si="20"/>
        <v>459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46311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46311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46310</v>
      </c>
      <c r="B68" s="12" t="s">
        <v>15</v>
      </c>
      <c r="C68" s="13">
        <v>12</v>
      </c>
      <c r="D68" s="13">
        <v>5</v>
      </c>
      <c r="E68" s="13">
        <v>6</v>
      </c>
      <c r="F68" s="14">
        <v>5</v>
      </c>
      <c r="G68" s="14">
        <v>2</v>
      </c>
      <c r="H68" s="14">
        <v>5</v>
      </c>
      <c r="I68" s="12">
        <f t="shared" ref="I68:I73" si="22">SUM(C68:H68)</f>
        <v>35</v>
      </c>
      <c r="J68" s="15">
        <f>(I72)/(I68+I72+J70)</f>
        <v>0.89649415692821366</v>
      </c>
      <c r="K68" s="15">
        <f>(I72-I68-I69-J70)/(I72)</f>
        <v>0.83985102420856605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46310</v>
      </c>
      <c r="B69" s="12" t="s">
        <v>16</v>
      </c>
      <c r="C69" s="13">
        <v>5</v>
      </c>
      <c r="D69" s="13">
        <v>5</v>
      </c>
      <c r="E69" s="13">
        <v>4</v>
      </c>
      <c r="F69" s="14">
        <v>4</v>
      </c>
      <c r="G69" s="14">
        <v>1</v>
      </c>
      <c r="H69" s="14">
        <v>5</v>
      </c>
      <c r="I69" s="12">
        <f t="shared" si="22"/>
        <v>24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46310</v>
      </c>
      <c r="B70" s="12" t="s">
        <v>17</v>
      </c>
      <c r="C70" s="14">
        <v>20</v>
      </c>
      <c r="D70" s="14">
        <v>15</v>
      </c>
      <c r="E70" s="14">
        <v>25</v>
      </c>
      <c r="F70" s="14">
        <v>18</v>
      </c>
      <c r="G70" s="14">
        <v>23</v>
      </c>
      <c r="H70" s="14">
        <v>13</v>
      </c>
      <c r="I70" s="12">
        <f t="shared" si="22"/>
        <v>114</v>
      </c>
      <c r="J70" s="19">
        <v>27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46310</v>
      </c>
      <c r="B71" s="12" t="s">
        <v>18</v>
      </c>
      <c r="C71" s="14">
        <f t="shared" ref="C71:H71" si="23">SUM(C72-C69-C68-C73)</f>
        <v>105</v>
      </c>
      <c r="D71" s="14">
        <f t="shared" si="23"/>
        <v>96</v>
      </c>
      <c r="E71" s="14">
        <f t="shared" si="23"/>
        <v>77</v>
      </c>
      <c r="F71" s="14">
        <f t="shared" si="23"/>
        <v>72</v>
      </c>
      <c r="G71" s="14">
        <f t="shared" si="23"/>
        <v>54</v>
      </c>
      <c r="H71" s="14">
        <f t="shared" si="23"/>
        <v>65</v>
      </c>
      <c r="I71" s="21">
        <f t="shared" si="22"/>
        <v>469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46310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46310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46309</v>
      </c>
      <c r="B74" s="12" t="s">
        <v>15</v>
      </c>
      <c r="C74" s="13">
        <v>8</v>
      </c>
      <c r="D74" s="13">
        <v>5</v>
      </c>
      <c r="E74" s="13">
        <v>6</v>
      </c>
      <c r="F74" s="14">
        <v>5</v>
      </c>
      <c r="G74" s="14">
        <v>2</v>
      </c>
      <c r="H74" s="14">
        <v>5</v>
      </c>
      <c r="I74" s="12">
        <f t="shared" ref="I74:I79" si="24">SUM(C74:H74)</f>
        <v>31</v>
      </c>
      <c r="J74" s="15">
        <f>(I78)/(I74+I78+J76)</f>
        <v>0.90252100840336136</v>
      </c>
      <c r="K74" s="15">
        <f>(I78-I74-I75-J76)/(I78)</f>
        <v>0.84357541899441346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46309</v>
      </c>
      <c r="B75" s="12" t="s">
        <v>16</v>
      </c>
      <c r="C75" s="13">
        <v>5</v>
      </c>
      <c r="D75" s="13">
        <v>7</v>
      </c>
      <c r="E75" s="13">
        <v>4</v>
      </c>
      <c r="F75" s="14">
        <v>4</v>
      </c>
      <c r="G75" s="14">
        <v>1</v>
      </c>
      <c r="H75" s="14">
        <v>5</v>
      </c>
      <c r="I75" s="12">
        <f t="shared" si="24"/>
        <v>26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46309</v>
      </c>
      <c r="B76" s="12" t="s">
        <v>17</v>
      </c>
      <c r="C76" s="14">
        <v>20</v>
      </c>
      <c r="D76" s="14">
        <v>15</v>
      </c>
      <c r="E76" s="14">
        <v>25</v>
      </c>
      <c r="F76" s="14">
        <v>18</v>
      </c>
      <c r="G76" s="14">
        <v>23</v>
      </c>
      <c r="H76" s="14">
        <v>13</v>
      </c>
      <c r="I76" s="12">
        <f t="shared" si="24"/>
        <v>114</v>
      </c>
      <c r="J76" s="19">
        <v>27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46309</v>
      </c>
      <c r="B77" s="12" t="s">
        <v>18</v>
      </c>
      <c r="C77" s="14">
        <f t="shared" ref="C77:H77" si="25">SUM(C78-C75-C74-C79)</f>
        <v>109</v>
      </c>
      <c r="D77" s="14">
        <f t="shared" si="25"/>
        <v>94</v>
      </c>
      <c r="E77" s="14">
        <f t="shared" si="25"/>
        <v>77</v>
      </c>
      <c r="F77" s="14">
        <f t="shared" si="25"/>
        <v>72</v>
      </c>
      <c r="G77" s="14">
        <f t="shared" si="25"/>
        <v>54</v>
      </c>
      <c r="H77" s="14">
        <f t="shared" si="25"/>
        <v>65</v>
      </c>
      <c r="I77" s="21">
        <f t="shared" si="24"/>
        <v>471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46309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46309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46308</v>
      </c>
      <c r="B80" s="12" t="s">
        <v>15</v>
      </c>
      <c r="C80" s="13">
        <v>8</v>
      </c>
      <c r="D80" s="13">
        <v>5</v>
      </c>
      <c r="E80" s="13">
        <v>7</v>
      </c>
      <c r="F80" s="14">
        <v>4</v>
      </c>
      <c r="G80" s="14">
        <v>2</v>
      </c>
      <c r="H80" s="14">
        <v>5</v>
      </c>
      <c r="I80" s="12">
        <f t="shared" ref="I80:I85" si="26">SUM(C80:H80)</f>
        <v>31</v>
      </c>
      <c r="J80" s="15">
        <f>(I84)/(I80+I84+J82)</f>
        <v>0.90725126475548057</v>
      </c>
      <c r="K80" s="15">
        <f>(I84-I80-I81-J82)/(I84)</f>
        <v>0.84758364312267653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46308</v>
      </c>
      <c r="B81" s="12" t="s">
        <v>16</v>
      </c>
      <c r="C81" s="13">
        <v>5</v>
      </c>
      <c r="D81" s="13">
        <v>7</v>
      </c>
      <c r="E81" s="13">
        <v>5</v>
      </c>
      <c r="F81" s="14">
        <v>4</v>
      </c>
      <c r="G81" s="14">
        <v>1</v>
      </c>
      <c r="H81" s="14">
        <v>5</v>
      </c>
      <c r="I81" s="12">
        <f t="shared" si="26"/>
        <v>27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46308</v>
      </c>
      <c r="B82" s="12" t="s">
        <v>17</v>
      </c>
      <c r="C82" s="14">
        <v>20</v>
      </c>
      <c r="D82" s="14">
        <v>15</v>
      </c>
      <c r="E82" s="14">
        <v>25</v>
      </c>
      <c r="F82" s="14">
        <v>18</v>
      </c>
      <c r="G82" s="14">
        <v>23</v>
      </c>
      <c r="H82" s="14">
        <v>13</v>
      </c>
      <c r="I82" s="12">
        <f t="shared" si="26"/>
        <v>114</v>
      </c>
      <c r="J82" s="19">
        <v>24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46308</v>
      </c>
      <c r="B83" s="12" t="s">
        <v>18</v>
      </c>
      <c r="C83" s="14">
        <f t="shared" ref="C83:H83" si="27">SUM(C84-C81-C80-C85)</f>
        <v>109</v>
      </c>
      <c r="D83" s="14">
        <f t="shared" si="27"/>
        <v>95</v>
      </c>
      <c r="E83" s="14">
        <f t="shared" si="27"/>
        <v>75</v>
      </c>
      <c r="F83" s="14">
        <f t="shared" si="27"/>
        <v>73</v>
      </c>
      <c r="G83" s="14">
        <f t="shared" si="27"/>
        <v>54</v>
      </c>
      <c r="H83" s="14">
        <f t="shared" si="27"/>
        <v>65</v>
      </c>
      <c r="I83" s="21">
        <f t="shared" si="26"/>
        <v>471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46308</v>
      </c>
      <c r="B84" s="23" t="s">
        <v>19</v>
      </c>
      <c r="C84" s="23">
        <v>125</v>
      </c>
      <c r="D84" s="23">
        <v>109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538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46308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46307</v>
      </c>
      <c r="B86" s="12" t="s">
        <v>15</v>
      </c>
      <c r="C86" s="13">
        <v>7</v>
      </c>
      <c r="D86" s="13">
        <v>8</v>
      </c>
      <c r="E86" s="13">
        <v>7</v>
      </c>
      <c r="F86" s="14">
        <v>5</v>
      </c>
      <c r="G86" s="14">
        <v>2</v>
      </c>
      <c r="H86" s="14">
        <v>5</v>
      </c>
      <c r="I86" s="12">
        <f t="shared" ref="I86:I91" si="28">SUM(C86:H86)</f>
        <v>34</v>
      </c>
      <c r="J86" s="15">
        <f>(I90)/(I86+I90+J88)</f>
        <v>0.90252100840336136</v>
      </c>
      <c r="K86" s="15">
        <f>(I90-I86-I87-J88)/(I90)</f>
        <v>0.84171322160148976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46307</v>
      </c>
      <c r="B87" s="12" t="s">
        <v>16</v>
      </c>
      <c r="C87" s="13">
        <v>7</v>
      </c>
      <c r="D87" s="13">
        <v>5</v>
      </c>
      <c r="E87" s="13">
        <v>4</v>
      </c>
      <c r="F87" s="14">
        <v>4</v>
      </c>
      <c r="G87" s="14">
        <v>1</v>
      </c>
      <c r="H87" s="14">
        <v>6</v>
      </c>
      <c r="I87" s="12">
        <f t="shared" si="28"/>
        <v>27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46307</v>
      </c>
      <c r="B88" s="12" t="s">
        <v>17</v>
      </c>
      <c r="C88" s="14">
        <v>20</v>
      </c>
      <c r="D88" s="14">
        <v>15</v>
      </c>
      <c r="E88" s="14">
        <v>25</v>
      </c>
      <c r="F88" s="14">
        <v>18</v>
      </c>
      <c r="G88" s="14">
        <v>23</v>
      </c>
      <c r="H88" s="14">
        <v>13</v>
      </c>
      <c r="I88" s="12">
        <f t="shared" si="28"/>
        <v>114</v>
      </c>
      <c r="J88" s="19">
        <v>24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46307</v>
      </c>
      <c r="B89" s="12" t="s">
        <v>18</v>
      </c>
      <c r="C89" s="14">
        <f t="shared" ref="C89:H89" si="29">SUM(C90-C87-C86-C91)</f>
        <v>108</v>
      </c>
      <c r="D89" s="14">
        <f t="shared" si="29"/>
        <v>93</v>
      </c>
      <c r="E89" s="14">
        <f t="shared" si="29"/>
        <v>76</v>
      </c>
      <c r="F89" s="14">
        <f t="shared" si="29"/>
        <v>72</v>
      </c>
      <c r="G89" s="14">
        <f t="shared" si="29"/>
        <v>54</v>
      </c>
      <c r="H89" s="14">
        <f t="shared" si="29"/>
        <v>64</v>
      </c>
      <c r="I89" s="21">
        <f t="shared" si="28"/>
        <v>467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46307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46307</v>
      </c>
      <c r="B91" s="12" t="s">
        <v>20</v>
      </c>
      <c r="C91" s="14">
        <v>3</v>
      </c>
      <c r="D91" s="14">
        <v>2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9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46306</v>
      </c>
      <c r="B92" s="12" t="s">
        <v>15</v>
      </c>
      <c r="C92" s="13">
        <v>12</v>
      </c>
      <c r="D92" s="13">
        <v>4</v>
      </c>
      <c r="E92" s="13">
        <v>4</v>
      </c>
      <c r="F92" s="14">
        <v>4</v>
      </c>
      <c r="G92" s="14">
        <v>4</v>
      </c>
      <c r="H92" s="14">
        <v>6</v>
      </c>
      <c r="I92" s="12">
        <f t="shared" ref="I92:I97" si="30">SUM(C92:H92)</f>
        <v>34</v>
      </c>
      <c r="J92" s="15">
        <f>(I96)/(I92+I96+J94)</f>
        <v>0.90252100840336136</v>
      </c>
      <c r="K92" s="15">
        <f>(I96-I92-I93-J94)/(I96)</f>
        <v>0.84357541899441346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46306</v>
      </c>
      <c r="B93" s="12" t="s">
        <v>16</v>
      </c>
      <c r="C93" s="13">
        <v>6</v>
      </c>
      <c r="D93" s="13">
        <v>7</v>
      </c>
      <c r="E93" s="13">
        <v>4</v>
      </c>
      <c r="F93" s="14">
        <v>3</v>
      </c>
      <c r="G93" s="14">
        <v>1</v>
      </c>
      <c r="H93" s="14">
        <v>5</v>
      </c>
      <c r="I93" s="12">
        <f t="shared" si="30"/>
        <v>26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46306</v>
      </c>
      <c r="B94" s="12" t="s">
        <v>17</v>
      </c>
      <c r="C94" s="14">
        <v>20</v>
      </c>
      <c r="D94" s="14">
        <v>15</v>
      </c>
      <c r="E94" s="14">
        <v>25</v>
      </c>
      <c r="F94" s="14">
        <v>18</v>
      </c>
      <c r="G94" s="14">
        <v>23</v>
      </c>
      <c r="H94" s="14">
        <v>13</v>
      </c>
      <c r="I94" s="12">
        <f t="shared" si="30"/>
        <v>114</v>
      </c>
      <c r="J94" s="19">
        <v>24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46306</v>
      </c>
      <c r="B95" s="12" t="s">
        <v>18</v>
      </c>
      <c r="C95" s="14">
        <f t="shared" ref="C95:H95" si="31">SUM(C96-C93-C92-C97)</f>
        <v>104</v>
      </c>
      <c r="D95" s="14">
        <f t="shared" si="31"/>
        <v>95</v>
      </c>
      <c r="E95" s="14">
        <f t="shared" si="31"/>
        <v>79</v>
      </c>
      <c r="F95" s="14">
        <f t="shared" si="31"/>
        <v>74</v>
      </c>
      <c r="G95" s="14">
        <f t="shared" si="31"/>
        <v>52</v>
      </c>
      <c r="H95" s="14">
        <f t="shared" si="31"/>
        <v>64</v>
      </c>
      <c r="I95" s="21">
        <f t="shared" si="30"/>
        <v>468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46306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46306</v>
      </c>
      <c r="B97" s="12" t="s">
        <v>20</v>
      </c>
      <c r="C97" s="14">
        <v>3</v>
      </c>
      <c r="D97" s="14">
        <v>2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9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46305</v>
      </c>
      <c r="B98" s="12" t="s">
        <v>15</v>
      </c>
      <c r="C98" s="13">
        <v>11</v>
      </c>
      <c r="D98" s="13">
        <v>4</v>
      </c>
      <c r="E98" s="13">
        <v>4</v>
      </c>
      <c r="F98" s="14">
        <v>4</v>
      </c>
      <c r="G98" s="14">
        <v>4</v>
      </c>
      <c r="H98" s="14">
        <v>6</v>
      </c>
      <c r="I98" s="12">
        <f t="shared" ref="I98:I103" si="32">SUM(C98:H98)</f>
        <v>33</v>
      </c>
      <c r="J98" s="15">
        <f>(I102)/(I98+I102+J100)</f>
        <v>0.90404040404040409</v>
      </c>
      <c r="K98" s="15">
        <f>(I102-I98-I99-J100)/(I102)</f>
        <v>0.84543761638733705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46305</v>
      </c>
      <c r="B99" s="12" t="s">
        <v>16</v>
      </c>
      <c r="C99" s="13">
        <v>6</v>
      </c>
      <c r="D99" s="13">
        <v>7</v>
      </c>
      <c r="E99" s="13">
        <v>4</v>
      </c>
      <c r="F99" s="14">
        <v>3</v>
      </c>
      <c r="G99" s="14">
        <v>1</v>
      </c>
      <c r="H99" s="14">
        <v>5</v>
      </c>
      <c r="I99" s="12">
        <f t="shared" si="32"/>
        <v>26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46305</v>
      </c>
      <c r="B100" s="12" t="s">
        <v>17</v>
      </c>
      <c r="C100" s="14">
        <v>20</v>
      </c>
      <c r="D100" s="14">
        <v>15</v>
      </c>
      <c r="E100" s="14">
        <v>25</v>
      </c>
      <c r="F100" s="14">
        <v>18</v>
      </c>
      <c r="G100" s="14">
        <v>23</v>
      </c>
      <c r="H100" s="14">
        <v>13</v>
      </c>
      <c r="I100" s="12">
        <f t="shared" si="32"/>
        <v>114</v>
      </c>
      <c r="J100" s="19">
        <v>24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46305</v>
      </c>
      <c r="B101" s="12" t="s">
        <v>18</v>
      </c>
      <c r="C101" s="14">
        <f t="shared" ref="C101:H101" si="33">SUM(C102-C99-C98-C103)</f>
        <v>105</v>
      </c>
      <c r="D101" s="14">
        <f t="shared" si="33"/>
        <v>95</v>
      </c>
      <c r="E101" s="14">
        <f t="shared" si="33"/>
        <v>79</v>
      </c>
      <c r="F101" s="14">
        <f t="shared" si="33"/>
        <v>74</v>
      </c>
      <c r="G101" s="14">
        <f t="shared" si="33"/>
        <v>52</v>
      </c>
      <c r="H101" s="14">
        <f t="shared" si="33"/>
        <v>64</v>
      </c>
      <c r="I101" s="21">
        <f t="shared" si="32"/>
        <v>469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46305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46305</v>
      </c>
      <c r="B103" s="12" t="s">
        <v>20</v>
      </c>
      <c r="C103" s="14">
        <v>3</v>
      </c>
      <c r="D103" s="14">
        <v>2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9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46304</v>
      </c>
      <c r="B104" s="12" t="s">
        <v>15</v>
      </c>
      <c r="C104" s="13">
        <v>12</v>
      </c>
      <c r="D104" s="13">
        <v>4</v>
      </c>
      <c r="E104" s="13">
        <v>4</v>
      </c>
      <c r="F104" s="14">
        <v>4</v>
      </c>
      <c r="G104" s="14">
        <v>4</v>
      </c>
      <c r="H104" s="14">
        <v>6</v>
      </c>
      <c r="I104" s="12">
        <f t="shared" ref="I104:I109" si="34">SUM(C104:H104)</f>
        <v>34</v>
      </c>
      <c r="J104" s="15">
        <f>(I108)/(I104+I108+J106)</f>
        <v>0.90252100840336136</v>
      </c>
      <c r="K104" s="15">
        <f>(I108-I104-I105-J106)/(I108)</f>
        <v>0.84543761638733705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46304</v>
      </c>
      <c r="B105" s="12" t="s">
        <v>16</v>
      </c>
      <c r="C105" s="13">
        <v>5</v>
      </c>
      <c r="D105" s="13">
        <v>7</v>
      </c>
      <c r="E105" s="13">
        <v>4</v>
      </c>
      <c r="F105" s="14">
        <v>3</v>
      </c>
      <c r="G105" s="14">
        <v>1</v>
      </c>
      <c r="H105" s="14">
        <v>5</v>
      </c>
      <c r="I105" s="12">
        <f t="shared" si="34"/>
        <v>25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46304</v>
      </c>
      <c r="B106" s="12" t="s">
        <v>17</v>
      </c>
      <c r="C106" s="14">
        <v>20</v>
      </c>
      <c r="D106" s="14">
        <v>15</v>
      </c>
      <c r="E106" s="14">
        <v>25</v>
      </c>
      <c r="F106" s="14">
        <v>18</v>
      </c>
      <c r="G106" s="14">
        <v>23</v>
      </c>
      <c r="H106" s="14">
        <v>13</v>
      </c>
      <c r="I106" s="12">
        <f t="shared" si="34"/>
        <v>114</v>
      </c>
      <c r="J106" s="19">
        <v>24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46304</v>
      </c>
      <c r="B107" s="12" t="s">
        <v>18</v>
      </c>
      <c r="C107" s="14">
        <f t="shared" ref="C107:H107" si="35">SUM(C108-C105-C104-C109)</f>
        <v>105</v>
      </c>
      <c r="D107" s="14">
        <f t="shared" si="35"/>
        <v>95</v>
      </c>
      <c r="E107" s="14">
        <f t="shared" si="35"/>
        <v>79</v>
      </c>
      <c r="F107" s="14">
        <f t="shared" si="35"/>
        <v>74</v>
      </c>
      <c r="G107" s="14">
        <f t="shared" si="35"/>
        <v>52</v>
      </c>
      <c r="H107" s="14">
        <f t="shared" si="35"/>
        <v>64</v>
      </c>
      <c r="I107" s="21">
        <f t="shared" si="34"/>
        <v>469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46304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46304</v>
      </c>
      <c r="B109" s="12" t="s">
        <v>20</v>
      </c>
      <c r="C109" s="14">
        <v>3</v>
      </c>
      <c r="D109" s="14">
        <v>2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9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46303</v>
      </c>
      <c r="B110" s="12" t="s">
        <v>15</v>
      </c>
      <c r="C110" s="13">
        <v>9</v>
      </c>
      <c r="D110" s="13">
        <v>4</v>
      </c>
      <c r="E110" s="13">
        <v>4</v>
      </c>
      <c r="F110" s="14">
        <v>3</v>
      </c>
      <c r="G110" s="14">
        <v>3</v>
      </c>
      <c r="H110" s="14">
        <v>6</v>
      </c>
      <c r="I110" s="12">
        <f t="shared" ref="I110:I115" si="36">SUM(C110:H110)</f>
        <v>29</v>
      </c>
      <c r="J110" s="15">
        <f>(I114)/(I110+I114+J112)</f>
        <v>0.9101694915254237</v>
      </c>
      <c r="K110" s="15">
        <f>(I114-I110-I111-J112)/(I114)</f>
        <v>0.84171322160148976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46303</v>
      </c>
      <c r="B111" s="12" t="s">
        <v>16</v>
      </c>
      <c r="C111" s="13">
        <v>9</v>
      </c>
      <c r="D111" s="13">
        <v>9</v>
      </c>
      <c r="E111" s="13">
        <v>4</v>
      </c>
      <c r="F111" s="14">
        <v>4</v>
      </c>
      <c r="G111" s="14">
        <v>1</v>
      </c>
      <c r="H111" s="14">
        <v>5</v>
      </c>
      <c r="I111" s="12">
        <f t="shared" si="36"/>
        <v>32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46303</v>
      </c>
      <c r="B112" s="12" t="s">
        <v>17</v>
      </c>
      <c r="C112" s="14">
        <v>20</v>
      </c>
      <c r="D112" s="14">
        <v>15</v>
      </c>
      <c r="E112" s="14">
        <v>25</v>
      </c>
      <c r="F112" s="14">
        <v>18</v>
      </c>
      <c r="G112" s="14">
        <v>23</v>
      </c>
      <c r="H112" s="14">
        <v>13</v>
      </c>
      <c r="I112" s="12">
        <f t="shared" si="36"/>
        <v>114</v>
      </c>
      <c r="J112" s="19">
        <v>24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46303</v>
      </c>
      <c r="B113" s="12" t="s">
        <v>18</v>
      </c>
      <c r="C113" s="14">
        <f t="shared" ref="C113:H113" si="37">SUM(C114-C111-C110-C115)</f>
        <v>104</v>
      </c>
      <c r="D113" s="14">
        <f t="shared" si="37"/>
        <v>93</v>
      </c>
      <c r="E113" s="14">
        <f t="shared" si="37"/>
        <v>79</v>
      </c>
      <c r="F113" s="14">
        <f t="shared" si="37"/>
        <v>74</v>
      </c>
      <c r="G113" s="14">
        <f t="shared" si="37"/>
        <v>53</v>
      </c>
      <c r="H113" s="14">
        <f t="shared" si="37"/>
        <v>64</v>
      </c>
      <c r="I113" s="21">
        <f t="shared" si="36"/>
        <v>467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46303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46303</v>
      </c>
      <c r="B115" s="12" t="s">
        <v>20</v>
      </c>
      <c r="C115" s="14">
        <v>3</v>
      </c>
      <c r="D115" s="14">
        <v>2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9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46302</v>
      </c>
      <c r="B116" s="12" t="s">
        <v>15</v>
      </c>
      <c r="C116" s="13">
        <v>12</v>
      </c>
      <c r="D116" s="13">
        <v>5</v>
      </c>
      <c r="E116" s="13">
        <v>8</v>
      </c>
      <c r="F116" s="14">
        <v>4</v>
      </c>
      <c r="G116" s="14">
        <v>3</v>
      </c>
      <c r="H116" s="14">
        <v>6</v>
      </c>
      <c r="I116" s="12">
        <f t="shared" ref="I116:I121" si="38">SUM(C116:H116)</f>
        <v>38</v>
      </c>
      <c r="J116" s="15">
        <f>(I120)/(I116+I120+J118)</f>
        <v>0.89649415692821366</v>
      </c>
      <c r="K116" s="15">
        <f>(I120-I116-I117-J118)/(I120)</f>
        <v>0.82867783985102417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46302</v>
      </c>
      <c r="B117" s="12" t="s">
        <v>16</v>
      </c>
      <c r="C117" s="13">
        <v>9</v>
      </c>
      <c r="D117" s="13">
        <v>8</v>
      </c>
      <c r="E117" s="13">
        <v>4</v>
      </c>
      <c r="F117" s="14">
        <v>3</v>
      </c>
      <c r="G117" s="14">
        <v>1</v>
      </c>
      <c r="H117" s="14">
        <v>5</v>
      </c>
      <c r="I117" s="12">
        <f t="shared" si="38"/>
        <v>30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46302</v>
      </c>
      <c r="B118" s="12" t="s">
        <v>17</v>
      </c>
      <c r="C118" s="14">
        <v>20</v>
      </c>
      <c r="D118" s="14">
        <v>15</v>
      </c>
      <c r="E118" s="14">
        <v>25</v>
      </c>
      <c r="F118" s="14">
        <v>18</v>
      </c>
      <c r="G118" s="14">
        <v>23</v>
      </c>
      <c r="H118" s="14">
        <v>13</v>
      </c>
      <c r="I118" s="12">
        <f t="shared" si="38"/>
        <v>114</v>
      </c>
      <c r="J118" s="19">
        <v>24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46302</v>
      </c>
      <c r="B119" s="12" t="s">
        <v>18</v>
      </c>
      <c r="C119" s="14">
        <f t="shared" ref="C119:H119" si="39">SUM(C120-C117-C116-C121)</f>
        <v>101</v>
      </c>
      <c r="D119" s="14">
        <f t="shared" si="39"/>
        <v>93</v>
      </c>
      <c r="E119" s="14">
        <f t="shared" si="39"/>
        <v>75</v>
      </c>
      <c r="F119" s="14">
        <f t="shared" si="39"/>
        <v>74</v>
      </c>
      <c r="G119" s="14">
        <f t="shared" si="39"/>
        <v>53</v>
      </c>
      <c r="H119" s="14">
        <f t="shared" si="39"/>
        <v>64</v>
      </c>
      <c r="I119" s="21">
        <f t="shared" si="38"/>
        <v>460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46302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46302</v>
      </c>
      <c r="B121" s="12" t="s">
        <v>20</v>
      </c>
      <c r="C121" s="14">
        <v>3</v>
      </c>
      <c r="D121" s="14">
        <v>2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9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46301</v>
      </c>
      <c r="B122" s="12" t="s">
        <v>15</v>
      </c>
      <c r="C122" s="13">
        <v>12</v>
      </c>
      <c r="D122" s="13">
        <v>6</v>
      </c>
      <c r="E122" s="13">
        <v>6</v>
      </c>
      <c r="F122" s="14">
        <v>4</v>
      </c>
      <c r="G122" s="14">
        <v>2</v>
      </c>
      <c r="H122" s="14">
        <v>7</v>
      </c>
      <c r="I122" s="12">
        <f t="shared" ref="I122:I127" si="40">SUM(C122:H122)</f>
        <v>37</v>
      </c>
      <c r="J122" s="15">
        <f>(I126)/(I122+I126+J124)</f>
        <v>0.89799331103678925</v>
      </c>
      <c r="K122" s="15">
        <f>(I126-I122-I123-J124)/(I126)</f>
        <v>0.83426443202979517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46301</v>
      </c>
      <c r="B123" s="12" t="s">
        <v>16</v>
      </c>
      <c r="C123" s="13">
        <v>8</v>
      </c>
      <c r="D123" s="13">
        <v>7</v>
      </c>
      <c r="E123" s="13">
        <v>2</v>
      </c>
      <c r="F123" s="14">
        <v>4</v>
      </c>
      <c r="G123" s="14">
        <v>0</v>
      </c>
      <c r="H123" s="14">
        <v>7</v>
      </c>
      <c r="I123" s="12">
        <f t="shared" si="40"/>
        <v>28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46301</v>
      </c>
      <c r="B124" s="12" t="s">
        <v>17</v>
      </c>
      <c r="C124" s="14">
        <v>19</v>
      </c>
      <c r="D124" s="14">
        <v>15</v>
      </c>
      <c r="E124" s="14">
        <v>25</v>
      </c>
      <c r="F124" s="14">
        <v>18</v>
      </c>
      <c r="G124" s="14">
        <v>23</v>
      </c>
      <c r="H124" s="14">
        <v>12</v>
      </c>
      <c r="I124" s="12">
        <f t="shared" si="40"/>
        <v>112</v>
      </c>
      <c r="J124" s="19">
        <v>24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46301</v>
      </c>
      <c r="B125" s="12" t="s">
        <v>18</v>
      </c>
      <c r="C125" s="14">
        <f t="shared" ref="C125:H125" si="41">SUM(C126-C123-C122-C127)</f>
        <v>102</v>
      </c>
      <c r="D125" s="14">
        <f t="shared" si="41"/>
        <v>93</v>
      </c>
      <c r="E125" s="14">
        <f t="shared" si="41"/>
        <v>79</v>
      </c>
      <c r="F125" s="14">
        <f t="shared" si="41"/>
        <v>73</v>
      </c>
      <c r="G125" s="14">
        <f t="shared" si="41"/>
        <v>55</v>
      </c>
      <c r="H125" s="14">
        <f t="shared" si="41"/>
        <v>61</v>
      </c>
      <c r="I125" s="21">
        <f t="shared" si="40"/>
        <v>463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46301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46301</v>
      </c>
      <c r="B127" s="12" t="s">
        <v>20</v>
      </c>
      <c r="C127" s="14">
        <v>3</v>
      </c>
      <c r="D127" s="14">
        <v>2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9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46300</v>
      </c>
      <c r="B128" s="12" t="s">
        <v>15</v>
      </c>
      <c r="C128" s="13">
        <v>11</v>
      </c>
      <c r="D128" s="13">
        <v>4</v>
      </c>
      <c r="E128" s="13">
        <v>8</v>
      </c>
      <c r="F128" s="14">
        <v>3</v>
      </c>
      <c r="G128" s="14">
        <v>2</v>
      </c>
      <c r="H128" s="14">
        <v>6</v>
      </c>
      <c r="I128" s="12">
        <f t="shared" ref="I128:I133" si="42">SUM(C128:H128)</f>
        <v>34</v>
      </c>
      <c r="J128" s="15">
        <f>(I132)/(I128+I132+J130)</f>
        <v>0.90252100840336136</v>
      </c>
      <c r="K128" s="15">
        <f>(I132-I128-I129-J130)/(I132)</f>
        <v>0.83985102420856605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46300</v>
      </c>
      <c r="B129" s="12" t="s">
        <v>16</v>
      </c>
      <c r="C129" s="13">
        <v>8</v>
      </c>
      <c r="D129" s="13">
        <v>7</v>
      </c>
      <c r="E129" s="13">
        <v>2</v>
      </c>
      <c r="F129" s="14">
        <v>4</v>
      </c>
      <c r="G129" s="14">
        <v>0</v>
      </c>
      <c r="H129" s="14">
        <v>7</v>
      </c>
      <c r="I129" s="12">
        <f t="shared" si="42"/>
        <v>28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46300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24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46300</v>
      </c>
      <c r="B131" s="12" t="s">
        <v>18</v>
      </c>
      <c r="C131" s="14">
        <f t="shared" ref="C131:H131" si="43">SUM(C132-C129-C128-C133)</f>
        <v>103</v>
      </c>
      <c r="D131" s="14">
        <f t="shared" si="43"/>
        <v>95</v>
      </c>
      <c r="E131" s="14">
        <f t="shared" si="43"/>
        <v>77</v>
      </c>
      <c r="F131" s="14">
        <f t="shared" si="43"/>
        <v>74</v>
      </c>
      <c r="G131" s="14">
        <f t="shared" si="43"/>
        <v>55</v>
      </c>
      <c r="H131" s="14">
        <f t="shared" si="43"/>
        <v>62</v>
      </c>
      <c r="I131" s="21">
        <f t="shared" si="42"/>
        <v>466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46300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46300</v>
      </c>
      <c r="B133" s="12" t="s">
        <v>20</v>
      </c>
      <c r="C133" s="14">
        <v>3</v>
      </c>
      <c r="D133" s="14">
        <v>2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9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46299</v>
      </c>
      <c r="B134" s="12" t="s">
        <v>15</v>
      </c>
      <c r="C134" s="13">
        <v>12</v>
      </c>
      <c r="D134" s="13">
        <v>5</v>
      </c>
      <c r="E134" s="13">
        <v>6</v>
      </c>
      <c r="F134" s="14">
        <v>3</v>
      </c>
      <c r="G134" s="14">
        <v>2</v>
      </c>
      <c r="H134" s="14">
        <v>5</v>
      </c>
      <c r="I134" s="12">
        <f t="shared" ref="I134:I139" si="44">SUM(C134:H134)</f>
        <v>33</v>
      </c>
      <c r="J134" s="15">
        <f>(I138)/(I134+I138+J136)</f>
        <v>0.90709459459459463</v>
      </c>
      <c r="K134" s="15">
        <f>(I138-I134-I135-J136)/(I138)</f>
        <v>0.84357541899441346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46299</v>
      </c>
      <c r="B135" s="12" t="s">
        <v>16</v>
      </c>
      <c r="C135" s="13">
        <v>8</v>
      </c>
      <c r="D135" s="13">
        <v>8</v>
      </c>
      <c r="E135" s="13">
        <v>2</v>
      </c>
      <c r="F135" s="14">
        <v>4</v>
      </c>
      <c r="G135" s="14">
        <v>0</v>
      </c>
      <c r="H135" s="14">
        <v>7</v>
      </c>
      <c r="I135" s="12">
        <f t="shared" si="44"/>
        <v>29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46299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22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46299</v>
      </c>
      <c r="B137" s="12" t="s">
        <v>18</v>
      </c>
      <c r="C137" s="14">
        <f t="shared" ref="C137:H137" si="45">SUM(C138-C135-C134-C139)</f>
        <v>102</v>
      </c>
      <c r="D137" s="14">
        <f t="shared" si="45"/>
        <v>93</v>
      </c>
      <c r="E137" s="14">
        <f t="shared" si="45"/>
        <v>79</v>
      </c>
      <c r="F137" s="14">
        <f t="shared" si="45"/>
        <v>74</v>
      </c>
      <c r="G137" s="14">
        <f t="shared" si="45"/>
        <v>55</v>
      </c>
      <c r="H137" s="14">
        <f t="shared" si="45"/>
        <v>63</v>
      </c>
      <c r="I137" s="21">
        <f t="shared" si="44"/>
        <v>466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46299</v>
      </c>
      <c r="B138" s="23" t="s">
        <v>19</v>
      </c>
      <c r="C138" s="23">
        <v>125</v>
      </c>
      <c r="D138" s="23">
        <v>108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537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46299</v>
      </c>
      <c r="B139" s="12" t="s">
        <v>20</v>
      </c>
      <c r="C139" s="14">
        <v>3</v>
      </c>
      <c r="D139" s="14">
        <v>2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9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46298</v>
      </c>
      <c r="B140" s="12" t="s">
        <v>15</v>
      </c>
      <c r="C140" s="13">
        <v>14</v>
      </c>
      <c r="D140" s="13">
        <v>5</v>
      </c>
      <c r="E140" s="13">
        <v>7</v>
      </c>
      <c r="F140" s="14">
        <v>3</v>
      </c>
      <c r="G140" s="14">
        <v>2</v>
      </c>
      <c r="H140" s="14">
        <v>6</v>
      </c>
      <c r="I140" s="12">
        <f t="shared" ref="I140:I145" si="46">SUM(C140:H140)</f>
        <v>37</v>
      </c>
      <c r="J140" s="15">
        <f>(I144)/(I140+I144+J142)</f>
        <v>0.89500000000000002</v>
      </c>
      <c r="K140" s="15">
        <f>(I144-I140-I141-J142)/(I144)</f>
        <v>0.82867783985102417</v>
      </c>
      <c r="L140" s="10"/>
      <c r="M140" s="15"/>
      <c r="N140" s="15"/>
      <c r="O140" s="16"/>
      <c r="W140" s="18"/>
      <c r="X140" s="18"/>
      <c r="AE140" s="16"/>
      <c r="AF140" s="16"/>
    </row>
    <row r="141" spans="1:32" s="17" customFormat="1" ht="15.6" customHeight="1" x14ac:dyDescent="0.25">
      <c r="A141" s="11">
        <v>46298</v>
      </c>
      <c r="B141" s="12" t="s">
        <v>16</v>
      </c>
      <c r="C141" s="13">
        <v>7</v>
      </c>
      <c r="D141" s="13">
        <v>8</v>
      </c>
      <c r="E141" s="13">
        <v>2</v>
      </c>
      <c r="F141" s="14">
        <v>4</v>
      </c>
      <c r="G141" s="14">
        <v>1</v>
      </c>
      <c r="H141" s="14">
        <v>7</v>
      </c>
      <c r="I141" s="12">
        <f t="shared" si="46"/>
        <v>29</v>
      </c>
      <c r="L141" s="10"/>
      <c r="W141" s="18"/>
      <c r="X141" s="18"/>
      <c r="AE141" s="16"/>
      <c r="AF141" s="16"/>
    </row>
    <row r="142" spans="1:32" s="17" customFormat="1" ht="15.6" customHeight="1" x14ac:dyDescent="0.25">
      <c r="A142" s="11">
        <v>46298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26</v>
      </c>
      <c r="K142" s="20"/>
      <c r="L142" s="10"/>
      <c r="W142" s="16"/>
      <c r="X142" s="16"/>
      <c r="AE142" s="16"/>
      <c r="AF142" s="16"/>
    </row>
    <row r="143" spans="1:32" s="17" customFormat="1" ht="15.6" customHeight="1" x14ac:dyDescent="0.25">
      <c r="A143" s="11">
        <v>46298</v>
      </c>
      <c r="B143" s="12" t="s">
        <v>18</v>
      </c>
      <c r="C143" s="14">
        <f t="shared" ref="C143:H143" si="47">SUM(C144-C141-C140-C145)</f>
        <v>101</v>
      </c>
      <c r="D143" s="14">
        <f t="shared" si="47"/>
        <v>94</v>
      </c>
      <c r="E143" s="14">
        <f t="shared" si="47"/>
        <v>78</v>
      </c>
      <c r="F143" s="14">
        <f t="shared" si="47"/>
        <v>74</v>
      </c>
      <c r="G143" s="14">
        <f t="shared" si="47"/>
        <v>54</v>
      </c>
      <c r="H143" s="14">
        <f t="shared" si="47"/>
        <v>62</v>
      </c>
      <c r="I143" s="21">
        <f t="shared" si="46"/>
        <v>463</v>
      </c>
      <c r="J143" s="20"/>
      <c r="K143" s="20"/>
      <c r="L143" s="22"/>
      <c r="W143" s="16"/>
      <c r="X143" s="16"/>
      <c r="AE143" s="16"/>
      <c r="AF143" s="16"/>
    </row>
    <row r="144" spans="1:32" s="17" customFormat="1" ht="15.6" customHeight="1" x14ac:dyDescent="0.25">
      <c r="A144" s="11">
        <v>46298</v>
      </c>
      <c r="B144" s="23" t="s">
        <v>19</v>
      </c>
      <c r="C144" s="23">
        <v>125</v>
      </c>
      <c r="D144" s="23">
        <v>108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537</v>
      </c>
      <c r="J144" s="20"/>
      <c r="K144" s="20"/>
      <c r="L144" s="10"/>
      <c r="M144" s="24"/>
      <c r="W144" s="16"/>
      <c r="X144" s="16"/>
      <c r="AE144" s="16"/>
      <c r="AF144" s="16"/>
    </row>
    <row r="145" spans="1:32" s="17" customFormat="1" ht="15.6" customHeight="1" x14ac:dyDescent="0.25">
      <c r="A145" s="11">
        <v>46298</v>
      </c>
      <c r="B145" s="12" t="s">
        <v>20</v>
      </c>
      <c r="C145" s="14">
        <v>3</v>
      </c>
      <c r="D145" s="14">
        <v>1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8</v>
      </c>
      <c r="J145" s="20"/>
      <c r="K145" s="20"/>
      <c r="L145" s="25"/>
      <c r="U145" s="2"/>
      <c r="V145" s="2"/>
      <c r="W145" s="5"/>
      <c r="X145" s="5"/>
      <c r="AE145" s="16"/>
      <c r="AF145" s="16"/>
    </row>
    <row r="146" spans="1:32" s="17" customFormat="1" ht="15.6" customHeight="1" x14ac:dyDescent="0.25">
      <c r="A146" s="11">
        <v>46297</v>
      </c>
      <c r="B146" s="12" t="s">
        <v>15</v>
      </c>
      <c r="C146" s="13">
        <v>13</v>
      </c>
      <c r="D146" s="13">
        <v>6</v>
      </c>
      <c r="E146" s="13">
        <v>6</v>
      </c>
      <c r="F146" s="14">
        <v>1</v>
      </c>
      <c r="G146" s="14">
        <v>2</v>
      </c>
      <c r="H146" s="14">
        <v>6</v>
      </c>
      <c r="I146" s="12">
        <f t="shared" ref="I146:I151" si="48">SUM(C146:H146)</f>
        <v>34</v>
      </c>
      <c r="J146" s="15">
        <f>(I150)/(I146+I150+J148)</f>
        <v>0.90556492411467115</v>
      </c>
      <c r="K146" s="15">
        <f>(I150-I146-I147-J148)/(I150)</f>
        <v>0.83985102420856605</v>
      </c>
      <c r="L146" s="10"/>
      <c r="M146" s="15"/>
      <c r="N146" s="15"/>
      <c r="O146" s="16"/>
      <c r="W146" s="18"/>
      <c r="X146" s="18"/>
      <c r="AE146" s="16"/>
      <c r="AF146" s="16"/>
    </row>
    <row r="147" spans="1:32" s="17" customFormat="1" ht="15.6" customHeight="1" x14ac:dyDescent="0.25">
      <c r="A147" s="11">
        <v>46297</v>
      </c>
      <c r="B147" s="12" t="s">
        <v>16</v>
      </c>
      <c r="C147" s="13">
        <v>7</v>
      </c>
      <c r="D147" s="13">
        <v>6</v>
      </c>
      <c r="E147" s="13">
        <v>4</v>
      </c>
      <c r="F147" s="14">
        <v>5</v>
      </c>
      <c r="G147" s="14">
        <v>1</v>
      </c>
      <c r="H147" s="14">
        <v>7</v>
      </c>
      <c r="I147" s="12">
        <f t="shared" si="48"/>
        <v>30</v>
      </c>
      <c r="L147" s="10"/>
      <c r="W147" s="18"/>
      <c r="X147" s="18"/>
      <c r="AE147" s="16"/>
      <c r="AF147" s="16"/>
    </row>
    <row r="148" spans="1:32" s="17" customFormat="1" ht="15.6" customHeight="1" x14ac:dyDescent="0.25">
      <c r="A148" s="11">
        <v>46297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22</v>
      </c>
      <c r="K148" s="20"/>
      <c r="L148" s="10"/>
      <c r="W148" s="16"/>
      <c r="X148" s="16"/>
      <c r="AE148" s="16"/>
      <c r="AF148" s="16"/>
    </row>
    <row r="149" spans="1:32" s="17" customFormat="1" ht="15.6" customHeight="1" x14ac:dyDescent="0.25">
      <c r="A149" s="11">
        <v>46297</v>
      </c>
      <c r="B149" s="12" t="s">
        <v>18</v>
      </c>
      <c r="C149" s="14">
        <f t="shared" ref="C149:H149" si="49">SUM(C150-C147-C146-C151)</f>
        <v>102</v>
      </c>
      <c r="D149" s="14">
        <f t="shared" si="49"/>
        <v>95</v>
      </c>
      <c r="E149" s="14">
        <f t="shared" si="49"/>
        <v>77</v>
      </c>
      <c r="F149" s="14">
        <f t="shared" si="49"/>
        <v>75</v>
      </c>
      <c r="G149" s="14">
        <f t="shared" si="49"/>
        <v>54</v>
      </c>
      <c r="H149" s="14">
        <f t="shared" si="49"/>
        <v>62</v>
      </c>
      <c r="I149" s="21">
        <f t="shared" si="48"/>
        <v>465</v>
      </c>
      <c r="J149" s="20"/>
      <c r="K149" s="20"/>
      <c r="L149" s="22"/>
      <c r="W149" s="16"/>
      <c r="X149" s="16"/>
      <c r="AE149" s="16"/>
      <c r="AF149" s="16"/>
    </row>
    <row r="150" spans="1:32" s="17" customFormat="1" ht="15.6" customHeight="1" x14ac:dyDescent="0.25">
      <c r="A150" s="11">
        <v>46297</v>
      </c>
      <c r="B150" s="23" t="s">
        <v>19</v>
      </c>
      <c r="C150" s="23">
        <v>125</v>
      </c>
      <c r="D150" s="23">
        <v>108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537</v>
      </c>
      <c r="J150" s="20"/>
      <c r="K150" s="20"/>
      <c r="L150" s="10"/>
      <c r="M150" s="24"/>
      <c r="W150" s="16"/>
      <c r="X150" s="16"/>
      <c r="AE150" s="16"/>
      <c r="AF150" s="16"/>
    </row>
    <row r="151" spans="1:32" s="17" customFormat="1" ht="15.6" customHeight="1" x14ac:dyDescent="0.25">
      <c r="A151" s="11">
        <v>46297</v>
      </c>
      <c r="B151" s="12" t="s">
        <v>20</v>
      </c>
      <c r="C151" s="14">
        <v>3</v>
      </c>
      <c r="D151" s="14">
        <v>1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8</v>
      </c>
      <c r="J151" s="20"/>
      <c r="K151" s="20"/>
      <c r="L151" s="25"/>
      <c r="U151" s="2"/>
      <c r="V151" s="2"/>
      <c r="W151" s="5"/>
      <c r="X151" s="5"/>
      <c r="AE151" s="16"/>
      <c r="AF151" s="16"/>
    </row>
    <row r="152" spans="1:32" s="17" customFormat="1" ht="15.6" customHeight="1" x14ac:dyDescent="0.25">
      <c r="A152" s="11">
        <v>46296</v>
      </c>
      <c r="B152" s="12" t="s">
        <v>15</v>
      </c>
      <c r="C152" s="13">
        <v>12</v>
      </c>
      <c r="D152" s="13">
        <v>7</v>
      </c>
      <c r="E152" s="13">
        <v>7</v>
      </c>
      <c r="F152" s="14">
        <v>2</v>
      </c>
      <c r="G152" s="14">
        <v>2</v>
      </c>
      <c r="H152" s="14">
        <v>4</v>
      </c>
      <c r="I152" s="12">
        <f t="shared" ref="I152:I157" si="50">SUM(C152:H152)</f>
        <v>34</v>
      </c>
      <c r="J152" s="15">
        <f>(I156)/(I152+I156+J154)</f>
        <v>0.90862944162436543</v>
      </c>
      <c r="K152" s="15">
        <f>(I156-I152-I153-J154)/(I156)</f>
        <v>0.84543761638733705</v>
      </c>
      <c r="L152" s="10"/>
      <c r="M152" s="15"/>
      <c r="N152" s="15"/>
      <c r="O152" s="16"/>
      <c r="W152" s="18"/>
      <c r="X152" s="18"/>
      <c r="AE152" s="16"/>
      <c r="AF152" s="16"/>
    </row>
    <row r="153" spans="1:32" s="17" customFormat="1" ht="15.6" customHeight="1" x14ac:dyDescent="0.25">
      <c r="A153" s="11">
        <v>46296</v>
      </c>
      <c r="B153" s="12" t="s">
        <v>16</v>
      </c>
      <c r="C153" s="13">
        <v>8</v>
      </c>
      <c r="D153" s="13">
        <v>5</v>
      </c>
      <c r="E153" s="13">
        <v>5</v>
      </c>
      <c r="F153" s="14">
        <v>3</v>
      </c>
      <c r="G153" s="14">
        <v>1</v>
      </c>
      <c r="H153" s="14">
        <v>7</v>
      </c>
      <c r="I153" s="12">
        <f t="shared" si="50"/>
        <v>29</v>
      </c>
      <c r="L153" s="10"/>
      <c r="W153" s="18"/>
      <c r="X153" s="18"/>
      <c r="AE153" s="16"/>
      <c r="AF153" s="16"/>
    </row>
    <row r="154" spans="1:32" s="17" customFormat="1" ht="15.6" customHeight="1" x14ac:dyDescent="0.25">
      <c r="A154" s="11">
        <v>46296</v>
      </c>
      <c r="B154" s="12" t="s">
        <v>17</v>
      </c>
      <c r="C154" s="14">
        <v>18</v>
      </c>
      <c r="D154" s="14">
        <v>13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111</v>
      </c>
      <c r="J154" s="19">
        <v>20</v>
      </c>
      <c r="K154" s="20"/>
      <c r="L154" s="10"/>
      <c r="W154" s="16"/>
      <c r="X154" s="16"/>
      <c r="AE154" s="16"/>
      <c r="AF154" s="16"/>
    </row>
    <row r="155" spans="1:32" s="17" customFormat="1" ht="15.6" customHeight="1" x14ac:dyDescent="0.25">
      <c r="A155" s="11">
        <v>46296</v>
      </c>
      <c r="B155" s="12" t="s">
        <v>18</v>
      </c>
      <c r="C155" s="14">
        <f t="shared" ref="C155:H155" si="51">SUM(C156-C153-C152-C157)</f>
        <v>102</v>
      </c>
      <c r="D155" s="14">
        <f t="shared" si="51"/>
        <v>95</v>
      </c>
      <c r="E155" s="14">
        <f t="shared" si="51"/>
        <v>75</v>
      </c>
      <c r="F155" s="14">
        <f t="shared" si="51"/>
        <v>76</v>
      </c>
      <c r="G155" s="14">
        <f t="shared" si="51"/>
        <v>54</v>
      </c>
      <c r="H155" s="14">
        <f t="shared" si="51"/>
        <v>64</v>
      </c>
      <c r="I155" s="21">
        <f t="shared" si="50"/>
        <v>466</v>
      </c>
      <c r="J155" s="20"/>
      <c r="K155" s="20"/>
      <c r="L155" s="22"/>
      <c r="W155" s="16"/>
      <c r="X155" s="16"/>
      <c r="AE155" s="16"/>
      <c r="AF155" s="16"/>
    </row>
    <row r="156" spans="1:32" s="17" customFormat="1" ht="15.6" customHeight="1" x14ac:dyDescent="0.25">
      <c r="A156" s="11">
        <v>46296</v>
      </c>
      <c r="B156" s="23" t="s">
        <v>19</v>
      </c>
      <c r="C156" s="23">
        <v>125</v>
      </c>
      <c r="D156" s="23">
        <v>108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537</v>
      </c>
      <c r="J156" s="20"/>
      <c r="K156" s="20"/>
      <c r="L156" s="10"/>
      <c r="M156" s="24"/>
      <c r="W156" s="16"/>
      <c r="X156" s="16"/>
      <c r="AE156" s="16"/>
      <c r="AF156" s="16"/>
    </row>
    <row r="157" spans="1:32" s="17" customFormat="1" ht="15.6" customHeight="1" x14ac:dyDescent="0.25">
      <c r="A157" s="11">
        <v>46296</v>
      </c>
      <c r="B157" s="12" t="s">
        <v>20</v>
      </c>
      <c r="C157" s="14">
        <v>3</v>
      </c>
      <c r="D157" s="14">
        <v>1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8</v>
      </c>
      <c r="J157" s="20"/>
      <c r="K157" s="20"/>
      <c r="L157" s="25"/>
      <c r="U157" s="2"/>
      <c r="V157" s="2"/>
      <c r="W157" s="5"/>
      <c r="X157" s="5"/>
      <c r="AE157" s="16"/>
      <c r="AF157" s="16"/>
    </row>
    <row r="158" spans="1:32" s="17" customFormat="1" ht="15.6" customHeight="1" x14ac:dyDescent="0.25">
      <c r="A158" s="11">
        <v>46295</v>
      </c>
      <c r="B158" s="12" t="s">
        <v>15</v>
      </c>
      <c r="C158" s="13">
        <v>11</v>
      </c>
      <c r="D158" s="13">
        <v>7</v>
      </c>
      <c r="E158" s="13">
        <v>4</v>
      </c>
      <c r="F158" s="14">
        <v>1</v>
      </c>
      <c r="G158" s="14">
        <v>3</v>
      </c>
      <c r="H158" s="14">
        <v>2</v>
      </c>
      <c r="I158" s="12">
        <f t="shared" ref="I158:I163" si="52">SUM(C158:H158)</f>
        <v>28</v>
      </c>
      <c r="J158" s="15">
        <f>(I162)/(I158+I162+J160)</f>
        <v>0.91952054794520544</v>
      </c>
      <c r="K158" s="15">
        <f>(I162-I158-I159-J160)/(I162)</f>
        <v>0.84729981378026076</v>
      </c>
      <c r="L158" s="10"/>
      <c r="M158" s="15"/>
      <c r="N158" s="15"/>
      <c r="O158" s="16"/>
      <c r="W158" s="18"/>
      <c r="X158" s="18"/>
      <c r="AE158" s="16"/>
      <c r="AF158" s="16"/>
    </row>
    <row r="159" spans="1:32" s="17" customFormat="1" ht="15.6" customHeight="1" x14ac:dyDescent="0.25">
      <c r="A159" s="11">
        <v>46295</v>
      </c>
      <c r="B159" s="12" t="s">
        <v>16</v>
      </c>
      <c r="C159" s="13">
        <v>9</v>
      </c>
      <c r="D159" s="13">
        <v>5</v>
      </c>
      <c r="E159" s="13">
        <v>7</v>
      </c>
      <c r="F159" s="14">
        <v>4</v>
      </c>
      <c r="G159" s="14">
        <v>1</v>
      </c>
      <c r="H159" s="14">
        <v>9</v>
      </c>
      <c r="I159" s="12">
        <f t="shared" si="52"/>
        <v>35</v>
      </c>
      <c r="L159" s="10"/>
      <c r="W159" s="18"/>
      <c r="X159" s="18"/>
      <c r="AE159" s="16"/>
      <c r="AF159" s="16"/>
    </row>
    <row r="160" spans="1:32" s="17" customFormat="1" ht="15.6" customHeight="1" x14ac:dyDescent="0.25">
      <c r="A160" s="11">
        <v>46295</v>
      </c>
      <c r="B160" s="12" t="s">
        <v>17</v>
      </c>
      <c r="C160" s="14">
        <v>18</v>
      </c>
      <c r="D160" s="14">
        <v>13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111</v>
      </c>
      <c r="J160" s="19">
        <v>19</v>
      </c>
      <c r="K160" s="20"/>
      <c r="L160" s="10"/>
      <c r="W160" s="16"/>
      <c r="X160" s="16"/>
      <c r="AE160" s="16"/>
      <c r="AF160" s="16"/>
    </row>
    <row r="161" spans="1:32" s="17" customFormat="1" ht="15.6" customHeight="1" x14ac:dyDescent="0.25">
      <c r="A161" s="11">
        <v>46295</v>
      </c>
      <c r="B161" s="12" t="s">
        <v>18</v>
      </c>
      <c r="C161" s="14">
        <f t="shared" ref="C161:H161" si="53">SUM(C162-C159-C158-C163)</f>
        <v>102</v>
      </c>
      <c r="D161" s="14">
        <f t="shared" si="53"/>
        <v>95</v>
      </c>
      <c r="E161" s="14">
        <f t="shared" si="53"/>
        <v>76</v>
      </c>
      <c r="F161" s="14">
        <f t="shared" si="53"/>
        <v>76</v>
      </c>
      <c r="G161" s="14">
        <f t="shared" si="53"/>
        <v>53</v>
      </c>
      <c r="H161" s="14">
        <f t="shared" si="53"/>
        <v>64</v>
      </c>
      <c r="I161" s="21">
        <f t="shared" si="52"/>
        <v>466</v>
      </c>
      <c r="J161" s="20"/>
      <c r="K161" s="20"/>
      <c r="L161" s="22"/>
      <c r="W161" s="16"/>
      <c r="X161" s="16"/>
      <c r="AE161" s="16"/>
      <c r="AF161" s="16"/>
    </row>
    <row r="162" spans="1:32" s="17" customFormat="1" ht="15.6" customHeight="1" x14ac:dyDescent="0.25">
      <c r="A162" s="11">
        <v>46295</v>
      </c>
      <c r="B162" s="23" t="s">
        <v>19</v>
      </c>
      <c r="C162" s="23">
        <v>125</v>
      </c>
      <c r="D162" s="23">
        <v>108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537</v>
      </c>
      <c r="J162" s="20"/>
      <c r="K162" s="20"/>
      <c r="L162" s="10"/>
      <c r="M162" s="24"/>
      <c r="W162" s="16"/>
      <c r="X162" s="16"/>
      <c r="AE162" s="16"/>
      <c r="AF162" s="16"/>
    </row>
    <row r="163" spans="1:32" s="17" customFormat="1" ht="15.6" customHeight="1" x14ac:dyDescent="0.25">
      <c r="A163" s="11">
        <v>46295</v>
      </c>
      <c r="B163" s="12" t="s">
        <v>20</v>
      </c>
      <c r="C163" s="14">
        <v>3</v>
      </c>
      <c r="D163" s="14">
        <v>1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8</v>
      </c>
      <c r="J163" s="20"/>
      <c r="K163" s="20"/>
      <c r="L163" s="25"/>
      <c r="U163" s="2"/>
      <c r="V163" s="2"/>
      <c r="W163" s="5"/>
      <c r="X163" s="5"/>
      <c r="AE163" s="16"/>
      <c r="AF163" s="16"/>
    </row>
    <row r="164" spans="1:32" s="17" customFormat="1" ht="15.6" customHeight="1" x14ac:dyDescent="0.25">
      <c r="A164" s="11">
        <v>46294</v>
      </c>
      <c r="B164" s="12" t="s">
        <v>15</v>
      </c>
      <c r="C164" s="13">
        <v>14</v>
      </c>
      <c r="D164" s="13">
        <v>8</v>
      </c>
      <c r="E164" s="13">
        <v>7</v>
      </c>
      <c r="F164" s="14">
        <v>1</v>
      </c>
      <c r="G164" s="14">
        <v>3</v>
      </c>
      <c r="H164" s="14">
        <v>3</v>
      </c>
      <c r="I164" s="12">
        <f t="shared" ref="I164:I169" si="54">SUM(C164:H164)</f>
        <v>36</v>
      </c>
      <c r="J164" s="15">
        <f>(I168)/(I164+I168+J166)</f>
        <v>0.89649415692821366</v>
      </c>
      <c r="K164" s="15">
        <f>(I168-I164-I165-J166)/(I168)</f>
        <v>0.81936685288640598</v>
      </c>
      <c r="L164" s="10"/>
      <c r="M164" s="15"/>
      <c r="N164" s="15"/>
      <c r="O164" s="16"/>
      <c r="W164" s="18"/>
      <c r="X164" s="18"/>
      <c r="AE164" s="16"/>
      <c r="AF164" s="16"/>
    </row>
    <row r="165" spans="1:32" s="17" customFormat="1" ht="15.6" customHeight="1" x14ac:dyDescent="0.25">
      <c r="A165" s="11">
        <v>46294</v>
      </c>
      <c r="B165" s="12" t="s">
        <v>16</v>
      </c>
      <c r="C165" s="13">
        <v>7</v>
      </c>
      <c r="D165" s="13">
        <v>6</v>
      </c>
      <c r="E165" s="13">
        <v>5</v>
      </c>
      <c r="F165" s="14">
        <v>4</v>
      </c>
      <c r="G165" s="14">
        <v>3</v>
      </c>
      <c r="H165" s="14">
        <v>10</v>
      </c>
      <c r="I165" s="12">
        <f t="shared" si="54"/>
        <v>35</v>
      </c>
      <c r="L165" s="10"/>
      <c r="W165" s="18"/>
      <c r="X165" s="18"/>
      <c r="AE165" s="16"/>
      <c r="AF165" s="16"/>
    </row>
    <row r="166" spans="1:32" s="17" customFormat="1" ht="15.6" customHeight="1" x14ac:dyDescent="0.25">
      <c r="A166" s="11">
        <v>46294</v>
      </c>
      <c r="B166" s="12" t="s">
        <v>17</v>
      </c>
      <c r="C166" s="14">
        <v>18</v>
      </c>
      <c r="D166" s="14">
        <v>13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111</v>
      </c>
      <c r="J166" s="19">
        <v>26</v>
      </c>
      <c r="K166" s="20"/>
      <c r="L166" s="10"/>
      <c r="W166" s="16"/>
      <c r="X166" s="16"/>
      <c r="AE166" s="16"/>
      <c r="AF166" s="16"/>
    </row>
    <row r="167" spans="1:32" s="17" customFormat="1" ht="15.6" customHeight="1" x14ac:dyDescent="0.25">
      <c r="A167" s="11">
        <v>46294</v>
      </c>
      <c r="B167" s="12" t="s">
        <v>18</v>
      </c>
      <c r="C167" s="14">
        <f t="shared" ref="C167:H167" si="55">SUM(C168-C165-C164-C169)</f>
        <v>101</v>
      </c>
      <c r="D167" s="14">
        <f t="shared" si="55"/>
        <v>94</v>
      </c>
      <c r="E167" s="14">
        <f t="shared" si="55"/>
        <v>75</v>
      </c>
      <c r="F167" s="14">
        <f t="shared" si="55"/>
        <v>76</v>
      </c>
      <c r="G167" s="14">
        <f t="shared" si="55"/>
        <v>51</v>
      </c>
      <c r="H167" s="14">
        <f t="shared" si="55"/>
        <v>62</v>
      </c>
      <c r="I167" s="21">
        <f t="shared" si="54"/>
        <v>459</v>
      </c>
      <c r="J167" s="20"/>
      <c r="K167" s="20"/>
      <c r="L167" s="22"/>
      <c r="W167" s="16"/>
      <c r="X167" s="16"/>
      <c r="AE167" s="16"/>
      <c r="AF167" s="16"/>
    </row>
    <row r="168" spans="1:32" s="17" customFormat="1" ht="15.6" customHeight="1" x14ac:dyDescent="0.25">
      <c r="A168" s="11">
        <v>46294</v>
      </c>
      <c r="B168" s="23" t="s">
        <v>19</v>
      </c>
      <c r="C168" s="23">
        <v>125</v>
      </c>
      <c r="D168" s="23">
        <v>108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537</v>
      </c>
      <c r="J168" s="20"/>
      <c r="K168" s="20"/>
      <c r="L168" s="10"/>
      <c r="M168" s="24"/>
      <c r="W168" s="16"/>
      <c r="X168" s="16"/>
      <c r="AE168" s="16"/>
      <c r="AF168" s="16"/>
    </row>
    <row r="169" spans="1:32" s="17" customFormat="1" ht="15.6" customHeight="1" x14ac:dyDescent="0.25">
      <c r="A169" s="11">
        <v>46294</v>
      </c>
      <c r="B169" s="12" t="s">
        <v>20</v>
      </c>
      <c r="C169" s="14">
        <v>3</v>
      </c>
      <c r="D169" s="14">
        <v>0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7</v>
      </c>
      <c r="J169" s="20"/>
      <c r="K169" s="20"/>
      <c r="L169" s="25"/>
      <c r="U169" s="2"/>
      <c r="V169" s="2"/>
      <c r="W169" s="5"/>
      <c r="X169" s="5"/>
      <c r="AE169" s="16"/>
      <c r="AF169" s="16"/>
    </row>
    <row r="170" spans="1:32" s="17" customFormat="1" ht="15.6" customHeight="1" x14ac:dyDescent="0.25">
      <c r="A170" s="11">
        <v>46293</v>
      </c>
      <c r="B170" s="12" t="s">
        <v>15</v>
      </c>
      <c r="C170" s="13">
        <v>12</v>
      </c>
      <c r="D170" s="13">
        <v>7</v>
      </c>
      <c r="E170" s="13">
        <v>8</v>
      </c>
      <c r="F170" s="14">
        <v>1</v>
      </c>
      <c r="G170" s="14">
        <v>4</v>
      </c>
      <c r="H170" s="14">
        <v>5</v>
      </c>
      <c r="I170" s="12">
        <f t="shared" ref="I170:I175" si="56">SUM(C170:H170)</f>
        <v>37</v>
      </c>
      <c r="J170" s="15">
        <f>(I174)/(I170+I174+J172)</f>
        <v>0.90252100840336136</v>
      </c>
      <c r="K170" s="15">
        <f>(I174-I170-I171-J172)/(I174)</f>
        <v>0.83054003724394787</v>
      </c>
      <c r="L170" s="10"/>
      <c r="M170" s="15"/>
      <c r="N170" s="15"/>
      <c r="O170" s="16"/>
      <c r="W170" s="18"/>
      <c r="X170" s="18"/>
      <c r="AE170" s="16"/>
      <c r="AF170" s="16"/>
    </row>
    <row r="171" spans="1:32" s="17" customFormat="1" ht="15.6" customHeight="1" x14ac:dyDescent="0.25">
      <c r="A171" s="11">
        <v>46293</v>
      </c>
      <c r="B171" s="12" t="s">
        <v>16</v>
      </c>
      <c r="C171" s="13">
        <v>8</v>
      </c>
      <c r="D171" s="13">
        <v>7</v>
      </c>
      <c r="E171" s="13">
        <v>4</v>
      </c>
      <c r="F171" s="14">
        <v>4</v>
      </c>
      <c r="G171" s="14">
        <v>2</v>
      </c>
      <c r="H171" s="14">
        <v>8</v>
      </c>
      <c r="I171" s="12">
        <f t="shared" si="56"/>
        <v>33</v>
      </c>
      <c r="L171" s="10"/>
      <c r="W171" s="18"/>
      <c r="X171" s="18"/>
      <c r="AE171" s="16"/>
      <c r="AF171" s="16"/>
    </row>
    <row r="172" spans="1:32" s="17" customFormat="1" ht="15.6" customHeight="1" x14ac:dyDescent="0.25">
      <c r="A172" s="11">
        <v>46293</v>
      </c>
      <c r="B172" s="12" t="s">
        <v>17</v>
      </c>
      <c r="C172" s="14">
        <v>18</v>
      </c>
      <c r="D172" s="14">
        <v>13</v>
      </c>
      <c r="E172" s="14">
        <v>25</v>
      </c>
      <c r="F172" s="14">
        <v>18</v>
      </c>
      <c r="G172" s="14">
        <v>23</v>
      </c>
      <c r="H172" s="14">
        <v>14</v>
      </c>
      <c r="I172" s="12">
        <f t="shared" si="56"/>
        <v>111</v>
      </c>
      <c r="J172" s="19">
        <v>21</v>
      </c>
      <c r="K172" s="20"/>
      <c r="L172" s="10"/>
      <c r="W172" s="16"/>
      <c r="X172" s="16"/>
      <c r="AE172" s="16"/>
      <c r="AF172" s="16"/>
    </row>
    <row r="173" spans="1:32" s="17" customFormat="1" ht="15.6" customHeight="1" x14ac:dyDescent="0.25">
      <c r="A173" s="11">
        <v>46293</v>
      </c>
      <c r="B173" s="12" t="s">
        <v>18</v>
      </c>
      <c r="C173" s="14">
        <f t="shared" ref="C173:H173" si="57">SUM(C174-C171-C170-C175)</f>
        <v>102</v>
      </c>
      <c r="D173" s="14">
        <f t="shared" si="57"/>
        <v>94</v>
      </c>
      <c r="E173" s="14">
        <f t="shared" si="57"/>
        <v>75</v>
      </c>
      <c r="F173" s="14">
        <f t="shared" si="57"/>
        <v>76</v>
      </c>
      <c r="G173" s="14">
        <f t="shared" si="57"/>
        <v>51</v>
      </c>
      <c r="H173" s="14">
        <f t="shared" si="57"/>
        <v>62</v>
      </c>
      <c r="I173" s="21">
        <f t="shared" si="56"/>
        <v>460</v>
      </c>
      <c r="J173" s="20"/>
      <c r="K173" s="20"/>
      <c r="L173" s="22"/>
      <c r="W173" s="16"/>
      <c r="X173" s="16"/>
      <c r="AE173" s="16"/>
      <c r="AF173" s="16"/>
    </row>
    <row r="174" spans="1:32" s="17" customFormat="1" ht="15.6" customHeight="1" x14ac:dyDescent="0.25">
      <c r="A174" s="11">
        <v>46293</v>
      </c>
      <c r="B174" s="23" t="s">
        <v>19</v>
      </c>
      <c r="C174" s="23">
        <v>125</v>
      </c>
      <c r="D174" s="23">
        <v>108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537</v>
      </c>
      <c r="J174" s="20"/>
      <c r="K174" s="20"/>
      <c r="L174" s="10"/>
      <c r="M174" s="24"/>
      <c r="W174" s="16"/>
      <c r="X174" s="16"/>
      <c r="AE174" s="16"/>
      <c r="AF174" s="16"/>
    </row>
    <row r="175" spans="1:32" s="17" customFormat="1" ht="15.6" customHeight="1" x14ac:dyDescent="0.25">
      <c r="A175" s="11">
        <v>46293</v>
      </c>
      <c r="B175" s="12" t="s">
        <v>20</v>
      </c>
      <c r="C175" s="14">
        <v>3</v>
      </c>
      <c r="D175" s="14">
        <v>0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7</v>
      </c>
      <c r="J175" s="20"/>
      <c r="K175" s="20"/>
      <c r="L175" s="25"/>
      <c r="U175" s="2"/>
      <c r="V175" s="2"/>
      <c r="W175" s="5"/>
      <c r="X175" s="5"/>
      <c r="AE175" s="16"/>
      <c r="AF175" s="16"/>
    </row>
    <row r="176" spans="1:32" s="17" customFormat="1" ht="15.6" customHeight="1" x14ac:dyDescent="0.25">
      <c r="A176" s="11">
        <v>46292</v>
      </c>
      <c r="B176" s="12" t="s">
        <v>15</v>
      </c>
      <c r="C176" s="13">
        <v>12</v>
      </c>
      <c r="D176" s="13">
        <v>7</v>
      </c>
      <c r="E176" s="13">
        <v>4</v>
      </c>
      <c r="F176" s="14">
        <v>2</v>
      </c>
      <c r="G176" s="14">
        <v>3</v>
      </c>
      <c r="H176" s="14">
        <v>7</v>
      </c>
      <c r="I176" s="12">
        <f t="shared" ref="I176:I181" si="58">SUM(C176:H176)</f>
        <v>35</v>
      </c>
      <c r="J176" s="15">
        <f>(I180)/(I176+I180+J178)</f>
        <v>0.90252100840336136</v>
      </c>
      <c r="K176" s="15">
        <f>(I180-I176-I177-J178)/(I180)</f>
        <v>0.82309124767225328</v>
      </c>
      <c r="L176" s="10"/>
      <c r="M176" s="15"/>
      <c r="N176" s="15"/>
      <c r="O176" s="16"/>
      <c r="W176" s="18"/>
      <c r="X176" s="18"/>
      <c r="AE176" s="16"/>
      <c r="AF176" s="16"/>
    </row>
    <row r="177" spans="1:32" s="17" customFormat="1" ht="15.6" customHeight="1" x14ac:dyDescent="0.25">
      <c r="A177" s="11">
        <v>46292</v>
      </c>
      <c r="B177" s="12" t="s">
        <v>16</v>
      </c>
      <c r="C177" s="13">
        <v>9</v>
      </c>
      <c r="D177" s="13">
        <v>9</v>
      </c>
      <c r="E177" s="13">
        <v>6</v>
      </c>
      <c r="F177" s="14">
        <v>4</v>
      </c>
      <c r="G177" s="14">
        <v>3</v>
      </c>
      <c r="H177" s="14">
        <v>6</v>
      </c>
      <c r="I177" s="12">
        <f t="shared" si="58"/>
        <v>37</v>
      </c>
      <c r="L177" s="10"/>
      <c r="W177" s="18"/>
      <c r="X177" s="18"/>
      <c r="AE177" s="16"/>
      <c r="AF177" s="16"/>
    </row>
    <row r="178" spans="1:32" s="17" customFormat="1" ht="15.6" customHeight="1" x14ac:dyDescent="0.25">
      <c r="A178" s="11">
        <v>46292</v>
      </c>
      <c r="B178" s="12" t="s">
        <v>17</v>
      </c>
      <c r="C178" s="14">
        <v>18</v>
      </c>
      <c r="D178" s="14">
        <v>13</v>
      </c>
      <c r="E178" s="14">
        <v>25</v>
      </c>
      <c r="F178" s="14">
        <v>18</v>
      </c>
      <c r="G178" s="14">
        <v>23</v>
      </c>
      <c r="H178" s="14">
        <v>14</v>
      </c>
      <c r="I178" s="12">
        <f t="shared" si="58"/>
        <v>111</v>
      </c>
      <c r="J178" s="19">
        <v>23</v>
      </c>
      <c r="K178" s="20"/>
      <c r="L178" s="10"/>
      <c r="W178" s="16"/>
      <c r="X178" s="16"/>
      <c r="AE178" s="16"/>
      <c r="AF178" s="16"/>
    </row>
    <row r="179" spans="1:32" s="17" customFormat="1" ht="15.6" customHeight="1" x14ac:dyDescent="0.25">
      <c r="A179" s="11">
        <v>46292</v>
      </c>
      <c r="B179" s="12" t="s">
        <v>18</v>
      </c>
      <c r="C179" s="14">
        <f t="shared" ref="C179:H179" si="59">SUM(C180-C177-C176-C181)</f>
        <v>101</v>
      </c>
      <c r="D179" s="14">
        <f t="shared" si="59"/>
        <v>92</v>
      </c>
      <c r="E179" s="14">
        <f t="shared" si="59"/>
        <v>77</v>
      </c>
      <c r="F179" s="14">
        <f t="shared" si="59"/>
        <v>75</v>
      </c>
      <c r="G179" s="14">
        <f t="shared" si="59"/>
        <v>51</v>
      </c>
      <c r="H179" s="14">
        <f t="shared" si="59"/>
        <v>62</v>
      </c>
      <c r="I179" s="21">
        <f t="shared" si="58"/>
        <v>458</v>
      </c>
      <c r="J179" s="20"/>
      <c r="K179" s="20"/>
      <c r="L179" s="22"/>
      <c r="W179" s="16"/>
      <c r="X179" s="16"/>
      <c r="AE179" s="16"/>
      <c r="AF179" s="16"/>
    </row>
    <row r="180" spans="1:32" s="17" customFormat="1" ht="15.6" customHeight="1" x14ac:dyDescent="0.25">
      <c r="A180" s="11">
        <v>46292</v>
      </c>
      <c r="B180" s="23" t="s">
        <v>19</v>
      </c>
      <c r="C180" s="23">
        <v>125</v>
      </c>
      <c r="D180" s="23">
        <v>108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537</v>
      </c>
      <c r="J180" s="20"/>
      <c r="K180" s="20"/>
      <c r="L180" s="10"/>
      <c r="M180" s="24"/>
      <c r="W180" s="16"/>
      <c r="X180" s="16"/>
      <c r="AE180" s="16"/>
      <c r="AF180" s="16"/>
    </row>
    <row r="181" spans="1:32" s="17" customFormat="1" ht="15.6" customHeight="1" x14ac:dyDescent="0.25">
      <c r="A181" s="11">
        <v>46292</v>
      </c>
      <c r="B181" s="12" t="s">
        <v>20</v>
      </c>
      <c r="C181" s="14">
        <v>3</v>
      </c>
      <c r="D181" s="14">
        <v>0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7</v>
      </c>
      <c r="J181" s="20"/>
      <c r="K181" s="20"/>
      <c r="L181" s="25"/>
      <c r="U181" s="2"/>
      <c r="V181" s="2"/>
      <c r="W181" s="5"/>
      <c r="X181" s="5"/>
      <c r="AE181" s="16"/>
      <c r="AF181" s="16"/>
    </row>
    <row r="182" spans="1:32" s="17" customFormat="1" ht="15.6" customHeight="1" x14ac:dyDescent="0.25">
      <c r="A182" s="11">
        <v>46291</v>
      </c>
      <c r="B182" s="12" t="s">
        <v>15</v>
      </c>
      <c r="C182" s="13">
        <v>13</v>
      </c>
      <c r="D182" s="13">
        <v>6</v>
      </c>
      <c r="E182" s="13">
        <v>5</v>
      </c>
      <c r="F182" s="14">
        <v>3</v>
      </c>
      <c r="G182" s="14">
        <v>0</v>
      </c>
      <c r="H182" s="14">
        <v>6</v>
      </c>
      <c r="I182" s="12">
        <f t="shared" ref="I182:I187" si="60">SUM(C182:H182)</f>
        <v>33</v>
      </c>
      <c r="J182" s="15">
        <f>(I186)/(I182+I186+J184)</f>
        <v>0.90252100840336136</v>
      </c>
      <c r="K182" s="15">
        <f>(I186-I182-I183-J184)/(I186)</f>
        <v>0.81936685288640598</v>
      </c>
      <c r="L182" s="18"/>
      <c r="S182" s="16"/>
      <c r="T182" s="16"/>
    </row>
    <row r="183" spans="1:32" s="17" customFormat="1" ht="15.6" customHeight="1" x14ac:dyDescent="0.25">
      <c r="A183" s="11">
        <v>46291</v>
      </c>
      <c r="B183" s="12" t="s">
        <v>16</v>
      </c>
      <c r="C183" s="13">
        <v>8</v>
      </c>
      <c r="D183" s="13">
        <v>11</v>
      </c>
      <c r="E183" s="13">
        <v>6</v>
      </c>
      <c r="F183" s="14">
        <v>4</v>
      </c>
      <c r="G183" s="14">
        <v>4</v>
      </c>
      <c r="H183" s="14">
        <v>6</v>
      </c>
      <c r="I183" s="12">
        <f t="shared" si="60"/>
        <v>39</v>
      </c>
      <c r="L183" s="18"/>
      <c r="S183" s="16"/>
      <c r="T183" s="16"/>
    </row>
    <row r="184" spans="1:32" s="17" customFormat="1" ht="15.6" customHeight="1" x14ac:dyDescent="0.25">
      <c r="A184" s="11">
        <v>46291</v>
      </c>
      <c r="B184" s="12" t="s">
        <v>17</v>
      </c>
      <c r="C184" s="14">
        <v>18</v>
      </c>
      <c r="D184" s="14">
        <v>13</v>
      </c>
      <c r="E184" s="14">
        <v>25</v>
      </c>
      <c r="F184" s="14">
        <v>18</v>
      </c>
      <c r="G184" s="14">
        <v>23</v>
      </c>
      <c r="H184" s="14">
        <v>14</v>
      </c>
      <c r="I184" s="12">
        <f t="shared" si="60"/>
        <v>111</v>
      </c>
      <c r="J184" s="19">
        <v>25</v>
      </c>
      <c r="K184" s="20"/>
      <c r="L184" s="16"/>
      <c r="S184" s="16"/>
      <c r="T184" s="16"/>
    </row>
    <row r="185" spans="1:32" s="17" customFormat="1" ht="15.6" customHeight="1" x14ac:dyDescent="0.25">
      <c r="A185" s="11">
        <v>46291</v>
      </c>
      <c r="B185" s="12" t="s">
        <v>18</v>
      </c>
      <c r="C185" s="14">
        <f t="shared" ref="C185:H185" si="61">SUM(C186-C183-C182-C187)</f>
        <v>101</v>
      </c>
      <c r="D185" s="14">
        <f t="shared" si="61"/>
        <v>91</v>
      </c>
      <c r="E185" s="14">
        <f t="shared" si="61"/>
        <v>76</v>
      </c>
      <c r="F185" s="14">
        <f t="shared" si="61"/>
        <v>74</v>
      </c>
      <c r="G185" s="14">
        <f t="shared" si="61"/>
        <v>53</v>
      </c>
      <c r="H185" s="14">
        <f t="shared" si="61"/>
        <v>63</v>
      </c>
      <c r="I185" s="21">
        <f t="shared" si="60"/>
        <v>458</v>
      </c>
      <c r="J185" s="20"/>
      <c r="K185" s="20"/>
      <c r="L185" s="16"/>
      <c r="S185" s="16"/>
      <c r="T185" s="16"/>
    </row>
    <row r="186" spans="1:32" s="17" customFormat="1" ht="15.6" customHeight="1" x14ac:dyDescent="0.25">
      <c r="A186" s="11">
        <v>46291</v>
      </c>
      <c r="B186" s="23" t="s">
        <v>19</v>
      </c>
      <c r="C186" s="23">
        <v>125</v>
      </c>
      <c r="D186" s="23">
        <v>108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537</v>
      </c>
      <c r="J186" s="20"/>
      <c r="K186" s="20"/>
      <c r="L186" s="16"/>
      <c r="S186" s="16"/>
      <c r="T186" s="16"/>
    </row>
    <row r="187" spans="1:32" s="17" customFormat="1" ht="15.6" customHeight="1" x14ac:dyDescent="0.2">
      <c r="A187" s="11">
        <v>46291</v>
      </c>
      <c r="B187" s="12" t="s">
        <v>20</v>
      </c>
      <c r="C187" s="14">
        <v>3</v>
      </c>
      <c r="D187" s="14">
        <v>0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7</v>
      </c>
      <c r="J187" s="20"/>
      <c r="K187" s="20"/>
      <c r="L187" s="5"/>
      <c r="S187" s="16"/>
      <c r="T187" s="16"/>
    </row>
    <row r="188" spans="1:32" s="17" customFormat="1" ht="15.6" customHeight="1" x14ac:dyDescent="0.25">
      <c r="A188" s="11">
        <v>46290</v>
      </c>
      <c r="B188" s="12" t="s">
        <v>15</v>
      </c>
      <c r="C188" s="13">
        <v>10</v>
      </c>
      <c r="D188" s="13">
        <v>4</v>
      </c>
      <c r="E188" s="13">
        <v>4</v>
      </c>
      <c r="F188" s="14">
        <v>2</v>
      </c>
      <c r="G188" s="14">
        <v>1</v>
      </c>
      <c r="H188" s="14">
        <v>4</v>
      </c>
      <c r="I188" s="12">
        <f t="shared" ref="I188:I193" si="62">SUM(C188:H188)</f>
        <v>25</v>
      </c>
      <c r="J188" s="15">
        <f>(I192)/(I188+I192+J190)</f>
        <v>0.93043478260869561</v>
      </c>
      <c r="K188" s="15">
        <f>(I192-I188-I189-J190)/(I192)</f>
        <v>0.87102803738317758</v>
      </c>
      <c r="L188" s="18"/>
      <c r="S188" s="16"/>
      <c r="T188" s="16"/>
    </row>
    <row r="189" spans="1:32" s="17" customFormat="1" ht="15.6" customHeight="1" x14ac:dyDescent="0.25">
      <c r="A189" s="11">
        <v>46290</v>
      </c>
      <c r="B189" s="12" t="s">
        <v>16</v>
      </c>
      <c r="C189" s="13">
        <v>7</v>
      </c>
      <c r="D189" s="13">
        <v>4</v>
      </c>
      <c r="E189" s="13">
        <v>4</v>
      </c>
      <c r="F189" s="14">
        <v>5</v>
      </c>
      <c r="G189" s="14">
        <v>4</v>
      </c>
      <c r="H189" s="14">
        <v>5</v>
      </c>
      <c r="I189" s="12">
        <f t="shared" si="62"/>
        <v>29</v>
      </c>
      <c r="L189" s="18"/>
      <c r="S189" s="16"/>
      <c r="T189" s="16"/>
    </row>
    <row r="190" spans="1:32" s="17" customFormat="1" ht="15.6" customHeight="1" x14ac:dyDescent="0.25">
      <c r="A190" s="11">
        <v>46290</v>
      </c>
      <c r="B190" s="12" t="s">
        <v>17</v>
      </c>
      <c r="C190" s="14">
        <v>18</v>
      </c>
      <c r="D190" s="14">
        <v>13</v>
      </c>
      <c r="E190" s="14">
        <v>25</v>
      </c>
      <c r="F190" s="14">
        <v>18</v>
      </c>
      <c r="G190" s="14">
        <v>23</v>
      </c>
      <c r="H190" s="14">
        <v>14</v>
      </c>
      <c r="I190" s="12">
        <f t="shared" si="62"/>
        <v>111</v>
      </c>
      <c r="J190" s="19">
        <v>15</v>
      </c>
      <c r="K190" s="20"/>
      <c r="L190" s="16"/>
      <c r="S190" s="16"/>
      <c r="T190" s="16"/>
    </row>
    <row r="191" spans="1:32" s="17" customFormat="1" ht="15.6" customHeight="1" x14ac:dyDescent="0.25">
      <c r="A191" s="11">
        <v>46290</v>
      </c>
      <c r="B191" s="12" t="s">
        <v>18</v>
      </c>
      <c r="C191" s="14">
        <f t="shared" ref="C191:H191" si="63">SUM(C192-C189-C188-C193)</f>
        <v>105</v>
      </c>
      <c r="D191" s="14">
        <f t="shared" si="63"/>
        <v>97</v>
      </c>
      <c r="E191" s="14">
        <f t="shared" si="63"/>
        <v>79</v>
      </c>
      <c r="F191" s="14">
        <f t="shared" si="63"/>
        <v>74</v>
      </c>
      <c r="G191" s="14">
        <f t="shared" si="63"/>
        <v>52</v>
      </c>
      <c r="H191" s="14">
        <f t="shared" si="63"/>
        <v>66</v>
      </c>
      <c r="I191" s="21">
        <f t="shared" si="62"/>
        <v>473</v>
      </c>
      <c r="J191" s="20"/>
      <c r="K191" s="20"/>
      <c r="L191" s="16"/>
      <c r="S191" s="16"/>
      <c r="T191" s="16"/>
    </row>
    <row r="192" spans="1:32" s="17" customFormat="1" ht="15.6" customHeight="1" x14ac:dyDescent="0.25">
      <c r="A192" s="11">
        <v>46290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5.6" customHeight="1" x14ac:dyDescent="0.2">
      <c r="A193" s="11">
        <v>46290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46289</v>
      </c>
      <c r="B194" s="12" t="s">
        <v>15</v>
      </c>
      <c r="C194" s="13">
        <v>7</v>
      </c>
      <c r="D194" s="13">
        <v>4</v>
      </c>
      <c r="E194" s="13">
        <v>4</v>
      </c>
      <c r="F194" s="14">
        <v>2</v>
      </c>
      <c r="G194" s="14">
        <v>1</v>
      </c>
      <c r="H194" s="14">
        <v>4</v>
      </c>
      <c r="I194" s="12">
        <f t="shared" ref="I194:I199" si="64">SUM(C194:H194)</f>
        <v>22</v>
      </c>
      <c r="J194" s="15">
        <f>(I198)/(I194+I198+J196)</f>
        <v>0.93531468531468531</v>
      </c>
      <c r="K194" s="15">
        <f>(I198-I194-I195-J196)/(I198)</f>
        <v>0.87663551401869155</v>
      </c>
      <c r="L194" s="18"/>
      <c r="S194" s="16"/>
      <c r="T194" s="16"/>
    </row>
    <row r="195" spans="1:20" s="17" customFormat="1" ht="15.6" customHeight="1" x14ac:dyDescent="0.25">
      <c r="A195" s="11">
        <v>46289</v>
      </c>
      <c r="B195" s="12" t="s">
        <v>16</v>
      </c>
      <c r="C195" s="13">
        <v>7</v>
      </c>
      <c r="D195" s="13">
        <v>4</v>
      </c>
      <c r="E195" s="13">
        <v>4</v>
      </c>
      <c r="F195" s="14">
        <v>5</v>
      </c>
      <c r="G195" s="14">
        <v>4</v>
      </c>
      <c r="H195" s="14">
        <v>5</v>
      </c>
      <c r="I195" s="12">
        <f t="shared" si="64"/>
        <v>29</v>
      </c>
      <c r="L195" s="18"/>
      <c r="S195" s="16"/>
      <c r="T195" s="16"/>
    </row>
    <row r="196" spans="1:20" s="17" customFormat="1" ht="15.6" customHeight="1" x14ac:dyDescent="0.25">
      <c r="A196" s="11">
        <v>46289</v>
      </c>
      <c r="B196" s="12" t="s">
        <v>17</v>
      </c>
      <c r="C196" s="14">
        <v>18</v>
      </c>
      <c r="D196" s="14">
        <v>13</v>
      </c>
      <c r="E196" s="14">
        <v>25</v>
      </c>
      <c r="F196" s="14">
        <v>18</v>
      </c>
      <c r="G196" s="14">
        <v>23</v>
      </c>
      <c r="H196" s="14">
        <v>14</v>
      </c>
      <c r="I196" s="12">
        <f t="shared" si="64"/>
        <v>111</v>
      </c>
      <c r="J196" s="19">
        <v>15</v>
      </c>
      <c r="K196" s="20"/>
      <c r="L196" s="16"/>
      <c r="S196" s="16"/>
      <c r="T196" s="16"/>
    </row>
    <row r="197" spans="1:20" s="17" customFormat="1" ht="15.6" customHeight="1" x14ac:dyDescent="0.25">
      <c r="A197" s="11">
        <v>46289</v>
      </c>
      <c r="B197" s="12" t="s">
        <v>18</v>
      </c>
      <c r="C197" s="14">
        <f t="shared" ref="C197:H197" si="65">SUM(C198-C195-C194-C199)</f>
        <v>108</v>
      </c>
      <c r="D197" s="14">
        <f t="shared" si="65"/>
        <v>97</v>
      </c>
      <c r="E197" s="14">
        <f t="shared" si="65"/>
        <v>79</v>
      </c>
      <c r="F197" s="14">
        <f t="shared" si="65"/>
        <v>74</v>
      </c>
      <c r="G197" s="14">
        <f t="shared" si="65"/>
        <v>52</v>
      </c>
      <c r="H197" s="14">
        <f t="shared" si="65"/>
        <v>66</v>
      </c>
      <c r="I197" s="21">
        <f t="shared" si="64"/>
        <v>476</v>
      </c>
      <c r="J197" s="20"/>
      <c r="K197" s="20"/>
      <c r="L197" s="16"/>
      <c r="S197" s="16"/>
      <c r="T197" s="16"/>
    </row>
    <row r="198" spans="1:20" s="17" customFormat="1" ht="15.6" customHeight="1" x14ac:dyDescent="0.25">
      <c r="A198" s="11">
        <v>46289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5.6" customHeight="1" x14ac:dyDescent="0.2">
      <c r="A199" s="11">
        <v>46289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46288</v>
      </c>
      <c r="B200" s="12" t="s">
        <v>15</v>
      </c>
      <c r="C200" s="13">
        <v>7</v>
      </c>
      <c r="D200" s="13">
        <v>4</v>
      </c>
      <c r="E200" s="13">
        <v>4</v>
      </c>
      <c r="F200" s="14">
        <v>2</v>
      </c>
      <c r="G200" s="14">
        <v>1</v>
      </c>
      <c r="H200" s="14">
        <v>4</v>
      </c>
      <c r="I200" s="12">
        <f t="shared" ref="I200:I205" si="66">SUM(C200:H200)</f>
        <v>22</v>
      </c>
      <c r="J200" s="15">
        <f>(I204)/(I200+I204+J202)</f>
        <v>0.93531468531468531</v>
      </c>
      <c r="K200" s="15">
        <f>(I204-I200-I201-J202)/(I204)</f>
        <v>0.87289719626168227</v>
      </c>
      <c r="L200" s="18"/>
      <c r="S200" s="16"/>
      <c r="T200" s="16"/>
    </row>
    <row r="201" spans="1:20" s="17" customFormat="1" ht="15.6" customHeight="1" x14ac:dyDescent="0.25">
      <c r="A201" s="11">
        <v>46288</v>
      </c>
      <c r="B201" s="12" t="s">
        <v>16</v>
      </c>
      <c r="C201" s="13">
        <v>7</v>
      </c>
      <c r="D201" s="13">
        <v>6</v>
      </c>
      <c r="E201" s="13">
        <v>4</v>
      </c>
      <c r="F201" s="14">
        <v>5</v>
      </c>
      <c r="G201" s="14">
        <v>4</v>
      </c>
      <c r="H201" s="14">
        <v>5</v>
      </c>
      <c r="I201" s="12">
        <f t="shared" si="66"/>
        <v>31</v>
      </c>
      <c r="L201" s="18"/>
      <c r="S201" s="16"/>
      <c r="T201" s="16"/>
    </row>
    <row r="202" spans="1:20" s="17" customFormat="1" ht="15.6" customHeight="1" x14ac:dyDescent="0.25">
      <c r="A202" s="11">
        <v>46288</v>
      </c>
      <c r="B202" s="12" t="s">
        <v>17</v>
      </c>
      <c r="C202" s="14">
        <v>18</v>
      </c>
      <c r="D202" s="14">
        <v>13</v>
      </c>
      <c r="E202" s="14">
        <v>25</v>
      </c>
      <c r="F202" s="14">
        <v>18</v>
      </c>
      <c r="G202" s="14">
        <v>23</v>
      </c>
      <c r="H202" s="14">
        <v>14</v>
      </c>
      <c r="I202" s="12">
        <f t="shared" si="66"/>
        <v>111</v>
      </c>
      <c r="J202" s="19">
        <v>15</v>
      </c>
      <c r="K202" s="20"/>
      <c r="L202" s="16"/>
      <c r="S202" s="16"/>
      <c r="T202" s="16"/>
    </row>
    <row r="203" spans="1:20" s="17" customFormat="1" ht="15.6" customHeight="1" x14ac:dyDescent="0.25">
      <c r="A203" s="11">
        <v>46288</v>
      </c>
      <c r="B203" s="12" t="s">
        <v>18</v>
      </c>
      <c r="C203" s="14">
        <f t="shared" ref="C203:H203" si="67">SUM(C204-C201-C200-C205)</f>
        <v>108</v>
      </c>
      <c r="D203" s="14">
        <f t="shared" si="67"/>
        <v>95</v>
      </c>
      <c r="E203" s="14">
        <f t="shared" si="67"/>
        <v>79</v>
      </c>
      <c r="F203" s="14">
        <f t="shared" si="67"/>
        <v>74</v>
      </c>
      <c r="G203" s="14">
        <f t="shared" si="67"/>
        <v>52</v>
      </c>
      <c r="H203" s="14">
        <f t="shared" si="67"/>
        <v>66</v>
      </c>
      <c r="I203" s="21">
        <f t="shared" si="66"/>
        <v>474</v>
      </c>
      <c r="J203" s="20"/>
      <c r="K203" s="20"/>
      <c r="L203" s="16"/>
      <c r="S203" s="16"/>
      <c r="T203" s="16"/>
    </row>
    <row r="204" spans="1:20" s="17" customFormat="1" ht="15.6" customHeight="1" x14ac:dyDescent="0.25">
      <c r="A204" s="11">
        <v>46288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5.6" customHeight="1" x14ac:dyDescent="0.2">
      <c r="A205" s="11">
        <v>46288</v>
      </c>
      <c r="B205" s="12" t="s">
        <v>20</v>
      </c>
      <c r="C205" s="14">
        <v>3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8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46287</v>
      </c>
      <c r="B206" s="12" t="s">
        <v>15</v>
      </c>
      <c r="C206" s="13">
        <v>7</v>
      </c>
      <c r="D206" s="13">
        <v>5</v>
      </c>
      <c r="E206" s="13">
        <v>3</v>
      </c>
      <c r="F206" s="14">
        <v>1</v>
      </c>
      <c r="G206" s="14">
        <v>1</v>
      </c>
      <c r="H206" s="14">
        <v>5</v>
      </c>
      <c r="I206" s="12">
        <f t="shared" ref="I206:I211" si="68">SUM(C206:H206)</f>
        <v>22</v>
      </c>
      <c r="J206" s="15">
        <f>(I210)/(I206+I210+J208)</f>
        <v>0.93531468531468531</v>
      </c>
      <c r="K206" s="15">
        <f>(I210-I206-I207-J208)/(I210)</f>
        <v>0.87289719626168227</v>
      </c>
      <c r="L206" s="18"/>
      <c r="S206" s="16"/>
      <c r="T206" s="16"/>
    </row>
    <row r="207" spans="1:20" s="17" customFormat="1" ht="15.6" customHeight="1" x14ac:dyDescent="0.25">
      <c r="A207" s="11">
        <v>46287</v>
      </c>
      <c r="B207" s="12" t="s">
        <v>16</v>
      </c>
      <c r="C207" s="13">
        <v>5</v>
      </c>
      <c r="D207" s="13">
        <v>7</v>
      </c>
      <c r="E207" s="13">
        <v>7</v>
      </c>
      <c r="F207" s="14">
        <v>6</v>
      </c>
      <c r="G207" s="14">
        <v>2</v>
      </c>
      <c r="H207" s="14">
        <v>4</v>
      </c>
      <c r="I207" s="12">
        <f t="shared" si="68"/>
        <v>31</v>
      </c>
      <c r="L207" s="18"/>
      <c r="S207" s="16"/>
      <c r="T207" s="16"/>
    </row>
    <row r="208" spans="1:20" s="17" customFormat="1" ht="15.6" customHeight="1" x14ac:dyDescent="0.25">
      <c r="A208" s="11">
        <v>46287</v>
      </c>
      <c r="B208" s="12" t="s">
        <v>17</v>
      </c>
      <c r="C208" s="14">
        <v>18</v>
      </c>
      <c r="D208" s="14">
        <v>14</v>
      </c>
      <c r="E208" s="14">
        <v>25</v>
      </c>
      <c r="F208" s="14">
        <v>18</v>
      </c>
      <c r="G208" s="14">
        <v>23</v>
      </c>
      <c r="H208" s="14">
        <v>15</v>
      </c>
      <c r="I208" s="12">
        <f t="shared" si="68"/>
        <v>113</v>
      </c>
      <c r="J208" s="19">
        <v>15</v>
      </c>
      <c r="K208" s="20"/>
      <c r="L208" s="16"/>
      <c r="S208" s="16"/>
      <c r="T208" s="16"/>
    </row>
    <row r="209" spans="1:20" s="17" customFormat="1" ht="15.6" customHeight="1" x14ac:dyDescent="0.25">
      <c r="A209" s="11">
        <v>46287</v>
      </c>
      <c r="B209" s="12" t="s">
        <v>18</v>
      </c>
      <c r="C209" s="14">
        <f t="shared" ref="C209:H209" si="69">SUM(C210-C207-C206-C211)</f>
        <v>110</v>
      </c>
      <c r="D209" s="14">
        <f t="shared" si="69"/>
        <v>93</v>
      </c>
      <c r="E209" s="14">
        <f t="shared" si="69"/>
        <v>77</v>
      </c>
      <c r="F209" s="14">
        <f t="shared" si="69"/>
        <v>74</v>
      </c>
      <c r="G209" s="14">
        <f t="shared" si="69"/>
        <v>54</v>
      </c>
      <c r="H209" s="14">
        <f t="shared" si="69"/>
        <v>66</v>
      </c>
      <c r="I209" s="21">
        <f t="shared" si="68"/>
        <v>474</v>
      </c>
      <c r="J209" s="20"/>
      <c r="K209" s="20"/>
      <c r="L209" s="16"/>
      <c r="S209" s="16"/>
      <c r="T209" s="16"/>
    </row>
    <row r="210" spans="1:20" s="17" customFormat="1" ht="15.6" customHeight="1" x14ac:dyDescent="0.25">
      <c r="A210" s="11">
        <v>46287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5.6" customHeight="1" x14ac:dyDescent="0.2">
      <c r="A211" s="11">
        <v>46287</v>
      </c>
      <c r="B211" s="12" t="s">
        <v>20</v>
      </c>
      <c r="C211" s="14">
        <v>3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8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46286</v>
      </c>
      <c r="B212" s="12" t="s">
        <v>15</v>
      </c>
      <c r="C212" s="13">
        <v>9</v>
      </c>
      <c r="D212" s="13">
        <v>5</v>
      </c>
      <c r="E212" s="13">
        <v>4</v>
      </c>
      <c r="F212" s="14">
        <v>2</v>
      </c>
      <c r="G212" s="14">
        <v>1</v>
      </c>
      <c r="H212" s="14">
        <v>5</v>
      </c>
      <c r="I212" s="12">
        <f t="shared" ref="I212:I217" si="70">SUM(C212:H212)</f>
        <v>26</v>
      </c>
      <c r="J212" s="15">
        <f>(I216)/(I212+I216+J214)</f>
        <v>0.92881944444444442</v>
      </c>
      <c r="K212" s="15">
        <f>(I216-I212-I213-J214)/(I216)</f>
        <v>0.87289719626168227</v>
      </c>
      <c r="L212" s="18"/>
      <c r="S212" s="16"/>
      <c r="T212" s="16"/>
    </row>
    <row r="213" spans="1:20" s="17" customFormat="1" ht="15.6" customHeight="1" x14ac:dyDescent="0.25">
      <c r="A213" s="11">
        <v>46286</v>
      </c>
      <c r="B213" s="12" t="s">
        <v>16</v>
      </c>
      <c r="C213" s="13">
        <v>4</v>
      </c>
      <c r="D213" s="13">
        <v>7</v>
      </c>
      <c r="E213" s="13">
        <v>6</v>
      </c>
      <c r="F213" s="14">
        <v>5</v>
      </c>
      <c r="G213" s="14">
        <v>1</v>
      </c>
      <c r="H213" s="14">
        <v>4</v>
      </c>
      <c r="I213" s="12">
        <f t="shared" si="70"/>
        <v>27</v>
      </c>
      <c r="L213" s="18"/>
      <c r="S213" s="16"/>
      <c r="T213" s="16"/>
    </row>
    <row r="214" spans="1:20" s="17" customFormat="1" ht="15.6" customHeight="1" x14ac:dyDescent="0.25">
      <c r="A214" s="11">
        <v>46286</v>
      </c>
      <c r="B214" s="12" t="s">
        <v>17</v>
      </c>
      <c r="C214" s="14">
        <v>18</v>
      </c>
      <c r="D214" s="14">
        <v>14</v>
      </c>
      <c r="E214" s="14">
        <v>25</v>
      </c>
      <c r="F214" s="14">
        <v>18</v>
      </c>
      <c r="G214" s="14">
        <v>23</v>
      </c>
      <c r="H214" s="14">
        <v>15</v>
      </c>
      <c r="I214" s="12">
        <f t="shared" si="70"/>
        <v>113</v>
      </c>
      <c r="J214" s="19">
        <v>15</v>
      </c>
      <c r="K214" s="20"/>
      <c r="L214" s="16"/>
      <c r="S214" s="16"/>
      <c r="T214" s="16"/>
    </row>
    <row r="215" spans="1:20" s="17" customFormat="1" ht="15.6" customHeight="1" x14ac:dyDescent="0.25">
      <c r="A215" s="11">
        <v>46286</v>
      </c>
      <c r="B215" s="12" t="s">
        <v>18</v>
      </c>
      <c r="C215" s="14">
        <f t="shared" ref="C215:H215" si="71">SUM(C216-C213-C212-C217)</f>
        <v>109</v>
      </c>
      <c r="D215" s="14">
        <f t="shared" si="71"/>
        <v>93</v>
      </c>
      <c r="E215" s="14">
        <f t="shared" si="71"/>
        <v>77</v>
      </c>
      <c r="F215" s="14">
        <f t="shared" si="71"/>
        <v>74</v>
      </c>
      <c r="G215" s="14">
        <f t="shared" si="71"/>
        <v>55</v>
      </c>
      <c r="H215" s="14">
        <f t="shared" si="71"/>
        <v>66</v>
      </c>
      <c r="I215" s="21">
        <f t="shared" si="70"/>
        <v>474</v>
      </c>
      <c r="J215" s="20"/>
      <c r="K215" s="20"/>
      <c r="L215" s="16"/>
      <c r="S215" s="16"/>
      <c r="T215" s="16"/>
    </row>
    <row r="216" spans="1:20" s="17" customFormat="1" ht="15.6" customHeight="1" x14ac:dyDescent="0.25">
      <c r="A216" s="11">
        <v>46286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5.6" customHeight="1" x14ac:dyDescent="0.2">
      <c r="A217" s="11">
        <v>46286</v>
      </c>
      <c r="B217" s="12" t="s">
        <v>20</v>
      </c>
      <c r="C217" s="14">
        <v>3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8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46285</v>
      </c>
      <c r="B218" s="12" t="s">
        <v>15</v>
      </c>
      <c r="C218" s="13">
        <v>7</v>
      </c>
      <c r="D218" s="13">
        <v>3</v>
      </c>
      <c r="E218" s="13">
        <v>4</v>
      </c>
      <c r="F218" s="14">
        <v>2</v>
      </c>
      <c r="G218" s="14">
        <v>0</v>
      </c>
      <c r="H218" s="14">
        <v>5</v>
      </c>
      <c r="I218" s="12">
        <f t="shared" ref="I218:I223" si="72">SUM(C218:H218)</f>
        <v>21</v>
      </c>
      <c r="J218" s="15">
        <f>(I222)/(I218+I222+J220)</f>
        <v>0.9369527145359019</v>
      </c>
      <c r="K218" s="15">
        <f>(I222-I218-I219-J220)/(I222)</f>
        <v>0.87476635514018697</v>
      </c>
      <c r="L218" s="18"/>
      <c r="S218" s="16"/>
      <c r="T218" s="16"/>
    </row>
    <row r="219" spans="1:20" s="17" customFormat="1" ht="14.4" customHeight="1" x14ac:dyDescent="0.25">
      <c r="A219" s="11">
        <v>46285</v>
      </c>
      <c r="B219" s="12" t="s">
        <v>16</v>
      </c>
      <c r="C219" s="13">
        <v>5</v>
      </c>
      <c r="D219" s="13">
        <v>7</v>
      </c>
      <c r="E219" s="13">
        <v>7</v>
      </c>
      <c r="F219" s="14">
        <v>6</v>
      </c>
      <c r="G219" s="14">
        <v>2</v>
      </c>
      <c r="H219" s="14">
        <v>4</v>
      </c>
      <c r="I219" s="12">
        <f t="shared" si="72"/>
        <v>31</v>
      </c>
      <c r="L219" s="18"/>
      <c r="S219" s="16"/>
      <c r="T219" s="16"/>
    </row>
    <row r="220" spans="1:20" s="17" customFormat="1" ht="15" customHeight="1" x14ac:dyDescent="0.25">
      <c r="A220" s="11">
        <v>46285</v>
      </c>
      <c r="B220" s="12" t="s">
        <v>17</v>
      </c>
      <c r="C220" s="14">
        <v>18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113</v>
      </c>
      <c r="J220" s="19">
        <v>15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46285</v>
      </c>
      <c r="B221" s="12" t="s">
        <v>18</v>
      </c>
      <c r="C221" s="14">
        <f t="shared" ref="C221:H221" si="73">SUM(C222-C219-C218-C223)</f>
        <v>110</v>
      </c>
      <c r="D221" s="14">
        <f t="shared" si="73"/>
        <v>95</v>
      </c>
      <c r="E221" s="14">
        <f t="shared" si="73"/>
        <v>76</v>
      </c>
      <c r="F221" s="14">
        <f t="shared" si="73"/>
        <v>73</v>
      </c>
      <c r="G221" s="14">
        <f t="shared" si="73"/>
        <v>55</v>
      </c>
      <c r="H221" s="14">
        <f t="shared" si="73"/>
        <v>66</v>
      </c>
      <c r="I221" s="21">
        <f t="shared" si="72"/>
        <v>475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46285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46285</v>
      </c>
      <c r="B223" s="12" t="s">
        <v>20</v>
      </c>
      <c r="C223" s="14">
        <v>3</v>
      </c>
      <c r="D223" s="14">
        <v>1</v>
      </c>
      <c r="E223" s="14">
        <v>4</v>
      </c>
      <c r="F223" s="14">
        <v>0</v>
      </c>
      <c r="G223" s="14">
        <v>0</v>
      </c>
      <c r="H223" s="14">
        <v>0</v>
      </c>
      <c r="I223" s="12">
        <f t="shared" si="72"/>
        <v>8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46284</v>
      </c>
      <c r="B224" s="12" t="s">
        <v>15</v>
      </c>
      <c r="C224" s="13">
        <v>7</v>
      </c>
      <c r="D224" s="13">
        <v>6</v>
      </c>
      <c r="E224" s="13">
        <v>5</v>
      </c>
      <c r="F224" s="14">
        <v>2</v>
      </c>
      <c r="G224" s="14">
        <v>0</v>
      </c>
      <c r="H224" s="14">
        <v>6</v>
      </c>
      <c r="I224" s="12">
        <f t="shared" ref="I224:I229" si="74">SUM(C224:H224)</f>
        <v>26</v>
      </c>
      <c r="J224" s="15">
        <f>(I228)/(I224+I228+J226)</f>
        <v>0.92881944444444442</v>
      </c>
      <c r="K224" s="15">
        <f>(I228-I224-I225-J226)/(I228)</f>
        <v>0.86728971962616819</v>
      </c>
      <c r="L224" s="18"/>
      <c r="S224" s="16"/>
      <c r="T224" s="16"/>
    </row>
    <row r="225" spans="1:20" s="17" customFormat="1" ht="14.4" customHeight="1" x14ac:dyDescent="0.25">
      <c r="A225" s="11">
        <v>46284</v>
      </c>
      <c r="B225" s="12" t="s">
        <v>16</v>
      </c>
      <c r="C225" s="13">
        <v>5</v>
      </c>
      <c r="D225" s="13">
        <v>7</v>
      </c>
      <c r="E225" s="13">
        <v>7</v>
      </c>
      <c r="F225" s="14">
        <v>6</v>
      </c>
      <c r="G225" s="14">
        <v>2</v>
      </c>
      <c r="H225" s="14">
        <v>3</v>
      </c>
      <c r="I225" s="12">
        <f t="shared" si="74"/>
        <v>30</v>
      </c>
      <c r="L225" s="18"/>
      <c r="S225" s="16"/>
      <c r="T225" s="16"/>
    </row>
    <row r="226" spans="1:20" s="17" customFormat="1" ht="15" customHeight="1" x14ac:dyDescent="0.25">
      <c r="A226" s="11">
        <v>46284</v>
      </c>
      <c r="B226" s="12" t="s">
        <v>17</v>
      </c>
      <c r="C226" s="14">
        <v>18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113</v>
      </c>
      <c r="J226" s="19">
        <v>15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46284</v>
      </c>
      <c r="B227" s="12" t="s">
        <v>18</v>
      </c>
      <c r="C227" s="14">
        <f t="shared" ref="C227:H227" si="75">SUM(C228-C225-C224-C229)</f>
        <v>110</v>
      </c>
      <c r="D227" s="14">
        <f t="shared" si="75"/>
        <v>92</v>
      </c>
      <c r="E227" s="14">
        <f t="shared" si="75"/>
        <v>75</v>
      </c>
      <c r="F227" s="14">
        <f t="shared" si="75"/>
        <v>73</v>
      </c>
      <c r="G227" s="14">
        <f t="shared" si="75"/>
        <v>55</v>
      </c>
      <c r="H227" s="14">
        <f t="shared" si="75"/>
        <v>66</v>
      </c>
      <c r="I227" s="21">
        <f t="shared" si="74"/>
        <v>471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46284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46284</v>
      </c>
      <c r="B229" s="12" t="s">
        <v>20</v>
      </c>
      <c r="C229" s="14">
        <v>3</v>
      </c>
      <c r="D229" s="14">
        <v>1</v>
      </c>
      <c r="E229" s="14">
        <v>4</v>
      </c>
      <c r="F229" s="14">
        <v>0</v>
      </c>
      <c r="G229" s="14">
        <v>0</v>
      </c>
      <c r="H229" s="14">
        <v>0</v>
      </c>
      <c r="I229" s="12">
        <f t="shared" si="74"/>
        <v>8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46283</v>
      </c>
      <c r="B230" s="12" t="s">
        <v>15</v>
      </c>
      <c r="C230" s="13">
        <v>8</v>
      </c>
      <c r="D230" s="13">
        <v>6</v>
      </c>
      <c r="E230" s="13">
        <v>5</v>
      </c>
      <c r="F230" s="14">
        <v>2</v>
      </c>
      <c r="G230" s="14">
        <v>0</v>
      </c>
      <c r="H230" s="14">
        <v>6</v>
      </c>
      <c r="I230" s="12">
        <f t="shared" ref="I230:I235" si="76">SUM(C230:H230)</f>
        <v>27</v>
      </c>
      <c r="J230" s="15">
        <f>(I234)/(I230+I234+J232)</f>
        <v>0.92720970537261693</v>
      </c>
      <c r="K230" s="15">
        <f>(I234-I230-I231-J232)/(I234)</f>
        <v>0.8654205607476636</v>
      </c>
      <c r="L230" s="18"/>
      <c r="S230" s="16"/>
      <c r="T230" s="16"/>
    </row>
    <row r="231" spans="1:20" s="17" customFormat="1" ht="14.4" customHeight="1" x14ac:dyDescent="0.25">
      <c r="A231" s="11">
        <v>46283</v>
      </c>
      <c r="B231" s="12" t="s">
        <v>16</v>
      </c>
      <c r="C231" s="13">
        <v>5</v>
      </c>
      <c r="D231" s="13">
        <v>7</v>
      </c>
      <c r="E231" s="13">
        <v>7</v>
      </c>
      <c r="F231" s="14">
        <v>6</v>
      </c>
      <c r="G231" s="14">
        <v>2</v>
      </c>
      <c r="H231" s="14">
        <v>3</v>
      </c>
      <c r="I231" s="12">
        <f t="shared" si="76"/>
        <v>30</v>
      </c>
      <c r="L231" s="18"/>
      <c r="S231" s="16"/>
      <c r="T231" s="16"/>
    </row>
    <row r="232" spans="1:20" s="17" customFormat="1" ht="15" customHeight="1" x14ac:dyDescent="0.25">
      <c r="A232" s="11">
        <v>46283</v>
      </c>
      <c r="B232" s="12" t="s">
        <v>17</v>
      </c>
      <c r="C232" s="14">
        <v>18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113</v>
      </c>
      <c r="J232" s="19">
        <v>15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46283</v>
      </c>
      <c r="B233" s="12" t="s">
        <v>18</v>
      </c>
      <c r="C233" s="14">
        <f t="shared" ref="C233:H233" si="77">SUM(C234-C231-C230-C235)</f>
        <v>109</v>
      </c>
      <c r="D233" s="14">
        <f t="shared" si="77"/>
        <v>92</v>
      </c>
      <c r="E233" s="14">
        <f t="shared" si="77"/>
        <v>75</v>
      </c>
      <c r="F233" s="14">
        <f t="shared" si="77"/>
        <v>73</v>
      </c>
      <c r="G233" s="14">
        <f t="shared" si="77"/>
        <v>55</v>
      </c>
      <c r="H233" s="14">
        <f t="shared" si="77"/>
        <v>66</v>
      </c>
      <c r="I233" s="21">
        <f t="shared" si="76"/>
        <v>470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46283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46283</v>
      </c>
      <c r="B235" s="12" t="s">
        <v>20</v>
      </c>
      <c r="C235" s="14">
        <v>3</v>
      </c>
      <c r="D235" s="14">
        <v>1</v>
      </c>
      <c r="E235" s="14">
        <v>4</v>
      </c>
      <c r="F235" s="14">
        <v>0</v>
      </c>
      <c r="G235" s="14">
        <v>0</v>
      </c>
      <c r="H235" s="14">
        <v>0</v>
      </c>
      <c r="I235" s="12">
        <f t="shared" si="76"/>
        <v>8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46282</v>
      </c>
      <c r="B236" s="12" t="s">
        <v>15</v>
      </c>
      <c r="C236" s="13">
        <v>9</v>
      </c>
      <c r="D236" s="13">
        <v>4</v>
      </c>
      <c r="E236" s="13">
        <v>4</v>
      </c>
      <c r="F236" s="14">
        <v>3</v>
      </c>
      <c r="G236" s="14">
        <v>0</v>
      </c>
      <c r="H236" s="14">
        <v>5</v>
      </c>
      <c r="I236" s="12">
        <f t="shared" ref="I236:I241" si="78">SUM(C236:H236)</f>
        <v>25</v>
      </c>
      <c r="J236" s="15">
        <f>(I240)/(I236+I240+J238)</f>
        <v>0.93043478260869561</v>
      </c>
      <c r="K236" s="15">
        <f>(I240-I236-I237-J238)/(I240)</f>
        <v>0.87850467289719625</v>
      </c>
      <c r="L236" s="18"/>
      <c r="S236" s="16"/>
      <c r="T236" s="16"/>
    </row>
    <row r="237" spans="1:20" s="17" customFormat="1" ht="14.4" customHeight="1" x14ac:dyDescent="0.25">
      <c r="A237" s="11">
        <v>46282</v>
      </c>
      <c r="B237" s="12" t="s">
        <v>16</v>
      </c>
      <c r="C237" s="13">
        <v>4</v>
      </c>
      <c r="D237" s="13">
        <v>6</v>
      </c>
      <c r="E237" s="13">
        <v>4</v>
      </c>
      <c r="F237" s="14">
        <v>5</v>
      </c>
      <c r="G237" s="14">
        <v>2</v>
      </c>
      <c r="H237" s="14">
        <v>4</v>
      </c>
      <c r="I237" s="12">
        <f t="shared" si="78"/>
        <v>25</v>
      </c>
      <c r="L237" s="18"/>
      <c r="S237" s="16"/>
      <c r="T237" s="16"/>
    </row>
    <row r="238" spans="1:20" s="17" customFormat="1" ht="15" customHeight="1" x14ac:dyDescent="0.25">
      <c r="A238" s="11">
        <v>46282</v>
      </c>
      <c r="B238" s="12" t="s">
        <v>17</v>
      </c>
      <c r="C238" s="14">
        <v>19</v>
      </c>
      <c r="D238" s="14">
        <v>14</v>
      </c>
      <c r="E238" s="14">
        <v>24</v>
      </c>
      <c r="F238" s="14">
        <v>18</v>
      </c>
      <c r="G238" s="14">
        <v>23</v>
      </c>
      <c r="H238" s="14">
        <v>14</v>
      </c>
      <c r="I238" s="12">
        <f t="shared" si="78"/>
        <v>112</v>
      </c>
      <c r="J238" s="19">
        <v>15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46282</v>
      </c>
      <c r="B239" s="12" t="s">
        <v>18</v>
      </c>
      <c r="C239" s="14">
        <f t="shared" ref="C239:H239" si="79">SUM(C240-C237-C236-C241)</f>
        <v>109</v>
      </c>
      <c r="D239" s="14">
        <f t="shared" si="79"/>
        <v>95</v>
      </c>
      <c r="E239" s="14">
        <f t="shared" si="79"/>
        <v>79</v>
      </c>
      <c r="F239" s="14">
        <f t="shared" si="79"/>
        <v>73</v>
      </c>
      <c r="G239" s="14">
        <f t="shared" si="79"/>
        <v>55</v>
      </c>
      <c r="H239" s="14">
        <f t="shared" si="79"/>
        <v>66</v>
      </c>
      <c r="I239" s="21">
        <f t="shared" si="78"/>
        <v>477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46282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46282</v>
      </c>
      <c r="B241" s="12" t="s">
        <v>20</v>
      </c>
      <c r="C241" s="14">
        <v>3</v>
      </c>
      <c r="D241" s="14">
        <v>1</v>
      </c>
      <c r="E241" s="14">
        <v>4</v>
      </c>
      <c r="F241" s="14">
        <v>0</v>
      </c>
      <c r="G241" s="14">
        <v>0</v>
      </c>
      <c r="H241" s="14">
        <v>0</v>
      </c>
      <c r="I241" s="12">
        <f t="shared" si="78"/>
        <v>8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46281</v>
      </c>
      <c r="B242" s="12" t="s">
        <v>15</v>
      </c>
      <c r="C242" s="13">
        <v>8</v>
      </c>
      <c r="D242" s="13">
        <v>4</v>
      </c>
      <c r="E242" s="13">
        <v>8</v>
      </c>
      <c r="F242" s="14">
        <v>1</v>
      </c>
      <c r="G242" s="14">
        <v>2</v>
      </c>
      <c r="H242" s="14">
        <v>6</v>
      </c>
      <c r="I242" s="12">
        <f t="shared" ref="I242:I247" si="80">SUM(C242:H242)</f>
        <v>29</v>
      </c>
      <c r="J242" s="15">
        <f>(I246)/(I242+I246+J244)</f>
        <v>0.92400690846286704</v>
      </c>
      <c r="K242" s="15">
        <f>(I246-I242-I243-J244)/(I246)</f>
        <v>0.8654205607476636</v>
      </c>
      <c r="L242" s="18"/>
      <c r="S242" s="16"/>
      <c r="T242" s="16"/>
    </row>
    <row r="243" spans="1:20" s="17" customFormat="1" ht="14.4" customHeight="1" x14ac:dyDescent="0.25">
      <c r="A243" s="11">
        <v>46281</v>
      </c>
      <c r="B243" s="12" t="s">
        <v>16</v>
      </c>
      <c r="C243" s="13">
        <v>6</v>
      </c>
      <c r="D243" s="13">
        <v>6</v>
      </c>
      <c r="E243" s="13">
        <v>5</v>
      </c>
      <c r="F243" s="14">
        <v>7</v>
      </c>
      <c r="G243" s="14">
        <v>1</v>
      </c>
      <c r="H243" s="14">
        <v>3</v>
      </c>
      <c r="I243" s="12">
        <f t="shared" si="80"/>
        <v>28</v>
      </c>
      <c r="L243" s="18"/>
      <c r="S243" s="16"/>
      <c r="T243" s="16"/>
    </row>
    <row r="244" spans="1:20" s="17" customFormat="1" ht="15" customHeight="1" x14ac:dyDescent="0.25">
      <c r="A244" s="11">
        <v>46281</v>
      </c>
      <c r="B244" s="12" t="s">
        <v>17</v>
      </c>
      <c r="C244" s="14">
        <v>20</v>
      </c>
      <c r="D244" s="14">
        <v>15</v>
      </c>
      <c r="E244" s="14">
        <v>24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15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46281</v>
      </c>
      <c r="B245" s="12" t="s">
        <v>18</v>
      </c>
      <c r="C245" s="14">
        <f t="shared" ref="C245:H245" si="81">SUM(C246-C243-C242-C247)</f>
        <v>108</v>
      </c>
      <c r="D245" s="14">
        <f t="shared" si="81"/>
        <v>95</v>
      </c>
      <c r="E245" s="14">
        <f t="shared" si="81"/>
        <v>74</v>
      </c>
      <c r="F245" s="14">
        <f t="shared" si="81"/>
        <v>73</v>
      </c>
      <c r="G245" s="14">
        <f t="shared" si="81"/>
        <v>54</v>
      </c>
      <c r="H245" s="14">
        <f t="shared" si="81"/>
        <v>66</v>
      </c>
      <c r="I245" s="21">
        <f t="shared" si="80"/>
        <v>470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46281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46281</v>
      </c>
      <c r="B247" s="12" t="s">
        <v>20</v>
      </c>
      <c r="C247" s="14">
        <v>3</v>
      </c>
      <c r="D247" s="14">
        <v>1</v>
      </c>
      <c r="E247" s="14">
        <v>4</v>
      </c>
      <c r="F247" s="14">
        <v>0</v>
      </c>
      <c r="G247" s="14">
        <v>0</v>
      </c>
      <c r="H247" s="14">
        <v>0</v>
      </c>
      <c r="I247" s="12">
        <f t="shared" si="80"/>
        <v>8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46280</v>
      </c>
      <c r="B248" s="12" t="s">
        <v>15</v>
      </c>
      <c r="C248" s="13">
        <v>13</v>
      </c>
      <c r="D248" s="13">
        <v>5</v>
      </c>
      <c r="E248" s="13">
        <v>4</v>
      </c>
      <c r="F248" s="14">
        <v>0</v>
      </c>
      <c r="G248" s="14">
        <v>1</v>
      </c>
      <c r="H248" s="14">
        <v>6</v>
      </c>
      <c r="I248" s="12">
        <f t="shared" ref="I248:I253" si="82">SUM(C248:H248)</f>
        <v>29</v>
      </c>
      <c r="J248" s="15">
        <f>(I252)/(I248+I252+J250)</f>
        <v>0.92400690846286704</v>
      </c>
      <c r="K248" s="15">
        <f>(I252-I248-I249-J250)/(I252)</f>
        <v>0.85607476635514024</v>
      </c>
      <c r="L248" s="18"/>
      <c r="S248" s="16"/>
      <c r="T248" s="16"/>
    </row>
    <row r="249" spans="1:20" s="17" customFormat="1" ht="14.4" customHeight="1" x14ac:dyDescent="0.25">
      <c r="A249" s="11">
        <v>46280</v>
      </c>
      <c r="B249" s="12" t="s">
        <v>16</v>
      </c>
      <c r="C249" s="13">
        <v>10</v>
      </c>
      <c r="D249" s="13">
        <v>6</v>
      </c>
      <c r="E249" s="13">
        <v>7</v>
      </c>
      <c r="F249" s="14">
        <v>6</v>
      </c>
      <c r="G249" s="14">
        <v>0</v>
      </c>
      <c r="H249" s="14">
        <v>4</v>
      </c>
      <c r="I249" s="12">
        <f t="shared" si="82"/>
        <v>33</v>
      </c>
      <c r="L249" s="18"/>
      <c r="S249" s="16"/>
      <c r="T249" s="16"/>
    </row>
    <row r="250" spans="1:20" s="17" customFormat="1" ht="15" customHeight="1" x14ac:dyDescent="0.25">
      <c r="A250" s="11">
        <v>46280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15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46280</v>
      </c>
      <c r="B251" s="12" t="s">
        <v>18</v>
      </c>
      <c r="C251" s="14">
        <f t="shared" ref="C251:H251" si="83">SUM(C252-C249-C248-C253)</f>
        <v>99</v>
      </c>
      <c r="D251" s="14">
        <f t="shared" si="83"/>
        <v>94</v>
      </c>
      <c r="E251" s="14">
        <f t="shared" si="83"/>
        <v>76</v>
      </c>
      <c r="F251" s="14">
        <f t="shared" si="83"/>
        <v>75</v>
      </c>
      <c r="G251" s="14">
        <f t="shared" si="83"/>
        <v>56</v>
      </c>
      <c r="H251" s="14">
        <f t="shared" si="83"/>
        <v>65</v>
      </c>
      <c r="I251" s="21">
        <f t="shared" si="82"/>
        <v>465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46280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46280</v>
      </c>
      <c r="B253" s="12" t="s">
        <v>20</v>
      </c>
      <c r="C253" s="14">
        <v>3</v>
      </c>
      <c r="D253" s="14">
        <v>1</v>
      </c>
      <c r="E253" s="14">
        <v>4</v>
      </c>
      <c r="F253" s="14">
        <v>0</v>
      </c>
      <c r="G253" s="14">
        <v>0</v>
      </c>
      <c r="H253" s="14">
        <v>0</v>
      </c>
      <c r="I253" s="12">
        <f t="shared" si="82"/>
        <v>8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46279</v>
      </c>
      <c r="B254" s="12" t="s">
        <v>15</v>
      </c>
      <c r="C254" s="13">
        <v>11</v>
      </c>
      <c r="D254" s="13">
        <v>5</v>
      </c>
      <c r="E254" s="13">
        <v>4</v>
      </c>
      <c r="F254" s="14">
        <v>1</v>
      </c>
      <c r="G254" s="14">
        <v>2</v>
      </c>
      <c r="H254" s="14">
        <v>4</v>
      </c>
      <c r="I254" s="12">
        <f t="shared" ref="I254:I259" si="84">SUM(C254:H254)</f>
        <v>27</v>
      </c>
      <c r="J254" s="15">
        <f>(I258)/(I254+I258+J256)</f>
        <v>0.92720970537261693</v>
      </c>
      <c r="K254" s="15">
        <f>(I258-I254-I255-J256)/(I258)</f>
        <v>0.86168224299065421</v>
      </c>
      <c r="L254" s="18"/>
      <c r="S254" s="16"/>
      <c r="T254" s="16"/>
    </row>
    <row r="255" spans="1:20" s="17" customFormat="1" ht="14.4" customHeight="1" x14ac:dyDescent="0.25">
      <c r="A255" s="11">
        <v>46279</v>
      </c>
      <c r="B255" s="12" t="s">
        <v>16</v>
      </c>
      <c r="C255" s="13">
        <v>9</v>
      </c>
      <c r="D255" s="13">
        <v>6</v>
      </c>
      <c r="E255" s="13">
        <v>7</v>
      </c>
      <c r="F255" s="14">
        <v>5</v>
      </c>
      <c r="G255" s="14">
        <v>0</v>
      </c>
      <c r="H255" s="14">
        <v>5</v>
      </c>
      <c r="I255" s="12">
        <f t="shared" si="84"/>
        <v>32</v>
      </c>
      <c r="L255" s="18"/>
      <c r="S255" s="16"/>
      <c r="T255" s="16"/>
    </row>
    <row r="256" spans="1:20" s="17" customFormat="1" ht="15" customHeight="1" x14ac:dyDescent="0.25">
      <c r="A256" s="11">
        <v>46279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15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46279</v>
      </c>
      <c r="B257" s="12" t="s">
        <v>18</v>
      </c>
      <c r="C257" s="14">
        <f t="shared" ref="C257:H257" si="85">SUM(C258-C255-C254-C259)</f>
        <v>100</v>
      </c>
      <c r="D257" s="14">
        <f t="shared" si="85"/>
        <v>94</v>
      </c>
      <c r="E257" s="14">
        <f t="shared" si="85"/>
        <v>76</v>
      </c>
      <c r="F257" s="14">
        <f t="shared" si="85"/>
        <v>75</v>
      </c>
      <c r="G257" s="14">
        <f t="shared" si="85"/>
        <v>55</v>
      </c>
      <c r="H257" s="14">
        <f t="shared" si="85"/>
        <v>65</v>
      </c>
      <c r="I257" s="21">
        <f t="shared" si="84"/>
        <v>465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46279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46279</v>
      </c>
      <c r="B259" s="12" t="s">
        <v>20</v>
      </c>
      <c r="C259" s="14">
        <v>5</v>
      </c>
      <c r="D259" s="14">
        <v>1</v>
      </c>
      <c r="E259" s="14">
        <v>4</v>
      </c>
      <c r="F259" s="14">
        <v>0</v>
      </c>
      <c r="G259" s="14">
        <v>0</v>
      </c>
      <c r="H259" s="14">
        <v>1</v>
      </c>
      <c r="I259" s="12">
        <f t="shared" si="84"/>
        <v>11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46278</v>
      </c>
      <c r="B260" s="12" t="s">
        <v>15</v>
      </c>
      <c r="C260" s="13">
        <v>10</v>
      </c>
      <c r="D260" s="13">
        <v>5</v>
      </c>
      <c r="E260" s="13">
        <v>3</v>
      </c>
      <c r="F260" s="14">
        <v>4</v>
      </c>
      <c r="G260" s="14">
        <v>2</v>
      </c>
      <c r="H260" s="14">
        <v>5</v>
      </c>
      <c r="I260" s="12">
        <f t="shared" ref="I260:I265" si="86">SUM(C260:H260)</f>
        <v>29</v>
      </c>
      <c r="J260" s="15">
        <f>(I264)/(I260+I264+J262)</f>
        <v>0.92400690846286704</v>
      </c>
      <c r="K260" s="15">
        <f>(I264-I260-I261-J262)/(I264)</f>
        <v>0.85420560747663554</v>
      </c>
      <c r="L260" s="18"/>
      <c r="S260" s="16"/>
      <c r="T260" s="16"/>
    </row>
    <row r="261" spans="1:20" s="17" customFormat="1" ht="14.4" customHeight="1" x14ac:dyDescent="0.25">
      <c r="A261" s="11">
        <v>46278</v>
      </c>
      <c r="B261" s="12" t="s">
        <v>16</v>
      </c>
      <c r="C261" s="13">
        <v>11</v>
      </c>
      <c r="D261" s="13">
        <v>9</v>
      </c>
      <c r="E261" s="13">
        <v>7</v>
      </c>
      <c r="F261" s="14">
        <v>2</v>
      </c>
      <c r="G261" s="14">
        <v>0</v>
      </c>
      <c r="H261" s="14">
        <v>5</v>
      </c>
      <c r="I261" s="12">
        <f t="shared" si="86"/>
        <v>34</v>
      </c>
      <c r="L261" s="18"/>
      <c r="S261" s="16"/>
      <c r="T261" s="16"/>
    </row>
    <row r="262" spans="1:20" s="17" customFormat="1" ht="15" customHeight="1" x14ac:dyDescent="0.25">
      <c r="A262" s="11">
        <v>46278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15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46278</v>
      </c>
      <c r="B263" s="12" t="s">
        <v>18</v>
      </c>
      <c r="C263" s="14">
        <f t="shared" ref="C263:H263" si="87">SUM(C264-C261-C260-C265)</f>
        <v>100</v>
      </c>
      <c r="D263" s="14">
        <f t="shared" si="87"/>
        <v>91</v>
      </c>
      <c r="E263" s="14">
        <f t="shared" si="87"/>
        <v>77</v>
      </c>
      <c r="F263" s="14">
        <f t="shared" si="87"/>
        <v>75</v>
      </c>
      <c r="G263" s="14">
        <f t="shared" si="87"/>
        <v>55</v>
      </c>
      <c r="H263" s="14">
        <f t="shared" si="87"/>
        <v>65</v>
      </c>
      <c r="I263" s="21">
        <f t="shared" si="86"/>
        <v>463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46278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46278</v>
      </c>
      <c r="B265" s="12" t="s">
        <v>20</v>
      </c>
      <c r="C265" s="14">
        <v>4</v>
      </c>
      <c r="D265" s="14">
        <v>1</v>
      </c>
      <c r="E265" s="14">
        <v>4</v>
      </c>
      <c r="F265" s="14">
        <v>0</v>
      </c>
      <c r="G265" s="14">
        <v>0</v>
      </c>
      <c r="H265" s="14">
        <v>0</v>
      </c>
      <c r="I265" s="12">
        <f t="shared" si="86"/>
        <v>9</v>
      </c>
      <c r="J265" s="20"/>
      <c r="K265" s="20"/>
      <c r="L265" s="5"/>
      <c r="S265" s="16"/>
      <c r="T265" s="16"/>
    </row>
    <row r="266" spans="1:20" s="17" customFormat="1" ht="15.6" customHeight="1" x14ac:dyDescent="0.25">
      <c r="A266" s="11">
        <v>46277</v>
      </c>
      <c r="B266" s="12" t="s">
        <v>15</v>
      </c>
      <c r="C266" s="13">
        <v>10</v>
      </c>
      <c r="D266" s="13">
        <v>6</v>
      </c>
      <c r="E266" s="13">
        <v>5</v>
      </c>
      <c r="F266" s="14">
        <v>2</v>
      </c>
      <c r="G266" s="14">
        <v>0</v>
      </c>
      <c r="H266" s="14">
        <v>6</v>
      </c>
      <c r="I266" s="12">
        <f t="shared" ref="I266:I271" si="88">SUM(C266:H266)</f>
        <v>29</v>
      </c>
      <c r="J266" s="15">
        <f>(I270)/(I266+I270+J268)</f>
        <v>0.9256055363321799</v>
      </c>
      <c r="K266" s="15">
        <f>(I270-I266-I267-J268)/(I270)</f>
        <v>0.84672897196261687</v>
      </c>
      <c r="L266" s="18"/>
      <c r="S266" s="16"/>
      <c r="T266" s="16"/>
    </row>
    <row r="267" spans="1:20" s="17" customFormat="1" ht="14.4" customHeight="1" x14ac:dyDescent="0.25">
      <c r="A267" s="11">
        <v>46277</v>
      </c>
      <c r="B267" s="12" t="s">
        <v>16</v>
      </c>
      <c r="C267" s="13">
        <v>11</v>
      </c>
      <c r="D267" s="13">
        <v>9</v>
      </c>
      <c r="E267" s="13">
        <v>6</v>
      </c>
      <c r="F267" s="14">
        <v>5</v>
      </c>
      <c r="G267" s="14">
        <v>2</v>
      </c>
      <c r="H267" s="14">
        <v>6</v>
      </c>
      <c r="I267" s="12">
        <f t="shared" si="88"/>
        <v>39</v>
      </c>
      <c r="L267" s="18"/>
      <c r="S267" s="16"/>
      <c r="T267" s="16"/>
    </row>
    <row r="268" spans="1:20" s="17" customFormat="1" ht="15" customHeight="1" x14ac:dyDescent="0.25">
      <c r="A268" s="11">
        <v>46277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14</v>
      </c>
      <c r="I268" s="12">
        <f t="shared" si="88"/>
        <v>114</v>
      </c>
      <c r="J268" s="19">
        <v>14</v>
      </c>
      <c r="K268" s="20"/>
      <c r="L268" s="16"/>
      <c r="S268" s="16"/>
      <c r="T268" s="16"/>
    </row>
    <row r="269" spans="1:20" s="17" customFormat="1" ht="13.8" customHeight="1" x14ac:dyDescent="0.25">
      <c r="A269" s="11">
        <v>46277</v>
      </c>
      <c r="B269" s="12" t="s">
        <v>18</v>
      </c>
      <c r="C269" s="14">
        <f t="shared" ref="C269:H269" si="89">SUM(C270-C267-C266-C271)</f>
        <v>100</v>
      </c>
      <c r="D269" s="14">
        <f t="shared" si="89"/>
        <v>90</v>
      </c>
      <c r="E269" s="14">
        <f t="shared" si="89"/>
        <v>76</v>
      </c>
      <c r="F269" s="14">
        <f t="shared" si="89"/>
        <v>74</v>
      </c>
      <c r="G269" s="14">
        <f t="shared" si="89"/>
        <v>55</v>
      </c>
      <c r="H269" s="14">
        <f t="shared" si="89"/>
        <v>63</v>
      </c>
      <c r="I269" s="21">
        <f t="shared" si="88"/>
        <v>458</v>
      </c>
      <c r="J269" s="20"/>
      <c r="K269" s="20"/>
      <c r="L269" s="16"/>
      <c r="S269" s="16"/>
      <c r="T269" s="16"/>
    </row>
    <row r="270" spans="1:20" s="17" customFormat="1" ht="14.4" customHeight="1" x14ac:dyDescent="0.25">
      <c r="A270" s="11">
        <v>46277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  <c r="L270" s="16"/>
      <c r="S270" s="16"/>
      <c r="T270" s="16"/>
    </row>
    <row r="271" spans="1:20" s="17" customFormat="1" ht="14.4" customHeight="1" x14ac:dyDescent="0.2">
      <c r="A271" s="11">
        <v>46277</v>
      </c>
      <c r="B271" s="12" t="s">
        <v>20</v>
      </c>
      <c r="C271" s="14">
        <v>4</v>
      </c>
      <c r="D271" s="14">
        <v>1</v>
      </c>
      <c r="E271" s="14">
        <v>4</v>
      </c>
      <c r="F271" s="14">
        <v>0</v>
      </c>
      <c r="G271" s="14">
        <v>0</v>
      </c>
      <c r="H271" s="14">
        <v>0</v>
      </c>
      <c r="I271" s="12">
        <f t="shared" si="88"/>
        <v>9</v>
      </c>
      <c r="J271" s="20"/>
      <c r="K271" s="20"/>
      <c r="L271" s="5"/>
      <c r="S271" s="16"/>
      <c r="T271" s="16"/>
    </row>
    <row r="272" spans="1:20" s="17" customFormat="1" ht="15.6" customHeight="1" x14ac:dyDescent="0.25">
      <c r="A272" s="11">
        <v>46276</v>
      </c>
      <c r="B272" s="12" t="s">
        <v>15</v>
      </c>
      <c r="C272" s="13">
        <v>12</v>
      </c>
      <c r="D272" s="13">
        <v>5</v>
      </c>
      <c r="E272" s="13">
        <v>5</v>
      </c>
      <c r="F272" s="14">
        <v>5</v>
      </c>
      <c r="G272" s="14">
        <v>0</v>
      </c>
      <c r="H272" s="14">
        <v>7</v>
      </c>
      <c r="I272" s="12">
        <f t="shared" ref="I272:I277" si="90">SUM(C272:H272)</f>
        <v>34</v>
      </c>
      <c r="J272" s="15">
        <f>(I276)/(I272+I276+J274)</f>
        <v>0.9145299145299145</v>
      </c>
      <c r="K272" s="15">
        <f>(I276-I272-I273-J274)/(I276)</f>
        <v>0.84112149532710279</v>
      </c>
      <c r="L272" s="18"/>
      <c r="S272" s="16"/>
      <c r="T272" s="16"/>
    </row>
    <row r="273" spans="1:20" s="17" customFormat="1" ht="14.4" customHeight="1" x14ac:dyDescent="0.25">
      <c r="A273" s="11">
        <v>46276</v>
      </c>
      <c r="B273" s="12" t="s">
        <v>16</v>
      </c>
      <c r="C273" s="13">
        <v>9</v>
      </c>
      <c r="D273" s="13">
        <v>9</v>
      </c>
      <c r="E273" s="13">
        <v>6</v>
      </c>
      <c r="F273" s="14">
        <v>3</v>
      </c>
      <c r="G273" s="14">
        <v>3</v>
      </c>
      <c r="H273" s="14">
        <v>5</v>
      </c>
      <c r="I273" s="12">
        <f t="shared" si="90"/>
        <v>35</v>
      </c>
      <c r="L273" s="18"/>
      <c r="S273" s="16"/>
      <c r="T273" s="16"/>
    </row>
    <row r="274" spans="1:20" s="17" customFormat="1" ht="15" customHeight="1" x14ac:dyDescent="0.25">
      <c r="A274" s="11">
        <v>46276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14</v>
      </c>
      <c r="I274" s="12">
        <f t="shared" si="90"/>
        <v>114</v>
      </c>
      <c r="J274" s="19">
        <v>16</v>
      </c>
      <c r="K274" s="20"/>
      <c r="L274" s="16"/>
      <c r="S274" s="16"/>
      <c r="T274" s="16"/>
    </row>
    <row r="275" spans="1:20" s="17" customFormat="1" ht="13.8" customHeight="1" x14ac:dyDescent="0.25">
      <c r="A275" s="11">
        <v>46276</v>
      </c>
      <c r="B275" s="12" t="s">
        <v>18</v>
      </c>
      <c r="C275" s="14">
        <f t="shared" ref="C275:H275" si="91">SUM(C276-C273-C272-C277)</f>
        <v>100</v>
      </c>
      <c r="D275" s="14">
        <f t="shared" si="91"/>
        <v>91</v>
      </c>
      <c r="E275" s="14">
        <f t="shared" si="91"/>
        <v>76</v>
      </c>
      <c r="F275" s="14">
        <f t="shared" si="91"/>
        <v>73</v>
      </c>
      <c r="G275" s="14">
        <f t="shared" si="91"/>
        <v>54</v>
      </c>
      <c r="H275" s="14">
        <f t="shared" si="91"/>
        <v>63</v>
      </c>
      <c r="I275" s="21">
        <f t="shared" si="90"/>
        <v>457</v>
      </c>
      <c r="J275" s="20"/>
      <c r="K275" s="20"/>
      <c r="L275" s="16"/>
      <c r="S275" s="16"/>
      <c r="T275" s="16"/>
    </row>
    <row r="276" spans="1:20" s="17" customFormat="1" ht="14.4" customHeight="1" x14ac:dyDescent="0.25">
      <c r="A276" s="11">
        <v>46276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  <c r="L276" s="16"/>
      <c r="S276" s="16"/>
      <c r="T276" s="16"/>
    </row>
    <row r="277" spans="1:20" s="17" customFormat="1" ht="14.4" customHeight="1" x14ac:dyDescent="0.2">
      <c r="A277" s="11">
        <v>46276</v>
      </c>
      <c r="B277" s="12" t="s">
        <v>20</v>
      </c>
      <c r="C277" s="14">
        <v>4</v>
      </c>
      <c r="D277" s="14">
        <v>1</v>
      </c>
      <c r="E277" s="14">
        <v>4</v>
      </c>
      <c r="F277" s="14">
        <v>0</v>
      </c>
      <c r="G277" s="14">
        <v>0</v>
      </c>
      <c r="H277" s="14">
        <v>0</v>
      </c>
      <c r="I277" s="12">
        <f t="shared" si="90"/>
        <v>9</v>
      </c>
      <c r="J277" s="20"/>
      <c r="K277" s="20"/>
      <c r="L277" s="5"/>
      <c r="S277" s="16"/>
      <c r="T277" s="16"/>
    </row>
    <row r="278" spans="1:20" s="17" customFormat="1" ht="15.6" customHeight="1" x14ac:dyDescent="0.25">
      <c r="A278" s="11">
        <v>46275</v>
      </c>
      <c r="B278" s="12" t="s">
        <v>15</v>
      </c>
      <c r="C278" s="13">
        <v>13</v>
      </c>
      <c r="D278" s="13">
        <v>5</v>
      </c>
      <c r="E278" s="13">
        <v>6</v>
      </c>
      <c r="F278" s="14">
        <v>2</v>
      </c>
      <c r="G278" s="14">
        <v>0</v>
      </c>
      <c r="H278" s="14">
        <v>5</v>
      </c>
      <c r="I278" s="12">
        <f t="shared" ref="I278:I283" si="92">SUM(C278:H278)</f>
        <v>31</v>
      </c>
      <c r="J278" s="15">
        <f>(I282)/(I278+I282+J280)</f>
        <v>0.92400690846286704</v>
      </c>
      <c r="K278" s="15">
        <f>(I282-I278-I279-J280)/(I282)</f>
        <v>0.85046728971962615</v>
      </c>
      <c r="L278" s="18"/>
      <c r="S278" s="16"/>
      <c r="T278" s="16"/>
    </row>
    <row r="279" spans="1:20" s="17" customFormat="1" ht="14.4" customHeight="1" x14ac:dyDescent="0.25">
      <c r="A279" s="11">
        <v>46275</v>
      </c>
      <c r="B279" s="12" t="s">
        <v>16</v>
      </c>
      <c r="C279" s="13">
        <v>8</v>
      </c>
      <c r="D279" s="13">
        <v>8</v>
      </c>
      <c r="E279" s="13">
        <v>7</v>
      </c>
      <c r="F279" s="14">
        <v>4</v>
      </c>
      <c r="G279" s="14">
        <v>3</v>
      </c>
      <c r="H279" s="14">
        <v>6</v>
      </c>
      <c r="I279" s="12">
        <f t="shared" si="92"/>
        <v>36</v>
      </c>
      <c r="L279" s="18"/>
      <c r="S279" s="16"/>
      <c r="T279" s="16"/>
    </row>
    <row r="280" spans="1:20" s="17" customFormat="1" ht="15" customHeight="1" x14ac:dyDescent="0.25">
      <c r="A280" s="11">
        <v>46275</v>
      </c>
      <c r="B280" s="12" t="s">
        <v>17</v>
      </c>
      <c r="C280" s="14">
        <v>19</v>
      </c>
      <c r="D280" s="14">
        <v>15</v>
      </c>
      <c r="E280" s="14">
        <v>25</v>
      </c>
      <c r="F280" s="14">
        <v>18</v>
      </c>
      <c r="G280" s="14">
        <v>23</v>
      </c>
      <c r="H280" s="14">
        <v>14</v>
      </c>
      <c r="I280" s="12">
        <f t="shared" si="92"/>
        <v>114</v>
      </c>
      <c r="J280" s="19">
        <v>13</v>
      </c>
      <c r="K280" s="20"/>
      <c r="L280" s="16"/>
      <c r="S280" s="16"/>
      <c r="T280" s="16"/>
    </row>
    <row r="281" spans="1:20" s="17" customFormat="1" ht="13.8" customHeight="1" x14ac:dyDescent="0.25">
      <c r="A281" s="11">
        <v>46275</v>
      </c>
      <c r="B281" s="12" t="s">
        <v>18</v>
      </c>
      <c r="C281" s="14">
        <f t="shared" ref="C281:H281" si="93">SUM(C282-C279-C278-C283)</f>
        <v>101</v>
      </c>
      <c r="D281" s="14">
        <f t="shared" si="93"/>
        <v>92</v>
      </c>
      <c r="E281" s="14">
        <f t="shared" si="93"/>
        <v>76</v>
      </c>
      <c r="F281" s="14">
        <f t="shared" si="93"/>
        <v>75</v>
      </c>
      <c r="G281" s="14">
        <f t="shared" si="93"/>
        <v>54</v>
      </c>
      <c r="H281" s="14">
        <f t="shared" si="93"/>
        <v>64</v>
      </c>
      <c r="I281" s="21">
        <f t="shared" si="92"/>
        <v>462</v>
      </c>
      <c r="J281" s="20"/>
      <c r="K281" s="20"/>
      <c r="L281" s="16"/>
      <c r="S281" s="16"/>
      <c r="T281" s="16"/>
    </row>
    <row r="282" spans="1:20" s="17" customFormat="1" ht="14.4" customHeight="1" x14ac:dyDescent="0.25">
      <c r="A282" s="11">
        <v>46275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  <c r="L282" s="16"/>
      <c r="S282" s="16"/>
      <c r="T282" s="16"/>
    </row>
    <row r="283" spans="1:20" s="17" customFormat="1" ht="14.4" customHeight="1" x14ac:dyDescent="0.2">
      <c r="A283" s="11">
        <v>46275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  <c r="L283" s="5"/>
      <c r="S283" s="16"/>
      <c r="T283" s="16"/>
    </row>
    <row r="284" spans="1:20" s="17" customFormat="1" ht="15.6" customHeight="1" x14ac:dyDescent="0.25">
      <c r="A284" s="11">
        <v>46274</v>
      </c>
      <c r="B284" s="12" t="s">
        <v>15</v>
      </c>
      <c r="C284" s="13">
        <v>13</v>
      </c>
      <c r="D284" s="13">
        <v>3</v>
      </c>
      <c r="E284" s="13">
        <v>5</v>
      </c>
      <c r="F284" s="14">
        <v>4</v>
      </c>
      <c r="G284" s="14">
        <v>0</v>
      </c>
      <c r="H284" s="14">
        <v>6</v>
      </c>
      <c r="I284" s="12">
        <f t="shared" ref="I284:I289" si="94">SUM(C284:H284)</f>
        <v>31</v>
      </c>
      <c r="J284" s="15">
        <f>(I288)/(I284+I288+J286)</f>
        <v>0.92241379310344829</v>
      </c>
      <c r="K284" s="15">
        <f>(I288-I284-I285-J286)/(I288)</f>
        <v>0.84672897196261687</v>
      </c>
      <c r="L284" s="18"/>
      <c r="S284" s="16"/>
      <c r="T284" s="16"/>
    </row>
    <row r="285" spans="1:20" s="17" customFormat="1" ht="14.4" customHeight="1" x14ac:dyDescent="0.25">
      <c r="A285" s="11">
        <v>46274</v>
      </c>
      <c r="B285" s="12" t="s">
        <v>16</v>
      </c>
      <c r="C285" s="13">
        <v>10</v>
      </c>
      <c r="D285" s="13">
        <v>10</v>
      </c>
      <c r="E285" s="13">
        <v>7</v>
      </c>
      <c r="F285" s="14">
        <v>2</v>
      </c>
      <c r="G285" s="14">
        <v>3</v>
      </c>
      <c r="H285" s="14">
        <v>5</v>
      </c>
      <c r="I285" s="12">
        <f t="shared" si="94"/>
        <v>37</v>
      </c>
      <c r="L285" s="18"/>
      <c r="S285" s="16"/>
      <c r="T285" s="16"/>
    </row>
    <row r="286" spans="1:20" s="17" customFormat="1" ht="15" customHeight="1" x14ac:dyDescent="0.25">
      <c r="A286" s="11">
        <v>46274</v>
      </c>
      <c r="B286" s="12" t="s">
        <v>17</v>
      </c>
      <c r="C286" s="14">
        <v>19</v>
      </c>
      <c r="D286" s="14">
        <v>15</v>
      </c>
      <c r="E286" s="14">
        <v>25</v>
      </c>
      <c r="F286" s="14">
        <v>18</v>
      </c>
      <c r="G286" s="14">
        <v>23</v>
      </c>
      <c r="H286" s="14">
        <v>14</v>
      </c>
      <c r="I286" s="12">
        <f t="shared" si="94"/>
        <v>114</v>
      </c>
      <c r="J286" s="19">
        <v>14</v>
      </c>
      <c r="K286" s="20"/>
      <c r="L286" s="16"/>
      <c r="S286" s="16"/>
      <c r="T286" s="16"/>
    </row>
    <row r="287" spans="1:20" s="17" customFormat="1" ht="13.8" customHeight="1" x14ac:dyDescent="0.25">
      <c r="A287" s="11">
        <v>46274</v>
      </c>
      <c r="B287" s="12" t="s">
        <v>18</v>
      </c>
      <c r="C287" s="14">
        <f t="shared" ref="C287:H287" si="95">SUM(C288-C285-C284-C289)</f>
        <v>99</v>
      </c>
      <c r="D287" s="14">
        <f t="shared" si="95"/>
        <v>92</v>
      </c>
      <c r="E287" s="14">
        <f t="shared" si="95"/>
        <v>77</v>
      </c>
      <c r="F287" s="14">
        <f t="shared" si="95"/>
        <v>75</v>
      </c>
      <c r="G287" s="14">
        <f t="shared" si="95"/>
        <v>54</v>
      </c>
      <c r="H287" s="14">
        <f t="shared" si="95"/>
        <v>64</v>
      </c>
      <c r="I287" s="21">
        <f t="shared" si="94"/>
        <v>461</v>
      </c>
      <c r="J287" s="20"/>
      <c r="K287" s="20"/>
      <c r="L287" s="16"/>
      <c r="S287" s="16"/>
      <c r="T287" s="16"/>
    </row>
    <row r="288" spans="1:20" s="17" customFormat="1" ht="14.4" customHeight="1" x14ac:dyDescent="0.25">
      <c r="A288" s="11">
        <v>46274</v>
      </c>
      <c r="B288" s="23" t="s">
        <v>19</v>
      </c>
      <c r="C288" s="23">
        <v>125</v>
      </c>
      <c r="D288" s="23">
        <v>106</v>
      </c>
      <c r="E288" s="23">
        <v>91</v>
      </c>
      <c r="F288" s="23">
        <v>81</v>
      </c>
      <c r="G288" s="23">
        <v>57</v>
      </c>
      <c r="H288" s="23">
        <v>75</v>
      </c>
      <c r="I288" s="23">
        <f t="shared" si="94"/>
        <v>535</v>
      </c>
      <c r="J288" s="20"/>
      <c r="K288" s="20"/>
      <c r="L288" s="16"/>
      <c r="S288" s="16"/>
      <c r="T288" s="16"/>
    </row>
    <row r="289" spans="1:20" s="17" customFormat="1" ht="14.4" customHeight="1" x14ac:dyDescent="0.2">
      <c r="A289" s="11">
        <v>46274</v>
      </c>
      <c r="B289" s="12" t="s">
        <v>20</v>
      </c>
      <c r="C289" s="14">
        <v>3</v>
      </c>
      <c r="D289" s="14">
        <v>1</v>
      </c>
      <c r="E289" s="14">
        <v>2</v>
      </c>
      <c r="F289" s="14">
        <v>0</v>
      </c>
      <c r="G289" s="14">
        <v>0</v>
      </c>
      <c r="H289" s="14">
        <v>0</v>
      </c>
      <c r="I289" s="12">
        <f t="shared" si="94"/>
        <v>6</v>
      </c>
      <c r="J289" s="20"/>
      <c r="K289" s="20"/>
      <c r="L289" s="5"/>
      <c r="S289" s="16"/>
      <c r="T289" s="16"/>
    </row>
    <row r="290" spans="1:20" s="17" customFormat="1" ht="15.6" customHeight="1" x14ac:dyDescent="0.25">
      <c r="A290" s="11">
        <v>46273</v>
      </c>
      <c r="B290" s="12" t="s">
        <v>15</v>
      </c>
      <c r="C290" s="13">
        <v>16</v>
      </c>
      <c r="D290" s="13">
        <v>3</v>
      </c>
      <c r="E290" s="13">
        <v>6</v>
      </c>
      <c r="F290" s="14">
        <v>3</v>
      </c>
      <c r="G290" s="14">
        <v>1</v>
      </c>
      <c r="H290" s="14">
        <v>4</v>
      </c>
      <c r="I290" s="12">
        <f t="shared" ref="I290:I295" si="96">SUM(C290:H290)</f>
        <v>33</v>
      </c>
      <c r="J290" s="15">
        <f>(I294)/(I290+I294+J292)</f>
        <v>0.91766723842195541</v>
      </c>
      <c r="K290" s="15">
        <f>(I294-I290-I291-J292)/(I294)</f>
        <v>0.83925233644859809</v>
      </c>
      <c r="L290" s="18"/>
      <c r="S290" s="16"/>
      <c r="T290" s="16"/>
    </row>
    <row r="291" spans="1:20" s="17" customFormat="1" ht="14.4" customHeight="1" x14ac:dyDescent="0.25">
      <c r="A291" s="11">
        <v>46273</v>
      </c>
      <c r="B291" s="12" t="s">
        <v>16</v>
      </c>
      <c r="C291" s="13">
        <v>9</v>
      </c>
      <c r="D291" s="13">
        <v>10</v>
      </c>
      <c r="E291" s="13">
        <v>8</v>
      </c>
      <c r="F291" s="14">
        <v>4</v>
      </c>
      <c r="G291" s="14">
        <v>2</v>
      </c>
      <c r="H291" s="14">
        <v>5</v>
      </c>
      <c r="I291" s="12">
        <f t="shared" si="96"/>
        <v>38</v>
      </c>
      <c r="L291" s="18"/>
      <c r="S291" s="16"/>
      <c r="T291" s="16"/>
    </row>
    <row r="292" spans="1:20" s="17" customFormat="1" ht="15" customHeight="1" x14ac:dyDescent="0.25">
      <c r="A292" s="11">
        <v>46273</v>
      </c>
      <c r="B292" s="12" t="s">
        <v>17</v>
      </c>
      <c r="C292" s="14">
        <v>19</v>
      </c>
      <c r="D292" s="14">
        <v>15</v>
      </c>
      <c r="E292" s="14">
        <v>25</v>
      </c>
      <c r="F292" s="14">
        <v>18</v>
      </c>
      <c r="G292" s="14">
        <v>23</v>
      </c>
      <c r="H292" s="14">
        <v>14</v>
      </c>
      <c r="I292" s="12">
        <f t="shared" si="96"/>
        <v>114</v>
      </c>
      <c r="J292" s="19">
        <v>15</v>
      </c>
      <c r="K292" s="20"/>
      <c r="L292" s="16"/>
      <c r="S292" s="16"/>
      <c r="T292" s="16"/>
    </row>
    <row r="293" spans="1:20" s="17" customFormat="1" ht="13.8" customHeight="1" x14ac:dyDescent="0.25">
      <c r="A293" s="11">
        <v>46273</v>
      </c>
      <c r="B293" s="12" t="s">
        <v>18</v>
      </c>
      <c r="C293" s="14">
        <f t="shared" ref="C293:H293" si="97">SUM(C294-C291-C290-C295)</f>
        <v>97</v>
      </c>
      <c r="D293" s="14">
        <f t="shared" si="97"/>
        <v>92</v>
      </c>
      <c r="E293" s="14">
        <f t="shared" si="97"/>
        <v>75</v>
      </c>
      <c r="F293" s="14">
        <f t="shared" si="97"/>
        <v>74</v>
      </c>
      <c r="G293" s="14">
        <f t="shared" si="97"/>
        <v>54</v>
      </c>
      <c r="H293" s="14">
        <f t="shared" si="97"/>
        <v>66</v>
      </c>
      <c r="I293" s="21">
        <f t="shared" si="96"/>
        <v>458</v>
      </c>
      <c r="J293" s="20"/>
      <c r="K293" s="20"/>
      <c r="L293" s="16"/>
      <c r="S293" s="16"/>
      <c r="T293" s="16"/>
    </row>
    <row r="294" spans="1:20" s="17" customFormat="1" ht="14.4" customHeight="1" x14ac:dyDescent="0.25">
      <c r="A294" s="11">
        <v>46273</v>
      </c>
      <c r="B294" s="23" t="s">
        <v>19</v>
      </c>
      <c r="C294" s="23">
        <v>125</v>
      </c>
      <c r="D294" s="23">
        <v>106</v>
      </c>
      <c r="E294" s="23">
        <v>91</v>
      </c>
      <c r="F294" s="23">
        <v>81</v>
      </c>
      <c r="G294" s="23">
        <v>57</v>
      </c>
      <c r="H294" s="23">
        <v>75</v>
      </c>
      <c r="I294" s="23">
        <f t="shared" si="96"/>
        <v>535</v>
      </c>
      <c r="J294" s="20"/>
      <c r="K294" s="20"/>
      <c r="L294" s="16"/>
      <c r="S294" s="16"/>
      <c r="T294" s="16"/>
    </row>
    <row r="295" spans="1:20" s="17" customFormat="1" ht="14.4" customHeight="1" x14ac:dyDescent="0.2">
      <c r="A295" s="11">
        <v>46273</v>
      </c>
      <c r="B295" s="12" t="s">
        <v>20</v>
      </c>
      <c r="C295" s="14">
        <v>3</v>
      </c>
      <c r="D295" s="14">
        <v>1</v>
      </c>
      <c r="E295" s="14">
        <v>2</v>
      </c>
      <c r="F295" s="14">
        <v>0</v>
      </c>
      <c r="G295" s="14">
        <v>0</v>
      </c>
      <c r="H295" s="14">
        <v>0</v>
      </c>
      <c r="I295" s="12">
        <f t="shared" si="96"/>
        <v>6</v>
      </c>
      <c r="J295" s="20"/>
      <c r="K295" s="20"/>
      <c r="L295" s="5"/>
      <c r="S295" s="16"/>
      <c r="T295" s="16"/>
    </row>
    <row r="296" spans="1:20" s="17" customFormat="1" ht="15.6" customHeight="1" x14ac:dyDescent="0.25">
      <c r="A296" s="11">
        <v>46272</v>
      </c>
      <c r="B296" s="12" t="s">
        <v>15</v>
      </c>
      <c r="C296" s="13">
        <v>15</v>
      </c>
      <c r="D296" s="13">
        <v>3</v>
      </c>
      <c r="E296" s="13">
        <v>6</v>
      </c>
      <c r="F296" s="14">
        <v>3</v>
      </c>
      <c r="G296" s="14">
        <v>0</v>
      </c>
      <c r="H296" s="14">
        <v>4</v>
      </c>
      <c r="I296" s="12">
        <f t="shared" ref="I296:I301" si="98">SUM(C296:H296)</f>
        <v>31</v>
      </c>
      <c r="J296" s="15">
        <f>(I300)/(I296+I300+J298)</f>
        <v>0.92082616179001719</v>
      </c>
      <c r="K296" s="15">
        <f>(I300-I296-I297-J298)/(I300)</f>
        <v>0.84672897196261687</v>
      </c>
      <c r="L296" s="18"/>
      <c r="S296" s="16"/>
      <c r="T296" s="16"/>
    </row>
    <row r="297" spans="1:20" s="17" customFormat="1" ht="14.4" customHeight="1" x14ac:dyDescent="0.25">
      <c r="A297" s="11">
        <v>46272</v>
      </c>
      <c r="B297" s="12" t="s">
        <v>16</v>
      </c>
      <c r="C297" s="13">
        <v>10</v>
      </c>
      <c r="D297" s="13">
        <v>8</v>
      </c>
      <c r="E297" s="13">
        <v>5</v>
      </c>
      <c r="F297" s="14">
        <v>4</v>
      </c>
      <c r="G297" s="14">
        <v>4</v>
      </c>
      <c r="H297" s="14">
        <v>5</v>
      </c>
      <c r="I297" s="12">
        <f t="shared" si="98"/>
        <v>36</v>
      </c>
      <c r="L297" s="18"/>
      <c r="S297" s="16"/>
      <c r="T297" s="16"/>
    </row>
    <row r="298" spans="1:20" s="17" customFormat="1" ht="15" customHeight="1" x14ac:dyDescent="0.25">
      <c r="A298" s="11">
        <v>46272</v>
      </c>
      <c r="B298" s="12" t="s">
        <v>17</v>
      </c>
      <c r="C298" s="14">
        <v>19</v>
      </c>
      <c r="D298" s="14">
        <v>15</v>
      </c>
      <c r="E298" s="14">
        <v>25</v>
      </c>
      <c r="F298" s="14">
        <v>18</v>
      </c>
      <c r="G298" s="14">
        <v>23</v>
      </c>
      <c r="H298" s="14">
        <v>14</v>
      </c>
      <c r="I298" s="12">
        <f t="shared" si="98"/>
        <v>114</v>
      </c>
      <c r="J298" s="19">
        <v>15</v>
      </c>
      <c r="K298" s="20"/>
      <c r="L298" s="16"/>
      <c r="S298" s="16"/>
      <c r="T298" s="16"/>
    </row>
    <row r="299" spans="1:20" s="17" customFormat="1" ht="13.8" customHeight="1" x14ac:dyDescent="0.25">
      <c r="A299" s="11">
        <v>46272</v>
      </c>
      <c r="B299" s="12" t="s">
        <v>18</v>
      </c>
      <c r="C299" s="14">
        <f t="shared" ref="C299:H299" si="99">SUM(C300-C297-C296-C301)</f>
        <v>97</v>
      </c>
      <c r="D299" s="14">
        <f t="shared" si="99"/>
        <v>94</v>
      </c>
      <c r="E299" s="14">
        <f t="shared" si="99"/>
        <v>78</v>
      </c>
      <c r="F299" s="14">
        <f t="shared" si="99"/>
        <v>74</v>
      </c>
      <c r="G299" s="14">
        <f t="shared" si="99"/>
        <v>53</v>
      </c>
      <c r="H299" s="14">
        <f t="shared" si="99"/>
        <v>66</v>
      </c>
      <c r="I299" s="21">
        <f t="shared" si="98"/>
        <v>462</v>
      </c>
      <c r="J299" s="20"/>
      <c r="K299" s="20"/>
      <c r="L299" s="16"/>
      <c r="S299" s="16"/>
      <c r="T299" s="16"/>
    </row>
    <row r="300" spans="1:20" s="17" customFormat="1" ht="14.4" customHeight="1" x14ac:dyDescent="0.25">
      <c r="A300" s="11">
        <v>46272</v>
      </c>
      <c r="B300" s="23" t="s">
        <v>19</v>
      </c>
      <c r="C300" s="23">
        <v>125</v>
      </c>
      <c r="D300" s="23">
        <v>106</v>
      </c>
      <c r="E300" s="23">
        <v>91</v>
      </c>
      <c r="F300" s="23">
        <v>81</v>
      </c>
      <c r="G300" s="23">
        <v>57</v>
      </c>
      <c r="H300" s="23">
        <v>75</v>
      </c>
      <c r="I300" s="23">
        <f t="shared" si="98"/>
        <v>535</v>
      </c>
      <c r="J300" s="20"/>
      <c r="K300" s="20"/>
      <c r="L300" s="16"/>
      <c r="S300" s="16"/>
      <c r="T300" s="16"/>
    </row>
    <row r="301" spans="1:20" s="17" customFormat="1" ht="14.4" customHeight="1" x14ac:dyDescent="0.2">
      <c r="A301" s="11">
        <v>46272</v>
      </c>
      <c r="B301" s="12" t="s">
        <v>20</v>
      </c>
      <c r="C301" s="14">
        <v>3</v>
      </c>
      <c r="D301" s="14">
        <v>1</v>
      </c>
      <c r="E301" s="14">
        <v>2</v>
      </c>
      <c r="F301" s="14">
        <v>0</v>
      </c>
      <c r="G301" s="14">
        <v>0</v>
      </c>
      <c r="H301" s="14">
        <v>0</v>
      </c>
      <c r="I301" s="12">
        <f t="shared" si="98"/>
        <v>6</v>
      </c>
      <c r="J301" s="20"/>
      <c r="K301" s="20"/>
      <c r="L301" s="5"/>
      <c r="S301" s="16"/>
      <c r="T301" s="16"/>
    </row>
    <row r="302" spans="1:20" s="17" customFormat="1" ht="15.6" customHeight="1" x14ac:dyDescent="0.25">
      <c r="A302" s="11">
        <v>46271</v>
      </c>
      <c r="B302" s="12" t="s">
        <v>15</v>
      </c>
      <c r="C302" s="13">
        <v>14</v>
      </c>
      <c r="D302" s="13">
        <v>3</v>
      </c>
      <c r="E302" s="13">
        <v>6</v>
      </c>
      <c r="F302" s="14">
        <v>4</v>
      </c>
      <c r="G302" s="14">
        <v>0</v>
      </c>
      <c r="H302" s="14">
        <v>4</v>
      </c>
      <c r="I302" s="12">
        <f t="shared" ref="I302:I307" si="100">SUM(C302:H302)</f>
        <v>31</v>
      </c>
      <c r="J302" s="15">
        <f>(I306)/(I302+I306+J304)</f>
        <v>0.91766723842195541</v>
      </c>
      <c r="K302" s="15">
        <f>(I306-I302-I303-J304)/(I306)</f>
        <v>0.85046728971962615</v>
      </c>
      <c r="L302" s="18"/>
      <c r="S302" s="16"/>
      <c r="T302" s="16"/>
    </row>
    <row r="303" spans="1:20" s="17" customFormat="1" ht="14.4" customHeight="1" x14ac:dyDescent="0.25">
      <c r="A303" s="11">
        <v>46271</v>
      </c>
      <c r="B303" s="12" t="s">
        <v>16</v>
      </c>
      <c r="C303" s="13">
        <v>7</v>
      </c>
      <c r="D303" s="13">
        <v>8</v>
      </c>
      <c r="E303" s="13">
        <v>6</v>
      </c>
      <c r="F303" s="14">
        <v>2</v>
      </c>
      <c r="G303" s="14">
        <v>3</v>
      </c>
      <c r="H303" s="14">
        <v>6</v>
      </c>
      <c r="I303" s="12">
        <f t="shared" si="100"/>
        <v>32</v>
      </c>
      <c r="L303" s="18"/>
      <c r="S303" s="16"/>
      <c r="T303" s="16"/>
    </row>
    <row r="304" spans="1:20" s="17" customFormat="1" ht="15" customHeight="1" x14ac:dyDescent="0.25">
      <c r="A304" s="11">
        <v>46271</v>
      </c>
      <c r="B304" s="12" t="s">
        <v>17</v>
      </c>
      <c r="C304" s="14">
        <v>19</v>
      </c>
      <c r="D304" s="14">
        <v>15</v>
      </c>
      <c r="E304" s="14">
        <v>25</v>
      </c>
      <c r="F304" s="14">
        <v>18</v>
      </c>
      <c r="G304" s="14">
        <v>23</v>
      </c>
      <c r="H304" s="14">
        <v>14</v>
      </c>
      <c r="I304" s="12">
        <f t="shared" si="100"/>
        <v>114</v>
      </c>
      <c r="J304" s="19">
        <v>17</v>
      </c>
      <c r="K304" s="20"/>
      <c r="L304" s="16"/>
      <c r="S304" s="16"/>
      <c r="T304" s="16"/>
    </row>
    <row r="305" spans="1:20" s="17" customFormat="1" ht="13.8" customHeight="1" x14ac:dyDescent="0.25">
      <c r="A305" s="11">
        <v>46271</v>
      </c>
      <c r="B305" s="12" t="s">
        <v>18</v>
      </c>
      <c r="C305" s="14">
        <f t="shared" ref="C305:H305" si="101">SUM(C306-C303-C302-C307)</f>
        <v>101</v>
      </c>
      <c r="D305" s="14">
        <f t="shared" si="101"/>
        <v>94</v>
      </c>
      <c r="E305" s="14">
        <f t="shared" si="101"/>
        <v>77</v>
      </c>
      <c r="F305" s="14">
        <f t="shared" si="101"/>
        <v>75</v>
      </c>
      <c r="G305" s="14">
        <f t="shared" si="101"/>
        <v>54</v>
      </c>
      <c r="H305" s="14">
        <f t="shared" si="101"/>
        <v>65</v>
      </c>
      <c r="I305" s="21">
        <f t="shared" si="100"/>
        <v>466</v>
      </c>
      <c r="J305" s="20"/>
      <c r="K305" s="20"/>
      <c r="L305" s="16"/>
      <c r="S305" s="16"/>
      <c r="T305" s="16"/>
    </row>
    <row r="306" spans="1:20" s="17" customFormat="1" ht="14.4" customHeight="1" x14ac:dyDescent="0.25">
      <c r="A306" s="11">
        <v>46271</v>
      </c>
      <c r="B306" s="23" t="s">
        <v>19</v>
      </c>
      <c r="C306" s="23">
        <v>125</v>
      </c>
      <c r="D306" s="23">
        <v>106</v>
      </c>
      <c r="E306" s="23">
        <v>91</v>
      </c>
      <c r="F306" s="23">
        <v>81</v>
      </c>
      <c r="G306" s="23">
        <v>57</v>
      </c>
      <c r="H306" s="23">
        <v>75</v>
      </c>
      <c r="I306" s="23">
        <f t="shared" si="100"/>
        <v>535</v>
      </c>
      <c r="J306" s="20"/>
      <c r="K306" s="20"/>
      <c r="L306" s="16"/>
      <c r="S306" s="16"/>
      <c r="T306" s="16"/>
    </row>
    <row r="307" spans="1:20" s="17" customFormat="1" ht="14.4" customHeight="1" x14ac:dyDescent="0.2">
      <c r="A307" s="11">
        <v>46271</v>
      </c>
      <c r="B307" s="12" t="s">
        <v>20</v>
      </c>
      <c r="C307" s="14">
        <v>3</v>
      </c>
      <c r="D307" s="14">
        <v>1</v>
      </c>
      <c r="E307" s="14">
        <v>2</v>
      </c>
      <c r="F307" s="14">
        <v>0</v>
      </c>
      <c r="G307" s="14">
        <v>0</v>
      </c>
      <c r="H307" s="14">
        <v>0</v>
      </c>
      <c r="I307" s="12">
        <f t="shared" si="100"/>
        <v>6</v>
      </c>
      <c r="J307" s="20"/>
      <c r="K307" s="20"/>
      <c r="L307" s="5"/>
      <c r="S307" s="16"/>
      <c r="T307" s="16"/>
    </row>
    <row r="308" spans="1:20" s="61" customFormat="1" ht="13.8" customHeight="1" x14ac:dyDescent="0.25">
      <c r="A308" s="11">
        <v>46270</v>
      </c>
      <c r="B308" s="12" t="s">
        <v>15</v>
      </c>
      <c r="C308" s="13">
        <v>8</v>
      </c>
      <c r="D308" s="13">
        <v>3</v>
      </c>
      <c r="E308" s="13">
        <v>5</v>
      </c>
      <c r="F308" s="14">
        <v>3</v>
      </c>
      <c r="G308" s="14">
        <v>1</v>
      </c>
      <c r="H308" s="14">
        <v>5</v>
      </c>
      <c r="I308" s="12">
        <f t="shared" ref="I308:I313" si="102">SUM(C308:H308)</f>
        <v>25</v>
      </c>
      <c r="J308" s="15">
        <f>(I312)/(I308+I312+J310)</f>
        <v>0.93043478260869561</v>
      </c>
      <c r="K308" s="15">
        <f>(I312-I308-I309-J310)/(I312)</f>
        <v>0.87476635514018697</v>
      </c>
    </row>
    <row r="309" spans="1:20" s="61" customFormat="1" ht="12.6" customHeight="1" x14ac:dyDescent="0.25">
      <c r="A309" s="11">
        <v>46270</v>
      </c>
      <c r="B309" s="12" t="s">
        <v>16</v>
      </c>
      <c r="C309" s="13">
        <v>5</v>
      </c>
      <c r="D309" s="13">
        <v>8</v>
      </c>
      <c r="E309" s="13">
        <v>6</v>
      </c>
      <c r="F309" s="14">
        <v>2</v>
      </c>
      <c r="G309" s="14">
        <v>0</v>
      </c>
      <c r="H309" s="14">
        <v>6</v>
      </c>
      <c r="I309" s="12">
        <f t="shared" si="102"/>
        <v>27</v>
      </c>
      <c r="J309" s="17"/>
      <c r="K309" s="17"/>
    </row>
    <row r="310" spans="1:20" s="61" customFormat="1" ht="12.6" customHeight="1" x14ac:dyDescent="0.25">
      <c r="A310" s="11">
        <v>46270</v>
      </c>
      <c r="B310" s="12" t="s">
        <v>17</v>
      </c>
      <c r="C310" s="14">
        <v>19</v>
      </c>
      <c r="D310" s="14">
        <v>15</v>
      </c>
      <c r="E310" s="14">
        <v>25</v>
      </c>
      <c r="F310" s="14">
        <v>18</v>
      </c>
      <c r="G310" s="14">
        <v>23</v>
      </c>
      <c r="H310" s="14">
        <v>14</v>
      </c>
      <c r="I310" s="12">
        <f t="shared" si="102"/>
        <v>114</v>
      </c>
      <c r="J310" s="19">
        <v>15</v>
      </c>
      <c r="K310" s="20"/>
    </row>
    <row r="311" spans="1:20" s="61" customFormat="1" ht="11.4" customHeight="1" x14ac:dyDescent="0.25">
      <c r="A311" s="11">
        <v>46270</v>
      </c>
      <c r="B311" s="12" t="s">
        <v>18</v>
      </c>
      <c r="C311" s="14">
        <f t="shared" ref="C311:H311" si="103">SUM(C312-C309-C308-C313)</f>
        <v>109</v>
      </c>
      <c r="D311" s="14">
        <f t="shared" si="103"/>
        <v>94</v>
      </c>
      <c r="E311" s="14">
        <f t="shared" si="103"/>
        <v>78</v>
      </c>
      <c r="F311" s="14">
        <f t="shared" si="103"/>
        <v>76</v>
      </c>
      <c r="G311" s="14">
        <f t="shared" si="103"/>
        <v>56</v>
      </c>
      <c r="H311" s="14">
        <f t="shared" si="103"/>
        <v>64</v>
      </c>
      <c r="I311" s="21">
        <f t="shared" si="102"/>
        <v>477</v>
      </c>
      <c r="J311" s="20"/>
      <c r="K311" s="20"/>
    </row>
    <row r="312" spans="1:20" s="61" customFormat="1" ht="11.4" customHeight="1" x14ac:dyDescent="0.25">
      <c r="A312" s="11">
        <v>46270</v>
      </c>
      <c r="B312" s="23" t="s">
        <v>19</v>
      </c>
      <c r="C312" s="23">
        <v>125</v>
      </c>
      <c r="D312" s="23">
        <v>106</v>
      </c>
      <c r="E312" s="23">
        <v>91</v>
      </c>
      <c r="F312" s="23">
        <v>81</v>
      </c>
      <c r="G312" s="23">
        <v>57</v>
      </c>
      <c r="H312" s="23">
        <v>75</v>
      </c>
      <c r="I312" s="23">
        <f t="shared" si="102"/>
        <v>535</v>
      </c>
      <c r="J312" s="20"/>
      <c r="K312" s="20"/>
    </row>
    <row r="313" spans="1:20" s="61" customFormat="1" ht="12.6" customHeight="1" x14ac:dyDescent="0.25">
      <c r="A313" s="11">
        <v>46270</v>
      </c>
      <c r="B313" s="12" t="s">
        <v>20</v>
      </c>
      <c r="C313" s="14">
        <v>3</v>
      </c>
      <c r="D313" s="14">
        <v>1</v>
      </c>
      <c r="E313" s="14">
        <v>2</v>
      </c>
      <c r="F313" s="14">
        <v>0</v>
      </c>
      <c r="G313" s="14">
        <v>0</v>
      </c>
      <c r="H313" s="14">
        <v>0</v>
      </c>
      <c r="I313" s="12">
        <f t="shared" si="102"/>
        <v>6</v>
      </c>
      <c r="J313" s="20"/>
      <c r="K313" s="20"/>
    </row>
    <row r="314" spans="1:20" s="61" customFormat="1" ht="10.199999999999999" customHeight="1" x14ac:dyDescent="0.25">
      <c r="A314" s="11">
        <v>46269</v>
      </c>
      <c r="B314" s="12" t="s">
        <v>15</v>
      </c>
      <c r="C314" s="13">
        <v>9</v>
      </c>
      <c r="D314" s="13">
        <v>3</v>
      </c>
      <c r="E314" s="13">
        <v>5</v>
      </c>
      <c r="F314" s="14">
        <v>3</v>
      </c>
      <c r="G314" s="14">
        <v>1</v>
      </c>
      <c r="H314" s="14">
        <v>5</v>
      </c>
      <c r="I314" s="12">
        <f t="shared" ref="I314:I319" si="104">SUM(C314:H314)</f>
        <v>26</v>
      </c>
      <c r="J314" s="15">
        <f>(I318)/(I314+I318+J316)</f>
        <v>0.92881944444444442</v>
      </c>
      <c r="K314" s="15">
        <f>(I318-I314-I315-J316)/(I318)</f>
        <v>0.87289719626168227</v>
      </c>
    </row>
    <row r="315" spans="1:20" s="61" customFormat="1" ht="13.8" customHeight="1" x14ac:dyDescent="0.25">
      <c r="A315" s="11">
        <v>46269</v>
      </c>
      <c r="B315" s="12" t="s">
        <v>16</v>
      </c>
      <c r="C315" s="13">
        <v>5</v>
      </c>
      <c r="D315" s="13">
        <v>8</v>
      </c>
      <c r="E315" s="13">
        <v>6</v>
      </c>
      <c r="F315" s="14">
        <v>2</v>
      </c>
      <c r="G315" s="14">
        <v>0</v>
      </c>
      <c r="H315" s="14">
        <v>6</v>
      </c>
      <c r="I315" s="12">
        <f t="shared" si="104"/>
        <v>27</v>
      </c>
      <c r="J315" s="17"/>
      <c r="K315" s="17"/>
    </row>
    <row r="316" spans="1:20" s="61" customFormat="1" ht="11.4" customHeight="1" x14ac:dyDescent="0.25">
      <c r="A316" s="11">
        <v>46269</v>
      </c>
      <c r="B316" s="12" t="s">
        <v>17</v>
      </c>
      <c r="C316" s="14">
        <v>19</v>
      </c>
      <c r="D316" s="14">
        <v>15</v>
      </c>
      <c r="E316" s="14">
        <v>25</v>
      </c>
      <c r="F316" s="14">
        <v>18</v>
      </c>
      <c r="G316" s="14">
        <v>23</v>
      </c>
      <c r="H316" s="14">
        <v>14</v>
      </c>
      <c r="I316" s="12">
        <f t="shared" si="104"/>
        <v>114</v>
      </c>
      <c r="J316" s="19">
        <v>15</v>
      </c>
      <c r="K316" s="20"/>
    </row>
    <row r="317" spans="1:20" s="61" customFormat="1" ht="12.6" customHeight="1" x14ac:dyDescent="0.25">
      <c r="A317" s="11">
        <v>46269</v>
      </c>
      <c r="B317" s="12" t="s">
        <v>18</v>
      </c>
      <c r="C317" s="14">
        <f t="shared" ref="C317:H317" si="105">SUM(C318-C315-C314-C319)</f>
        <v>108</v>
      </c>
      <c r="D317" s="14">
        <f t="shared" si="105"/>
        <v>94</v>
      </c>
      <c r="E317" s="14">
        <f t="shared" si="105"/>
        <v>78</v>
      </c>
      <c r="F317" s="14">
        <f t="shared" si="105"/>
        <v>76</v>
      </c>
      <c r="G317" s="14">
        <f t="shared" si="105"/>
        <v>56</v>
      </c>
      <c r="H317" s="14">
        <f t="shared" si="105"/>
        <v>64</v>
      </c>
      <c r="I317" s="21">
        <f t="shared" si="104"/>
        <v>476</v>
      </c>
      <c r="J317" s="20"/>
      <c r="K317" s="20"/>
    </row>
    <row r="318" spans="1:20" s="61" customFormat="1" ht="12.6" customHeight="1" x14ac:dyDescent="0.25">
      <c r="A318" s="11">
        <v>46269</v>
      </c>
      <c r="B318" s="23" t="s">
        <v>19</v>
      </c>
      <c r="C318" s="23">
        <v>125</v>
      </c>
      <c r="D318" s="23">
        <v>106</v>
      </c>
      <c r="E318" s="23">
        <v>91</v>
      </c>
      <c r="F318" s="23">
        <v>81</v>
      </c>
      <c r="G318" s="23">
        <v>57</v>
      </c>
      <c r="H318" s="23">
        <v>75</v>
      </c>
      <c r="I318" s="23">
        <f t="shared" si="104"/>
        <v>535</v>
      </c>
      <c r="J318" s="20"/>
      <c r="K318" s="20"/>
    </row>
    <row r="319" spans="1:20" s="61" customFormat="1" ht="14.4" customHeight="1" x14ac:dyDescent="0.25">
      <c r="A319" s="11">
        <v>46269</v>
      </c>
      <c r="B319" s="12" t="s">
        <v>20</v>
      </c>
      <c r="C319" s="14">
        <v>3</v>
      </c>
      <c r="D319" s="14">
        <v>1</v>
      </c>
      <c r="E319" s="14">
        <v>2</v>
      </c>
      <c r="F319" s="14">
        <v>0</v>
      </c>
      <c r="G319" s="14">
        <v>0</v>
      </c>
      <c r="H319" s="14">
        <v>0</v>
      </c>
      <c r="I319" s="12">
        <f t="shared" si="104"/>
        <v>6</v>
      </c>
      <c r="J319" s="20"/>
      <c r="K319" s="20"/>
    </row>
    <row r="320" spans="1:20" s="61" customFormat="1" ht="10.199999999999999" customHeight="1" x14ac:dyDescent="0.25">
      <c r="A320" s="11">
        <v>46268</v>
      </c>
      <c r="B320" s="12" t="s">
        <v>15</v>
      </c>
      <c r="C320" s="13">
        <v>12</v>
      </c>
      <c r="D320" s="13">
        <v>4</v>
      </c>
      <c r="E320" s="13">
        <v>5</v>
      </c>
      <c r="F320" s="14">
        <v>3</v>
      </c>
      <c r="G320" s="14">
        <v>1</v>
      </c>
      <c r="H320" s="14">
        <v>3</v>
      </c>
      <c r="I320" s="12">
        <f t="shared" ref="I320:I325" si="106">SUM(C320:H320)</f>
        <v>28</v>
      </c>
      <c r="J320" s="15">
        <f>(I324)/(I320+I324+J322)</f>
        <v>0.9256055363321799</v>
      </c>
      <c r="K320" s="15">
        <f>(I324-I320-I321-J322)/(I324)</f>
        <v>0.86915887850467288</v>
      </c>
    </row>
    <row r="321" spans="1:11" s="61" customFormat="1" ht="11.4" customHeight="1" x14ac:dyDescent="0.25">
      <c r="A321" s="11">
        <v>46268</v>
      </c>
      <c r="B321" s="12" t="s">
        <v>16</v>
      </c>
      <c r="C321" s="13">
        <v>4</v>
      </c>
      <c r="D321" s="13">
        <v>9</v>
      </c>
      <c r="E321" s="13">
        <v>6</v>
      </c>
      <c r="F321" s="14">
        <v>2</v>
      </c>
      <c r="G321" s="14">
        <v>0</v>
      </c>
      <c r="H321" s="14">
        <v>6</v>
      </c>
      <c r="I321" s="12">
        <f t="shared" si="106"/>
        <v>27</v>
      </c>
      <c r="J321" s="17"/>
      <c r="K321" s="17"/>
    </row>
    <row r="322" spans="1:11" s="61" customFormat="1" ht="11.4" customHeight="1" x14ac:dyDescent="0.25">
      <c r="A322" s="11">
        <v>46268</v>
      </c>
      <c r="B322" s="12" t="s">
        <v>17</v>
      </c>
      <c r="C322" s="14">
        <v>19</v>
      </c>
      <c r="D322" s="14">
        <v>15</v>
      </c>
      <c r="E322" s="14">
        <v>24</v>
      </c>
      <c r="F322" s="14">
        <v>18</v>
      </c>
      <c r="G322" s="14">
        <v>23</v>
      </c>
      <c r="H322" s="14">
        <v>15</v>
      </c>
      <c r="I322" s="12">
        <f t="shared" si="106"/>
        <v>114</v>
      </c>
      <c r="J322" s="19">
        <v>15</v>
      </c>
      <c r="K322" s="20"/>
    </row>
    <row r="323" spans="1:11" s="61" customFormat="1" ht="12" customHeight="1" x14ac:dyDescent="0.25">
      <c r="A323" s="11">
        <v>46268</v>
      </c>
      <c r="B323" s="12" t="s">
        <v>18</v>
      </c>
      <c r="C323" s="14">
        <f t="shared" ref="C323:H323" si="107">SUM(C324-C321-C320-C325)</f>
        <v>106</v>
      </c>
      <c r="D323" s="14">
        <f t="shared" si="107"/>
        <v>92</v>
      </c>
      <c r="E323" s="14">
        <f t="shared" si="107"/>
        <v>78</v>
      </c>
      <c r="F323" s="14">
        <f t="shared" si="107"/>
        <v>76</v>
      </c>
      <c r="G323" s="14">
        <f t="shared" si="107"/>
        <v>56</v>
      </c>
      <c r="H323" s="14">
        <f t="shared" si="107"/>
        <v>66</v>
      </c>
      <c r="I323" s="21">
        <f t="shared" si="106"/>
        <v>474</v>
      </c>
      <c r="J323" s="20"/>
      <c r="K323" s="20"/>
    </row>
    <row r="324" spans="1:11" s="61" customFormat="1" ht="12" x14ac:dyDescent="0.25">
      <c r="A324" s="11">
        <v>46268</v>
      </c>
      <c r="B324" s="23" t="s">
        <v>19</v>
      </c>
      <c r="C324" s="23">
        <v>125</v>
      </c>
      <c r="D324" s="23">
        <v>106</v>
      </c>
      <c r="E324" s="23">
        <v>91</v>
      </c>
      <c r="F324" s="23">
        <v>81</v>
      </c>
      <c r="G324" s="23">
        <v>57</v>
      </c>
      <c r="H324" s="23">
        <v>75</v>
      </c>
      <c r="I324" s="23">
        <f t="shared" si="106"/>
        <v>535</v>
      </c>
      <c r="J324" s="20"/>
      <c r="K324" s="20"/>
    </row>
    <row r="325" spans="1:11" s="61" customFormat="1" ht="12" x14ac:dyDescent="0.25">
      <c r="A325" s="11">
        <v>46268</v>
      </c>
      <c r="B325" s="12" t="s">
        <v>20</v>
      </c>
      <c r="C325" s="14">
        <v>3</v>
      </c>
      <c r="D325" s="14">
        <v>1</v>
      </c>
      <c r="E325" s="14">
        <v>2</v>
      </c>
      <c r="F325" s="14">
        <v>0</v>
      </c>
      <c r="G325" s="14">
        <v>0</v>
      </c>
      <c r="H325" s="14">
        <v>0</v>
      </c>
      <c r="I325" s="12">
        <f t="shared" si="106"/>
        <v>6</v>
      </c>
      <c r="J325" s="20"/>
      <c r="K325" s="20"/>
    </row>
    <row r="326" spans="1:11" s="61" customFormat="1" ht="12" x14ac:dyDescent="0.25">
      <c r="A326" s="11">
        <v>46267</v>
      </c>
      <c r="B326" s="12" t="s">
        <v>15</v>
      </c>
      <c r="C326" s="13">
        <v>7</v>
      </c>
      <c r="D326" s="13">
        <v>5</v>
      </c>
      <c r="E326" s="13">
        <v>4</v>
      </c>
      <c r="F326" s="14">
        <v>1</v>
      </c>
      <c r="G326" s="14">
        <v>0</v>
      </c>
      <c r="H326" s="14">
        <v>4</v>
      </c>
      <c r="I326" s="12">
        <f t="shared" ref="I326:I331" si="108">SUM(C326:H326)</f>
        <v>21</v>
      </c>
      <c r="J326" s="15">
        <f>(I330)/(I326+I330+J328)</f>
        <v>0.9369527145359019</v>
      </c>
      <c r="K326" s="15">
        <f>(I330-I326-I327-J328)/(I330)</f>
        <v>0.86915887850467288</v>
      </c>
    </row>
    <row r="327" spans="1:11" s="61" customFormat="1" ht="12" x14ac:dyDescent="0.25">
      <c r="A327" s="11">
        <v>46267</v>
      </c>
      <c r="B327" s="12" t="s">
        <v>16</v>
      </c>
      <c r="C327" s="13">
        <v>4</v>
      </c>
      <c r="D327" s="13">
        <v>10</v>
      </c>
      <c r="E327" s="13">
        <v>8</v>
      </c>
      <c r="F327" s="14">
        <v>4</v>
      </c>
      <c r="G327" s="14">
        <v>2</v>
      </c>
      <c r="H327" s="14">
        <v>6</v>
      </c>
      <c r="I327" s="12">
        <f t="shared" si="108"/>
        <v>34</v>
      </c>
      <c r="J327" s="17"/>
      <c r="K327" s="17"/>
    </row>
    <row r="328" spans="1:11" s="61" customFormat="1" ht="12" x14ac:dyDescent="0.25">
      <c r="A328" s="11">
        <v>46267</v>
      </c>
      <c r="B328" s="12" t="s">
        <v>17</v>
      </c>
      <c r="C328" s="14">
        <v>19</v>
      </c>
      <c r="D328" s="14">
        <v>15</v>
      </c>
      <c r="E328" s="14">
        <v>25</v>
      </c>
      <c r="F328" s="14">
        <v>18</v>
      </c>
      <c r="G328" s="14">
        <v>23</v>
      </c>
      <c r="H328" s="14">
        <v>12</v>
      </c>
      <c r="I328" s="12">
        <f t="shared" si="108"/>
        <v>112</v>
      </c>
      <c r="J328" s="19">
        <v>15</v>
      </c>
      <c r="K328" s="20"/>
    </row>
    <row r="329" spans="1:11" s="61" customFormat="1" ht="12" x14ac:dyDescent="0.25">
      <c r="A329" s="11">
        <v>46267</v>
      </c>
      <c r="B329" s="12" t="s">
        <v>18</v>
      </c>
      <c r="C329" s="14">
        <f t="shared" ref="C329:H329" si="109">SUM(C330-C327-C326-C331)</f>
        <v>111</v>
      </c>
      <c r="D329" s="14">
        <f t="shared" si="109"/>
        <v>90</v>
      </c>
      <c r="E329" s="14">
        <f t="shared" si="109"/>
        <v>77</v>
      </c>
      <c r="F329" s="14">
        <f t="shared" si="109"/>
        <v>76</v>
      </c>
      <c r="G329" s="14">
        <f t="shared" si="109"/>
        <v>55</v>
      </c>
      <c r="H329" s="14">
        <f t="shared" si="109"/>
        <v>65</v>
      </c>
      <c r="I329" s="21">
        <f t="shared" si="108"/>
        <v>474</v>
      </c>
      <c r="J329" s="20"/>
      <c r="K329" s="20"/>
    </row>
    <row r="330" spans="1:11" s="61" customFormat="1" ht="12" x14ac:dyDescent="0.25">
      <c r="A330" s="11">
        <v>46267</v>
      </c>
      <c r="B330" s="23" t="s">
        <v>19</v>
      </c>
      <c r="C330" s="23">
        <v>125</v>
      </c>
      <c r="D330" s="23">
        <v>106</v>
      </c>
      <c r="E330" s="23">
        <v>91</v>
      </c>
      <c r="F330" s="23">
        <v>81</v>
      </c>
      <c r="G330" s="23">
        <v>57</v>
      </c>
      <c r="H330" s="23">
        <v>75</v>
      </c>
      <c r="I330" s="23">
        <f t="shared" si="108"/>
        <v>535</v>
      </c>
      <c r="J330" s="20"/>
      <c r="K330" s="20"/>
    </row>
    <row r="331" spans="1:11" s="61" customFormat="1" ht="13.8" customHeight="1" x14ac:dyDescent="0.25">
      <c r="A331" s="11">
        <v>46267</v>
      </c>
      <c r="B331" s="12" t="s">
        <v>20</v>
      </c>
      <c r="C331" s="14">
        <v>3</v>
      </c>
      <c r="D331" s="14">
        <v>1</v>
      </c>
      <c r="E331" s="14">
        <v>2</v>
      </c>
      <c r="F331" s="14">
        <v>0</v>
      </c>
      <c r="G331" s="14">
        <v>0</v>
      </c>
      <c r="H331" s="14">
        <v>0</v>
      </c>
      <c r="I331" s="12">
        <f t="shared" si="108"/>
        <v>6</v>
      </c>
      <c r="J331" s="20"/>
      <c r="K331" s="20"/>
    </row>
    <row r="332" spans="1:11" x14ac:dyDescent="0.25">
      <c r="A332" s="11">
        <v>46266</v>
      </c>
      <c r="B332" s="12" t="s">
        <v>15</v>
      </c>
      <c r="C332" s="13">
        <v>7</v>
      </c>
      <c r="D332" s="13">
        <v>5</v>
      </c>
      <c r="E332" s="13">
        <v>4</v>
      </c>
      <c r="F332" s="14">
        <v>1</v>
      </c>
      <c r="G332" s="14">
        <v>0</v>
      </c>
      <c r="H332" s="14">
        <v>4</v>
      </c>
      <c r="I332" s="12">
        <f t="shared" ref="I332:I337" si="110">SUM(C332:H332)</f>
        <v>21</v>
      </c>
      <c r="J332" s="15">
        <f>(I336)/(I332+I336+J334)</f>
        <v>0.9369527145359019</v>
      </c>
      <c r="K332" s="15">
        <f>(I336-I332-I333-J334)/(I336)</f>
        <v>0.86915887850467288</v>
      </c>
    </row>
    <row r="333" spans="1:11" x14ac:dyDescent="0.25">
      <c r="A333" s="11">
        <v>46266</v>
      </c>
      <c r="B333" s="12" t="s">
        <v>16</v>
      </c>
      <c r="C333" s="13">
        <v>4</v>
      </c>
      <c r="D333" s="13">
        <v>10</v>
      </c>
      <c r="E333" s="13">
        <v>8</v>
      </c>
      <c r="F333" s="14">
        <v>4</v>
      </c>
      <c r="G333" s="14">
        <v>2</v>
      </c>
      <c r="H333" s="14">
        <v>6</v>
      </c>
      <c r="I333" s="12">
        <f t="shared" si="110"/>
        <v>34</v>
      </c>
      <c r="J333" s="17"/>
      <c r="K333" s="17"/>
    </row>
    <row r="334" spans="1:11" x14ac:dyDescent="0.25">
      <c r="A334" s="11">
        <v>46266</v>
      </c>
      <c r="B334" s="12" t="s">
        <v>17</v>
      </c>
      <c r="C334" s="14">
        <v>19</v>
      </c>
      <c r="D334" s="14">
        <v>15</v>
      </c>
      <c r="E334" s="14">
        <v>25</v>
      </c>
      <c r="F334" s="14">
        <v>18</v>
      </c>
      <c r="G334" s="14">
        <v>23</v>
      </c>
      <c r="H334" s="14">
        <v>12</v>
      </c>
      <c r="I334" s="12">
        <f t="shared" si="110"/>
        <v>112</v>
      </c>
      <c r="J334" s="19">
        <v>15</v>
      </c>
      <c r="K334" s="20"/>
    </row>
    <row r="335" spans="1:11" x14ac:dyDescent="0.25">
      <c r="A335" s="11">
        <v>46266</v>
      </c>
      <c r="B335" s="12" t="s">
        <v>18</v>
      </c>
      <c r="C335" s="14">
        <f t="shared" ref="C335:H335" si="111">SUM(C336-C333-C332-C337)</f>
        <v>111</v>
      </c>
      <c r="D335" s="14">
        <f t="shared" si="111"/>
        <v>90</v>
      </c>
      <c r="E335" s="14">
        <f t="shared" si="111"/>
        <v>77</v>
      </c>
      <c r="F335" s="14">
        <f t="shared" si="111"/>
        <v>76</v>
      </c>
      <c r="G335" s="14">
        <f t="shared" si="111"/>
        <v>55</v>
      </c>
      <c r="H335" s="14">
        <f t="shared" si="111"/>
        <v>65</v>
      </c>
      <c r="I335" s="21">
        <f t="shared" si="110"/>
        <v>474</v>
      </c>
      <c r="J335" s="20"/>
      <c r="K335" s="20"/>
    </row>
    <row r="336" spans="1:11" x14ac:dyDescent="0.25">
      <c r="A336" s="11">
        <v>46266</v>
      </c>
      <c r="B336" s="23" t="s">
        <v>19</v>
      </c>
      <c r="C336" s="23">
        <v>125</v>
      </c>
      <c r="D336" s="23">
        <v>106</v>
      </c>
      <c r="E336" s="23">
        <v>91</v>
      </c>
      <c r="F336" s="23">
        <v>81</v>
      </c>
      <c r="G336" s="23">
        <v>57</v>
      </c>
      <c r="H336" s="23">
        <v>75</v>
      </c>
      <c r="I336" s="23">
        <f t="shared" si="110"/>
        <v>535</v>
      </c>
      <c r="J336" s="20"/>
      <c r="K336" s="20"/>
    </row>
    <row r="337" spans="1:11" x14ac:dyDescent="0.25">
      <c r="A337" s="11">
        <v>46266</v>
      </c>
      <c r="B337" s="12" t="s">
        <v>20</v>
      </c>
      <c r="C337" s="14">
        <v>3</v>
      </c>
      <c r="D337" s="14">
        <v>1</v>
      </c>
      <c r="E337" s="14">
        <v>2</v>
      </c>
      <c r="F337" s="14">
        <v>0</v>
      </c>
      <c r="G337" s="14">
        <v>0</v>
      </c>
      <c r="H337" s="14">
        <v>0</v>
      </c>
      <c r="I337" s="12">
        <f t="shared" si="110"/>
        <v>6</v>
      </c>
      <c r="J337" s="20"/>
      <c r="K337" s="20"/>
    </row>
    <row r="338" spans="1:11" x14ac:dyDescent="0.25">
      <c r="A338" s="15"/>
      <c r="B338" s="15"/>
      <c r="C338" s="16"/>
      <c r="D338" s="17"/>
      <c r="E338" s="17"/>
      <c r="F338" s="17"/>
      <c r="G338" s="17"/>
      <c r="H338" s="17"/>
      <c r="I338" s="17"/>
      <c r="J338" s="17"/>
      <c r="K338" s="18"/>
    </row>
    <row r="339" spans="1:11" x14ac:dyDescent="0.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8"/>
    </row>
    <row r="340" spans="1:11" x14ac:dyDescent="0.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6"/>
    </row>
    <row r="341" spans="1:11" x14ac:dyDescent="0.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6"/>
    </row>
    <row r="342" spans="1:11" x14ac:dyDescent="0.25">
      <c r="A342" s="24"/>
      <c r="B342" s="17"/>
      <c r="C342" s="17"/>
      <c r="D342" s="17"/>
      <c r="E342" s="17"/>
      <c r="F342" s="17"/>
      <c r="G342" s="17"/>
      <c r="H342" s="17"/>
      <c r="I342" s="17"/>
      <c r="J342" s="17"/>
      <c r="K342" s="16"/>
    </row>
    <row r="343" spans="1:11" x14ac:dyDescent="0.2">
      <c r="A343" s="17"/>
      <c r="B343" s="17"/>
      <c r="C343" s="17"/>
      <c r="D343" s="17"/>
      <c r="E343" s="17"/>
      <c r="F343" s="17"/>
      <c r="G343" s="17"/>
      <c r="H343" s="17"/>
      <c r="I343" s="2"/>
      <c r="J343" s="2"/>
      <c r="K343" s="5"/>
    </row>
    <row r="344" spans="1:11" x14ac:dyDescent="0.25">
      <c r="A344" s="15"/>
      <c r="B344" s="15"/>
      <c r="C344" s="16"/>
      <c r="D344" s="17"/>
      <c r="E344" s="17"/>
      <c r="F344" s="17"/>
      <c r="G344" s="17"/>
      <c r="H344" s="17"/>
      <c r="I344" s="17"/>
      <c r="J344" s="17"/>
      <c r="K344" s="18"/>
    </row>
    <row r="345" spans="1:11" x14ac:dyDescent="0.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8"/>
    </row>
    <row r="346" spans="1:11" x14ac:dyDescent="0.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6"/>
    </row>
    <row r="347" spans="1:11" x14ac:dyDescent="0.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6"/>
    </row>
    <row r="348" spans="1:11" x14ac:dyDescent="0.25">
      <c r="A348" s="24"/>
      <c r="B348" s="17"/>
      <c r="C348" s="17"/>
      <c r="D348" s="17"/>
      <c r="E348" s="17"/>
      <c r="F348" s="17"/>
      <c r="G348" s="17"/>
      <c r="H348" s="17"/>
      <c r="I348" s="17"/>
      <c r="J348" s="17"/>
      <c r="K348" s="16"/>
    </row>
    <row r="349" spans="1:11" x14ac:dyDescent="0.2">
      <c r="A349" s="17"/>
      <c r="B349" s="17"/>
      <c r="C349" s="17"/>
      <c r="D349" s="17"/>
      <c r="E349" s="17"/>
      <c r="F349" s="17"/>
      <c r="G349" s="17"/>
      <c r="H349" s="17"/>
      <c r="I349" s="2"/>
      <c r="J349" s="2"/>
      <c r="K349" s="5"/>
    </row>
    <row r="350" spans="1:11" x14ac:dyDescent="0.25">
      <c r="A350" s="15"/>
      <c r="B350" s="15"/>
      <c r="C350" s="16"/>
      <c r="D350" s="17"/>
      <c r="E350" s="17"/>
      <c r="F350" s="17"/>
      <c r="G350" s="17"/>
      <c r="H350" s="17"/>
      <c r="I350" s="17"/>
      <c r="J350" s="17"/>
      <c r="K350" s="18"/>
    </row>
    <row r="351" spans="1:11" x14ac:dyDescent="0.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8"/>
    </row>
    <row r="352" spans="1:11" x14ac:dyDescent="0.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6"/>
    </row>
    <row r="353" spans="1:20" x14ac:dyDescent="0.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6"/>
    </row>
    <row r="354" spans="1:20" x14ac:dyDescent="0.25">
      <c r="A354" s="24"/>
      <c r="B354" s="17"/>
      <c r="C354" s="17"/>
      <c r="D354" s="17"/>
      <c r="E354" s="17"/>
      <c r="F354" s="17"/>
      <c r="G354" s="17"/>
      <c r="H354" s="17"/>
      <c r="I354" s="17"/>
      <c r="J354" s="17"/>
      <c r="K354" s="16"/>
    </row>
    <row r="355" spans="1:20" x14ac:dyDescent="0.2">
      <c r="A355" s="17"/>
      <c r="B355" s="17"/>
      <c r="C355" s="17"/>
      <c r="D355" s="17"/>
      <c r="E355" s="17"/>
      <c r="F355" s="17"/>
      <c r="G355" s="17"/>
      <c r="H355" s="17"/>
      <c r="I355" s="2"/>
      <c r="J355" s="2"/>
      <c r="K355" s="5"/>
    </row>
    <row r="356" spans="1:20" x14ac:dyDescent="0.25">
      <c r="A356" s="15"/>
      <c r="B356" s="15"/>
      <c r="C356" s="16"/>
      <c r="D356" s="17"/>
      <c r="E356" s="17"/>
      <c r="F356" s="17"/>
      <c r="G356" s="17"/>
      <c r="H356" s="17"/>
      <c r="I356" s="17"/>
      <c r="J356" s="17"/>
      <c r="K356" s="18"/>
    </row>
    <row r="357" spans="1:20" x14ac:dyDescent="0.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8"/>
    </row>
    <row r="358" spans="1:20" x14ac:dyDescent="0.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6"/>
    </row>
    <row r="359" spans="1:20" x14ac:dyDescent="0.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6"/>
    </row>
    <row r="360" spans="1:20" x14ac:dyDescent="0.25">
      <c r="A360" s="24"/>
      <c r="B360" s="17"/>
      <c r="C360" s="17"/>
      <c r="D360" s="17"/>
      <c r="E360" s="17"/>
      <c r="F360" s="17"/>
      <c r="G360" s="17"/>
      <c r="H360" s="17"/>
      <c r="I360" s="17"/>
      <c r="J360" s="17"/>
      <c r="K360" s="16"/>
    </row>
    <row r="361" spans="1:20" x14ac:dyDescent="0.2">
      <c r="A361" s="17"/>
      <c r="B361" s="17"/>
      <c r="C361" s="17"/>
      <c r="D361" s="17"/>
      <c r="E361" s="17"/>
      <c r="F361" s="17"/>
      <c r="G361" s="17"/>
      <c r="H361" s="17"/>
      <c r="I361" s="2"/>
      <c r="J361" s="2"/>
      <c r="K361" s="5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15"/>
      <c r="B404" s="15"/>
      <c r="C404" s="16"/>
      <c r="K404" s="18"/>
      <c r="L404" s="18"/>
      <c r="S404" s="16"/>
      <c r="T404" s="16"/>
    </row>
    <row r="405" spans="1:20" s="17" customFormat="1" ht="17.399999999999999" customHeight="1" x14ac:dyDescent="0.25">
      <c r="K405" s="18"/>
      <c r="L405" s="18"/>
      <c r="S405" s="16"/>
      <c r="T405" s="16"/>
    </row>
    <row r="406" spans="1:20" s="17" customFormat="1" ht="17.399999999999999" customHeight="1" x14ac:dyDescent="0.25">
      <c r="K406" s="16"/>
      <c r="L406" s="16"/>
      <c r="S406" s="16"/>
      <c r="T406" s="16"/>
    </row>
    <row r="407" spans="1:20" s="17" customFormat="1" ht="17.399999999999999" customHeight="1" x14ac:dyDescent="0.25">
      <c r="K407" s="16"/>
      <c r="L407" s="16"/>
      <c r="S407" s="16"/>
      <c r="T407" s="16"/>
    </row>
    <row r="408" spans="1:20" s="17" customFormat="1" ht="17.100000000000001" customHeight="1" x14ac:dyDescent="0.25">
      <c r="A408" s="24"/>
      <c r="K408" s="16"/>
      <c r="L408" s="16"/>
      <c r="S408" s="16"/>
      <c r="T408" s="16"/>
    </row>
    <row r="409" spans="1:20" s="17" customFormat="1" ht="17.399999999999999" customHeight="1" x14ac:dyDescent="0.2">
      <c r="I409" s="2"/>
      <c r="J409" s="2"/>
      <c r="K409" s="5"/>
      <c r="L409" s="5"/>
      <c r="S409" s="16"/>
      <c r="T409" s="16"/>
    </row>
    <row r="410" spans="1:20" s="17" customFormat="1" ht="17.399999999999999" customHeight="1" x14ac:dyDescent="0.25">
      <c r="A410" s="15"/>
      <c r="B410" s="15"/>
      <c r="C410" s="16"/>
      <c r="K410" s="18"/>
      <c r="L410" s="18"/>
      <c r="S410" s="16"/>
      <c r="T410" s="16"/>
    </row>
    <row r="411" spans="1:20" s="17" customFormat="1" ht="17.399999999999999" customHeight="1" x14ac:dyDescent="0.25">
      <c r="K411" s="18"/>
      <c r="L411" s="18"/>
      <c r="S411" s="16"/>
      <c r="T411" s="16"/>
    </row>
    <row r="412" spans="1:20" s="17" customFormat="1" ht="17.399999999999999" customHeight="1" x14ac:dyDescent="0.25">
      <c r="K412" s="16"/>
      <c r="L412" s="16"/>
      <c r="S412" s="16"/>
      <c r="T412" s="16"/>
    </row>
    <row r="413" spans="1:20" s="17" customFormat="1" ht="17.399999999999999" customHeight="1" x14ac:dyDescent="0.25">
      <c r="K413" s="16"/>
      <c r="L413" s="16"/>
      <c r="S413" s="16"/>
      <c r="T413" s="16"/>
    </row>
    <row r="414" spans="1:20" s="17" customFormat="1" ht="17.100000000000001" customHeight="1" x14ac:dyDescent="0.25">
      <c r="A414" s="24"/>
      <c r="K414" s="16"/>
      <c r="L414" s="16"/>
      <c r="S414" s="16"/>
      <c r="T414" s="16"/>
    </row>
    <row r="415" spans="1:20" s="17" customFormat="1" ht="17.399999999999999" customHeight="1" x14ac:dyDescent="0.2">
      <c r="I415" s="2"/>
      <c r="J415" s="2"/>
      <c r="K415" s="5"/>
      <c r="L415" s="5"/>
      <c r="S415" s="16"/>
      <c r="T415" s="16"/>
    </row>
    <row r="416" spans="1:20" s="17" customFormat="1" ht="17.399999999999999" customHeight="1" x14ac:dyDescent="0.25">
      <c r="A416" s="15"/>
      <c r="B416" s="15"/>
      <c r="C416" s="16"/>
      <c r="K416" s="18"/>
      <c r="L416" s="18"/>
      <c r="S416" s="16"/>
      <c r="T416" s="16"/>
    </row>
    <row r="417" spans="1:20" s="17" customFormat="1" ht="17.399999999999999" customHeight="1" x14ac:dyDescent="0.25">
      <c r="K417" s="18"/>
      <c r="L417" s="18"/>
      <c r="S417" s="16"/>
      <c r="T417" s="16"/>
    </row>
    <row r="418" spans="1:20" s="17" customFormat="1" ht="17.399999999999999" customHeight="1" x14ac:dyDescent="0.25">
      <c r="K418" s="16"/>
      <c r="L418" s="16"/>
      <c r="S418" s="16"/>
      <c r="T418" s="16"/>
    </row>
    <row r="419" spans="1:20" s="17" customFormat="1" ht="17.399999999999999" customHeight="1" x14ac:dyDescent="0.25">
      <c r="K419" s="16"/>
      <c r="L419" s="16"/>
      <c r="S419" s="16"/>
      <c r="T419" s="16"/>
    </row>
    <row r="420" spans="1:20" s="17" customFormat="1" ht="17.100000000000001" customHeight="1" x14ac:dyDescent="0.25">
      <c r="A420" s="24"/>
      <c r="K420" s="16"/>
      <c r="L420" s="16"/>
      <c r="S420" s="16"/>
      <c r="T420" s="16"/>
    </row>
    <row r="421" spans="1:20" s="17" customFormat="1" ht="17.399999999999999" customHeight="1" x14ac:dyDescent="0.2">
      <c r="I421" s="2"/>
      <c r="J421" s="2"/>
      <c r="K421" s="5"/>
      <c r="L421" s="5"/>
      <c r="S421" s="16"/>
      <c r="T421" s="16"/>
    </row>
    <row r="422" spans="1:20" s="17" customFormat="1" ht="17.399999999999999" customHeight="1" x14ac:dyDescent="0.25">
      <c r="A422" s="15"/>
      <c r="B422" s="15"/>
      <c r="C422" s="16"/>
      <c r="K422" s="18"/>
      <c r="L422" s="18"/>
      <c r="S422" s="16"/>
      <c r="T422" s="16"/>
    </row>
    <row r="423" spans="1:20" s="17" customFormat="1" ht="17.399999999999999" customHeight="1" x14ac:dyDescent="0.25">
      <c r="K423" s="18"/>
      <c r="L423" s="18"/>
      <c r="S423" s="16"/>
      <c r="T423" s="16"/>
    </row>
    <row r="424" spans="1:20" s="17" customFormat="1" ht="17.399999999999999" customHeight="1" x14ac:dyDescent="0.25">
      <c r="K424" s="16"/>
      <c r="L424" s="16"/>
      <c r="S424" s="16"/>
      <c r="T424" s="16"/>
    </row>
    <row r="425" spans="1:20" s="17" customFormat="1" ht="17.399999999999999" customHeight="1" x14ac:dyDescent="0.25">
      <c r="K425" s="16"/>
      <c r="L425" s="16"/>
      <c r="S425" s="16"/>
      <c r="T425" s="16"/>
    </row>
    <row r="426" spans="1:20" s="17" customFormat="1" ht="17.100000000000001" customHeight="1" x14ac:dyDescent="0.25">
      <c r="A426" s="24"/>
      <c r="K426" s="16"/>
      <c r="L426" s="16"/>
      <c r="S426" s="16"/>
      <c r="T426" s="16"/>
    </row>
    <row r="427" spans="1:20" s="17" customFormat="1" ht="17.399999999999999" customHeight="1" x14ac:dyDescent="0.2">
      <c r="I427" s="2"/>
      <c r="J427" s="2"/>
      <c r="K427" s="5"/>
      <c r="L427" s="5"/>
      <c r="S427" s="16"/>
      <c r="T427" s="16"/>
    </row>
    <row r="428" spans="1:20" s="17" customFormat="1" ht="17.399999999999999" customHeight="1" x14ac:dyDescent="0.25">
      <c r="A428" s="15"/>
      <c r="B428" s="15"/>
      <c r="C428" s="16"/>
      <c r="K428" s="18"/>
      <c r="L428" s="18"/>
      <c r="S428" s="16"/>
      <c r="T428" s="16"/>
    </row>
    <row r="429" spans="1:20" s="17" customFormat="1" ht="17.399999999999999" customHeight="1" x14ac:dyDescent="0.25">
      <c r="K429" s="18"/>
      <c r="L429" s="18"/>
      <c r="S429" s="16"/>
      <c r="T429" s="16"/>
    </row>
    <row r="430" spans="1:20" s="17" customFormat="1" ht="17.399999999999999" customHeight="1" x14ac:dyDescent="0.25">
      <c r="K430" s="16"/>
      <c r="L430" s="16"/>
      <c r="S430" s="16"/>
      <c r="T430" s="16"/>
    </row>
    <row r="431" spans="1:20" s="17" customFormat="1" ht="17.399999999999999" customHeight="1" x14ac:dyDescent="0.25">
      <c r="K431" s="16"/>
      <c r="L431" s="16"/>
      <c r="S431" s="16"/>
      <c r="T431" s="16"/>
    </row>
    <row r="432" spans="1:20" s="17" customFormat="1" ht="17.100000000000001" customHeight="1" x14ac:dyDescent="0.25">
      <c r="A432" s="24"/>
      <c r="K432" s="16"/>
      <c r="L432" s="16"/>
      <c r="S432" s="16"/>
      <c r="T432" s="16"/>
    </row>
    <row r="433" spans="1:20" s="17" customFormat="1" ht="17.399999999999999" customHeight="1" x14ac:dyDescent="0.2">
      <c r="I433" s="2"/>
      <c r="J433" s="2"/>
      <c r="K433" s="5"/>
      <c r="L433" s="5"/>
      <c r="S433" s="16"/>
      <c r="T433" s="16"/>
    </row>
    <row r="434" spans="1:20" s="17" customFormat="1" ht="17.399999999999999" customHeight="1" x14ac:dyDescent="0.25">
      <c r="A434" s="15"/>
      <c r="B434" s="15"/>
      <c r="C434" s="16"/>
      <c r="K434" s="18"/>
      <c r="L434" s="18"/>
      <c r="S434" s="16"/>
      <c r="T434" s="16"/>
    </row>
    <row r="435" spans="1:20" s="17" customFormat="1" ht="17.399999999999999" customHeight="1" x14ac:dyDescent="0.25">
      <c r="K435" s="18"/>
      <c r="L435" s="18"/>
      <c r="S435" s="16"/>
      <c r="T435" s="16"/>
    </row>
    <row r="436" spans="1:20" s="17" customFormat="1" ht="17.399999999999999" customHeight="1" x14ac:dyDescent="0.25">
      <c r="K436" s="16"/>
      <c r="L436" s="16"/>
      <c r="S436" s="16"/>
      <c r="T436" s="16"/>
    </row>
    <row r="437" spans="1:20" s="17" customFormat="1" ht="17.399999999999999" customHeight="1" x14ac:dyDescent="0.25">
      <c r="K437" s="16"/>
      <c r="L437" s="16"/>
      <c r="S437" s="16"/>
      <c r="T437" s="16"/>
    </row>
    <row r="438" spans="1:20" s="17" customFormat="1" ht="17.100000000000001" customHeight="1" x14ac:dyDescent="0.25">
      <c r="A438" s="24"/>
      <c r="K438" s="16"/>
      <c r="L438" s="16"/>
      <c r="S438" s="16"/>
      <c r="T438" s="16"/>
    </row>
    <row r="439" spans="1:20" s="17" customFormat="1" ht="17.399999999999999" customHeight="1" x14ac:dyDescent="0.2">
      <c r="I439" s="2"/>
      <c r="J439" s="2"/>
      <c r="K439" s="5"/>
      <c r="L439" s="5"/>
      <c r="S439" s="16"/>
      <c r="T439" s="16"/>
    </row>
    <row r="440" spans="1:20" s="17" customFormat="1" ht="17.399999999999999" customHeight="1" x14ac:dyDescent="0.25">
      <c r="A440" s="15"/>
      <c r="B440" s="15"/>
      <c r="C440" s="16"/>
      <c r="K440" s="18"/>
      <c r="L440" s="18"/>
      <c r="S440" s="16"/>
      <c r="T440" s="16"/>
    </row>
    <row r="441" spans="1:20" s="17" customFormat="1" ht="17.399999999999999" customHeight="1" x14ac:dyDescent="0.25">
      <c r="K441" s="18"/>
      <c r="L441" s="18"/>
      <c r="S441" s="16"/>
      <c r="T441" s="16"/>
    </row>
    <row r="442" spans="1:20" s="17" customFormat="1" ht="17.399999999999999" customHeight="1" x14ac:dyDescent="0.25">
      <c r="K442" s="16"/>
      <c r="L442" s="16"/>
      <c r="S442" s="16"/>
      <c r="T442" s="16"/>
    </row>
    <row r="443" spans="1:20" s="17" customFormat="1" ht="17.399999999999999" customHeight="1" x14ac:dyDescent="0.25">
      <c r="K443" s="16"/>
      <c r="L443" s="16"/>
      <c r="S443" s="16"/>
      <c r="T443" s="16"/>
    </row>
    <row r="444" spans="1:20" s="17" customFormat="1" ht="17.100000000000001" customHeight="1" x14ac:dyDescent="0.25">
      <c r="A444" s="24"/>
      <c r="K444" s="16"/>
      <c r="L444" s="16"/>
      <c r="S444" s="16"/>
      <c r="T444" s="16"/>
    </row>
    <row r="445" spans="1:20" s="17" customFormat="1" ht="17.399999999999999" customHeight="1" x14ac:dyDescent="0.2">
      <c r="I445" s="2"/>
      <c r="J445" s="2"/>
      <c r="K445" s="5"/>
      <c r="L445" s="5"/>
      <c r="S445" s="16"/>
      <c r="T445" s="16"/>
    </row>
    <row r="446" spans="1:20" s="17" customFormat="1" ht="17.399999999999999" customHeight="1" x14ac:dyDescent="0.25">
      <c r="A446" s="15"/>
      <c r="B446" s="15"/>
      <c r="C446" s="16"/>
      <c r="K446" s="18"/>
      <c r="L446" s="18"/>
      <c r="S446" s="16"/>
      <c r="T446" s="16"/>
    </row>
    <row r="447" spans="1:20" s="17" customFormat="1" ht="17.399999999999999" customHeight="1" x14ac:dyDescent="0.25">
      <c r="K447" s="18"/>
      <c r="L447" s="18"/>
      <c r="S447" s="16"/>
      <c r="T447" s="16"/>
    </row>
    <row r="448" spans="1:20" s="17" customFormat="1" ht="17.399999999999999" customHeight="1" x14ac:dyDescent="0.25">
      <c r="K448" s="16"/>
      <c r="L448" s="16"/>
      <c r="S448" s="16"/>
      <c r="T448" s="16"/>
    </row>
    <row r="449" spans="1:20" s="17" customFormat="1" ht="17.399999999999999" customHeight="1" x14ac:dyDescent="0.25">
      <c r="K449" s="16"/>
      <c r="L449" s="16"/>
      <c r="S449" s="16"/>
      <c r="T449" s="16"/>
    </row>
    <row r="450" spans="1:20" s="17" customFormat="1" ht="17.100000000000001" customHeight="1" x14ac:dyDescent="0.25">
      <c r="A450" s="24"/>
      <c r="K450" s="16"/>
      <c r="L450" s="16"/>
      <c r="S450" s="16"/>
      <c r="T450" s="16"/>
    </row>
    <row r="451" spans="1:20" s="17" customFormat="1" ht="17.399999999999999" customHeight="1" x14ac:dyDescent="0.2">
      <c r="I451" s="2"/>
      <c r="J451" s="2"/>
      <c r="K451" s="5"/>
      <c r="L451" s="5"/>
      <c r="S451" s="16"/>
      <c r="T451" s="16"/>
    </row>
    <row r="452" spans="1:20" x14ac:dyDescent="0.25">
      <c r="A452" s="15"/>
      <c r="B452" s="15"/>
      <c r="C452" s="16"/>
      <c r="D452" s="17"/>
      <c r="E452" s="17"/>
      <c r="F452" s="17"/>
      <c r="G452" s="17"/>
      <c r="H452" s="17"/>
      <c r="I452" s="17"/>
      <c r="J452" s="17"/>
      <c r="K452" s="18"/>
    </row>
    <row r="453" spans="1:20" x14ac:dyDescent="0.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8"/>
    </row>
    <row r="454" spans="1:20" x14ac:dyDescent="0.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6"/>
    </row>
    <row r="455" spans="1:20" x14ac:dyDescent="0.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6"/>
    </row>
    <row r="456" spans="1:20" x14ac:dyDescent="0.25">
      <c r="A456" s="24"/>
      <c r="B456" s="17"/>
      <c r="C456" s="17"/>
      <c r="D456" s="17"/>
      <c r="E456" s="17"/>
      <c r="F456" s="17"/>
      <c r="G456" s="17"/>
      <c r="H456" s="17"/>
      <c r="I456" s="17"/>
      <c r="J456" s="17"/>
      <c r="K456" s="16"/>
    </row>
    <row r="457" spans="1:20" x14ac:dyDescent="0.2">
      <c r="A457" s="17"/>
      <c r="B457" s="17"/>
      <c r="C457" s="17"/>
      <c r="D457" s="17"/>
      <c r="E457" s="17"/>
      <c r="F457" s="17"/>
      <c r="G457" s="17"/>
      <c r="H457" s="17"/>
      <c r="I457" s="2"/>
      <c r="J457" s="2"/>
      <c r="K457" s="5"/>
    </row>
    <row r="458" spans="1:20" x14ac:dyDescent="0.25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</row>
    <row r="459" spans="1:20" x14ac:dyDescent="0.25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</row>
    <row r="460" spans="1:20" x14ac:dyDescent="0.25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</row>
    <row r="461" spans="1:20" x14ac:dyDescent="0.25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</row>
    <row r="462" spans="1:20" x14ac:dyDescent="0.25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</row>
    <row r="463" spans="1:20" x14ac:dyDescent="0.25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</row>
    <row r="464" spans="1:20" x14ac:dyDescent="0.25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</row>
    <row r="465" spans="1:11" x14ac:dyDescent="0.2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</row>
    <row r="466" spans="1:11" x14ac:dyDescent="0.25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</row>
    <row r="467" spans="1:11" x14ac:dyDescent="0.25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</row>
    <row r="468" spans="1:11" x14ac:dyDescent="0.25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</row>
    <row r="469" spans="1:11" x14ac:dyDescent="0.25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</row>
    <row r="470" spans="1:11" x14ac:dyDescent="0.25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</row>
    <row r="471" spans="1:11" x14ac:dyDescent="0.25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</row>
    <row r="472" spans="1:11" x14ac:dyDescent="0.25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</row>
    <row r="473" spans="1:11" x14ac:dyDescent="0.25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</row>
    <row r="474" spans="1:11" x14ac:dyDescent="0.25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</row>
    <row r="475" spans="1:11" x14ac:dyDescent="0.25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</row>
    <row r="476" spans="1:11" x14ac:dyDescent="0.25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</row>
    <row r="477" spans="1:11" x14ac:dyDescent="0.25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</row>
    <row r="478" spans="1:11" x14ac:dyDescent="0.25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</row>
    <row r="479" spans="1:11" x14ac:dyDescent="0.25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</row>
    <row r="480" spans="1:11" x14ac:dyDescent="0.25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</row>
    <row r="481" spans="1:11" x14ac:dyDescent="0.25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</row>
    <row r="482" spans="1:11" x14ac:dyDescent="0.25">
      <c r="F482"/>
    </row>
    <row r="483" spans="1:11" x14ac:dyDescent="0.25">
      <c r="F483"/>
    </row>
    <row r="484" spans="1:11" x14ac:dyDescent="0.25">
      <c r="F484"/>
    </row>
    <row r="485" spans="1:11" x14ac:dyDescent="0.25">
      <c r="F485"/>
    </row>
    <row r="486" spans="1:11" x14ac:dyDescent="0.25">
      <c r="F486"/>
    </row>
    <row r="487" spans="1:11" x14ac:dyDescent="0.25">
      <c r="F487"/>
    </row>
    <row r="488" spans="1:11" x14ac:dyDescent="0.25">
      <c r="F488"/>
    </row>
    <row r="489" spans="1:11" x14ac:dyDescent="0.25">
      <c r="F489"/>
    </row>
    <row r="490" spans="1:11" x14ac:dyDescent="0.25">
      <c r="F490"/>
    </row>
    <row r="491" spans="1:11" x14ac:dyDescent="0.25">
      <c r="F491"/>
    </row>
    <row r="492" spans="1:11" x14ac:dyDescent="0.25">
      <c r="F492"/>
    </row>
    <row r="493" spans="1:11" x14ac:dyDescent="0.25">
      <c r="F493"/>
    </row>
    <row r="494" spans="1:11" x14ac:dyDescent="0.25">
      <c r="F494"/>
    </row>
    <row r="495" spans="1:11" x14ac:dyDescent="0.25">
      <c r="F495"/>
    </row>
    <row r="496" spans="1:11" x14ac:dyDescent="0.25">
      <c r="F496"/>
    </row>
    <row r="497" spans="1:11" x14ac:dyDescent="0.25">
      <c r="F497"/>
    </row>
    <row r="498" spans="1:11" x14ac:dyDescent="0.25">
      <c r="F498"/>
    </row>
    <row r="499" spans="1:11" x14ac:dyDescent="0.25">
      <c r="F499"/>
    </row>
    <row r="500" spans="1:11" x14ac:dyDescent="0.25">
      <c r="F500"/>
    </row>
    <row r="501" spans="1:11" x14ac:dyDescent="0.25">
      <c r="F501"/>
    </row>
    <row r="502" spans="1:11" x14ac:dyDescent="0.25">
      <c r="F502"/>
    </row>
    <row r="503" spans="1:11" x14ac:dyDescent="0.25">
      <c r="F503"/>
    </row>
    <row r="504" spans="1:11" x14ac:dyDescent="0.25">
      <c r="F504"/>
    </row>
    <row r="505" spans="1:11" x14ac:dyDescent="0.25">
      <c r="F505"/>
    </row>
    <row r="506" spans="1:11" x14ac:dyDescent="0.25">
      <c r="F506"/>
    </row>
    <row r="507" spans="1:11" x14ac:dyDescent="0.25">
      <c r="F507"/>
    </row>
    <row r="508" spans="1:11" x14ac:dyDescent="0.25">
      <c r="F508"/>
    </row>
    <row r="509" spans="1:11" x14ac:dyDescent="0.25">
      <c r="F509"/>
    </row>
    <row r="510" spans="1:11" x14ac:dyDescent="0.25">
      <c r="F510"/>
    </row>
    <row r="511" spans="1:11" x14ac:dyDescent="0.25">
      <c r="F511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A548" s="15"/>
      <c r="B548" s="15"/>
      <c r="C548" s="16"/>
      <c r="D548" s="17"/>
      <c r="E548" s="17"/>
      <c r="F548" s="17"/>
      <c r="G548" s="17"/>
      <c r="H548" s="17"/>
      <c r="I548" s="17"/>
      <c r="J548" s="17"/>
      <c r="K548" s="18"/>
    </row>
    <row r="549" spans="1:1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8"/>
    </row>
    <row r="550" spans="1:1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6"/>
    </row>
    <row r="551" spans="1:1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6"/>
    </row>
    <row r="552" spans="1:11" x14ac:dyDescent="0.25">
      <c r="A552" s="24"/>
      <c r="B552" s="17"/>
      <c r="C552" s="17"/>
      <c r="D552" s="17"/>
      <c r="E552" s="17"/>
      <c r="F552" s="17"/>
      <c r="G552" s="17"/>
      <c r="H552" s="17"/>
      <c r="I552" s="17"/>
      <c r="J552" s="17"/>
      <c r="K552" s="16"/>
    </row>
    <row r="553" spans="1:11" x14ac:dyDescent="0.2">
      <c r="A553" s="17"/>
      <c r="B553" s="17"/>
      <c r="C553" s="17"/>
      <c r="D553" s="17"/>
      <c r="E553" s="17"/>
      <c r="F553" s="17"/>
      <c r="G553" s="17"/>
      <c r="H553" s="17"/>
      <c r="I553" s="2"/>
      <c r="J553" s="2"/>
      <c r="K553" s="5"/>
    </row>
    <row r="554" spans="1:11" x14ac:dyDescent="0.25">
      <c r="A554" s="15"/>
      <c r="B554" s="15"/>
      <c r="C554" s="16"/>
      <c r="D554" s="17"/>
      <c r="E554" s="17"/>
      <c r="F554" s="17"/>
      <c r="G554" s="17"/>
      <c r="H554" s="17"/>
      <c r="I554" s="17"/>
      <c r="J554" s="17"/>
      <c r="K554" s="18"/>
    </row>
    <row r="555" spans="1:1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8"/>
    </row>
    <row r="556" spans="1:1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6"/>
    </row>
    <row r="557" spans="1:1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6"/>
    </row>
    <row r="558" spans="1:11" x14ac:dyDescent="0.25">
      <c r="A558" s="24"/>
      <c r="B558" s="17"/>
      <c r="C558" s="17"/>
      <c r="D558" s="17"/>
      <c r="E558" s="17"/>
      <c r="F558" s="17"/>
      <c r="G558" s="17"/>
      <c r="H558" s="17"/>
      <c r="I558" s="17"/>
      <c r="J558" s="17"/>
      <c r="K558" s="16"/>
    </row>
    <row r="559" spans="1:11" x14ac:dyDescent="0.2">
      <c r="A559" s="17"/>
      <c r="B559" s="17"/>
      <c r="C559" s="17"/>
      <c r="D559" s="17"/>
      <c r="E559" s="17"/>
      <c r="F559" s="17"/>
      <c r="G559" s="17"/>
      <c r="H559" s="17"/>
      <c r="I559" s="2"/>
      <c r="J559" s="2"/>
      <c r="K559" s="5"/>
    </row>
    <row r="560" spans="1:11" x14ac:dyDescent="0.25">
      <c r="A560" s="15"/>
      <c r="B560" s="15"/>
      <c r="C560" s="16"/>
      <c r="D560" s="17"/>
      <c r="E560" s="17"/>
      <c r="F560" s="17"/>
      <c r="G560" s="17"/>
      <c r="H560" s="17"/>
      <c r="I560" s="17"/>
      <c r="J560" s="17"/>
      <c r="K560" s="18"/>
    </row>
    <row r="561" spans="1:11" x14ac:dyDescent="0.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8"/>
    </row>
    <row r="562" spans="1:11" x14ac:dyDescent="0.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6"/>
    </row>
    <row r="563" spans="1:11" x14ac:dyDescent="0.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6"/>
    </row>
    <row r="564" spans="1:11" x14ac:dyDescent="0.25">
      <c r="A564" s="24"/>
      <c r="B564" s="17"/>
      <c r="C564" s="17"/>
      <c r="D564" s="17"/>
      <c r="E564" s="17"/>
      <c r="F564" s="17"/>
      <c r="G564" s="17"/>
      <c r="H564" s="17"/>
      <c r="I564" s="17"/>
      <c r="J564" s="17"/>
      <c r="K564" s="16"/>
    </row>
    <row r="565" spans="1:11" x14ac:dyDescent="0.2">
      <c r="A565" s="17"/>
      <c r="B565" s="17"/>
      <c r="C565" s="17"/>
      <c r="D565" s="17"/>
      <c r="E565" s="17"/>
      <c r="F565" s="17"/>
      <c r="G565" s="17"/>
      <c r="H565" s="17"/>
      <c r="I565" s="2"/>
      <c r="J565" s="2"/>
      <c r="K565" s="5"/>
    </row>
    <row r="566" spans="1:11" x14ac:dyDescent="0.25">
      <c r="A566" s="15"/>
      <c r="B566" s="15"/>
      <c r="C566" s="16"/>
      <c r="D566" s="17"/>
      <c r="E566" s="17"/>
      <c r="F566" s="17"/>
      <c r="G566" s="17"/>
      <c r="H566" s="17"/>
      <c r="I566" s="17"/>
      <c r="J566" s="17"/>
      <c r="K566" s="18"/>
    </row>
    <row r="567" spans="1:11" x14ac:dyDescent="0.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8"/>
    </row>
    <row r="568" spans="1:11" x14ac:dyDescent="0.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6"/>
    </row>
    <row r="569" spans="1:11" x14ac:dyDescent="0.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6"/>
    </row>
    <row r="570" spans="1:11" x14ac:dyDescent="0.25">
      <c r="A570" s="24"/>
      <c r="B570" s="17"/>
      <c r="C570" s="17"/>
      <c r="D570" s="17"/>
      <c r="E570" s="17"/>
      <c r="F570" s="17"/>
      <c r="G570" s="17"/>
      <c r="H570" s="17"/>
      <c r="I570" s="17"/>
      <c r="J570" s="17"/>
      <c r="K570" s="16"/>
    </row>
    <row r="571" spans="1:11" x14ac:dyDescent="0.2">
      <c r="A571" s="17"/>
      <c r="B571" s="17"/>
      <c r="C571" s="17"/>
      <c r="D571" s="17"/>
      <c r="E571" s="17"/>
      <c r="F571" s="17"/>
      <c r="G571" s="17"/>
      <c r="H571" s="17"/>
      <c r="I571" s="2"/>
      <c r="J571" s="2"/>
      <c r="K571" s="5"/>
    </row>
    <row r="572" spans="1:11" x14ac:dyDescent="0.25">
      <c r="A572" s="15"/>
      <c r="B572" s="15"/>
      <c r="C572" s="16"/>
      <c r="D572" s="17"/>
      <c r="E572" s="17"/>
      <c r="F572" s="17"/>
      <c r="G572" s="17"/>
      <c r="H572" s="17"/>
      <c r="I572" s="17"/>
      <c r="J572" s="17"/>
      <c r="K572" s="18"/>
    </row>
    <row r="573" spans="1:11" x14ac:dyDescent="0.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8"/>
    </row>
    <row r="574" spans="1:11" x14ac:dyDescent="0.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6"/>
    </row>
    <row r="575" spans="1:11" x14ac:dyDescent="0.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6"/>
    </row>
    <row r="576" spans="1:11" x14ac:dyDescent="0.25">
      <c r="A576" s="24"/>
      <c r="B576" s="17"/>
      <c r="C576" s="17"/>
      <c r="D576" s="17"/>
      <c r="E576" s="17"/>
      <c r="F576" s="17"/>
      <c r="G576" s="17"/>
      <c r="H576" s="17"/>
      <c r="I576" s="17"/>
      <c r="J576" s="17"/>
      <c r="K576" s="16"/>
    </row>
    <row r="577" spans="1:11" x14ac:dyDescent="0.2">
      <c r="A577" s="17"/>
      <c r="B577" s="17"/>
      <c r="C577" s="17"/>
      <c r="D577" s="17"/>
      <c r="E577" s="17"/>
      <c r="F577" s="17"/>
      <c r="G577" s="17"/>
      <c r="H577" s="17"/>
      <c r="I577" s="2"/>
      <c r="J577" s="2"/>
      <c r="K577" s="5"/>
    </row>
    <row r="578" spans="1:11" x14ac:dyDescent="0.25">
      <c r="A578" s="15"/>
      <c r="B578" s="15"/>
      <c r="C578" s="16"/>
      <c r="D578" s="17"/>
      <c r="E578" s="17"/>
      <c r="F578" s="17"/>
      <c r="G578" s="17"/>
      <c r="H578" s="17"/>
      <c r="I578" s="17"/>
      <c r="J578" s="17"/>
      <c r="K578" s="18"/>
    </row>
    <row r="579" spans="1:11" x14ac:dyDescent="0.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8"/>
    </row>
    <row r="580" spans="1:11" x14ac:dyDescent="0.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6"/>
    </row>
    <row r="581" spans="1:11" x14ac:dyDescent="0.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6"/>
    </row>
    <row r="582" spans="1:11" x14ac:dyDescent="0.25">
      <c r="A582" s="24"/>
      <c r="B582" s="17"/>
      <c r="C582" s="17"/>
      <c r="D582" s="17"/>
      <c r="E582" s="17"/>
      <c r="F582" s="17"/>
      <c r="G582" s="17"/>
      <c r="H582" s="17"/>
      <c r="I582" s="17"/>
      <c r="J582" s="17"/>
      <c r="K582" s="16"/>
    </row>
    <row r="583" spans="1:11" x14ac:dyDescent="0.2">
      <c r="A583" s="17"/>
      <c r="B583" s="17"/>
      <c r="C583" s="17"/>
      <c r="D583" s="17"/>
      <c r="E583" s="17"/>
      <c r="F583" s="17"/>
      <c r="G583" s="17"/>
      <c r="H583" s="17"/>
      <c r="I583" s="2"/>
      <c r="J583" s="2"/>
      <c r="K583" s="5"/>
    </row>
    <row r="584" spans="1:11" x14ac:dyDescent="0.25">
      <c r="A584" s="15"/>
      <c r="B584" s="15"/>
      <c r="C584" s="16"/>
      <c r="D584" s="17"/>
      <c r="E584" s="17"/>
      <c r="F584" s="17"/>
      <c r="G584" s="17"/>
      <c r="H584" s="17"/>
      <c r="I584" s="17"/>
      <c r="J584" s="17"/>
      <c r="K584" s="18"/>
    </row>
    <row r="585" spans="1:11" x14ac:dyDescent="0.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8"/>
    </row>
    <row r="586" spans="1:11" x14ac:dyDescent="0.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6"/>
    </row>
    <row r="587" spans="1:11" x14ac:dyDescent="0.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6"/>
    </row>
    <row r="588" spans="1:11" x14ac:dyDescent="0.25">
      <c r="A588" s="24"/>
      <c r="B588" s="17"/>
      <c r="C588" s="17"/>
      <c r="D588" s="17"/>
      <c r="E588" s="17"/>
      <c r="F588" s="17"/>
      <c r="G588" s="17"/>
      <c r="H588" s="17"/>
      <c r="I588" s="17"/>
      <c r="J588" s="17"/>
      <c r="K588" s="16"/>
    </row>
    <row r="589" spans="1:11" x14ac:dyDescent="0.2">
      <c r="A589" s="17"/>
      <c r="B589" s="17"/>
      <c r="C589" s="17"/>
      <c r="D589" s="17"/>
      <c r="E589" s="17"/>
      <c r="F589" s="17"/>
      <c r="G589" s="17"/>
      <c r="H589" s="17"/>
      <c r="I589" s="2"/>
      <c r="J589" s="2"/>
      <c r="K589" s="5"/>
    </row>
    <row r="590" spans="1:11" x14ac:dyDescent="0.25">
      <c r="A590" s="15"/>
      <c r="B590" s="15"/>
      <c r="C590" s="16"/>
      <c r="D590" s="17"/>
      <c r="E590" s="17"/>
      <c r="F590" s="17"/>
      <c r="G590" s="17"/>
      <c r="H590" s="17"/>
      <c r="I590" s="17"/>
      <c r="J590" s="17"/>
      <c r="K590" s="18"/>
    </row>
    <row r="591" spans="1:11" x14ac:dyDescent="0.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8"/>
    </row>
    <row r="592" spans="1:11" x14ac:dyDescent="0.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6"/>
    </row>
    <row r="593" spans="1:11" x14ac:dyDescent="0.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6"/>
    </row>
    <row r="594" spans="1:11" x14ac:dyDescent="0.25">
      <c r="A594" s="24"/>
      <c r="B594" s="17"/>
      <c r="C594" s="17"/>
      <c r="D594" s="17"/>
      <c r="E594" s="17"/>
      <c r="F594" s="17"/>
      <c r="G594" s="17"/>
      <c r="H594" s="17"/>
      <c r="I594" s="17"/>
      <c r="J594" s="17"/>
      <c r="K594" s="16"/>
    </row>
    <row r="595" spans="1:11" x14ac:dyDescent="0.2">
      <c r="A595" s="17"/>
      <c r="B595" s="17"/>
      <c r="C595" s="17"/>
      <c r="D595" s="17"/>
      <c r="E595" s="17"/>
      <c r="F595" s="17"/>
      <c r="G595" s="17"/>
      <c r="H595" s="17"/>
      <c r="I595" s="2"/>
      <c r="J595" s="2"/>
      <c r="K595" s="5"/>
    </row>
    <row r="596" spans="1:11" x14ac:dyDescent="0.25">
      <c r="A596" s="15"/>
      <c r="B596" s="15"/>
      <c r="C596" s="16"/>
      <c r="D596" s="17"/>
      <c r="E596" s="17"/>
      <c r="F596" s="17"/>
      <c r="G596" s="17"/>
      <c r="H596" s="17"/>
      <c r="I596" s="17"/>
      <c r="J596" s="17"/>
      <c r="K596" s="18"/>
    </row>
    <row r="597" spans="1:11" x14ac:dyDescent="0.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8"/>
    </row>
    <row r="598" spans="1:11" x14ac:dyDescent="0.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6"/>
    </row>
    <row r="599" spans="1:11" x14ac:dyDescent="0.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6"/>
    </row>
    <row r="600" spans="1:11" x14ac:dyDescent="0.25">
      <c r="A600" s="24"/>
      <c r="B600" s="17"/>
      <c r="C600" s="17"/>
      <c r="D600" s="17"/>
      <c r="E600" s="17"/>
      <c r="F600" s="17"/>
      <c r="G600" s="17"/>
      <c r="H600" s="17"/>
      <c r="I600" s="17"/>
      <c r="J600" s="17"/>
      <c r="K600" s="16"/>
    </row>
    <row r="601" spans="1:11" x14ac:dyDescent="0.2">
      <c r="A601" s="17"/>
      <c r="B601" s="17"/>
      <c r="C601" s="17"/>
      <c r="D601" s="17"/>
      <c r="E601" s="17"/>
      <c r="F601" s="17"/>
      <c r="G601" s="17"/>
      <c r="H601" s="17"/>
      <c r="I601" s="2"/>
      <c r="J601" s="2"/>
      <c r="K601" s="5"/>
    </row>
    <row r="602" spans="1:11" x14ac:dyDescent="0.25">
      <c r="F602"/>
    </row>
    <row r="603" spans="1:11" x14ac:dyDescent="0.25">
      <c r="F603"/>
    </row>
    <row r="604" spans="1:11" x14ac:dyDescent="0.25">
      <c r="F604"/>
    </row>
    <row r="605" spans="1:11" x14ac:dyDescent="0.25">
      <c r="F605"/>
    </row>
    <row r="606" spans="1:11" x14ac:dyDescent="0.25">
      <c r="F606"/>
    </row>
    <row r="607" spans="1:11" x14ac:dyDescent="0.25">
      <c r="F607"/>
    </row>
    <row r="608" spans="1:11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  <row r="654" spans="6:6" x14ac:dyDescent="0.25">
      <c r="F654"/>
    </row>
    <row r="655" spans="6:6" x14ac:dyDescent="0.25">
      <c r="F655"/>
    </row>
    <row r="656" spans="6:6" x14ac:dyDescent="0.25">
      <c r="F656"/>
    </row>
    <row r="657" spans="6:6" x14ac:dyDescent="0.25">
      <c r="F657"/>
    </row>
    <row r="658" spans="6:6" x14ac:dyDescent="0.25">
      <c r="F658"/>
    </row>
    <row r="659" spans="6:6" x14ac:dyDescent="0.25">
      <c r="F659"/>
    </row>
    <row r="660" spans="6:6" x14ac:dyDescent="0.25">
      <c r="F660"/>
    </row>
    <row r="661" spans="6:6" x14ac:dyDescent="0.25">
      <c r="F661"/>
    </row>
    <row r="662" spans="6:6" x14ac:dyDescent="0.25">
      <c r="F662"/>
    </row>
    <row r="663" spans="6:6" x14ac:dyDescent="0.25">
      <c r="F663"/>
    </row>
    <row r="664" spans="6:6" x14ac:dyDescent="0.25">
      <c r="F664"/>
    </row>
    <row r="665" spans="6:6" x14ac:dyDescent="0.25">
      <c r="F665"/>
    </row>
    <row r="666" spans="6:6" x14ac:dyDescent="0.25">
      <c r="F666"/>
    </row>
    <row r="667" spans="6:6" x14ac:dyDescent="0.25">
      <c r="F667"/>
    </row>
    <row r="668" spans="6:6" x14ac:dyDescent="0.25">
      <c r="F668"/>
    </row>
    <row r="669" spans="6:6" x14ac:dyDescent="0.25">
      <c r="F669"/>
    </row>
    <row r="670" spans="6:6" x14ac:dyDescent="0.25">
      <c r="F670"/>
    </row>
    <row r="671" spans="6:6" x14ac:dyDescent="0.25">
      <c r="F671"/>
    </row>
    <row r="672" spans="6:6" x14ac:dyDescent="0.25">
      <c r="F672"/>
    </row>
    <row r="673" spans="6:6" x14ac:dyDescent="0.25">
      <c r="F673"/>
    </row>
    <row r="674" spans="6:6" x14ac:dyDescent="0.25">
      <c r="F674"/>
    </row>
    <row r="675" spans="6:6" x14ac:dyDescent="0.25">
      <c r="F675"/>
    </row>
    <row r="676" spans="6:6" x14ac:dyDescent="0.25">
      <c r="F676"/>
    </row>
    <row r="677" spans="6:6" x14ac:dyDescent="0.25">
      <c r="F677"/>
    </row>
    <row r="678" spans="6:6" x14ac:dyDescent="0.25">
      <c r="F678"/>
    </row>
    <row r="679" spans="6:6" x14ac:dyDescent="0.25">
      <c r="F679"/>
    </row>
    <row r="680" spans="6:6" x14ac:dyDescent="0.25">
      <c r="F680"/>
    </row>
    <row r="681" spans="6:6" x14ac:dyDescent="0.25">
      <c r="F681"/>
    </row>
    <row r="682" spans="6:6" x14ac:dyDescent="0.25">
      <c r="F682"/>
    </row>
    <row r="683" spans="6:6" x14ac:dyDescent="0.25">
      <c r="F683"/>
    </row>
    <row r="684" spans="6:6" x14ac:dyDescent="0.25">
      <c r="F684"/>
    </row>
    <row r="685" spans="6:6" x14ac:dyDescent="0.25">
      <c r="F685"/>
    </row>
    <row r="686" spans="6:6" x14ac:dyDescent="0.25">
      <c r="F686"/>
    </row>
    <row r="687" spans="6:6" x14ac:dyDescent="0.25">
      <c r="F687"/>
    </row>
    <row r="688" spans="6:6" x14ac:dyDescent="0.25">
      <c r="F688"/>
    </row>
    <row r="689" spans="6:6" x14ac:dyDescent="0.25">
      <c r="F689"/>
    </row>
    <row r="690" spans="6:6" x14ac:dyDescent="0.25">
      <c r="F690"/>
    </row>
    <row r="691" spans="6:6" x14ac:dyDescent="0.25">
      <c r="F691"/>
    </row>
    <row r="692" spans="6:6" x14ac:dyDescent="0.25">
      <c r="F692"/>
    </row>
    <row r="693" spans="6:6" x14ac:dyDescent="0.25">
      <c r="F693"/>
    </row>
    <row r="694" spans="6:6" x14ac:dyDescent="0.25">
      <c r="F694"/>
    </row>
    <row r="695" spans="6:6" x14ac:dyDescent="0.25">
      <c r="F695"/>
    </row>
    <row r="696" spans="6:6" x14ac:dyDescent="0.25">
      <c r="F696"/>
    </row>
    <row r="697" spans="6:6" x14ac:dyDescent="0.25">
      <c r="F697"/>
    </row>
    <row r="698" spans="6:6" x14ac:dyDescent="0.25">
      <c r="F698"/>
    </row>
    <row r="699" spans="6:6" x14ac:dyDescent="0.25">
      <c r="F699"/>
    </row>
    <row r="700" spans="6:6" x14ac:dyDescent="0.25">
      <c r="F700"/>
    </row>
    <row r="701" spans="6:6" x14ac:dyDescent="0.25">
      <c r="F701"/>
    </row>
    <row r="702" spans="6:6" x14ac:dyDescent="0.25">
      <c r="F702"/>
    </row>
    <row r="703" spans="6:6" x14ac:dyDescent="0.25">
      <c r="F703"/>
    </row>
    <row r="704" spans="6:6" x14ac:dyDescent="0.25">
      <c r="F704"/>
    </row>
    <row r="705" spans="6:6" x14ac:dyDescent="0.25">
      <c r="F705"/>
    </row>
    <row r="706" spans="6:6" x14ac:dyDescent="0.25">
      <c r="F706"/>
    </row>
    <row r="707" spans="6:6" x14ac:dyDescent="0.25">
      <c r="F707"/>
    </row>
  </sheetData>
  <autoFilter ref="A1:K703" xr:uid="{00000000-0009-0000-0000-000001000000}"/>
  <phoneticPr fontId="0" type="noConversion"/>
  <conditionalFormatting sqref="A146:A151">
    <cfRule type="timePeriod" dxfId="24" priority="25" stopIfTrue="1" timePeriod="lastMonth">
      <formula>AND(MONTH(A146)=MONTH(EDATE(TODAY(),0-1)),YEAR(A146)=YEAR(EDATE(TODAY(),0-1)))</formula>
    </cfRule>
  </conditionalFormatting>
  <conditionalFormatting sqref="A140:A145">
    <cfRule type="timePeriod" dxfId="23" priority="24" stopIfTrue="1" timePeriod="lastMonth">
      <formula>AND(MONTH(A140)=MONTH(EDATE(TODAY(),0-1)),YEAR(A140)=YEAR(EDATE(TODAY(),0-1)))</formula>
    </cfRule>
  </conditionalFormatting>
  <conditionalFormatting sqref="A134:A139">
    <cfRule type="timePeriod" dxfId="22" priority="23" stopIfTrue="1" timePeriod="lastMonth">
      <formula>AND(MONTH(A134)=MONTH(EDATE(TODAY(),0-1)),YEAR(A134)=YEAR(EDATE(TODAY(),0-1)))</formula>
    </cfRule>
  </conditionalFormatting>
  <conditionalFormatting sqref="A128:A133">
    <cfRule type="timePeriod" dxfId="21" priority="22" stopIfTrue="1" timePeriod="lastMonth">
      <formula>AND(MONTH(A128)=MONTH(EDATE(TODAY(),0-1)),YEAR(A128)=YEAR(EDATE(TODAY(),0-1)))</formula>
    </cfRule>
  </conditionalFormatting>
  <conditionalFormatting sqref="A122:A127">
    <cfRule type="timePeriod" dxfId="20" priority="21" stopIfTrue="1" timePeriod="lastMonth">
      <formula>AND(MONTH(A122)=MONTH(EDATE(TODAY(),0-1)),YEAR(A122)=YEAR(EDATE(TODAY(),0-1)))</formula>
    </cfRule>
  </conditionalFormatting>
  <conditionalFormatting sqref="A116:A121">
    <cfRule type="timePeriod" dxfId="19" priority="20" stopIfTrue="1" timePeriod="lastMonth">
      <formula>AND(MONTH(A116)=MONTH(EDATE(TODAY(),0-1)),YEAR(A116)=YEAR(EDATE(TODAY(),0-1)))</formula>
    </cfRule>
  </conditionalFormatting>
  <conditionalFormatting sqref="A110:A115">
    <cfRule type="timePeriod" dxfId="18" priority="19" stopIfTrue="1" timePeriod="lastMonth">
      <formula>AND(MONTH(A110)=MONTH(EDATE(TODAY(),0-1)),YEAR(A110)=YEAR(EDATE(TODAY(),0-1)))</formula>
    </cfRule>
  </conditionalFormatting>
  <conditionalFormatting sqref="A104:A109">
    <cfRule type="timePeriod" dxfId="17" priority="18" stopIfTrue="1" timePeriod="lastMonth">
      <formula>AND(MONTH(A104)=MONTH(EDATE(TODAY(),0-1)),YEAR(A104)=YEAR(EDATE(TODAY(),0-1)))</formula>
    </cfRule>
  </conditionalFormatting>
  <conditionalFormatting sqref="A98:A103">
    <cfRule type="timePeriod" dxfId="16" priority="17" stopIfTrue="1" timePeriod="lastMonth">
      <formula>AND(MONTH(A98)=MONTH(EDATE(TODAY(),0-1)),YEAR(A98)=YEAR(EDATE(TODAY(),0-1)))</formula>
    </cfRule>
  </conditionalFormatting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Камаев Бауыржан Бексатович</cp:lastModifiedBy>
  <cp:revision>1</cp:revision>
  <dcterms:modified xsi:type="dcterms:W3CDTF">2026-10-26T03:57:51Z</dcterms:modified>
  <cp:category/>
</cp:coreProperties>
</file>