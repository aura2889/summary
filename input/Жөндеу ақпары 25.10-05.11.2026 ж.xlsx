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kbm.kz\ffs2\ATS\ЕЖЕДНЕВНЫЕ СВОДКИ МЕСТОРОЖДЕНИЕ\Колонна №6\"/>
    </mc:Choice>
  </mc:AlternateContent>
  <xr:revisionPtr revIDLastSave="0" documentId="13_ncr:1_{653DDEDD-78D5-46BC-9E06-5009F1EFB742}" xr6:coauthVersionLast="47" xr6:coauthVersionMax="47" xr10:uidLastSave="{00000000-0000-0000-0000-000000000000}"/>
  <bookViews>
    <workbookView xWindow="-108" yWindow="-108" windowWidth="30936" windowHeight="16776" firstSheet="53" activeTab="71" xr2:uid="{00000000-000D-0000-FFFF-FFFF00000000}"/>
  </bookViews>
  <sheets>
    <sheet name="17.08" sheetId="1" r:id="rId1"/>
    <sheet name="18,08" sheetId="2" r:id="rId2"/>
    <sheet name="19,08" sheetId="3" r:id="rId3"/>
    <sheet name="20,08" sheetId="4" r:id="rId4"/>
    <sheet name="21,08" sheetId="5" r:id="rId5"/>
    <sheet name="22,08" sheetId="6" r:id="rId6"/>
    <sheet name="23.08" sheetId="7" r:id="rId7"/>
    <sheet name="24,08" sheetId="8" r:id="rId8"/>
    <sheet name="25,08" sheetId="9" r:id="rId9"/>
    <sheet name="26.08" sheetId="10" r:id="rId10"/>
    <sheet name="27.08" sheetId="11" r:id="rId11"/>
    <sheet name="28.08" sheetId="12" r:id="rId12"/>
    <sheet name="29.08" sheetId="13" r:id="rId13"/>
    <sheet name="30.08" sheetId="14" r:id="rId14"/>
    <sheet name="31.08" sheetId="15" r:id="rId15"/>
    <sheet name="01.09" sheetId="16" r:id="rId16"/>
    <sheet name="02.09" sheetId="17" r:id="rId17"/>
    <sheet name="03.09" sheetId="18" r:id="rId18"/>
    <sheet name="04.09" sheetId="19" r:id="rId19"/>
    <sheet name="05.09" sheetId="20" r:id="rId20"/>
    <sheet name="06,09" sheetId="21" r:id="rId21"/>
    <sheet name="07,09" sheetId="22" r:id="rId22"/>
    <sheet name="08,09" sheetId="23" r:id="rId23"/>
    <sheet name="09,09" sheetId="24" r:id="rId24"/>
    <sheet name="10,09" sheetId="25" r:id="rId25"/>
    <sheet name="11,09" sheetId="26" r:id="rId26"/>
    <sheet name="12,09" sheetId="27" r:id="rId27"/>
    <sheet name="13,09" sheetId="28" r:id="rId28"/>
    <sheet name="14,09" sheetId="29" r:id="rId29"/>
    <sheet name="15,09" sheetId="30" r:id="rId30"/>
    <sheet name="16.09" sheetId="31" r:id="rId31"/>
    <sheet name="17.09" sheetId="32" r:id="rId32"/>
    <sheet name="18.09" sheetId="33" r:id="rId33"/>
    <sheet name="19.09" sheetId="34" r:id="rId34"/>
    <sheet name="20.09" sheetId="35" r:id="rId35"/>
    <sheet name="21.09" sheetId="36" r:id="rId36"/>
    <sheet name="22.09" sheetId="37" r:id="rId37"/>
    <sheet name="23.09" sheetId="38" r:id="rId38"/>
    <sheet name="24.09" sheetId="39" r:id="rId39"/>
    <sheet name="25.09" sheetId="40" r:id="rId40"/>
    <sheet name="26,09" sheetId="41" r:id="rId41"/>
    <sheet name="27,09" sheetId="42" r:id="rId42"/>
    <sheet name="28,09" sheetId="43" r:id="rId43"/>
    <sheet name="29,09" sheetId="44" r:id="rId44"/>
    <sheet name="30,09" sheetId="45" r:id="rId45"/>
    <sheet name="01,10" sheetId="46" r:id="rId46"/>
    <sheet name="02,10" sheetId="47" r:id="rId47"/>
    <sheet name="03,10" sheetId="48" r:id="rId48"/>
    <sheet name="04,10" sheetId="49" r:id="rId49"/>
    <sheet name="05,10" sheetId="50" r:id="rId50"/>
    <sheet name="06.10" sheetId="51" r:id="rId51"/>
    <sheet name="07.10" sheetId="52" r:id="rId52"/>
    <sheet name="08.10" sheetId="53" r:id="rId53"/>
    <sheet name="09.10" sheetId="54" r:id="rId54"/>
    <sheet name="10.10" sheetId="55" r:id="rId55"/>
    <sheet name="11.10" sheetId="56" r:id="rId56"/>
    <sheet name="12.10" sheetId="57" r:id="rId57"/>
    <sheet name="13.10" sheetId="58" r:id="rId58"/>
    <sheet name="14.10" sheetId="59" r:id="rId59"/>
    <sheet name="15.10" sheetId="60" r:id="rId60"/>
    <sheet name="16,10" sheetId="61" r:id="rId61"/>
    <sheet name="17,10" sheetId="62" r:id="rId62"/>
    <sheet name="18,10" sheetId="63" r:id="rId63"/>
    <sheet name="19,10" sheetId="64" r:id="rId64"/>
    <sheet name="20,10" sheetId="65" r:id="rId65"/>
    <sheet name="21,10" sheetId="66" r:id="rId66"/>
    <sheet name="22,10" sheetId="67" r:id="rId67"/>
    <sheet name="23,10" sheetId="68" r:id="rId68"/>
    <sheet name="24,10" sheetId="69" r:id="rId69"/>
    <sheet name="25,10" sheetId="70" r:id="rId70"/>
    <sheet name="26.10" sheetId="71" r:id="rId71"/>
    <sheet name="27.10" sheetId="72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72" l="1"/>
  <c r="L11" i="72"/>
  <c r="M9" i="72"/>
  <c r="L9" i="72"/>
  <c r="M7" i="72"/>
  <c r="L7" i="72"/>
  <c r="M6" i="72"/>
  <c r="L6" i="72"/>
  <c r="M5" i="72"/>
  <c r="L5" i="72"/>
  <c r="M8" i="71"/>
  <c r="L8" i="71"/>
  <c r="M7" i="71" l="1"/>
  <c r="L7" i="71"/>
  <c r="M10" i="71"/>
  <c r="L10" i="71"/>
  <c r="M12" i="71"/>
  <c r="L12" i="71"/>
  <c r="M6" i="71"/>
  <c r="L6" i="71"/>
  <c r="M5" i="71"/>
  <c r="L5" i="71"/>
  <c r="M9" i="70"/>
  <c r="L9" i="70"/>
  <c r="M8" i="70"/>
  <c r="L8" i="70"/>
  <c r="M7" i="70"/>
  <c r="L7" i="70"/>
  <c r="M6" i="70" l="1"/>
  <c r="L6" i="70"/>
  <c r="M5" i="70"/>
  <c r="L5" i="70"/>
  <c r="M13" i="70"/>
  <c r="L13" i="70"/>
  <c r="M6" i="69"/>
  <c r="L6" i="69"/>
  <c r="M12" i="69" l="1"/>
  <c r="L12" i="69"/>
  <c r="M5" i="69"/>
  <c r="L5" i="69"/>
  <c r="M7" i="68"/>
  <c r="L7" i="68"/>
  <c r="M12" i="68"/>
  <c r="L12" i="68"/>
  <c r="M6" i="68"/>
  <c r="L6" i="68"/>
  <c r="M5" i="68"/>
  <c r="L5" i="68"/>
  <c r="M6" i="67"/>
  <c r="L6" i="67"/>
  <c r="M12" i="67"/>
  <c r="L12" i="67"/>
  <c r="M5" i="67"/>
  <c r="L5" i="67"/>
  <c r="M6" i="66"/>
  <c r="L6" i="66"/>
  <c r="M12" i="66"/>
  <c r="L12" i="66"/>
  <c r="M5" i="66"/>
  <c r="L5" i="66"/>
  <c r="M5" i="65"/>
  <c r="L5" i="65"/>
  <c r="M12" i="65"/>
  <c r="L12" i="65"/>
  <c r="M7" i="64"/>
  <c r="L7" i="64"/>
  <c r="M12" i="64"/>
  <c r="L12" i="64"/>
  <c r="M6" i="64"/>
  <c r="L6" i="64"/>
  <c r="M5" i="64"/>
  <c r="L5" i="64"/>
  <c r="M12" i="63"/>
  <c r="L12" i="63"/>
  <c r="M6" i="63"/>
  <c r="L6" i="63"/>
  <c r="M5" i="63"/>
  <c r="L5" i="63"/>
  <c r="M7" i="62"/>
  <c r="L7" i="62"/>
  <c r="M6" i="62"/>
  <c r="L6" i="62"/>
  <c r="M12" i="62"/>
  <c r="L12" i="62"/>
  <c r="M5" i="62"/>
  <c r="L5" i="62"/>
  <c r="M12" i="61"/>
  <c r="L12" i="61"/>
  <c r="M5" i="61"/>
  <c r="L5" i="61"/>
  <c r="M10" i="60"/>
  <c r="L10" i="60"/>
  <c r="M5" i="60"/>
  <c r="L5" i="60"/>
  <c r="M11" i="59"/>
  <c r="L11" i="59"/>
  <c r="M6" i="59"/>
  <c r="L6" i="59"/>
  <c r="M5" i="59"/>
  <c r="L5" i="59"/>
  <c r="M6" i="58"/>
  <c r="L6" i="58"/>
  <c r="M10" i="58"/>
  <c r="L10" i="58"/>
  <c r="M5" i="58"/>
  <c r="L5" i="58"/>
  <c r="M10" i="57"/>
  <c r="L10" i="57"/>
  <c r="M5" i="57"/>
  <c r="L5" i="57"/>
  <c r="M6" i="56"/>
  <c r="L6" i="56"/>
  <c r="M11" i="56"/>
  <c r="L11" i="56"/>
  <c r="M5" i="56"/>
  <c r="L5" i="56"/>
  <c r="M10" i="55"/>
  <c r="L10" i="55"/>
  <c r="M5" i="55"/>
  <c r="L5" i="55"/>
  <c r="M10" i="54"/>
  <c r="L10" i="54"/>
  <c r="M5" i="54"/>
  <c r="L5" i="54"/>
  <c r="M10" i="53"/>
  <c r="L10" i="53"/>
  <c r="M5" i="53"/>
  <c r="L5" i="53"/>
  <c r="M7" i="52"/>
  <c r="L7" i="52"/>
  <c r="M6" i="52" l="1"/>
  <c r="L6" i="52"/>
  <c r="M11" i="52"/>
  <c r="L11" i="52"/>
  <c r="M5" i="52"/>
  <c r="L5" i="52"/>
  <c r="M10" i="51"/>
  <c r="L10" i="51"/>
  <c r="M5" i="51"/>
  <c r="L5" i="51"/>
  <c r="M7" i="50"/>
  <c r="L7" i="50"/>
  <c r="M6" i="50"/>
  <c r="L6" i="50"/>
  <c r="M12" i="50"/>
  <c r="L12" i="50"/>
  <c r="M5" i="50"/>
  <c r="L5" i="50"/>
  <c r="M12" i="49"/>
  <c r="L12" i="49"/>
  <c r="M5" i="49"/>
  <c r="L5" i="49"/>
  <c r="M7" i="48"/>
  <c r="L7" i="48"/>
  <c r="M12" i="48"/>
  <c r="L12" i="48"/>
  <c r="M6" i="48"/>
  <c r="L6" i="48"/>
  <c r="M5" i="48"/>
  <c r="L5" i="48"/>
  <c r="M6" i="47"/>
  <c r="L6" i="47"/>
  <c r="M5" i="47" l="1"/>
  <c r="L5" i="47"/>
  <c r="M12" i="47"/>
  <c r="L12" i="47"/>
  <c r="M12" i="46"/>
  <c r="L12" i="46"/>
  <c r="M12" i="45"/>
  <c r="L12" i="45"/>
  <c r="M13" i="44"/>
  <c r="L13" i="44"/>
  <c r="M12" i="44"/>
  <c r="L12" i="44"/>
  <c r="M5" i="44"/>
  <c r="L5" i="44"/>
  <c r="M5" i="43" l="1"/>
  <c r="L5" i="43"/>
  <c r="M13" i="43"/>
  <c r="L13" i="43"/>
  <c r="M12" i="43"/>
  <c r="L12" i="43"/>
  <c r="M13" i="42"/>
  <c r="L13" i="42"/>
  <c r="M12" i="42"/>
  <c r="L12" i="42"/>
  <c r="M12" i="41"/>
  <c r="L12" i="41"/>
  <c r="M11" i="41"/>
  <c r="L11" i="41"/>
  <c r="M11" i="40"/>
  <c r="L11" i="40"/>
  <c r="M10" i="40"/>
  <c r="L10" i="40"/>
  <c r="M11" i="39"/>
  <c r="L11" i="39"/>
  <c r="M10" i="39"/>
  <c r="L10" i="39"/>
  <c r="M11" i="38"/>
  <c r="L11" i="38"/>
  <c r="M10" i="38"/>
  <c r="L10" i="38"/>
  <c r="M5" i="38"/>
  <c r="L5" i="38"/>
  <c r="M6" i="37"/>
  <c r="L6" i="37"/>
  <c r="M11" i="37"/>
  <c r="L11" i="37"/>
  <c r="M5" i="37"/>
  <c r="L5" i="37"/>
  <c r="M10" i="37"/>
  <c r="L10" i="37"/>
  <c r="M6" i="36"/>
  <c r="L6" i="36"/>
  <c r="M5" i="36"/>
  <c r="L5" i="36"/>
  <c r="M12" i="36"/>
  <c r="L12" i="36"/>
  <c r="M10" i="35"/>
  <c r="L10" i="35"/>
  <c r="M9" i="35"/>
  <c r="L9" i="35"/>
  <c r="M8" i="35"/>
  <c r="L8" i="35"/>
  <c r="M7" i="35"/>
  <c r="L7" i="35"/>
  <c r="M14" i="35" l="1"/>
  <c r="L14" i="35"/>
  <c r="M6" i="35"/>
  <c r="L6" i="35"/>
  <c r="M5" i="35"/>
  <c r="L5" i="35"/>
  <c r="M9" i="34"/>
  <c r="L9" i="34"/>
  <c r="M7" i="34"/>
  <c r="L7" i="34"/>
  <c r="M6" i="34"/>
  <c r="L6" i="34"/>
  <c r="M13" i="34" l="1"/>
  <c r="L13" i="34"/>
  <c r="M8" i="34"/>
  <c r="L8" i="34"/>
  <c r="M5" i="34"/>
  <c r="L5" i="34"/>
  <c r="M9" i="33"/>
  <c r="L9" i="33"/>
  <c r="M8" i="33"/>
  <c r="L8" i="33"/>
  <c r="M13" i="33"/>
  <c r="L13" i="33"/>
  <c r="M7" i="33"/>
  <c r="L7" i="33"/>
  <c r="M6" i="33"/>
  <c r="L6" i="33"/>
  <c r="M5" i="33"/>
  <c r="L5" i="33"/>
  <c r="M12" i="32"/>
  <c r="L12" i="32"/>
  <c r="M8" i="32"/>
  <c r="L8" i="32"/>
  <c r="M7" i="32"/>
  <c r="L7" i="32"/>
  <c r="M6" i="32"/>
  <c r="L6" i="32"/>
  <c r="M5" i="32"/>
  <c r="L5" i="32"/>
  <c r="M8" i="31"/>
  <c r="L8" i="31"/>
  <c r="M7" i="31"/>
  <c r="L7" i="31"/>
  <c r="M12" i="31"/>
  <c r="L12" i="31"/>
  <c r="M6" i="31"/>
  <c r="L6" i="31"/>
  <c r="M5" i="31"/>
  <c r="L5" i="31"/>
  <c r="N13" i="30"/>
  <c r="L6" i="30"/>
  <c r="M6" i="30"/>
  <c r="M13" i="30"/>
  <c r="L13" i="30"/>
  <c r="M5" i="30"/>
  <c r="L5" i="30"/>
  <c r="M13" i="29"/>
  <c r="L13" i="29"/>
  <c r="M5" i="29"/>
  <c r="L5" i="29"/>
  <c r="M13" i="28"/>
  <c r="L13" i="28"/>
  <c r="M5" i="28"/>
  <c r="L5" i="28"/>
  <c r="M14" i="27"/>
  <c r="L14" i="27"/>
  <c r="M13" i="27"/>
  <c r="L13" i="27"/>
  <c r="M6" i="27"/>
  <c r="L6" i="27"/>
  <c r="M5" i="27"/>
  <c r="L5" i="27"/>
  <c r="M14" i="26"/>
  <c r="L14" i="26"/>
  <c r="M13" i="26"/>
  <c r="L13" i="26"/>
  <c r="M6" i="26"/>
  <c r="L6" i="26"/>
  <c r="M5" i="26"/>
  <c r="L5" i="26"/>
  <c r="M14" i="25"/>
  <c r="L14" i="25"/>
  <c r="M13" i="25"/>
  <c r="L13" i="25"/>
  <c r="M6" i="25"/>
  <c r="L6" i="25"/>
  <c r="M5" i="25"/>
  <c r="L5" i="25"/>
  <c r="M5" i="24"/>
  <c r="L5" i="24"/>
  <c r="M6" i="23"/>
  <c r="L6" i="23"/>
  <c r="M5" i="23"/>
  <c r="L5" i="23"/>
  <c r="M5" i="22"/>
  <c r="L5" i="22"/>
  <c r="M6" i="22"/>
  <c r="L6" i="22"/>
  <c r="M6" i="21"/>
  <c r="L6" i="21"/>
  <c r="M5" i="21"/>
  <c r="L5" i="21"/>
  <c r="M7" i="9"/>
  <c r="L7" i="9"/>
  <c r="M6" i="9"/>
  <c r="L6" i="9"/>
  <c r="M5" i="9"/>
  <c r="L5" i="9"/>
  <c r="M6" i="8"/>
  <c r="L6" i="8"/>
  <c r="M5" i="8"/>
  <c r="L5" i="8"/>
  <c r="M5" i="7"/>
  <c r="L5" i="7"/>
  <c r="M6" i="7"/>
  <c r="L6" i="7"/>
  <c r="M7" i="6"/>
  <c r="L7" i="6"/>
  <c r="M6" i="6"/>
  <c r="L6" i="6"/>
  <c r="M5" i="6"/>
  <c r="L5" i="6"/>
  <c r="M14" i="3"/>
  <c r="L14" i="3"/>
  <c r="M13" i="3"/>
  <c r="L13" i="3"/>
  <c r="M14" i="2"/>
  <c r="L14" i="2"/>
  <c r="M13" i="2"/>
  <c r="L13" i="2"/>
  <c r="M14" i="1"/>
  <c r="L14" i="1"/>
  <c r="M13" i="1"/>
  <c r="L13" i="1"/>
  <c r="M5" i="1"/>
  <c r="L5" i="1"/>
</calcChain>
</file>

<file path=xl/sharedStrings.xml><?xml version="1.0" encoding="utf-8"?>
<sst xmlns="http://schemas.openxmlformats.org/spreadsheetml/2006/main" count="4427" uniqueCount="192">
  <si>
    <t>№</t>
  </si>
  <si>
    <t xml:space="preserve">Мемлекеттік белгі  </t>
  </si>
  <si>
    <t xml:space="preserve">                    Марка   
</t>
  </si>
  <si>
    <t>Түрі</t>
  </si>
  <si>
    <t xml:space="preserve">Шыққан жылы </t>
  </si>
  <si>
    <t>Жөндеуге бастап тұрған күні</t>
  </si>
  <si>
    <t>ЖМЦ-да жөндеуде тұрған күні</t>
  </si>
  <si>
    <t xml:space="preserve">ТҚжЖБ-ге сұраныс берілген күні </t>
  </si>
  <si>
    <t>ӨТБ-де жөндеуге бастап тұрған күні</t>
  </si>
  <si>
    <t>Транспорт бөлімінде жөндеуге бастап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</si>
  <si>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</si>
  <si>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</si>
  <si>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
Қажетті қосалқы бөлшектер                                                         </t>
  </si>
  <si>
    <t>Жөндеуден және резервтен шыққан көліктер</t>
  </si>
  <si>
    <t>Дайын тұрған көліктер</t>
  </si>
  <si>
    <t>Ескертпе/
Примечание</t>
  </si>
  <si>
    <t>Барлығы</t>
  </si>
  <si>
    <t>ЖМЦ</t>
  </si>
  <si>
    <t>ТҚжЖБ</t>
  </si>
  <si>
    <t>ӨТБ</t>
  </si>
  <si>
    <t>ТБ</t>
  </si>
  <si>
    <t>А/т №6 - Жалғас / Жексен</t>
  </si>
  <si>
    <t xml:space="preserve"> </t>
  </si>
  <si>
    <t>49-1507</t>
  </si>
  <si>
    <t>Камаз</t>
  </si>
  <si>
    <t>Вакуум</t>
  </si>
  <si>
    <t>ЖҚ шлангасы жарылған ж.ж.ж</t>
  </si>
  <si>
    <t>24-750349</t>
  </si>
  <si>
    <t>23-614928</t>
  </si>
  <si>
    <t>22-2862</t>
  </si>
  <si>
    <t>22-3051</t>
  </si>
  <si>
    <t>КПБ / ОЭТС</t>
  </si>
  <si>
    <t>КТҚКжЖБ / ОТОиРТС</t>
  </si>
  <si>
    <t>49-1801</t>
  </si>
  <si>
    <t>Генератор Cұраныс 26-523 14.08.2026 ж</t>
  </si>
  <si>
    <t>22-2693</t>
  </si>
  <si>
    <t>Шахман</t>
  </si>
  <si>
    <t>Тягач</t>
  </si>
  <si>
    <t>Торсион рем-т ауыстыру Сұраныс төлық жеткізілмеген,  төлық жеткізу күтілуде.</t>
  </si>
  <si>
    <t>Жалпы жөндеуде</t>
  </si>
  <si>
    <t>Есептен шығу 2026ж.</t>
  </si>
  <si>
    <t>23-1116</t>
  </si>
  <si>
    <t>Кенворт</t>
  </si>
  <si>
    <t>Есептен шығаруға жоспарлануда</t>
  </si>
  <si>
    <t>23-1119</t>
  </si>
  <si>
    <t>22-3570</t>
  </si>
  <si>
    <t>22-2883</t>
  </si>
  <si>
    <t>ЖҚ КОМ қосылмайды ж.ж.ж</t>
  </si>
  <si>
    <t>26-64ВАА12</t>
  </si>
  <si>
    <t>трал</t>
  </si>
  <si>
    <t>26-28ABI12</t>
  </si>
  <si>
    <t>Тіркеме</t>
  </si>
  <si>
    <t xml:space="preserve"> ППЦПТ-20</t>
  </si>
  <si>
    <t>Тежегіш колодкаларын ауыстыру, ауа жолдарын және втулкаларын тексеру ж.ж.ж.</t>
  </si>
  <si>
    <t>Дәнекерлеу жұмыстары (ПРЦЭО ) да жасалуда.</t>
  </si>
  <si>
    <t xml:space="preserve">Marcep </t>
  </si>
  <si>
    <t>24-3598</t>
  </si>
  <si>
    <t>22-357012</t>
  </si>
  <si>
    <t>тягач</t>
  </si>
  <si>
    <t>Расширительный бачог ж.ж.ж.</t>
  </si>
  <si>
    <t>Тежегіш колодкаларын ауыстыру, ауа жолдарын және втулкаларын тексеру ж.ж.к.т</t>
  </si>
  <si>
    <t>.08</t>
  </si>
  <si>
    <t>49-154512</t>
  </si>
  <si>
    <t>Дәнекерлеу жұмыстары ІЖҚ дан май ағады ж.ж.ж.</t>
  </si>
  <si>
    <t>49-Н319212</t>
  </si>
  <si>
    <t>вакуум</t>
  </si>
  <si>
    <t>Жанармай багін ауыстыру ж.ж.ж</t>
  </si>
  <si>
    <t>23-H356812</t>
  </si>
  <si>
    <t>Aстра</t>
  </si>
  <si>
    <t>Дәнекерлеу жұмыстары ж.ж.ж</t>
  </si>
  <si>
    <t>ППТК-37</t>
  </si>
  <si>
    <t>прицеп</t>
  </si>
  <si>
    <t>Тіреуіш аяғын ауыстыру ж.ж.ж</t>
  </si>
  <si>
    <t>23-Н357812</t>
  </si>
  <si>
    <t>49-H180012</t>
  </si>
  <si>
    <t>Дөңгелек жасау ж.ж.ж</t>
  </si>
  <si>
    <t>23-Н360812</t>
  </si>
  <si>
    <t>49-1800</t>
  </si>
  <si>
    <t>22-H097812</t>
  </si>
  <si>
    <t>Маз</t>
  </si>
  <si>
    <t>Рулде луфт бар ж.ж.ж</t>
  </si>
  <si>
    <t>49-167AG12</t>
  </si>
  <si>
    <t>Алдыңғы рессор қабаттары сынған ж.ж.ж</t>
  </si>
  <si>
    <t>49-H319212</t>
  </si>
  <si>
    <t>ТҚ-1 жұмыстары ж.ж.ж</t>
  </si>
  <si>
    <t>22-Н288312</t>
  </si>
  <si>
    <t>49-H154512</t>
  </si>
  <si>
    <t>Руль бұрылмайды миханизмін тексеру. ТКР ден май ағып тұр ж.ж.ж</t>
  </si>
  <si>
    <t>22-Н263912</t>
  </si>
  <si>
    <t>Тоқ жүйесі генератор ж.ж.ж</t>
  </si>
  <si>
    <t>24-H357512</t>
  </si>
  <si>
    <t>IBECO</t>
  </si>
  <si>
    <t>Лебедко</t>
  </si>
  <si>
    <t>Дөңгелек жасау ж.ж.ж заплатка керек</t>
  </si>
  <si>
    <t>49-H296012</t>
  </si>
  <si>
    <t>Алдыңғы рессор қабаттары сынған  Сұраныс 26-567  02.09.2026  ж.</t>
  </si>
  <si>
    <t>Тоқ жүйесі генератор Сұраныс 26-567  02.09.2026  ж</t>
  </si>
  <si>
    <t>Рулде луфт бар Сұраныс 26-567  02.09.2026  ж.</t>
  </si>
  <si>
    <t>49-H150712</t>
  </si>
  <si>
    <t>Антифириз шығыны бар тексерцу ж.ж.ж.</t>
  </si>
  <si>
    <t>22-288312</t>
  </si>
  <si>
    <t>Радтатор тексеру  ж.ж.ж</t>
  </si>
  <si>
    <t>22-Н265112</t>
  </si>
  <si>
    <t>49-1545</t>
  </si>
  <si>
    <t>22-2651</t>
  </si>
  <si>
    <t>22-0978</t>
  </si>
  <si>
    <t>Рульде люфт бар. Сұраныс 26-567  02.09.2026ж.</t>
  </si>
  <si>
    <t>Радиатор тексеру ауыстыру ж.ж.ж</t>
  </si>
  <si>
    <t>Руль бұрылмайды механизм тексеру ауыстыру, ТКР-ден май ағып тұр ж.ж.ж</t>
  </si>
  <si>
    <t>ПГУ жөндеу ж.ж.ж.</t>
  </si>
  <si>
    <t>49-166</t>
  </si>
  <si>
    <t xml:space="preserve">Кабина рессор ауыстыру </t>
  </si>
  <si>
    <t>49-167</t>
  </si>
  <si>
    <t>Жанар май жүйесін жөндеу ж.ж.ж.</t>
  </si>
  <si>
    <t>22-2894</t>
  </si>
  <si>
    <t>Радиаторы жөнделді, салу ж.ж.ж.</t>
  </si>
  <si>
    <t>Радиатор  ауыстыру ж.ж.ж</t>
  </si>
  <si>
    <t>ПГУ ауыстыру ж.ж.ж.</t>
  </si>
  <si>
    <t>Руль бұрылмайды механизм ауыстыру, ТКР-ден май ағып тұр ж.ж.ж</t>
  </si>
  <si>
    <t>Жүргізуші</t>
  </si>
  <si>
    <t>Самоторможениесін жөндеу, алдыңғы рессорын тексеру ж.ж.ж.</t>
  </si>
  <si>
    <t>Глушитель гофрасын жөндеу ж.ж.ж.</t>
  </si>
  <si>
    <t>ASTRA</t>
  </si>
  <si>
    <t xml:space="preserve">23-3568 </t>
  </si>
  <si>
    <t>Тоқ жүйе, дәнекерлеу жұмыстары ж.ж.ж.</t>
  </si>
  <si>
    <t>ТНВД привод сальник ауыстырылуда ж.ж.ж.</t>
  </si>
  <si>
    <t>22-3036</t>
  </si>
  <si>
    <t>А/шина тексеру ауыстыру ж.ж.ж.</t>
  </si>
  <si>
    <t>Рулевой валда люфт бар. Сұраныс 26-567  02.09.2026ж.</t>
  </si>
  <si>
    <t>Радиатор  жөндеу ж.ж.ж</t>
  </si>
  <si>
    <t>Радиаторын ауыстыру ж.ж.ж</t>
  </si>
  <si>
    <t>Радиатор ауыстыру  Сұраныс 26-472  24.07.2026ж</t>
  </si>
  <si>
    <t>22-3606</t>
  </si>
  <si>
    <t xml:space="preserve">ТҚ-1 </t>
  </si>
  <si>
    <t>Рулевой вал. Сұраныс 26-567  02.09.2026ж.</t>
  </si>
  <si>
    <t>49-Н298812</t>
  </si>
  <si>
    <t>22-Н285612</t>
  </si>
  <si>
    <t>49-Н154512</t>
  </si>
  <si>
    <t>49-Н180012</t>
  </si>
  <si>
    <t>Дөнгелек ауыстыру ж.ж.ж.</t>
  </si>
  <si>
    <t>ІЖҚ пербой тексеру ж.ж.ж.</t>
  </si>
  <si>
    <t>ТҚ-1 ж.ж.ж.</t>
  </si>
  <si>
    <t>49-3192</t>
  </si>
  <si>
    <t>49-3177</t>
  </si>
  <si>
    <t>Емкость Дәнекерлеу жұмыстары.</t>
  </si>
  <si>
    <t>Шкворня , балансир тексеру ж.ж.ж.</t>
  </si>
  <si>
    <t xml:space="preserve">Жанар май жұйесі тексеру, ж.ж.ж.                                                    </t>
  </si>
  <si>
    <t>26-Н09712</t>
  </si>
  <si>
    <t>Трал</t>
  </si>
  <si>
    <t>тіркеме</t>
  </si>
  <si>
    <t>Дәнекерлеу жұмыстары. ж.ж.ж.</t>
  </si>
  <si>
    <t>Жанар май жүйесін тексеру перебой ж.ж.ж.</t>
  </si>
  <si>
    <t>Жанар май жүйесі тексерілді, форсунка керек  ж.ж.ж.</t>
  </si>
  <si>
    <t>Тоқ жүйе тексеру, ТҚ-1 жасалуда ж.ж.ж.</t>
  </si>
  <si>
    <t>22-2682</t>
  </si>
  <si>
    <t xml:space="preserve">А/шина ауыстыру </t>
  </si>
  <si>
    <t>Емкость тазалау, дәнекерлеу</t>
  </si>
  <si>
    <t>Машинист, көмекші</t>
  </si>
  <si>
    <t>Ж/Қ жөнделуде ж.ж.ж.</t>
  </si>
  <si>
    <t>22-263912</t>
  </si>
  <si>
    <t>22-268212</t>
  </si>
  <si>
    <t>Дөнгелек ауыстыру тоқ жұйесі  ж.ж.ж</t>
  </si>
  <si>
    <t>Эл магнит клапан тексеру тоқ жұйесі ж.ж.ж.</t>
  </si>
  <si>
    <t>Емкось воронкасын тдәнекерлеу ж.ж.ж.</t>
  </si>
  <si>
    <t>Гидро насос валы шпонка жөндыру ж.ж.ж.</t>
  </si>
  <si>
    <t>Диагностика тоқ жұйесін тексеру ж.ж.ж.</t>
  </si>
  <si>
    <t>Шкворня тексеру ж.ж.ж.</t>
  </si>
  <si>
    <t>Дәнекерлеу жұмыстары ж.ж.ж.</t>
  </si>
  <si>
    <t>49-2960</t>
  </si>
  <si>
    <t>Емкост дәнекерлеу жұмыстары ж.ж.ж.</t>
  </si>
  <si>
    <t>49-1940</t>
  </si>
  <si>
    <t>Тоқ жұйесі дәнекерлеу ж.ж.ж.</t>
  </si>
  <si>
    <t>23-3568</t>
  </si>
  <si>
    <t>АСТРА</t>
  </si>
  <si>
    <t>Диагностика жасап тексеру Астанадан мамандар келген.</t>
  </si>
  <si>
    <t>Шкворня салу ж.ж.ж.</t>
  </si>
  <si>
    <t>49-3446</t>
  </si>
  <si>
    <t>Рулевой кардан тексеру ж.ж.ж.</t>
  </si>
  <si>
    <t>Гидро шланга ауыстыру ж.ж.ж.</t>
  </si>
  <si>
    <t>24-3649</t>
  </si>
  <si>
    <t>Ивеко</t>
  </si>
  <si>
    <t>лебед</t>
  </si>
  <si>
    <t>Диагностика жасап тексеру Астанадан келген мамандар келген.</t>
  </si>
  <si>
    <t>23-3578</t>
  </si>
  <si>
    <t>Шкворня иглочатий подшиник қажет бір дана ж.ж.ж.</t>
  </si>
  <si>
    <t>22-2639</t>
  </si>
  <si>
    <t>Астанадан келген мамандар келіп тексерді,рулевой шлейф жарамсыз, кепілдік мерзімі болғандықтан АКТ жасалды, өздері ауыстырып береді.</t>
  </si>
  <si>
    <t>Шкворня ремк-т ауыстыру ж.ж.ж.</t>
  </si>
  <si>
    <t xml:space="preserve">ТНВД привод май ағады, кабина алдынан өзге дауыс бар тексеру </t>
  </si>
  <si>
    <t>Шкворня ремк-т ауыстыру керек  ж.ж.ж.</t>
  </si>
  <si>
    <t>IVECO</t>
  </si>
  <si>
    <t>Лебедка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</si>
</sst>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\ yy;@"/>
    <numFmt numFmtId="165" formatCode="[$-419]d\ m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16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14" fontId="2" fillId="2" borderId="6" xfId="1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wrapText="1"/>
    </xf>
    <xf numFmtId="0" fontId="2" fillId="7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10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top" wrapText="1"/>
    </xf>
    <xf numFmtId="164" fontId="5" fillId="3" borderId="6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</cellXfs>
  <cellStyles count="5">
    <cellStyle name="Normal 2 2" xfId="3" xr:uid="{D9DEFB3F-AF47-44B4-86C6-5A3991402E6A}"/>
    <cellStyle name="Обычный" xfId="0" builtinId="0"/>
    <cellStyle name="Обычный 2" xfId="1" xr:uid="{CA28935D-3792-4938-9987-8094B4712EC0}"/>
    <cellStyle name="Обычный 20" xfId="4" xr:uid="{AF8482CE-4E0C-4F1C-A37F-CD8A736FEC2C}"/>
    <cellStyle name="Обычный 80" xfId="2" xr:uid="{AF5DE20C-1790-4F35-9E42-2817BE722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2"/>
  <sheetViews>
    <sheetView workbookViewId="0">
      <selection activeCell="B5" sqref="B5:Q5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9.3320312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>
        <v>1</v>
      </c>
      <c r="B5" s="4" t="s">
        <v>23</v>
      </c>
      <c r="C5" s="1" t="s">
        <v>24</v>
      </c>
      <c r="D5" s="1" t="s">
        <v>25</v>
      </c>
      <c r="E5" s="1">
        <v>2016</v>
      </c>
      <c r="F5" s="5">
        <v>46249</v>
      </c>
      <c r="G5" s="5">
        <v>46249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26</v>
      </c>
      <c r="R5" s="22"/>
      <c r="S5" s="4" t="s">
        <v>27</v>
      </c>
      <c r="T5" s="23"/>
    </row>
    <row r="6" spans="1:69" s="20" customForma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x14ac:dyDescent="0.3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1">
        <v>2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1">$F$1-F13</f>
        <v>5</v>
      </c>
      <c r="M13" s="1">
        <f t="shared" si="1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26.4" x14ac:dyDescent="0.25">
      <c r="A14" s="4">
        <v>3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1"/>
        <v>4</v>
      </c>
      <c r="M14" s="1">
        <f t="shared" si="1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.4" x14ac:dyDescent="0.3">
      <c r="A15" s="46"/>
      <c r="B15" s="47" t="s">
        <v>39</v>
      </c>
      <c r="C15" s="47">
        <v>3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x14ac:dyDescent="0.3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0BC0-5ACB-42AC-A968-60C95F892252}">
  <dimension ref="A1:BQ22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9.3320312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2" t="s">
        <v>16</v>
      </c>
      <c r="M3" s="62" t="s">
        <v>17</v>
      </c>
      <c r="N3" s="62" t="s">
        <v>18</v>
      </c>
      <c r="O3" s="62" t="s">
        <v>19</v>
      </c>
      <c r="P3" s="62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x14ac:dyDescent="0.3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23</v>
      </c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5</v>
      </c>
      <c r="M13" s="1">
        <f t="shared" si="0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26.4" x14ac:dyDescent="0.25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4</v>
      </c>
      <c r="M14" s="1">
        <f t="shared" si="0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.4" x14ac:dyDescent="0.3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x14ac:dyDescent="0.3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96E-62E1-4499-9844-BA32A28229C1}">
  <dimension ref="A1:BQ22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9.3320312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3" t="s">
        <v>16</v>
      </c>
      <c r="M3" s="63" t="s">
        <v>17</v>
      </c>
      <c r="N3" s="63" t="s">
        <v>18</v>
      </c>
      <c r="O3" s="63" t="s">
        <v>19</v>
      </c>
      <c r="P3" s="63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x14ac:dyDescent="0.3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7</v>
      </c>
      <c r="M13" s="1">
        <f t="shared" si="0"/>
        <v>7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26.4" x14ac:dyDescent="0.25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6</v>
      </c>
      <c r="M14" s="1">
        <f t="shared" si="0"/>
        <v>6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.4" x14ac:dyDescent="0.3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x14ac:dyDescent="0.3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E16-BF02-4F54-A9A6-09B724AA5D32}">
  <dimension ref="A1:BQ24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9.3320312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4" t="s">
        <v>16</v>
      </c>
      <c r="M3" s="64" t="s">
        <v>17</v>
      </c>
      <c r="N3" s="64" t="s">
        <v>18</v>
      </c>
      <c r="O3" s="64" t="s">
        <v>19</v>
      </c>
      <c r="P3" s="64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x14ac:dyDescent="0.3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22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22" t="s">
        <v>35</v>
      </c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22" t="s">
        <v>45</v>
      </c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18C9-63D7-4169-BBC2-5F5D90137B2A}">
  <dimension ref="A1:BQ24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9.3320312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5" t="s">
        <v>16</v>
      </c>
      <c r="M3" s="65" t="s">
        <v>17</v>
      </c>
      <c r="N3" s="65" t="s">
        <v>18</v>
      </c>
      <c r="O3" s="65" t="s">
        <v>19</v>
      </c>
      <c r="P3" s="65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45</v>
      </c>
      <c r="S5" s="4" t="s">
        <v>27</v>
      </c>
      <c r="T5" s="23"/>
    </row>
    <row r="6" spans="1:69" s="20" customForma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30</v>
      </c>
      <c r="S6" s="4" t="s">
        <v>28</v>
      </c>
      <c r="T6" s="23"/>
    </row>
    <row r="7" spans="1:69" s="20" customFormat="1" x14ac:dyDescent="0.3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4CDF-3E04-47BE-BE3E-986528284BA1}">
  <dimension ref="A1:BQ24"/>
  <sheetViews>
    <sheetView workbookViewId="0">
      <selection activeCell="F5" sqref="F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6" t="s">
        <v>16</v>
      </c>
      <c r="M3" s="66" t="s">
        <v>17</v>
      </c>
      <c r="N3" s="66" t="s">
        <v>18</v>
      </c>
      <c r="O3" s="66" t="s">
        <v>19</v>
      </c>
      <c r="P3" s="66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>
        <v>1</v>
      </c>
      <c r="B5" s="22" t="s">
        <v>33</v>
      </c>
      <c r="C5" s="68" t="s">
        <v>24</v>
      </c>
      <c r="D5" s="68" t="s">
        <v>25</v>
      </c>
      <c r="E5" s="68">
        <v>2018</v>
      </c>
      <c r="F5" s="69">
        <v>46256</v>
      </c>
      <c r="G5" s="69">
        <v>46256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47</v>
      </c>
      <c r="R5" s="22" t="s">
        <v>45</v>
      </c>
      <c r="S5" s="4" t="s">
        <v>27</v>
      </c>
      <c r="T5" s="23"/>
    </row>
    <row r="6" spans="1:69" s="20" customFormat="1" ht="17.55" customHeight="1" x14ac:dyDescent="0.3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L7" si="1">$F$1-F6</f>
        <v>0</v>
      </c>
      <c r="M6" s="68">
        <f t="shared" ref="M6:M7" si="2">$F$1-G6</f>
        <v>0</v>
      </c>
      <c r="N6" s="68"/>
      <c r="O6" s="68"/>
      <c r="P6" s="68"/>
      <c r="Q6" s="70" t="s">
        <v>53</v>
      </c>
      <c r="R6" s="22" t="s">
        <v>30</v>
      </c>
      <c r="S6" s="4" t="s">
        <v>28</v>
      </c>
      <c r="T6" s="23"/>
    </row>
    <row r="7" spans="1:69" s="20" customFormat="1" x14ac:dyDescent="0.3">
      <c r="A7" s="71"/>
      <c r="B7" s="4" t="s">
        <v>50</v>
      </c>
      <c r="C7" s="1" t="s">
        <v>52</v>
      </c>
      <c r="D7" s="1" t="s">
        <v>51</v>
      </c>
      <c r="E7" s="1">
        <v>2022</v>
      </c>
      <c r="F7" s="69">
        <v>46256</v>
      </c>
      <c r="G7" s="69">
        <v>46256</v>
      </c>
      <c r="H7" s="69"/>
      <c r="I7" s="69"/>
      <c r="J7" s="69"/>
      <c r="K7" s="68"/>
      <c r="L7" s="68">
        <f t="shared" si="1"/>
        <v>0</v>
      </c>
      <c r="M7" s="68">
        <f t="shared" si="2"/>
        <v>0</v>
      </c>
      <c r="N7" s="68"/>
      <c r="O7" s="68"/>
      <c r="P7" s="68"/>
      <c r="Q7" s="70" t="s">
        <v>54</v>
      </c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 t="s">
        <v>56</v>
      </c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0603-D3B6-402E-87DF-A4AADA9D3071}">
  <dimension ref="A1:BQ24"/>
  <sheetViews>
    <sheetView workbookViewId="0">
      <selection activeCell="H34" sqref="H34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ht="26.4" x14ac:dyDescent="0.3">
      <c r="A1" s="1" t="s">
        <v>61</v>
      </c>
      <c r="B1" s="2"/>
      <c r="C1" s="3"/>
      <c r="D1" s="3"/>
      <c r="E1" s="4"/>
      <c r="F1" s="5">
        <v>46257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67" t="s">
        <v>16</v>
      </c>
      <c r="M3" s="67" t="s">
        <v>17</v>
      </c>
      <c r="N3" s="67" t="s">
        <v>18</v>
      </c>
      <c r="O3" s="67" t="s">
        <v>19</v>
      </c>
      <c r="P3" s="67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" si="0">$F$1-F5</f>
        <v>0</v>
      </c>
      <c r="M5" s="68">
        <f t="shared" ref="M5" si="1">$F$1-G5</f>
        <v>0</v>
      </c>
      <c r="N5" s="68"/>
      <c r="O5" s="68"/>
      <c r="P5" s="68"/>
      <c r="Q5" s="70" t="s">
        <v>59</v>
      </c>
      <c r="R5" s="22" t="s">
        <v>35</v>
      </c>
      <c r="S5" s="4" t="s">
        <v>27</v>
      </c>
      <c r="T5" s="23"/>
    </row>
    <row r="6" spans="1:69" s="20" customFormat="1" ht="17.55" customHeight="1" x14ac:dyDescent="0.3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M6" si="2">$F$1-F6</f>
        <v>1</v>
      </c>
      <c r="M6" s="68">
        <f t="shared" si="2"/>
        <v>1</v>
      </c>
      <c r="N6" s="68"/>
      <c r="O6" s="68"/>
      <c r="P6" s="68"/>
      <c r="Q6" s="70" t="s">
        <v>60</v>
      </c>
      <c r="R6" s="22" t="s">
        <v>56</v>
      </c>
      <c r="S6" s="4" t="s">
        <v>28</v>
      </c>
      <c r="T6" s="23"/>
    </row>
    <row r="7" spans="1:69" s="20" customFormat="1" x14ac:dyDescent="0.3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AEC-B26F-4722-8EBB-7505EAFE0F39}">
  <dimension ref="A1:BQ24"/>
  <sheetViews>
    <sheetView workbookViewId="0">
      <selection activeCell="E5" sqref="E5:P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2" t="s">
        <v>16</v>
      </c>
      <c r="M3" s="72" t="s">
        <v>17</v>
      </c>
      <c r="N3" s="72" t="s">
        <v>18</v>
      </c>
      <c r="O3" s="72" t="s">
        <v>19</v>
      </c>
      <c r="P3" s="72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:M6" si="0">$F$1-F5</f>
        <v>1</v>
      </c>
      <c r="M5" s="68">
        <f t="shared" si="0"/>
        <v>1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5" customHeight="1" x14ac:dyDescent="0.3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si="0"/>
        <v>2</v>
      </c>
      <c r="M6" s="68">
        <f t="shared" si="0"/>
        <v>2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x14ac:dyDescent="0.3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AE0-25EA-444E-9443-51CE4D078DD3}">
  <dimension ref="A1:BQ24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46259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4" t="s">
        <v>16</v>
      </c>
      <c r="M3" s="74" t="s">
        <v>17</v>
      </c>
      <c r="N3" s="74" t="s">
        <v>18</v>
      </c>
      <c r="O3" s="74" t="s">
        <v>19</v>
      </c>
      <c r="P3" s="74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1">
        <v>1</v>
      </c>
      <c r="B5" s="24" t="s">
        <v>57</v>
      </c>
      <c r="C5" s="1" t="s">
        <v>36</v>
      </c>
      <c r="D5" s="1" t="s">
        <v>58</v>
      </c>
      <c r="E5" s="1">
        <v>2025</v>
      </c>
      <c r="F5" s="5">
        <v>46257</v>
      </c>
      <c r="G5" s="5">
        <v>46257</v>
      </c>
      <c r="H5" s="69"/>
      <c r="I5" s="69"/>
      <c r="J5" s="69"/>
      <c r="K5" s="68"/>
      <c r="L5" s="68">
        <f t="shared" ref="L5:M7" si="0">$F$1-F5</f>
        <v>2</v>
      </c>
      <c r="M5" s="68">
        <f t="shared" si="0"/>
        <v>2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5" customHeight="1" x14ac:dyDescent="0.3">
      <c r="A6" s="71"/>
      <c r="B6" s="4" t="s">
        <v>48</v>
      </c>
      <c r="C6" s="1" t="s">
        <v>55</v>
      </c>
      <c r="D6" s="1" t="s">
        <v>49</v>
      </c>
      <c r="E6" s="1">
        <v>2008</v>
      </c>
      <c r="F6" s="5">
        <v>46256</v>
      </c>
      <c r="G6" s="5">
        <v>46256</v>
      </c>
      <c r="H6" s="69"/>
      <c r="I6" s="69"/>
      <c r="J6" s="69"/>
      <c r="K6" s="68"/>
      <c r="L6" s="68">
        <f t="shared" si="0"/>
        <v>3</v>
      </c>
      <c r="M6" s="68">
        <f t="shared" si="0"/>
        <v>3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x14ac:dyDescent="0.3">
      <c r="A7" s="4">
        <v>2</v>
      </c>
      <c r="B7" s="22" t="s">
        <v>62</v>
      </c>
      <c r="C7" s="68" t="s">
        <v>24</v>
      </c>
      <c r="D7" s="68" t="s">
        <v>25</v>
      </c>
      <c r="E7" s="68">
        <v>2018</v>
      </c>
      <c r="F7" s="69">
        <v>46259</v>
      </c>
      <c r="G7" s="69">
        <v>46259</v>
      </c>
      <c r="H7" s="69"/>
      <c r="I7" s="69"/>
      <c r="J7" s="69"/>
      <c r="K7" s="68">
        <v>1</v>
      </c>
      <c r="L7" s="68">
        <f t="shared" si="0"/>
        <v>0</v>
      </c>
      <c r="M7" s="68">
        <f t="shared" si="0"/>
        <v>0</v>
      </c>
      <c r="N7" s="68"/>
      <c r="O7" s="68"/>
      <c r="P7" s="68"/>
      <c r="Q7" s="70" t="s">
        <v>63</v>
      </c>
      <c r="R7" s="4"/>
      <c r="S7" s="4" t="s">
        <v>29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061D-3B40-49C1-A433-97A5FC65D633}">
  <dimension ref="A1:BQ24"/>
  <sheetViews>
    <sheetView workbookViewId="0">
      <selection activeCell="I39" sqref="I39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4</v>
      </c>
      <c r="M5" s="1">
        <v>4</v>
      </c>
      <c r="N5" s="68"/>
      <c r="O5" s="68"/>
      <c r="P5" s="68"/>
      <c r="Q5" s="21" t="s">
        <v>60</v>
      </c>
      <c r="R5" s="22" t="s">
        <v>57</v>
      </c>
      <c r="S5" s="4" t="s">
        <v>27</v>
      </c>
      <c r="T5" s="23"/>
    </row>
    <row r="6" spans="1:69" s="20" customFormat="1" ht="17.55" customHeight="1" x14ac:dyDescent="0.3">
      <c r="A6" s="4"/>
      <c r="B6" s="4"/>
      <c r="C6" s="1"/>
      <c r="D6" s="1"/>
      <c r="E6" s="1"/>
      <c r="F6" s="5"/>
      <c r="G6" s="5"/>
      <c r="H6" s="69"/>
      <c r="I6" s="69"/>
      <c r="J6" s="69"/>
      <c r="K6" s="68"/>
      <c r="L6" s="68"/>
      <c r="M6" s="68"/>
      <c r="N6" s="68"/>
      <c r="O6" s="68"/>
      <c r="P6" s="68"/>
      <c r="Q6" s="21"/>
      <c r="R6" s="22" t="s">
        <v>62</v>
      </c>
      <c r="S6" s="4" t="s">
        <v>28</v>
      </c>
      <c r="T6" s="23"/>
    </row>
    <row r="7" spans="1:69" s="20" customForma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46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AD9-C0FD-4649-8747-1A798F268896}">
  <dimension ref="A1:BQ24"/>
  <sheetViews>
    <sheetView workbookViewId="0">
      <selection activeCell="B6" sqref="B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0.4414062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7" t="s">
        <v>16</v>
      </c>
      <c r="M3" s="77" t="s">
        <v>17</v>
      </c>
      <c r="N3" s="77" t="s">
        <v>18</v>
      </c>
      <c r="O3" s="77" t="s">
        <v>19</v>
      </c>
      <c r="P3" s="77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5" customHeight="1" x14ac:dyDescent="0.3">
      <c r="A6" s="22">
        <v>1</v>
      </c>
      <c r="B6" s="22" t="s">
        <v>64</v>
      </c>
      <c r="C6" s="68" t="s">
        <v>36</v>
      </c>
      <c r="D6" s="68" t="s">
        <v>65</v>
      </c>
      <c r="E6" s="68">
        <v>2024</v>
      </c>
      <c r="F6" s="69">
        <v>46261</v>
      </c>
      <c r="G6" s="69">
        <v>46261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66</v>
      </c>
      <c r="R6" s="22"/>
      <c r="S6" s="4" t="s">
        <v>28</v>
      </c>
      <c r="T6" s="23"/>
    </row>
    <row r="7" spans="1:69" s="20" customForma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29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64CF-D70F-4848-99EA-BFCE64230BF3}">
  <dimension ref="A1:BQ24"/>
  <sheetViews>
    <sheetView workbookViewId="0">
      <selection activeCell="D6" sqref="D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0.4414062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8" t="s">
        <v>16</v>
      </c>
      <c r="M3" s="78" t="s">
        <v>17</v>
      </c>
      <c r="N3" s="78" t="s">
        <v>18</v>
      </c>
      <c r="O3" s="78" t="s">
        <v>19</v>
      </c>
      <c r="P3" s="78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6</v>
      </c>
      <c r="M5" s="1">
        <v>6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5" customHeight="1" x14ac:dyDescent="0.3">
      <c r="A6" s="22">
        <v>1</v>
      </c>
      <c r="B6" s="22" t="s">
        <v>67</v>
      </c>
      <c r="C6" s="68" t="s">
        <v>68</v>
      </c>
      <c r="D6" s="68" t="s">
        <v>58</v>
      </c>
      <c r="E6" s="68">
        <v>2026</v>
      </c>
      <c r="F6" s="69">
        <v>46262</v>
      </c>
      <c r="G6" s="69">
        <v>46262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69</v>
      </c>
      <c r="R6" s="22"/>
      <c r="S6" s="4" t="s">
        <v>28</v>
      </c>
      <c r="T6" s="23"/>
    </row>
    <row r="7" spans="1:69" s="20" customForma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2143-A68F-4003-99AB-D6FDDB817607}">
  <dimension ref="A1:BQ24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79" t="s">
        <v>16</v>
      </c>
      <c r="M3" s="79" t="s">
        <v>17</v>
      </c>
      <c r="N3" s="79" t="s">
        <v>18</v>
      </c>
      <c r="O3" s="79" t="s">
        <v>19</v>
      </c>
      <c r="P3" s="79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7</v>
      </c>
      <c r="M5" s="1">
        <v>7</v>
      </c>
      <c r="N5" s="1"/>
      <c r="O5" s="68"/>
      <c r="P5" s="68"/>
      <c r="Q5" s="21" t="s">
        <v>60</v>
      </c>
      <c r="R5" s="22" t="s">
        <v>67</v>
      </c>
      <c r="S5" s="4" t="s">
        <v>27</v>
      </c>
      <c r="T5" s="23"/>
    </row>
    <row r="6" spans="1:69" s="20" customFormat="1" ht="17.55" customHeight="1" x14ac:dyDescent="0.3">
      <c r="A6" s="76"/>
      <c r="B6" s="80" t="s">
        <v>50</v>
      </c>
      <c r="C6" s="68" t="s">
        <v>70</v>
      </c>
      <c r="D6" s="68" t="s">
        <v>71</v>
      </c>
      <c r="E6" s="68">
        <v>2022</v>
      </c>
      <c r="F6" s="69">
        <v>46263</v>
      </c>
      <c r="G6" s="69">
        <v>46263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72</v>
      </c>
      <c r="R6" s="22"/>
      <c r="S6" s="4" t="s">
        <v>28</v>
      </c>
      <c r="T6" s="23"/>
    </row>
    <row r="7" spans="1:69" s="20" customFormat="1" x14ac:dyDescent="0.3">
      <c r="A7" s="22">
        <v>1</v>
      </c>
      <c r="B7" s="22" t="s">
        <v>74</v>
      </c>
      <c r="C7" s="68" t="s">
        <v>24</v>
      </c>
      <c r="D7" s="68" t="s">
        <v>65</v>
      </c>
      <c r="E7" s="68">
        <v>2018</v>
      </c>
      <c r="F7" s="69">
        <v>46263</v>
      </c>
      <c r="G7" s="69">
        <v>46263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75</v>
      </c>
      <c r="R7" s="4"/>
      <c r="S7" s="4" t="s">
        <v>46</v>
      </c>
      <c r="T7" s="4"/>
    </row>
    <row r="8" spans="1:69" s="20" customFormat="1" x14ac:dyDescent="0.3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73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25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25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.4" x14ac:dyDescent="0.3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AA88-73B5-407B-B9BC-F97C727F2F3A}">
  <dimension ref="A1:BQ25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1" t="s">
        <v>16</v>
      </c>
      <c r="M3" s="81" t="s">
        <v>17</v>
      </c>
      <c r="N3" s="81" t="s">
        <v>18</v>
      </c>
      <c r="O3" s="81" t="s">
        <v>19</v>
      </c>
      <c r="P3" s="81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8</v>
      </c>
      <c r="M5" s="1">
        <v>8</v>
      </c>
      <c r="N5" s="1"/>
      <c r="O5" s="68"/>
      <c r="P5" s="68"/>
      <c r="Q5" s="21" t="s">
        <v>60</v>
      </c>
      <c r="R5" s="22" t="s">
        <v>73</v>
      </c>
      <c r="S5" s="4" t="s">
        <v>27</v>
      </c>
      <c r="T5" s="23"/>
    </row>
    <row r="6" spans="1:69" s="20" customFormat="1" ht="17.55" customHeight="1" x14ac:dyDescent="0.3">
      <c r="A6" s="22">
        <v>1</v>
      </c>
      <c r="B6" s="80" t="s">
        <v>78</v>
      </c>
      <c r="C6" s="68" t="s">
        <v>79</v>
      </c>
      <c r="D6" s="68" t="s">
        <v>58</v>
      </c>
      <c r="E6" s="68">
        <v>2014</v>
      </c>
      <c r="F6" s="69">
        <v>46264</v>
      </c>
      <c r="G6" s="69">
        <v>46264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80</v>
      </c>
      <c r="R6" s="22" t="s">
        <v>29</v>
      </c>
      <c r="S6" s="4" t="s">
        <v>28</v>
      </c>
      <c r="T6" s="23"/>
    </row>
    <row r="7" spans="1:69" s="20" customFormat="1" ht="17.55" customHeight="1" x14ac:dyDescent="0.3">
      <c r="A7" s="22"/>
      <c r="B7" s="80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76</v>
      </c>
      <c r="T7" s="23"/>
    </row>
    <row r="8" spans="1:69" s="20" customFormat="1" x14ac:dyDescent="0.3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x14ac:dyDescent="0.3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77</v>
      </c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161-1113-4645-B0FC-913DAD60A1F2}">
  <dimension ref="A1:BQ25"/>
  <sheetViews>
    <sheetView workbookViewId="0">
      <selection activeCell="L35" sqref="L3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2" t="s">
        <v>16</v>
      </c>
      <c r="M3" s="82" t="s">
        <v>17</v>
      </c>
      <c r="N3" s="82" t="s">
        <v>18</v>
      </c>
      <c r="O3" s="82" t="s">
        <v>19</v>
      </c>
      <c r="P3" s="82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9</v>
      </c>
      <c r="M5" s="1">
        <v>9</v>
      </c>
      <c r="N5" s="1"/>
      <c r="O5" s="68"/>
      <c r="P5" s="68"/>
      <c r="Q5" s="21" t="s">
        <v>60</v>
      </c>
      <c r="R5" s="22" t="s">
        <v>77</v>
      </c>
      <c r="S5" s="4" t="s">
        <v>27</v>
      </c>
      <c r="T5" s="23"/>
    </row>
    <row r="6" spans="1:69" s="20" customFormat="1" ht="17.55" customHeight="1" x14ac:dyDescent="0.3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1</v>
      </c>
      <c r="M6" s="1">
        <v>1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5" customHeight="1" x14ac:dyDescent="0.3">
      <c r="A7" s="22">
        <v>2</v>
      </c>
      <c r="B7" s="80" t="s">
        <v>81</v>
      </c>
      <c r="C7" s="68" t="s">
        <v>24</v>
      </c>
      <c r="D7" s="68" t="s">
        <v>25</v>
      </c>
      <c r="E7" s="68">
        <v>2022</v>
      </c>
      <c r="F7" s="69">
        <v>46265</v>
      </c>
      <c r="G7" s="69">
        <v>46265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82</v>
      </c>
      <c r="R7" s="22"/>
      <c r="S7" s="4" t="s">
        <v>76</v>
      </c>
      <c r="T7" s="23"/>
    </row>
    <row r="8" spans="1:69" s="20" customFormat="1" x14ac:dyDescent="0.3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x14ac:dyDescent="0.3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44B-576D-4ED9-9D25-9156275AFD13}">
  <dimension ref="A1:BQ25"/>
  <sheetViews>
    <sheetView workbookViewId="0">
      <selection activeCell="Q36" sqref="Q3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4" t="s">
        <v>16</v>
      </c>
      <c r="M3" s="84" t="s">
        <v>17</v>
      </c>
      <c r="N3" s="84" t="s">
        <v>18</v>
      </c>
      <c r="O3" s="84" t="s">
        <v>19</v>
      </c>
      <c r="P3" s="84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85</v>
      </c>
      <c r="S5" s="4" t="s">
        <v>27</v>
      </c>
      <c r="T5" s="23"/>
    </row>
    <row r="6" spans="1:69" s="20" customFormat="1" ht="17.55" customHeight="1" x14ac:dyDescent="0.3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 t="s">
        <v>23</v>
      </c>
      <c r="S6" s="4" t="s">
        <v>28</v>
      </c>
      <c r="T6" s="23"/>
    </row>
    <row r="7" spans="1:69" s="20" customFormat="1" ht="17.55" customHeight="1" x14ac:dyDescent="0.3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x14ac:dyDescent="0.3">
      <c r="A8" s="22">
        <v>3</v>
      </c>
      <c r="B8" s="22" t="s">
        <v>83</v>
      </c>
      <c r="C8" s="68" t="s">
        <v>36</v>
      </c>
      <c r="D8" s="68" t="s">
        <v>25</v>
      </c>
      <c r="E8" s="68">
        <v>2024</v>
      </c>
      <c r="F8" s="69">
        <v>46266</v>
      </c>
      <c r="G8" s="69">
        <v>46266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84</v>
      </c>
      <c r="R8" s="4"/>
      <c r="S8" s="4"/>
      <c r="T8" s="4"/>
    </row>
    <row r="9" spans="1:69" s="20" customFormat="1" x14ac:dyDescent="0.3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>
        <v>3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1F74-8E9B-402F-A5C7-80D54CED9DA4}">
  <dimension ref="A1:BQ25"/>
  <sheetViews>
    <sheetView workbookViewId="0">
      <selection activeCell="N26" sqref="N2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5" t="s">
        <v>16</v>
      </c>
      <c r="M3" s="85" t="s">
        <v>17</v>
      </c>
      <c r="N3" s="85" t="s">
        <v>18</v>
      </c>
      <c r="O3" s="85" t="s">
        <v>19</v>
      </c>
      <c r="P3" s="85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6.4" x14ac:dyDescent="0.3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83</v>
      </c>
      <c r="S5" s="4" t="s">
        <v>27</v>
      </c>
      <c r="T5" s="23"/>
    </row>
    <row r="6" spans="1:69" s="20" customFormat="1" ht="17.55" customHeight="1" x14ac:dyDescent="0.3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5" customHeight="1" x14ac:dyDescent="0.3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x14ac:dyDescent="0.3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4"/>
    </row>
    <row r="9" spans="1:69" s="20" customFormat="1" x14ac:dyDescent="0.3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>
        <v>2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D919-6819-45A4-AB95-ACD0F59B4DEB}">
  <dimension ref="A1:BQ25"/>
  <sheetViews>
    <sheetView workbookViewId="0">
      <selection activeCell="I10" sqref="I10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6" t="s">
        <v>16</v>
      </c>
      <c r="M3" s="86" t="s">
        <v>17</v>
      </c>
      <c r="N3" s="86" t="s">
        <v>18</v>
      </c>
      <c r="O3" s="86" t="s">
        <v>19</v>
      </c>
      <c r="P3" s="86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3</v>
      </c>
      <c r="M5" s="1">
        <v>3</v>
      </c>
      <c r="N5" s="1"/>
      <c r="O5" s="68"/>
      <c r="P5" s="68"/>
      <c r="Q5" s="21" t="s">
        <v>80</v>
      </c>
      <c r="R5" s="22" t="s">
        <v>23</v>
      </c>
      <c r="S5" s="4" t="s">
        <v>27</v>
      </c>
      <c r="T5" s="23"/>
    </row>
    <row r="6" spans="1:69" s="20" customFormat="1" ht="17.55" customHeight="1" x14ac:dyDescent="0.3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5" customHeight="1" x14ac:dyDescent="0.3">
      <c r="A7" s="22">
        <v>3</v>
      </c>
      <c r="B7" s="80" t="s">
        <v>86</v>
      </c>
      <c r="C7" s="68" t="s">
        <v>24</v>
      </c>
      <c r="D7" s="68" t="s">
        <v>25</v>
      </c>
      <c r="E7" s="68">
        <v>2018</v>
      </c>
      <c r="F7" s="69">
        <v>46268</v>
      </c>
      <c r="G7" s="69">
        <v>46268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87</v>
      </c>
      <c r="R7" s="22"/>
      <c r="S7" s="4" t="s">
        <v>76</v>
      </c>
      <c r="T7" s="23"/>
    </row>
    <row r="8" spans="1:69" s="20" customFormat="1" x14ac:dyDescent="0.3">
      <c r="A8" s="22">
        <v>4</v>
      </c>
      <c r="B8" s="22" t="s">
        <v>88</v>
      </c>
      <c r="C8" s="68" t="s">
        <v>36</v>
      </c>
      <c r="D8" s="68" t="s">
        <v>58</v>
      </c>
      <c r="E8" s="68">
        <v>20222</v>
      </c>
      <c r="F8" s="69">
        <v>46268</v>
      </c>
      <c r="G8" s="69">
        <v>46268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89</v>
      </c>
      <c r="R8" s="4"/>
      <c r="S8" s="4"/>
      <c r="T8" s="4"/>
    </row>
    <row r="9" spans="1:69" s="20" customFormat="1" x14ac:dyDescent="0.3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x14ac:dyDescent="0.3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>
        <v>4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FF96-AE94-4D38-9C60-07BA588CFF87}">
  <dimension ref="A1:BQ25"/>
  <sheetViews>
    <sheetView workbookViewId="0">
      <selection activeCell="H28" sqref="H28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46269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87" t="s">
        <v>16</v>
      </c>
      <c r="M3" s="87" t="s">
        <v>17</v>
      </c>
      <c r="N3" s="87" t="s">
        <v>18</v>
      </c>
      <c r="O3" s="87" t="s">
        <v>19</v>
      </c>
      <c r="P3" s="87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4</v>
      </c>
      <c r="M5" s="1">
        <v>4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5" customHeight="1" x14ac:dyDescent="0.3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4</v>
      </c>
      <c r="M6" s="1">
        <v>4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5" customHeight="1" x14ac:dyDescent="0.3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1</v>
      </c>
      <c r="M7" s="56">
        <v>1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x14ac:dyDescent="0.3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1</v>
      </c>
      <c r="M8" s="56">
        <v>1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x14ac:dyDescent="0.3">
      <c r="A9" s="22">
        <v>5</v>
      </c>
      <c r="B9" s="73" t="s">
        <v>90</v>
      </c>
      <c r="C9" s="68" t="s">
        <v>91</v>
      </c>
      <c r="D9" s="68" t="s">
        <v>92</v>
      </c>
      <c r="E9" s="68">
        <v>2026</v>
      </c>
      <c r="F9" s="69">
        <v>46269</v>
      </c>
      <c r="G9" s="69">
        <v>46269</v>
      </c>
      <c r="H9" s="69"/>
      <c r="I9" s="69"/>
      <c r="J9" s="69"/>
      <c r="K9" s="68"/>
      <c r="L9" s="68">
        <v>0</v>
      </c>
      <c r="M9" s="68">
        <v>0</v>
      </c>
      <c r="N9" s="68"/>
      <c r="O9" s="68"/>
      <c r="P9" s="68"/>
      <c r="Q9" s="70" t="s">
        <v>93</v>
      </c>
      <c r="R9" s="4"/>
      <c r="S9" s="4"/>
      <c r="T9" s="23"/>
    </row>
    <row r="10" spans="1:69" s="20" customFormat="1" x14ac:dyDescent="0.3">
      <c r="A10" s="22"/>
      <c r="B10" s="73"/>
      <c r="C10" s="68"/>
      <c r="D10" s="68"/>
      <c r="E10" s="68"/>
      <c r="F10" s="69"/>
      <c r="G10" s="69"/>
      <c r="H10" s="69"/>
      <c r="I10" s="69"/>
      <c r="J10" s="69"/>
      <c r="K10" s="68"/>
      <c r="L10" s="68"/>
      <c r="M10" s="68"/>
      <c r="N10" s="68"/>
      <c r="O10" s="68"/>
      <c r="P10" s="68"/>
      <c r="Q10" s="70"/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>
        <v>5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FD11-C029-44E3-A447-5F56FDDCF5A3}">
  <dimension ref="A1:BQ25"/>
  <sheetViews>
    <sheetView topLeftCell="B1" workbookViewId="0">
      <selection activeCell="B8" sqref="B8:Q8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1" t="s">
        <v>16</v>
      </c>
      <c r="M3" s="91" t="s">
        <v>17</v>
      </c>
      <c r="N3" s="91" t="s">
        <v>18</v>
      </c>
      <c r="O3" s="91" t="s">
        <v>19</v>
      </c>
      <c r="P3" s="91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5" customHeight="1" x14ac:dyDescent="0.3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5</v>
      </c>
      <c r="M6" s="1">
        <v>5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5" customHeight="1" x14ac:dyDescent="0.3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2</v>
      </c>
      <c r="M7" s="56">
        <v>2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x14ac:dyDescent="0.3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2</v>
      </c>
      <c r="M8" s="56">
        <v>2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x14ac:dyDescent="0.3">
      <c r="A9" s="4">
        <v>5</v>
      </c>
      <c r="B9" s="24" t="s">
        <v>90</v>
      </c>
      <c r="C9" s="1" t="s">
        <v>91</v>
      </c>
      <c r="D9" s="1" t="s">
        <v>92</v>
      </c>
      <c r="E9" s="1">
        <v>2026</v>
      </c>
      <c r="F9" s="5">
        <v>46269</v>
      </c>
      <c r="G9" s="5">
        <v>46269</v>
      </c>
      <c r="H9" s="5"/>
      <c r="I9" s="5"/>
      <c r="J9" s="5"/>
      <c r="K9" s="1"/>
      <c r="L9" s="1">
        <v>1</v>
      </c>
      <c r="M9" s="1">
        <v>1</v>
      </c>
      <c r="N9" s="1"/>
      <c r="O9" s="1"/>
      <c r="P9" s="1"/>
      <c r="Q9" s="21" t="s">
        <v>93</v>
      </c>
      <c r="R9" s="4"/>
      <c r="S9" s="4"/>
      <c r="T9" s="23"/>
    </row>
    <row r="10" spans="1:69" s="20" customFormat="1" x14ac:dyDescent="0.3">
      <c r="A10" s="22">
        <v>6</v>
      </c>
      <c r="B10" s="73" t="s">
        <v>94</v>
      </c>
      <c r="C10" s="68" t="s">
        <v>36</v>
      </c>
      <c r="D10" s="68" t="s">
        <v>25</v>
      </c>
      <c r="E10" s="68">
        <v>2024</v>
      </c>
      <c r="F10" s="69">
        <v>46270</v>
      </c>
      <c r="G10" s="69">
        <v>46270</v>
      </c>
      <c r="H10" s="69"/>
      <c r="I10" s="69"/>
      <c r="J10" s="69"/>
      <c r="K10" s="68"/>
      <c r="L10" s="68">
        <v>0</v>
      </c>
      <c r="M10" s="68">
        <v>0</v>
      </c>
      <c r="N10" s="68"/>
      <c r="O10" s="68"/>
      <c r="P10" s="68"/>
      <c r="Q10" s="70" t="s">
        <v>26</v>
      </c>
      <c r="R10" s="4"/>
      <c r="S10" s="4"/>
      <c r="T10" s="23"/>
    </row>
    <row r="11" spans="1:69" s="20" customFormat="1" x14ac:dyDescent="0.3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x14ac:dyDescent="0.3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x14ac:dyDescent="0.3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25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25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.4" x14ac:dyDescent="0.3">
      <c r="A18" s="46"/>
      <c r="B18" s="47" t="s">
        <v>39</v>
      </c>
      <c r="C18" s="47">
        <v>6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x14ac:dyDescent="0.3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x14ac:dyDescent="0.3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x14ac:dyDescent="0.3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CF03-95F6-41DF-A4DC-B5396C5C803F}">
  <dimension ref="A1:BQ23"/>
  <sheetViews>
    <sheetView workbookViewId="0">
      <selection activeCell="B5" sqref="B5:Q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2" t="s">
        <v>16</v>
      </c>
      <c r="M3" s="92" t="s">
        <v>17</v>
      </c>
      <c r="N3" s="92" t="s">
        <v>18</v>
      </c>
      <c r="O3" s="92" t="s">
        <v>19</v>
      </c>
      <c r="P3" s="92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" si="0">$F$1-F5</f>
        <v>1</v>
      </c>
      <c r="M5" s="68">
        <f t="shared" ref="M5" si="1">$F$1-G5</f>
        <v>1</v>
      </c>
      <c r="N5" s="1"/>
      <c r="O5" s="1"/>
      <c r="P5" s="1"/>
      <c r="Q5" s="21" t="s">
        <v>26</v>
      </c>
      <c r="R5" s="73" t="s">
        <v>90</v>
      </c>
      <c r="S5" s="22" t="s">
        <v>76</v>
      </c>
      <c r="T5" s="23"/>
    </row>
    <row r="6" spans="1:69" s="20" customFormat="1" ht="17.55" customHeight="1" x14ac:dyDescent="0.3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" si="2">$F$1-F6</f>
        <v>3</v>
      </c>
      <c r="M6" s="68">
        <f t="shared" ref="M6" si="3">$F$1-G6</f>
        <v>3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x14ac:dyDescent="0.3">
      <c r="A7" s="4"/>
      <c r="B7" s="24"/>
      <c r="C7" s="1"/>
      <c r="D7" s="1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44F7-1540-4514-896C-1DBA58EC1D24}">
  <dimension ref="A1:BQ23"/>
  <sheetViews>
    <sheetView topLeftCell="B1" workbookViewId="0">
      <selection activeCell="F5" sqref="F5:P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3" t="s">
        <v>16</v>
      </c>
      <c r="M3" s="93" t="s">
        <v>17</v>
      </c>
      <c r="N3" s="93" t="s">
        <v>18</v>
      </c>
      <c r="O3" s="93" t="s">
        <v>19</v>
      </c>
      <c r="P3" s="93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5" si="0">$F$1-F5</f>
        <v>2</v>
      </c>
      <c r="M5" s="68">
        <f t="shared" si="0"/>
        <v>2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5" customHeight="1" x14ac:dyDescent="0.3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:M6" si="1">$F$1-F6</f>
        <v>4</v>
      </c>
      <c r="M6" s="68">
        <f t="shared" si="1"/>
        <v>4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3C35-D249-4A4D-8565-4A7197745ED5}">
  <dimension ref="A1:BQ23"/>
  <sheetViews>
    <sheetView workbookViewId="0">
      <selection activeCell="F6" sqref="F6:P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7" t="s">
        <v>16</v>
      </c>
      <c r="M3" s="97" t="s">
        <v>17</v>
      </c>
      <c r="N3" s="97" t="s">
        <v>18</v>
      </c>
      <c r="O3" s="97" t="s">
        <v>19</v>
      </c>
      <c r="P3" s="97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6" si="0">$F$1-F5</f>
        <v>3</v>
      </c>
      <c r="M5" s="68">
        <f t="shared" si="0"/>
        <v>3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5" customHeight="1" x14ac:dyDescent="0.3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si="0"/>
        <v>5</v>
      </c>
      <c r="M6" s="68">
        <f t="shared" si="0"/>
        <v>5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9E18-5FB4-479C-8453-D925FAEA32E7}">
  <dimension ref="A1:BQ23"/>
  <sheetViews>
    <sheetView workbookViewId="0">
      <selection activeCell="F5" sqref="F5:P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8" t="s">
        <v>16</v>
      </c>
      <c r="M3" s="98" t="s">
        <v>17</v>
      </c>
      <c r="N3" s="98" t="s">
        <v>18</v>
      </c>
      <c r="O3" s="98" t="s">
        <v>19</v>
      </c>
      <c r="P3" s="98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69">
        <v>46268</v>
      </c>
      <c r="G5" s="69">
        <v>46268</v>
      </c>
      <c r="H5" s="69"/>
      <c r="I5" s="69"/>
      <c r="J5" s="69"/>
      <c r="K5" s="68"/>
      <c r="L5" s="68">
        <f t="shared" ref="L5:M5" si="0">$F$1-F5</f>
        <v>6</v>
      </c>
      <c r="M5" s="68">
        <f t="shared" si="0"/>
        <v>6</v>
      </c>
      <c r="N5" s="56"/>
      <c r="O5" s="56"/>
      <c r="P5" s="56"/>
      <c r="Q5" s="90" t="s">
        <v>87</v>
      </c>
      <c r="R5" s="22" t="s">
        <v>94</v>
      </c>
      <c r="S5" s="4" t="s">
        <v>73</v>
      </c>
      <c r="T5" s="23"/>
    </row>
    <row r="6" spans="1:69" s="20" customFormat="1" ht="17.55" customHeight="1" x14ac:dyDescent="0.3">
      <c r="A6" s="36"/>
      <c r="B6" s="88"/>
      <c r="C6" s="56"/>
      <c r="D6" s="56"/>
      <c r="E6" s="56"/>
      <c r="F6" s="89"/>
      <c r="G6" s="89"/>
      <c r="H6" s="89"/>
      <c r="I6" s="89"/>
      <c r="J6" s="89"/>
      <c r="K6" s="56"/>
      <c r="L6" s="56"/>
      <c r="M6" s="56"/>
      <c r="N6" s="56"/>
      <c r="O6" s="56"/>
      <c r="P6" s="56"/>
      <c r="Q6" s="90"/>
      <c r="R6" s="22"/>
      <c r="S6" s="4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2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3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>
        <v>4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42A-E227-4222-8DDF-3EB1C1C3DF11}">
  <dimension ref="A1:BQ23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99" t="s">
        <v>16</v>
      </c>
      <c r="M3" s="99" t="s">
        <v>17</v>
      </c>
      <c r="N3" s="99" t="s">
        <v>18</v>
      </c>
      <c r="O3" s="99" t="s">
        <v>19</v>
      </c>
      <c r="P3" s="99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 t="s">
        <v>81</v>
      </c>
      <c r="S5" s="4" t="s">
        <v>73</v>
      </c>
      <c r="T5" s="23"/>
    </row>
    <row r="6" spans="1:69" s="20" customFormat="1" ht="17.55" customHeight="1" x14ac:dyDescent="0.3">
      <c r="A6" s="36">
        <v>2</v>
      </c>
      <c r="B6" s="80" t="s">
        <v>98</v>
      </c>
      <c r="C6" s="68" t="s">
        <v>24</v>
      </c>
      <c r="D6" s="68" t="s">
        <v>25</v>
      </c>
      <c r="E6" s="68">
        <v>2016</v>
      </c>
      <c r="F6" s="69">
        <v>46275</v>
      </c>
      <c r="G6" s="69">
        <v>46275</v>
      </c>
      <c r="H6" s="69"/>
      <c r="I6" s="69"/>
      <c r="J6" s="69"/>
      <c r="K6" s="68"/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99</v>
      </c>
      <c r="R6" s="22"/>
      <c r="S6" s="4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L14" si="1">$F$1-F13</f>
        <v>7</v>
      </c>
      <c r="M13" s="1">
        <f t="shared" ref="M13:M14" si="2">$F$1-G13</f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2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A101-F1CF-439E-BEF4-1E0C8C8631D6}">
  <dimension ref="A1:BQ23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100" t="s">
        <v>16</v>
      </c>
      <c r="M3" s="100" t="s">
        <v>17</v>
      </c>
      <c r="N3" s="100" t="s">
        <v>18</v>
      </c>
      <c r="O3" s="100" t="s">
        <v>19</v>
      </c>
      <c r="P3" s="100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5" customHeight="1" x14ac:dyDescent="0.3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99</v>
      </c>
      <c r="R6" s="22"/>
      <c r="S6" s="4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7</v>
      </c>
      <c r="M13" s="1">
        <f t="shared" si="1"/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1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5C00-CF23-4127-9331-B500465515C8}">
  <dimension ref="A1:BQ23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101" t="s">
        <v>16</v>
      </c>
      <c r="M3" s="101" t="s">
        <v>17</v>
      </c>
      <c r="N3" s="101" t="s">
        <v>18</v>
      </c>
      <c r="O3" s="101" t="s">
        <v>19</v>
      </c>
      <c r="P3" s="101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5" customHeight="1" x14ac:dyDescent="0.3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99</v>
      </c>
      <c r="R6" s="22"/>
      <c r="S6" s="80"/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9</v>
      </c>
      <c r="M13" s="1">
        <f t="shared" si="1"/>
        <v>9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13</v>
      </c>
      <c r="M14" s="1">
        <f t="shared" si="1"/>
        <v>13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8C45-15F5-40DB-B8F8-0433F00CE5D8}">
  <dimension ref="A1:BQ23"/>
  <sheetViews>
    <sheetView topLeftCell="B1" workbookViewId="0">
      <selection activeCell="B1"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102" t="s">
        <v>16</v>
      </c>
      <c r="M3" s="102" t="s">
        <v>17</v>
      </c>
      <c r="N3" s="102" t="s">
        <v>18</v>
      </c>
      <c r="O3" s="102" t="s">
        <v>19</v>
      </c>
      <c r="P3" s="102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90" t="s">
        <v>87</v>
      </c>
      <c r="R5" s="22" t="s">
        <v>88</v>
      </c>
      <c r="S5" s="4" t="s">
        <v>73</v>
      </c>
      <c r="T5" s="23"/>
    </row>
    <row r="6" spans="1:69" s="20" customFormat="1" ht="17.55" customHeight="1" x14ac:dyDescent="0.3">
      <c r="A6" s="36">
        <v>2</v>
      </c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" si="1">$F$1-F13</f>
        <v>14</v>
      </c>
      <c r="M13" s="1">
        <f t="shared" ref="M13" si="2">$F$1-G13</f>
        <v>14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>
        <v>4</v>
      </c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0A40-40F8-43CF-B2C9-0F7A9D0F5EEA}">
  <dimension ref="A1:BQ23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46279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103" t="s">
        <v>16</v>
      </c>
      <c r="M3" s="103" t="s">
        <v>17</v>
      </c>
      <c r="N3" s="103" t="s">
        <v>18</v>
      </c>
      <c r="O3" s="103" t="s">
        <v>19</v>
      </c>
      <c r="P3" s="103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11</v>
      </c>
      <c r="M5" s="1">
        <f t="shared" si="0"/>
        <v>11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5" customHeight="1" x14ac:dyDescent="0.3">
      <c r="A6" s="36"/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2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15</v>
      </c>
      <c r="M13" s="1">
        <f t="shared" si="1"/>
        <v>15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2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3B4-614C-434C-8605-258C01440038}">
  <dimension ref="A1:BQ23"/>
  <sheetViews>
    <sheetView workbookViewId="0">
      <selection activeCell="B5" sqref="B5:Q5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5.21875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5.44140625" style="61" customWidth="1"/>
    <col min="12" max="13" width="5.33203125" style="57" customWidth="1"/>
    <col min="14" max="16" width="4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199999999999999" x14ac:dyDescent="0.3">
      <c r="A2" s="150" t="s">
        <v>0</v>
      </c>
      <c r="B2" s="162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20.399999999999999" x14ac:dyDescent="0.3">
      <c r="A3" s="151"/>
      <c r="B3" s="163"/>
      <c r="C3" s="151"/>
      <c r="D3" s="151"/>
      <c r="E3" s="151"/>
      <c r="F3" s="154"/>
      <c r="G3" s="154"/>
      <c r="H3" s="154"/>
      <c r="I3" s="154"/>
      <c r="J3" s="156"/>
      <c r="K3" s="158"/>
      <c r="L3" s="104" t="s">
        <v>16</v>
      </c>
      <c r="M3" s="104" t="s">
        <v>17</v>
      </c>
      <c r="N3" s="104" t="s">
        <v>18</v>
      </c>
      <c r="O3" s="104" t="s">
        <v>19</v>
      </c>
      <c r="P3" s="104" t="s">
        <v>20</v>
      </c>
      <c r="Q3" s="151"/>
      <c r="R3" s="152"/>
      <c r="S3" s="152"/>
      <c r="T3" s="151"/>
    </row>
    <row r="4" spans="1:69" s="20" customForma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x14ac:dyDescent="0.3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12</v>
      </c>
      <c r="M5" s="1">
        <f t="shared" si="0"/>
        <v>12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5" customHeight="1" x14ac:dyDescent="0.3">
      <c r="A6" s="36">
        <v>2</v>
      </c>
      <c r="B6" s="22" t="s">
        <v>102</v>
      </c>
      <c r="C6" s="68" t="s">
        <v>36</v>
      </c>
      <c r="D6" s="68" t="s">
        <v>58</v>
      </c>
      <c r="E6" s="68">
        <v>2022</v>
      </c>
      <c r="F6" s="69">
        <v>46280</v>
      </c>
      <c r="G6" s="69">
        <v>46280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101</v>
      </c>
      <c r="R6" s="22"/>
      <c r="S6" s="83" t="s">
        <v>98</v>
      </c>
      <c r="T6" s="23"/>
    </row>
    <row r="7" spans="1:69" s="20" customFormat="1" x14ac:dyDescent="0.3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100</v>
      </c>
      <c r="T7" s="23"/>
    </row>
    <row r="8" spans="1:69" s="20" customFormat="1" x14ac:dyDescent="0.3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x14ac:dyDescent="0.3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25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>
        <v>46267</v>
      </c>
      <c r="I13" s="5"/>
      <c r="J13" s="5"/>
      <c r="K13" s="1"/>
      <c r="L13" s="1">
        <f t="shared" ref="L13:M13" si="3">$F$1-F13</f>
        <v>16</v>
      </c>
      <c r="M13" s="1">
        <f t="shared" si="3"/>
        <v>16</v>
      </c>
      <c r="N13" s="1">
        <f t="shared" ref="N13" si="4">$F$1-H13</f>
        <v>13</v>
      </c>
      <c r="O13" s="1"/>
      <c r="P13" s="1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25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25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.4" x14ac:dyDescent="0.3">
      <c r="A16" s="46"/>
      <c r="B16" s="47" t="s">
        <v>39</v>
      </c>
      <c r="C16" s="47">
        <v>3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x14ac:dyDescent="0.3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3734-4E2B-4893-B5B3-10F06AFA7006}">
  <dimension ref="A1:BQ20"/>
  <sheetViews>
    <sheetView workbookViewId="0">
      <selection activeCell="O42" sqref="O42"/>
    </sheetView>
  </sheetViews>
  <sheetFormatPr defaultColWidth="9.109375" defaultRowHeight="13.2" x14ac:dyDescent="0.3"/>
  <cols>
    <col min="1" max="1" width="3.33203125" style="57" customWidth="1"/>
    <col min="2" max="2" width="11.2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05" t="s">
        <v>16</v>
      </c>
      <c r="M3" s="105" t="s">
        <v>17</v>
      </c>
      <c r="N3" s="105" t="s">
        <v>18</v>
      </c>
      <c r="O3" s="105" t="s">
        <v>19</v>
      </c>
      <c r="P3" s="105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13</v>
      </c>
      <c r="M5" s="1">
        <f t="shared" si="0"/>
        <v>13</v>
      </c>
      <c r="N5" s="1"/>
      <c r="O5" s="1"/>
      <c r="P5" s="1"/>
      <c r="Q5" s="90" t="s">
        <v>108</v>
      </c>
      <c r="R5" s="22"/>
      <c r="S5" s="4"/>
      <c r="T5" s="106"/>
    </row>
    <row r="6" spans="1:69" s="20" customFormat="1" ht="15" customHeight="1" x14ac:dyDescent="0.3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">
      <c r="A8" s="4">
        <v>4</v>
      </c>
      <c r="B8" s="4" t="s">
        <v>110</v>
      </c>
      <c r="C8" s="56" t="s">
        <v>24</v>
      </c>
      <c r="D8" s="56" t="s">
        <v>25</v>
      </c>
      <c r="E8" s="56">
        <v>2022</v>
      </c>
      <c r="F8" s="5">
        <v>46281</v>
      </c>
      <c r="G8" s="5">
        <v>46281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111</v>
      </c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17</v>
      </c>
      <c r="M12" s="1">
        <f t="shared" si="1"/>
        <v>17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D09A-1EF3-41C6-9FDF-B6C91635B424}">
  <dimension ref="A1:BQ20"/>
  <sheetViews>
    <sheetView workbookViewId="0">
      <selection activeCell="P41" sqref="P41"/>
    </sheetView>
  </sheetViews>
  <sheetFormatPr defaultColWidth="9.109375" defaultRowHeight="13.2" x14ac:dyDescent="0.3"/>
  <cols>
    <col min="1" max="1" width="3.33203125" style="57" customWidth="1"/>
    <col min="2" max="2" width="11.2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6.332031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07" t="s">
        <v>16</v>
      </c>
      <c r="M3" s="107" t="s">
        <v>17</v>
      </c>
      <c r="N3" s="107" t="s">
        <v>18</v>
      </c>
      <c r="O3" s="107" t="s">
        <v>19</v>
      </c>
      <c r="P3" s="107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14</v>
      </c>
      <c r="M5" s="1">
        <f t="shared" si="0"/>
        <v>14</v>
      </c>
      <c r="N5" s="1"/>
      <c r="O5" s="1"/>
      <c r="P5" s="1"/>
      <c r="Q5" s="90" t="s">
        <v>108</v>
      </c>
      <c r="R5" s="4" t="s">
        <v>110</v>
      </c>
      <c r="S5" s="4"/>
      <c r="T5" s="106"/>
    </row>
    <row r="6" spans="1:69" s="20" customFormat="1" ht="15" customHeight="1" x14ac:dyDescent="0.3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1</v>
      </c>
      <c r="M7" s="1">
        <f t="shared" si="0"/>
        <v>1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">
      <c r="A8" s="4">
        <v>4</v>
      </c>
      <c r="B8" s="4" t="s">
        <v>112</v>
      </c>
      <c r="C8" s="56" t="s">
        <v>24</v>
      </c>
      <c r="D8" s="56" t="s">
        <v>25</v>
      </c>
      <c r="E8" s="56">
        <v>2022</v>
      </c>
      <c r="F8" s="5">
        <v>46282</v>
      </c>
      <c r="G8" s="5">
        <v>46282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113</v>
      </c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18</v>
      </c>
      <c r="M12" s="1">
        <f t="shared" si="1"/>
        <v>18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4A31-04FC-4295-A3A1-C322D40FCD69}">
  <dimension ref="A1:BQ21"/>
  <sheetViews>
    <sheetView workbookViewId="0">
      <selection activeCell="Q41" sqref="Q41"/>
    </sheetView>
  </sheetViews>
  <sheetFormatPr defaultColWidth="9.109375" defaultRowHeight="13.2" x14ac:dyDescent="0.3"/>
  <cols>
    <col min="1" max="1" width="3.33203125" style="57" customWidth="1"/>
    <col min="2" max="2" width="11.2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08" t="s">
        <v>16</v>
      </c>
      <c r="M3" s="108" t="s">
        <v>17</v>
      </c>
      <c r="N3" s="108" t="s">
        <v>18</v>
      </c>
      <c r="O3" s="108" t="s">
        <v>19</v>
      </c>
      <c r="P3" s="108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15</v>
      </c>
      <c r="M5" s="1">
        <f t="shared" si="0"/>
        <v>15</v>
      </c>
      <c r="N5" s="1"/>
      <c r="O5" s="1"/>
      <c r="P5" s="1"/>
      <c r="Q5" s="90" t="s">
        <v>118</v>
      </c>
      <c r="R5" s="4"/>
      <c r="S5" s="4"/>
      <c r="T5" s="106"/>
    </row>
    <row r="6" spans="1:69" s="20" customFormat="1" ht="15" customHeight="1" x14ac:dyDescent="0.3">
      <c r="A6" s="4">
        <v>2</v>
      </c>
      <c r="B6" s="4" t="s">
        <v>104</v>
      </c>
      <c r="C6" s="1" t="s">
        <v>36</v>
      </c>
      <c r="D6" s="1" t="s">
        <v>37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3</v>
      </c>
      <c r="M6" s="1">
        <f t="shared" si="0"/>
        <v>3</v>
      </c>
      <c r="N6" s="1"/>
      <c r="O6" s="1"/>
      <c r="P6" s="1"/>
      <c r="Q6" s="21" t="s">
        <v>116</v>
      </c>
      <c r="R6" s="4"/>
      <c r="S6" s="83"/>
      <c r="T6" s="106"/>
    </row>
    <row r="7" spans="1:69" s="20" customFormat="1" ht="15" customHeight="1" x14ac:dyDescent="0.3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2</v>
      </c>
      <c r="M7" s="1">
        <f t="shared" si="0"/>
        <v>2</v>
      </c>
      <c r="N7" s="1"/>
      <c r="O7" s="1"/>
      <c r="P7" s="1"/>
      <c r="Q7" s="21" t="s">
        <v>117</v>
      </c>
      <c r="R7" s="4"/>
      <c r="S7" s="4"/>
      <c r="T7" s="106"/>
    </row>
    <row r="8" spans="1:69" s="20" customFormat="1" ht="15" customHeight="1" x14ac:dyDescent="0.3">
      <c r="A8" s="4">
        <v>4</v>
      </c>
      <c r="B8" s="4" t="s">
        <v>114</v>
      </c>
      <c r="C8" s="1" t="s">
        <v>36</v>
      </c>
      <c r="D8" s="1" t="s">
        <v>37</v>
      </c>
      <c r="E8" s="56">
        <v>2022</v>
      </c>
      <c r="F8" s="5">
        <v>46283</v>
      </c>
      <c r="G8" s="5">
        <v>46283</v>
      </c>
      <c r="H8" s="5"/>
      <c r="I8" s="5"/>
      <c r="J8" s="5"/>
      <c r="K8" s="1">
        <v>1</v>
      </c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115</v>
      </c>
      <c r="R8" s="4"/>
      <c r="S8" s="4"/>
      <c r="T8" s="106" t="s">
        <v>119</v>
      </c>
    </row>
    <row r="9" spans="1:69" s="20" customFormat="1" ht="15" customHeight="1" x14ac:dyDescent="0.3">
      <c r="A9" s="4">
        <v>5</v>
      </c>
      <c r="B9" s="4" t="s">
        <v>112</v>
      </c>
      <c r="C9" s="56" t="s">
        <v>24</v>
      </c>
      <c r="D9" s="56" t="s">
        <v>25</v>
      </c>
      <c r="E9" s="56">
        <v>2022</v>
      </c>
      <c r="F9" s="5">
        <v>46282</v>
      </c>
      <c r="G9" s="5">
        <v>46282</v>
      </c>
      <c r="H9" s="5"/>
      <c r="I9" s="5"/>
      <c r="J9" s="5"/>
      <c r="K9" s="1"/>
      <c r="L9" s="1">
        <f t="shared" si="0"/>
        <v>1</v>
      </c>
      <c r="M9" s="1">
        <f t="shared" si="0"/>
        <v>1</v>
      </c>
      <c r="N9" s="1"/>
      <c r="O9" s="1"/>
      <c r="P9" s="1"/>
      <c r="Q9" s="21" t="s">
        <v>120</v>
      </c>
      <c r="R9" s="4"/>
      <c r="S9" s="4"/>
      <c r="T9" s="106"/>
    </row>
    <row r="10" spans="1:69" s="32" customFormat="1" ht="15" customHeigh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19</v>
      </c>
      <c r="M13" s="1">
        <f t="shared" si="1"/>
        <v>19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25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8" customHeight="1" x14ac:dyDescent="0.3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3887-EDA7-4C07-964E-A209D62E8459}">
  <dimension ref="A1:BQ21"/>
  <sheetViews>
    <sheetView workbookViewId="0">
      <selection activeCell="B7" sqref="B7:Q7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09" t="s">
        <v>16</v>
      </c>
      <c r="M3" s="109" t="s">
        <v>17</v>
      </c>
      <c r="N3" s="109" t="s">
        <v>18</v>
      </c>
      <c r="O3" s="109" t="s">
        <v>19</v>
      </c>
      <c r="P3" s="109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16</v>
      </c>
      <c r="M5" s="1">
        <f t="shared" si="0"/>
        <v>16</v>
      </c>
      <c r="N5" s="1"/>
      <c r="O5" s="1"/>
      <c r="P5" s="1"/>
      <c r="Q5" s="90" t="s">
        <v>118</v>
      </c>
      <c r="R5" s="4" t="s">
        <v>114</v>
      </c>
      <c r="S5" s="4"/>
      <c r="T5" s="106"/>
    </row>
    <row r="6" spans="1:69" s="20" customFormat="1" ht="15" customHeight="1" x14ac:dyDescent="0.3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ref="L6:L7" si="1">$F$1-F6</f>
        <v>3</v>
      </c>
      <c r="M6" s="1">
        <f t="shared" ref="M6:M7" si="2">$F$1-G6</f>
        <v>3</v>
      </c>
      <c r="N6" s="1"/>
      <c r="O6" s="1"/>
      <c r="P6" s="1"/>
      <c r="Q6" s="21" t="s">
        <v>117</v>
      </c>
      <c r="R6" s="4"/>
      <c r="S6" s="4"/>
      <c r="T6" s="106"/>
    </row>
    <row r="7" spans="1:69" s="20" customFormat="1" ht="15" customHeight="1" x14ac:dyDescent="0.3">
      <c r="A7" s="4">
        <v>3</v>
      </c>
      <c r="B7" s="4" t="s">
        <v>112</v>
      </c>
      <c r="C7" s="56" t="s">
        <v>24</v>
      </c>
      <c r="D7" s="56" t="s">
        <v>25</v>
      </c>
      <c r="E7" s="56">
        <v>2022</v>
      </c>
      <c r="F7" s="5">
        <v>46282</v>
      </c>
      <c r="G7" s="5">
        <v>46282</v>
      </c>
      <c r="H7" s="5"/>
      <c r="I7" s="5"/>
      <c r="J7" s="5"/>
      <c r="K7" s="1"/>
      <c r="L7" s="1">
        <f t="shared" si="1"/>
        <v>2</v>
      </c>
      <c r="M7" s="1">
        <f t="shared" si="2"/>
        <v>2</v>
      </c>
      <c r="N7" s="1"/>
      <c r="O7" s="1"/>
      <c r="P7" s="1"/>
      <c r="Q7" s="21" t="s">
        <v>121</v>
      </c>
      <c r="R7" s="4"/>
      <c r="S7" s="4"/>
      <c r="T7" s="106"/>
    </row>
    <row r="8" spans="1:69" s="20" customFormat="1" ht="15" customHeight="1" x14ac:dyDescent="0.3">
      <c r="A8" s="4">
        <v>4</v>
      </c>
      <c r="B8" s="4" t="s">
        <v>104</v>
      </c>
      <c r="C8" s="1" t="s">
        <v>36</v>
      </c>
      <c r="D8" s="1" t="s">
        <v>37</v>
      </c>
      <c r="E8" s="1">
        <v>2022</v>
      </c>
      <c r="F8" s="5">
        <v>46280</v>
      </c>
      <c r="G8" s="5">
        <v>46280</v>
      </c>
      <c r="H8" s="5"/>
      <c r="I8" s="5"/>
      <c r="J8" s="5"/>
      <c r="K8" s="1"/>
      <c r="L8" s="1">
        <f t="shared" si="0"/>
        <v>4</v>
      </c>
      <c r="M8" s="1">
        <f t="shared" si="0"/>
        <v>4</v>
      </c>
      <c r="N8" s="1"/>
      <c r="O8" s="1"/>
      <c r="P8" s="1"/>
      <c r="Q8" s="21" t="s">
        <v>116</v>
      </c>
      <c r="R8" s="4"/>
      <c r="S8" s="83"/>
      <c r="T8" s="106"/>
    </row>
    <row r="9" spans="1:69" s="20" customFormat="1" ht="15" customHeight="1" x14ac:dyDescent="0.3">
      <c r="A9" s="4">
        <v>5</v>
      </c>
      <c r="B9" s="110" t="s">
        <v>123</v>
      </c>
      <c r="C9" s="1" t="s">
        <v>122</v>
      </c>
      <c r="D9" s="1" t="s">
        <v>37</v>
      </c>
      <c r="E9" s="1">
        <v>2026</v>
      </c>
      <c r="F9" s="5">
        <v>46284</v>
      </c>
      <c r="G9" s="5">
        <v>46284</v>
      </c>
      <c r="H9" s="5"/>
      <c r="I9" s="5"/>
      <c r="J9" s="5"/>
      <c r="K9" s="1"/>
      <c r="L9" s="1">
        <f t="shared" si="0"/>
        <v>0</v>
      </c>
      <c r="M9" s="1">
        <f t="shared" si="0"/>
        <v>0</v>
      </c>
      <c r="N9" s="1"/>
      <c r="O9" s="1"/>
      <c r="P9" s="1"/>
      <c r="Q9" s="21" t="s">
        <v>124</v>
      </c>
      <c r="R9" s="4"/>
      <c r="S9" s="83"/>
      <c r="T9" s="106"/>
    </row>
    <row r="10" spans="1:69" s="32" customFormat="1" ht="15" customHeigh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3">$F$1-F13</f>
        <v>20</v>
      </c>
      <c r="M13" s="1">
        <f t="shared" si="3"/>
        <v>20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25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8" customHeight="1" x14ac:dyDescent="0.3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C253-91DB-48F3-B109-7994E4128A08}">
  <dimension ref="A1:BQ21"/>
  <sheetViews>
    <sheetView workbookViewId="0">
      <selection activeCell="P39" sqref="P39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1" t="s">
        <v>16</v>
      </c>
      <c r="M3" s="111" t="s">
        <v>17</v>
      </c>
      <c r="N3" s="111" t="s">
        <v>18</v>
      </c>
      <c r="O3" s="111" t="s">
        <v>19</v>
      </c>
      <c r="P3" s="111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90" t="s">
        <v>118</v>
      </c>
      <c r="R5" s="110" t="s">
        <v>123</v>
      </c>
      <c r="S5" s="4"/>
      <c r="T5" s="106"/>
    </row>
    <row r="6" spans="1:69" s="20" customFormat="1" ht="15" customHeight="1" x14ac:dyDescent="0.3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si="0"/>
        <v>4</v>
      </c>
      <c r="M6" s="1">
        <f t="shared" si="0"/>
        <v>4</v>
      </c>
      <c r="N6" s="1"/>
      <c r="O6" s="1"/>
      <c r="P6" s="1"/>
      <c r="Q6" s="21" t="s">
        <v>117</v>
      </c>
      <c r="R6" s="4" t="s">
        <v>112</v>
      </c>
      <c r="S6" s="4"/>
      <c r="T6" s="106"/>
    </row>
    <row r="7" spans="1:69" s="20" customFormat="1" ht="15" customHeight="1" x14ac:dyDescent="0.3">
      <c r="A7" s="4">
        <v>3</v>
      </c>
      <c r="B7" s="4" t="s">
        <v>104</v>
      </c>
      <c r="C7" s="1" t="s">
        <v>36</v>
      </c>
      <c r="D7" s="1" t="s">
        <v>37</v>
      </c>
      <c r="E7" s="1">
        <v>2022</v>
      </c>
      <c r="F7" s="5">
        <v>46280</v>
      </c>
      <c r="G7" s="5">
        <v>46280</v>
      </c>
      <c r="H7" s="5"/>
      <c r="I7" s="5"/>
      <c r="J7" s="5"/>
      <c r="K7" s="1"/>
      <c r="L7" s="1">
        <f t="shared" ref="L7:L10" si="1">$F$1-F7</f>
        <v>5</v>
      </c>
      <c r="M7" s="1">
        <f t="shared" ref="M7:M10" si="2">$F$1-G7</f>
        <v>5</v>
      </c>
      <c r="N7" s="1"/>
      <c r="O7" s="1"/>
      <c r="P7" s="1"/>
      <c r="Q7" s="21" t="s">
        <v>116</v>
      </c>
      <c r="R7" s="4"/>
      <c r="S7" s="4"/>
      <c r="T7" s="106"/>
    </row>
    <row r="8" spans="1:69" s="20" customFormat="1" ht="15" customHeight="1" x14ac:dyDescent="0.3">
      <c r="A8" s="4">
        <v>4</v>
      </c>
      <c r="B8" s="4" t="s">
        <v>77</v>
      </c>
      <c r="C8" s="56" t="s">
        <v>24</v>
      </c>
      <c r="D8" s="56" t="s">
        <v>25</v>
      </c>
      <c r="E8" s="1">
        <v>2018</v>
      </c>
      <c r="F8" s="5">
        <v>46285</v>
      </c>
      <c r="G8" s="5">
        <v>46285</v>
      </c>
      <c r="H8" s="5"/>
      <c r="I8" s="5"/>
      <c r="J8" s="5"/>
      <c r="K8" s="1"/>
      <c r="L8" s="1">
        <f t="shared" si="1"/>
        <v>0</v>
      </c>
      <c r="M8" s="1">
        <f t="shared" si="2"/>
        <v>0</v>
      </c>
      <c r="N8" s="1"/>
      <c r="O8" s="1"/>
      <c r="P8" s="1"/>
      <c r="Q8" s="21" t="s">
        <v>125</v>
      </c>
      <c r="R8" s="4"/>
      <c r="S8" s="83"/>
      <c r="T8" s="106"/>
    </row>
    <row r="9" spans="1:69" s="20" customFormat="1" ht="15" customHeight="1" x14ac:dyDescent="0.3">
      <c r="A9" s="4">
        <v>5</v>
      </c>
      <c r="B9" s="4" t="s">
        <v>114</v>
      </c>
      <c r="C9" s="1" t="s">
        <v>36</v>
      </c>
      <c r="D9" s="1" t="s">
        <v>37</v>
      </c>
      <c r="E9" s="1">
        <v>2022</v>
      </c>
      <c r="F9" s="5">
        <v>46285</v>
      </c>
      <c r="G9" s="5">
        <v>46285</v>
      </c>
      <c r="H9" s="5"/>
      <c r="I9" s="5"/>
      <c r="J9" s="5"/>
      <c r="K9" s="1">
        <v>1</v>
      </c>
      <c r="L9" s="1">
        <f t="shared" si="1"/>
        <v>0</v>
      </c>
      <c r="M9" s="1">
        <f t="shared" si="2"/>
        <v>0</v>
      </c>
      <c r="N9" s="1"/>
      <c r="O9" s="1"/>
      <c r="P9" s="1"/>
      <c r="Q9" s="21" t="s">
        <v>113</v>
      </c>
      <c r="R9" s="4"/>
      <c r="S9" s="83"/>
      <c r="T9" s="106"/>
    </row>
    <row r="10" spans="1:69" s="20" customFormat="1" ht="15" customHeight="1" x14ac:dyDescent="0.3">
      <c r="A10" s="4">
        <v>6</v>
      </c>
      <c r="B10" s="4" t="s">
        <v>126</v>
      </c>
      <c r="C10" s="1" t="s">
        <v>36</v>
      </c>
      <c r="D10" s="1" t="s">
        <v>37</v>
      </c>
      <c r="E10" s="1">
        <v>2024</v>
      </c>
      <c r="F10" s="5">
        <v>46285</v>
      </c>
      <c r="G10" s="5">
        <v>46285</v>
      </c>
      <c r="H10" s="5"/>
      <c r="I10" s="5"/>
      <c r="J10" s="5"/>
      <c r="K10" s="1"/>
      <c r="L10" s="1">
        <f t="shared" si="1"/>
        <v>0</v>
      </c>
      <c r="M10" s="1">
        <f t="shared" si="2"/>
        <v>0</v>
      </c>
      <c r="N10" s="1"/>
      <c r="O10" s="1"/>
      <c r="P10" s="1"/>
      <c r="Q10" s="21" t="s">
        <v>127</v>
      </c>
      <c r="R10" s="4"/>
      <c r="S10" s="83"/>
      <c r="T10" s="106"/>
    </row>
    <row r="11" spans="1:69" s="32" customFormat="1" ht="15" customHeight="1" x14ac:dyDescent="0.3">
      <c r="A11" s="25"/>
      <c r="B11" s="26"/>
      <c r="C11" s="27"/>
      <c r="D11" s="25"/>
      <c r="E11" s="25"/>
      <c r="F11" s="28"/>
      <c r="G11" s="28"/>
      <c r="H11" s="28"/>
      <c r="I11" s="28"/>
      <c r="J11" s="29"/>
      <c r="K11" s="29"/>
      <c r="L11" s="29"/>
      <c r="M11" s="29"/>
      <c r="N11" s="29"/>
      <c r="O11" s="30"/>
      <c r="P11" s="25"/>
      <c r="Q11" s="30" t="s">
        <v>31</v>
      </c>
      <c r="R11" s="31"/>
      <c r="S11" s="31"/>
      <c r="T11" s="31"/>
    </row>
    <row r="12" spans="1:69" s="20" customFormat="1" ht="15" customHeight="1" x14ac:dyDescent="0.3">
      <c r="A12" s="4"/>
      <c r="B12" s="24"/>
      <c r="C12" s="33"/>
      <c r="D12" s="1"/>
      <c r="E12" s="1"/>
      <c r="F12" s="5"/>
      <c r="G12" s="5"/>
      <c r="H12" s="5"/>
      <c r="I12" s="5"/>
      <c r="J12" s="5"/>
      <c r="K12" s="34"/>
      <c r="L12" s="1"/>
      <c r="M12" s="1"/>
      <c r="N12" s="1"/>
      <c r="O12" s="1"/>
      <c r="P12" s="1"/>
      <c r="Q12" s="21"/>
      <c r="R12" s="35"/>
      <c r="S12" s="36"/>
      <c r="T12" s="37"/>
    </row>
    <row r="13" spans="1:69" s="43" customFormat="1" ht="15" customHeight="1" x14ac:dyDescent="0.25">
      <c r="A13" s="25"/>
      <c r="B13" s="38"/>
      <c r="C13" s="39"/>
      <c r="D13" s="27" t="s">
        <v>22</v>
      </c>
      <c r="E13" s="25"/>
      <c r="F13" s="40"/>
      <c r="G13" s="40"/>
      <c r="H13" s="40"/>
      <c r="I13" s="40"/>
      <c r="J13" s="40"/>
      <c r="K13" s="41"/>
      <c r="L13" s="40"/>
      <c r="M13" s="40"/>
      <c r="N13" s="40"/>
      <c r="O13" s="42"/>
      <c r="P13" s="41"/>
      <c r="Q13" s="42" t="s">
        <v>32</v>
      </c>
      <c r="R13" s="42"/>
      <c r="S13" s="31"/>
      <c r="T13" s="3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25">
      <c r="A14" s="94">
        <v>7</v>
      </c>
      <c r="B14" s="4" t="s">
        <v>105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ref="L14:M14" si="3">$F$1-F14</f>
        <v>21</v>
      </c>
      <c r="M14" s="1">
        <f t="shared" si="3"/>
        <v>21</v>
      </c>
      <c r="N14" s="1"/>
      <c r="O14" s="1"/>
      <c r="P14" s="1"/>
      <c r="Q14" s="21" t="s">
        <v>106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8" customHeight="1" x14ac:dyDescent="0.3">
      <c r="A15" s="46"/>
      <c r="B15" s="47" t="s">
        <v>39</v>
      </c>
      <c r="C15" s="47">
        <v>7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1A9-FECC-4483-B5BE-9D4BE7BD8682}">
  <dimension ref="A1:BQ19"/>
  <sheetViews>
    <sheetView workbookViewId="0">
      <selection activeCell="O41" sqref="O41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2" t="s">
        <v>16</v>
      </c>
      <c r="M3" s="112" t="s">
        <v>17</v>
      </c>
      <c r="N3" s="112" t="s">
        <v>18</v>
      </c>
      <c r="O3" s="112" t="s">
        <v>19</v>
      </c>
      <c r="P3" s="112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104</v>
      </c>
      <c r="C5" s="1" t="s">
        <v>36</v>
      </c>
      <c r="D5" s="1" t="s">
        <v>37</v>
      </c>
      <c r="E5" s="1">
        <v>2022</v>
      </c>
      <c r="F5" s="5">
        <v>46280</v>
      </c>
      <c r="G5" s="5">
        <v>46280</v>
      </c>
      <c r="H5" s="5"/>
      <c r="I5" s="5"/>
      <c r="J5" s="5"/>
      <c r="K5" s="1"/>
      <c r="L5" s="1">
        <f t="shared" ref="L5:L6" si="0">$F$1-F5</f>
        <v>6</v>
      </c>
      <c r="M5" s="1">
        <f t="shared" ref="M5:M6" si="1">$F$1-G5</f>
        <v>6</v>
      </c>
      <c r="N5" s="1"/>
      <c r="O5" s="1"/>
      <c r="P5" s="1"/>
      <c r="Q5" s="21" t="s">
        <v>116</v>
      </c>
      <c r="R5" s="4" t="s">
        <v>126</v>
      </c>
      <c r="S5" s="88" t="s">
        <v>103</v>
      </c>
      <c r="T5" s="106"/>
    </row>
    <row r="6" spans="1:69" s="20" customFormat="1" ht="15" customHeight="1" x14ac:dyDescent="0.3">
      <c r="A6" s="4">
        <v>2</v>
      </c>
      <c r="B6" s="4" t="s">
        <v>114</v>
      </c>
      <c r="C6" s="1" t="s">
        <v>36</v>
      </c>
      <c r="D6" s="1" t="s">
        <v>37</v>
      </c>
      <c r="E6" s="1">
        <v>2022</v>
      </c>
      <c r="F6" s="5">
        <v>46285</v>
      </c>
      <c r="G6" s="5">
        <v>46285</v>
      </c>
      <c r="H6" s="5"/>
      <c r="I6" s="5"/>
      <c r="J6" s="5"/>
      <c r="K6" s="1">
        <v>1</v>
      </c>
      <c r="L6" s="1">
        <f t="shared" si="0"/>
        <v>1</v>
      </c>
      <c r="M6" s="1">
        <f t="shared" si="1"/>
        <v>1</v>
      </c>
      <c r="N6" s="1"/>
      <c r="O6" s="1"/>
      <c r="P6" s="1"/>
      <c r="Q6" s="21" t="s">
        <v>129</v>
      </c>
      <c r="R6" s="4" t="s">
        <v>77</v>
      </c>
      <c r="S6" s="4"/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 t="s">
        <v>23</v>
      </c>
      <c r="S7" s="4"/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88" t="s">
        <v>103</v>
      </c>
      <c r="S8" s="83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22</v>
      </c>
      <c r="M12" s="1">
        <f t="shared" si="2"/>
        <v>22</v>
      </c>
      <c r="N12" s="1"/>
      <c r="O12" s="1"/>
      <c r="P12" s="1"/>
      <c r="Q12" s="21" t="s">
        <v>128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754D-4ACC-4B6A-8E67-D3EC1ACD3685}">
  <dimension ref="A1:BQ18"/>
  <sheetViews>
    <sheetView workbookViewId="0">
      <selection activeCell="O43" sqref="O43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3" t="s">
        <v>16</v>
      </c>
      <c r="M3" s="113" t="s">
        <v>17</v>
      </c>
      <c r="N3" s="113" t="s">
        <v>18</v>
      </c>
      <c r="O3" s="113" t="s">
        <v>19</v>
      </c>
      <c r="P3" s="113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L6" si="0">$F$1-F5</f>
        <v>2</v>
      </c>
      <c r="M5" s="1">
        <f t="shared" ref="M5:M6" si="1">$F$1-G5</f>
        <v>2</v>
      </c>
      <c r="N5" s="1"/>
      <c r="O5" s="1"/>
      <c r="P5" s="1"/>
      <c r="Q5" s="21" t="s">
        <v>130</v>
      </c>
      <c r="R5" s="4"/>
      <c r="S5" s="88" t="s">
        <v>33</v>
      </c>
      <c r="T5" s="106" t="s">
        <v>119</v>
      </c>
    </row>
    <row r="6" spans="1:69" s="20" customFormat="1" ht="15" customHeight="1" x14ac:dyDescent="0.3">
      <c r="A6" s="4">
        <v>2</v>
      </c>
      <c r="B6" s="4" t="s">
        <v>132</v>
      </c>
      <c r="C6" s="1" t="s">
        <v>36</v>
      </c>
      <c r="D6" s="1" t="s">
        <v>37</v>
      </c>
      <c r="E6" s="1">
        <v>2025</v>
      </c>
      <c r="F6" s="5">
        <v>46287</v>
      </c>
      <c r="G6" s="5">
        <v>46287</v>
      </c>
      <c r="H6" s="5"/>
      <c r="I6" s="5"/>
      <c r="J6" s="5"/>
      <c r="K6" s="1">
        <v>1</v>
      </c>
      <c r="L6" s="1">
        <f t="shared" si="0"/>
        <v>0</v>
      </c>
      <c r="M6" s="1">
        <f t="shared" si="1"/>
        <v>0</v>
      </c>
      <c r="N6" s="1"/>
      <c r="O6" s="1"/>
      <c r="P6" s="1"/>
      <c r="Q6" s="21" t="s">
        <v>133</v>
      </c>
      <c r="R6" s="4"/>
      <c r="S6" s="4"/>
      <c r="T6" s="106" t="s">
        <v>119</v>
      </c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3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2">$F$1-F10</f>
        <v>7</v>
      </c>
      <c r="M10" s="1">
        <f t="shared" ref="M10" si="3">$F$1-G10</f>
        <v>7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2"/>
        <v>23</v>
      </c>
      <c r="M11" s="1">
        <f t="shared" si="2"/>
        <v>23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7B2-317A-4E32-B56E-B247C7FDB9AD}">
  <dimension ref="A1:BQ18"/>
  <sheetViews>
    <sheetView workbookViewId="0">
      <selection activeCell="B5" sqref="B5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4" t="s">
        <v>16</v>
      </c>
      <c r="M3" s="114" t="s">
        <v>17</v>
      </c>
      <c r="N3" s="114" t="s">
        <v>18</v>
      </c>
      <c r="O3" s="114" t="s">
        <v>19</v>
      </c>
      <c r="P3" s="114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130</v>
      </c>
      <c r="R5" s="4" t="s">
        <v>132</v>
      </c>
      <c r="S5" s="88" t="s">
        <v>33</v>
      </c>
      <c r="T5" s="106" t="s">
        <v>119</v>
      </c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1">$F$1-F10</f>
        <v>8</v>
      </c>
      <c r="M10" s="1">
        <f t="shared" si="1"/>
        <v>8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1"/>
        <v>24</v>
      </c>
      <c r="M11" s="1">
        <f t="shared" si="1"/>
        <v>24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ED6-97F1-4296-89A1-B743CDDC875F}">
  <dimension ref="A1:BQ18"/>
  <sheetViews>
    <sheetView workbookViewId="0">
      <selection activeCell="F41" sqref="F41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46289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5" t="s">
        <v>16</v>
      </c>
      <c r="M3" s="115" t="s">
        <v>17</v>
      </c>
      <c r="N3" s="115" t="s">
        <v>18</v>
      </c>
      <c r="O3" s="115" t="s">
        <v>19</v>
      </c>
      <c r="P3" s="115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4" t="s">
        <v>114</v>
      </c>
      <c r="S5" s="88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1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9</v>
      </c>
      <c r="M10" s="1">
        <f t="shared" si="0"/>
        <v>9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2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25</v>
      </c>
      <c r="M11" s="1">
        <f t="shared" si="0"/>
        <v>25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2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2263-782B-46B5-A225-760EC60077B1}">
  <dimension ref="A1:BQ18"/>
  <sheetViews>
    <sheetView workbookViewId="0">
      <selection activeCell="G42" sqref="G42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6" t="s">
        <v>16</v>
      </c>
      <c r="M3" s="116" t="s">
        <v>17</v>
      </c>
      <c r="N3" s="116" t="s">
        <v>18</v>
      </c>
      <c r="O3" s="116" t="s">
        <v>19</v>
      </c>
      <c r="P3" s="116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132</v>
      </c>
      <c r="C5" s="1" t="s">
        <v>36</v>
      </c>
      <c r="D5" s="1" t="s">
        <v>37</v>
      </c>
      <c r="E5" s="1">
        <v>2025</v>
      </c>
      <c r="F5" s="5">
        <v>46290</v>
      </c>
      <c r="G5" s="5">
        <v>46290</v>
      </c>
      <c r="H5" s="5"/>
      <c r="I5" s="5"/>
      <c r="J5" s="5"/>
      <c r="K5" s="1">
        <v>1</v>
      </c>
      <c r="L5" s="1">
        <v>0</v>
      </c>
      <c r="M5" s="1">
        <v>0</v>
      </c>
      <c r="N5" s="1"/>
      <c r="O5" s="1"/>
      <c r="P5" s="1"/>
      <c r="Q5" s="21" t="s">
        <v>124</v>
      </c>
      <c r="R5" s="4"/>
      <c r="S5" s="88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10</v>
      </c>
      <c r="M10" s="1">
        <f t="shared" si="0"/>
        <v>10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26</v>
      </c>
      <c r="M11" s="1">
        <f t="shared" si="0"/>
        <v>26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48A9-20C4-4A66-B35C-1171A443D974}">
  <dimension ref="A1:BQ19"/>
  <sheetViews>
    <sheetView workbookViewId="0">
      <selection activeCell="G41" sqref="G41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7" t="s">
        <v>16</v>
      </c>
      <c r="M3" s="117" t="s">
        <v>17</v>
      </c>
      <c r="N3" s="117" t="s">
        <v>18</v>
      </c>
      <c r="O3" s="117" t="s">
        <v>19</v>
      </c>
      <c r="P3" s="117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132</v>
      </c>
      <c r="S5" s="22" t="s">
        <v>135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22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136</v>
      </c>
      <c r="T7" s="106"/>
    </row>
    <row r="8" spans="1:69" s="32" customFormat="1" ht="15" customHeight="1" x14ac:dyDescent="0.3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25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1</v>
      </c>
      <c r="B11" s="4" t="s">
        <v>104</v>
      </c>
      <c r="C11" s="1" t="s">
        <v>36</v>
      </c>
      <c r="D11" s="1" t="s">
        <v>37</v>
      </c>
      <c r="E11" s="1">
        <v>2022</v>
      </c>
      <c r="F11" s="5">
        <v>46280</v>
      </c>
      <c r="G11" s="5">
        <v>46280</v>
      </c>
      <c r="H11" s="5"/>
      <c r="I11" s="5"/>
      <c r="J11" s="5"/>
      <c r="K11" s="1"/>
      <c r="L11" s="1">
        <f t="shared" ref="L11:M12" si="0">$F$1-F11</f>
        <v>11</v>
      </c>
      <c r="M11" s="1">
        <f t="shared" si="0"/>
        <v>11</v>
      </c>
      <c r="N11" s="1"/>
      <c r="O11" s="1"/>
      <c r="P11" s="1"/>
      <c r="Q11" s="21" t="s">
        <v>131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si="0"/>
        <v>27</v>
      </c>
      <c r="M12" s="1">
        <f t="shared" si="0"/>
        <v>27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494B-EF71-4611-B007-349B604D7FEA}">
  <dimension ref="A1:BQ20"/>
  <sheetViews>
    <sheetView topLeftCell="B1" workbookViewId="0">
      <selection activeCell="I42" sqref="I42"/>
    </sheetView>
  </sheetViews>
  <sheetFormatPr defaultColWidth="9.109375" defaultRowHeight="13.2" x14ac:dyDescent="0.3"/>
  <cols>
    <col min="1" max="1" width="3.33203125" style="57" customWidth="1"/>
    <col min="2" max="2" width="10.5546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8" t="s">
        <v>16</v>
      </c>
      <c r="M3" s="118" t="s">
        <v>17</v>
      </c>
      <c r="N3" s="118" t="s">
        <v>18</v>
      </c>
      <c r="O3" s="118" t="s">
        <v>19</v>
      </c>
      <c r="P3" s="118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137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1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0">$F$1-F12</f>
        <v>12</v>
      </c>
      <c r="M12" s="1">
        <f t="shared" si="0"/>
        <v>12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2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0"/>
        <v>28</v>
      </c>
      <c r="M13" s="1">
        <f t="shared" si="0"/>
        <v>28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A57-18F5-4387-9A87-BE5C60D7D53A}">
  <dimension ref="A1:BQ20"/>
  <sheetViews>
    <sheetView workbookViewId="0">
      <selection activeCell="H40" sqref="H40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19" t="s">
        <v>16</v>
      </c>
      <c r="M3" s="119" t="s">
        <v>17</v>
      </c>
      <c r="N3" s="119" t="s">
        <v>18</v>
      </c>
      <c r="O3" s="119" t="s">
        <v>19</v>
      </c>
      <c r="P3" s="119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0" t="s">
        <v>81</v>
      </c>
      <c r="C5" s="68" t="s">
        <v>24</v>
      </c>
      <c r="D5" s="68" t="s">
        <v>25</v>
      </c>
      <c r="E5" s="68">
        <v>2022</v>
      </c>
      <c r="F5" s="69">
        <v>46293</v>
      </c>
      <c r="G5" s="69">
        <v>46293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139</v>
      </c>
      <c r="R5" s="22"/>
      <c r="S5" s="4" t="s">
        <v>137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13</v>
      </c>
      <c r="M12" s="1">
        <f t="shared" si="1"/>
        <v>13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29</v>
      </c>
      <c r="M13" s="1">
        <f t="shared" si="1"/>
        <v>29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8AC7-57D4-4682-ACBD-26B66D672A0C}">
  <dimension ref="A1:BQ20"/>
  <sheetViews>
    <sheetView workbookViewId="0">
      <selection activeCell="I41" sqref="I41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0" t="s">
        <v>16</v>
      </c>
      <c r="M3" s="120" t="s">
        <v>17</v>
      </c>
      <c r="N3" s="120" t="s">
        <v>18</v>
      </c>
      <c r="O3" s="120" t="s">
        <v>19</v>
      </c>
      <c r="P3" s="120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83" t="s">
        <v>81</v>
      </c>
      <c r="C5" s="1" t="s">
        <v>24</v>
      </c>
      <c r="D5" s="1" t="s">
        <v>25</v>
      </c>
      <c r="E5" s="1">
        <v>2022</v>
      </c>
      <c r="F5" s="5">
        <v>46293</v>
      </c>
      <c r="G5" s="5">
        <v>46293</v>
      </c>
      <c r="H5" s="5"/>
      <c r="I5" s="5"/>
      <c r="J5" s="5"/>
      <c r="K5" s="1"/>
      <c r="L5" s="1">
        <f t="shared" ref="L5:M5" si="0">$F$1-F5</f>
        <v>1</v>
      </c>
      <c r="M5" s="1">
        <f t="shared" si="0"/>
        <v>1</v>
      </c>
      <c r="N5" s="1"/>
      <c r="O5" s="1"/>
      <c r="P5" s="1"/>
      <c r="Q5" s="21" t="s">
        <v>139</v>
      </c>
      <c r="R5" s="22"/>
      <c r="S5" s="4" t="s">
        <v>137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14</v>
      </c>
      <c r="M12" s="1">
        <f t="shared" si="1"/>
        <v>14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30</v>
      </c>
      <c r="M13" s="1">
        <f t="shared" si="1"/>
        <v>30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61C6-1142-4018-80A8-5519617AC1BA}">
  <dimension ref="A1:BQ19"/>
  <sheetViews>
    <sheetView workbookViewId="0">
      <selection activeCell="J42" sqref="J42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1" t="s">
        <v>16</v>
      </c>
      <c r="M3" s="121" t="s">
        <v>17</v>
      </c>
      <c r="N3" s="121" t="s">
        <v>18</v>
      </c>
      <c r="O3" s="121" t="s">
        <v>19</v>
      </c>
      <c r="P3" s="121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 t="s">
        <v>81</v>
      </c>
      <c r="S5" s="4" t="s">
        <v>137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104</v>
      </c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31</v>
      </c>
      <c r="M12" s="1">
        <f t="shared" si="0"/>
        <v>31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B398-23DB-4209-9429-F532B137571A}">
  <dimension ref="A1:BQ19"/>
  <sheetViews>
    <sheetView workbookViewId="0">
      <selection activeCell="K41" sqref="K41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2" t="s">
        <v>16</v>
      </c>
      <c r="M3" s="122" t="s">
        <v>17</v>
      </c>
      <c r="N3" s="122" t="s">
        <v>18</v>
      </c>
      <c r="O3" s="122" t="s">
        <v>19</v>
      </c>
      <c r="P3" s="122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/>
      <c r="S5" s="4" t="s">
        <v>137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32</v>
      </c>
      <c r="M12" s="1">
        <f t="shared" si="0"/>
        <v>32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E0F-00C9-4C3B-AF50-C2701863B119}">
  <dimension ref="A1:BQ19"/>
  <sheetViews>
    <sheetView workbookViewId="0">
      <selection activeCell="L41" sqref="L41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3" t="s">
        <v>16</v>
      </c>
      <c r="M3" s="123" t="s">
        <v>17</v>
      </c>
      <c r="N3" s="123" t="s">
        <v>18</v>
      </c>
      <c r="O3" s="123" t="s">
        <v>19</v>
      </c>
      <c r="P3" s="123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22" t="s">
        <v>112</v>
      </c>
      <c r="C5" s="68" t="s">
        <v>24</v>
      </c>
      <c r="D5" s="68" t="s">
        <v>25</v>
      </c>
      <c r="E5" s="68">
        <v>2022</v>
      </c>
      <c r="F5" s="69">
        <v>46297</v>
      </c>
      <c r="G5" s="69">
        <v>46297</v>
      </c>
      <c r="H5" s="69"/>
      <c r="I5" s="69"/>
      <c r="J5" s="69"/>
      <c r="K5" s="68"/>
      <c r="L5" s="68">
        <f t="shared" ref="L5:M6" si="0">$F$1-F5</f>
        <v>0</v>
      </c>
      <c r="M5" s="68">
        <f t="shared" si="0"/>
        <v>0</v>
      </c>
      <c r="N5" s="68"/>
      <c r="O5" s="68"/>
      <c r="P5" s="68"/>
      <c r="Q5" s="70" t="s">
        <v>140</v>
      </c>
      <c r="R5" s="22" t="s">
        <v>138</v>
      </c>
      <c r="S5" s="4" t="s">
        <v>137</v>
      </c>
      <c r="T5" s="106"/>
    </row>
    <row r="6" spans="1:69" s="20" customFormat="1" ht="15" customHeight="1" x14ac:dyDescent="0.3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46297</v>
      </c>
      <c r="G6" s="69">
        <v>46297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141</v>
      </c>
      <c r="R6" s="22" t="s">
        <v>85</v>
      </c>
      <c r="S6" s="4" t="s">
        <v>88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33</v>
      </c>
      <c r="M12" s="1">
        <f t="shared" si="1"/>
        <v>33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23B6-4ED3-4625-82E6-ADBF96B57C3C}">
  <dimension ref="A1:BQ19"/>
  <sheetViews>
    <sheetView workbookViewId="0">
      <selection activeCell="M42" sqref="M42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4" t="s">
        <v>16</v>
      </c>
      <c r="M3" s="124" t="s">
        <v>17</v>
      </c>
      <c r="N3" s="124" t="s">
        <v>18</v>
      </c>
      <c r="O3" s="124" t="s">
        <v>19</v>
      </c>
      <c r="P3" s="124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</v>
      </c>
      <c r="M5" s="1">
        <f t="shared" si="0"/>
        <v>1</v>
      </c>
      <c r="N5" s="1"/>
      <c r="O5" s="1"/>
      <c r="P5" s="1"/>
      <c r="Q5" s="21" t="s">
        <v>140</v>
      </c>
      <c r="R5" s="4" t="s">
        <v>137</v>
      </c>
      <c r="S5" s="4" t="s">
        <v>88</v>
      </c>
      <c r="T5" s="106"/>
    </row>
    <row r="6" spans="1:69" s="20" customFormat="1" ht="15" customHeight="1" x14ac:dyDescent="0.3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46298</v>
      </c>
      <c r="G6" s="69">
        <v>46298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144</v>
      </c>
      <c r="R6" s="22"/>
      <c r="S6" s="4"/>
      <c r="T6" s="106"/>
    </row>
    <row r="7" spans="1:69" s="20" customFormat="1" ht="15" customHeight="1" x14ac:dyDescent="0.3">
      <c r="A7" s="4">
        <v>3</v>
      </c>
      <c r="B7" s="22" t="s">
        <v>23</v>
      </c>
      <c r="C7" s="68" t="s">
        <v>24</v>
      </c>
      <c r="D7" s="68" t="s">
        <v>25</v>
      </c>
      <c r="E7" s="68">
        <v>2016</v>
      </c>
      <c r="F7" s="69">
        <v>46298</v>
      </c>
      <c r="G7" s="69">
        <v>46298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145</v>
      </c>
      <c r="R7" s="4"/>
      <c r="S7" s="4"/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34</v>
      </c>
      <c r="M12" s="1">
        <f t="shared" si="3"/>
        <v>34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17C1-FF5E-45A2-96E5-F5676702892D}">
  <dimension ref="A1:BQ19"/>
  <sheetViews>
    <sheetView workbookViewId="0">
      <selection activeCell="O41" sqref="O41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46299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5" t="s">
        <v>16</v>
      </c>
      <c r="M3" s="125" t="s">
        <v>17</v>
      </c>
      <c r="N3" s="125" t="s">
        <v>18</v>
      </c>
      <c r="O3" s="125" t="s">
        <v>19</v>
      </c>
      <c r="P3" s="125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140</v>
      </c>
      <c r="R5" s="22" t="s">
        <v>143</v>
      </c>
      <c r="S5" s="4" t="s">
        <v>88</v>
      </c>
      <c r="T5" s="106"/>
    </row>
    <row r="6" spans="1:69" s="20" customFormat="1" ht="15" customHeight="1" x14ac:dyDescent="0.3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/>
      <c r="S6" s="22" t="s">
        <v>23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/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35</v>
      </c>
      <c r="M12" s="1">
        <f t="shared" si="1"/>
        <v>35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798C-4DAD-4A0F-8E37-051F150EBFEB}">
  <dimension ref="A1:BQ19"/>
  <sheetViews>
    <sheetView workbookViewId="0">
      <selection activeCell="J39" sqref="J39"/>
    </sheetView>
  </sheetViews>
  <sheetFormatPr defaultColWidth="9.109375" defaultRowHeight="13.2" x14ac:dyDescent="0.3"/>
  <cols>
    <col min="1" max="1" width="3.33203125" style="57" customWidth="1"/>
    <col min="2" max="2" width="13.4414062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6" t="s">
        <v>16</v>
      </c>
      <c r="M3" s="126" t="s">
        <v>17</v>
      </c>
      <c r="N3" s="126" t="s">
        <v>18</v>
      </c>
      <c r="O3" s="126" t="s">
        <v>19</v>
      </c>
      <c r="P3" s="126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140</v>
      </c>
      <c r="R5" s="22"/>
      <c r="S5" s="4" t="s">
        <v>88</v>
      </c>
      <c r="T5" s="106"/>
    </row>
    <row r="6" spans="1:69" s="20" customFormat="1" ht="15" customHeight="1" x14ac:dyDescent="0.3">
      <c r="A6" s="4">
        <v>2</v>
      </c>
      <c r="B6" s="22" t="s">
        <v>103</v>
      </c>
      <c r="C6" s="68" t="s">
        <v>24</v>
      </c>
      <c r="D6" s="68" t="s">
        <v>25</v>
      </c>
      <c r="E6" s="68">
        <v>2018</v>
      </c>
      <c r="F6" s="69">
        <v>46300</v>
      </c>
      <c r="G6" s="69">
        <v>46300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146</v>
      </c>
      <c r="R6" s="22"/>
      <c r="S6" s="4" t="s">
        <v>23</v>
      </c>
      <c r="T6" s="106"/>
    </row>
    <row r="7" spans="1:69" s="20" customFormat="1" ht="15" customHeight="1" x14ac:dyDescent="0.3">
      <c r="A7" s="71"/>
      <c r="B7" s="22" t="s">
        <v>147</v>
      </c>
      <c r="C7" s="68" t="s">
        <v>148</v>
      </c>
      <c r="D7" s="68" t="s">
        <v>149</v>
      </c>
      <c r="E7" s="68">
        <v>2026</v>
      </c>
      <c r="F7" s="69">
        <v>46300</v>
      </c>
      <c r="G7" s="69">
        <v>46300</v>
      </c>
      <c r="H7" s="69"/>
      <c r="I7" s="69"/>
      <c r="J7" s="69"/>
      <c r="K7" s="68"/>
      <c r="L7" s="68">
        <f t="shared" ref="L7" si="3">$F$1-F7</f>
        <v>0</v>
      </c>
      <c r="M7" s="68">
        <f t="shared" ref="M7" si="4">$F$1-G7</f>
        <v>0</v>
      </c>
      <c r="N7" s="68"/>
      <c r="O7" s="68"/>
      <c r="P7" s="68"/>
      <c r="Q7" s="70" t="s">
        <v>150</v>
      </c>
      <c r="R7" s="4"/>
      <c r="S7" s="4"/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5">$F$1-F12</f>
        <v>36</v>
      </c>
      <c r="M12" s="1">
        <f t="shared" si="5"/>
        <v>36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664F-D768-4B66-8456-658D284B87CA}">
  <dimension ref="A1:BQ17"/>
  <sheetViews>
    <sheetView workbookViewId="0">
      <selection activeCell="K42" sqref="K42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7" t="s">
        <v>16</v>
      </c>
      <c r="M3" s="127" t="s">
        <v>17</v>
      </c>
      <c r="N3" s="127" t="s">
        <v>18</v>
      </c>
      <c r="O3" s="127" t="s">
        <v>19</v>
      </c>
      <c r="P3" s="127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4</v>
      </c>
      <c r="M5" s="1">
        <f t="shared" si="0"/>
        <v>4</v>
      </c>
      <c r="N5" s="1"/>
      <c r="O5" s="1"/>
      <c r="P5" s="1"/>
      <c r="Q5" s="21" t="s">
        <v>151</v>
      </c>
      <c r="R5" s="4" t="s">
        <v>103</v>
      </c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37</v>
      </c>
      <c r="M10" s="1">
        <f t="shared" si="1"/>
        <v>37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CA3-2337-4C0E-BF60-7513487B4653}">
  <dimension ref="A1:BQ18"/>
  <sheetViews>
    <sheetView workbookViewId="0">
      <selection activeCell="L42" sqref="L42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8" t="s">
        <v>16</v>
      </c>
      <c r="M3" s="128" t="s">
        <v>17</v>
      </c>
      <c r="N3" s="128" t="s">
        <v>18</v>
      </c>
      <c r="O3" s="128" t="s">
        <v>19</v>
      </c>
      <c r="P3" s="128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7" si="0">$F$1-F5</f>
        <v>5</v>
      </c>
      <c r="M5" s="1">
        <f t="shared" si="0"/>
        <v>5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>
        <v>2</v>
      </c>
      <c r="B6" s="4" t="s">
        <v>29</v>
      </c>
      <c r="C6" s="1" t="s">
        <v>36</v>
      </c>
      <c r="D6" s="1" t="s">
        <v>37</v>
      </c>
      <c r="E6" s="1">
        <v>2023</v>
      </c>
      <c r="F6" s="5">
        <v>46302</v>
      </c>
      <c r="G6" s="5">
        <v>46302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153</v>
      </c>
      <c r="R6" s="4"/>
      <c r="S6" s="4"/>
      <c r="T6" s="106"/>
    </row>
    <row r="7" spans="1:69" s="20" customFormat="1" ht="15" customHeight="1" x14ac:dyDescent="0.3">
      <c r="A7" s="4">
        <v>3</v>
      </c>
      <c r="B7" s="4" t="s">
        <v>154</v>
      </c>
      <c r="C7" s="1" t="s">
        <v>36</v>
      </c>
      <c r="D7" s="1" t="s">
        <v>37</v>
      </c>
      <c r="E7" s="1">
        <v>2023</v>
      </c>
      <c r="F7" s="5">
        <v>46302</v>
      </c>
      <c r="G7" s="5">
        <v>46302</v>
      </c>
      <c r="H7" s="5"/>
      <c r="I7" s="5"/>
      <c r="J7" s="5"/>
      <c r="K7" s="1">
        <v>1</v>
      </c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155</v>
      </c>
      <c r="R7" s="4"/>
      <c r="S7" s="4"/>
      <c r="T7" s="106"/>
    </row>
    <row r="8" spans="1:69" s="32" customFormat="1" ht="15" customHeight="1" x14ac:dyDescent="0.3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25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38</v>
      </c>
      <c r="M11" s="1">
        <f t="shared" si="1"/>
        <v>38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C9E8-4C3C-4F8F-B2D6-97A45A6FBD17}">
  <dimension ref="A1:BQ17"/>
  <sheetViews>
    <sheetView workbookViewId="0">
      <selection activeCell="N42" sqref="N42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29" t="s">
        <v>16</v>
      </c>
      <c r="M3" s="129" t="s">
        <v>17</v>
      </c>
      <c r="N3" s="129" t="s">
        <v>18</v>
      </c>
      <c r="O3" s="129" t="s">
        <v>19</v>
      </c>
      <c r="P3" s="129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6</v>
      </c>
      <c r="M5" s="1">
        <f t="shared" si="0"/>
        <v>6</v>
      </c>
      <c r="N5" s="1"/>
      <c r="O5" s="1"/>
      <c r="P5" s="1"/>
      <c r="Q5" s="21" t="s">
        <v>152</v>
      </c>
      <c r="R5" s="4" t="s">
        <v>29</v>
      </c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 t="s">
        <v>154</v>
      </c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39</v>
      </c>
      <c r="M10" s="1">
        <f t="shared" si="1"/>
        <v>39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BEB-6E12-4A1A-8471-5C97ECE5DBF1}">
  <dimension ref="A1:BQ17"/>
  <sheetViews>
    <sheetView workbookViewId="0">
      <selection activeCell="O43" sqref="O43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0" t="s">
        <v>16</v>
      </c>
      <c r="M3" s="130" t="s">
        <v>17</v>
      </c>
      <c r="N3" s="130" t="s">
        <v>18</v>
      </c>
      <c r="O3" s="130" t="s">
        <v>19</v>
      </c>
      <c r="P3" s="130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7</v>
      </c>
      <c r="M5" s="1">
        <f t="shared" si="0"/>
        <v>7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40</v>
      </c>
      <c r="M10" s="1">
        <f t="shared" si="1"/>
        <v>40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B985-FB39-41E0-9A3C-84C6EF94D958}">
  <dimension ref="A1:BQ17"/>
  <sheetViews>
    <sheetView workbookViewId="0">
      <selection activeCell="Q42" sqref="Q42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1" t="s">
        <v>16</v>
      </c>
      <c r="M3" s="131" t="s">
        <v>17</v>
      </c>
      <c r="N3" s="131" t="s">
        <v>18</v>
      </c>
      <c r="O3" s="131" t="s">
        <v>19</v>
      </c>
      <c r="P3" s="131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8</v>
      </c>
      <c r="M5" s="1">
        <f t="shared" si="0"/>
        <v>8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41</v>
      </c>
      <c r="M10" s="1">
        <f t="shared" si="1"/>
        <v>41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DA4-560E-4C06-99BF-A3C2E33417DD}">
  <dimension ref="A1:BQ18"/>
  <sheetViews>
    <sheetView workbookViewId="0">
      <selection activeCell="C6" sqref="C6:Q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2" t="s">
        <v>16</v>
      </c>
      <c r="M3" s="132" t="s">
        <v>17</v>
      </c>
      <c r="N3" s="132" t="s">
        <v>18</v>
      </c>
      <c r="O3" s="132" t="s">
        <v>19</v>
      </c>
      <c r="P3" s="132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46306</v>
      </c>
      <c r="G6" s="5">
        <v>46306</v>
      </c>
      <c r="H6" s="5"/>
      <c r="I6" s="5"/>
      <c r="J6" s="5"/>
      <c r="K6" s="1">
        <v>2</v>
      </c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156</v>
      </c>
      <c r="R6" s="4"/>
      <c r="S6" s="4"/>
      <c r="T6" s="134" t="s">
        <v>157</v>
      </c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25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42</v>
      </c>
      <c r="M11" s="1">
        <f t="shared" si="1"/>
        <v>42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5FF2-A38A-470E-A033-ED8DD2644757}">
  <dimension ref="A1:BQ17"/>
  <sheetViews>
    <sheetView workbookViewId="0">
      <selection activeCell="O40" sqref="O40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3" t="s">
        <v>16</v>
      </c>
      <c r="M3" s="133" t="s">
        <v>17</v>
      </c>
      <c r="N3" s="133" t="s">
        <v>18</v>
      </c>
      <c r="O3" s="133" t="s">
        <v>19</v>
      </c>
      <c r="P3" s="133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34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43</v>
      </c>
      <c r="M10" s="1">
        <f t="shared" si="1"/>
        <v>43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F2E-FA13-4AEA-A6C9-1BAE50E6692E}">
  <dimension ref="A1:BQ17"/>
  <sheetViews>
    <sheetView workbookViewId="0">
      <selection activeCell="Q39" sqref="Q39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5" t="s">
        <v>16</v>
      </c>
      <c r="M3" s="135" t="s">
        <v>17</v>
      </c>
      <c r="N3" s="135" t="s">
        <v>18</v>
      </c>
      <c r="O3" s="135" t="s">
        <v>19</v>
      </c>
      <c r="P3" s="135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11</v>
      </c>
      <c r="M5" s="1">
        <f t="shared" si="0"/>
        <v>11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158</v>
      </c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3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44</v>
      </c>
      <c r="M10" s="1">
        <f t="shared" si="1"/>
        <v>44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3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28EA-C6CA-47F3-AE9F-270C8BA0957C}">
  <dimension ref="A1:BQ18"/>
  <sheetViews>
    <sheetView workbookViewId="0">
      <selection activeCell="Q40" sqref="Q40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46309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6" t="s">
        <v>16</v>
      </c>
      <c r="M3" s="136" t="s">
        <v>17</v>
      </c>
      <c r="N3" s="136" t="s">
        <v>18</v>
      </c>
      <c r="O3" s="136" t="s">
        <v>19</v>
      </c>
      <c r="P3" s="136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12</v>
      </c>
      <c r="M5" s="1">
        <f t="shared" si="0"/>
        <v>12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158</v>
      </c>
      <c r="R6" s="4"/>
      <c r="S6" s="4"/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25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45</v>
      </c>
      <c r="M11" s="1">
        <f t="shared" si="1"/>
        <v>45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B11D-D451-4775-BBFB-5B3A1181C7D3}">
  <dimension ref="A1:BQ17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7" t="s">
        <v>16</v>
      </c>
      <c r="M3" s="137" t="s">
        <v>17</v>
      </c>
      <c r="N3" s="137" t="s">
        <v>18</v>
      </c>
      <c r="O3" s="137" t="s">
        <v>19</v>
      </c>
      <c r="P3" s="137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13</v>
      </c>
      <c r="M5" s="1">
        <f t="shared" si="0"/>
        <v>13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25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25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46</v>
      </c>
      <c r="M10" s="1">
        <f t="shared" si="1"/>
        <v>46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8" customHeight="1" x14ac:dyDescent="0.3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834-6BEC-4333-A2F3-BF23BF48DBA5}">
  <dimension ref="A1:BQ19"/>
  <sheetViews>
    <sheetView workbookViewId="0">
      <selection activeCell="A6" sqref="A6:B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8" t="s">
        <v>16</v>
      </c>
      <c r="M3" s="138" t="s">
        <v>17</v>
      </c>
      <c r="N3" s="138" t="s">
        <v>18</v>
      </c>
      <c r="O3" s="138" t="s">
        <v>19</v>
      </c>
      <c r="P3" s="138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14</v>
      </c>
      <c r="M5" s="1">
        <f t="shared" si="0"/>
        <v>14</v>
      </c>
      <c r="N5" s="1"/>
      <c r="O5" s="1"/>
      <c r="P5" s="1"/>
      <c r="Q5" s="21" t="s">
        <v>152</v>
      </c>
      <c r="R5" s="22" t="s">
        <v>33</v>
      </c>
      <c r="S5" s="22" t="s">
        <v>57</v>
      </c>
      <c r="T5" s="106"/>
    </row>
    <row r="6" spans="1:69" s="20" customFormat="1" ht="15" customHeight="1" x14ac:dyDescent="0.3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22" t="s">
        <v>159</v>
      </c>
      <c r="T6" s="106"/>
    </row>
    <row r="7" spans="1:69" s="20" customFormat="1" ht="15" customHeight="1" x14ac:dyDescent="0.3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22"/>
      <c r="S7" s="22" t="s">
        <v>100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22" t="s">
        <v>160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47</v>
      </c>
      <c r="M12" s="1">
        <f t="shared" si="1"/>
        <v>47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8EBE-0816-4942-ADDD-5A98D37401E5}">
  <dimension ref="A1:BQ19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39" t="s">
        <v>16</v>
      </c>
      <c r="M3" s="139" t="s">
        <v>17</v>
      </c>
      <c r="N3" s="139" t="s">
        <v>18</v>
      </c>
      <c r="O3" s="139" t="s">
        <v>19</v>
      </c>
      <c r="P3" s="139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15</v>
      </c>
      <c r="M5" s="1">
        <f t="shared" si="0"/>
        <v>15</v>
      </c>
      <c r="N5" s="1"/>
      <c r="O5" s="1"/>
      <c r="P5" s="1"/>
      <c r="Q5" s="21" t="s">
        <v>152</v>
      </c>
      <c r="R5" s="22"/>
      <c r="S5" s="4" t="s">
        <v>57</v>
      </c>
      <c r="T5" s="106"/>
    </row>
    <row r="6" spans="1:69" s="20" customFormat="1" ht="15" customHeight="1" x14ac:dyDescent="0.3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161</v>
      </c>
      <c r="R6" s="22"/>
      <c r="S6" s="4" t="s">
        <v>159</v>
      </c>
      <c r="T6" s="106"/>
    </row>
    <row r="7" spans="1:69" s="20" customFormat="1" ht="15" customHeight="1" x14ac:dyDescent="0.3">
      <c r="A7" s="4">
        <v>3</v>
      </c>
      <c r="B7" s="22" t="s">
        <v>33</v>
      </c>
      <c r="C7" s="68" t="s">
        <v>24</v>
      </c>
      <c r="D7" s="68" t="s">
        <v>25</v>
      </c>
      <c r="E7" s="68">
        <v>2018</v>
      </c>
      <c r="F7" s="69">
        <v>46312</v>
      </c>
      <c r="G7" s="69">
        <v>46312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162</v>
      </c>
      <c r="R7" s="22"/>
      <c r="S7" s="4" t="s">
        <v>100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48</v>
      </c>
      <c r="M12" s="1">
        <f t="shared" si="3"/>
        <v>48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4FA-0DA3-4B23-912F-6B60C11B3285}">
  <dimension ref="A1:BQ19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0" t="s">
        <v>16</v>
      </c>
      <c r="M3" s="140" t="s">
        <v>17</v>
      </c>
      <c r="N3" s="140" t="s">
        <v>18</v>
      </c>
      <c r="O3" s="140" t="s">
        <v>19</v>
      </c>
      <c r="P3" s="140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16</v>
      </c>
      <c r="M5" s="1">
        <f t="shared" si="0"/>
        <v>16</v>
      </c>
      <c r="N5" s="1"/>
      <c r="O5" s="1"/>
      <c r="P5" s="1"/>
      <c r="Q5" s="21" t="s">
        <v>152</v>
      </c>
      <c r="R5" s="22" t="s">
        <v>143</v>
      </c>
      <c r="S5" s="4" t="s">
        <v>57</v>
      </c>
      <c r="T5" s="106"/>
    </row>
    <row r="6" spans="1:69" s="20" customFormat="1" ht="15" customHeight="1" x14ac:dyDescent="0.3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/>
      <c r="L6" s="68">
        <f t="shared" si="0"/>
        <v>1</v>
      </c>
      <c r="M6" s="68">
        <f t="shared" si="0"/>
        <v>1</v>
      </c>
      <c r="N6" s="68"/>
      <c r="O6" s="68"/>
      <c r="P6" s="68"/>
      <c r="Q6" s="70" t="s">
        <v>163</v>
      </c>
      <c r="R6" s="22" t="s">
        <v>33</v>
      </c>
      <c r="S6" s="4" t="s">
        <v>159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100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43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49</v>
      </c>
      <c r="M12" s="1">
        <f t="shared" si="1"/>
        <v>49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4D7E-D6B1-4339-8152-774D8F055CE1}">
  <dimension ref="A1:BQ19"/>
  <sheetViews>
    <sheetView workbookViewId="0">
      <selection activeCell="B6" sqref="B6:Q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1" t="s">
        <v>16</v>
      </c>
      <c r="M3" s="141" t="s">
        <v>17</v>
      </c>
      <c r="N3" s="141" t="s">
        <v>18</v>
      </c>
      <c r="O3" s="141" t="s">
        <v>19</v>
      </c>
      <c r="P3" s="141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70" t="s">
        <v>165</v>
      </c>
      <c r="R5" s="4" t="s">
        <v>57</v>
      </c>
      <c r="S5" s="4" t="s">
        <v>159</v>
      </c>
      <c r="T5" s="106"/>
    </row>
    <row r="6" spans="1:69" s="20" customFormat="1" ht="15" customHeight="1" x14ac:dyDescent="0.3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46312</v>
      </c>
      <c r="G6" s="5">
        <v>46312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70" t="s">
        <v>164</v>
      </c>
      <c r="R6" s="22"/>
      <c r="S6" s="4" t="s">
        <v>100</v>
      </c>
      <c r="T6" s="106"/>
    </row>
    <row r="7" spans="1:69" s="20" customFormat="1" ht="15" customHeight="1" x14ac:dyDescent="0.3">
      <c r="A7" s="4">
        <v>3</v>
      </c>
      <c r="B7" s="22" t="s">
        <v>77</v>
      </c>
      <c r="C7" s="68" t="s">
        <v>36</v>
      </c>
      <c r="D7" s="68" t="s">
        <v>25</v>
      </c>
      <c r="E7" s="68">
        <v>2024</v>
      </c>
      <c r="F7" s="69">
        <v>46314</v>
      </c>
      <c r="G7" s="69">
        <v>46314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166</v>
      </c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50</v>
      </c>
      <c r="M12" s="1">
        <f t="shared" si="3"/>
        <v>50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7C85-DA30-47DC-9491-BFA527888E4D}">
  <dimension ref="A1:BQ19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2" t="s">
        <v>16</v>
      </c>
      <c r="M3" s="142" t="s">
        <v>17</v>
      </c>
      <c r="N3" s="142" t="s">
        <v>18</v>
      </c>
      <c r="O3" s="142" t="s">
        <v>19</v>
      </c>
      <c r="P3" s="142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" si="0">$F$1-F5</f>
        <v>1</v>
      </c>
      <c r="M5" s="1">
        <f t="shared" ref="M5" si="1">$F$1-G5</f>
        <v>1</v>
      </c>
      <c r="N5" s="1"/>
      <c r="O5" s="1"/>
      <c r="P5" s="1"/>
      <c r="Q5" s="21" t="s">
        <v>166</v>
      </c>
      <c r="R5" s="22" t="s">
        <v>142</v>
      </c>
      <c r="S5" s="4" t="s">
        <v>159</v>
      </c>
      <c r="T5" s="106"/>
    </row>
    <row r="6" spans="1:69" s="20" customFormat="1" ht="15" customHeight="1" x14ac:dyDescent="0.3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 t="s">
        <v>112</v>
      </c>
      <c r="S6" s="4" t="s">
        <v>100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51</v>
      </c>
      <c r="M12" s="1">
        <f t="shared" si="2"/>
        <v>51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785-9EE9-4445-80CB-EF9673B8B8B5}">
  <dimension ref="A1:BQ19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3" t="s">
        <v>16</v>
      </c>
      <c r="M3" s="143" t="s">
        <v>17</v>
      </c>
      <c r="N3" s="143" t="s">
        <v>18</v>
      </c>
      <c r="O3" s="143" t="s">
        <v>19</v>
      </c>
      <c r="P3" s="143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2</v>
      </c>
      <c r="M5" s="1">
        <f t="shared" si="0"/>
        <v>2</v>
      </c>
      <c r="N5" s="1"/>
      <c r="O5" s="1"/>
      <c r="P5" s="1"/>
      <c r="Q5" s="21" t="s">
        <v>166</v>
      </c>
      <c r="R5" s="22"/>
      <c r="S5" s="4" t="s">
        <v>159</v>
      </c>
      <c r="T5" s="106"/>
    </row>
    <row r="6" spans="1:69" s="20" customFormat="1" ht="15" customHeight="1" x14ac:dyDescent="0.3">
      <c r="A6" s="4">
        <v>2</v>
      </c>
      <c r="B6" s="22" t="s">
        <v>168</v>
      </c>
      <c r="C6" s="68" t="s">
        <v>36</v>
      </c>
      <c r="D6" s="68" t="s">
        <v>25</v>
      </c>
      <c r="E6" s="68">
        <v>2024</v>
      </c>
      <c r="F6" s="69">
        <v>46316</v>
      </c>
      <c r="G6" s="69">
        <v>46316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167</v>
      </c>
      <c r="R6" s="22"/>
      <c r="S6" s="4" t="s">
        <v>100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52</v>
      </c>
      <c r="M12" s="1">
        <f t="shared" si="1"/>
        <v>52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3D0A-15C3-400A-9547-C744E292F05B}">
  <dimension ref="A1:BQ19"/>
  <sheetViews>
    <sheetView workbookViewId="0">
      <selection activeCell="D10" sqref="D10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4" t="s">
        <v>16</v>
      </c>
      <c r="M3" s="144" t="s">
        <v>17</v>
      </c>
      <c r="N3" s="144" t="s">
        <v>18</v>
      </c>
      <c r="O3" s="144" t="s">
        <v>19</v>
      </c>
      <c r="P3" s="144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77</v>
      </c>
      <c r="C5" s="1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166</v>
      </c>
      <c r="R5" s="22" t="s">
        <v>168</v>
      </c>
      <c r="S5" s="4" t="s">
        <v>159</v>
      </c>
      <c r="T5" s="106"/>
    </row>
    <row r="6" spans="1:69" s="20" customFormat="1" ht="15" customHeight="1" x14ac:dyDescent="0.3">
      <c r="A6" s="4">
        <v>2</v>
      </c>
      <c r="B6" s="22" t="s">
        <v>103</v>
      </c>
      <c r="C6" s="68" t="s">
        <v>36</v>
      </c>
      <c r="D6" s="68" t="s">
        <v>25</v>
      </c>
      <c r="E6" s="68">
        <v>2018</v>
      </c>
      <c r="F6" s="69">
        <v>46317</v>
      </c>
      <c r="G6" s="69">
        <v>46317</v>
      </c>
      <c r="H6" s="69"/>
      <c r="I6" s="69"/>
      <c r="J6" s="69"/>
      <c r="K6" s="68">
        <v>1</v>
      </c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169</v>
      </c>
      <c r="R6" s="22"/>
      <c r="S6" s="4" t="s">
        <v>100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53</v>
      </c>
      <c r="M12" s="1">
        <f t="shared" si="3"/>
        <v>53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07A2-B38C-456E-9D66-C3003E19831F}">
  <dimension ref="A1:BQ19"/>
  <sheetViews>
    <sheetView workbookViewId="0">
      <selection activeCell="B7" sqref="B7:Q7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5" t="s">
        <v>16</v>
      </c>
      <c r="M3" s="145" t="s">
        <v>17</v>
      </c>
      <c r="N3" s="145" t="s">
        <v>18</v>
      </c>
      <c r="O3" s="145" t="s">
        <v>19</v>
      </c>
      <c r="P3" s="145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77</v>
      </c>
      <c r="C5" s="68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4</v>
      </c>
      <c r="M5" s="1">
        <f t="shared" si="0"/>
        <v>4</v>
      </c>
      <c r="N5" s="1"/>
      <c r="O5" s="1"/>
      <c r="P5" s="1"/>
      <c r="Q5" s="21" t="s">
        <v>166</v>
      </c>
      <c r="R5" s="22" t="s">
        <v>103</v>
      </c>
      <c r="S5" s="4" t="s">
        <v>159</v>
      </c>
      <c r="T5" s="106"/>
    </row>
    <row r="6" spans="1:69" s="20" customFormat="1" ht="15" customHeight="1" x14ac:dyDescent="0.3">
      <c r="A6" s="4">
        <v>2</v>
      </c>
      <c r="B6" s="22" t="s">
        <v>170</v>
      </c>
      <c r="C6" s="68" t="s">
        <v>24</v>
      </c>
      <c r="D6" s="68" t="s">
        <v>25</v>
      </c>
      <c r="E6" s="68">
        <v>2018</v>
      </c>
      <c r="F6" s="69">
        <v>46318</v>
      </c>
      <c r="G6" s="69">
        <v>46318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171</v>
      </c>
      <c r="R6" s="22"/>
      <c r="S6" s="4" t="s">
        <v>100</v>
      </c>
      <c r="T6" s="106"/>
    </row>
    <row r="7" spans="1:69" s="20" customFormat="1" ht="15" customHeight="1" x14ac:dyDescent="0.3">
      <c r="A7" s="4">
        <v>3</v>
      </c>
      <c r="B7" s="22" t="s">
        <v>172</v>
      </c>
      <c r="C7" s="68" t="s">
        <v>173</v>
      </c>
      <c r="D7" s="68" t="s">
        <v>58</v>
      </c>
      <c r="E7" s="68">
        <v>2025</v>
      </c>
      <c r="F7" s="69">
        <v>46318</v>
      </c>
      <c r="G7" s="69">
        <v>46318</v>
      </c>
      <c r="H7" s="69"/>
      <c r="I7" s="69"/>
      <c r="J7" s="69"/>
      <c r="K7" s="68">
        <v>1</v>
      </c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174</v>
      </c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54</v>
      </c>
      <c r="M12" s="1">
        <f t="shared" si="3"/>
        <v>54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4E60-2E15-47C2-B917-D069BAB7D057}">
  <dimension ref="A1:BQ19"/>
  <sheetViews>
    <sheetView workbookViewId="0">
      <selection activeCell="B5" sqref="B5:Q5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70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46319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6" t="s">
        <v>16</v>
      </c>
      <c r="M3" s="146" t="s">
        <v>17</v>
      </c>
      <c r="N3" s="146" t="s">
        <v>18</v>
      </c>
      <c r="O3" s="146" t="s">
        <v>19</v>
      </c>
      <c r="P3" s="146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77</v>
      </c>
      <c r="C5" s="1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5" si="0">$F$1-F5</f>
        <v>5</v>
      </c>
      <c r="M5" s="1">
        <f t="shared" si="0"/>
        <v>5</v>
      </c>
      <c r="N5" s="1"/>
      <c r="O5" s="1"/>
      <c r="P5" s="1"/>
      <c r="Q5" s="21" t="s">
        <v>175</v>
      </c>
      <c r="R5" s="22" t="s">
        <v>170</v>
      </c>
      <c r="S5" s="4" t="s">
        <v>159</v>
      </c>
      <c r="T5" s="106"/>
    </row>
    <row r="6" spans="1:69" s="20" customFormat="1" ht="15" customHeight="1" x14ac:dyDescent="0.3">
      <c r="A6" s="4">
        <v>2</v>
      </c>
      <c r="B6" s="22" t="s">
        <v>176</v>
      </c>
      <c r="C6" s="68" t="s">
        <v>36</v>
      </c>
      <c r="D6" s="68" t="s">
        <v>25</v>
      </c>
      <c r="E6" s="68">
        <v>2018</v>
      </c>
      <c r="F6" s="69">
        <v>46319</v>
      </c>
      <c r="G6" s="69">
        <v>46319</v>
      </c>
      <c r="H6" s="5"/>
      <c r="I6" s="5"/>
      <c r="J6" s="5"/>
      <c r="K6" s="1">
        <v>1</v>
      </c>
      <c r="L6" s="1">
        <f t="shared" ref="L6" si="1">$F$1-F6</f>
        <v>0</v>
      </c>
      <c r="M6" s="1">
        <f t="shared" ref="M6" si="2">$F$1-G6</f>
        <v>0</v>
      </c>
      <c r="N6" s="1"/>
      <c r="O6" s="1"/>
      <c r="P6" s="1"/>
      <c r="Q6" s="70" t="s">
        <v>171</v>
      </c>
      <c r="R6" s="22" t="s">
        <v>172</v>
      </c>
      <c r="S6" s="4" t="s">
        <v>100</v>
      </c>
      <c r="T6" s="106"/>
    </row>
    <row r="7" spans="1:69" s="20" customFormat="1" ht="15" customHeight="1" x14ac:dyDescent="0.3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55</v>
      </c>
      <c r="M12" s="1">
        <f t="shared" si="3"/>
        <v>55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E77B-2DE3-4B22-A9EA-8D5746325F01}">
  <dimension ref="A1:BQ20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47.55468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46320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7" t="s">
        <v>16</v>
      </c>
      <c r="M3" s="147" t="s">
        <v>17</v>
      </c>
      <c r="N3" s="147" t="s">
        <v>18</v>
      </c>
      <c r="O3" s="147" t="s">
        <v>19</v>
      </c>
      <c r="P3" s="147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22" t="s">
        <v>23</v>
      </c>
      <c r="C5" s="68" t="s">
        <v>24</v>
      </c>
      <c r="D5" s="68" t="s">
        <v>25</v>
      </c>
      <c r="E5" s="68">
        <v>2016</v>
      </c>
      <c r="F5" s="69">
        <v>46320</v>
      </c>
      <c r="G5" s="69">
        <v>46320</v>
      </c>
      <c r="H5" s="69"/>
      <c r="I5" s="69"/>
      <c r="J5" s="69"/>
      <c r="K5" s="68"/>
      <c r="L5" s="68">
        <f t="shared" ref="L5:L7" si="0">$F$1-F5</f>
        <v>0</v>
      </c>
      <c r="M5" s="68">
        <f t="shared" ref="M5:M7" si="1">$F$1-G5</f>
        <v>0</v>
      </c>
      <c r="N5" s="68"/>
      <c r="O5" s="68"/>
      <c r="P5" s="68"/>
      <c r="Q5" s="70" t="s">
        <v>177</v>
      </c>
      <c r="R5" s="22" t="s">
        <v>176</v>
      </c>
      <c r="S5" s="4" t="s">
        <v>159</v>
      </c>
      <c r="T5" s="106"/>
    </row>
    <row r="6" spans="1:69" s="20" customFormat="1" ht="15" customHeight="1" x14ac:dyDescent="0.3">
      <c r="A6" s="4">
        <v>2</v>
      </c>
      <c r="B6" s="22" t="s">
        <v>103</v>
      </c>
      <c r="C6" s="68" t="s">
        <v>24</v>
      </c>
      <c r="D6" s="68" t="s">
        <v>25</v>
      </c>
      <c r="E6" s="68">
        <v>2018</v>
      </c>
      <c r="F6" s="69">
        <v>46320</v>
      </c>
      <c r="G6" s="69">
        <v>46320</v>
      </c>
      <c r="H6" s="69"/>
      <c r="I6" s="69"/>
      <c r="J6" s="69"/>
      <c r="K6" s="68"/>
      <c r="L6" s="68">
        <f t="shared" si="0"/>
        <v>0</v>
      </c>
      <c r="M6" s="68">
        <f t="shared" si="1"/>
        <v>0</v>
      </c>
      <c r="N6" s="68"/>
      <c r="O6" s="68"/>
      <c r="P6" s="68"/>
      <c r="Q6" s="70" t="s">
        <v>178</v>
      </c>
      <c r="R6" s="22"/>
      <c r="S6" s="4" t="s">
        <v>100</v>
      </c>
      <c r="T6" s="106"/>
    </row>
    <row r="7" spans="1:69" s="20" customFormat="1" ht="15" customHeight="1" x14ac:dyDescent="0.3">
      <c r="A7" s="4">
        <v>3</v>
      </c>
      <c r="B7" s="22" t="s">
        <v>183</v>
      </c>
      <c r="C7" s="68" t="s">
        <v>173</v>
      </c>
      <c r="D7" s="68" t="s">
        <v>58</v>
      </c>
      <c r="E7" s="68">
        <v>2025</v>
      </c>
      <c r="F7" s="69">
        <v>46320</v>
      </c>
      <c r="G7" s="69">
        <v>46320</v>
      </c>
      <c r="H7" s="69"/>
      <c r="I7" s="69"/>
      <c r="J7" s="69"/>
      <c r="K7" s="68">
        <v>1</v>
      </c>
      <c r="L7" s="68">
        <f t="shared" si="0"/>
        <v>0</v>
      </c>
      <c r="M7" s="68">
        <f t="shared" si="1"/>
        <v>0</v>
      </c>
      <c r="N7" s="68"/>
      <c r="O7" s="68"/>
      <c r="P7" s="68"/>
      <c r="Q7" s="70" t="s">
        <v>182</v>
      </c>
      <c r="R7" s="22"/>
      <c r="S7" s="4" t="s">
        <v>160</v>
      </c>
      <c r="T7" s="106"/>
    </row>
    <row r="8" spans="1:69" s="20" customFormat="1" ht="15" customHeight="1" x14ac:dyDescent="0.3">
      <c r="A8" s="4">
        <v>4</v>
      </c>
      <c r="B8" s="22" t="s">
        <v>179</v>
      </c>
      <c r="C8" s="68" t="s">
        <v>180</v>
      </c>
      <c r="D8" s="68" t="s">
        <v>181</v>
      </c>
      <c r="E8" s="68">
        <v>2025</v>
      </c>
      <c r="F8" s="69">
        <v>46320</v>
      </c>
      <c r="G8" s="69">
        <v>46320</v>
      </c>
      <c r="H8" s="69"/>
      <c r="I8" s="69"/>
      <c r="J8" s="69"/>
      <c r="K8" s="68"/>
      <c r="L8" s="68">
        <f t="shared" ref="L8:L9" si="2">$F$1-F8</f>
        <v>0</v>
      </c>
      <c r="M8" s="68">
        <f t="shared" ref="M8:M9" si="3">$F$1-G8</f>
        <v>0</v>
      </c>
      <c r="N8" s="68"/>
      <c r="O8" s="68"/>
      <c r="P8" s="68"/>
      <c r="Q8" s="70" t="s">
        <v>182</v>
      </c>
      <c r="R8" s="22"/>
      <c r="S8" s="22"/>
      <c r="T8" s="106"/>
    </row>
    <row r="9" spans="1:69" s="20" customFormat="1" ht="15" customHeight="1" x14ac:dyDescent="0.3">
      <c r="A9" s="4">
        <v>5</v>
      </c>
      <c r="B9" s="22" t="s">
        <v>77</v>
      </c>
      <c r="C9" s="68" t="s">
        <v>24</v>
      </c>
      <c r="D9" s="68" t="s">
        <v>25</v>
      </c>
      <c r="E9" s="68">
        <v>2018</v>
      </c>
      <c r="F9" s="69">
        <v>46320</v>
      </c>
      <c r="G9" s="69">
        <v>46320</v>
      </c>
      <c r="H9" s="69"/>
      <c r="I9" s="69"/>
      <c r="J9" s="69"/>
      <c r="K9" s="68"/>
      <c r="L9" s="68">
        <f t="shared" si="2"/>
        <v>0</v>
      </c>
      <c r="M9" s="68">
        <f t="shared" si="3"/>
        <v>0</v>
      </c>
      <c r="N9" s="68"/>
      <c r="O9" s="68"/>
      <c r="P9" s="68"/>
      <c r="Q9" s="70" t="s">
        <v>184</v>
      </c>
      <c r="R9" s="22"/>
      <c r="S9" s="22"/>
      <c r="T9" s="106"/>
    </row>
    <row r="10" spans="1:69" s="32" customFormat="1" ht="15" customHeight="1" x14ac:dyDescent="0.3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25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25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4">$F$1-F13</f>
        <v>56</v>
      </c>
      <c r="M13" s="1">
        <f t="shared" si="4"/>
        <v>56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8" customHeight="1" x14ac:dyDescent="0.3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8FAE-7966-4A18-8D8F-A30ADADA0490}">
  <dimension ref="A1:BQ19"/>
  <sheetViews>
    <sheetView workbookViewId="0">
      <selection sqref="A1:XFD1048576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64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46321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8" t="s">
        <v>16</v>
      </c>
      <c r="M3" s="148" t="s">
        <v>17</v>
      </c>
      <c r="N3" s="148" t="s">
        <v>18</v>
      </c>
      <c r="O3" s="148" t="s">
        <v>19</v>
      </c>
      <c r="P3" s="148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23</v>
      </c>
      <c r="C5" s="1" t="s">
        <v>24</v>
      </c>
      <c r="D5" s="1" t="s">
        <v>25</v>
      </c>
      <c r="E5" s="1">
        <v>2016</v>
      </c>
      <c r="F5" s="5">
        <v>46320</v>
      </c>
      <c r="G5" s="5">
        <v>46320</v>
      </c>
      <c r="H5" s="5"/>
      <c r="I5" s="5"/>
      <c r="J5" s="5"/>
      <c r="K5" s="1"/>
      <c r="L5" s="1">
        <f t="shared" ref="L5:M6" si="0">$F$1-F5</f>
        <v>1</v>
      </c>
      <c r="M5" s="1">
        <f t="shared" si="0"/>
        <v>1</v>
      </c>
      <c r="N5" s="1"/>
      <c r="O5" s="1"/>
      <c r="P5" s="1"/>
      <c r="Q5" s="21" t="s">
        <v>177</v>
      </c>
      <c r="R5" s="4" t="s">
        <v>183</v>
      </c>
      <c r="S5" s="4" t="s">
        <v>185</v>
      </c>
      <c r="T5" s="106"/>
    </row>
    <row r="6" spans="1:69" s="20" customFormat="1" ht="15" customHeight="1" x14ac:dyDescent="0.3">
      <c r="A6" s="4">
        <v>2</v>
      </c>
      <c r="B6" s="4" t="s">
        <v>103</v>
      </c>
      <c r="C6" s="1" t="s">
        <v>24</v>
      </c>
      <c r="D6" s="1" t="s">
        <v>25</v>
      </c>
      <c r="E6" s="1">
        <v>2018</v>
      </c>
      <c r="F6" s="5">
        <v>46320</v>
      </c>
      <c r="G6" s="5">
        <v>46320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178</v>
      </c>
      <c r="R6" s="4"/>
      <c r="S6" s="4" t="s">
        <v>114</v>
      </c>
      <c r="T6" s="106"/>
    </row>
    <row r="7" spans="1:69" s="20" customFormat="1" ht="15" customHeight="1" x14ac:dyDescent="0.3">
      <c r="A7" s="4">
        <v>3</v>
      </c>
      <c r="B7" s="4" t="s">
        <v>77</v>
      </c>
      <c r="C7" s="1" t="s">
        <v>24</v>
      </c>
      <c r="D7" s="1" t="s">
        <v>25</v>
      </c>
      <c r="E7" s="1">
        <v>2018</v>
      </c>
      <c r="F7" s="5">
        <v>46320</v>
      </c>
      <c r="G7" s="5">
        <v>46320</v>
      </c>
      <c r="H7" s="5"/>
      <c r="I7" s="5"/>
      <c r="J7" s="5"/>
      <c r="K7" s="1"/>
      <c r="L7" s="1">
        <f t="shared" ref="L7:L8" si="1">$F$1-F7</f>
        <v>1</v>
      </c>
      <c r="M7" s="1">
        <f t="shared" ref="M7:M8" si="2">$F$1-G7</f>
        <v>1</v>
      </c>
      <c r="N7" s="1"/>
      <c r="O7" s="1"/>
      <c r="P7" s="1"/>
      <c r="Q7" s="21" t="s">
        <v>187</v>
      </c>
      <c r="R7" s="4"/>
      <c r="S7" s="4" t="s">
        <v>154</v>
      </c>
      <c r="T7" s="106"/>
    </row>
    <row r="8" spans="1:69" s="20" customFormat="1" ht="15" customHeight="1" x14ac:dyDescent="0.3">
      <c r="A8" s="4">
        <v>4</v>
      </c>
      <c r="B8" s="4" t="s">
        <v>33</v>
      </c>
      <c r="C8" s="1" t="s">
        <v>24</v>
      </c>
      <c r="D8" s="1" t="s">
        <v>25</v>
      </c>
      <c r="E8" s="1">
        <v>2018</v>
      </c>
      <c r="F8" s="5">
        <v>46321</v>
      </c>
      <c r="G8" s="5">
        <v>46321</v>
      </c>
      <c r="H8" s="5"/>
      <c r="I8" s="5"/>
      <c r="J8" s="5"/>
      <c r="K8" s="1"/>
      <c r="L8" s="1">
        <f t="shared" si="1"/>
        <v>0</v>
      </c>
      <c r="M8" s="1">
        <f t="shared" si="2"/>
        <v>0</v>
      </c>
      <c r="N8" s="1"/>
      <c r="O8" s="1"/>
      <c r="P8" s="1"/>
      <c r="Q8" s="21" t="s">
        <v>188</v>
      </c>
      <c r="R8" s="4"/>
      <c r="S8" s="4"/>
      <c r="T8" s="106"/>
    </row>
    <row r="9" spans="1:69" s="32" customFormat="1" ht="15" customHeight="1" x14ac:dyDescent="0.3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">
      <c r="A10" s="4">
        <v>5</v>
      </c>
      <c r="B10" s="4" t="s">
        <v>179</v>
      </c>
      <c r="C10" s="1" t="s">
        <v>180</v>
      </c>
      <c r="D10" s="1" t="s">
        <v>181</v>
      </c>
      <c r="E10" s="1">
        <v>2025</v>
      </c>
      <c r="F10" s="5">
        <v>46320</v>
      </c>
      <c r="G10" s="5">
        <v>46320</v>
      </c>
      <c r="H10" s="5"/>
      <c r="I10" s="5"/>
      <c r="J10" s="5"/>
      <c r="K10" s="1"/>
      <c r="L10" s="1">
        <f t="shared" ref="L10" si="3">$F$1-F10</f>
        <v>1</v>
      </c>
      <c r="M10" s="1">
        <f t="shared" ref="M10" si="4">$F$1-G10</f>
        <v>1</v>
      </c>
      <c r="N10" s="1"/>
      <c r="O10" s="1"/>
      <c r="P10" s="1"/>
      <c r="Q10" s="21" t="s">
        <v>186</v>
      </c>
      <c r="R10" s="4"/>
      <c r="S10" s="4"/>
      <c r="T10" s="106"/>
    </row>
    <row r="11" spans="1:69" s="43" customFormat="1" ht="15" customHeight="1" x14ac:dyDescent="0.25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25">
      <c r="A12" s="94">
        <v>6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5">$F$1-F12</f>
        <v>57</v>
      </c>
      <c r="M12" s="1">
        <f t="shared" si="5"/>
        <v>57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8" customHeight="1" x14ac:dyDescent="0.3">
      <c r="A13" s="46"/>
      <c r="B13" s="47" t="s">
        <v>39</v>
      </c>
      <c r="C13" s="47">
        <v>5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5527-C6D3-4964-8BAE-6BEB80EB023E}">
  <dimension ref="A1:BQ17"/>
  <sheetViews>
    <sheetView tabSelected="1" workbookViewId="0">
      <selection activeCell="E5" sqref="E5"/>
    </sheetView>
  </sheetViews>
  <sheetFormatPr defaultColWidth="9.109375" defaultRowHeight="13.2" x14ac:dyDescent="0.3"/>
  <cols>
    <col min="1" max="1" width="3.33203125" style="57" customWidth="1"/>
    <col min="2" max="2" width="10.88671875" style="58" customWidth="1"/>
    <col min="3" max="3" width="12" style="53" customWidth="1"/>
    <col min="4" max="4" width="11.6640625" style="53" customWidth="1"/>
    <col min="5" max="5" width="7.44140625" style="59" customWidth="1"/>
    <col min="6" max="6" width="11.33203125" style="60" customWidth="1"/>
    <col min="7" max="7" width="10.33203125" style="60" customWidth="1"/>
    <col min="8" max="8" width="11.21875" style="60" customWidth="1"/>
    <col min="9" max="9" width="9" style="60" customWidth="1"/>
    <col min="10" max="10" width="9.109375" style="60"/>
    <col min="11" max="11" width="8.44140625" style="61" customWidth="1"/>
    <col min="12" max="16" width="5.88671875" style="57" customWidth="1"/>
    <col min="17" max="17" width="64.77734375" style="53" customWidth="1"/>
    <col min="18" max="18" width="11.88671875" style="57" customWidth="1"/>
    <col min="19" max="19" width="12.88671875" style="53" customWidth="1"/>
    <col min="20" max="20" width="11.44140625" style="57" customWidth="1"/>
    <col min="21" max="16384" width="9.109375" style="7"/>
  </cols>
  <sheetData>
    <row r="1" spans="1:69" x14ac:dyDescent="0.3">
      <c r="A1" s="1"/>
      <c r="B1" s="2"/>
      <c r="C1" s="3"/>
      <c r="D1" s="3"/>
      <c r="E1" s="4"/>
      <c r="F1" s="5">
        <v>46322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8" customHeight="1" x14ac:dyDescent="0.3">
      <c r="A2" s="150" t="s">
        <v>0</v>
      </c>
      <c r="B2" s="150" t="s">
        <v>1</v>
      </c>
      <c r="C2" s="150" t="s">
        <v>2</v>
      </c>
      <c r="D2" s="150" t="s">
        <v>3</v>
      </c>
      <c r="E2" s="150" t="s">
        <v>4</v>
      </c>
      <c r="F2" s="153" t="s">
        <v>5</v>
      </c>
      <c r="G2" s="153" t="s">
        <v>6</v>
      </c>
      <c r="H2" s="153" t="s">
        <v>7</v>
      </c>
      <c r="I2" s="153" t="s">
        <v>8</v>
      </c>
      <c r="J2" s="155" t="s">
        <v>9</v>
      </c>
      <c r="K2" s="157" t="s">
        <v>10</v>
      </c>
      <c r="L2" s="159" t="s">
        <v>11</v>
      </c>
      <c r="M2" s="160"/>
      <c r="N2" s="160"/>
      <c r="O2" s="160"/>
      <c r="P2" s="161"/>
      <c r="Q2" s="150" t="s">
        <v>12</v>
      </c>
      <c r="R2" s="152" t="s">
        <v>13</v>
      </c>
      <c r="S2" s="152" t="s">
        <v>14</v>
      </c>
      <c r="T2" s="150" t="s">
        <v>15</v>
      </c>
    </row>
    <row r="3" spans="1:69" s="8" customFormat="1" ht="36" customHeight="1" x14ac:dyDescent="0.3">
      <c r="A3" s="151"/>
      <c r="B3" s="151"/>
      <c r="C3" s="151"/>
      <c r="D3" s="151"/>
      <c r="E3" s="151"/>
      <c r="F3" s="154"/>
      <c r="G3" s="154"/>
      <c r="H3" s="154"/>
      <c r="I3" s="154"/>
      <c r="J3" s="156"/>
      <c r="K3" s="158"/>
      <c r="L3" s="149" t="s">
        <v>16</v>
      </c>
      <c r="M3" s="149" t="s">
        <v>17</v>
      </c>
      <c r="N3" s="149" t="s">
        <v>18</v>
      </c>
      <c r="O3" s="149" t="s">
        <v>19</v>
      </c>
      <c r="P3" s="149" t="s">
        <v>20</v>
      </c>
      <c r="Q3" s="151"/>
      <c r="R3" s="152"/>
      <c r="S3" s="152"/>
      <c r="T3" s="151"/>
    </row>
    <row r="4" spans="1:69" s="20" customFormat="1" ht="15" customHeight="1" x14ac:dyDescent="0.3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">
      <c r="A5" s="4">
        <v>1</v>
      </c>
      <c r="B5" s="4" t="s">
        <v>23</v>
      </c>
      <c r="C5" s="1" t="s">
        <v>24</v>
      </c>
      <c r="D5" s="1" t="s">
        <v>25</v>
      </c>
      <c r="E5" s="1">
        <v>2016</v>
      </c>
      <c r="F5" s="5">
        <v>46320</v>
      </c>
      <c r="G5" s="5">
        <v>46320</v>
      </c>
      <c r="H5" s="5"/>
      <c r="I5" s="5"/>
      <c r="J5" s="5"/>
      <c r="K5" s="1"/>
      <c r="L5" s="1">
        <f t="shared" ref="L5:M7" si="0">$F$1-F5</f>
        <v>2</v>
      </c>
      <c r="M5" s="1">
        <f t="shared" si="0"/>
        <v>2</v>
      </c>
      <c r="N5" s="1"/>
      <c r="O5" s="1"/>
      <c r="P5" s="1"/>
      <c r="Q5" s="21" t="s">
        <v>177</v>
      </c>
      <c r="R5" s="4" t="s">
        <v>33</v>
      </c>
      <c r="S5" s="4" t="s">
        <v>185</v>
      </c>
      <c r="T5" s="106"/>
    </row>
    <row r="6" spans="1:69" s="20" customFormat="1" ht="15" customHeight="1" x14ac:dyDescent="0.3">
      <c r="A6" s="4">
        <v>2</v>
      </c>
      <c r="B6" s="4" t="s">
        <v>103</v>
      </c>
      <c r="C6" s="1" t="s">
        <v>24</v>
      </c>
      <c r="D6" s="1" t="s">
        <v>25</v>
      </c>
      <c r="E6" s="1">
        <v>2018</v>
      </c>
      <c r="F6" s="5">
        <v>46320</v>
      </c>
      <c r="G6" s="5">
        <v>46320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178</v>
      </c>
      <c r="R6" s="4"/>
      <c r="S6" s="4" t="s">
        <v>114</v>
      </c>
      <c r="T6" s="106"/>
    </row>
    <row r="7" spans="1:69" s="20" customFormat="1" ht="15" customHeight="1" x14ac:dyDescent="0.3">
      <c r="A7" s="4">
        <v>3</v>
      </c>
      <c r="B7" s="4" t="s">
        <v>77</v>
      </c>
      <c r="C7" s="1" t="s">
        <v>24</v>
      </c>
      <c r="D7" s="1" t="s">
        <v>25</v>
      </c>
      <c r="E7" s="1">
        <v>2018</v>
      </c>
      <c r="F7" s="5">
        <v>46320</v>
      </c>
      <c r="G7" s="5">
        <v>46320</v>
      </c>
      <c r="H7" s="5"/>
      <c r="I7" s="5"/>
      <c r="J7" s="5"/>
      <c r="K7" s="1"/>
      <c r="L7" s="1">
        <f t="shared" si="0"/>
        <v>2</v>
      </c>
      <c r="M7" s="1">
        <f t="shared" si="0"/>
        <v>2</v>
      </c>
      <c r="N7" s="1"/>
      <c r="O7" s="1"/>
      <c r="P7" s="1"/>
      <c r="Q7" s="21" t="s">
        <v>189</v>
      </c>
      <c r="R7" s="4"/>
      <c r="S7" s="4" t="s">
        <v>154</v>
      </c>
      <c r="T7" s="106"/>
    </row>
    <row r="8" spans="1:69" s="32" customFormat="1" ht="15" customHeight="1" x14ac:dyDescent="0.3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">
      <c r="A9" s="4">
        <v>4</v>
      </c>
      <c r="B9" s="4" t="s">
        <v>179</v>
      </c>
      <c r="C9" s="1" t="s">
        <v>190</v>
      </c>
      <c r="D9" s="1" t="s">
        <v>191</v>
      </c>
      <c r="E9" s="1">
        <v>2025</v>
      </c>
      <c r="F9" s="5">
        <v>46320</v>
      </c>
      <c r="G9" s="5">
        <v>46320</v>
      </c>
      <c r="H9" s="5"/>
      <c r="I9" s="5"/>
      <c r="J9" s="5"/>
      <c r="K9" s="1"/>
      <c r="L9" s="1">
        <f t="shared" ref="L9:M9" si="1">$F$1-F9</f>
        <v>2</v>
      </c>
      <c r="M9" s="1">
        <f t="shared" si="1"/>
        <v>2</v>
      </c>
      <c r="N9" s="1"/>
      <c r="O9" s="1"/>
      <c r="P9" s="1"/>
      <c r="Q9" s="21" t="s">
        <v>186</v>
      </c>
      <c r="R9" s="4"/>
      <c r="S9" s="4"/>
      <c r="T9" s="106"/>
    </row>
    <row r="10" spans="1:69" s="43" customFormat="1" ht="15" customHeight="1" x14ac:dyDescent="0.25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25">
      <c r="A11" s="94">
        <v>5</v>
      </c>
      <c r="B11" s="4" t="s">
        <v>105</v>
      </c>
      <c r="C11" s="1" t="s">
        <v>79</v>
      </c>
      <c r="D11" s="1" t="s">
        <v>37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2">$F$1-F11</f>
        <v>58</v>
      </c>
      <c r="M11" s="1">
        <f t="shared" si="2"/>
        <v>58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8" customHeight="1" x14ac:dyDescent="0.3">
      <c r="A12" s="46"/>
      <c r="B12" s="47" t="s">
        <v>39</v>
      </c>
      <c r="C12" s="47">
        <v>5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72</vt:i4>
      </vt:variant>
    </vt:vector>
  </HeadingPairs>
  <TitlesOfParts>
    <vt:vector size="72" baseType="lpstr">
      <vt:lpstr>17.08</vt:lpstr>
      <vt:lpstr>18,08</vt:lpstr>
      <vt:lpstr>19,08</vt:lpstr>
      <vt:lpstr>20,08</vt:lpstr>
      <vt:lpstr>21,08</vt:lpstr>
      <vt:lpstr>22,08</vt:lpstr>
      <vt:lpstr>23.08</vt:lpstr>
      <vt:lpstr>24,08</vt:lpstr>
      <vt:lpstr>25,08</vt:lpstr>
      <vt:lpstr>26.08</vt:lpstr>
      <vt:lpstr>27.08</vt:lpstr>
      <vt:lpstr>28.08</vt:lpstr>
      <vt:lpstr>29.08</vt:lpstr>
      <vt:lpstr>30.08</vt:lpstr>
      <vt:lpstr>31.08</vt:lpstr>
      <vt:lpstr>01.09</vt:lpstr>
      <vt:lpstr>02.09</vt:lpstr>
      <vt:lpstr>03.09</vt:lpstr>
      <vt:lpstr>04.09</vt:lpstr>
      <vt:lpstr>05.09</vt:lpstr>
      <vt:lpstr>06,09</vt:lpstr>
      <vt:lpstr>07,09</vt:lpstr>
      <vt:lpstr>08,09</vt:lpstr>
      <vt:lpstr>09,09</vt:lpstr>
      <vt:lpstr>10,09</vt:lpstr>
      <vt:lpstr>11,09</vt:lpstr>
      <vt:lpstr>12,09</vt:lpstr>
      <vt:lpstr>13,09</vt:lpstr>
      <vt:lpstr>14,09</vt:lpstr>
      <vt:lpstr>15,09</vt:lpstr>
      <vt:lpstr>16.09</vt:lpstr>
      <vt:lpstr>17.09</vt:lpstr>
      <vt:lpstr>18.09</vt:lpstr>
      <vt:lpstr>19.09</vt:lpstr>
      <vt:lpstr>20.09</vt:lpstr>
      <vt:lpstr>21.09</vt:lpstr>
      <vt:lpstr>22.09</vt:lpstr>
      <vt:lpstr>23.09</vt:lpstr>
      <vt:lpstr>24.09</vt:lpstr>
      <vt:lpstr>25.09</vt:lpstr>
      <vt:lpstr>26,09</vt:lpstr>
      <vt:lpstr>27,09</vt:lpstr>
      <vt:lpstr>28,09</vt:lpstr>
      <vt:lpstr>29,09</vt:lpstr>
      <vt:lpstr>30,09</vt:lpstr>
      <vt:lpstr>01,10</vt:lpstr>
      <vt:lpstr>02,10</vt:lpstr>
      <vt:lpstr>03,10</vt:lpstr>
      <vt:lpstr>04,10</vt:lpstr>
      <vt:lpstr>05,10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16,10</vt:lpstr>
      <vt:lpstr>17,10</vt:lpstr>
      <vt:lpstr>18,10</vt:lpstr>
      <vt:lpstr>19,10</vt:lpstr>
      <vt:lpstr>20,10</vt:lpstr>
      <vt:lpstr>21,10</vt:lpstr>
      <vt:lpstr>22,10</vt:lpstr>
      <vt:lpstr>23,10</vt:lpstr>
      <vt:lpstr>24,10</vt:lpstr>
      <vt:lpstr>25,10</vt:lpstr>
      <vt:lpstr>26.10</vt:lpstr>
      <vt:lpstr>27.10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Карасаев Джексенгали Сарсанбаевич</dc:creator>
  <cp:lastModifiedBy>Арканов Жалгас Онгарбаевич</cp:lastModifiedBy>
  <dcterms:created xsi:type="dcterms:W3CDTF">2015-06-05T18:17:20Z</dcterms:created>
  <dcterms:modified xsi:type="dcterms:W3CDTF">2026-10-27T01:02:24Z</dcterms:modified>
</cp:coreProperties>
</file>