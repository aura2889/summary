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 defaultThemeVersion="124226"/>
  <xr:revisionPtr revIDLastSave="0" documentId="13_ncr:1_{53BE1DC2-7800-46A0-8FC5-1A6C6D3241B4}" xr6:coauthVersionLast="47" xr6:coauthVersionMax="47" xr10:uidLastSave="{00000000-0000-0000-0000-000000000000}"/>
  <bookViews>
    <workbookView xWindow="-108" yWindow="-108" windowWidth="30936" windowHeight="16776" tabRatio="719" firstSheet="183" activeTab="206" xr2:uid="{00000000-000D-0000-FFFF-FFFF00000000}"/>
  </bookViews>
  <sheets>
    <sheet name="Лист1" sheetId="691" state="hidden" r:id="rId1"/>
    <sheet name="02.04" sheetId="3236" r:id="rId2"/>
    <sheet name="03.04" sheetId="3237" r:id="rId3"/>
    <sheet name="04.04" sheetId="3238" r:id="rId4"/>
    <sheet name="05.04" sheetId="3239" r:id="rId5"/>
    <sheet name="06.04" sheetId="3240" r:id="rId6"/>
    <sheet name="07.04" sheetId="3241" r:id="rId7"/>
    <sheet name="08.04" sheetId="3242" r:id="rId8"/>
    <sheet name="09.04" sheetId="3243" r:id="rId9"/>
    <sheet name="10.04" sheetId="3244" r:id="rId10"/>
    <sheet name="11.04" sheetId="3245" r:id="rId11"/>
    <sheet name="12.04" sheetId="3246" r:id="rId12"/>
    <sheet name="13.04" sheetId="3247" r:id="rId13"/>
    <sheet name="14.04" sheetId="3248" r:id="rId14"/>
    <sheet name="15.04" sheetId="3249" r:id="rId15"/>
    <sheet name="16.04" sheetId="3250" r:id="rId16"/>
    <sheet name="17.04" sheetId="3251" r:id="rId17"/>
    <sheet name="18.04" sheetId="3252" r:id="rId18"/>
    <sheet name="19.04" sheetId="3253" r:id="rId19"/>
    <sheet name="20.04" sheetId="3254" r:id="rId20"/>
    <sheet name="21.04" sheetId="3255" r:id="rId21"/>
    <sheet name="22.04" sheetId="3256" r:id="rId22"/>
    <sheet name="23.04" sheetId="3257" r:id="rId23"/>
    <sheet name="24.04" sheetId="3258" r:id="rId24"/>
    <sheet name="25.04" sheetId="3259" r:id="rId25"/>
    <sheet name="26.04" sheetId="3260" r:id="rId26"/>
    <sheet name="27.04" sheetId="3261" r:id="rId27"/>
    <sheet name="28.04" sheetId="3262" r:id="rId28"/>
    <sheet name="29.04" sheetId="3263" r:id="rId29"/>
    <sheet name="30.04" sheetId="3264" r:id="rId30"/>
    <sheet name="01.05" sheetId="3265" r:id="rId31"/>
    <sheet name="02.05" sheetId="3266" r:id="rId32"/>
    <sheet name="03.05" sheetId="3267" r:id="rId33"/>
    <sheet name="04.05" sheetId="3268" r:id="rId34"/>
    <sheet name="05.05" sheetId="3269" r:id="rId35"/>
    <sheet name="06.05." sheetId="3270" r:id="rId36"/>
    <sheet name="07.05" sheetId="3271" r:id="rId37"/>
    <sheet name="08.05" sheetId="3272" r:id="rId38"/>
    <sheet name="09.05" sheetId="3273" r:id="rId39"/>
    <sheet name="10.05" sheetId="3274" r:id="rId40"/>
    <sheet name="11.05" sheetId="3275" r:id="rId41"/>
    <sheet name="12.05" sheetId="3276" r:id="rId42"/>
    <sheet name="13.05" sheetId="3277" r:id="rId43"/>
    <sheet name="14.05" sheetId="3278" r:id="rId44"/>
    <sheet name="15.05" sheetId="3279" r:id="rId45"/>
    <sheet name="16.05" sheetId="3280" r:id="rId46"/>
    <sheet name="17.05" sheetId="3281" r:id="rId47"/>
    <sheet name="18.05" sheetId="3282" r:id="rId48"/>
    <sheet name="Лист2" sheetId="3283" r:id="rId49"/>
    <sheet name="20.05" sheetId="3284" r:id="rId50"/>
    <sheet name="21.05" sheetId="3285" r:id="rId51"/>
    <sheet name="22.05" sheetId="3286" r:id="rId52"/>
    <sheet name="23.05" sheetId="3287" r:id="rId53"/>
    <sheet name="24.05" sheetId="3288" r:id="rId54"/>
    <sheet name="25.05" sheetId="3289" r:id="rId55"/>
    <sheet name="26.05" sheetId="3290" r:id="rId56"/>
    <sheet name="27.05" sheetId="3291" r:id="rId57"/>
    <sheet name="28.05" sheetId="3292" r:id="rId58"/>
    <sheet name="29.05" sheetId="3293" r:id="rId59"/>
    <sheet name="30.05" sheetId="3294" r:id="rId60"/>
    <sheet name="31.05" sheetId="3295" r:id="rId61"/>
    <sheet name="01.06" sheetId="3296" r:id="rId62"/>
    <sheet name="02.06" sheetId="3297" r:id="rId63"/>
    <sheet name="03.06" sheetId="3298" r:id="rId64"/>
    <sheet name="04.06" sheetId="3299" r:id="rId65"/>
    <sheet name="05.06" sheetId="3300" r:id="rId66"/>
    <sheet name="06.06" sheetId="3301" r:id="rId67"/>
    <sheet name="07.06" sheetId="3302" r:id="rId68"/>
    <sheet name="08.06" sheetId="3303" r:id="rId69"/>
    <sheet name="09.06" sheetId="3304" r:id="rId70"/>
    <sheet name="10.06" sheetId="3305" r:id="rId71"/>
    <sheet name="11.06" sheetId="3306" r:id="rId72"/>
    <sheet name="12.06" sheetId="3307" r:id="rId73"/>
    <sheet name="13.06" sheetId="3308" r:id="rId74"/>
    <sheet name="14.06" sheetId="3309" r:id="rId75"/>
    <sheet name="15.06" sheetId="3310" r:id="rId76"/>
    <sheet name="16.06" sheetId="3311" r:id="rId77"/>
    <sheet name="17.06" sheetId="3312" r:id="rId78"/>
    <sheet name="18.06" sheetId="3313" r:id="rId79"/>
    <sheet name="19.06" sheetId="3314" r:id="rId80"/>
    <sheet name="20.06" sheetId="3315" r:id="rId81"/>
    <sheet name="21.06" sheetId="3316" r:id="rId82"/>
    <sheet name="22.06" sheetId="3317" r:id="rId83"/>
    <sheet name="23.06" sheetId="3318" r:id="rId84"/>
    <sheet name="24.06" sheetId="3319" r:id="rId85"/>
    <sheet name="25.06" sheetId="3320" r:id="rId86"/>
    <sheet name="26.06" sheetId="3321" r:id="rId87"/>
    <sheet name="27.06." sheetId="3322" r:id="rId88"/>
    <sheet name="28.06" sheetId="3323" r:id="rId89"/>
    <sheet name="29.06" sheetId="3324" r:id="rId90"/>
    <sheet name="30.06" sheetId="3325" r:id="rId91"/>
    <sheet name="01.07" sheetId="3326" r:id="rId92"/>
    <sheet name="02.07" sheetId="3327" r:id="rId93"/>
    <sheet name="03.07" sheetId="3328" r:id="rId94"/>
    <sheet name="04.07" sheetId="3329" r:id="rId95"/>
    <sheet name="05.07" sheetId="3330" r:id="rId96"/>
    <sheet name="06.07" sheetId="3331" r:id="rId97"/>
    <sheet name="07.07" sheetId="3332" r:id="rId98"/>
    <sheet name="08.07" sheetId="3333" r:id="rId99"/>
    <sheet name="09.07" sheetId="3334" r:id="rId100"/>
    <sheet name="10.07" sheetId="3335" r:id="rId101"/>
    <sheet name="11.07" sheetId="3336" r:id="rId102"/>
    <sheet name="12.07" sheetId="3337" r:id="rId103"/>
    <sheet name="13.07" sheetId="3338" r:id="rId104"/>
    <sheet name="14.07" sheetId="3339" r:id="rId105"/>
    <sheet name="15.07" sheetId="3340" r:id="rId106"/>
    <sheet name="16.07" sheetId="3341" r:id="rId107"/>
    <sheet name="17.07" sheetId="3342" r:id="rId108"/>
    <sheet name="18.07" sheetId="3343" r:id="rId109"/>
    <sheet name="19.07" sheetId="3344" r:id="rId110"/>
    <sheet name="20.07" sheetId="3345" r:id="rId111"/>
    <sheet name="21.07" sheetId="3346" r:id="rId112"/>
    <sheet name="22.07" sheetId="3347" r:id="rId113"/>
    <sheet name="23.07" sheetId="3348" r:id="rId114"/>
    <sheet name="25.07" sheetId="3349" r:id="rId115"/>
    <sheet name="26.07" sheetId="3350" r:id="rId116"/>
    <sheet name="27.07" sheetId="3351" r:id="rId117"/>
    <sheet name="28.07." sheetId="3352" r:id="rId118"/>
    <sheet name="29.07." sheetId="3353" r:id="rId119"/>
    <sheet name="30.07." sheetId="3355" r:id="rId120"/>
    <sheet name="31.07." sheetId="3356" r:id="rId121"/>
    <sheet name="01.08." sheetId="3357" r:id="rId122"/>
    <sheet name="02.08." sheetId="3358" r:id="rId123"/>
    <sheet name="03.08." sheetId="3359" r:id="rId124"/>
    <sheet name="04.08." sheetId="3360" r:id="rId125"/>
    <sheet name="05.08." sheetId="3361" r:id="rId126"/>
    <sheet name="06.08." sheetId="3362" r:id="rId127"/>
    <sheet name="07.08." sheetId="3363" r:id="rId128"/>
    <sheet name="08.08" sheetId="3364" r:id="rId129"/>
    <sheet name="09.08" sheetId="3365" r:id="rId130"/>
    <sheet name="10.08" sheetId="3366" r:id="rId131"/>
    <sheet name="11.08" sheetId="3367" r:id="rId132"/>
    <sheet name="12.08" sheetId="3368" r:id="rId133"/>
    <sheet name="13.08" sheetId="3369" r:id="rId134"/>
    <sheet name="14.08" sheetId="3370" r:id="rId135"/>
    <sheet name="15.08" sheetId="3371" r:id="rId136"/>
    <sheet name="16.08" sheetId="3372" r:id="rId137"/>
    <sheet name="17.08" sheetId="3373" r:id="rId138"/>
    <sheet name="18.08" sheetId="3374" r:id="rId139"/>
    <sheet name="19.08" sheetId="3375" r:id="rId140"/>
    <sheet name="20.08" sheetId="3376" r:id="rId141"/>
    <sheet name="21.08" sheetId="3377" r:id="rId142"/>
    <sheet name="22.08" sheetId="3378" r:id="rId143"/>
    <sheet name="23.08" sheetId="3379" r:id="rId144"/>
    <sheet name="24.08" sheetId="3380" r:id="rId145"/>
    <sheet name="25.08" sheetId="3381" r:id="rId146"/>
    <sheet name="26.08" sheetId="3382" r:id="rId147"/>
    <sheet name="27.08" sheetId="3383" r:id="rId148"/>
    <sheet name="28.08" sheetId="3384" r:id="rId149"/>
    <sheet name="29.08" sheetId="3385" r:id="rId150"/>
    <sheet name="30.08" sheetId="3386" r:id="rId151"/>
    <sheet name="31.08" sheetId="3387" r:id="rId152"/>
    <sheet name="01.09" sheetId="3388" r:id="rId153"/>
    <sheet name="02.09" sheetId="3389" r:id="rId154"/>
    <sheet name="03.09" sheetId="3390" r:id="rId155"/>
    <sheet name="04.09" sheetId="3391" r:id="rId156"/>
    <sheet name="05.09" sheetId="3392" r:id="rId157"/>
    <sheet name="06.09" sheetId="3393" r:id="rId158"/>
    <sheet name="07.09" sheetId="3394" r:id="rId159"/>
    <sheet name="08.09." sheetId="3395" r:id="rId160"/>
    <sheet name="09.09." sheetId="3396" r:id="rId161"/>
    <sheet name="10.09." sheetId="3397" r:id="rId162"/>
    <sheet name="11.09." sheetId="3398" r:id="rId163"/>
    <sheet name="12.09" sheetId="3399" r:id="rId164"/>
    <sheet name="13.09" sheetId="3400" r:id="rId165"/>
    <sheet name="14.09" sheetId="3401" r:id="rId166"/>
    <sheet name="15,09" sheetId="3402" r:id="rId167"/>
    <sheet name="16.09" sheetId="3403" r:id="rId168"/>
    <sheet name="17.09" sheetId="3404" r:id="rId169"/>
    <sheet name="18.09" sheetId="3405" r:id="rId170"/>
    <sheet name="Лист3" sheetId="3406" r:id="rId171"/>
    <sheet name="Лист4" sheetId="3407" r:id="rId172"/>
    <sheet name="21.09" sheetId="3408" r:id="rId173"/>
    <sheet name="22.09" sheetId="3409" r:id="rId174"/>
    <sheet name="23.09" sheetId="3410" r:id="rId175"/>
    <sheet name="24.09" sheetId="3411" r:id="rId176"/>
    <sheet name="25.09" sheetId="3412" r:id="rId177"/>
    <sheet name="26.09." sheetId="3413" r:id="rId178"/>
    <sheet name="27.09." sheetId="3414" r:id="rId179"/>
    <sheet name="28.09" sheetId="3415" r:id="rId180"/>
    <sheet name="29.09" sheetId="3416" r:id="rId181"/>
    <sheet name="30.09" sheetId="3417" r:id="rId182"/>
    <sheet name="01.10" sheetId="3418" r:id="rId183"/>
    <sheet name="02.10" sheetId="3419" r:id="rId184"/>
    <sheet name="03.10" sheetId="3420" r:id="rId185"/>
    <sheet name="04.10" sheetId="3421" r:id="rId186"/>
    <sheet name="05.10" sheetId="3422" r:id="rId187"/>
    <sheet name="06.10" sheetId="3423" r:id="rId188"/>
    <sheet name="07.10" sheetId="3424" r:id="rId189"/>
    <sheet name="08.10" sheetId="3425" r:id="rId190"/>
    <sheet name="09.10" sheetId="3426" r:id="rId191"/>
    <sheet name="10.10" sheetId="3427" r:id="rId192"/>
    <sheet name="11.10" sheetId="3428" r:id="rId193"/>
    <sheet name="12.10" sheetId="3429" r:id="rId194"/>
    <sheet name="13.10" sheetId="3430" r:id="rId195"/>
    <sheet name="14.10" sheetId="3431" r:id="rId196"/>
    <sheet name="15.10" sheetId="3432" r:id="rId197"/>
    <sheet name="16.10" sheetId="3433" r:id="rId198"/>
    <sheet name="17.10" sheetId="3434" r:id="rId199"/>
    <sheet name="18.10" sheetId="3435" r:id="rId200"/>
    <sheet name="19.10" sheetId="3436" r:id="rId201"/>
    <sheet name="20.10" sheetId="3437" r:id="rId202"/>
    <sheet name="21.10" sheetId="3438" r:id="rId203"/>
    <sheet name="22.10" sheetId="3439" r:id="rId204"/>
    <sheet name="23.10" sheetId="3440" r:id="rId205"/>
    <sheet name="24.10" sheetId="3441" r:id="rId206"/>
    <sheet name="25.10" sheetId="3442" r:id="rId20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3442" l="1"/>
  <c r="K22" i="3442"/>
  <c r="L21" i="3442"/>
  <c r="K21" i="3442"/>
  <c r="L20" i="3442"/>
  <c r="K20" i="3442"/>
  <c r="L8" i="3442"/>
  <c r="K8" i="3442"/>
  <c r="L7" i="3442"/>
  <c r="K7" i="3442"/>
  <c r="L6" i="3442"/>
  <c r="K6" i="3442"/>
  <c r="L5" i="3442"/>
  <c r="K5" i="3442"/>
  <c r="L22" i="3441"/>
  <c r="K22" i="3441"/>
  <c r="L21" i="3441"/>
  <c r="K21" i="3441"/>
  <c r="L20" i="3441"/>
  <c r="K20" i="3441"/>
  <c r="L8" i="3441"/>
  <c r="K8" i="3441"/>
  <c r="L7" i="3441"/>
  <c r="K7" i="3441"/>
  <c r="L6" i="3441"/>
  <c r="K6" i="3441"/>
  <c r="L5" i="3441"/>
  <c r="K5" i="3441"/>
  <c r="L22" i="3440"/>
  <c r="K22" i="3440"/>
  <c r="L21" i="3440"/>
  <c r="K21" i="3440"/>
  <c r="L20" i="3440"/>
  <c r="K20" i="3440"/>
  <c r="L8" i="3440"/>
  <c r="K8" i="3440"/>
  <c r="L7" i="3440"/>
  <c r="K7" i="3440"/>
  <c r="L6" i="3440"/>
  <c r="K6" i="3440"/>
  <c r="L5" i="3440"/>
  <c r="K5" i="3440"/>
  <c r="L22" i="3439"/>
  <c r="K22" i="3439"/>
  <c r="L21" i="3439"/>
  <c r="K21" i="3439"/>
  <c r="L20" i="3439"/>
  <c r="K20" i="3439"/>
  <c r="L8" i="3439"/>
  <c r="K8" i="3439"/>
  <c r="L7" i="3439"/>
  <c r="K7" i="3439"/>
  <c r="L6" i="3439"/>
  <c r="K6" i="3439"/>
  <c r="L5" i="3439"/>
  <c r="K5" i="3439"/>
  <c r="L22" i="3438"/>
  <c r="K22" i="3438"/>
  <c r="L21" i="3438"/>
  <c r="K21" i="3438"/>
  <c r="L20" i="3438"/>
  <c r="K20" i="3438"/>
  <c r="L8" i="3438"/>
  <c r="K8" i="3438"/>
  <c r="L7" i="3438"/>
  <c r="K7" i="3438"/>
  <c r="L6" i="3438"/>
  <c r="K6" i="3438"/>
  <c r="L5" i="3438"/>
  <c r="K5" i="3438"/>
  <c r="L22" i="3437"/>
  <c r="K22" i="3437"/>
  <c r="L21" i="3437"/>
  <c r="K21" i="3437"/>
  <c r="L20" i="3437"/>
  <c r="K20" i="3437"/>
  <c r="L8" i="3437"/>
  <c r="K8" i="3437"/>
  <c r="L7" i="3437"/>
  <c r="K7" i="3437"/>
  <c r="L6" i="3437"/>
  <c r="K6" i="3437"/>
  <c r="L5" i="3437"/>
  <c r="K5" i="3437"/>
  <c r="L9" i="3436"/>
  <c r="K9" i="3436"/>
  <c r="L22" i="3436"/>
  <c r="K22" i="3436"/>
  <c r="L21" i="3436"/>
  <c r="K21" i="3436"/>
  <c r="L20" i="3436"/>
  <c r="K20" i="3436"/>
  <c r="L8" i="3436"/>
  <c r="K8" i="3436"/>
  <c r="L7" i="3436"/>
  <c r="K7" i="3436"/>
  <c r="L6" i="3436"/>
  <c r="K6" i="3436"/>
  <c r="L5" i="3436"/>
  <c r="K5" i="3436"/>
  <c r="L9" i="3435"/>
  <c r="K9" i="3435"/>
  <c r="L22" i="3435"/>
  <c r="K22" i="3435"/>
  <c r="L21" i="3435"/>
  <c r="K21" i="3435"/>
  <c r="L20" i="3435"/>
  <c r="K20" i="3435"/>
  <c r="L8" i="3435"/>
  <c r="K8" i="3435"/>
  <c r="L7" i="3435"/>
  <c r="K7" i="3435"/>
  <c r="L6" i="3435"/>
  <c r="K6" i="3435"/>
  <c r="L5" i="3435"/>
  <c r="K5" i="3435"/>
  <c r="L20" i="3434"/>
  <c r="K20" i="3434"/>
  <c r="L19" i="3434"/>
  <c r="K19" i="3434"/>
  <c r="L18" i="3434"/>
  <c r="K18" i="3434"/>
  <c r="L10" i="3434"/>
  <c r="K10" i="3434"/>
  <c r="L9" i="3434"/>
  <c r="K9" i="3434"/>
  <c r="L8" i="3434"/>
  <c r="K8" i="3434"/>
  <c r="L7" i="3434"/>
  <c r="K7" i="3434"/>
  <c r="L6" i="3434"/>
  <c r="K6" i="3434"/>
  <c r="L5" i="3434"/>
  <c r="K5" i="3434"/>
  <c r="K11" i="3433"/>
  <c r="L11" i="3433"/>
  <c r="L21" i="3433"/>
  <c r="K21" i="3433"/>
  <c r="L20" i="3433"/>
  <c r="K20" i="3433"/>
  <c r="L19" i="3433"/>
  <c r="K19" i="3433"/>
  <c r="L10" i="3433"/>
  <c r="K10" i="3433"/>
  <c r="L9" i="3433"/>
  <c r="K9" i="3433"/>
  <c r="L8" i="3433"/>
  <c r="K8" i="3433"/>
  <c r="L7" i="3433"/>
  <c r="K7" i="3433"/>
  <c r="L6" i="3433"/>
  <c r="K6" i="3433"/>
  <c r="L5" i="3433"/>
  <c r="K5" i="3433"/>
  <c r="L21" i="3432" l="1"/>
  <c r="K21" i="3432"/>
  <c r="L20" i="3432"/>
  <c r="K20" i="3432"/>
  <c r="L19" i="3432"/>
  <c r="K19" i="3432"/>
  <c r="L10" i="3432"/>
  <c r="K10" i="3432"/>
  <c r="L9" i="3432"/>
  <c r="K9" i="3432"/>
  <c r="L8" i="3432"/>
  <c r="K8" i="3432"/>
  <c r="L7" i="3432"/>
  <c r="K7" i="3432"/>
  <c r="L6" i="3432"/>
  <c r="K6" i="3432"/>
  <c r="L5" i="3432"/>
  <c r="K5" i="3432"/>
  <c r="L10" i="3431"/>
  <c r="K10" i="3431"/>
  <c r="L21" i="3431" l="1"/>
  <c r="K21" i="3431"/>
  <c r="L20" i="3431"/>
  <c r="K20" i="3431"/>
  <c r="L19" i="3431"/>
  <c r="K19" i="3431"/>
  <c r="L9" i="3431"/>
  <c r="K9" i="3431"/>
  <c r="L8" i="3431"/>
  <c r="K8" i="3431"/>
  <c r="L7" i="3431"/>
  <c r="K7" i="3431"/>
  <c r="L6" i="3431"/>
  <c r="K6" i="3431"/>
  <c r="L5" i="3431"/>
  <c r="K5" i="3431"/>
  <c r="L21" i="3430"/>
  <c r="K21" i="3430"/>
  <c r="L20" i="3430"/>
  <c r="K20" i="3430"/>
  <c r="L19" i="3430"/>
  <c r="K19" i="3430"/>
  <c r="L9" i="3430"/>
  <c r="K9" i="3430"/>
  <c r="L8" i="3430"/>
  <c r="K8" i="3430"/>
  <c r="L7" i="3430"/>
  <c r="K7" i="3430"/>
  <c r="L6" i="3430"/>
  <c r="K6" i="3430"/>
  <c r="L5" i="3430"/>
  <c r="K5" i="3430"/>
  <c r="L21" i="3429"/>
  <c r="K21" i="3429"/>
  <c r="L20" i="3429"/>
  <c r="K20" i="3429"/>
  <c r="L19" i="3429"/>
  <c r="K19" i="3429"/>
  <c r="L15" i="3429"/>
  <c r="K15" i="3429"/>
  <c r="L10" i="3429"/>
  <c r="K10" i="3429"/>
  <c r="L9" i="3429"/>
  <c r="K9" i="3429"/>
  <c r="L8" i="3429"/>
  <c r="K8" i="3429"/>
  <c r="L7" i="3429"/>
  <c r="K7" i="3429"/>
  <c r="L6" i="3429"/>
  <c r="K6" i="3429"/>
  <c r="L5" i="3429"/>
  <c r="K5" i="3429"/>
  <c r="L21" i="3428"/>
  <c r="K21" i="3428"/>
  <c r="L20" i="3428"/>
  <c r="K20" i="3428"/>
  <c r="L19" i="3428"/>
  <c r="K19" i="3428"/>
  <c r="L15" i="3428"/>
  <c r="K15" i="3428"/>
  <c r="L10" i="3428"/>
  <c r="K10" i="3428"/>
  <c r="L9" i="3428"/>
  <c r="K9" i="3428"/>
  <c r="L8" i="3428"/>
  <c r="K8" i="3428"/>
  <c r="L7" i="3428"/>
  <c r="K7" i="3428"/>
  <c r="L6" i="3428"/>
  <c r="K6" i="3428"/>
  <c r="L5" i="3428"/>
  <c r="K5" i="3428"/>
  <c r="L23" i="3427"/>
  <c r="K23" i="3427"/>
  <c r="L22" i="3427"/>
  <c r="K22" i="3427"/>
  <c r="L21" i="3427"/>
  <c r="K21" i="3427"/>
  <c r="L17" i="3427"/>
  <c r="K17" i="3427"/>
  <c r="L12" i="3427"/>
  <c r="K12" i="3427"/>
  <c r="L11" i="3427"/>
  <c r="K11" i="3427"/>
  <c r="L10" i="3427"/>
  <c r="K10" i="3427"/>
  <c r="L9" i="3427"/>
  <c r="K9" i="3427"/>
  <c r="L8" i="3427"/>
  <c r="K8" i="3427"/>
  <c r="L7" i="3427"/>
  <c r="K7" i="3427"/>
  <c r="L6" i="3427"/>
  <c r="K6" i="3427"/>
  <c r="L5" i="3427"/>
  <c r="K5" i="3427"/>
  <c r="L23" i="3426"/>
  <c r="K23" i="3426"/>
  <c r="L22" i="3426"/>
  <c r="K22" i="3426"/>
  <c r="L21" i="3426"/>
  <c r="K21" i="3426"/>
  <c r="L17" i="3426"/>
  <c r="K17" i="3426"/>
  <c r="L12" i="3426"/>
  <c r="K12" i="3426"/>
  <c r="L11" i="3426"/>
  <c r="K11" i="3426"/>
  <c r="L10" i="3426"/>
  <c r="K10" i="3426"/>
  <c r="L9" i="3426"/>
  <c r="K9" i="3426"/>
  <c r="L8" i="3426"/>
  <c r="K8" i="3426"/>
  <c r="L7" i="3426"/>
  <c r="K7" i="3426"/>
  <c r="L6" i="3426"/>
  <c r="K6" i="3426"/>
  <c r="L5" i="3426"/>
  <c r="K5" i="3426"/>
  <c r="L23" i="3425"/>
  <c r="K23" i="3425"/>
  <c r="L22" i="3425"/>
  <c r="K22" i="3425"/>
  <c r="L21" i="3425"/>
  <c r="K21" i="3425"/>
  <c r="L17" i="3425"/>
  <c r="K17" i="3425"/>
  <c r="L12" i="3425"/>
  <c r="K12" i="3425"/>
  <c r="L11" i="3425"/>
  <c r="K11" i="3425"/>
  <c r="L10" i="3425"/>
  <c r="K10" i="3425"/>
  <c r="L9" i="3425"/>
  <c r="K9" i="3425"/>
  <c r="L8" i="3425"/>
  <c r="K8" i="3425"/>
  <c r="L7" i="3425"/>
  <c r="K7" i="3425"/>
  <c r="L6" i="3425"/>
  <c r="K6" i="3425"/>
  <c r="L5" i="3425"/>
  <c r="K5" i="3425"/>
  <c r="K12" i="3424"/>
  <c r="L12" i="3424"/>
  <c r="L11" i="3424"/>
  <c r="K11" i="3424"/>
  <c r="L10" i="3424"/>
  <c r="K10" i="3424"/>
  <c r="L9" i="3424"/>
  <c r="K9" i="3424"/>
  <c r="L23" i="3424" l="1"/>
  <c r="K23" i="3424"/>
  <c r="L22" i="3424"/>
  <c r="K22" i="3424"/>
  <c r="L21" i="3424"/>
  <c r="K21" i="3424"/>
  <c r="L17" i="3424"/>
  <c r="K17" i="3424"/>
  <c r="L8" i="3424"/>
  <c r="K8" i="3424"/>
  <c r="L7" i="3424"/>
  <c r="K7" i="3424"/>
  <c r="L6" i="3424"/>
  <c r="K6" i="3424"/>
  <c r="L5" i="3424"/>
  <c r="K5" i="3424"/>
  <c r="L12" i="3423"/>
  <c r="K12" i="3423"/>
  <c r="L22" i="3423"/>
  <c r="K22" i="3423"/>
  <c r="L21" i="3423"/>
  <c r="K21" i="3423"/>
  <c r="L20" i="3423"/>
  <c r="K20" i="3423"/>
  <c r="L16" i="3423"/>
  <c r="K16" i="3423"/>
  <c r="L11" i="3423"/>
  <c r="K11" i="3423"/>
  <c r="L10" i="3423"/>
  <c r="K10" i="3423"/>
  <c r="L9" i="3423"/>
  <c r="K9" i="3423"/>
  <c r="L8" i="3423"/>
  <c r="K8" i="3423"/>
  <c r="L7" i="3423"/>
  <c r="K7" i="3423"/>
  <c r="L6" i="3423"/>
  <c r="K6" i="3423"/>
  <c r="L5" i="3423"/>
  <c r="K5" i="3423"/>
  <c r="L11" i="3422"/>
  <c r="K11" i="3422"/>
  <c r="L10" i="3422"/>
  <c r="K10" i="3422"/>
  <c r="L9" i="3422"/>
  <c r="K9" i="3422"/>
  <c r="L22" i="3422"/>
  <c r="K22" i="3422"/>
  <c r="L21" i="3422"/>
  <c r="K21" i="3422"/>
  <c r="L20" i="3422"/>
  <c r="K20" i="3422"/>
  <c r="L16" i="3422"/>
  <c r="K16" i="3422"/>
  <c r="L8" i="3422"/>
  <c r="K8" i="3422"/>
  <c r="L7" i="3422"/>
  <c r="K7" i="3422"/>
  <c r="L6" i="3422"/>
  <c r="K6" i="3422"/>
  <c r="L5" i="3422"/>
  <c r="K5" i="3422"/>
  <c r="K12" i="3421"/>
  <c r="L12" i="3421"/>
  <c r="L11" i="3421" l="1"/>
  <c r="K11" i="3421"/>
  <c r="L22" i="3421"/>
  <c r="K22" i="3421"/>
  <c r="L21" i="3421"/>
  <c r="K21" i="3421"/>
  <c r="L20" i="3421"/>
  <c r="K20" i="3421"/>
  <c r="L16" i="3421"/>
  <c r="K16" i="3421"/>
  <c r="L10" i="3421"/>
  <c r="K10" i="3421"/>
  <c r="L9" i="3421"/>
  <c r="K9" i="3421"/>
  <c r="L8" i="3421"/>
  <c r="K8" i="3421"/>
  <c r="L7" i="3421"/>
  <c r="K7" i="3421"/>
  <c r="L6" i="3421"/>
  <c r="K6" i="3421"/>
  <c r="L5" i="3421"/>
  <c r="K5" i="3421"/>
  <c r="K10" i="3420" l="1"/>
  <c r="L10" i="3420"/>
  <c r="L21" i="3420"/>
  <c r="K21" i="3420"/>
  <c r="L20" i="3420"/>
  <c r="K20" i="3420"/>
  <c r="L19" i="3420"/>
  <c r="K19" i="3420"/>
  <c r="L15" i="3420"/>
  <c r="K15" i="3420"/>
  <c r="L9" i="3420"/>
  <c r="K9" i="3420"/>
  <c r="L8" i="3420"/>
  <c r="K8" i="3420"/>
  <c r="L7" i="3420"/>
  <c r="K7" i="3420"/>
  <c r="L6" i="3420"/>
  <c r="K6" i="3420"/>
  <c r="L5" i="3420"/>
  <c r="K5" i="3420"/>
  <c r="L9" i="3419" l="1"/>
  <c r="K9" i="3419"/>
  <c r="L21" i="3419"/>
  <c r="K21" i="3419"/>
  <c r="L20" i="3419"/>
  <c r="K20" i="3419"/>
  <c r="L19" i="3419"/>
  <c r="K19" i="3419"/>
  <c r="L15" i="3419"/>
  <c r="K15" i="3419"/>
  <c r="L8" i="3419"/>
  <c r="K8" i="3419"/>
  <c r="L7" i="3419"/>
  <c r="K7" i="3419"/>
  <c r="L6" i="3419"/>
  <c r="K6" i="3419"/>
  <c r="L5" i="3419"/>
  <c r="K5" i="3419"/>
  <c r="L8" i="3418" l="1"/>
  <c r="K8" i="3418"/>
  <c r="L7" i="3418"/>
  <c r="K7" i="3418"/>
  <c r="L6" i="3418"/>
  <c r="K6" i="3418"/>
  <c r="L21" i="3418"/>
  <c r="K21" i="3418"/>
  <c r="L20" i="3418"/>
  <c r="K20" i="3418"/>
  <c r="L19" i="3418"/>
  <c r="K19" i="3418"/>
  <c r="L15" i="3418"/>
  <c r="K15" i="3418"/>
  <c r="L5" i="3418"/>
  <c r="K5" i="3418"/>
  <c r="L14" i="3417"/>
  <c r="K14" i="3417"/>
  <c r="L20" i="3417"/>
  <c r="K20" i="3417"/>
  <c r="L19" i="3417"/>
  <c r="K19" i="3417"/>
  <c r="L18" i="3417"/>
  <c r="K18" i="3417"/>
  <c r="L7" i="3417"/>
  <c r="K7" i="3417"/>
  <c r="L6" i="3417"/>
  <c r="K6" i="3417"/>
  <c r="L5" i="3417"/>
  <c r="K5" i="3417"/>
  <c r="K11" i="3416"/>
  <c r="L11" i="3416"/>
  <c r="K10" i="3416"/>
  <c r="L10" i="3416"/>
  <c r="L21" i="3416"/>
  <c r="K21" i="3416"/>
  <c r="L20" i="3416"/>
  <c r="K20" i="3416"/>
  <c r="L19" i="3416"/>
  <c r="K19" i="3416"/>
  <c r="L13" i="3416"/>
  <c r="K13" i="3416"/>
  <c r="L9" i="3416"/>
  <c r="K9" i="3416"/>
  <c r="L7" i="3416"/>
  <c r="K7" i="3416"/>
  <c r="L6" i="3416"/>
  <c r="K6" i="3416"/>
  <c r="L5" i="3416"/>
  <c r="K5" i="3416"/>
  <c r="L21" i="3415"/>
  <c r="K21" i="3415"/>
  <c r="L20" i="3415"/>
  <c r="K20" i="3415"/>
  <c r="L19" i="3415"/>
  <c r="K19" i="3415"/>
  <c r="L13" i="3415"/>
  <c r="K13" i="3415"/>
  <c r="L9" i="3415"/>
  <c r="K9" i="3415"/>
  <c r="L7" i="3415"/>
  <c r="K7" i="3415"/>
  <c r="L6" i="3415"/>
  <c r="K6" i="3415"/>
  <c r="L5" i="3415"/>
  <c r="K5" i="3415"/>
  <c r="L13" i="3414"/>
  <c r="K13" i="3414"/>
  <c r="L7" i="3414"/>
  <c r="K7" i="3414"/>
  <c r="L6" i="3414"/>
  <c r="K6" i="3414"/>
  <c r="L21" i="3414"/>
  <c r="K21" i="3414"/>
  <c r="L20" i="3414"/>
  <c r="K20" i="3414"/>
  <c r="L19" i="3414"/>
  <c r="K19" i="3414"/>
  <c r="L9" i="3414"/>
  <c r="K9" i="3414"/>
  <c r="L5" i="3414"/>
  <c r="K5" i="3414"/>
  <c r="L21" i="3413"/>
  <c r="K21" i="3413"/>
  <c r="L20" i="3413"/>
  <c r="K20" i="3413"/>
  <c r="L19" i="3413"/>
  <c r="K19" i="3413"/>
  <c r="L14" i="3413"/>
  <c r="K14" i="3413"/>
  <c r="L13" i="3413"/>
  <c r="K13" i="3413"/>
  <c r="L8" i="3413"/>
  <c r="K8" i="3413"/>
  <c r="L7" i="3413"/>
  <c r="K7" i="3413"/>
  <c r="L6" i="3413"/>
  <c r="K6" i="3413"/>
  <c r="L5" i="3413"/>
  <c r="K5" i="3413"/>
  <c r="L21" i="3412"/>
  <c r="K21" i="3412"/>
  <c r="L20" i="3412"/>
  <c r="K20" i="3412"/>
  <c r="L19" i="3412"/>
  <c r="K19" i="3412"/>
  <c r="L14" i="3412"/>
  <c r="K14" i="3412"/>
  <c r="L13" i="3412"/>
  <c r="K13" i="3412"/>
  <c r="L8" i="3412"/>
  <c r="K8" i="3412"/>
  <c r="L7" i="3412"/>
  <c r="K7" i="3412"/>
  <c r="L6" i="3412"/>
  <c r="K6" i="3412"/>
  <c r="L5" i="3412"/>
  <c r="K5" i="3412"/>
  <c r="L21" i="3411" l="1"/>
  <c r="K21" i="3411"/>
  <c r="L20" i="3411"/>
  <c r="K20" i="3411"/>
  <c r="L19" i="3411"/>
  <c r="K19" i="3411"/>
  <c r="L14" i="3411"/>
  <c r="K14" i="3411"/>
  <c r="L13" i="3411"/>
  <c r="K13" i="3411"/>
  <c r="L9" i="3411"/>
  <c r="K9" i="3411"/>
  <c r="L8" i="3411"/>
  <c r="K8" i="3411"/>
  <c r="L7" i="3411"/>
  <c r="K7" i="3411"/>
  <c r="L6" i="3411"/>
  <c r="K6" i="3411"/>
  <c r="L5" i="3411"/>
  <c r="K5" i="3411"/>
  <c r="L9" i="3410"/>
  <c r="K9" i="3410"/>
  <c r="L8" i="3410"/>
  <c r="K8" i="3410"/>
  <c r="L7" i="3410"/>
  <c r="K7" i="3410"/>
  <c r="L6" i="3410"/>
  <c r="K6" i="3410"/>
  <c r="L21" i="3410" l="1"/>
  <c r="K21" i="3410"/>
  <c r="L20" i="3410"/>
  <c r="K20" i="3410"/>
  <c r="L19" i="3410"/>
  <c r="K19" i="3410"/>
  <c r="L14" i="3410"/>
  <c r="K14" i="3410"/>
  <c r="L13" i="3410"/>
  <c r="K13" i="3410"/>
  <c r="L5" i="3410"/>
  <c r="K5" i="3410"/>
  <c r="L23" i="3409"/>
  <c r="K23" i="3409"/>
  <c r="L22" i="3409"/>
  <c r="K22" i="3409"/>
  <c r="L21" i="3409"/>
  <c r="K21" i="3409"/>
  <c r="L17" i="3409"/>
  <c r="K17" i="3409"/>
  <c r="L16" i="3409"/>
  <c r="K16" i="3409"/>
  <c r="L14" i="3409"/>
  <c r="K14" i="3409"/>
  <c r="L13" i="3409"/>
  <c r="K13" i="3409"/>
  <c r="L5" i="3409"/>
  <c r="K5" i="3409"/>
  <c r="L23" i="3408"/>
  <c r="K23" i="3408"/>
  <c r="L22" i="3408"/>
  <c r="K22" i="3408"/>
  <c r="L21" i="3408"/>
  <c r="K21" i="3408"/>
  <c r="L17" i="3408"/>
  <c r="K17" i="3408"/>
  <c r="L16" i="3408"/>
  <c r="K16" i="3408"/>
  <c r="L14" i="3408"/>
  <c r="K14" i="3408"/>
  <c r="L13" i="3408"/>
  <c r="K13" i="3408"/>
  <c r="L5" i="3408"/>
  <c r="K5" i="3408"/>
  <c r="L23" i="3407"/>
  <c r="K23" i="3407"/>
  <c r="L22" i="3407"/>
  <c r="K22" i="3407"/>
  <c r="L21" i="3407"/>
  <c r="K21" i="3407"/>
  <c r="L17" i="3407"/>
  <c r="K17" i="3407"/>
  <c r="L16" i="3407"/>
  <c r="K16" i="3407"/>
  <c r="L14" i="3407"/>
  <c r="K14" i="3407"/>
  <c r="L13" i="3407"/>
  <c r="K13" i="3407"/>
  <c r="L5" i="3407"/>
  <c r="K5" i="3407"/>
  <c r="L23" i="3406"/>
  <c r="K23" i="3406"/>
  <c r="L22" i="3406"/>
  <c r="K22" i="3406"/>
  <c r="L21" i="3406"/>
  <c r="K21" i="3406"/>
  <c r="L17" i="3406"/>
  <c r="K17" i="3406"/>
  <c r="L16" i="3406"/>
  <c r="K16" i="3406"/>
  <c r="L14" i="3406"/>
  <c r="K14" i="3406"/>
  <c r="L13" i="3406"/>
  <c r="K13" i="3406"/>
  <c r="L5" i="3406"/>
  <c r="K5" i="3406"/>
  <c r="L24" i="3405"/>
  <c r="K24" i="3405"/>
  <c r="L23" i="3405"/>
  <c r="K23" i="3405"/>
  <c r="L22" i="3405"/>
  <c r="K22" i="3405"/>
  <c r="L18" i="3405"/>
  <c r="K18" i="3405"/>
  <c r="L17" i="3405"/>
  <c r="K17" i="3405"/>
  <c r="L16" i="3405"/>
  <c r="K16" i="3405"/>
  <c r="L14" i="3405"/>
  <c r="K14" i="3405"/>
  <c r="L13" i="3405"/>
  <c r="K13" i="3405"/>
  <c r="L6" i="3405"/>
  <c r="K6" i="3405"/>
  <c r="L5" i="3405"/>
  <c r="K5" i="3405"/>
  <c r="K6" i="3404"/>
  <c r="L6" i="3404"/>
  <c r="L24" i="3404"/>
  <c r="K24" i="3404"/>
  <c r="L23" i="3404"/>
  <c r="K23" i="3404"/>
  <c r="L22" i="3404"/>
  <c r="K22" i="3404"/>
  <c r="L18" i="3404"/>
  <c r="K18" i="3404"/>
  <c r="L17" i="3404"/>
  <c r="K17" i="3404"/>
  <c r="L16" i="3404"/>
  <c r="K16" i="3404"/>
  <c r="L14" i="3404"/>
  <c r="K14" i="3404"/>
  <c r="L13" i="3404"/>
  <c r="K13" i="3404"/>
  <c r="L5" i="3404"/>
  <c r="K5" i="3404"/>
  <c r="L24" i="3403"/>
  <c r="K24" i="3403"/>
  <c r="L23" i="3403"/>
  <c r="K23" i="3403"/>
  <c r="L22" i="3403"/>
  <c r="K22" i="3403"/>
  <c r="L18" i="3403"/>
  <c r="K18" i="3403"/>
  <c r="L17" i="3403"/>
  <c r="K17" i="3403"/>
  <c r="L16" i="3403"/>
  <c r="K16" i="3403"/>
  <c r="L14" i="3403"/>
  <c r="K14" i="3403"/>
  <c r="L13" i="3403"/>
  <c r="K13" i="3403"/>
  <c r="L5" i="3403"/>
  <c r="K5" i="3403"/>
  <c r="K19" i="3402"/>
  <c r="L19" i="3402"/>
  <c r="L25" i="3402"/>
  <c r="K25" i="3402"/>
  <c r="L24" i="3402"/>
  <c r="K24" i="3402"/>
  <c r="L23" i="3402"/>
  <c r="K23" i="3402"/>
  <c r="L18" i="3402"/>
  <c r="K18" i="3402"/>
  <c r="L17" i="3402"/>
  <c r="K17" i="3402"/>
  <c r="L16" i="3402"/>
  <c r="K16" i="3402"/>
  <c r="L14" i="3402"/>
  <c r="K14" i="3402"/>
  <c r="L13" i="3402"/>
  <c r="K13" i="3402"/>
  <c r="L5" i="3402"/>
  <c r="K5" i="3402"/>
  <c r="L14" i="3401" l="1"/>
  <c r="K14" i="3401"/>
  <c r="L13" i="3401"/>
  <c r="K13" i="3401"/>
  <c r="L24" i="3401"/>
  <c r="K24" i="3401"/>
  <c r="L23" i="3401"/>
  <c r="K23" i="3401"/>
  <c r="L22" i="3401"/>
  <c r="K22" i="3401"/>
  <c r="L18" i="3401"/>
  <c r="K18" i="3401"/>
  <c r="L17" i="3401"/>
  <c r="K17" i="3401"/>
  <c r="L16" i="3401"/>
  <c r="K16" i="3401"/>
  <c r="L5" i="3401"/>
  <c r="K5" i="3401"/>
  <c r="L23" i="3400"/>
  <c r="K23" i="3400"/>
  <c r="L22" i="3400"/>
  <c r="K22" i="3400"/>
  <c r="L21" i="3400"/>
  <c r="K21" i="3400"/>
  <c r="L17" i="3400"/>
  <c r="K17" i="3400"/>
  <c r="L16" i="3400"/>
  <c r="K16" i="3400"/>
  <c r="L15" i="3400"/>
  <c r="K15" i="3400"/>
  <c r="L6" i="3400"/>
  <c r="K6" i="3400"/>
  <c r="L5" i="3400"/>
  <c r="K5" i="3400"/>
  <c r="L7" i="3399"/>
  <c r="K7" i="3399"/>
  <c r="L22" i="3399"/>
  <c r="K22" i="3399"/>
  <c r="L21" i="3399"/>
  <c r="K21" i="3399"/>
  <c r="L20" i="3399"/>
  <c r="K20" i="3399"/>
  <c r="L16" i="3399"/>
  <c r="K16" i="3399"/>
  <c r="L15" i="3399"/>
  <c r="K15" i="3399"/>
  <c r="L14" i="3399"/>
  <c r="K14" i="3399"/>
  <c r="L6" i="3399"/>
  <c r="K6" i="3399"/>
  <c r="L5" i="3399"/>
  <c r="K5" i="3399"/>
  <c r="L8" i="3398"/>
  <c r="K8" i="3398"/>
  <c r="L22" i="3398" l="1"/>
  <c r="K22" i="3398"/>
  <c r="L21" i="3398"/>
  <c r="K21" i="3398"/>
  <c r="L20" i="3398"/>
  <c r="K20" i="3398"/>
  <c r="L16" i="3398"/>
  <c r="K16" i="3398"/>
  <c r="L15" i="3398"/>
  <c r="K15" i="3398"/>
  <c r="L14" i="3398"/>
  <c r="K14" i="3398"/>
  <c r="L7" i="3398"/>
  <c r="K7" i="3398"/>
  <c r="L6" i="3398"/>
  <c r="K6" i="3398"/>
  <c r="L5" i="3398"/>
  <c r="K5" i="3398"/>
  <c r="L7" i="3397"/>
  <c r="K7" i="3397"/>
  <c r="L6" i="3397"/>
  <c r="K6" i="3397"/>
  <c r="L22" i="3397"/>
  <c r="K22" i="3397"/>
  <c r="L21" i="3397"/>
  <c r="K21" i="3397"/>
  <c r="L20" i="3397"/>
  <c r="K20" i="3397"/>
  <c r="L16" i="3397"/>
  <c r="K16" i="3397"/>
  <c r="L15" i="3397"/>
  <c r="K15" i="3397"/>
  <c r="L14" i="3397"/>
  <c r="K14" i="3397"/>
  <c r="L5" i="3397"/>
  <c r="K5" i="3397"/>
  <c r="L8" i="3396"/>
  <c r="K8" i="3396"/>
  <c r="L22" i="3396"/>
  <c r="K22" i="3396"/>
  <c r="L21" i="3396"/>
  <c r="K21" i="3396"/>
  <c r="L20" i="3396"/>
  <c r="K20" i="3396"/>
  <c r="L16" i="3396"/>
  <c r="K16" i="3396"/>
  <c r="L15" i="3396"/>
  <c r="K15" i="3396"/>
  <c r="L14" i="3396"/>
  <c r="K14" i="3396"/>
  <c r="L7" i="3396"/>
  <c r="K7" i="3396"/>
  <c r="L6" i="3396"/>
  <c r="K6" i="3396"/>
  <c r="L5" i="3396"/>
  <c r="K5" i="3396"/>
  <c r="L10" i="3395"/>
  <c r="K10" i="3395"/>
  <c r="L9" i="3395"/>
  <c r="K9" i="3395"/>
  <c r="L22" i="3395"/>
  <c r="K22" i="3395"/>
  <c r="L21" i="3395"/>
  <c r="K21" i="3395"/>
  <c r="L20" i="3395"/>
  <c r="K20" i="3395"/>
  <c r="L16" i="3395"/>
  <c r="K16" i="3395"/>
  <c r="L15" i="3395"/>
  <c r="K15" i="3395"/>
  <c r="L14" i="3395"/>
  <c r="K14" i="3395"/>
  <c r="L8" i="3395"/>
  <c r="K8" i="3395"/>
  <c r="L7" i="3395"/>
  <c r="K7" i="3395"/>
  <c r="L6" i="3395"/>
  <c r="K6" i="3395"/>
  <c r="L5" i="3395"/>
  <c r="K5" i="3395"/>
  <c r="L21" i="3394"/>
  <c r="K21" i="3394"/>
  <c r="L20" i="3394"/>
  <c r="K20" i="3394"/>
  <c r="L19" i="3394"/>
  <c r="K19" i="3394"/>
  <c r="L15" i="3394"/>
  <c r="K15" i="3394"/>
  <c r="L14" i="3394"/>
  <c r="K14" i="3394"/>
  <c r="L13" i="3394"/>
  <c r="K13" i="3394"/>
  <c r="L9" i="3394"/>
  <c r="K9" i="3394"/>
  <c r="L8" i="3394"/>
  <c r="K8" i="3394"/>
  <c r="L7" i="3394"/>
  <c r="K7" i="3394"/>
  <c r="L6" i="3394"/>
  <c r="K6" i="3394"/>
  <c r="L5" i="3394"/>
  <c r="K5" i="3394"/>
  <c r="L21" i="3393"/>
  <c r="K21" i="3393"/>
  <c r="L20" i="3393"/>
  <c r="K20" i="3393"/>
  <c r="L19" i="3393"/>
  <c r="K19" i="3393"/>
  <c r="L15" i="3393"/>
  <c r="K15" i="3393"/>
  <c r="L14" i="3393"/>
  <c r="K14" i="3393"/>
  <c r="L13" i="3393"/>
  <c r="K13" i="3393"/>
  <c r="L9" i="3393"/>
  <c r="K9" i="3393"/>
  <c r="L8" i="3393"/>
  <c r="K8" i="3393"/>
  <c r="L7" i="3393"/>
  <c r="K7" i="3393"/>
  <c r="L6" i="3393"/>
  <c r="K6" i="3393"/>
  <c r="L5" i="3393"/>
  <c r="K5" i="3393"/>
  <c r="L20" i="3392"/>
  <c r="K20" i="3392"/>
  <c r="L19" i="3392"/>
  <c r="K19" i="3392"/>
  <c r="L18" i="3392"/>
  <c r="K18" i="3392"/>
  <c r="L14" i="3392"/>
  <c r="K14" i="3392"/>
  <c r="L13" i="3392"/>
  <c r="K13" i="3392"/>
  <c r="L12" i="3392"/>
  <c r="K12" i="3392"/>
  <c r="L8" i="3392"/>
  <c r="K8" i="3392"/>
  <c r="L7" i="3392"/>
  <c r="K7" i="3392"/>
  <c r="L6" i="3392"/>
  <c r="K6" i="3392"/>
  <c r="L5" i="3392"/>
  <c r="K5" i="3392"/>
  <c r="L8" i="3391"/>
  <c r="K8" i="3391"/>
  <c r="L7" i="3391"/>
  <c r="K7" i="3391"/>
  <c r="L20" i="3391" l="1"/>
  <c r="K20" i="3391"/>
  <c r="L19" i="3391"/>
  <c r="K19" i="3391"/>
  <c r="L18" i="3391"/>
  <c r="K18" i="3391"/>
  <c r="L14" i="3391"/>
  <c r="K14" i="3391"/>
  <c r="L13" i="3391"/>
  <c r="K13" i="3391"/>
  <c r="L12" i="3391"/>
  <c r="K12" i="3391"/>
  <c r="L6" i="3391"/>
  <c r="K6" i="3391"/>
  <c r="L5" i="3391"/>
  <c r="K5" i="3391"/>
  <c r="L21" i="3390"/>
  <c r="K21" i="3390"/>
  <c r="L20" i="3390"/>
  <c r="K20" i="3390"/>
  <c r="L19" i="3390"/>
  <c r="K19" i="3390"/>
  <c r="L15" i="3390"/>
  <c r="K15" i="3390"/>
  <c r="L14" i="3390"/>
  <c r="K14" i="3390"/>
  <c r="L13" i="3390"/>
  <c r="K13" i="3390"/>
  <c r="L12" i="3390"/>
  <c r="K12" i="3390"/>
  <c r="L6" i="3390"/>
  <c r="K6" i="3390"/>
  <c r="L5" i="3390"/>
  <c r="K5" i="3390"/>
  <c r="L21" i="3389" l="1"/>
  <c r="K21" i="3389"/>
  <c r="L20" i="3389"/>
  <c r="K20" i="3389"/>
  <c r="L19" i="3389"/>
  <c r="K19" i="3389"/>
  <c r="L15" i="3389"/>
  <c r="K15" i="3389"/>
  <c r="L14" i="3389"/>
  <c r="K14" i="3389"/>
  <c r="L13" i="3389"/>
  <c r="K13" i="3389"/>
  <c r="L12" i="3389"/>
  <c r="K12" i="3389"/>
  <c r="L6" i="3389"/>
  <c r="K6" i="3389"/>
  <c r="L5" i="3389"/>
  <c r="K5" i="3389"/>
  <c r="L20" i="3388"/>
  <c r="K20" i="3388"/>
  <c r="L19" i="3388"/>
  <c r="K19" i="3388"/>
  <c r="L18" i="3388"/>
  <c r="K18" i="3388"/>
  <c r="L14" i="3388"/>
  <c r="K14" i="3388"/>
  <c r="L13" i="3388"/>
  <c r="K13" i="3388"/>
  <c r="L12" i="3388"/>
  <c r="K12" i="3388"/>
  <c r="L11" i="3388"/>
  <c r="K11" i="3388"/>
  <c r="L7" i="3388"/>
  <c r="K7" i="3388"/>
  <c r="L6" i="3388"/>
  <c r="K6" i="3388"/>
  <c r="L5" i="3388"/>
  <c r="K5" i="3388"/>
  <c r="L7" i="3387"/>
  <c r="K7" i="3387"/>
  <c r="L6" i="3387"/>
  <c r="K6" i="3387"/>
  <c r="L20" i="3387" l="1"/>
  <c r="K20" i="3387"/>
  <c r="L19" i="3387"/>
  <c r="K19" i="3387"/>
  <c r="L18" i="3387"/>
  <c r="K18" i="3387"/>
  <c r="L14" i="3387"/>
  <c r="K14" i="3387"/>
  <c r="L13" i="3387"/>
  <c r="K13" i="3387"/>
  <c r="L12" i="3387"/>
  <c r="K12" i="3387"/>
  <c r="L11" i="3387"/>
  <c r="K11" i="3387"/>
  <c r="L5" i="3387"/>
  <c r="K5" i="3387"/>
  <c r="L5" i="3386"/>
  <c r="K5" i="3386"/>
  <c r="L21" i="3386"/>
  <c r="K21" i="3386"/>
  <c r="L20" i="3386"/>
  <c r="K20" i="3386"/>
  <c r="L19" i="3386"/>
  <c r="K19" i="3386"/>
  <c r="L15" i="3386"/>
  <c r="K15" i="3386"/>
  <c r="L14" i="3386"/>
  <c r="K14" i="3386"/>
  <c r="L13" i="3386"/>
  <c r="K13" i="3386"/>
  <c r="L12" i="3386"/>
  <c r="K12" i="3386"/>
  <c r="L11" i="3386"/>
  <c r="K11" i="3386"/>
  <c r="L29" i="3385" l="1"/>
  <c r="K29" i="3385"/>
  <c r="L28" i="3385"/>
  <c r="K28" i="3385"/>
  <c r="L27" i="3385"/>
  <c r="K27" i="3385"/>
  <c r="L23" i="3385"/>
  <c r="K23" i="3385"/>
  <c r="L22" i="3385"/>
  <c r="K22" i="3385"/>
  <c r="L21" i="3385"/>
  <c r="K21" i="3385"/>
  <c r="L20" i="3385"/>
  <c r="K20" i="3385"/>
  <c r="L19" i="3385"/>
  <c r="K19" i="3385"/>
  <c r="L6" i="3384" l="1"/>
  <c r="K6" i="3384"/>
  <c r="L29" i="3384" l="1"/>
  <c r="K29" i="3384"/>
  <c r="L28" i="3384"/>
  <c r="K28" i="3384"/>
  <c r="L27" i="3384"/>
  <c r="K27" i="3384"/>
  <c r="L23" i="3384"/>
  <c r="K23" i="3384"/>
  <c r="L22" i="3384"/>
  <c r="K22" i="3384"/>
  <c r="L21" i="3384"/>
  <c r="K21" i="3384"/>
  <c r="L20" i="3384"/>
  <c r="K20" i="3384"/>
  <c r="L19" i="3384"/>
  <c r="K19" i="3384"/>
  <c r="L5" i="3384"/>
  <c r="K5" i="3384"/>
  <c r="K6" i="3383"/>
  <c r="L6" i="3383"/>
  <c r="L5" i="3383"/>
  <c r="K5" i="3383"/>
  <c r="L23" i="3383"/>
  <c r="K23" i="3383"/>
  <c r="L29" i="3383"/>
  <c r="K29" i="3383"/>
  <c r="L28" i="3383"/>
  <c r="K28" i="3383"/>
  <c r="L27" i="3383"/>
  <c r="K27" i="3383"/>
  <c r="L22" i="3383"/>
  <c r="K22" i="3383"/>
  <c r="L21" i="3383"/>
  <c r="K21" i="3383"/>
  <c r="L20" i="3383"/>
  <c r="K20" i="3383"/>
  <c r="L19" i="3383"/>
  <c r="K19" i="3383"/>
  <c r="L23" i="3382"/>
  <c r="K23" i="3382"/>
  <c r="L29" i="3382"/>
  <c r="K29" i="3382"/>
  <c r="L28" i="3382"/>
  <c r="K28" i="3382"/>
  <c r="L27" i="3382"/>
  <c r="K27" i="3382"/>
  <c r="L22" i="3382"/>
  <c r="K22" i="3382"/>
  <c r="L21" i="3382"/>
  <c r="K21" i="3382"/>
  <c r="L20" i="3382"/>
  <c r="K20" i="3382"/>
  <c r="L19" i="3382"/>
  <c r="K19" i="3382"/>
  <c r="L5" i="3382"/>
  <c r="K5" i="3382"/>
  <c r="L28" i="3381"/>
  <c r="K28" i="3381"/>
  <c r="L27" i="3381"/>
  <c r="K27" i="3381"/>
  <c r="L26" i="3381"/>
  <c r="K26" i="3381"/>
  <c r="L22" i="3381"/>
  <c r="K22" i="3381"/>
  <c r="L21" i="3381"/>
  <c r="K21" i="3381"/>
  <c r="L20" i="3381"/>
  <c r="K20" i="3381"/>
  <c r="L19" i="3381"/>
  <c r="K19" i="3381"/>
  <c r="L5" i="3381"/>
  <c r="K5" i="3381"/>
  <c r="L23" i="3380"/>
  <c r="K23" i="3380"/>
  <c r="L29" i="3380" l="1"/>
  <c r="K29" i="3380"/>
  <c r="L28" i="3380"/>
  <c r="K28" i="3380"/>
  <c r="L27" i="3380"/>
  <c r="K27" i="3380"/>
  <c r="L22" i="3380"/>
  <c r="K22" i="3380"/>
  <c r="L21" i="3380"/>
  <c r="K21" i="3380"/>
  <c r="L20" i="3380"/>
  <c r="K20" i="3380"/>
  <c r="L19" i="3380"/>
  <c r="K19" i="3380"/>
  <c r="L5" i="3380"/>
  <c r="K5" i="3380"/>
  <c r="L28" i="3379"/>
  <c r="K28" i="3379"/>
  <c r="L27" i="3379"/>
  <c r="K27" i="3379"/>
  <c r="L26" i="3379"/>
  <c r="K26" i="3379"/>
  <c r="L22" i="3379"/>
  <c r="K22" i="3379"/>
  <c r="L21" i="3379"/>
  <c r="K21" i="3379"/>
  <c r="L20" i="3379"/>
  <c r="K20" i="3379"/>
  <c r="L19" i="3379"/>
  <c r="K19" i="3379"/>
  <c r="L5" i="3379"/>
  <c r="K5" i="3379"/>
  <c r="K6" i="3378"/>
  <c r="L6" i="3378"/>
  <c r="L28" i="3378"/>
  <c r="K28" i="3378"/>
  <c r="L27" i="3378"/>
  <c r="K27" i="3378"/>
  <c r="L26" i="3378"/>
  <c r="K26" i="3378"/>
  <c r="L22" i="3378"/>
  <c r="K22" i="3378"/>
  <c r="L21" i="3378"/>
  <c r="K21" i="3378"/>
  <c r="L20" i="3378"/>
  <c r="K20" i="3378"/>
  <c r="L19" i="3378"/>
  <c r="K19" i="3378"/>
  <c r="L5" i="3378"/>
  <c r="K5" i="3378"/>
  <c r="L28" i="3377"/>
  <c r="K28" i="3377"/>
  <c r="L27" i="3377"/>
  <c r="K27" i="3377"/>
  <c r="L26" i="3377"/>
  <c r="K26" i="3377"/>
  <c r="L22" i="3377"/>
  <c r="K22" i="3377"/>
  <c r="L21" i="3377"/>
  <c r="K21" i="3377"/>
  <c r="L20" i="3377"/>
  <c r="K20" i="3377"/>
  <c r="L19" i="3377"/>
  <c r="K19" i="3377"/>
  <c r="L5" i="3377"/>
  <c r="K5" i="3377"/>
  <c r="L22" i="3376"/>
  <c r="K22" i="3376"/>
  <c r="L21" i="3376"/>
  <c r="K21" i="3376"/>
  <c r="L20" i="3376"/>
  <c r="K20" i="3376"/>
  <c r="L19" i="3376"/>
  <c r="K19" i="3376"/>
  <c r="L18" i="3376"/>
  <c r="K18" i="3376"/>
  <c r="L28" i="3376" l="1"/>
  <c r="K28" i="3376"/>
  <c r="L27" i="3376"/>
  <c r="K27" i="3376"/>
  <c r="L26" i="3376"/>
  <c r="K26" i="3376"/>
  <c r="L5" i="3376"/>
  <c r="K5" i="3376"/>
  <c r="K8" i="3375"/>
  <c r="L8" i="3375"/>
  <c r="L24" i="3375"/>
  <c r="K24" i="3375"/>
  <c r="L23" i="3375"/>
  <c r="K23" i="3375"/>
  <c r="L22" i="3375"/>
  <c r="K22" i="3375"/>
  <c r="L7" i="3375"/>
  <c r="K7" i="3375"/>
  <c r="L6" i="3375"/>
  <c r="K6" i="3375"/>
  <c r="L5" i="3375"/>
  <c r="K5" i="3375"/>
  <c r="L24" i="3374"/>
  <c r="K24" i="3374"/>
  <c r="L23" i="3374"/>
  <c r="K23" i="3374"/>
  <c r="L22" i="3374"/>
  <c r="K22" i="3374"/>
  <c r="L7" i="3374"/>
  <c r="K7" i="3374"/>
  <c r="L6" i="3374"/>
  <c r="K6" i="3374"/>
  <c r="L5" i="3374"/>
  <c r="K5" i="3374"/>
  <c r="L24" i="3373"/>
  <c r="K24" i="3373"/>
  <c r="L23" i="3373"/>
  <c r="K23" i="3373"/>
  <c r="L22" i="3373"/>
  <c r="K22" i="3373"/>
  <c r="L9" i="3373"/>
  <c r="K9" i="3373"/>
  <c r="L7" i="3373"/>
  <c r="K7" i="3373"/>
  <c r="L6" i="3373"/>
  <c r="K6" i="3373"/>
  <c r="L5" i="3373"/>
  <c r="K5" i="3373"/>
  <c r="L23" i="3372"/>
  <c r="K23" i="3372"/>
  <c r="L22" i="3372"/>
  <c r="K22" i="3372"/>
  <c r="L21" i="3372"/>
  <c r="K21" i="3372"/>
  <c r="L9" i="3372"/>
  <c r="K9" i="3372"/>
  <c r="L8" i="3372"/>
  <c r="K8" i="3372"/>
  <c r="L7" i="3372"/>
  <c r="K7" i="3372"/>
  <c r="L6" i="3372"/>
  <c r="K6" i="3372"/>
  <c r="L5" i="3372"/>
  <c r="K5" i="3372"/>
  <c r="L10" i="3371" l="1"/>
  <c r="K10" i="3371"/>
  <c r="L22" i="3371"/>
  <c r="K22" i="3371"/>
  <c r="L21" i="3371"/>
  <c r="K21" i="3371"/>
  <c r="L20" i="3371"/>
  <c r="K20" i="3371"/>
  <c r="L9" i="3371"/>
  <c r="K9" i="3371"/>
  <c r="L8" i="3371"/>
  <c r="K8" i="3371"/>
  <c r="L7" i="3371"/>
  <c r="K7" i="3371"/>
  <c r="L6" i="3371"/>
  <c r="K6" i="3371"/>
  <c r="L5" i="3371"/>
  <c r="K5" i="3371"/>
  <c r="L22" i="3370"/>
  <c r="K22" i="3370"/>
  <c r="L21" i="3370"/>
  <c r="K21" i="3370"/>
  <c r="L20" i="3370"/>
  <c r="K20" i="3370"/>
  <c r="L10" i="3370"/>
  <c r="K10" i="3370"/>
  <c r="L9" i="3370"/>
  <c r="K9" i="3370"/>
  <c r="L8" i="3370"/>
  <c r="K8" i="3370"/>
  <c r="L7" i="3370"/>
  <c r="K7" i="3370"/>
  <c r="L5" i="3370"/>
  <c r="K5" i="3370"/>
  <c r="L20" i="3369"/>
  <c r="K20" i="3369"/>
  <c r="L19" i="3369"/>
  <c r="K19" i="3369"/>
  <c r="L18" i="3369"/>
  <c r="K18" i="3369"/>
  <c r="L10" i="3369"/>
  <c r="K10" i="3369"/>
  <c r="L9" i="3369"/>
  <c r="K9" i="3369"/>
  <c r="L8" i="3369"/>
  <c r="K8" i="3369"/>
  <c r="L7" i="3369"/>
  <c r="K7" i="3369"/>
  <c r="L6" i="3369"/>
  <c r="K6" i="3369"/>
  <c r="L5" i="3369"/>
  <c r="K5" i="3369"/>
  <c r="L20" i="3368"/>
  <c r="K20" i="3368"/>
  <c r="L19" i="3368"/>
  <c r="K19" i="3368"/>
  <c r="L18" i="3368"/>
  <c r="K18" i="3368"/>
  <c r="L10" i="3368"/>
  <c r="K10" i="3368"/>
  <c r="L9" i="3368"/>
  <c r="K9" i="3368"/>
  <c r="L8" i="3368"/>
  <c r="K8" i="3368"/>
  <c r="L7" i="3368"/>
  <c r="K7" i="3368"/>
  <c r="L6" i="3368"/>
  <c r="K6" i="3368"/>
  <c r="L5" i="3368"/>
  <c r="K5" i="3368"/>
  <c r="L20" i="3367"/>
  <c r="K20" i="3367"/>
  <c r="L19" i="3367"/>
  <c r="K19" i="3367"/>
  <c r="L18" i="3367"/>
  <c r="K18" i="3367"/>
  <c r="L10" i="3367"/>
  <c r="K10" i="3367"/>
  <c r="L9" i="3367"/>
  <c r="K9" i="3367"/>
  <c r="L8" i="3367"/>
  <c r="K8" i="3367"/>
  <c r="L7" i="3367"/>
  <c r="K7" i="3367"/>
  <c r="L6" i="3367"/>
  <c r="K6" i="3367"/>
  <c r="L5" i="3367"/>
  <c r="K5" i="3367"/>
  <c r="L20" i="3366"/>
  <c r="K20" i="3366"/>
  <c r="L19" i="3366"/>
  <c r="K19" i="3366"/>
  <c r="L18" i="3366"/>
  <c r="K18" i="3366"/>
  <c r="L10" i="3366"/>
  <c r="K10" i="3366"/>
  <c r="L9" i="3366"/>
  <c r="K9" i="3366"/>
  <c r="L8" i="3366"/>
  <c r="K8" i="3366"/>
  <c r="L7" i="3366"/>
  <c r="K7" i="3366"/>
  <c r="L6" i="3366"/>
  <c r="K6" i="3366"/>
  <c r="L5" i="3366"/>
  <c r="K5" i="3366"/>
  <c r="L20" i="3365" l="1"/>
  <c r="K20" i="3365"/>
  <c r="L19" i="3365"/>
  <c r="K19" i="3365"/>
  <c r="L18" i="3365"/>
  <c r="K18" i="3365"/>
  <c r="L10" i="3365"/>
  <c r="K10" i="3365"/>
  <c r="L9" i="3365"/>
  <c r="K9" i="3365"/>
  <c r="L8" i="3365"/>
  <c r="K8" i="3365"/>
  <c r="L7" i="3365"/>
  <c r="K7" i="3365"/>
  <c r="L6" i="3365"/>
  <c r="K6" i="3365"/>
  <c r="L5" i="3365"/>
  <c r="K5" i="3365"/>
  <c r="L12" i="3364"/>
  <c r="K12" i="3364"/>
  <c r="K11" i="3364"/>
  <c r="L11" i="3364"/>
  <c r="L9" i="3364"/>
  <c r="L10" i="3364"/>
  <c r="L22" i="3364"/>
  <c r="K22" i="3364"/>
  <c r="L21" i="3364"/>
  <c r="K21" i="3364"/>
  <c r="L20" i="3364"/>
  <c r="K20" i="3364"/>
  <c r="K10" i="3364"/>
  <c r="K9" i="3364"/>
  <c r="L8" i="3364"/>
  <c r="K8" i="3364"/>
  <c r="L7" i="3364"/>
  <c r="K7" i="3364"/>
  <c r="L6" i="3364"/>
  <c r="K6" i="3364"/>
  <c r="L5" i="3364"/>
  <c r="K5" i="3364"/>
  <c r="K10" i="3363" l="1"/>
  <c r="K9" i="3363"/>
  <c r="L22" i="3363"/>
  <c r="K22" i="3363"/>
  <c r="L21" i="3363"/>
  <c r="K21" i="3363"/>
  <c r="L20" i="3363"/>
  <c r="K20" i="3363"/>
  <c r="L16" i="3363"/>
  <c r="K16" i="3363"/>
  <c r="L8" i="3363"/>
  <c r="K8" i="3363"/>
  <c r="L7" i="3363"/>
  <c r="K7" i="3363"/>
  <c r="L6" i="3363"/>
  <c r="K6" i="3363"/>
  <c r="L5" i="3363"/>
  <c r="K5" i="3363"/>
  <c r="L5" i="3362"/>
  <c r="K5" i="3362"/>
  <c r="L22" i="3362"/>
  <c r="K22" i="3362"/>
  <c r="L21" i="3362"/>
  <c r="K21" i="3362"/>
  <c r="L20" i="3362"/>
  <c r="K20" i="3362"/>
  <c r="L16" i="3362"/>
  <c r="K16" i="3362"/>
  <c r="L8" i="3362"/>
  <c r="K8" i="3362"/>
  <c r="L7" i="3362"/>
  <c r="K7" i="3362"/>
  <c r="L6" i="3362"/>
  <c r="K6" i="3362"/>
  <c r="L22" i="3361"/>
  <c r="K22" i="3361"/>
  <c r="L9" i="3361" l="1"/>
  <c r="K9" i="3361"/>
  <c r="L8" i="3361"/>
  <c r="K8" i="3361"/>
  <c r="L7" i="3361"/>
  <c r="K7" i="3361"/>
  <c r="L21" i="3361"/>
  <c r="K21" i="3361"/>
  <c r="L20" i="3361"/>
  <c r="K20" i="3361"/>
  <c r="L16" i="3361"/>
  <c r="K16" i="3361"/>
  <c r="L6" i="3361"/>
  <c r="K6" i="3361"/>
  <c r="L5" i="3361"/>
  <c r="K5" i="3361"/>
  <c r="K11" i="3360"/>
  <c r="L11" i="3360"/>
  <c r="L21" i="3360"/>
  <c r="K21" i="3360"/>
  <c r="L20" i="3360"/>
  <c r="K20" i="3360"/>
  <c r="L16" i="3360"/>
  <c r="K16" i="3360"/>
  <c r="L10" i="3360"/>
  <c r="K10" i="3360"/>
  <c r="L9" i="3360"/>
  <c r="K9" i="3360"/>
  <c r="L8" i="3360"/>
  <c r="K8" i="3360"/>
  <c r="L7" i="3360"/>
  <c r="K7" i="3360"/>
  <c r="L6" i="3360"/>
  <c r="K6" i="3360"/>
  <c r="L5" i="3360"/>
  <c r="K5" i="3360"/>
  <c r="K11" i="3359"/>
  <c r="L11" i="3359"/>
  <c r="L22" i="3359" l="1"/>
  <c r="K22" i="3359"/>
  <c r="L21" i="3359"/>
  <c r="K21" i="3359"/>
  <c r="L17" i="3359"/>
  <c r="K17" i="3359"/>
  <c r="L10" i="3359"/>
  <c r="K10" i="3359"/>
  <c r="L9" i="3359"/>
  <c r="K9" i="3359"/>
  <c r="L8" i="3359"/>
  <c r="K8" i="3359"/>
  <c r="L7" i="3359"/>
  <c r="K7" i="3359"/>
  <c r="L6" i="3359"/>
  <c r="K6" i="3359"/>
  <c r="L5" i="3359"/>
  <c r="K5" i="3359"/>
  <c r="K11" i="3358"/>
  <c r="L10" i="3358"/>
  <c r="K10" i="3358"/>
  <c r="L9" i="3358"/>
  <c r="K9" i="3358"/>
  <c r="L22" i="3358"/>
  <c r="K22" i="3358"/>
  <c r="L21" i="3358"/>
  <c r="K21" i="3358"/>
  <c r="L17" i="3358"/>
  <c r="K17" i="3358"/>
  <c r="L8" i="3358"/>
  <c r="K8" i="3358"/>
  <c r="L7" i="3358"/>
  <c r="K7" i="3358"/>
  <c r="L6" i="3358"/>
  <c r="K6" i="3358"/>
  <c r="L5" i="3358"/>
  <c r="K5" i="3358"/>
  <c r="L11" i="3357"/>
  <c r="K11" i="3357"/>
  <c r="L22" i="3357"/>
  <c r="K22" i="3357"/>
  <c r="L21" i="3357"/>
  <c r="K21" i="3357"/>
  <c r="L17" i="3357"/>
  <c r="K17" i="3357"/>
  <c r="L10" i="3357"/>
  <c r="K10" i="3357"/>
  <c r="L9" i="3357"/>
  <c r="K9" i="3357"/>
  <c r="L8" i="3357"/>
  <c r="K8" i="3357"/>
  <c r="L7" i="3357"/>
  <c r="K7" i="3357"/>
  <c r="L6" i="3357"/>
  <c r="K6" i="3357"/>
  <c r="L5" i="3357"/>
  <c r="K5" i="3357"/>
  <c r="K8" i="3356"/>
  <c r="K9" i="3356"/>
  <c r="K10" i="3356"/>
  <c r="L8" i="3356"/>
  <c r="L9" i="3356"/>
  <c r="L10" i="3356"/>
  <c r="L7" i="3356"/>
  <c r="K7" i="3356"/>
  <c r="L6" i="3356"/>
  <c r="K6" i="3356"/>
  <c r="L5" i="3356"/>
  <c r="K5" i="3356"/>
  <c r="L21" i="3356"/>
  <c r="K21" i="3356"/>
  <c r="L20" i="3356"/>
  <c r="K20" i="3356"/>
  <c r="L16" i="3356"/>
  <c r="K16" i="3356"/>
  <c r="L21" i="3355"/>
  <c r="K21" i="3355"/>
  <c r="L20" i="3355"/>
  <c r="K20" i="3355"/>
  <c r="L16" i="3355"/>
  <c r="K16" i="3355"/>
  <c r="L8" i="3355"/>
  <c r="K8" i="3355"/>
  <c r="L7" i="3355"/>
  <c r="K7" i="3355"/>
  <c r="L6" i="3355"/>
  <c r="K6" i="3355"/>
  <c r="L5" i="3355"/>
  <c r="K5" i="3355"/>
  <c r="L8" i="3353" l="1"/>
  <c r="K8" i="3353"/>
  <c r="L21" i="3353"/>
  <c r="K21" i="3353"/>
  <c r="L20" i="3353"/>
  <c r="K20" i="3353"/>
  <c r="L16" i="3353"/>
  <c r="K16" i="3353"/>
  <c r="L7" i="3353"/>
  <c r="K7" i="3353"/>
  <c r="L6" i="3353"/>
  <c r="K6" i="3353"/>
  <c r="L5" i="3353"/>
  <c r="K5" i="3353"/>
  <c r="L9" i="3352"/>
  <c r="K9" i="3352"/>
  <c r="L21" i="3352"/>
  <c r="K21" i="3352"/>
  <c r="L20" i="3352"/>
  <c r="K20" i="3352"/>
  <c r="L16" i="3352"/>
  <c r="K16" i="3352"/>
  <c r="L8" i="3352"/>
  <c r="K8" i="3352"/>
  <c r="L7" i="3352"/>
  <c r="K7" i="3352"/>
  <c r="L6" i="3352"/>
  <c r="K6" i="3352"/>
  <c r="L5" i="3352"/>
  <c r="K5" i="3352"/>
  <c r="K10" i="3351"/>
  <c r="L10" i="3351"/>
  <c r="L21" i="3351"/>
  <c r="K21" i="3351"/>
  <c r="L20" i="3351"/>
  <c r="K20" i="3351"/>
  <c r="L16" i="3351"/>
  <c r="K16" i="3351"/>
  <c r="L9" i="3351"/>
  <c r="K9" i="3351"/>
  <c r="L8" i="3351"/>
  <c r="K8" i="3351"/>
  <c r="L7" i="3351"/>
  <c r="K7" i="3351"/>
  <c r="L6" i="3351"/>
  <c r="K6" i="3351"/>
  <c r="L5" i="3351"/>
  <c r="K5" i="3351"/>
  <c r="L21" i="3350"/>
  <c r="K21" i="3350"/>
  <c r="L20" i="3350"/>
  <c r="K20" i="3350"/>
  <c r="L16" i="3350"/>
  <c r="K16" i="3350"/>
  <c r="L10" i="3350"/>
  <c r="K10" i="3350"/>
  <c r="L9" i="3350"/>
  <c r="K9" i="3350"/>
  <c r="L8" i="3350"/>
  <c r="K8" i="3350"/>
  <c r="L7" i="3350"/>
  <c r="K7" i="3350"/>
  <c r="L6" i="3350"/>
  <c r="K6" i="3350"/>
  <c r="L5" i="3350"/>
  <c r="K5" i="3350"/>
  <c r="K10" i="3349" l="1"/>
  <c r="L10" i="3349"/>
  <c r="L21" i="3349"/>
  <c r="K21" i="3349"/>
  <c r="L20" i="3349"/>
  <c r="K20" i="3349"/>
  <c r="L16" i="3349"/>
  <c r="K16" i="3349"/>
  <c r="L9" i="3349"/>
  <c r="K9" i="3349"/>
  <c r="L8" i="3349"/>
  <c r="K8" i="3349"/>
  <c r="L7" i="3349"/>
  <c r="K7" i="3349"/>
  <c r="L6" i="3349"/>
  <c r="K6" i="3349"/>
  <c r="L5" i="3349"/>
  <c r="K5" i="3349"/>
  <c r="L21" i="3348"/>
  <c r="K21" i="3348"/>
  <c r="L20" i="3348"/>
  <c r="K20" i="3348"/>
  <c r="L16" i="3348"/>
  <c r="K16" i="3348"/>
  <c r="L10" i="3348"/>
  <c r="K10" i="3348"/>
  <c r="L9" i="3348"/>
  <c r="K9" i="3348"/>
  <c r="L8" i="3348"/>
  <c r="K8" i="3348"/>
  <c r="L7" i="3348"/>
  <c r="K7" i="3348"/>
  <c r="L6" i="3348"/>
  <c r="K6" i="3348"/>
  <c r="L5" i="3348"/>
  <c r="K5" i="3348"/>
  <c r="L21" i="3347"/>
  <c r="K21" i="3347"/>
  <c r="L20" i="3347"/>
  <c r="K20" i="3347"/>
  <c r="L16" i="3347"/>
  <c r="K16" i="3347"/>
  <c r="L11" i="3347"/>
  <c r="K11" i="3347"/>
  <c r="L10" i="3347"/>
  <c r="K10" i="3347"/>
  <c r="L9" i="3347"/>
  <c r="K9" i="3347"/>
  <c r="L8" i="3347"/>
  <c r="K8" i="3347"/>
  <c r="L7" i="3347"/>
  <c r="K7" i="3347"/>
  <c r="L6" i="3347"/>
  <c r="K6" i="3347"/>
  <c r="L5" i="3347"/>
  <c r="K5" i="3347"/>
  <c r="L12" i="3346" l="1"/>
  <c r="K12" i="3346"/>
  <c r="L11" i="3346"/>
  <c r="K11" i="3346"/>
  <c r="L9" i="3346"/>
  <c r="K9" i="3346"/>
  <c r="L8" i="3346"/>
  <c r="K8" i="3346"/>
  <c r="L21" i="3346"/>
  <c r="K21" i="3346"/>
  <c r="L20" i="3346"/>
  <c r="K20" i="3346"/>
  <c r="L16" i="3346"/>
  <c r="K16" i="3346"/>
  <c r="L10" i="3346"/>
  <c r="K10" i="3346"/>
  <c r="L7" i="3346"/>
  <c r="K7" i="3346"/>
  <c r="L6" i="3346"/>
  <c r="K6" i="3346"/>
  <c r="L5" i="3346"/>
  <c r="K5" i="3346"/>
  <c r="L20" i="3345" l="1"/>
  <c r="K20" i="3345"/>
  <c r="L16" i="3345"/>
  <c r="K16" i="3345"/>
  <c r="L15" i="3345"/>
  <c r="K15" i="3345"/>
  <c r="L14" i="3345"/>
  <c r="K14" i="3345"/>
  <c r="L9" i="3345"/>
  <c r="K9" i="3345"/>
  <c r="L8" i="3345"/>
  <c r="K8" i="3345"/>
  <c r="L7" i="3345"/>
  <c r="K7" i="3345"/>
  <c r="L6" i="3345"/>
  <c r="K6" i="3345"/>
  <c r="L5" i="3345"/>
  <c r="K5" i="3345"/>
  <c r="K10" i="3344" l="1"/>
  <c r="L10" i="3344"/>
  <c r="L20" i="3344"/>
  <c r="K20" i="3344"/>
  <c r="L16" i="3344"/>
  <c r="K16" i="3344"/>
  <c r="L15" i="3344"/>
  <c r="K15" i="3344"/>
  <c r="L14" i="3344"/>
  <c r="K14" i="3344"/>
  <c r="L9" i="3344"/>
  <c r="K9" i="3344"/>
  <c r="L8" i="3344"/>
  <c r="K8" i="3344"/>
  <c r="L7" i="3344"/>
  <c r="K7" i="3344"/>
  <c r="L6" i="3344"/>
  <c r="K6" i="3344"/>
  <c r="L5" i="3344"/>
  <c r="K5" i="3344"/>
  <c r="L9" i="3343"/>
  <c r="K9" i="3343"/>
  <c r="L8" i="3343"/>
  <c r="K8" i="3343"/>
  <c r="L7" i="3343"/>
  <c r="K7" i="3343"/>
  <c r="L6" i="3343"/>
  <c r="K6" i="3343"/>
  <c r="L20" i="3343"/>
  <c r="K20" i="3343"/>
  <c r="L16" i="3343"/>
  <c r="K16" i="3343"/>
  <c r="L15" i="3343"/>
  <c r="K15" i="3343"/>
  <c r="L14" i="3343"/>
  <c r="K14" i="3343"/>
  <c r="L5" i="3343"/>
  <c r="K5" i="3343"/>
  <c r="L10" i="3342"/>
  <c r="K10" i="3342"/>
  <c r="L9" i="3342"/>
  <c r="K9" i="3342"/>
  <c r="L23" i="3342"/>
  <c r="K23" i="3342"/>
  <c r="L19" i="3342"/>
  <c r="K19" i="3342"/>
  <c r="L18" i="3342"/>
  <c r="K18" i="3342"/>
  <c r="L17" i="3342"/>
  <c r="K17" i="3342"/>
  <c r="L8" i="3342"/>
  <c r="K8" i="3342"/>
  <c r="L7" i="3342"/>
  <c r="K7" i="3342"/>
  <c r="L6" i="3342"/>
  <c r="K6" i="3342"/>
  <c r="L5" i="3342"/>
  <c r="K5" i="3342"/>
  <c r="L9" i="3341"/>
  <c r="K9" i="3341"/>
  <c r="L8" i="3341"/>
  <c r="K8" i="3341"/>
  <c r="L6" i="3341"/>
  <c r="K6" i="3341"/>
  <c r="L19" i="3341"/>
  <c r="K19" i="3341"/>
  <c r="L7" i="3341"/>
  <c r="K7" i="3341"/>
  <c r="L23" i="3341"/>
  <c r="K23" i="3341"/>
  <c r="L18" i="3341"/>
  <c r="K18" i="3341"/>
  <c r="L17" i="3341"/>
  <c r="K17" i="3341"/>
  <c r="L5" i="3341"/>
  <c r="K5" i="3341"/>
  <c r="L28" i="3340"/>
  <c r="K28" i="3340"/>
  <c r="L24" i="3340"/>
  <c r="K24" i="3340"/>
  <c r="L23" i="3340"/>
  <c r="K23" i="3340"/>
  <c r="L22" i="3340"/>
  <c r="K22" i="3340"/>
  <c r="L21" i="3340"/>
  <c r="K21" i="3340"/>
  <c r="L20" i="3340"/>
  <c r="K20" i="3340"/>
  <c r="L19" i="3340"/>
  <c r="K19" i="3340"/>
  <c r="L5" i="3340"/>
  <c r="K5" i="3340"/>
  <c r="L29" i="3339"/>
  <c r="K29" i="3339"/>
  <c r="L25" i="3339"/>
  <c r="K25" i="3339"/>
  <c r="L24" i="3339"/>
  <c r="K24" i="3339"/>
  <c r="L23" i="3339"/>
  <c r="K23" i="3339"/>
  <c r="L22" i="3339"/>
  <c r="K22" i="3339"/>
  <c r="L21" i="3339"/>
  <c r="K21" i="3339"/>
  <c r="L20" i="3339"/>
  <c r="K20" i="3339"/>
  <c r="L19" i="3339"/>
  <c r="K19" i="3339"/>
  <c r="L18" i="3339"/>
  <c r="K18" i="3339"/>
  <c r="L17" i="3339"/>
  <c r="K17" i="3339"/>
  <c r="L5" i="3339"/>
  <c r="K5" i="3339"/>
  <c r="L25" i="3338"/>
  <c r="K25" i="3338"/>
  <c r="L24" i="3338"/>
  <c r="K24" i="3338"/>
  <c r="L23" i="3338"/>
  <c r="K23" i="3338"/>
  <c r="L22" i="3338"/>
  <c r="K22" i="3338"/>
  <c r="L21" i="3338"/>
  <c r="K21" i="3338"/>
  <c r="L20" i="3338"/>
  <c r="K20" i="3338"/>
  <c r="L19" i="3338"/>
  <c r="K19" i="3338"/>
  <c r="L29" i="3338"/>
  <c r="K29" i="3338"/>
  <c r="L18" i="3338"/>
  <c r="K18" i="3338"/>
  <c r="L17" i="3338"/>
  <c r="K17" i="3338"/>
  <c r="L5" i="3338"/>
  <c r="K5" i="3338"/>
  <c r="L22" i="3337"/>
  <c r="K22" i="3337"/>
  <c r="L18" i="3337"/>
  <c r="K18" i="3337"/>
  <c r="L17" i="3337"/>
  <c r="K17" i="3337"/>
  <c r="L11" i="3337"/>
  <c r="K11" i="3337"/>
  <c r="L10" i="3337"/>
  <c r="K10" i="3337"/>
  <c r="L9" i="3337"/>
  <c r="K9" i="3337"/>
  <c r="L8" i="3337"/>
  <c r="K8" i="3337"/>
  <c r="L7" i="3337"/>
  <c r="K7" i="3337"/>
  <c r="L6" i="3337"/>
  <c r="K6" i="3337"/>
  <c r="L5" i="3337"/>
  <c r="K5" i="3337"/>
  <c r="L22" i="3336"/>
  <c r="K22" i="3336"/>
  <c r="L18" i="3336"/>
  <c r="K18" i="3336"/>
  <c r="L17" i="3336"/>
  <c r="K17" i="3336"/>
  <c r="L11" i="3336"/>
  <c r="K11" i="3336"/>
  <c r="L10" i="3336"/>
  <c r="K10" i="3336"/>
  <c r="L9" i="3336"/>
  <c r="K9" i="3336"/>
  <c r="L8" i="3336"/>
  <c r="K8" i="3336"/>
  <c r="L7" i="3336"/>
  <c r="K7" i="3336"/>
  <c r="L6" i="3336"/>
  <c r="K6" i="3336"/>
  <c r="L5" i="3336"/>
  <c r="K5" i="3336"/>
  <c r="L11" i="3335"/>
  <c r="K11" i="3335"/>
  <c r="L22" i="3335"/>
  <c r="K22" i="3335"/>
  <c r="L18" i="3335"/>
  <c r="K18" i="3335"/>
  <c r="L17" i="3335"/>
  <c r="K17" i="3335"/>
  <c r="L10" i="3335"/>
  <c r="K10" i="3335"/>
  <c r="L9" i="3335"/>
  <c r="K9" i="3335"/>
  <c r="L8" i="3335"/>
  <c r="K8" i="3335"/>
  <c r="L7" i="3335"/>
  <c r="K7" i="3335"/>
  <c r="L6" i="3335"/>
  <c r="K6" i="3335"/>
  <c r="L5" i="3335"/>
  <c r="K5" i="3335"/>
  <c r="L10" i="3334"/>
  <c r="K10" i="3334"/>
  <c r="L22" i="3334"/>
  <c r="K22" i="3334"/>
  <c r="L18" i="3334"/>
  <c r="K18" i="3334"/>
  <c r="L17" i="3334"/>
  <c r="K17" i="3334"/>
  <c r="L9" i="3334"/>
  <c r="K9" i="3334"/>
  <c r="L8" i="3334"/>
  <c r="K8" i="3334"/>
  <c r="L7" i="3334"/>
  <c r="K7" i="3334"/>
  <c r="L6" i="3334"/>
  <c r="K6" i="3334"/>
  <c r="L5" i="3334"/>
  <c r="K5" i="3334"/>
  <c r="L22" i="3333"/>
  <c r="K22" i="3333"/>
  <c r="L18" i="3333"/>
  <c r="K18" i="3333"/>
  <c r="L17" i="3333"/>
  <c r="K17" i="3333"/>
  <c r="L9" i="3333"/>
  <c r="K9" i="3333"/>
  <c r="L8" i="3333"/>
  <c r="K8" i="3333"/>
  <c r="L7" i="3333"/>
  <c r="K7" i="3333"/>
  <c r="L6" i="3333"/>
  <c r="K6" i="3333"/>
  <c r="L5" i="3333"/>
  <c r="K5" i="3333"/>
  <c r="L21" i="3332"/>
  <c r="K21" i="3332"/>
  <c r="L17" i="3332"/>
  <c r="K17" i="3332"/>
  <c r="L16" i="3332"/>
  <c r="K16" i="3332"/>
  <c r="L9" i="3332"/>
  <c r="K9" i="3332"/>
  <c r="L8" i="3332"/>
  <c r="K8" i="3332"/>
  <c r="L7" i="3332"/>
  <c r="K7" i="3332"/>
  <c r="L6" i="3332"/>
  <c r="K6" i="3332"/>
  <c r="L5" i="3332"/>
  <c r="K5" i="3332"/>
  <c r="L21" i="3331"/>
  <c r="K21" i="3331"/>
  <c r="L17" i="3331"/>
  <c r="K17" i="3331"/>
  <c r="L16" i="3331"/>
  <c r="K16" i="3331"/>
  <c r="L9" i="3331"/>
  <c r="K9" i="3331"/>
  <c r="L8" i="3331"/>
  <c r="K8" i="3331"/>
  <c r="L7" i="3331"/>
  <c r="K7" i="3331"/>
  <c r="L6" i="3331"/>
  <c r="K6" i="3331"/>
  <c r="L5" i="3331"/>
  <c r="K5" i="3331"/>
  <c r="L9" i="3330"/>
  <c r="K9" i="3330"/>
  <c r="L8" i="3330"/>
  <c r="K8" i="3330"/>
  <c r="L21" i="3330" l="1"/>
  <c r="K21" i="3330"/>
  <c r="L17" i="3330"/>
  <c r="K17" i="3330"/>
  <c r="L16" i="3330"/>
  <c r="K16" i="3330"/>
  <c r="L7" i="3330"/>
  <c r="K7" i="3330"/>
  <c r="L6" i="3330"/>
  <c r="K6" i="3330"/>
  <c r="L5" i="3330"/>
  <c r="K5" i="3330"/>
  <c r="L21" i="3329"/>
  <c r="K21" i="3329"/>
  <c r="L17" i="3329"/>
  <c r="K17" i="3329"/>
  <c r="L16" i="3329"/>
  <c r="K16" i="3329"/>
  <c r="L8" i="3329"/>
  <c r="K8" i="3329"/>
  <c r="L7" i="3329"/>
  <c r="K7" i="3329"/>
  <c r="L6" i="3329"/>
  <c r="K6" i="3329"/>
  <c r="L5" i="3329"/>
  <c r="K5" i="3329"/>
  <c r="L21" i="3328"/>
  <c r="K21" i="3328"/>
  <c r="L17" i="3328"/>
  <c r="K17" i="3328"/>
  <c r="L16" i="3328"/>
  <c r="K16" i="3328"/>
  <c r="L8" i="3328"/>
  <c r="K8" i="3328"/>
  <c r="L7" i="3328"/>
  <c r="K7" i="3328"/>
  <c r="L6" i="3328"/>
  <c r="K6" i="3328"/>
  <c r="L5" i="3328"/>
  <c r="K5" i="3328"/>
  <c r="K5" i="3327"/>
  <c r="K6" i="3327"/>
  <c r="L6" i="3327"/>
  <c r="K7" i="3327"/>
  <c r="L7" i="3327"/>
  <c r="K8" i="3327"/>
  <c r="L8" i="3327"/>
  <c r="L21" i="3327"/>
  <c r="K21" i="3327"/>
  <c r="L17" i="3327"/>
  <c r="K17" i="3327"/>
  <c r="L16" i="3327"/>
  <c r="K16" i="3327"/>
  <c r="L5" i="3327"/>
  <c r="L22" i="3326"/>
  <c r="K22" i="3326"/>
  <c r="L18" i="3326"/>
  <c r="K18" i="3326"/>
  <c r="L17" i="3326"/>
  <c r="K17" i="3326"/>
  <c r="L9" i="3326"/>
  <c r="K9" i="3326"/>
  <c r="L8" i="3326"/>
  <c r="K8" i="3326"/>
  <c r="L7" i="3326"/>
  <c r="K7" i="3326"/>
  <c r="L6" i="3326"/>
  <c r="K6" i="3326"/>
  <c r="L5" i="3326"/>
  <c r="K5" i="3326"/>
  <c r="L11" i="3325"/>
  <c r="K11" i="3325"/>
  <c r="L10" i="3325"/>
  <c r="K10" i="3325"/>
  <c r="L5" i="3325"/>
  <c r="K5" i="3325"/>
  <c r="L9" i="3325"/>
  <c r="K9" i="3325"/>
  <c r="L8" i="3325"/>
  <c r="K8" i="3325"/>
  <c r="L7" i="3325"/>
  <c r="K7" i="3325"/>
  <c r="L6" i="3325"/>
  <c r="K6" i="3325"/>
  <c r="L22" i="3325"/>
  <c r="K22" i="3325"/>
  <c r="L18" i="3325"/>
  <c r="K18" i="3325"/>
  <c r="L17" i="3325"/>
  <c r="K17" i="3325"/>
  <c r="L21" i="3324"/>
  <c r="K21" i="3324"/>
  <c r="L17" i="3324"/>
  <c r="K17" i="3324"/>
  <c r="L16" i="3324"/>
  <c r="K16" i="3324"/>
  <c r="L15" i="3324"/>
  <c r="K15" i="3324"/>
  <c r="L14" i="3324"/>
  <c r="K14" i="3324"/>
  <c r="L13" i="3324"/>
  <c r="K13" i="3324"/>
  <c r="L21" i="3323" l="1"/>
  <c r="K21" i="3323"/>
  <c r="L17" i="3323"/>
  <c r="K17" i="3323"/>
  <c r="L16" i="3323"/>
  <c r="K16" i="3323"/>
  <c r="L15" i="3323"/>
  <c r="K15" i="3323"/>
  <c r="L14" i="3323"/>
  <c r="K14" i="3323"/>
  <c r="L13" i="3323"/>
  <c r="K13" i="3323"/>
  <c r="L17" i="3322"/>
  <c r="K17" i="3322"/>
  <c r="L21" i="3322"/>
  <c r="K21" i="3322"/>
  <c r="L16" i="3322"/>
  <c r="K16" i="3322"/>
  <c r="L15" i="3322"/>
  <c r="K15" i="3322"/>
  <c r="L14" i="3322"/>
  <c r="K14" i="3322"/>
  <c r="L13" i="3322"/>
  <c r="K13" i="3322"/>
  <c r="L5" i="3322"/>
  <c r="K5" i="3322"/>
  <c r="L16" i="3321"/>
  <c r="K16" i="3321"/>
  <c r="L15" i="3321"/>
  <c r="K15" i="3321"/>
  <c r="L14" i="3321"/>
  <c r="K14" i="3321"/>
  <c r="L13" i="3321"/>
  <c r="K13" i="3321"/>
  <c r="L21" i="3321"/>
  <c r="K21" i="3321"/>
  <c r="L5" i="3321"/>
  <c r="K5" i="3321"/>
  <c r="L17" i="3320" l="1"/>
  <c r="K17" i="3320"/>
  <c r="L9" i="3320"/>
  <c r="K9" i="3320"/>
  <c r="L8" i="3320"/>
  <c r="K8" i="3320"/>
  <c r="L7" i="3320"/>
  <c r="K7" i="3320"/>
  <c r="L6" i="3320"/>
  <c r="K6" i="3320"/>
  <c r="L5" i="3320"/>
  <c r="K5" i="3320"/>
  <c r="L17" i="3319" l="1"/>
  <c r="K17" i="3319"/>
  <c r="L9" i="3319"/>
  <c r="K9" i="3319"/>
  <c r="L8" i="3319"/>
  <c r="K8" i="3319"/>
  <c r="L7" i="3319"/>
  <c r="K7" i="3319"/>
  <c r="L6" i="3319"/>
  <c r="K6" i="3319"/>
  <c r="L5" i="3319"/>
  <c r="K5" i="3319"/>
  <c r="K10" i="3318"/>
  <c r="L10" i="3318"/>
  <c r="L9" i="3318" l="1"/>
  <c r="K9" i="3318"/>
  <c r="L18" i="3318"/>
  <c r="K18" i="3318"/>
  <c r="L8" i="3318"/>
  <c r="K8" i="3318"/>
  <c r="L7" i="3318"/>
  <c r="K7" i="3318"/>
  <c r="L6" i="3318"/>
  <c r="K6" i="3318"/>
  <c r="L5" i="3318"/>
  <c r="K5" i="3318"/>
  <c r="L9" i="3317"/>
  <c r="K9" i="3317"/>
  <c r="L8" i="3317"/>
  <c r="K8" i="3317"/>
  <c r="L7" i="3317"/>
  <c r="K7" i="3317"/>
  <c r="L18" i="3317"/>
  <c r="K18" i="3317"/>
  <c r="L6" i="3317"/>
  <c r="K6" i="3317"/>
  <c r="L5" i="3317"/>
  <c r="K5" i="3317"/>
  <c r="L10" i="3316"/>
  <c r="K10" i="3316"/>
  <c r="L9" i="3316"/>
  <c r="K9" i="3316"/>
  <c r="L8" i="3316"/>
  <c r="K8" i="3316"/>
  <c r="L7" i="3316"/>
  <c r="K7" i="3316"/>
  <c r="L18" i="3316"/>
  <c r="K18" i="3316"/>
  <c r="L6" i="3316"/>
  <c r="K6" i="3316"/>
  <c r="L5" i="3316"/>
  <c r="K5" i="3316"/>
  <c r="L10" i="3315"/>
  <c r="K10" i="3315"/>
  <c r="L9" i="3315"/>
  <c r="K9" i="3315"/>
  <c r="L8" i="3315"/>
  <c r="K8" i="3315"/>
  <c r="L7" i="3315"/>
  <c r="K7" i="3315"/>
  <c r="L18" i="3315"/>
  <c r="K18" i="3315"/>
  <c r="L6" i="3315"/>
  <c r="K6" i="3315"/>
  <c r="L5" i="3315"/>
  <c r="K5" i="3315"/>
  <c r="K12" i="3314" l="1"/>
  <c r="L12" i="3314"/>
  <c r="L11" i="3314"/>
  <c r="K11" i="3314"/>
  <c r="L20" i="3314"/>
  <c r="K20" i="3314"/>
  <c r="L10" i="3314"/>
  <c r="K10" i="3314"/>
  <c r="L9" i="3314"/>
  <c r="K9" i="3314"/>
  <c r="L8" i="3314"/>
  <c r="K8" i="3314"/>
  <c r="L7" i="3314"/>
  <c r="K7" i="3314"/>
  <c r="L6" i="3314"/>
  <c r="K6" i="3314"/>
  <c r="L5" i="3314"/>
  <c r="K5" i="3314"/>
  <c r="L12" i="3313" l="1"/>
  <c r="K12" i="3313"/>
  <c r="L11" i="3313"/>
  <c r="K11" i="3313"/>
  <c r="L10" i="3313"/>
  <c r="K10" i="3313"/>
  <c r="L9" i="3313"/>
  <c r="K9" i="3313"/>
  <c r="L8" i="3313"/>
  <c r="K8" i="3313"/>
  <c r="L7" i="3313"/>
  <c r="K7" i="3313"/>
  <c r="L6" i="3313"/>
  <c r="K6" i="3313"/>
  <c r="L5" i="3313"/>
  <c r="K5" i="3313"/>
  <c r="L15" i="3312"/>
  <c r="K15" i="3312"/>
  <c r="L11" i="3312"/>
  <c r="K11" i="3312"/>
  <c r="L10" i="3312"/>
  <c r="K10" i="3312"/>
  <c r="L9" i="3312"/>
  <c r="K9" i="3312"/>
  <c r="L8" i="3312"/>
  <c r="K8" i="3312"/>
  <c r="L7" i="3312"/>
  <c r="K7" i="3312"/>
  <c r="L6" i="3312"/>
  <c r="K6" i="3312"/>
  <c r="L5" i="3312"/>
  <c r="K5" i="3312"/>
  <c r="L15" i="3311"/>
  <c r="K15" i="3311"/>
  <c r="L11" i="3311"/>
  <c r="K11" i="3311"/>
  <c r="L10" i="3311"/>
  <c r="K10" i="3311"/>
  <c r="L9" i="3311"/>
  <c r="K9" i="3311"/>
  <c r="L8" i="3311"/>
  <c r="K8" i="3311"/>
  <c r="L7" i="3311"/>
  <c r="K7" i="3311"/>
  <c r="L6" i="3311"/>
  <c r="K6" i="3311"/>
  <c r="L5" i="3311"/>
  <c r="K5" i="3311"/>
  <c r="L15" i="3310" l="1"/>
  <c r="K15" i="3310"/>
  <c r="L11" i="3310"/>
  <c r="K11" i="3310"/>
  <c r="L10" i="3310"/>
  <c r="K10" i="3310"/>
  <c r="L9" i="3310"/>
  <c r="K9" i="3310"/>
  <c r="L8" i="3310"/>
  <c r="K8" i="3310"/>
  <c r="L7" i="3310"/>
  <c r="K7" i="3310"/>
  <c r="L6" i="3310"/>
  <c r="K6" i="3310"/>
  <c r="L5" i="3310"/>
  <c r="K5" i="3310"/>
  <c r="L11" i="3309"/>
  <c r="K11" i="3309"/>
  <c r="L15" i="3309"/>
  <c r="K15" i="3309"/>
  <c r="L10" i="3309"/>
  <c r="K10" i="3309"/>
  <c r="L9" i="3309"/>
  <c r="K9" i="3309"/>
  <c r="L8" i="3309"/>
  <c r="K8" i="3309"/>
  <c r="L7" i="3309"/>
  <c r="K7" i="3309"/>
  <c r="L6" i="3309"/>
  <c r="K6" i="3309"/>
  <c r="L5" i="3309"/>
  <c r="K5" i="3309"/>
  <c r="L14" i="3308"/>
  <c r="K14" i="3308"/>
  <c r="L10" i="3308"/>
  <c r="K10" i="3308"/>
  <c r="L9" i="3308"/>
  <c r="K9" i="3308"/>
  <c r="L8" i="3308"/>
  <c r="K8" i="3308"/>
  <c r="L7" i="3308"/>
  <c r="K7" i="3308"/>
  <c r="L6" i="3308"/>
  <c r="K6" i="3308"/>
  <c r="L5" i="3308"/>
  <c r="K5" i="3308"/>
  <c r="L15" i="3307" l="1"/>
  <c r="K15" i="3307"/>
  <c r="L14" i="3307"/>
  <c r="K14" i="3307"/>
  <c r="L10" i="3307"/>
  <c r="K10" i="3307"/>
  <c r="L9" i="3307"/>
  <c r="K9" i="3307"/>
  <c r="L8" i="3307"/>
  <c r="K8" i="3307"/>
  <c r="L7" i="3307"/>
  <c r="K7" i="3307"/>
  <c r="L6" i="3307"/>
  <c r="K6" i="3307"/>
  <c r="L5" i="3307"/>
  <c r="K5" i="3307"/>
  <c r="L15" i="3306"/>
  <c r="K15" i="3306"/>
  <c r="L14" i="3306"/>
  <c r="K14" i="3306"/>
  <c r="L10" i="3306"/>
  <c r="K10" i="3306"/>
  <c r="L9" i="3306"/>
  <c r="K9" i="3306"/>
  <c r="L8" i="3306"/>
  <c r="K8" i="3306"/>
  <c r="L7" i="3306"/>
  <c r="K7" i="3306"/>
  <c r="L6" i="3306"/>
  <c r="K6" i="3306"/>
  <c r="L5" i="3306"/>
  <c r="K5" i="3306"/>
  <c r="L10" i="3305" l="1"/>
  <c r="K10" i="3305"/>
  <c r="L15" i="3305"/>
  <c r="K15" i="3305"/>
  <c r="L14" i="3305"/>
  <c r="K14" i="3305"/>
  <c r="L9" i="3305"/>
  <c r="K9" i="3305"/>
  <c r="L8" i="3305"/>
  <c r="K8" i="3305"/>
  <c r="L7" i="3305"/>
  <c r="K7" i="3305"/>
  <c r="L6" i="3305"/>
  <c r="K6" i="3305"/>
  <c r="L5" i="3305"/>
  <c r="K5" i="3305"/>
  <c r="L16" i="3304" l="1"/>
  <c r="K16" i="3304"/>
  <c r="L15" i="3304"/>
  <c r="K15" i="3304"/>
  <c r="L14" i="3304"/>
  <c r="K14" i="3304"/>
  <c r="L10" i="3304"/>
  <c r="K10" i="3304"/>
  <c r="L9" i="3304"/>
  <c r="K9" i="3304"/>
  <c r="L8" i="3304"/>
  <c r="K8" i="3304"/>
  <c r="L7" i="3304"/>
  <c r="K7" i="3304"/>
  <c r="L6" i="3304"/>
  <c r="K6" i="3304"/>
  <c r="L5" i="3304"/>
  <c r="K5" i="3304"/>
  <c r="L16" i="3303"/>
  <c r="K16" i="3303"/>
  <c r="L15" i="3303"/>
  <c r="K15" i="3303"/>
  <c r="L14" i="3303"/>
  <c r="K14" i="3303"/>
  <c r="L10" i="3303"/>
  <c r="K10" i="3303"/>
  <c r="L9" i="3303"/>
  <c r="K9" i="3303"/>
  <c r="L8" i="3303"/>
  <c r="K8" i="3303"/>
  <c r="L7" i="3303"/>
  <c r="K7" i="3303"/>
  <c r="L6" i="3303"/>
  <c r="K6" i="3303"/>
  <c r="L5" i="3303"/>
  <c r="K5" i="3303"/>
  <c r="K11" i="3302" l="1"/>
  <c r="L11" i="3302"/>
  <c r="L10" i="3302"/>
  <c r="K10" i="3302"/>
  <c r="L9" i="3302"/>
  <c r="K9" i="3302"/>
  <c r="L8" i="3302"/>
  <c r="K8" i="3302"/>
  <c r="L6" i="3302"/>
  <c r="K6" i="3302"/>
  <c r="L17" i="3302" l="1"/>
  <c r="K17" i="3302"/>
  <c r="L16" i="3302"/>
  <c r="K16" i="3302"/>
  <c r="L15" i="3302"/>
  <c r="K15" i="3302"/>
  <c r="L7" i="3302"/>
  <c r="K7" i="3302"/>
  <c r="L5" i="3302"/>
  <c r="K5" i="3302"/>
  <c r="K8" i="3301"/>
  <c r="L8" i="3301"/>
  <c r="K7" i="3301"/>
  <c r="L7" i="3301"/>
  <c r="K6" i="3301"/>
  <c r="L6" i="3301"/>
  <c r="L17" i="3301"/>
  <c r="K17" i="3301"/>
  <c r="L16" i="3301"/>
  <c r="K16" i="3301"/>
  <c r="L15" i="3301"/>
  <c r="K15" i="3301"/>
  <c r="L14" i="3301"/>
  <c r="K14" i="3301"/>
  <c r="L13" i="3301"/>
  <c r="K13" i="3301"/>
  <c r="L5" i="3301"/>
  <c r="K5" i="3301"/>
  <c r="L17" i="3300"/>
  <c r="K17" i="3300"/>
  <c r="L16" i="3300"/>
  <c r="K16" i="3300"/>
  <c r="L15" i="3300"/>
  <c r="K15" i="3300"/>
  <c r="L14" i="3300"/>
  <c r="K14" i="3300"/>
  <c r="L13" i="3300"/>
  <c r="K13" i="3300"/>
  <c r="L5" i="3300"/>
  <c r="K5" i="3300"/>
  <c r="K7" i="3299"/>
  <c r="L7" i="3299"/>
  <c r="L18" i="3299"/>
  <c r="K18" i="3299"/>
  <c r="L17" i="3299"/>
  <c r="K17" i="3299"/>
  <c r="L16" i="3299"/>
  <c r="K16" i="3299"/>
  <c r="L15" i="3299"/>
  <c r="K15" i="3299"/>
  <c r="L14" i="3299"/>
  <c r="K14" i="3299"/>
  <c r="L6" i="3299"/>
  <c r="K6" i="3299"/>
  <c r="L5" i="3299"/>
  <c r="K5" i="3299"/>
  <c r="K7" i="3298"/>
  <c r="L7" i="3298"/>
  <c r="L18" i="3298"/>
  <c r="K18" i="3298"/>
  <c r="L17" i="3298"/>
  <c r="K17" i="3298"/>
  <c r="L16" i="3298"/>
  <c r="K16" i="3298"/>
  <c r="L15" i="3298"/>
  <c r="K15" i="3298"/>
  <c r="L14" i="3298"/>
  <c r="K14" i="3298"/>
  <c r="L6" i="3298"/>
  <c r="K6" i="3298"/>
  <c r="L5" i="3298"/>
  <c r="K5" i="3298"/>
  <c r="K6" i="3297"/>
  <c r="L6" i="3297"/>
  <c r="L17" i="3297"/>
  <c r="K17" i="3297"/>
  <c r="L16" i="3297"/>
  <c r="K16" i="3297"/>
  <c r="L15" i="3297"/>
  <c r="K15" i="3297"/>
  <c r="L14" i="3297"/>
  <c r="K14" i="3297"/>
  <c r="L12" i="3297"/>
  <c r="K12" i="3297"/>
  <c r="L5" i="3297"/>
  <c r="K5" i="3297"/>
  <c r="K6" i="3296"/>
  <c r="L6" i="3296"/>
  <c r="L16" i="3296"/>
  <c r="K16" i="3296"/>
  <c r="L15" i="3296"/>
  <c r="K15" i="3296"/>
  <c r="L14" i="3296"/>
  <c r="K14" i="3296"/>
  <c r="L12" i="3296"/>
  <c r="K12" i="3296"/>
  <c r="L5" i="3296"/>
  <c r="K5" i="3296"/>
  <c r="L16" i="3295"/>
  <c r="K16" i="3295"/>
  <c r="L15" i="3295"/>
  <c r="K15" i="3295"/>
  <c r="L14" i="3295"/>
  <c r="K14" i="3295"/>
  <c r="L12" i="3295"/>
  <c r="K12" i="3295"/>
  <c r="L5" i="3295"/>
  <c r="K5" i="3295"/>
  <c r="L12" i="3294"/>
  <c r="K12" i="3294"/>
  <c r="L16" i="3294"/>
  <c r="K16" i="3294"/>
  <c r="L15" i="3294"/>
  <c r="K15" i="3294"/>
  <c r="L14" i="3294"/>
  <c r="K14" i="3294"/>
  <c r="L5" i="3294"/>
  <c r="K5" i="3294"/>
  <c r="L9" i="3293"/>
  <c r="K9" i="3293"/>
  <c r="L14" i="3293"/>
  <c r="K14" i="3293"/>
  <c r="L8" i="3293"/>
  <c r="K8" i="3293"/>
  <c r="L7" i="3293"/>
  <c r="K7" i="3293"/>
  <c r="L6" i="3293"/>
  <c r="K6" i="3293"/>
  <c r="L5" i="3293"/>
  <c r="K5" i="3293"/>
  <c r="L8" i="3292"/>
  <c r="K8" i="3292"/>
  <c r="L14" i="3292"/>
  <c r="K14" i="3292"/>
  <c r="L7" i="3292"/>
  <c r="K7" i="3292"/>
  <c r="L6" i="3292"/>
  <c r="K6" i="3292"/>
  <c r="L5" i="3292"/>
  <c r="K5" i="3292"/>
  <c r="L14" i="3291"/>
  <c r="K14" i="3291"/>
  <c r="L9" i="3291"/>
  <c r="K9" i="3291"/>
  <c r="L8" i="3291"/>
  <c r="K8" i="3291"/>
  <c r="L7" i="3291"/>
  <c r="K7" i="3291"/>
  <c r="L6" i="3291"/>
  <c r="K6" i="3291"/>
  <c r="L5" i="3291"/>
  <c r="K5" i="3291"/>
  <c r="L14" i="3290"/>
  <c r="K14" i="3290"/>
  <c r="L9" i="3290"/>
  <c r="K9" i="3290"/>
  <c r="L8" i="3290"/>
  <c r="K8" i="3290"/>
  <c r="L7" i="3290"/>
  <c r="K7" i="3290"/>
  <c r="L6" i="3290"/>
  <c r="K6" i="3290"/>
  <c r="L5" i="3290"/>
  <c r="K5" i="3290"/>
  <c r="L9" i="3289"/>
  <c r="K9" i="3289"/>
  <c r="L14" i="3289"/>
  <c r="K14" i="3289"/>
  <c r="L8" i="3289"/>
  <c r="K8" i="3289"/>
  <c r="L7" i="3289"/>
  <c r="K7" i="3289"/>
  <c r="L6" i="3289"/>
  <c r="K6" i="3289"/>
  <c r="L5" i="3289"/>
  <c r="K5" i="3289"/>
  <c r="K8" i="3288"/>
  <c r="L8" i="3288"/>
  <c r="L14" i="3288"/>
  <c r="K14" i="3288"/>
  <c r="L7" i="3288"/>
  <c r="K7" i="3288"/>
  <c r="L6" i="3288"/>
  <c r="K6" i="3288"/>
  <c r="L5" i="3288"/>
  <c r="K5" i="3288"/>
  <c r="L14" i="3287"/>
  <c r="K14" i="3287"/>
  <c r="L7" i="3287"/>
  <c r="K7" i="3287"/>
  <c r="L6" i="3287"/>
  <c r="K6" i="3287"/>
  <c r="L5" i="3287"/>
  <c r="K5" i="3287"/>
  <c r="L12" i="3286"/>
  <c r="K12" i="3286"/>
  <c r="L7" i="3286"/>
  <c r="K7" i="3286"/>
  <c r="L6" i="3286"/>
  <c r="K6" i="3286"/>
  <c r="L5" i="3286"/>
  <c r="K5" i="3286"/>
  <c r="L7" i="3285"/>
  <c r="K7" i="3285"/>
  <c r="L12" i="3285"/>
  <c r="K12" i="3285"/>
  <c r="L6" i="3285"/>
  <c r="K6" i="3285"/>
  <c r="L5" i="3285"/>
  <c r="K5" i="3285"/>
  <c r="L13" i="3284"/>
  <c r="K13" i="3284"/>
  <c r="L12" i="3284"/>
  <c r="K12" i="3284"/>
  <c r="L11" i="3284"/>
  <c r="K11" i="3284"/>
  <c r="L6" i="3284"/>
  <c r="K6" i="3284"/>
  <c r="L5" i="3284"/>
  <c r="K5" i="3284"/>
  <c r="L13" i="3283"/>
  <c r="K13" i="3283"/>
  <c r="L12" i="3283"/>
  <c r="K12" i="3283"/>
  <c r="L11" i="3283"/>
  <c r="K11" i="3283"/>
  <c r="L6" i="3283"/>
  <c r="K6" i="3283"/>
  <c r="L5" i="3283"/>
  <c r="K5" i="3283"/>
  <c r="L16" i="3282"/>
  <c r="K16" i="3282"/>
  <c r="L15" i="3282"/>
  <c r="K15" i="3282"/>
  <c r="L14" i="3282"/>
  <c r="K14" i="3282"/>
  <c r="L6" i="3282"/>
  <c r="K6" i="3282"/>
  <c r="L5" i="3282"/>
  <c r="K5" i="3282"/>
  <c r="K6" i="3281"/>
  <c r="L6" i="3281"/>
  <c r="L16" i="3281"/>
  <c r="K16" i="3281"/>
  <c r="L15" i="3281"/>
  <c r="K15" i="3281"/>
  <c r="L14" i="3281"/>
  <c r="K14" i="3281"/>
  <c r="L5" i="3281"/>
  <c r="K5" i="3281"/>
  <c r="K6" i="3280"/>
  <c r="L6" i="3280"/>
  <c r="L15" i="3280"/>
  <c r="K15" i="3280"/>
  <c r="L14" i="3280"/>
  <c r="K14" i="3280"/>
  <c r="L5" i="3280"/>
  <c r="K5" i="3280"/>
  <c r="K5" i="3279"/>
  <c r="L5" i="3279"/>
  <c r="L16" i="3279"/>
  <c r="K16" i="3279"/>
  <c r="L15" i="3279"/>
  <c r="K15" i="3279"/>
  <c r="L14" i="3279"/>
  <c r="K14" i="3279"/>
  <c r="L15" i="3278"/>
  <c r="K15" i="3278"/>
  <c r="L14" i="3278"/>
  <c r="K14" i="3278"/>
  <c r="L5" i="3278"/>
  <c r="K5" i="3278"/>
  <c r="L15" i="3277"/>
  <c r="K15" i="3277"/>
  <c r="L14" i="3277"/>
  <c r="K14" i="3277"/>
  <c r="L5" i="3277"/>
  <c r="K5" i="3277"/>
  <c r="L5" i="3276"/>
  <c r="K5" i="3276"/>
  <c r="L15" i="3276"/>
  <c r="K15" i="3276"/>
  <c r="L14" i="3276"/>
  <c r="K14" i="3276"/>
  <c r="L16" i="3275"/>
  <c r="K16" i="3275"/>
  <c r="L15" i="3275"/>
  <c r="K15" i="3275"/>
  <c r="L14" i="3275"/>
  <c r="K14" i="3275"/>
  <c r="L5" i="3275"/>
  <c r="K5" i="3275"/>
  <c r="L17" i="3274"/>
  <c r="K17" i="3274"/>
  <c r="L16" i="3274"/>
  <c r="K16" i="3274"/>
  <c r="L15" i="3274"/>
  <c r="K15" i="3274"/>
  <c r="L14" i="3274"/>
  <c r="K14" i="3274"/>
  <c r="L5" i="3274"/>
  <c r="K5" i="3274"/>
  <c r="K8" i="3273"/>
  <c r="L8" i="3273"/>
  <c r="K7" i="3273"/>
  <c r="L7" i="3273"/>
  <c r="L14" i="3273"/>
  <c r="K14" i="3273"/>
  <c r="L6" i="3273"/>
  <c r="K6" i="3273"/>
  <c r="L5" i="3273"/>
  <c r="K5" i="3273"/>
  <c r="K6" i="3272"/>
  <c r="L6" i="3272"/>
  <c r="L14" i="3272"/>
  <c r="K14" i="3272"/>
  <c r="L5" i="3272"/>
  <c r="K5" i="3272"/>
  <c r="L11" i="3271"/>
  <c r="K11" i="3271"/>
  <c r="L7" i="3271"/>
  <c r="K7" i="3271"/>
  <c r="L6" i="3271"/>
  <c r="K6" i="3271"/>
  <c r="L5" i="3271"/>
  <c r="K5" i="3271"/>
  <c r="L7" i="3270"/>
  <c r="K7" i="3270"/>
  <c r="L6" i="3270"/>
  <c r="K6" i="3270"/>
  <c r="L11" i="3270"/>
  <c r="K11" i="3270"/>
  <c r="L5" i="3270"/>
  <c r="K5" i="3270"/>
  <c r="L13" i="3269"/>
  <c r="K13" i="3269"/>
  <c r="L12" i="3269"/>
  <c r="K12" i="3269"/>
  <c r="L11" i="3269"/>
  <c r="K11" i="3269"/>
  <c r="L5" i="3269"/>
  <c r="K5" i="3269"/>
  <c r="L14" i="3268"/>
  <c r="K14" i="3268"/>
  <c r="L13" i="3268"/>
  <c r="K13" i="3268"/>
  <c r="L12" i="3268"/>
  <c r="K12" i="3268"/>
  <c r="L5" i="3268"/>
  <c r="K5" i="3268"/>
  <c r="L6" i="3267"/>
  <c r="K6" i="3267"/>
  <c r="L5" i="3267"/>
  <c r="K5" i="3267"/>
  <c r="L13" i="3267"/>
  <c r="K13" i="3267"/>
  <c r="L12" i="3267"/>
  <c r="K12" i="3267"/>
  <c r="L11" i="3267"/>
  <c r="K11" i="3267"/>
  <c r="K8" i="3266"/>
  <c r="L8" i="3266"/>
  <c r="L14" i="3266"/>
  <c r="K14" i="3266"/>
  <c r="L13" i="3266"/>
  <c r="K13" i="3266"/>
  <c r="L12" i="3266"/>
  <c r="K12" i="3266"/>
  <c r="L7" i="3266"/>
  <c r="K7" i="3266"/>
  <c r="L6" i="3266"/>
  <c r="K6" i="3266"/>
  <c r="L5" i="3266"/>
  <c r="K5" i="3266"/>
  <c r="L7" i="3265"/>
  <c r="K7" i="3265"/>
  <c r="L6" i="3265"/>
  <c r="K6" i="3265"/>
  <c r="L14" i="3265"/>
  <c r="K14" i="3265"/>
  <c r="L13" i="3265"/>
  <c r="K13" i="3265"/>
  <c r="L12" i="3265"/>
  <c r="K12" i="3265"/>
  <c r="L5" i="3265"/>
  <c r="K5" i="3265"/>
  <c r="L16" i="3264"/>
  <c r="K16" i="3264"/>
  <c r="L15" i="3264"/>
  <c r="K15" i="3264"/>
  <c r="L14" i="3264"/>
  <c r="K14" i="3264"/>
  <c r="L13" i="3264"/>
  <c r="K13" i="3264"/>
  <c r="L12" i="3264"/>
  <c r="K12" i="3264"/>
  <c r="L16" i="3263"/>
  <c r="K16" i="3263"/>
  <c r="L15" i="3263"/>
  <c r="K15" i="3263"/>
  <c r="L14" i="3263"/>
  <c r="K14" i="3263"/>
  <c r="L13" i="3263"/>
  <c r="K13" i="3263"/>
  <c r="L12" i="3263"/>
  <c r="K12" i="3263"/>
  <c r="L16" i="3262"/>
  <c r="K16" i="3262"/>
  <c r="L15" i="3262"/>
  <c r="K15" i="3262"/>
  <c r="L14" i="3262"/>
  <c r="K14" i="3262"/>
  <c r="L13" i="3262"/>
  <c r="K13" i="3262"/>
  <c r="L12" i="3262"/>
  <c r="K12" i="3262"/>
  <c r="L16" i="3261"/>
  <c r="K16" i="3261"/>
  <c r="L15" i="3261"/>
  <c r="K15" i="3261"/>
  <c r="L14" i="3261"/>
  <c r="K14" i="3261"/>
  <c r="L13" i="3261"/>
  <c r="K13" i="3261"/>
  <c r="L12" i="3261"/>
  <c r="K12" i="3261"/>
  <c r="L17" i="3260"/>
  <c r="K17" i="3260"/>
  <c r="L16" i="3260"/>
  <c r="K16" i="3260"/>
  <c r="L15" i="3260"/>
  <c r="K15" i="3260"/>
  <c r="L14" i="3260"/>
  <c r="K14" i="3260"/>
  <c r="L13" i="3260"/>
  <c r="K13" i="3260"/>
  <c r="L5" i="3260"/>
  <c r="K5" i="3260"/>
  <c r="L17" i="3259"/>
  <c r="K17" i="3259"/>
  <c r="L16" i="3259"/>
  <c r="K16" i="3259"/>
  <c r="L15" i="3259"/>
  <c r="K15" i="3259"/>
  <c r="L14" i="3259"/>
  <c r="K14" i="3259"/>
  <c r="L13" i="3259"/>
  <c r="K13" i="3259"/>
  <c r="L5" i="3259"/>
  <c r="K5" i="3259"/>
  <c r="L16" i="3258"/>
  <c r="K16" i="3258"/>
  <c r="L15" i="3258"/>
  <c r="K15" i="3258"/>
  <c r="L14" i="3258"/>
  <c r="K14" i="3258"/>
  <c r="L13" i="3258"/>
  <c r="K13" i="3258"/>
  <c r="L5" i="3258"/>
  <c r="K5" i="3258"/>
  <c r="L16" i="3257"/>
  <c r="K16" i="3257"/>
  <c r="L15" i="3257"/>
  <c r="K15" i="3257"/>
  <c r="L14" i="3257"/>
  <c r="K14" i="3257"/>
  <c r="L13" i="3257"/>
  <c r="K13" i="3257"/>
  <c r="L5" i="3257"/>
  <c r="K5" i="3257"/>
  <c r="L16" i="3256"/>
  <c r="K16" i="3256"/>
  <c r="L15" i="3256"/>
  <c r="K15" i="3256"/>
  <c r="L14" i="3256"/>
  <c r="K14" i="3256"/>
  <c r="L13" i="3256"/>
  <c r="K13" i="3256"/>
  <c r="L5" i="3256"/>
  <c r="K5" i="3256"/>
  <c r="L16" i="3255"/>
  <c r="K16" i="3255"/>
  <c r="L15" i="3255"/>
  <c r="K15" i="3255"/>
  <c r="L14" i="3255"/>
  <c r="K14" i="3255"/>
  <c r="L13" i="3255"/>
  <c r="K13" i="3255"/>
  <c r="L5" i="3255"/>
  <c r="K5" i="3255"/>
  <c r="L5" i="3254"/>
  <c r="K5" i="3254"/>
  <c r="L16" i="3254"/>
  <c r="K16" i="3254"/>
  <c r="L15" i="3254"/>
  <c r="K15" i="3254"/>
  <c r="L14" i="3254"/>
  <c r="K14" i="3254"/>
  <c r="L13" i="3254"/>
  <c r="K13" i="3254"/>
  <c r="K6" i="3253"/>
  <c r="L6" i="3253"/>
  <c r="L15" i="3253"/>
  <c r="K15" i="3253"/>
  <c r="L14" i="3253"/>
  <c r="K14" i="3253"/>
  <c r="L13" i="3253"/>
  <c r="K13" i="3253"/>
  <c r="L5" i="3253"/>
  <c r="K5" i="3253"/>
  <c r="L6" i="3252"/>
  <c r="K6" i="3252"/>
  <c r="L14" i="3252"/>
  <c r="K14" i="3252"/>
  <c r="L13" i="3252"/>
  <c r="K13" i="3252"/>
  <c r="L5" i="3252"/>
  <c r="K5" i="3252"/>
  <c r="L14" i="3251"/>
  <c r="K14" i="3251"/>
  <c r="L13" i="3251"/>
  <c r="K13" i="3251"/>
  <c r="L6" i="3251"/>
  <c r="K6" i="3251"/>
  <c r="L5" i="3251"/>
  <c r="K5" i="3251"/>
  <c r="L14" i="3250"/>
  <c r="K14" i="3250"/>
  <c r="L13" i="3250"/>
  <c r="K13" i="3250"/>
  <c r="L6" i="3250"/>
  <c r="K6" i="3250"/>
  <c r="L5" i="3250"/>
  <c r="K5" i="3250"/>
  <c r="L6" i="3249"/>
  <c r="K6" i="3249"/>
  <c r="L5" i="3249"/>
  <c r="K5" i="3249"/>
  <c r="L14" i="3249"/>
  <c r="K14" i="3249"/>
  <c r="L13" i="3249"/>
  <c r="K13" i="3249"/>
  <c r="L14" i="3248"/>
  <c r="K14" i="3248"/>
  <c r="L13" i="3248"/>
  <c r="K13" i="3248"/>
  <c r="L6" i="3248"/>
  <c r="K6" i="3248"/>
  <c r="L5" i="3248"/>
  <c r="K5" i="3248"/>
  <c r="L14" i="3247"/>
  <c r="K14" i="3247"/>
  <c r="L13" i="3247"/>
  <c r="K13" i="3247"/>
  <c r="L6" i="3247"/>
  <c r="K6" i="3247"/>
  <c r="L5" i="3247"/>
  <c r="K5" i="3247"/>
  <c r="L14" i="3246"/>
  <c r="K14" i="3246"/>
  <c r="L13" i="3246"/>
  <c r="K13" i="3246"/>
  <c r="L6" i="3246"/>
  <c r="K6" i="3246"/>
  <c r="L5" i="3246"/>
  <c r="K5" i="3246"/>
  <c r="L14" i="3245"/>
  <c r="K14" i="3245"/>
  <c r="L13" i="3245"/>
  <c r="K13" i="3245"/>
  <c r="L6" i="3245"/>
  <c r="K6" i="3245"/>
  <c r="L5" i="3245"/>
  <c r="K5" i="3245"/>
  <c r="L14" i="3244"/>
  <c r="K14" i="3244"/>
  <c r="L13" i="3244"/>
  <c r="K13" i="3244"/>
  <c r="L6" i="3244"/>
  <c r="K6" i="3244"/>
  <c r="L5" i="3244"/>
  <c r="K5" i="3244"/>
  <c r="L6" i="3243"/>
  <c r="K6" i="3243"/>
  <c r="L14" i="3243"/>
  <c r="K14" i="3243"/>
  <c r="L13" i="3243"/>
  <c r="K13" i="3243"/>
  <c r="L5" i="3243"/>
  <c r="K5" i="3243"/>
  <c r="L7" i="3242"/>
  <c r="K7" i="3242"/>
  <c r="L6" i="3242"/>
  <c r="K6" i="3242"/>
  <c r="L14" i="3242"/>
  <c r="K14" i="3242"/>
  <c r="L13" i="3242"/>
  <c r="K13" i="3242"/>
  <c r="L5" i="3242"/>
  <c r="K5" i="3242"/>
  <c r="L5" i="3241"/>
  <c r="K5" i="3241"/>
  <c r="L16" i="3241"/>
  <c r="K16" i="3241"/>
  <c r="L15" i="3241"/>
  <c r="K15" i="3241"/>
  <c r="K6" i="3240"/>
  <c r="L6" i="3240"/>
  <c r="L15" i="3240"/>
  <c r="K15" i="3240"/>
  <c r="L14" i="3240"/>
  <c r="K14" i="3240"/>
  <c r="L5" i="3240"/>
  <c r="K5" i="3240"/>
  <c r="L5" i="3239"/>
  <c r="K5" i="3239"/>
  <c r="L15" i="3239"/>
  <c r="K15" i="3239"/>
  <c r="L14" i="3239"/>
  <c r="K14" i="3239"/>
  <c r="L16" i="3238"/>
  <c r="K16" i="3238"/>
  <c r="L15" i="3238"/>
  <c r="K15" i="3238"/>
  <c r="L14" i="3238"/>
  <c r="K14" i="3238"/>
  <c r="L5" i="3238"/>
  <c r="K5" i="3238"/>
  <c r="L5" i="3237"/>
  <c r="K5" i="3237"/>
  <c r="L16" i="3237"/>
  <c r="K16" i="3237"/>
  <c r="L15" i="3237"/>
  <c r="K15" i="3237"/>
  <c r="L14" i="3237"/>
  <c r="K14" i="3237"/>
  <c r="L15" i="3236"/>
  <c r="K15" i="3236"/>
  <c r="L14" i="3236"/>
  <c r="K14" i="3236"/>
  <c r="L7" i="3236"/>
  <c r="K7" i="3236"/>
  <c r="L6" i="3236"/>
  <c r="K6" i="3236"/>
  <c r="L5" i="3236"/>
  <c r="K5" i="3236"/>
</calcChain>
</file>

<file path=xl/sharedStrings.xml><?xml version="1.0" encoding="utf-8"?>
<sst xmlns="http://schemas.openxmlformats.org/spreadsheetml/2006/main" count="13550" uniqueCount="351">
  <si>
    <t xml:space="preserve"> </t>
  </si>
  <si>
    <t>Дайын тұрған көліктер</t>
  </si>
  <si>
    <t>Жөндеуге бастап тұрған күні</t>
  </si>
  <si>
    <t>ЖМЦ-да жөндеуде тұрған күні</t>
  </si>
  <si>
    <t>Жүргізушімен, көмекшісімен / 
С водителем, помощником</t>
  </si>
  <si>
    <t>Жалпы жөндеуде тұрған күндері</t>
  </si>
  <si>
    <t xml:space="preserve">Жөндеу жұмыстарының түрі / Ремонтные работы 
Қажетті қосалқы бөлшектер / Необходимые запасные части                                                        </t>
  </si>
  <si>
    <t>Барлығы</t>
  </si>
  <si>
    <t xml:space="preserve">А/т №1 - Ербол / Қалжігіт </t>
  </si>
  <si>
    <t>13-1339</t>
  </si>
  <si>
    <t>13-798435</t>
  </si>
  <si>
    <t>Мемлекеттік белгі</t>
  </si>
  <si>
    <t xml:space="preserve">Марка   
</t>
  </si>
  <si>
    <t>Түрі</t>
  </si>
  <si>
    <t>Шыққан жылы</t>
  </si>
  <si>
    <t xml:space="preserve">ТҚКжЖБ-не (ОТОиРТС) сұраныс берілген күні </t>
  </si>
  <si>
    <t>ТҚП (ОЭТС) бөлімінде жөндеуге бастап тұрған күні</t>
  </si>
  <si>
    <t>Жөндеуден және резервтен шыққан көліктер</t>
  </si>
  <si>
    <t>Ескертпе/
Примечание</t>
  </si>
  <si>
    <t>ЖМЦ (РМЦ)</t>
  </si>
  <si>
    <t xml:space="preserve">ТҚКжЖБ (ОТОиРТС) </t>
  </si>
  <si>
    <t>ТҚП (ОЭТС)</t>
  </si>
  <si>
    <t>КПБ / ОЭТС</t>
  </si>
  <si>
    <t>КТҚКжЖБ / ОТОиРТС</t>
  </si>
  <si>
    <t>13-2808</t>
  </si>
  <si>
    <t>Резервтен-орнына шыққан көліктер</t>
  </si>
  <si>
    <t>11-1817</t>
  </si>
  <si>
    <t>13-897</t>
  </si>
  <si>
    <t>пикап</t>
  </si>
  <si>
    <t>JAC T-6</t>
  </si>
  <si>
    <t>11-1145</t>
  </si>
  <si>
    <t>11-2719</t>
  </si>
  <si>
    <t>Тойота</t>
  </si>
  <si>
    <t>13-2821</t>
  </si>
  <si>
    <t>Toyota</t>
  </si>
  <si>
    <t>13-2659</t>
  </si>
  <si>
    <t>Перебой ДВС</t>
  </si>
  <si>
    <t>Есептен шығу 2026ж.</t>
  </si>
  <si>
    <t>Есептен шығу 2026ж. 2-ші жарты жылдық</t>
  </si>
  <si>
    <t>22.1-H614915</t>
  </si>
  <si>
    <t>ЗИЛ</t>
  </si>
  <si>
    <t>Эвакуатор</t>
  </si>
  <si>
    <t>Есептен шығу</t>
  </si>
  <si>
    <t xml:space="preserve">22.1-Н3644/12 </t>
  </si>
  <si>
    <t>13-2811</t>
  </si>
  <si>
    <t>13-2820</t>
  </si>
  <si>
    <t>22.1-3644</t>
  </si>
  <si>
    <t>Рулевой кардан жарамсыз</t>
  </si>
  <si>
    <t>13-848</t>
  </si>
  <si>
    <t>13-2810</t>
  </si>
  <si>
    <t>13-278</t>
  </si>
  <si>
    <t>13-290</t>
  </si>
  <si>
    <t>13-2813</t>
  </si>
  <si>
    <t>редуктор заднего моста</t>
  </si>
  <si>
    <t>22,1-3644</t>
  </si>
  <si>
    <t>Скорая</t>
  </si>
  <si>
    <t>Тежегіш жүйесі, гл цилиндр.</t>
  </si>
  <si>
    <t>13-2809</t>
  </si>
  <si>
    <t>Екі форсункасы жасамайды.</t>
  </si>
  <si>
    <t>Ж.Ж.М көп мөлшерде шығыстайды.</t>
  </si>
  <si>
    <t>13-2959</t>
  </si>
  <si>
    <t>Моторда перебой бар.</t>
  </si>
  <si>
    <t>Тежегіш жүйесі, гл цилиндр қалаға жөндеуге жіберілді.</t>
  </si>
  <si>
    <t>Ремень, ролик ауыстырылды, тест.</t>
  </si>
  <si>
    <t>Главный цилиндр рем комплект ауысты ж.ж.ж</t>
  </si>
  <si>
    <t>13-2658</t>
  </si>
  <si>
    <t>КПП тросы жарамсыз</t>
  </si>
  <si>
    <t>КПП кулиса жарамсыз</t>
  </si>
  <si>
    <t>водяной насос</t>
  </si>
  <si>
    <t>ходовая часть жөндеу</t>
  </si>
  <si>
    <t>редуктор заднего моста, правая фара (2684), электронасос водяной (2658)</t>
  </si>
  <si>
    <t>Екі форсункасы жасамайды</t>
  </si>
  <si>
    <t>16-H2628</t>
  </si>
  <si>
    <t>Huyndai</t>
  </si>
  <si>
    <t>бортовой</t>
  </si>
  <si>
    <t>Сцепление, карзина жарамсыз ж.ж.ж.</t>
  </si>
  <si>
    <t>13-521</t>
  </si>
  <si>
    <t>Жөнделген форсункалары ауысты, оборот жоқ.</t>
  </si>
  <si>
    <t>Жөнделген форсункалары ауысты, оборот жоқ, стартер 13-1343 көлігіне салынды</t>
  </si>
  <si>
    <t>Жөнделген форсункалары ауысты, оборот жоқ, стартер 13-1343 көлігіне салынды,форсункалары жөндетуге жіберілді.</t>
  </si>
  <si>
    <t>Екі форсункасы жасамайды форсункалары жөндетуге жіберілді.</t>
  </si>
  <si>
    <t>Сцепление, карзина жарамсыс,сұраныс №46</t>
  </si>
  <si>
    <t>Генератор, тоқ жүйесі.</t>
  </si>
  <si>
    <t>Ambulanc</t>
  </si>
  <si>
    <t>Артқы тормозной колодка</t>
  </si>
  <si>
    <t>13-2822</t>
  </si>
  <si>
    <t>12-H1108</t>
  </si>
  <si>
    <t>кузовные работы</t>
  </si>
  <si>
    <t>тормоз жүйесі</t>
  </si>
  <si>
    <t>ТЕСТ</t>
  </si>
  <si>
    <t>стартер ауыстыру, топливный насос тексеру.</t>
  </si>
  <si>
    <t xml:space="preserve"> Топливный насос тексеру.</t>
  </si>
  <si>
    <t>Артқы мостта бөтен дыбыс бар</t>
  </si>
  <si>
    <t>Подвесной подшипник жарамсыз.</t>
  </si>
  <si>
    <t>Сынақ</t>
  </si>
  <si>
    <t>13-2824</t>
  </si>
  <si>
    <t>ТНВДсі 13-290 көлігіне салынды.</t>
  </si>
  <si>
    <t>Подвесной подшипник олқылық бар, ауыстыру керек,желіде.</t>
  </si>
  <si>
    <t>13-2718</t>
  </si>
  <si>
    <t>Радиатор патрубкасы жарамсыз</t>
  </si>
  <si>
    <t>13-2698</t>
  </si>
  <si>
    <t>Генератор жарамсыз.</t>
  </si>
  <si>
    <t>редуктор заднего моста, правая фара (2684), электронасос водяной (2658),генератор 13-2698 көлігіне салынды.</t>
  </si>
  <si>
    <t>Радиатор жарамсыз</t>
  </si>
  <si>
    <t>ТНВДсі 13-290 көлігіне салынды,главный цилиндр сцепления 13-290 көлігіне салынды.</t>
  </si>
  <si>
    <t>ГРМ ремень үзілген.</t>
  </si>
  <si>
    <t>13-1343 к/т</t>
  </si>
  <si>
    <t>13-642</t>
  </si>
  <si>
    <t>ГУР насос жарамсыз</t>
  </si>
  <si>
    <t>ГРМ ремень үзілген,радиаторы 13-2698ге салынды.</t>
  </si>
  <si>
    <t>13-801</t>
  </si>
  <si>
    <t>13-2805</t>
  </si>
  <si>
    <t>13-H2808</t>
  </si>
  <si>
    <t>13-H2811</t>
  </si>
  <si>
    <t>13-H2820</t>
  </si>
  <si>
    <t>13-290 к/т</t>
  </si>
  <si>
    <t>13-1276</t>
  </si>
  <si>
    <t>кызбайды</t>
  </si>
  <si>
    <t>Сцепление басшы цилиндрі жарамсыз</t>
  </si>
  <si>
    <t>13-2801</t>
  </si>
  <si>
    <t xml:space="preserve">Рулевой рейканы жөндеу </t>
  </si>
  <si>
    <t>13-2807</t>
  </si>
  <si>
    <t>13-769</t>
  </si>
  <si>
    <t>кызбайды,ТНВД - 1339 салынды, рулевой рейкасын қалаға жөндету.</t>
  </si>
  <si>
    <t xml:space="preserve">Рулевой рейканы қалаға жөндеу </t>
  </si>
  <si>
    <t>13-2687</t>
  </si>
  <si>
    <t>Кондиционер компрессоры заклин берген.</t>
  </si>
  <si>
    <t>ГРМ ремень үзілген,шкив коленвала жарамсыз, радиаторы 13-2822 салынды.</t>
  </si>
  <si>
    <t>кызбайды,ТНВД - 1339 салынды, рулевой рейкасы қалада жөнделуде.</t>
  </si>
  <si>
    <t>редуктор заднего моста, правая фара (2684), электронасос водяной (2658),генератор 13-2698 көлігіне салынды,компрессор кондиционера 13-2687 көлігіне салынды.</t>
  </si>
  <si>
    <t>Рулевой рейка қалада жөнделуде.</t>
  </si>
  <si>
    <t>Мотор давлениесі жанып тұр.</t>
  </si>
  <si>
    <t>Шкив коленвала жарамсыз, радиаторы 13-2822 салынды.</t>
  </si>
  <si>
    <t>13-2817</t>
  </si>
  <si>
    <t>Генератор жарамсыз</t>
  </si>
  <si>
    <t>Мотор давлениесі жанып тұр, ашылуда.</t>
  </si>
  <si>
    <t>ГРМ ремень үзілген, ашылуда.</t>
  </si>
  <si>
    <t>кызбайды,ТНВД - 1339 салынды, рулевой рейкасы жармсыз.</t>
  </si>
  <si>
    <t>Рулевой рейка жарамсыз.</t>
  </si>
  <si>
    <t>12-Н3636</t>
  </si>
  <si>
    <t>13-762</t>
  </si>
  <si>
    <t>Рулевой наконечниктер,шаровой опора, моторчик отопителя жарамсыз.</t>
  </si>
  <si>
    <t>Мотор давлениесі жанып тұр, түсірілді..</t>
  </si>
  <si>
    <t>13-1074к/т</t>
  </si>
  <si>
    <t>Мотор салынуда.</t>
  </si>
  <si>
    <t>13-1343к/т</t>
  </si>
  <si>
    <t>Мотор салынды ж.ж.</t>
  </si>
  <si>
    <t>12-Н2959</t>
  </si>
  <si>
    <t>13-1293</t>
  </si>
  <si>
    <t>Подвесной подшипник</t>
  </si>
  <si>
    <t>11-0998</t>
  </si>
  <si>
    <t>Генератор нашар зарядка береді.</t>
  </si>
  <si>
    <t>Ходовой жөндеу, дәнекерлеу жұмыстары.</t>
  </si>
  <si>
    <t>13-1343</t>
  </si>
  <si>
    <t>13-2808/ т</t>
  </si>
  <si>
    <t>13-802</t>
  </si>
  <si>
    <t>Кузов дәнекерлеу жұмыстары.</t>
  </si>
  <si>
    <t>13-2683</t>
  </si>
  <si>
    <t>Ремень натяжитель жарамсыз.</t>
  </si>
  <si>
    <t>13-2810 к/т</t>
  </si>
  <si>
    <t>13-708</t>
  </si>
  <si>
    <t>Рессор жөндеу</t>
  </si>
  <si>
    <t>13-818</t>
  </si>
  <si>
    <t>13-2856</t>
  </si>
  <si>
    <t>Маховик жарамсыз, подшипнигі шашылған.ж.ж.ж.</t>
  </si>
  <si>
    <t>13-801BF</t>
  </si>
  <si>
    <t>кызбайды,ТНВД - 1339 салынды, рулевой рейкасы жармсыз,генератор 13-848 салынды.</t>
  </si>
  <si>
    <t>Шкив коленвала жарамсыз, радиаторы 13-2822 салынды,бөлшектер қоймаға келді.</t>
  </si>
  <si>
    <t>Ремень натяжитель жарамсыз,радиатор</t>
  </si>
  <si>
    <t>ГРМ ремень үзілген</t>
  </si>
  <si>
    <t>13-775</t>
  </si>
  <si>
    <t>Рулевой рейка, насос 13-1276 көлігінен орнату,жаңа тормозной суппорт салу.</t>
  </si>
  <si>
    <t>Тормозной вакуум, главный тормозной цилиндр.</t>
  </si>
  <si>
    <t>Жаңа фара, электронасос водяной (2658) көлігінен орнату,жаңа компрессор кондиционера орнату керек.</t>
  </si>
  <si>
    <t>Маховик жарамсыз, подшипнигі шашылған.</t>
  </si>
  <si>
    <t>Эл насос, тройник жарамсыз.</t>
  </si>
  <si>
    <t>13-1276 көлігінің астауын салу</t>
  </si>
  <si>
    <t>Оборот алмайды</t>
  </si>
  <si>
    <t>Маховик жарамсыз, подшипнигі шашылған.Радиатор,ролик 13-2683, генератор 13-2684 көлігіне салынды.</t>
  </si>
  <si>
    <t>ГРМ ремень үзілген, темовыключатель 13-2808 көлігіне салынды.</t>
  </si>
  <si>
    <t>Турбина,форсунки</t>
  </si>
  <si>
    <t xml:space="preserve">Маховик жарамсыз, подшипнигі шашылған.Радиатор,ролик 13-2683, генератор 13-2684 көлігіне, вентилятор релесі 13-2820 көлігіне, помпа 13-2683 көлігіне салынды, </t>
  </si>
  <si>
    <t>ГРМ ремень үзілген, термовыключатель 13-2808 көлігіне салынды.</t>
  </si>
  <si>
    <t>Артқы мост жөндеу.</t>
  </si>
  <si>
    <t xml:space="preserve">Маховик жарамсыз, подшипнигі шашылған.Радиатор,ролик 13-2683, генератор 13-2684 көлігіне, вентилятор релесі 13-2820 көлігіне, помпа 13-2683, подвесной подшипник 13-2821 көлігіне салынды, </t>
  </si>
  <si>
    <t>Подвесной подшипник жарамсыз</t>
  </si>
  <si>
    <t>13-796</t>
  </si>
  <si>
    <t>рулевой наконечник жарамсыз</t>
  </si>
  <si>
    <t>13-916</t>
  </si>
  <si>
    <t xml:space="preserve">рессор ауыстыру </t>
  </si>
  <si>
    <t>электронасос охлаждения</t>
  </si>
  <si>
    <t>13-2657</t>
  </si>
  <si>
    <t>13-2685</t>
  </si>
  <si>
    <t>диск сцепление ауыстыру</t>
  </si>
  <si>
    <t>топливный насос тексеру, кызбайды</t>
  </si>
  <si>
    <r>
      <t xml:space="preserve">Оборот алмайды, </t>
    </r>
    <r>
      <rPr>
        <sz val="10"/>
        <color rgb="FFFF0000"/>
        <rFont val="Arial"/>
        <family val="2"/>
        <charset val="204"/>
      </rPr>
      <t>ГБЦ тексеру</t>
    </r>
  </si>
  <si>
    <t>11-2719 эвак</t>
  </si>
  <si>
    <t>13-152</t>
  </si>
  <si>
    <t>22.1-Н3644</t>
  </si>
  <si>
    <t>Карзина, диск, выжимной подшипник сцепления жарамсыз</t>
  </si>
  <si>
    <t>13-2814</t>
  </si>
  <si>
    <t>Оборот алмайды, ГБЦ тексеру</t>
  </si>
  <si>
    <t>зажигание тексеру</t>
  </si>
  <si>
    <t>Радиатор,ролик 13-2683, вентилятор релесі 13-2820 көлігіне, подвесной подшипник,крестовина 13-2821 көлігіне салынды, лямда зонд керек.</t>
  </si>
  <si>
    <t>13-Н3558/12</t>
  </si>
  <si>
    <t>13-Н3587/12</t>
  </si>
  <si>
    <t>13-Н3599/12</t>
  </si>
  <si>
    <t>13-Н3611/12</t>
  </si>
  <si>
    <t>13-Н3631/12</t>
  </si>
  <si>
    <t>13-Н3641/12</t>
  </si>
  <si>
    <t>Сцепление, перебой ДВС</t>
  </si>
  <si>
    <t>Сцепление, перебой ДВС,маховик жарамсыз.</t>
  </si>
  <si>
    <t>Подвесной подшипник, крестовина, шпилька</t>
  </si>
  <si>
    <t>13-2838</t>
  </si>
  <si>
    <r>
      <t>Радиатор,ролик 13-2683, вентилятор релесі 13-2820 көлігіне, подвесной подшипник,крестовина 13-2821 көлігіне салынды, лямда зонд керек.</t>
    </r>
    <r>
      <rPr>
        <sz val="10"/>
        <color rgb="FFFF0000"/>
        <rFont val="Arial"/>
        <family val="2"/>
        <charset val="204"/>
      </rPr>
      <t>Помпа 13-2663 көлігіне салынды.</t>
    </r>
  </si>
  <si>
    <t>16-2628</t>
  </si>
  <si>
    <t>HYUNDAI</t>
  </si>
  <si>
    <t>Моторда перебой,форсунка тексеру.</t>
  </si>
  <si>
    <t>Моторда перебой,форсункалары шықпай жатыр.</t>
  </si>
  <si>
    <t>13-1074</t>
  </si>
  <si>
    <t>12-798399</t>
  </si>
  <si>
    <t>Моторда перебой.</t>
  </si>
  <si>
    <t>Лямда зонд жарамсыз.</t>
  </si>
  <si>
    <t>Мотордың алдынғы сальнигінен май ағып тұр.</t>
  </si>
  <si>
    <t>Тормозной вакуум, главный тормозной цилиндр,лямда зонд 13-2685 көлігіне салынды.</t>
  </si>
  <si>
    <t>Помпа,ремень жарамсыз</t>
  </si>
  <si>
    <t>13-802BF</t>
  </si>
  <si>
    <t>13-2807 к/т</t>
  </si>
  <si>
    <t>13-2815</t>
  </si>
  <si>
    <t>Кызбайды, зажигание тексеру, ремень ГРМ тексеру</t>
  </si>
  <si>
    <r>
      <t>Радиатор,ролик 13-2683, вентилятор релесі 13-2820 көлігіне, подвесной подшипник,крестовина 13-2821 көлігіне салынды, лямда зонд керек.</t>
    </r>
    <r>
      <rPr>
        <sz val="10"/>
        <color rgb="FFFF0000"/>
        <rFont val="Calibri"/>
        <family val="2"/>
        <charset val="204"/>
        <scheme val="minor"/>
      </rPr>
      <t>Помпа 13-2663 көлігіне салынды.</t>
    </r>
  </si>
  <si>
    <t>Қызбайды, бензонасос тексеру</t>
  </si>
  <si>
    <t>1 цилиндр жасамайды</t>
  </si>
  <si>
    <r>
      <t xml:space="preserve">Тормозной вакуум, главный тормозной цилиндр,лямда зонд 13-2685 көлігіне салынды. </t>
    </r>
    <r>
      <rPr>
        <sz val="10"/>
        <color rgb="FFFF0000"/>
        <rFont val="Calibri"/>
        <family val="2"/>
        <charset val="204"/>
        <scheme val="minor"/>
      </rPr>
      <t>Утечка антифриза</t>
    </r>
  </si>
  <si>
    <t>амортизатор ауыстыру</t>
  </si>
  <si>
    <t>13-2834</t>
  </si>
  <si>
    <t>ветилятор косылмайды</t>
  </si>
  <si>
    <t>перебои ДВС</t>
  </si>
  <si>
    <t>13-1293 ЦДН1</t>
  </si>
  <si>
    <t>Моторда перебой, фильтр бака ауыстыру керек</t>
  </si>
  <si>
    <t>22.1-Н364412</t>
  </si>
  <si>
    <t>Тоқ жүйесінде ақау бар,фарсунка дұрыс жасамайды ж.ж.ж.</t>
  </si>
  <si>
    <t>Ветилятор косылмайды, реле керек .Тоқ жақтан ақау бар</t>
  </si>
  <si>
    <t>Моторда перебой, фильтр бака ауыстыру керек,Бензин насос жасамайды ж.ж.ж</t>
  </si>
  <si>
    <t>КПП Сцепление реттеу , дұрыс жұрмейді ,перебой бар ж.ж.ж.</t>
  </si>
  <si>
    <r>
      <t>1 цилиндр жасамайды,</t>
    </r>
    <r>
      <rPr>
        <sz val="10"/>
        <color rgb="FFFF0000"/>
        <rFont val="Calibri"/>
        <family val="2"/>
        <charset val="204"/>
        <scheme val="minor"/>
      </rPr>
      <t xml:space="preserve">тоқ жүйесінде ақау бар </t>
    </r>
  </si>
  <si>
    <t>13-2642</t>
  </si>
  <si>
    <t>Воденной помпасы сарамсыз ж.ж.ж.</t>
  </si>
  <si>
    <t>13-2648</t>
  </si>
  <si>
    <t>Тоқ жүйесінде ақауы бар ж.ж.ж.</t>
  </si>
  <si>
    <t>Воденной помпасы жарамсыз ж.ж.ж.</t>
  </si>
  <si>
    <t>13-2877</t>
  </si>
  <si>
    <t>Воденной помпа, комрессор жарамсы,тоқ жүйесінде ақау бар.</t>
  </si>
  <si>
    <t>Радиатор жарамсыз, аздап утечка бар , тоқ жүйесінде ақау бар ж.ж.ж.</t>
  </si>
  <si>
    <t xml:space="preserve">1 цилиндр жасамайды,тоқ жүйесінде ақау бар </t>
  </si>
  <si>
    <t>Рулевой механизм нашар ,рул/нассос  жасамайды.</t>
  </si>
  <si>
    <t>13-033</t>
  </si>
  <si>
    <t>КПП Сцепление реттеу  скоросқа түспейді  ж.ж.ж.</t>
  </si>
  <si>
    <t>Перебой бар, оборот алмайды</t>
  </si>
  <si>
    <t>Перебой бар,Дұрыс қызбайды тоқ жүйеде ақау бар ж.ж.ж.</t>
  </si>
  <si>
    <t>13-648</t>
  </si>
  <si>
    <t>КПП Сцепление реттеу   ж.ж.ж.</t>
  </si>
  <si>
    <t>Утечка масло ДВС, КПП  скоросқа дұрыс түспейді  ж.ж.ж.</t>
  </si>
  <si>
    <t>13-769ABZ</t>
  </si>
  <si>
    <t>перебой ДВС, ТЕСТ</t>
  </si>
  <si>
    <t>13-2804</t>
  </si>
  <si>
    <t>стартер</t>
  </si>
  <si>
    <t>кызбайды,ТНВД - 1339 салынды, рулевой рейкасы жармсыз,генератор 13-848 салынды</t>
  </si>
  <si>
    <t>g</t>
  </si>
  <si>
    <t>12-1111</t>
  </si>
  <si>
    <t>Л-Крузер</t>
  </si>
  <si>
    <t>КПП вилкасы сынған.</t>
  </si>
  <si>
    <t>Ролик натяжителя,ремень генератора,кондиционера,топливный насос,катушка зажигания,насос рецеркуляции охл жидкости.</t>
  </si>
  <si>
    <t>КПП ақауы бар,беріліске түспейді.</t>
  </si>
  <si>
    <t>КПП кулиса</t>
  </si>
  <si>
    <t>13-2663</t>
  </si>
  <si>
    <t>Сцепление</t>
  </si>
  <si>
    <t>Компьютер қалаға жіберілді.</t>
  </si>
  <si>
    <t xml:space="preserve">Хюндай </t>
  </si>
  <si>
    <t>Тоқ жүйесі ,спидометр</t>
  </si>
  <si>
    <t>ходовая часть</t>
  </si>
  <si>
    <t>1</t>
  </si>
  <si>
    <t>13-897АЕК06</t>
  </si>
  <si>
    <t>рулевой наконечник ауыстыру</t>
  </si>
  <si>
    <t xml:space="preserve">Перебои ДВС, форсунка тексеру </t>
  </si>
  <si>
    <t>11-0998/12</t>
  </si>
  <si>
    <t>ambulance</t>
  </si>
  <si>
    <t>13-2816</t>
  </si>
  <si>
    <t>кызбайды ДВС тексеру, ГРМ ?</t>
  </si>
  <si>
    <t>12-1109</t>
  </si>
  <si>
    <t>LC Prado</t>
  </si>
  <si>
    <t>Тежеу ​​жүйесі, тежегіштің цилиндрі жөндеу</t>
  </si>
  <si>
    <t>рессор ауыстыру</t>
  </si>
  <si>
    <t>шпильки колеса ауыстыру керек</t>
  </si>
  <si>
    <t>13-2691</t>
  </si>
  <si>
    <t>ГБЦ- Түсті ,клапан майысқан ж.ж.ж.</t>
  </si>
  <si>
    <t>13-2819</t>
  </si>
  <si>
    <t>Воденной помпа жарамсыз ж.ж.ж.</t>
  </si>
  <si>
    <r>
      <t>рессор ауыстыру</t>
    </r>
    <r>
      <rPr>
        <sz val="10"/>
        <color rgb="FFFF0000"/>
        <rFont val="Calibri"/>
        <family val="2"/>
        <charset val="204"/>
        <scheme val="minor"/>
      </rPr>
      <t>, сол жақ беті жарамсыз</t>
    </r>
  </si>
  <si>
    <t>13-Н1074/12</t>
  </si>
  <si>
    <t xml:space="preserve">13-H2685/12 </t>
  </si>
  <si>
    <r>
      <t xml:space="preserve"> </t>
    </r>
    <r>
      <rPr>
        <sz val="10"/>
        <color rgb="FFFF0000"/>
        <rFont val="Calibri"/>
        <family val="2"/>
        <charset val="204"/>
        <scheme val="minor"/>
      </rPr>
      <t>ДВС жыйнақталды , қыздыру</t>
    </r>
    <r>
      <rPr>
        <sz val="10"/>
        <rFont val="Calibri"/>
        <family val="2"/>
        <charset val="204"/>
        <scheme val="minor"/>
      </rPr>
      <t xml:space="preserve"> 09.09.2026.Тест</t>
    </r>
  </si>
  <si>
    <t>Қызбайды- ТНВД     нашар ж.ж.ж.</t>
  </si>
  <si>
    <t>13-Н1293/12</t>
  </si>
  <si>
    <t>12-Н798399</t>
  </si>
  <si>
    <t>12-1109/12</t>
  </si>
  <si>
    <t>13-2691/12</t>
  </si>
  <si>
    <t>ГБЦ- клапа орнаты ,грм ремнь салынды. Қызыу нашар ж.ж.ж.</t>
  </si>
  <si>
    <t xml:space="preserve">Свеч дұрыс тоқ бермей тұр ж.ж.ж. 11.09.2026. </t>
  </si>
  <si>
    <t xml:space="preserve"> Тежегіштің вакумы жасамайды, форсункаларын тазалау керек.</t>
  </si>
  <si>
    <t>Бензонасос жарамсыз ж.ж.ж.</t>
  </si>
  <si>
    <t xml:space="preserve"> Тежегіштің вакумы жасамайды, форсункалары жөнделуде.</t>
  </si>
  <si>
    <t>Перебои ДВС, форсункалары жөнделуде.</t>
  </si>
  <si>
    <t>Крестовина жарамсыз</t>
  </si>
  <si>
    <t>ІЖҚ көп мөлшерде май шығыстайды.</t>
  </si>
  <si>
    <t>Картерден май ағады, самоторможение.</t>
  </si>
  <si>
    <t>13-762AMY</t>
  </si>
  <si>
    <t>Hilux</t>
  </si>
  <si>
    <t>рөл кардан вал крестовинасы,  алдыңғы тежегіш дискас ауытыру керек</t>
  </si>
  <si>
    <t>Қызбайды, жанар май жүісе тексеру</t>
  </si>
  <si>
    <t>JAC T-7</t>
  </si>
  <si>
    <t>Су  кайнайды  тексеру</t>
  </si>
  <si>
    <t>Сынак</t>
  </si>
  <si>
    <t>Кузов дәнекерлеу,арткы амортизатор</t>
  </si>
  <si>
    <t>Компрессор жарамсыз</t>
  </si>
  <si>
    <t>Тоқ жүйесі</t>
  </si>
  <si>
    <t xml:space="preserve"> Тежегіштің вакумы жасамайды.</t>
  </si>
  <si>
    <t>Тоқ жүйесі, оборот жоқ.</t>
  </si>
  <si>
    <t>Моторы оборот алмайды, себебін анықтау.</t>
  </si>
  <si>
    <t>Мотор түтеп тұр, май шығыстайды.</t>
  </si>
  <si>
    <t>Моторы түтеп тұр.</t>
  </si>
  <si>
    <t>Оборот жоқ, форсунка тексеру.</t>
  </si>
  <si>
    <t>Мотор ашылуыда.</t>
  </si>
  <si>
    <t>1,4 форсункасы жасамайды.</t>
  </si>
  <si>
    <t>12-2692</t>
  </si>
  <si>
    <t>Бензинасос жасамайды.</t>
  </si>
  <si>
    <t>Рулевой наконечник жарамсыз</t>
  </si>
  <si>
    <t>Хюндай</t>
  </si>
  <si>
    <t>Бортовой</t>
  </si>
  <si>
    <t>13-2807д/н</t>
  </si>
  <si>
    <t>Перебой, көп мөлшерде бензин шығыстайды.</t>
  </si>
  <si>
    <t>Мотор түсірілді, ашылуда.</t>
  </si>
  <si>
    <t>Перебой 1-ші цилиндр жасамайды (катушка)</t>
  </si>
  <si>
    <t>Қызбайды, ІЖҚ тексеру керек.</t>
  </si>
  <si>
    <t>2814</t>
  </si>
  <si>
    <t>перебои ІЖҚ</t>
  </si>
  <si>
    <t>Прадо</t>
  </si>
  <si>
    <t>2 форсункасы жасамайды.</t>
  </si>
  <si>
    <t>Мотордан май ағады</t>
  </si>
  <si>
    <t>Турбонадув, 4шт форсунка керек.</t>
  </si>
  <si>
    <t>Дополнительный водяной насос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</si>
</sst>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[$-419]d\ mmm\ 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i/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0"/>
      <name val="Arial Cyr"/>
      <charset val="204"/>
    </font>
    <font>
      <b/>
      <sz val="10"/>
      <color rgb="FFFF000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2" fillId="0" borderId="0"/>
    <xf numFmtId="0" fontId="2" fillId="0" borderId="0"/>
    <xf numFmtId="0" fontId="5" fillId="0" borderId="0"/>
    <xf numFmtId="164" fontId="2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6" fillId="0" borderId="0"/>
    <xf numFmtId="0" fontId="2" fillId="0" borderId="0"/>
    <xf numFmtId="0" fontId="6" fillId="0" borderId="0"/>
    <xf numFmtId="0" fontId="12" fillId="0" borderId="0"/>
  </cellStyleXfs>
  <cellXfs count="45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left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wrapText="1"/>
    </xf>
    <xf numFmtId="14" fontId="2" fillId="3" borderId="1" xfId="10" applyNumberFormat="1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2" fillId="0" borderId="5" xfId="13" applyFont="1" applyBorder="1" applyAlignment="1">
      <alignment horizontal="left" vertical="center"/>
    </xf>
    <xf numFmtId="165" fontId="2" fillId="0" borderId="1" xfId="13" applyNumberFormat="1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14" fontId="2" fillId="7" borderId="1" xfId="10" applyNumberFormat="1" applyFont="1" applyFill="1" applyBorder="1" applyAlignment="1">
      <alignment horizontal="left" vertical="center"/>
    </xf>
    <xf numFmtId="14" fontId="2" fillId="7" borderId="1" xfId="1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165" fontId="3" fillId="0" borderId="1" xfId="13" applyNumberFormat="1" applyFont="1" applyBorder="1" applyAlignment="1">
      <alignment horizontal="center" vertical="center" wrapText="1"/>
    </xf>
    <xf numFmtId="0" fontId="3" fillId="0" borderId="5" xfId="13" applyFont="1" applyBorder="1" applyAlignment="1">
      <alignment horizontal="left" vertical="center"/>
    </xf>
    <xf numFmtId="0" fontId="2" fillId="0" borderId="1" xfId="13" applyFont="1" applyFill="1" applyBorder="1" applyAlignment="1">
      <alignment horizontal="center" vertical="center"/>
    </xf>
    <xf numFmtId="14" fontId="2" fillId="0" borderId="1" xfId="1" applyNumberFormat="1" applyFont="1" applyFill="1" applyBorder="1" applyAlignment="1">
      <alignment vertical="center" wrapText="1"/>
    </xf>
    <xf numFmtId="0" fontId="3" fillId="0" borderId="1" xfId="13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2" fillId="2" borderId="1" xfId="10" applyNumberFormat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2" fillId="0" borderId="1" xfId="10" applyNumberFormat="1" applyFont="1" applyFill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3" fillId="0" borderId="1" xfId="13" applyNumberFormat="1" applyFont="1" applyBorder="1" applyAlignment="1">
      <alignment horizontal="center" vertical="center" wrapText="1"/>
    </xf>
    <xf numFmtId="49" fontId="2" fillId="0" borderId="1" xfId="1" applyNumberFormat="1" applyFont="1" applyFill="1" applyBorder="1" applyAlignment="1">
      <alignment vertical="center" wrapText="1"/>
    </xf>
    <xf numFmtId="49" fontId="2" fillId="0" borderId="1" xfId="13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wrapText="1"/>
    </xf>
    <xf numFmtId="14" fontId="2" fillId="2" borderId="1" xfId="1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14" fontId="2" fillId="2" borderId="1" xfId="1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13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13" applyFont="1" applyBorder="1" applyAlignment="1">
      <alignment horizontal="left" vertical="center"/>
    </xf>
    <xf numFmtId="49" fontId="2" fillId="2" borderId="1" xfId="1" applyNumberFormat="1" applyFont="1" applyFill="1" applyBorder="1" applyAlignment="1">
      <alignment vertical="center" wrapText="1"/>
    </xf>
    <xf numFmtId="0" fontId="2" fillId="2" borderId="1" xfId="1" applyNumberFormat="1" applyFont="1" applyFill="1" applyBorder="1" applyAlignment="1">
      <alignment vertical="center" wrapText="1"/>
    </xf>
    <xf numFmtId="0" fontId="3" fillId="2" borderId="1" xfId="1" applyNumberFormat="1" applyFont="1" applyFill="1" applyBorder="1" applyAlignment="1">
      <alignment vertical="center" wrapText="1"/>
    </xf>
    <xf numFmtId="49" fontId="3" fillId="2" borderId="1" xfId="1" applyNumberFormat="1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9" fontId="3" fillId="0" borderId="1" xfId="1" applyNumberFormat="1" applyFont="1" applyFill="1" applyBorder="1" applyAlignment="1">
      <alignment vertical="center" wrapText="1"/>
    </xf>
    <xf numFmtId="49" fontId="3" fillId="0" borderId="1" xfId="1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4" fontId="3" fillId="2" borderId="1" xfId="10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4" fontId="14" fillId="2" borderId="1" xfId="1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9" fontId="2" fillId="9" borderId="1" xfId="1" applyNumberFormat="1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horizontal="left" vertical="center" wrapText="1"/>
    </xf>
    <xf numFmtId="165" fontId="16" fillId="5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vertical="center" wrapText="1"/>
    </xf>
    <xf numFmtId="0" fontId="15" fillId="0" borderId="5" xfId="0" applyFont="1" applyBorder="1" applyAlignment="1">
      <alignment horizontal="left" vertical="center"/>
    </xf>
    <xf numFmtId="0" fontId="15" fillId="0" borderId="5" xfId="13" applyFont="1" applyBorder="1" applyAlignment="1">
      <alignment horizontal="left" vertical="center"/>
    </xf>
    <xf numFmtId="0" fontId="15" fillId="0" borderId="1" xfId="13" applyFont="1" applyFill="1" applyBorder="1" applyAlignment="1">
      <alignment horizontal="center" vertical="center"/>
    </xf>
    <xf numFmtId="165" fontId="15" fillId="0" borderId="1" xfId="13" applyNumberFormat="1" applyFont="1" applyBorder="1" applyAlignment="1">
      <alignment horizontal="center" vertical="center" wrapText="1"/>
    </xf>
    <xf numFmtId="49" fontId="15" fillId="0" borderId="1" xfId="13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49" fontId="17" fillId="2" borderId="1" xfId="1" applyNumberFormat="1" applyFont="1" applyFill="1" applyBorder="1" applyAlignment="1">
      <alignment vertical="center" wrapText="1"/>
    </xf>
    <xf numFmtId="49" fontId="15" fillId="0" borderId="1" xfId="1" applyNumberFormat="1" applyFont="1" applyFill="1" applyBorder="1" applyAlignment="1">
      <alignment vertical="center" wrapText="1"/>
    </xf>
    <xf numFmtId="0" fontId="16" fillId="0" borderId="1" xfId="1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0" fontId="15" fillId="0" borderId="1" xfId="1" applyNumberFormat="1" applyFont="1" applyFill="1" applyBorder="1" applyAlignment="1">
      <alignment vertical="center" wrapText="1"/>
    </xf>
    <xf numFmtId="49" fontId="17" fillId="0" borderId="1" xfId="1" applyNumberFormat="1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left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/>
    </xf>
    <xf numFmtId="0" fontId="17" fillId="0" borderId="5" xfId="13" applyFont="1" applyBorder="1" applyAlignment="1">
      <alignment horizontal="left" vertical="center"/>
    </xf>
    <xf numFmtId="0" fontId="17" fillId="0" borderId="1" xfId="13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 wrapText="1"/>
    </xf>
    <xf numFmtId="165" fontId="17" fillId="0" borderId="1" xfId="13" applyNumberFormat="1" applyFont="1" applyBorder="1" applyAlignment="1">
      <alignment horizontal="center" vertical="center" wrapText="1"/>
    </xf>
    <xf numFmtId="49" fontId="17" fillId="0" borderId="1" xfId="13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14" fontId="15" fillId="2" borderId="1" xfId="10" applyNumberFormat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13" applyFont="1" applyBorder="1" applyAlignment="1">
      <alignment horizontal="left" vertical="center"/>
    </xf>
    <xf numFmtId="0" fontId="16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5" fillId="2" borderId="3" xfId="0" applyFont="1" applyFill="1" applyBorder="1" applyAlignment="1">
      <alignment horizontal="center" vertical="center" wrapText="1"/>
    </xf>
    <xf numFmtId="49" fontId="15" fillId="0" borderId="1" xfId="10" applyNumberFormat="1" applyFont="1" applyFill="1" applyBorder="1" applyAlignment="1">
      <alignment horizontal="left" vertical="center" wrapText="1"/>
    </xf>
    <xf numFmtId="49" fontId="15" fillId="2" borderId="1" xfId="10" applyNumberFormat="1" applyFont="1" applyFill="1" applyBorder="1" applyAlignment="1">
      <alignment horizontal="left" vertical="center" wrapText="1"/>
    </xf>
    <xf numFmtId="14" fontId="15" fillId="0" borderId="1" xfId="1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wrapText="1"/>
    </xf>
    <xf numFmtId="0" fontId="15" fillId="3" borderId="3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165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wrapText="1"/>
    </xf>
    <xf numFmtId="14" fontId="15" fillId="3" borderId="1" xfId="10" applyNumberFormat="1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5" fillId="2" borderId="1" xfId="1" applyNumberFormat="1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vertical="center"/>
    </xf>
    <xf numFmtId="14" fontId="15" fillId="7" borderId="1" xfId="10" applyNumberFormat="1" applyFont="1" applyFill="1" applyBorder="1" applyAlignment="1">
      <alignment horizontal="left" vertical="center"/>
    </xf>
    <xf numFmtId="14" fontId="15" fillId="7" borderId="1" xfId="10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165" fontId="16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4" fontId="15" fillId="2" borderId="1" xfId="10" applyNumberFormat="1" applyFont="1" applyFill="1" applyBorder="1" applyAlignment="1">
      <alignment horizontal="left" vertical="center"/>
    </xf>
    <xf numFmtId="0" fontId="16" fillId="2" borderId="1" xfId="0" applyFont="1" applyFill="1" applyBorder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4" fontId="17" fillId="2" borderId="1" xfId="10" applyNumberFormat="1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7" fillId="0" borderId="1" xfId="1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13" applyFont="1" applyBorder="1" applyAlignment="1">
      <alignment horizontal="left" vertical="center"/>
    </xf>
    <xf numFmtId="14" fontId="15" fillId="9" borderId="1" xfId="10" applyNumberFormat="1" applyFont="1" applyFill="1" applyBorder="1" applyAlignment="1">
      <alignment horizontal="left" vertical="center" wrapText="1"/>
    </xf>
    <xf numFmtId="0" fontId="15" fillId="9" borderId="1" xfId="1" applyNumberFormat="1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49" fontId="15" fillId="2" borderId="1" xfId="1" applyNumberFormat="1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49" fontId="17" fillId="2" borderId="1" xfId="1" applyNumberFormat="1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14" fontId="17" fillId="2" borderId="1" xfId="10" applyNumberFormat="1" applyFont="1" applyFill="1" applyBorder="1" applyAlignment="1">
      <alignment horizontal="left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1" xfId="13" applyNumberFormat="1" applyFont="1" applyBorder="1" applyAlignment="1">
      <alignment horizontal="center" vertical="center"/>
    </xf>
    <xf numFmtId="49" fontId="17" fillId="0" borderId="1" xfId="13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/>
    </xf>
    <xf numFmtId="0" fontId="15" fillId="2" borderId="0" xfId="0" applyFont="1" applyFill="1" applyAlignment="1">
      <alignment horizontal="left" vertical="center"/>
    </xf>
    <xf numFmtId="0" fontId="19" fillId="4" borderId="1" xfId="0" applyFont="1" applyFill="1" applyBorder="1" applyAlignment="1">
      <alignment horizontal="center" vertical="center" wrapText="1"/>
    </xf>
    <xf numFmtId="14" fontId="16" fillId="2" borderId="1" xfId="10" applyNumberFormat="1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center" vertical="center" wrapText="1"/>
    </xf>
    <xf numFmtId="49" fontId="17" fillId="2" borderId="1" xfId="1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left" vertical="center"/>
    </xf>
    <xf numFmtId="0" fontId="15" fillId="2" borderId="5" xfId="13" applyFont="1" applyFill="1" applyBorder="1" applyAlignment="1">
      <alignment horizontal="left" vertical="center"/>
    </xf>
    <xf numFmtId="0" fontId="15" fillId="2" borderId="1" xfId="13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 wrapText="1"/>
    </xf>
    <xf numFmtId="165" fontId="15" fillId="2" borderId="1" xfId="13" applyNumberFormat="1" applyFont="1" applyFill="1" applyBorder="1" applyAlignment="1">
      <alignment horizontal="center" vertical="center" wrapText="1"/>
    </xf>
    <xf numFmtId="49" fontId="15" fillId="2" borderId="1" xfId="13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left" vertical="center"/>
    </xf>
    <xf numFmtId="0" fontId="17" fillId="2" borderId="5" xfId="13" applyFont="1" applyFill="1" applyBorder="1" applyAlignment="1">
      <alignment horizontal="left" vertical="center"/>
    </xf>
    <xf numFmtId="0" fontId="17" fillId="2" borderId="1" xfId="13" applyFont="1" applyFill="1" applyBorder="1" applyAlignment="1">
      <alignment horizontal="center" vertic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7" fillId="2" borderId="1" xfId="13" applyNumberFormat="1" applyFont="1" applyFill="1" applyBorder="1" applyAlignment="1">
      <alignment horizontal="center" vertical="center" wrapText="1"/>
    </xf>
    <xf numFmtId="49" fontId="17" fillId="2" borderId="1" xfId="13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7" fillId="2" borderId="1" xfId="1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65" fontId="17" fillId="2" borderId="1" xfId="13" applyNumberFormat="1" applyFont="1" applyFill="1" applyBorder="1" applyAlignment="1">
      <alignment horizontal="center" vertical="center"/>
    </xf>
    <xf numFmtId="49" fontId="17" fillId="2" borderId="1" xfId="13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7" fillId="2" borderId="1" xfId="1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65" fontId="15" fillId="0" borderId="1" xfId="0" applyNumberFormat="1" applyFont="1" applyBorder="1" applyAlignment="1">
      <alignment horizontal="center" vertical="center"/>
    </xf>
    <xf numFmtId="165" fontId="15" fillId="2" borderId="1" xfId="13" applyNumberFormat="1" applyFont="1" applyFill="1" applyBorder="1" applyAlignment="1">
      <alignment horizontal="center" vertical="center"/>
    </xf>
    <xf numFmtId="49" fontId="15" fillId="2" borderId="1" xfId="13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65" fontId="15" fillId="0" borderId="2" xfId="13" applyNumberFormat="1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65" fontId="10" fillId="4" borderId="2" xfId="0" applyNumberFormat="1" applyFont="1" applyFill="1" applyBorder="1" applyAlignment="1">
      <alignment horizontal="center" vertical="center" wrapText="1"/>
    </xf>
    <xf numFmtId="165" fontId="10" fillId="4" borderId="5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2" xfId="16" applyFont="1" applyFill="1" applyBorder="1" applyAlignment="1">
      <alignment horizontal="center" vertical="center" wrapText="1"/>
    </xf>
    <xf numFmtId="0" fontId="10" fillId="4" borderId="5" xfId="16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165" fontId="10" fillId="4" borderId="6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9" fillId="4" borderId="2" xfId="16" applyFont="1" applyFill="1" applyBorder="1" applyAlignment="1">
      <alignment horizontal="center" vertical="center" wrapText="1"/>
    </xf>
    <xf numFmtId="0" fontId="19" fillId="4" borderId="5" xfId="16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center" wrapText="1"/>
    </xf>
    <xf numFmtId="165" fontId="19" fillId="4" borderId="2" xfId="0" applyNumberFormat="1" applyFont="1" applyFill="1" applyBorder="1" applyAlignment="1">
      <alignment horizontal="center" vertical="center" wrapText="1"/>
    </xf>
    <xf numFmtId="165" fontId="19" fillId="4" borderId="6" xfId="0" applyNumberFormat="1" applyFont="1" applyFill="1" applyBorder="1" applyAlignment="1">
      <alignment horizontal="center" vertical="center" wrapText="1"/>
    </xf>
    <xf numFmtId="165" fontId="19" fillId="4" borderId="5" xfId="0" applyNumberFormat="1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</cellXfs>
  <cellStyles count="19">
    <cellStyle name="Normal 2" xfId="8" xr:uid="{00000000-0005-0000-0000-000000000000}"/>
    <cellStyle name="Normal 2 10" xfId="2" xr:uid="{00000000-0005-0000-0000-000001000000}"/>
    <cellStyle name="Normal 3" xfId="3" xr:uid="{00000000-0005-0000-0000-000002000000}"/>
    <cellStyle name="Normal 4" xfId="4" xr:uid="{00000000-0005-0000-0000-000003000000}"/>
    <cellStyle name="Normal 4 2 2" xfId="18" xr:uid="{00000000-0005-0000-0000-000004000000}"/>
    <cellStyle name="Normal_Sheet1" xfId="9" xr:uid="{00000000-0005-0000-0000-000005000000}"/>
    <cellStyle name="Normal_Transport daily dispatch report  16-22 ,  March  2009" xfId="16" xr:uid="{00000000-0005-0000-0000-000006000000}"/>
    <cellStyle name="Обычный" xfId="0" builtinId="0"/>
    <cellStyle name="Обычный 12" xfId="6" xr:uid="{00000000-0005-0000-0000-000008000000}"/>
    <cellStyle name="Обычный 12 18" xfId="13" xr:uid="{00000000-0005-0000-0000-000009000000}"/>
    <cellStyle name="Обычный 12 3" xfId="15" xr:uid="{00000000-0005-0000-0000-00000A000000}"/>
    <cellStyle name="Обычный 2" xfId="1" xr:uid="{00000000-0005-0000-0000-00000B000000}"/>
    <cellStyle name="Обычный 2 2" xfId="10" xr:uid="{00000000-0005-0000-0000-00000C000000}"/>
    <cellStyle name="Обычный 2 4" xfId="17" xr:uid="{00000000-0005-0000-0000-00000D000000}"/>
    <cellStyle name="Обычный 3" xfId="11" xr:uid="{00000000-0005-0000-0000-00000E000000}"/>
    <cellStyle name="Обычный 3 2" xfId="12" xr:uid="{00000000-0005-0000-0000-00000F000000}"/>
    <cellStyle name="Обычный 4" xfId="7" xr:uid="{00000000-0005-0000-0000-000010000000}"/>
    <cellStyle name="Обычный 43 20" xfId="14" xr:uid="{00000000-0005-0000-0000-000011000000}"/>
    <cellStyle name="Финансовый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calcChain" Target="calcChai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98AB-5506-4FE6-8938-DDE739C1F89B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46114</v>
      </c>
      <c r="G1" s="20">
        <v>46114</v>
      </c>
      <c r="H1" s="20">
        <v>46114</v>
      </c>
      <c r="I1" s="20">
        <v>46114</v>
      </c>
      <c r="J1" s="20">
        <v>46114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81" t="s">
        <v>7</v>
      </c>
      <c r="L3" s="81" t="s">
        <v>19</v>
      </c>
      <c r="M3" s="81" t="s">
        <v>20</v>
      </c>
      <c r="N3" s="81" t="s">
        <v>21</v>
      </c>
      <c r="O3" s="434"/>
      <c r="P3" s="436"/>
      <c r="Q3" s="437"/>
      <c r="R3" s="437"/>
      <c r="S3" s="439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L7" si="0">$F$1-F5</f>
        <v>34</v>
      </c>
      <c r="L5" s="14">
        <f t="shared" si="0"/>
        <v>34</v>
      </c>
      <c r="M5" s="14"/>
      <c r="N5" s="14"/>
      <c r="O5" s="16" t="s">
        <v>58</v>
      </c>
      <c r="P5" s="58" t="s">
        <v>9</v>
      </c>
      <c r="Q5" s="58"/>
      <c r="R5" s="67" t="s">
        <v>31</v>
      </c>
      <c r="S5" s="63"/>
    </row>
    <row r="6" spans="1:66" s="7" customFormat="1" ht="21.6" customHeight="1" x14ac:dyDescent="0.25">
      <c r="A6" s="56">
        <v>2</v>
      </c>
      <c r="B6" s="58" t="s">
        <v>27</v>
      </c>
      <c r="C6" s="79" t="s">
        <v>32</v>
      </c>
      <c r="D6" s="80" t="s">
        <v>28</v>
      </c>
      <c r="E6" s="49">
        <v>2019</v>
      </c>
      <c r="F6" s="20">
        <v>46113</v>
      </c>
      <c r="G6" s="20">
        <v>46113</v>
      </c>
      <c r="H6" s="37"/>
      <c r="I6" s="37"/>
      <c r="J6" s="68"/>
      <c r="K6" s="14">
        <f t="shared" si="0"/>
        <v>1</v>
      </c>
      <c r="L6" s="14">
        <f t="shared" si="0"/>
        <v>1</v>
      </c>
      <c r="M6" s="14"/>
      <c r="N6" s="14"/>
      <c r="O6" s="16" t="s">
        <v>59</v>
      </c>
      <c r="P6" s="58" t="s">
        <v>24</v>
      </c>
      <c r="Q6" s="58"/>
      <c r="R6" s="67" t="s">
        <v>26</v>
      </c>
      <c r="S6" s="69"/>
    </row>
    <row r="7" spans="1:66" s="7" customFormat="1" ht="21.6" customHeight="1" x14ac:dyDescent="0.25">
      <c r="A7" s="56">
        <v>3</v>
      </c>
      <c r="B7" s="58" t="s">
        <v>60</v>
      </c>
      <c r="C7" s="6" t="s">
        <v>29</v>
      </c>
      <c r="D7" s="36" t="s">
        <v>28</v>
      </c>
      <c r="E7" s="49">
        <v>2023</v>
      </c>
      <c r="F7" s="20">
        <v>46113</v>
      </c>
      <c r="G7" s="20">
        <v>46113</v>
      </c>
      <c r="H7" s="37"/>
      <c r="I7" s="37"/>
      <c r="J7" s="68"/>
      <c r="K7" s="14">
        <f t="shared" si="0"/>
        <v>1</v>
      </c>
      <c r="L7" s="14">
        <f t="shared" si="0"/>
        <v>1</v>
      </c>
      <c r="M7" s="14"/>
      <c r="N7" s="14"/>
      <c r="O7" s="16" t="s">
        <v>61</v>
      </c>
      <c r="P7" s="58" t="s">
        <v>10</v>
      </c>
      <c r="Q7" s="58"/>
      <c r="R7" s="58"/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58"/>
      <c r="R8" s="58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58"/>
      <c r="R9" s="67"/>
      <c r="S9" s="69"/>
    </row>
    <row r="10" spans="1:66" s="7" customFormat="1" ht="21.6" customHeight="1" x14ac:dyDescent="0.25">
      <c r="A10" s="56"/>
      <c r="B10" s="58"/>
      <c r="C10" s="16"/>
      <c r="D10" s="1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58"/>
      <c r="Q10" s="60"/>
      <c r="R10" s="67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5" si="1">$F$1-F14</f>
        <v>30</v>
      </c>
      <c r="L14" s="14">
        <f t="shared" si="1"/>
        <v>30</v>
      </c>
      <c r="M14" s="14"/>
      <c r="N14" s="14"/>
      <c r="O14" s="16" t="s">
        <v>53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30</v>
      </c>
      <c r="C15" s="6" t="s">
        <v>32</v>
      </c>
      <c r="D15" s="36" t="s">
        <v>55</v>
      </c>
      <c r="E15" s="49">
        <v>2012</v>
      </c>
      <c r="F15" s="20">
        <v>46094</v>
      </c>
      <c r="G15" s="20">
        <v>46094</v>
      </c>
      <c r="H15" s="37"/>
      <c r="I15" s="37"/>
      <c r="J15" s="68"/>
      <c r="K15" s="14">
        <f t="shared" si="1"/>
        <v>20</v>
      </c>
      <c r="L15" s="14">
        <f t="shared" si="1"/>
        <v>20</v>
      </c>
      <c r="M15" s="14"/>
      <c r="N15" s="14"/>
      <c r="O15" s="16" t="s">
        <v>56</v>
      </c>
      <c r="P15" s="62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>
        <v>1</v>
      </c>
      <c r="B17" s="77" t="s">
        <v>39</v>
      </c>
      <c r="C17" s="71" t="s">
        <v>40</v>
      </c>
      <c r="D17" s="77" t="s">
        <v>41</v>
      </c>
      <c r="E17" s="72">
        <v>2007</v>
      </c>
      <c r="F17" s="73"/>
      <c r="G17" s="73"/>
      <c r="H17" s="73"/>
      <c r="I17" s="73"/>
      <c r="J17" s="73"/>
      <c r="K17" s="74"/>
      <c r="L17" s="73"/>
      <c r="M17" s="73"/>
      <c r="N17" s="73"/>
      <c r="O17" s="71" t="s">
        <v>42</v>
      </c>
      <c r="P17" s="76" t="s">
        <v>43</v>
      </c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C8D9-43E8-4CF7-A1DB-9D34FDFE4D2C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46115</v>
      </c>
      <c r="G1" s="20">
        <v>46115</v>
      </c>
      <c r="H1" s="20">
        <v>46115</v>
      </c>
      <c r="I1" s="20">
        <v>46115</v>
      </c>
      <c r="J1" s="20">
        <v>46115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82" t="s">
        <v>7</v>
      </c>
      <c r="L3" s="82" t="s">
        <v>19</v>
      </c>
      <c r="M3" s="82" t="s">
        <v>20</v>
      </c>
      <c r="N3" s="82" t="s">
        <v>21</v>
      </c>
      <c r="O3" s="434"/>
      <c r="P3" s="436"/>
      <c r="Q3" s="437"/>
      <c r="R3" s="437"/>
      <c r="S3" s="439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60</v>
      </c>
      <c r="C5" s="6" t="s">
        <v>29</v>
      </c>
      <c r="D5" s="36" t="s">
        <v>28</v>
      </c>
      <c r="E5" s="49">
        <v>2023</v>
      </c>
      <c r="F5" s="20">
        <v>46113</v>
      </c>
      <c r="G5" s="20">
        <v>46113</v>
      </c>
      <c r="H5" s="37"/>
      <c r="I5" s="37"/>
      <c r="J5" s="68"/>
      <c r="K5" s="14">
        <f t="shared" ref="K5" si="0">$F$1-F5</f>
        <v>2</v>
      </c>
      <c r="L5" s="14">
        <f t="shared" ref="L5" si="1">$F$1-G5</f>
        <v>2</v>
      </c>
      <c r="M5" s="14"/>
      <c r="N5" s="14"/>
      <c r="O5" s="16" t="s">
        <v>61</v>
      </c>
      <c r="P5" s="58" t="s">
        <v>10</v>
      </c>
      <c r="Q5" s="58" t="s">
        <v>27</v>
      </c>
      <c r="R5" s="67" t="s">
        <v>31</v>
      </c>
      <c r="S5" s="63"/>
    </row>
    <row r="6" spans="1:66" s="7" customFormat="1" ht="21.6" customHeight="1" x14ac:dyDescent="0.25">
      <c r="A6" s="56"/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/>
      <c r="R6" s="67" t="s">
        <v>26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58" t="s">
        <v>24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58"/>
      <c r="R8" s="58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58"/>
      <c r="R9" s="67"/>
      <c r="S9" s="69"/>
    </row>
    <row r="10" spans="1:66" s="7" customFormat="1" ht="21.6" customHeight="1" x14ac:dyDescent="0.25">
      <c r="A10" s="56"/>
      <c r="B10" s="58"/>
      <c r="C10" s="16"/>
      <c r="D10" s="1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58"/>
      <c r="Q10" s="60"/>
      <c r="R10" s="67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2">$F$1-F14</f>
        <v>31</v>
      </c>
      <c r="L14" s="14">
        <f t="shared" si="2"/>
        <v>31</v>
      </c>
      <c r="M14" s="14"/>
      <c r="N14" s="14"/>
      <c r="O14" s="16" t="s">
        <v>53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30</v>
      </c>
      <c r="C15" s="6" t="s">
        <v>32</v>
      </c>
      <c r="D15" s="36" t="s">
        <v>55</v>
      </c>
      <c r="E15" s="49">
        <v>2012</v>
      </c>
      <c r="F15" s="20">
        <v>46094</v>
      </c>
      <c r="G15" s="20">
        <v>46094</v>
      </c>
      <c r="H15" s="37"/>
      <c r="I15" s="37"/>
      <c r="J15" s="68"/>
      <c r="K15" s="14">
        <f t="shared" si="2"/>
        <v>21</v>
      </c>
      <c r="L15" s="14">
        <f t="shared" si="2"/>
        <v>21</v>
      </c>
      <c r="M15" s="14"/>
      <c r="N15" s="14"/>
      <c r="O15" s="16" t="s">
        <v>56</v>
      </c>
      <c r="P15" s="62"/>
      <c r="Q15" s="16"/>
      <c r="R15" s="70"/>
      <c r="S15" s="69"/>
    </row>
    <row r="16" spans="1:66" s="7" customFormat="1" ht="27" customHeight="1" x14ac:dyDescent="0.25">
      <c r="A16" s="78">
        <v>3</v>
      </c>
      <c r="B16" s="58" t="s">
        <v>51</v>
      </c>
      <c r="C16" s="79" t="s">
        <v>32</v>
      </c>
      <c r="D16" s="80" t="s">
        <v>28</v>
      </c>
      <c r="E16" s="49">
        <v>2010</v>
      </c>
      <c r="F16" s="20">
        <v>46080</v>
      </c>
      <c r="G16" s="20">
        <v>46080</v>
      </c>
      <c r="H16" s="37"/>
      <c r="I16" s="37"/>
      <c r="J16" s="68"/>
      <c r="K16" s="14">
        <f t="shared" si="2"/>
        <v>35</v>
      </c>
      <c r="L16" s="14">
        <f t="shared" si="2"/>
        <v>35</v>
      </c>
      <c r="M16" s="14"/>
      <c r="N16" s="14"/>
      <c r="O16" s="16" t="s">
        <v>58</v>
      </c>
      <c r="P16" s="58" t="s">
        <v>9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>
        <v>1</v>
      </c>
      <c r="B18" s="77" t="s">
        <v>39</v>
      </c>
      <c r="C18" s="71" t="s">
        <v>40</v>
      </c>
      <c r="D18" s="77" t="s">
        <v>41</v>
      </c>
      <c r="E18" s="72">
        <v>2007</v>
      </c>
      <c r="F18" s="73"/>
      <c r="G18" s="73"/>
      <c r="H18" s="73"/>
      <c r="I18" s="73"/>
      <c r="J18" s="73"/>
      <c r="K18" s="74"/>
      <c r="L18" s="73"/>
      <c r="M18" s="73"/>
      <c r="N18" s="73"/>
      <c r="O18" s="71" t="s">
        <v>42</v>
      </c>
      <c r="P18" s="76" t="s">
        <v>43</v>
      </c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7DDD-B8AE-4B86-84D6-F65F0B0E1FE7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46116</v>
      </c>
      <c r="G1" s="20">
        <v>46116</v>
      </c>
      <c r="H1" s="20">
        <v>46116</v>
      </c>
      <c r="I1" s="20">
        <v>46116</v>
      </c>
      <c r="J1" s="20">
        <v>46116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83" t="s">
        <v>7</v>
      </c>
      <c r="L3" s="83" t="s">
        <v>19</v>
      </c>
      <c r="M3" s="83" t="s">
        <v>20</v>
      </c>
      <c r="N3" s="83" t="s">
        <v>21</v>
      </c>
      <c r="O3" s="434"/>
      <c r="P3" s="436"/>
      <c r="Q3" s="437"/>
      <c r="R3" s="437"/>
      <c r="S3" s="439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60</v>
      </c>
      <c r="C5" s="6" t="s">
        <v>29</v>
      </c>
      <c r="D5" s="36" t="s">
        <v>28</v>
      </c>
      <c r="E5" s="49">
        <v>2023</v>
      </c>
      <c r="F5" s="20">
        <v>46113</v>
      </c>
      <c r="G5" s="20">
        <v>46113</v>
      </c>
      <c r="H5" s="37"/>
      <c r="I5" s="37"/>
      <c r="J5" s="68"/>
      <c r="K5" s="14">
        <f t="shared" ref="K5:L5" si="0">$F$1-F5</f>
        <v>3</v>
      </c>
      <c r="L5" s="14">
        <f t="shared" si="0"/>
        <v>3</v>
      </c>
      <c r="M5" s="14"/>
      <c r="N5" s="14"/>
      <c r="O5" s="16" t="s">
        <v>63</v>
      </c>
      <c r="P5" s="58" t="s">
        <v>10</v>
      </c>
      <c r="Q5" s="58"/>
      <c r="R5" s="67" t="s">
        <v>31</v>
      </c>
      <c r="S5" s="63"/>
    </row>
    <row r="6" spans="1:66" s="7" customFormat="1" ht="21.6" customHeight="1" x14ac:dyDescent="0.25">
      <c r="A6" s="56"/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/>
      <c r="R6" s="67" t="s">
        <v>26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58" t="s">
        <v>24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58"/>
      <c r="R8" s="58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58"/>
      <c r="R9" s="67"/>
      <c r="S9" s="69"/>
    </row>
    <row r="10" spans="1:66" s="7" customFormat="1" ht="21.6" customHeight="1" x14ac:dyDescent="0.25">
      <c r="A10" s="56"/>
      <c r="B10" s="58"/>
      <c r="C10" s="16"/>
      <c r="D10" s="1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58"/>
      <c r="Q10" s="60"/>
      <c r="R10" s="67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1">$F$1-F14</f>
        <v>32</v>
      </c>
      <c r="L14" s="14">
        <f t="shared" si="1"/>
        <v>32</v>
      </c>
      <c r="M14" s="14"/>
      <c r="N14" s="14"/>
      <c r="O14" s="16" t="s">
        <v>53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30</v>
      </c>
      <c r="C15" s="6" t="s">
        <v>32</v>
      </c>
      <c r="D15" s="36" t="s">
        <v>55</v>
      </c>
      <c r="E15" s="49">
        <v>2012</v>
      </c>
      <c r="F15" s="20">
        <v>46094</v>
      </c>
      <c r="G15" s="20">
        <v>46094</v>
      </c>
      <c r="H15" s="37"/>
      <c r="I15" s="37"/>
      <c r="J15" s="68"/>
      <c r="K15" s="14">
        <f t="shared" si="1"/>
        <v>22</v>
      </c>
      <c r="L15" s="14">
        <f t="shared" si="1"/>
        <v>22</v>
      </c>
      <c r="M15" s="14"/>
      <c r="N15" s="14"/>
      <c r="O15" s="16" t="s">
        <v>62</v>
      </c>
      <c r="P15" s="62"/>
      <c r="Q15" s="16"/>
      <c r="R15" s="70"/>
      <c r="S15" s="69"/>
    </row>
    <row r="16" spans="1:66" s="7" customFormat="1" ht="27" customHeight="1" x14ac:dyDescent="0.25">
      <c r="A16" s="78">
        <v>3</v>
      </c>
      <c r="B16" s="58" t="s">
        <v>51</v>
      </c>
      <c r="C16" s="79" t="s">
        <v>32</v>
      </c>
      <c r="D16" s="80" t="s">
        <v>28</v>
      </c>
      <c r="E16" s="49">
        <v>2010</v>
      </c>
      <c r="F16" s="20">
        <v>46080</v>
      </c>
      <c r="G16" s="20">
        <v>46080</v>
      </c>
      <c r="H16" s="37"/>
      <c r="I16" s="37"/>
      <c r="J16" s="68"/>
      <c r="K16" s="14">
        <f t="shared" si="1"/>
        <v>36</v>
      </c>
      <c r="L16" s="14">
        <f t="shared" si="1"/>
        <v>36</v>
      </c>
      <c r="M16" s="14"/>
      <c r="N16" s="14"/>
      <c r="O16" s="16" t="s">
        <v>58</v>
      </c>
      <c r="P16" s="58" t="s">
        <v>9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>
        <v>1</v>
      </c>
      <c r="B18" s="77" t="s">
        <v>39</v>
      </c>
      <c r="C18" s="71" t="s">
        <v>40</v>
      </c>
      <c r="D18" s="77" t="s">
        <v>41</v>
      </c>
      <c r="E18" s="72">
        <v>2007</v>
      </c>
      <c r="F18" s="73"/>
      <c r="G18" s="73"/>
      <c r="H18" s="73"/>
      <c r="I18" s="73"/>
      <c r="J18" s="73"/>
      <c r="K18" s="74"/>
      <c r="L18" s="73"/>
      <c r="M18" s="73"/>
      <c r="N18" s="73"/>
      <c r="O18" s="71" t="s">
        <v>42</v>
      </c>
      <c r="P18" s="76" t="s">
        <v>43</v>
      </c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30D-E240-4EAD-8ACB-B9D2E06AB824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46117</v>
      </c>
      <c r="G1" s="20">
        <v>46117</v>
      </c>
      <c r="H1" s="20">
        <v>46117</v>
      </c>
      <c r="I1" s="20">
        <v>46117</v>
      </c>
      <c r="J1" s="20">
        <v>46117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84" t="s">
        <v>7</v>
      </c>
      <c r="L3" s="84" t="s">
        <v>19</v>
      </c>
      <c r="M3" s="84" t="s">
        <v>20</v>
      </c>
      <c r="N3" s="84" t="s">
        <v>21</v>
      </c>
      <c r="O3" s="434"/>
      <c r="P3" s="436"/>
      <c r="Q3" s="437"/>
      <c r="R3" s="437"/>
      <c r="S3" s="439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30</v>
      </c>
      <c r="C5" s="6" t="s">
        <v>32</v>
      </c>
      <c r="D5" s="36" t="s">
        <v>55</v>
      </c>
      <c r="E5" s="49">
        <v>2012</v>
      </c>
      <c r="F5" s="20">
        <v>46094</v>
      </c>
      <c r="G5" s="20">
        <v>46094</v>
      </c>
      <c r="H5" s="37"/>
      <c r="I5" s="37"/>
      <c r="J5" s="68"/>
      <c r="K5" s="14">
        <f t="shared" ref="K5" si="0">$F$1-F5</f>
        <v>23</v>
      </c>
      <c r="L5" s="14">
        <f t="shared" ref="L5" si="1">$F$1-G5</f>
        <v>23</v>
      </c>
      <c r="M5" s="14"/>
      <c r="N5" s="14"/>
      <c r="O5" s="16" t="s">
        <v>64</v>
      </c>
      <c r="P5" s="58"/>
      <c r="Q5" s="58" t="s">
        <v>35</v>
      </c>
      <c r="R5" s="67" t="s">
        <v>31</v>
      </c>
      <c r="S5" s="63"/>
    </row>
    <row r="6" spans="1:66" s="7" customFormat="1" ht="21.6" customHeight="1" x14ac:dyDescent="0.25">
      <c r="A6" s="56"/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/>
      <c r="R6" s="67" t="s">
        <v>26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58" t="s">
        <v>24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58"/>
      <c r="R8" s="58" t="s">
        <v>10</v>
      </c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58"/>
      <c r="R9" s="67"/>
      <c r="S9" s="69"/>
    </row>
    <row r="10" spans="1:66" s="7" customFormat="1" ht="21.6" customHeight="1" x14ac:dyDescent="0.25">
      <c r="A10" s="56"/>
      <c r="B10" s="58"/>
      <c r="C10" s="16"/>
      <c r="D10" s="1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58"/>
      <c r="Q10" s="60"/>
      <c r="R10" s="67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5" si="2">$F$1-F14</f>
        <v>33</v>
      </c>
      <c r="L14" s="14">
        <f t="shared" si="2"/>
        <v>33</v>
      </c>
      <c r="M14" s="14"/>
      <c r="N14" s="14"/>
      <c r="O14" s="16" t="s">
        <v>53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2"/>
        <v>37</v>
      </c>
      <c r="L15" s="14">
        <f t="shared" si="2"/>
        <v>37</v>
      </c>
      <c r="M15" s="14"/>
      <c r="N15" s="14"/>
      <c r="O15" s="16" t="s">
        <v>58</v>
      </c>
      <c r="P15" s="58" t="s">
        <v>9</v>
      </c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F304-41B8-4025-A2F7-44782578D93A}">
  <dimension ref="A1:BN19"/>
  <sheetViews>
    <sheetView workbookViewId="0">
      <selection activeCell="D33" sqref="D33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46118</v>
      </c>
      <c r="G1" s="20">
        <v>46118</v>
      </c>
      <c r="H1" s="20">
        <v>46118</v>
      </c>
      <c r="I1" s="20">
        <v>46118</v>
      </c>
      <c r="J1" s="20">
        <v>46118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85" t="s">
        <v>7</v>
      </c>
      <c r="L3" s="85" t="s">
        <v>19</v>
      </c>
      <c r="M3" s="85" t="s">
        <v>20</v>
      </c>
      <c r="N3" s="85" t="s">
        <v>21</v>
      </c>
      <c r="O3" s="434"/>
      <c r="P3" s="436"/>
      <c r="Q3" s="437"/>
      <c r="R3" s="437"/>
      <c r="S3" s="439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30</v>
      </c>
      <c r="C5" s="6" t="s">
        <v>32</v>
      </c>
      <c r="D5" s="36" t="s">
        <v>55</v>
      </c>
      <c r="E5" s="49">
        <v>2012</v>
      </c>
      <c r="F5" s="20">
        <v>46094</v>
      </c>
      <c r="G5" s="20">
        <v>46094</v>
      </c>
      <c r="H5" s="37"/>
      <c r="I5" s="37"/>
      <c r="J5" s="68"/>
      <c r="K5" s="14">
        <f t="shared" ref="K5:L5" si="0">$F$1-F5</f>
        <v>24</v>
      </c>
      <c r="L5" s="14">
        <f t="shared" si="0"/>
        <v>24</v>
      </c>
      <c r="M5" s="14"/>
      <c r="N5" s="14"/>
      <c r="O5" s="16" t="s">
        <v>64</v>
      </c>
      <c r="P5" s="58"/>
      <c r="Q5" s="58"/>
      <c r="R5" s="67" t="s">
        <v>31</v>
      </c>
      <c r="S5" s="63"/>
    </row>
    <row r="6" spans="1:66" s="7" customFormat="1" ht="21.6" customHeight="1" x14ac:dyDescent="0.25">
      <c r="A6" s="56">
        <v>2</v>
      </c>
      <c r="B6" s="58" t="s">
        <v>65</v>
      </c>
      <c r="C6" s="6" t="s">
        <v>29</v>
      </c>
      <c r="D6" s="36" t="s">
        <v>28</v>
      </c>
      <c r="E6" s="49">
        <v>2023</v>
      </c>
      <c r="F6" s="20">
        <v>46118</v>
      </c>
      <c r="G6" s="20">
        <v>46118</v>
      </c>
      <c r="H6" s="37"/>
      <c r="I6" s="37"/>
      <c r="J6" s="68"/>
      <c r="K6" s="14">
        <f t="shared" ref="K6" si="1">$F$1-F6</f>
        <v>0</v>
      </c>
      <c r="L6" s="14">
        <f t="shared" ref="L6" si="2">$F$1-G6</f>
        <v>0</v>
      </c>
      <c r="M6" s="14"/>
      <c r="N6" s="14"/>
      <c r="O6" s="16" t="s">
        <v>36</v>
      </c>
      <c r="P6" s="58" t="s">
        <v>10</v>
      </c>
      <c r="Q6" s="58"/>
      <c r="R6" s="67" t="s">
        <v>26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58" t="s">
        <v>24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58"/>
      <c r="R8" s="67" t="s">
        <v>54</v>
      </c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58"/>
      <c r="R9" s="67"/>
      <c r="S9" s="69"/>
    </row>
    <row r="10" spans="1:66" s="7" customFormat="1" ht="21.6" customHeight="1" x14ac:dyDescent="0.25">
      <c r="A10" s="56"/>
      <c r="B10" s="58"/>
      <c r="C10" s="16"/>
      <c r="D10" s="1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58"/>
      <c r="Q10" s="60"/>
      <c r="R10" s="67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5" si="3">$F$1-F14</f>
        <v>34</v>
      </c>
      <c r="L14" s="14">
        <f t="shared" si="3"/>
        <v>34</v>
      </c>
      <c r="M14" s="14"/>
      <c r="N14" s="14"/>
      <c r="O14" s="16" t="s">
        <v>53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3"/>
        <v>38</v>
      </c>
      <c r="L15" s="14">
        <f t="shared" si="3"/>
        <v>38</v>
      </c>
      <c r="M15" s="14"/>
      <c r="N15" s="14"/>
      <c r="O15" s="16" t="s">
        <v>58</v>
      </c>
      <c r="P15" s="58" t="s">
        <v>9</v>
      </c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CA60-50A0-422D-865F-6A2898C0F1B2}">
  <dimension ref="A1:BN20"/>
  <sheetViews>
    <sheetView workbookViewId="0">
      <selection activeCell="B5" sqref="B5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46119</v>
      </c>
      <c r="G1" s="20">
        <v>46119</v>
      </c>
      <c r="H1" s="20">
        <v>46119</v>
      </c>
      <c r="I1" s="20">
        <v>46119</v>
      </c>
      <c r="J1" s="20">
        <v>46119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86" t="s">
        <v>7</v>
      </c>
      <c r="L3" s="86" t="s">
        <v>19</v>
      </c>
      <c r="M3" s="86" t="s">
        <v>20</v>
      </c>
      <c r="N3" s="86" t="s">
        <v>21</v>
      </c>
      <c r="O3" s="434"/>
      <c r="P3" s="436"/>
      <c r="Q3" s="437"/>
      <c r="R3" s="437"/>
      <c r="S3" s="439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57</v>
      </c>
      <c r="C5" s="6" t="s">
        <v>29</v>
      </c>
      <c r="D5" s="36" t="s">
        <v>28</v>
      </c>
      <c r="E5" s="49">
        <v>2023</v>
      </c>
      <c r="F5" s="20">
        <v>46119</v>
      </c>
      <c r="G5" s="20">
        <v>46119</v>
      </c>
      <c r="H5" s="37"/>
      <c r="I5" s="37"/>
      <c r="J5" s="68"/>
      <c r="K5" s="14">
        <f t="shared" ref="K5" si="0">$F$1-F5</f>
        <v>0</v>
      </c>
      <c r="L5" s="14">
        <f t="shared" ref="L5" si="1">$F$1-G5</f>
        <v>0</v>
      </c>
      <c r="M5" s="14"/>
      <c r="N5" s="14"/>
      <c r="O5" s="16" t="s">
        <v>66</v>
      </c>
      <c r="P5" s="58" t="s">
        <v>9</v>
      </c>
      <c r="Q5" s="58" t="s">
        <v>30</v>
      </c>
      <c r="R5" s="67" t="s">
        <v>31</v>
      </c>
      <c r="S5" s="63"/>
    </row>
    <row r="6" spans="1:66" s="7" customFormat="1" ht="21.6" customHeight="1" x14ac:dyDescent="0.25">
      <c r="A6" s="56">
        <v>2</v>
      </c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 t="s">
        <v>65</v>
      </c>
      <c r="R6" s="67" t="s">
        <v>26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58" t="s">
        <v>24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58"/>
      <c r="R8" s="67" t="s">
        <v>54</v>
      </c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58"/>
      <c r="R9" s="67" t="s">
        <v>44</v>
      </c>
      <c r="S9" s="69"/>
    </row>
    <row r="10" spans="1:66" s="7" customFormat="1" ht="21.6" customHeight="1" x14ac:dyDescent="0.25">
      <c r="A10" s="56"/>
      <c r="B10" s="58"/>
      <c r="C10" s="16"/>
      <c r="D10" s="1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58"/>
      <c r="Q10" s="58"/>
      <c r="R10" s="58" t="s">
        <v>30</v>
      </c>
      <c r="S10" s="69"/>
    </row>
    <row r="11" spans="1:66" s="7" customFormat="1" ht="21.6" customHeight="1" x14ac:dyDescent="0.25">
      <c r="A11" s="56"/>
      <c r="B11" s="58"/>
      <c r="C11" s="16"/>
      <c r="D11" s="1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60"/>
      <c r="R11" s="58" t="s">
        <v>10</v>
      </c>
      <c r="S11" s="69"/>
    </row>
    <row r="12" spans="1:66" s="7" customFormat="1" ht="13.95" customHeight="1" x14ac:dyDescent="0.25">
      <c r="A12" s="52"/>
      <c r="B12" s="29"/>
      <c r="C12" s="12"/>
      <c r="D12" s="19"/>
      <c r="E12" s="18"/>
      <c r="F12" s="22"/>
      <c r="G12" s="22"/>
      <c r="H12" s="22"/>
      <c r="I12" s="22"/>
      <c r="J12" s="22"/>
      <c r="K12" s="18"/>
      <c r="L12" s="22"/>
      <c r="M12" s="22"/>
      <c r="N12" s="22"/>
      <c r="O12" s="30" t="s">
        <v>22</v>
      </c>
      <c r="P12" s="12"/>
      <c r="Q12" s="12"/>
      <c r="R12" s="19"/>
      <c r="S12" s="30"/>
    </row>
    <row r="13" spans="1:66" s="7" customFormat="1" ht="13.95" customHeight="1" x14ac:dyDescent="0.25">
      <c r="A13" s="56"/>
      <c r="B13" s="67"/>
      <c r="C13" s="6"/>
      <c r="D13" s="36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62"/>
      <c r="Q13" s="57"/>
      <c r="R13" s="50"/>
      <c r="S13" s="46"/>
    </row>
    <row r="14" spans="1:66" s="35" customFormat="1" ht="13.95" customHeight="1" x14ac:dyDescent="0.25">
      <c r="A14" s="53"/>
      <c r="B14" s="31"/>
      <c r="C14" s="12"/>
      <c r="D14" s="19" t="s">
        <v>0</v>
      </c>
      <c r="E14" s="18"/>
      <c r="F14" s="32"/>
      <c r="G14" s="32"/>
      <c r="H14" s="32"/>
      <c r="I14" s="32"/>
      <c r="J14" s="32"/>
      <c r="K14" s="18"/>
      <c r="L14" s="32"/>
      <c r="M14" s="32"/>
      <c r="N14" s="32"/>
      <c r="O14" s="33" t="s">
        <v>23</v>
      </c>
      <c r="P14" s="19"/>
      <c r="Q14" s="19"/>
      <c r="R14" s="34"/>
      <c r="S14" s="3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27" customHeight="1" x14ac:dyDescent="0.25">
      <c r="A15" s="78">
        <v>1</v>
      </c>
      <c r="B15" s="58" t="s">
        <v>52</v>
      </c>
      <c r="C15" s="6" t="s">
        <v>29</v>
      </c>
      <c r="D15" s="36" t="s">
        <v>28</v>
      </c>
      <c r="E15" s="49">
        <v>2023</v>
      </c>
      <c r="F15" s="20">
        <v>46084</v>
      </c>
      <c r="G15" s="20">
        <v>46084</v>
      </c>
      <c r="H15" s="37"/>
      <c r="I15" s="37"/>
      <c r="J15" s="68"/>
      <c r="K15" s="14">
        <f t="shared" ref="K15:L16" si="2">$F$1-F15</f>
        <v>35</v>
      </c>
      <c r="L15" s="14">
        <f t="shared" si="2"/>
        <v>35</v>
      </c>
      <c r="M15" s="14"/>
      <c r="N15" s="14"/>
      <c r="O15" s="16" t="s">
        <v>53</v>
      </c>
      <c r="P15" s="58" t="s">
        <v>33</v>
      </c>
      <c r="Q15" s="16"/>
      <c r="R15" s="70"/>
      <c r="S15" s="69"/>
    </row>
    <row r="16" spans="1:66" s="7" customFormat="1" ht="27" customHeight="1" x14ac:dyDescent="0.25">
      <c r="A16" s="78">
        <v>2</v>
      </c>
      <c r="B16" s="58" t="s">
        <v>51</v>
      </c>
      <c r="C16" s="79" t="s">
        <v>32</v>
      </c>
      <c r="D16" s="80" t="s">
        <v>28</v>
      </c>
      <c r="E16" s="49">
        <v>2010</v>
      </c>
      <c r="F16" s="20">
        <v>46080</v>
      </c>
      <c r="G16" s="20">
        <v>46080</v>
      </c>
      <c r="H16" s="37"/>
      <c r="I16" s="37"/>
      <c r="J16" s="68"/>
      <c r="K16" s="14">
        <f t="shared" si="2"/>
        <v>39</v>
      </c>
      <c r="L16" s="14">
        <f t="shared" si="2"/>
        <v>39</v>
      </c>
      <c r="M16" s="14"/>
      <c r="N16" s="14"/>
      <c r="O16" s="16" t="s">
        <v>58</v>
      </c>
      <c r="P16" s="58" t="s">
        <v>9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2AF3-92DB-4279-BAD3-C6165436E6F1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46120</v>
      </c>
      <c r="G1" s="20">
        <v>46120</v>
      </c>
      <c r="H1" s="20">
        <v>46120</v>
      </c>
      <c r="I1" s="20">
        <v>46120</v>
      </c>
      <c r="J1" s="20">
        <v>46120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87" t="s">
        <v>7</v>
      </c>
      <c r="L3" s="87" t="s">
        <v>19</v>
      </c>
      <c r="M3" s="87" t="s">
        <v>20</v>
      </c>
      <c r="N3" s="8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48</v>
      </c>
      <c r="C5" s="88" t="s">
        <v>32</v>
      </c>
      <c r="D5" s="89" t="s">
        <v>28</v>
      </c>
      <c r="E5" s="51">
        <v>2010</v>
      </c>
      <c r="F5" s="55">
        <v>46120</v>
      </c>
      <c r="G5" s="55">
        <v>46120</v>
      </c>
      <c r="H5" s="47"/>
      <c r="I5" s="47"/>
      <c r="J5" s="66"/>
      <c r="K5" s="21">
        <f t="shared" ref="K5:L5" si="0">$F$1-F5</f>
        <v>0</v>
      </c>
      <c r="L5" s="21">
        <f t="shared" si="0"/>
        <v>0</v>
      </c>
      <c r="M5" s="21"/>
      <c r="N5" s="21"/>
      <c r="O5" s="61" t="s">
        <v>69</v>
      </c>
      <c r="P5" s="60" t="s">
        <v>9</v>
      </c>
      <c r="Q5" s="93" t="s">
        <v>26</v>
      </c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24</v>
      </c>
      <c r="C6" s="8" t="s">
        <v>29</v>
      </c>
      <c r="D6" s="48" t="s">
        <v>28</v>
      </c>
      <c r="E6" s="51">
        <v>2023</v>
      </c>
      <c r="F6" s="55">
        <v>46119</v>
      </c>
      <c r="G6" s="55">
        <v>46119</v>
      </c>
      <c r="H6" s="47"/>
      <c r="I6" s="47"/>
      <c r="J6" s="66"/>
      <c r="K6" s="21">
        <f t="shared" ref="K6" si="1">$F$1-F6</f>
        <v>1</v>
      </c>
      <c r="L6" s="21">
        <f t="shared" ref="L6" si="2">$F$1-G6</f>
        <v>1</v>
      </c>
      <c r="M6" s="21"/>
      <c r="N6" s="21"/>
      <c r="O6" s="61" t="s">
        <v>67</v>
      </c>
      <c r="P6" s="60"/>
      <c r="Q6" s="93" t="s">
        <v>44</v>
      </c>
      <c r="R6" s="91" t="s">
        <v>30</v>
      </c>
      <c r="S6" s="69"/>
    </row>
    <row r="7" spans="1:66" s="7" customFormat="1" ht="21.6" customHeight="1" x14ac:dyDescent="0.25">
      <c r="A7" s="59">
        <v>3</v>
      </c>
      <c r="B7" s="60" t="s">
        <v>65</v>
      </c>
      <c r="C7" s="8" t="s">
        <v>29</v>
      </c>
      <c r="D7" s="48" t="s">
        <v>28</v>
      </c>
      <c r="E7" s="51">
        <v>2023</v>
      </c>
      <c r="F7" s="55">
        <v>46119</v>
      </c>
      <c r="G7" s="55">
        <v>46119</v>
      </c>
      <c r="H7" s="47"/>
      <c r="I7" s="47"/>
      <c r="J7" s="66"/>
      <c r="K7" s="21">
        <f t="shared" ref="K7" si="3">$F$1-F7</f>
        <v>1</v>
      </c>
      <c r="L7" s="21">
        <f t="shared" ref="L7" si="4">$F$1-G7</f>
        <v>1</v>
      </c>
      <c r="M7" s="21"/>
      <c r="N7" s="21"/>
      <c r="O7" s="61" t="s">
        <v>68</v>
      </c>
      <c r="P7" s="60" t="s">
        <v>10</v>
      </c>
      <c r="Q7" s="92" t="s">
        <v>24</v>
      </c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 t="s">
        <v>57</v>
      </c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 t="s">
        <v>10</v>
      </c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5">$F$1-F13</f>
        <v>36</v>
      </c>
      <c r="L13" s="14">
        <f t="shared" si="5"/>
        <v>36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5"/>
        <v>40</v>
      </c>
      <c r="L14" s="14">
        <f t="shared" si="5"/>
        <v>40</v>
      </c>
      <c r="M14" s="14"/>
      <c r="N14" s="14"/>
      <c r="O14" s="16" t="s">
        <v>58</v>
      </c>
      <c r="P14" s="60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sortState xmlns:xlrd2="http://schemas.microsoft.com/office/spreadsheetml/2017/richdata2" ref="R6:R8">
    <sortCondition ref="R5:R8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5E56-0DAF-426A-BE0D-67022BDA18F8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46121</v>
      </c>
      <c r="G1" s="20">
        <v>46121</v>
      </c>
      <c r="H1" s="20">
        <v>46121</v>
      </c>
      <c r="I1" s="20">
        <v>46121</v>
      </c>
      <c r="J1" s="20">
        <v>46121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94" t="s">
        <v>7</v>
      </c>
      <c r="L3" s="94" t="s">
        <v>19</v>
      </c>
      <c r="M3" s="94" t="s">
        <v>20</v>
      </c>
      <c r="N3" s="9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48</v>
      </c>
      <c r="C5" s="88" t="s">
        <v>32</v>
      </c>
      <c r="D5" s="89" t="s">
        <v>28</v>
      </c>
      <c r="E5" s="51">
        <v>2010</v>
      </c>
      <c r="F5" s="55">
        <v>46120</v>
      </c>
      <c r="G5" s="55">
        <v>46120</v>
      </c>
      <c r="H5" s="47"/>
      <c r="I5" s="47"/>
      <c r="J5" s="66"/>
      <c r="K5" s="21">
        <f t="shared" ref="K5:L5" si="0">$F$1-F5</f>
        <v>1</v>
      </c>
      <c r="L5" s="21">
        <f t="shared" si="0"/>
        <v>1</v>
      </c>
      <c r="M5" s="21"/>
      <c r="N5" s="21"/>
      <c r="O5" s="61" t="s">
        <v>69</v>
      </c>
      <c r="P5" s="60" t="s">
        <v>10</v>
      </c>
      <c r="Q5" s="60" t="s">
        <v>24</v>
      </c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9</v>
      </c>
      <c r="C6" s="88" t="s">
        <v>32</v>
      </c>
      <c r="D6" s="89" t="s">
        <v>28</v>
      </c>
      <c r="E6" s="51">
        <v>2010</v>
      </c>
      <c r="F6" s="55">
        <v>46121</v>
      </c>
      <c r="G6" s="55">
        <v>46121</v>
      </c>
      <c r="H6" s="47"/>
      <c r="I6" s="47"/>
      <c r="J6" s="66"/>
      <c r="K6" s="21">
        <f t="shared" ref="K6" si="1">$F$1-F6</f>
        <v>0</v>
      </c>
      <c r="L6" s="21">
        <f t="shared" ref="L6" si="2">$F$1-G6</f>
        <v>0</v>
      </c>
      <c r="M6" s="21"/>
      <c r="N6" s="21"/>
      <c r="O6" s="61" t="s">
        <v>71</v>
      </c>
      <c r="P6" s="60"/>
      <c r="Q6" s="60" t="s">
        <v>65</v>
      </c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3">$F$1-F13</f>
        <v>37</v>
      </c>
      <c r="L13" s="14">
        <f t="shared" si="3"/>
        <v>37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3"/>
        <v>41</v>
      </c>
      <c r="L14" s="14">
        <f t="shared" si="3"/>
        <v>41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5B74-1271-467E-BAFC-377E4545B947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46122</v>
      </c>
      <c r="G1" s="20">
        <v>46122</v>
      </c>
      <c r="H1" s="20">
        <v>46122</v>
      </c>
      <c r="I1" s="20">
        <v>46122</v>
      </c>
      <c r="J1" s="20">
        <v>46122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95" t="s">
        <v>7</v>
      </c>
      <c r="L3" s="95" t="s">
        <v>19</v>
      </c>
      <c r="M3" s="95" t="s">
        <v>20</v>
      </c>
      <c r="N3" s="9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48</v>
      </c>
      <c r="C5" s="88" t="s">
        <v>32</v>
      </c>
      <c r="D5" s="89" t="s">
        <v>28</v>
      </c>
      <c r="E5" s="51">
        <v>2010</v>
      </c>
      <c r="F5" s="55">
        <v>46120</v>
      </c>
      <c r="G5" s="55">
        <v>46120</v>
      </c>
      <c r="H5" s="47"/>
      <c r="I5" s="47"/>
      <c r="J5" s="66"/>
      <c r="K5" s="21">
        <f t="shared" ref="K5:L6" si="0">$F$1-F5</f>
        <v>2</v>
      </c>
      <c r="L5" s="21">
        <f t="shared" si="0"/>
        <v>2</v>
      </c>
      <c r="M5" s="21"/>
      <c r="N5" s="21"/>
      <c r="O5" s="61" t="s">
        <v>69</v>
      </c>
      <c r="P5" s="60" t="s">
        <v>10</v>
      </c>
      <c r="Q5" s="60"/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9</v>
      </c>
      <c r="C6" s="88" t="s">
        <v>32</v>
      </c>
      <c r="D6" s="89" t="s">
        <v>28</v>
      </c>
      <c r="E6" s="51">
        <v>2010</v>
      </c>
      <c r="F6" s="55">
        <v>46121</v>
      </c>
      <c r="G6" s="55">
        <v>46121</v>
      </c>
      <c r="H6" s="47"/>
      <c r="I6" s="47"/>
      <c r="J6" s="66"/>
      <c r="K6" s="21">
        <f t="shared" si="0"/>
        <v>1</v>
      </c>
      <c r="L6" s="21">
        <f t="shared" si="0"/>
        <v>1</v>
      </c>
      <c r="M6" s="21"/>
      <c r="N6" s="21"/>
      <c r="O6" s="61" t="s">
        <v>71</v>
      </c>
      <c r="P6" s="60"/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38</v>
      </c>
      <c r="L13" s="14">
        <f t="shared" si="1"/>
        <v>38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1"/>
        <v>42</v>
      </c>
      <c r="L14" s="14">
        <f t="shared" si="1"/>
        <v>42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D8BA-1F67-43C3-95C6-5822E8B67909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46123</v>
      </c>
      <c r="G1" s="20">
        <v>46123</v>
      </c>
      <c r="H1" s="20">
        <v>46123</v>
      </c>
      <c r="I1" s="20">
        <v>46123</v>
      </c>
      <c r="J1" s="20">
        <v>46123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96" t="s">
        <v>7</v>
      </c>
      <c r="L3" s="96" t="s">
        <v>19</v>
      </c>
      <c r="M3" s="96" t="s">
        <v>20</v>
      </c>
      <c r="N3" s="9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48</v>
      </c>
      <c r="C5" s="88" t="s">
        <v>32</v>
      </c>
      <c r="D5" s="89" t="s">
        <v>28</v>
      </c>
      <c r="E5" s="51">
        <v>2010</v>
      </c>
      <c r="F5" s="55">
        <v>46120</v>
      </c>
      <c r="G5" s="55">
        <v>46120</v>
      </c>
      <c r="H5" s="47"/>
      <c r="I5" s="47"/>
      <c r="J5" s="66"/>
      <c r="K5" s="21">
        <f t="shared" ref="K5:L6" si="0">$F$1-F5</f>
        <v>3</v>
      </c>
      <c r="L5" s="21">
        <f t="shared" si="0"/>
        <v>3</v>
      </c>
      <c r="M5" s="21"/>
      <c r="N5" s="21"/>
      <c r="O5" s="61" t="s">
        <v>69</v>
      </c>
      <c r="P5" s="60" t="s">
        <v>10</v>
      </c>
      <c r="Q5" s="60"/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9</v>
      </c>
      <c r="C6" s="88" t="s">
        <v>32</v>
      </c>
      <c r="D6" s="89" t="s">
        <v>28</v>
      </c>
      <c r="E6" s="51">
        <v>2010</v>
      </c>
      <c r="F6" s="55">
        <v>46121</v>
      </c>
      <c r="G6" s="55">
        <v>46121</v>
      </c>
      <c r="H6" s="47"/>
      <c r="I6" s="47"/>
      <c r="J6" s="66"/>
      <c r="K6" s="21">
        <f t="shared" si="0"/>
        <v>2</v>
      </c>
      <c r="L6" s="21">
        <f t="shared" si="0"/>
        <v>2</v>
      </c>
      <c r="M6" s="21"/>
      <c r="N6" s="21"/>
      <c r="O6" s="61" t="s">
        <v>71</v>
      </c>
      <c r="P6" s="60"/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39</v>
      </c>
      <c r="L13" s="14">
        <f t="shared" si="1"/>
        <v>39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1"/>
        <v>43</v>
      </c>
      <c r="L14" s="14">
        <f t="shared" si="1"/>
        <v>43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9A66-6320-46D7-B2F7-EF100F9F99FC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46124</v>
      </c>
      <c r="G1" s="20">
        <v>46124</v>
      </c>
      <c r="H1" s="20">
        <v>46124</v>
      </c>
      <c r="I1" s="20">
        <v>46124</v>
      </c>
      <c r="J1" s="20">
        <v>46124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97" t="s">
        <v>7</v>
      </c>
      <c r="L3" s="97" t="s">
        <v>19</v>
      </c>
      <c r="M3" s="97" t="s">
        <v>20</v>
      </c>
      <c r="N3" s="9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48</v>
      </c>
      <c r="C5" s="88" t="s">
        <v>32</v>
      </c>
      <c r="D5" s="89" t="s">
        <v>28</v>
      </c>
      <c r="E5" s="51">
        <v>2010</v>
      </c>
      <c r="F5" s="55">
        <v>46120</v>
      </c>
      <c r="G5" s="55">
        <v>46120</v>
      </c>
      <c r="H5" s="47"/>
      <c r="I5" s="47"/>
      <c r="J5" s="66"/>
      <c r="K5" s="21">
        <f t="shared" ref="K5:L6" si="0">$F$1-F5</f>
        <v>4</v>
      </c>
      <c r="L5" s="21">
        <f t="shared" si="0"/>
        <v>4</v>
      </c>
      <c r="M5" s="21"/>
      <c r="N5" s="21"/>
      <c r="O5" s="61" t="s">
        <v>69</v>
      </c>
      <c r="P5" s="60" t="s">
        <v>10</v>
      </c>
      <c r="Q5" s="60"/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9</v>
      </c>
      <c r="C6" s="88" t="s">
        <v>32</v>
      </c>
      <c r="D6" s="89" t="s">
        <v>28</v>
      </c>
      <c r="E6" s="51">
        <v>2010</v>
      </c>
      <c r="F6" s="55">
        <v>46121</v>
      </c>
      <c r="G6" s="55">
        <v>46121</v>
      </c>
      <c r="H6" s="47"/>
      <c r="I6" s="47"/>
      <c r="J6" s="66"/>
      <c r="K6" s="21">
        <f t="shared" si="0"/>
        <v>3</v>
      </c>
      <c r="L6" s="21">
        <f t="shared" si="0"/>
        <v>3</v>
      </c>
      <c r="M6" s="21"/>
      <c r="N6" s="21"/>
      <c r="O6" s="61" t="s">
        <v>71</v>
      </c>
      <c r="P6" s="60"/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40</v>
      </c>
      <c r="L13" s="14">
        <f t="shared" si="1"/>
        <v>40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1"/>
        <v>44</v>
      </c>
      <c r="L14" s="14">
        <f t="shared" si="1"/>
        <v>44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86B6-CE6B-4663-9083-5C24C0A888B1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46125</v>
      </c>
      <c r="G1" s="20">
        <v>46125</v>
      </c>
      <c r="H1" s="20">
        <v>46125</v>
      </c>
      <c r="I1" s="20">
        <v>46125</v>
      </c>
      <c r="J1" s="20">
        <v>46125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98" t="s">
        <v>7</v>
      </c>
      <c r="L3" s="98" t="s">
        <v>19</v>
      </c>
      <c r="M3" s="98" t="s">
        <v>20</v>
      </c>
      <c r="N3" s="9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48</v>
      </c>
      <c r="C5" s="88" t="s">
        <v>32</v>
      </c>
      <c r="D5" s="89" t="s">
        <v>28</v>
      </c>
      <c r="E5" s="51">
        <v>2010</v>
      </c>
      <c r="F5" s="55">
        <v>46120</v>
      </c>
      <c r="G5" s="55">
        <v>46120</v>
      </c>
      <c r="H5" s="47"/>
      <c r="I5" s="47"/>
      <c r="J5" s="66"/>
      <c r="K5" s="21">
        <f t="shared" ref="K5:L6" si="0">$F$1-F5</f>
        <v>5</v>
      </c>
      <c r="L5" s="21">
        <f t="shared" si="0"/>
        <v>5</v>
      </c>
      <c r="M5" s="21"/>
      <c r="N5" s="21"/>
      <c r="O5" s="61" t="s">
        <v>69</v>
      </c>
      <c r="P5" s="60" t="s">
        <v>10</v>
      </c>
      <c r="Q5" s="60"/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9</v>
      </c>
      <c r="C6" s="88" t="s">
        <v>32</v>
      </c>
      <c r="D6" s="89" t="s">
        <v>28</v>
      </c>
      <c r="E6" s="51">
        <v>2010</v>
      </c>
      <c r="F6" s="55">
        <v>46121</v>
      </c>
      <c r="G6" s="55">
        <v>46121</v>
      </c>
      <c r="H6" s="47"/>
      <c r="I6" s="47"/>
      <c r="J6" s="66"/>
      <c r="K6" s="21">
        <f t="shared" si="0"/>
        <v>4</v>
      </c>
      <c r="L6" s="21">
        <f t="shared" si="0"/>
        <v>4</v>
      </c>
      <c r="M6" s="21"/>
      <c r="N6" s="21"/>
      <c r="O6" s="61" t="s">
        <v>71</v>
      </c>
      <c r="P6" s="60"/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41</v>
      </c>
      <c r="L13" s="14">
        <f t="shared" si="1"/>
        <v>41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1"/>
        <v>45</v>
      </c>
      <c r="L14" s="14">
        <f t="shared" si="1"/>
        <v>45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0089-09BC-488D-AEFE-9ACB0DA09DF9}">
  <dimension ref="A1:BN18"/>
  <sheetViews>
    <sheetView workbookViewId="0">
      <selection activeCell="R7" sqref="R7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46126</v>
      </c>
      <c r="G1" s="20">
        <v>46126</v>
      </c>
      <c r="H1" s="20">
        <v>46126</v>
      </c>
      <c r="I1" s="20">
        <v>46126</v>
      </c>
      <c r="J1" s="20">
        <v>46126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99" t="s">
        <v>7</v>
      </c>
      <c r="L3" s="99" t="s">
        <v>19</v>
      </c>
      <c r="M3" s="99" t="s">
        <v>20</v>
      </c>
      <c r="N3" s="9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48</v>
      </c>
      <c r="C5" s="88" t="s">
        <v>32</v>
      </c>
      <c r="D5" s="89" t="s">
        <v>28</v>
      </c>
      <c r="E5" s="51">
        <v>2010</v>
      </c>
      <c r="F5" s="55">
        <v>46120</v>
      </c>
      <c r="G5" s="55">
        <v>46120</v>
      </c>
      <c r="H5" s="47"/>
      <c r="I5" s="47"/>
      <c r="J5" s="66"/>
      <c r="K5" s="21">
        <f t="shared" ref="K5:L6" si="0">$F$1-F5</f>
        <v>6</v>
      </c>
      <c r="L5" s="21">
        <f t="shared" si="0"/>
        <v>6</v>
      </c>
      <c r="M5" s="21"/>
      <c r="N5" s="21"/>
      <c r="O5" s="61" t="s">
        <v>69</v>
      </c>
      <c r="P5" s="60" t="s">
        <v>10</v>
      </c>
      <c r="Q5" s="60"/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9</v>
      </c>
      <c r="C6" s="88" t="s">
        <v>32</v>
      </c>
      <c r="D6" s="89" t="s">
        <v>28</v>
      </c>
      <c r="E6" s="51">
        <v>2010</v>
      </c>
      <c r="F6" s="55">
        <v>46121</v>
      </c>
      <c r="G6" s="55">
        <v>46121</v>
      </c>
      <c r="H6" s="47"/>
      <c r="I6" s="47"/>
      <c r="J6" s="66"/>
      <c r="K6" s="21">
        <f t="shared" si="0"/>
        <v>5</v>
      </c>
      <c r="L6" s="21">
        <f t="shared" si="0"/>
        <v>5</v>
      </c>
      <c r="M6" s="21"/>
      <c r="N6" s="21"/>
      <c r="O6" s="61" t="s">
        <v>71</v>
      </c>
      <c r="P6" s="60"/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42</v>
      </c>
      <c r="L13" s="14">
        <f t="shared" si="1"/>
        <v>42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1"/>
        <v>46</v>
      </c>
      <c r="L14" s="14">
        <f t="shared" si="1"/>
        <v>46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BB1C-5197-4018-8E9B-C7777243CA88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46127</v>
      </c>
      <c r="G1" s="20">
        <v>46127</v>
      </c>
      <c r="H1" s="20">
        <v>46127</v>
      </c>
      <c r="I1" s="20">
        <v>46127</v>
      </c>
      <c r="J1" s="20">
        <v>46127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0" t="s">
        <v>7</v>
      </c>
      <c r="L3" s="100" t="s">
        <v>19</v>
      </c>
      <c r="M3" s="100" t="s">
        <v>20</v>
      </c>
      <c r="N3" s="10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9</v>
      </c>
      <c r="C5" s="88" t="s">
        <v>32</v>
      </c>
      <c r="D5" s="89" t="s">
        <v>28</v>
      </c>
      <c r="E5" s="51">
        <v>2010</v>
      </c>
      <c r="F5" s="55">
        <v>46121</v>
      </c>
      <c r="G5" s="55">
        <v>46121</v>
      </c>
      <c r="H5" s="47"/>
      <c r="I5" s="47"/>
      <c r="J5" s="66"/>
      <c r="K5" s="21">
        <f t="shared" ref="K5:K6" si="0">$F$1-F5</f>
        <v>6</v>
      </c>
      <c r="L5" s="21">
        <f t="shared" ref="L5:L6" si="1">$F$1-G5</f>
        <v>6</v>
      </c>
      <c r="M5" s="21"/>
      <c r="N5" s="21"/>
      <c r="O5" s="61" t="s">
        <v>71</v>
      </c>
      <c r="P5" s="60"/>
      <c r="Q5" s="60" t="s">
        <v>48</v>
      </c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72</v>
      </c>
      <c r="C6" s="8" t="s">
        <v>73</v>
      </c>
      <c r="D6" s="48" t="s">
        <v>74</v>
      </c>
      <c r="E6" s="51">
        <v>2023</v>
      </c>
      <c r="F6" s="55">
        <v>46127</v>
      </c>
      <c r="G6" s="55">
        <v>46127</v>
      </c>
      <c r="H6" s="47"/>
      <c r="I6" s="47"/>
      <c r="J6" s="66"/>
      <c r="K6" s="21">
        <f t="shared" si="0"/>
        <v>0</v>
      </c>
      <c r="L6" s="21">
        <f t="shared" si="1"/>
        <v>0</v>
      </c>
      <c r="M6" s="21"/>
      <c r="N6" s="21"/>
      <c r="O6" s="61" t="s">
        <v>75</v>
      </c>
      <c r="P6" s="60" t="s">
        <v>10</v>
      </c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2" t="s">
        <v>50</v>
      </c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2">$F$1-F13</f>
        <v>43</v>
      </c>
      <c r="L13" s="14">
        <f t="shared" si="2"/>
        <v>43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2"/>
        <v>47</v>
      </c>
      <c r="L14" s="14">
        <f t="shared" si="2"/>
        <v>47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90E3-4576-4214-A160-2B208BE16D15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46128</v>
      </c>
      <c r="G1" s="20">
        <v>46128</v>
      </c>
      <c r="H1" s="20">
        <v>46128</v>
      </c>
      <c r="I1" s="20">
        <v>46128</v>
      </c>
      <c r="J1" s="20">
        <v>46128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1" t="s">
        <v>7</v>
      </c>
      <c r="L3" s="101" t="s">
        <v>19</v>
      </c>
      <c r="M3" s="101" t="s">
        <v>20</v>
      </c>
      <c r="N3" s="10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9</v>
      </c>
      <c r="C5" s="88" t="s">
        <v>32</v>
      </c>
      <c r="D5" s="89" t="s">
        <v>28</v>
      </c>
      <c r="E5" s="51">
        <v>2010</v>
      </c>
      <c r="F5" s="55">
        <v>46121</v>
      </c>
      <c r="G5" s="55">
        <v>46121</v>
      </c>
      <c r="H5" s="47"/>
      <c r="I5" s="47"/>
      <c r="J5" s="66"/>
      <c r="K5" s="21">
        <f t="shared" ref="K5:L6" si="0">$F$1-F5</f>
        <v>7</v>
      </c>
      <c r="L5" s="21">
        <f t="shared" si="0"/>
        <v>7</v>
      </c>
      <c r="M5" s="21"/>
      <c r="N5" s="21"/>
      <c r="O5" s="61" t="s">
        <v>71</v>
      </c>
      <c r="P5" s="60"/>
      <c r="Q5" s="92" t="s">
        <v>50</v>
      </c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72</v>
      </c>
      <c r="C6" s="8" t="s">
        <v>73</v>
      </c>
      <c r="D6" s="48" t="s">
        <v>74</v>
      </c>
      <c r="E6" s="51">
        <v>2023</v>
      </c>
      <c r="F6" s="55">
        <v>46127</v>
      </c>
      <c r="G6" s="55">
        <v>46127</v>
      </c>
      <c r="H6" s="47"/>
      <c r="I6" s="47"/>
      <c r="J6" s="66"/>
      <c r="K6" s="21">
        <f t="shared" si="0"/>
        <v>1</v>
      </c>
      <c r="L6" s="21">
        <f t="shared" si="0"/>
        <v>1</v>
      </c>
      <c r="M6" s="21"/>
      <c r="N6" s="21"/>
      <c r="O6" s="61" t="s">
        <v>75</v>
      </c>
      <c r="P6" s="60" t="s">
        <v>10</v>
      </c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2" t="s">
        <v>49</v>
      </c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44</v>
      </c>
      <c r="L13" s="14">
        <f t="shared" si="1"/>
        <v>44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1"/>
        <v>48</v>
      </c>
      <c r="L14" s="14">
        <f t="shared" si="1"/>
        <v>48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44B9-DF47-4FCD-A5A0-D6069F3D089D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46129</v>
      </c>
      <c r="G1" s="20">
        <v>46129</v>
      </c>
      <c r="H1" s="20">
        <v>46129</v>
      </c>
      <c r="I1" s="20">
        <v>46129</v>
      </c>
      <c r="J1" s="20">
        <v>46129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2" t="s">
        <v>7</v>
      </c>
      <c r="L3" s="102" t="s">
        <v>19</v>
      </c>
      <c r="M3" s="102" t="s">
        <v>20</v>
      </c>
      <c r="N3" s="10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9">
        <v>1</v>
      </c>
      <c r="B5" s="60" t="s">
        <v>9</v>
      </c>
      <c r="C5" s="88" t="s">
        <v>32</v>
      </c>
      <c r="D5" s="89" t="s">
        <v>28</v>
      </c>
      <c r="E5" s="51">
        <v>2010</v>
      </c>
      <c r="F5" s="55">
        <v>46121</v>
      </c>
      <c r="G5" s="55">
        <v>46121</v>
      </c>
      <c r="H5" s="47"/>
      <c r="I5" s="47"/>
      <c r="J5" s="66"/>
      <c r="K5" s="21">
        <f t="shared" ref="K5:L6" si="0">$F$1-F5</f>
        <v>8</v>
      </c>
      <c r="L5" s="21">
        <f t="shared" si="0"/>
        <v>8</v>
      </c>
      <c r="M5" s="21"/>
      <c r="N5" s="21"/>
      <c r="O5" s="61" t="s">
        <v>71</v>
      </c>
      <c r="P5" s="60"/>
      <c r="Q5" s="92" t="s">
        <v>50</v>
      </c>
      <c r="R5" s="90" t="s">
        <v>31</v>
      </c>
      <c r="S5" s="63"/>
    </row>
    <row r="6" spans="1:66" s="7" customFormat="1" ht="21.6" customHeight="1" x14ac:dyDescent="0.25">
      <c r="A6" s="59">
        <v>2</v>
      </c>
      <c r="B6" s="60" t="s">
        <v>72</v>
      </c>
      <c r="C6" s="8" t="s">
        <v>73</v>
      </c>
      <c r="D6" s="48" t="s">
        <v>74</v>
      </c>
      <c r="E6" s="51">
        <v>2023</v>
      </c>
      <c r="F6" s="55">
        <v>46127</v>
      </c>
      <c r="G6" s="55">
        <v>46127</v>
      </c>
      <c r="H6" s="47"/>
      <c r="I6" s="47"/>
      <c r="J6" s="66"/>
      <c r="K6" s="21">
        <f t="shared" si="0"/>
        <v>2</v>
      </c>
      <c r="L6" s="21">
        <f t="shared" si="0"/>
        <v>2</v>
      </c>
      <c r="M6" s="21"/>
      <c r="N6" s="21"/>
      <c r="O6" s="61" t="s">
        <v>75</v>
      </c>
      <c r="P6" s="60" t="s">
        <v>10</v>
      </c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2" t="s">
        <v>49</v>
      </c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45</v>
      </c>
      <c r="L13" s="14">
        <f t="shared" si="1"/>
        <v>45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1"/>
        <v>49</v>
      </c>
      <c r="L14" s="14">
        <f t="shared" si="1"/>
        <v>49</v>
      </c>
      <c r="M14" s="14"/>
      <c r="N14" s="14"/>
      <c r="O14" s="16" t="s">
        <v>58</v>
      </c>
      <c r="P14" s="60" t="s">
        <v>24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D1C1-1065-4DEA-9911-B059E24F0F43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46130</v>
      </c>
      <c r="G1" s="20">
        <v>46130</v>
      </c>
      <c r="H1" s="20">
        <v>46130</v>
      </c>
      <c r="I1" s="20">
        <v>46130</v>
      </c>
      <c r="J1" s="20">
        <v>46130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3" t="s">
        <v>7</v>
      </c>
      <c r="L3" s="103" t="s">
        <v>19</v>
      </c>
      <c r="M3" s="103" t="s">
        <v>20</v>
      </c>
      <c r="N3" s="10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9</v>
      </c>
      <c r="C5" s="79" t="s">
        <v>32</v>
      </c>
      <c r="D5" s="80" t="s">
        <v>28</v>
      </c>
      <c r="E5" s="49">
        <v>2010</v>
      </c>
      <c r="F5" s="20">
        <v>46121</v>
      </c>
      <c r="G5" s="20">
        <v>46121</v>
      </c>
      <c r="H5" s="37"/>
      <c r="I5" s="37"/>
      <c r="J5" s="68"/>
      <c r="K5" s="14">
        <f t="shared" ref="K5:L6" si="0">$F$1-F5</f>
        <v>9</v>
      </c>
      <c r="L5" s="14">
        <f t="shared" si="0"/>
        <v>9</v>
      </c>
      <c r="M5" s="14"/>
      <c r="N5" s="14"/>
      <c r="O5" s="16" t="s">
        <v>71</v>
      </c>
      <c r="P5" s="58"/>
      <c r="Q5" s="92"/>
      <c r="R5" s="90" t="s">
        <v>31</v>
      </c>
      <c r="S5" s="63"/>
    </row>
    <row r="6" spans="1:66" s="7" customFormat="1" ht="21.6" customHeight="1" x14ac:dyDescent="0.25">
      <c r="A6" s="56">
        <v>2</v>
      </c>
      <c r="B6" s="58" t="s">
        <v>51</v>
      </c>
      <c r="C6" s="79" t="s">
        <v>32</v>
      </c>
      <c r="D6" s="80" t="s">
        <v>28</v>
      </c>
      <c r="E6" s="49">
        <v>2010</v>
      </c>
      <c r="F6" s="20">
        <v>46080</v>
      </c>
      <c r="G6" s="20">
        <v>46080</v>
      </c>
      <c r="H6" s="37"/>
      <c r="I6" s="37"/>
      <c r="J6" s="68"/>
      <c r="K6" s="14">
        <f t="shared" si="0"/>
        <v>50</v>
      </c>
      <c r="L6" s="14">
        <f t="shared" si="0"/>
        <v>50</v>
      </c>
      <c r="M6" s="14"/>
      <c r="N6" s="14"/>
      <c r="O6" s="16" t="s">
        <v>77</v>
      </c>
      <c r="P6" s="58" t="s">
        <v>24</v>
      </c>
      <c r="Q6" s="60"/>
      <c r="R6" s="91" t="s">
        <v>30</v>
      </c>
      <c r="S6" s="69"/>
    </row>
    <row r="7" spans="1:66" s="7" customFormat="1" ht="21.6" customHeight="1" x14ac:dyDescent="0.25">
      <c r="A7" s="59"/>
      <c r="B7" s="60"/>
      <c r="C7" s="88"/>
      <c r="D7" s="89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60"/>
      <c r="Q7" s="92"/>
      <c r="R7" s="90" t="s">
        <v>26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 t="s">
        <v>76</v>
      </c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4" si="1">$F$1-F13</f>
        <v>46</v>
      </c>
      <c r="L13" s="14">
        <f t="shared" si="1"/>
        <v>46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1"/>
        <v>3</v>
      </c>
      <c r="L14" s="14">
        <f t="shared" si="1"/>
        <v>3</v>
      </c>
      <c r="M14" s="14"/>
      <c r="N14" s="14"/>
      <c r="O14" s="16" t="s">
        <v>75</v>
      </c>
      <c r="P14" s="58" t="s">
        <v>10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3DAC-273C-4089-8FA5-4136D8D43FC1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46131</v>
      </c>
      <c r="G1" s="20">
        <v>46131</v>
      </c>
      <c r="H1" s="20">
        <v>46131</v>
      </c>
      <c r="I1" s="20">
        <v>46131</v>
      </c>
      <c r="J1" s="20">
        <v>46131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4" t="s">
        <v>7</v>
      </c>
      <c r="L3" s="104" t="s">
        <v>19</v>
      </c>
      <c r="M3" s="104" t="s">
        <v>20</v>
      </c>
      <c r="N3" s="10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9</v>
      </c>
      <c r="C5" s="79" t="s">
        <v>32</v>
      </c>
      <c r="D5" s="80" t="s">
        <v>28</v>
      </c>
      <c r="E5" s="49">
        <v>2010</v>
      </c>
      <c r="F5" s="20">
        <v>46121</v>
      </c>
      <c r="G5" s="20">
        <v>46121</v>
      </c>
      <c r="H5" s="37"/>
      <c r="I5" s="37"/>
      <c r="J5" s="68"/>
      <c r="K5" s="14">
        <f t="shared" ref="K5:L5" si="0">$F$1-F5</f>
        <v>10</v>
      </c>
      <c r="L5" s="14">
        <f t="shared" si="0"/>
        <v>10</v>
      </c>
      <c r="M5" s="14"/>
      <c r="N5" s="14"/>
      <c r="O5" s="16" t="s">
        <v>71</v>
      </c>
      <c r="P5" s="58"/>
      <c r="Q5" s="92"/>
      <c r="R5" s="90" t="s">
        <v>31</v>
      </c>
      <c r="S5" s="63"/>
    </row>
    <row r="6" spans="1:66" s="7" customFormat="1" ht="28.95" customHeight="1" x14ac:dyDescent="0.25">
      <c r="A6" s="56">
        <v>2</v>
      </c>
      <c r="B6" s="58" t="s">
        <v>10</v>
      </c>
      <c r="C6" s="79" t="s">
        <v>32</v>
      </c>
      <c r="D6" s="80" t="s">
        <v>28</v>
      </c>
      <c r="E6" s="49">
        <v>2010</v>
      </c>
      <c r="F6" s="20">
        <v>46131</v>
      </c>
      <c r="G6" s="20">
        <v>46131</v>
      </c>
      <c r="H6" s="37"/>
      <c r="I6" s="37"/>
      <c r="J6" s="68"/>
      <c r="K6" s="14">
        <f t="shared" ref="K6" si="1">$F$1-F6</f>
        <v>0</v>
      </c>
      <c r="L6" s="14">
        <f t="shared" ref="L6" si="2">$F$1-G6</f>
        <v>0</v>
      </c>
      <c r="M6" s="14"/>
      <c r="N6" s="14"/>
      <c r="O6" s="16" t="s">
        <v>47</v>
      </c>
      <c r="P6" s="58"/>
      <c r="Q6" s="60"/>
      <c r="R6" s="91" t="s">
        <v>30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 t="s">
        <v>26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5" si="3">$F$1-F13</f>
        <v>47</v>
      </c>
      <c r="L13" s="14">
        <f t="shared" si="3"/>
        <v>47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3"/>
        <v>4</v>
      </c>
      <c r="L14" s="14">
        <f t="shared" si="3"/>
        <v>4</v>
      </c>
      <c r="M14" s="14"/>
      <c r="N14" s="14"/>
      <c r="O14" s="16" t="s">
        <v>75</v>
      </c>
      <c r="P14" s="58"/>
      <c r="Q14" s="16"/>
      <c r="R14" s="70"/>
      <c r="S14" s="69"/>
    </row>
    <row r="15" spans="1:66" s="7" customFormat="1" ht="27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3"/>
        <v>51</v>
      </c>
      <c r="L15" s="14">
        <f t="shared" si="3"/>
        <v>51</v>
      </c>
      <c r="M15" s="14"/>
      <c r="N15" s="14"/>
      <c r="O15" s="16" t="s">
        <v>78</v>
      </c>
      <c r="P15" s="58" t="s">
        <v>24</v>
      </c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E9FA-4633-4981-B7D9-6B416CEBF8D4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46132</v>
      </c>
      <c r="G1" s="20">
        <v>46132</v>
      </c>
      <c r="H1" s="20">
        <v>46132</v>
      </c>
      <c r="I1" s="20">
        <v>46132</v>
      </c>
      <c r="J1" s="20">
        <v>46132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5" t="s">
        <v>7</v>
      </c>
      <c r="L3" s="105" t="s">
        <v>19</v>
      </c>
      <c r="M3" s="105" t="s">
        <v>20</v>
      </c>
      <c r="N3" s="10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58" t="s">
        <v>10</v>
      </c>
      <c r="C5" s="79" t="s">
        <v>32</v>
      </c>
      <c r="D5" s="80" t="s">
        <v>28</v>
      </c>
      <c r="E5" s="49">
        <v>2010</v>
      </c>
      <c r="F5" s="20">
        <v>46131</v>
      </c>
      <c r="G5" s="20">
        <v>46131</v>
      </c>
      <c r="H5" s="37"/>
      <c r="I5" s="37"/>
      <c r="J5" s="68"/>
      <c r="K5" s="14">
        <f t="shared" ref="K5" si="0">$F$1-F5</f>
        <v>1</v>
      </c>
      <c r="L5" s="14">
        <f t="shared" ref="L5" si="1">$F$1-G5</f>
        <v>1</v>
      </c>
      <c r="M5" s="14"/>
      <c r="N5" s="14"/>
      <c r="O5" s="16" t="s">
        <v>47</v>
      </c>
      <c r="P5" s="58" t="s">
        <v>24</v>
      </c>
      <c r="Q5" s="92"/>
      <c r="R5" s="90" t="s">
        <v>31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0"/>
      <c r="R6" s="91" t="s">
        <v>30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 t="s">
        <v>26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6" si="2">$F$1-F13</f>
        <v>48</v>
      </c>
      <c r="L13" s="14">
        <f t="shared" si="2"/>
        <v>48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2"/>
        <v>5</v>
      </c>
      <c r="L14" s="14">
        <f t="shared" si="2"/>
        <v>5</v>
      </c>
      <c r="M14" s="14"/>
      <c r="N14" s="14"/>
      <c r="O14" s="16" t="s">
        <v>75</v>
      </c>
      <c r="P14" s="58"/>
      <c r="Q14" s="16"/>
      <c r="R14" s="70"/>
      <c r="S14" s="69"/>
    </row>
    <row r="15" spans="1:66" s="7" customFormat="1" ht="27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2"/>
        <v>52</v>
      </c>
      <c r="L15" s="14">
        <f t="shared" si="2"/>
        <v>52</v>
      </c>
      <c r="M15" s="14"/>
      <c r="N15" s="14"/>
      <c r="O15" s="16" t="s">
        <v>78</v>
      </c>
      <c r="P15" s="58" t="s">
        <v>24</v>
      </c>
      <c r="Q15" s="16"/>
      <c r="R15" s="70"/>
      <c r="S15" s="69"/>
    </row>
    <row r="16" spans="1:66" s="7" customFormat="1" ht="27" customHeight="1" x14ac:dyDescent="0.25">
      <c r="A16" s="78">
        <v>4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46121</v>
      </c>
      <c r="G16" s="20">
        <v>46121</v>
      </c>
      <c r="H16" s="37"/>
      <c r="I16" s="37"/>
      <c r="J16" s="68"/>
      <c r="K16" s="14">
        <f t="shared" si="2"/>
        <v>11</v>
      </c>
      <c r="L16" s="14">
        <f t="shared" si="2"/>
        <v>11</v>
      </c>
      <c r="M16" s="14"/>
      <c r="N16" s="14"/>
      <c r="O16" s="16" t="s">
        <v>71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66C1-1C5E-4059-8E85-FE171B239150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46133</v>
      </c>
      <c r="G1" s="20">
        <v>46133</v>
      </c>
      <c r="H1" s="20">
        <v>46133</v>
      </c>
      <c r="I1" s="20">
        <v>46133</v>
      </c>
      <c r="J1" s="20">
        <v>46133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6" t="s">
        <v>7</v>
      </c>
      <c r="L3" s="106" t="s">
        <v>19</v>
      </c>
      <c r="M3" s="106" t="s">
        <v>20</v>
      </c>
      <c r="N3" s="10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/>
      <c r="B5" s="58"/>
      <c r="C5" s="79"/>
      <c r="D5" s="80"/>
      <c r="E5" s="49"/>
      <c r="F5" s="20"/>
      <c r="G5" s="20"/>
      <c r="H5" s="37"/>
      <c r="I5" s="37"/>
      <c r="J5" s="68"/>
      <c r="K5" s="14">
        <f t="shared" ref="K5:L5" si="0">$F$1-F5</f>
        <v>46133</v>
      </c>
      <c r="L5" s="14">
        <f t="shared" si="0"/>
        <v>46133</v>
      </c>
      <c r="M5" s="14"/>
      <c r="N5" s="14"/>
      <c r="O5" s="16"/>
      <c r="P5" s="58"/>
      <c r="Q5" s="58" t="s">
        <v>10</v>
      </c>
      <c r="R5" s="90" t="s">
        <v>31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0"/>
      <c r="R6" s="91" t="s">
        <v>30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 t="s">
        <v>26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6" si="1">$F$1-F13</f>
        <v>49</v>
      </c>
      <c r="L13" s="14">
        <f t="shared" si="1"/>
        <v>49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1"/>
        <v>6</v>
      </c>
      <c r="L14" s="14">
        <f t="shared" si="1"/>
        <v>6</v>
      </c>
      <c r="M14" s="14"/>
      <c r="N14" s="14"/>
      <c r="O14" s="16" t="s">
        <v>75</v>
      </c>
      <c r="P14" s="58" t="s">
        <v>10</v>
      </c>
      <c r="Q14" s="16"/>
      <c r="R14" s="70"/>
      <c r="S14" s="69"/>
    </row>
    <row r="15" spans="1:66" s="7" customFormat="1" ht="27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1"/>
        <v>53</v>
      </c>
      <c r="L15" s="14">
        <f t="shared" si="1"/>
        <v>53</v>
      </c>
      <c r="M15" s="14"/>
      <c r="N15" s="14"/>
      <c r="O15" s="16" t="s">
        <v>78</v>
      </c>
      <c r="P15" s="58" t="s">
        <v>24</v>
      </c>
      <c r="Q15" s="16"/>
      <c r="R15" s="70"/>
      <c r="S15" s="69"/>
    </row>
    <row r="16" spans="1:66" s="7" customFormat="1" ht="27" customHeight="1" x14ac:dyDescent="0.25">
      <c r="A16" s="78">
        <v>4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46121</v>
      </c>
      <c r="G16" s="20">
        <v>46121</v>
      </c>
      <c r="H16" s="37"/>
      <c r="I16" s="37"/>
      <c r="J16" s="68"/>
      <c r="K16" s="14">
        <f t="shared" si="1"/>
        <v>12</v>
      </c>
      <c r="L16" s="14">
        <f t="shared" si="1"/>
        <v>12</v>
      </c>
      <c r="M16" s="14"/>
      <c r="N16" s="14"/>
      <c r="O16" s="16" t="s">
        <v>71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E8FE-3EB8-4492-BF0E-A31587878128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46134</v>
      </c>
      <c r="G1" s="20">
        <v>46134</v>
      </c>
      <c r="H1" s="20">
        <v>46134</v>
      </c>
      <c r="I1" s="20">
        <v>46134</v>
      </c>
      <c r="J1" s="20">
        <v>46134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7" t="s">
        <v>7</v>
      </c>
      <c r="L3" s="107" t="s">
        <v>19</v>
      </c>
      <c r="M3" s="107" t="s">
        <v>20</v>
      </c>
      <c r="N3" s="10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/>
      <c r="B5" s="58"/>
      <c r="C5" s="79"/>
      <c r="D5" s="80"/>
      <c r="E5" s="49"/>
      <c r="F5" s="20"/>
      <c r="G5" s="20"/>
      <c r="H5" s="37"/>
      <c r="I5" s="37"/>
      <c r="J5" s="68"/>
      <c r="K5" s="14">
        <f t="shared" ref="K5:L5" si="0">$F$1-F5</f>
        <v>46134</v>
      </c>
      <c r="L5" s="14">
        <f t="shared" si="0"/>
        <v>46134</v>
      </c>
      <c r="M5" s="14"/>
      <c r="N5" s="14"/>
      <c r="O5" s="16"/>
      <c r="P5" s="58"/>
      <c r="Q5" s="58"/>
      <c r="R5" s="90" t="s">
        <v>31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0"/>
      <c r="R6" s="91" t="s">
        <v>30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 t="s">
        <v>26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6" si="1">$F$1-F13</f>
        <v>50</v>
      </c>
      <c r="L13" s="14">
        <f t="shared" si="1"/>
        <v>50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1"/>
        <v>7</v>
      </c>
      <c r="L14" s="14">
        <f t="shared" si="1"/>
        <v>7</v>
      </c>
      <c r="M14" s="14"/>
      <c r="N14" s="14"/>
      <c r="O14" s="16" t="s">
        <v>81</v>
      </c>
      <c r="P14" s="58" t="s">
        <v>10</v>
      </c>
      <c r="Q14" s="16"/>
      <c r="R14" s="70"/>
      <c r="S14" s="69"/>
    </row>
    <row r="15" spans="1:66" s="7" customFormat="1" ht="45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1"/>
        <v>54</v>
      </c>
      <c r="L15" s="14">
        <f t="shared" si="1"/>
        <v>54</v>
      </c>
      <c r="M15" s="14"/>
      <c r="N15" s="14"/>
      <c r="O15" s="16" t="s">
        <v>79</v>
      </c>
      <c r="P15" s="58" t="s">
        <v>24</v>
      </c>
      <c r="Q15" s="16"/>
      <c r="R15" s="70"/>
      <c r="S15" s="69"/>
    </row>
    <row r="16" spans="1:66" s="7" customFormat="1" ht="27" customHeight="1" x14ac:dyDescent="0.25">
      <c r="A16" s="78">
        <v>4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46121</v>
      </c>
      <c r="G16" s="20">
        <v>46121</v>
      </c>
      <c r="H16" s="37"/>
      <c r="I16" s="37"/>
      <c r="J16" s="68"/>
      <c r="K16" s="14">
        <f t="shared" si="1"/>
        <v>13</v>
      </c>
      <c r="L16" s="14">
        <f t="shared" si="1"/>
        <v>13</v>
      </c>
      <c r="M16" s="14"/>
      <c r="N16" s="14"/>
      <c r="O16" s="16" t="s">
        <v>80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8E8B-B745-4DDD-AA0D-04287B7DD842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46135</v>
      </c>
      <c r="G1" s="20">
        <v>46135</v>
      </c>
      <c r="H1" s="20">
        <v>46135</v>
      </c>
      <c r="I1" s="20">
        <v>46135</v>
      </c>
      <c r="J1" s="20">
        <v>46135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8" t="s">
        <v>7</v>
      </c>
      <c r="L3" s="108" t="s">
        <v>19</v>
      </c>
      <c r="M3" s="108" t="s">
        <v>20</v>
      </c>
      <c r="N3" s="10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 t="s">
        <v>27</v>
      </c>
      <c r="C5" s="88" t="s">
        <v>32</v>
      </c>
      <c r="D5" s="89" t="s">
        <v>28</v>
      </c>
      <c r="E5" s="51">
        <v>2018</v>
      </c>
      <c r="F5" s="55">
        <v>46135</v>
      </c>
      <c r="G5" s="55">
        <v>46135</v>
      </c>
      <c r="H5" s="47"/>
      <c r="I5" s="47"/>
      <c r="J5" s="66"/>
      <c r="K5" s="21">
        <f t="shared" ref="K5:L5" si="0">$F$1-F5</f>
        <v>0</v>
      </c>
      <c r="L5" s="21">
        <f t="shared" si="0"/>
        <v>0</v>
      </c>
      <c r="M5" s="21"/>
      <c r="N5" s="21"/>
      <c r="O5" s="61" t="s">
        <v>82</v>
      </c>
      <c r="P5" s="58" t="s">
        <v>10</v>
      </c>
      <c r="Q5" s="58"/>
      <c r="R5" s="90" t="s">
        <v>31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0"/>
      <c r="R6" s="91" t="s">
        <v>30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 t="s">
        <v>26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6" si="1">$F$1-F13</f>
        <v>51</v>
      </c>
      <c r="L13" s="14">
        <f t="shared" si="1"/>
        <v>51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1"/>
        <v>8</v>
      </c>
      <c r="L14" s="14">
        <f t="shared" si="1"/>
        <v>8</v>
      </c>
      <c r="M14" s="14"/>
      <c r="N14" s="14"/>
      <c r="O14" s="16" t="s">
        <v>81</v>
      </c>
      <c r="P14" s="58"/>
      <c r="Q14" s="16"/>
      <c r="R14" s="70"/>
      <c r="S14" s="69"/>
    </row>
    <row r="15" spans="1:66" s="7" customFormat="1" ht="45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1"/>
        <v>55</v>
      </c>
      <c r="L15" s="14">
        <f t="shared" si="1"/>
        <v>55</v>
      </c>
      <c r="M15" s="14"/>
      <c r="N15" s="14"/>
      <c r="O15" s="16" t="s">
        <v>79</v>
      </c>
      <c r="P15" s="58" t="s">
        <v>24</v>
      </c>
      <c r="Q15" s="16"/>
      <c r="R15" s="70"/>
      <c r="S15" s="69"/>
    </row>
    <row r="16" spans="1:66" s="7" customFormat="1" ht="27" customHeight="1" x14ac:dyDescent="0.25">
      <c r="A16" s="78">
        <v>4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46121</v>
      </c>
      <c r="G16" s="20">
        <v>46121</v>
      </c>
      <c r="H16" s="37"/>
      <c r="I16" s="37"/>
      <c r="J16" s="68"/>
      <c r="K16" s="14">
        <f t="shared" si="1"/>
        <v>14</v>
      </c>
      <c r="L16" s="14">
        <f t="shared" si="1"/>
        <v>14</v>
      </c>
      <c r="M16" s="14"/>
      <c r="N16" s="14"/>
      <c r="O16" s="16" t="s">
        <v>80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CA80-7F10-4E14-A13D-344C59B406A3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46136</v>
      </c>
      <c r="G1" s="20">
        <v>46136</v>
      </c>
      <c r="H1" s="20">
        <v>46136</v>
      </c>
      <c r="I1" s="20">
        <v>46136</v>
      </c>
      <c r="J1" s="20">
        <v>46136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09" t="s">
        <v>7</v>
      </c>
      <c r="L3" s="109" t="s">
        <v>19</v>
      </c>
      <c r="M3" s="109" t="s">
        <v>20</v>
      </c>
      <c r="N3" s="10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/>
      <c r="C5" s="88"/>
      <c r="D5" s="89"/>
      <c r="E5" s="51"/>
      <c r="F5" s="55"/>
      <c r="G5" s="55"/>
      <c r="H5" s="47"/>
      <c r="I5" s="47"/>
      <c r="J5" s="66"/>
      <c r="K5" s="21">
        <f t="shared" ref="K5:L5" si="0">$F$1-F5</f>
        <v>46136</v>
      </c>
      <c r="L5" s="21">
        <f t="shared" si="0"/>
        <v>46136</v>
      </c>
      <c r="M5" s="21"/>
      <c r="N5" s="21"/>
      <c r="O5" s="61"/>
      <c r="P5" s="58"/>
      <c r="Q5" s="58"/>
      <c r="R5" s="90" t="s">
        <v>31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0"/>
      <c r="R6" s="91" t="s">
        <v>30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 t="s">
        <v>26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6" si="1">$F$1-F13</f>
        <v>52</v>
      </c>
      <c r="L13" s="14">
        <f t="shared" si="1"/>
        <v>52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1"/>
        <v>9</v>
      </c>
      <c r="L14" s="14">
        <f t="shared" si="1"/>
        <v>9</v>
      </c>
      <c r="M14" s="14"/>
      <c r="N14" s="14"/>
      <c r="O14" s="16" t="s">
        <v>81</v>
      </c>
      <c r="P14" s="58" t="s">
        <v>10</v>
      </c>
      <c r="Q14" s="16"/>
      <c r="R14" s="70"/>
      <c r="S14" s="69"/>
    </row>
    <row r="15" spans="1:66" s="7" customFormat="1" ht="45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1"/>
        <v>56</v>
      </c>
      <c r="L15" s="14">
        <f t="shared" si="1"/>
        <v>56</v>
      </c>
      <c r="M15" s="14"/>
      <c r="N15" s="14"/>
      <c r="O15" s="16" t="s">
        <v>79</v>
      </c>
      <c r="P15" s="58" t="s">
        <v>24</v>
      </c>
      <c r="Q15" s="16"/>
      <c r="R15" s="70"/>
      <c r="S15" s="69"/>
    </row>
    <row r="16" spans="1:66" s="7" customFormat="1" ht="27" customHeight="1" x14ac:dyDescent="0.25">
      <c r="A16" s="78">
        <v>4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46121</v>
      </c>
      <c r="G16" s="20">
        <v>46121</v>
      </c>
      <c r="H16" s="37"/>
      <c r="I16" s="37"/>
      <c r="J16" s="68"/>
      <c r="K16" s="14">
        <f t="shared" si="1"/>
        <v>15</v>
      </c>
      <c r="L16" s="14">
        <f t="shared" si="1"/>
        <v>15</v>
      </c>
      <c r="M16" s="14"/>
      <c r="N16" s="14"/>
      <c r="O16" s="16" t="s">
        <v>80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017E-9423-4CC0-957F-30F64857EEA5}"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46137</v>
      </c>
      <c r="G1" s="20">
        <v>46137</v>
      </c>
      <c r="H1" s="20">
        <v>46137</v>
      </c>
      <c r="I1" s="20">
        <v>46137</v>
      </c>
      <c r="J1" s="20">
        <v>46137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0" t="s">
        <v>7</v>
      </c>
      <c r="L3" s="110" t="s">
        <v>19</v>
      </c>
      <c r="M3" s="110" t="s">
        <v>20</v>
      </c>
      <c r="N3" s="11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/>
      <c r="C5" s="88"/>
      <c r="D5" s="89"/>
      <c r="E5" s="51"/>
      <c r="F5" s="55"/>
      <c r="G5" s="55"/>
      <c r="H5" s="47"/>
      <c r="I5" s="47"/>
      <c r="J5" s="66"/>
      <c r="K5" s="21">
        <f t="shared" ref="K5:L5" si="0">$F$1-F5</f>
        <v>46137</v>
      </c>
      <c r="L5" s="21">
        <f t="shared" si="0"/>
        <v>46137</v>
      </c>
      <c r="M5" s="21"/>
      <c r="N5" s="21"/>
      <c r="O5" s="61"/>
      <c r="P5" s="58"/>
      <c r="Q5" s="58"/>
      <c r="R5" s="91" t="s">
        <v>30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0"/>
      <c r="R6" s="90" t="s">
        <v>26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/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7" si="1">$F$1-F13</f>
        <v>53</v>
      </c>
      <c r="L13" s="14">
        <f t="shared" si="1"/>
        <v>53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1"/>
        <v>10</v>
      </c>
      <c r="L14" s="14">
        <f t="shared" si="1"/>
        <v>10</v>
      </c>
      <c r="M14" s="14"/>
      <c r="N14" s="14"/>
      <c r="O14" s="16" t="s">
        <v>81</v>
      </c>
      <c r="P14" s="58" t="s">
        <v>10</v>
      </c>
      <c r="Q14" s="16"/>
      <c r="R14" s="70"/>
      <c r="S14" s="69"/>
    </row>
    <row r="15" spans="1:66" s="7" customFormat="1" ht="45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1"/>
        <v>57</v>
      </c>
      <c r="L15" s="14">
        <f t="shared" si="1"/>
        <v>57</v>
      </c>
      <c r="M15" s="14"/>
      <c r="N15" s="14"/>
      <c r="O15" s="16" t="s">
        <v>79</v>
      </c>
      <c r="P15" s="58" t="s">
        <v>24</v>
      </c>
      <c r="Q15" s="16"/>
      <c r="R15" s="70"/>
      <c r="S15" s="69"/>
    </row>
    <row r="16" spans="1:66" s="7" customFormat="1" ht="27" customHeight="1" x14ac:dyDescent="0.25">
      <c r="A16" s="78">
        <v>4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46121</v>
      </c>
      <c r="G16" s="20">
        <v>46121</v>
      </c>
      <c r="H16" s="37"/>
      <c r="I16" s="37"/>
      <c r="J16" s="68"/>
      <c r="K16" s="14">
        <f t="shared" si="1"/>
        <v>16</v>
      </c>
      <c r="L16" s="14">
        <f t="shared" si="1"/>
        <v>16</v>
      </c>
      <c r="M16" s="14"/>
      <c r="N16" s="14"/>
      <c r="O16" s="16" t="s">
        <v>80</v>
      </c>
      <c r="P16" s="58"/>
      <c r="Q16" s="16"/>
      <c r="R16" s="70"/>
      <c r="S16" s="69"/>
    </row>
    <row r="17" spans="1:66" s="7" customFormat="1" ht="27" customHeight="1" x14ac:dyDescent="0.25">
      <c r="A17" s="78">
        <v>5</v>
      </c>
      <c r="B17" s="90" t="s">
        <v>31</v>
      </c>
      <c r="C17" s="6" t="s">
        <v>73</v>
      </c>
      <c r="D17" s="80" t="s">
        <v>83</v>
      </c>
      <c r="E17" s="49">
        <v>2022</v>
      </c>
      <c r="F17" s="20">
        <v>46137</v>
      </c>
      <c r="G17" s="20">
        <v>46137</v>
      </c>
      <c r="H17" s="37"/>
      <c r="I17" s="37"/>
      <c r="J17" s="68"/>
      <c r="K17" s="14">
        <f t="shared" si="1"/>
        <v>0</v>
      </c>
      <c r="L17" s="14">
        <f t="shared" si="1"/>
        <v>0</v>
      </c>
      <c r="M17" s="14"/>
      <c r="N17" s="14"/>
      <c r="O17" s="16" t="s">
        <v>84</v>
      </c>
      <c r="P17" s="58"/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E34F-0134-4E01-BF54-3F69F38B02DA}"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46138</v>
      </c>
      <c r="G1" s="20">
        <v>46138</v>
      </c>
      <c r="H1" s="20">
        <v>46138</v>
      </c>
      <c r="I1" s="20">
        <v>46138</v>
      </c>
      <c r="J1" s="20">
        <v>46138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1" t="s">
        <v>7</v>
      </c>
      <c r="L3" s="111" t="s">
        <v>19</v>
      </c>
      <c r="M3" s="111" t="s">
        <v>20</v>
      </c>
      <c r="N3" s="11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/>
      <c r="C5" s="88"/>
      <c r="D5" s="89"/>
      <c r="E5" s="51"/>
      <c r="F5" s="55"/>
      <c r="G5" s="55"/>
      <c r="H5" s="47"/>
      <c r="I5" s="47"/>
      <c r="J5" s="66"/>
      <c r="K5" s="21">
        <f t="shared" ref="K5:L5" si="0">$F$1-F5</f>
        <v>46138</v>
      </c>
      <c r="L5" s="21">
        <f t="shared" si="0"/>
        <v>46138</v>
      </c>
      <c r="M5" s="21"/>
      <c r="N5" s="21"/>
      <c r="O5" s="61"/>
      <c r="P5" s="58"/>
      <c r="Q5" s="58"/>
      <c r="R5" s="91" t="s">
        <v>30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0"/>
      <c r="R6" s="90" t="s">
        <v>26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0" t="s">
        <v>46</v>
      </c>
      <c r="S7" s="69"/>
    </row>
    <row r="8" spans="1:66" s="7" customFormat="1" ht="21.6" customHeight="1" x14ac:dyDescent="0.25">
      <c r="A8" s="56"/>
      <c r="B8" s="58"/>
      <c r="C8" s="16"/>
      <c r="D8" s="1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1"/>
      <c r="S8" s="69"/>
    </row>
    <row r="9" spans="1:66" s="7" customFormat="1" ht="21.6" customHeight="1" x14ac:dyDescent="0.25">
      <c r="A9" s="56"/>
      <c r="B9" s="58"/>
      <c r="C9" s="16"/>
      <c r="D9" s="1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92"/>
      <c r="R9" s="9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7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7" si="1">$F$1-F13</f>
        <v>54</v>
      </c>
      <c r="L13" s="14">
        <f t="shared" si="1"/>
        <v>54</v>
      </c>
      <c r="M13" s="14"/>
      <c r="N13" s="14"/>
      <c r="O13" s="16" t="s">
        <v>70</v>
      </c>
      <c r="P13" s="58" t="s">
        <v>33</v>
      </c>
      <c r="Q13" s="16"/>
      <c r="R13" s="70"/>
      <c r="S13" s="69"/>
    </row>
    <row r="14" spans="1:66" s="7" customFormat="1" ht="27" customHeight="1" x14ac:dyDescent="0.25">
      <c r="A14" s="78">
        <v>2</v>
      </c>
      <c r="B14" s="58" t="s">
        <v>72</v>
      </c>
      <c r="C14" s="6" t="s">
        <v>73</v>
      </c>
      <c r="D14" s="36" t="s">
        <v>74</v>
      </c>
      <c r="E14" s="49">
        <v>2023</v>
      </c>
      <c r="F14" s="20">
        <v>46127</v>
      </c>
      <c r="G14" s="20">
        <v>46127</v>
      </c>
      <c r="H14" s="37"/>
      <c r="I14" s="37"/>
      <c r="J14" s="68"/>
      <c r="K14" s="14">
        <f t="shared" si="1"/>
        <v>11</v>
      </c>
      <c r="L14" s="14">
        <f t="shared" si="1"/>
        <v>11</v>
      </c>
      <c r="M14" s="14"/>
      <c r="N14" s="14"/>
      <c r="O14" s="16" t="s">
        <v>81</v>
      </c>
      <c r="P14" s="58" t="s">
        <v>10</v>
      </c>
      <c r="Q14" s="16"/>
      <c r="R14" s="70"/>
      <c r="S14" s="69"/>
    </row>
    <row r="15" spans="1:66" s="7" customFormat="1" ht="45" customHeight="1" x14ac:dyDescent="0.25">
      <c r="A15" s="78">
        <v>3</v>
      </c>
      <c r="B15" s="58" t="s">
        <v>51</v>
      </c>
      <c r="C15" s="79" t="s">
        <v>32</v>
      </c>
      <c r="D15" s="80" t="s">
        <v>28</v>
      </c>
      <c r="E15" s="49">
        <v>2010</v>
      </c>
      <c r="F15" s="20">
        <v>46080</v>
      </c>
      <c r="G15" s="20">
        <v>46080</v>
      </c>
      <c r="H15" s="37"/>
      <c r="I15" s="37"/>
      <c r="J15" s="68"/>
      <c r="K15" s="14">
        <f t="shared" si="1"/>
        <v>58</v>
      </c>
      <c r="L15" s="14">
        <f t="shared" si="1"/>
        <v>58</v>
      </c>
      <c r="M15" s="14"/>
      <c r="N15" s="14"/>
      <c r="O15" s="16" t="s">
        <v>79</v>
      </c>
      <c r="P15" s="58" t="s">
        <v>24</v>
      </c>
      <c r="Q15" s="16"/>
      <c r="R15" s="70"/>
      <c r="S15" s="69"/>
    </row>
    <row r="16" spans="1:66" s="7" customFormat="1" ht="27" customHeight="1" x14ac:dyDescent="0.25">
      <c r="A16" s="78">
        <v>4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46121</v>
      </c>
      <c r="G16" s="20">
        <v>46121</v>
      </c>
      <c r="H16" s="37"/>
      <c r="I16" s="37"/>
      <c r="J16" s="68"/>
      <c r="K16" s="14">
        <f t="shared" si="1"/>
        <v>17</v>
      </c>
      <c r="L16" s="14">
        <f t="shared" si="1"/>
        <v>17</v>
      </c>
      <c r="M16" s="14"/>
      <c r="N16" s="14"/>
      <c r="O16" s="16" t="s">
        <v>80</v>
      </c>
      <c r="P16" s="58"/>
      <c r="Q16" s="16"/>
      <c r="R16" s="70"/>
      <c r="S16" s="69"/>
    </row>
    <row r="17" spans="1:66" s="7" customFormat="1" ht="27" customHeight="1" x14ac:dyDescent="0.25">
      <c r="A17" s="78">
        <v>5</v>
      </c>
      <c r="B17" s="90" t="s">
        <v>31</v>
      </c>
      <c r="C17" s="6" t="s">
        <v>73</v>
      </c>
      <c r="D17" s="80" t="s">
        <v>83</v>
      </c>
      <c r="E17" s="49">
        <v>2022</v>
      </c>
      <c r="F17" s="20">
        <v>46137</v>
      </c>
      <c r="G17" s="20">
        <v>46137</v>
      </c>
      <c r="H17" s="37"/>
      <c r="I17" s="37"/>
      <c r="J17" s="68"/>
      <c r="K17" s="14">
        <f t="shared" si="1"/>
        <v>1</v>
      </c>
      <c r="L17" s="14">
        <f t="shared" si="1"/>
        <v>1</v>
      </c>
      <c r="M17" s="14"/>
      <c r="N17" s="14"/>
      <c r="O17" s="16" t="s">
        <v>84</v>
      </c>
      <c r="P17" s="58"/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1D14-B709-4D56-B33C-4B2FF751D571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46139</v>
      </c>
      <c r="G1" s="20">
        <v>46139</v>
      </c>
      <c r="H1" s="20">
        <v>46139</v>
      </c>
      <c r="I1" s="20">
        <v>46139</v>
      </c>
      <c r="J1" s="20">
        <v>46139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2" t="s">
        <v>7</v>
      </c>
      <c r="L3" s="112" t="s">
        <v>19</v>
      </c>
      <c r="M3" s="112" t="s">
        <v>20</v>
      </c>
      <c r="N3" s="11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/>
      <c r="C5" s="88"/>
      <c r="D5" s="89"/>
      <c r="E5" s="51"/>
      <c r="F5" s="55"/>
      <c r="G5" s="55"/>
      <c r="H5" s="47"/>
      <c r="I5" s="47"/>
      <c r="J5" s="66"/>
      <c r="K5" s="21"/>
      <c r="L5" s="21"/>
      <c r="M5" s="21"/>
      <c r="N5" s="21"/>
      <c r="O5" s="61"/>
      <c r="P5" s="58"/>
      <c r="Q5" s="93" t="s">
        <v>26</v>
      </c>
      <c r="R5" s="91" t="s">
        <v>30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2" t="s">
        <v>44</v>
      </c>
      <c r="R6" s="90" t="s">
        <v>46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3" t="s">
        <v>45</v>
      </c>
      <c r="S7" s="69"/>
    </row>
    <row r="8" spans="1:66" s="7" customFormat="1" ht="21.6" customHeight="1" x14ac:dyDescent="0.25">
      <c r="A8" s="56"/>
      <c r="B8" s="58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3" t="s">
        <v>85</v>
      </c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27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6" si="0">$F$1-F12</f>
        <v>55</v>
      </c>
      <c r="L12" s="14">
        <f t="shared" si="0"/>
        <v>55</v>
      </c>
      <c r="M12" s="14"/>
      <c r="N12" s="14"/>
      <c r="O12" s="16" t="s">
        <v>70</v>
      </c>
      <c r="P12" s="58" t="s">
        <v>33</v>
      </c>
      <c r="Q12" s="16"/>
      <c r="R12" s="70"/>
      <c r="S12" s="69"/>
    </row>
    <row r="13" spans="1:66" s="7" customFormat="1" ht="27" customHeight="1" x14ac:dyDescent="0.25">
      <c r="A13" s="78">
        <v>2</v>
      </c>
      <c r="B13" s="58" t="s">
        <v>72</v>
      </c>
      <c r="C13" s="6" t="s">
        <v>73</v>
      </c>
      <c r="D13" s="36" t="s">
        <v>74</v>
      </c>
      <c r="E13" s="49">
        <v>2023</v>
      </c>
      <c r="F13" s="20">
        <v>46127</v>
      </c>
      <c r="G13" s="20">
        <v>46127</v>
      </c>
      <c r="H13" s="37"/>
      <c r="I13" s="37"/>
      <c r="J13" s="68"/>
      <c r="K13" s="14">
        <f t="shared" si="0"/>
        <v>12</v>
      </c>
      <c r="L13" s="14">
        <f t="shared" si="0"/>
        <v>12</v>
      </c>
      <c r="M13" s="14"/>
      <c r="N13" s="14"/>
      <c r="O13" s="16" t="s">
        <v>81</v>
      </c>
      <c r="P13" s="58" t="s">
        <v>10</v>
      </c>
      <c r="Q13" s="16"/>
      <c r="R13" s="70"/>
      <c r="S13" s="69"/>
    </row>
    <row r="14" spans="1:66" s="7" customFormat="1" ht="45" customHeight="1" x14ac:dyDescent="0.25">
      <c r="A14" s="78">
        <v>3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0"/>
        <v>59</v>
      </c>
      <c r="L14" s="14">
        <f t="shared" si="0"/>
        <v>59</v>
      </c>
      <c r="M14" s="14"/>
      <c r="N14" s="14"/>
      <c r="O14" s="16" t="s">
        <v>79</v>
      </c>
      <c r="P14" s="58" t="s">
        <v>24</v>
      </c>
      <c r="Q14" s="16"/>
      <c r="R14" s="70"/>
      <c r="S14" s="69"/>
    </row>
    <row r="15" spans="1:66" s="7" customFormat="1" ht="27" customHeight="1" x14ac:dyDescent="0.25">
      <c r="A15" s="78">
        <v>4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46121</v>
      </c>
      <c r="G15" s="20">
        <v>46121</v>
      </c>
      <c r="H15" s="37"/>
      <c r="I15" s="37"/>
      <c r="J15" s="68"/>
      <c r="K15" s="14">
        <f t="shared" si="0"/>
        <v>18</v>
      </c>
      <c r="L15" s="14">
        <f t="shared" si="0"/>
        <v>18</v>
      </c>
      <c r="M15" s="14"/>
      <c r="N15" s="14"/>
      <c r="O15" s="16" t="s">
        <v>80</v>
      </c>
      <c r="P15" s="58"/>
      <c r="Q15" s="16"/>
      <c r="R15" s="70"/>
      <c r="S15" s="69"/>
    </row>
    <row r="16" spans="1:66" s="7" customFormat="1" ht="27" customHeight="1" x14ac:dyDescent="0.25">
      <c r="A16" s="78">
        <v>5</v>
      </c>
      <c r="B16" s="90" t="s">
        <v>31</v>
      </c>
      <c r="C16" s="6" t="s">
        <v>73</v>
      </c>
      <c r="D16" s="80" t="s">
        <v>83</v>
      </c>
      <c r="E16" s="49">
        <v>2022</v>
      </c>
      <c r="F16" s="20">
        <v>46137</v>
      </c>
      <c r="G16" s="20">
        <v>46137</v>
      </c>
      <c r="H16" s="37"/>
      <c r="I16" s="37"/>
      <c r="J16" s="68"/>
      <c r="K16" s="14">
        <f t="shared" si="0"/>
        <v>2</v>
      </c>
      <c r="L16" s="14">
        <f t="shared" si="0"/>
        <v>2</v>
      </c>
      <c r="M16" s="14"/>
      <c r="N16" s="14"/>
      <c r="O16" s="16" t="s">
        <v>84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3690-A433-4700-AEC3-5471BDB52A8A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46140</v>
      </c>
      <c r="G1" s="20">
        <v>46140</v>
      </c>
      <c r="H1" s="20">
        <v>46140</v>
      </c>
      <c r="I1" s="20">
        <v>46140</v>
      </c>
      <c r="J1" s="20">
        <v>46140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3" t="s">
        <v>7</v>
      </c>
      <c r="L3" s="113" t="s">
        <v>19</v>
      </c>
      <c r="M3" s="113" t="s">
        <v>20</v>
      </c>
      <c r="N3" s="11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/>
      <c r="C5" s="88"/>
      <c r="D5" s="89"/>
      <c r="E5" s="51"/>
      <c r="F5" s="55"/>
      <c r="G5" s="55"/>
      <c r="H5" s="47"/>
      <c r="I5" s="47"/>
      <c r="J5" s="66"/>
      <c r="K5" s="21"/>
      <c r="L5" s="21"/>
      <c r="M5" s="21"/>
      <c r="N5" s="21"/>
      <c r="O5" s="61"/>
      <c r="P5" s="58"/>
      <c r="Q5" s="93" t="s">
        <v>26</v>
      </c>
      <c r="R5" s="91" t="s">
        <v>30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2" t="s">
        <v>44</v>
      </c>
      <c r="R6" s="90" t="s">
        <v>46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3" t="s">
        <v>45</v>
      </c>
      <c r="S7" s="69"/>
    </row>
    <row r="8" spans="1:66" s="7" customFormat="1" ht="21.6" customHeight="1" x14ac:dyDescent="0.25">
      <c r="A8" s="56"/>
      <c r="B8" s="58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3" t="s">
        <v>85</v>
      </c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27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6" si="0">$F$1-F12</f>
        <v>56</v>
      </c>
      <c r="L12" s="14">
        <f t="shared" si="0"/>
        <v>56</v>
      </c>
      <c r="M12" s="14"/>
      <c r="N12" s="14"/>
      <c r="O12" s="16" t="s">
        <v>70</v>
      </c>
      <c r="P12" s="58" t="s">
        <v>33</v>
      </c>
      <c r="Q12" s="16"/>
      <c r="R12" s="70"/>
      <c r="S12" s="69"/>
    </row>
    <row r="13" spans="1:66" s="7" customFormat="1" ht="27" customHeight="1" x14ac:dyDescent="0.25">
      <c r="A13" s="78">
        <v>2</v>
      </c>
      <c r="B13" s="58" t="s">
        <v>72</v>
      </c>
      <c r="C13" s="6" t="s">
        <v>73</v>
      </c>
      <c r="D13" s="36" t="s">
        <v>74</v>
      </c>
      <c r="E13" s="49">
        <v>2023</v>
      </c>
      <c r="F13" s="20">
        <v>46127</v>
      </c>
      <c r="G13" s="20">
        <v>46127</v>
      </c>
      <c r="H13" s="37"/>
      <c r="I13" s="37"/>
      <c r="J13" s="68"/>
      <c r="K13" s="14">
        <f t="shared" si="0"/>
        <v>13</v>
      </c>
      <c r="L13" s="14">
        <f t="shared" si="0"/>
        <v>13</v>
      </c>
      <c r="M13" s="14"/>
      <c r="N13" s="14"/>
      <c r="O13" s="16" t="s">
        <v>81</v>
      </c>
      <c r="P13" s="58" t="s">
        <v>10</v>
      </c>
      <c r="Q13" s="16"/>
      <c r="R13" s="70"/>
      <c r="S13" s="69"/>
    </row>
    <row r="14" spans="1:66" s="7" customFormat="1" ht="45" customHeight="1" x14ac:dyDescent="0.25">
      <c r="A14" s="78">
        <v>3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0"/>
        <v>60</v>
      </c>
      <c r="L14" s="14">
        <f t="shared" si="0"/>
        <v>60</v>
      </c>
      <c r="M14" s="14"/>
      <c r="N14" s="14"/>
      <c r="O14" s="16" t="s">
        <v>79</v>
      </c>
      <c r="P14" s="58" t="s">
        <v>24</v>
      </c>
      <c r="Q14" s="16"/>
      <c r="R14" s="70"/>
      <c r="S14" s="69"/>
    </row>
    <row r="15" spans="1:66" s="7" customFormat="1" ht="27" customHeight="1" x14ac:dyDescent="0.25">
      <c r="A15" s="78">
        <v>4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46121</v>
      </c>
      <c r="G15" s="20">
        <v>46121</v>
      </c>
      <c r="H15" s="37"/>
      <c r="I15" s="37"/>
      <c r="J15" s="68"/>
      <c r="K15" s="14">
        <f t="shared" si="0"/>
        <v>19</v>
      </c>
      <c r="L15" s="14">
        <f t="shared" si="0"/>
        <v>19</v>
      </c>
      <c r="M15" s="14"/>
      <c r="N15" s="14"/>
      <c r="O15" s="16" t="s">
        <v>80</v>
      </c>
      <c r="P15" s="58"/>
      <c r="Q15" s="16"/>
      <c r="R15" s="70"/>
      <c r="S15" s="69"/>
    </row>
    <row r="16" spans="1:66" s="7" customFormat="1" ht="27" customHeight="1" x14ac:dyDescent="0.25">
      <c r="A16" s="78">
        <v>5</v>
      </c>
      <c r="B16" s="90" t="s">
        <v>31</v>
      </c>
      <c r="C16" s="6" t="s">
        <v>73</v>
      </c>
      <c r="D16" s="80" t="s">
        <v>83</v>
      </c>
      <c r="E16" s="49">
        <v>2022</v>
      </c>
      <c r="F16" s="20">
        <v>46137</v>
      </c>
      <c r="G16" s="20">
        <v>46137</v>
      </c>
      <c r="H16" s="37"/>
      <c r="I16" s="37"/>
      <c r="J16" s="68"/>
      <c r="K16" s="14">
        <f t="shared" si="0"/>
        <v>3</v>
      </c>
      <c r="L16" s="14">
        <f t="shared" si="0"/>
        <v>3</v>
      </c>
      <c r="M16" s="14"/>
      <c r="N16" s="14"/>
      <c r="O16" s="16" t="s">
        <v>84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BFE3-919C-45A8-AFA4-0B5A5DBA1A9B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46141</v>
      </c>
      <c r="G1" s="20">
        <v>46141</v>
      </c>
      <c r="H1" s="20">
        <v>46141</v>
      </c>
      <c r="I1" s="20">
        <v>46141</v>
      </c>
      <c r="J1" s="20">
        <v>46141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4" t="s">
        <v>7</v>
      </c>
      <c r="L3" s="114" t="s">
        <v>19</v>
      </c>
      <c r="M3" s="114" t="s">
        <v>20</v>
      </c>
      <c r="N3" s="11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/>
      <c r="C5" s="88"/>
      <c r="D5" s="89"/>
      <c r="E5" s="51"/>
      <c r="F5" s="55"/>
      <c r="G5" s="55"/>
      <c r="H5" s="47"/>
      <c r="I5" s="47"/>
      <c r="J5" s="66"/>
      <c r="K5" s="21"/>
      <c r="L5" s="21"/>
      <c r="M5" s="21"/>
      <c r="N5" s="21"/>
      <c r="O5" s="61"/>
      <c r="P5" s="58"/>
      <c r="Q5" s="93" t="s">
        <v>26</v>
      </c>
      <c r="R5" s="91" t="s">
        <v>30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2" t="s">
        <v>44</v>
      </c>
      <c r="R6" s="90" t="s">
        <v>46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3" t="s">
        <v>45</v>
      </c>
      <c r="S7" s="69"/>
    </row>
    <row r="8" spans="1:66" s="7" customFormat="1" ht="21.6" customHeight="1" x14ac:dyDescent="0.25">
      <c r="A8" s="56"/>
      <c r="B8" s="58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3" t="s">
        <v>85</v>
      </c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27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6" si="0">$F$1-F12</f>
        <v>57</v>
      </c>
      <c r="L12" s="14">
        <f t="shared" si="0"/>
        <v>57</v>
      </c>
      <c r="M12" s="14"/>
      <c r="N12" s="14"/>
      <c r="O12" s="16" t="s">
        <v>70</v>
      </c>
      <c r="P12" s="58" t="s">
        <v>33</v>
      </c>
      <c r="Q12" s="16"/>
      <c r="R12" s="70"/>
      <c r="S12" s="69"/>
    </row>
    <row r="13" spans="1:66" s="7" customFormat="1" ht="27" customHeight="1" x14ac:dyDescent="0.25">
      <c r="A13" s="78">
        <v>2</v>
      </c>
      <c r="B13" s="58" t="s">
        <v>72</v>
      </c>
      <c r="C13" s="6" t="s">
        <v>73</v>
      </c>
      <c r="D13" s="36" t="s">
        <v>74</v>
      </c>
      <c r="E13" s="49">
        <v>2023</v>
      </c>
      <c r="F13" s="20">
        <v>46127</v>
      </c>
      <c r="G13" s="20">
        <v>46127</v>
      </c>
      <c r="H13" s="37"/>
      <c r="I13" s="37"/>
      <c r="J13" s="68"/>
      <c r="K13" s="14">
        <f t="shared" si="0"/>
        <v>14</v>
      </c>
      <c r="L13" s="14">
        <f t="shared" si="0"/>
        <v>14</v>
      </c>
      <c r="M13" s="14"/>
      <c r="N13" s="14"/>
      <c r="O13" s="16" t="s">
        <v>81</v>
      </c>
      <c r="P13" s="58" t="s">
        <v>10</v>
      </c>
      <c r="Q13" s="16"/>
      <c r="R13" s="70"/>
      <c r="S13" s="69"/>
    </row>
    <row r="14" spans="1:66" s="7" customFormat="1" ht="45" customHeight="1" x14ac:dyDescent="0.25">
      <c r="A14" s="78">
        <v>3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0"/>
        <v>61</v>
      </c>
      <c r="L14" s="14">
        <f t="shared" si="0"/>
        <v>61</v>
      </c>
      <c r="M14" s="14"/>
      <c r="N14" s="14"/>
      <c r="O14" s="16" t="s">
        <v>79</v>
      </c>
      <c r="P14" s="58" t="s">
        <v>24</v>
      </c>
      <c r="Q14" s="16"/>
      <c r="R14" s="70"/>
      <c r="S14" s="69"/>
    </row>
    <row r="15" spans="1:66" s="7" customFormat="1" ht="27" customHeight="1" x14ac:dyDescent="0.25">
      <c r="A15" s="78">
        <v>4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46121</v>
      </c>
      <c r="G15" s="20">
        <v>46121</v>
      </c>
      <c r="H15" s="37"/>
      <c r="I15" s="37"/>
      <c r="J15" s="68"/>
      <c r="K15" s="14">
        <f t="shared" si="0"/>
        <v>20</v>
      </c>
      <c r="L15" s="14">
        <f t="shared" si="0"/>
        <v>20</v>
      </c>
      <c r="M15" s="14"/>
      <c r="N15" s="14"/>
      <c r="O15" s="16" t="s">
        <v>80</v>
      </c>
      <c r="P15" s="58"/>
      <c r="Q15" s="16"/>
      <c r="R15" s="70"/>
      <c r="S15" s="69"/>
    </row>
    <row r="16" spans="1:66" s="7" customFormat="1" ht="27" customHeight="1" x14ac:dyDescent="0.25">
      <c r="A16" s="78">
        <v>5</v>
      </c>
      <c r="B16" s="90" t="s">
        <v>31</v>
      </c>
      <c r="C16" s="6" t="s">
        <v>73</v>
      </c>
      <c r="D16" s="80" t="s">
        <v>83</v>
      </c>
      <c r="E16" s="49">
        <v>2022</v>
      </c>
      <c r="F16" s="20">
        <v>46137</v>
      </c>
      <c r="G16" s="20">
        <v>46137</v>
      </c>
      <c r="H16" s="37"/>
      <c r="I16" s="37"/>
      <c r="J16" s="68"/>
      <c r="K16" s="14">
        <f t="shared" si="0"/>
        <v>4</v>
      </c>
      <c r="L16" s="14">
        <f t="shared" si="0"/>
        <v>4</v>
      </c>
      <c r="M16" s="14"/>
      <c r="N16" s="14"/>
      <c r="O16" s="16" t="s">
        <v>84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0662-AD43-4310-B4DC-7B8CA47E0E6B}">
  <dimension ref="A1:BN20"/>
  <sheetViews>
    <sheetView workbookViewId="0">
      <selection activeCell="G1" sqref="G1:J1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46142</v>
      </c>
      <c r="G1" s="20">
        <v>46142</v>
      </c>
      <c r="H1" s="20">
        <v>46142</v>
      </c>
      <c r="I1" s="20">
        <v>46142</v>
      </c>
      <c r="J1" s="20">
        <v>46142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5" t="s">
        <v>7</v>
      </c>
      <c r="L3" s="115" t="s">
        <v>19</v>
      </c>
      <c r="M3" s="115" t="s">
        <v>20</v>
      </c>
      <c r="N3" s="11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/>
      <c r="B5" s="60"/>
      <c r="C5" s="88"/>
      <c r="D5" s="89"/>
      <c r="E5" s="51"/>
      <c r="F5" s="55"/>
      <c r="G5" s="55"/>
      <c r="H5" s="47"/>
      <c r="I5" s="47"/>
      <c r="J5" s="66"/>
      <c r="K5" s="14"/>
      <c r="L5" s="14"/>
      <c r="M5" s="21"/>
      <c r="N5" s="21"/>
      <c r="O5" s="61"/>
      <c r="P5" s="60"/>
      <c r="Q5" s="93"/>
      <c r="R5" s="91" t="s">
        <v>30</v>
      </c>
      <c r="S5" s="63"/>
    </row>
    <row r="6" spans="1:66" s="7" customFormat="1" ht="28.95" customHeight="1" x14ac:dyDescent="0.25">
      <c r="A6" s="56"/>
      <c r="B6" s="58"/>
      <c r="C6" s="79"/>
      <c r="D6" s="80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3"/>
      <c r="R6" s="90" t="s">
        <v>46</v>
      </c>
      <c r="S6" s="69"/>
    </row>
    <row r="7" spans="1:66" s="7" customFormat="1" ht="21.6" customHeight="1" x14ac:dyDescent="0.25">
      <c r="A7" s="56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93" t="s">
        <v>45</v>
      </c>
      <c r="S7" s="69"/>
    </row>
    <row r="8" spans="1:66" s="7" customFormat="1" ht="21.6" customHeight="1" x14ac:dyDescent="0.25">
      <c r="A8" s="56"/>
      <c r="B8" s="58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3" t="s">
        <v>85</v>
      </c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27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6" si="0">$F$1-F12</f>
        <v>58</v>
      </c>
      <c r="L12" s="14">
        <f t="shared" si="0"/>
        <v>58</v>
      </c>
      <c r="M12" s="14"/>
      <c r="N12" s="14"/>
      <c r="O12" s="16" t="s">
        <v>70</v>
      </c>
      <c r="P12" s="58" t="s">
        <v>33</v>
      </c>
      <c r="Q12" s="16"/>
      <c r="R12" s="70"/>
      <c r="S12" s="69"/>
    </row>
    <row r="13" spans="1:66" s="7" customFormat="1" ht="27" customHeight="1" x14ac:dyDescent="0.25">
      <c r="A13" s="78">
        <v>2</v>
      </c>
      <c r="B13" s="58" t="s">
        <v>72</v>
      </c>
      <c r="C13" s="6" t="s">
        <v>73</v>
      </c>
      <c r="D13" s="36" t="s">
        <v>74</v>
      </c>
      <c r="E13" s="49">
        <v>2023</v>
      </c>
      <c r="F13" s="20">
        <v>46127</v>
      </c>
      <c r="G13" s="20">
        <v>46127</v>
      </c>
      <c r="H13" s="37"/>
      <c r="I13" s="37"/>
      <c r="J13" s="68"/>
      <c r="K13" s="14">
        <f t="shared" si="0"/>
        <v>15</v>
      </c>
      <c r="L13" s="14">
        <f t="shared" si="0"/>
        <v>15</v>
      </c>
      <c r="M13" s="14"/>
      <c r="N13" s="14"/>
      <c r="O13" s="16" t="s">
        <v>81</v>
      </c>
      <c r="P13" s="58" t="s">
        <v>10</v>
      </c>
      <c r="Q13" s="16"/>
      <c r="R13" s="70"/>
      <c r="S13" s="69"/>
    </row>
    <row r="14" spans="1:66" s="7" customFormat="1" ht="45" customHeight="1" x14ac:dyDescent="0.25">
      <c r="A14" s="78">
        <v>3</v>
      </c>
      <c r="B14" s="58" t="s">
        <v>51</v>
      </c>
      <c r="C14" s="79" t="s">
        <v>32</v>
      </c>
      <c r="D14" s="80" t="s">
        <v>28</v>
      </c>
      <c r="E14" s="49">
        <v>2010</v>
      </c>
      <c r="F14" s="20">
        <v>46080</v>
      </c>
      <c r="G14" s="20">
        <v>46080</v>
      </c>
      <c r="H14" s="37"/>
      <c r="I14" s="37"/>
      <c r="J14" s="68"/>
      <c r="K14" s="14">
        <f t="shared" si="0"/>
        <v>62</v>
      </c>
      <c r="L14" s="14">
        <f t="shared" si="0"/>
        <v>62</v>
      </c>
      <c r="M14" s="14"/>
      <c r="N14" s="14"/>
      <c r="O14" s="16" t="s">
        <v>79</v>
      </c>
      <c r="P14" s="58" t="s">
        <v>24</v>
      </c>
      <c r="Q14" s="16"/>
      <c r="R14" s="70"/>
      <c r="S14" s="69"/>
    </row>
    <row r="15" spans="1:66" s="7" customFormat="1" ht="27" customHeight="1" x14ac:dyDescent="0.25">
      <c r="A15" s="78">
        <v>4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46121</v>
      </c>
      <c r="G15" s="20">
        <v>46121</v>
      </c>
      <c r="H15" s="37"/>
      <c r="I15" s="37"/>
      <c r="J15" s="68"/>
      <c r="K15" s="14">
        <f t="shared" si="0"/>
        <v>21</v>
      </c>
      <c r="L15" s="14">
        <f t="shared" si="0"/>
        <v>21</v>
      </c>
      <c r="M15" s="14"/>
      <c r="N15" s="14"/>
      <c r="O15" s="16" t="s">
        <v>80</v>
      </c>
      <c r="P15" s="58"/>
      <c r="Q15" s="16"/>
      <c r="R15" s="70"/>
      <c r="S15" s="69"/>
    </row>
    <row r="16" spans="1:66" s="7" customFormat="1" ht="27" customHeight="1" x14ac:dyDescent="0.25">
      <c r="A16" s="78">
        <v>5</v>
      </c>
      <c r="B16" s="90" t="s">
        <v>31</v>
      </c>
      <c r="C16" s="6" t="s">
        <v>73</v>
      </c>
      <c r="D16" s="80" t="s">
        <v>83</v>
      </c>
      <c r="E16" s="49">
        <v>2022</v>
      </c>
      <c r="F16" s="20">
        <v>46137</v>
      </c>
      <c r="G16" s="20">
        <v>46137</v>
      </c>
      <c r="H16" s="37"/>
      <c r="I16" s="37"/>
      <c r="J16" s="68"/>
      <c r="K16" s="14">
        <f t="shared" si="0"/>
        <v>5</v>
      </c>
      <c r="L16" s="14">
        <f t="shared" si="0"/>
        <v>5</v>
      </c>
      <c r="M16" s="14"/>
      <c r="N16" s="14"/>
      <c r="O16" s="16" t="s">
        <v>84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0FEF-E8D7-420E-8F00-965EEEB86248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46143</v>
      </c>
      <c r="G1" s="20">
        <v>46143</v>
      </c>
      <c r="H1" s="20">
        <v>46143</v>
      </c>
      <c r="I1" s="20">
        <v>46143</v>
      </c>
      <c r="J1" s="20">
        <v>46143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6" t="s">
        <v>7</v>
      </c>
      <c r="L3" s="116" t="s">
        <v>19</v>
      </c>
      <c r="M3" s="116" t="s">
        <v>20</v>
      </c>
      <c r="N3" s="11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 t="s">
        <v>86</v>
      </c>
      <c r="C5" s="88" t="s">
        <v>34</v>
      </c>
      <c r="D5" s="89"/>
      <c r="E5" s="51">
        <v>2014</v>
      </c>
      <c r="F5" s="55">
        <v>46143</v>
      </c>
      <c r="G5" s="55">
        <v>46143</v>
      </c>
      <c r="H5" s="47"/>
      <c r="I5" s="47"/>
      <c r="J5" s="66"/>
      <c r="K5" s="14">
        <f t="shared" ref="K5:L7" si="0">$F$1-F5</f>
        <v>0</v>
      </c>
      <c r="L5" s="14">
        <f t="shared" si="0"/>
        <v>0</v>
      </c>
      <c r="M5" s="21"/>
      <c r="N5" s="21"/>
      <c r="O5" s="61" t="s">
        <v>87</v>
      </c>
      <c r="P5" s="60" t="s">
        <v>45</v>
      </c>
      <c r="Q5" s="93" t="s">
        <v>45</v>
      </c>
      <c r="R5" s="91" t="s">
        <v>30</v>
      </c>
      <c r="S5" s="63"/>
    </row>
    <row r="6" spans="1:66" s="7" customFormat="1" ht="39.6" x14ac:dyDescent="0.25">
      <c r="A6" s="78">
        <v>2</v>
      </c>
      <c r="B6" s="58" t="s">
        <v>51</v>
      </c>
      <c r="C6" s="79" t="s">
        <v>32</v>
      </c>
      <c r="D6" s="80" t="s">
        <v>28</v>
      </c>
      <c r="E6" s="49">
        <v>2010</v>
      </c>
      <c r="F6" s="20">
        <v>46080</v>
      </c>
      <c r="G6" s="20">
        <v>46080</v>
      </c>
      <c r="H6" s="37"/>
      <c r="I6" s="37"/>
      <c r="J6" s="68"/>
      <c r="K6" s="14">
        <f t="shared" si="0"/>
        <v>63</v>
      </c>
      <c r="L6" s="14">
        <f t="shared" si="0"/>
        <v>63</v>
      </c>
      <c r="M6" s="14"/>
      <c r="N6" s="14"/>
      <c r="O6" s="16" t="s">
        <v>79</v>
      </c>
      <c r="P6" s="58" t="s">
        <v>24</v>
      </c>
      <c r="Q6" s="93" t="s">
        <v>85</v>
      </c>
      <c r="R6" s="90" t="s">
        <v>46</v>
      </c>
      <c r="S6" s="69"/>
    </row>
    <row r="7" spans="1:66" s="7" customFormat="1" ht="26.4" x14ac:dyDescent="0.25">
      <c r="A7" s="78">
        <v>3</v>
      </c>
      <c r="B7" s="58" t="s">
        <v>9</v>
      </c>
      <c r="C7" s="79" t="s">
        <v>32</v>
      </c>
      <c r="D7" s="80" t="s">
        <v>28</v>
      </c>
      <c r="E7" s="49">
        <v>2010</v>
      </c>
      <c r="F7" s="20">
        <v>46121</v>
      </c>
      <c r="G7" s="20">
        <v>46121</v>
      </c>
      <c r="H7" s="37"/>
      <c r="I7" s="37"/>
      <c r="J7" s="68"/>
      <c r="K7" s="14">
        <f t="shared" si="0"/>
        <v>22</v>
      </c>
      <c r="L7" s="14">
        <f t="shared" si="0"/>
        <v>22</v>
      </c>
      <c r="M7" s="14"/>
      <c r="N7" s="14"/>
      <c r="O7" s="16" t="s">
        <v>80</v>
      </c>
      <c r="P7" s="58"/>
      <c r="Q7" s="92"/>
      <c r="R7" s="93"/>
      <c r="S7" s="69"/>
    </row>
    <row r="8" spans="1:66" s="7" customFormat="1" ht="21.6" customHeight="1" x14ac:dyDescent="0.25">
      <c r="A8" s="56"/>
      <c r="B8" s="58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93"/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27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4" si="1">$F$1-F12</f>
        <v>59</v>
      </c>
      <c r="L12" s="14">
        <f t="shared" si="1"/>
        <v>59</v>
      </c>
      <c r="M12" s="14"/>
      <c r="N12" s="14"/>
      <c r="O12" s="16" t="s">
        <v>70</v>
      </c>
      <c r="P12" s="58" t="s">
        <v>33</v>
      </c>
      <c r="Q12" s="16"/>
      <c r="R12" s="70"/>
      <c r="S12" s="69"/>
    </row>
    <row r="13" spans="1:66" s="7" customFormat="1" ht="27" customHeight="1" x14ac:dyDescent="0.25">
      <c r="A13" s="78">
        <v>2</v>
      </c>
      <c r="B13" s="58" t="s">
        <v>72</v>
      </c>
      <c r="C13" s="6" t="s">
        <v>73</v>
      </c>
      <c r="D13" s="36" t="s">
        <v>74</v>
      </c>
      <c r="E13" s="49">
        <v>2023</v>
      </c>
      <c r="F13" s="20">
        <v>46127</v>
      </c>
      <c r="G13" s="20">
        <v>46127</v>
      </c>
      <c r="H13" s="37"/>
      <c r="I13" s="37"/>
      <c r="J13" s="68"/>
      <c r="K13" s="14">
        <f t="shared" si="1"/>
        <v>16</v>
      </c>
      <c r="L13" s="14">
        <f t="shared" si="1"/>
        <v>16</v>
      </c>
      <c r="M13" s="14"/>
      <c r="N13" s="14"/>
      <c r="O13" s="16" t="s">
        <v>81</v>
      </c>
      <c r="P13" s="58" t="s">
        <v>10</v>
      </c>
      <c r="Q13" s="16"/>
      <c r="R13" s="70"/>
      <c r="S13" s="69"/>
    </row>
    <row r="14" spans="1:66" s="7" customFormat="1" ht="27" customHeight="1" x14ac:dyDescent="0.25">
      <c r="A14" s="78">
        <v>3</v>
      </c>
      <c r="B14" s="90" t="s">
        <v>31</v>
      </c>
      <c r="C14" s="6" t="s">
        <v>73</v>
      </c>
      <c r="D14" s="80" t="s">
        <v>83</v>
      </c>
      <c r="E14" s="49">
        <v>2022</v>
      </c>
      <c r="F14" s="20">
        <v>46137</v>
      </c>
      <c r="G14" s="20">
        <v>46137</v>
      </c>
      <c r="H14" s="37"/>
      <c r="I14" s="37"/>
      <c r="J14" s="68"/>
      <c r="K14" s="14">
        <f t="shared" si="1"/>
        <v>6</v>
      </c>
      <c r="L14" s="14">
        <f t="shared" si="1"/>
        <v>6</v>
      </c>
      <c r="M14" s="14"/>
      <c r="N14" s="14"/>
      <c r="O14" s="16" t="s">
        <v>84</v>
      </c>
      <c r="P14" s="58"/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3A5C-A1BF-4F79-95DD-183A21FEACFA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46144</v>
      </c>
      <c r="G1" s="20">
        <v>46144</v>
      </c>
      <c r="H1" s="20">
        <v>46144</v>
      </c>
      <c r="I1" s="20">
        <v>46144</v>
      </c>
      <c r="J1" s="20">
        <v>46144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7" t="s">
        <v>7</v>
      </c>
      <c r="L3" s="117" t="s">
        <v>19</v>
      </c>
      <c r="M3" s="117" t="s">
        <v>20</v>
      </c>
      <c r="N3" s="11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56">
        <v>1</v>
      </c>
      <c r="B5" s="60" t="s">
        <v>86</v>
      </c>
      <c r="C5" s="88" t="s">
        <v>34</v>
      </c>
      <c r="D5" s="89"/>
      <c r="E5" s="51">
        <v>2014</v>
      </c>
      <c r="F5" s="55">
        <v>46143</v>
      </c>
      <c r="G5" s="55">
        <v>46143</v>
      </c>
      <c r="H5" s="47"/>
      <c r="I5" s="47"/>
      <c r="J5" s="66"/>
      <c r="K5" s="14">
        <f t="shared" ref="K5:L7" si="0">$F$1-F5</f>
        <v>1</v>
      </c>
      <c r="L5" s="14">
        <f t="shared" si="0"/>
        <v>1</v>
      </c>
      <c r="M5" s="21"/>
      <c r="N5" s="21"/>
      <c r="O5" s="61" t="s">
        <v>87</v>
      </c>
      <c r="P5" s="60" t="s">
        <v>45</v>
      </c>
      <c r="Q5" s="93" t="s">
        <v>45</v>
      </c>
      <c r="R5" s="91" t="s">
        <v>30</v>
      </c>
      <c r="S5" s="63"/>
    </row>
    <row r="6" spans="1:66" s="7" customFormat="1" ht="39.6" x14ac:dyDescent="0.25">
      <c r="A6" s="78">
        <v>2</v>
      </c>
      <c r="B6" s="58" t="s">
        <v>51</v>
      </c>
      <c r="C6" s="79" t="s">
        <v>32</v>
      </c>
      <c r="D6" s="80" t="s">
        <v>28</v>
      </c>
      <c r="E6" s="49">
        <v>2010</v>
      </c>
      <c r="F6" s="20">
        <v>46080</v>
      </c>
      <c r="G6" s="20">
        <v>46080</v>
      </c>
      <c r="H6" s="37"/>
      <c r="I6" s="37"/>
      <c r="J6" s="68"/>
      <c r="K6" s="14">
        <f t="shared" si="0"/>
        <v>64</v>
      </c>
      <c r="L6" s="14">
        <f t="shared" si="0"/>
        <v>64</v>
      </c>
      <c r="M6" s="14"/>
      <c r="N6" s="14"/>
      <c r="O6" s="16" t="s">
        <v>79</v>
      </c>
      <c r="P6" s="58" t="s">
        <v>24</v>
      </c>
      <c r="Q6" s="93" t="s">
        <v>85</v>
      </c>
      <c r="R6" s="90" t="s">
        <v>46</v>
      </c>
      <c r="S6" s="69"/>
    </row>
    <row r="7" spans="1:66" s="7" customFormat="1" ht="26.4" x14ac:dyDescent="0.25">
      <c r="A7" s="78">
        <v>3</v>
      </c>
      <c r="B7" s="58" t="s">
        <v>9</v>
      </c>
      <c r="C7" s="79" t="s">
        <v>32</v>
      </c>
      <c r="D7" s="80" t="s">
        <v>28</v>
      </c>
      <c r="E7" s="49">
        <v>2010</v>
      </c>
      <c r="F7" s="20">
        <v>46121</v>
      </c>
      <c r="G7" s="20">
        <v>46121</v>
      </c>
      <c r="H7" s="37"/>
      <c r="I7" s="37"/>
      <c r="J7" s="68"/>
      <c r="K7" s="14">
        <f t="shared" si="0"/>
        <v>23</v>
      </c>
      <c r="L7" s="14">
        <f t="shared" si="0"/>
        <v>23</v>
      </c>
      <c r="M7" s="14"/>
      <c r="N7" s="14"/>
      <c r="O7" s="16" t="s">
        <v>80</v>
      </c>
      <c r="P7" s="58"/>
      <c r="Q7" s="92"/>
      <c r="R7" s="93"/>
      <c r="S7" s="69"/>
    </row>
    <row r="8" spans="1:66" s="7" customFormat="1" ht="21.6" customHeight="1" x14ac:dyDescent="0.25">
      <c r="A8" s="59">
        <v>4</v>
      </c>
      <c r="B8" s="60" t="s">
        <v>48</v>
      </c>
      <c r="C8" s="88" t="s">
        <v>32</v>
      </c>
      <c r="D8" s="89" t="s">
        <v>28</v>
      </c>
      <c r="E8" s="51">
        <v>2012</v>
      </c>
      <c r="F8" s="55">
        <v>46144</v>
      </c>
      <c r="G8" s="55">
        <v>46144</v>
      </c>
      <c r="H8" s="47"/>
      <c r="I8" s="47"/>
      <c r="J8" s="66"/>
      <c r="K8" s="21">
        <f t="shared" ref="K8" si="1">$F$1-F8</f>
        <v>0</v>
      </c>
      <c r="L8" s="21">
        <f t="shared" ref="L8" si="2">$F$1-G8</f>
        <v>0</v>
      </c>
      <c r="M8" s="21"/>
      <c r="N8" s="21"/>
      <c r="O8" s="61" t="s">
        <v>88</v>
      </c>
      <c r="P8" s="58"/>
      <c r="Q8" s="92"/>
      <c r="R8" s="93"/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27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4" si="3">$F$1-F12</f>
        <v>60</v>
      </c>
      <c r="L12" s="14">
        <f t="shared" si="3"/>
        <v>60</v>
      </c>
      <c r="M12" s="14"/>
      <c r="N12" s="14"/>
      <c r="O12" s="16" t="s">
        <v>70</v>
      </c>
      <c r="P12" s="58" t="s">
        <v>33</v>
      </c>
      <c r="Q12" s="16"/>
      <c r="R12" s="70"/>
      <c r="S12" s="69"/>
    </row>
    <row r="13" spans="1:66" s="7" customFormat="1" ht="27" customHeight="1" x14ac:dyDescent="0.25">
      <c r="A13" s="78">
        <v>2</v>
      </c>
      <c r="B13" s="58" t="s">
        <v>72</v>
      </c>
      <c r="C13" s="6" t="s">
        <v>73</v>
      </c>
      <c r="D13" s="36" t="s">
        <v>74</v>
      </c>
      <c r="E13" s="49">
        <v>2023</v>
      </c>
      <c r="F13" s="20">
        <v>46127</v>
      </c>
      <c r="G13" s="20">
        <v>46127</v>
      </c>
      <c r="H13" s="37"/>
      <c r="I13" s="37"/>
      <c r="J13" s="68"/>
      <c r="K13" s="14">
        <f t="shared" si="3"/>
        <v>17</v>
      </c>
      <c r="L13" s="14">
        <f t="shared" si="3"/>
        <v>17</v>
      </c>
      <c r="M13" s="14"/>
      <c r="N13" s="14"/>
      <c r="O13" s="16" t="s">
        <v>81</v>
      </c>
      <c r="P13" s="58" t="s">
        <v>10</v>
      </c>
      <c r="Q13" s="16"/>
      <c r="R13" s="70"/>
      <c r="S13" s="69"/>
    </row>
    <row r="14" spans="1:66" s="7" customFormat="1" ht="27" customHeight="1" x14ac:dyDescent="0.25">
      <c r="A14" s="78">
        <v>3</v>
      </c>
      <c r="B14" s="90" t="s">
        <v>31</v>
      </c>
      <c r="C14" s="6" t="s">
        <v>73</v>
      </c>
      <c r="D14" s="80" t="s">
        <v>83</v>
      </c>
      <c r="E14" s="49">
        <v>2022</v>
      </c>
      <c r="F14" s="20">
        <v>46137</v>
      </c>
      <c r="G14" s="20">
        <v>46137</v>
      </c>
      <c r="H14" s="37"/>
      <c r="I14" s="37"/>
      <c r="J14" s="68"/>
      <c r="K14" s="14">
        <f t="shared" si="3"/>
        <v>7</v>
      </c>
      <c r="L14" s="14">
        <f t="shared" si="3"/>
        <v>7</v>
      </c>
      <c r="M14" s="14"/>
      <c r="N14" s="14"/>
      <c r="O14" s="16" t="s">
        <v>84</v>
      </c>
      <c r="P14" s="58"/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A90E-8731-456E-A362-66C0784C5142}">
  <dimension ref="A1:BN17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46145</v>
      </c>
      <c r="G1" s="20">
        <v>46145</v>
      </c>
      <c r="H1" s="20">
        <v>46145</v>
      </c>
      <c r="I1" s="20">
        <v>46145</v>
      </c>
      <c r="J1" s="20">
        <v>46145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8" t="s">
        <v>7</v>
      </c>
      <c r="L3" s="118" t="s">
        <v>19</v>
      </c>
      <c r="M3" s="118" t="s">
        <v>20</v>
      </c>
      <c r="N3" s="11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39.6" x14ac:dyDescent="0.3">
      <c r="A5" s="78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K6" si="0">$F$1-F5</f>
        <v>65</v>
      </c>
      <c r="L5" s="14">
        <f t="shared" ref="L5:L6" si="1">$F$1-G5</f>
        <v>65</v>
      </c>
      <c r="M5" s="14"/>
      <c r="N5" s="14"/>
      <c r="O5" s="16" t="s">
        <v>79</v>
      </c>
      <c r="P5" s="58" t="s">
        <v>24</v>
      </c>
      <c r="Q5" s="60" t="s">
        <v>86</v>
      </c>
      <c r="R5" s="91" t="s">
        <v>30</v>
      </c>
      <c r="S5" s="63"/>
    </row>
    <row r="6" spans="1:66" s="7" customFormat="1" x14ac:dyDescent="0.25">
      <c r="A6" s="59">
        <v>2</v>
      </c>
      <c r="B6" s="60" t="s">
        <v>48</v>
      </c>
      <c r="C6" s="88" t="s">
        <v>32</v>
      </c>
      <c r="D6" s="89" t="s">
        <v>28</v>
      </c>
      <c r="E6" s="51">
        <v>2012</v>
      </c>
      <c r="F6" s="55">
        <v>46144</v>
      </c>
      <c r="G6" s="55">
        <v>46144</v>
      </c>
      <c r="H6" s="47"/>
      <c r="I6" s="47"/>
      <c r="J6" s="66"/>
      <c r="K6" s="21">
        <f t="shared" si="0"/>
        <v>1</v>
      </c>
      <c r="L6" s="21">
        <f t="shared" si="1"/>
        <v>1</v>
      </c>
      <c r="M6" s="21"/>
      <c r="N6" s="21"/>
      <c r="O6" s="61" t="s">
        <v>88</v>
      </c>
      <c r="P6" s="58" t="s">
        <v>9</v>
      </c>
      <c r="Q6" s="60" t="s">
        <v>9</v>
      </c>
      <c r="R6" s="90" t="s">
        <v>46</v>
      </c>
      <c r="S6" s="69"/>
    </row>
    <row r="7" spans="1:66" s="7" customFormat="1" x14ac:dyDescent="0.25">
      <c r="A7" s="78"/>
      <c r="B7" s="58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60" t="s">
        <v>45</v>
      </c>
      <c r="S7" s="69"/>
    </row>
    <row r="8" spans="1:66" s="7" customFormat="1" ht="13.95" customHeight="1" x14ac:dyDescent="0.25">
      <c r="A8" s="52"/>
      <c r="B8" s="29"/>
      <c r="C8" s="12"/>
      <c r="D8" s="19"/>
      <c r="E8" s="18"/>
      <c r="F8" s="22"/>
      <c r="G8" s="22"/>
      <c r="H8" s="22"/>
      <c r="I8" s="22"/>
      <c r="J8" s="22"/>
      <c r="K8" s="18"/>
      <c r="L8" s="22"/>
      <c r="M8" s="22"/>
      <c r="N8" s="22"/>
      <c r="O8" s="30" t="s">
        <v>22</v>
      </c>
      <c r="P8" s="12"/>
      <c r="Q8" s="12"/>
      <c r="R8" s="19"/>
      <c r="S8" s="30"/>
    </row>
    <row r="9" spans="1:66" s="7" customFormat="1" ht="13.95" customHeigh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0"/>
      <c r="S9" s="46"/>
    </row>
    <row r="10" spans="1:66" s="35" customFormat="1" ht="13.95" customHeight="1" x14ac:dyDescent="0.25">
      <c r="A10" s="53"/>
      <c r="B10" s="31"/>
      <c r="C10" s="12"/>
      <c r="D10" s="19" t="s">
        <v>0</v>
      </c>
      <c r="E10" s="18"/>
      <c r="F10" s="32"/>
      <c r="G10" s="32"/>
      <c r="H10" s="32"/>
      <c r="I10" s="32"/>
      <c r="J10" s="32"/>
      <c r="K10" s="18"/>
      <c r="L10" s="32"/>
      <c r="M10" s="32"/>
      <c r="N10" s="32"/>
      <c r="O10" s="33" t="s">
        <v>23</v>
      </c>
      <c r="P10" s="19"/>
      <c r="Q10" s="19"/>
      <c r="R10" s="34"/>
      <c r="S10" s="3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s="7" customFormat="1" ht="27" customHeight="1" x14ac:dyDescent="0.25">
      <c r="A11" s="78">
        <v>1</v>
      </c>
      <c r="B11" s="58" t="s">
        <v>52</v>
      </c>
      <c r="C11" s="6" t="s">
        <v>29</v>
      </c>
      <c r="D11" s="36" t="s">
        <v>28</v>
      </c>
      <c r="E11" s="49">
        <v>2023</v>
      </c>
      <c r="F11" s="20">
        <v>46084</v>
      </c>
      <c r="G11" s="20">
        <v>46084</v>
      </c>
      <c r="H11" s="37"/>
      <c r="I11" s="37"/>
      <c r="J11" s="68"/>
      <c r="K11" s="14">
        <f t="shared" ref="K11:L13" si="2">$F$1-F11</f>
        <v>61</v>
      </c>
      <c r="L11" s="14">
        <f t="shared" si="2"/>
        <v>61</v>
      </c>
      <c r="M11" s="14"/>
      <c r="N11" s="14"/>
      <c r="O11" s="16" t="s">
        <v>70</v>
      </c>
      <c r="P11" s="58" t="s">
        <v>33</v>
      </c>
      <c r="Q11" s="16"/>
      <c r="R11" s="70"/>
      <c r="S11" s="69"/>
    </row>
    <row r="12" spans="1:66" s="7" customFormat="1" ht="27" customHeight="1" x14ac:dyDescent="0.25">
      <c r="A12" s="78">
        <v>2</v>
      </c>
      <c r="B12" s="58" t="s">
        <v>72</v>
      </c>
      <c r="C12" s="6" t="s">
        <v>73</v>
      </c>
      <c r="D12" s="36" t="s">
        <v>74</v>
      </c>
      <c r="E12" s="49">
        <v>2023</v>
      </c>
      <c r="F12" s="20">
        <v>46127</v>
      </c>
      <c r="G12" s="20">
        <v>46127</v>
      </c>
      <c r="H12" s="37"/>
      <c r="I12" s="37"/>
      <c r="J12" s="68"/>
      <c r="K12" s="14">
        <f t="shared" si="2"/>
        <v>18</v>
      </c>
      <c r="L12" s="14">
        <f t="shared" si="2"/>
        <v>18</v>
      </c>
      <c r="M12" s="14"/>
      <c r="N12" s="14"/>
      <c r="O12" s="16" t="s">
        <v>81</v>
      </c>
      <c r="P12" s="58" t="s">
        <v>10</v>
      </c>
      <c r="Q12" s="16"/>
      <c r="R12" s="70"/>
      <c r="S12" s="69"/>
    </row>
    <row r="13" spans="1:66" s="7" customFormat="1" ht="27" customHeight="1" x14ac:dyDescent="0.25">
      <c r="A13" s="78">
        <v>3</v>
      </c>
      <c r="B13" s="90" t="s">
        <v>31</v>
      </c>
      <c r="C13" s="6" t="s">
        <v>73</v>
      </c>
      <c r="D13" s="80" t="s">
        <v>83</v>
      </c>
      <c r="E13" s="49">
        <v>2022</v>
      </c>
      <c r="F13" s="20">
        <v>46137</v>
      </c>
      <c r="G13" s="20">
        <v>46137</v>
      </c>
      <c r="H13" s="37"/>
      <c r="I13" s="37"/>
      <c r="J13" s="68"/>
      <c r="K13" s="14">
        <f t="shared" si="2"/>
        <v>8</v>
      </c>
      <c r="L13" s="14">
        <f t="shared" si="2"/>
        <v>8</v>
      </c>
      <c r="M13" s="14"/>
      <c r="N13" s="14"/>
      <c r="O13" s="16" t="s">
        <v>84</v>
      </c>
      <c r="P13" s="58"/>
      <c r="Q13" s="16"/>
      <c r="R13" s="70"/>
      <c r="S13" s="69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37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13.95" customHeight="1" x14ac:dyDescent="0.3">
      <c r="A15" s="17"/>
      <c r="B15" s="77"/>
      <c r="C15" s="71"/>
      <c r="D15" s="77"/>
      <c r="E15" s="72"/>
      <c r="F15" s="73"/>
      <c r="G15" s="73"/>
      <c r="H15" s="73"/>
      <c r="I15" s="73"/>
      <c r="J15" s="73"/>
      <c r="K15" s="74"/>
      <c r="L15" s="73"/>
      <c r="M15" s="73"/>
      <c r="N15" s="73"/>
      <c r="O15" s="71"/>
      <c r="P15" s="76"/>
      <c r="Q15" s="76"/>
      <c r="R15" s="70"/>
      <c r="S15" s="75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38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/>
      <c r="P17" s="43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37F6-CDFE-4148-861D-DACA5657C182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46146</v>
      </c>
      <c r="G1" s="20">
        <v>46146</v>
      </c>
      <c r="H1" s="20">
        <v>46146</v>
      </c>
      <c r="I1" s="20">
        <v>46146</v>
      </c>
      <c r="J1" s="20">
        <v>46146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19" t="s">
        <v>7</v>
      </c>
      <c r="L3" s="119" t="s">
        <v>19</v>
      </c>
      <c r="M3" s="119" t="s">
        <v>20</v>
      </c>
      <c r="N3" s="11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39.6" x14ac:dyDescent="0.3">
      <c r="A5" s="78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L5" si="0">$F$1-F5</f>
        <v>66</v>
      </c>
      <c r="L5" s="14">
        <f t="shared" si="0"/>
        <v>66</v>
      </c>
      <c r="M5" s="14"/>
      <c r="N5" s="14"/>
      <c r="O5" s="16" t="s">
        <v>79</v>
      </c>
      <c r="P5" s="58" t="s">
        <v>24</v>
      </c>
      <c r="Q5" s="60" t="s">
        <v>48</v>
      </c>
      <c r="R5" s="91" t="s">
        <v>30</v>
      </c>
      <c r="S5" s="63"/>
    </row>
    <row r="6" spans="1:66" s="7" customFormat="1" x14ac:dyDescent="0.25">
      <c r="A6" s="59"/>
      <c r="B6" s="60"/>
      <c r="C6" s="88"/>
      <c r="D6" s="89"/>
      <c r="E6" s="51"/>
      <c r="F6" s="55"/>
      <c r="G6" s="55"/>
      <c r="H6" s="47"/>
      <c r="I6" s="47"/>
      <c r="J6" s="66"/>
      <c r="K6" s="21"/>
      <c r="L6" s="21"/>
      <c r="M6" s="21"/>
      <c r="N6" s="21"/>
      <c r="O6" s="61"/>
      <c r="P6" s="58"/>
      <c r="Q6" s="60"/>
      <c r="R6" s="90" t="s">
        <v>46</v>
      </c>
      <c r="S6" s="69"/>
    </row>
    <row r="7" spans="1:66" s="7" customFormat="1" x14ac:dyDescent="0.25">
      <c r="A7" s="78"/>
      <c r="B7" s="58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60" t="s">
        <v>45</v>
      </c>
      <c r="S7" s="69"/>
    </row>
    <row r="8" spans="1:66" s="7" customFormat="1" x14ac:dyDescent="0.25">
      <c r="A8" s="78"/>
      <c r="B8" s="58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92"/>
      <c r="R8" s="60" t="s">
        <v>9</v>
      </c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27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4" si="1">$F$1-F12</f>
        <v>62</v>
      </c>
      <c r="L12" s="14">
        <f t="shared" si="1"/>
        <v>62</v>
      </c>
      <c r="M12" s="14"/>
      <c r="N12" s="14"/>
      <c r="O12" s="16" t="s">
        <v>70</v>
      </c>
      <c r="P12" s="58" t="s">
        <v>33</v>
      </c>
      <c r="Q12" s="16"/>
      <c r="R12" s="70"/>
      <c r="S12" s="69"/>
    </row>
    <row r="13" spans="1:66" s="7" customFormat="1" ht="27" customHeight="1" x14ac:dyDescent="0.25">
      <c r="A13" s="78">
        <v>2</v>
      </c>
      <c r="B13" s="58" t="s">
        <v>72</v>
      </c>
      <c r="C13" s="6" t="s">
        <v>73</v>
      </c>
      <c r="D13" s="36" t="s">
        <v>74</v>
      </c>
      <c r="E13" s="49">
        <v>2023</v>
      </c>
      <c r="F13" s="20">
        <v>46127</v>
      </c>
      <c r="G13" s="20">
        <v>46127</v>
      </c>
      <c r="H13" s="37"/>
      <c r="I13" s="37"/>
      <c r="J13" s="68"/>
      <c r="K13" s="14">
        <f t="shared" si="1"/>
        <v>19</v>
      </c>
      <c r="L13" s="14">
        <f t="shared" si="1"/>
        <v>19</v>
      </c>
      <c r="M13" s="14"/>
      <c r="N13" s="14"/>
      <c r="O13" s="16" t="s">
        <v>81</v>
      </c>
      <c r="P13" s="58" t="s">
        <v>10</v>
      </c>
      <c r="Q13" s="16"/>
      <c r="R13" s="70"/>
      <c r="S13" s="69"/>
    </row>
    <row r="14" spans="1:66" s="7" customFormat="1" ht="27" customHeight="1" x14ac:dyDescent="0.25">
      <c r="A14" s="78">
        <v>3</v>
      </c>
      <c r="B14" s="90" t="s">
        <v>31</v>
      </c>
      <c r="C14" s="6" t="s">
        <v>73</v>
      </c>
      <c r="D14" s="80" t="s">
        <v>83</v>
      </c>
      <c r="E14" s="49">
        <v>2022</v>
      </c>
      <c r="F14" s="20">
        <v>46137</v>
      </c>
      <c r="G14" s="20">
        <v>46137</v>
      </c>
      <c r="H14" s="37"/>
      <c r="I14" s="37"/>
      <c r="J14" s="68"/>
      <c r="K14" s="14">
        <f t="shared" si="1"/>
        <v>9</v>
      </c>
      <c r="L14" s="14">
        <f t="shared" si="1"/>
        <v>9</v>
      </c>
      <c r="M14" s="14"/>
      <c r="N14" s="14"/>
      <c r="O14" s="16" t="s">
        <v>84</v>
      </c>
      <c r="P14" s="58"/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24C8-820F-402D-AAAE-898F9A8F5078}">
  <dimension ref="A1:BN17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46147</v>
      </c>
      <c r="G1" s="20">
        <v>46147</v>
      </c>
      <c r="H1" s="20">
        <v>46147</v>
      </c>
      <c r="I1" s="20">
        <v>46147</v>
      </c>
      <c r="J1" s="20">
        <v>46147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0" t="s">
        <v>7</v>
      </c>
      <c r="L3" s="120" t="s">
        <v>19</v>
      </c>
      <c r="M3" s="120" t="s">
        <v>20</v>
      </c>
      <c r="N3" s="12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39.6" x14ac:dyDescent="0.3">
      <c r="A5" s="78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L5" si="0">$F$1-F5</f>
        <v>67</v>
      </c>
      <c r="L5" s="14">
        <f t="shared" si="0"/>
        <v>67</v>
      </c>
      <c r="M5" s="14"/>
      <c r="N5" s="14"/>
      <c r="O5" s="16" t="s">
        <v>79</v>
      </c>
      <c r="P5" s="58" t="s">
        <v>24</v>
      </c>
      <c r="Q5" s="60" t="s">
        <v>45</v>
      </c>
      <c r="R5" s="91" t="s">
        <v>30</v>
      </c>
      <c r="S5" s="63"/>
    </row>
    <row r="6" spans="1:66" s="7" customFormat="1" x14ac:dyDescent="0.25">
      <c r="A6" s="59"/>
      <c r="B6" s="60"/>
      <c r="C6" s="88"/>
      <c r="D6" s="89"/>
      <c r="E6" s="51"/>
      <c r="F6" s="55"/>
      <c r="G6" s="55"/>
      <c r="H6" s="47"/>
      <c r="I6" s="47"/>
      <c r="J6" s="66"/>
      <c r="K6" s="21"/>
      <c r="L6" s="21"/>
      <c r="M6" s="21"/>
      <c r="N6" s="21"/>
      <c r="O6" s="61"/>
      <c r="P6" s="58"/>
      <c r="Q6" s="60"/>
      <c r="R6" s="90" t="s">
        <v>46</v>
      </c>
      <c r="S6" s="69"/>
    </row>
    <row r="7" spans="1:66" s="7" customFormat="1" x14ac:dyDescent="0.25">
      <c r="A7" s="78"/>
      <c r="B7" s="58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2"/>
      <c r="R7" s="60" t="s">
        <v>9</v>
      </c>
      <c r="S7" s="69"/>
    </row>
    <row r="8" spans="1:66" s="7" customFormat="1" ht="13.95" customHeight="1" x14ac:dyDescent="0.25">
      <c r="A8" s="52"/>
      <c r="B8" s="29"/>
      <c r="C8" s="12"/>
      <c r="D8" s="19"/>
      <c r="E8" s="18"/>
      <c r="F8" s="22"/>
      <c r="G8" s="22"/>
      <c r="H8" s="22"/>
      <c r="I8" s="22"/>
      <c r="J8" s="22"/>
      <c r="K8" s="18"/>
      <c r="L8" s="22"/>
      <c r="M8" s="22"/>
      <c r="N8" s="22"/>
      <c r="O8" s="30" t="s">
        <v>22</v>
      </c>
      <c r="P8" s="12"/>
      <c r="Q8" s="12"/>
      <c r="R8" s="19"/>
      <c r="S8" s="30"/>
    </row>
    <row r="9" spans="1:66" s="7" customFormat="1" ht="13.95" customHeigh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0"/>
      <c r="S9" s="46"/>
    </row>
    <row r="10" spans="1:66" s="35" customFormat="1" ht="13.95" customHeight="1" x14ac:dyDescent="0.25">
      <c r="A10" s="53"/>
      <c r="B10" s="31"/>
      <c r="C10" s="12"/>
      <c r="D10" s="19" t="s">
        <v>0</v>
      </c>
      <c r="E10" s="18"/>
      <c r="F10" s="32"/>
      <c r="G10" s="32"/>
      <c r="H10" s="32"/>
      <c r="I10" s="32"/>
      <c r="J10" s="32"/>
      <c r="K10" s="18"/>
      <c r="L10" s="32"/>
      <c r="M10" s="32"/>
      <c r="N10" s="32"/>
      <c r="O10" s="33" t="s">
        <v>23</v>
      </c>
      <c r="P10" s="19"/>
      <c r="Q10" s="19"/>
      <c r="R10" s="34"/>
      <c r="S10" s="3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s="7" customFormat="1" ht="27" customHeight="1" x14ac:dyDescent="0.25">
      <c r="A11" s="78">
        <v>1</v>
      </c>
      <c r="B11" s="58" t="s">
        <v>52</v>
      </c>
      <c r="C11" s="6" t="s">
        <v>29</v>
      </c>
      <c r="D11" s="36" t="s">
        <v>28</v>
      </c>
      <c r="E11" s="49">
        <v>2023</v>
      </c>
      <c r="F11" s="20">
        <v>46084</v>
      </c>
      <c r="G11" s="20">
        <v>46084</v>
      </c>
      <c r="H11" s="37"/>
      <c r="I11" s="37"/>
      <c r="J11" s="68"/>
      <c r="K11" s="14">
        <f t="shared" ref="K11:L13" si="1">$F$1-F11</f>
        <v>63</v>
      </c>
      <c r="L11" s="14">
        <f t="shared" si="1"/>
        <v>63</v>
      </c>
      <c r="M11" s="14"/>
      <c r="N11" s="14"/>
      <c r="O11" s="16" t="s">
        <v>70</v>
      </c>
      <c r="P11" s="58" t="s">
        <v>33</v>
      </c>
      <c r="Q11" s="16"/>
      <c r="R11" s="70"/>
      <c r="S11" s="69"/>
    </row>
    <row r="12" spans="1:66" s="7" customFormat="1" ht="27" customHeight="1" x14ac:dyDescent="0.25">
      <c r="A12" s="78">
        <v>2</v>
      </c>
      <c r="B12" s="58" t="s">
        <v>72</v>
      </c>
      <c r="C12" s="6" t="s">
        <v>73</v>
      </c>
      <c r="D12" s="36" t="s">
        <v>74</v>
      </c>
      <c r="E12" s="49">
        <v>2023</v>
      </c>
      <c r="F12" s="20">
        <v>46127</v>
      </c>
      <c r="G12" s="20">
        <v>46127</v>
      </c>
      <c r="H12" s="37"/>
      <c r="I12" s="37"/>
      <c r="J12" s="68"/>
      <c r="K12" s="14">
        <f t="shared" si="1"/>
        <v>20</v>
      </c>
      <c r="L12" s="14">
        <f t="shared" si="1"/>
        <v>20</v>
      </c>
      <c r="M12" s="14"/>
      <c r="N12" s="14"/>
      <c r="O12" s="16" t="s">
        <v>81</v>
      </c>
      <c r="P12" s="58" t="s">
        <v>10</v>
      </c>
      <c r="Q12" s="16"/>
      <c r="R12" s="70"/>
      <c r="S12" s="69"/>
    </row>
    <row r="13" spans="1:66" s="7" customFormat="1" ht="27" customHeight="1" x14ac:dyDescent="0.25">
      <c r="A13" s="78">
        <v>3</v>
      </c>
      <c r="B13" s="90" t="s">
        <v>31</v>
      </c>
      <c r="C13" s="6" t="s">
        <v>73</v>
      </c>
      <c r="D13" s="80" t="s">
        <v>83</v>
      </c>
      <c r="E13" s="49">
        <v>2022</v>
      </c>
      <c r="F13" s="20">
        <v>46137</v>
      </c>
      <c r="G13" s="20">
        <v>46137</v>
      </c>
      <c r="H13" s="37"/>
      <c r="I13" s="37"/>
      <c r="J13" s="68"/>
      <c r="K13" s="14">
        <f t="shared" si="1"/>
        <v>10</v>
      </c>
      <c r="L13" s="14">
        <f t="shared" si="1"/>
        <v>10</v>
      </c>
      <c r="M13" s="14"/>
      <c r="N13" s="14"/>
      <c r="O13" s="16" t="s">
        <v>84</v>
      </c>
      <c r="P13" s="58"/>
      <c r="Q13" s="16"/>
      <c r="R13" s="70"/>
      <c r="S13" s="69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37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13.95" customHeight="1" x14ac:dyDescent="0.3">
      <c r="A15" s="17"/>
      <c r="B15" s="77"/>
      <c r="C15" s="71"/>
      <c r="D15" s="77"/>
      <c r="E15" s="72"/>
      <c r="F15" s="73"/>
      <c r="G15" s="73"/>
      <c r="H15" s="73"/>
      <c r="I15" s="73"/>
      <c r="J15" s="73"/>
      <c r="K15" s="74"/>
      <c r="L15" s="73"/>
      <c r="M15" s="73"/>
      <c r="N15" s="73"/>
      <c r="O15" s="71"/>
      <c r="P15" s="76"/>
      <c r="Q15" s="76"/>
      <c r="R15" s="70"/>
      <c r="S15" s="75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38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/>
      <c r="P17" s="43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B660-9FBE-4A19-9B45-4E894B71F1B8}">
  <dimension ref="A1:BN15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46148</v>
      </c>
      <c r="G1" s="20">
        <v>46148</v>
      </c>
      <c r="H1" s="20">
        <v>46148</v>
      </c>
      <c r="I1" s="20">
        <v>46148</v>
      </c>
      <c r="J1" s="20">
        <v>46148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1" t="s">
        <v>7</v>
      </c>
      <c r="L3" s="121" t="s">
        <v>19</v>
      </c>
      <c r="M3" s="121" t="s">
        <v>20</v>
      </c>
      <c r="N3" s="12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39.6" x14ac:dyDescent="0.3">
      <c r="A5" s="78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L7" si="0">$F$1-F5</f>
        <v>68</v>
      </c>
      <c r="L5" s="14">
        <f t="shared" si="0"/>
        <v>68</v>
      </c>
      <c r="M5" s="14"/>
      <c r="N5" s="14"/>
      <c r="O5" s="16" t="s">
        <v>79</v>
      </c>
      <c r="P5" s="58" t="s">
        <v>24</v>
      </c>
      <c r="Q5" s="60"/>
      <c r="R5" s="91" t="s">
        <v>30</v>
      </c>
      <c r="S5" s="63"/>
    </row>
    <row r="6" spans="1:66" s="7" customFormat="1" x14ac:dyDescent="0.25">
      <c r="A6" s="78">
        <v>2</v>
      </c>
      <c r="B6" s="90" t="s">
        <v>31</v>
      </c>
      <c r="C6" s="6" t="s">
        <v>73</v>
      </c>
      <c r="D6" s="80" t="s">
        <v>83</v>
      </c>
      <c r="E6" s="49">
        <v>2022</v>
      </c>
      <c r="F6" s="20">
        <v>46137</v>
      </c>
      <c r="G6" s="20">
        <v>46137</v>
      </c>
      <c r="H6" s="37"/>
      <c r="I6" s="37"/>
      <c r="J6" s="68"/>
      <c r="K6" s="14">
        <f t="shared" si="0"/>
        <v>11</v>
      </c>
      <c r="L6" s="14">
        <f t="shared" si="0"/>
        <v>11</v>
      </c>
      <c r="M6" s="14"/>
      <c r="N6" s="14"/>
      <c r="O6" s="16" t="s">
        <v>84</v>
      </c>
      <c r="P6" s="58"/>
      <c r="Q6" s="60"/>
      <c r="R6" s="90" t="s">
        <v>46</v>
      </c>
      <c r="S6" s="69"/>
    </row>
    <row r="7" spans="1:66" s="7" customFormat="1" x14ac:dyDescent="0.25">
      <c r="A7" s="78">
        <v>3</v>
      </c>
      <c r="B7" s="58" t="s">
        <v>72</v>
      </c>
      <c r="C7" s="6" t="s">
        <v>73</v>
      </c>
      <c r="D7" s="36" t="s">
        <v>74</v>
      </c>
      <c r="E7" s="49">
        <v>2023</v>
      </c>
      <c r="F7" s="20">
        <v>46127</v>
      </c>
      <c r="G7" s="20">
        <v>46127</v>
      </c>
      <c r="H7" s="37"/>
      <c r="I7" s="37"/>
      <c r="J7" s="68"/>
      <c r="K7" s="14">
        <f t="shared" si="0"/>
        <v>21</v>
      </c>
      <c r="L7" s="14">
        <f t="shared" si="0"/>
        <v>21</v>
      </c>
      <c r="M7" s="14"/>
      <c r="N7" s="14"/>
      <c r="O7" s="16" t="s">
        <v>81</v>
      </c>
      <c r="P7" s="58" t="s">
        <v>10</v>
      </c>
      <c r="Q7" s="92"/>
      <c r="R7" s="60" t="s">
        <v>9</v>
      </c>
      <c r="S7" s="69"/>
    </row>
    <row r="8" spans="1:66" s="7" customFormat="1" ht="13.95" customHeight="1" x14ac:dyDescent="0.25">
      <c r="A8" s="52"/>
      <c r="B8" s="29"/>
      <c r="C8" s="12"/>
      <c r="D8" s="19"/>
      <c r="E8" s="18"/>
      <c r="F8" s="22"/>
      <c r="G8" s="22"/>
      <c r="H8" s="22"/>
      <c r="I8" s="22"/>
      <c r="J8" s="22"/>
      <c r="K8" s="18"/>
      <c r="L8" s="22"/>
      <c r="M8" s="22"/>
      <c r="N8" s="22"/>
      <c r="O8" s="30" t="s">
        <v>22</v>
      </c>
      <c r="P8" s="12"/>
      <c r="Q8" s="12"/>
      <c r="R8" s="19"/>
      <c r="S8" s="30"/>
    </row>
    <row r="9" spans="1:66" s="7" customFormat="1" ht="13.95" customHeigh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0"/>
      <c r="S9" s="46"/>
    </row>
    <row r="10" spans="1:66" s="35" customFormat="1" ht="13.95" customHeight="1" x14ac:dyDescent="0.25">
      <c r="A10" s="53"/>
      <c r="B10" s="31"/>
      <c r="C10" s="12"/>
      <c r="D10" s="19" t="s">
        <v>0</v>
      </c>
      <c r="E10" s="18"/>
      <c r="F10" s="32"/>
      <c r="G10" s="32"/>
      <c r="H10" s="32"/>
      <c r="I10" s="32"/>
      <c r="J10" s="32"/>
      <c r="K10" s="18"/>
      <c r="L10" s="32"/>
      <c r="M10" s="32"/>
      <c r="N10" s="32"/>
      <c r="O10" s="33" t="s">
        <v>23</v>
      </c>
      <c r="P10" s="19"/>
      <c r="Q10" s="19"/>
      <c r="R10" s="34"/>
      <c r="S10" s="3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s="7" customFormat="1" ht="27" customHeight="1" x14ac:dyDescent="0.25">
      <c r="A11" s="78">
        <v>1</v>
      </c>
      <c r="B11" s="58" t="s">
        <v>52</v>
      </c>
      <c r="C11" s="6" t="s">
        <v>29</v>
      </c>
      <c r="D11" s="36" t="s">
        <v>28</v>
      </c>
      <c r="E11" s="49">
        <v>2023</v>
      </c>
      <c r="F11" s="20">
        <v>46084</v>
      </c>
      <c r="G11" s="20">
        <v>46084</v>
      </c>
      <c r="H11" s="37"/>
      <c r="I11" s="37"/>
      <c r="J11" s="68"/>
      <c r="K11" s="14">
        <f t="shared" ref="K11:L11" si="1">$F$1-F11</f>
        <v>64</v>
      </c>
      <c r="L11" s="14">
        <f t="shared" si="1"/>
        <v>64</v>
      </c>
      <c r="M11" s="14"/>
      <c r="N11" s="14"/>
      <c r="O11" s="16" t="s">
        <v>70</v>
      </c>
      <c r="P11" s="58" t="s">
        <v>33</v>
      </c>
      <c r="Q11" s="16"/>
      <c r="R11" s="70"/>
      <c r="S11" s="69"/>
    </row>
    <row r="12" spans="1:66" s="35" customFormat="1" ht="13.95" customHeight="1" x14ac:dyDescent="0.3">
      <c r="A12" s="54"/>
      <c r="B12" s="38"/>
      <c r="C12" s="39"/>
      <c r="D12" s="38"/>
      <c r="E12" s="40"/>
      <c r="F12" s="41"/>
      <c r="G12" s="41"/>
      <c r="H12" s="41"/>
      <c r="I12" s="41"/>
      <c r="J12" s="41"/>
      <c r="K12" s="42"/>
      <c r="L12" s="41"/>
      <c r="M12" s="41"/>
      <c r="N12" s="41"/>
      <c r="O12" s="43" t="s">
        <v>37</v>
      </c>
      <c r="P12" s="44"/>
      <c r="Q12" s="44"/>
      <c r="R12" s="45"/>
      <c r="S12" s="4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13.95" customHeight="1" x14ac:dyDescent="0.3">
      <c r="A13" s="17"/>
      <c r="B13" s="77"/>
      <c r="C13" s="71"/>
      <c r="D13" s="77"/>
      <c r="E13" s="72"/>
      <c r="F13" s="73"/>
      <c r="G13" s="73"/>
      <c r="H13" s="73"/>
      <c r="I13" s="73"/>
      <c r="J13" s="73"/>
      <c r="K13" s="74"/>
      <c r="L13" s="73"/>
      <c r="M13" s="73"/>
      <c r="N13" s="73"/>
      <c r="O13" s="71"/>
      <c r="P13" s="76"/>
      <c r="Q13" s="76"/>
      <c r="R13" s="70"/>
      <c r="S13" s="75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38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/>
      <c r="P15" s="43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D89B-3F68-42D2-8639-736E29507CA5}">
  <dimension ref="A1:BN15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46149</v>
      </c>
      <c r="G1" s="20">
        <v>46149</v>
      </c>
      <c r="H1" s="20">
        <v>46149</v>
      </c>
      <c r="I1" s="20">
        <v>46149</v>
      </c>
      <c r="J1" s="20">
        <v>46149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2" t="s">
        <v>7</v>
      </c>
      <c r="L3" s="122" t="s">
        <v>19</v>
      </c>
      <c r="M3" s="122" t="s">
        <v>20</v>
      </c>
      <c r="N3" s="12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L7" si="0">$F$1-F5</f>
        <v>69</v>
      </c>
      <c r="L5" s="14">
        <f t="shared" si="0"/>
        <v>69</v>
      </c>
      <c r="M5" s="14"/>
      <c r="N5" s="14"/>
      <c r="O5" s="16" t="s">
        <v>90</v>
      </c>
      <c r="P5" s="58" t="s">
        <v>24</v>
      </c>
      <c r="Q5" s="60"/>
      <c r="R5" s="91" t="s">
        <v>30</v>
      </c>
      <c r="S5" s="63"/>
    </row>
    <row r="6" spans="1:66" s="7" customFormat="1" x14ac:dyDescent="0.25">
      <c r="A6" s="78">
        <v>2</v>
      </c>
      <c r="B6" s="90" t="s">
        <v>31</v>
      </c>
      <c r="C6" s="6" t="s">
        <v>73</v>
      </c>
      <c r="D6" s="80" t="s">
        <v>83</v>
      </c>
      <c r="E6" s="49">
        <v>2022</v>
      </c>
      <c r="F6" s="20">
        <v>46137</v>
      </c>
      <c r="G6" s="20">
        <v>46137</v>
      </c>
      <c r="H6" s="37"/>
      <c r="I6" s="37"/>
      <c r="J6" s="68"/>
      <c r="K6" s="14">
        <f t="shared" si="0"/>
        <v>12</v>
      </c>
      <c r="L6" s="14">
        <f t="shared" si="0"/>
        <v>12</v>
      </c>
      <c r="M6" s="14"/>
      <c r="N6" s="14"/>
      <c r="O6" s="61" t="s">
        <v>89</v>
      </c>
      <c r="P6" s="58"/>
      <c r="Q6" s="60"/>
      <c r="R6" s="90" t="s">
        <v>46</v>
      </c>
      <c r="S6" s="69"/>
    </row>
    <row r="7" spans="1:66" s="7" customFormat="1" x14ac:dyDescent="0.25">
      <c r="A7" s="78">
        <v>3</v>
      </c>
      <c r="B7" s="58" t="s">
        <v>72</v>
      </c>
      <c r="C7" s="6" t="s">
        <v>73</v>
      </c>
      <c r="D7" s="36" t="s">
        <v>74</v>
      </c>
      <c r="E7" s="49">
        <v>2023</v>
      </c>
      <c r="F7" s="20">
        <v>46127</v>
      </c>
      <c r="G7" s="20">
        <v>46127</v>
      </c>
      <c r="H7" s="37"/>
      <c r="I7" s="37"/>
      <c r="J7" s="68"/>
      <c r="K7" s="14">
        <f t="shared" si="0"/>
        <v>22</v>
      </c>
      <c r="L7" s="14">
        <f t="shared" si="0"/>
        <v>22</v>
      </c>
      <c r="M7" s="14"/>
      <c r="N7" s="14"/>
      <c r="O7" s="61" t="s">
        <v>89</v>
      </c>
      <c r="P7" s="58" t="s">
        <v>10</v>
      </c>
      <c r="Q7" s="92"/>
      <c r="R7" s="60" t="s">
        <v>9</v>
      </c>
      <c r="S7" s="69"/>
    </row>
    <row r="8" spans="1:66" s="7" customFormat="1" ht="13.95" customHeight="1" x14ac:dyDescent="0.25">
      <c r="A8" s="52"/>
      <c r="B8" s="29"/>
      <c r="C8" s="12"/>
      <c r="D8" s="19"/>
      <c r="E8" s="18"/>
      <c r="F8" s="22"/>
      <c r="G8" s="22"/>
      <c r="H8" s="22"/>
      <c r="I8" s="22"/>
      <c r="J8" s="22"/>
      <c r="K8" s="18"/>
      <c r="L8" s="22"/>
      <c r="M8" s="22"/>
      <c r="N8" s="22"/>
      <c r="O8" s="30" t="s">
        <v>22</v>
      </c>
      <c r="P8" s="12"/>
      <c r="Q8" s="12"/>
      <c r="R8" s="19"/>
      <c r="S8" s="30"/>
    </row>
    <row r="9" spans="1:66" s="7" customFormat="1" ht="13.95" customHeigh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0"/>
      <c r="S9" s="46"/>
    </row>
    <row r="10" spans="1:66" s="35" customFormat="1" ht="13.95" customHeight="1" x14ac:dyDescent="0.25">
      <c r="A10" s="53"/>
      <c r="B10" s="31"/>
      <c r="C10" s="12"/>
      <c r="D10" s="19" t="s">
        <v>0</v>
      </c>
      <c r="E10" s="18"/>
      <c r="F10" s="32"/>
      <c r="G10" s="32"/>
      <c r="H10" s="32"/>
      <c r="I10" s="32"/>
      <c r="J10" s="32"/>
      <c r="K10" s="18"/>
      <c r="L10" s="32"/>
      <c r="M10" s="32"/>
      <c r="N10" s="32"/>
      <c r="O10" s="33" t="s">
        <v>23</v>
      </c>
      <c r="P10" s="19"/>
      <c r="Q10" s="19"/>
      <c r="R10" s="34"/>
      <c r="S10" s="3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s="7" customFormat="1" ht="27" customHeight="1" x14ac:dyDescent="0.25">
      <c r="A11" s="78">
        <v>1</v>
      </c>
      <c r="B11" s="58" t="s">
        <v>52</v>
      </c>
      <c r="C11" s="6" t="s">
        <v>29</v>
      </c>
      <c r="D11" s="36" t="s">
        <v>28</v>
      </c>
      <c r="E11" s="49">
        <v>2023</v>
      </c>
      <c r="F11" s="20">
        <v>46084</v>
      </c>
      <c r="G11" s="20">
        <v>46084</v>
      </c>
      <c r="H11" s="37"/>
      <c r="I11" s="37"/>
      <c r="J11" s="68"/>
      <c r="K11" s="14">
        <f t="shared" ref="K11:L11" si="1">$F$1-F11</f>
        <v>65</v>
      </c>
      <c r="L11" s="14">
        <f t="shared" si="1"/>
        <v>65</v>
      </c>
      <c r="M11" s="14"/>
      <c r="N11" s="14"/>
      <c r="O11" s="16" t="s">
        <v>70</v>
      </c>
      <c r="P11" s="58" t="s">
        <v>33</v>
      </c>
      <c r="Q11" s="16"/>
      <c r="R11" s="70"/>
      <c r="S11" s="69"/>
    </row>
    <row r="12" spans="1:66" s="35" customFormat="1" ht="13.95" customHeight="1" x14ac:dyDescent="0.3">
      <c r="A12" s="54"/>
      <c r="B12" s="38"/>
      <c r="C12" s="39"/>
      <c r="D12" s="38"/>
      <c r="E12" s="40"/>
      <c r="F12" s="41"/>
      <c r="G12" s="41"/>
      <c r="H12" s="41"/>
      <c r="I12" s="41"/>
      <c r="J12" s="41"/>
      <c r="K12" s="42"/>
      <c r="L12" s="41"/>
      <c r="M12" s="41"/>
      <c r="N12" s="41"/>
      <c r="O12" s="43" t="s">
        <v>37</v>
      </c>
      <c r="P12" s="44"/>
      <c r="Q12" s="44"/>
      <c r="R12" s="45"/>
      <c r="S12" s="4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13.95" customHeight="1" x14ac:dyDescent="0.3">
      <c r="A13" s="17"/>
      <c r="B13" s="77"/>
      <c r="C13" s="71"/>
      <c r="D13" s="77"/>
      <c r="E13" s="72"/>
      <c r="F13" s="73"/>
      <c r="G13" s="73"/>
      <c r="H13" s="73"/>
      <c r="I13" s="73"/>
      <c r="J13" s="73"/>
      <c r="K13" s="74"/>
      <c r="L13" s="73"/>
      <c r="M13" s="73"/>
      <c r="N13" s="73"/>
      <c r="O13" s="71"/>
      <c r="P13" s="76"/>
      <c r="Q13" s="76"/>
      <c r="R13" s="70"/>
      <c r="S13" s="75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38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/>
      <c r="P15" s="43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CD1E-B7C7-4AAD-84A1-8E90CD9BA242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46150</v>
      </c>
      <c r="G1" s="20">
        <v>46150</v>
      </c>
      <c r="H1" s="20">
        <v>46150</v>
      </c>
      <c r="I1" s="20">
        <v>46150</v>
      </c>
      <c r="J1" s="20">
        <v>46150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3" t="s">
        <v>7</v>
      </c>
      <c r="L3" s="123" t="s">
        <v>19</v>
      </c>
      <c r="M3" s="123" t="s">
        <v>20</v>
      </c>
      <c r="N3" s="12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L5" si="0">$F$1-F5</f>
        <v>70</v>
      </c>
      <c r="L5" s="14">
        <f t="shared" si="0"/>
        <v>70</v>
      </c>
      <c r="M5" s="14"/>
      <c r="N5" s="14"/>
      <c r="O5" s="16" t="s">
        <v>91</v>
      </c>
      <c r="P5" s="58" t="s">
        <v>24</v>
      </c>
      <c r="Q5" s="90" t="s">
        <v>31</v>
      </c>
      <c r="R5" s="91" t="s">
        <v>30</v>
      </c>
      <c r="S5" s="63"/>
    </row>
    <row r="6" spans="1:66" s="7" customFormat="1" x14ac:dyDescent="0.25">
      <c r="A6" s="78">
        <v>2</v>
      </c>
      <c r="B6" s="93" t="s">
        <v>65</v>
      </c>
      <c r="C6" s="8" t="s">
        <v>29</v>
      </c>
      <c r="D6" s="48" t="s">
        <v>28</v>
      </c>
      <c r="E6" s="51">
        <v>2023</v>
      </c>
      <c r="F6" s="55">
        <v>46150</v>
      </c>
      <c r="G6" s="55">
        <v>46150</v>
      </c>
      <c r="H6" s="47"/>
      <c r="I6" s="47"/>
      <c r="J6" s="66"/>
      <c r="K6" s="21">
        <f t="shared" ref="K6" si="1">$F$1-F6</f>
        <v>0</v>
      </c>
      <c r="L6" s="21">
        <f t="shared" ref="L6" si="2">$F$1-G6</f>
        <v>0</v>
      </c>
      <c r="M6" s="14"/>
      <c r="N6" s="14"/>
      <c r="O6" s="61" t="s">
        <v>92</v>
      </c>
      <c r="P6" s="58" t="s">
        <v>10</v>
      </c>
      <c r="Q6" s="58" t="s">
        <v>72</v>
      </c>
      <c r="R6" s="90" t="s">
        <v>46</v>
      </c>
      <c r="S6" s="69"/>
    </row>
    <row r="7" spans="1:66" s="7" customFormat="1" x14ac:dyDescent="0.25">
      <c r="A7" s="78"/>
      <c r="B7" s="58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61"/>
      <c r="P7" s="58"/>
      <c r="Q7" s="92"/>
      <c r="R7" s="58" t="s">
        <v>9</v>
      </c>
      <c r="S7" s="69"/>
    </row>
    <row r="8" spans="1:66" s="7" customFormat="1" x14ac:dyDescent="0.25">
      <c r="A8" s="78"/>
      <c r="B8" s="58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61"/>
      <c r="P8" s="58"/>
      <c r="Q8" s="92"/>
      <c r="R8" s="58"/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90" t="s">
        <v>31</v>
      </c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 t="s">
        <v>26</v>
      </c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3">$F$1-F14</f>
        <v>66</v>
      </c>
      <c r="L14" s="14">
        <f t="shared" si="3"/>
        <v>66</v>
      </c>
      <c r="M14" s="14"/>
      <c r="N14" s="14"/>
      <c r="O14" s="16" t="s">
        <v>70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71C4-C0CF-4E6A-9556-2DF2699E53E4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46151</v>
      </c>
      <c r="G1" s="20">
        <v>46151</v>
      </c>
      <c r="H1" s="20">
        <v>46151</v>
      </c>
      <c r="I1" s="20">
        <v>46151</v>
      </c>
      <c r="J1" s="20">
        <v>46151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4" t="s">
        <v>7</v>
      </c>
      <c r="L3" s="124" t="s">
        <v>19</v>
      </c>
      <c r="M3" s="124" t="s">
        <v>20</v>
      </c>
      <c r="N3" s="12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58" t="s">
        <v>51</v>
      </c>
      <c r="C5" s="79" t="s">
        <v>32</v>
      </c>
      <c r="D5" s="80" t="s">
        <v>28</v>
      </c>
      <c r="E5" s="49">
        <v>2010</v>
      </c>
      <c r="F5" s="20">
        <v>46080</v>
      </c>
      <c r="G5" s="20">
        <v>46080</v>
      </c>
      <c r="H5" s="37"/>
      <c r="I5" s="37"/>
      <c r="J5" s="68"/>
      <c r="K5" s="14">
        <f t="shared" ref="K5:L6" si="0">$F$1-F5</f>
        <v>71</v>
      </c>
      <c r="L5" s="14">
        <f t="shared" si="0"/>
        <v>71</v>
      </c>
      <c r="M5" s="14"/>
      <c r="N5" s="14"/>
      <c r="O5" s="16" t="s">
        <v>94</v>
      </c>
      <c r="P5" s="58" t="s">
        <v>24</v>
      </c>
      <c r="Q5" s="90"/>
      <c r="R5" s="91" t="s">
        <v>30</v>
      </c>
      <c r="S5" s="63"/>
    </row>
    <row r="6" spans="1:66" s="7" customFormat="1" x14ac:dyDescent="0.25">
      <c r="A6" s="78">
        <v>2</v>
      </c>
      <c r="B6" s="90" t="s">
        <v>65</v>
      </c>
      <c r="C6" s="6" t="s">
        <v>29</v>
      </c>
      <c r="D6" s="36" t="s">
        <v>28</v>
      </c>
      <c r="E6" s="49">
        <v>2023</v>
      </c>
      <c r="F6" s="20">
        <v>46150</v>
      </c>
      <c r="G6" s="20">
        <v>46150</v>
      </c>
      <c r="H6" s="37"/>
      <c r="I6" s="37"/>
      <c r="J6" s="68"/>
      <c r="K6" s="14">
        <f t="shared" si="0"/>
        <v>1</v>
      </c>
      <c r="L6" s="14">
        <f t="shared" si="0"/>
        <v>1</v>
      </c>
      <c r="M6" s="14"/>
      <c r="N6" s="14"/>
      <c r="O6" s="16" t="s">
        <v>93</v>
      </c>
      <c r="P6" s="58" t="s">
        <v>10</v>
      </c>
      <c r="Q6" s="58"/>
      <c r="R6" s="90" t="s">
        <v>46</v>
      </c>
      <c r="S6" s="69"/>
    </row>
    <row r="7" spans="1:66" s="7" customFormat="1" x14ac:dyDescent="0.25">
      <c r="A7" s="78">
        <v>3</v>
      </c>
      <c r="B7" s="60" t="s">
        <v>95</v>
      </c>
      <c r="C7" s="8" t="s">
        <v>29</v>
      </c>
      <c r="D7" s="48" t="s">
        <v>28</v>
      </c>
      <c r="E7" s="51">
        <v>2023</v>
      </c>
      <c r="F7" s="55">
        <v>46151</v>
      </c>
      <c r="G7" s="55">
        <v>46151</v>
      </c>
      <c r="H7" s="47"/>
      <c r="I7" s="47"/>
      <c r="J7" s="66"/>
      <c r="K7" s="21">
        <f t="shared" ref="K7" si="1">$F$1-F7</f>
        <v>0</v>
      </c>
      <c r="L7" s="21">
        <f t="shared" ref="L7" si="2">$F$1-G7</f>
        <v>0</v>
      </c>
      <c r="M7" s="21"/>
      <c r="N7" s="21"/>
      <c r="O7" s="61" t="s">
        <v>93</v>
      </c>
      <c r="P7" s="58"/>
      <c r="Q7" s="92"/>
      <c r="R7" s="90" t="s">
        <v>31</v>
      </c>
      <c r="S7" s="69"/>
    </row>
    <row r="8" spans="1:66" s="7" customFormat="1" x14ac:dyDescent="0.25">
      <c r="A8" s="78">
        <v>4</v>
      </c>
      <c r="B8" s="60" t="s">
        <v>9</v>
      </c>
      <c r="C8" s="88" t="s">
        <v>32</v>
      </c>
      <c r="D8" s="89" t="s">
        <v>28</v>
      </c>
      <c r="E8" s="51">
        <v>2010</v>
      </c>
      <c r="F8" s="55">
        <v>46151</v>
      </c>
      <c r="G8" s="55">
        <v>46151</v>
      </c>
      <c r="H8" s="37"/>
      <c r="I8" s="37"/>
      <c r="J8" s="68"/>
      <c r="K8" s="21">
        <f t="shared" ref="K8" si="3">$F$1-F8</f>
        <v>0</v>
      </c>
      <c r="L8" s="21">
        <f t="shared" ref="L8" si="4">$F$1-G8</f>
        <v>0</v>
      </c>
      <c r="M8" s="14"/>
      <c r="N8" s="14"/>
      <c r="O8" s="61" t="s">
        <v>96</v>
      </c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90"/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5">$F$1-F14</f>
        <v>67</v>
      </c>
      <c r="L14" s="14">
        <f t="shared" si="5"/>
        <v>67</v>
      </c>
      <c r="M14" s="14"/>
      <c r="N14" s="14"/>
      <c r="O14" s="16" t="s">
        <v>70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0A21-37CF-4158-AFB5-D8B1065D7F22}"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46152</v>
      </c>
      <c r="G1" s="20">
        <v>46152</v>
      </c>
      <c r="H1" s="20">
        <v>46152</v>
      </c>
      <c r="I1" s="20">
        <v>46152</v>
      </c>
      <c r="J1" s="20">
        <v>46152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5" t="s">
        <v>7</v>
      </c>
      <c r="L3" s="125" t="s">
        <v>19</v>
      </c>
      <c r="M3" s="125" t="s">
        <v>20</v>
      </c>
      <c r="N3" s="12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/>
      <c r="B5" s="58"/>
      <c r="C5" s="79"/>
      <c r="D5" s="80"/>
      <c r="E5" s="49"/>
      <c r="F5" s="20"/>
      <c r="G5" s="20"/>
      <c r="H5" s="37"/>
      <c r="I5" s="37"/>
      <c r="J5" s="68"/>
      <c r="K5" s="14">
        <f t="shared" ref="K5:L5" si="0">$F$1-F5</f>
        <v>46152</v>
      </c>
      <c r="L5" s="14">
        <f t="shared" si="0"/>
        <v>46152</v>
      </c>
      <c r="M5" s="14"/>
      <c r="N5" s="14"/>
      <c r="O5" s="16"/>
      <c r="P5" s="58"/>
      <c r="Q5" s="58" t="s">
        <v>51</v>
      </c>
      <c r="R5" s="91" t="s">
        <v>30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/>
      <c r="R6" s="90" t="s">
        <v>46</v>
      </c>
      <c r="S6" s="69"/>
    </row>
    <row r="7" spans="1:66" s="7" customFormat="1" x14ac:dyDescent="0.25">
      <c r="A7" s="78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90"/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7" si="1">$F$1-F14</f>
        <v>68</v>
      </c>
      <c r="L14" s="14">
        <f t="shared" si="1"/>
        <v>68</v>
      </c>
      <c r="M14" s="14"/>
      <c r="N14" s="14"/>
      <c r="O14" s="16" t="s">
        <v>70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90" t="s">
        <v>65</v>
      </c>
      <c r="C15" s="6" t="s">
        <v>29</v>
      </c>
      <c r="D15" s="36" t="s">
        <v>28</v>
      </c>
      <c r="E15" s="49">
        <v>2023</v>
      </c>
      <c r="F15" s="20">
        <v>46150</v>
      </c>
      <c r="G15" s="20">
        <v>46150</v>
      </c>
      <c r="H15" s="37"/>
      <c r="I15" s="37"/>
      <c r="J15" s="68"/>
      <c r="K15" s="14">
        <f t="shared" si="1"/>
        <v>2</v>
      </c>
      <c r="L15" s="14">
        <f t="shared" si="1"/>
        <v>2</v>
      </c>
      <c r="M15" s="14"/>
      <c r="N15" s="14"/>
      <c r="O15" s="16" t="s">
        <v>93</v>
      </c>
      <c r="P15" s="58" t="s">
        <v>10</v>
      </c>
      <c r="Q15" s="16"/>
      <c r="R15" s="70"/>
      <c r="S15" s="69"/>
    </row>
    <row r="16" spans="1:66" s="7" customFormat="1" ht="27" customHeight="1" x14ac:dyDescent="0.25">
      <c r="A16" s="126">
        <v>3</v>
      </c>
      <c r="B16" s="58" t="s">
        <v>95</v>
      </c>
      <c r="C16" s="6" t="s">
        <v>29</v>
      </c>
      <c r="D16" s="36" t="s">
        <v>28</v>
      </c>
      <c r="E16" s="49">
        <v>2023</v>
      </c>
      <c r="F16" s="20">
        <v>46151</v>
      </c>
      <c r="G16" s="20">
        <v>46151</v>
      </c>
      <c r="H16" s="37"/>
      <c r="I16" s="37"/>
      <c r="J16" s="68"/>
      <c r="K16" s="14">
        <f t="shared" si="1"/>
        <v>1</v>
      </c>
      <c r="L16" s="14">
        <f t="shared" si="1"/>
        <v>1</v>
      </c>
      <c r="M16" s="14"/>
      <c r="N16" s="14"/>
      <c r="O16" s="16" t="s">
        <v>97</v>
      </c>
      <c r="P16" s="58"/>
      <c r="Q16" s="16"/>
      <c r="R16" s="70"/>
      <c r="S16" s="69"/>
    </row>
    <row r="17" spans="1:66" s="7" customFormat="1" ht="27" customHeight="1" x14ac:dyDescent="0.25">
      <c r="A17" s="78">
        <v>4</v>
      </c>
      <c r="B17" s="58" t="s">
        <v>9</v>
      </c>
      <c r="C17" s="79" t="s">
        <v>32</v>
      </c>
      <c r="D17" s="80" t="s">
        <v>28</v>
      </c>
      <c r="E17" s="49">
        <v>2010</v>
      </c>
      <c r="F17" s="20">
        <v>46151</v>
      </c>
      <c r="G17" s="20">
        <v>46151</v>
      </c>
      <c r="H17" s="37"/>
      <c r="I17" s="37"/>
      <c r="J17" s="68"/>
      <c r="K17" s="14">
        <f t="shared" si="1"/>
        <v>1</v>
      </c>
      <c r="L17" s="14">
        <f t="shared" si="1"/>
        <v>1</v>
      </c>
      <c r="M17" s="14"/>
      <c r="N17" s="14"/>
      <c r="O17" s="16" t="s">
        <v>96</v>
      </c>
      <c r="P17" s="58"/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C83C-E28F-4D8F-B86F-128CBB44A592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46153</v>
      </c>
      <c r="G1" s="20">
        <v>46153</v>
      </c>
      <c r="H1" s="20">
        <v>46153</v>
      </c>
      <c r="I1" s="20">
        <v>46153</v>
      </c>
      <c r="J1" s="20">
        <v>46153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7" t="s">
        <v>7</v>
      </c>
      <c r="L3" s="127" t="s">
        <v>19</v>
      </c>
      <c r="M3" s="127" t="s">
        <v>20</v>
      </c>
      <c r="N3" s="12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60" t="s">
        <v>98</v>
      </c>
      <c r="C5" s="8" t="s">
        <v>29</v>
      </c>
      <c r="D5" s="48" t="s">
        <v>28</v>
      </c>
      <c r="E5" s="51">
        <v>2023</v>
      </c>
      <c r="F5" s="55">
        <v>46153</v>
      </c>
      <c r="G5" s="55">
        <v>46153</v>
      </c>
      <c r="H5" s="47"/>
      <c r="I5" s="47"/>
      <c r="J5" s="66"/>
      <c r="K5" s="21">
        <f t="shared" ref="K5:L5" si="0">$F$1-F5</f>
        <v>0</v>
      </c>
      <c r="L5" s="21">
        <f t="shared" si="0"/>
        <v>0</v>
      </c>
      <c r="M5" s="21"/>
      <c r="N5" s="21"/>
      <c r="O5" s="61" t="s">
        <v>99</v>
      </c>
      <c r="P5" s="58"/>
      <c r="Q5" s="58"/>
      <c r="R5" s="91" t="s">
        <v>30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/>
      <c r="R6" s="90" t="s">
        <v>46</v>
      </c>
      <c r="S6" s="69"/>
    </row>
    <row r="7" spans="1:66" s="7" customFormat="1" x14ac:dyDescent="0.25">
      <c r="A7" s="78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90"/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1">$F$1-F14</f>
        <v>69</v>
      </c>
      <c r="L14" s="14">
        <f t="shared" si="1"/>
        <v>69</v>
      </c>
      <c r="M14" s="14"/>
      <c r="N14" s="14"/>
      <c r="O14" s="16" t="s">
        <v>70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90" t="s">
        <v>65</v>
      </c>
      <c r="C15" s="6" t="s">
        <v>29</v>
      </c>
      <c r="D15" s="36" t="s">
        <v>28</v>
      </c>
      <c r="E15" s="49">
        <v>2023</v>
      </c>
      <c r="F15" s="20">
        <v>46150</v>
      </c>
      <c r="G15" s="20">
        <v>46150</v>
      </c>
      <c r="H15" s="37"/>
      <c r="I15" s="37"/>
      <c r="J15" s="68"/>
      <c r="K15" s="14">
        <f t="shared" si="1"/>
        <v>3</v>
      </c>
      <c r="L15" s="14">
        <f t="shared" si="1"/>
        <v>3</v>
      </c>
      <c r="M15" s="14"/>
      <c r="N15" s="14"/>
      <c r="O15" s="16" t="s">
        <v>93</v>
      </c>
      <c r="P15" s="58" t="s">
        <v>10</v>
      </c>
      <c r="Q15" s="16"/>
      <c r="R15" s="70"/>
      <c r="S15" s="69"/>
    </row>
    <row r="16" spans="1:66" s="7" customFormat="1" ht="27" customHeight="1" x14ac:dyDescent="0.25">
      <c r="A16" s="78">
        <v>3</v>
      </c>
      <c r="B16" s="58" t="s">
        <v>9</v>
      </c>
      <c r="C16" s="79" t="s">
        <v>32</v>
      </c>
      <c r="D16" s="80" t="s">
        <v>28</v>
      </c>
      <c r="E16" s="49">
        <v>2010</v>
      </c>
      <c r="F16" s="20">
        <v>46151</v>
      </c>
      <c r="G16" s="20">
        <v>46151</v>
      </c>
      <c r="H16" s="37"/>
      <c r="I16" s="37"/>
      <c r="J16" s="68"/>
      <c r="K16" s="14">
        <f t="shared" si="1"/>
        <v>2</v>
      </c>
      <c r="L16" s="14">
        <f t="shared" si="1"/>
        <v>2</v>
      </c>
      <c r="M16" s="14"/>
      <c r="N16" s="14"/>
      <c r="O16" s="16" t="s">
        <v>96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6D50-314A-4B4B-8598-E546B7DE731D}">
  <dimension ref="A1:BN19"/>
  <sheetViews>
    <sheetView workbookViewId="0">
      <selection activeCell="O10" sqref="O10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46154</v>
      </c>
      <c r="G1" s="20">
        <v>46154</v>
      </c>
      <c r="H1" s="20">
        <v>46154</v>
      </c>
      <c r="I1" s="20">
        <v>46154</v>
      </c>
      <c r="J1" s="20">
        <v>46154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8" t="s">
        <v>7</v>
      </c>
      <c r="L3" s="128" t="s">
        <v>19</v>
      </c>
      <c r="M3" s="128" t="s">
        <v>20</v>
      </c>
      <c r="N3" s="12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100</v>
      </c>
      <c r="C5" s="6" t="s">
        <v>29</v>
      </c>
      <c r="D5" s="36" t="s">
        <v>28</v>
      </c>
      <c r="E5" s="49">
        <v>2023</v>
      </c>
      <c r="F5" s="20">
        <v>46154</v>
      </c>
      <c r="G5" s="20">
        <v>46154</v>
      </c>
      <c r="H5" s="37"/>
      <c r="I5" s="37"/>
      <c r="J5" s="68"/>
      <c r="K5" s="14">
        <f t="shared" ref="K5" si="0">$F$1-F5</f>
        <v>0</v>
      </c>
      <c r="L5" s="14">
        <f t="shared" ref="L5" si="1">$F$1-G5</f>
        <v>0</v>
      </c>
      <c r="M5" s="14"/>
      <c r="N5" s="14"/>
      <c r="O5" s="16" t="s">
        <v>101</v>
      </c>
      <c r="P5" s="58" t="s">
        <v>10</v>
      </c>
      <c r="Q5" s="58" t="s">
        <v>98</v>
      </c>
      <c r="R5" s="91" t="s">
        <v>30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0" t="s">
        <v>65</v>
      </c>
      <c r="R6" s="90" t="s">
        <v>46</v>
      </c>
      <c r="S6" s="69"/>
    </row>
    <row r="7" spans="1:66" s="7" customFormat="1" x14ac:dyDescent="0.25">
      <c r="A7" s="78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90"/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7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5" si="2">$F$1-F14</f>
        <v>70</v>
      </c>
      <c r="L14" s="14">
        <f t="shared" si="2"/>
        <v>70</v>
      </c>
      <c r="M14" s="14"/>
      <c r="N14" s="14"/>
      <c r="O14" s="16" t="s">
        <v>70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46151</v>
      </c>
      <c r="G15" s="20">
        <v>46151</v>
      </c>
      <c r="H15" s="37"/>
      <c r="I15" s="37"/>
      <c r="J15" s="68"/>
      <c r="K15" s="14">
        <f t="shared" si="2"/>
        <v>3</v>
      </c>
      <c r="L15" s="14">
        <f t="shared" si="2"/>
        <v>3</v>
      </c>
      <c r="M15" s="14"/>
      <c r="N15" s="14"/>
      <c r="O15" s="16" t="s">
        <v>96</v>
      </c>
      <c r="P15" s="58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787E-1A7F-4A62-B3E2-086BABE17AF6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46155</v>
      </c>
      <c r="G1" s="20">
        <v>46155</v>
      </c>
      <c r="H1" s="20">
        <v>46155</v>
      </c>
      <c r="I1" s="20">
        <v>46155</v>
      </c>
      <c r="J1" s="20">
        <v>46155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29" t="s">
        <v>7</v>
      </c>
      <c r="L3" s="129" t="s">
        <v>19</v>
      </c>
      <c r="M3" s="129" t="s">
        <v>20</v>
      </c>
      <c r="N3" s="12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/>
      <c r="C5" s="6"/>
      <c r="D5" s="36"/>
      <c r="E5" s="49"/>
      <c r="F5" s="20"/>
      <c r="G5" s="20"/>
      <c r="H5" s="37"/>
      <c r="I5" s="37"/>
      <c r="J5" s="68"/>
      <c r="K5" s="14">
        <f t="shared" ref="K5:L5" si="0">$F$1-F5</f>
        <v>46155</v>
      </c>
      <c r="L5" s="14">
        <f t="shared" si="0"/>
        <v>46155</v>
      </c>
      <c r="M5" s="14"/>
      <c r="N5" s="14"/>
      <c r="O5" s="16"/>
      <c r="P5" s="58"/>
      <c r="Q5" s="58"/>
      <c r="R5" s="91" t="s">
        <v>30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0"/>
      <c r="R6" s="90" t="s">
        <v>46</v>
      </c>
      <c r="S6" s="69"/>
    </row>
    <row r="7" spans="1:66" s="7" customFormat="1" x14ac:dyDescent="0.25">
      <c r="A7" s="78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58" t="s">
        <v>10</v>
      </c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5" si="1">$F$1-F14</f>
        <v>71</v>
      </c>
      <c r="L14" s="14">
        <f t="shared" si="1"/>
        <v>71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46151</v>
      </c>
      <c r="G15" s="20">
        <v>46151</v>
      </c>
      <c r="H15" s="37"/>
      <c r="I15" s="37"/>
      <c r="J15" s="68"/>
      <c r="K15" s="14">
        <f t="shared" si="1"/>
        <v>4</v>
      </c>
      <c r="L15" s="14">
        <f t="shared" si="1"/>
        <v>4</v>
      </c>
      <c r="M15" s="14"/>
      <c r="N15" s="14"/>
      <c r="O15" s="16" t="s">
        <v>96</v>
      </c>
      <c r="P15" s="58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F987-86BE-4DA6-A9CD-349A2D233F19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46156</v>
      </c>
      <c r="G1" s="20">
        <v>46156</v>
      </c>
      <c r="H1" s="20">
        <v>46156</v>
      </c>
      <c r="I1" s="20">
        <v>46156</v>
      </c>
      <c r="J1" s="20">
        <v>46156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0" t="s">
        <v>7</v>
      </c>
      <c r="L3" s="130" t="s">
        <v>19</v>
      </c>
      <c r="M3" s="130" t="s">
        <v>20</v>
      </c>
      <c r="N3" s="13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100</v>
      </c>
      <c r="C5" s="6" t="s">
        <v>29</v>
      </c>
      <c r="D5" s="36" t="s">
        <v>28</v>
      </c>
      <c r="E5" s="49">
        <v>2023</v>
      </c>
      <c r="F5" s="20">
        <v>46156</v>
      </c>
      <c r="G5" s="20">
        <v>46156</v>
      </c>
      <c r="H5" s="37"/>
      <c r="I5" s="37"/>
      <c r="J5" s="68"/>
      <c r="K5" s="14">
        <f t="shared" ref="K5:L5" si="0">$F$1-F5</f>
        <v>0</v>
      </c>
      <c r="L5" s="14">
        <f t="shared" si="0"/>
        <v>0</v>
      </c>
      <c r="M5" s="14"/>
      <c r="N5" s="14"/>
      <c r="O5" s="16" t="s">
        <v>103</v>
      </c>
      <c r="P5" s="58" t="s">
        <v>10</v>
      </c>
      <c r="Q5" s="58"/>
      <c r="R5" s="91" t="s">
        <v>30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0"/>
      <c r="R6" s="90" t="s">
        <v>46</v>
      </c>
      <c r="S6" s="69"/>
    </row>
    <row r="7" spans="1:66" s="7" customFormat="1" x14ac:dyDescent="0.25">
      <c r="A7" s="78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58"/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5" si="1">$F$1-F14</f>
        <v>72</v>
      </c>
      <c r="L14" s="14">
        <f t="shared" si="1"/>
        <v>72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46151</v>
      </c>
      <c r="G15" s="20">
        <v>46151</v>
      </c>
      <c r="H15" s="37"/>
      <c r="I15" s="37"/>
      <c r="J15" s="68"/>
      <c r="K15" s="14">
        <f t="shared" si="1"/>
        <v>5</v>
      </c>
      <c r="L15" s="14">
        <f t="shared" si="1"/>
        <v>5</v>
      </c>
      <c r="M15" s="14"/>
      <c r="N15" s="14"/>
      <c r="O15" s="16" t="s">
        <v>104</v>
      </c>
      <c r="P15" s="58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0955-1623-457D-AED9-4302F61B8AD3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46157</v>
      </c>
      <c r="G1" s="20">
        <v>46157</v>
      </c>
      <c r="H1" s="20">
        <v>46157</v>
      </c>
      <c r="I1" s="20">
        <v>46157</v>
      </c>
      <c r="J1" s="20">
        <v>46157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1" t="s">
        <v>7</v>
      </c>
      <c r="L3" s="131" t="s">
        <v>19</v>
      </c>
      <c r="M3" s="131" t="s">
        <v>20</v>
      </c>
      <c r="N3" s="13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0</v>
      </c>
      <c r="L5" s="14">
        <f t="shared" si="0"/>
        <v>0</v>
      </c>
      <c r="M5" s="14"/>
      <c r="N5" s="14"/>
      <c r="O5" s="16" t="s">
        <v>105</v>
      </c>
      <c r="P5" s="58" t="s">
        <v>106</v>
      </c>
      <c r="Q5" s="58"/>
      <c r="R5" s="91" t="s">
        <v>30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90"/>
      <c r="R6" s="90" t="s">
        <v>46</v>
      </c>
      <c r="S6" s="69"/>
    </row>
    <row r="7" spans="1:66" s="7" customFormat="1" x14ac:dyDescent="0.25">
      <c r="A7" s="78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58"/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1">$F$1-F14</f>
        <v>73</v>
      </c>
      <c r="L14" s="14">
        <f t="shared" si="1"/>
        <v>73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46151</v>
      </c>
      <c r="G15" s="20">
        <v>46151</v>
      </c>
      <c r="H15" s="37"/>
      <c r="I15" s="37"/>
      <c r="J15" s="68"/>
      <c r="K15" s="14">
        <f t="shared" si="1"/>
        <v>6</v>
      </c>
      <c r="L15" s="14">
        <f t="shared" si="1"/>
        <v>6</v>
      </c>
      <c r="M15" s="14"/>
      <c r="N15" s="14"/>
      <c r="O15" s="16" t="s">
        <v>104</v>
      </c>
      <c r="P15" s="58"/>
      <c r="Q15" s="16"/>
      <c r="R15" s="70"/>
      <c r="S15" s="69"/>
    </row>
    <row r="16" spans="1:66" s="7" customFormat="1" ht="27" customHeight="1" x14ac:dyDescent="0.25">
      <c r="A16" s="78">
        <v>3</v>
      </c>
      <c r="B16" s="90" t="s">
        <v>100</v>
      </c>
      <c r="C16" s="6" t="s">
        <v>29</v>
      </c>
      <c r="D16" s="36" t="s">
        <v>28</v>
      </c>
      <c r="E16" s="49">
        <v>2023</v>
      </c>
      <c r="F16" s="20">
        <v>46156</v>
      </c>
      <c r="G16" s="20">
        <v>46156</v>
      </c>
      <c r="H16" s="37"/>
      <c r="I16" s="37"/>
      <c r="J16" s="68"/>
      <c r="K16" s="14">
        <f t="shared" si="1"/>
        <v>1</v>
      </c>
      <c r="L16" s="14">
        <f t="shared" si="1"/>
        <v>1</v>
      </c>
      <c r="M16" s="14"/>
      <c r="N16" s="14"/>
      <c r="O16" s="16" t="s">
        <v>103</v>
      </c>
      <c r="P16" s="58" t="s">
        <v>10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3952-3247-457B-AC76-062082468262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46158</v>
      </c>
      <c r="G1" s="20">
        <v>46158</v>
      </c>
      <c r="H1" s="20">
        <v>46158</v>
      </c>
      <c r="I1" s="20">
        <v>46158</v>
      </c>
      <c r="J1" s="20">
        <v>46158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2" t="s">
        <v>7</v>
      </c>
      <c r="L3" s="132" t="s">
        <v>19</v>
      </c>
      <c r="M3" s="132" t="s">
        <v>20</v>
      </c>
      <c r="N3" s="13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1</v>
      </c>
      <c r="L5" s="14">
        <f t="shared" si="0"/>
        <v>1</v>
      </c>
      <c r="M5" s="14"/>
      <c r="N5" s="14"/>
      <c r="O5" s="16" t="s">
        <v>109</v>
      </c>
      <c r="P5" s="58" t="s">
        <v>106</v>
      </c>
      <c r="Q5" s="90" t="s">
        <v>100</v>
      </c>
      <c r="R5" s="91" t="s">
        <v>30</v>
      </c>
      <c r="S5" s="63"/>
    </row>
    <row r="6" spans="1:66" s="7" customFormat="1" x14ac:dyDescent="0.25">
      <c r="A6" s="78">
        <v>2</v>
      </c>
      <c r="B6" s="90" t="s">
        <v>107</v>
      </c>
      <c r="C6" s="79" t="s">
        <v>32</v>
      </c>
      <c r="D6" s="80" t="s">
        <v>28</v>
      </c>
      <c r="E6" s="49">
        <v>2018</v>
      </c>
      <c r="F6" s="20">
        <v>46158</v>
      </c>
      <c r="G6" s="20">
        <v>46158</v>
      </c>
      <c r="H6" s="37"/>
      <c r="I6" s="37"/>
      <c r="J6" s="68"/>
      <c r="K6" s="14">
        <f t="shared" ref="K6" si="1">$F$1-F6</f>
        <v>0</v>
      </c>
      <c r="L6" s="14">
        <f t="shared" ref="L6" si="2">$F$1-G6</f>
        <v>0</v>
      </c>
      <c r="M6" s="14"/>
      <c r="N6" s="14"/>
      <c r="O6" s="16" t="s">
        <v>108</v>
      </c>
      <c r="P6" s="58" t="s">
        <v>10</v>
      </c>
      <c r="Q6" s="90"/>
      <c r="R6" s="90" t="s">
        <v>46</v>
      </c>
      <c r="S6" s="69"/>
    </row>
    <row r="7" spans="1:66" s="7" customFormat="1" x14ac:dyDescent="0.25">
      <c r="A7" s="78"/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58" t="s">
        <v>110</v>
      </c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5" si="3">$F$1-F14</f>
        <v>74</v>
      </c>
      <c r="L14" s="14">
        <f t="shared" si="3"/>
        <v>74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46151</v>
      </c>
      <c r="G15" s="20">
        <v>46151</v>
      </c>
      <c r="H15" s="37"/>
      <c r="I15" s="37"/>
      <c r="J15" s="68"/>
      <c r="K15" s="14">
        <f t="shared" si="3"/>
        <v>7</v>
      </c>
      <c r="L15" s="14">
        <f t="shared" si="3"/>
        <v>7</v>
      </c>
      <c r="M15" s="14"/>
      <c r="N15" s="14"/>
      <c r="O15" s="16" t="s">
        <v>96</v>
      </c>
      <c r="P15" s="58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E90B-8015-447A-BEC2-04455F1A9F62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46159</v>
      </c>
      <c r="G1" s="20">
        <v>46159</v>
      </c>
      <c r="H1" s="20">
        <v>46159</v>
      </c>
      <c r="I1" s="20">
        <v>46159</v>
      </c>
      <c r="J1" s="20">
        <v>46159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3" t="s">
        <v>7</v>
      </c>
      <c r="L3" s="133" t="s">
        <v>19</v>
      </c>
      <c r="M3" s="133" t="s">
        <v>20</v>
      </c>
      <c r="N3" s="13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2</v>
      </c>
      <c r="L5" s="14">
        <f t="shared" si="0"/>
        <v>2</v>
      </c>
      <c r="M5" s="14"/>
      <c r="N5" s="14"/>
      <c r="O5" s="16" t="s">
        <v>109</v>
      </c>
      <c r="P5" s="58" t="s">
        <v>106</v>
      </c>
      <c r="Q5" s="90"/>
      <c r="R5" s="91" t="s">
        <v>30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ref="K6" si="1">$F$1-F6</f>
        <v>1</v>
      </c>
      <c r="L6" s="14">
        <f t="shared" ref="L6" si="2">$F$1-G6</f>
        <v>1</v>
      </c>
      <c r="M6" s="14"/>
      <c r="N6" s="14"/>
      <c r="O6" s="16" t="s">
        <v>105</v>
      </c>
      <c r="P6" s="58"/>
      <c r="Q6" s="90"/>
      <c r="R6" s="90" t="s">
        <v>46</v>
      </c>
      <c r="S6" s="69"/>
    </row>
    <row r="7" spans="1:66" s="7" customFormat="1" x14ac:dyDescent="0.25">
      <c r="A7" s="78">
        <v>3</v>
      </c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92"/>
      <c r="R7" s="90" t="s">
        <v>31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0" t="s">
        <v>26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58" t="s">
        <v>110</v>
      </c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3">$F$1-F14</f>
        <v>75</v>
      </c>
      <c r="L14" s="14">
        <f t="shared" si="3"/>
        <v>75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46151</v>
      </c>
      <c r="G15" s="20">
        <v>46151</v>
      </c>
      <c r="H15" s="37"/>
      <c r="I15" s="37"/>
      <c r="J15" s="68"/>
      <c r="K15" s="14">
        <f t="shared" si="3"/>
        <v>8</v>
      </c>
      <c r="L15" s="14">
        <f t="shared" si="3"/>
        <v>8</v>
      </c>
      <c r="M15" s="14"/>
      <c r="N15" s="14"/>
      <c r="O15" s="16" t="s">
        <v>96</v>
      </c>
      <c r="P15" s="58"/>
      <c r="Q15" s="16"/>
      <c r="R15" s="70"/>
      <c r="S15" s="69"/>
    </row>
    <row r="16" spans="1:66" s="7" customFormat="1" ht="27" customHeight="1" x14ac:dyDescent="0.25">
      <c r="A16" s="78">
        <v>3</v>
      </c>
      <c r="B16" s="90" t="s">
        <v>107</v>
      </c>
      <c r="C16" s="79" t="s">
        <v>32</v>
      </c>
      <c r="D16" s="80" t="s">
        <v>28</v>
      </c>
      <c r="E16" s="49">
        <v>2018</v>
      </c>
      <c r="F16" s="20">
        <v>46158</v>
      </c>
      <c r="G16" s="20">
        <v>46158</v>
      </c>
      <c r="H16" s="37"/>
      <c r="I16" s="37"/>
      <c r="J16" s="68"/>
      <c r="K16" s="14">
        <f t="shared" si="3"/>
        <v>1</v>
      </c>
      <c r="L16" s="14">
        <f t="shared" si="3"/>
        <v>1</v>
      </c>
      <c r="M16" s="14"/>
      <c r="N16" s="14"/>
      <c r="O16" s="16" t="s">
        <v>108</v>
      </c>
      <c r="P16" s="58" t="s">
        <v>10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900D-F876-4A69-BB3F-B9BC8FDE2670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46160</v>
      </c>
      <c r="G1" s="20">
        <v>46160</v>
      </c>
      <c r="H1" s="20">
        <v>46160</v>
      </c>
      <c r="I1" s="20">
        <v>46160</v>
      </c>
      <c r="J1" s="20">
        <v>46160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4" t="s">
        <v>7</v>
      </c>
      <c r="L3" s="134" t="s">
        <v>19</v>
      </c>
      <c r="M3" s="134" t="s">
        <v>20</v>
      </c>
      <c r="N3" s="13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3</v>
      </c>
      <c r="L5" s="14">
        <f t="shared" si="0"/>
        <v>3</v>
      </c>
      <c r="M5" s="14"/>
      <c r="N5" s="14"/>
      <c r="O5" s="16" t="s">
        <v>109</v>
      </c>
      <c r="P5" s="60" t="s">
        <v>112</v>
      </c>
      <c r="Q5" s="92" t="s">
        <v>30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2</v>
      </c>
      <c r="L6" s="14">
        <f t="shared" si="0"/>
        <v>2</v>
      </c>
      <c r="M6" s="14"/>
      <c r="N6" s="14"/>
      <c r="O6" s="16" t="s">
        <v>105</v>
      </c>
      <c r="P6" s="92" t="s">
        <v>30</v>
      </c>
      <c r="Q6" s="93" t="s">
        <v>26</v>
      </c>
      <c r="R6" s="90" t="s">
        <v>31</v>
      </c>
      <c r="S6" s="69"/>
    </row>
    <row r="7" spans="1:66" s="7" customFormat="1" x14ac:dyDescent="0.25">
      <c r="A7" s="78">
        <v>3</v>
      </c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60" t="s">
        <v>110</v>
      </c>
      <c r="R7" s="93" t="s">
        <v>113</v>
      </c>
      <c r="S7" s="69"/>
    </row>
    <row r="8" spans="1:66" s="7" customFormat="1" x14ac:dyDescent="0.25">
      <c r="A8" s="78"/>
      <c r="B8" s="60"/>
      <c r="C8" s="88"/>
      <c r="D8" s="89"/>
      <c r="E8" s="51"/>
      <c r="F8" s="55"/>
      <c r="G8" s="55"/>
      <c r="H8" s="37"/>
      <c r="I8" s="37"/>
      <c r="J8" s="68"/>
      <c r="K8" s="21"/>
      <c r="L8" s="21"/>
      <c r="M8" s="14"/>
      <c r="N8" s="14"/>
      <c r="O8" s="61"/>
      <c r="P8" s="58"/>
      <c r="Q8" s="92"/>
      <c r="R8" s="93" t="s">
        <v>114</v>
      </c>
      <c r="S8" s="69"/>
    </row>
    <row r="9" spans="1:66" s="7" customFormat="1" x14ac:dyDescent="0.25">
      <c r="A9" s="78"/>
      <c r="B9" s="58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58"/>
      <c r="Q9" s="92"/>
      <c r="R9" s="60" t="s">
        <v>50</v>
      </c>
      <c r="S9" s="69"/>
    </row>
    <row r="10" spans="1:66" s="7" customFormat="1" x14ac:dyDescent="0.25">
      <c r="A10" s="78"/>
      <c r="B10" s="58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58"/>
      <c r="Q10" s="92"/>
      <c r="R10" s="9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1">$F$1-F14</f>
        <v>76</v>
      </c>
      <c r="L14" s="14">
        <f t="shared" si="1"/>
        <v>76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7" customFormat="1" ht="27" customHeight="1" x14ac:dyDescent="0.25">
      <c r="A15" s="78">
        <v>2</v>
      </c>
      <c r="B15" s="58" t="s">
        <v>9</v>
      </c>
      <c r="C15" s="79" t="s">
        <v>32</v>
      </c>
      <c r="D15" s="80" t="s">
        <v>28</v>
      </c>
      <c r="E15" s="49">
        <v>2010</v>
      </c>
      <c r="F15" s="20">
        <v>46151</v>
      </c>
      <c r="G15" s="20">
        <v>46151</v>
      </c>
      <c r="H15" s="37"/>
      <c r="I15" s="37"/>
      <c r="J15" s="68"/>
      <c r="K15" s="14">
        <f t="shared" si="1"/>
        <v>9</v>
      </c>
      <c r="L15" s="14">
        <f t="shared" si="1"/>
        <v>9</v>
      </c>
      <c r="M15" s="14"/>
      <c r="N15" s="14"/>
      <c r="O15" s="16" t="s">
        <v>96</v>
      </c>
      <c r="P15" s="58"/>
      <c r="Q15" s="16"/>
      <c r="R15" s="70"/>
      <c r="S15" s="69"/>
    </row>
    <row r="16" spans="1:66" s="7" customFormat="1" ht="27" customHeight="1" x14ac:dyDescent="0.25">
      <c r="A16" s="78">
        <v>3</v>
      </c>
      <c r="B16" s="90" t="s">
        <v>107</v>
      </c>
      <c r="C16" s="79" t="s">
        <v>32</v>
      </c>
      <c r="D16" s="80" t="s">
        <v>28</v>
      </c>
      <c r="E16" s="49">
        <v>2018</v>
      </c>
      <c r="F16" s="20">
        <v>46158</v>
      </c>
      <c r="G16" s="20">
        <v>46158</v>
      </c>
      <c r="H16" s="37"/>
      <c r="I16" s="37"/>
      <c r="J16" s="68"/>
      <c r="K16" s="14">
        <f t="shared" si="1"/>
        <v>2</v>
      </c>
      <c r="L16" s="14">
        <f t="shared" si="1"/>
        <v>2</v>
      </c>
      <c r="M16" s="14"/>
      <c r="N16" s="14"/>
      <c r="O16" s="16" t="s">
        <v>108</v>
      </c>
      <c r="P16" s="58" t="s">
        <v>10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88791-0B9E-4601-A4FC-A4C52125A11A}">
  <dimension ref="A1:BN17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46161</v>
      </c>
      <c r="G1" s="20">
        <v>46161</v>
      </c>
      <c r="H1" s="20">
        <v>46161</v>
      </c>
      <c r="I1" s="20">
        <v>46161</v>
      </c>
      <c r="J1" s="20">
        <v>46161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5" t="s">
        <v>7</v>
      </c>
      <c r="L3" s="135" t="s">
        <v>19</v>
      </c>
      <c r="M3" s="135" t="s">
        <v>20</v>
      </c>
      <c r="N3" s="13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4</v>
      </c>
      <c r="L5" s="14">
        <f t="shared" si="0"/>
        <v>4</v>
      </c>
      <c r="M5" s="14"/>
      <c r="N5" s="14"/>
      <c r="O5" s="16" t="s">
        <v>109</v>
      </c>
      <c r="P5" s="60" t="s">
        <v>112</v>
      </c>
      <c r="Q5" s="93" t="s">
        <v>113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3</v>
      </c>
      <c r="L6" s="14">
        <f t="shared" si="0"/>
        <v>3</v>
      </c>
      <c r="M6" s="14"/>
      <c r="N6" s="14"/>
      <c r="O6" s="16" t="s">
        <v>105</v>
      </c>
      <c r="P6" s="92"/>
      <c r="Q6" s="93" t="s">
        <v>114</v>
      </c>
      <c r="R6" s="90" t="s">
        <v>31</v>
      </c>
      <c r="S6" s="69"/>
    </row>
    <row r="7" spans="1:66" s="7" customFormat="1" x14ac:dyDescent="0.25">
      <c r="A7" s="78">
        <v>3</v>
      </c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60" t="s">
        <v>50</v>
      </c>
      <c r="R7" s="93" t="s">
        <v>30</v>
      </c>
      <c r="S7" s="69"/>
    </row>
    <row r="8" spans="1:66" s="7" customFormat="1" ht="13.95" customHeight="1" x14ac:dyDescent="0.25">
      <c r="A8" s="52"/>
      <c r="B8" s="29"/>
      <c r="C8" s="12"/>
      <c r="D8" s="19"/>
      <c r="E8" s="18"/>
      <c r="F8" s="22"/>
      <c r="G8" s="22"/>
      <c r="H8" s="22"/>
      <c r="I8" s="22"/>
      <c r="J8" s="22"/>
      <c r="K8" s="18"/>
      <c r="L8" s="22"/>
      <c r="M8" s="22"/>
      <c r="N8" s="22"/>
      <c r="O8" s="30" t="s">
        <v>22</v>
      </c>
      <c r="P8" s="12"/>
      <c r="Q8" s="12"/>
      <c r="R8" s="19"/>
      <c r="S8" s="30"/>
    </row>
    <row r="9" spans="1:66" s="7" customFormat="1" ht="13.95" customHeigh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0"/>
      <c r="S9" s="46"/>
    </row>
    <row r="10" spans="1:66" s="35" customFormat="1" ht="13.95" customHeight="1" x14ac:dyDescent="0.25">
      <c r="A10" s="53"/>
      <c r="B10" s="31"/>
      <c r="C10" s="12"/>
      <c r="D10" s="19" t="s">
        <v>0</v>
      </c>
      <c r="E10" s="18"/>
      <c r="F10" s="32"/>
      <c r="G10" s="32"/>
      <c r="H10" s="32"/>
      <c r="I10" s="32"/>
      <c r="J10" s="32"/>
      <c r="K10" s="18"/>
      <c r="L10" s="32"/>
      <c r="M10" s="32"/>
      <c r="N10" s="32"/>
      <c r="O10" s="33" t="s">
        <v>23</v>
      </c>
      <c r="P10" s="19"/>
      <c r="Q10" s="19"/>
      <c r="R10" s="34"/>
      <c r="S10" s="3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s="7" customFormat="1" ht="39.6" customHeight="1" x14ac:dyDescent="0.25">
      <c r="A11" s="78">
        <v>1</v>
      </c>
      <c r="B11" s="58" t="s">
        <v>52</v>
      </c>
      <c r="C11" s="6" t="s">
        <v>29</v>
      </c>
      <c r="D11" s="36" t="s">
        <v>28</v>
      </c>
      <c r="E11" s="49">
        <v>2023</v>
      </c>
      <c r="F11" s="20">
        <v>46084</v>
      </c>
      <c r="G11" s="20">
        <v>46084</v>
      </c>
      <c r="H11" s="37"/>
      <c r="I11" s="37"/>
      <c r="J11" s="68"/>
      <c r="K11" s="14">
        <f t="shared" ref="K11:L13" si="1">$F$1-F11</f>
        <v>77</v>
      </c>
      <c r="L11" s="14">
        <f t="shared" si="1"/>
        <v>77</v>
      </c>
      <c r="M11" s="14"/>
      <c r="N11" s="14"/>
      <c r="O11" s="16" t="s">
        <v>102</v>
      </c>
      <c r="P11" s="58" t="s">
        <v>33</v>
      </c>
      <c r="Q11" s="16"/>
      <c r="R11" s="70"/>
      <c r="S11" s="69"/>
    </row>
    <row r="12" spans="1:66" s="7" customFormat="1" ht="27" customHeight="1" x14ac:dyDescent="0.25">
      <c r="A12" s="78">
        <v>2</v>
      </c>
      <c r="B12" s="58" t="s">
        <v>9</v>
      </c>
      <c r="C12" s="79" t="s">
        <v>32</v>
      </c>
      <c r="D12" s="80" t="s">
        <v>28</v>
      </c>
      <c r="E12" s="49">
        <v>2010</v>
      </c>
      <c r="F12" s="20">
        <v>46151</v>
      </c>
      <c r="G12" s="20">
        <v>46151</v>
      </c>
      <c r="H12" s="37"/>
      <c r="I12" s="37"/>
      <c r="J12" s="68"/>
      <c r="K12" s="14">
        <f t="shared" si="1"/>
        <v>10</v>
      </c>
      <c r="L12" s="14">
        <f t="shared" si="1"/>
        <v>10</v>
      </c>
      <c r="M12" s="14"/>
      <c r="N12" s="14"/>
      <c r="O12" s="16" t="s">
        <v>96</v>
      </c>
      <c r="P12" s="58"/>
      <c r="Q12" s="16"/>
      <c r="R12" s="70"/>
      <c r="S12" s="69"/>
    </row>
    <row r="13" spans="1:66" s="7" customFormat="1" ht="27" customHeight="1" x14ac:dyDescent="0.25">
      <c r="A13" s="78">
        <v>3</v>
      </c>
      <c r="B13" s="90" t="s">
        <v>107</v>
      </c>
      <c r="C13" s="79" t="s">
        <v>32</v>
      </c>
      <c r="D13" s="80" t="s">
        <v>28</v>
      </c>
      <c r="E13" s="49">
        <v>2018</v>
      </c>
      <c r="F13" s="20">
        <v>46158</v>
      </c>
      <c r="G13" s="20">
        <v>46158</v>
      </c>
      <c r="H13" s="37"/>
      <c r="I13" s="37"/>
      <c r="J13" s="68"/>
      <c r="K13" s="14">
        <f t="shared" si="1"/>
        <v>3</v>
      </c>
      <c r="L13" s="14">
        <f t="shared" si="1"/>
        <v>3</v>
      </c>
      <c r="M13" s="14"/>
      <c r="N13" s="14"/>
      <c r="O13" s="16" t="s">
        <v>108</v>
      </c>
      <c r="P13" s="58" t="s">
        <v>10</v>
      </c>
      <c r="Q13" s="16"/>
      <c r="R13" s="70"/>
      <c r="S13" s="69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37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13.95" customHeight="1" x14ac:dyDescent="0.3">
      <c r="A15" s="17"/>
      <c r="B15" s="77"/>
      <c r="C15" s="71"/>
      <c r="D15" s="77"/>
      <c r="E15" s="72"/>
      <c r="F15" s="73"/>
      <c r="G15" s="73"/>
      <c r="H15" s="73"/>
      <c r="I15" s="73"/>
      <c r="J15" s="73"/>
      <c r="K15" s="74"/>
      <c r="L15" s="73"/>
      <c r="M15" s="73"/>
      <c r="N15" s="73"/>
      <c r="O15" s="71"/>
      <c r="P15" s="76"/>
      <c r="Q15" s="76"/>
      <c r="R15" s="70"/>
      <c r="S15" s="75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38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/>
      <c r="P17" s="43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718B-E65B-4E25-A225-BA4A3FD453C1}">
  <dimension ref="A1:BN17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46162</v>
      </c>
      <c r="G1" s="20">
        <v>46162</v>
      </c>
      <c r="H1" s="20">
        <v>46162</v>
      </c>
      <c r="I1" s="20">
        <v>46162</v>
      </c>
      <c r="J1" s="20">
        <v>46162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6" t="s">
        <v>7</v>
      </c>
      <c r="L3" s="136" t="s">
        <v>19</v>
      </c>
      <c r="M3" s="136" t="s">
        <v>20</v>
      </c>
      <c r="N3" s="13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5</v>
      </c>
      <c r="L5" s="14">
        <f t="shared" si="0"/>
        <v>5</v>
      </c>
      <c r="M5" s="14"/>
      <c r="N5" s="14"/>
      <c r="O5" s="16" t="s">
        <v>109</v>
      </c>
      <c r="P5" s="60" t="s">
        <v>112</v>
      </c>
      <c r="Q5" s="93"/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4</v>
      </c>
      <c r="L6" s="14">
        <f t="shared" si="0"/>
        <v>4</v>
      </c>
      <c r="M6" s="14"/>
      <c r="N6" s="14"/>
      <c r="O6" s="16" t="s">
        <v>105</v>
      </c>
      <c r="P6" s="92" t="s">
        <v>115</v>
      </c>
      <c r="Q6" s="93"/>
      <c r="R6" s="90" t="s">
        <v>31</v>
      </c>
      <c r="S6" s="69"/>
    </row>
    <row r="7" spans="1:66" s="7" customFormat="1" x14ac:dyDescent="0.25">
      <c r="A7" s="78">
        <v>3</v>
      </c>
      <c r="B7" s="60"/>
      <c r="C7" s="8"/>
      <c r="D7" s="48"/>
      <c r="E7" s="51"/>
      <c r="F7" s="55"/>
      <c r="G7" s="55"/>
      <c r="H7" s="47"/>
      <c r="I7" s="47"/>
      <c r="J7" s="66"/>
      <c r="K7" s="21"/>
      <c r="L7" s="21"/>
      <c r="M7" s="21"/>
      <c r="N7" s="21"/>
      <c r="O7" s="61"/>
      <c r="P7" s="58"/>
      <c r="Q7" s="60"/>
      <c r="R7" s="93" t="s">
        <v>30</v>
      </c>
      <c r="S7" s="69"/>
    </row>
    <row r="8" spans="1:66" s="7" customFormat="1" ht="13.95" customHeight="1" x14ac:dyDescent="0.25">
      <c r="A8" s="52"/>
      <c r="B8" s="29"/>
      <c r="C8" s="12"/>
      <c r="D8" s="19"/>
      <c r="E8" s="18"/>
      <c r="F8" s="22"/>
      <c r="G8" s="22"/>
      <c r="H8" s="22"/>
      <c r="I8" s="22"/>
      <c r="J8" s="22"/>
      <c r="K8" s="18"/>
      <c r="L8" s="22"/>
      <c r="M8" s="22"/>
      <c r="N8" s="22"/>
      <c r="O8" s="30" t="s">
        <v>22</v>
      </c>
      <c r="P8" s="12"/>
      <c r="Q8" s="12"/>
      <c r="R8" s="19"/>
      <c r="S8" s="30"/>
    </row>
    <row r="9" spans="1:66" s="7" customFormat="1" ht="13.95" customHeigh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0"/>
      <c r="S9" s="46"/>
    </row>
    <row r="10" spans="1:66" s="35" customFormat="1" ht="13.95" customHeight="1" x14ac:dyDescent="0.25">
      <c r="A10" s="53"/>
      <c r="B10" s="31"/>
      <c r="C10" s="12"/>
      <c r="D10" s="19" t="s">
        <v>0</v>
      </c>
      <c r="E10" s="18"/>
      <c r="F10" s="32"/>
      <c r="G10" s="32"/>
      <c r="H10" s="32"/>
      <c r="I10" s="32"/>
      <c r="J10" s="32"/>
      <c r="K10" s="18"/>
      <c r="L10" s="32"/>
      <c r="M10" s="32"/>
      <c r="N10" s="32"/>
      <c r="O10" s="33" t="s">
        <v>23</v>
      </c>
      <c r="P10" s="19"/>
      <c r="Q10" s="19"/>
      <c r="R10" s="34"/>
      <c r="S10" s="3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s="7" customFormat="1" ht="39.6" customHeight="1" x14ac:dyDescent="0.25">
      <c r="A11" s="78">
        <v>1</v>
      </c>
      <c r="B11" s="58" t="s">
        <v>52</v>
      </c>
      <c r="C11" s="6" t="s">
        <v>29</v>
      </c>
      <c r="D11" s="36" t="s">
        <v>28</v>
      </c>
      <c r="E11" s="49">
        <v>2023</v>
      </c>
      <c r="F11" s="20">
        <v>46084</v>
      </c>
      <c r="G11" s="20">
        <v>46084</v>
      </c>
      <c r="H11" s="37"/>
      <c r="I11" s="37"/>
      <c r="J11" s="68"/>
      <c r="K11" s="14">
        <f t="shared" ref="K11:L13" si="1">$F$1-F11</f>
        <v>78</v>
      </c>
      <c r="L11" s="14">
        <f t="shared" si="1"/>
        <v>78</v>
      </c>
      <c r="M11" s="14"/>
      <c r="N11" s="14"/>
      <c r="O11" s="16" t="s">
        <v>102</v>
      </c>
      <c r="P11" s="58" t="s">
        <v>33</v>
      </c>
      <c r="Q11" s="16"/>
      <c r="R11" s="70"/>
      <c r="S11" s="69"/>
    </row>
    <row r="12" spans="1:66" s="7" customFormat="1" ht="27" customHeight="1" x14ac:dyDescent="0.25">
      <c r="A12" s="78">
        <v>2</v>
      </c>
      <c r="B12" s="58" t="s">
        <v>9</v>
      </c>
      <c r="C12" s="79" t="s">
        <v>32</v>
      </c>
      <c r="D12" s="80" t="s">
        <v>28</v>
      </c>
      <c r="E12" s="49">
        <v>2010</v>
      </c>
      <c r="F12" s="20">
        <v>46151</v>
      </c>
      <c r="G12" s="20">
        <v>46151</v>
      </c>
      <c r="H12" s="37"/>
      <c r="I12" s="37"/>
      <c r="J12" s="68"/>
      <c r="K12" s="14">
        <f t="shared" si="1"/>
        <v>11</v>
      </c>
      <c r="L12" s="14">
        <f t="shared" si="1"/>
        <v>11</v>
      </c>
      <c r="M12" s="14"/>
      <c r="N12" s="14"/>
      <c r="O12" s="16" t="s">
        <v>96</v>
      </c>
      <c r="P12" s="58"/>
      <c r="Q12" s="16"/>
      <c r="R12" s="70"/>
      <c r="S12" s="69"/>
    </row>
    <row r="13" spans="1:66" s="7" customFormat="1" ht="27" customHeight="1" x14ac:dyDescent="0.25">
      <c r="A13" s="78">
        <v>3</v>
      </c>
      <c r="B13" s="90" t="s">
        <v>107</v>
      </c>
      <c r="C13" s="79" t="s">
        <v>32</v>
      </c>
      <c r="D13" s="80" t="s">
        <v>28</v>
      </c>
      <c r="E13" s="49">
        <v>2018</v>
      </c>
      <c r="F13" s="20">
        <v>46158</v>
      </c>
      <c r="G13" s="20">
        <v>46158</v>
      </c>
      <c r="H13" s="37"/>
      <c r="I13" s="37"/>
      <c r="J13" s="68"/>
      <c r="K13" s="14">
        <f t="shared" si="1"/>
        <v>4</v>
      </c>
      <c r="L13" s="14">
        <f t="shared" si="1"/>
        <v>4</v>
      </c>
      <c r="M13" s="14"/>
      <c r="N13" s="14"/>
      <c r="O13" s="16" t="s">
        <v>108</v>
      </c>
      <c r="P13" s="58" t="s">
        <v>10</v>
      </c>
      <c r="Q13" s="16"/>
      <c r="R13" s="70"/>
      <c r="S13" s="69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37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13.95" customHeight="1" x14ac:dyDescent="0.3">
      <c r="A15" s="17"/>
      <c r="B15" s="77"/>
      <c r="C15" s="71"/>
      <c r="D15" s="77"/>
      <c r="E15" s="72"/>
      <c r="F15" s="73"/>
      <c r="G15" s="73"/>
      <c r="H15" s="73"/>
      <c r="I15" s="73"/>
      <c r="J15" s="73"/>
      <c r="K15" s="74"/>
      <c r="L15" s="73"/>
      <c r="M15" s="73"/>
      <c r="N15" s="73"/>
      <c r="O15" s="71"/>
      <c r="P15" s="76"/>
      <c r="Q15" s="76"/>
      <c r="R15" s="70"/>
      <c r="S15" s="75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38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/>
      <c r="P17" s="43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BD28-30A3-4E01-BAC2-5BBA4FF148A9}">
  <dimension ref="A1:BN16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46163</v>
      </c>
      <c r="G1" s="20">
        <v>46163</v>
      </c>
      <c r="H1" s="20">
        <v>46163</v>
      </c>
      <c r="I1" s="20">
        <v>46163</v>
      </c>
      <c r="J1" s="20">
        <v>46163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7" t="s">
        <v>7</v>
      </c>
      <c r="L3" s="137" t="s">
        <v>19</v>
      </c>
      <c r="M3" s="137" t="s">
        <v>20</v>
      </c>
      <c r="N3" s="13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6</v>
      </c>
      <c r="L5" s="14">
        <f t="shared" si="0"/>
        <v>6</v>
      </c>
      <c r="M5" s="14"/>
      <c r="N5" s="14"/>
      <c r="O5" s="16" t="s">
        <v>109</v>
      </c>
      <c r="P5" s="60" t="s">
        <v>112</v>
      </c>
      <c r="Q5" s="93" t="s">
        <v>107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5</v>
      </c>
      <c r="L6" s="14">
        <f t="shared" si="0"/>
        <v>5</v>
      </c>
      <c r="M6" s="14"/>
      <c r="N6" s="14"/>
      <c r="O6" s="16" t="s">
        <v>105</v>
      </c>
      <c r="P6" s="92" t="s">
        <v>115</v>
      </c>
      <c r="Q6" s="60" t="s">
        <v>9</v>
      </c>
      <c r="R6" s="90" t="s">
        <v>31</v>
      </c>
      <c r="S6" s="69"/>
    </row>
    <row r="7" spans="1:66" s="7" customFormat="1" x14ac:dyDescent="0.25">
      <c r="A7" s="139">
        <v>3</v>
      </c>
      <c r="B7" s="93" t="s">
        <v>116</v>
      </c>
      <c r="C7" s="88" t="s">
        <v>32</v>
      </c>
      <c r="D7" s="89" t="s">
        <v>28</v>
      </c>
      <c r="E7" s="51">
        <v>2010</v>
      </c>
      <c r="F7" s="55">
        <v>46163</v>
      </c>
      <c r="G7" s="55">
        <v>46163</v>
      </c>
      <c r="H7" s="47"/>
      <c r="I7" s="47"/>
      <c r="J7" s="66"/>
      <c r="K7" s="21">
        <f t="shared" ref="K7" si="1">$F$1-F7</f>
        <v>0</v>
      </c>
      <c r="L7" s="21">
        <f t="shared" ref="L7" si="2">$F$1-G7</f>
        <v>0</v>
      </c>
      <c r="M7" s="21"/>
      <c r="N7" s="21"/>
      <c r="O7" s="61" t="s">
        <v>117</v>
      </c>
      <c r="P7" s="60" t="s">
        <v>9</v>
      </c>
      <c r="Q7" s="60"/>
      <c r="R7" s="93" t="s">
        <v>30</v>
      </c>
      <c r="S7" s="69"/>
    </row>
    <row r="8" spans="1:66" s="7" customFormat="1" x14ac:dyDescent="0.25">
      <c r="A8" s="56"/>
      <c r="B8" s="67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60" t="s">
        <v>10</v>
      </c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39.6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2" si="3">$F$1-F12</f>
        <v>79</v>
      </c>
      <c r="L12" s="14">
        <f t="shared" si="3"/>
        <v>79</v>
      </c>
      <c r="M12" s="14"/>
      <c r="N12" s="14"/>
      <c r="O12" s="16" t="s">
        <v>102</v>
      </c>
      <c r="P12" s="58" t="s">
        <v>33</v>
      </c>
      <c r="Q12" s="16"/>
      <c r="R12" s="70"/>
      <c r="S12" s="69"/>
    </row>
    <row r="13" spans="1:66" s="35" customFormat="1" ht="13.95" customHeight="1" x14ac:dyDescent="0.3">
      <c r="A13" s="54"/>
      <c r="B13" s="38"/>
      <c r="C13" s="39"/>
      <c r="D13" s="38"/>
      <c r="E13" s="40"/>
      <c r="F13" s="41"/>
      <c r="G13" s="41"/>
      <c r="H13" s="41"/>
      <c r="I13" s="41"/>
      <c r="J13" s="41"/>
      <c r="K13" s="42"/>
      <c r="L13" s="41"/>
      <c r="M13" s="41"/>
      <c r="N13" s="41"/>
      <c r="O13" s="43" t="s">
        <v>37</v>
      </c>
      <c r="P13" s="44"/>
      <c r="Q13" s="44"/>
      <c r="R13" s="45"/>
      <c r="S13" s="4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13.95" customHeight="1" x14ac:dyDescent="0.3">
      <c r="A14" s="17"/>
      <c r="B14" s="77"/>
      <c r="C14" s="71"/>
      <c r="D14" s="77"/>
      <c r="E14" s="72"/>
      <c r="F14" s="73"/>
      <c r="G14" s="73"/>
      <c r="H14" s="73"/>
      <c r="I14" s="73"/>
      <c r="J14" s="73"/>
      <c r="K14" s="74"/>
      <c r="L14" s="73"/>
      <c r="M14" s="73"/>
      <c r="N14" s="73"/>
      <c r="O14" s="71"/>
      <c r="P14" s="76"/>
      <c r="Q14" s="76"/>
      <c r="R14" s="70"/>
      <c r="S14" s="75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38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/>
      <c r="P16" s="43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8A1F-16C0-4CB2-B851-308EF7CC6669}">
  <dimension ref="A1:BN16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46163</v>
      </c>
      <c r="G1" s="20">
        <v>46163</v>
      </c>
      <c r="H1" s="20">
        <v>46163</v>
      </c>
      <c r="I1" s="20">
        <v>46163</v>
      </c>
      <c r="J1" s="20">
        <v>46163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38" t="s">
        <v>7</v>
      </c>
      <c r="L3" s="138" t="s">
        <v>19</v>
      </c>
      <c r="M3" s="138" t="s">
        <v>20</v>
      </c>
      <c r="N3" s="13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7" si="0">$F$1-F5</f>
        <v>6</v>
      </c>
      <c r="L5" s="14">
        <f t="shared" si="0"/>
        <v>6</v>
      </c>
      <c r="M5" s="14"/>
      <c r="N5" s="14"/>
      <c r="O5" s="16" t="s">
        <v>109</v>
      </c>
      <c r="P5" s="60" t="s">
        <v>112</v>
      </c>
      <c r="Q5" s="93" t="s">
        <v>107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5</v>
      </c>
      <c r="L6" s="14">
        <f t="shared" si="0"/>
        <v>5</v>
      </c>
      <c r="M6" s="14"/>
      <c r="N6" s="14"/>
      <c r="O6" s="16" t="s">
        <v>105</v>
      </c>
      <c r="P6" s="92" t="s">
        <v>115</v>
      </c>
      <c r="Q6" s="60" t="s">
        <v>9</v>
      </c>
      <c r="R6" s="90" t="s">
        <v>31</v>
      </c>
      <c r="S6" s="69"/>
    </row>
    <row r="7" spans="1:66" s="7" customFormat="1" x14ac:dyDescent="0.25">
      <c r="A7" s="139">
        <v>3</v>
      </c>
      <c r="B7" s="93" t="s">
        <v>116</v>
      </c>
      <c r="C7" s="88" t="s">
        <v>32</v>
      </c>
      <c r="D7" s="89" t="s">
        <v>28</v>
      </c>
      <c r="E7" s="51">
        <v>2010</v>
      </c>
      <c r="F7" s="55">
        <v>46163</v>
      </c>
      <c r="G7" s="55">
        <v>46163</v>
      </c>
      <c r="H7" s="47"/>
      <c r="I7" s="47"/>
      <c r="J7" s="66"/>
      <c r="K7" s="21">
        <f t="shared" si="0"/>
        <v>0</v>
      </c>
      <c r="L7" s="21">
        <f t="shared" si="0"/>
        <v>0</v>
      </c>
      <c r="M7" s="21"/>
      <c r="N7" s="21"/>
      <c r="O7" s="61" t="s">
        <v>117</v>
      </c>
      <c r="P7" s="60" t="s">
        <v>9</v>
      </c>
      <c r="Q7" s="60"/>
      <c r="R7" s="93" t="s">
        <v>30</v>
      </c>
      <c r="S7" s="69"/>
    </row>
    <row r="8" spans="1:66" s="7" customFormat="1" x14ac:dyDescent="0.25">
      <c r="A8" s="56"/>
      <c r="B8" s="67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60" t="s">
        <v>10</v>
      </c>
      <c r="S8" s="69"/>
    </row>
    <row r="9" spans="1:66" s="7" customFormat="1" ht="13.95" customHeight="1" x14ac:dyDescent="0.25">
      <c r="A9" s="52"/>
      <c r="B9" s="29"/>
      <c r="C9" s="12"/>
      <c r="D9" s="19"/>
      <c r="E9" s="18"/>
      <c r="F9" s="22"/>
      <c r="G9" s="22"/>
      <c r="H9" s="22"/>
      <c r="I9" s="22"/>
      <c r="J9" s="22"/>
      <c r="K9" s="18"/>
      <c r="L9" s="22"/>
      <c r="M9" s="22"/>
      <c r="N9" s="22"/>
      <c r="O9" s="30" t="s">
        <v>22</v>
      </c>
      <c r="P9" s="12"/>
      <c r="Q9" s="12"/>
      <c r="R9" s="19"/>
      <c r="S9" s="30"/>
    </row>
    <row r="10" spans="1:66" s="7" customFormat="1" ht="13.95" customHeigh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0"/>
      <c r="S10" s="46"/>
    </row>
    <row r="11" spans="1:66" s="35" customFormat="1" ht="13.95" customHeight="1" x14ac:dyDescent="0.25">
      <c r="A11" s="53"/>
      <c r="B11" s="31"/>
      <c r="C11" s="12"/>
      <c r="D11" s="19" t="s">
        <v>0</v>
      </c>
      <c r="E11" s="18"/>
      <c r="F11" s="32"/>
      <c r="G11" s="32"/>
      <c r="H11" s="32"/>
      <c r="I11" s="32"/>
      <c r="J11" s="32"/>
      <c r="K11" s="18"/>
      <c r="L11" s="32"/>
      <c r="M11" s="32"/>
      <c r="N11" s="32"/>
      <c r="O11" s="33" t="s">
        <v>23</v>
      </c>
      <c r="P11" s="19"/>
      <c r="Q11" s="19"/>
      <c r="R11" s="34"/>
      <c r="S11" s="33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</row>
    <row r="12" spans="1:66" s="7" customFormat="1" ht="39.6" customHeight="1" x14ac:dyDescent="0.25">
      <c r="A12" s="78">
        <v>1</v>
      </c>
      <c r="B12" s="58" t="s">
        <v>52</v>
      </c>
      <c r="C12" s="6" t="s">
        <v>29</v>
      </c>
      <c r="D12" s="36" t="s">
        <v>28</v>
      </c>
      <c r="E12" s="49">
        <v>2023</v>
      </c>
      <c r="F12" s="20">
        <v>46084</v>
      </c>
      <c r="G12" s="20">
        <v>46084</v>
      </c>
      <c r="H12" s="37"/>
      <c r="I12" s="37"/>
      <c r="J12" s="68"/>
      <c r="K12" s="14">
        <f t="shared" ref="K12:L12" si="1">$F$1-F12</f>
        <v>79</v>
      </c>
      <c r="L12" s="14">
        <f t="shared" si="1"/>
        <v>79</v>
      </c>
      <c r="M12" s="14"/>
      <c r="N12" s="14"/>
      <c r="O12" s="16" t="s">
        <v>102</v>
      </c>
      <c r="P12" s="58" t="s">
        <v>33</v>
      </c>
      <c r="Q12" s="16"/>
      <c r="R12" s="70"/>
      <c r="S12" s="69"/>
    </row>
    <row r="13" spans="1:66" s="35" customFormat="1" ht="13.95" customHeight="1" x14ac:dyDescent="0.3">
      <c r="A13" s="54"/>
      <c r="B13" s="38"/>
      <c r="C13" s="39"/>
      <c r="D13" s="38"/>
      <c r="E13" s="40"/>
      <c r="F13" s="41"/>
      <c r="G13" s="41"/>
      <c r="H13" s="41"/>
      <c r="I13" s="41"/>
      <c r="J13" s="41"/>
      <c r="K13" s="42"/>
      <c r="L13" s="41"/>
      <c r="M13" s="41"/>
      <c r="N13" s="41"/>
      <c r="O13" s="43" t="s">
        <v>37</v>
      </c>
      <c r="P13" s="44"/>
      <c r="Q13" s="44"/>
      <c r="R13" s="45"/>
      <c r="S13" s="4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13.95" customHeight="1" x14ac:dyDescent="0.3">
      <c r="A14" s="17"/>
      <c r="B14" s="77"/>
      <c r="C14" s="71"/>
      <c r="D14" s="77"/>
      <c r="E14" s="72"/>
      <c r="F14" s="73"/>
      <c r="G14" s="73"/>
      <c r="H14" s="73"/>
      <c r="I14" s="73"/>
      <c r="J14" s="73"/>
      <c r="K14" s="74"/>
      <c r="L14" s="73"/>
      <c r="M14" s="73"/>
      <c r="N14" s="73"/>
      <c r="O14" s="71"/>
      <c r="P14" s="76"/>
      <c r="Q14" s="76"/>
      <c r="R14" s="70"/>
      <c r="S14" s="75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38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/>
      <c r="P16" s="43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D158-C009-44F7-A148-F9DCE49ED170}">
  <dimension ref="A1:BN18"/>
  <sheetViews>
    <sheetView workbookViewId="0">
      <selection activeCell="B8" sqref="B8:O8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46165</v>
      </c>
      <c r="G1" s="20">
        <v>46165</v>
      </c>
      <c r="H1" s="20">
        <v>46165</v>
      </c>
      <c r="I1" s="20">
        <v>46165</v>
      </c>
      <c r="J1" s="20">
        <v>46165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0" t="s">
        <v>7</v>
      </c>
      <c r="L3" s="140" t="s">
        <v>19</v>
      </c>
      <c r="M3" s="140" t="s">
        <v>20</v>
      </c>
      <c r="N3" s="14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7" si="0">$F$1-F5</f>
        <v>8</v>
      </c>
      <c r="L5" s="14">
        <f t="shared" si="0"/>
        <v>8</v>
      </c>
      <c r="M5" s="14"/>
      <c r="N5" s="14"/>
      <c r="O5" s="16" t="s">
        <v>109</v>
      </c>
      <c r="P5" s="58" t="s">
        <v>112</v>
      </c>
      <c r="Q5" s="90" t="s">
        <v>107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7</v>
      </c>
      <c r="L6" s="14">
        <f t="shared" si="0"/>
        <v>7</v>
      </c>
      <c r="M6" s="14"/>
      <c r="N6" s="14"/>
      <c r="O6" s="16" t="s">
        <v>105</v>
      </c>
      <c r="P6" s="91" t="s">
        <v>115</v>
      </c>
      <c r="Q6" s="58" t="s">
        <v>9</v>
      </c>
      <c r="R6" s="90" t="s">
        <v>31</v>
      </c>
      <c r="S6" s="69"/>
    </row>
    <row r="7" spans="1:66" s="7" customFormat="1" x14ac:dyDescent="0.25">
      <c r="A7" s="78">
        <v>3</v>
      </c>
      <c r="B7" s="90" t="s">
        <v>116</v>
      </c>
      <c r="C7" s="79" t="s">
        <v>32</v>
      </c>
      <c r="D7" s="80" t="s">
        <v>28</v>
      </c>
      <c r="E7" s="49">
        <v>2010</v>
      </c>
      <c r="F7" s="20">
        <v>46163</v>
      </c>
      <c r="G7" s="20">
        <v>46163</v>
      </c>
      <c r="H7" s="37"/>
      <c r="I7" s="37"/>
      <c r="J7" s="68"/>
      <c r="K7" s="14">
        <f t="shared" si="0"/>
        <v>2</v>
      </c>
      <c r="L7" s="14">
        <f t="shared" si="0"/>
        <v>2</v>
      </c>
      <c r="M7" s="14"/>
      <c r="N7" s="14"/>
      <c r="O7" s="16" t="s">
        <v>117</v>
      </c>
      <c r="P7" s="58" t="s">
        <v>9</v>
      </c>
      <c r="Q7" s="58"/>
      <c r="R7" s="90" t="s">
        <v>30</v>
      </c>
      <c r="S7" s="69"/>
    </row>
    <row r="8" spans="1:66" s="7" customFormat="1" x14ac:dyDescent="0.25">
      <c r="A8" s="56"/>
      <c r="B8" s="67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10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60" t="s">
        <v>50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60" t="s">
        <v>44</v>
      </c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1">$F$1-F14</f>
        <v>81</v>
      </c>
      <c r="L14" s="14">
        <f t="shared" si="1"/>
        <v>81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135F-4B36-4832-B698-9E7E4002B7DC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46166</v>
      </c>
      <c r="G1" s="20">
        <v>46166</v>
      </c>
      <c r="H1" s="20">
        <v>46166</v>
      </c>
      <c r="I1" s="20">
        <v>46166</v>
      </c>
      <c r="J1" s="20">
        <v>46166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1" t="s">
        <v>7</v>
      </c>
      <c r="L3" s="141" t="s">
        <v>19</v>
      </c>
      <c r="M3" s="141" t="s">
        <v>20</v>
      </c>
      <c r="N3" s="14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7" si="0">$F$1-F5</f>
        <v>9</v>
      </c>
      <c r="L5" s="14">
        <f t="shared" si="0"/>
        <v>9</v>
      </c>
      <c r="M5" s="14"/>
      <c r="N5" s="14"/>
      <c r="O5" s="16" t="s">
        <v>109</v>
      </c>
      <c r="P5" s="58" t="s">
        <v>112</v>
      </c>
      <c r="Q5" s="60" t="s">
        <v>10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8</v>
      </c>
      <c r="L6" s="14">
        <f t="shared" si="0"/>
        <v>8</v>
      </c>
      <c r="M6" s="14"/>
      <c r="N6" s="14"/>
      <c r="O6" s="16" t="s">
        <v>105</v>
      </c>
      <c r="P6" s="91" t="s">
        <v>115</v>
      </c>
      <c r="Q6" s="58"/>
      <c r="R6" s="90" t="s">
        <v>31</v>
      </c>
      <c r="S6" s="69"/>
    </row>
    <row r="7" spans="1:66" s="7" customFormat="1" x14ac:dyDescent="0.25">
      <c r="A7" s="78">
        <v>3</v>
      </c>
      <c r="B7" s="90" t="s">
        <v>116</v>
      </c>
      <c r="C7" s="79" t="s">
        <v>32</v>
      </c>
      <c r="D7" s="80" t="s">
        <v>28</v>
      </c>
      <c r="E7" s="49">
        <v>2010</v>
      </c>
      <c r="F7" s="20">
        <v>46163</v>
      </c>
      <c r="G7" s="20">
        <v>46163</v>
      </c>
      <c r="H7" s="37"/>
      <c r="I7" s="37"/>
      <c r="J7" s="68"/>
      <c r="K7" s="14">
        <f t="shared" si="0"/>
        <v>3</v>
      </c>
      <c r="L7" s="14">
        <f t="shared" si="0"/>
        <v>3</v>
      </c>
      <c r="M7" s="14"/>
      <c r="N7" s="14"/>
      <c r="O7" s="16" t="s">
        <v>117</v>
      </c>
      <c r="P7" s="58" t="s">
        <v>9</v>
      </c>
      <c r="Q7" s="58"/>
      <c r="R7" s="90" t="s">
        <v>30</v>
      </c>
      <c r="S7" s="69"/>
    </row>
    <row r="8" spans="1:66" s="7" customFormat="1" x14ac:dyDescent="0.25">
      <c r="A8" s="59">
        <v>4</v>
      </c>
      <c r="B8" s="143" t="s">
        <v>48</v>
      </c>
      <c r="C8" s="88" t="s">
        <v>32</v>
      </c>
      <c r="D8" s="89" t="s">
        <v>28</v>
      </c>
      <c r="E8" s="51">
        <v>2012</v>
      </c>
      <c r="F8" s="55">
        <v>46166</v>
      </c>
      <c r="G8" s="55">
        <v>46166</v>
      </c>
      <c r="H8" s="47"/>
      <c r="I8" s="47"/>
      <c r="J8" s="66"/>
      <c r="K8" s="21">
        <f t="shared" ref="K8" si="1">$F$1-F8</f>
        <v>0</v>
      </c>
      <c r="L8" s="21">
        <f t="shared" ref="L8" si="2">$F$1-G8</f>
        <v>0</v>
      </c>
      <c r="M8" s="21"/>
      <c r="N8" s="21"/>
      <c r="O8" s="61" t="s">
        <v>118</v>
      </c>
      <c r="P8" s="60" t="s">
        <v>10</v>
      </c>
      <c r="Q8" s="57"/>
      <c r="R8" s="60" t="s">
        <v>50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60" t="s">
        <v>44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6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3">$F$1-F14</f>
        <v>82</v>
      </c>
      <c r="L14" s="14">
        <f t="shared" si="3"/>
        <v>82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E192-82C6-4772-8AAD-7F244A1F6719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46167</v>
      </c>
      <c r="G1" s="20">
        <v>46167</v>
      </c>
      <c r="H1" s="20">
        <v>46167</v>
      </c>
      <c r="I1" s="20">
        <v>46167</v>
      </c>
      <c r="J1" s="20">
        <v>46167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1" t="s">
        <v>7</v>
      </c>
      <c r="L3" s="141" t="s">
        <v>19</v>
      </c>
      <c r="M3" s="141" t="s">
        <v>20</v>
      </c>
      <c r="N3" s="14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8" si="0">$F$1-F5</f>
        <v>10</v>
      </c>
      <c r="L5" s="14">
        <f t="shared" si="0"/>
        <v>10</v>
      </c>
      <c r="M5" s="14"/>
      <c r="N5" s="14"/>
      <c r="O5" s="16" t="s">
        <v>109</v>
      </c>
      <c r="P5" s="58" t="s">
        <v>112</v>
      </c>
      <c r="Q5" s="60"/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9</v>
      </c>
      <c r="L6" s="14">
        <f t="shared" si="0"/>
        <v>9</v>
      </c>
      <c r="M6" s="14"/>
      <c r="N6" s="14"/>
      <c r="O6" s="16" t="s">
        <v>105</v>
      </c>
      <c r="P6" s="91" t="s">
        <v>115</v>
      </c>
      <c r="Q6" s="58"/>
      <c r="R6" s="90" t="s">
        <v>31</v>
      </c>
      <c r="S6" s="69"/>
    </row>
    <row r="7" spans="1:66" s="7" customFormat="1" x14ac:dyDescent="0.25">
      <c r="A7" s="78">
        <v>3</v>
      </c>
      <c r="B7" s="90" t="s">
        <v>116</v>
      </c>
      <c r="C7" s="79" t="s">
        <v>32</v>
      </c>
      <c r="D7" s="80" t="s">
        <v>28</v>
      </c>
      <c r="E7" s="49">
        <v>2010</v>
      </c>
      <c r="F7" s="20">
        <v>46163</v>
      </c>
      <c r="G7" s="20">
        <v>46163</v>
      </c>
      <c r="H7" s="37"/>
      <c r="I7" s="37"/>
      <c r="J7" s="68"/>
      <c r="K7" s="14">
        <f t="shared" si="0"/>
        <v>4</v>
      </c>
      <c r="L7" s="14">
        <f t="shared" si="0"/>
        <v>4</v>
      </c>
      <c r="M7" s="14"/>
      <c r="N7" s="14"/>
      <c r="O7" s="16" t="s">
        <v>117</v>
      </c>
      <c r="P7" s="58" t="s">
        <v>9</v>
      </c>
      <c r="Q7" s="58"/>
      <c r="R7" s="90" t="s">
        <v>30</v>
      </c>
      <c r="S7" s="69"/>
    </row>
    <row r="8" spans="1:66" s="7" customFormat="1" x14ac:dyDescent="0.25">
      <c r="A8" s="59">
        <v>4</v>
      </c>
      <c r="B8" s="143" t="s">
        <v>48</v>
      </c>
      <c r="C8" s="88" t="s">
        <v>32</v>
      </c>
      <c r="D8" s="89" t="s">
        <v>28</v>
      </c>
      <c r="E8" s="51">
        <v>2012</v>
      </c>
      <c r="F8" s="55">
        <v>46166</v>
      </c>
      <c r="G8" s="55">
        <v>46166</v>
      </c>
      <c r="H8" s="47"/>
      <c r="I8" s="47"/>
      <c r="J8" s="66"/>
      <c r="K8" s="21">
        <f t="shared" si="0"/>
        <v>1</v>
      </c>
      <c r="L8" s="21">
        <f t="shared" si="0"/>
        <v>1</v>
      </c>
      <c r="M8" s="21"/>
      <c r="N8" s="21"/>
      <c r="O8" s="61" t="s">
        <v>118</v>
      </c>
      <c r="P8" s="60" t="s">
        <v>10</v>
      </c>
      <c r="Q8" s="57"/>
      <c r="R8" s="60" t="s">
        <v>50</v>
      </c>
      <c r="S8" s="69"/>
    </row>
    <row r="9" spans="1:66" s="7" customFormat="1" x14ac:dyDescent="0.25">
      <c r="A9" s="59">
        <v>5</v>
      </c>
      <c r="B9" s="143" t="s">
        <v>107</v>
      </c>
      <c r="C9" s="88" t="s">
        <v>32</v>
      </c>
      <c r="D9" s="89" t="s">
        <v>28</v>
      </c>
      <c r="E9" s="51">
        <v>2012</v>
      </c>
      <c r="F9" s="55">
        <v>46167</v>
      </c>
      <c r="G9" s="55">
        <v>46167</v>
      </c>
      <c r="H9" s="37"/>
      <c r="I9" s="37"/>
      <c r="J9" s="68"/>
      <c r="K9" s="21">
        <f t="shared" ref="K9" si="1">$F$1-F9</f>
        <v>0</v>
      </c>
      <c r="L9" s="21">
        <f t="shared" ref="L9" si="2">$F$1-G9</f>
        <v>0</v>
      </c>
      <c r="M9" s="21"/>
      <c r="N9" s="21"/>
      <c r="O9" s="61" t="s">
        <v>120</v>
      </c>
      <c r="P9" s="144" t="s">
        <v>119</v>
      </c>
      <c r="Q9" s="57"/>
      <c r="R9" s="60" t="s">
        <v>44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6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3">$F$1-F14</f>
        <v>83</v>
      </c>
      <c r="L14" s="14">
        <f t="shared" si="3"/>
        <v>83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BD32-61CA-4984-BC4C-14AC88F15C9A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46168</v>
      </c>
      <c r="G1" s="20">
        <v>46168</v>
      </c>
      <c r="H1" s="20">
        <v>46168</v>
      </c>
      <c r="I1" s="20">
        <v>46168</v>
      </c>
      <c r="J1" s="20">
        <v>46168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2" t="s">
        <v>7</v>
      </c>
      <c r="L3" s="142" t="s">
        <v>19</v>
      </c>
      <c r="M3" s="142" t="s">
        <v>20</v>
      </c>
      <c r="N3" s="14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9" si="0">$F$1-F5</f>
        <v>11</v>
      </c>
      <c r="L5" s="14">
        <f t="shared" si="0"/>
        <v>11</v>
      </c>
      <c r="M5" s="14"/>
      <c r="N5" s="14"/>
      <c r="O5" s="16" t="s">
        <v>109</v>
      </c>
      <c r="P5" s="58" t="s">
        <v>112</v>
      </c>
      <c r="Q5" s="60" t="s">
        <v>50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10</v>
      </c>
      <c r="L6" s="14">
        <f t="shared" si="0"/>
        <v>10</v>
      </c>
      <c r="M6" s="14"/>
      <c r="N6" s="14"/>
      <c r="O6" s="16" t="s">
        <v>105</v>
      </c>
      <c r="P6" s="91" t="s">
        <v>115</v>
      </c>
      <c r="Q6" s="60" t="s">
        <v>44</v>
      </c>
      <c r="R6" s="90" t="s">
        <v>31</v>
      </c>
      <c r="S6" s="69"/>
    </row>
    <row r="7" spans="1:66" s="7" customFormat="1" x14ac:dyDescent="0.25">
      <c r="A7" s="78">
        <v>3</v>
      </c>
      <c r="B7" s="90" t="s">
        <v>116</v>
      </c>
      <c r="C7" s="79" t="s">
        <v>32</v>
      </c>
      <c r="D7" s="80" t="s">
        <v>28</v>
      </c>
      <c r="E7" s="49">
        <v>2010</v>
      </c>
      <c r="F7" s="20">
        <v>46163</v>
      </c>
      <c r="G7" s="20">
        <v>46163</v>
      </c>
      <c r="H7" s="37"/>
      <c r="I7" s="37"/>
      <c r="J7" s="68"/>
      <c r="K7" s="14">
        <f t="shared" si="0"/>
        <v>5</v>
      </c>
      <c r="L7" s="14">
        <f t="shared" si="0"/>
        <v>5</v>
      </c>
      <c r="M7" s="14"/>
      <c r="N7" s="14"/>
      <c r="O7" s="16" t="s">
        <v>117</v>
      </c>
      <c r="P7" s="58" t="s">
        <v>9</v>
      </c>
      <c r="Q7" s="58"/>
      <c r="R7" s="90" t="s">
        <v>30</v>
      </c>
      <c r="S7" s="69"/>
    </row>
    <row r="8" spans="1:66" s="7" customFormat="1" x14ac:dyDescent="0.25">
      <c r="A8" s="59">
        <v>4</v>
      </c>
      <c r="B8" s="143" t="s">
        <v>48</v>
      </c>
      <c r="C8" s="88" t="s">
        <v>32</v>
      </c>
      <c r="D8" s="89" t="s">
        <v>28</v>
      </c>
      <c r="E8" s="51">
        <v>2012</v>
      </c>
      <c r="F8" s="55">
        <v>46166</v>
      </c>
      <c r="G8" s="55">
        <v>46166</v>
      </c>
      <c r="H8" s="47"/>
      <c r="I8" s="47"/>
      <c r="J8" s="66"/>
      <c r="K8" s="21">
        <f t="shared" si="0"/>
        <v>2</v>
      </c>
      <c r="L8" s="21">
        <f t="shared" si="0"/>
        <v>2</v>
      </c>
      <c r="M8" s="21"/>
      <c r="N8" s="21"/>
      <c r="O8" s="61" t="s">
        <v>118</v>
      </c>
      <c r="P8" s="60" t="s">
        <v>10</v>
      </c>
      <c r="Q8" s="57"/>
      <c r="R8" s="60"/>
      <c r="S8" s="69"/>
    </row>
    <row r="9" spans="1:66" s="7" customFormat="1" x14ac:dyDescent="0.25">
      <c r="A9" s="59">
        <v>5</v>
      </c>
      <c r="B9" s="143" t="s">
        <v>107</v>
      </c>
      <c r="C9" s="88" t="s">
        <v>32</v>
      </c>
      <c r="D9" s="89" t="s">
        <v>28</v>
      </c>
      <c r="E9" s="51">
        <v>2012</v>
      </c>
      <c r="F9" s="55">
        <v>46167</v>
      </c>
      <c r="G9" s="55">
        <v>46167</v>
      </c>
      <c r="H9" s="37"/>
      <c r="I9" s="37"/>
      <c r="J9" s="68"/>
      <c r="K9" s="21">
        <f t="shared" si="0"/>
        <v>1</v>
      </c>
      <c r="L9" s="21">
        <f t="shared" si="0"/>
        <v>1</v>
      </c>
      <c r="M9" s="21"/>
      <c r="N9" s="21"/>
      <c r="O9" s="61" t="s">
        <v>120</v>
      </c>
      <c r="P9" s="144" t="s">
        <v>119</v>
      </c>
      <c r="Q9" s="57"/>
      <c r="R9" s="60"/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6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1">$F$1-F14</f>
        <v>84</v>
      </c>
      <c r="L14" s="14">
        <f t="shared" si="1"/>
        <v>84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D8B6-610F-448F-91AA-F1275863F11B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46169</v>
      </c>
      <c r="G1" s="20">
        <v>46169</v>
      </c>
      <c r="H1" s="20">
        <v>46169</v>
      </c>
      <c r="I1" s="20">
        <v>46169</v>
      </c>
      <c r="J1" s="20">
        <v>46169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5" t="s">
        <v>7</v>
      </c>
      <c r="L3" s="145" t="s">
        <v>19</v>
      </c>
      <c r="M3" s="145" t="s">
        <v>20</v>
      </c>
      <c r="N3" s="14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9" si="0">$F$1-F5</f>
        <v>12</v>
      </c>
      <c r="L5" s="14">
        <f t="shared" si="0"/>
        <v>12</v>
      </c>
      <c r="M5" s="14"/>
      <c r="N5" s="14"/>
      <c r="O5" s="16" t="s">
        <v>109</v>
      </c>
      <c r="P5" s="58" t="s">
        <v>112</v>
      </c>
      <c r="Q5" s="58"/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11</v>
      </c>
      <c r="L6" s="14">
        <f t="shared" si="0"/>
        <v>11</v>
      </c>
      <c r="M6" s="14"/>
      <c r="N6" s="14"/>
      <c r="O6" s="16" t="s">
        <v>105</v>
      </c>
      <c r="P6" s="91" t="s">
        <v>115</v>
      </c>
      <c r="Q6" s="58"/>
      <c r="R6" s="90" t="s">
        <v>31</v>
      </c>
      <c r="S6" s="69"/>
    </row>
    <row r="7" spans="1:66" s="7" customFormat="1" x14ac:dyDescent="0.25">
      <c r="A7" s="78">
        <v>3</v>
      </c>
      <c r="B7" s="90" t="s">
        <v>116</v>
      </c>
      <c r="C7" s="79" t="s">
        <v>32</v>
      </c>
      <c r="D7" s="80" t="s">
        <v>28</v>
      </c>
      <c r="E7" s="49">
        <v>2010</v>
      </c>
      <c r="F7" s="20">
        <v>46163</v>
      </c>
      <c r="G7" s="20">
        <v>46163</v>
      </c>
      <c r="H7" s="37"/>
      <c r="I7" s="37"/>
      <c r="J7" s="68"/>
      <c r="K7" s="14">
        <f t="shared" si="0"/>
        <v>6</v>
      </c>
      <c r="L7" s="14">
        <f t="shared" si="0"/>
        <v>6</v>
      </c>
      <c r="M7" s="14"/>
      <c r="N7" s="14"/>
      <c r="O7" s="16" t="s">
        <v>117</v>
      </c>
      <c r="P7" s="58" t="s">
        <v>9</v>
      </c>
      <c r="Q7" s="58"/>
      <c r="R7" s="90" t="s">
        <v>30</v>
      </c>
      <c r="S7" s="69"/>
    </row>
    <row r="8" spans="1:66" s="7" customFormat="1" x14ac:dyDescent="0.25">
      <c r="A8" s="56">
        <v>4</v>
      </c>
      <c r="B8" s="67" t="s">
        <v>48</v>
      </c>
      <c r="C8" s="79" t="s">
        <v>32</v>
      </c>
      <c r="D8" s="80" t="s">
        <v>28</v>
      </c>
      <c r="E8" s="49">
        <v>2012</v>
      </c>
      <c r="F8" s="20">
        <v>46166</v>
      </c>
      <c r="G8" s="20">
        <v>46166</v>
      </c>
      <c r="H8" s="37"/>
      <c r="I8" s="37"/>
      <c r="J8" s="68"/>
      <c r="K8" s="14">
        <f t="shared" si="0"/>
        <v>3</v>
      </c>
      <c r="L8" s="14">
        <f t="shared" si="0"/>
        <v>3</v>
      </c>
      <c r="M8" s="14"/>
      <c r="N8" s="14"/>
      <c r="O8" s="16" t="s">
        <v>118</v>
      </c>
      <c r="P8" s="58" t="s">
        <v>10</v>
      </c>
      <c r="Q8" s="57"/>
      <c r="R8" s="58"/>
      <c r="S8" s="69"/>
    </row>
    <row r="9" spans="1:66" s="7" customFormat="1" x14ac:dyDescent="0.25">
      <c r="A9" s="56">
        <v>5</v>
      </c>
      <c r="B9" s="67" t="s">
        <v>107</v>
      </c>
      <c r="C9" s="79" t="s">
        <v>32</v>
      </c>
      <c r="D9" s="80" t="s">
        <v>28</v>
      </c>
      <c r="E9" s="49">
        <v>2012</v>
      </c>
      <c r="F9" s="20">
        <v>46167</v>
      </c>
      <c r="G9" s="20">
        <v>46167</v>
      </c>
      <c r="H9" s="37"/>
      <c r="I9" s="37"/>
      <c r="J9" s="68"/>
      <c r="K9" s="14">
        <f t="shared" si="0"/>
        <v>2</v>
      </c>
      <c r="L9" s="14">
        <f t="shared" si="0"/>
        <v>2</v>
      </c>
      <c r="M9" s="14"/>
      <c r="N9" s="14"/>
      <c r="O9" s="16" t="s">
        <v>120</v>
      </c>
      <c r="P9" s="62" t="s">
        <v>119</v>
      </c>
      <c r="Q9" s="57"/>
      <c r="R9" s="58"/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1">$F$1-F14</f>
        <v>85</v>
      </c>
      <c r="L14" s="14">
        <f t="shared" si="1"/>
        <v>85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0826-F9B4-45F3-8768-3458AFFD331F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46170</v>
      </c>
      <c r="G1" s="20">
        <v>46170</v>
      </c>
      <c r="H1" s="20">
        <v>46170</v>
      </c>
      <c r="I1" s="20">
        <v>46170</v>
      </c>
      <c r="J1" s="20">
        <v>46170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6" t="s">
        <v>7</v>
      </c>
      <c r="L3" s="146" t="s">
        <v>19</v>
      </c>
      <c r="M3" s="146" t="s">
        <v>20</v>
      </c>
      <c r="N3" s="14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7" si="0">$F$1-F5</f>
        <v>13</v>
      </c>
      <c r="L5" s="14">
        <f t="shared" si="0"/>
        <v>13</v>
      </c>
      <c r="M5" s="14"/>
      <c r="N5" s="14"/>
      <c r="O5" s="16" t="s">
        <v>109</v>
      </c>
      <c r="P5" s="58" t="s">
        <v>112</v>
      </c>
      <c r="Q5" s="67" t="s">
        <v>48</v>
      </c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12</v>
      </c>
      <c r="L6" s="14">
        <f t="shared" si="0"/>
        <v>12</v>
      </c>
      <c r="M6" s="14"/>
      <c r="N6" s="14"/>
      <c r="O6" s="16" t="s">
        <v>105</v>
      </c>
      <c r="P6" s="91" t="s">
        <v>121</v>
      </c>
      <c r="Q6" s="58"/>
      <c r="R6" s="90" t="s">
        <v>31</v>
      </c>
      <c r="S6" s="69"/>
    </row>
    <row r="7" spans="1:66" s="7" customFormat="1" x14ac:dyDescent="0.25">
      <c r="A7" s="78">
        <v>3</v>
      </c>
      <c r="B7" s="90" t="s">
        <v>116</v>
      </c>
      <c r="C7" s="79" t="s">
        <v>32</v>
      </c>
      <c r="D7" s="80" t="s">
        <v>28</v>
      </c>
      <c r="E7" s="49">
        <v>2010</v>
      </c>
      <c r="F7" s="20">
        <v>46163</v>
      </c>
      <c r="G7" s="20">
        <v>46163</v>
      </c>
      <c r="H7" s="37"/>
      <c r="I7" s="37"/>
      <c r="J7" s="68"/>
      <c r="K7" s="14">
        <f t="shared" si="0"/>
        <v>7</v>
      </c>
      <c r="L7" s="14">
        <f t="shared" si="0"/>
        <v>7</v>
      </c>
      <c r="M7" s="14"/>
      <c r="N7" s="14"/>
      <c r="O7" s="16" t="s">
        <v>117</v>
      </c>
      <c r="P7" s="58" t="s">
        <v>9</v>
      </c>
      <c r="Q7" s="58"/>
      <c r="R7" s="90" t="s">
        <v>30</v>
      </c>
      <c r="S7" s="69"/>
    </row>
    <row r="8" spans="1:66" s="7" customFormat="1" x14ac:dyDescent="0.25">
      <c r="A8" s="56">
        <v>4</v>
      </c>
      <c r="B8" s="67" t="s">
        <v>107</v>
      </c>
      <c r="C8" s="79" t="s">
        <v>32</v>
      </c>
      <c r="D8" s="80" t="s">
        <v>28</v>
      </c>
      <c r="E8" s="49">
        <v>2012</v>
      </c>
      <c r="F8" s="20">
        <v>46167</v>
      </c>
      <c r="G8" s="20">
        <v>46167</v>
      </c>
      <c r="H8" s="37"/>
      <c r="I8" s="37"/>
      <c r="J8" s="68"/>
      <c r="K8" s="14">
        <f t="shared" ref="K8" si="1">$F$1-F8</f>
        <v>3</v>
      </c>
      <c r="L8" s="14">
        <f t="shared" ref="L8" si="2">$F$1-G8</f>
        <v>3</v>
      </c>
      <c r="M8" s="14"/>
      <c r="N8" s="14"/>
      <c r="O8" s="16" t="s">
        <v>120</v>
      </c>
      <c r="P8" s="62" t="s">
        <v>119</v>
      </c>
      <c r="Q8" s="57"/>
      <c r="R8" s="58" t="s">
        <v>26</v>
      </c>
      <c r="S8" s="69"/>
    </row>
    <row r="9" spans="1:66" s="7" customFormat="1" x14ac:dyDescent="0.25">
      <c r="A9" s="56"/>
      <c r="B9" s="67"/>
      <c r="C9" s="79"/>
      <c r="D9" s="80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 t="s">
        <v>10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3">$F$1-F14</f>
        <v>86</v>
      </c>
      <c r="L14" s="14">
        <f t="shared" si="3"/>
        <v>86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BBE7C-7835-4D19-B580-BD22316656DD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46171</v>
      </c>
      <c r="G1" s="20">
        <v>46171</v>
      </c>
      <c r="H1" s="20">
        <v>46171</v>
      </c>
      <c r="I1" s="20">
        <v>46171</v>
      </c>
      <c r="J1" s="20">
        <v>46171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7" t="s">
        <v>7</v>
      </c>
      <c r="L3" s="147" t="s">
        <v>19</v>
      </c>
      <c r="M3" s="147" t="s">
        <v>20</v>
      </c>
      <c r="N3" s="14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9" si="0">$F$1-F5</f>
        <v>14</v>
      </c>
      <c r="L5" s="14">
        <f t="shared" si="0"/>
        <v>14</v>
      </c>
      <c r="M5" s="14"/>
      <c r="N5" s="14"/>
      <c r="O5" s="16" t="s">
        <v>109</v>
      </c>
      <c r="P5" s="58" t="s">
        <v>112</v>
      </c>
      <c r="Q5" s="67"/>
      <c r="R5" s="90" t="s">
        <v>46</v>
      </c>
      <c r="S5" s="63"/>
    </row>
    <row r="6" spans="1:66" s="7" customFormat="1" x14ac:dyDescent="0.25">
      <c r="A6" s="78">
        <v>2</v>
      </c>
      <c r="B6" s="90" t="s">
        <v>111</v>
      </c>
      <c r="C6" s="6" t="s">
        <v>29</v>
      </c>
      <c r="D6" s="36" t="s">
        <v>28</v>
      </c>
      <c r="E6" s="49">
        <v>2023</v>
      </c>
      <c r="F6" s="20">
        <v>46158</v>
      </c>
      <c r="G6" s="20">
        <v>46158</v>
      </c>
      <c r="H6" s="37"/>
      <c r="I6" s="37"/>
      <c r="J6" s="68"/>
      <c r="K6" s="14">
        <f t="shared" si="0"/>
        <v>13</v>
      </c>
      <c r="L6" s="14">
        <f t="shared" si="0"/>
        <v>13</v>
      </c>
      <c r="M6" s="14"/>
      <c r="N6" s="14"/>
      <c r="O6" s="16" t="s">
        <v>105</v>
      </c>
      <c r="P6" s="58" t="s">
        <v>10</v>
      </c>
      <c r="Q6" s="58"/>
      <c r="R6" s="90" t="s">
        <v>31</v>
      </c>
      <c r="S6" s="69"/>
    </row>
    <row r="7" spans="1:66" s="7" customFormat="1" ht="26.4" x14ac:dyDescent="0.25">
      <c r="A7" s="78">
        <v>3</v>
      </c>
      <c r="B7" s="90" t="s">
        <v>116</v>
      </c>
      <c r="C7" s="79" t="s">
        <v>32</v>
      </c>
      <c r="D7" s="80" t="s">
        <v>28</v>
      </c>
      <c r="E7" s="49">
        <v>2010</v>
      </c>
      <c r="F7" s="20">
        <v>46163</v>
      </c>
      <c r="G7" s="20">
        <v>46163</v>
      </c>
      <c r="H7" s="37"/>
      <c r="I7" s="37"/>
      <c r="J7" s="68"/>
      <c r="K7" s="14">
        <f t="shared" si="0"/>
        <v>8</v>
      </c>
      <c r="L7" s="14">
        <f t="shared" si="0"/>
        <v>8</v>
      </c>
      <c r="M7" s="14"/>
      <c r="N7" s="14"/>
      <c r="O7" s="16" t="s">
        <v>123</v>
      </c>
      <c r="P7" s="58" t="s">
        <v>9</v>
      </c>
      <c r="Q7" s="58"/>
      <c r="R7" s="90" t="s">
        <v>30</v>
      </c>
      <c r="S7" s="69"/>
    </row>
    <row r="8" spans="1:66" s="7" customFormat="1" x14ac:dyDescent="0.25">
      <c r="A8" s="56">
        <v>4</v>
      </c>
      <c r="B8" s="67" t="s">
        <v>107</v>
      </c>
      <c r="C8" s="79" t="s">
        <v>32</v>
      </c>
      <c r="D8" s="80" t="s">
        <v>28</v>
      </c>
      <c r="E8" s="49">
        <v>2012</v>
      </c>
      <c r="F8" s="20">
        <v>46167</v>
      </c>
      <c r="G8" s="20">
        <v>46167</v>
      </c>
      <c r="H8" s="37"/>
      <c r="I8" s="37"/>
      <c r="J8" s="68"/>
      <c r="K8" s="14">
        <f t="shared" si="0"/>
        <v>4</v>
      </c>
      <c r="L8" s="14">
        <f t="shared" si="0"/>
        <v>4</v>
      </c>
      <c r="M8" s="14"/>
      <c r="N8" s="14"/>
      <c r="O8" s="16" t="s">
        <v>124</v>
      </c>
      <c r="P8" s="62" t="s">
        <v>119</v>
      </c>
      <c r="Q8" s="57"/>
      <c r="R8" s="58" t="s">
        <v>26</v>
      </c>
      <c r="S8" s="69"/>
    </row>
    <row r="9" spans="1:66" s="7" customFormat="1" x14ac:dyDescent="0.25">
      <c r="A9" s="56">
        <v>5</v>
      </c>
      <c r="B9" s="67" t="s">
        <v>125</v>
      </c>
      <c r="C9" s="6" t="s">
        <v>29</v>
      </c>
      <c r="D9" s="36" t="s">
        <v>28</v>
      </c>
      <c r="E9" s="49">
        <v>2023</v>
      </c>
      <c r="F9" s="20">
        <v>46171</v>
      </c>
      <c r="G9" s="20">
        <v>46171</v>
      </c>
      <c r="H9" s="37"/>
      <c r="I9" s="37"/>
      <c r="J9" s="68"/>
      <c r="K9" s="14">
        <f t="shared" si="0"/>
        <v>0</v>
      </c>
      <c r="L9" s="14">
        <f t="shared" si="0"/>
        <v>0</v>
      </c>
      <c r="M9" s="14"/>
      <c r="N9" s="14"/>
      <c r="O9" s="16" t="s">
        <v>126</v>
      </c>
      <c r="P9" s="62"/>
      <c r="Q9" s="57"/>
      <c r="R9" s="58" t="s">
        <v>122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9.6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4" si="1">$F$1-F14</f>
        <v>87</v>
      </c>
      <c r="L14" s="14">
        <f t="shared" si="1"/>
        <v>87</v>
      </c>
      <c r="M14" s="14"/>
      <c r="N14" s="14"/>
      <c r="O14" s="16" t="s">
        <v>102</v>
      </c>
      <c r="P14" s="58" t="s">
        <v>33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A34C-5A7D-4C8F-A9FD-E176214F6B6A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46172</v>
      </c>
      <c r="G1" s="20">
        <v>46172</v>
      </c>
      <c r="H1" s="20">
        <v>46172</v>
      </c>
      <c r="I1" s="20">
        <v>46172</v>
      </c>
      <c r="J1" s="20">
        <v>46172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8" t="s">
        <v>7</v>
      </c>
      <c r="L3" s="148" t="s">
        <v>19</v>
      </c>
      <c r="M3" s="148" t="s">
        <v>20</v>
      </c>
      <c r="N3" s="14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15</v>
      </c>
      <c r="L5" s="14">
        <f t="shared" si="0"/>
        <v>15</v>
      </c>
      <c r="M5" s="14"/>
      <c r="N5" s="14"/>
      <c r="O5" s="16" t="s">
        <v>109</v>
      </c>
      <c r="P5" s="58" t="s">
        <v>112</v>
      </c>
      <c r="Q5" s="67" t="s">
        <v>125</v>
      </c>
      <c r="R5" s="90" t="s">
        <v>46</v>
      </c>
      <c r="S5" s="63"/>
    </row>
    <row r="6" spans="1:66" s="7" customFormat="1" x14ac:dyDescent="0.25">
      <c r="A6" s="78"/>
      <c r="B6" s="67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/>
      <c r="R6" s="90" t="s">
        <v>31</v>
      </c>
      <c r="S6" s="69"/>
    </row>
    <row r="7" spans="1:66" s="7" customFormat="1" x14ac:dyDescent="0.25">
      <c r="A7" s="78"/>
      <c r="B7" s="90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90" t="s">
        <v>30</v>
      </c>
      <c r="S7" s="69"/>
    </row>
    <row r="8" spans="1:66" s="7" customFormat="1" x14ac:dyDescent="0.25">
      <c r="A8" s="56"/>
      <c r="B8" s="67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26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 t="s">
        <v>122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>
        <v>1</v>
      </c>
      <c r="B12" s="67" t="s">
        <v>107</v>
      </c>
      <c r="C12" s="79" t="s">
        <v>32</v>
      </c>
      <c r="D12" s="80" t="s">
        <v>28</v>
      </c>
      <c r="E12" s="49">
        <v>2012</v>
      </c>
      <c r="F12" s="20">
        <v>46167</v>
      </c>
      <c r="G12" s="20">
        <v>46167</v>
      </c>
      <c r="H12" s="37"/>
      <c r="I12" s="37"/>
      <c r="J12" s="68"/>
      <c r="K12" s="14">
        <f t="shared" ref="K12" si="1">$F$1-F12</f>
        <v>5</v>
      </c>
      <c r="L12" s="14">
        <f t="shared" ref="L12" si="2">$F$1-G12</f>
        <v>5</v>
      </c>
      <c r="M12" s="14"/>
      <c r="N12" s="14"/>
      <c r="O12" s="16" t="s">
        <v>130</v>
      </c>
      <c r="P12" s="62" t="s">
        <v>119</v>
      </c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3">$F$1-F14</f>
        <v>88</v>
      </c>
      <c r="L14" s="14">
        <f t="shared" si="3"/>
        <v>88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27.6" customHeight="1" x14ac:dyDescent="0.25">
      <c r="A15" s="78">
        <v>2</v>
      </c>
      <c r="B15" s="90" t="s">
        <v>116</v>
      </c>
      <c r="C15" s="79" t="s">
        <v>32</v>
      </c>
      <c r="D15" s="80" t="s">
        <v>28</v>
      </c>
      <c r="E15" s="49">
        <v>2010</v>
      </c>
      <c r="F15" s="20">
        <v>46163</v>
      </c>
      <c r="G15" s="20">
        <v>46163</v>
      </c>
      <c r="H15" s="37"/>
      <c r="I15" s="37"/>
      <c r="J15" s="68"/>
      <c r="K15" s="14">
        <f t="shared" si="3"/>
        <v>9</v>
      </c>
      <c r="L15" s="14">
        <f t="shared" si="3"/>
        <v>9</v>
      </c>
      <c r="M15" s="14"/>
      <c r="N15" s="14"/>
      <c r="O15" s="16" t="s">
        <v>128</v>
      </c>
      <c r="P15" s="58" t="s">
        <v>9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111</v>
      </c>
      <c r="C16" s="6" t="s">
        <v>29</v>
      </c>
      <c r="D16" s="36" t="s">
        <v>28</v>
      </c>
      <c r="E16" s="49">
        <v>2023</v>
      </c>
      <c r="F16" s="20">
        <v>46158</v>
      </c>
      <c r="G16" s="20">
        <v>46158</v>
      </c>
      <c r="H16" s="37"/>
      <c r="I16" s="37"/>
      <c r="J16" s="68"/>
      <c r="K16" s="14">
        <f t="shared" si="3"/>
        <v>14</v>
      </c>
      <c r="L16" s="14">
        <f t="shared" si="3"/>
        <v>14</v>
      </c>
      <c r="M16" s="14"/>
      <c r="N16" s="14"/>
      <c r="O16" s="16" t="s">
        <v>127</v>
      </c>
      <c r="P16" s="58" t="s">
        <v>10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C0CA-2C33-4ECE-AFFD-AA4C8A5DCD28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46173</v>
      </c>
      <c r="G1" s="20">
        <v>46173</v>
      </c>
      <c r="H1" s="20">
        <v>46173</v>
      </c>
      <c r="I1" s="20">
        <v>46173</v>
      </c>
      <c r="J1" s="20">
        <v>46173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49" t="s">
        <v>7</v>
      </c>
      <c r="L3" s="149" t="s">
        <v>19</v>
      </c>
      <c r="M3" s="149" t="s">
        <v>20</v>
      </c>
      <c r="N3" s="14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26.4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16</v>
      </c>
      <c r="L5" s="14">
        <f t="shared" si="0"/>
        <v>16</v>
      </c>
      <c r="M5" s="14"/>
      <c r="N5" s="14"/>
      <c r="O5" s="16" t="s">
        <v>109</v>
      </c>
      <c r="P5" s="58" t="s">
        <v>112</v>
      </c>
      <c r="Q5" s="67"/>
      <c r="R5" s="90" t="s">
        <v>46</v>
      </c>
      <c r="S5" s="63"/>
    </row>
    <row r="6" spans="1:66" s="7" customFormat="1" x14ac:dyDescent="0.25">
      <c r="A6" s="78"/>
      <c r="B6" s="67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58"/>
      <c r="R6" s="90" t="s">
        <v>31</v>
      </c>
      <c r="S6" s="69"/>
    </row>
    <row r="7" spans="1:66" s="7" customFormat="1" x14ac:dyDescent="0.25">
      <c r="A7" s="78"/>
      <c r="B7" s="90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90" t="s">
        <v>30</v>
      </c>
      <c r="S7" s="69"/>
    </row>
    <row r="8" spans="1:66" s="7" customFormat="1" x14ac:dyDescent="0.25">
      <c r="A8" s="56"/>
      <c r="B8" s="67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26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 t="s">
        <v>110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>
        <v>1</v>
      </c>
      <c r="B12" s="67" t="s">
        <v>107</v>
      </c>
      <c r="C12" s="79" t="s">
        <v>32</v>
      </c>
      <c r="D12" s="80" t="s">
        <v>28</v>
      </c>
      <c r="E12" s="49">
        <v>2012</v>
      </c>
      <c r="F12" s="20">
        <v>46167</v>
      </c>
      <c r="G12" s="20">
        <v>46167</v>
      </c>
      <c r="H12" s="37"/>
      <c r="I12" s="37"/>
      <c r="J12" s="68"/>
      <c r="K12" s="14">
        <f t="shared" ref="K12:L12" si="1">$F$1-F12</f>
        <v>6</v>
      </c>
      <c r="L12" s="14">
        <f t="shared" si="1"/>
        <v>6</v>
      </c>
      <c r="M12" s="14"/>
      <c r="N12" s="14"/>
      <c r="O12" s="16" t="s">
        <v>130</v>
      </c>
      <c r="P12" s="62" t="s">
        <v>119</v>
      </c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2">$F$1-F14</f>
        <v>89</v>
      </c>
      <c r="L14" s="14">
        <f t="shared" si="2"/>
        <v>89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27.6" customHeight="1" x14ac:dyDescent="0.25">
      <c r="A15" s="78">
        <v>2</v>
      </c>
      <c r="B15" s="90" t="s">
        <v>116</v>
      </c>
      <c r="C15" s="79" t="s">
        <v>32</v>
      </c>
      <c r="D15" s="80" t="s">
        <v>28</v>
      </c>
      <c r="E15" s="49">
        <v>2010</v>
      </c>
      <c r="F15" s="20">
        <v>46163</v>
      </c>
      <c r="G15" s="20">
        <v>46163</v>
      </c>
      <c r="H15" s="37"/>
      <c r="I15" s="37"/>
      <c r="J15" s="68"/>
      <c r="K15" s="14">
        <f t="shared" si="2"/>
        <v>10</v>
      </c>
      <c r="L15" s="14">
        <f t="shared" si="2"/>
        <v>10</v>
      </c>
      <c r="M15" s="14"/>
      <c r="N15" s="14"/>
      <c r="O15" s="16" t="s">
        <v>128</v>
      </c>
      <c r="P15" s="58" t="s">
        <v>9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111</v>
      </c>
      <c r="C16" s="6" t="s">
        <v>29</v>
      </c>
      <c r="D16" s="36" t="s">
        <v>28</v>
      </c>
      <c r="E16" s="49">
        <v>2023</v>
      </c>
      <c r="F16" s="20">
        <v>46158</v>
      </c>
      <c r="G16" s="20">
        <v>46158</v>
      </c>
      <c r="H16" s="37"/>
      <c r="I16" s="37"/>
      <c r="J16" s="68"/>
      <c r="K16" s="14">
        <f t="shared" si="2"/>
        <v>15</v>
      </c>
      <c r="L16" s="14">
        <f t="shared" si="2"/>
        <v>15</v>
      </c>
      <c r="M16" s="14"/>
      <c r="N16" s="14"/>
      <c r="O16" s="16" t="s">
        <v>127</v>
      </c>
      <c r="P16" s="58" t="s">
        <v>10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3514-09FC-4ED5-9159-70C85610AAE9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46174</v>
      </c>
      <c r="G1" s="20">
        <v>46174</v>
      </c>
      <c r="H1" s="20">
        <v>46174</v>
      </c>
      <c r="I1" s="20">
        <v>46174</v>
      </c>
      <c r="J1" s="20">
        <v>46174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0" t="s">
        <v>7</v>
      </c>
      <c r="L3" s="150" t="s">
        <v>19</v>
      </c>
      <c r="M3" s="150" t="s">
        <v>20</v>
      </c>
      <c r="N3" s="15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17</v>
      </c>
      <c r="L5" s="14">
        <f t="shared" si="0"/>
        <v>17</v>
      </c>
      <c r="M5" s="14"/>
      <c r="N5" s="14"/>
      <c r="O5" s="16" t="s">
        <v>131</v>
      </c>
      <c r="P5" s="58" t="s">
        <v>112</v>
      </c>
      <c r="Q5" s="67"/>
      <c r="R5" s="90" t="s">
        <v>46</v>
      </c>
      <c r="S5" s="63"/>
    </row>
    <row r="6" spans="1:66" s="7" customFormat="1" x14ac:dyDescent="0.25">
      <c r="A6" s="78">
        <v>2</v>
      </c>
      <c r="B6" s="67" t="s">
        <v>133</v>
      </c>
      <c r="C6" s="6" t="s">
        <v>29</v>
      </c>
      <c r="D6" s="36" t="s">
        <v>28</v>
      </c>
      <c r="E6" s="49">
        <v>2023</v>
      </c>
      <c r="F6" s="20">
        <v>46174</v>
      </c>
      <c r="G6" s="20">
        <v>46174</v>
      </c>
      <c r="H6" s="37"/>
      <c r="I6" s="37"/>
      <c r="J6" s="68"/>
      <c r="K6" s="14">
        <f t="shared" ref="K6" si="1">$F$1-F6</f>
        <v>0</v>
      </c>
      <c r="L6" s="14">
        <f t="shared" ref="L6" si="2">$F$1-G6</f>
        <v>0</v>
      </c>
      <c r="M6" s="14"/>
      <c r="N6" s="14"/>
      <c r="O6" s="16" t="s">
        <v>134</v>
      </c>
      <c r="P6" s="58"/>
      <c r="Q6" s="58"/>
      <c r="R6" s="90" t="s">
        <v>31</v>
      </c>
      <c r="S6" s="69"/>
    </row>
    <row r="7" spans="1:66" s="7" customFormat="1" x14ac:dyDescent="0.25">
      <c r="A7" s="78"/>
      <c r="B7" s="90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90" t="s">
        <v>30</v>
      </c>
      <c r="S7" s="69"/>
    </row>
    <row r="8" spans="1:66" s="7" customFormat="1" x14ac:dyDescent="0.25">
      <c r="A8" s="56"/>
      <c r="B8" s="67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26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 t="s">
        <v>110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>
        <v>1</v>
      </c>
      <c r="B12" s="67" t="s">
        <v>107</v>
      </c>
      <c r="C12" s="79" t="s">
        <v>32</v>
      </c>
      <c r="D12" s="80" t="s">
        <v>28</v>
      </c>
      <c r="E12" s="49">
        <v>2012</v>
      </c>
      <c r="F12" s="20">
        <v>46167</v>
      </c>
      <c r="G12" s="20">
        <v>46167</v>
      </c>
      <c r="H12" s="37"/>
      <c r="I12" s="37"/>
      <c r="J12" s="68"/>
      <c r="K12" s="14">
        <f t="shared" ref="K12:L12" si="3">$F$1-F12</f>
        <v>7</v>
      </c>
      <c r="L12" s="14">
        <f t="shared" si="3"/>
        <v>7</v>
      </c>
      <c r="M12" s="14"/>
      <c r="N12" s="14"/>
      <c r="O12" s="16" t="s">
        <v>130</v>
      </c>
      <c r="P12" s="62" t="s">
        <v>119</v>
      </c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4">$F$1-F14</f>
        <v>90</v>
      </c>
      <c r="L14" s="14">
        <f t="shared" si="4"/>
        <v>90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27.6" customHeight="1" x14ac:dyDescent="0.25">
      <c r="A15" s="78">
        <v>2</v>
      </c>
      <c r="B15" s="90" t="s">
        <v>116</v>
      </c>
      <c r="C15" s="79" t="s">
        <v>32</v>
      </c>
      <c r="D15" s="80" t="s">
        <v>28</v>
      </c>
      <c r="E15" s="49">
        <v>2010</v>
      </c>
      <c r="F15" s="20">
        <v>46163</v>
      </c>
      <c r="G15" s="20">
        <v>46163</v>
      </c>
      <c r="H15" s="37"/>
      <c r="I15" s="37"/>
      <c r="J15" s="68"/>
      <c r="K15" s="14">
        <f t="shared" si="4"/>
        <v>11</v>
      </c>
      <c r="L15" s="14">
        <f t="shared" si="4"/>
        <v>11</v>
      </c>
      <c r="M15" s="14"/>
      <c r="N15" s="14"/>
      <c r="O15" s="16" t="s">
        <v>128</v>
      </c>
      <c r="P15" s="58" t="s">
        <v>9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111</v>
      </c>
      <c r="C16" s="6" t="s">
        <v>29</v>
      </c>
      <c r="D16" s="36" t="s">
        <v>28</v>
      </c>
      <c r="E16" s="49">
        <v>2023</v>
      </c>
      <c r="F16" s="20">
        <v>46158</v>
      </c>
      <c r="G16" s="20">
        <v>46158</v>
      </c>
      <c r="H16" s="37"/>
      <c r="I16" s="37"/>
      <c r="J16" s="68"/>
      <c r="K16" s="14">
        <f t="shared" si="4"/>
        <v>16</v>
      </c>
      <c r="L16" s="14">
        <f t="shared" si="4"/>
        <v>16</v>
      </c>
      <c r="M16" s="14"/>
      <c r="N16" s="14"/>
      <c r="O16" s="16" t="s">
        <v>132</v>
      </c>
      <c r="P16" s="58" t="s">
        <v>10</v>
      </c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0404-83D9-4CB7-8277-6671FFC95D35}"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46175</v>
      </c>
      <c r="G1" s="20">
        <v>46175</v>
      </c>
      <c r="H1" s="20">
        <v>46175</v>
      </c>
      <c r="I1" s="20">
        <v>46175</v>
      </c>
      <c r="J1" s="20">
        <v>46175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1" t="s">
        <v>7</v>
      </c>
      <c r="L3" s="151" t="s">
        <v>19</v>
      </c>
      <c r="M3" s="151" t="s">
        <v>20</v>
      </c>
      <c r="N3" s="15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18</v>
      </c>
      <c r="L5" s="14">
        <f t="shared" si="0"/>
        <v>18</v>
      </c>
      <c r="M5" s="14"/>
      <c r="N5" s="14"/>
      <c r="O5" s="16" t="s">
        <v>135</v>
      </c>
      <c r="P5" s="58" t="s">
        <v>112</v>
      </c>
      <c r="Q5" s="67"/>
      <c r="R5" s="90" t="s">
        <v>46</v>
      </c>
      <c r="S5" s="63"/>
    </row>
    <row r="6" spans="1:66" s="7" customFormat="1" x14ac:dyDescent="0.25">
      <c r="A6" s="78">
        <v>2</v>
      </c>
      <c r="B6" s="67" t="s">
        <v>24</v>
      </c>
      <c r="C6" s="6" t="s">
        <v>29</v>
      </c>
      <c r="D6" s="36" t="s">
        <v>28</v>
      </c>
      <c r="E6" s="49">
        <v>2023</v>
      </c>
      <c r="F6" s="20">
        <v>46175</v>
      </c>
      <c r="G6" s="20">
        <v>46175</v>
      </c>
      <c r="H6" s="37"/>
      <c r="I6" s="37"/>
      <c r="J6" s="68"/>
      <c r="K6" s="14">
        <f t="shared" ref="K6" si="1">$F$1-F6</f>
        <v>0</v>
      </c>
      <c r="L6" s="14">
        <f t="shared" ref="L6" si="2">$F$1-G6</f>
        <v>0</v>
      </c>
      <c r="M6" s="14"/>
      <c r="N6" s="14"/>
      <c r="O6" s="16" t="s">
        <v>136</v>
      </c>
      <c r="P6" s="58" t="s">
        <v>110</v>
      </c>
      <c r="Q6" s="58"/>
      <c r="R6" s="90" t="s">
        <v>31</v>
      </c>
      <c r="S6" s="69"/>
    </row>
    <row r="7" spans="1:66" s="7" customFormat="1" x14ac:dyDescent="0.25">
      <c r="A7" s="78"/>
      <c r="B7" s="90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8"/>
      <c r="R7" s="90" t="s">
        <v>30</v>
      </c>
      <c r="S7" s="69"/>
    </row>
    <row r="8" spans="1:66" s="7" customFormat="1" x14ac:dyDescent="0.25">
      <c r="A8" s="56"/>
      <c r="B8" s="67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26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/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>
        <v>1</v>
      </c>
      <c r="B12" s="67" t="s">
        <v>107</v>
      </c>
      <c r="C12" s="79" t="s">
        <v>32</v>
      </c>
      <c r="D12" s="80" t="s">
        <v>28</v>
      </c>
      <c r="E12" s="49">
        <v>2012</v>
      </c>
      <c r="F12" s="20">
        <v>46167</v>
      </c>
      <c r="G12" s="20">
        <v>46167</v>
      </c>
      <c r="H12" s="37"/>
      <c r="I12" s="37"/>
      <c r="J12" s="68"/>
      <c r="K12" s="14">
        <f t="shared" ref="K12:L12" si="3">$F$1-F12</f>
        <v>8</v>
      </c>
      <c r="L12" s="14">
        <f t="shared" si="3"/>
        <v>8</v>
      </c>
      <c r="M12" s="14"/>
      <c r="N12" s="14"/>
      <c r="O12" s="16" t="s">
        <v>130</v>
      </c>
      <c r="P12" s="62" t="s">
        <v>119</v>
      </c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7" si="4">$F$1-F14</f>
        <v>91</v>
      </c>
      <c r="L14" s="14">
        <f t="shared" si="4"/>
        <v>91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27.6" customHeight="1" x14ac:dyDescent="0.25">
      <c r="A15" s="78">
        <v>2</v>
      </c>
      <c r="B15" s="90" t="s">
        <v>116</v>
      </c>
      <c r="C15" s="79" t="s">
        <v>32</v>
      </c>
      <c r="D15" s="80" t="s">
        <v>28</v>
      </c>
      <c r="E15" s="49">
        <v>2010</v>
      </c>
      <c r="F15" s="20">
        <v>46163</v>
      </c>
      <c r="G15" s="20">
        <v>46163</v>
      </c>
      <c r="H15" s="37"/>
      <c r="I15" s="37"/>
      <c r="J15" s="68"/>
      <c r="K15" s="14">
        <f t="shared" si="4"/>
        <v>12</v>
      </c>
      <c r="L15" s="14">
        <f t="shared" si="4"/>
        <v>12</v>
      </c>
      <c r="M15" s="14"/>
      <c r="N15" s="14"/>
      <c r="O15" s="16" t="s">
        <v>128</v>
      </c>
      <c r="P15" s="58" t="s">
        <v>9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111</v>
      </c>
      <c r="C16" s="6" t="s">
        <v>29</v>
      </c>
      <c r="D16" s="36" t="s">
        <v>28</v>
      </c>
      <c r="E16" s="49">
        <v>2023</v>
      </c>
      <c r="F16" s="20">
        <v>46158</v>
      </c>
      <c r="G16" s="20">
        <v>46158</v>
      </c>
      <c r="H16" s="37"/>
      <c r="I16" s="37"/>
      <c r="J16" s="68"/>
      <c r="K16" s="14">
        <f t="shared" si="4"/>
        <v>17</v>
      </c>
      <c r="L16" s="14">
        <f t="shared" si="4"/>
        <v>17</v>
      </c>
      <c r="M16" s="14"/>
      <c r="N16" s="14"/>
      <c r="O16" s="16" t="s">
        <v>132</v>
      </c>
      <c r="P16" s="58" t="s">
        <v>10</v>
      </c>
      <c r="Q16" s="16"/>
      <c r="R16" s="70"/>
      <c r="S16" s="69"/>
    </row>
    <row r="17" spans="1:66" s="7" customFormat="1" ht="30" customHeight="1" x14ac:dyDescent="0.25">
      <c r="A17" s="78">
        <v>4</v>
      </c>
      <c r="B17" s="67" t="s">
        <v>133</v>
      </c>
      <c r="C17" s="6" t="s">
        <v>29</v>
      </c>
      <c r="D17" s="36" t="s">
        <v>28</v>
      </c>
      <c r="E17" s="49">
        <v>2023</v>
      </c>
      <c r="F17" s="20">
        <v>46174</v>
      </c>
      <c r="G17" s="20">
        <v>46174</v>
      </c>
      <c r="H17" s="37"/>
      <c r="I17" s="37"/>
      <c r="J17" s="68"/>
      <c r="K17" s="14">
        <f t="shared" si="4"/>
        <v>1</v>
      </c>
      <c r="L17" s="14">
        <f t="shared" si="4"/>
        <v>1</v>
      </c>
      <c r="M17" s="14"/>
      <c r="N17" s="14"/>
      <c r="O17" s="16" t="s">
        <v>134</v>
      </c>
      <c r="P17" s="58"/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FF0C-8EFB-43F6-84E7-57CE3302A8F9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46176</v>
      </c>
      <c r="G1" s="20">
        <v>46176</v>
      </c>
      <c r="H1" s="20">
        <v>46176</v>
      </c>
      <c r="I1" s="20">
        <v>46176</v>
      </c>
      <c r="J1" s="20">
        <v>46176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2" t="s">
        <v>7</v>
      </c>
      <c r="L3" s="152" t="s">
        <v>19</v>
      </c>
      <c r="M3" s="152" t="s">
        <v>20</v>
      </c>
      <c r="N3" s="15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19</v>
      </c>
      <c r="L5" s="14">
        <f t="shared" si="0"/>
        <v>19</v>
      </c>
      <c r="M5" s="14"/>
      <c r="N5" s="14"/>
      <c r="O5" s="16" t="s">
        <v>142</v>
      </c>
      <c r="P5" s="58" t="s">
        <v>112</v>
      </c>
      <c r="Q5" s="67"/>
      <c r="R5" s="90" t="s">
        <v>46</v>
      </c>
      <c r="S5" s="63"/>
    </row>
    <row r="6" spans="1:66" s="7" customFormat="1" x14ac:dyDescent="0.25">
      <c r="A6" s="78">
        <v>2</v>
      </c>
      <c r="B6" s="67" t="s">
        <v>24</v>
      </c>
      <c r="C6" s="6" t="s">
        <v>29</v>
      </c>
      <c r="D6" s="36" t="s">
        <v>28</v>
      </c>
      <c r="E6" s="49">
        <v>2023</v>
      </c>
      <c r="F6" s="20">
        <v>46175</v>
      </c>
      <c r="G6" s="20">
        <v>46175</v>
      </c>
      <c r="H6" s="37"/>
      <c r="I6" s="37"/>
      <c r="J6" s="68"/>
      <c r="K6" s="14">
        <f t="shared" si="0"/>
        <v>1</v>
      </c>
      <c r="L6" s="14">
        <f t="shared" si="0"/>
        <v>1</v>
      </c>
      <c r="M6" s="14"/>
      <c r="N6" s="14"/>
      <c r="O6" s="16" t="s">
        <v>136</v>
      </c>
      <c r="P6" s="58" t="s">
        <v>110</v>
      </c>
      <c r="Q6" s="58"/>
      <c r="R6" s="90" t="s">
        <v>31</v>
      </c>
      <c r="S6" s="69"/>
    </row>
    <row r="7" spans="1:66" s="7" customFormat="1" ht="26.4" x14ac:dyDescent="0.25">
      <c r="A7" s="78">
        <v>3</v>
      </c>
      <c r="B7" s="90" t="s">
        <v>140</v>
      </c>
      <c r="C7" s="79" t="s">
        <v>32</v>
      </c>
      <c r="D7" s="80" t="s">
        <v>28</v>
      </c>
      <c r="E7" s="49">
        <v>2018</v>
      </c>
      <c r="F7" s="20">
        <v>46176</v>
      </c>
      <c r="G7" s="20">
        <v>46176</v>
      </c>
      <c r="H7" s="37"/>
      <c r="I7" s="37"/>
      <c r="J7" s="68"/>
      <c r="K7" s="14">
        <f t="shared" ref="K7" si="1">$F$1-F7</f>
        <v>0</v>
      </c>
      <c r="L7" s="14">
        <f t="shared" ref="L7" si="2">$F$1-G7</f>
        <v>0</v>
      </c>
      <c r="M7" s="14"/>
      <c r="N7" s="14"/>
      <c r="O7" s="16" t="s">
        <v>141</v>
      </c>
      <c r="P7" s="58"/>
      <c r="Q7" s="58"/>
      <c r="R7" s="90" t="s">
        <v>30</v>
      </c>
      <c r="S7" s="69"/>
    </row>
    <row r="8" spans="1:66" s="7" customFormat="1" x14ac:dyDescent="0.25">
      <c r="A8" s="56"/>
      <c r="B8" s="67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26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 t="s">
        <v>139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8" si="3">$F$1-F14</f>
        <v>92</v>
      </c>
      <c r="L14" s="14">
        <f t="shared" si="3"/>
        <v>92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27.6" customHeight="1" x14ac:dyDescent="0.25">
      <c r="A15" s="78">
        <v>2</v>
      </c>
      <c r="B15" s="90" t="s">
        <v>116</v>
      </c>
      <c r="C15" s="79" t="s">
        <v>32</v>
      </c>
      <c r="D15" s="80" t="s">
        <v>28</v>
      </c>
      <c r="E15" s="49">
        <v>2010</v>
      </c>
      <c r="F15" s="20">
        <v>46163</v>
      </c>
      <c r="G15" s="20">
        <v>46163</v>
      </c>
      <c r="H15" s="37"/>
      <c r="I15" s="37"/>
      <c r="J15" s="68"/>
      <c r="K15" s="14">
        <f t="shared" si="3"/>
        <v>13</v>
      </c>
      <c r="L15" s="14">
        <f t="shared" si="3"/>
        <v>13</v>
      </c>
      <c r="M15" s="14"/>
      <c r="N15" s="14"/>
      <c r="O15" s="16" t="s">
        <v>137</v>
      </c>
      <c r="P15" s="58" t="s">
        <v>9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111</v>
      </c>
      <c r="C16" s="6" t="s">
        <v>29</v>
      </c>
      <c r="D16" s="36" t="s">
        <v>28</v>
      </c>
      <c r="E16" s="49">
        <v>2023</v>
      </c>
      <c r="F16" s="20">
        <v>46158</v>
      </c>
      <c r="G16" s="20">
        <v>46158</v>
      </c>
      <c r="H16" s="37"/>
      <c r="I16" s="37"/>
      <c r="J16" s="68"/>
      <c r="K16" s="14">
        <f t="shared" si="3"/>
        <v>18</v>
      </c>
      <c r="L16" s="14">
        <f t="shared" si="3"/>
        <v>18</v>
      </c>
      <c r="M16" s="14"/>
      <c r="N16" s="14"/>
      <c r="O16" s="16" t="s">
        <v>132</v>
      </c>
      <c r="P16" s="58" t="s">
        <v>10</v>
      </c>
      <c r="Q16" s="16"/>
      <c r="R16" s="70"/>
      <c r="S16" s="69"/>
    </row>
    <row r="17" spans="1:66" s="7" customFormat="1" ht="30" customHeight="1" x14ac:dyDescent="0.25">
      <c r="A17" s="78">
        <v>4</v>
      </c>
      <c r="B17" s="67" t="s">
        <v>133</v>
      </c>
      <c r="C17" s="6" t="s">
        <v>29</v>
      </c>
      <c r="D17" s="36" t="s">
        <v>28</v>
      </c>
      <c r="E17" s="49">
        <v>2023</v>
      </c>
      <c r="F17" s="20">
        <v>46174</v>
      </c>
      <c r="G17" s="20">
        <v>46174</v>
      </c>
      <c r="H17" s="37"/>
      <c r="I17" s="37"/>
      <c r="J17" s="68"/>
      <c r="K17" s="14">
        <f t="shared" si="3"/>
        <v>2</v>
      </c>
      <c r="L17" s="14">
        <f t="shared" si="3"/>
        <v>2</v>
      </c>
      <c r="M17" s="14"/>
      <c r="N17" s="14"/>
      <c r="O17" s="16" t="s">
        <v>134</v>
      </c>
      <c r="P17" s="58"/>
      <c r="Q17" s="16"/>
      <c r="R17" s="70"/>
      <c r="S17" s="69"/>
    </row>
    <row r="18" spans="1:66" s="7" customFormat="1" ht="30" customHeight="1" x14ac:dyDescent="0.25">
      <c r="A18" s="78">
        <v>5</v>
      </c>
      <c r="B18" s="67" t="s">
        <v>107</v>
      </c>
      <c r="C18" s="79" t="s">
        <v>32</v>
      </c>
      <c r="D18" s="80" t="s">
        <v>28</v>
      </c>
      <c r="E18" s="49">
        <v>2012</v>
      </c>
      <c r="F18" s="20">
        <v>46167</v>
      </c>
      <c r="G18" s="20">
        <v>46167</v>
      </c>
      <c r="H18" s="37"/>
      <c r="I18" s="37"/>
      <c r="J18" s="68"/>
      <c r="K18" s="14">
        <f t="shared" si="3"/>
        <v>9</v>
      </c>
      <c r="L18" s="14">
        <f t="shared" si="3"/>
        <v>9</v>
      </c>
      <c r="M18" s="14"/>
      <c r="N18" s="14"/>
      <c r="O18" s="16" t="s">
        <v>138</v>
      </c>
      <c r="P18" s="62" t="s">
        <v>119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9228-3F2E-47F6-86F0-84DE6643A2CE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46177</v>
      </c>
      <c r="G1" s="20">
        <v>46177</v>
      </c>
      <c r="H1" s="20">
        <v>46177</v>
      </c>
      <c r="I1" s="20">
        <v>46177</v>
      </c>
      <c r="J1" s="20">
        <v>46177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3" t="s">
        <v>7</v>
      </c>
      <c r="L3" s="153" t="s">
        <v>19</v>
      </c>
      <c r="M3" s="153" t="s">
        <v>20</v>
      </c>
      <c r="N3" s="15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20</v>
      </c>
      <c r="L5" s="14">
        <f t="shared" si="0"/>
        <v>20</v>
      </c>
      <c r="M5" s="14"/>
      <c r="N5" s="14"/>
      <c r="O5" s="16" t="s">
        <v>144</v>
      </c>
      <c r="P5" s="58" t="s">
        <v>112</v>
      </c>
      <c r="Q5" s="90" t="s">
        <v>140</v>
      </c>
      <c r="R5" s="90" t="s">
        <v>46</v>
      </c>
      <c r="S5" s="63"/>
    </row>
    <row r="6" spans="1:66" s="7" customFormat="1" x14ac:dyDescent="0.25">
      <c r="A6" s="78">
        <v>2</v>
      </c>
      <c r="B6" s="67" t="s">
        <v>24</v>
      </c>
      <c r="C6" s="6" t="s">
        <v>29</v>
      </c>
      <c r="D6" s="36" t="s">
        <v>28</v>
      </c>
      <c r="E6" s="49">
        <v>2023</v>
      </c>
      <c r="F6" s="20">
        <v>46175</v>
      </c>
      <c r="G6" s="20">
        <v>46175</v>
      </c>
      <c r="H6" s="37"/>
      <c r="I6" s="37"/>
      <c r="J6" s="68"/>
      <c r="K6" s="14">
        <f t="shared" si="0"/>
        <v>2</v>
      </c>
      <c r="L6" s="14">
        <f t="shared" si="0"/>
        <v>2</v>
      </c>
      <c r="M6" s="14"/>
      <c r="N6" s="14"/>
      <c r="O6" s="16" t="s">
        <v>136</v>
      </c>
      <c r="P6" s="58" t="s">
        <v>145</v>
      </c>
      <c r="Q6" s="58"/>
      <c r="R6" s="90" t="s">
        <v>31</v>
      </c>
      <c r="S6" s="69"/>
    </row>
    <row r="7" spans="1:66" s="7" customFormat="1" x14ac:dyDescent="0.25">
      <c r="A7" s="78">
        <v>3</v>
      </c>
      <c r="B7" s="90" t="s">
        <v>45</v>
      </c>
      <c r="C7" s="6" t="s">
        <v>29</v>
      </c>
      <c r="D7" s="36" t="s">
        <v>28</v>
      </c>
      <c r="E7" s="49">
        <v>2023</v>
      </c>
      <c r="F7" s="20">
        <v>46177</v>
      </c>
      <c r="G7" s="20">
        <v>46177</v>
      </c>
      <c r="H7" s="37"/>
      <c r="I7" s="37"/>
      <c r="J7" s="68"/>
      <c r="K7" s="14">
        <f t="shared" ref="K7" si="1">$F$1-F7</f>
        <v>0</v>
      </c>
      <c r="L7" s="14">
        <f t="shared" ref="L7" si="2">$F$1-G7</f>
        <v>0</v>
      </c>
      <c r="M7" s="14"/>
      <c r="N7" s="14"/>
      <c r="O7" s="16" t="s">
        <v>103</v>
      </c>
      <c r="P7" s="58" t="s">
        <v>122</v>
      </c>
      <c r="Q7" s="58"/>
      <c r="R7" s="90"/>
      <c r="S7" s="69"/>
    </row>
    <row r="8" spans="1:66" s="7" customFormat="1" x14ac:dyDescent="0.25">
      <c r="A8" s="56"/>
      <c r="B8" s="67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26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 t="s">
        <v>139</v>
      </c>
      <c r="S9" s="69"/>
    </row>
    <row r="10" spans="1:66" s="7" customFormat="1" x14ac:dyDescent="0.25">
      <c r="A10" s="56"/>
      <c r="B10" s="67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62"/>
      <c r="Q10" s="57"/>
      <c r="R10" s="58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8" si="3">$F$1-F14</f>
        <v>93</v>
      </c>
      <c r="L14" s="14">
        <f t="shared" si="3"/>
        <v>93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27.6" customHeight="1" x14ac:dyDescent="0.25">
      <c r="A15" s="78">
        <v>2</v>
      </c>
      <c r="B15" s="90" t="s">
        <v>116</v>
      </c>
      <c r="C15" s="79" t="s">
        <v>32</v>
      </c>
      <c r="D15" s="80" t="s">
        <v>28</v>
      </c>
      <c r="E15" s="49">
        <v>2010</v>
      </c>
      <c r="F15" s="20">
        <v>46163</v>
      </c>
      <c r="G15" s="20">
        <v>46163</v>
      </c>
      <c r="H15" s="37"/>
      <c r="I15" s="37"/>
      <c r="J15" s="68"/>
      <c r="K15" s="14">
        <f t="shared" si="3"/>
        <v>14</v>
      </c>
      <c r="L15" s="14">
        <f t="shared" si="3"/>
        <v>14</v>
      </c>
      <c r="M15" s="14"/>
      <c r="N15" s="14"/>
      <c r="O15" s="16" t="s">
        <v>137</v>
      </c>
      <c r="P15" s="58" t="s">
        <v>9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111</v>
      </c>
      <c r="C16" s="6" t="s">
        <v>29</v>
      </c>
      <c r="D16" s="36" t="s">
        <v>28</v>
      </c>
      <c r="E16" s="49">
        <v>2023</v>
      </c>
      <c r="F16" s="20">
        <v>46158</v>
      </c>
      <c r="G16" s="20">
        <v>46158</v>
      </c>
      <c r="H16" s="37"/>
      <c r="I16" s="37"/>
      <c r="J16" s="68"/>
      <c r="K16" s="14">
        <f t="shared" si="3"/>
        <v>19</v>
      </c>
      <c r="L16" s="14">
        <f t="shared" si="3"/>
        <v>19</v>
      </c>
      <c r="M16" s="14"/>
      <c r="N16" s="14"/>
      <c r="O16" s="16" t="s">
        <v>132</v>
      </c>
      <c r="P16" s="58" t="s">
        <v>10</v>
      </c>
      <c r="Q16" s="16"/>
      <c r="R16" s="70"/>
      <c r="S16" s="69"/>
    </row>
    <row r="17" spans="1:66" s="7" customFormat="1" ht="30" customHeight="1" x14ac:dyDescent="0.25">
      <c r="A17" s="78">
        <v>4</v>
      </c>
      <c r="B17" s="67" t="s">
        <v>133</v>
      </c>
      <c r="C17" s="6" t="s">
        <v>29</v>
      </c>
      <c r="D17" s="36" t="s">
        <v>28</v>
      </c>
      <c r="E17" s="49">
        <v>2023</v>
      </c>
      <c r="F17" s="20">
        <v>46174</v>
      </c>
      <c r="G17" s="20">
        <v>46174</v>
      </c>
      <c r="H17" s="37"/>
      <c r="I17" s="37"/>
      <c r="J17" s="68"/>
      <c r="K17" s="14">
        <f t="shared" si="3"/>
        <v>3</v>
      </c>
      <c r="L17" s="14">
        <f t="shared" si="3"/>
        <v>3</v>
      </c>
      <c r="M17" s="14"/>
      <c r="N17" s="14"/>
      <c r="O17" s="16" t="s">
        <v>134</v>
      </c>
      <c r="P17" s="58" t="s">
        <v>143</v>
      </c>
      <c r="Q17" s="16"/>
      <c r="R17" s="70"/>
      <c r="S17" s="69"/>
    </row>
    <row r="18" spans="1:66" s="7" customFormat="1" ht="30" customHeight="1" x14ac:dyDescent="0.25">
      <c r="A18" s="78">
        <v>5</v>
      </c>
      <c r="B18" s="67" t="s">
        <v>107</v>
      </c>
      <c r="C18" s="79" t="s">
        <v>32</v>
      </c>
      <c r="D18" s="80" t="s">
        <v>28</v>
      </c>
      <c r="E18" s="49">
        <v>2012</v>
      </c>
      <c r="F18" s="20">
        <v>46167</v>
      </c>
      <c r="G18" s="20">
        <v>46167</v>
      </c>
      <c r="H18" s="37"/>
      <c r="I18" s="37"/>
      <c r="J18" s="68"/>
      <c r="K18" s="14">
        <f t="shared" si="3"/>
        <v>10</v>
      </c>
      <c r="L18" s="14">
        <f t="shared" si="3"/>
        <v>10</v>
      </c>
      <c r="M18" s="14"/>
      <c r="N18" s="14"/>
      <c r="O18" s="16" t="s">
        <v>138</v>
      </c>
      <c r="P18" s="62" t="s">
        <v>119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B24F-CEE5-4A6F-8711-77D083BBF396}"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46178</v>
      </c>
      <c r="G1" s="20">
        <v>46178</v>
      </c>
      <c r="H1" s="20">
        <v>46178</v>
      </c>
      <c r="I1" s="20">
        <v>46178</v>
      </c>
      <c r="J1" s="20">
        <v>46178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4" t="s">
        <v>7</v>
      </c>
      <c r="L3" s="154" t="s">
        <v>19</v>
      </c>
      <c r="M3" s="154" t="s">
        <v>20</v>
      </c>
      <c r="N3" s="15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21</v>
      </c>
      <c r="L5" s="14">
        <f t="shared" si="0"/>
        <v>21</v>
      </c>
      <c r="M5" s="14"/>
      <c r="N5" s="14"/>
      <c r="O5" s="16" t="s">
        <v>146</v>
      </c>
      <c r="P5" s="58" t="s">
        <v>112</v>
      </c>
      <c r="Q5" s="67" t="s">
        <v>24</v>
      </c>
      <c r="R5" s="90" t="s">
        <v>46</v>
      </c>
      <c r="S5" s="63"/>
    </row>
    <row r="6" spans="1:66" s="7" customFormat="1" x14ac:dyDescent="0.25">
      <c r="A6" s="78">
        <v>2</v>
      </c>
      <c r="B6" s="67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67" t="s">
        <v>133</v>
      </c>
      <c r="R6" s="90" t="s">
        <v>31</v>
      </c>
      <c r="S6" s="69"/>
    </row>
    <row r="7" spans="1:66" s="7" customFormat="1" x14ac:dyDescent="0.25">
      <c r="A7" s="56"/>
      <c r="B7" s="67"/>
      <c r="C7" s="79"/>
      <c r="D7" s="80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62"/>
      <c r="Q7" s="57"/>
      <c r="R7" s="58" t="s">
        <v>26</v>
      </c>
      <c r="S7" s="69"/>
    </row>
    <row r="8" spans="1:66" s="7" customFormat="1" x14ac:dyDescent="0.25">
      <c r="A8" s="56"/>
      <c r="B8" s="67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62"/>
      <c r="Q8" s="57"/>
      <c r="R8" s="58" t="s">
        <v>139</v>
      </c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55.95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7" si="1">$F$1-F13</f>
        <v>94</v>
      </c>
      <c r="L13" s="14">
        <f t="shared" si="1"/>
        <v>94</v>
      </c>
      <c r="M13" s="14"/>
      <c r="N13" s="14"/>
      <c r="O13" s="16" t="s">
        <v>129</v>
      </c>
      <c r="P13" s="58" t="s">
        <v>33</v>
      </c>
      <c r="Q13" s="16"/>
      <c r="R13" s="70"/>
      <c r="S13" s="69"/>
    </row>
    <row r="14" spans="1:66" s="7" customFormat="1" ht="27.6" customHeight="1" x14ac:dyDescent="0.25">
      <c r="A14" s="78">
        <v>2</v>
      </c>
      <c r="B14" s="90" t="s">
        <v>116</v>
      </c>
      <c r="C14" s="79" t="s">
        <v>32</v>
      </c>
      <c r="D14" s="80" t="s">
        <v>28</v>
      </c>
      <c r="E14" s="49">
        <v>2010</v>
      </c>
      <c r="F14" s="20">
        <v>46163</v>
      </c>
      <c r="G14" s="20">
        <v>46163</v>
      </c>
      <c r="H14" s="37"/>
      <c r="I14" s="37"/>
      <c r="J14" s="68"/>
      <c r="K14" s="14">
        <f t="shared" si="1"/>
        <v>15</v>
      </c>
      <c r="L14" s="14">
        <f t="shared" si="1"/>
        <v>15</v>
      </c>
      <c r="M14" s="14"/>
      <c r="N14" s="14"/>
      <c r="O14" s="16" t="s">
        <v>137</v>
      </c>
      <c r="P14" s="58" t="s">
        <v>9</v>
      </c>
      <c r="Q14" s="16"/>
      <c r="R14" s="70"/>
      <c r="S14" s="69"/>
    </row>
    <row r="15" spans="1:66" s="7" customFormat="1" ht="30" customHeight="1" x14ac:dyDescent="0.25">
      <c r="A15" s="78">
        <v>3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si="1"/>
        <v>20</v>
      </c>
      <c r="L15" s="14">
        <f t="shared" si="1"/>
        <v>20</v>
      </c>
      <c r="M15" s="14"/>
      <c r="N15" s="14"/>
      <c r="O15" s="16" t="s">
        <v>132</v>
      </c>
      <c r="P15" s="58" t="s">
        <v>10</v>
      </c>
      <c r="Q15" s="16"/>
      <c r="R15" s="70"/>
      <c r="S15" s="69"/>
    </row>
    <row r="16" spans="1:66" s="7" customFormat="1" ht="30" customHeight="1" x14ac:dyDescent="0.25">
      <c r="A16" s="78">
        <v>4</v>
      </c>
      <c r="B16" s="67" t="s">
        <v>107</v>
      </c>
      <c r="C16" s="79" t="s">
        <v>32</v>
      </c>
      <c r="D16" s="80" t="s">
        <v>28</v>
      </c>
      <c r="E16" s="49">
        <v>2012</v>
      </c>
      <c r="F16" s="20">
        <v>46167</v>
      </c>
      <c r="G16" s="20">
        <v>46167</v>
      </c>
      <c r="H16" s="37"/>
      <c r="I16" s="37"/>
      <c r="J16" s="68"/>
      <c r="K16" s="14">
        <f t="shared" si="1"/>
        <v>11</v>
      </c>
      <c r="L16" s="14">
        <f t="shared" si="1"/>
        <v>11</v>
      </c>
      <c r="M16" s="14"/>
      <c r="N16" s="14"/>
      <c r="O16" s="16" t="s">
        <v>138</v>
      </c>
      <c r="P16" s="62" t="s">
        <v>119</v>
      </c>
      <c r="Q16" s="16"/>
      <c r="R16" s="70"/>
      <c r="S16" s="69"/>
    </row>
    <row r="17" spans="1:66" s="7" customFormat="1" ht="30" customHeight="1" x14ac:dyDescent="0.25">
      <c r="A17" s="78">
        <v>5</v>
      </c>
      <c r="B17" s="90" t="s">
        <v>45</v>
      </c>
      <c r="C17" s="6" t="s">
        <v>29</v>
      </c>
      <c r="D17" s="36" t="s">
        <v>28</v>
      </c>
      <c r="E17" s="49">
        <v>2023</v>
      </c>
      <c r="F17" s="20">
        <v>46177</v>
      </c>
      <c r="G17" s="20">
        <v>46177</v>
      </c>
      <c r="H17" s="37"/>
      <c r="I17" s="37"/>
      <c r="J17" s="68"/>
      <c r="K17" s="14">
        <f t="shared" si="1"/>
        <v>1</v>
      </c>
      <c r="L17" s="14">
        <f t="shared" si="1"/>
        <v>1</v>
      </c>
      <c r="M17" s="14"/>
      <c r="N17" s="14"/>
      <c r="O17" s="16" t="s">
        <v>103</v>
      </c>
      <c r="P17" s="58" t="s">
        <v>122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E7EB-E60D-4136-BD2E-3F91F2DD5D4B}"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46179</v>
      </c>
      <c r="G1" s="20">
        <v>46179</v>
      </c>
      <c r="H1" s="20">
        <v>46179</v>
      </c>
      <c r="I1" s="20">
        <v>46179</v>
      </c>
      <c r="J1" s="20">
        <v>46179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5" t="s">
        <v>7</v>
      </c>
      <c r="L3" s="155" t="s">
        <v>19</v>
      </c>
      <c r="M3" s="155" t="s">
        <v>20</v>
      </c>
      <c r="N3" s="15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5" si="0">$F$1-F5</f>
        <v>22</v>
      </c>
      <c r="L5" s="14">
        <f t="shared" si="0"/>
        <v>22</v>
      </c>
      <c r="M5" s="14"/>
      <c r="N5" s="14"/>
      <c r="O5" s="16" t="s">
        <v>146</v>
      </c>
      <c r="P5" s="58" t="s">
        <v>112</v>
      </c>
      <c r="Q5" s="67"/>
      <c r="R5" s="90" t="s">
        <v>46</v>
      </c>
      <c r="S5" s="63"/>
    </row>
    <row r="6" spans="1:66" s="7" customFormat="1" x14ac:dyDescent="0.25">
      <c r="A6" s="78">
        <v>2</v>
      </c>
      <c r="B6" s="67" t="s">
        <v>148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ref="K6" si="1">$F$1-F6</f>
        <v>0</v>
      </c>
      <c r="L6" s="14">
        <f t="shared" ref="L6" si="2">$F$1-G6</f>
        <v>0</v>
      </c>
      <c r="M6" s="14"/>
      <c r="N6" s="14"/>
      <c r="O6" s="16" t="s">
        <v>149</v>
      </c>
      <c r="P6" s="58"/>
      <c r="Q6" s="67"/>
      <c r="R6" s="90" t="s">
        <v>31</v>
      </c>
      <c r="S6" s="69"/>
    </row>
    <row r="7" spans="1:66" s="7" customFormat="1" x14ac:dyDescent="0.25">
      <c r="A7" s="56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ref="K7" si="3">$F$1-F7</f>
        <v>0</v>
      </c>
      <c r="L7" s="14">
        <f t="shared" ref="L7" si="4">$F$1-G7</f>
        <v>0</v>
      </c>
      <c r="M7" s="14"/>
      <c r="N7" s="14"/>
      <c r="O7" s="16" t="s">
        <v>151</v>
      </c>
      <c r="P7" s="58" t="s">
        <v>26</v>
      </c>
      <c r="Q7" s="57"/>
      <c r="R7" s="58" t="s">
        <v>147</v>
      </c>
      <c r="S7" s="69"/>
    </row>
    <row r="8" spans="1:66" s="7" customFormat="1" x14ac:dyDescent="0.25">
      <c r="A8" s="56">
        <v>4</v>
      </c>
      <c r="B8" s="67" t="s">
        <v>153</v>
      </c>
      <c r="C8" s="79" t="s">
        <v>32</v>
      </c>
      <c r="D8" s="80" t="s">
        <v>28</v>
      </c>
      <c r="E8" s="49">
        <v>2010</v>
      </c>
      <c r="F8" s="20">
        <v>46179</v>
      </c>
      <c r="G8" s="20">
        <v>46179</v>
      </c>
      <c r="H8" s="37"/>
      <c r="I8" s="37"/>
      <c r="J8" s="68"/>
      <c r="K8" s="14">
        <f t="shared" ref="K8" si="5">$F$1-F8</f>
        <v>0</v>
      </c>
      <c r="L8" s="14">
        <f t="shared" ref="L8" si="6">$F$1-G8</f>
        <v>0</v>
      </c>
      <c r="M8" s="14"/>
      <c r="N8" s="14"/>
      <c r="O8" s="16" t="s">
        <v>152</v>
      </c>
      <c r="P8" s="62" t="s">
        <v>154</v>
      </c>
      <c r="Q8" s="57"/>
      <c r="R8" s="58"/>
      <c r="S8" s="69"/>
    </row>
    <row r="9" spans="1:66" s="7" customFormat="1" x14ac:dyDescent="0.25">
      <c r="A9" s="56"/>
      <c r="B9" s="67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62"/>
      <c r="Q9" s="57"/>
      <c r="R9" s="58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55.95" customHeight="1" x14ac:dyDescent="0.25">
      <c r="A13" s="78">
        <v>1</v>
      </c>
      <c r="B13" s="58" t="s">
        <v>52</v>
      </c>
      <c r="C13" s="6" t="s">
        <v>29</v>
      </c>
      <c r="D13" s="36" t="s">
        <v>28</v>
      </c>
      <c r="E13" s="49">
        <v>2023</v>
      </c>
      <c r="F13" s="20">
        <v>46084</v>
      </c>
      <c r="G13" s="20">
        <v>46084</v>
      </c>
      <c r="H13" s="37"/>
      <c r="I13" s="37"/>
      <c r="J13" s="68"/>
      <c r="K13" s="14">
        <f t="shared" ref="K13:L17" si="7">$F$1-F13</f>
        <v>95</v>
      </c>
      <c r="L13" s="14">
        <f t="shared" si="7"/>
        <v>95</v>
      </c>
      <c r="M13" s="14"/>
      <c r="N13" s="14"/>
      <c r="O13" s="16" t="s">
        <v>129</v>
      </c>
      <c r="P13" s="58" t="s">
        <v>33</v>
      </c>
      <c r="Q13" s="16"/>
      <c r="R13" s="70"/>
      <c r="S13" s="69"/>
    </row>
    <row r="14" spans="1:66" s="7" customFormat="1" ht="27.6" customHeight="1" x14ac:dyDescent="0.25">
      <c r="A14" s="78">
        <v>2</v>
      </c>
      <c r="B14" s="90" t="s">
        <v>116</v>
      </c>
      <c r="C14" s="79" t="s">
        <v>32</v>
      </c>
      <c r="D14" s="80" t="s">
        <v>28</v>
      </c>
      <c r="E14" s="49">
        <v>2010</v>
      </c>
      <c r="F14" s="20">
        <v>46163</v>
      </c>
      <c r="G14" s="20">
        <v>46163</v>
      </c>
      <c r="H14" s="37"/>
      <c r="I14" s="37"/>
      <c r="J14" s="68"/>
      <c r="K14" s="14">
        <f t="shared" si="7"/>
        <v>16</v>
      </c>
      <c r="L14" s="14">
        <f t="shared" si="7"/>
        <v>16</v>
      </c>
      <c r="M14" s="14"/>
      <c r="N14" s="14"/>
      <c r="O14" s="16" t="s">
        <v>137</v>
      </c>
      <c r="P14" s="58" t="s">
        <v>9</v>
      </c>
      <c r="Q14" s="16"/>
      <c r="R14" s="70"/>
      <c r="S14" s="69"/>
    </row>
    <row r="15" spans="1:66" s="7" customFormat="1" ht="30" customHeight="1" x14ac:dyDescent="0.25">
      <c r="A15" s="78">
        <v>3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si="7"/>
        <v>21</v>
      </c>
      <c r="L15" s="14">
        <f t="shared" si="7"/>
        <v>21</v>
      </c>
      <c r="M15" s="14"/>
      <c r="N15" s="14"/>
      <c r="O15" s="16" t="s">
        <v>132</v>
      </c>
      <c r="P15" s="58" t="s">
        <v>10</v>
      </c>
      <c r="Q15" s="16"/>
      <c r="R15" s="70"/>
      <c r="S15" s="69"/>
    </row>
    <row r="16" spans="1:66" s="7" customFormat="1" ht="30" customHeight="1" x14ac:dyDescent="0.25">
      <c r="A16" s="78">
        <v>4</v>
      </c>
      <c r="B16" s="67" t="s">
        <v>107</v>
      </c>
      <c r="C16" s="79" t="s">
        <v>32</v>
      </c>
      <c r="D16" s="80" t="s">
        <v>28</v>
      </c>
      <c r="E16" s="49">
        <v>2012</v>
      </c>
      <c r="F16" s="20">
        <v>46167</v>
      </c>
      <c r="G16" s="20">
        <v>46167</v>
      </c>
      <c r="H16" s="37"/>
      <c r="I16" s="37"/>
      <c r="J16" s="68"/>
      <c r="K16" s="14">
        <f t="shared" si="7"/>
        <v>12</v>
      </c>
      <c r="L16" s="14">
        <f t="shared" si="7"/>
        <v>12</v>
      </c>
      <c r="M16" s="14"/>
      <c r="N16" s="14"/>
      <c r="O16" s="16" t="s">
        <v>138</v>
      </c>
      <c r="P16" s="62" t="s">
        <v>119</v>
      </c>
      <c r="Q16" s="16"/>
      <c r="R16" s="70"/>
      <c r="S16" s="69"/>
    </row>
    <row r="17" spans="1:66" s="7" customFormat="1" ht="30" customHeight="1" x14ac:dyDescent="0.25">
      <c r="A17" s="78">
        <v>5</v>
      </c>
      <c r="B17" s="90" t="s">
        <v>45</v>
      </c>
      <c r="C17" s="6" t="s">
        <v>29</v>
      </c>
      <c r="D17" s="36" t="s">
        <v>28</v>
      </c>
      <c r="E17" s="49">
        <v>2023</v>
      </c>
      <c r="F17" s="20">
        <v>46177</v>
      </c>
      <c r="G17" s="20">
        <v>46177</v>
      </c>
      <c r="H17" s="37"/>
      <c r="I17" s="37"/>
      <c r="J17" s="68"/>
      <c r="K17" s="14">
        <f t="shared" si="7"/>
        <v>2</v>
      </c>
      <c r="L17" s="14">
        <f t="shared" si="7"/>
        <v>2</v>
      </c>
      <c r="M17" s="14"/>
      <c r="N17" s="14"/>
      <c r="O17" s="16" t="s">
        <v>103</v>
      </c>
      <c r="P17" s="58" t="s">
        <v>122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D511-B028-41BE-9070-722D2E4546AF}"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46180</v>
      </c>
      <c r="G1" s="20">
        <v>46180</v>
      </c>
      <c r="H1" s="20">
        <v>46180</v>
      </c>
      <c r="I1" s="20">
        <v>46180</v>
      </c>
      <c r="J1" s="20">
        <v>46180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6" t="s">
        <v>7</v>
      </c>
      <c r="L3" s="156" t="s">
        <v>19</v>
      </c>
      <c r="M3" s="156" t="s">
        <v>20</v>
      </c>
      <c r="N3" s="15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23</v>
      </c>
      <c r="L5" s="14">
        <f t="shared" si="0"/>
        <v>23</v>
      </c>
      <c r="M5" s="14"/>
      <c r="N5" s="14"/>
      <c r="O5" s="16" t="s">
        <v>146</v>
      </c>
      <c r="P5" s="58" t="s">
        <v>112</v>
      </c>
      <c r="Q5" s="67" t="s">
        <v>148</v>
      </c>
      <c r="R5" s="93" t="s">
        <v>46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ref="K6" si="1">$F$1-F6</f>
        <v>1</v>
      </c>
      <c r="L6" s="14">
        <f t="shared" ref="L6" si="2">$F$1-G6</f>
        <v>1</v>
      </c>
      <c r="M6" s="14"/>
      <c r="N6" s="14"/>
      <c r="O6" s="16" t="s">
        <v>156</v>
      </c>
      <c r="P6" s="62" t="s">
        <v>155</v>
      </c>
      <c r="Q6" s="60" t="s">
        <v>76</v>
      </c>
      <c r="R6" s="93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1</v>
      </c>
      <c r="L7" s="14">
        <f t="shared" si="0"/>
        <v>1</v>
      </c>
      <c r="M7" s="14"/>
      <c r="N7" s="14"/>
      <c r="O7" s="16" t="s">
        <v>151</v>
      </c>
      <c r="P7" s="58" t="s">
        <v>26</v>
      </c>
      <c r="Q7" s="57"/>
      <c r="R7" s="60" t="s">
        <v>110</v>
      </c>
      <c r="S7" s="69"/>
    </row>
    <row r="8" spans="1:66" s="7" customFormat="1" x14ac:dyDescent="0.25">
      <c r="A8" s="78">
        <v>4</v>
      </c>
      <c r="B8" s="67" t="s">
        <v>107</v>
      </c>
      <c r="C8" s="79" t="s">
        <v>32</v>
      </c>
      <c r="D8" s="80" t="s">
        <v>28</v>
      </c>
      <c r="E8" s="49">
        <v>2012</v>
      </c>
      <c r="F8" s="20">
        <v>46167</v>
      </c>
      <c r="G8" s="20">
        <v>46167</v>
      </c>
      <c r="H8" s="37"/>
      <c r="I8" s="37"/>
      <c r="J8" s="68"/>
      <c r="K8" s="14">
        <f t="shared" si="0"/>
        <v>13</v>
      </c>
      <c r="L8" s="14">
        <f t="shared" si="0"/>
        <v>13</v>
      </c>
      <c r="M8" s="14"/>
      <c r="N8" s="14"/>
      <c r="O8" s="16" t="s">
        <v>138</v>
      </c>
      <c r="P8" s="62" t="s">
        <v>119</v>
      </c>
      <c r="Q8" s="57"/>
      <c r="R8" s="60" t="s">
        <v>30</v>
      </c>
      <c r="S8" s="69"/>
    </row>
    <row r="9" spans="1:66" s="7" customFormat="1" ht="26.4" x14ac:dyDescent="0.25">
      <c r="A9" s="78">
        <v>5</v>
      </c>
      <c r="B9" s="90" t="s">
        <v>116</v>
      </c>
      <c r="C9" s="79" t="s">
        <v>32</v>
      </c>
      <c r="D9" s="80" t="s">
        <v>28</v>
      </c>
      <c r="E9" s="49">
        <v>2010</v>
      </c>
      <c r="F9" s="20">
        <v>46163</v>
      </c>
      <c r="G9" s="20">
        <v>46163</v>
      </c>
      <c r="H9" s="37"/>
      <c r="I9" s="37"/>
      <c r="J9" s="68"/>
      <c r="K9" s="14">
        <f t="shared" si="0"/>
        <v>17</v>
      </c>
      <c r="L9" s="14">
        <f t="shared" si="0"/>
        <v>17</v>
      </c>
      <c r="M9" s="14"/>
      <c r="N9" s="14"/>
      <c r="O9" s="16" t="s">
        <v>137</v>
      </c>
      <c r="P9" s="58" t="s">
        <v>9</v>
      </c>
      <c r="Q9" s="57"/>
      <c r="R9" s="60" t="s">
        <v>162</v>
      </c>
      <c r="S9" s="69"/>
    </row>
    <row r="10" spans="1:66" s="7" customFormat="1" x14ac:dyDescent="0.25">
      <c r="A10" s="56">
        <v>6</v>
      </c>
      <c r="B10" s="67" t="s">
        <v>157</v>
      </c>
      <c r="C10" s="6" t="s">
        <v>29</v>
      </c>
      <c r="D10" s="36" t="s">
        <v>28</v>
      </c>
      <c r="E10" s="49">
        <v>2023</v>
      </c>
      <c r="F10" s="20">
        <v>46180</v>
      </c>
      <c r="G10" s="20">
        <v>46180</v>
      </c>
      <c r="H10" s="37"/>
      <c r="I10" s="37"/>
      <c r="J10" s="68"/>
      <c r="K10" s="14">
        <f t="shared" si="0"/>
        <v>0</v>
      </c>
      <c r="L10" s="14">
        <f t="shared" si="0"/>
        <v>0</v>
      </c>
      <c r="M10" s="14"/>
      <c r="N10" s="14"/>
      <c r="O10" s="16" t="s">
        <v>158</v>
      </c>
      <c r="P10" s="62"/>
      <c r="Q10" s="57"/>
      <c r="R10" s="60"/>
      <c r="S10" s="69"/>
    </row>
    <row r="11" spans="1:66" s="7" customFormat="1" x14ac:dyDescent="0.25">
      <c r="A11" s="56">
        <v>7</v>
      </c>
      <c r="B11" s="67" t="s">
        <v>160</v>
      </c>
      <c r="C11" s="79" t="s">
        <v>32</v>
      </c>
      <c r="D11" s="80" t="s">
        <v>28</v>
      </c>
      <c r="E11" s="49">
        <v>2021</v>
      </c>
      <c r="F11" s="20">
        <v>46180</v>
      </c>
      <c r="G11" s="20">
        <v>46180</v>
      </c>
      <c r="H11" s="37"/>
      <c r="I11" s="37"/>
      <c r="J11" s="68"/>
      <c r="K11" s="14">
        <f t="shared" ref="K11" si="3">$F$1-F11</f>
        <v>0</v>
      </c>
      <c r="L11" s="14">
        <f t="shared" ref="L11" si="4">$F$1-G11</f>
        <v>0</v>
      </c>
      <c r="M11" s="14"/>
      <c r="N11" s="14"/>
      <c r="O11" s="16" t="s">
        <v>161</v>
      </c>
      <c r="P11" s="62" t="s">
        <v>159</v>
      </c>
      <c r="Q11" s="57"/>
      <c r="R11" s="58"/>
      <c r="S11" s="69"/>
    </row>
    <row r="12" spans="1:66" s="7" customFormat="1" ht="13.95" customHeight="1" x14ac:dyDescent="0.25">
      <c r="A12" s="52"/>
      <c r="B12" s="29"/>
      <c r="C12" s="12"/>
      <c r="D12" s="19"/>
      <c r="E12" s="18"/>
      <c r="F12" s="22"/>
      <c r="G12" s="22"/>
      <c r="H12" s="22"/>
      <c r="I12" s="22"/>
      <c r="J12" s="22"/>
      <c r="K12" s="18"/>
      <c r="L12" s="22"/>
      <c r="M12" s="22"/>
      <c r="N12" s="22"/>
      <c r="O12" s="30" t="s">
        <v>22</v>
      </c>
      <c r="P12" s="12"/>
      <c r="Q12" s="12"/>
      <c r="R12" s="19"/>
      <c r="S12" s="30"/>
    </row>
    <row r="13" spans="1:66" s="7" customFormat="1" ht="13.95" customHeight="1" x14ac:dyDescent="0.25">
      <c r="A13" s="56"/>
      <c r="B13" s="67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62"/>
      <c r="Q13" s="57"/>
      <c r="R13" s="50"/>
      <c r="S13" s="46"/>
    </row>
    <row r="14" spans="1:66" s="35" customFormat="1" ht="13.95" customHeight="1" x14ac:dyDescent="0.25">
      <c r="A14" s="53"/>
      <c r="B14" s="31"/>
      <c r="C14" s="12"/>
      <c r="D14" s="19" t="s">
        <v>0</v>
      </c>
      <c r="E14" s="18"/>
      <c r="F14" s="32"/>
      <c r="G14" s="32"/>
      <c r="H14" s="32"/>
      <c r="I14" s="32"/>
      <c r="J14" s="32"/>
      <c r="K14" s="18"/>
      <c r="L14" s="32"/>
      <c r="M14" s="32"/>
      <c r="N14" s="32"/>
      <c r="O14" s="33" t="s">
        <v>23</v>
      </c>
      <c r="P14" s="19"/>
      <c r="Q14" s="19"/>
      <c r="R14" s="34"/>
      <c r="S14" s="3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55.95" customHeight="1" x14ac:dyDescent="0.25">
      <c r="A15" s="78">
        <v>1</v>
      </c>
      <c r="B15" s="58" t="s">
        <v>52</v>
      </c>
      <c r="C15" s="6" t="s">
        <v>29</v>
      </c>
      <c r="D15" s="36" t="s">
        <v>28</v>
      </c>
      <c r="E15" s="49">
        <v>2023</v>
      </c>
      <c r="F15" s="20">
        <v>46084</v>
      </c>
      <c r="G15" s="20">
        <v>46084</v>
      </c>
      <c r="H15" s="37"/>
      <c r="I15" s="37"/>
      <c r="J15" s="68"/>
      <c r="K15" s="14">
        <f t="shared" ref="K15:L17" si="5">$F$1-F15</f>
        <v>96</v>
      </c>
      <c r="L15" s="14">
        <f t="shared" si="5"/>
        <v>96</v>
      </c>
      <c r="M15" s="14"/>
      <c r="N15" s="14"/>
      <c r="O15" s="16" t="s">
        <v>129</v>
      </c>
      <c r="P15" s="58" t="s">
        <v>33</v>
      </c>
      <c r="Q15" s="16"/>
      <c r="R15" s="70"/>
      <c r="S15" s="69"/>
    </row>
    <row r="16" spans="1:66" s="7" customFormat="1" ht="30" customHeight="1" x14ac:dyDescent="0.25">
      <c r="A16" s="78">
        <v>2</v>
      </c>
      <c r="B16" s="90" t="s">
        <v>111</v>
      </c>
      <c r="C16" s="6" t="s">
        <v>29</v>
      </c>
      <c r="D16" s="36" t="s">
        <v>28</v>
      </c>
      <c r="E16" s="49">
        <v>2023</v>
      </c>
      <c r="F16" s="20">
        <v>46158</v>
      </c>
      <c r="G16" s="20">
        <v>46158</v>
      </c>
      <c r="H16" s="37"/>
      <c r="I16" s="37"/>
      <c r="J16" s="68"/>
      <c r="K16" s="14">
        <f t="shared" si="5"/>
        <v>22</v>
      </c>
      <c r="L16" s="14">
        <f t="shared" si="5"/>
        <v>22</v>
      </c>
      <c r="M16" s="14"/>
      <c r="N16" s="14"/>
      <c r="O16" s="16" t="s">
        <v>132</v>
      </c>
      <c r="P16" s="58" t="s">
        <v>10</v>
      </c>
      <c r="Q16" s="16"/>
      <c r="R16" s="70"/>
      <c r="S16" s="69"/>
    </row>
    <row r="17" spans="1:66" s="7" customFormat="1" ht="30" customHeight="1" x14ac:dyDescent="0.25">
      <c r="A17" s="78">
        <v>3</v>
      </c>
      <c r="B17" s="90" t="s">
        <v>45</v>
      </c>
      <c r="C17" s="6" t="s">
        <v>29</v>
      </c>
      <c r="D17" s="36" t="s">
        <v>28</v>
      </c>
      <c r="E17" s="49">
        <v>2023</v>
      </c>
      <c r="F17" s="20">
        <v>46177</v>
      </c>
      <c r="G17" s="20">
        <v>46177</v>
      </c>
      <c r="H17" s="37"/>
      <c r="I17" s="37"/>
      <c r="J17" s="68"/>
      <c r="K17" s="14">
        <f t="shared" si="5"/>
        <v>3</v>
      </c>
      <c r="L17" s="14">
        <f t="shared" si="5"/>
        <v>3</v>
      </c>
      <c r="M17" s="14"/>
      <c r="N17" s="14"/>
      <c r="O17" s="16" t="s">
        <v>103</v>
      </c>
      <c r="P17" s="58" t="s">
        <v>122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E6C4-2123-4AA9-A540-1B372E880334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46181</v>
      </c>
      <c r="G1" s="20">
        <v>46181</v>
      </c>
      <c r="H1" s="20">
        <v>46181</v>
      </c>
      <c r="I1" s="20">
        <v>46181</v>
      </c>
      <c r="J1" s="20">
        <v>46181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7" t="s">
        <v>7</v>
      </c>
      <c r="L3" s="157" t="s">
        <v>19</v>
      </c>
      <c r="M3" s="157" t="s">
        <v>20</v>
      </c>
      <c r="N3" s="15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24</v>
      </c>
      <c r="L5" s="14">
        <f t="shared" si="0"/>
        <v>24</v>
      </c>
      <c r="M5" s="14"/>
      <c r="N5" s="14"/>
      <c r="O5" s="16" t="s">
        <v>146</v>
      </c>
      <c r="P5" s="58" t="s">
        <v>112</v>
      </c>
      <c r="Q5" s="67" t="s">
        <v>148</v>
      </c>
      <c r="R5" s="93" t="s">
        <v>46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2</v>
      </c>
      <c r="L6" s="14">
        <f t="shared" si="0"/>
        <v>2</v>
      </c>
      <c r="M6" s="14"/>
      <c r="N6" s="14"/>
      <c r="O6" s="16" t="s">
        <v>156</v>
      </c>
      <c r="P6" s="62" t="s">
        <v>155</v>
      </c>
      <c r="Q6" s="60" t="s">
        <v>76</v>
      </c>
      <c r="R6" s="93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2</v>
      </c>
      <c r="L7" s="14">
        <f t="shared" si="0"/>
        <v>2</v>
      </c>
      <c r="M7" s="14"/>
      <c r="N7" s="14"/>
      <c r="O7" s="16" t="s">
        <v>151</v>
      </c>
      <c r="P7" s="58" t="s">
        <v>26</v>
      </c>
      <c r="Q7" s="143" t="s">
        <v>160</v>
      </c>
      <c r="R7" s="60" t="s">
        <v>44</v>
      </c>
      <c r="S7" s="69"/>
    </row>
    <row r="8" spans="1:66" s="7" customFormat="1" x14ac:dyDescent="0.25">
      <c r="A8" s="78">
        <v>4</v>
      </c>
      <c r="B8" s="67" t="s">
        <v>107</v>
      </c>
      <c r="C8" s="79" t="s">
        <v>32</v>
      </c>
      <c r="D8" s="80" t="s">
        <v>28</v>
      </c>
      <c r="E8" s="49">
        <v>2012</v>
      </c>
      <c r="F8" s="20">
        <v>46167</v>
      </c>
      <c r="G8" s="20">
        <v>46167</v>
      </c>
      <c r="H8" s="37"/>
      <c r="I8" s="37"/>
      <c r="J8" s="68"/>
      <c r="K8" s="14">
        <f t="shared" si="0"/>
        <v>14</v>
      </c>
      <c r="L8" s="14">
        <f t="shared" si="0"/>
        <v>14</v>
      </c>
      <c r="M8" s="14"/>
      <c r="N8" s="14"/>
      <c r="O8" s="16" t="s">
        <v>138</v>
      </c>
      <c r="P8" s="62" t="s">
        <v>119</v>
      </c>
      <c r="Q8" s="60" t="s">
        <v>110</v>
      </c>
      <c r="R8" s="60" t="s">
        <v>30</v>
      </c>
      <c r="S8" s="69"/>
    </row>
    <row r="9" spans="1:66" s="7" customFormat="1" ht="26.4" x14ac:dyDescent="0.25">
      <c r="A9" s="78">
        <v>5</v>
      </c>
      <c r="B9" s="90" t="s">
        <v>116</v>
      </c>
      <c r="C9" s="79" t="s">
        <v>32</v>
      </c>
      <c r="D9" s="80" t="s">
        <v>28</v>
      </c>
      <c r="E9" s="49">
        <v>2010</v>
      </c>
      <c r="F9" s="20">
        <v>46163</v>
      </c>
      <c r="G9" s="20">
        <v>46163</v>
      </c>
      <c r="H9" s="37"/>
      <c r="I9" s="37"/>
      <c r="J9" s="68"/>
      <c r="K9" s="14">
        <f t="shared" si="0"/>
        <v>18</v>
      </c>
      <c r="L9" s="14">
        <f t="shared" si="0"/>
        <v>18</v>
      </c>
      <c r="M9" s="14"/>
      <c r="N9" s="14"/>
      <c r="O9" s="16" t="s">
        <v>137</v>
      </c>
      <c r="P9" s="58" t="s">
        <v>9</v>
      </c>
      <c r="Q9" s="57"/>
      <c r="R9" s="60" t="s">
        <v>162</v>
      </c>
      <c r="S9" s="69"/>
    </row>
    <row r="10" spans="1:66" s="7" customFormat="1" x14ac:dyDescent="0.25">
      <c r="A10" s="56">
        <v>6</v>
      </c>
      <c r="B10" s="67" t="s">
        <v>157</v>
      </c>
      <c r="C10" s="6" t="s">
        <v>29</v>
      </c>
      <c r="D10" s="36" t="s">
        <v>28</v>
      </c>
      <c r="E10" s="49">
        <v>2023</v>
      </c>
      <c r="F10" s="20">
        <v>46180</v>
      </c>
      <c r="G10" s="20">
        <v>46180</v>
      </c>
      <c r="H10" s="37"/>
      <c r="I10" s="37"/>
      <c r="J10" s="68"/>
      <c r="K10" s="14">
        <f t="shared" si="0"/>
        <v>1</v>
      </c>
      <c r="L10" s="14">
        <f t="shared" si="0"/>
        <v>1</v>
      </c>
      <c r="M10" s="14"/>
      <c r="N10" s="14"/>
      <c r="O10" s="16" t="s">
        <v>158</v>
      </c>
      <c r="P10" s="62"/>
      <c r="Q10" s="57"/>
      <c r="R10" s="6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1">$F$1-F14</f>
        <v>97</v>
      </c>
      <c r="L14" s="14">
        <f t="shared" si="1"/>
        <v>97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30" customHeight="1" x14ac:dyDescent="0.25">
      <c r="A15" s="78">
        <v>2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si="1"/>
        <v>23</v>
      </c>
      <c r="L15" s="14">
        <f t="shared" si="1"/>
        <v>23</v>
      </c>
      <c r="M15" s="14"/>
      <c r="N15" s="14"/>
      <c r="O15" s="16" t="s">
        <v>132</v>
      </c>
      <c r="P15" s="58" t="s">
        <v>10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45</v>
      </c>
      <c r="C16" s="6" t="s">
        <v>29</v>
      </c>
      <c r="D16" s="36" t="s">
        <v>28</v>
      </c>
      <c r="E16" s="49">
        <v>2023</v>
      </c>
      <c r="F16" s="20">
        <v>46177</v>
      </c>
      <c r="G16" s="20">
        <v>46177</v>
      </c>
      <c r="H16" s="37"/>
      <c r="I16" s="37"/>
      <c r="J16" s="68"/>
      <c r="K16" s="14">
        <f t="shared" si="1"/>
        <v>4</v>
      </c>
      <c r="L16" s="14">
        <f t="shared" si="1"/>
        <v>4</v>
      </c>
      <c r="M16" s="14"/>
      <c r="N16" s="14"/>
      <c r="O16" s="16" t="s">
        <v>103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85BCA-5BE7-4978-8158-1C80B4D0D5BC}">
  <dimension ref="A1:BN20"/>
  <sheetViews>
    <sheetView workbookViewId="0">
      <selection activeCell="B8" sqref="B8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46182</v>
      </c>
      <c r="G1" s="20">
        <v>46182</v>
      </c>
      <c r="H1" s="20">
        <v>46182</v>
      </c>
      <c r="I1" s="20">
        <v>46182</v>
      </c>
      <c r="J1" s="20">
        <v>46182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8" t="s">
        <v>7</v>
      </c>
      <c r="L3" s="158" t="s">
        <v>19</v>
      </c>
      <c r="M3" s="158" t="s">
        <v>20</v>
      </c>
      <c r="N3" s="15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25</v>
      </c>
      <c r="L5" s="14">
        <f t="shared" si="0"/>
        <v>25</v>
      </c>
      <c r="M5" s="14"/>
      <c r="N5" s="14"/>
      <c r="O5" s="16" t="s">
        <v>146</v>
      </c>
      <c r="P5" s="58" t="s">
        <v>112</v>
      </c>
      <c r="Q5" s="60" t="s">
        <v>44</v>
      </c>
      <c r="R5" s="93" t="s">
        <v>46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3</v>
      </c>
      <c r="L6" s="14">
        <f t="shared" si="0"/>
        <v>3</v>
      </c>
      <c r="M6" s="14"/>
      <c r="N6" s="14"/>
      <c r="O6" s="16" t="s">
        <v>156</v>
      </c>
      <c r="P6" s="62" t="s">
        <v>155</v>
      </c>
      <c r="Q6" s="60" t="s">
        <v>162</v>
      </c>
      <c r="R6" s="93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3</v>
      </c>
      <c r="L7" s="14">
        <f t="shared" si="0"/>
        <v>3</v>
      </c>
      <c r="M7" s="14"/>
      <c r="N7" s="14"/>
      <c r="O7" s="16" t="s">
        <v>151</v>
      </c>
      <c r="P7" s="58" t="s">
        <v>26</v>
      </c>
      <c r="Q7" s="143"/>
      <c r="R7" s="60" t="s">
        <v>30</v>
      </c>
      <c r="S7" s="69"/>
    </row>
    <row r="8" spans="1:66" s="7" customFormat="1" x14ac:dyDescent="0.25">
      <c r="A8" s="78">
        <v>4</v>
      </c>
      <c r="B8" s="67" t="s">
        <v>107</v>
      </c>
      <c r="C8" s="79" t="s">
        <v>32</v>
      </c>
      <c r="D8" s="80" t="s">
        <v>28</v>
      </c>
      <c r="E8" s="49">
        <v>2012</v>
      </c>
      <c r="F8" s="20">
        <v>46167</v>
      </c>
      <c r="G8" s="20">
        <v>46167</v>
      </c>
      <c r="H8" s="37"/>
      <c r="I8" s="37"/>
      <c r="J8" s="68"/>
      <c r="K8" s="14">
        <f t="shared" si="0"/>
        <v>15</v>
      </c>
      <c r="L8" s="14">
        <f t="shared" si="0"/>
        <v>15</v>
      </c>
      <c r="M8" s="14"/>
      <c r="N8" s="14"/>
      <c r="O8" s="16" t="s">
        <v>138</v>
      </c>
      <c r="P8" s="62" t="s">
        <v>119</v>
      </c>
      <c r="Q8" s="60"/>
      <c r="R8" s="60"/>
      <c r="S8" s="69"/>
    </row>
    <row r="9" spans="1:66" s="7" customFormat="1" ht="26.4" x14ac:dyDescent="0.25">
      <c r="A9" s="78">
        <v>5</v>
      </c>
      <c r="B9" s="90" t="s">
        <v>116</v>
      </c>
      <c r="C9" s="79" t="s">
        <v>32</v>
      </c>
      <c r="D9" s="80" t="s">
        <v>28</v>
      </c>
      <c r="E9" s="49">
        <v>2010</v>
      </c>
      <c r="F9" s="20">
        <v>46163</v>
      </c>
      <c r="G9" s="20">
        <v>46163</v>
      </c>
      <c r="H9" s="37"/>
      <c r="I9" s="37"/>
      <c r="J9" s="68"/>
      <c r="K9" s="14">
        <f t="shared" si="0"/>
        <v>19</v>
      </c>
      <c r="L9" s="14">
        <f t="shared" si="0"/>
        <v>19</v>
      </c>
      <c r="M9" s="14"/>
      <c r="N9" s="14"/>
      <c r="O9" s="16" t="s">
        <v>137</v>
      </c>
      <c r="P9" s="58" t="s">
        <v>9</v>
      </c>
      <c r="Q9" s="57"/>
      <c r="R9" s="60"/>
      <c r="S9" s="69"/>
    </row>
    <row r="10" spans="1:66" s="7" customFormat="1" x14ac:dyDescent="0.25">
      <c r="A10" s="56">
        <v>6</v>
      </c>
      <c r="B10" s="67" t="s">
        <v>157</v>
      </c>
      <c r="C10" s="6" t="s">
        <v>29</v>
      </c>
      <c r="D10" s="36" t="s">
        <v>28</v>
      </c>
      <c r="E10" s="49">
        <v>2023</v>
      </c>
      <c r="F10" s="20">
        <v>46180</v>
      </c>
      <c r="G10" s="20">
        <v>46180</v>
      </c>
      <c r="H10" s="37"/>
      <c r="I10" s="37"/>
      <c r="J10" s="68"/>
      <c r="K10" s="14">
        <f t="shared" si="0"/>
        <v>2</v>
      </c>
      <c r="L10" s="14">
        <f t="shared" si="0"/>
        <v>2</v>
      </c>
      <c r="M10" s="14"/>
      <c r="N10" s="14"/>
      <c r="O10" s="16" t="s">
        <v>158</v>
      </c>
      <c r="P10" s="62"/>
      <c r="Q10" s="57"/>
      <c r="R10" s="6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55.95" customHeight="1" x14ac:dyDescent="0.25">
      <c r="A14" s="78">
        <v>1</v>
      </c>
      <c r="B14" s="58" t="s">
        <v>52</v>
      </c>
      <c r="C14" s="6" t="s">
        <v>29</v>
      </c>
      <c r="D14" s="36" t="s">
        <v>28</v>
      </c>
      <c r="E14" s="49">
        <v>2023</v>
      </c>
      <c r="F14" s="20">
        <v>46084</v>
      </c>
      <c r="G14" s="20">
        <v>46084</v>
      </c>
      <c r="H14" s="37"/>
      <c r="I14" s="37"/>
      <c r="J14" s="68"/>
      <c r="K14" s="14">
        <f t="shared" ref="K14:L16" si="1">$F$1-F14</f>
        <v>98</v>
      </c>
      <c r="L14" s="14">
        <f t="shared" si="1"/>
        <v>98</v>
      </c>
      <c r="M14" s="14"/>
      <c r="N14" s="14"/>
      <c r="O14" s="16" t="s">
        <v>129</v>
      </c>
      <c r="P14" s="58" t="s">
        <v>33</v>
      </c>
      <c r="Q14" s="16"/>
      <c r="R14" s="70"/>
      <c r="S14" s="69"/>
    </row>
    <row r="15" spans="1:66" s="7" customFormat="1" ht="30" customHeight="1" x14ac:dyDescent="0.25">
      <c r="A15" s="78">
        <v>2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si="1"/>
        <v>24</v>
      </c>
      <c r="L15" s="14">
        <f t="shared" si="1"/>
        <v>24</v>
      </c>
      <c r="M15" s="14"/>
      <c r="N15" s="14"/>
      <c r="O15" s="16" t="s">
        <v>132</v>
      </c>
      <c r="P15" s="58" t="s">
        <v>10</v>
      </c>
      <c r="Q15" s="16"/>
      <c r="R15" s="70"/>
      <c r="S15" s="69"/>
    </row>
    <row r="16" spans="1:66" s="7" customFormat="1" ht="30" customHeight="1" x14ac:dyDescent="0.25">
      <c r="A16" s="78">
        <v>3</v>
      </c>
      <c r="B16" s="90" t="s">
        <v>45</v>
      </c>
      <c r="C16" s="6" t="s">
        <v>29</v>
      </c>
      <c r="D16" s="36" t="s">
        <v>28</v>
      </c>
      <c r="E16" s="49">
        <v>2023</v>
      </c>
      <c r="F16" s="20">
        <v>46177</v>
      </c>
      <c r="G16" s="20">
        <v>46177</v>
      </c>
      <c r="H16" s="37"/>
      <c r="I16" s="37"/>
      <c r="J16" s="68"/>
      <c r="K16" s="14">
        <f t="shared" si="1"/>
        <v>5</v>
      </c>
      <c r="L16" s="14">
        <f t="shared" si="1"/>
        <v>5</v>
      </c>
      <c r="M16" s="14"/>
      <c r="N16" s="14"/>
      <c r="O16" s="16" t="s">
        <v>103</v>
      </c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8EED-862C-4DB3-9924-AF36738AC703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46182</v>
      </c>
      <c r="G1" s="20">
        <v>46182</v>
      </c>
      <c r="H1" s="20">
        <v>46182</v>
      </c>
      <c r="I1" s="20">
        <v>46182</v>
      </c>
      <c r="J1" s="20">
        <v>46182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59" t="s">
        <v>7</v>
      </c>
      <c r="L3" s="159" t="s">
        <v>19</v>
      </c>
      <c r="M3" s="159" t="s">
        <v>20</v>
      </c>
      <c r="N3" s="15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25</v>
      </c>
      <c r="L5" s="14">
        <f t="shared" si="0"/>
        <v>25</v>
      </c>
      <c r="M5" s="14"/>
      <c r="N5" s="14"/>
      <c r="O5" s="16" t="s">
        <v>146</v>
      </c>
      <c r="P5" s="58" t="s">
        <v>112</v>
      </c>
      <c r="Q5" s="143" t="s">
        <v>107</v>
      </c>
      <c r="R5" s="90" t="s">
        <v>46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3</v>
      </c>
      <c r="L6" s="14">
        <f t="shared" si="0"/>
        <v>3</v>
      </c>
      <c r="M6" s="14"/>
      <c r="N6" s="14"/>
      <c r="O6" s="16" t="s">
        <v>156</v>
      </c>
      <c r="P6" s="62" t="s">
        <v>155</v>
      </c>
      <c r="Q6" s="60"/>
      <c r="R6" s="90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3</v>
      </c>
      <c r="L7" s="14">
        <f t="shared" si="0"/>
        <v>3</v>
      </c>
      <c r="M7" s="14"/>
      <c r="N7" s="14"/>
      <c r="O7" s="16" t="s">
        <v>151</v>
      </c>
      <c r="P7" s="58" t="s">
        <v>26</v>
      </c>
      <c r="Q7" s="143"/>
      <c r="R7" s="58" t="s">
        <v>30</v>
      </c>
      <c r="S7" s="69"/>
    </row>
    <row r="8" spans="1:66" s="7" customFormat="1" ht="26.4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19</v>
      </c>
      <c r="L8" s="14">
        <f t="shared" si="0"/>
        <v>19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2</v>
      </c>
      <c r="L9" s="14">
        <f t="shared" si="0"/>
        <v>2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98</v>
      </c>
      <c r="L10" s="14">
        <f t="shared" si="0"/>
        <v>98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0" customHeight="1" x14ac:dyDescent="0.25">
      <c r="A14" s="78">
        <v>1</v>
      </c>
      <c r="B14" s="90" t="s">
        <v>111</v>
      </c>
      <c r="C14" s="6" t="s">
        <v>29</v>
      </c>
      <c r="D14" s="36" t="s">
        <v>28</v>
      </c>
      <c r="E14" s="49">
        <v>2023</v>
      </c>
      <c r="F14" s="20">
        <v>46158</v>
      </c>
      <c r="G14" s="20">
        <v>46158</v>
      </c>
      <c r="H14" s="37"/>
      <c r="I14" s="37"/>
      <c r="J14" s="68"/>
      <c r="K14" s="14">
        <f t="shared" ref="K14:L15" si="1">$F$1-F14</f>
        <v>24</v>
      </c>
      <c r="L14" s="14">
        <f t="shared" si="1"/>
        <v>24</v>
      </c>
      <c r="M14" s="14"/>
      <c r="N14" s="14"/>
      <c r="O14" s="16" t="s">
        <v>132</v>
      </c>
      <c r="P14" s="60" t="s">
        <v>44</v>
      </c>
      <c r="Q14" s="16"/>
      <c r="R14" s="70"/>
      <c r="S14" s="69"/>
    </row>
    <row r="15" spans="1:66" s="7" customFormat="1" ht="30" customHeight="1" x14ac:dyDescent="0.25">
      <c r="A15" s="78">
        <v>2</v>
      </c>
      <c r="B15" s="90" t="s">
        <v>45</v>
      </c>
      <c r="C15" s="6" t="s">
        <v>29</v>
      </c>
      <c r="D15" s="36" t="s">
        <v>28</v>
      </c>
      <c r="E15" s="49">
        <v>2023</v>
      </c>
      <c r="F15" s="20">
        <v>46177</v>
      </c>
      <c r="G15" s="20">
        <v>46177</v>
      </c>
      <c r="H15" s="37"/>
      <c r="I15" s="37"/>
      <c r="J15" s="68"/>
      <c r="K15" s="14">
        <f t="shared" si="1"/>
        <v>5</v>
      </c>
      <c r="L15" s="14">
        <f t="shared" si="1"/>
        <v>5</v>
      </c>
      <c r="M15" s="14"/>
      <c r="N15" s="14"/>
      <c r="O15" s="16" t="s">
        <v>103</v>
      </c>
      <c r="P15" s="58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9E69-F65E-4DB7-B27B-CB072C5BAD1F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46182</v>
      </c>
      <c r="G1" s="20">
        <v>46182</v>
      </c>
      <c r="H1" s="20">
        <v>46182</v>
      </c>
      <c r="I1" s="20">
        <v>46182</v>
      </c>
      <c r="J1" s="20">
        <v>46182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0" t="s">
        <v>7</v>
      </c>
      <c r="L3" s="160" t="s">
        <v>19</v>
      </c>
      <c r="M3" s="160" t="s">
        <v>20</v>
      </c>
      <c r="N3" s="16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25</v>
      </c>
      <c r="L5" s="14">
        <f t="shared" si="0"/>
        <v>25</v>
      </c>
      <c r="M5" s="14"/>
      <c r="N5" s="14"/>
      <c r="O5" s="16" t="s">
        <v>146</v>
      </c>
      <c r="P5" s="58" t="s">
        <v>112</v>
      </c>
      <c r="Q5" s="143" t="s">
        <v>107</v>
      </c>
      <c r="R5" s="90" t="s">
        <v>46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3</v>
      </c>
      <c r="L6" s="14">
        <f t="shared" si="0"/>
        <v>3</v>
      </c>
      <c r="M6" s="14"/>
      <c r="N6" s="14"/>
      <c r="O6" s="16" t="s">
        <v>156</v>
      </c>
      <c r="P6" s="62" t="s">
        <v>155</v>
      </c>
      <c r="Q6" s="60"/>
      <c r="R6" s="90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3</v>
      </c>
      <c r="L7" s="14">
        <f t="shared" si="0"/>
        <v>3</v>
      </c>
      <c r="M7" s="14"/>
      <c r="N7" s="14"/>
      <c r="O7" s="16" t="s">
        <v>151</v>
      </c>
      <c r="P7" s="58" t="s">
        <v>26</v>
      </c>
      <c r="Q7" s="143"/>
      <c r="R7" s="58" t="s">
        <v>30</v>
      </c>
      <c r="S7" s="69"/>
    </row>
    <row r="8" spans="1:66" s="7" customFormat="1" ht="26.4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19</v>
      </c>
      <c r="L8" s="14">
        <f t="shared" si="0"/>
        <v>19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2</v>
      </c>
      <c r="L9" s="14">
        <f t="shared" si="0"/>
        <v>2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98</v>
      </c>
      <c r="L10" s="14">
        <f t="shared" si="0"/>
        <v>98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0" customHeight="1" x14ac:dyDescent="0.25">
      <c r="A14" s="78">
        <v>1</v>
      </c>
      <c r="B14" s="90" t="s">
        <v>111</v>
      </c>
      <c r="C14" s="6" t="s">
        <v>29</v>
      </c>
      <c r="D14" s="36" t="s">
        <v>28</v>
      </c>
      <c r="E14" s="49">
        <v>2023</v>
      </c>
      <c r="F14" s="20">
        <v>46158</v>
      </c>
      <c r="G14" s="20">
        <v>46158</v>
      </c>
      <c r="H14" s="37"/>
      <c r="I14" s="37"/>
      <c r="J14" s="68"/>
      <c r="K14" s="14">
        <f t="shared" ref="K14:L15" si="1">$F$1-F14</f>
        <v>24</v>
      </c>
      <c r="L14" s="14">
        <f t="shared" si="1"/>
        <v>24</v>
      </c>
      <c r="M14" s="14"/>
      <c r="N14" s="14"/>
      <c r="O14" s="16" t="s">
        <v>132</v>
      </c>
      <c r="P14" s="60" t="s">
        <v>44</v>
      </c>
      <c r="Q14" s="16"/>
      <c r="R14" s="70"/>
      <c r="S14" s="69"/>
    </row>
    <row r="15" spans="1:66" s="7" customFormat="1" ht="30" customHeight="1" x14ac:dyDescent="0.25">
      <c r="A15" s="78">
        <v>2</v>
      </c>
      <c r="B15" s="90" t="s">
        <v>45</v>
      </c>
      <c r="C15" s="6" t="s">
        <v>29</v>
      </c>
      <c r="D15" s="36" t="s">
        <v>28</v>
      </c>
      <c r="E15" s="49">
        <v>2023</v>
      </c>
      <c r="F15" s="20">
        <v>46177</v>
      </c>
      <c r="G15" s="20">
        <v>46177</v>
      </c>
      <c r="H15" s="37"/>
      <c r="I15" s="37"/>
      <c r="J15" s="68"/>
      <c r="K15" s="14">
        <f t="shared" si="1"/>
        <v>5</v>
      </c>
      <c r="L15" s="14">
        <f t="shared" si="1"/>
        <v>5</v>
      </c>
      <c r="M15" s="14"/>
      <c r="N15" s="14"/>
      <c r="O15" s="16" t="s">
        <v>103</v>
      </c>
      <c r="P15" s="58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9DA9-8E94-4AC7-9548-146674E3B21E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46185</v>
      </c>
      <c r="G1" s="20">
        <v>46185</v>
      </c>
      <c r="H1" s="20">
        <v>46185</v>
      </c>
      <c r="I1" s="20">
        <v>46185</v>
      </c>
      <c r="J1" s="20">
        <v>46185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1" t="s">
        <v>7</v>
      </c>
      <c r="L3" s="161" t="s">
        <v>19</v>
      </c>
      <c r="M3" s="161" t="s">
        <v>20</v>
      </c>
      <c r="N3" s="16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28</v>
      </c>
      <c r="L5" s="14">
        <f t="shared" si="0"/>
        <v>28</v>
      </c>
      <c r="M5" s="14"/>
      <c r="N5" s="14"/>
      <c r="O5" s="16" t="s">
        <v>146</v>
      </c>
      <c r="P5" s="58" t="s">
        <v>112</v>
      </c>
      <c r="Q5" s="143" t="s">
        <v>107</v>
      </c>
      <c r="R5" s="90" t="s">
        <v>46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6</v>
      </c>
      <c r="L6" s="14">
        <f t="shared" si="0"/>
        <v>6</v>
      </c>
      <c r="M6" s="14"/>
      <c r="N6" s="14"/>
      <c r="O6" s="16" t="s">
        <v>156</v>
      </c>
      <c r="P6" s="62" t="s">
        <v>155</v>
      </c>
      <c r="Q6" s="60"/>
      <c r="R6" s="90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6</v>
      </c>
      <c r="L7" s="14">
        <f t="shared" si="0"/>
        <v>6</v>
      </c>
      <c r="M7" s="14"/>
      <c r="N7" s="14"/>
      <c r="O7" s="16" t="s">
        <v>151</v>
      </c>
      <c r="P7" s="58" t="s">
        <v>26</v>
      </c>
      <c r="Q7" s="143"/>
      <c r="R7" s="58" t="s">
        <v>30</v>
      </c>
      <c r="S7" s="69"/>
    </row>
    <row r="8" spans="1:66" s="7" customFormat="1" ht="26.4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22</v>
      </c>
      <c r="L8" s="14">
        <f t="shared" si="0"/>
        <v>22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5</v>
      </c>
      <c r="L9" s="14">
        <f t="shared" si="0"/>
        <v>5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101</v>
      </c>
      <c r="L10" s="14">
        <f t="shared" si="0"/>
        <v>101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0" customHeight="1" x14ac:dyDescent="0.25">
      <c r="A14" s="78">
        <v>1</v>
      </c>
      <c r="B14" s="90" t="s">
        <v>111</v>
      </c>
      <c r="C14" s="6" t="s">
        <v>29</v>
      </c>
      <c r="D14" s="36" t="s">
        <v>28</v>
      </c>
      <c r="E14" s="49">
        <v>2023</v>
      </c>
      <c r="F14" s="20">
        <v>46158</v>
      </c>
      <c r="G14" s="20">
        <v>46158</v>
      </c>
      <c r="H14" s="37"/>
      <c r="I14" s="37"/>
      <c r="J14" s="68"/>
      <c r="K14" s="14">
        <f t="shared" ref="K14:L15" si="1">$F$1-F14</f>
        <v>27</v>
      </c>
      <c r="L14" s="14">
        <f t="shared" si="1"/>
        <v>27</v>
      </c>
      <c r="M14" s="14"/>
      <c r="N14" s="14"/>
      <c r="O14" s="16" t="s">
        <v>132</v>
      </c>
      <c r="P14" s="60" t="s">
        <v>44</v>
      </c>
      <c r="Q14" s="16"/>
      <c r="R14" s="70"/>
      <c r="S14" s="69"/>
    </row>
    <row r="15" spans="1:66" s="7" customFormat="1" ht="30" customHeight="1" x14ac:dyDescent="0.25">
      <c r="A15" s="78">
        <v>2</v>
      </c>
      <c r="B15" s="90" t="s">
        <v>45</v>
      </c>
      <c r="C15" s="6" t="s">
        <v>29</v>
      </c>
      <c r="D15" s="36" t="s">
        <v>28</v>
      </c>
      <c r="E15" s="49">
        <v>2023</v>
      </c>
      <c r="F15" s="20">
        <v>46177</v>
      </c>
      <c r="G15" s="20">
        <v>46177</v>
      </c>
      <c r="H15" s="37"/>
      <c r="I15" s="37"/>
      <c r="J15" s="68"/>
      <c r="K15" s="14">
        <f t="shared" si="1"/>
        <v>8</v>
      </c>
      <c r="L15" s="14">
        <f t="shared" si="1"/>
        <v>8</v>
      </c>
      <c r="M15" s="14"/>
      <c r="N15" s="14"/>
      <c r="O15" s="16" t="s">
        <v>103</v>
      </c>
      <c r="P15" s="58"/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FA84-BD3E-4DD1-9F75-8CD4BA6BE881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44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46185</v>
      </c>
      <c r="G1" s="20">
        <v>46185</v>
      </c>
      <c r="H1" s="20">
        <v>46185</v>
      </c>
      <c r="I1" s="20">
        <v>46185</v>
      </c>
      <c r="J1" s="20">
        <v>46185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2" t="s">
        <v>7</v>
      </c>
      <c r="L3" s="162" t="s">
        <v>19</v>
      </c>
      <c r="M3" s="162" t="s">
        <v>20</v>
      </c>
      <c r="N3" s="16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28</v>
      </c>
      <c r="L5" s="14">
        <f t="shared" si="0"/>
        <v>28</v>
      </c>
      <c r="M5" s="14"/>
      <c r="N5" s="14"/>
      <c r="O5" s="16" t="s">
        <v>146</v>
      </c>
      <c r="P5" s="58" t="s">
        <v>112</v>
      </c>
      <c r="Q5" s="93" t="s">
        <v>45</v>
      </c>
      <c r="R5" s="58" t="s">
        <v>30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6</v>
      </c>
      <c r="L6" s="14">
        <f t="shared" si="0"/>
        <v>6</v>
      </c>
      <c r="M6" s="14"/>
      <c r="N6" s="14"/>
      <c r="O6" s="16" t="s">
        <v>156</v>
      </c>
      <c r="P6" s="62" t="s">
        <v>155</v>
      </c>
      <c r="Q6" s="93" t="s">
        <v>46</v>
      </c>
      <c r="R6" s="90"/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6</v>
      </c>
      <c r="L7" s="14">
        <f t="shared" si="0"/>
        <v>6</v>
      </c>
      <c r="M7" s="14"/>
      <c r="N7" s="14"/>
      <c r="O7" s="16" t="s">
        <v>151</v>
      </c>
      <c r="P7" s="58" t="s">
        <v>26</v>
      </c>
      <c r="Q7" s="93" t="s">
        <v>31</v>
      </c>
      <c r="R7" s="58"/>
      <c r="S7" s="69"/>
    </row>
    <row r="8" spans="1:66" s="7" customFormat="1" ht="26.4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22</v>
      </c>
      <c r="L8" s="14">
        <f t="shared" si="0"/>
        <v>22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5</v>
      </c>
      <c r="L9" s="14">
        <f t="shared" si="0"/>
        <v>5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101</v>
      </c>
      <c r="L10" s="14">
        <f t="shared" si="0"/>
        <v>101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30" customHeight="1" x14ac:dyDescent="0.25">
      <c r="A14" s="78">
        <v>1</v>
      </c>
      <c r="B14" s="90" t="s">
        <v>111</v>
      </c>
      <c r="C14" s="6" t="s">
        <v>29</v>
      </c>
      <c r="D14" s="36" t="s">
        <v>28</v>
      </c>
      <c r="E14" s="49">
        <v>2023</v>
      </c>
      <c r="F14" s="20">
        <v>46158</v>
      </c>
      <c r="G14" s="20">
        <v>46158</v>
      </c>
      <c r="H14" s="37"/>
      <c r="I14" s="37"/>
      <c r="J14" s="68"/>
      <c r="K14" s="14">
        <f t="shared" ref="K14:L14" si="1">$F$1-F14</f>
        <v>27</v>
      </c>
      <c r="L14" s="14">
        <f t="shared" si="1"/>
        <v>27</v>
      </c>
      <c r="M14" s="14"/>
      <c r="N14" s="14"/>
      <c r="O14" s="16" t="s">
        <v>132</v>
      </c>
      <c r="P14" s="60" t="s">
        <v>44</v>
      </c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ADD10-C8EC-44B3-A046-C0C7D402719F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4.8867187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46187</v>
      </c>
      <c r="G1" s="20">
        <v>46187</v>
      </c>
      <c r="H1" s="20">
        <v>46187</v>
      </c>
      <c r="I1" s="20">
        <v>46187</v>
      </c>
      <c r="J1" s="20">
        <v>46187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3" t="s">
        <v>7</v>
      </c>
      <c r="L3" s="163" t="s">
        <v>19</v>
      </c>
      <c r="M3" s="163" t="s">
        <v>20</v>
      </c>
      <c r="N3" s="16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0" si="0">$F$1-F5</f>
        <v>30</v>
      </c>
      <c r="L5" s="14">
        <f t="shared" si="0"/>
        <v>30</v>
      </c>
      <c r="M5" s="14"/>
      <c r="N5" s="14"/>
      <c r="O5" s="16" t="s">
        <v>146</v>
      </c>
      <c r="P5" s="58" t="s">
        <v>112</v>
      </c>
      <c r="Q5" s="93"/>
      <c r="R5" s="58" t="s">
        <v>30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8</v>
      </c>
      <c r="L6" s="14">
        <f t="shared" si="0"/>
        <v>8</v>
      </c>
      <c r="M6" s="14"/>
      <c r="N6" s="14"/>
      <c r="O6" s="16" t="s">
        <v>156</v>
      </c>
      <c r="P6" s="62" t="s">
        <v>155</v>
      </c>
      <c r="Q6" s="93"/>
      <c r="R6" s="90"/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8</v>
      </c>
      <c r="L7" s="14">
        <f t="shared" si="0"/>
        <v>8</v>
      </c>
      <c r="M7" s="14"/>
      <c r="N7" s="14"/>
      <c r="O7" s="16" t="s">
        <v>151</v>
      </c>
      <c r="P7" s="58" t="s">
        <v>26</v>
      </c>
      <c r="Q7" s="93"/>
      <c r="R7" s="58"/>
      <c r="S7" s="69"/>
    </row>
    <row r="8" spans="1:66" s="7" customFormat="1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24</v>
      </c>
      <c r="L8" s="14">
        <f t="shared" si="0"/>
        <v>24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7</v>
      </c>
      <c r="L9" s="14">
        <f t="shared" si="0"/>
        <v>7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103</v>
      </c>
      <c r="L10" s="14">
        <f t="shared" si="0"/>
        <v>103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x14ac:dyDescent="0.25">
      <c r="A11" s="139">
        <v>7</v>
      </c>
      <c r="B11" s="60" t="s">
        <v>163</v>
      </c>
      <c r="C11" s="8" t="s">
        <v>29</v>
      </c>
      <c r="D11" s="48" t="s">
        <v>28</v>
      </c>
      <c r="E11" s="51">
        <v>2023</v>
      </c>
      <c r="F11" s="55">
        <v>46187</v>
      </c>
      <c r="G11" s="55">
        <v>46187</v>
      </c>
      <c r="H11" s="47"/>
      <c r="I11" s="47"/>
      <c r="J11" s="66"/>
      <c r="K11" s="21">
        <f t="shared" ref="K11" si="1">$F$1-F11</f>
        <v>0</v>
      </c>
      <c r="L11" s="21">
        <f t="shared" ref="L11" si="2">$F$1-G11</f>
        <v>0</v>
      </c>
      <c r="M11" s="21"/>
      <c r="N11" s="21"/>
      <c r="O11" s="61" t="s">
        <v>164</v>
      </c>
      <c r="P11" s="60"/>
      <c r="Q11" s="61"/>
      <c r="R11" s="165"/>
      <c r="S11" s="166"/>
    </row>
    <row r="12" spans="1:66" s="7" customFormat="1" ht="13.95" customHeight="1" x14ac:dyDescent="0.25">
      <c r="A12" s="52"/>
      <c r="B12" s="29"/>
      <c r="C12" s="12"/>
      <c r="D12" s="19"/>
      <c r="E12" s="18"/>
      <c r="F12" s="22"/>
      <c r="G12" s="22"/>
      <c r="H12" s="22"/>
      <c r="I12" s="22"/>
      <c r="J12" s="22"/>
      <c r="K12" s="18"/>
      <c r="L12" s="22"/>
      <c r="M12" s="22"/>
      <c r="N12" s="22"/>
      <c r="O12" s="30" t="s">
        <v>22</v>
      </c>
      <c r="P12" s="12"/>
      <c r="Q12" s="12"/>
      <c r="R12" s="19"/>
      <c r="S12" s="30"/>
    </row>
    <row r="13" spans="1:66" s="7" customFormat="1" ht="13.95" customHeight="1" x14ac:dyDescent="0.25">
      <c r="A13" s="56"/>
      <c r="B13" s="67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62"/>
      <c r="Q13" s="57"/>
      <c r="R13" s="50"/>
      <c r="S13" s="46"/>
    </row>
    <row r="14" spans="1:66" s="35" customFormat="1" ht="13.95" customHeight="1" x14ac:dyDescent="0.25">
      <c r="A14" s="53"/>
      <c r="B14" s="31"/>
      <c r="C14" s="12"/>
      <c r="D14" s="19" t="s">
        <v>0</v>
      </c>
      <c r="E14" s="18"/>
      <c r="F14" s="32"/>
      <c r="G14" s="32"/>
      <c r="H14" s="32"/>
      <c r="I14" s="32"/>
      <c r="J14" s="32"/>
      <c r="K14" s="18"/>
      <c r="L14" s="32"/>
      <c r="M14" s="32"/>
      <c r="N14" s="32"/>
      <c r="O14" s="33" t="s">
        <v>23</v>
      </c>
      <c r="P14" s="19"/>
      <c r="Q14" s="19"/>
      <c r="R14" s="34"/>
      <c r="S14" s="3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30" customHeight="1" x14ac:dyDescent="0.25">
      <c r="A15" s="78">
        <v>1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ref="K15:L15" si="3">$F$1-F15</f>
        <v>29</v>
      </c>
      <c r="L15" s="14">
        <f t="shared" si="3"/>
        <v>29</v>
      </c>
      <c r="M15" s="14"/>
      <c r="N15" s="14"/>
      <c r="O15" s="16" t="s">
        <v>132</v>
      </c>
      <c r="P15" s="60" t="s">
        <v>44</v>
      </c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EF36-DC7C-4B85-B877-E6E7C360E1D6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4.8867187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46188</v>
      </c>
      <c r="G1" s="20">
        <v>46188</v>
      </c>
      <c r="H1" s="20">
        <v>46188</v>
      </c>
      <c r="I1" s="20">
        <v>46188</v>
      </c>
      <c r="J1" s="20">
        <v>46188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4" t="s">
        <v>7</v>
      </c>
      <c r="L3" s="164" t="s">
        <v>19</v>
      </c>
      <c r="M3" s="164" t="s">
        <v>20</v>
      </c>
      <c r="N3" s="16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1" si="0">$F$1-F5</f>
        <v>31</v>
      </c>
      <c r="L5" s="14">
        <f t="shared" si="0"/>
        <v>31</v>
      </c>
      <c r="M5" s="14"/>
      <c r="N5" s="14"/>
      <c r="O5" s="16" t="s">
        <v>146</v>
      </c>
      <c r="P5" s="58" t="s">
        <v>112</v>
      </c>
      <c r="Q5" s="93"/>
      <c r="R5" s="58" t="s">
        <v>30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9</v>
      </c>
      <c r="L6" s="14">
        <f t="shared" si="0"/>
        <v>9</v>
      </c>
      <c r="M6" s="14"/>
      <c r="N6" s="14"/>
      <c r="O6" s="16" t="s">
        <v>156</v>
      </c>
      <c r="P6" s="62" t="s">
        <v>155</v>
      </c>
      <c r="Q6" s="93"/>
      <c r="R6" s="90"/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9</v>
      </c>
      <c r="L7" s="14">
        <f t="shared" si="0"/>
        <v>9</v>
      </c>
      <c r="M7" s="14"/>
      <c r="N7" s="14"/>
      <c r="O7" s="16" t="s">
        <v>151</v>
      </c>
      <c r="P7" s="58" t="s">
        <v>26</v>
      </c>
      <c r="Q7" s="93"/>
      <c r="R7" s="58"/>
      <c r="S7" s="69"/>
    </row>
    <row r="8" spans="1:66" s="7" customFormat="1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25</v>
      </c>
      <c r="L8" s="14">
        <f t="shared" si="0"/>
        <v>25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8</v>
      </c>
      <c r="L9" s="14">
        <f t="shared" si="0"/>
        <v>8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104</v>
      </c>
      <c r="L10" s="14">
        <f t="shared" si="0"/>
        <v>104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x14ac:dyDescent="0.25">
      <c r="A11" s="139">
        <v>7</v>
      </c>
      <c r="B11" s="60" t="s">
        <v>163</v>
      </c>
      <c r="C11" s="8" t="s">
        <v>29</v>
      </c>
      <c r="D11" s="48" t="s">
        <v>28</v>
      </c>
      <c r="E11" s="51">
        <v>2023</v>
      </c>
      <c r="F11" s="55">
        <v>46187</v>
      </c>
      <c r="G11" s="55">
        <v>46187</v>
      </c>
      <c r="H11" s="47"/>
      <c r="I11" s="47"/>
      <c r="J11" s="66"/>
      <c r="K11" s="21">
        <f t="shared" si="0"/>
        <v>1</v>
      </c>
      <c r="L11" s="21">
        <f t="shared" si="0"/>
        <v>1</v>
      </c>
      <c r="M11" s="21"/>
      <c r="N11" s="21"/>
      <c r="O11" s="61" t="s">
        <v>164</v>
      </c>
      <c r="P11" s="60"/>
      <c r="Q11" s="61"/>
      <c r="R11" s="165"/>
      <c r="S11" s="166"/>
    </row>
    <row r="12" spans="1:66" s="7" customFormat="1" ht="13.95" customHeight="1" x14ac:dyDescent="0.25">
      <c r="A12" s="52"/>
      <c r="B12" s="29"/>
      <c r="C12" s="12"/>
      <c r="D12" s="19"/>
      <c r="E12" s="18"/>
      <c r="F12" s="22"/>
      <c r="G12" s="22"/>
      <c r="H12" s="22"/>
      <c r="I12" s="22"/>
      <c r="J12" s="22"/>
      <c r="K12" s="18"/>
      <c r="L12" s="22"/>
      <c r="M12" s="22"/>
      <c r="N12" s="22"/>
      <c r="O12" s="30" t="s">
        <v>22</v>
      </c>
      <c r="P12" s="12"/>
      <c r="Q12" s="12"/>
      <c r="R12" s="19"/>
      <c r="S12" s="30"/>
    </row>
    <row r="13" spans="1:66" s="7" customFormat="1" ht="13.95" customHeight="1" x14ac:dyDescent="0.25">
      <c r="A13" s="56"/>
      <c r="B13" s="67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62"/>
      <c r="Q13" s="57"/>
      <c r="R13" s="50"/>
      <c r="S13" s="46"/>
    </row>
    <row r="14" spans="1:66" s="35" customFormat="1" ht="13.95" customHeight="1" x14ac:dyDescent="0.25">
      <c r="A14" s="53"/>
      <c r="B14" s="31"/>
      <c r="C14" s="12"/>
      <c r="D14" s="19" t="s">
        <v>0</v>
      </c>
      <c r="E14" s="18"/>
      <c r="F14" s="32"/>
      <c r="G14" s="32"/>
      <c r="H14" s="32"/>
      <c r="I14" s="32"/>
      <c r="J14" s="32"/>
      <c r="K14" s="18"/>
      <c r="L14" s="32"/>
      <c r="M14" s="32"/>
      <c r="N14" s="32"/>
      <c r="O14" s="33" t="s">
        <v>23</v>
      </c>
      <c r="P14" s="19"/>
      <c r="Q14" s="19"/>
      <c r="R14" s="34"/>
      <c r="S14" s="3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30" customHeight="1" x14ac:dyDescent="0.25">
      <c r="A15" s="78">
        <v>1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ref="K15:L15" si="1">$F$1-F15</f>
        <v>30</v>
      </c>
      <c r="L15" s="14">
        <f t="shared" si="1"/>
        <v>30</v>
      </c>
      <c r="M15" s="14"/>
      <c r="N15" s="14"/>
      <c r="O15" s="16" t="s">
        <v>132</v>
      </c>
      <c r="P15" s="60" t="s">
        <v>44</v>
      </c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A392-2AD8-47DD-959C-6EF53657DE2A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4.8867187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46188</v>
      </c>
      <c r="G1" s="20">
        <v>46188</v>
      </c>
      <c r="H1" s="20">
        <v>46188</v>
      </c>
      <c r="I1" s="20">
        <v>46188</v>
      </c>
      <c r="J1" s="20">
        <v>46188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7" t="s">
        <v>7</v>
      </c>
      <c r="L3" s="167" t="s">
        <v>19</v>
      </c>
      <c r="M3" s="167" t="s">
        <v>20</v>
      </c>
      <c r="N3" s="16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1" si="0">$F$1-F5</f>
        <v>31</v>
      </c>
      <c r="L5" s="14">
        <f t="shared" si="0"/>
        <v>31</v>
      </c>
      <c r="M5" s="14"/>
      <c r="N5" s="14"/>
      <c r="O5" s="16" t="s">
        <v>146</v>
      </c>
      <c r="P5" s="58" t="s">
        <v>112</v>
      </c>
      <c r="Q5" s="93"/>
      <c r="R5" s="58" t="s">
        <v>30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9</v>
      </c>
      <c r="L6" s="14">
        <f t="shared" si="0"/>
        <v>9</v>
      </c>
      <c r="M6" s="14"/>
      <c r="N6" s="14"/>
      <c r="O6" s="16" t="s">
        <v>156</v>
      </c>
      <c r="P6" s="62" t="s">
        <v>155</v>
      </c>
      <c r="Q6" s="93"/>
      <c r="R6" s="93" t="s">
        <v>165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9</v>
      </c>
      <c r="L7" s="14">
        <f t="shared" si="0"/>
        <v>9</v>
      </c>
      <c r="M7" s="14"/>
      <c r="N7" s="14"/>
      <c r="O7" s="16" t="s">
        <v>151</v>
      </c>
      <c r="P7" s="58" t="s">
        <v>26</v>
      </c>
      <c r="Q7" s="93"/>
      <c r="R7" s="60" t="s">
        <v>112</v>
      </c>
      <c r="S7" s="69"/>
    </row>
    <row r="8" spans="1:66" s="7" customFormat="1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25</v>
      </c>
      <c r="L8" s="14">
        <f t="shared" si="0"/>
        <v>25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8</v>
      </c>
      <c r="L9" s="14">
        <f t="shared" si="0"/>
        <v>8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104</v>
      </c>
      <c r="L10" s="14">
        <f t="shared" si="0"/>
        <v>104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x14ac:dyDescent="0.25">
      <c r="A11" s="139">
        <v>7</v>
      </c>
      <c r="B11" s="60" t="s">
        <v>163</v>
      </c>
      <c r="C11" s="8" t="s">
        <v>29</v>
      </c>
      <c r="D11" s="48" t="s">
        <v>28</v>
      </c>
      <c r="E11" s="51">
        <v>2023</v>
      </c>
      <c r="F11" s="55">
        <v>46187</v>
      </c>
      <c r="G11" s="55">
        <v>46187</v>
      </c>
      <c r="H11" s="47"/>
      <c r="I11" s="47"/>
      <c r="J11" s="66"/>
      <c r="K11" s="21">
        <f t="shared" si="0"/>
        <v>1</v>
      </c>
      <c r="L11" s="21">
        <f t="shared" si="0"/>
        <v>1</v>
      </c>
      <c r="M11" s="21"/>
      <c r="N11" s="21"/>
      <c r="O11" s="61" t="s">
        <v>164</v>
      </c>
      <c r="P11" s="60"/>
      <c r="Q11" s="61"/>
      <c r="R11" s="165"/>
      <c r="S11" s="166"/>
    </row>
    <row r="12" spans="1:66" s="7" customFormat="1" ht="13.95" customHeight="1" x14ac:dyDescent="0.25">
      <c r="A12" s="52"/>
      <c r="B12" s="29"/>
      <c r="C12" s="12"/>
      <c r="D12" s="19"/>
      <c r="E12" s="18"/>
      <c r="F12" s="22"/>
      <c r="G12" s="22"/>
      <c r="H12" s="22"/>
      <c r="I12" s="22"/>
      <c r="J12" s="22"/>
      <c r="K12" s="18"/>
      <c r="L12" s="22"/>
      <c r="M12" s="22"/>
      <c r="N12" s="22"/>
      <c r="O12" s="30" t="s">
        <v>22</v>
      </c>
      <c r="P12" s="12"/>
      <c r="Q12" s="12"/>
      <c r="R12" s="19"/>
      <c r="S12" s="30"/>
    </row>
    <row r="13" spans="1:66" s="7" customFormat="1" ht="13.95" customHeight="1" x14ac:dyDescent="0.25">
      <c r="A13" s="56"/>
      <c r="B13" s="67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62"/>
      <c r="Q13" s="57"/>
      <c r="R13" s="50"/>
      <c r="S13" s="46"/>
    </row>
    <row r="14" spans="1:66" s="35" customFormat="1" ht="13.95" customHeight="1" x14ac:dyDescent="0.25">
      <c r="A14" s="53"/>
      <c r="B14" s="31"/>
      <c r="C14" s="12"/>
      <c r="D14" s="19" t="s">
        <v>0</v>
      </c>
      <c r="E14" s="18"/>
      <c r="F14" s="32"/>
      <c r="G14" s="32"/>
      <c r="H14" s="32"/>
      <c r="I14" s="32"/>
      <c r="J14" s="32"/>
      <c r="K14" s="18"/>
      <c r="L14" s="32"/>
      <c r="M14" s="32"/>
      <c r="N14" s="32"/>
      <c r="O14" s="33" t="s">
        <v>23</v>
      </c>
      <c r="P14" s="19"/>
      <c r="Q14" s="19"/>
      <c r="R14" s="34"/>
      <c r="S14" s="3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30" customHeight="1" x14ac:dyDescent="0.25">
      <c r="A15" s="78">
        <v>1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ref="K15:L15" si="1">$F$1-F15</f>
        <v>30</v>
      </c>
      <c r="L15" s="14">
        <f t="shared" si="1"/>
        <v>30</v>
      </c>
      <c r="M15" s="14"/>
      <c r="N15" s="14"/>
      <c r="O15" s="16" t="s">
        <v>132</v>
      </c>
      <c r="P15" s="60" t="s">
        <v>44</v>
      </c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A666-416D-4CCC-888B-4904DFCA2CD6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4.8867187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46190</v>
      </c>
      <c r="G1" s="20">
        <v>46190</v>
      </c>
      <c r="H1" s="20">
        <v>46190</v>
      </c>
      <c r="I1" s="20">
        <v>46190</v>
      </c>
      <c r="J1" s="20">
        <v>46190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8" t="s">
        <v>7</v>
      </c>
      <c r="L3" s="168" t="s">
        <v>19</v>
      </c>
      <c r="M3" s="168" t="s">
        <v>20</v>
      </c>
      <c r="N3" s="16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1" si="0">$F$1-F5</f>
        <v>33</v>
      </c>
      <c r="L5" s="14">
        <f t="shared" si="0"/>
        <v>33</v>
      </c>
      <c r="M5" s="14"/>
      <c r="N5" s="14"/>
      <c r="O5" s="16" t="s">
        <v>146</v>
      </c>
      <c r="P5" s="58" t="s">
        <v>112</v>
      </c>
      <c r="Q5" s="93"/>
      <c r="R5" s="58" t="s">
        <v>30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11</v>
      </c>
      <c r="L6" s="14">
        <f t="shared" si="0"/>
        <v>11</v>
      </c>
      <c r="M6" s="14"/>
      <c r="N6" s="14"/>
      <c r="O6" s="16" t="s">
        <v>156</v>
      </c>
      <c r="P6" s="62" t="s">
        <v>155</v>
      </c>
      <c r="Q6" s="93"/>
      <c r="R6" s="93" t="s">
        <v>165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11</v>
      </c>
      <c r="L7" s="14">
        <f t="shared" si="0"/>
        <v>11</v>
      </c>
      <c r="M7" s="14"/>
      <c r="N7" s="14"/>
      <c r="O7" s="16" t="s">
        <v>151</v>
      </c>
      <c r="P7" s="58" t="s">
        <v>26</v>
      </c>
      <c r="Q7" s="93"/>
      <c r="R7" s="60" t="s">
        <v>112</v>
      </c>
      <c r="S7" s="69"/>
    </row>
    <row r="8" spans="1:66" s="7" customFormat="1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27</v>
      </c>
      <c r="L8" s="14">
        <f t="shared" si="0"/>
        <v>27</v>
      </c>
      <c r="M8" s="14"/>
      <c r="N8" s="14"/>
      <c r="O8" s="16" t="s">
        <v>137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10</v>
      </c>
      <c r="L9" s="14">
        <f t="shared" si="0"/>
        <v>10</v>
      </c>
      <c r="M9" s="14"/>
      <c r="N9" s="14"/>
      <c r="O9" s="16" t="s">
        <v>158</v>
      </c>
      <c r="P9" s="60" t="s">
        <v>10</v>
      </c>
      <c r="Q9" s="57"/>
      <c r="R9" s="60"/>
      <c r="S9" s="69"/>
    </row>
    <row r="10" spans="1:66" s="7" customFormat="1" ht="55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106</v>
      </c>
      <c r="L10" s="14">
        <f t="shared" si="0"/>
        <v>106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x14ac:dyDescent="0.25">
      <c r="A11" s="139">
        <v>7</v>
      </c>
      <c r="B11" s="60" t="s">
        <v>163</v>
      </c>
      <c r="C11" s="8" t="s">
        <v>29</v>
      </c>
      <c r="D11" s="48" t="s">
        <v>28</v>
      </c>
      <c r="E11" s="51">
        <v>2023</v>
      </c>
      <c r="F11" s="55">
        <v>46187</v>
      </c>
      <c r="G11" s="55">
        <v>46187</v>
      </c>
      <c r="H11" s="47"/>
      <c r="I11" s="47"/>
      <c r="J11" s="66"/>
      <c r="K11" s="21">
        <f t="shared" si="0"/>
        <v>3</v>
      </c>
      <c r="L11" s="21">
        <f t="shared" si="0"/>
        <v>3</v>
      </c>
      <c r="M11" s="21"/>
      <c r="N11" s="21"/>
      <c r="O11" s="61" t="s">
        <v>164</v>
      </c>
      <c r="P11" s="60"/>
      <c r="Q11" s="61"/>
      <c r="R11" s="165"/>
      <c r="S11" s="166"/>
    </row>
    <row r="12" spans="1:66" s="7" customFormat="1" ht="13.95" customHeight="1" x14ac:dyDescent="0.25">
      <c r="A12" s="52"/>
      <c r="B12" s="29"/>
      <c r="C12" s="12"/>
      <c r="D12" s="19"/>
      <c r="E12" s="18"/>
      <c r="F12" s="22"/>
      <c r="G12" s="22"/>
      <c r="H12" s="22"/>
      <c r="I12" s="22"/>
      <c r="J12" s="22"/>
      <c r="K12" s="18"/>
      <c r="L12" s="22"/>
      <c r="M12" s="22"/>
      <c r="N12" s="22"/>
      <c r="O12" s="30" t="s">
        <v>22</v>
      </c>
      <c r="P12" s="12"/>
      <c r="Q12" s="12"/>
      <c r="R12" s="19"/>
      <c r="S12" s="30"/>
    </row>
    <row r="13" spans="1:66" s="7" customFormat="1" ht="13.95" customHeight="1" x14ac:dyDescent="0.25">
      <c r="A13" s="56"/>
      <c r="B13" s="67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62"/>
      <c r="Q13" s="57"/>
      <c r="R13" s="50"/>
      <c r="S13" s="46"/>
    </row>
    <row r="14" spans="1:66" s="35" customFormat="1" ht="13.95" customHeight="1" x14ac:dyDescent="0.25">
      <c r="A14" s="53"/>
      <c r="B14" s="31"/>
      <c r="C14" s="12"/>
      <c r="D14" s="19" t="s">
        <v>0</v>
      </c>
      <c r="E14" s="18"/>
      <c r="F14" s="32"/>
      <c r="G14" s="32"/>
      <c r="H14" s="32"/>
      <c r="I14" s="32"/>
      <c r="J14" s="32"/>
      <c r="K14" s="18"/>
      <c r="L14" s="32"/>
      <c r="M14" s="32"/>
      <c r="N14" s="32"/>
      <c r="O14" s="33" t="s">
        <v>23</v>
      </c>
      <c r="P14" s="19"/>
      <c r="Q14" s="19"/>
      <c r="R14" s="34"/>
      <c r="S14" s="3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30" customHeight="1" x14ac:dyDescent="0.25">
      <c r="A15" s="78">
        <v>1</v>
      </c>
      <c r="B15" s="90" t="s">
        <v>111</v>
      </c>
      <c r="C15" s="6" t="s">
        <v>29</v>
      </c>
      <c r="D15" s="36" t="s">
        <v>28</v>
      </c>
      <c r="E15" s="49">
        <v>2023</v>
      </c>
      <c r="F15" s="20">
        <v>46158</v>
      </c>
      <c r="G15" s="20">
        <v>46158</v>
      </c>
      <c r="H15" s="37"/>
      <c r="I15" s="37"/>
      <c r="J15" s="68"/>
      <c r="K15" s="14">
        <f t="shared" ref="K15:L15" si="1">$F$1-F15</f>
        <v>32</v>
      </c>
      <c r="L15" s="14">
        <f t="shared" si="1"/>
        <v>32</v>
      </c>
      <c r="M15" s="14"/>
      <c r="N15" s="14"/>
      <c r="O15" s="16" t="s">
        <v>132</v>
      </c>
      <c r="P15" s="60" t="s">
        <v>44</v>
      </c>
      <c r="Q15" s="16"/>
      <c r="R15" s="70"/>
      <c r="S15" s="69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37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3.95" customHeight="1" x14ac:dyDescent="0.3">
      <c r="A17" s="17"/>
      <c r="B17" s="77"/>
      <c r="C17" s="71"/>
      <c r="D17" s="77"/>
      <c r="E17" s="72"/>
      <c r="F17" s="73"/>
      <c r="G17" s="73"/>
      <c r="H17" s="73"/>
      <c r="I17" s="73"/>
      <c r="J17" s="73"/>
      <c r="K17" s="74"/>
      <c r="L17" s="73"/>
      <c r="M17" s="73"/>
      <c r="N17" s="73"/>
      <c r="O17" s="71"/>
      <c r="P17" s="76"/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38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ECBE-6030-4CB3-825A-8C7C0040F68B}">
  <dimension ref="A1:BN2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4.8867187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46191</v>
      </c>
      <c r="G1" s="20">
        <v>46191</v>
      </c>
      <c r="H1" s="20">
        <v>46191</v>
      </c>
      <c r="I1" s="20">
        <v>46191</v>
      </c>
      <c r="J1" s="20">
        <v>46191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69" t="s">
        <v>7</v>
      </c>
      <c r="L3" s="169" t="s">
        <v>19</v>
      </c>
      <c r="M3" s="169" t="s">
        <v>20</v>
      </c>
      <c r="N3" s="16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2" si="0">$F$1-F5</f>
        <v>34</v>
      </c>
      <c r="L5" s="14">
        <f t="shared" si="0"/>
        <v>34</v>
      </c>
      <c r="M5" s="14"/>
      <c r="N5" s="14"/>
      <c r="O5" s="16" t="s">
        <v>146</v>
      </c>
      <c r="P5" s="58" t="s">
        <v>112</v>
      </c>
      <c r="Q5" s="93"/>
      <c r="R5" s="90" t="s">
        <v>54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12</v>
      </c>
      <c r="L6" s="14">
        <f t="shared" si="0"/>
        <v>12</v>
      </c>
      <c r="M6" s="14"/>
      <c r="N6" s="14"/>
      <c r="O6" s="16" t="s">
        <v>156</v>
      </c>
      <c r="P6" s="62" t="s">
        <v>155</v>
      </c>
      <c r="Q6" s="93"/>
      <c r="R6" s="67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12</v>
      </c>
      <c r="L7" s="14">
        <f t="shared" si="0"/>
        <v>12</v>
      </c>
      <c r="M7" s="14"/>
      <c r="N7" s="14"/>
      <c r="O7" s="16" t="s">
        <v>151</v>
      </c>
      <c r="P7" s="58" t="s">
        <v>26</v>
      </c>
      <c r="Q7" s="93"/>
      <c r="R7" s="67"/>
      <c r="S7" s="69"/>
    </row>
    <row r="8" spans="1:66" s="7" customFormat="1" ht="26.4" x14ac:dyDescent="0.25">
      <c r="A8" s="78">
        <v>4</v>
      </c>
      <c r="B8" s="90" t="s">
        <v>116</v>
      </c>
      <c r="C8" s="79" t="s">
        <v>32</v>
      </c>
      <c r="D8" s="80" t="s">
        <v>28</v>
      </c>
      <c r="E8" s="49">
        <v>2010</v>
      </c>
      <c r="F8" s="20">
        <v>46163</v>
      </c>
      <c r="G8" s="20">
        <v>46163</v>
      </c>
      <c r="H8" s="37"/>
      <c r="I8" s="37"/>
      <c r="J8" s="68"/>
      <c r="K8" s="14">
        <f t="shared" si="0"/>
        <v>28</v>
      </c>
      <c r="L8" s="14">
        <f t="shared" si="0"/>
        <v>28</v>
      </c>
      <c r="M8" s="14"/>
      <c r="N8" s="14"/>
      <c r="O8" s="16" t="s">
        <v>166</v>
      </c>
      <c r="P8" s="58" t="s">
        <v>9</v>
      </c>
      <c r="Q8" s="57"/>
      <c r="R8" s="60"/>
      <c r="S8" s="69"/>
    </row>
    <row r="9" spans="1:66" s="7" customFormat="1" x14ac:dyDescent="0.25">
      <c r="A9" s="56">
        <v>5</v>
      </c>
      <c r="B9" s="67" t="s">
        <v>157</v>
      </c>
      <c r="C9" s="6" t="s">
        <v>29</v>
      </c>
      <c r="D9" s="36" t="s">
        <v>28</v>
      </c>
      <c r="E9" s="49">
        <v>2023</v>
      </c>
      <c r="F9" s="20">
        <v>46180</v>
      </c>
      <c r="G9" s="20">
        <v>46180</v>
      </c>
      <c r="H9" s="37"/>
      <c r="I9" s="37"/>
      <c r="J9" s="68"/>
      <c r="K9" s="14">
        <f t="shared" si="0"/>
        <v>11</v>
      </c>
      <c r="L9" s="14">
        <f t="shared" si="0"/>
        <v>11</v>
      </c>
      <c r="M9" s="14"/>
      <c r="N9" s="14"/>
      <c r="O9" s="16" t="s">
        <v>158</v>
      </c>
      <c r="P9" s="58" t="s">
        <v>10</v>
      </c>
      <c r="Q9" s="57"/>
      <c r="R9" s="60"/>
      <c r="S9" s="69"/>
    </row>
    <row r="10" spans="1:66" s="7" customFormat="1" ht="61.95" customHeight="1" x14ac:dyDescent="0.25">
      <c r="A10" s="78">
        <v>6</v>
      </c>
      <c r="B10" s="58" t="s">
        <v>52</v>
      </c>
      <c r="C10" s="6" t="s">
        <v>29</v>
      </c>
      <c r="D10" s="36" t="s">
        <v>28</v>
      </c>
      <c r="E10" s="49">
        <v>2023</v>
      </c>
      <c r="F10" s="20">
        <v>46084</v>
      </c>
      <c r="G10" s="20">
        <v>46084</v>
      </c>
      <c r="H10" s="37"/>
      <c r="I10" s="37"/>
      <c r="J10" s="68"/>
      <c r="K10" s="14">
        <f t="shared" si="0"/>
        <v>107</v>
      </c>
      <c r="L10" s="14">
        <f t="shared" si="0"/>
        <v>107</v>
      </c>
      <c r="M10" s="14"/>
      <c r="N10" s="14"/>
      <c r="O10" s="16" t="s">
        <v>129</v>
      </c>
      <c r="P10" s="58" t="s">
        <v>33</v>
      </c>
      <c r="Q10" s="16"/>
      <c r="R10" s="70"/>
      <c r="S10" s="69"/>
    </row>
    <row r="11" spans="1:66" s="7" customFormat="1" x14ac:dyDescent="0.25">
      <c r="A11" s="78">
        <v>7</v>
      </c>
      <c r="B11" s="58" t="s">
        <v>65</v>
      </c>
      <c r="C11" s="6" t="s">
        <v>29</v>
      </c>
      <c r="D11" s="36" t="s">
        <v>28</v>
      </c>
      <c r="E11" s="49">
        <v>2023</v>
      </c>
      <c r="F11" s="20">
        <v>46187</v>
      </c>
      <c r="G11" s="20">
        <v>46187</v>
      </c>
      <c r="H11" s="37"/>
      <c r="I11" s="37"/>
      <c r="J11" s="68"/>
      <c r="K11" s="14">
        <f t="shared" si="0"/>
        <v>4</v>
      </c>
      <c r="L11" s="14">
        <f t="shared" si="0"/>
        <v>4</v>
      </c>
      <c r="M11" s="14"/>
      <c r="N11" s="14"/>
      <c r="O11" s="16" t="s">
        <v>164</v>
      </c>
      <c r="P11" s="58"/>
      <c r="Q11" s="16"/>
      <c r="R11" s="70"/>
      <c r="S11" s="69"/>
    </row>
    <row r="12" spans="1:66" s="7" customFormat="1" ht="23.4" customHeight="1" x14ac:dyDescent="0.25">
      <c r="A12" s="78">
        <v>8</v>
      </c>
      <c r="B12" s="90" t="s">
        <v>111</v>
      </c>
      <c r="C12" s="6" t="s">
        <v>29</v>
      </c>
      <c r="D12" s="36" t="s">
        <v>28</v>
      </c>
      <c r="E12" s="49">
        <v>2023</v>
      </c>
      <c r="F12" s="20">
        <v>46158</v>
      </c>
      <c r="G12" s="20">
        <v>46158</v>
      </c>
      <c r="H12" s="37"/>
      <c r="I12" s="37"/>
      <c r="J12" s="68"/>
      <c r="K12" s="14">
        <f t="shared" si="0"/>
        <v>33</v>
      </c>
      <c r="L12" s="14">
        <f t="shared" si="0"/>
        <v>33</v>
      </c>
      <c r="M12" s="14"/>
      <c r="N12" s="14"/>
      <c r="O12" s="16" t="s">
        <v>167</v>
      </c>
      <c r="P12" s="58" t="s">
        <v>30</v>
      </c>
      <c r="Q12" s="16"/>
      <c r="R12" s="70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/>
      <c r="B16" s="90"/>
      <c r="C16" s="6"/>
      <c r="D16" s="36"/>
      <c r="E16" s="49"/>
      <c r="F16" s="20"/>
      <c r="G16" s="20"/>
      <c r="H16" s="37"/>
      <c r="I16" s="37"/>
      <c r="J16" s="68"/>
      <c r="K16" s="14"/>
      <c r="L16" s="14"/>
      <c r="M16" s="14"/>
      <c r="N16" s="14"/>
      <c r="O16" s="16"/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/>
      <c r="P20" s="43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8E7C-E2E4-4628-B728-F2A6DB1BD58C}">
  <sheetPr>
    <pageSetUpPr fitToPage="1"/>
  </sheetPr>
  <dimension ref="A1:BN21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46192</v>
      </c>
      <c r="G1" s="20">
        <v>46192</v>
      </c>
      <c r="H1" s="20">
        <v>46192</v>
      </c>
      <c r="I1" s="20">
        <v>46192</v>
      </c>
      <c r="J1" s="20">
        <v>46192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0" t="s">
        <v>7</v>
      </c>
      <c r="L3" s="170" t="s">
        <v>19</v>
      </c>
      <c r="M3" s="170" t="s">
        <v>20</v>
      </c>
      <c r="N3" s="17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11" si="0">$F$1-F5</f>
        <v>35</v>
      </c>
      <c r="L5" s="14">
        <f t="shared" si="0"/>
        <v>35</v>
      </c>
      <c r="M5" s="14"/>
      <c r="N5" s="14"/>
      <c r="O5" s="16" t="s">
        <v>172</v>
      </c>
      <c r="P5" s="58" t="s">
        <v>112</v>
      </c>
      <c r="Q5" s="90" t="s">
        <v>111</v>
      </c>
      <c r="R5" s="90" t="s">
        <v>54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13</v>
      </c>
      <c r="L6" s="14">
        <f t="shared" si="0"/>
        <v>13</v>
      </c>
      <c r="M6" s="14"/>
      <c r="N6" s="14"/>
      <c r="O6" s="16" t="s">
        <v>156</v>
      </c>
      <c r="P6" s="62" t="s">
        <v>155</v>
      </c>
      <c r="Q6" s="93"/>
      <c r="R6" s="67" t="s">
        <v>31</v>
      </c>
      <c r="S6" s="69"/>
    </row>
    <row r="7" spans="1:66" s="7" customFormat="1" x14ac:dyDescent="0.25">
      <c r="A7" s="78">
        <v>3</v>
      </c>
      <c r="B7" s="67" t="s">
        <v>150</v>
      </c>
      <c r="C7" s="79" t="s">
        <v>32</v>
      </c>
      <c r="D7" s="80" t="s">
        <v>55</v>
      </c>
      <c r="E7" s="49">
        <v>2014</v>
      </c>
      <c r="F7" s="20">
        <v>46179</v>
      </c>
      <c r="G7" s="20">
        <v>46179</v>
      </c>
      <c r="H7" s="37"/>
      <c r="I7" s="37"/>
      <c r="J7" s="68"/>
      <c r="K7" s="14">
        <f t="shared" si="0"/>
        <v>13</v>
      </c>
      <c r="L7" s="14">
        <f t="shared" si="0"/>
        <v>13</v>
      </c>
      <c r="M7" s="14"/>
      <c r="N7" s="14"/>
      <c r="O7" s="16" t="s">
        <v>101</v>
      </c>
      <c r="P7" s="58" t="s">
        <v>26</v>
      </c>
      <c r="Q7" s="93"/>
      <c r="R7" s="58" t="s">
        <v>30</v>
      </c>
      <c r="S7" s="69"/>
    </row>
    <row r="8" spans="1:66" s="7" customFormat="1" x14ac:dyDescent="0.25">
      <c r="A8" s="78">
        <v>4</v>
      </c>
      <c r="B8" s="67" t="s">
        <v>157</v>
      </c>
      <c r="C8" s="6" t="s">
        <v>29</v>
      </c>
      <c r="D8" s="36" t="s">
        <v>28</v>
      </c>
      <c r="E8" s="49">
        <v>2023</v>
      </c>
      <c r="F8" s="20">
        <v>46180</v>
      </c>
      <c r="G8" s="20">
        <v>46180</v>
      </c>
      <c r="H8" s="37"/>
      <c r="I8" s="37"/>
      <c r="J8" s="68"/>
      <c r="K8" s="14">
        <f t="shared" si="0"/>
        <v>12</v>
      </c>
      <c r="L8" s="14">
        <f t="shared" si="0"/>
        <v>12</v>
      </c>
      <c r="M8" s="14"/>
      <c r="N8" s="14"/>
      <c r="O8" s="16" t="s">
        <v>168</v>
      </c>
      <c r="P8" s="58" t="s">
        <v>10</v>
      </c>
      <c r="Q8" s="57"/>
      <c r="R8" s="60"/>
      <c r="S8" s="69"/>
    </row>
    <row r="9" spans="1:66" s="7" customFormat="1" ht="43.95" customHeight="1" x14ac:dyDescent="0.25">
      <c r="A9" s="78">
        <v>5</v>
      </c>
      <c r="B9" s="58" t="s">
        <v>52</v>
      </c>
      <c r="C9" s="6" t="s">
        <v>29</v>
      </c>
      <c r="D9" s="36" t="s">
        <v>28</v>
      </c>
      <c r="E9" s="49">
        <v>2023</v>
      </c>
      <c r="F9" s="20">
        <v>46084</v>
      </c>
      <c r="G9" s="20">
        <v>46084</v>
      </c>
      <c r="H9" s="37"/>
      <c r="I9" s="37"/>
      <c r="J9" s="68"/>
      <c r="K9" s="14">
        <f t="shared" si="0"/>
        <v>108</v>
      </c>
      <c r="L9" s="14">
        <f t="shared" si="0"/>
        <v>108</v>
      </c>
      <c r="M9" s="14"/>
      <c r="N9" s="14"/>
      <c r="O9" s="16" t="s">
        <v>173</v>
      </c>
      <c r="P9" s="58" t="s">
        <v>33</v>
      </c>
      <c r="Q9" s="16"/>
      <c r="R9" s="70"/>
      <c r="S9" s="69"/>
    </row>
    <row r="10" spans="1:66" s="7" customFormat="1" x14ac:dyDescent="0.25">
      <c r="A10" s="78">
        <v>6</v>
      </c>
      <c r="B10" s="58" t="s">
        <v>65</v>
      </c>
      <c r="C10" s="6" t="s">
        <v>29</v>
      </c>
      <c r="D10" s="36" t="s">
        <v>28</v>
      </c>
      <c r="E10" s="49">
        <v>2023</v>
      </c>
      <c r="F10" s="20">
        <v>46187</v>
      </c>
      <c r="G10" s="20">
        <v>46187</v>
      </c>
      <c r="H10" s="37"/>
      <c r="I10" s="37"/>
      <c r="J10" s="68"/>
      <c r="K10" s="14">
        <f t="shared" si="0"/>
        <v>5</v>
      </c>
      <c r="L10" s="14">
        <f t="shared" si="0"/>
        <v>5</v>
      </c>
      <c r="M10" s="14"/>
      <c r="N10" s="14"/>
      <c r="O10" s="16" t="s">
        <v>174</v>
      </c>
      <c r="P10" s="58"/>
      <c r="Q10" s="16"/>
      <c r="R10" s="70"/>
      <c r="S10" s="69"/>
    </row>
    <row r="11" spans="1:66" s="7" customFormat="1" ht="23.4" customHeight="1" x14ac:dyDescent="0.25">
      <c r="A11" s="78">
        <v>7</v>
      </c>
      <c r="B11" s="90" t="s">
        <v>45</v>
      </c>
      <c r="C11" s="6" t="s">
        <v>29</v>
      </c>
      <c r="D11" s="36" t="s">
        <v>28</v>
      </c>
      <c r="E11" s="49">
        <v>2023</v>
      </c>
      <c r="F11" s="20">
        <v>46192</v>
      </c>
      <c r="G11" s="20">
        <v>46192</v>
      </c>
      <c r="H11" s="37"/>
      <c r="I11" s="37"/>
      <c r="J11" s="68"/>
      <c r="K11" s="14">
        <f t="shared" si="0"/>
        <v>0</v>
      </c>
      <c r="L11" s="14">
        <f t="shared" si="0"/>
        <v>0</v>
      </c>
      <c r="M11" s="14"/>
      <c r="N11" s="14"/>
      <c r="O11" s="16" t="s">
        <v>169</v>
      </c>
      <c r="P11" s="58"/>
      <c r="Q11" s="16"/>
      <c r="R11" s="70"/>
      <c r="S11" s="69"/>
    </row>
    <row r="12" spans="1:66" s="7" customFormat="1" ht="23.4" customHeight="1" x14ac:dyDescent="0.25">
      <c r="A12" s="78">
        <v>8</v>
      </c>
      <c r="B12" s="90" t="s">
        <v>170</v>
      </c>
      <c r="C12" s="79" t="s">
        <v>32</v>
      </c>
      <c r="D12" s="80" t="s">
        <v>28</v>
      </c>
      <c r="E12" s="49">
        <v>2012</v>
      </c>
      <c r="F12" s="20">
        <v>46192</v>
      </c>
      <c r="G12" s="20">
        <v>46192</v>
      </c>
      <c r="H12" s="37"/>
      <c r="I12" s="37"/>
      <c r="J12" s="68"/>
      <c r="K12" s="14">
        <f t="shared" ref="K12" si="1">$F$1-F12</f>
        <v>0</v>
      </c>
      <c r="L12" s="14">
        <f t="shared" ref="L12" si="2">$F$1-G12</f>
        <v>0</v>
      </c>
      <c r="M12" s="14"/>
      <c r="N12" s="14"/>
      <c r="O12" s="16" t="s">
        <v>171</v>
      </c>
      <c r="P12" s="58"/>
      <c r="Q12" s="16"/>
      <c r="R12" s="70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/>
      <c r="B16" s="90"/>
      <c r="C16" s="6"/>
      <c r="D16" s="36"/>
      <c r="E16" s="49"/>
      <c r="F16" s="20"/>
      <c r="G16" s="20"/>
      <c r="H16" s="37"/>
      <c r="I16" s="37"/>
      <c r="J16" s="68"/>
      <c r="K16" s="14"/>
      <c r="L16" s="14"/>
      <c r="M16" s="14"/>
      <c r="N16" s="14"/>
      <c r="O16" s="16"/>
      <c r="P16" s="58"/>
      <c r="Q16" s="16"/>
      <c r="R16" s="70"/>
      <c r="S16" s="69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37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13.95" customHeight="1" x14ac:dyDescent="0.3">
      <c r="A18" s="17"/>
      <c r="B18" s="77"/>
      <c r="C18" s="71"/>
      <c r="D18" s="77"/>
      <c r="E18" s="72"/>
      <c r="F18" s="73"/>
      <c r="G18" s="73"/>
      <c r="H18" s="73"/>
      <c r="I18" s="73"/>
      <c r="J18" s="73"/>
      <c r="K18" s="74"/>
      <c r="L18" s="73"/>
      <c r="M18" s="73"/>
      <c r="N18" s="73"/>
      <c r="O18" s="71"/>
      <c r="P18" s="76"/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38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27" customHeight="1" x14ac:dyDescent="0.3">
      <c r="A20" s="17">
        <v>1</v>
      </c>
      <c r="B20" s="90" t="s">
        <v>116</v>
      </c>
      <c r="C20" s="79" t="s">
        <v>32</v>
      </c>
      <c r="D20" s="80" t="s">
        <v>28</v>
      </c>
      <c r="E20" s="49">
        <v>2010</v>
      </c>
      <c r="F20" s="20">
        <v>46163</v>
      </c>
      <c r="G20" s="20">
        <v>46163</v>
      </c>
      <c r="H20" s="37"/>
      <c r="I20" s="37"/>
      <c r="J20" s="68"/>
      <c r="K20" s="14">
        <f t="shared" ref="K20" si="3">$F$1-F20</f>
        <v>29</v>
      </c>
      <c r="L20" s="14">
        <f t="shared" ref="L20" si="4">$F$1-G20</f>
        <v>29</v>
      </c>
      <c r="M20" s="14"/>
      <c r="N20" s="14"/>
      <c r="O20" s="16" t="s">
        <v>166</v>
      </c>
      <c r="P20" s="58" t="s">
        <v>9</v>
      </c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/>
      <c r="P21" s="43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0866141732283472" right="0.70866141732283472" top="0.74803149606299213" bottom="0.74803149606299213" header="0.31496062992125984" footer="0.31496062992125984"/>
  <pageSetup paperSize="9" scale="1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7BED-4994-4A54-A787-193C735BA64A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46193</v>
      </c>
      <c r="G1" s="20">
        <v>46193</v>
      </c>
      <c r="H1" s="20">
        <v>46193</v>
      </c>
      <c r="I1" s="20">
        <v>46193</v>
      </c>
      <c r="J1" s="20">
        <v>46193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1" t="s">
        <v>7</v>
      </c>
      <c r="L3" s="171" t="s">
        <v>19</v>
      </c>
      <c r="M3" s="171" t="s">
        <v>20</v>
      </c>
      <c r="N3" s="17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36</v>
      </c>
      <c r="L5" s="14">
        <f t="shared" si="0"/>
        <v>36</v>
      </c>
      <c r="M5" s="14"/>
      <c r="N5" s="14"/>
      <c r="O5" s="16" t="s">
        <v>172</v>
      </c>
      <c r="P5" s="58" t="s">
        <v>112</v>
      </c>
      <c r="Q5" s="90" t="s">
        <v>170</v>
      </c>
      <c r="R5" s="90" t="s">
        <v>54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14</v>
      </c>
      <c r="L6" s="14">
        <f t="shared" si="0"/>
        <v>14</v>
      </c>
      <c r="M6" s="14"/>
      <c r="N6" s="14"/>
      <c r="O6" s="16" t="s">
        <v>176</v>
      </c>
      <c r="P6" s="62" t="s">
        <v>155</v>
      </c>
      <c r="Q6" s="67" t="s">
        <v>150</v>
      </c>
      <c r="R6" s="67" t="s">
        <v>31</v>
      </c>
      <c r="S6" s="69"/>
    </row>
    <row r="7" spans="1:66" s="7" customFormat="1" x14ac:dyDescent="0.25">
      <c r="A7" s="78">
        <v>3</v>
      </c>
      <c r="B7" s="67" t="s">
        <v>157</v>
      </c>
      <c r="C7" s="6" t="s">
        <v>29</v>
      </c>
      <c r="D7" s="36" t="s">
        <v>28</v>
      </c>
      <c r="E7" s="49">
        <v>2023</v>
      </c>
      <c r="F7" s="20">
        <v>46180</v>
      </c>
      <c r="G7" s="20">
        <v>46180</v>
      </c>
      <c r="H7" s="37"/>
      <c r="I7" s="37"/>
      <c r="J7" s="68"/>
      <c r="K7" s="14">
        <f t="shared" ref="K7:K10" si="1">$F$1-F7</f>
        <v>13</v>
      </c>
      <c r="L7" s="14">
        <f t="shared" ref="L7:L10" si="2">$F$1-G7</f>
        <v>13</v>
      </c>
      <c r="M7" s="14"/>
      <c r="N7" s="14"/>
      <c r="O7" s="16" t="s">
        <v>168</v>
      </c>
      <c r="P7" s="58" t="s">
        <v>10</v>
      </c>
      <c r="Q7" s="93"/>
      <c r="R7" s="67" t="s">
        <v>150</v>
      </c>
      <c r="S7" s="69"/>
    </row>
    <row r="8" spans="1:66" s="7" customFormat="1" x14ac:dyDescent="0.25">
      <c r="A8" s="78">
        <v>4</v>
      </c>
      <c r="B8" s="58" t="s">
        <v>52</v>
      </c>
      <c r="C8" s="6" t="s">
        <v>29</v>
      </c>
      <c r="D8" s="36" t="s">
        <v>28</v>
      </c>
      <c r="E8" s="49">
        <v>2023</v>
      </c>
      <c r="F8" s="20">
        <v>46084</v>
      </c>
      <c r="G8" s="20">
        <v>46084</v>
      </c>
      <c r="H8" s="37"/>
      <c r="I8" s="37"/>
      <c r="J8" s="68"/>
      <c r="K8" s="14">
        <f t="shared" si="1"/>
        <v>109</v>
      </c>
      <c r="L8" s="14">
        <f t="shared" si="2"/>
        <v>109</v>
      </c>
      <c r="M8" s="14"/>
      <c r="N8" s="14"/>
      <c r="O8" s="16" t="s">
        <v>175</v>
      </c>
      <c r="P8" s="58" t="s">
        <v>33</v>
      </c>
      <c r="Q8" s="57"/>
      <c r="R8" s="58" t="s">
        <v>30</v>
      </c>
      <c r="S8" s="69"/>
    </row>
    <row r="9" spans="1:66" s="7" customFormat="1" ht="43.95" customHeight="1" x14ac:dyDescent="0.25">
      <c r="A9" s="78">
        <v>5</v>
      </c>
      <c r="B9" s="58" t="s">
        <v>65</v>
      </c>
      <c r="C9" s="6" t="s">
        <v>29</v>
      </c>
      <c r="D9" s="36" t="s">
        <v>28</v>
      </c>
      <c r="E9" s="49">
        <v>2023</v>
      </c>
      <c r="F9" s="20">
        <v>46187</v>
      </c>
      <c r="G9" s="20">
        <v>46187</v>
      </c>
      <c r="H9" s="37"/>
      <c r="I9" s="37"/>
      <c r="J9" s="68"/>
      <c r="K9" s="14">
        <f t="shared" si="1"/>
        <v>6</v>
      </c>
      <c r="L9" s="14">
        <f t="shared" si="2"/>
        <v>6</v>
      </c>
      <c r="M9" s="14"/>
      <c r="N9" s="14"/>
      <c r="O9" s="16" t="s">
        <v>174</v>
      </c>
      <c r="P9" s="58"/>
      <c r="Q9" s="16"/>
      <c r="R9" s="70"/>
      <c r="S9" s="69"/>
    </row>
    <row r="10" spans="1:66" s="7" customFormat="1" x14ac:dyDescent="0.25">
      <c r="A10" s="78">
        <v>6</v>
      </c>
      <c r="B10" s="90" t="s">
        <v>45</v>
      </c>
      <c r="C10" s="6" t="s">
        <v>29</v>
      </c>
      <c r="D10" s="36" t="s">
        <v>28</v>
      </c>
      <c r="E10" s="49">
        <v>2023</v>
      </c>
      <c r="F10" s="20">
        <v>46192</v>
      </c>
      <c r="G10" s="20">
        <v>46192</v>
      </c>
      <c r="H10" s="37"/>
      <c r="I10" s="37"/>
      <c r="J10" s="68"/>
      <c r="K10" s="14">
        <f t="shared" si="1"/>
        <v>1</v>
      </c>
      <c r="L10" s="14">
        <f t="shared" si="2"/>
        <v>1</v>
      </c>
      <c r="M10" s="14"/>
      <c r="N10" s="14"/>
      <c r="O10" s="16" t="s">
        <v>169</v>
      </c>
      <c r="P10" s="58"/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4" customHeight="1" x14ac:dyDescent="0.25">
      <c r="A14" s="78"/>
      <c r="B14" s="90"/>
      <c r="C14" s="6"/>
      <c r="D14" s="36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58"/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27" customHeight="1" x14ac:dyDescent="0.3">
      <c r="A18" s="17">
        <v>1</v>
      </c>
      <c r="B18" s="90" t="s">
        <v>116</v>
      </c>
      <c r="C18" s="79" t="s">
        <v>32</v>
      </c>
      <c r="D18" s="80" t="s">
        <v>28</v>
      </c>
      <c r="E18" s="49">
        <v>2010</v>
      </c>
      <c r="F18" s="20">
        <v>46163</v>
      </c>
      <c r="G18" s="20">
        <v>46163</v>
      </c>
      <c r="H18" s="37"/>
      <c r="I18" s="37"/>
      <c r="J18" s="68"/>
      <c r="K18" s="14">
        <f t="shared" ref="K18:L18" si="3">$F$1-F18</f>
        <v>30</v>
      </c>
      <c r="L18" s="14">
        <f t="shared" si="3"/>
        <v>30</v>
      </c>
      <c r="M18" s="14"/>
      <c r="N18" s="14"/>
      <c r="O18" s="16" t="s">
        <v>166</v>
      </c>
      <c r="P18" s="58" t="s">
        <v>9</v>
      </c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EFFB-18B4-425E-8F05-FCC104BCC74F}">
  <dimension ref="A1:BN19"/>
  <sheetViews>
    <sheetView workbookViewId="0">
      <selection activeCell="O10" sqref="O10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46194</v>
      </c>
      <c r="G1" s="20">
        <v>46194</v>
      </c>
      <c r="H1" s="20">
        <v>46194</v>
      </c>
      <c r="I1" s="20">
        <v>46194</v>
      </c>
      <c r="J1" s="20">
        <v>46194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2" t="s">
        <v>7</v>
      </c>
      <c r="L3" s="172" t="s">
        <v>19</v>
      </c>
      <c r="M3" s="172" t="s">
        <v>20</v>
      </c>
      <c r="N3" s="17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37</v>
      </c>
      <c r="L5" s="14">
        <f t="shared" si="0"/>
        <v>37</v>
      </c>
      <c r="M5" s="14"/>
      <c r="N5" s="14"/>
      <c r="O5" s="16" t="s">
        <v>172</v>
      </c>
      <c r="P5" s="58" t="s">
        <v>112</v>
      </c>
      <c r="Q5" s="67" t="s">
        <v>157</v>
      </c>
      <c r="R5" s="90" t="s">
        <v>54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15</v>
      </c>
      <c r="L6" s="14">
        <f t="shared" si="0"/>
        <v>15</v>
      </c>
      <c r="M6" s="14"/>
      <c r="N6" s="14"/>
      <c r="O6" s="16" t="s">
        <v>176</v>
      </c>
      <c r="P6" s="62" t="s">
        <v>155</v>
      </c>
      <c r="Q6" s="67"/>
      <c r="R6" s="67" t="s">
        <v>31</v>
      </c>
      <c r="S6" s="69"/>
    </row>
    <row r="7" spans="1:66" s="7" customFormat="1" x14ac:dyDescent="0.25">
      <c r="A7" s="78">
        <v>3</v>
      </c>
      <c r="B7" s="58" t="s">
        <v>52</v>
      </c>
      <c r="C7" s="6" t="s">
        <v>29</v>
      </c>
      <c r="D7" s="36" t="s">
        <v>28</v>
      </c>
      <c r="E7" s="49">
        <v>2023</v>
      </c>
      <c r="F7" s="20">
        <v>46084</v>
      </c>
      <c r="G7" s="20">
        <v>46084</v>
      </c>
      <c r="H7" s="37"/>
      <c r="I7" s="37"/>
      <c r="J7" s="68"/>
      <c r="K7" s="14">
        <f t="shared" ref="K7:K10" si="1">$F$1-F7</f>
        <v>110</v>
      </c>
      <c r="L7" s="14">
        <f t="shared" ref="L7:L10" si="2">$F$1-G7</f>
        <v>110</v>
      </c>
      <c r="M7" s="14"/>
      <c r="N7" s="14"/>
      <c r="O7" s="16" t="s">
        <v>175</v>
      </c>
      <c r="P7" s="58" t="s">
        <v>33</v>
      </c>
      <c r="Q7" s="93"/>
      <c r="R7" s="67" t="s">
        <v>150</v>
      </c>
      <c r="S7" s="69"/>
    </row>
    <row r="8" spans="1:66" s="7" customFormat="1" ht="26.4" x14ac:dyDescent="0.25">
      <c r="A8" s="78">
        <v>4</v>
      </c>
      <c r="B8" s="58" t="s">
        <v>65</v>
      </c>
      <c r="C8" s="6" t="s">
        <v>29</v>
      </c>
      <c r="D8" s="36" t="s">
        <v>28</v>
      </c>
      <c r="E8" s="49">
        <v>2023</v>
      </c>
      <c r="F8" s="20">
        <v>46187</v>
      </c>
      <c r="G8" s="20">
        <v>46187</v>
      </c>
      <c r="H8" s="37"/>
      <c r="I8" s="37"/>
      <c r="J8" s="68"/>
      <c r="K8" s="14">
        <f t="shared" si="1"/>
        <v>7</v>
      </c>
      <c r="L8" s="14">
        <f t="shared" si="2"/>
        <v>7</v>
      </c>
      <c r="M8" s="14"/>
      <c r="N8" s="14"/>
      <c r="O8" s="16" t="s">
        <v>178</v>
      </c>
      <c r="P8" s="58"/>
      <c r="Q8" s="57"/>
      <c r="R8" s="58" t="s">
        <v>30</v>
      </c>
      <c r="S8" s="69"/>
    </row>
    <row r="9" spans="1:66" s="7" customFormat="1" ht="27.6" customHeight="1" x14ac:dyDescent="0.25">
      <c r="A9" s="78">
        <v>5</v>
      </c>
      <c r="B9" s="90" t="s">
        <v>45</v>
      </c>
      <c r="C9" s="6" t="s">
        <v>29</v>
      </c>
      <c r="D9" s="36" t="s">
        <v>28</v>
      </c>
      <c r="E9" s="49">
        <v>2023</v>
      </c>
      <c r="F9" s="20">
        <v>46192</v>
      </c>
      <c r="G9" s="20">
        <v>46192</v>
      </c>
      <c r="H9" s="37"/>
      <c r="I9" s="37"/>
      <c r="J9" s="68"/>
      <c r="K9" s="14">
        <f t="shared" si="1"/>
        <v>2</v>
      </c>
      <c r="L9" s="14">
        <f t="shared" si="2"/>
        <v>2</v>
      </c>
      <c r="M9" s="14"/>
      <c r="N9" s="14"/>
      <c r="O9" s="16" t="s">
        <v>179</v>
      </c>
      <c r="P9" s="58"/>
      <c r="Q9" s="16"/>
      <c r="R9" s="70"/>
      <c r="S9" s="69"/>
    </row>
    <row r="10" spans="1:66" s="7" customFormat="1" x14ac:dyDescent="0.25">
      <c r="A10" s="78">
        <v>6</v>
      </c>
      <c r="B10" s="90" t="s">
        <v>10</v>
      </c>
      <c r="C10" s="79" t="s">
        <v>32</v>
      </c>
      <c r="D10" s="80" t="s">
        <v>28</v>
      </c>
      <c r="E10" s="49">
        <v>2010</v>
      </c>
      <c r="F10" s="20">
        <v>46194</v>
      </c>
      <c r="G10" s="20">
        <v>46194</v>
      </c>
      <c r="H10" s="37"/>
      <c r="I10" s="37"/>
      <c r="J10" s="68"/>
      <c r="K10" s="14">
        <f t="shared" si="1"/>
        <v>0</v>
      </c>
      <c r="L10" s="14">
        <f t="shared" si="2"/>
        <v>0</v>
      </c>
      <c r="M10" s="14"/>
      <c r="N10" s="14"/>
      <c r="O10" s="16" t="s">
        <v>177</v>
      </c>
      <c r="P10" s="58"/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4" customHeight="1" x14ac:dyDescent="0.25">
      <c r="A14" s="78"/>
      <c r="B14" s="90"/>
      <c r="C14" s="6"/>
      <c r="D14" s="36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58"/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27" customHeight="1" x14ac:dyDescent="0.3">
      <c r="A18" s="17">
        <v>1</v>
      </c>
      <c r="B18" s="90" t="s">
        <v>116</v>
      </c>
      <c r="C18" s="79" t="s">
        <v>32</v>
      </c>
      <c r="D18" s="80" t="s">
        <v>28</v>
      </c>
      <c r="E18" s="49">
        <v>2010</v>
      </c>
      <c r="F18" s="20">
        <v>46163</v>
      </c>
      <c r="G18" s="20">
        <v>46163</v>
      </c>
      <c r="H18" s="37"/>
      <c r="I18" s="37"/>
      <c r="J18" s="68"/>
      <c r="K18" s="14">
        <f t="shared" ref="K18:L18" si="3">$F$1-F18</f>
        <v>31</v>
      </c>
      <c r="L18" s="14">
        <f t="shared" si="3"/>
        <v>31</v>
      </c>
      <c r="M18" s="14"/>
      <c r="N18" s="14"/>
      <c r="O18" s="16" t="s">
        <v>166</v>
      </c>
      <c r="P18" s="58" t="s">
        <v>9</v>
      </c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A2F3-5B3C-4E74-B7E7-C0B79043A681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46195</v>
      </c>
      <c r="G1" s="20">
        <v>46195</v>
      </c>
      <c r="H1" s="20">
        <v>46195</v>
      </c>
      <c r="I1" s="20">
        <v>46195</v>
      </c>
      <c r="J1" s="20">
        <v>46195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3" t="s">
        <v>7</v>
      </c>
      <c r="L3" s="173" t="s">
        <v>19</v>
      </c>
      <c r="M3" s="173" t="s">
        <v>20</v>
      </c>
      <c r="N3" s="17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6" si="0">$F$1-F5</f>
        <v>38</v>
      </c>
      <c r="L5" s="14">
        <f t="shared" si="0"/>
        <v>38</v>
      </c>
      <c r="M5" s="14"/>
      <c r="N5" s="14"/>
      <c r="O5" s="16" t="s">
        <v>172</v>
      </c>
      <c r="P5" s="58" t="s">
        <v>112</v>
      </c>
      <c r="Q5" s="58" t="s">
        <v>52</v>
      </c>
      <c r="R5" s="90" t="s">
        <v>54</v>
      </c>
      <c r="S5" s="63"/>
    </row>
    <row r="6" spans="1:66" s="7" customFormat="1" x14ac:dyDescent="0.25">
      <c r="A6" s="78">
        <v>2</v>
      </c>
      <c r="B6" s="67" t="s">
        <v>153</v>
      </c>
      <c r="C6" s="79" t="s">
        <v>32</v>
      </c>
      <c r="D6" s="80" t="s">
        <v>28</v>
      </c>
      <c r="E6" s="49">
        <v>2010</v>
      </c>
      <c r="F6" s="20">
        <v>46179</v>
      </c>
      <c r="G6" s="20">
        <v>46179</v>
      </c>
      <c r="H6" s="37"/>
      <c r="I6" s="37"/>
      <c r="J6" s="68"/>
      <c r="K6" s="14">
        <f t="shared" si="0"/>
        <v>16</v>
      </c>
      <c r="L6" s="14">
        <f t="shared" si="0"/>
        <v>16</v>
      </c>
      <c r="M6" s="14"/>
      <c r="N6" s="14"/>
      <c r="O6" s="16" t="s">
        <v>176</v>
      </c>
      <c r="P6" s="62" t="s">
        <v>155</v>
      </c>
      <c r="Q6" s="67"/>
      <c r="R6" s="67" t="s">
        <v>26</v>
      </c>
      <c r="S6" s="69"/>
    </row>
    <row r="7" spans="1:66" s="7" customFormat="1" ht="26.4" x14ac:dyDescent="0.25">
      <c r="A7" s="78">
        <v>3</v>
      </c>
      <c r="B7" s="58" t="s">
        <v>65</v>
      </c>
      <c r="C7" s="6" t="s">
        <v>29</v>
      </c>
      <c r="D7" s="36" t="s">
        <v>28</v>
      </c>
      <c r="E7" s="49">
        <v>2023</v>
      </c>
      <c r="F7" s="20">
        <v>46187</v>
      </c>
      <c r="G7" s="20">
        <v>46187</v>
      </c>
      <c r="H7" s="37"/>
      <c r="I7" s="37"/>
      <c r="J7" s="68"/>
      <c r="K7" s="14">
        <f t="shared" ref="K7:K9" si="1">$F$1-F7</f>
        <v>8</v>
      </c>
      <c r="L7" s="14">
        <f t="shared" ref="L7:L9" si="2">$F$1-G7</f>
        <v>8</v>
      </c>
      <c r="M7" s="14"/>
      <c r="N7" s="14"/>
      <c r="O7" s="16" t="s">
        <v>178</v>
      </c>
      <c r="P7" s="58" t="s">
        <v>52</v>
      </c>
      <c r="Q7" s="93"/>
      <c r="R7" s="67" t="s">
        <v>150</v>
      </c>
      <c r="S7" s="69"/>
    </row>
    <row r="8" spans="1:66" s="7" customFormat="1" ht="26.4" x14ac:dyDescent="0.25">
      <c r="A8" s="78">
        <v>4</v>
      </c>
      <c r="B8" s="90" t="s">
        <v>45</v>
      </c>
      <c r="C8" s="6" t="s">
        <v>29</v>
      </c>
      <c r="D8" s="36" t="s">
        <v>28</v>
      </c>
      <c r="E8" s="49">
        <v>2023</v>
      </c>
      <c r="F8" s="20">
        <v>46192</v>
      </c>
      <c r="G8" s="20">
        <v>46192</v>
      </c>
      <c r="H8" s="37"/>
      <c r="I8" s="37"/>
      <c r="J8" s="68"/>
      <c r="K8" s="14">
        <f t="shared" si="1"/>
        <v>3</v>
      </c>
      <c r="L8" s="14">
        <f t="shared" si="2"/>
        <v>3</v>
      </c>
      <c r="M8" s="14"/>
      <c r="N8" s="14"/>
      <c r="O8" s="16" t="s">
        <v>179</v>
      </c>
      <c r="P8" s="58"/>
      <c r="Q8" s="57"/>
      <c r="R8" s="58" t="s">
        <v>30</v>
      </c>
      <c r="S8" s="69"/>
    </row>
    <row r="9" spans="1:66" s="7" customFormat="1" ht="27.6" customHeight="1" x14ac:dyDescent="0.25">
      <c r="A9" s="78">
        <v>5</v>
      </c>
      <c r="B9" s="90" t="s">
        <v>10</v>
      </c>
      <c r="C9" s="79" t="s">
        <v>32</v>
      </c>
      <c r="D9" s="80" t="s">
        <v>28</v>
      </c>
      <c r="E9" s="49">
        <v>2010</v>
      </c>
      <c r="F9" s="20">
        <v>46194</v>
      </c>
      <c r="G9" s="20">
        <v>46194</v>
      </c>
      <c r="H9" s="37"/>
      <c r="I9" s="37"/>
      <c r="J9" s="68"/>
      <c r="K9" s="14">
        <f t="shared" si="1"/>
        <v>1</v>
      </c>
      <c r="L9" s="14">
        <f t="shared" si="2"/>
        <v>1</v>
      </c>
      <c r="M9" s="14"/>
      <c r="N9" s="14"/>
      <c r="O9" s="16" t="s">
        <v>177</v>
      </c>
      <c r="P9" s="58"/>
      <c r="Q9" s="16"/>
      <c r="R9" s="70"/>
      <c r="S9" s="69"/>
    </row>
    <row r="10" spans="1:66" s="7" customFormat="1" x14ac:dyDescent="0.25">
      <c r="A10" s="78"/>
      <c r="B10" s="90"/>
      <c r="C10" s="79"/>
      <c r="D10" s="80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58"/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4" customHeight="1" x14ac:dyDescent="0.25">
      <c r="A14" s="78"/>
      <c r="B14" s="90"/>
      <c r="C14" s="6"/>
      <c r="D14" s="36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58"/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27" customHeight="1" x14ac:dyDescent="0.3">
      <c r="A18" s="17">
        <v>1</v>
      </c>
      <c r="B18" s="90" t="s">
        <v>116</v>
      </c>
      <c r="C18" s="79" t="s">
        <v>32</v>
      </c>
      <c r="D18" s="80" t="s">
        <v>28</v>
      </c>
      <c r="E18" s="49">
        <v>2010</v>
      </c>
      <c r="F18" s="20">
        <v>46163</v>
      </c>
      <c r="G18" s="20">
        <v>46163</v>
      </c>
      <c r="H18" s="37"/>
      <c r="I18" s="37"/>
      <c r="J18" s="68"/>
      <c r="K18" s="14">
        <f t="shared" ref="K18:L18" si="3">$F$1-F18</f>
        <v>32</v>
      </c>
      <c r="L18" s="14">
        <f t="shared" si="3"/>
        <v>32</v>
      </c>
      <c r="M18" s="14"/>
      <c r="N18" s="14"/>
      <c r="O18" s="16" t="s">
        <v>166</v>
      </c>
      <c r="P18" s="58" t="s">
        <v>9</v>
      </c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833B-4678-45F2-A054-1C3325628675}">
  <dimension ref="A1:BN19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46196</v>
      </c>
      <c r="G1" s="20">
        <v>46196</v>
      </c>
      <c r="H1" s="20">
        <v>46196</v>
      </c>
      <c r="I1" s="20">
        <v>46196</v>
      </c>
      <c r="J1" s="20">
        <v>46196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4" t="s">
        <v>7</v>
      </c>
      <c r="L3" s="174" t="s">
        <v>19</v>
      </c>
      <c r="M3" s="174" t="s">
        <v>20</v>
      </c>
      <c r="N3" s="17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9" si="0">$F$1-F5</f>
        <v>39</v>
      </c>
      <c r="L5" s="14">
        <f t="shared" si="0"/>
        <v>39</v>
      </c>
      <c r="M5" s="14"/>
      <c r="N5" s="14"/>
      <c r="O5" s="16" t="s">
        <v>172</v>
      </c>
      <c r="P5" s="58" t="s">
        <v>112</v>
      </c>
      <c r="Q5" s="67" t="s">
        <v>153</v>
      </c>
      <c r="R5" s="90" t="s">
        <v>54</v>
      </c>
      <c r="S5" s="63"/>
    </row>
    <row r="6" spans="1:66" s="7" customFormat="1" ht="26.4" x14ac:dyDescent="0.25">
      <c r="A6" s="78">
        <v>2</v>
      </c>
      <c r="B6" s="58" t="s">
        <v>65</v>
      </c>
      <c r="C6" s="6" t="s">
        <v>29</v>
      </c>
      <c r="D6" s="36" t="s">
        <v>28</v>
      </c>
      <c r="E6" s="49">
        <v>2023</v>
      </c>
      <c r="F6" s="20">
        <v>46187</v>
      </c>
      <c r="G6" s="20">
        <v>46187</v>
      </c>
      <c r="H6" s="37"/>
      <c r="I6" s="37"/>
      <c r="J6" s="68"/>
      <c r="K6" s="14">
        <f t="shared" si="0"/>
        <v>9</v>
      </c>
      <c r="L6" s="14">
        <f t="shared" si="0"/>
        <v>9</v>
      </c>
      <c r="M6" s="14"/>
      <c r="N6" s="14"/>
      <c r="O6" s="16" t="s">
        <v>178</v>
      </c>
      <c r="P6" s="67" t="s">
        <v>153</v>
      </c>
      <c r="Q6" s="93"/>
      <c r="R6" s="58" t="s">
        <v>30</v>
      </c>
      <c r="S6" s="69"/>
    </row>
    <row r="7" spans="1:66" s="7" customFormat="1" ht="26.4" x14ac:dyDescent="0.25">
      <c r="A7" s="78">
        <v>3</v>
      </c>
      <c r="B7" s="90" t="s">
        <v>45</v>
      </c>
      <c r="C7" s="6" t="s">
        <v>29</v>
      </c>
      <c r="D7" s="36" t="s">
        <v>28</v>
      </c>
      <c r="E7" s="49">
        <v>2023</v>
      </c>
      <c r="F7" s="20">
        <v>46192</v>
      </c>
      <c r="G7" s="20">
        <v>46192</v>
      </c>
      <c r="H7" s="37"/>
      <c r="I7" s="37"/>
      <c r="J7" s="68"/>
      <c r="K7" s="14">
        <f t="shared" si="0"/>
        <v>4</v>
      </c>
      <c r="L7" s="14">
        <f t="shared" si="0"/>
        <v>4</v>
      </c>
      <c r="M7" s="14"/>
      <c r="N7" s="14"/>
      <c r="O7" s="16" t="s">
        <v>179</v>
      </c>
      <c r="P7" s="58"/>
      <c r="Q7" s="57"/>
      <c r="R7" s="67" t="s">
        <v>26</v>
      </c>
      <c r="S7" s="69"/>
    </row>
    <row r="8" spans="1:66" s="7" customFormat="1" ht="27.6" customHeight="1" x14ac:dyDescent="0.25">
      <c r="A8" s="78">
        <v>4</v>
      </c>
      <c r="B8" s="90" t="s">
        <v>10</v>
      </c>
      <c r="C8" s="79" t="s">
        <v>32</v>
      </c>
      <c r="D8" s="80" t="s">
        <v>28</v>
      </c>
      <c r="E8" s="49">
        <v>2010</v>
      </c>
      <c r="F8" s="20">
        <v>46194</v>
      </c>
      <c r="G8" s="20">
        <v>46194</v>
      </c>
      <c r="H8" s="37"/>
      <c r="I8" s="37"/>
      <c r="J8" s="68"/>
      <c r="K8" s="14">
        <f t="shared" si="0"/>
        <v>2</v>
      </c>
      <c r="L8" s="14">
        <f t="shared" si="0"/>
        <v>2</v>
      </c>
      <c r="M8" s="14"/>
      <c r="N8" s="14"/>
      <c r="O8" s="16" t="s">
        <v>177</v>
      </c>
      <c r="P8" s="58"/>
      <c r="Q8" s="16"/>
      <c r="R8" s="70"/>
      <c r="S8" s="69"/>
    </row>
    <row r="9" spans="1:66" s="7" customFormat="1" x14ac:dyDescent="0.25">
      <c r="A9" s="78">
        <v>5</v>
      </c>
      <c r="B9" s="90" t="s">
        <v>52</v>
      </c>
      <c r="C9" s="6" t="s">
        <v>29</v>
      </c>
      <c r="D9" s="36" t="s">
        <v>28</v>
      </c>
      <c r="E9" s="49">
        <v>2023</v>
      </c>
      <c r="F9" s="20">
        <v>46196</v>
      </c>
      <c r="G9" s="20">
        <v>46196</v>
      </c>
      <c r="H9" s="37"/>
      <c r="I9" s="37"/>
      <c r="J9" s="68"/>
      <c r="K9" s="14">
        <f t="shared" si="0"/>
        <v>0</v>
      </c>
      <c r="L9" s="14">
        <f t="shared" si="0"/>
        <v>0</v>
      </c>
      <c r="M9" s="14"/>
      <c r="N9" s="14"/>
      <c r="O9" s="16" t="s">
        <v>103</v>
      </c>
      <c r="P9" s="58"/>
      <c r="Q9" s="16"/>
      <c r="R9" s="70"/>
      <c r="S9" s="69"/>
    </row>
    <row r="10" spans="1:66" s="7" customFormat="1" x14ac:dyDescent="0.25">
      <c r="A10" s="78">
        <v>6</v>
      </c>
      <c r="B10" s="90" t="s">
        <v>50</v>
      </c>
      <c r="C10" s="79" t="s">
        <v>32</v>
      </c>
      <c r="D10" s="80" t="s">
        <v>28</v>
      </c>
      <c r="E10" s="49">
        <v>2021</v>
      </c>
      <c r="F10" s="20">
        <v>46196</v>
      </c>
      <c r="G10" s="20">
        <v>46196</v>
      </c>
      <c r="H10" s="37"/>
      <c r="I10" s="37"/>
      <c r="J10" s="68"/>
      <c r="K10" s="14">
        <f t="shared" ref="K10" si="1">$F$1-F10</f>
        <v>0</v>
      </c>
      <c r="L10" s="14">
        <f t="shared" ref="L10" si="2">$F$1-G10</f>
        <v>0</v>
      </c>
      <c r="M10" s="14"/>
      <c r="N10" s="14"/>
      <c r="O10" s="16" t="s">
        <v>180</v>
      </c>
      <c r="P10" s="58" t="s">
        <v>119</v>
      </c>
      <c r="Q10" s="16"/>
      <c r="R10" s="70"/>
      <c r="S10" s="69"/>
    </row>
    <row r="11" spans="1:66" s="7" customFormat="1" ht="13.95" customHeight="1" x14ac:dyDescent="0.25">
      <c r="A11" s="52"/>
      <c r="B11" s="29"/>
      <c r="C11" s="12"/>
      <c r="D11" s="19"/>
      <c r="E11" s="18"/>
      <c r="F11" s="22"/>
      <c r="G11" s="22"/>
      <c r="H11" s="22"/>
      <c r="I11" s="22"/>
      <c r="J11" s="22"/>
      <c r="K11" s="18"/>
      <c r="L11" s="22"/>
      <c r="M11" s="22"/>
      <c r="N11" s="22"/>
      <c r="O11" s="30" t="s">
        <v>22</v>
      </c>
      <c r="P11" s="12"/>
      <c r="Q11" s="12"/>
      <c r="R11" s="19"/>
      <c r="S11" s="30"/>
    </row>
    <row r="12" spans="1:66" s="7" customFormat="1" ht="13.95" customHeight="1" x14ac:dyDescent="0.25">
      <c r="A12" s="56"/>
      <c r="B12" s="67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62"/>
      <c r="Q12" s="57"/>
      <c r="R12" s="50"/>
      <c r="S12" s="46"/>
    </row>
    <row r="13" spans="1:66" s="35" customFormat="1" ht="13.95" customHeight="1" x14ac:dyDescent="0.25">
      <c r="A13" s="53"/>
      <c r="B13" s="31"/>
      <c r="C13" s="12"/>
      <c r="D13" s="19" t="s">
        <v>0</v>
      </c>
      <c r="E13" s="18"/>
      <c r="F13" s="32"/>
      <c r="G13" s="32"/>
      <c r="H13" s="32"/>
      <c r="I13" s="32"/>
      <c r="J13" s="32"/>
      <c r="K13" s="18"/>
      <c r="L13" s="32"/>
      <c r="M13" s="32"/>
      <c r="N13" s="32"/>
      <c r="O13" s="33" t="s">
        <v>23</v>
      </c>
      <c r="P13" s="19"/>
      <c r="Q13" s="19"/>
      <c r="R13" s="34"/>
      <c r="S13" s="33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</row>
    <row r="14" spans="1:66" s="7" customFormat="1" ht="24" customHeight="1" x14ac:dyDescent="0.25">
      <c r="A14" s="78"/>
      <c r="B14" s="90"/>
      <c r="C14" s="6"/>
      <c r="D14" s="36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58"/>
      <c r="Q14" s="16"/>
      <c r="R14" s="70"/>
      <c r="S14" s="69"/>
    </row>
    <row r="15" spans="1:66" s="35" customFormat="1" ht="13.95" customHeight="1" x14ac:dyDescent="0.3">
      <c r="A15" s="54"/>
      <c r="B15" s="38"/>
      <c r="C15" s="39"/>
      <c r="D15" s="38"/>
      <c r="E15" s="40"/>
      <c r="F15" s="41"/>
      <c r="G15" s="41"/>
      <c r="H15" s="41"/>
      <c r="I15" s="41"/>
      <c r="J15" s="41"/>
      <c r="K15" s="42"/>
      <c r="L15" s="41"/>
      <c r="M15" s="41"/>
      <c r="N15" s="41"/>
      <c r="O15" s="43" t="s">
        <v>37</v>
      </c>
      <c r="P15" s="44"/>
      <c r="Q15" s="44"/>
      <c r="R15" s="45"/>
      <c r="S15" s="4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13.95" customHeight="1" x14ac:dyDescent="0.3">
      <c r="A16" s="17"/>
      <c r="B16" s="77"/>
      <c r="C16" s="71"/>
      <c r="D16" s="77"/>
      <c r="E16" s="72"/>
      <c r="F16" s="73"/>
      <c r="G16" s="73"/>
      <c r="H16" s="73"/>
      <c r="I16" s="73"/>
      <c r="J16" s="73"/>
      <c r="K16" s="74"/>
      <c r="L16" s="73"/>
      <c r="M16" s="73"/>
      <c r="N16" s="73"/>
      <c r="O16" s="71"/>
      <c r="P16" s="76"/>
      <c r="Q16" s="76"/>
      <c r="R16" s="70"/>
      <c r="S16" s="75"/>
    </row>
    <row r="17" spans="1:66" s="35" customFormat="1" ht="13.95" customHeight="1" x14ac:dyDescent="0.3">
      <c r="A17" s="54"/>
      <c r="B17" s="38"/>
      <c r="C17" s="39"/>
      <c r="D17" s="38"/>
      <c r="E17" s="40"/>
      <c r="F17" s="41"/>
      <c r="G17" s="41"/>
      <c r="H17" s="41"/>
      <c r="I17" s="41"/>
      <c r="J17" s="41"/>
      <c r="K17" s="42"/>
      <c r="L17" s="41"/>
      <c r="M17" s="41"/>
      <c r="N17" s="41"/>
      <c r="O17" s="43" t="s">
        <v>38</v>
      </c>
      <c r="P17" s="44"/>
      <c r="Q17" s="44"/>
      <c r="R17" s="45"/>
      <c r="S17" s="4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</row>
    <row r="18" spans="1:66" s="7" customFormat="1" ht="27" customHeight="1" x14ac:dyDescent="0.3">
      <c r="A18" s="17">
        <v>1</v>
      </c>
      <c r="B18" s="90" t="s">
        <v>116</v>
      </c>
      <c r="C18" s="79" t="s">
        <v>32</v>
      </c>
      <c r="D18" s="80" t="s">
        <v>28</v>
      </c>
      <c r="E18" s="49">
        <v>2010</v>
      </c>
      <c r="F18" s="20">
        <v>46163</v>
      </c>
      <c r="G18" s="20">
        <v>46163</v>
      </c>
      <c r="H18" s="37"/>
      <c r="I18" s="37"/>
      <c r="J18" s="68"/>
      <c r="K18" s="14">
        <f t="shared" ref="K18:L18" si="3">$F$1-F18</f>
        <v>33</v>
      </c>
      <c r="L18" s="14">
        <f t="shared" si="3"/>
        <v>33</v>
      </c>
      <c r="M18" s="14"/>
      <c r="N18" s="14"/>
      <c r="O18" s="16" t="s">
        <v>166</v>
      </c>
      <c r="P18" s="58" t="s">
        <v>9</v>
      </c>
      <c r="Q18" s="76"/>
      <c r="R18" s="70"/>
      <c r="S18" s="75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/>
      <c r="P19" s="43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3FD3-5B14-488F-BB47-E5FD2EBD231F}">
  <dimension ref="A1:BN18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46197</v>
      </c>
      <c r="G1" s="20">
        <v>46197</v>
      </c>
      <c r="H1" s="20">
        <v>46197</v>
      </c>
      <c r="I1" s="20">
        <v>46197</v>
      </c>
      <c r="J1" s="20">
        <v>46197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5" t="s">
        <v>7</v>
      </c>
      <c r="L3" s="175" t="s">
        <v>19</v>
      </c>
      <c r="M3" s="175" t="s">
        <v>20</v>
      </c>
      <c r="N3" s="17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9" si="0">$F$1-F5</f>
        <v>40</v>
      </c>
      <c r="L5" s="14">
        <f t="shared" si="0"/>
        <v>40</v>
      </c>
      <c r="M5" s="14"/>
      <c r="N5" s="14"/>
      <c r="O5" s="16" t="s">
        <v>172</v>
      </c>
      <c r="P5" s="58" t="s">
        <v>112</v>
      </c>
      <c r="Q5" s="67"/>
      <c r="R5" s="90" t="s">
        <v>54</v>
      </c>
      <c r="S5" s="63"/>
    </row>
    <row r="6" spans="1:66" s="7" customFormat="1" ht="26.4" x14ac:dyDescent="0.25">
      <c r="A6" s="78">
        <v>2</v>
      </c>
      <c r="B6" s="58" t="s">
        <v>65</v>
      </c>
      <c r="C6" s="6" t="s">
        <v>29</v>
      </c>
      <c r="D6" s="36" t="s">
        <v>28</v>
      </c>
      <c r="E6" s="49">
        <v>2023</v>
      </c>
      <c r="F6" s="20">
        <v>46187</v>
      </c>
      <c r="G6" s="20">
        <v>46187</v>
      </c>
      <c r="H6" s="37"/>
      <c r="I6" s="37"/>
      <c r="J6" s="68"/>
      <c r="K6" s="14">
        <f t="shared" si="0"/>
        <v>10</v>
      </c>
      <c r="L6" s="14">
        <f t="shared" si="0"/>
        <v>10</v>
      </c>
      <c r="M6" s="14"/>
      <c r="N6" s="14"/>
      <c r="O6" s="16" t="s">
        <v>178</v>
      </c>
      <c r="P6" s="67" t="s">
        <v>153</v>
      </c>
      <c r="Q6" s="93"/>
      <c r="R6" s="58" t="s">
        <v>30</v>
      </c>
      <c r="S6" s="69"/>
    </row>
    <row r="7" spans="1:66" s="7" customFormat="1" ht="26.4" x14ac:dyDescent="0.25">
      <c r="A7" s="78">
        <v>3</v>
      </c>
      <c r="B7" s="90" t="s">
        <v>45</v>
      </c>
      <c r="C7" s="6" t="s">
        <v>29</v>
      </c>
      <c r="D7" s="36" t="s">
        <v>28</v>
      </c>
      <c r="E7" s="49">
        <v>2023</v>
      </c>
      <c r="F7" s="20">
        <v>46192</v>
      </c>
      <c r="G7" s="20">
        <v>46192</v>
      </c>
      <c r="H7" s="37"/>
      <c r="I7" s="37"/>
      <c r="J7" s="68"/>
      <c r="K7" s="14">
        <f t="shared" si="0"/>
        <v>5</v>
      </c>
      <c r="L7" s="14">
        <f t="shared" si="0"/>
        <v>5</v>
      </c>
      <c r="M7" s="14"/>
      <c r="N7" s="14"/>
      <c r="O7" s="16" t="s">
        <v>179</v>
      </c>
      <c r="P7" s="58"/>
      <c r="Q7" s="57"/>
      <c r="R7" s="67" t="s">
        <v>26</v>
      </c>
      <c r="S7" s="69"/>
    </row>
    <row r="8" spans="1:66" s="7" customFormat="1" x14ac:dyDescent="0.25">
      <c r="A8" s="78">
        <v>4</v>
      </c>
      <c r="B8" s="90" t="s">
        <v>52</v>
      </c>
      <c r="C8" s="6" t="s">
        <v>29</v>
      </c>
      <c r="D8" s="36" t="s">
        <v>28</v>
      </c>
      <c r="E8" s="49">
        <v>2023</v>
      </c>
      <c r="F8" s="20">
        <v>46196</v>
      </c>
      <c r="G8" s="20">
        <v>46196</v>
      </c>
      <c r="H8" s="37"/>
      <c r="I8" s="37"/>
      <c r="J8" s="68"/>
      <c r="K8" s="14">
        <f t="shared" si="0"/>
        <v>1</v>
      </c>
      <c r="L8" s="14">
        <f t="shared" si="0"/>
        <v>1</v>
      </c>
      <c r="M8" s="14"/>
      <c r="N8" s="14"/>
      <c r="O8" s="16" t="s">
        <v>103</v>
      </c>
      <c r="P8" s="58"/>
      <c r="Q8" s="16"/>
      <c r="R8" s="90" t="s">
        <v>10</v>
      </c>
      <c r="S8" s="69"/>
    </row>
    <row r="9" spans="1:66" s="7" customFormat="1" x14ac:dyDescent="0.25">
      <c r="A9" s="78">
        <v>5</v>
      </c>
      <c r="B9" s="90" t="s">
        <v>50</v>
      </c>
      <c r="C9" s="79" t="s">
        <v>32</v>
      </c>
      <c r="D9" s="80" t="s">
        <v>28</v>
      </c>
      <c r="E9" s="49">
        <v>2021</v>
      </c>
      <c r="F9" s="20">
        <v>46196</v>
      </c>
      <c r="G9" s="20">
        <v>46196</v>
      </c>
      <c r="H9" s="37"/>
      <c r="I9" s="37"/>
      <c r="J9" s="68"/>
      <c r="K9" s="14">
        <f t="shared" si="0"/>
        <v>1</v>
      </c>
      <c r="L9" s="14">
        <f t="shared" si="0"/>
        <v>1</v>
      </c>
      <c r="M9" s="14"/>
      <c r="N9" s="14"/>
      <c r="O9" s="16" t="s">
        <v>180</v>
      </c>
      <c r="P9" s="58" t="s">
        <v>119</v>
      </c>
      <c r="Q9" s="16"/>
      <c r="R9" s="7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4" customHeight="1" x14ac:dyDescent="0.25">
      <c r="A13" s="78"/>
      <c r="B13" s="90"/>
      <c r="C13" s="6"/>
      <c r="D13" s="36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70"/>
      <c r="S13" s="69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37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13.95" customHeight="1" x14ac:dyDescent="0.3">
      <c r="A15" s="17"/>
      <c r="B15" s="77"/>
      <c r="C15" s="71"/>
      <c r="D15" s="77"/>
      <c r="E15" s="72"/>
      <c r="F15" s="73"/>
      <c r="G15" s="73"/>
      <c r="H15" s="73"/>
      <c r="I15" s="73"/>
      <c r="J15" s="73"/>
      <c r="K15" s="74"/>
      <c r="L15" s="73"/>
      <c r="M15" s="73"/>
      <c r="N15" s="73"/>
      <c r="O15" s="71"/>
      <c r="P15" s="76"/>
      <c r="Q15" s="76"/>
      <c r="R15" s="70"/>
      <c r="S15" s="75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38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7" customHeight="1" x14ac:dyDescent="0.3">
      <c r="A17" s="17">
        <v>1</v>
      </c>
      <c r="B17" s="90" t="s">
        <v>116</v>
      </c>
      <c r="C17" s="79" t="s">
        <v>32</v>
      </c>
      <c r="D17" s="80" t="s">
        <v>28</v>
      </c>
      <c r="E17" s="49">
        <v>2010</v>
      </c>
      <c r="F17" s="20">
        <v>46163</v>
      </c>
      <c r="G17" s="20">
        <v>46163</v>
      </c>
      <c r="H17" s="37"/>
      <c r="I17" s="37"/>
      <c r="J17" s="68"/>
      <c r="K17" s="14">
        <f t="shared" ref="K17:L17" si="1">$F$1-F17</f>
        <v>34</v>
      </c>
      <c r="L17" s="14">
        <f t="shared" si="1"/>
        <v>34</v>
      </c>
      <c r="M17" s="14"/>
      <c r="N17" s="14"/>
      <c r="O17" s="16" t="s">
        <v>166</v>
      </c>
      <c r="P17" s="58" t="s">
        <v>9</v>
      </c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82C1-9EA5-438C-BD38-B64BCEEF22EE}">
  <dimension ref="A1:BN18"/>
  <sheetViews>
    <sheetView workbookViewId="0">
      <selection activeCell="O7" sqref="O7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46198</v>
      </c>
      <c r="G1" s="20">
        <v>46198</v>
      </c>
      <c r="H1" s="20">
        <v>46198</v>
      </c>
      <c r="I1" s="20">
        <v>46198</v>
      </c>
      <c r="J1" s="20">
        <v>46198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6" t="s">
        <v>7</v>
      </c>
      <c r="L3" s="176" t="s">
        <v>19</v>
      </c>
      <c r="M3" s="176" t="s">
        <v>20</v>
      </c>
      <c r="N3" s="17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85</v>
      </c>
      <c r="C5" s="6" t="s">
        <v>29</v>
      </c>
      <c r="D5" s="36" t="s">
        <v>28</v>
      </c>
      <c r="E5" s="49">
        <v>2023</v>
      </c>
      <c r="F5" s="20">
        <v>46157</v>
      </c>
      <c r="G5" s="20">
        <v>46157</v>
      </c>
      <c r="H5" s="37"/>
      <c r="I5" s="37"/>
      <c r="J5" s="68"/>
      <c r="K5" s="14">
        <f t="shared" ref="K5:L9" si="0">$F$1-F5</f>
        <v>41</v>
      </c>
      <c r="L5" s="14">
        <f t="shared" si="0"/>
        <v>41</v>
      </c>
      <c r="M5" s="14"/>
      <c r="N5" s="14"/>
      <c r="O5" s="16" t="s">
        <v>172</v>
      </c>
      <c r="P5" s="58" t="s">
        <v>112</v>
      </c>
      <c r="Q5" s="67"/>
      <c r="R5" s="90" t="s">
        <v>54</v>
      </c>
      <c r="S5" s="63"/>
    </row>
    <row r="6" spans="1:66" s="7" customFormat="1" ht="47.4" customHeight="1" x14ac:dyDescent="0.25">
      <c r="A6" s="78">
        <v>2</v>
      </c>
      <c r="B6" s="58" t="s">
        <v>65</v>
      </c>
      <c r="C6" s="6" t="s">
        <v>29</v>
      </c>
      <c r="D6" s="36" t="s">
        <v>28</v>
      </c>
      <c r="E6" s="49">
        <v>2023</v>
      </c>
      <c r="F6" s="20">
        <v>46187</v>
      </c>
      <c r="G6" s="20">
        <v>46187</v>
      </c>
      <c r="H6" s="37"/>
      <c r="I6" s="37"/>
      <c r="J6" s="68"/>
      <c r="K6" s="14">
        <f t="shared" si="0"/>
        <v>11</v>
      </c>
      <c r="L6" s="14">
        <f t="shared" si="0"/>
        <v>11</v>
      </c>
      <c r="M6" s="14"/>
      <c r="N6" s="14"/>
      <c r="O6" s="16" t="s">
        <v>181</v>
      </c>
      <c r="P6" s="67" t="s">
        <v>153</v>
      </c>
      <c r="Q6" s="93"/>
      <c r="R6" s="58" t="s">
        <v>30</v>
      </c>
      <c r="S6" s="69"/>
    </row>
    <row r="7" spans="1:66" s="7" customFormat="1" ht="26.4" x14ac:dyDescent="0.25">
      <c r="A7" s="78">
        <v>3</v>
      </c>
      <c r="B7" s="90" t="s">
        <v>45</v>
      </c>
      <c r="C7" s="6" t="s">
        <v>29</v>
      </c>
      <c r="D7" s="36" t="s">
        <v>28</v>
      </c>
      <c r="E7" s="49">
        <v>2023</v>
      </c>
      <c r="F7" s="20">
        <v>46192</v>
      </c>
      <c r="G7" s="20">
        <v>46192</v>
      </c>
      <c r="H7" s="37"/>
      <c r="I7" s="37"/>
      <c r="J7" s="68"/>
      <c r="K7" s="14">
        <f t="shared" si="0"/>
        <v>6</v>
      </c>
      <c r="L7" s="14">
        <f t="shared" si="0"/>
        <v>6</v>
      </c>
      <c r="M7" s="14"/>
      <c r="N7" s="14"/>
      <c r="O7" s="16" t="s">
        <v>182</v>
      </c>
      <c r="P7" s="58"/>
      <c r="Q7" s="57"/>
      <c r="R7" s="67" t="s">
        <v>26</v>
      </c>
      <c r="S7" s="69"/>
    </row>
    <row r="8" spans="1:66" s="7" customFormat="1" x14ac:dyDescent="0.25">
      <c r="A8" s="78">
        <v>4</v>
      </c>
      <c r="B8" s="90" t="s">
        <v>52</v>
      </c>
      <c r="C8" s="6" t="s">
        <v>29</v>
      </c>
      <c r="D8" s="36" t="s">
        <v>28</v>
      </c>
      <c r="E8" s="49">
        <v>2023</v>
      </c>
      <c r="F8" s="20">
        <v>46196</v>
      </c>
      <c r="G8" s="20">
        <v>46196</v>
      </c>
      <c r="H8" s="37"/>
      <c r="I8" s="37"/>
      <c r="J8" s="68"/>
      <c r="K8" s="14">
        <f t="shared" si="0"/>
        <v>2</v>
      </c>
      <c r="L8" s="14">
        <f t="shared" si="0"/>
        <v>2</v>
      </c>
      <c r="M8" s="14"/>
      <c r="N8" s="14"/>
      <c r="O8" s="16" t="s">
        <v>103</v>
      </c>
      <c r="P8" s="58"/>
      <c r="Q8" s="16"/>
      <c r="R8" s="90" t="s">
        <v>10</v>
      </c>
      <c r="S8" s="69"/>
    </row>
    <row r="9" spans="1:66" s="7" customFormat="1" x14ac:dyDescent="0.25">
      <c r="A9" s="78">
        <v>5</v>
      </c>
      <c r="B9" s="90" t="s">
        <v>50</v>
      </c>
      <c r="C9" s="79" t="s">
        <v>32</v>
      </c>
      <c r="D9" s="80" t="s">
        <v>28</v>
      </c>
      <c r="E9" s="49">
        <v>2021</v>
      </c>
      <c r="F9" s="20">
        <v>46196</v>
      </c>
      <c r="G9" s="20">
        <v>46196</v>
      </c>
      <c r="H9" s="37"/>
      <c r="I9" s="37"/>
      <c r="J9" s="68"/>
      <c r="K9" s="14">
        <f t="shared" si="0"/>
        <v>2</v>
      </c>
      <c r="L9" s="14">
        <f t="shared" si="0"/>
        <v>2</v>
      </c>
      <c r="M9" s="14"/>
      <c r="N9" s="14"/>
      <c r="O9" s="16" t="s">
        <v>180</v>
      </c>
      <c r="P9" s="58" t="s">
        <v>119</v>
      </c>
      <c r="Q9" s="16"/>
      <c r="R9" s="7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4" customHeight="1" x14ac:dyDescent="0.25">
      <c r="A13" s="78"/>
      <c r="B13" s="90"/>
      <c r="C13" s="6"/>
      <c r="D13" s="36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70"/>
      <c r="S13" s="69"/>
    </row>
    <row r="14" spans="1:66" s="35" customFormat="1" ht="13.95" customHeight="1" x14ac:dyDescent="0.3">
      <c r="A14" s="54"/>
      <c r="B14" s="38"/>
      <c r="C14" s="39"/>
      <c r="D14" s="38"/>
      <c r="E14" s="40"/>
      <c r="F14" s="41"/>
      <c r="G14" s="41"/>
      <c r="H14" s="41"/>
      <c r="I14" s="41"/>
      <c r="J14" s="41"/>
      <c r="K14" s="42"/>
      <c r="L14" s="41"/>
      <c r="M14" s="41"/>
      <c r="N14" s="41"/>
      <c r="O14" s="43" t="s">
        <v>37</v>
      </c>
      <c r="P14" s="44"/>
      <c r="Q14" s="44"/>
      <c r="R14" s="45"/>
      <c r="S14" s="43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</row>
    <row r="15" spans="1:66" s="7" customFormat="1" ht="13.95" customHeight="1" x14ac:dyDescent="0.3">
      <c r="A15" s="17"/>
      <c r="B15" s="77"/>
      <c r="C15" s="71"/>
      <c r="D15" s="77"/>
      <c r="E15" s="72"/>
      <c r="F15" s="73"/>
      <c r="G15" s="73"/>
      <c r="H15" s="73"/>
      <c r="I15" s="73"/>
      <c r="J15" s="73"/>
      <c r="K15" s="74"/>
      <c r="L15" s="73"/>
      <c r="M15" s="73"/>
      <c r="N15" s="73"/>
      <c r="O15" s="71"/>
      <c r="P15" s="76"/>
      <c r="Q15" s="76"/>
      <c r="R15" s="70"/>
      <c r="S15" s="75"/>
    </row>
    <row r="16" spans="1:66" s="35" customFormat="1" ht="13.95" customHeight="1" x14ac:dyDescent="0.3">
      <c r="A16" s="54"/>
      <c r="B16" s="38"/>
      <c r="C16" s="39"/>
      <c r="D16" s="38"/>
      <c r="E16" s="40"/>
      <c r="F16" s="41"/>
      <c r="G16" s="41"/>
      <c r="H16" s="41"/>
      <c r="I16" s="41"/>
      <c r="J16" s="41"/>
      <c r="K16" s="42"/>
      <c r="L16" s="41"/>
      <c r="M16" s="41"/>
      <c r="N16" s="41"/>
      <c r="O16" s="43" t="s">
        <v>38</v>
      </c>
      <c r="P16" s="44"/>
      <c r="Q16" s="44"/>
      <c r="R16" s="45"/>
      <c r="S16" s="4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7" customHeight="1" x14ac:dyDescent="0.3">
      <c r="A17" s="17">
        <v>1</v>
      </c>
      <c r="B17" s="90" t="s">
        <v>116</v>
      </c>
      <c r="C17" s="79" t="s">
        <v>32</v>
      </c>
      <c r="D17" s="80" t="s">
        <v>28</v>
      </c>
      <c r="E17" s="49">
        <v>2010</v>
      </c>
      <c r="F17" s="20">
        <v>46163</v>
      </c>
      <c r="G17" s="20">
        <v>46163</v>
      </c>
      <c r="H17" s="37"/>
      <c r="I17" s="37"/>
      <c r="J17" s="68"/>
      <c r="K17" s="14">
        <f t="shared" ref="K17:L17" si="1">$F$1-F17</f>
        <v>35</v>
      </c>
      <c r="L17" s="14">
        <f t="shared" si="1"/>
        <v>35</v>
      </c>
      <c r="M17" s="14"/>
      <c r="N17" s="14"/>
      <c r="O17" s="16" t="s">
        <v>166</v>
      </c>
      <c r="P17" s="58" t="s">
        <v>9</v>
      </c>
      <c r="Q17" s="76"/>
      <c r="R17" s="70"/>
      <c r="S17" s="75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/>
      <c r="P18" s="43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B8B7-4D7D-4CFA-A02E-4C7AC0559FE8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46199</v>
      </c>
      <c r="G1" s="20">
        <v>46199</v>
      </c>
      <c r="H1" s="20">
        <v>46199</v>
      </c>
      <c r="I1" s="20">
        <v>46199</v>
      </c>
      <c r="J1" s="20">
        <v>46199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7" t="s">
        <v>7</v>
      </c>
      <c r="L3" s="177" t="s">
        <v>19</v>
      </c>
      <c r="M3" s="177" t="s">
        <v>20</v>
      </c>
      <c r="N3" s="17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51</v>
      </c>
      <c r="C5" s="79" t="s">
        <v>32</v>
      </c>
      <c r="D5" s="80" t="s">
        <v>28</v>
      </c>
      <c r="E5" s="49">
        <v>2012</v>
      </c>
      <c r="F5" s="20">
        <v>46199</v>
      </c>
      <c r="G5" s="20">
        <v>46199</v>
      </c>
      <c r="H5" s="37"/>
      <c r="I5" s="37"/>
      <c r="J5" s="68"/>
      <c r="K5" s="14">
        <f t="shared" ref="K5:L5" si="0">$F$1-F5</f>
        <v>0</v>
      </c>
      <c r="L5" s="14">
        <f t="shared" si="0"/>
        <v>0</v>
      </c>
      <c r="M5" s="14"/>
      <c r="N5" s="14"/>
      <c r="O5" s="16" t="s">
        <v>183</v>
      </c>
      <c r="P5" s="90" t="s">
        <v>45</v>
      </c>
      <c r="Q5" s="90"/>
      <c r="R5" s="90" t="s">
        <v>54</v>
      </c>
      <c r="S5" s="63"/>
    </row>
    <row r="6" spans="1:66" s="7" customFormat="1" ht="47.4" customHeight="1" x14ac:dyDescent="0.25">
      <c r="A6" s="78"/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67"/>
      <c r="Q6" s="93"/>
      <c r="R6" s="58" t="s">
        <v>30</v>
      </c>
      <c r="S6" s="69"/>
    </row>
    <row r="7" spans="1:66" s="7" customFormat="1" x14ac:dyDescent="0.25">
      <c r="A7" s="78"/>
      <c r="B7" s="90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7"/>
      <c r="R7" s="67" t="s">
        <v>26</v>
      </c>
      <c r="S7" s="69"/>
    </row>
    <row r="8" spans="1:66" s="7" customFormat="1" x14ac:dyDescent="0.25">
      <c r="A8" s="78"/>
      <c r="B8" s="90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16"/>
      <c r="R8" s="90" t="s">
        <v>10</v>
      </c>
      <c r="S8" s="69"/>
    </row>
    <row r="9" spans="1:66" s="7" customFormat="1" x14ac:dyDescent="0.25">
      <c r="A9" s="78"/>
      <c r="B9" s="90"/>
      <c r="C9" s="79"/>
      <c r="D9" s="80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16"/>
      <c r="R9" s="7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4" customHeight="1" x14ac:dyDescent="0.25">
      <c r="A13" s="78">
        <v>1</v>
      </c>
      <c r="B13" s="90" t="s">
        <v>85</v>
      </c>
      <c r="C13" s="6" t="s">
        <v>29</v>
      </c>
      <c r="D13" s="36" t="s">
        <v>28</v>
      </c>
      <c r="E13" s="49">
        <v>2023</v>
      </c>
      <c r="F13" s="20">
        <v>46157</v>
      </c>
      <c r="G13" s="20">
        <v>46157</v>
      </c>
      <c r="H13" s="37"/>
      <c r="I13" s="37"/>
      <c r="J13" s="68"/>
      <c r="K13" s="14">
        <f t="shared" ref="K13:K16" si="1">$F$1-F13</f>
        <v>42</v>
      </c>
      <c r="L13" s="14">
        <f t="shared" ref="L13:L16" si="2">$F$1-G13</f>
        <v>42</v>
      </c>
      <c r="M13" s="14"/>
      <c r="N13" s="14"/>
      <c r="O13" s="16" t="s">
        <v>172</v>
      </c>
      <c r="P13" s="58" t="s">
        <v>112</v>
      </c>
      <c r="Q13" s="16"/>
      <c r="R13" s="70"/>
      <c r="S13" s="69"/>
    </row>
    <row r="14" spans="1:66" s="7" customFormat="1" ht="55.2" customHeight="1" x14ac:dyDescent="0.25">
      <c r="A14" s="78">
        <v>2</v>
      </c>
      <c r="B14" s="58" t="s">
        <v>65</v>
      </c>
      <c r="C14" s="6" t="s">
        <v>29</v>
      </c>
      <c r="D14" s="36" t="s">
        <v>28</v>
      </c>
      <c r="E14" s="49">
        <v>2023</v>
      </c>
      <c r="F14" s="20">
        <v>46187</v>
      </c>
      <c r="G14" s="20">
        <v>46187</v>
      </c>
      <c r="H14" s="37"/>
      <c r="I14" s="37"/>
      <c r="J14" s="68"/>
      <c r="K14" s="14">
        <f t="shared" si="1"/>
        <v>12</v>
      </c>
      <c r="L14" s="14">
        <f t="shared" si="2"/>
        <v>12</v>
      </c>
      <c r="M14" s="14"/>
      <c r="N14" s="14"/>
      <c r="O14" s="16" t="s">
        <v>184</v>
      </c>
      <c r="P14" s="67" t="s">
        <v>153</v>
      </c>
      <c r="Q14" s="16"/>
      <c r="R14" s="70"/>
      <c r="S14" s="69"/>
    </row>
    <row r="15" spans="1:66" s="7" customFormat="1" ht="24" customHeight="1" x14ac:dyDescent="0.25">
      <c r="A15" s="78">
        <v>3</v>
      </c>
      <c r="B15" s="90" t="s">
        <v>52</v>
      </c>
      <c r="C15" s="6" t="s">
        <v>29</v>
      </c>
      <c r="D15" s="36" t="s">
        <v>28</v>
      </c>
      <c r="E15" s="49">
        <v>2023</v>
      </c>
      <c r="F15" s="20">
        <v>46196</v>
      </c>
      <c r="G15" s="20">
        <v>46196</v>
      </c>
      <c r="H15" s="37"/>
      <c r="I15" s="37"/>
      <c r="J15" s="68"/>
      <c r="K15" s="14">
        <f t="shared" si="1"/>
        <v>3</v>
      </c>
      <c r="L15" s="14">
        <f t="shared" si="2"/>
        <v>3</v>
      </c>
      <c r="M15" s="14"/>
      <c r="N15" s="14"/>
      <c r="O15" s="16" t="s">
        <v>103</v>
      </c>
      <c r="P15" s="58"/>
      <c r="Q15" s="16"/>
      <c r="R15" s="70"/>
      <c r="S15" s="69"/>
    </row>
    <row r="16" spans="1:66" s="7" customFormat="1" ht="24" customHeight="1" x14ac:dyDescent="0.25">
      <c r="A16" s="78">
        <v>4</v>
      </c>
      <c r="B16" s="90" t="s">
        <v>50</v>
      </c>
      <c r="C16" s="79" t="s">
        <v>32</v>
      </c>
      <c r="D16" s="80" t="s">
        <v>28</v>
      </c>
      <c r="E16" s="49">
        <v>2021</v>
      </c>
      <c r="F16" s="20">
        <v>46196</v>
      </c>
      <c r="G16" s="20">
        <v>46196</v>
      </c>
      <c r="H16" s="37"/>
      <c r="I16" s="37"/>
      <c r="J16" s="68"/>
      <c r="K16" s="14">
        <f t="shared" si="1"/>
        <v>3</v>
      </c>
      <c r="L16" s="14">
        <f t="shared" si="2"/>
        <v>3</v>
      </c>
      <c r="M16" s="14"/>
      <c r="N16" s="14"/>
      <c r="O16" s="16" t="s">
        <v>180</v>
      </c>
      <c r="P16" s="58" t="s">
        <v>119</v>
      </c>
      <c r="Q16" s="16"/>
      <c r="R16" s="70"/>
      <c r="S16" s="69"/>
    </row>
    <row r="17" spans="1:66" s="7" customFormat="1" ht="24" customHeight="1" x14ac:dyDescent="0.25">
      <c r="A17" s="78"/>
      <c r="B17" s="90"/>
      <c r="C17" s="6"/>
      <c r="D17" s="36"/>
      <c r="E17" s="49"/>
      <c r="F17" s="20"/>
      <c r="G17" s="20"/>
      <c r="H17" s="37"/>
      <c r="I17" s="37"/>
      <c r="J17" s="68"/>
      <c r="K17" s="14"/>
      <c r="L17" s="14"/>
      <c r="M17" s="14"/>
      <c r="N17" s="14"/>
      <c r="O17" s="16"/>
      <c r="P17" s="58"/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3">$F$1-F21</f>
        <v>36</v>
      </c>
      <c r="L21" s="14">
        <f t="shared" si="3"/>
        <v>36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C367-7E01-463A-85AE-7DD970CA30AE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46200</v>
      </c>
      <c r="G1" s="20">
        <v>46200</v>
      </c>
      <c r="H1" s="20">
        <v>46200</v>
      </c>
      <c r="I1" s="20">
        <v>46200</v>
      </c>
      <c r="J1" s="20">
        <v>46200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8" t="s">
        <v>7</v>
      </c>
      <c r="L3" s="178" t="s">
        <v>19</v>
      </c>
      <c r="M3" s="178" t="s">
        <v>20</v>
      </c>
      <c r="N3" s="17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46199</v>
      </c>
      <c r="G5" s="20">
        <v>46199</v>
      </c>
      <c r="H5" s="37"/>
      <c r="I5" s="37"/>
      <c r="J5" s="68"/>
      <c r="K5" s="14">
        <f t="shared" ref="K5:L5" si="0">$F$1-F5</f>
        <v>1</v>
      </c>
      <c r="L5" s="14">
        <f t="shared" si="0"/>
        <v>1</v>
      </c>
      <c r="M5" s="14"/>
      <c r="N5" s="14"/>
      <c r="O5" s="16" t="s">
        <v>89</v>
      </c>
      <c r="P5" s="90"/>
      <c r="Q5" s="90" t="s">
        <v>51</v>
      </c>
      <c r="R5" s="90" t="s">
        <v>54</v>
      </c>
      <c r="S5" s="63"/>
    </row>
    <row r="6" spans="1:66" s="7" customFormat="1" ht="47.4" customHeight="1" x14ac:dyDescent="0.25">
      <c r="A6" s="78"/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67"/>
      <c r="Q6" s="93"/>
      <c r="R6" s="58" t="s">
        <v>30</v>
      </c>
      <c r="S6" s="69"/>
    </row>
    <row r="7" spans="1:66" s="7" customFormat="1" x14ac:dyDescent="0.25">
      <c r="A7" s="78"/>
      <c r="B7" s="90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57"/>
      <c r="R7" s="67" t="s">
        <v>26</v>
      </c>
      <c r="S7" s="69"/>
    </row>
    <row r="8" spans="1:66" s="7" customFormat="1" x14ac:dyDescent="0.25">
      <c r="A8" s="78"/>
      <c r="B8" s="90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16"/>
      <c r="R8" s="70" t="s">
        <v>44</v>
      </c>
      <c r="S8" s="69"/>
    </row>
    <row r="9" spans="1:66" s="7" customFormat="1" x14ac:dyDescent="0.25">
      <c r="A9" s="78"/>
      <c r="B9" s="90"/>
      <c r="C9" s="79"/>
      <c r="D9" s="80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16"/>
      <c r="R9" s="70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4" customHeight="1" x14ac:dyDescent="0.25">
      <c r="A13" s="78">
        <v>1</v>
      </c>
      <c r="B13" s="90" t="s">
        <v>85</v>
      </c>
      <c r="C13" s="6" t="s">
        <v>29</v>
      </c>
      <c r="D13" s="36" t="s">
        <v>28</v>
      </c>
      <c r="E13" s="49">
        <v>2023</v>
      </c>
      <c r="F13" s="20">
        <v>46157</v>
      </c>
      <c r="G13" s="20">
        <v>46157</v>
      </c>
      <c r="H13" s="37"/>
      <c r="I13" s="37"/>
      <c r="J13" s="68"/>
      <c r="K13" s="14">
        <f t="shared" ref="K13:L17" si="1">$F$1-F13</f>
        <v>43</v>
      </c>
      <c r="L13" s="14">
        <f t="shared" si="1"/>
        <v>43</v>
      </c>
      <c r="M13" s="14"/>
      <c r="N13" s="14"/>
      <c r="O13" s="16" t="s">
        <v>172</v>
      </c>
      <c r="P13" s="58" t="s">
        <v>112</v>
      </c>
      <c r="Q13" s="16"/>
      <c r="R13" s="70"/>
      <c r="S13" s="69"/>
    </row>
    <row r="14" spans="1:66" s="7" customFormat="1" ht="55.2" customHeight="1" x14ac:dyDescent="0.25">
      <c r="A14" s="78">
        <v>2</v>
      </c>
      <c r="B14" s="58" t="s">
        <v>65</v>
      </c>
      <c r="C14" s="6" t="s">
        <v>29</v>
      </c>
      <c r="D14" s="36" t="s">
        <v>28</v>
      </c>
      <c r="E14" s="49">
        <v>2023</v>
      </c>
      <c r="F14" s="20">
        <v>46187</v>
      </c>
      <c r="G14" s="20">
        <v>46187</v>
      </c>
      <c r="H14" s="37"/>
      <c r="I14" s="37"/>
      <c r="J14" s="68"/>
      <c r="K14" s="14">
        <f t="shared" si="1"/>
        <v>13</v>
      </c>
      <c r="L14" s="14">
        <f t="shared" si="1"/>
        <v>13</v>
      </c>
      <c r="M14" s="14"/>
      <c r="N14" s="14"/>
      <c r="O14" s="16" t="s">
        <v>184</v>
      </c>
      <c r="P14" s="67" t="s">
        <v>153</v>
      </c>
      <c r="Q14" s="16"/>
      <c r="R14" s="70"/>
      <c r="S14" s="69"/>
    </row>
    <row r="15" spans="1:66" s="7" customFormat="1" ht="24" customHeight="1" x14ac:dyDescent="0.25">
      <c r="A15" s="78">
        <v>3</v>
      </c>
      <c r="B15" s="90" t="s">
        <v>52</v>
      </c>
      <c r="C15" s="6" t="s">
        <v>29</v>
      </c>
      <c r="D15" s="36" t="s">
        <v>28</v>
      </c>
      <c r="E15" s="49">
        <v>2023</v>
      </c>
      <c r="F15" s="20">
        <v>46196</v>
      </c>
      <c r="G15" s="20">
        <v>46196</v>
      </c>
      <c r="H15" s="37"/>
      <c r="I15" s="37"/>
      <c r="J15" s="68"/>
      <c r="K15" s="14">
        <f t="shared" si="1"/>
        <v>4</v>
      </c>
      <c r="L15" s="14">
        <f t="shared" si="1"/>
        <v>4</v>
      </c>
      <c r="M15" s="14"/>
      <c r="N15" s="14"/>
      <c r="O15" s="16" t="s">
        <v>103</v>
      </c>
      <c r="P15" s="58"/>
      <c r="Q15" s="16"/>
      <c r="R15" s="70"/>
      <c r="S15" s="69"/>
    </row>
    <row r="16" spans="1:66" s="7" customFormat="1" ht="24" customHeight="1" x14ac:dyDescent="0.25">
      <c r="A16" s="78">
        <v>4</v>
      </c>
      <c r="B16" s="90" t="s">
        <v>50</v>
      </c>
      <c r="C16" s="79" t="s">
        <v>32</v>
      </c>
      <c r="D16" s="80" t="s">
        <v>28</v>
      </c>
      <c r="E16" s="49">
        <v>2021</v>
      </c>
      <c r="F16" s="20">
        <v>46196</v>
      </c>
      <c r="G16" s="20">
        <v>46196</v>
      </c>
      <c r="H16" s="37"/>
      <c r="I16" s="37"/>
      <c r="J16" s="68"/>
      <c r="K16" s="14">
        <f t="shared" si="1"/>
        <v>4</v>
      </c>
      <c r="L16" s="14">
        <f t="shared" si="1"/>
        <v>4</v>
      </c>
      <c r="M16" s="14"/>
      <c r="N16" s="14"/>
      <c r="O16" s="16" t="s">
        <v>180</v>
      </c>
      <c r="P16" s="58" t="s">
        <v>119</v>
      </c>
      <c r="Q16" s="16"/>
      <c r="R16" s="70"/>
      <c r="S16" s="69"/>
    </row>
    <row r="17" spans="1:66" s="7" customFormat="1" ht="24" customHeight="1" x14ac:dyDescent="0.25">
      <c r="A17" s="78">
        <v>5</v>
      </c>
      <c r="B17" s="90" t="s">
        <v>98</v>
      </c>
      <c r="C17" s="6" t="s">
        <v>29</v>
      </c>
      <c r="D17" s="36" t="s">
        <v>28</v>
      </c>
      <c r="E17" s="49">
        <v>2023</v>
      </c>
      <c r="F17" s="20">
        <v>46200</v>
      </c>
      <c r="G17" s="20">
        <v>46200</v>
      </c>
      <c r="H17" s="37"/>
      <c r="I17" s="37"/>
      <c r="J17" s="68"/>
      <c r="K17" s="14">
        <f t="shared" si="1"/>
        <v>0</v>
      </c>
      <c r="L17" s="14">
        <f t="shared" si="1"/>
        <v>0</v>
      </c>
      <c r="M17" s="14"/>
      <c r="N17" s="14"/>
      <c r="O17" s="16" t="s">
        <v>185</v>
      </c>
      <c r="P17" s="90" t="s">
        <v>10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2">$F$1-F21</f>
        <v>37</v>
      </c>
      <c r="L21" s="14">
        <f t="shared" si="2"/>
        <v>37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D243-CCA5-4412-816E-58812BB37D3F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46201</v>
      </c>
      <c r="G1" s="20">
        <v>46201</v>
      </c>
      <c r="H1" s="20">
        <v>46201</v>
      </c>
      <c r="I1" s="20">
        <v>46201</v>
      </c>
      <c r="J1" s="20">
        <v>46201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79" t="s">
        <v>7</v>
      </c>
      <c r="L3" s="179" t="s">
        <v>19</v>
      </c>
      <c r="M3" s="179" t="s">
        <v>20</v>
      </c>
      <c r="N3" s="17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/>
      <c r="B5" s="90"/>
      <c r="C5" s="6"/>
      <c r="D5" s="36"/>
      <c r="E5" s="49"/>
      <c r="F5" s="20"/>
      <c r="G5" s="20"/>
      <c r="H5" s="37"/>
      <c r="I5" s="37"/>
      <c r="J5" s="68"/>
      <c r="K5" s="14"/>
      <c r="L5" s="14"/>
      <c r="M5" s="14"/>
      <c r="N5" s="14"/>
      <c r="O5" s="16"/>
      <c r="P5" s="90"/>
      <c r="Q5" s="90" t="s">
        <v>51</v>
      </c>
      <c r="R5" s="58" t="s">
        <v>30</v>
      </c>
      <c r="S5" s="63"/>
    </row>
    <row r="6" spans="1:66" s="7" customFormat="1" x14ac:dyDescent="0.25">
      <c r="A6" s="78"/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67"/>
      <c r="Q6" s="93" t="s">
        <v>45</v>
      </c>
      <c r="R6" s="67" t="s">
        <v>26</v>
      </c>
      <c r="S6" s="69"/>
    </row>
    <row r="7" spans="1:66" s="7" customFormat="1" x14ac:dyDescent="0.25">
      <c r="A7" s="78"/>
      <c r="B7" s="90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3" t="s">
        <v>46</v>
      </c>
      <c r="R7" s="70" t="s">
        <v>44</v>
      </c>
      <c r="S7" s="69"/>
    </row>
    <row r="8" spans="1:66" s="7" customFormat="1" x14ac:dyDescent="0.25">
      <c r="A8" s="78"/>
      <c r="B8" s="90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16"/>
      <c r="R8" s="165" t="s">
        <v>49</v>
      </c>
      <c r="S8" s="69"/>
    </row>
    <row r="9" spans="1:66" s="7" customFormat="1" x14ac:dyDescent="0.25">
      <c r="A9" s="78"/>
      <c r="B9" s="90"/>
      <c r="C9" s="79"/>
      <c r="D9" s="80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16"/>
      <c r="R9" s="165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4" customHeight="1" x14ac:dyDescent="0.25">
      <c r="A13" s="78">
        <v>1</v>
      </c>
      <c r="B13" s="90" t="s">
        <v>85</v>
      </c>
      <c r="C13" s="6" t="s">
        <v>29</v>
      </c>
      <c r="D13" s="36" t="s">
        <v>28</v>
      </c>
      <c r="E13" s="49">
        <v>2023</v>
      </c>
      <c r="F13" s="20">
        <v>46157</v>
      </c>
      <c r="G13" s="20">
        <v>46157</v>
      </c>
      <c r="H13" s="37"/>
      <c r="I13" s="37"/>
      <c r="J13" s="68"/>
      <c r="K13" s="14">
        <f t="shared" ref="K13:L17" si="0">$F$1-F13</f>
        <v>44</v>
      </c>
      <c r="L13" s="14">
        <f t="shared" si="0"/>
        <v>44</v>
      </c>
      <c r="M13" s="14"/>
      <c r="N13" s="14"/>
      <c r="O13" s="16" t="s">
        <v>172</v>
      </c>
      <c r="P13" s="58" t="s">
        <v>112</v>
      </c>
      <c r="Q13" s="16"/>
      <c r="R13" s="70"/>
      <c r="S13" s="69"/>
    </row>
    <row r="14" spans="1:66" s="7" customFormat="1" ht="55.2" customHeight="1" x14ac:dyDescent="0.25">
      <c r="A14" s="78">
        <v>2</v>
      </c>
      <c r="B14" s="58" t="s">
        <v>65</v>
      </c>
      <c r="C14" s="6" t="s">
        <v>29</v>
      </c>
      <c r="D14" s="36" t="s">
        <v>28</v>
      </c>
      <c r="E14" s="49">
        <v>2023</v>
      </c>
      <c r="F14" s="20">
        <v>46187</v>
      </c>
      <c r="G14" s="20">
        <v>46187</v>
      </c>
      <c r="H14" s="37"/>
      <c r="I14" s="37"/>
      <c r="J14" s="68"/>
      <c r="K14" s="14">
        <f t="shared" si="0"/>
        <v>14</v>
      </c>
      <c r="L14" s="14">
        <f t="shared" si="0"/>
        <v>14</v>
      </c>
      <c r="M14" s="14"/>
      <c r="N14" s="14"/>
      <c r="O14" s="16" t="s">
        <v>184</v>
      </c>
      <c r="P14" s="67" t="s">
        <v>153</v>
      </c>
      <c r="Q14" s="16"/>
      <c r="R14" s="70"/>
      <c r="S14" s="69"/>
    </row>
    <row r="15" spans="1:66" s="7" customFormat="1" ht="24" customHeight="1" x14ac:dyDescent="0.25">
      <c r="A15" s="78">
        <v>3</v>
      </c>
      <c r="B15" s="90" t="s">
        <v>52</v>
      </c>
      <c r="C15" s="6" t="s">
        <v>29</v>
      </c>
      <c r="D15" s="36" t="s">
        <v>28</v>
      </c>
      <c r="E15" s="49">
        <v>2023</v>
      </c>
      <c r="F15" s="20">
        <v>46196</v>
      </c>
      <c r="G15" s="20">
        <v>46196</v>
      </c>
      <c r="H15" s="37"/>
      <c r="I15" s="37"/>
      <c r="J15" s="68"/>
      <c r="K15" s="14">
        <f t="shared" si="0"/>
        <v>5</v>
      </c>
      <c r="L15" s="14">
        <f t="shared" si="0"/>
        <v>5</v>
      </c>
      <c r="M15" s="14"/>
      <c r="N15" s="14"/>
      <c r="O15" s="16" t="s">
        <v>103</v>
      </c>
      <c r="P15" s="60" t="s">
        <v>33</v>
      </c>
      <c r="Q15" s="16"/>
      <c r="R15" s="70"/>
      <c r="S15" s="69"/>
    </row>
    <row r="16" spans="1:66" s="7" customFormat="1" ht="24" customHeight="1" x14ac:dyDescent="0.25">
      <c r="A16" s="78">
        <v>4</v>
      </c>
      <c r="B16" s="90" t="s">
        <v>50</v>
      </c>
      <c r="C16" s="79" t="s">
        <v>32</v>
      </c>
      <c r="D16" s="80" t="s">
        <v>28</v>
      </c>
      <c r="E16" s="49">
        <v>2021</v>
      </c>
      <c r="F16" s="20">
        <v>46196</v>
      </c>
      <c r="G16" s="20">
        <v>46196</v>
      </c>
      <c r="H16" s="37"/>
      <c r="I16" s="37"/>
      <c r="J16" s="68"/>
      <c r="K16" s="14">
        <f t="shared" si="0"/>
        <v>5</v>
      </c>
      <c r="L16" s="14">
        <f t="shared" si="0"/>
        <v>5</v>
      </c>
      <c r="M16" s="14"/>
      <c r="N16" s="14"/>
      <c r="O16" s="16" t="s">
        <v>180</v>
      </c>
      <c r="P16" s="58" t="s">
        <v>119</v>
      </c>
      <c r="Q16" s="16"/>
      <c r="R16" s="70"/>
      <c r="S16" s="69"/>
    </row>
    <row r="17" spans="1:66" s="7" customFormat="1" ht="24" customHeight="1" x14ac:dyDescent="0.25">
      <c r="A17" s="78">
        <v>5</v>
      </c>
      <c r="B17" s="90" t="s">
        <v>98</v>
      </c>
      <c r="C17" s="6" t="s">
        <v>29</v>
      </c>
      <c r="D17" s="36" t="s">
        <v>28</v>
      </c>
      <c r="E17" s="49">
        <v>2023</v>
      </c>
      <c r="F17" s="20">
        <v>46200</v>
      </c>
      <c r="G17" s="20">
        <v>46200</v>
      </c>
      <c r="H17" s="37"/>
      <c r="I17" s="37"/>
      <c r="J17" s="68"/>
      <c r="K17" s="14">
        <f t="shared" si="0"/>
        <v>1</v>
      </c>
      <c r="L17" s="14">
        <f t="shared" si="0"/>
        <v>1</v>
      </c>
      <c r="M17" s="14"/>
      <c r="N17" s="14"/>
      <c r="O17" s="16" t="s">
        <v>185</v>
      </c>
      <c r="P17" s="90" t="s">
        <v>10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1">$F$1-F21</f>
        <v>38</v>
      </c>
      <c r="L21" s="14">
        <f t="shared" si="1"/>
        <v>38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616A-BF50-4D2D-AD03-5021A5985A9A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46202</v>
      </c>
      <c r="G1" s="20">
        <v>46202</v>
      </c>
      <c r="H1" s="20">
        <v>46202</v>
      </c>
      <c r="I1" s="20">
        <v>46202</v>
      </c>
      <c r="J1" s="20">
        <v>46202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0" t="s">
        <v>7</v>
      </c>
      <c r="L3" s="180" t="s">
        <v>19</v>
      </c>
      <c r="M3" s="180" t="s">
        <v>20</v>
      </c>
      <c r="N3" s="18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/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/>
      <c r="L5" s="14"/>
      <c r="M5" s="14"/>
      <c r="N5" s="14"/>
      <c r="O5" s="16" t="s">
        <v>177</v>
      </c>
      <c r="P5" s="165" t="s">
        <v>49</v>
      </c>
      <c r="Q5" s="165" t="s">
        <v>49</v>
      </c>
      <c r="R5" s="58" t="s">
        <v>30</v>
      </c>
      <c r="S5" s="63"/>
    </row>
    <row r="6" spans="1:66" s="7" customFormat="1" x14ac:dyDescent="0.25">
      <c r="A6" s="78"/>
      <c r="B6" s="58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67"/>
      <c r="Q6" s="93"/>
      <c r="R6" s="67" t="s">
        <v>26</v>
      </c>
      <c r="S6" s="69"/>
    </row>
    <row r="7" spans="1:66" s="7" customFormat="1" x14ac:dyDescent="0.25">
      <c r="A7" s="78"/>
      <c r="B7" s="90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93"/>
      <c r="R7" s="70" t="s">
        <v>44</v>
      </c>
      <c r="S7" s="69"/>
    </row>
    <row r="8" spans="1:66" s="7" customFormat="1" x14ac:dyDescent="0.25">
      <c r="A8" s="78"/>
      <c r="B8" s="90"/>
      <c r="C8" s="79"/>
      <c r="D8" s="80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16"/>
      <c r="R8" s="165"/>
      <c r="S8" s="69"/>
    </row>
    <row r="9" spans="1:66" s="7" customFormat="1" x14ac:dyDescent="0.25">
      <c r="A9" s="78"/>
      <c r="B9" s="90"/>
      <c r="C9" s="79"/>
      <c r="D9" s="80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16"/>
      <c r="R9" s="165"/>
      <c r="S9" s="69"/>
    </row>
    <row r="10" spans="1:66" s="7" customFormat="1" ht="13.95" customHeight="1" x14ac:dyDescent="0.25">
      <c r="A10" s="52"/>
      <c r="B10" s="29"/>
      <c r="C10" s="12"/>
      <c r="D10" s="19"/>
      <c r="E10" s="18"/>
      <c r="F10" s="22"/>
      <c r="G10" s="22"/>
      <c r="H10" s="22"/>
      <c r="I10" s="22"/>
      <c r="J10" s="22"/>
      <c r="K10" s="18"/>
      <c r="L10" s="22"/>
      <c r="M10" s="22"/>
      <c r="N10" s="22"/>
      <c r="O10" s="30" t="s">
        <v>22</v>
      </c>
      <c r="P10" s="12"/>
      <c r="Q10" s="12"/>
      <c r="R10" s="19"/>
      <c r="S10" s="30"/>
    </row>
    <row r="11" spans="1:66" s="7" customFormat="1" ht="13.95" customHeight="1" x14ac:dyDescent="0.25">
      <c r="A11" s="56"/>
      <c r="B11" s="67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62"/>
      <c r="Q11" s="57"/>
      <c r="R11" s="50"/>
      <c r="S11" s="46"/>
    </row>
    <row r="12" spans="1:66" s="35" customFormat="1" ht="13.95" customHeight="1" x14ac:dyDescent="0.25">
      <c r="A12" s="53"/>
      <c r="B12" s="31"/>
      <c r="C12" s="12"/>
      <c r="D12" s="19" t="s">
        <v>0</v>
      </c>
      <c r="E12" s="18"/>
      <c r="F12" s="32"/>
      <c r="G12" s="32"/>
      <c r="H12" s="32"/>
      <c r="I12" s="32"/>
      <c r="J12" s="32"/>
      <c r="K12" s="18"/>
      <c r="L12" s="32"/>
      <c r="M12" s="32"/>
      <c r="N12" s="32"/>
      <c r="O12" s="33" t="s">
        <v>23</v>
      </c>
      <c r="P12" s="19"/>
      <c r="Q12" s="19"/>
      <c r="R12" s="34"/>
      <c r="S12" s="33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</row>
    <row r="13" spans="1:66" s="7" customFormat="1" ht="24" customHeight="1" x14ac:dyDescent="0.25">
      <c r="A13" s="78">
        <v>1</v>
      </c>
      <c r="B13" s="90" t="s">
        <v>85</v>
      </c>
      <c r="C13" s="6" t="s">
        <v>29</v>
      </c>
      <c r="D13" s="36" t="s">
        <v>28</v>
      </c>
      <c r="E13" s="49">
        <v>2023</v>
      </c>
      <c r="F13" s="20">
        <v>46157</v>
      </c>
      <c r="G13" s="20">
        <v>46157</v>
      </c>
      <c r="H13" s="37"/>
      <c r="I13" s="37"/>
      <c r="J13" s="68"/>
      <c r="K13" s="14">
        <f t="shared" ref="K13:L17" si="0">$F$1-F13</f>
        <v>45</v>
      </c>
      <c r="L13" s="14">
        <f t="shared" si="0"/>
        <v>45</v>
      </c>
      <c r="M13" s="14"/>
      <c r="N13" s="14"/>
      <c r="O13" s="16" t="s">
        <v>172</v>
      </c>
      <c r="P13" s="58" t="s">
        <v>112</v>
      </c>
      <c r="Q13" s="16"/>
      <c r="R13" s="70"/>
      <c r="S13" s="69"/>
    </row>
    <row r="14" spans="1:66" s="7" customFormat="1" ht="55.2" customHeight="1" x14ac:dyDescent="0.25">
      <c r="A14" s="78">
        <v>2</v>
      </c>
      <c r="B14" s="58" t="s">
        <v>65</v>
      </c>
      <c r="C14" s="6" t="s">
        <v>29</v>
      </c>
      <c r="D14" s="36" t="s">
        <v>28</v>
      </c>
      <c r="E14" s="49">
        <v>2023</v>
      </c>
      <c r="F14" s="20">
        <v>46187</v>
      </c>
      <c r="G14" s="20">
        <v>46187</v>
      </c>
      <c r="H14" s="37"/>
      <c r="I14" s="37"/>
      <c r="J14" s="68"/>
      <c r="K14" s="14">
        <f t="shared" si="0"/>
        <v>15</v>
      </c>
      <c r="L14" s="14">
        <f t="shared" si="0"/>
        <v>15</v>
      </c>
      <c r="M14" s="14"/>
      <c r="N14" s="14"/>
      <c r="O14" s="16" t="s">
        <v>184</v>
      </c>
      <c r="P14" s="67" t="s">
        <v>153</v>
      </c>
      <c r="Q14" s="16"/>
      <c r="R14" s="70"/>
      <c r="S14" s="69"/>
    </row>
    <row r="15" spans="1:66" s="7" customFormat="1" ht="24" customHeight="1" x14ac:dyDescent="0.25">
      <c r="A15" s="78">
        <v>3</v>
      </c>
      <c r="B15" s="90" t="s">
        <v>52</v>
      </c>
      <c r="C15" s="6" t="s">
        <v>29</v>
      </c>
      <c r="D15" s="36" t="s">
        <v>28</v>
      </c>
      <c r="E15" s="49">
        <v>2023</v>
      </c>
      <c r="F15" s="20">
        <v>46196</v>
      </c>
      <c r="G15" s="20">
        <v>46196</v>
      </c>
      <c r="H15" s="37"/>
      <c r="I15" s="37"/>
      <c r="J15" s="68"/>
      <c r="K15" s="14">
        <f t="shared" si="0"/>
        <v>6</v>
      </c>
      <c r="L15" s="14">
        <f t="shared" si="0"/>
        <v>6</v>
      </c>
      <c r="M15" s="14"/>
      <c r="N15" s="14"/>
      <c r="O15" s="16" t="s">
        <v>103</v>
      </c>
      <c r="P15" s="60" t="s">
        <v>33</v>
      </c>
      <c r="Q15" s="16"/>
      <c r="R15" s="70"/>
      <c r="S15" s="69"/>
    </row>
    <row r="16" spans="1:66" s="7" customFormat="1" ht="24" customHeight="1" x14ac:dyDescent="0.25">
      <c r="A16" s="78">
        <v>4</v>
      </c>
      <c r="B16" s="90" t="s">
        <v>50</v>
      </c>
      <c r="C16" s="79" t="s">
        <v>32</v>
      </c>
      <c r="D16" s="80" t="s">
        <v>28</v>
      </c>
      <c r="E16" s="49">
        <v>2021</v>
      </c>
      <c r="F16" s="20">
        <v>46196</v>
      </c>
      <c r="G16" s="20">
        <v>46196</v>
      </c>
      <c r="H16" s="37"/>
      <c r="I16" s="37"/>
      <c r="J16" s="68"/>
      <c r="K16" s="14">
        <f t="shared" si="0"/>
        <v>6</v>
      </c>
      <c r="L16" s="14">
        <f t="shared" si="0"/>
        <v>6</v>
      </c>
      <c r="M16" s="14"/>
      <c r="N16" s="14"/>
      <c r="O16" s="16" t="s">
        <v>180</v>
      </c>
      <c r="P16" s="58" t="s">
        <v>119</v>
      </c>
      <c r="Q16" s="16"/>
      <c r="R16" s="70"/>
      <c r="S16" s="69"/>
    </row>
    <row r="17" spans="1:66" s="7" customFormat="1" ht="24" customHeight="1" x14ac:dyDescent="0.25">
      <c r="A17" s="78">
        <v>5</v>
      </c>
      <c r="B17" s="90" t="s">
        <v>98</v>
      </c>
      <c r="C17" s="6" t="s">
        <v>29</v>
      </c>
      <c r="D17" s="36" t="s">
        <v>28</v>
      </c>
      <c r="E17" s="49">
        <v>2023</v>
      </c>
      <c r="F17" s="20">
        <v>46200</v>
      </c>
      <c r="G17" s="20">
        <v>46200</v>
      </c>
      <c r="H17" s="37"/>
      <c r="I17" s="37"/>
      <c r="J17" s="68"/>
      <c r="K17" s="14">
        <f t="shared" si="0"/>
        <v>2</v>
      </c>
      <c r="L17" s="14">
        <f t="shared" si="0"/>
        <v>2</v>
      </c>
      <c r="M17" s="14"/>
      <c r="N17" s="14"/>
      <c r="O17" s="16" t="s">
        <v>185</v>
      </c>
      <c r="P17" s="90" t="s">
        <v>10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1">$F$1-F21</f>
        <v>39</v>
      </c>
      <c r="L21" s="14">
        <f t="shared" si="1"/>
        <v>39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1D7E-78F2-4287-A1A4-0115B83F0620}">
  <dimension ref="A1:BN23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46203</v>
      </c>
      <c r="G1" s="20">
        <v>46203</v>
      </c>
      <c r="H1" s="20">
        <v>46203</v>
      </c>
      <c r="I1" s="20">
        <v>46203</v>
      </c>
      <c r="J1" s="20">
        <v>46203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1" t="s">
        <v>7</v>
      </c>
      <c r="L3" s="181" t="s">
        <v>19</v>
      </c>
      <c r="M3" s="181" t="s">
        <v>20</v>
      </c>
      <c r="N3" s="181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11" si="0">$F$1-F5</f>
        <v>1</v>
      </c>
      <c r="L5" s="14">
        <f t="shared" si="0"/>
        <v>1</v>
      </c>
      <c r="M5" s="14"/>
      <c r="N5" s="14"/>
      <c r="O5" s="16" t="s">
        <v>177</v>
      </c>
      <c r="P5" s="165" t="s">
        <v>49</v>
      </c>
      <c r="Q5" s="165" t="s">
        <v>44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52</v>
      </c>
      <c r="C6" s="6" t="s">
        <v>29</v>
      </c>
      <c r="D6" s="36" t="s">
        <v>28</v>
      </c>
      <c r="E6" s="49">
        <v>2023</v>
      </c>
      <c r="F6" s="20">
        <v>46196</v>
      </c>
      <c r="G6" s="20">
        <v>46196</v>
      </c>
      <c r="H6" s="37"/>
      <c r="I6" s="37"/>
      <c r="J6" s="68"/>
      <c r="K6" s="14">
        <f t="shared" si="0"/>
        <v>7</v>
      </c>
      <c r="L6" s="14">
        <f t="shared" si="0"/>
        <v>7</v>
      </c>
      <c r="M6" s="14"/>
      <c r="N6" s="14"/>
      <c r="O6" s="61" t="s">
        <v>190</v>
      </c>
      <c r="P6" s="60" t="s">
        <v>33</v>
      </c>
      <c r="Q6" s="93" t="s">
        <v>98</v>
      </c>
      <c r="R6" s="67"/>
      <c r="S6" s="69"/>
    </row>
    <row r="7" spans="1:66" s="7" customFormat="1" x14ac:dyDescent="0.25">
      <c r="A7" s="78">
        <v>3</v>
      </c>
      <c r="B7" s="90" t="s">
        <v>50</v>
      </c>
      <c r="C7" s="6" t="s">
        <v>32</v>
      </c>
      <c r="D7" s="36" t="s">
        <v>28</v>
      </c>
      <c r="E7" s="49">
        <v>2021</v>
      </c>
      <c r="F7" s="20">
        <v>46196</v>
      </c>
      <c r="G7" s="20">
        <v>46196</v>
      </c>
      <c r="H7" s="37"/>
      <c r="I7" s="37"/>
      <c r="J7" s="68"/>
      <c r="K7" s="14">
        <f t="shared" si="0"/>
        <v>7</v>
      </c>
      <c r="L7" s="14">
        <f t="shared" si="0"/>
        <v>7</v>
      </c>
      <c r="M7" s="14"/>
      <c r="N7" s="14"/>
      <c r="O7" s="16" t="s">
        <v>180</v>
      </c>
      <c r="P7" s="58"/>
      <c r="Q7" s="60" t="s">
        <v>30</v>
      </c>
      <c r="R7" s="165"/>
      <c r="S7" s="69"/>
    </row>
    <row r="8" spans="1:66" s="7" customFormat="1" x14ac:dyDescent="0.25">
      <c r="A8" s="139">
        <v>4</v>
      </c>
      <c r="B8" s="93" t="s">
        <v>186</v>
      </c>
      <c r="C8" s="8" t="s">
        <v>32</v>
      </c>
      <c r="D8" s="48" t="s">
        <v>28</v>
      </c>
      <c r="E8" s="51">
        <v>2021</v>
      </c>
      <c r="F8" s="55">
        <v>46203</v>
      </c>
      <c r="G8" s="55">
        <v>46203</v>
      </c>
      <c r="H8" s="47"/>
      <c r="I8" s="47"/>
      <c r="J8" s="66"/>
      <c r="K8" s="21">
        <f t="shared" si="0"/>
        <v>0</v>
      </c>
      <c r="L8" s="21">
        <f t="shared" si="0"/>
        <v>0</v>
      </c>
      <c r="M8" s="21"/>
      <c r="N8" s="21"/>
      <c r="O8" s="61" t="s">
        <v>187</v>
      </c>
      <c r="P8" s="93" t="s">
        <v>10</v>
      </c>
      <c r="Q8" s="16"/>
      <c r="R8" s="165"/>
      <c r="S8" s="69"/>
    </row>
    <row r="9" spans="1:66" s="7" customFormat="1" x14ac:dyDescent="0.25">
      <c r="A9" s="139">
        <v>5</v>
      </c>
      <c r="B9" s="93" t="s">
        <v>188</v>
      </c>
      <c r="C9" s="8" t="s">
        <v>32</v>
      </c>
      <c r="D9" s="48" t="s">
        <v>28</v>
      </c>
      <c r="E9" s="51">
        <v>2021</v>
      </c>
      <c r="F9" s="55">
        <v>46203</v>
      </c>
      <c r="G9" s="55">
        <v>46203</v>
      </c>
      <c r="H9" s="47"/>
      <c r="I9" s="47"/>
      <c r="J9" s="66"/>
      <c r="K9" s="21">
        <f t="shared" si="0"/>
        <v>0</v>
      </c>
      <c r="L9" s="21">
        <f t="shared" si="0"/>
        <v>0</v>
      </c>
      <c r="M9" s="21"/>
      <c r="N9" s="21"/>
      <c r="O9" s="61" t="s">
        <v>189</v>
      </c>
      <c r="P9" s="60" t="s">
        <v>119</v>
      </c>
      <c r="Q9" s="16"/>
      <c r="R9" s="165"/>
      <c r="S9" s="69"/>
    </row>
    <row r="10" spans="1:66" s="7" customFormat="1" x14ac:dyDescent="0.25">
      <c r="A10" s="139">
        <v>6</v>
      </c>
      <c r="B10" s="93" t="s">
        <v>191</v>
      </c>
      <c r="C10" s="8" t="s">
        <v>29</v>
      </c>
      <c r="D10" s="48" t="s">
        <v>28</v>
      </c>
      <c r="E10" s="51">
        <v>2023</v>
      </c>
      <c r="F10" s="55">
        <v>46203</v>
      </c>
      <c r="G10" s="55">
        <v>46203</v>
      </c>
      <c r="H10" s="37"/>
      <c r="I10" s="37"/>
      <c r="J10" s="68"/>
      <c r="K10" s="21">
        <f t="shared" si="0"/>
        <v>0</v>
      </c>
      <c r="L10" s="21">
        <f t="shared" si="0"/>
        <v>0</v>
      </c>
      <c r="M10" s="14"/>
      <c r="N10" s="14"/>
      <c r="O10" s="61" t="s">
        <v>194</v>
      </c>
      <c r="P10" s="58"/>
      <c r="Q10" s="16"/>
      <c r="R10" s="165"/>
      <c r="S10" s="69"/>
    </row>
    <row r="11" spans="1:66" s="7" customFormat="1" x14ac:dyDescent="0.25">
      <c r="A11" s="139">
        <v>7</v>
      </c>
      <c r="B11" s="93" t="s">
        <v>192</v>
      </c>
      <c r="C11" s="8" t="s">
        <v>29</v>
      </c>
      <c r="D11" s="48" t="s">
        <v>28</v>
      </c>
      <c r="E11" s="51">
        <v>2023</v>
      </c>
      <c r="F11" s="55">
        <v>46203</v>
      </c>
      <c r="G11" s="55">
        <v>46203</v>
      </c>
      <c r="H11" s="37"/>
      <c r="I11" s="37"/>
      <c r="J11" s="68"/>
      <c r="K11" s="21">
        <f t="shared" si="0"/>
        <v>0</v>
      </c>
      <c r="L11" s="21">
        <f t="shared" si="0"/>
        <v>0</v>
      </c>
      <c r="M11" s="14"/>
      <c r="N11" s="14"/>
      <c r="O11" s="61" t="s">
        <v>193</v>
      </c>
      <c r="P11" s="58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65"/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4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8" si="1">$F$1-F17</f>
        <v>46</v>
      </c>
      <c r="L17" s="14">
        <f t="shared" si="1"/>
        <v>46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55.2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16</v>
      </c>
      <c r="L18" s="14">
        <f t="shared" si="1"/>
        <v>16</v>
      </c>
      <c r="M18" s="14"/>
      <c r="N18" s="14"/>
      <c r="O18" s="16" t="s">
        <v>184</v>
      </c>
      <c r="P18" s="67" t="s">
        <v>153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7" customFormat="1" ht="27" customHeight="1" x14ac:dyDescent="0.3">
      <c r="A22" s="17">
        <v>1</v>
      </c>
      <c r="B22" s="90" t="s">
        <v>116</v>
      </c>
      <c r="C22" s="79" t="s">
        <v>32</v>
      </c>
      <c r="D22" s="80" t="s">
        <v>28</v>
      </c>
      <c r="E22" s="49">
        <v>2010</v>
      </c>
      <c r="F22" s="20">
        <v>46163</v>
      </c>
      <c r="G22" s="20">
        <v>46163</v>
      </c>
      <c r="H22" s="37"/>
      <c r="I22" s="37"/>
      <c r="J22" s="68"/>
      <c r="K22" s="14">
        <f t="shared" ref="K22:L22" si="2">$F$1-F22</f>
        <v>40</v>
      </c>
      <c r="L22" s="14">
        <f t="shared" si="2"/>
        <v>40</v>
      </c>
      <c r="M22" s="14"/>
      <c r="N22" s="14"/>
      <c r="O22" s="16" t="s">
        <v>166</v>
      </c>
      <c r="P22" s="58" t="s">
        <v>9</v>
      </c>
      <c r="Q22" s="76"/>
      <c r="R22" s="70"/>
      <c r="S22" s="75"/>
    </row>
    <row r="23" spans="1:66" s="35" customFormat="1" ht="13.95" customHeight="1" x14ac:dyDescent="0.3">
      <c r="A23" s="54"/>
      <c r="B23" s="38"/>
      <c r="C23" s="39"/>
      <c r="D23" s="38"/>
      <c r="E23" s="40"/>
      <c r="F23" s="41"/>
      <c r="G23" s="41"/>
      <c r="H23" s="41"/>
      <c r="I23" s="41"/>
      <c r="J23" s="41"/>
      <c r="K23" s="42"/>
      <c r="L23" s="41"/>
      <c r="M23" s="41"/>
      <c r="N23" s="41"/>
      <c r="O23" s="43"/>
      <c r="P23" s="43"/>
      <c r="Q23" s="44"/>
      <c r="R23" s="45"/>
      <c r="S23" s="43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</sheetData>
  <sortState xmlns:xlrd2="http://schemas.microsoft.com/office/spreadsheetml/2017/richdata2" ref="A5:P9">
    <sortCondition ref="A5:A9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2065-64FF-42E8-A0F2-42F134C34606}">
  <dimension ref="A1:BN23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46204</v>
      </c>
      <c r="G1" s="20">
        <v>46204</v>
      </c>
      <c r="H1" s="20">
        <v>46204</v>
      </c>
      <c r="I1" s="20">
        <v>46204</v>
      </c>
      <c r="J1" s="20">
        <v>46204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2" t="s">
        <v>7</v>
      </c>
      <c r="L3" s="182" t="s">
        <v>19</v>
      </c>
      <c r="M3" s="182" t="s">
        <v>20</v>
      </c>
      <c r="N3" s="18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9" si="0">$F$1-F5</f>
        <v>2</v>
      </c>
      <c r="L5" s="14">
        <f t="shared" si="0"/>
        <v>2</v>
      </c>
      <c r="M5" s="14"/>
      <c r="N5" s="14"/>
      <c r="O5" s="16" t="s">
        <v>177</v>
      </c>
      <c r="P5" s="93" t="s">
        <v>52</v>
      </c>
      <c r="Q5" s="93" t="s">
        <v>188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8</v>
      </c>
      <c r="L6" s="14">
        <f t="shared" si="0"/>
        <v>8</v>
      </c>
      <c r="M6" s="14"/>
      <c r="N6" s="14"/>
      <c r="O6" s="16" t="s">
        <v>180</v>
      </c>
      <c r="P6" s="58"/>
      <c r="Q6" s="93" t="s">
        <v>52</v>
      </c>
      <c r="R6" s="67"/>
      <c r="S6" s="69"/>
    </row>
    <row r="7" spans="1:66" s="7" customFormat="1" x14ac:dyDescent="0.25">
      <c r="A7" s="139">
        <v>3</v>
      </c>
      <c r="B7" s="93" t="s">
        <v>186</v>
      </c>
      <c r="C7" s="8" t="s">
        <v>32</v>
      </c>
      <c r="D7" s="48" t="s">
        <v>28</v>
      </c>
      <c r="E7" s="51">
        <v>2021</v>
      </c>
      <c r="F7" s="55">
        <v>46203</v>
      </c>
      <c r="G7" s="55">
        <v>46203</v>
      </c>
      <c r="H7" s="47"/>
      <c r="I7" s="47"/>
      <c r="J7" s="66"/>
      <c r="K7" s="21">
        <f t="shared" si="0"/>
        <v>1</v>
      </c>
      <c r="L7" s="21">
        <f t="shared" si="0"/>
        <v>1</v>
      </c>
      <c r="M7" s="21"/>
      <c r="N7" s="21"/>
      <c r="O7" s="61" t="s">
        <v>187</v>
      </c>
      <c r="P7" s="93" t="s">
        <v>10</v>
      </c>
      <c r="Q7" s="60"/>
      <c r="R7" s="165"/>
      <c r="S7" s="69"/>
    </row>
    <row r="8" spans="1:66" s="7" customFormat="1" x14ac:dyDescent="0.25">
      <c r="A8" s="139">
        <v>4</v>
      </c>
      <c r="B8" s="93" t="s">
        <v>191</v>
      </c>
      <c r="C8" s="8" t="s">
        <v>29</v>
      </c>
      <c r="D8" s="48" t="s">
        <v>28</v>
      </c>
      <c r="E8" s="51">
        <v>2023</v>
      </c>
      <c r="F8" s="55">
        <v>46203</v>
      </c>
      <c r="G8" s="55">
        <v>46203</v>
      </c>
      <c r="H8" s="37"/>
      <c r="I8" s="37"/>
      <c r="J8" s="68"/>
      <c r="K8" s="21">
        <f t="shared" si="0"/>
        <v>1</v>
      </c>
      <c r="L8" s="21">
        <f t="shared" si="0"/>
        <v>1</v>
      </c>
      <c r="M8" s="14"/>
      <c r="N8" s="14"/>
      <c r="O8" s="61" t="s">
        <v>194</v>
      </c>
      <c r="P8" s="58"/>
      <c r="Q8" s="16"/>
      <c r="R8" s="165"/>
      <c r="S8" s="69"/>
    </row>
    <row r="9" spans="1:66" s="7" customFormat="1" x14ac:dyDescent="0.25">
      <c r="A9" s="139">
        <v>5</v>
      </c>
      <c r="B9" s="93" t="s">
        <v>192</v>
      </c>
      <c r="C9" s="8" t="s">
        <v>29</v>
      </c>
      <c r="D9" s="48" t="s">
        <v>28</v>
      </c>
      <c r="E9" s="51">
        <v>2023</v>
      </c>
      <c r="F9" s="55">
        <v>46203</v>
      </c>
      <c r="G9" s="55">
        <v>46203</v>
      </c>
      <c r="H9" s="37"/>
      <c r="I9" s="37"/>
      <c r="J9" s="68"/>
      <c r="K9" s="21">
        <f t="shared" si="0"/>
        <v>1</v>
      </c>
      <c r="L9" s="21">
        <f t="shared" si="0"/>
        <v>1</v>
      </c>
      <c r="M9" s="14"/>
      <c r="N9" s="14"/>
      <c r="O9" s="61" t="s">
        <v>193</v>
      </c>
      <c r="P9" s="60" t="s">
        <v>119</v>
      </c>
      <c r="Q9" s="16"/>
      <c r="R9" s="165"/>
      <c r="S9" s="69"/>
    </row>
    <row r="10" spans="1:66" s="7" customFormat="1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61"/>
      <c r="P10" s="60"/>
      <c r="Q10" s="16"/>
      <c r="R10" s="165"/>
      <c r="S10" s="69"/>
    </row>
    <row r="11" spans="1:66" s="7" customFormat="1" x14ac:dyDescent="0.25">
      <c r="A11" s="139"/>
      <c r="B11" s="93"/>
      <c r="C11" s="8"/>
      <c r="D11" s="48"/>
      <c r="E11" s="51"/>
      <c r="F11" s="55"/>
      <c r="G11" s="55"/>
      <c r="H11" s="47"/>
      <c r="I11" s="47"/>
      <c r="J11" s="66"/>
      <c r="K11" s="21"/>
      <c r="L11" s="21"/>
      <c r="M11" s="21"/>
      <c r="N11" s="21"/>
      <c r="O11" s="61"/>
      <c r="P11" s="60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65"/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4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8" si="1">$F$1-F17</f>
        <v>47</v>
      </c>
      <c r="L17" s="14">
        <f t="shared" si="1"/>
        <v>47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55.2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17</v>
      </c>
      <c r="L18" s="14">
        <f t="shared" si="1"/>
        <v>17</v>
      </c>
      <c r="M18" s="14"/>
      <c r="N18" s="14"/>
      <c r="O18" s="16" t="s">
        <v>184</v>
      </c>
      <c r="P18" s="67" t="s">
        <v>153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7" customFormat="1" ht="27" customHeight="1" x14ac:dyDescent="0.3">
      <c r="A22" s="17">
        <v>1</v>
      </c>
      <c r="B22" s="90" t="s">
        <v>116</v>
      </c>
      <c r="C22" s="79" t="s">
        <v>32</v>
      </c>
      <c r="D22" s="80" t="s">
        <v>28</v>
      </c>
      <c r="E22" s="49">
        <v>2010</v>
      </c>
      <c r="F22" s="20">
        <v>46163</v>
      </c>
      <c r="G22" s="20">
        <v>46163</v>
      </c>
      <c r="H22" s="37"/>
      <c r="I22" s="37"/>
      <c r="J22" s="68"/>
      <c r="K22" s="14">
        <f t="shared" ref="K22:L22" si="2">$F$1-F22</f>
        <v>41</v>
      </c>
      <c r="L22" s="14">
        <f t="shared" si="2"/>
        <v>41</v>
      </c>
      <c r="M22" s="14"/>
      <c r="N22" s="14"/>
      <c r="O22" s="16" t="s">
        <v>166</v>
      </c>
      <c r="P22" s="58" t="s">
        <v>9</v>
      </c>
      <c r="Q22" s="76"/>
      <c r="R22" s="70"/>
      <c r="S22" s="75"/>
    </row>
    <row r="23" spans="1:66" s="35" customFormat="1" ht="13.95" customHeight="1" x14ac:dyDescent="0.3">
      <c r="A23" s="54"/>
      <c r="B23" s="38"/>
      <c r="C23" s="39"/>
      <c r="D23" s="38"/>
      <c r="E23" s="40"/>
      <c r="F23" s="41"/>
      <c r="G23" s="41"/>
      <c r="H23" s="41"/>
      <c r="I23" s="41"/>
      <c r="J23" s="41"/>
      <c r="K23" s="42"/>
      <c r="L23" s="41"/>
      <c r="M23" s="41"/>
      <c r="N23" s="41"/>
      <c r="O23" s="43"/>
      <c r="P23" s="43"/>
      <c r="Q23" s="44"/>
      <c r="R23" s="45"/>
      <c r="S23" s="43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</sheetData>
  <sortState xmlns:xlrd2="http://schemas.microsoft.com/office/spreadsheetml/2017/richdata2" ref="A5:P11">
    <sortCondition ref="A5:A11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1C13-86D2-47FF-82FE-25F03E4FBE38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46205</v>
      </c>
      <c r="G1" s="20">
        <v>46205</v>
      </c>
      <c r="H1" s="20">
        <v>46205</v>
      </c>
      <c r="I1" s="20">
        <v>46205</v>
      </c>
      <c r="J1" s="20">
        <v>46205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3" t="s">
        <v>7</v>
      </c>
      <c r="L3" s="183" t="s">
        <v>19</v>
      </c>
      <c r="M3" s="183" t="s">
        <v>20</v>
      </c>
      <c r="N3" s="18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" si="0">$F$1-F5</f>
        <v>3</v>
      </c>
      <c r="L5" s="14">
        <f t="shared" ref="L5" si="1">$F$1-G5</f>
        <v>3</v>
      </c>
      <c r="M5" s="14"/>
      <c r="N5" s="14"/>
      <c r="O5" s="16" t="s">
        <v>195</v>
      </c>
      <c r="P5" s="93" t="s">
        <v>52</v>
      </c>
      <c r="Q5" s="93" t="s">
        <v>186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ref="K6:K8" si="2">$F$1-F6</f>
        <v>9</v>
      </c>
      <c r="L6" s="14">
        <f t="shared" ref="L6:L8" si="3">$F$1-G6</f>
        <v>9</v>
      </c>
      <c r="M6" s="14"/>
      <c r="N6" s="14"/>
      <c r="O6" s="16" t="s">
        <v>180</v>
      </c>
      <c r="P6" s="58"/>
      <c r="Q6" s="93" t="s">
        <v>191</v>
      </c>
      <c r="R6" s="143" t="s">
        <v>196</v>
      </c>
      <c r="S6" s="69"/>
    </row>
    <row r="7" spans="1:66" s="7" customFormat="1" x14ac:dyDescent="0.25">
      <c r="A7" s="139">
        <v>3</v>
      </c>
      <c r="B7" s="93" t="s">
        <v>197</v>
      </c>
      <c r="C7" s="8" t="s">
        <v>32</v>
      </c>
      <c r="D7" s="48" t="s">
        <v>28</v>
      </c>
      <c r="E7" s="51">
        <v>2021</v>
      </c>
      <c r="F7" s="55">
        <v>46205</v>
      </c>
      <c r="G7" s="55">
        <v>46205</v>
      </c>
      <c r="H7" s="47"/>
      <c r="I7" s="47"/>
      <c r="J7" s="66"/>
      <c r="K7" s="14">
        <f t="shared" si="2"/>
        <v>0</v>
      </c>
      <c r="L7" s="14">
        <f t="shared" si="3"/>
        <v>0</v>
      </c>
      <c r="M7" s="21"/>
      <c r="N7" s="21"/>
      <c r="O7" s="61" t="s">
        <v>187</v>
      </c>
      <c r="P7" s="93" t="s">
        <v>10</v>
      </c>
      <c r="Q7" s="60"/>
      <c r="R7" s="165" t="s">
        <v>198</v>
      </c>
      <c r="S7" s="69"/>
    </row>
    <row r="8" spans="1:66" s="7" customFormat="1" x14ac:dyDescent="0.25">
      <c r="A8" s="78">
        <v>4</v>
      </c>
      <c r="B8" s="90" t="s">
        <v>192</v>
      </c>
      <c r="C8" s="6" t="s">
        <v>29</v>
      </c>
      <c r="D8" s="36" t="s">
        <v>28</v>
      </c>
      <c r="E8" s="49">
        <v>2023</v>
      </c>
      <c r="F8" s="20">
        <v>46203</v>
      </c>
      <c r="G8" s="20">
        <v>46203</v>
      </c>
      <c r="H8" s="37"/>
      <c r="I8" s="37"/>
      <c r="J8" s="68"/>
      <c r="K8" s="14">
        <f t="shared" si="2"/>
        <v>2</v>
      </c>
      <c r="L8" s="14">
        <f t="shared" si="3"/>
        <v>2</v>
      </c>
      <c r="M8" s="14"/>
      <c r="N8" s="14"/>
      <c r="O8" s="16" t="s">
        <v>193</v>
      </c>
      <c r="P8" s="58" t="s">
        <v>119</v>
      </c>
      <c r="Q8" s="16"/>
      <c r="R8" s="165"/>
      <c r="S8" s="69"/>
    </row>
    <row r="9" spans="1:66" s="7" customFormat="1" x14ac:dyDescent="0.25">
      <c r="A9" s="78"/>
      <c r="B9" s="90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60"/>
      <c r="Q9" s="16"/>
      <c r="R9" s="165"/>
      <c r="S9" s="69"/>
    </row>
    <row r="10" spans="1:66" s="7" customFormat="1" x14ac:dyDescent="0.25">
      <c r="A10" s="139"/>
      <c r="B10" s="93"/>
      <c r="C10" s="8"/>
      <c r="D10" s="48"/>
      <c r="E10" s="51"/>
      <c r="F10" s="55"/>
      <c r="G10" s="55"/>
      <c r="H10" s="47"/>
      <c r="I10" s="47"/>
      <c r="J10" s="66"/>
      <c r="K10" s="21"/>
      <c r="L10" s="21"/>
      <c r="M10" s="21"/>
      <c r="N10" s="21"/>
      <c r="O10" s="61"/>
      <c r="P10" s="60"/>
      <c r="Q10" s="16"/>
      <c r="R10" s="165"/>
      <c r="S10" s="69"/>
    </row>
    <row r="11" spans="1:66" s="7" customFormat="1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>
        <v>1</v>
      </c>
      <c r="B16" s="90" t="s">
        <v>85</v>
      </c>
      <c r="C16" s="6" t="s">
        <v>29</v>
      </c>
      <c r="D16" s="36" t="s">
        <v>28</v>
      </c>
      <c r="E16" s="49">
        <v>2023</v>
      </c>
      <c r="F16" s="20">
        <v>46157</v>
      </c>
      <c r="G16" s="20">
        <v>46157</v>
      </c>
      <c r="H16" s="37"/>
      <c r="I16" s="37"/>
      <c r="J16" s="68"/>
      <c r="K16" s="14">
        <f t="shared" ref="K16:L17" si="4">$F$1-F16</f>
        <v>48</v>
      </c>
      <c r="L16" s="14">
        <f t="shared" si="4"/>
        <v>48</v>
      </c>
      <c r="M16" s="14"/>
      <c r="N16" s="14"/>
      <c r="O16" s="16" t="s">
        <v>172</v>
      </c>
      <c r="P16" s="58" t="s">
        <v>112</v>
      </c>
      <c r="Q16" s="16"/>
      <c r="R16" s="70"/>
      <c r="S16" s="69"/>
    </row>
    <row r="17" spans="1:66" s="7" customFormat="1" ht="55.2" customHeight="1" x14ac:dyDescent="0.25">
      <c r="A17" s="78">
        <v>2</v>
      </c>
      <c r="B17" s="58" t="s">
        <v>65</v>
      </c>
      <c r="C17" s="6" t="s">
        <v>29</v>
      </c>
      <c r="D17" s="36" t="s">
        <v>28</v>
      </c>
      <c r="E17" s="49">
        <v>2023</v>
      </c>
      <c r="F17" s="20">
        <v>46187</v>
      </c>
      <c r="G17" s="20">
        <v>46187</v>
      </c>
      <c r="H17" s="37"/>
      <c r="I17" s="37"/>
      <c r="J17" s="68"/>
      <c r="K17" s="14">
        <f t="shared" si="4"/>
        <v>18</v>
      </c>
      <c r="L17" s="14">
        <f t="shared" si="4"/>
        <v>18</v>
      </c>
      <c r="M17" s="14"/>
      <c r="N17" s="14"/>
      <c r="O17" s="16" t="s">
        <v>184</v>
      </c>
      <c r="P17" s="67" t="s">
        <v>153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5">$F$1-F21</f>
        <v>42</v>
      </c>
      <c r="L21" s="14">
        <f t="shared" si="5"/>
        <v>42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1063-81C7-4F4B-93BA-CA126466A14D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46206</v>
      </c>
      <c r="G1" s="20">
        <v>46206</v>
      </c>
      <c r="H1" s="20">
        <v>46206</v>
      </c>
      <c r="I1" s="20">
        <v>46206</v>
      </c>
      <c r="J1" s="20">
        <v>46206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4" t="s">
        <v>7</v>
      </c>
      <c r="L3" s="184" t="s">
        <v>19</v>
      </c>
      <c r="M3" s="184" t="s">
        <v>20</v>
      </c>
      <c r="N3" s="18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8" si="0">$F$1-F5</f>
        <v>4</v>
      </c>
      <c r="L5" s="14">
        <f t="shared" si="0"/>
        <v>4</v>
      </c>
      <c r="M5" s="14"/>
      <c r="N5" s="14"/>
      <c r="O5" s="16" t="s">
        <v>195</v>
      </c>
      <c r="P5" s="93" t="s">
        <v>52</v>
      </c>
      <c r="Q5" s="93" t="s">
        <v>186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10</v>
      </c>
      <c r="L6" s="14">
        <f t="shared" si="0"/>
        <v>10</v>
      </c>
      <c r="M6" s="14"/>
      <c r="N6" s="14"/>
      <c r="O6" s="16" t="s">
        <v>180</v>
      </c>
      <c r="P6" s="58"/>
      <c r="Q6" s="93" t="s">
        <v>191</v>
      </c>
      <c r="R6" s="143" t="s">
        <v>196</v>
      </c>
      <c r="S6" s="69"/>
    </row>
    <row r="7" spans="1:66" s="7" customFormat="1" x14ac:dyDescent="0.25">
      <c r="A7" s="139">
        <v>3</v>
      </c>
      <c r="B7" s="93" t="s">
        <v>197</v>
      </c>
      <c r="C7" s="8" t="s">
        <v>32</v>
      </c>
      <c r="D7" s="48" t="s">
        <v>28</v>
      </c>
      <c r="E7" s="51">
        <v>2021</v>
      </c>
      <c r="F7" s="55">
        <v>46205</v>
      </c>
      <c r="G7" s="55">
        <v>46205</v>
      </c>
      <c r="H7" s="47"/>
      <c r="I7" s="47"/>
      <c r="J7" s="66"/>
      <c r="K7" s="14">
        <f t="shared" si="0"/>
        <v>1</v>
      </c>
      <c r="L7" s="14">
        <f t="shared" si="0"/>
        <v>1</v>
      </c>
      <c r="M7" s="21"/>
      <c r="N7" s="21"/>
      <c r="O7" s="61" t="s">
        <v>199</v>
      </c>
      <c r="P7" s="93" t="s">
        <v>10</v>
      </c>
      <c r="Q7" s="60"/>
      <c r="R7" s="165" t="s">
        <v>198</v>
      </c>
      <c r="S7" s="69"/>
    </row>
    <row r="8" spans="1:66" s="7" customFormat="1" x14ac:dyDescent="0.25">
      <c r="A8" s="78">
        <v>4</v>
      </c>
      <c r="B8" s="90" t="s">
        <v>192</v>
      </c>
      <c r="C8" s="6" t="s">
        <v>29</v>
      </c>
      <c r="D8" s="36" t="s">
        <v>28</v>
      </c>
      <c r="E8" s="49">
        <v>2023</v>
      </c>
      <c r="F8" s="20">
        <v>46203</v>
      </c>
      <c r="G8" s="20">
        <v>46203</v>
      </c>
      <c r="H8" s="37"/>
      <c r="I8" s="37"/>
      <c r="J8" s="68"/>
      <c r="K8" s="14">
        <f t="shared" si="0"/>
        <v>3</v>
      </c>
      <c r="L8" s="14">
        <f t="shared" si="0"/>
        <v>3</v>
      </c>
      <c r="M8" s="14"/>
      <c r="N8" s="14"/>
      <c r="O8" s="61" t="s">
        <v>89</v>
      </c>
      <c r="P8" s="58" t="s">
        <v>119</v>
      </c>
      <c r="Q8" s="16"/>
      <c r="R8" s="165"/>
      <c r="S8" s="69"/>
    </row>
    <row r="9" spans="1:66" s="7" customFormat="1" x14ac:dyDescent="0.25">
      <c r="A9" s="78"/>
      <c r="B9" s="90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60"/>
      <c r="Q9" s="16"/>
      <c r="R9" s="165"/>
      <c r="S9" s="69"/>
    </row>
    <row r="10" spans="1:66" s="7" customFormat="1" x14ac:dyDescent="0.25">
      <c r="A10" s="139"/>
      <c r="B10" s="93"/>
      <c r="C10" s="8"/>
      <c r="D10" s="48"/>
      <c r="E10" s="51"/>
      <c r="F10" s="55"/>
      <c r="G10" s="55"/>
      <c r="H10" s="47"/>
      <c r="I10" s="47"/>
      <c r="J10" s="66"/>
      <c r="K10" s="21"/>
      <c r="L10" s="21"/>
      <c r="M10" s="21"/>
      <c r="N10" s="21"/>
      <c r="O10" s="61"/>
      <c r="P10" s="60"/>
      <c r="Q10" s="16"/>
      <c r="R10" s="165"/>
      <c r="S10" s="69"/>
    </row>
    <row r="11" spans="1:66" s="7" customFormat="1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>
        <v>1</v>
      </c>
      <c r="B16" s="90" t="s">
        <v>85</v>
      </c>
      <c r="C16" s="6" t="s">
        <v>29</v>
      </c>
      <c r="D16" s="36" t="s">
        <v>28</v>
      </c>
      <c r="E16" s="49">
        <v>2023</v>
      </c>
      <c r="F16" s="20">
        <v>46157</v>
      </c>
      <c r="G16" s="20">
        <v>46157</v>
      </c>
      <c r="H16" s="37"/>
      <c r="I16" s="37"/>
      <c r="J16" s="68"/>
      <c r="K16" s="14">
        <f t="shared" ref="K16:L17" si="1">$F$1-F16</f>
        <v>49</v>
      </c>
      <c r="L16" s="14">
        <f t="shared" si="1"/>
        <v>49</v>
      </c>
      <c r="M16" s="14"/>
      <c r="N16" s="14"/>
      <c r="O16" s="16" t="s">
        <v>172</v>
      </c>
      <c r="P16" s="58" t="s">
        <v>112</v>
      </c>
      <c r="Q16" s="16"/>
      <c r="R16" s="70"/>
      <c r="S16" s="69"/>
    </row>
    <row r="17" spans="1:66" s="7" customFormat="1" ht="55.2" customHeight="1" x14ac:dyDescent="0.25">
      <c r="A17" s="78">
        <v>2</v>
      </c>
      <c r="B17" s="58" t="s">
        <v>65</v>
      </c>
      <c r="C17" s="6" t="s">
        <v>29</v>
      </c>
      <c r="D17" s="36" t="s">
        <v>28</v>
      </c>
      <c r="E17" s="49">
        <v>2023</v>
      </c>
      <c r="F17" s="20">
        <v>46187</v>
      </c>
      <c r="G17" s="20">
        <v>46187</v>
      </c>
      <c r="H17" s="37"/>
      <c r="I17" s="37"/>
      <c r="J17" s="68"/>
      <c r="K17" s="14">
        <f t="shared" si="1"/>
        <v>19</v>
      </c>
      <c r="L17" s="14">
        <f t="shared" si="1"/>
        <v>19</v>
      </c>
      <c r="M17" s="14"/>
      <c r="N17" s="14"/>
      <c r="O17" s="16" t="s">
        <v>184</v>
      </c>
      <c r="P17" s="67" t="s">
        <v>153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2">$F$1-F21</f>
        <v>43</v>
      </c>
      <c r="L21" s="14">
        <f t="shared" si="2"/>
        <v>43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40A4-00FB-4114-8924-0F8F6B2B96A4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46207</v>
      </c>
      <c r="G1" s="20">
        <v>46207</v>
      </c>
      <c r="H1" s="20">
        <v>46207</v>
      </c>
      <c r="I1" s="20">
        <v>46207</v>
      </c>
      <c r="J1" s="20">
        <v>46207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5" t="s">
        <v>7</v>
      </c>
      <c r="L3" s="185" t="s">
        <v>19</v>
      </c>
      <c r="M3" s="185" t="s">
        <v>20</v>
      </c>
      <c r="N3" s="18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8" si="0">$F$1-F5</f>
        <v>5</v>
      </c>
      <c r="L5" s="14">
        <f t="shared" si="0"/>
        <v>5</v>
      </c>
      <c r="M5" s="14"/>
      <c r="N5" s="14"/>
      <c r="O5" s="16" t="s">
        <v>201</v>
      </c>
      <c r="P5" s="90" t="s">
        <v>52</v>
      </c>
      <c r="Q5" s="60" t="s">
        <v>119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11</v>
      </c>
      <c r="L6" s="14">
        <f t="shared" si="0"/>
        <v>11</v>
      </c>
      <c r="M6" s="14"/>
      <c r="N6" s="14"/>
      <c r="O6" s="16" t="s">
        <v>180</v>
      </c>
      <c r="P6" s="58"/>
      <c r="Q6" s="93" t="s">
        <v>192</v>
      </c>
      <c r="R6" s="67" t="s">
        <v>196</v>
      </c>
      <c r="S6" s="69"/>
    </row>
    <row r="7" spans="1:66" s="7" customFormat="1" x14ac:dyDescent="0.25">
      <c r="A7" s="78">
        <v>3</v>
      </c>
      <c r="B7" s="90" t="s">
        <v>197</v>
      </c>
      <c r="C7" s="6" t="s">
        <v>32</v>
      </c>
      <c r="D7" s="36" t="s">
        <v>28</v>
      </c>
      <c r="E7" s="49">
        <v>2021</v>
      </c>
      <c r="F7" s="20">
        <v>46205</v>
      </c>
      <c r="G7" s="20">
        <v>46205</v>
      </c>
      <c r="H7" s="37"/>
      <c r="I7" s="37"/>
      <c r="J7" s="68"/>
      <c r="K7" s="14">
        <f t="shared" si="0"/>
        <v>2</v>
      </c>
      <c r="L7" s="14">
        <f t="shared" si="0"/>
        <v>2</v>
      </c>
      <c r="M7" s="14"/>
      <c r="N7" s="14"/>
      <c r="O7" s="16" t="s">
        <v>199</v>
      </c>
      <c r="P7" s="90" t="s">
        <v>10</v>
      </c>
      <c r="Q7" s="58"/>
      <c r="R7" s="70" t="s">
        <v>198</v>
      </c>
      <c r="S7" s="69"/>
    </row>
    <row r="8" spans="1:66" s="7" customFormat="1" x14ac:dyDescent="0.25">
      <c r="A8" s="139">
        <v>4</v>
      </c>
      <c r="B8" s="93" t="s">
        <v>200</v>
      </c>
      <c r="C8" s="8" t="s">
        <v>29</v>
      </c>
      <c r="D8" s="48" t="s">
        <v>28</v>
      </c>
      <c r="E8" s="51">
        <v>2023</v>
      </c>
      <c r="F8" s="55">
        <v>46203</v>
      </c>
      <c r="G8" s="55">
        <v>46203</v>
      </c>
      <c r="H8" s="47"/>
      <c r="I8" s="47"/>
      <c r="J8" s="66"/>
      <c r="K8" s="21">
        <f t="shared" si="0"/>
        <v>4</v>
      </c>
      <c r="L8" s="21">
        <f t="shared" si="0"/>
        <v>4</v>
      </c>
      <c r="M8" s="21"/>
      <c r="N8" s="21"/>
      <c r="O8" s="61" t="s">
        <v>169</v>
      </c>
      <c r="P8" s="93" t="s">
        <v>192</v>
      </c>
      <c r="Q8" s="16"/>
      <c r="R8" s="165" t="s">
        <v>52</v>
      </c>
      <c r="S8" s="69"/>
    </row>
    <row r="9" spans="1:66" s="7" customFormat="1" x14ac:dyDescent="0.25">
      <c r="A9" s="78"/>
      <c r="B9" s="90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61"/>
      <c r="P9" s="60"/>
      <c r="Q9" s="16"/>
      <c r="R9" s="165"/>
      <c r="S9" s="69"/>
    </row>
    <row r="10" spans="1:66" s="7" customFormat="1" x14ac:dyDescent="0.25">
      <c r="A10" s="139"/>
      <c r="B10" s="93"/>
      <c r="C10" s="8"/>
      <c r="D10" s="48"/>
      <c r="E10" s="51"/>
      <c r="F10" s="55"/>
      <c r="G10" s="55"/>
      <c r="H10" s="47"/>
      <c r="I10" s="47"/>
      <c r="J10" s="66"/>
      <c r="K10" s="21"/>
      <c r="L10" s="21"/>
      <c r="M10" s="21"/>
      <c r="N10" s="21"/>
      <c r="O10" s="61"/>
      <c r="P10" s="60"/>
      <c r="Q10" s="16"/>
      <c r="R10" s="165"/>
      <c r="S10" s="69"/>
    </row>
    <row r="11" spans="1:66" s="7" customFormat="1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>
        <v>1</v>
      </c>
      <c r="B16" s="90" t="s">
        <v>85</v>
      </c>
      <c r="C16" s="6" t="s">
        <v>29</v>
      </c>
      <c r="D16" s="36" t="s">
        <v>28</v>
      </c>
      <c r="E16" s="49">
        <v>2023</v>
      </c>
      <c r="F16" s="20">
        <v>46157</v>
      </c>
      <c r="G16" s="20">
        <v>46157</v>
      </c>
      <c r="H16" s="37"/>
      <c r="I16" s="37"/>
      <c r="J16" s="68"/>
      <c r="K16" s="14">
        <f t="shared" ref="K16:L17" si="1">$F$1-F16</f>
        <v>50</v>
      </c>
      <c r="L16" s="14">
        <f t="shared" si="1"/>
        <v>50</v>
      </c>
      <c r="M16" s="14"/>
      <c r="N16" s="14"/>
      <c r="O16" s="16" t="s">
        <v>172</v>
      </c>
      <c r="P16" s="58" t="s">
        <v>112</v>
      </c>
      <c r="Q16" s="16"/>
      <c r="R16" s="70"/>
      <c r="S16" s="69"/>
    </row>
    <row r="17" spans="1:66" s="7" customFormat="1" ht="55.2" customHeight="1" x14ac:dyDescent="0.25">
      <c r="A17" s="78">
        <v>2</v>
      </c>
      <c r="B17" s="58" t="s">
        <v>65</v>
      </c>
      <c r="C17" s="6" t="s">
        <v>29</v>
      </c>
      <c r="D17" s="36" t="s">
        <v>28</v>
      </c>
      <c r="E17" s="49">
        <v>2023</v>
      </c>
      <c r="F17" s="20">
        <v>46187</v>
      </c>
      <c r="G17" s="20">
        <v>46187</v>
      </c>
      <c r="H17" s="37"/>
      <c r="I17" s="37"/>
      <c r="J17" s="68"/>
      <c r="K17" s="14">
        <f t="shared" si="1"/>
        <v>20</v>
      </c>
      <c r="L17" s="14">
        <f t="shared" si="1"/>
        <v>20</v>
      </c>
      <c r="M17" s="14"/>
      <c r="N17" s="14"/>
      <c r="O17" s="16" t="s">
        <v>184</v>
      </c>
      <c r="P17" s="67" t="s">
        <v>153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2">$F$1-F21</f>
        <v>44</v>
      </c>
      <c r="L21" s="14">
        <f t="shared" si="2"/>
        <v>44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C7B4-8EE0-48B0-BC7D-97EF1AD72A4C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46208</v>
      </c>
      <c r="G1" s="20">
        <v>46208</v>
      </c>
      <c r="H1" s="20">
        <v>46208</v>
      </c>
      <c r="I1" s="20">
        <v>46208</v>
      </c>
      <c r="J1" s="20">
        <v>46208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6" t="s">
        <v>7</v>
      </c>
      <c r="L3" s="186" t="s">
        <v>19</v>
      </c>
      <c r="M3" s="186" t="s">
        <v>20</v>
      </c>
      <c r="N3" s="18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7" si="0">$F$1-F5</f>
        <v>6</v>
      </c>
      <c r="L5" s="14">
        <f t="shared" si="0"/>
        <v>6</v>
      </c>
      <c r="M5" s="14"/>
      <c r="N5" s="14"/>
      <c r="O5" s="16" t="s">
        <v>201</v>
      </c>
      <c r="P5" s="90" t="s">
        <v>52</v>
      </c>
      <c r="Q5" s="93" t="s">
        <v>197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12</v>
      </c>
      <c r="L6" s="14">
        <f t="shared" si="0"/>
        <v>12</v>
      </c>
      <c r="M6" s="14"/>
      <c r="N6" s="14"/>
      <c r="O6" s="16" t="s">
        <v>180</v>
      </c>
      <c r="P6" s="58"/>
      <c r="Q6" s="165" t="s">
        <v>52</v>
      </c>
      <c r="R6" s="67" t="s">
        <v>196</v>
      </c>
      <c r="S6" s="69"/>
    </row>
    <row r="7" spans="1:66" s="7" customFormat="1" x14ac:dyDescent="0.25">
      <c r="A7" s="139">
        <v>3</v>
      </c>
      <c r="B7" s="93" t="s">
        <v>200</v>
      </c>
      <c r="C7" s="8" t="s">
        <v>29</v>
      </c>
      <c r="D7" s="48" t="s">
        <v>28</v>
      </c>
      <c r="E7" s="51">
        <v>2023</v>
      </c>
      <c r="F7" s="55">
        <v>46203</v>
      </c>
      <c r="G7" s="55">
        <v>46203</v>
      </c>
      <c r="H7" s="47"/>
      <c r="I7" s="47"/>
      <c r="J7" s="66"/>
      <c r="K7" s="21">
        <f t="shared" si="0"/>
        <v>5</v>
      </c>
      <c r="L7" s="21">
        <f t="shared" si="0"/>
        <v>5</v>
      </c>
      <c r="M7" s="21"/>
      <c r="N7" s="21"/>
      <c r="O7" s="61" t="s">
        <v>169</v>
      </c>
      <c r="P7" s="93" t="s">
        <v>10</v>
      </c>
      <c r="Q7" s="58"/>
      <c r="R7" s="70" t="s">
        <v>198</v>
      </c>
      <c r="S7" s="69"/>
    </row>
    <row r="8" spans="1:66" s="7" customFormat="1" x14ac:dyDescent="0.25">
      <c r="A8" s="139">
        <v>4</v>
      </c>
      <c r="B8" s="93" t="s">
        <v>192</v>
      </c>
      <c r="C8" s="8" t="s">
        <v>29</v>
      </c>
      <c r="D8" s="48" t="s">
        <v>28</v>
      </c>
      <c r="E8" s="51">
        <v>2023</v>
      </c>
      <c r="F8" s="55">
        <v>46208</v>
      </c>
      <c r="G8" s="55">
        <v>46208</v>
      </c>
      <c r="H8" s="37"/>
      <c r="I8" s="37"/>
      <c r="J8" s="68"/>
      <c r="K8" s="21">
        <f t="shared" ref="K8:K9" si="1">$F$1-F8</f>
        <v>0</v>
      </c>
      <c r="L8" s="21">
        <f t="shared" ref="L8:L9" si="2">$F$1-G8</f>
        <v>0</v>
      </c>
      <c r="M8" s="14"/>
      <c r="N8" s="14"/>
      <c r="O8" s="61" t="s">
        <v>202</v>
      </c>
      <c r="P8" s="60" t="s">
        <v>119</v>
      </c>
      <c r="Q8" s="16"/>
      <c r="R8" s="165"/>
      <c r="S8" s="69"/>
    </row>
    <row r="9" spans="1:66" s="7" customFormat="1" x14ac:dyDescent="0.25">
      <c r="A9" s="139">
        <v>5</v>
      </c>
      <c r="B9" s="93" t="s">
        <v>157</v>
      </c>
      <c r="C9" s="8" t="s">
        <v>29</v>
      </c>
      <c r="D9" s="48" t="s">
        <v>28</v>
      </c>
      <c r="E9" s="51">
        <v>2023</v>
      </c>
      <c r="F9" s="55">
        <v>46208</v>
      </c>
      <c r="G9" s="55">
        <v>46208</v>
      </c>
      <c r="H9" s="47"/>
      <c r="I9" s="47"/>
      <c r="J9" s="66"/>
      <c r="K9" s="21">
        <f t="shared" si="1"/>
        <v>0</v>
      </c>
      <c r="L9" s="21">
        <f t="shared" si="2"/>
        <v>0</v>
      </c>
      <c r="M9" s="21"/>
      <c r="N9" s="21"/>
      <c r="O9" s="61" t="s">
        <v>169</v>
      </c>
      <c r="P9" s="165" t="s">
        <v>52</v>
      </c>
      <c r="Q9" s="16"/>
      <c r="R9" s="165"/>
      <c r="S9" s="69"/>
    </row>
    <row r="10" spans="1:66" s="7" customFormat="1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90"/>
      <c r="Q10" s="16"/>
      <c r="R10" s="165"/>
      <c r="S10" s="69"/>
    </row>
    <row r="11" spans="1:66" s="7" customFormat="1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>
        <v>1</v>
      </c>
      <c r="B16" s="90" t="s">
        <v>85</v>
      </c>
      <c r="C16" s="6" t="s">
        <v>29</v>
      </c>
      <c r="D16" s="36" t="s">
        <v>28</v>
      </c>
      <c r="E16" s="49">
        <v>2023</v>
      </c>
      <c r="F16" s="20">
        <v>46157</v>
      </c>
      <c r="G16" s="20">
        <v>46157</v>
      </c>
      <c r="H16" s="37"/>
      <c r="I16" s="37"/>
      <c r="J16" s="68"/>
      <c r="K16" s="14">
        <f t="shared" ref="K16:L17" si="3">$F$1-F16</f>
        <v>51</v>
      </c>
      <c r="L16" s="14">
        <f t="shared" si="3"/>
        <v>51</v>
      </c>
      <c r="M16" s="14"/>
      <c r="N16" s="14"/>
      <c r="O16" s="16" t="s">
        <v>172</v>
      </c>
      <c r="P16" s="58" t="s">
        <v>112</v>
      </c>
      <c r="Q16" s="16"/>
      <c r="R16" s="70"/>
      <c r="S16" s="69"/>
    </row>
    <row r="17" spans="1:66" s="7" customFormat="1" ht="55.2" customHeight="1" x14ac:dyDescent="0.25">
      <c r="A17" s="78">
        <v>2</v>
      </c>
      <c r="B17" s="58" t="s">
        <v>65</v>
      </c>
      <c r="C17" s="6" t="s">
        <v>29</v>
      </c>
      <c r="D17" s="36" t="s">
        <v>28</v>
      </c>
      <c r="E17" s="49">
        <v>2023</v>
      </c>
      <c r="F17" s="20">
        <v>46187</v>
      </c>
      <c r="G17" s="20">
        <v>46187</v>
      </c>
      <c r="H17" s="37"/>
      <c r="I17" s="37"/>
      <c r="J17" s="68"/>
      <c r="K17" s="14">
        <f t="shared" si="3"/>
        <v>21</v>
      </c>
      <c r="L17" s="14">
        <f t="shared" si="3"/>
        <v>21</v>
      </c>
      <c r="M17" s="14"/>
      <c r="N17" s="14"/>
      <c r="O17" s="16" t="s">
        <v>184</v>
      </c>
      <c r="P17" s="67" t="s">
        <v>153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4">$F$1-F21</f>
        <v>45</v>
      </c>
      <c r="L21" s="14">
        <f t="shared" si="4"/>
        <v>45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sortState xmlns:xlrd2="http://schemas.microsoft.com/office/spreadsheetml/2017/richdata2" ref="A5:P10">
    <sortCondition ref="A5:A10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4227-1829-47F3-8724-42155DFD6151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46209</v>
      </c>
      <c r="G1" s="20">
        <v>46209</v>
      </c>
      <c r="H1" s="20">
        <v>46209</v>
      </c>
      <c r="I1" s="20">
        <v>46209</v>
      </c>
      <c r="J1" s="20">
        <v>46209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7" t="s">
        <v>7</v>
      </c>
      <c r="L3" s="187" t="s">
        <v>19</v>
      </c>
      <c r="M3" s="187" t="s">
        <v>20</v>
      </c>
      <c r="N3" s="18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9" si="0">$F$1-F5</f>
        <v>7</v>
      </c>
      <c r="L5" s="14">
        <f t="shared" si="0"/>
        <v>7</v>
      </c>
      <c r="M5" s="14"/>
      <c r="N5" s="14"/>
      <c r="O5" s="16" t="s">
        <v>201</v>
      </c>
      <c r="P5" s="90" t="s">
        <v>52</v>
      </c>
      <c r="Q5" s="93" t="s">
        <v>197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13</v>
      </c>
      <c r="L6" s="14">
        <f t="shared" si="0"/>
        <v>13</v>
      </c>
      <c r="M6" s="14"/>
      <c r="N6" s="14"/>
      <c r="O6" s="16" t="s">
        <v>180</v>
      </c>
      <c r="P6" s="58"/>
      <c r="Q6" s="165" t="s">
        <v>52</v>
      </c>
      <c r="R6" s="67" t="s">
        <v>196</v>
      </c>
      <c r="S6" s="69"/>
    </row>
    <row r="7" spans="1:66" s="7" customFormat="1" x14ac:dyDescent="0.25">
      <c r="A7" s="139">
        <v>3</v>
      </c>
      <c r="B7" s="93" t="s">
        <v>200</v>
      </c>
      <c r="C7" s="8" t="s">
        <v>29</v>
      </c>
      <c r="D7" s="48" t="s">
        <v>28</v>
      </c>
      <c r="E7" s="51">
        <v>2023</v>
      </c>
      <c r="F7" s="55">
        <v>46203</v>
      </c>
      <c r="G7" s="55">
        <v>46203</v>
      </c>
      <c r="H7" s="47"/>
      <c r="I7" s="47"/>
      <c r="J7" s="66"/>
      <c r="K7" s="21">
        <f t="shared" si="0"/>
        <v>6</v>
      </c>
      <c r="L7" s="21">
        <f t="shared" si="0"/>
        <v>6</v>
      </c>
      <c r="M7" s="21"/>
      <c r="N7" s="21"/>
      <c r="O7" s="61" t="s">
        <v>169</v>
      </c>
      <c r="P7" s="93" t="s">
        <v>10</v>
      </c>
      <c r="Q7" s="58"/>
      <c r="R7" s="70" t="s">
        <v>198</v>
      </c>
      <c r="S7" s="69"/>
    </row>
    <row r="8" spans="1:66" s="7" customFormat="1" x14ac:dyDescent="0.25">
      <c r="A8" s="139">
        <v>4</v>
      </c>
      <c r="B8" s="93" t="s">
        <v>192</v>
      </c>
      <c r="C8" s="8" t="s">
        <v>29</v>
      </c>
      <c r="D8" s="48" t="s">
        <v>28</v>
      </c>
      <c r="E8" s="51">
        <v>2023</v>
      </c>
      <c r="F8" s="55">
        <v>46208</v>
      </c>
      <c r="G8" s="55">
        <v>46208</v>
      </c>
      <c r="H8" s="37"/>
      <c r="I8" s="37"/>
      <c r="J8" s="68"/>
      <c r="K8" s="21">
        <f t="shared" si="0"/>
        <v>1</v>
      </c>
      <c r="L8" s="21">
        <f t="shared" si="0"/>
        <v>1</v>
      </c>
      <c r="M8" s="14"/>
      <c r="N8" s="14"/>
      <c r="O8" s="61" t="s">
        <v>202</v>
      </c>
      <c r="P8" s="60" t="s">
        <v>119</v>
      </c>
      <c r="Q8" s="16"/>
      <c r="R8" s="165" t="s">
        <v>165</v>
      </c>
      <c r="S8" s="69"/>
    </row>
    <row r="9" spans="1:66" s="7" customFormat="1" x14ac:dyDescent="0.25">
      <c r="A9" s="139">
        <v>5</v>
      </c>
      <c r="B9" s="93" t="s">
        <v>157</v>
      </c>
      <c r="C9" s="8" t="s">
        <v>29</v>
      </c>
      <c r="D9" s="48" t="s">
        <v>28</v>
      </c>
      <c r="E9" s="51">
        <v>2023</v>
      </c>
      <c r="F9" s="55">
        <v>46208</v>
      </c>
      <c r="G9" s="55">
        <v>46208</v>
      </c>
      <c r="H9" s="47"/>
      <c r="I9" s="47"/>
      <c r="J9" s="66"/>
      <c r="K9" s="21">
        <f t="shared" si="0"/>
        <v>1</v>
      </c>
      <c r="L9" s="21">
        <f t="shared" si="0"/>
        <v>1</v>
      </c>
      <c r="M9" s="21"/>
      <c r="N9" s="21"/>
      <c r="O9" s="61" t="s">
        <v>169</v>
      </c>
      <c r="P9" s="165" t="s">
        <v>52</v>
      </c>
      <c r="Q9" s="16"/>
      <c r="R9" s="165"/>
      <c r="S9" s="69"/>
    </row>
    <row r="10" spans="1:66" s="7" customFormat="1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90"/>
      <c r="Q10" s="16"/>
      <c r="R10" s="165"/>
      <c r="S10" s="69"/>
    </row>
    <row r="11" spans="1:66" s="7" customFormat="1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>
        <v>1</v>
      </c>
      <c r="B16" s="90" t="s">
        <v>85</v>
      </c>
      <c r="C16" s="6" t="s">
        <v>29</v>
      </c>
      <c r="D16" s="36" t="s">
        <v>28</v>
      </c>
      <c r="E16" s="49">
        <v>2023</v>
      </c>
      <c r="F16" s="20">
        <v>46157</v>
      </c>
      <c r="G16" s="20">
        <v>46157</v>
      </c>
      <c r="H16" s="37"/>
      <c r="I16" s="37"/>
      <c r="J16" s="68"/>
      <c r="K16" s="14">
        <f t="shared" ref="K16:L17" si="1">$F$1-F16</f>
        <v>52</v>
      </c>
      <c r="L16" s="14">
        <f t="shared" si="1"/>
        <v>52</v>
      </c>
      <c r="M16" s="14"/>
      <c r="N16" s="14"/>
      <c r="O16" s="16" t="s">
        <v>172</v>
      </c>
      <c r="P16" s="58" t="s">
        <v>112</v>
      </c>
      <c r="Q16" s="16"/>
      <c r="R16" s="70"/>
      <c r="S16" s="69"/>
    </row>
    <row r="17" spans="1:66" s="7" customFormat="1" ht="55.2" customHeight="1" x14ac:dyDescent="0.25">
      <c r="A17" s="78">
        <v>2</v>
      </c>
      <c r="B17" s="58" t="s">
        <v>65</v>
      </c>
      <c r="C17" s="6" t="s">
        <v>29</v>
      </c>
      <c r="D17" s="36" t="s">
        <v>28</v>
      </c>
      <c r="E17" s="49">
        <v>2023</v>
      </c>
      <c r="F17" s="20">
        <v>46187</v>
      </c>
      <c r="G17" s="20">
        <v>46187</v>
      </c>
      <c r="H17" s="37"/>
      <c r="I17" s="37"/>
      <c r="J17" s="68"/>
      <c r="K17" s="14">
        <f t="shared" si="1"/>
        <v>22</v>
      </c>
      <c r="L17" s="14">
        <f t="shared" si="1"/>
        <v>22</v>
      </c>
      <c r="M17" s="14"/>
      <c r="N17" s="14"/>
      <c r="O17" s="16" t="s">
        <v>184</v>
      </c>
      <c r="P17" s="67" t="s">
        <v>153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2">$F$1-F21</f>
        <v>46</v>
      </c>
      <c r="L21" s="14">
        <f t="shared" si="2"/>
        <v>46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6E6C-E8EB-49BA-8385-4408899B61D3}">
  <dimension ref="A1:BN22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46210</v>
      </c>
      <c r="G1" s="20">
        <v>46210</v>
      </c>
      <c r="H1" s="20">
        <v>46210</v>
      </c>
      <c r="I1" s="20">
        <v>46210</v>
      </c>
      <c r="J1" s="20">
        <v>46210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8" t="s">
        <v>7</v>
      </c>
      <c r="L3" s="188" t="s">
        <v>19</v>
      </c>
      <c r="M3" s="188" t="s">
        <v>20</v>
      </c>
      <c r="N3" s="18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9" si="0">$F$1-F5</f>
        <v>8</v>
      </c>
      <c r="L5" s="14">
        <f t="shared" si="0"/>
        <v>8</v>
      </c>
      <c r="M5" s="14"/>
      <c r="N5" s="14"/>
      <c r="O5" s="16" t="s">
        <v>201</v>
      </c>
      <c r="P5" s="90" t="s">
        <v>52</v>
      </c>
      <c r="Q5" s="93" t="s">
        <v>197</v>
      </c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14</v>
      </c>
      <c r="L6" s="14">
        <f t="shared" si="0"/>
        <v>14</v>
      </c>
      <c r="M6" s="14"/>
      <c r="N6" s="14"/>
      <c r="O6" s="16" t="s">
        <v>180</v>
      </c>
      <c r="P6" s="58"/>
      <c r="Q6" s="165" t="s">
        <v>52</v>
      </c>
      <c r="R6" s="67" t="s">
        <v>196</v>
      </c>
      <c r="S6" s="69"/>
    </row>
    <row r="7" spans="1:66" s="7" customFormat="1" x14ac:dyDescent="0.25">
      <c r="A7" s="139">
        <v>3</v>
      </c>
      <c r="B7" s="93" t="s">
        <v>200</v>
      </c>
      <c r="C7" s="8" t="s">
        <v>29</v>
      </c>
      <c r="D7" s="48" t="s">
        <v>28</v>
      </c>
      <c r="E7" s="51">
        <v>2023</v>
      </c>
      <c r="F7" s="55">
        <v>46203</v>
      </c>
      <c r="G7" s="55">
        <v>46203</v>
      </c>
      <c r="H7" s="47"/>
      <c r="I7" s="47"/>
      <c r="J7" s="66"/>
      <c r="K7" s="21">
        <f t="shared" si="0"/>
        <v>7</v>
      </c>
      <c r="L7" s="21">
        <f t="shared" si="0"/>
        <v>7</v>
      </c>
      <c r="M7" s="21"/>
      <c r="N7" s="21"/>
      <c r="O7" s="61" t="s">
        <v>169</v>
      </c>
      <c r="P7" s="93" t="s">
        <v>10</v>
      </c>
      <c r="Q7" s="58"/>
      <c r="R7" s="70" t="s">
        <v>198</v>
      </c>
      <c r="S7" s="69"/>
    </row>
    <row r="8" spans="1:66" s="7" customFormat="1" x14ac:dyDescent="0.25">
      <c r="A8" s="139">
        <v>4</v>
      </c>
      <c r="B8" s="93" t="s">
        <v>192</v>
      </c>
      <c r="C8" s="8" t="s">
        <v>29</v>
      </c>
      <c r="D8" s="48" t="s">
        <v>28</v>
      </c>
      <c r="E8" s="51">
        <v>2023</v>
      </c>
      <c r="F8" s="55">
        <v>46208</v>
      </c>
      <c r="G8" s="55">
        <v>46208</v>
      </c>
      <c r="H8" s="37"/>
      <c r="I8" s="37"/>
      <c r="J8" s="68"/>
      <c r="K8" s="21">
        <f t="shared" si="0"/>
        <v>2</v>
      </c>
      <c r="L8" s="21">
        <f t="shared" si="0"/>
        <v>2</v>
      </c>
      <c r="M8" s="14"/>
      <c r="N8" s="14"/>
      <c r="O8" s="61" t="s">
        <v>202</v>
      </c>
      <c r="P8" s="60" t="s">
        <v>119</v>
      </c>
      <c r="Q8" s="16"/>
      <c r="R8" s="165" t="s">
        <v>165</v>
      </c>
      <c r="S8" s="69"/>
    </row>
    <row r="9" spans="1:66" s="7" customFormat="1" x14ac:dyDescent="0.25">
      <c r="A9" s="139">
        <v>5</v>
      </c>
      <c r="B9" s="93" t="s">
        <v>157</v>
      </c>
      <c r="C9" s="8" t="s">
        <v>29</v>
      </c>
      <c r="D9" s="48" t="s">
        <v>28</v>
      </c>
      <c r="E9" s="51">
        <v>2023</v>
      </c>
      <c r="F9" s="55">
        <v>46208</v>
      </c>
      <c r="G9" s="55">
        <v>46208</v>
      </c>
      <c r="H9" s="47"/>
      <c r="I9" s="47"/>
      <c r="J9" s="66"/>
      <c r="K9" s="21">
        <f t="shared" si="0"/>
        <v>2</v>
      </c>
      <c r="L9" s="21">
        <f t="shared" si="0"/>
        <v>2</v>
      </c>
      <c r="M9" s="21"/>
      <c r="N9" s="21"/>
      <c r="O9" s="61" t="s">
        <v>169</v>
      </c>
      <c r="P9" s="165" t="s">
        <v>52</v>
      </c>
      <c r="Q9" s="16"/>
      <c r="R9" s="165"/>
      <c r="S9" s="69"/>
    </row>
    <row r="10" spans="1:66" s="7" customFormat="1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90"/>
      <c r="Q10" s="16"/>
      <c r="R10" s="165"/>
      <c r="S10" s="69"/>
    </row>
    <row r="11" spans="1:66" s="7" customFormat="1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65"/>
      <c r="S11" s="69"/>
    </row>
    <row r="12" spans="1:66" s="7" customFormat="1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65"/>
      <c r="S12" s="69"/>
    </row>
    <row r="13" spans="1:66" s="7" customFormat="1" ht="13.95" customHeight="1" x14ac:dyDescent="0.25">
      <c r="A13" s="52"/>
      <c r="B13" s="29"/>
      <c r="C13" s="12"/>
      <c r="D13" s="19"/>
      <c r="E13" s="18"/>
      <c r="F13" s="22"/>
      <c r="G13" s="22"/>
      <c r="H13" s="22"/>
      <c r="I13" s="22"/>
      <c r="J13" s="22"/>
      <c r="K13" s="18"/>
      <c r="L13" s="22"/>
      <c r="M13" s="22"/>
      <c r="N13" s="22"/>
      <c r="O13" s="30" t="s">
        <v>22</v>
      </c>
      <c r="P13" s="12"/>
      <c r="Q13" s="12"/>
      <c r="R13" s="19"/>
      <c r="S13" s="30"/>
    </row>
    <row r="14" spans="1:66" s="7" customFormat="1" ht="13.95" customHeight="1" x14ac:dyDescent="0.25">
      <c r="A14" s="56"/>
      <c r="B14" s="67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62"/>
      <c r="Q14" s="57"/>
      <c r="R14" s="50"/>
      <c r="S14" s="46"/>
    </row>
    <row r="15" spans="1:66" s="35" customFormat="1" ht="13.95" customHeight="1" x14ac:dyDescent="0.25">
      <c r="A15" s="53"/>
      <c r="B15" s="31"/>
      <c r="C15" s="12"/>
      <c r="D15" s="19" t="s">
        <v>0</v>
      </c>
      <c r="E15" s="18"/>
      <c r="F15" s="32"/>
      <c r="G15" s="32"/>
      <c r="H15" s="32"/>
      <c r="I15" s="32"/>
      <c r="J15" s="32"/>
      <c r="K15" s="18"/>
      <c r="L15" s="32"/>
      <c r="M15" s="32"/>
      <c r="N15" s="32"/>
      <c r="O15" s="33" t="s">
        <v>23</v>
      </c>
      <c r="P15" s="19"/>
      <c r="Q15" s="19"/>
      <c r="R15" s="34"/>
      <c r="S15" s="3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</row>
    <row r="16" spans="1:66" s="7" customFormat="1" ht="24" customHeight="1" x14ac:dyDescent="0.25">
      <c r="A16" s="78">
        <v>1</v>
      </c>
      <c r="B16" s="90" t="s">
        <v>85</v>
      </c>
      <c r="C16" s="6" t="s">
        <v>29</v>
      </c>
      <c r="D16" s="36" t="s">
        <v>28</v>
      </c>
      <c r="E16" s="49">
        <v>2023</v>
      </c>
      <c r="F16" s="20">
        <v>46157</v>
      </c>
      <c r="G16" s="20">
        <v>46157</v>
      </c>
      <c r="H16" s="37"/>
      <c r="I16" s="37"/>
      <c r="J16" s="68"/>
      <c r="K16" s="14">
        <f t="shared" ref="K16:L17" si="1">$F$1-F16</f>
        <v>53</v>
      </c>
      <c r="L16" s="14">
        <f t="shared" si="1"/>
        <v>53</v>
      </c>
      <c r="M16" s="14"/>
      <c r="N16" s="14"/>
      <c r="O16" s="16" t="s">
        <v>172</v>
      </c>
      <c r="P16" s="58" t="s">
        <v>112</v>
      </c>
      <c r="Q16" s="16"/>
      <c r="R16" s="70"/>
      <c r="S16" s="69"/>
    </row>
    <row r="17" spans="1:66" s="7" customFormat="1" ht="55.2" customHeight="1" x14ac:dyDescent="0.25">
      <c r="A17" s="78">
        <v>2</v>
      </c>
      <c r="B17" s="58" t="s">
        <v>65</v>
      </c>
      <c r="C17" s="6" t="s">
        <v>29</v>
      </c>
      <c r="D17" s="36" t="s">
        <v>28</v>
      </c>
      <c r="E17" s="49">
        <v>2023</v>
      </c>
      <c r="F17" s="20">
        <v>46187</v>
      </c>
      <c r="G17" s="20">
        <v>46187</v>
      </c>
      <c r="H17" s="37"/>
      <c r="I17" s="37"/>
      <c r="J17" s="68"/>
      <c r="K17" s="14">
        <f t="shared" si="1"/>
        <v>23</v>
      </c>
      <c r="L17" s="14">
        <f t="shared" si="1"/>
        <v>23</v>
      </c>
      <c r="M17" s="14"/>
      <c r="N17" s="14"/>
      <c r="O17" s="16" t="s">
        <v>184</v>
      </c>
      <c r="P17" s="67" t="s">
        <v>153</v>
      </c>
      <c r="Q17" s="16"/>
      <c r="R17" s="70"/>
      <c r="S17" s="69"/>
    </row>
    <row r="18" spans="1:66" s="35" customFormat="1" ht="13.95" customHeight="1" x14ac:dyDescent="0.3">
      <c r="A18" s="54"/>
      <c r="B18" s="38"/>
      <c r="C18" s="39"/>
      <c r="D18" s="38"/>
      <c r="E18" s="40"/>
      <c r="F18" s="41"/>
      <c r="G18" s="41"/>
      <c r="H18" s="41"/>
      <c r="I18" s="41"/>
      <c r="J18" s="41"/>
      <c r="K18" s="42"/>
      <c r="L18" s="41"/>
      <c r="M18" s="41"/>
      <c r="N18" s="41"/>
      <c r="O18" s="43" t="s">
        <v>37</v>
      </c>
      <c r="P18" s="44"/>
      <c r="Q18" s="44"/>
      <c r="R18" s="45"/>
      <c r="S18" s="4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3.95" customHeight="1" x14ac:dyDescent="0.3">
      <c r="A19" s="17"/>
      <c r="B19" s="77"/>
      <c r="C19" s="71"/>
      <c r="D19" s="77"/>
      <c r="E19" s="72"/>
      <c r="F19" s="73"/>
      <c r="G19" s="73"/>
      <c r="H19" s="73"/>
      <c r="I19" s="73"/>
      <c r="J19" s="73"/>
      <c r="K19" s="74"/>
      <c r="L19" s="73"/>
      <c r="M19" s="73"/>
      <c r="N19" s="73"/>
      <c r="O19" s="71"/>
      <c r="P19" s="76"/>
      <c r="Q19" s="76"/>
      <c r="R19" s="70"/>
      <c r="S19" s="75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38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27" customHeight="1" x14ac:dyDescent="0.3">
      <c r="A21" s="17">
        <v>1</v>
      </c>
      <c r="B21" s="90" t="s">
        <v>116</v>
      </c>
      <c r="C21" s="79" t="s">
        <v>32</v>
      </c>
      <c r="D21" s="80" t="s">
        <v>28</v>
      </c>
      <c r="E21" s="49">
        <v>2010</v>
      </c>
      <c r="F21" s="20">
        <v>46163</v>
      </c>
      <c r="G21" s="20">
        <v>46163</v>
      </c>
      <c r="H21" s="37"/>
      <c r="I21" s="37"/>
      <c r="J21" s="68"/>
      <c r="K21" s="14">
        <f t="shared" ref="K21:L21" si="2">$F$1-F21</f>
        <v>47</v>
      </c>
      <c r="L21" s="14">
        <f t="shared" si="2"/>
        <v>47</v>
      </c>
      <c r="M21" s="14"/>
      <c r="N21" s="14"/>
      <c r="O21" s="16" t="s">
        <v>166</v>
      </c>
      <c r="P21" s="58" t="s">
        <v>9</v>
      </c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/>
      <c r="P22" s="43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35FE-38C4-4E11-9BE0-F6884B000D39}">
  <dimension ref="A1:BN23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46211</v>
      </c>
      <c r="G1" s="20">
        <v>46211</v>
      </c>
      <c r="H1" s="20">
        <v>46211</v>
      </c>
      <c r="I1" s="20">
        <v>46211</v>
      </c>
      <c r="J1" s="20">
        <v>46211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89" t="s">
        <v>7</v>
      </c>
      <c r="L3" s="189" t="s">
        <v>19</v>
      </c>
      <c r="M3" s="189" t="s">
        <v>20</v>
      </c>
      <c r="N3" s="189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9" si="0">$F$1-F5</f>
        <v>9</v>
      </c>
      <c r="L5" s="14">
        <f t="shared" si="0"/>
        <v>9</v>
      </c>
      <c r="M5" s="14"/>
      <c r="N5" s="14"/>
      <c r="O5" s="16" t="s">
        <v>201</v>
      </c>
      <c r="P5" s="90" t="s">
        <v>52</v>
      </c>
      <c r="Q5" s="93"/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15</v>
      </c>
      <c r="L6" s="14">
        <f t="shared" si="0"/>
        <v>15</v>
      </c>
      <c r="M6" s="14"/>
      <c r="N6" s="14"/>
      <c r="O6" s="16" t="s">
        <v>180</v>
      </c>
      <c r="P6" s="58"/>
      <c r="Q6" s="165"/>
      <c r="R6" s="67" t="s">
        <v>196</v>
      </c>
      <c r="S6" s="69"/>
    </row>
    <row r="7" spans="1:66" s="7" customFormat="1" x14ac:dyDescent="0.25">
      <c r="A7" s="78">
        <v>3</v>
      </c>
      <c r="B7" s="90" t="s">
        <v>200</v>
      </c>
      <c r="C7" s="6" t="s">
        <v>29</v>
      </c>
      <c r="D7" s="36" t="s">
        <v>28</v>
      </c>
      <c r="E7" s="49">
        <v>2023</v>
      </c>
      <c r="F7" s="20">
        <v>46203</v>
      </c>
      <c r="G7" s="20">
        <v>46203</v>
      </c>
      <c r="H7" s="37"/>
      <c r="I7" s="37"/>
      <c r="J7" s="68"/>
      <c r="K7" s="14">
        <f t="shared" si="0"/>
        <v>8</v>
      </c>
      <c r="L7" s="14">
        <f t="shared" si="0"/>
        <v>8</v>
      </c>
      <c r="M7" s="14"/>
      <c r="N7" s="14"/>
      <c r="O7" s="16" t="s">
        <v>169</v>
      </c>
      <c r="P7" s="90" t="s">
        <v>10</v>
      </c>
      <c r="Q7" s="58"/>
      <c r="R7" s="70" t="s">
        <v>198</v>
      </c>
      <c r="S7" s="69"/>
    </row>
    <row r="8" spans="1:66" s="7" customFormat="1" ht="15.6" x14ac:dyDescent="0.25">
      <c r="A8" s="78">
        <v>4</v>
      </c>
      <c r="B8" s="90" t="s">
        <v>192</v>
      </c>
      <c r="C8" s="6" t="s">
        <v>29</v>
      </c>
      <c r="D8" s="36" t="s">
        <v>28</v>
      </c>
      <c r="E8" s="49">
        <v>2023</v>
      </c>
      <c r="F8" s="20">
        <v>46208</v>
      </c>
      <c r="G8" s="20">
        <v>46208</v>
      </c>
      <c r="H8" s="37"/>
      <c r="I8" s="37"/>
      <c r="J8" s="68"/>
      <c r="K8" s="14">
        <f t="shared" si="0"/>
        <v>3</v>
      </c>
      <c r="L8" s="14">
        <f t="shared" si="0"/>
        <v>3</v>
      </c>
      <c r="M8" s="14"/>
      <c r="N8" s="14"/>
      <c r="O8" s="16" t="s">
        <v>202</v>
      </c>
      <c r="P8" s="58" t="s">
        <v>119</v>
      </c>
      <c r="Q8" s="16"/>
      <c r="R8" s="191" t="s">
        <v>204</v>
      </c>
      <c r="S8" s="69"/>
    </row>
    <row r="9" spans="1:66" s="7" customFormat="1" ht="15.6" x14ac:dyDescent="0.25">
      <c r="A9" s="78">
        <v>5</v>
      </c>
      <c r="B9" s="90" t="s">
        <v>157</v>
      </c>
      <c r="C9" s="6" t="s">
        <v>29</v>
      </c>
      <c r="D9" s="36" t="s">
        <v>28</v>
      </c>
      <c r="E9" s="49">
        <v>2023</v>
      </c>
      <c r="F9" s="20">
        <v>46208</v>
      </c>
      <c r="G9" s="20">
        <v>46208</v>
      </c>
      <c r="H9" s="37"/>
      <c r="I9" s="37"/>
      <c r="J9" s="68"/>
      <c r="K9" s="14">
        <f t="shared" si="0"/>
        <v>3</v>
      </c>
      <c r="L9" s="14">
        <f t="shared" si="0"/>
        <v>3</v>
      </c>
      <c r="M9" s="14"/>
      <c r="N9" s="14"/>
      <c r="O9" s="16" t="s">
        <v>169</v>
      </c>
      <c r="P9" s="70" t="s">
        <v>52</v>
      </c>
      <c r="Q9" s="16"/>
      <c r="R9" s="191" t="s">
        <v>205</v>
      </c>
      <c r="S9" s="69"/>
    </row>
    <row r="10" spans="1:66" s="7" customFormat="1" ht="15.6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90"/>
      <c r="Q10" s="16"/>
      <c r="R10" s="191" t="s">
        <v>206</v>
      </c>
      <c r="S10" s="69"/>
    </row>
    <row r="11" spans="1:66" s="7" customFormat="1" ht="15.6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91" t="s">
        <v>207</v>
      </c>
      <c r="S11" s="69"/>
    </row>
    <row r="12" spans="1:66" s="7" customFormat="1" ht="15.6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208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209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4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8" si="1">$F$1-F17</f>
        <v>54</v>
      </c>
      <c r="L17" s="14">
        <f t="shared" si="1"/>
        <v>54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40.950000000000003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24</v>
      </c>
      <c r="L18" s="14">
        <f t="shared" si="1"/>
        <v>24</v>
      </c>
      <c r="M18" s="14"/>
      <c r="N18" s="14"/>
      <c r="O18" s="16" t="s">
        <v>203</v>
      </c>
      <c r="P18" s="67" t="s">
        <v>153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7" customFormat="1" ht="27" customHeight="1" x14ac:dyDescent="0.3">
      <c r="A22" s="17">
        <v>1</v>
      </c>
      <c r="B22" s="90" t="s">
        <v>116</v>
      </c>
      <c r="C22" s="79" t="s">
        <v>32</v>
      </c>
      <c r="D22" s="80" t="s">
        <v>28</v>
      </c>
      <c r="E22" s="49">
        <v>2010</v>
      </c>
      <c r="F22" s="20">
        <v>46163</v>
      </c>
      <c r="G22" s="20">
        <v>46163</v>
      </c>
      <c r="H22" s="37"/>
      <c r="I22" s="37"/>
      <c r="J22" s="68"/>
      <c r="K22" s="14">
        <f t="shared" ref="K22:L22" si="2">$F$1-F22</f>
        <v>48</v>
      </c>
      <c r="L22" s="14">
        <f t="shared" si="2"/>
        <v>48</v>
      </c>
      <c r="M22" s="14"/>
      <c r="N22" s="14"/>
      <c r="O22" s="16" t="s">
        <v>166</v>
      </c>
      <c r="P22" s="58" t="s">
        <v>9</v>
      </c>
      <c r="Q22" s="76"/>
      <c r="R22" s="70"/>
      <c r="S22" s="75"/>
    </row>
    <row r="23" spans="1:66" s="35" customFormat="1" ht="13.95" customHeight="1" x14ac:dyDescent="0.3">
      <c r="A23" s="54"/>
      <c r="B23" s="38"/>
      <c r="C23" s="39"/>
      <c r="D23" s="38"/>
      <c r="E23" s="40"/>
      <c r="F23" s="41"/>
      <c r="G23" s="41"/>
      <c r="H23" s="41"/>
      <c r="I23" s="41"/>
      <c r="J23" s="41"/>
      <c r="K23" s="42"/>
      <c r="L23" s="41"/>
      <c r="M23" s="41"/>
      <c r="N23" s="41"/>
      <c r="O23" s="43"/>
      <c r="P23" s="43"/>
      <c r="Q23" s="44"/>
      <c r="R23" s="45"/>
      <c r="S23" s="43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A63BB-6D1D-4E1F-8153-ABF932553996}">
  <dimension ref="A1:BN23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46212</v>
      </c>
      <c r="G1" s="20">
        <v>46212</v>
      </c>
      <c r="H1" s="20">
        <v>46212</v>
      </c>
      <c r="I1" s="20">
        <v>46212</v>
      </c>
      <c r="J1" s="20">
        <v>46212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0" t="s">
        <v>7</v>
      </c>
      <c r="L3" s="190" t="s">
        <v>19</v>
      </c>
      <c r="M3" s="190" t="s">
        <v>20</v>
      </c>
      <c r="N3" s="19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10" si="0">$F$1-F5</f>
        <v>10</v>
      </c>
      <c r="L5" s="14">
        <f t="shared" si="0"/>
        <v>10</v>
      </c>
      <c r="M5" s="14"/>
      <c r="N5" s="14"/>
      <c r="O5" s="16" t="s">
        <v>201</v>
      </c>
      <c r="P5" s="90" t="s">
        <v>52</v>
      </c>
      <c r="Q5" s="93"/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16</v>
      </c>
      <c r="L6" s="14">
        <f t="shared" si="0"/>
        <v>16</v>
      </c>
      <c r="M6" s="14"/>
      <c r="N6" s="14"/>
      <c r="O6" s="16" t="s">
        <v>180</v>
      </c>
      <c r="P6" s="58"/>
      <c r="Q6" s="165"/>
      <c r="R6" s="67" t="s">
        <v>196</v>
      </c>
      <c r="S6" s="69"/>
    </row>
    <row r="7" spans="1:66" s="7" customFormat="1" x14ac:dyDescent="0.25">
      <c r="A7" s="78">
        <v>3</v>
      </c>
      <c r="B7" s="90" t="s">
        <v>200</v>
      </c>
      <c r="C7" s="6" t="s">
        <v>29</v>
      </c>
      <c r="D7" s="36" t="s">
        <v>28</v>
      </c>
      <c r="E7" s="49">
        <v>2023</v>
      </c>
      <c r="F7" s="20">
        <v>46203</v>
      </c>
      <c r="G7" s="20">
        <v>46203</v>
      </c>
      <c r="H7" s="37"/>
      <c r="I7" s="37"/>
      <c r="J7" s="68"/>
      <c r="K7" s="14">
        <f t="shared" si="0"/>
        <v>9</v>
      </c>
      <c r="L7" s="14">
        <f t="shared" si="0"/>
        <v>9</v>
      </c>
      <c r="M7" s="14"/>
      <c r="N7" s="14"/>
      <c r="O7" s="16" t="s">
        <v>169</v>
      </c>
      <c r="P7" s="90" t="s">
        <v>10</v>
      </c>
      <c r="Q7" s="58"/>
      <c r="R7" s="70" t="s">
        <v>198</v>
      </c>
      <c r="S7" s="69"/>
    </row>
    <row r="8" spans="1:66" s="7" customFormat="1" ht="15.6" x14ac:dyDescent="0.25">
      <c r="A8" s="78">
        <v>4</v>
      </c>
      <c r="B8" s="90" t="s">
        <v>192</v>
      </c>
      <c r="C8" s="6" t="s">
        <v>29</v>
      </c>
      <c r="D8" s="36" t="s">
        <v>28</v>
      </c>
      <c r="E8" s="49">
        <v>2023</v>
      </c>
      <c r="F8" s="20">
        <v>46208</v>
      </c>
      <c r="G8" s="20">
        <v>46208</v>
      </c>
      <c r="H8" s="37"/>
      <c r="I8" s="37"/>
      <c r="J8" s="68"/>
      <c r="K8" s="14">
        <f t="shared" si="0"/>
        <v>4</v>
      </c>
      <c r="L8" s="14">
        <f t="shared" si="0"/>
        <v>4</v>
      </c>
      <c r="M8" s="14"/>
      <c r="N8" s="14"/>
      <c r="O8" s="16" t="s">
        <v>202</v>
      </c>
      <c r="P8" s="58" t="s">
        <v>119</v>
      </c>
      <c r="Q8" s="16"/>
      <c r="R8" s="191" t="s">
        <v>204</v>
      </c>
      <c r="S8" s="69"/>
    </row>
    <row r="9" spans="1:66" s="7" customFormat="1" ht="15.6" x14ac:dyDescent="0.25">
      <c r="A9" s="78">
        <v>5</v>
      </c>
      <c r="B9" s="90" t="s">
        <v>157</v>
      </c>
      <c r="C9" s="6" t="s">
        <v>29</v>
      </c>
      <c r="D9" s="36" t="s">
        <v>28</v>
      </c>
      <c r="E9" s="49">
        <v>2023</v>
      </c>
      <c r="F9" s="20">
        <v>46208</v>
      </c>
      <c r="G9" s="20">
        <v>46208</v>
      </c>
      <c r="H9" s="37"/>
      <c r="I9" s="37"/>
      <c r="J9" s="68"/>
      <c r="K9" s="14">
        <f t="shared" si="0"/>
        <v>4</v>
      </c>
      <c r="L9" s="14">
        <f t="shared" si="0"/>
        <v>4</v>
      </c>
      <c r="M9" s="14"/>
      <c r="N9" s="14"/>
      <c r="O9" s="16" t="s">
        <v>169</v>
      </c>
      <c r="P9" s="70" t="s">
        <v>52</v>
      </c>
      <c r="Q9" s="16"/>
      <c r="R9" s="191" t="s">
        <v>205</v>
      </c>
      <c r="S9" s="69"/>
    </row>
    <row r="10" spans="1:66" s="7" customFormat="1" ht="15.6" x14ac:dyDescent="0.25">
      <c r="A10" s="78">
        <v>6</v>
      </c>
      <c r="B10" s="93" t="s">
        <v>57</v>
      </c>
      <c r="C10" s="8" t="s">
        <v>29</v>
      </c>
      <c r="D10" s="48" t="s">
        <v>28</v>
      </c>
      <c r="E10" s="51">
        <v>2023</v>
      </c>
      <c r="F10" s="55">
        <v>46212</v>
      </c>
      <c r="G10" s="55">
        <v>46212</v>
      </c>
      <c r="H10" s="47"/>
      <c r="I10" s="47"/>
      <c r="J10" s="66"/>
      <c r="K10" s="21">
        <f t="shared" si="0"/>
        <v>0</v>
      </c>
      <c r="L10" s="21">
        <f t="shared" si="0"/>
        <v>0</v>
      </c>
      <c r="M10" s="21"/>
      <c r="N10" s="21"/>
      <c r="O10" s="61" t="s">
        <v>210</v>
      </c>
      <c r="P10" s="90"/>
      <c r="Q10" s="16"/>
      <c r="R10" s="191" t="s">
        <v>206</v>
      </c>
      <c r="S10" s="69"/>
    </row>
    <row r="11" spans="1:66" s="7" customFormat="1" ht="15.6" x14ac:dyDescent="0.25">
      <c r="A11" s="78"/>
      <c r="B11" s="90"/>
      <c r="C11" s="79"/>
      <c r="D11" s="80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91" t="s">
        <v>207</v>
      </c>
      <c r="S11" s="69"/>
    </row>
    <row r="12" spans="1:66" s="7" customFormat="1" ht="15.6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208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209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4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8" si="1">$F$1-F17</f>
        <v>55</v>
      </c>
      <c r="L17" s="14">
        <f t="shared" si="1"/>
        <v>55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40.950000000000003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25</v>
      </c>
      <c r="L18" s="14">
        <f t="shared" si="1"/>
        <v>25</v>
      </c>
      <c r="M18" s="14"/>
      <c r="N18" s="14"/>
      <c r="O18" s="16" t="s">
        <v>203</v>
      </c>
      <c r="P18" s="67" t="s">
        <v>153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7" customFormat="1" ht="27" customHeight="1" x14ac:dyDescent="0.3">
      <c r="A22" s="17">
        <v>1</v>
      </c>
      <c r="B22" s="90" t="s">
        <v>116</v>
      </c>
      <c r="C22" s="79" t="s">
        <v>32</v>
      </c>
      <c r="D22" s="80" t="s">
        <v>28</v>
      </c>
      <c r="E22" s="49">
        <v>2010</v>
      </c>
      <c r="F22" s="20">
        <v>46163</v>
      </c>
      <c r="G22" s="20">
        <v>46163</v>
      </c>
      <c r="H22" s="37"/>
      <c r="I22" s="37"/>
      <c r="J22" s="68"/>
      <c r="K22" s="14">
        <f t="shared" ref="K22:L22" si="2">$F$1-F22</f>
        <v>49</v>
      </c>
      <c r="L22" s="14">
        <f t="shared" si="2"/>
        <v>49</v>
      </c>
      <c r="M22" s="14"/>
      <c r="N22" s="14"/>
      <c r="O22" s="16" t="s">
        <v>166</v>
      </c>
      <c r="P22" s="58" t="s">
        <v>9</v>
      </c>
      <c r="Q22" s="76"/>
      <c r="R22" s="70"/>
      <c r="S22" s="75"/>
    </row>
    <row r="23" spans="1:66" s="35" customFormat="1" ht="13.95" customHeight="1" x14ac:dyDescent="0.3">
      <c r="A23" s="54"/>
      <c r="B23" s="38"/>
      <c r="C23" s="39"/>
      <c r="D23" s="38"/>
      <c r="E23" s="40"/>
      <c r="F23" s="41"/>
      <c r="G23" s="41"/>
      <c r="H23" s="41"/>
      <c r="I23" s="41"/>
      <c r="J23" s="41"/>
      <c r="K23" s="42"/>
      <c r="L23" s="41"/>
      <c r="M23" s="41"/>
      <c r="N23" s="41"/>
      <c r="O23" s="43"/>
      <c r="P23" s="43"/>
      <c r="Q23" s="44"/>
      <c r="R23" s="45"/>
      <c r="S23" s="43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1141-5794-4F0B-9875-0E6E6E54511E}">
  <dimension ref="A1:BN23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46213</v>
      </c>
      <c r="G1" s="20">
        <v>46213</v>
      </c>
      <c r="H1" s="20">
        <v>46213</v>
      </c>
      <c r="I1" s="20">
        <v>46213</v>
      </c>
      <c r="J1" s="20">
        <v>46213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2" t="s">
        <v>7</v>
      </c>
      <c r="L3" s="192" t="s">
        <v>19</v>
      </c>
      <c r="M3" s="192" t="s">
        <v>20</v>
      </c>
      <c r="N3" s="192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11" si="0">$F$1-F5</f>
        <v>11</v>
      </c>
      <c r="L5" s="14">
        <f t="shared" si="0"/>
        <v>11</v>
      </c>
      <c r="M5" s="14"/>
      <c r="N5" s="14"/>
      <c r="O5" s="16" t="s">
        <v>201</v>
      </c>
      <c r="P5" s="90"/>
      <c r="Q5" s="93"/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17</v>
      </c>
      <c r="L6" s="14">
        <f t="shared" si="0"/>
        <v>17</v>
      </c>
      <c r="M6" s="14"/>
      <c r="N6" s="14"/>
      <c r="O6" s="16" t="s">
        <v>180</v>
      </c>
      <c r="P6" s="58"/>
      <c r="Q6" s="165"/>
      <c r="R6" s="67" t="s">
        <v>196</v>
      </c>
      <c r="S6" s="69"/>
    </row>
    <row r="7" spans="1:66" s="7" customFormat="1" x14ac:dyDescent="0.25">
      <c r="A7" s="78">
        <v>3</v>
      </c>
      <c r="B7" s="90" t="s">
        <v>200</v>
      </c>
      <c r="C7" s="6" t="s">
        <v>29</v>
      </c>
      <c r="D7" s="36" t="s">
        <v>28</v>
      </c>
      <c r="E7" s="49">
        <v>2023</v>
      </c>
      <c r="F7" s="20">
        <v>46203</v>
      </c>
      <c r="G7" s="20">
        <v>46203</v>
      </c>
      <c r="H7" s="37"/>
      <c r="I7" s="37"/>
      <c r="J7" s="68"/>
      <c r="K7" s="14">
        <f t="shared" si="0"/>
        <v>10</v>
      </c>
      <c r="L7" s="14">
        <f t="shared" si="0"/>
        <v>10</v>
      </c>
      <c r="M7" s="14"/>
      <c r="N7" s="14"/>
      <c r="O7" s="16" t="s">
        <v>169</v>
      </c>
      <c r="P7" s="90" t="s">
        <v>10</v>
      </c>
      <c r="Q7" s="58"/>
      <c r="R7" s="70" t="s">
        <v>198</v>
      </c>
      <c r="S7" s="69"/>
    </row>
    <row r="8" spans="1:66" s="7" customFormat="1" ht="15.6" x14ac:dyDescent="0.25">
      <c r="A8" s="78">
        <v>4</v>
      </c>
      <c r="B8" s="90" t="s">
        <v>192</v>
      </c>
      <c r="C8" s="6" t="s">
        <v>29</v>
      </c>
      <c r="D8" s="36" t="s">
        <v>28</v>
      </c>
      <c r="E8" s="49">
        <v>2023</v>
      </c>
      <c r="F8" s="20">
        <v>46208</v>
      </c>
      <c r="G8" s="20">
        <v>46208</v>
      </c>
      <c r="H8" s="37"/>
      <c r="I8" s="37"/>
      <c r="J8" s="68"/>
      <c r="K8" s="14">
        <f t="shared" si="0"/>
        <v>5</v>
      </c>
      <c r="L8" s="14">
        <f t="shared" si="0"/>
        <v>5</v>
      </c>
      <c r="M8" s="14"/>
      <c r="N8" s="14"/>
      <c r="O8" s="16" t="s">
        <v>202</v>
      </c>
      <c r="P8" s="58" t="s">
        <v>119</v>
      </c>
      <c r="Q8" s="16"/>
      <c r="R8" s="191" t="s">
        <v>204</v>
      </c>
      <c r="S8" s="69"/>
    </row>
    <row r="9" spans="1:66" s="7" customFormat="1" ht="15.6" x14ac:dyDescent="0.25">
      <c r="A9" s="78">
        <v>5</v>
      </c>
      <c r="B9" s="90" t="s">
        <v>157</v>
      </c>
      <c r="C9" s="6" t="s">
        <v>29</v>
      </c>
      <c r="D9" s="36" t="s">
        <v>28</v>
      </c>
      <c r="E9" s="49">
        <v>2023</v>
      </c>
      <c r="F9" s="20">
        <v>46208</v>
      </c>
      <c r="G9" s="20">
        <v>46208</v>
      </c>
      <c r="H9" s="37"/>
      <c r="I9" s="37"/>
      <c r="J9" s="68"/>
      <c r="K9" s="14">
        <f t="shared" si="0"/>
        <v>5</v>
      </c>
      <c r="L9" s="14">
        <f t="shared" si="0"/>
        <v>5</v>
      </c>
      <c r="M9" s="14"/>
      <c r="N9" s="14"/>
      <c r="O9" s="16" t="s">
        <v>169</v>
      </c>
      <c r="P9" s="70" t="s">
        <v>52</v>
      </c>
      <c r="Q9" s="16"/>
      <c r="R9" s="191" t="s">
        <v>205</v>
      </c>
      <c r="S9" s="69"/>
    </row>
    <row r="10" spans="1:66" s="7" customFormat="1" ht="15.6" x14ac:dyDescent="0.25">
      <c r="A10" s="78">
        <v>6</v>
      </c>
      <c r="B10" s="90" t="s">
        <v>57</v>
      </c>
      <c r="C10" s="6" t="s">
        <v>29</v>
      </c>
      <c r="D10" s="36" t="s">
        <v>28</v>
      </c>
      <c r="E10" s="49">
        <v>2023</v>
      </c>
      <c r="F10" s="20">
        <v>46212</v>
      </c>
      <c r="G10" s="20">
        <v>46212</v>
      </c>
      <c r="H10" s="37"/>
      <c r="I10" s="37"/>
      <c r="J10" s="68"/>
      <c r="K10" s="14">
        <f t="shared" si="0"/>
        <v>1</v>
      </c>
      <c r="L10" s="14">
        <f t="shared" si="0"/>
        <v>1</v>
      </c>
      <c r="M10" s="14"/>
      <c r="N10" s="14"/>
      <c r="O10" s="16" t="s">
        <v>211</v>
      </c>
      <c r="P10" s="90"/>
      <c r="Q10" s="16"/>
      <c r="R10" s="191" t="s">
        <v>206</v>
      </c>
      <c r="S10" s="69"/>
    </row>
    <row r="11" spans="1:66" s="7" customFormat="1" ht="15.6" x14ac:dyDescent="0.25">
      <c r="A11" s="78">
        <v>7</v>
      </c>
      <c r="B11" s="93" t="s">
        <v>125</v>
      </c>
      <c r="C11" s="8" t="s">
        <v>29</v>
      </c>
      <c r="D11" s="48" t="s">
        <v>28</v>
      </c>
      <c r="E11" s="51">
        <v>2023</v>
      </c>
      <c r="F11" s="55">
        <v>46213</v>
      </c>
      <c r="G11" s="55">
        <v>46213</v>
      </c>
      <c r="H11" s="47"/>
      <c r="I11" s="47"/>
      <c r="J11" s="66"/>
      <c r="K11" s="21">
        <f t="shared" si="0"/>
        <v>0</v>
      </c>
      <c r="L11" s="21">
        <f t="shared" si="0"/>
        <v>0</v>
      </c>
      <c r="M11" s="21"/>
      <c r="N11" s="21"/>
      <c r="O11" s="61" t="s">
        <v>212</v>
      </c>
      <c r="P11" s="58"/>
      <c r="Q11" s="16"/>
      <c r="R11" s="191" t="s">
        <v>207</v>
      </c>
      <c r="S11" s="69"/>
    </row>
    <row r="12" spans="1:66" s="7" customFormat="1" ht="15.6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208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209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4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8" si="1">$F$1-F17</f>
        <v>56</v>
      </c>
      <c r="L17" s="14">
        <f t="shared" si="1"/>
        <v>56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40.950000000000003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26</v>
      </c>
      <c r="L18" s="14">
        <f t="shared" si="1"/>
        <v>26</v>
      </c>
      <c r="M18" s="14"/>
      <c r="N18" s="14"/>
      <c r="O18" s="16" t="s">
        <v>203</v>
      </c>
      <c r="P18" s="67" t="s">
        <v>153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7" customFormat="1" ht="27" customHeight="1" x14ac:dyDescent="0.3">
      <c r="A22" s="17">
        <v>1</v>
      </c>
      <c r="B22" s="90" t="s">
        <v>116</v>
      </c>
      <c r="C22" s="79" t="s">
        <v>32</v>
      </c>
      <c r="D22" s="80" t="s">
        <v>28</v>
      </c>
      <c r="E22" s="49">
        <v>2010</v>
      </c>
      <c r="F22" s="20">
        <v>46163</v>
      </c>
      <c r="G22" s="20">
        <v>46163</v>
      </c>
      <c r="H22" s="37"/>
      <c r="I22" s="37"/>
      <c r="J22" s="68"/>
      <c r="K22" s="14">
        <f t="shared" ref="K22:L22" si="2">$F$1-F22</f>
        <v>50</v>
      </c>
      <c r="L22" s="14">
        <f t="shared" si="2"/>
        <v>50</v>
      </c>
      <c r="M22" s="14"/>
      <c r="N22" s="14"/>
      <c r="O22" s="16" t="s">
        <v>166</v>
      </c>
      <c r="P22" s="58" t="s">
        <v>9</v>
      </c>
      <c r="Q22" s="76"/>
      <c r="R22" s="70"/>
      <c r="S22" s="75"/>
    </row>
    <row r="23" spans="1:66" s="35" customFormat="1" ht="13.95" customHeight="1" x14ac:dyDescent="0.3">
      <c r="A23" s="54"/>
      <c r="B23" s="38"/>
      <c r="C23" s="39"/>
      <c r="D23" s="38"/>
      <c r="E23" s="40"/>
      <c r="F23" s="41"/>
      <c r="G23" s="41"/>
      <c r="H23" s="41"/>
      <c r="I23" s="41"/>
      <c r="J23" s="41"/>
      <c r="K23" s="42"/>
      <c r="L23" s="41"/>
      <c r="M23" s="41"/>
      <c r="N23" s="41"/>
      <c r="O23" s="43"/>
      <c r="P23" s="43"/>
      <c r="Q23" s="44"/>
      <c r="R23" s="45"/>
      <c r="S23" s="43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BD31-CE05-44DE-B26A-752DE80778BA}">
  <dimension ref="A1:BN23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46214</v>
      </c>
      <c r="G1" s="20">
        <v>46214</v>
      </c>
      <c r="H1" s="20">
        <v>46214</v>
      </c>
      <c r="I1" s="20">
        <v>46214</v>
      </c>
      <c r="J1" s="20">
        <v>46214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3" t="s">
        <v>7</v>
      </c>
      <c r="L3" s="193" t="s">
        <v>19</v>
      </c>
      <c r="M3" s="193" t="s">
        <v>20</v>
      </c>
      <c r="N3" s="193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11" si="0">$F$1-F5</f>
        <v>12</v>
      </c>
      <c r="L5" s="14">
        <f t="shared" si="0"/>
        <v>12</v>
      </c>
      <c r="M5" s="14"/>
      <c r="N5" s="14"/>
      <c r="O5" s="16" t="s">
        <v>201</v>
      </c>
      <c r="P5" s="90"/>
      <c r="Q5" s="93"/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18</v>
      </c>
      <c r="L6" s="14">
        <f t="shared" si="0"/>
        <v>18</v>
      </c>
      <c r="M6" s="14"/>
      <c r="N6" s="14"/>
      <c r="O6" s="16" t="s">
        <v>180</v>
      </c>
      <c r="P6" s="58"/>
      <c r="Q6" s="165"/>
      <c r="R6" s="67" t="s">
        <v>196</v>
      </c>
      <c r="S6" s="69"/>
    </row>
    <row r="7" spans="1:66" s="7" customFormat="1" x14ac:dyDescent="0.25">
      <c r="A7" s="78">
        <v>3</v>
      </c>
      <c r="B7" s="90" t="s">
        <v>200</v>
      </c>
      <c r="C7" s="6" t="s">
        <v>29</v>
      </c>
      <c r="D7" s="36" t="s">
        <v>28</v>
      </c>
      <c r="E7" s="49">
        <v>2023</v>
      </c>
      <c r="F7" s="20">
        <v>46203</v>
      </c>
      <c r="G7" s="20">
        <v>46203</v>
      </c>
      <c r="H7" s="37"/>
      <c r="I7" s="37"/>
      <c r="J7" s="68"/>
      <c r="K7" s="14">
        <f t="shared" si="0"/>
        <v>11</v>
      </c>
      <c r="L7" s="14">
        <f t="shared" si="0"/>
        <v>11</v>
      </c>
      <c r="M7" s="14"/>
      <c r="N7" s="14"/>
      <c r="O7" s="16" t="s">
        <v>169</v>
      </c>
      <c r="P7" s="90" t="s">
        <v>10</v>
      </c>
      <c r="Q7" s="58"/>
      <c r="R7" s="70" t="s">
        <v>198</v>
      </c>
      <c r="S7" s="69"/>
    </row>
    <row r="8" spans="1:66" s="7" customFormat="1" ht="15.6" x14ac:dyDescent="0.25">
      <c r="A8" s="78">
        <v>4</v>
      </c>
      <c r="B8" s="90" t="s">
        <v>192</v>
      </c>
      <c r="C8" s="6" t="s">
        <v>29</v>
      </c>
      <c r="D8" s="36" t="s">
        <v>28</v>
      </c>
      <c r="E8" s="49">
        <v>2023</v>
      </c>
      <c r="F8" s="20">
        <v>46208</v>
      </c>
      <c r="G8" s="20">
        <v>46208</v>
      </c>
      <c r="H8" s="37"/>
      <c r="I8" s="37"/>
      <c r="J8" s="68"/>
      <c r="K8" s="14">
        <f t="shared" si="0"/>
        <v>6</v>
      </c>
      <c r="L8" s="14">
        <f t="shared" si="0"/>
        <v>6</v>
      </c>
      <c r="M8" s="14"/>
      <c r="N8" s="14"/>
      <c r="O8" s="16" t="s">
        <v>202</v>
      </c>
      <c r="P8" s="58" t="s">
        <v>119</v>
      </c>
      <c r="Q8" s="16"/>
      <c r="R8" s="191" t="s">
        <v>204</v>
      </c>
      <c r="S8" s="69"/>
    </row>
    <row r="9" spans="1:66" s="7" customFormat="1" ht="15.6" x14ac:dyDescent="0.25">
      <c r="A9" s="78">
        <v>5</v>
      </c>
      <c r="B9" s="90" t="s">
        <v>157</v>
      </c>
      <c r="C9" s="6" t="s">
        <v>29</v>
      </c>
      <c r="D9" s="36" t="s">
        <v>28</v>
      </c>
      <c r="E9" s="49">
        <v>2023</v>
      </c>
      <c r="F9" s="20">
        <v>46208</v>
      </c>
      <c r="G9" s="20">
        <v>46208</v>
      </c>
      <c r="H9" s="37"/>
      <c r="I9" s="37"/>
      <c r="J9" s="68"/>
      <c r="K9" s="14">
        <f t="shared" si="0"/>
        <v>6</v>
      </c>
      <c r="L9" s="14">
        <f t="shared" si="0"/>
        <v>6</v>
      </c>
      <c r="M9" s="14"/>
      <c r="N9" s="14"/>
      <c r="O9" s="16" t="s">
        <v>169</v>
      </c>
      <c r="P9" s="70" t="s">
        <v>52</v>
      </c>
      <c r="Q9" s="16"/>
      <c r="R9" s="191" t="s">
        <v>205</v>
      </c>
      <c r="S9" s="69"/>
    </row>
    <row r="10" spans="1:66" s="7" customFormat="1" ht="15.6" x14ac:dyDescent="0.25">
      <c r="A10" s="78">
        <v>6</v>
      </c>
      <c r="B10" s="90" t="s">
        <v>57</v>
      </c>
      <c r="C10" s="6" t="s">
        <v>29</v>
      </c>
      <c r="D10" s="36" t="s">
        <v>28</v>
      </c>
      <c r="E10" s="49">
        <v>2023</v>
      </c>
      <c r="F10" s="20">
        <v>46212</v>
      </c>
      <c r="G10" s="20">
        <v>46212</v>
      </c>
      <c r="H10" s="37"/>
      <c r="I10" s="37"/>
      <c r="J10" s="68"/>
      <c r="K10" s="14">
        <f t="shared" si="0"/>
        <v>2</v>
      </c>
      <c r="L10" s="14">
        <f t="shared" si="0"/>
        <v>2</v>
      </c>
      <c r="M10" s="14"/>
      <c r="N10" s="14"/>
      <c r="O10" s="16" t="s">
        <v>211</v>
      </c>
      <c r="P10" s="90"/>
      <c r="Q10" s="16"/>
      <c r="R10" s="191" t="s">
        <v>206</v>
      </c>
      <c r="S10" s="69"/>
    </row>
    <row r="11" spans="1:66" s="7" customFormat="1" ht="15.6" x14ac:dyDescent="0.25">
      <c r="A11" s="78">
        <v>7</v>
      </c>
      <c r="B11" s="90" t="s">
        <v>125</v>
      </c>
      <c r="C11" s="6" t="s">
        <v>29</v>
      </c>
      <c r="D11" s="36" t="s">
        <v>28</v>
      </c>
      <c r="E11" s="49">
        <v>2023</v>
      </c>
      <c r="F11" s="20">
        <v>46213</v>
      </c>
      <c r="G11" s="20">
        <v>46213</v>
      </c>
      <c r="H11" s="37"/>
      <c r="I11" s="37"/>
      <c r="J11" s="68"/>
      <c r="K11" s="14">
        <f t="shared" si="0"/>
        <v>1</v>
      </c>
      <c r="L11" s="14">
        <f t="shared" si="0"/>
        <v>1</v>
      </c>
      <c r="M11" s="14"/>
      <c r="N11" s="14"/>
      <c r="O11" s="16" t="s">
        <v>212</v>
      </c>
      <c r="P11" s="58" t="s">
        <v>213</v>
      </c>
      <c r="Q11" s="16"/>
      <c r="R11" s="191" t="s">
        <v>207</v>
      </c>
      <c r="S11" s="69"/>
    </row>
    <row r="12" spans="1:66" s="7" customFormat="1" ht="15.6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208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209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4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8" si="1">$F$1-F17</f>
        <v>57</v>
      </c>
      <c r="L17" s="14">
        <f t="shared" si="1"/>
        <v>57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40.950000000000003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27</v>
      </c>
      <c r="L18" s="14">
        <f t="shared" si="1"/>
        <v>27</v>
      </c>
      <c r="M18" s="14"/>
      <c r="N18" s="14"/>
      <c r="O18" s="16" t="s">
        <v>203</v>
      </c>
      <c r="P18" s="67" t="s">
        <v>153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7" customFormat="1" ht="27" customHeight="1" x14ac:dyDescent="0.3">
      <c r="A22" s="17">
        <v>1</v>
      </c>
      <c r="B22" s="90" t="s">
        <v>116</v>
      </c>
      <c r="C22" s="79" t="s">
        <v>32</v>
      </c>
      <c r="D22" s="80" t="s">
        <v>28</v>
      </c>
      <c r="E22" s="49">
        <v>2010</v>
      </c>
      <c r="F22" s="20">
        <v>46163</v>
      </c>
      <c r="G22" s="20">
        <v>46163</v>
      </c>
      <c r="H22" s="37"/>
      <c r="I22" s="37"/>
      <c r="J22" s="68"/>
      <c r="K22" s="14">
        <f t="shared" ref="K22:L22" si="2">$F$1-F22</f>
        <v>51</v>
      </c>
      <c r="L22" s="14">
        <f t="shared" si="2"/>
        <v>51</v>
      </c>
      <c r="M22" s="14"/>
      <c r="N22" s="14"/>
      <c r="O22" s="16" t="s">
        <v>166</v>
      </c>
      <c r="P22" s="58" t="s">
        <v>9</v>
      </c>
      <c r="Q22" s="76"/>
      <c r="R22" s="70"/>
      <c r="S22" s="75"/>
    </row>
    <row r="23" spans="1:66" s="35" customFormat="1" ht="13.95" customHeight="1" x14ac:dyDescent="0.3">
      <c r="A23" s="54"/>
      <c r="B23" s="38"/>
      <c r="C23" s="39"/>
      <c r="D23" s="38"/>
      <c r="E23" s="40"/>
      <c r="F23" s="41"/>
      <c r="G23" s="41"/>
      <c r="H23" s="41"/>
      <c r="I23" s="41"/>
      <c r="J23" s="41"/>
      <c r="K23" s="42"/>
      <c r="L23" s="41"/>
      <c r="M23" s="41"/>
      <c r="N23" s="41"/>
      <c r="O23" s="43"/>
      <c r="P23" s="43"/>
      <c r="Q23" s="44"/>
      <c r="R23" s="45"/>
      <c r="S23" s="43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CC6B-BF36-4A2A-B0A1-3F38C0179653}">
  <dimension ref="A1:BN23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9" style="2" customWidth="1"/>
    <col min="4" max="4" width="9.109375" style="2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46215</v>
      </c>
      <c r="G1" s="20">
        <v>46215</v>
      </c>
      <c r="H1" s="20">
        <v>46215</v>
      </c>
      <c r="I1" s="20">
        <v>46215</v>
      </c>
      <c r="J1" s="20">
        <v>46215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4" t="s">
        <v>7</v>
      </c>
      <c r="L3" s="194" t="s">
        <v>19</v>
      </c>
      <c r="M3" s="194" t="s">
        <v>20</v>
      </c>
      <c r="N3" s="194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45</v>
      </c>
      <c r="C5" s="6" t="s">
        <v>29</v>
      </c>
      <c r="D5" s="36" t="s">
        <v>28</v>
      </c>
      <c r="E5" s="49">
        <v>2023</v>
      </c>
      <c r="F5" s="20">
        <v>46202</v>
      </c>
      <c r="G5" s="20">
        <v>46202</v>
      </c>
      <c r="H5" s="37"/>
      <c r="I5" s="37"/>
      <c r="J5" s="68"/>
      <c r="K5" s="14">
        <f t="shared" ref="K5:L11" si="0">$F$1-F5</f>
        <v>13</v>
      </c>
      <c r="L5" s="14">
        <f t="shared" si="0"/>
        <v>13</v>
      </c>
      <c r="M5" s="14"/>
      <c r="N5" s="14"/>
      <c r="O5" s="16" t="s">
        <v>201</v>
      </c>
      <c r="P5" s="90"/>
      <c r="Q5" s="93"/>
      <c r="R5" s="67" t="s">
        <v>26</v>
      </c>
      <c r="S5" s="63"/>
    </row>
    <row r="6" spans="1:66" s="7" customFormat="1" x14ac:dyDescent="0.25">
      <c r="A6" s="78">
        <v>2</v>
      </c>
      <c r="B6" s="90" t="s">
        <v>50</v>
      </c>
      <c r="C6" s="6" t="s">
        <v>32</v>
      </c>
      <c r="D6" s="36" t="s">
        <v>28</v>
      </c>
      <c r="E6" s="49">
        <v>2021</v>
      </c>
      <c r="F6" s="20">
        <v>46196</v>
      </c>
      <c r="G6" s="20">
        <v>46196</v>
      </c>
      <c r="H6" s="37"/>
      <c r="I6" s="37"/>
      <c r="J6" s="68"/>
      <c r="K6" s="14">
        <f t="shared" si="0"/>
        <v>19</v>
      </c>
      <c r="L6" s="14">
        <f t="shared" si="0"/>
        <v>19</v>
      </c>
      <c r="M6" s="14"/>
      <c r="N6" s="14"/>
      <c r="O6" s="16" t="s">
        <v>180</v>
      </c>
      <c r="P6" s="58"/>
      <c r="Q6" s="165"/>
      <c r="R6" s="67" t="s">
        <v>196</v>
      </c>
      <c r="S6" s="69"/>
    </row>
    <row r="7" spans="1:66" s="7" customFormat="1" x14ac:dyDescent="0.25">
      <c r="A7" s="78">
        <v>3</v>
      </c>
      <c r="B7" s="90" t="s">
        <v>200</v>
      </c>
      <c r="C7" s="6" t="s">
        <v>29</v>
      </c>
      <c r="D7" s="36" t="s">
        <v>28</v>
      </c>
      <c r="E7" s="49">
        <v>2023</v>
      </c>
      <c r="F7" s="20">
        <v>46203</v>
      </c>
      <c r="G7" s="20">
        <v>46203</v>
      </c>
      <c r="H7" s="37"/>
      <c r="I7" s="37"/>
      <c r="J7" s="68"/>
      <c r="K7" s="14">
        <f t="shared" si="0"/>
        <v>12</v>
      </c>
      <c r="L7" s="14">
        <f t="shared" si="0"/>
        <v>12</v>
      </c>
      <c r="M7" s="14"/>
      <c r="N7" s="14"/>
      <c r="O7" s="16" t="s">
        <v>169</v>
      </c>
      <c r="P7" s="90" t="s">
        <v>10</v>
      </c>
      <c r="Q7" s="58"/>
      <c r="R7" s="70" t="s">
        <v>198</v>
      </c>
      <c r="S7" s="69"/>
    </row>
    <row r="8" spans="1:66" s="7" customFormat="1" ht="15.6" x14ac:dyDescent="0.25">
      <c r="A8" s="78">
        <v>4</v>
      </c>
      <c r="B8" s="90" t="s">
        <v>192</v>
      </c>
      <c r="C8" s="6" t="s">
        <v>29</v>
      </c>
      <c r="D8" s="36" t="s">
        <v>28</v>
      </c>
      <c r="E8" s="49">
        <v>2023</v>
      </c>
      <c r="F8" s="20">
        <v>46208</v>
      </c>
      <c r="G8" s="20">
        <v>46208</v>
      </c>
      <c r="H8" s="37"/>
      <c r="I8" s="37"/>
      <c r="J8" s="68"/>
      <c r="K8" s="14">
        <f t="shared" si="0"/>
        <v>7</v>
      </c>
      <c r="L8" s="14">
        <f t="shared" si="0"/>
        <v>7</v>
      </c>
      <c r="M8" s="14"/>
      <c r="N8" s="14"/>
      <c r="O8" s="16" t="s">
        <v>202</v>
      </c>
      <c r="P8" s="58" t="s">
        <v>119</v>
      </c>
      <c r="Q8" s="16"/>
      <c r="R8" s="191" t="s">
        <v>204</v>
      </c>
      <c r="S8" s="69"/>
    </row>
    <row r="9" spans="1:66" s="7" customFormat="1" ht="15.6" x14ac:dyDescent="0.25">
      <c r="A9" s="78">
        <v>5</v>
      </c>
      <c r="B9" s="90" t="s">
        <v>157</v>
      </c>
      <c r="C9" s="6" t="s">
        <v>29</v>
      </c>
      <c r="D9" s="36" t="s">
        <v>28</v>
      </c>
      <c r="E9" s="49">
        <v>2023</v>
      </c>
      <c r="F9" s="20">
        <v>46208</v>
      </c>
      <c r="G9" s="20">
        <v>46208</v>
      </c>
      <c r="H9" s="37"/>
      <c r="I9" s="37"/>
      <c r="J9" s="68"/>
      <c r="K9" s="14">
        <f t="shared" si="0"/>
        <v>7</v>
      </c>
      <c r="L9" s="14">
        <f t="shared" si="0"/>
        <v>7</v>
      </c>
      <c r="M9" s="14"/>
      <c r="N9" s="14"/>
      <c r="O9" s="16" t="s">
        <v>169</v>
      </c>
      <c r="P9" s="70" t="s">
        <v>52</v>
      </c>
      <c r="Q9" s="16"/>
      <c r="R9" s="191" t="s">
        <v>205</v>
      </c>
      <c r="S9" s="69"/>
    </row>
    <row r="10" spans="1:66" s="7" customFormat="1" ht="15.6" x14ac:dyDescent="0.25">
      <c r="A10" s="78">
        <v>6</v>
      </c>
      <c r="B10" s="90" t="s">
        <v>57</v>
      </c>
      <c r="C10" s="6" t="s">
        <v>29</v>
      </c>
      <c r="D10" s="36" t="s">
        <v>28</v>
      </c>
      <c r="E10" s="49">
        <v>2023</v>
      </c>
      <c r="F10" s="20">
        <v>46212</v>
      </c>
      <c r="G10" s="20">
        <v>46212</v>
      </c>
      <c r="H10" s="37"/>
      <c r="I10" s="37"/>
      <c r="J10" s="68"/>
      <c r="K10" s="14">
        <f t="shared" si="0"/>
        <v>3</v>
      </c>
      <c r="L10" s="14">
        <f t="shared" si="0"/>
        <v>3</v>
      </c>
      <c r="M10" s="14"/>
      <c r="N10" s="14"/>
      <c r="O10" s="16" t="s">
        <v>211</v>
      </c>
      <c r="P10" s="90"/>
      <c r="Q10" s="16"/>
      <c r="R10" s="191" t="s">
        <v>206</v>
      </c>
      <c r="S10" s="69"/>
    </row>
    <row r="11" spans="1:66" s="7" customFormat="1" ht="15.6" x14ac:dyDescent="0.25">
      <c r="A11" s="78">
        <v>7</v>
      </c>
      <c r="B11" s="90" t="s">
        <v>125</v>
      </c>
      <c r="C11" s="6" t="s">
        <v>29</v>
      </c>
      <c r="D11" s="36" t="s">
        <v>28</v>
      </c>
      <c r="E11" s="49">
        <v>2023</v>
      </c>
      <c r="F11" s="20">
        <v>46213</v>
      </c>
      <c r="G11" s="20">
        <v>46213</v>
      </c>
      <c r="H11" s="37"/>
      <c r="I11" s="37"/>
      <c r="J11" s="68"/>
      <c r="K11" s="14">
        <f t="shared" si="0"/>
        <v>2</v>
      </c>
      <c r="L11" s="14">
        <f t="shared" si="0"/>
        <v>2</v>
      </c>
      <c r="M11" s="14"/>
      <c r="N11" s="14"/>
      <c r="O11" s="16" t="s">
        <v>212</v>
      </c>
      <c r="P11" s="58" t="s">
        <v>213</v>
      </c>
      <c r="Q11" s="16"/>
      <c r="R11" s="191" t="s">
        <v>207</v>
      </c>
      <c r="S11" s="69"/>
    </row>
    <row r="12" spans="1:66" s="7" customFormat="1" ht="15.6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208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209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24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8" si="1">$F$1-F17</f>
        <v>58</v>
      </c>
      <c r="L17" s="14">
        <f t="shared" si="1"/>
        <v>58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40.950000000000003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28</v>
      </c>
      <c r="L18" s="14">
        <f t="shared" si="1"/>
        <v>28</v>
      </c>
      <c r="M18" s="14"/>
      <c r="N18" s="14"/>
      <c r="O18" s="16" t="s">
        <v>214</v>
      </c>
      <c r="P18" s="67" t="s">
        <v>153</v>
      </c>
      <c r="Q18" s="16"/>
      <c r="R18" s="70"/>
      <c r="S18" s="69"/>
    </row>
    <row r="19" spans="1:66" s="35" customFormat="1" ht="13.95" customHeight="1" x14ac:dyDescent="0.3">
      <c r="A19" s="54"/>
      <c r="B19" s="38"/>
      <c r="C19" s="39"/>
      <c r="D19" s="38"/>
      <c r="E19" s="40"/>
      <c r="F19" s="41"/>
      <c r="G19" s="41"/>
      <c r="H19" s="41"/>
      <c r="I19" s="41"/>
      <c r="J19" s="41"/>
      <c r="K19" s="42"/>
      <c r="L19" s="41"/>
      <c r="M19" s="41"/>
      <c r="N19" s="41"/>
      <c r="O19" s="43" t="s">
        <v>37</v>
      </c>
      <c r="P19" s="44"/>
      <c r="Q19" s="44"/>
      <c r="R19" s="45"/>
      <c r="S19" s="4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</row>
    <row r="20" spans="1:66" s="7" customFormat="1" ht="13.95" customHeight="1" x14ac:dyDescent="0.3">
      <c r="A20" s="17"/>
      <c r="B20" s="77"/>
      <c r="C20" s="71"/>
      <c r="D20" s="77"/>
      <c r="E20" s="72"/>
      <c r="F20" s="73"/>
      <c r="G20" s="73"/>
      <c r="H20" s="73"/>
      <c r="I20" s="73"/>
      <c r="J20" s="73"/>
      <c r="K20" s="74"/>
      <c r="L20" s="73"/>
      <c r="M20" s="73"/>
      <c r="N20" s="73"/>
      <c r="O20" s="71"/>
      <c r="P20" s="76"/>
      <c r="Q20" s="76"/>
      <c r="R20" s="70"/>
      <c r="S20" s="75"/>
    </row>
    <row r="21" spans="1:66" s="35" customFormat="1" ht="13.95" customHeight="1" x14ac:dyDescent="0.3">
      <c r="A21" s="54"/>
      <c r="B21" s="38"/>
      <c r="C21" s="39"/>
      <c r="D21" s="38"/>
      <c r="E21" s="40"/>
      <c r="F21" s="41"/>
      <c r="G21" s="41"/>
      <c r="H21" s="41"/>
      <c r="I21" s="41"/>
      <c r="J21" s="41"/>
      <c r="K21" s="42"/>
      <c r="L21" s="41"/>
      <c r="M21" s="41"/>
      <c r="N21" s="41"/>
      <c r="O21" s="43" t="s">
        <v>38</v>
      </c>
      <c r="P21" s="44"/>
      <c r="Q21" s="44"/>
      <c r="R21" s="45"/>
      <c r="S21" s="4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</row>
    <row r="22" spans="1:66" s="7" customFormat="1" ht="27" customHeight="1" x14ac:dyDescent="0.3">
      <c r="A22" s="17">
        <v>1</v>
      </c>
      <c r="B22" s="90" t="s">
        <v>116</v>
      </c>
      <c r="C22" s="79" t="s">
        <v>32</v>
      </c>
      <c r="D22" s="80" t="s">
        <v>28</v>
      </c>
      <c r="E22" s="49">
        <v>2010</v>
      </c>
      <c r="F22" s="20">
        <v>46163</v>
      </c>
      <c r="G22" s="20">
        <v>46163</v>
      </c>
      <c r="H22" s="37"/>
      <c r="I22" s="37"/>
      <c r="J22" s="68"/>
      <c r="K22" s="14">
        <f t="shared" ref="K22:L22" si="2">$F$1-F22</f>
        <v>52</v>
      </c>
      <c r="L22" s="14">
        <f t="shared" si="2"/>
        <v>52</v>
      </c>
      <c r="M22" s="14"/>
      <c r="N22" s="14"/>
      <c r="O22" s="16" t="s">
        <v>166</v>
      </c>
      <c r="P22" s="58" t="s">
        <v>9</v>
      </c>
      <c r="Q22" s="76"/>
      <c r="R22" s="70"/>
      <c r="S22" s="75"/>
    </row>
    <row r="23" spans="1:66" s="35" customFormat="1" ht="13.95" customHeight="1" x14ac:dyDescent="0.3">
      <c r="A23" s="54"/>
      <c r="B23" s="38"/>
      <c r="C23" s="39"/>
      <c r="D23" s="38"/>
      <c r="E23" s="40"/>
      <c r="F23" s="41"/>
      <c r="G23" s="41"/>
      <c r="H23" s="41"/>
      <c r="I23" s="41"/>
      <c r="J23" s="41"/>
      <c r="K23" s="42"/>
      <c r="L23" s="41"/>
      <c r="M23" s="41"/>
      <c r="N23" s="41"/>
      <c r="O23" s="43"/>
      <c r="P23" s="43"/>
      <c r="Q23" s="44"/>
      <c r="R23" s="45"/>
      <c r="S23" s="43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CCED-C972-444F-AA66-1BE835A16F66}">
  <dimension ref="A1:BN30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10.44140625" style="2" customWidth="1"/>
    <col min="4" max="4" width="10.33203125" style="2" customWidth="1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46216</v>
      </c>
      <c r="G1" s="20">
        <v>46216</v>
      </c>
      <c r="H1" s="20">
        <v>46216</v>
      </c>
      <c r="I1" s="20">
        <v>46216</v>
      </c>
      <c r="J1" s="20">
        <v>46216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5" t="s">
        <v>7</v>
      </c>
      <c r="L3" s="195" t="s">
        <v>19</v>
      </c>
      <c r="M3" s="195" t="s">
        <v>20</v>
      </c>
      <c r="N3" s="195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3" t="s">
        <v>215</v>
      </c>
      <c r="C5" s="8" t="s">
        <v>216</v>
      </c>
      <c r="D5" s="48" t="s">
        <v>74</v>
      </c>
      <c r="E5" s="51">
        <v>2022</v>
      </c>
      <c r="F5" s="55">
        <v>46216</v>
      </c>
      <c r="G5" s="55">
        <v>46216</v>
      </c>
      <c r="H5" s="47"/>
      <c r="I5" s="47"/>
      <c r="J5" s="66"/>
      <c r="K5" s="21">
        <f t="shared" ref="K5:L5" si="0">$F$1-F5</f>
        <v>0</v>
      </c>
      <c r="L5" s="21">
        <f t="shared" si="0"/>
        <v>0</v>
      </c>
      <c r="M5" s="21"/>
      <c r="N5" s="21"/>
      <c r="O5" s="61" t="s">
        <v>217</v>
      </c>
      <c r="P5" s="90"/>
      <c r="Q5" s="93"/>
      <c r="R5" s="67" t="s">
        <v>26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165"/>
      <c r="R6" s="67" t="s">
        <v>196</v>
      </c>
      <c r="S6" s="69"/>
    </row>
    <row r="7" spans="1:66" s="7" customFormat="1" x14ac:dyDescent="0.25">
      <c r="A7" s="78"/>
      <c r="B7" s="90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90"/>
      <c r="Q7" s="58"/>
      <c r="R7" s="70" t="s">
        <v>198</v>
      </c>
      <c r="S7" s="69"/>
    </row>
    <row r="8" spans="1:66" s="7" customFormat="1" ht="15.6" x14ac:dyDescent="0.25">
      <c r="A8" s="78"/>
      <c r="B8" s="90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16"/>
      <c r="R8" s="191" t="s">
        <v>204</v>
      </c>
      <c r="S8" s="69"/>
    </row>
    <row r="9" spans="1:66" s="7" customFormat="1" ht="15.6" x14ac:dyDescent="0.25">
      <c r="A9" s="78"/>
      <c r="B9" s="90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70"/>
      <c r="Q9" s="16"/>
      <c r="R9" s="191" t="s">
        <v>205</v>
      </c>
      <c r="S9" s="69"/>
    </row>
    <row r="10" spans="1:66" s="7" customFormat="1" ht="15.6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90"/>
      <c r="Q10" s="16"/>
      <c r="R10" s="191" t="s">
        <v>206</v>
      </c>
      <c r="S10" s="69"/>
    </row>
    <row r="11" spans="1:66" s="7" customFormat="1" ht="15.6" x14ac:dyDescent="0.25">
      <c r="A11" s="78"/>
      <c r="B11" s="90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91" t="s">
        <v>207</v>
      </c>
      <c r="S11" s="69"/>
    </row>
    <row r="12" spans="1:66" s="7" customFormat="1" ht="15.6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208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209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8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25" si="1">$F$1-F17</f>
        <v>59</v>
      </c>
      <c r="L17" s="14">
        <f t="shared" si="1"/>
        <v>59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40.950000000000003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29</v>
      </c>
      <c r="L18" s="14">
        <f t="shared" si="1"/>
        <v>29</v>
      </c>
      <c r="M18" s="14"/>
      <c r="N18" s="14"/>
      <c r="O18" s="16" t="s">
        <v>214</v>
      </c>
      <c r="P18" s="67" t="s">
        <v>153</v>
      </c>
      <c r="Q18" s="16"/>
      <c r="R18" s="70"/>
      <c r="S18" s="69"/>
    </row>
    <row r="19" spans="1:66" s="7" customFormat="1" ht="19.2" customHeight="1" x14ac:dyDescent="0.25">
      <c r="A19" s="78">
        <v>3</v>
      </c>
      <c r="B19" s="90" t="s">
        <v>45</v>
      </c>
      <c r="C19" s="6" t="s">
        <v>29</v>
      </c>
      <c r="D19" s="36" t="s">
        <v>28</v>
      </c>
      <c r="E19" s="49">
        <v>2023</v>
      </c>
      <c r="F19" s="20">
        <v>46202</v>
      </c>
      <c r="G19" s="20">
        <v>46202</v>
      </c>
      <c r="H19" s="37"/>
      <c r="I19" s="37"/>
      <c r="J19" s="68"/>
      <c r="K19" s="14">
        <f t="shared" si="1"/>
        <v>14</v>
      </c>
      <c r="L19" s="14">
        <f t="shared" si="1"/>
        <v>14</v>
      </c>
      <c r="M19" s="14"/>
      <c r="N19" s="14"/>
      <c r="O19" s="16" t="s">
        <v>201</v>
      </c>
      <c r="P19" s="90"/>
      <c r="Q19" s="16"/>
      <c r="R19" s="70"/>
      <c r="S19" s="69"/>
    </row>
    <row r="20" spans="1:66" s="7" customFormat="1" ht="19.2" customHeight="1" x14ac:dyDescent="0.25">
      <c r="A20" s="78">
        <v>4</v>
      </c>
      <c r="B20" s="90" t="s">
        <v>50</v>
      </c>
      <c r="C20" s="6" t="s">
        <v>32</v>
      </c>
      <c r="D20" s="36" t="s">
        <v>28</v>
      </c>
      <c r="E20" s="49">
        <v>2021</v>
      </c>
      <c r="F20" s="20">
        <v>46196</v>
      </c>
      <c r="G20" s="20">
        <v>46196</v>
      </c>
      <c r="H20" s="37"/>
      <c r="I20" s="37"/>
      <c r="J20" s="68"/>
      <c r="K20" s="14">
        <f t="shared" si="1"/>
        <v>20</v>
      </c>
      <c r="L20" s="14">
        <f t="shared" si="1"/>
        <v>20</v>
      </c>
      <c r="M20" s="14"/>
      <c r="N20" s="14"/>
      <c r="O20" s="16" t="s">
        <v>180</v>
      </c>
      <c r="P20" s="58"/>
      <c r="Q20" s="16"/>
      <c r="R20" s="70"/>
      <c r="S20" s="69"/>
    </row>
    <row r="21" spans="1:66" s="7" customFormat="1" ht="19.2" customHeight="1" x14ac:dyDescent="0.25">
      <c r="A21" s="78">
        <v>5</v>
      </c>
      <c r="B21" s="90" t="s">
        <v>200</v>
      </c>
      <c r="C21" s="6" t="s">
        <v>29</v>
      </c>
      <c r="D21" s="36" t="s">
        <v>28</v>
      </c>
      <c r="E21" s="49">
        <v>2023</v>
      </c>
      <c r="F21" s="20">
        <v>46203</v>
      </c>
      <c r="G21" s="20">
        <v>46203</v>
      </c>
      <c r="H21" s="37"/>
      <c r="I21" s="37"/>
      <c r="J21" s="68"/>
      <c r="K21" s="14">
        <f t="shared" si="1"/>
        <v>13</v>
      </c>
      <c r="L21" s="14">
        <f t="shared" si="1"/>
        <v>13</v>
      </c>
      <c r="M21" s="14"/>
      <c r="N21" s="14"/>
      <c r="O21" s="16" t="s">
        <v>169</v>
      </c>
      <c r="P21" s="90" t="s">
        <v>10</v>
      </c>
      <c r="Q21" s="16"/>
      <c r="R21" s="70"/>
      <c r="S21" s="69"/>
    </row>
    <row r="22" spans="1:66" s="7" customFormat="1" ht="19.2" customHeight="1" x14ac:dyDescent="0.25">
      <c r="A22" s="78">
        <v>6</v>
      </c>
      <c r="B22" s="90" t="s">
        <v>192</v>
      </c>
      <c r="C22" s="6" t="s">
        <v>29</v>
      </c>
      <c r="D22" s="36" t="s">
        <v>28</v>
      </c>
      <c r="E22" s="49">
        <v>2023</v>
      </c>
      <c r="F22" s="20">
        <v>46208</v>
      </c>
      <c r="G22" s="20">
        <v>46208</v>
      </c>
      <c r="H22" s="37"/>
      <c r="I22" s="37"/>
      <c r="J22" s="68"/>
      <c r="K22" s="14">
        <f t="shared" si="1"/>
        <v>8</v>
      </c>
      <c r="L22" s="14">
        <f t="shared" si="1"/>
        <v>8</v>
      </c>
      <c r="M22" s="14"/>
      <c r="N22" s="14"/>
      <c r="O22" s="16" t="s">
        <v>202</v>
      </c>
      <c r="P22" s="58" t="s">
        <v>119</v>
      </c>
      <c r="Q22" s="16"/>
      <c r="R22" s="70"/>
      <c r="S22" s="69"/>
    </row>
    <row r="23" spans="1:66" s="7" customFormat="1" ht="19.2" customHeight="1" x14ac:dyDescent="0.25">
      <c r="A23" s="78">
        <v>7</v>
      </c>
      <c r="B23" s="90" t="s">
        <v>157</v>
      </c>
      <c r="C23" s="6" t="s">
        <v>29</v>
      </c>
      <c r="D23" s="36" t="s">
        <v>28</v>
      </c>
      <c r="E23" s="49">
        <v>2023</v>
      </c>
      <c r="F23" s="20">
        <v>46208</v>
      </c>
      <c r="G23" s="20">
        <v>46208</v>
      </c>
      <c r="H23" s="37"/>
      <c r="I23" s="37"/>
      <c r="J23" s="68"/>
      <c r="K23" s="14">
        <f t="shared" si="1"/>
        <v>8</v>
      </c>
      <c r="L23" s="14">
        <f t="shared" si="1"/>
        <v>8</v>
      </c>
      <c r="M23" s="14"/>
      <c r="N23" s="14"/>
      <c r="O23" s="16" t="s">
        <v>169</v>
      </c>
      <c r="P23" s="70" t="s">
        <v>52</v>
      </c>
      <c r="Q23" s="16"/>
      <c r="R23" s="70"/>
      <c r="S23" s="69"/>
    </row>
    <row r="24" spans="1:66" s="7" customFormat="1" ht="19.2" customHeight="1" x14ac:dyDescent="0.25">
      <c r="A24" s="78">
        <v>8</v>
      </c>
      <c r="B24" s="90" t="s">
        <v>57</v>
      </c>
      <c r="C24" s="6" t="s">
        <v>29</v>
      </c>
      <c r="D24" s="36" t="s">
        <v>28</v>
      </c>
      <c r="E24" s="49">
        <v>2023</v>
      </c>
      <c r="F24" s="20">
        <v>46212</v>
      </c>
      <c r="G24" s="20">
        <v>46212</v>
      </c>
      <c r="H24" s="37"/>
      <c r="I24" s="37"/>
      <c r="J24" s="68"/>
      <c r="K24" s="14">
        <f t="shared" si="1"/>
        <v>4</v>
      </c>
      <c r="L24" s="14">
        <f t="shared" si="1"/>
        <v>4</v>
      </c>
      <c r="M24" s="14"/>
      <c r="N24" s="14"/>
      <c r="O24" s="16" t="s">
        <v>211</v>
      </c>
      <c r="P24" s="90"/>
      <c r="Q24" s="16"/>
      <c r="R24" s="70"/>
      <c r="S24" s="69"/>
    </row>
    <row r="25" spans="1:66" s="7" customFormat="1" ht="19.2" customHeight="1" x14ac:dyDescent="0.25">
      <c r="A25" s="78">
        <v>9</v>
      </c>
      <c r="B25" s="90" t="s">
        <v>125</v>
      </c>
      <c r="C25" s="6" t="s">
        <v>29</v>
      </c>
      <c r="D25" s="36" t="s">
        <v>28</v>
      </c>
      <c r="E25" s="49">
        <v>2023</v>
      </c>
      <c r="F25" s="20">
        <v>46213</v>
      </c>
      <c r="G25" s="20">
        <v>46213</v>
      </c>
      <c r="H25" s="37"/>
      <c r="I25" s="37"/>
      <c r="J25" s="68"/>
      <c r="K25" s="14">
        <f t="shared" si="1"/>
        <v>3</v>
      </c>
      <c r="L25" s="14">
        <f t="shared" si="1"/>
        <v>3</v>
      </c>
      <c r="M25" s="14"/>
      <c r="N25" s="14"/>
      <c r="O25" s="16" t="s">
        <v>212</v>
      </c>
      <c r="P25" s="58" t="s">
        <v>213</v>
      </c>
      <c r="Q25" s="16"/>
      <c r="R25" s="70"/>
      <c r="S25" s="69"/>
    </row>
    <row r="26" spans="1:66" s="35" customFormat="1" ht="13.95" customHeight="1" x14ac:dyDescent="0.3">
      <c r="A26" s="54"/>
      <c r="B26" s="38"/>
      <c r="C26" s="39"/>
      <c r="D26" s="38"/>
      <c r="E26" s="40"/>
      <c r="F26" s="41"/>
      <c r="G26" s="41"/>
      <c r="H26" s="41"/>
      <c r="I26" s="41"/>
      <c r="J26" s="41"/>
      <c r="K26" s="42"/>
      <c r="L26" s="41"/>
      <c r="M26" s="41"/>
      <c r="N26" s="41"/>
      <c r="O26" s="43" t="s">
        <v>37</v>
      </c>
      <c r="P26" s="44"/>
      <c r="Q26" s="44"/>
      <c r="R26" s="45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</row>
    <row r="27" spans="1:66" s="7" customFormat="1" ht="13.95" customHeight="1" x14ac:dyDescent="0.3">
      <c r="A27" s="17"/>
      <c r="B27" s="77"/>
      <c r="C27" s="71"/>
      <c r="D27" s="77"/>
      <c r="E27" s="72"/>
      <c r="F27" s="73"/>
      <c r="G27" s="73"/>
      <c r="H27" s="73"/>
      <c r="I27" s="73"/>
      <c r="J27" s="73"/>
      <c r="K27" s="74"/>
      <c r="L27" s="73"/>
      <c r="M27" s="73"/>
      <c r="N27" s="73"/>
      <c r="O27" s="71"/>
      <c r="P27" s="76"/>
      <c r="Q27" s="76"/>
      <c r="R27" s="70"/>
      <c r="S27" s="75"/>
    </row>
    <row r="28" spans="1:66" s="35" customFormat="1" ht="13.95" customHeight="1" x14ac:dyDescent="0.3">
      <c r="A28" s="54"/>
      <c r="B28" s="38"/>
      <c r="C28" s="39"/>
      <c r="D28" s="38"/>
      <c r="E28" s="40"/>
      <c r="F28" s="41"/>
      <c r="G28" s="41"/>
      <c r="H28" s="41"/>
      <c r="I28" s="41"/>
      <c r="J28" s="41"/>
      <c r="K28" s="42"/>
      <c r="L28" s="41"/>
      <c r="M28" s="41"/>
      <c r="N28" s="41"/>
      <c r="O28" s="43" t="s">
        <v>38</v>
      </c>
      <c r="P28" s="44"/>
      <c r="Q28" s="44"/>
      <c r="R28" s="45"/>
      <c r="S28" s="43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</row>
    <row r="29" spans="1:66" s="7" customFormat="1" ht="27" customHeight="1" x14ac:dyDescent="0.3">
      <c r="A29" s="17">
        <v>1</v>
      </c>
      <c r="B29" s="90" t="s">
        <v>116</v>
      </c>
      <c r="C29" s="79" t="s">
        <v>32</v>
      </c>
      <c r="D29" s="80" t="s">
        <v>28</v>
      </c>
      <c r="E29" s="49">
        <v>2010</v>
      </c>
      <c r="F29" s="20">
        <v>46163</v>
      </c>
      <c r="G29" s="20">
        <v>46163</v>
      </c>
      <c r="H29" s="37"/>
      <c r="I29" s="37"/>
      <c r="J29" s="68"/>
      <c r="K29" s="14">
        <f t="shared" ref="K29:L29" si="2">$F$1-F29</f>
        <v>53</v>
      </c>
      <c r="L29" s="14">
        <f t="shared" si="2"/>
        <v>53</v>
      </c>
      <c r="M29" s="14"/>
      <c r="N29" s="14"/>
      <c r="O29" s="16" t="s">
        <v>166</v>
      </c>
      <c r="P29" s="58" t="s">
        <v>9</v>
      </c>
      <c r="Q29" s="76"/>
      <c r="R29" s="70"/>
      <c r="S29" s="75"/>
    </row>
    <row r="30" spans="1:66" s="35" customFormat="1" ht="13.95" customHeight="1" x14ac:dyDescent="0.3">
      <c r="A30" s="54"/>
      <c r="B30" s="38"/>
      <c r="C30" s="39"/>
      <c r="D30" s="38"/>
      <c r="E30" s="40"/>
      <c r="F30" s="41"/>
      <c r="G30" s="41"/>
      <c r="H30" s="41"/>
      <c r="I30" s="41"/>
      <c r="J30" s="41"/>
      <c r="K30" s="42"/>
      <c r="L30" s="41"/>
      <c r="M30" s="41"/>
      <c r="N30" s="41"/>
      <c r="O30" s="43"/>
      <c r="P30" s="43"/>
      <c r="Q30" s="44"/>
      <c r="R30" s="45"/>
      <c r="S30" s="43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7993-3DE3-4434-9F4C-919AE5B7C2F5}">
  <dimension ref="A1:BN30"/>
  <sheetViews>
    <sheetView workbookViewId="0">
      <selection activeCell="P23" sqref="P23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10.44140625" style="2" customWidth="1"/>
    <col min="4" max="4" width="10.33203125" style="2" customWidth="1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46217</v>
      </c>
      <c r="G1" s="20">
        <v>46217</v>
      </c>
      <c r="H1" s="20">
        <v>46217</v>
      </c>
      <c r="I1" s="20">
        <v>46217</v>
      </c>
      <c r="J1" s="20">
        <v>46217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6" t="s">
        <v>7</v>
      </c>
      <c r="L3" s="196" t="s">
        <v>19</v>
      </c>
      <c r="M3" s="196" t="s">
        <v>20</v>
      </c>
      <c r="N3" s="196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215</v>
      </c>
      <c r="C5" s="6" t="s">
        <v>216</v>
      </c>
      <c r="D5" s="36" t="s">
        <v>74</v>
      </c>
      <c r="E5" s="49">
        <v>2022</v>
      </c>
      <c r="F5" s="20">
        <v>46216</v>
      </c>
      <c r="G5" s="20">
        <v>46216</v>
      </c>
      <c r="H5" s="37"/>
      <c r="I5" s="37"/>
      <c r="J5" s="68"/>
      <c r="K5" s="14">
        <f t="shared" ref="K5:L5" si="0">$F$1-F5</f>
        <v>1</v>
      </c>
      <c r="L5" s="14">
        <f t="shared" si="0"/>
        <v>1</v>
      </c>
      <c r="M5" s="14"/>
      <c r="N5" s="14"/>
      <c r="O5" s="16" t="s">
        <v>218</v>
      </c>
      <c r="P5" s="90" t="s">
        <v>51</v>
      </c>
      <c r="Q5" s="93"/>
      <c r="R5" s="67" t="s">
        <v>26</v>
      </c>
      <c r="S5" s="63"/>
    </row>
    <row r="6" spans="1:66" s="7" customFormat="1" x14ac:dyDescent="0.25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58"/>
      <c r="Q6" s="165"/>
      <c r="R6" s="67" t="s">
        <v>196</v>
      </c>
      <c r="S6" s="69"/>
    </row>
    <row r="7" spans="1:66" s="7" customFormat="1" x14ac:dyDescent="0.25">
      <c r="A7" s="78"/>
      <c r="B7" s="90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90"/>
      <c r="Q7" s="58"/>
      <c r="R7" s="70" t="s">
        <v>198</v>
      </c>
      <c r="S7" s="69"/>
    </row>
    <row r="8" spans="1:66" s="7" customFormat="1" ht="15.6" x14ac:dyDescent="0.25">
      <c r="A8" s="78"/>
      <c r="B8" s="90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58"/>
      <c r="Q8" s="16"/>
      <c r="R8" s="191" t="s">
        <v>204</v>
      </c>
      <c r="S8" s="69"/>
    </row>
    <row r="9" spans="1:66" s="7" customFormat="1" ht="15.6" x14ac:dyDescent="0.25">
      <c r="A9" s="78"/>
      <c r="B9" s="90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70"/>
      <c r="Q9" s="16"/>
      <c r="R9" s="191" t="s">
        <v>205</v>
      </c>
      <c r="S9" s="69"/>
    </row>
    <row r="10" spans="1:66" s="7" customFormat="1" ht="15.6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90"/>
      <c r="Q10" s="16"/>
      <c r="R10" s="191" t="s">
        <v>206</v>
      </c>
      <c r="S10" s="69"/>
    </row>
    <row r="11" spans="1:66" s="7" customFormat="1" ht="15.6" x14ac:dyDescent="0.25">
      <c r="A11" s="78"/>
      <c r="B11" s="90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58"/>
      <c r="Q11" s="16"/>
      <c r="R11" s="191" t="s">
        <v>207</v>
      </c>
      <c r="S11" s="69"/>
    </row>
    <row r="12" spans="1:66" s="7" customFormat="1" ht="15.6" x14ac:dyDescent="0.25">
      <c r="A12" s="78"/>
      <c r="B12" s="90"/>
      <c r="C12" s="79"/>
      <c r="D12" s="80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208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209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8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25" si="1">$F$1-F17</f>
        <v>60</v>
      </c>
      <c r="L17" s="14">
        <f t="shared" si="1"/>
        <v>60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40.950000000000003" customHeight="1" x14ac:dyDescent="0.25">
      <c r="A18" s="78">
        <v>2</v>
      </c>
      <c r="B18" s="58" t="s">
        <v>65</v>
      </c>
      <c r="C18" s="6" t="s">
        <v>29</v>
      </c>
      <c r="D18" s="36" t="s">
        <v>28</v>
      </c>
      <c r="E18" s="49">
        <v>2023</v>
      </c>
      <c r="F18" s="20">
        <v>46187</v>
      </c>
      <c r="G18" s="20">
        <v>46187</v>
      </c>
      <c r="H18" s="37"/>
      <c r="I18" s="37"/>
      <c r="J18" s="68"/>
      <c r="K18" s="14">
        <f t="shared" si="1"/>
        <v>30</v>
      </c>
      <c r="L18" s="14">
        <f t="shared" si="1"/>
        <v>30</v>
      </c>
      <c r="M18" s="14"/>
      <c r="N18" s="14"/>
      <c r="O18" s="16" t="s">
        <v>214</v>
      </c>
      <c r="P18" s="67" t="s">
        <v>153</v>
      </c>
      <c r="Q18" s="16"/>
      <c r="R18" s="70"/>
      <c r="S18" s="69"/>
    </row>
    <row r="19" spans="1:66" s="7" customFormat="1" ht="19.2" customHeight="1" x14ac:dyDescent="0.25">
      <c r="A19" s="78">
        <v>3</v>
      </c>
      <c r="B19" s="90" t="s">
        <v>45</v>
      </c>
      <c r="C19" s="6" t="s">
        <v>29</v>
      </c>
      <c r="D19" s="36" t="s">
        <v>28</v>
      </c>
      <c r="E19" s="49">
        <v>2023</v>
      </c>
      <c r="F19" s="20">
        <v>46202</v>
      </c>
      <c r="G19" s="20">
        <v>46202</v>
      </c>
      <c r="H19" s="37"/>
      <c r="I19" s="37"/>
      <c r="J19" s="68"/>
      <c r="K19" s="14">
        <f t="shared" si="1"/>
        <v>15</v>
      </c>
      <c r="L19" s="14">
        <f t="shared" si="1"/>
        <v>15</v>
      </c>
      <c r="M19" s="14"/>
      <c r="N19" s="14"/>
      <c r="O19" s="16" t="s">
        <v>201</v>
      </c>
      <c r="P19" s="90"/>
      <c r="Q19" s="16"/>
      <c r="R19" s="70"/>
      <c r="S19" s="69"/>
    </row>
    <row r="20" spans="1:66" s="7" customFormat="1" ht="19.2" customHeight="1" x14ac:dyDescent="0.25">
      <c r="A20" s="78">
        <v>4</v>
      </c>
      <c r="B20" s="90" t="s">
        <v>50</v>
      </c>
      <c r="C20" s="6" t="s">
        <v>32</v>
      </c>
      <c r="D20" s="36" t="s">
        <v>28</v>
      </c>
      <c r="E20" s="49">
        <v>2021</v>
      </c>
      <c r="F20" s="20">
        <v>46196</v>
      </c>
      <c r="G20" s="20">
        <v>46196</v>
      </c>
      <c r="H20" s="37"/>
      <c r="I20" s="37"/>
      <c r="J20" s="68"/>
      <c r="K20" s="14">
        <f t="shared" si="1"/>
        <v>21</v>
      </c>
      <c r="L20" s="14">
        <f t="shared" si="1"/>
        <v>21</v>
      </c>
      <c r="M20" s="14"/>
      <c r="N20" s="14"/>
      <c r="O20" s="16" t="s">
        <v>180</v>
      </c>
      <c r="P20" s="58"/>
      <c r="Q20" s="16"/>
      <c r="R20" s="70"/>
      <c r="S20" s="69"/>
    </row>
    <row r="21" spans="1:66" s="7" customFormat="1" ht="19.2" customHeight="1" x14ac:dyDescent="0.25">
      <c r="A21" s="78">
        <v>5</v>
      </c>
      <c r="B21" s="90" t="s">
        <v>200</v>
      </c>
      <c r="C21" s="6" t="s">
        <v>29</v>
      </c>
      <c r="D21" s="36" t="s">
        <v>28</v>
      </c>
      <c r="E21" s="49">
        <v>2023</v>
      </c>
      <c r="F21" s="20">
        <v>46203</v>
      </c>
      <c r="G21" s="20">
        <v>46203</v>
      </c>
      <c r="H21" s="37"/>
      <c r="I21" s="37"/>
      <c r="J21" s="68"/>
      <c r="K21" s="14">
        <f t="shared" si="1"/>
        <v>14</v>
      </c>
      <c r="L21" s="14">
        <f t="shared" si="1"/>
        <v>14</v>
      </c>
      <c r="M21" s="14"/>
      <c r="N21" s="14"/>
      <c r="O21" s="16" t="s">
        <v>169</v>
      </c>
      <c r="P21" s="90" t="s">
        <v>10</v>
      </c>
      <c r="Q21" s="16"/>
      <c r="R21" s="70"/>
      <c r="S21" s="69"/>
    </row>
    <row r="22" spans="1:66" s="7" customFormat="1" ht="19.2" customHeight="1" x14ac:dyDescent="0.25">
      <c r="A22" s="78">
        <v>6</v>
      </c>
      <c r="B22" s="90" t="s">
        <v>192</v>
      </c>
      <c r="C22" s="6" t="s">
        <v>29</v>
      </c>
      <c r="D22" s="36" t="s">
        <v>28</v>
      </c>
      <c r="E22" s="49">
        <v>2023</v>
      </c>
      <c r="F22" s="20">
        <v>46208</v>
      </c>
      <c r="G22" s="20">
        <v>46208</v>
      </c>
      <c r="H22" s="37"/>
      <c r="I22" s="37"/>
      <c r="J22" s="68"/>
      <c r="K22" s="14">
        <f t="shared" si="1"/>
        <v>9</v>
      </c>
      <c r="L22" s="14">
        <f t="shared" si="1"/>
        <v>9</v>
      </c>
      <c r="M22" s="14"/>
      <c r="N22" s="14"/>
      <c r="O22" s="16" t="s">
        <v>202</v>
      </c>
      <c r="P22" s="58" t="s">
        <v>119</v>
      </c>
      <c r="Q22" s="16"/>
      <c r="R22" s="70"/>
      <c r="S22" s="69"/>
    </row>
    <row r="23" spans="1:66" s="7" customFormat="1" ht="19.2" customHeight="1" x14ac:dyDescent="0.25">
      <c r="A23" s="78">
        <v>7</v>
      </c>
      <c r="B23" s="90" t="s">
        <v>157</v>
      </c>
      <c r="C23" s="6" t="s">
        <v>29</v>
      </c>
      <c r="D23" s="36" t="s">
        <v>28</v>
      </c>
      <c r="E23" s="49">
        <v>2023</v>
      </c>
      <c r="F23" s="20">
        <v>46208</v>
      </c>
      <c r="G23" s="20">
        <v>46208</v>
      </c>
      <c r="H23" s="37"/>
      <c r="I23" s="37"/>
      <c r="J23" s="68"/>
      <c r="K23" s="14">
        <f t="shared" si="1"/>
        <v>9</v>
      </c>
      <c r="L23" s="14">
        <f t="shared" si="1"/>
        <v>9</v>
      </c>
      <c r="M23" s="14"/>
      <c r="N23" s="14"/>
      <c r="O23" s="16" t="s">
        <v>169</v>
      </c>
      <c r="P23" s="70" t="s">
        <v>52</v>
      </c>
      <c r="Q23" s="16"/>
      <c r="R23" s="70"/>
      <c r="S23" s="69"/>
    </row>
    <row r="24" spans="1:66" s="7" customFormat="1" ht="19.2" customHeight="1" x14ac:dyDescent="0.25">
      <c r="A24" s="78">
        <v>8</v>
      </c>
      <c r="B24" s="90" t="s">
        <v>57</v>
      </c>
      <c r="C24" s="6" t="s">
        <v>29</v>
      </c>
      <c r="D24" s="36" t="s">
        <v>28</v>
      </c>
      <c r="E24" s="49">
        <v>2023</v>
      </c>
      <c r="F24" s="20">
        <v>46212</v>
      </c>
      <c r="G24" s="20">
        <v>46212</v>
      </c>
      <c r="H24" s="37"/>
      <c r="I24" s="37"/>
      <c r="J24" s="68"/>
      <c r="K24" s="14">
        <f t="shared" si="1"/>
        <v>5</v>
      </c>
      <c r="L24" s="14">
        <f t="shared" si="1"/>
        <v>5</v>
      </c>
      <c r="M24" s="14"/>
      <c r="N24" s="14"/>
      <c r="O24" s="16" t="s">
        <v>211</v>
      </c>
      <c r="P24" s="90"/>
      <c r="Q24" s="16"/>
      <c r="R24" s="70"/>
      <c r="S24" s="69"/>
    </row>
    <row r="25" spans="1:66" s="7" customFormat="1" ht="19.2" customHeight="1" x14ac:dyDescent="0.25">
      <c r="A25" s="78">
        <v>9</v>
      </c>
      <c r="B25" s="90" t="s">
        <v>125</v>
      </c>
      <c r="C25" s="6" t="s">
        <v>29</v>
      </c>
      <c r="D25" s="36" t="s">
        <v>28</v>
      </c>
      <c r="E25" s="49">
        <v>2023</v>
      </c>
      <c r="F25" s="20">
        <v>46213</v>
      </c>
      <c r="G25" s="20">
        <v>46213</v>
      </c>
      <c r="H25" s="37"/>
      <c r="I25" s="37"/>
      <c r="J25" s="68"/>
      <c r="K25" s="14">
        <f t="shared" si="1"/>
        <v>4</v>
      </c>
      <c r="L25" s="14">
        <f t="shared" si="1"/>
        <v>4</v>
      </c>
      <c r="M25" s="14"/>
      <c r="N25" s="14"/>
      <c r="O25" s="16" t="s">
        <v>212</v>
      </c>
      <c r="P25" s="58" t="s">
        <v>213</v>
      </c>
      <c r="Q25" s="16"/>
      <c r="R25" s="70"/>
      <c r="S25" s="69"/>
    </row>
    <row r="26" spans="1:66" s="35" customFormat="1" ht="13.95" customHeight="1" x14ac:dyDescent="0.3">
      <c r="A26" s="54"/>
      <c r="B26" s="38"/>
      <c r="C26" s="39"/>
      <c r="D26" s="38"/>
      <c r="E26" s="40"/>
      <c r="F26" s="41"/>
      <c r="G26" s="41"/>
      <c r="H26" s="41"/>
      <c r="I26" s="41"/>
      <c r="J26" s="41"/>
      <c r="K26" s="42"/>
      <c r="L26" s="41"/>
      <c r="M26" s="41"/>
      <c r="N26" s="41"/>
      <c r="O26" s="43" t="s">
        <v>37</v>
      </c>
      <c r="P26" s="44"/>
      <c r="Q26" s="44"/>
      <c r="R26" s="45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</row>
    <row r="27" spans="1:66" s="7" customFormat="1" ht="13.95" customHeight="1" x14ac:dyDescent="0.3">
      <c r="A27" s="17"/>
      <c r="B27" s="77"/>
      <c r="C27" s="71"/>
      <c r="D27" s="77"/>
      <c r="E27" s="72"/>
      <c r="F27" s="73"/>
      <c r="G27" s="73"/>
      <c r="H27" s="73"/>
      <c r="I27" s="73"/>
      <c r="J27" s="73"/>
      <c r="K27" s="74"/>
      <c r="L27" s="73"/>
      <c r="M27" s="73"/>
      <c r="N27" s="73"/>
      <c r="O27" s="71"/>
      <c r="P27" s="76"/>
      <c r="Q27" s="76"/>
      <c r="R27" s="70"/>
      <c r="S27" s="75"/>
    </row>
    <row r="28" spans="1:66" s="35" customFormat="1" ht="13.95" customHeight="1" x14ac:dyDescent="0.3">
      <c r="A28" s="54"/>
      <c r="B28" s="38"/>
      <c r="C28" s="39"/>
      <c r="D28" s="38"/>
      <c r="E28" s="40"/>
      <c r="F28" s="41"/>
      <c r="G28" s="41"/>
      <c r="H28" s="41"/>
      <c r="I28" s="41"/>
      <c r="J28" s="41"/>
      <c r="K28" s="42"/>
      <c r="L28" s="41"/>
      <c r="M28" s="41"/>
      <c r="N28" s="41"/>
      <c r="O28" s="43" t="s">
        <v>38</v>
      </c>
      <c r="P28" s="44"/>
      <c r="Q28" s="44"/>
      <c r="R28" s="45"/>
      <c r="S28" s="43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</row>
    <row r="29" spans="1:66" s="7" customFormat="1" ht="27" customHeight="1" x14ac:dyDescent="0.3">
      <c r="A29" s="17">
        <v>1</v>
      </c>
      <c r="B29" s="90" t="s">
        <v>116</v>
      </c>
      <c r="C29" s="79" t="s">
        <v>32</v>
      </c>
      <c r="D29" s="80" t="s">
        <v>28</v>
      </c>
      <c r="E29" s="49">
        <v>2010</v>
      </c>
      <c r="F29" s="20">
        <v>46163</v>
      </c>
      <c r="G29" s="20">
        <v>46163</v>
      </c>
      <c r="H29" s="37"/>
      <c r="I29" s="37"/>
      <c r="J29" s="68"/>
      <c r="K29" s="14">
        <f t="shared" ref="K29:L29" si="2">$F$1-F29</f>
        <v>54</v>
      </c>
      <c r="L29" s="14">
        <f t="shared" si="2"/>
        <v>54</v>
      </c>
      <c r="M29" s="14"/>
      <c r="N29" s="14"/>
      <c r="O29" s="16" t="s">
        <v>166</v>
      </c>
      <c r="P29" s="58" t="s">
        <v>9</v>
      </c>
      <c r="Q29" s="76"/>
      <c r="R29" s="70"/>
      <c r="S29" s="75"/>
    </row>
    <row r="30" spans="1:66" s="35" customFormat="1" ht="13.95" customHeight="1" x14ac:dyDescent="0.3">
      <c r="A30" s="54"/>
      <c r="B30" s="38"/>
      <c r="C30" s="39"/>
      <c r="D30" s="38"/>
      <c r="E30" s="40"/>
      <c r="F30" s="41"/>
      <c r="G30" s="41"/>
      <c r="H30" s="41"/>
      <c r="I30" s="41"/>
      <c r="J30" s="41"/>
      <c r="K30" s="42"/>
      <c r="L30" s="41"/>
      <c r="M30" s="41"/>
      <c r="N30" s="41"/>
      <c r="O30" s="43"/>
      <c r="P30" s="43"/>
      <c r="Q30" s="44"/>
      <c r="R30" s="45"/>
      <c r="S30" s="43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74DB-F04F-411F-AB7D-8F76E8104FBD}">
  <dimension ref="A1:BN29"/>
  <sheetViews>
    <sheetView workbookViewId="0">
      <selection activeCell="Q6" sqref="Q6:Q7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10.44140625" style="2" customWidth="1"/>
    <col min="4" max="4" width="10.33203125" style="2" customWidth="1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46218</v>
      </c>
      <c r="G1" s="20">
        <v>46218</v>
      </c>
      <c r="H1" s="20">
        <v>46218</v>
      </c>
      <c r="I1" s="20">
        <v>46218</v>
      </c>
      <c r="J1" s="20">
        <v>46218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7" t="s">
        <v>7</v>
      </c>
      <c r="L3" s="197" t="s">
        <v>19</v>
      </c>
      <c r="M3" s="197" t="s">
        <v>20</v>
      </c>
      <c r="N3" s="197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x14ac:dyDescent="0.3">
      <c r="A5" s="78">
        <v>1</v>
      </c>
      <c r="B5" s="90" t="s">
        <v>215</v>
      </c>
      <c r="C5" s="6" t="s">
        <v>216</v>
      </c>
      <c r="D5" s="36" t="s">
        <v>74</v>
      </c>
      <c r="E5" s="49">
        <v>2022</v>
      </c>
      <c r="F5" s="20">
        <v>46216</v>
      </c>
      <c r="G5" s="20">
        <v>46216</v>
      </c>
      <c r="H5" s="37"/>
      <c r="I5" s="37"/>
      <c r="J5" s="68"/>
      <c r="K5" s="14">
        <f t="shared" ref="K5:L5" si="0">$F$1-F5</f>
        <v>2</v>
      </c>
      <c r="L5" s="14">
        <f t="shared" si="0"/>
        <v>2</v>
      </c>
      <c r="M5" s="14"/>
      <c r="N5" s="14"/>
      <c r="O5" s="16" t="s">
        <v>221</v>
      </c>
      <c r="P5" s="90" t="s">
        <v>51</v>
      </c>
      <c r="Q5" s="90" t="s">
        <v>125</v>
      </c>
      <c r="R5" s="67" t="s">
        <v>26</v>
      </c>
      <c r="S5" s="63"/>
    </row>
    <row r="6" spans="1:66" s="7" customFormat="1" x14ac:dyDescent="0.3">
      <c r="A6" s="78"/>
      <c r="B6" s="90"/>
      <c r="C6" s="6"/>
      <c r="D6" s="36"/>
      <c r="E6" s="49"/>
      <c r="F6" s="20"/>
      <c r="G6" s="20"/>
      <c r="H6" s="37"/>
      <c r="I6" s="37"/>
      <c r="J6" s="68"/>
      <c r="K6" s="14"/>
      <c r="L6" s="14"/>
      <c r="M6" s="14"/>
      <c r="N6" s="14"/>
      <c r="O6" s="16"/>
      <c r="P6" s="90"/>
      <c r="Q6" s="199" t="s">
        <v>157</v>
      </c>
      <c r="R6" s="67" t="s">
        <v>30</v>
      </c>
      <c r="S6" s="63"/>
    </row>
    <row r="7" spans="1:66" s="7" customFormat="1" x14ac:dyDescent="0.25">
      <c r="A7" s="78"/>
      <c r="B7" s="90"/>
      <c r="C7" s="6"/>
      <c r="D7" s="36"/>
      <c r="E7" s="49"/>
      <c r="F7" s="20"/>
      <c r="G7" s="20"/>
      <c r="H7" s="37"/>
      <c r="I7" s="37"/>
      <c r="J7" s="68"/>
      <c r="K7" s="14"/>
      <c r="L7" s="14"/>
      <c r="M7" s="14"/>
      <c r="N7" s="14"/>
      <c r="O7" s="16"/>
      <c r="P7" s="58"/>
      <c r="Q7" s="199" t="s">
        <v>192</v>
      </c>
      <c r="R7" s="67" t="s">
        <v>196</v>
      </c>
      <c r="S7" s="69"/>
    </row>
    <row r="8" spans="1:66" s="7" customFormat="1" x14ac:dyDescent="0.25">
      <c r="A8" s="78"/>
      <c r="B8" s="90"/>
      <c r="C8" s="6"/>
      <c r="D8" s="36"/>
      <c r="E8" s="49"/>
      <c r="F8" s="20"/>
      <c r="G8" s="20"/>
      <c r="H8" s="37"/>
      <c r="I8" s="37"/>
      <c r="J8" s="68"/>
      <c r="K8" s="14"/>
      <c r="L8" s="14"/>
      <c r="M8" s="14"/>
      <c r="N8" s="14"/>
      <c r="O8" s="16"/>
      <c r="P8" s="90"/>
      <c r="Q8" s="58"/>
      <c r="R8" s="70" t="s">
        <v>198</v>
      </c>
      <c r="S8" s="69"/>
    </row>
    <row r="9" spans="1:66" s="7" customFormat="1" ht="15.6" x14ac:dyDescent="0.25">
      <c r="A9" s="78"/>
      <c r="B9" s="90"/>
      <c r="C9" s="6"/>
      <c r="D9" s="36"/>
      <c r="E9" s="49"/>
      <c r="F9" s="20"/>
      <c r="G9" s="20"/>
      <c r="H9" s="37"/>
      <c r="I9" s="37"/>
      <c r="J9" s="68"/>
      <c r="K9" s="14"/>
      <c r="L9" s="14"/>
      <c r="M9" s="14"/>
      <c r="N9" s="14"/>
      <c r="O9" s="16"/>
      <c r="P9" s="58"/>
      <c r="Q9" s="16"/>
      <c r="R9" s="191" t="s">
        <v>204</v>
      </c>
      <c r="S9" s="69"/>
    </row>
    <row r="10" spans="1:66" s="7" customFormat="1" ht="15.6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70"/>
      <c r="Q10" s="16"/>
      <c r="R10" s="191" t="s">
        <v>205</v>
      </c>
      <c r="S10" s="69"/>
    </row>
    <row r="11" spans="1:66" s="7" customFormat="1" ht="15.6" x14ac:dyDescent="0.25">
      <c r="A11" s="78"/>
      <c r="B11" s="90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90"/>
      <c r="Q11" s="16"/>
      <c r="R11" s="191" t="s">
        <v>209</v>
      </c>
      <c r="S11" s="69"/>
    </row>
    <row r="12" spans="1:66" s="7" customFormat="1" ht="15.6" x14ac:dyDescent="0.25">
      <c r="A12" s="78"/>
      <c r="B12" s="90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58"/>
      <c r="Q12" s="16"/>
      <c r="R12" s="191" t="s">
        <v>207</v>
      </c>
      <c r="S12" s="69"/>
    </row>
    <row r="13" spans="1:66" s="7" customFormat="1" ht="15.6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191" t="s">
        <v>208</v>
      </c>
      <c r="S13" s="69"/>
    </row>
    <row r="14" spans="1:66" s="7" customFormat="1" ht="15.6" x14ac:dyDescent="0.25">
      <c r="A14" s="78"/>
      <c r="B14" s="90"/>
      <c r="C14" s="79"/>
      <c r="D14" s="80"/>
      <c r="E14" s="49"/>
      <c r="F14" s="20"/>
      <c r="G14" s="20"/>
      <c r="H14" s="37"/>
      <c r="I14" s="37"/>
      <c r="J14" s="68"/>
      <c r="K14" s="14"/>
      <c r="L14" s="14"/>
      <c r="M14" s="14"/>
      <c r="N14" s="14"/>
      <c r="O14" s="16"/>
      <c r="P14" s="58"/>
      <c r="Q14" s="16"/>
      <c r="R14" s="191" t="s">
        <v>220</v>
      </c>
      <c r="S14" s="69"/>
    </row>
    <row r="15" spans="1:66" s="7" customFormat="1" x14ac:dyDescent="0.25">
      <c r="A15" s="78"/>
      <c r="B15" s="90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58"/>
      <c r="Q15" s="16"/>
      <c r="R15" s="70" t="s">
        <v>52</v>
      </c>
      <c r="S15" s="69"/>
    </row>
    <row r="16" spans="1:66" s="7" customFormat="1" ht="13.95" customHeight="1" x14ac:dyDescent="0.25">
      <c r="A16" s="52"/>
      <c r="B16" s="29"/>
      <c r="C16" s="12"/>
      <c r="D16" s="19"/>
      <c r="E16" s="18"/>
      <c r="F16" s="22"/>
      <c r="G16" s="22"/>
      <c r="H16" s="22"/>
      <c r="I16" s="22"/>
      <c r="J16" s="22"/>
      <c r="K16" s="18"/>
      <c r="L16" s="22"/>
      <c r="M16" s="22"/>
      <c r="N16" s="22"/>
      <c r="O16" s="30" t="s">
        <v>22</v>
      </c>
      <c r="P16" s="12"/>
      <c r="Q16" s="12"/>
      <c r="R16" s="19"/>
      <c r="S16" s="30"/>
    </row>
    <row r="17" spans="1:66" s="7" customFormat="1" ht="13.95" customHeight="1" x14ac:dyDescent="0.25">
      <c r="A17" s="56"/>
      <c r="B17" s="67"/>
      <c r="C17" s="79"/>
      <c r="D17" s="80"/>
      <c r="E17" s="49"/>
      <c r="F17" s="20"/>
      <c r="G17" s="20"/>
      <c r="H17" s="37"/>
      <c r="I17" s="37"/>
      <c r="J17" s="68"/>
      <c r="K17" s="14"/>
      <c r="L17" s="14"/>
      <c r="M17" s="14"/>
      <c r="N17" s="14"/>
      <c r="O17" s="16"/>
      <c r="P17" s="62"/>
      <c r="Q17" s="57"/>
      <c r="R17" s="50"/>
      <c r="S17" s="46"/>
    </row>
    <row r="18" spans="1:66" s="35" customFormat="1" ht="13.95" customHeight="1" x14ac:dyDescent="0.25">
      <c r="A18" s="53"/>
      <c r="B18" s="31"/>
      <c r="C18" s="12"/>
      <c r="D18" s="19" t="s">
        <v>0</v>
      </c>
      <c r="E18" s="18"/>
      <c r="F18" s="32"/>
      <c r="G18" s="32"/>
      <c r="H18" s="32"/>
      <c r="I18" s="32"/>
      <c r="J18" s="32"/>
      <c r="K18" s="18"/>
      <c r="L18" s="32"/>
      <c r="M18" s="32"/>
      <c r="N18" s="32"/>
      <c r="O18" s="33" t="s">
        <v>23</v>
      </c>
      <c r="P18" s="19"/>
      <c r="Q18" s="19"/>
      <c r="R18" s="34"/>
      <c r="S18" s="33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</row>
    <row r="19" spans="1:66" s="7" customFormat="1" ht="18" customHeight="1" x14ac:dyDescent="0.25">
      <c r="A19" s="78">
        <v>1</v>
      </c>
      <c r="B19" s="90" t="s">
        <v>85</v>
      </c>
      <c r="C19" s="6" t="s">
        <v>29</v>
      </c>
      <c r="D19" s="36" t="s">
        <v>28</v>
      </c>
      <c r="E19" s="49">
        <v>2023</v>
      </c>
      <c r="F19" s="20">
        <v>46157</v>
      </c>
      <c r="G19" s="20">
        <v>46157</v>
      </c>
      <c r="H19" s="37"/>
      <c r="I19" s="37"/>
      <c r="J19" s="68"/>
      <c r="K19" s="14">
        <f t="shared" ref="K19:L24" si="1">$F$1-F19</f>
        <v>61</v>
      </c>
      <c r="L19" s="14">
        <f t="shared" si="1"/>
        <v>61</v>
      </c>
      <c r="M19" s="14"/>
      <c r="N19" s="14"/>
      <c r="O19" s="16" t="s">
        <v>172</v>
      </c>
      <c r="P19" s="58" t="s">
        <v>112</v>
      </c>
      <c r="Q19" s="16"/>
      <c r="R19" s="70"/>
      <c r="S19" s="69"/>
    </row>
    <row r="20" spans="1:66" s="7" customFormat="1" ht="40.950000000000003" customHeight="1" x14ac:dyDescent="0.25">
      <c r="A20" s="78">
        <v>2</v>
      </c>
      <c r="B20" s="58" t="s">
        <v>65</v>
      </c>
      <c r="C20" s="6" t="s">
        <v>29</v>
      </c>
      <c r="D20" s="36" t="s">
        <v>28</v>
      </c>
      <c r="E20" s="49">
        <v>2023</v>
      </c>
      <c r="F20" s="20">
        <v>46187</v>
      </c>
      <c r="G20" s="20">
        <v>46187</v>
      </c>
      <c r="H20" s="37"/>
      <c r="I20" s="37"/>
      <c r="J20" s="68"/>
      <c r="K20" s="14">
        <f t="shared" si="1"/>
        <v>31</v>
      </c>
      <c r="L20" s="14">
        <f t="shared" si="1"/>
        <v>31</v>
      </c>
      <c r="M20" s="14"/>
      <c r="N20" s="14"/>
      <c r="O20" s="16" t="s">
        <v>214</v>
      </c>
      <c r="P20" s="67" t="s">
        <v>153</v>
      </c>
      <c r="Q20" s="16"/>
      <c r="R20" s="70"/>
      <c r="S20" s="69"/>
    </row>
    <row r="21" spans="1:66" s="7" customFormat="1" ht="19.2" customHeight="1" x14ac:dyDescent="0.25">
      <c r="A21" s="78">
        <v>3</v>
      </c>
      <c r="B21" s="90" t="s">
        <v>45</v>
      </c>
      <c r="C21" s="6" t="s">
        <v>29</v>
      </c>
      <c r="D21" s="36" t="s">
        <v>28</v>
      </c>
      <c r="E21" s="49">
        <v>2023</v>
      </c>
      <c r="F21" s="20">
        <v>46202</v>
      </c>
      <c r="G21" s="20">
        <v>46202</v>
      </c>
      <c r="H21" s="37"/>
      <c r="I21" s="37"/>
      <c r="J21" s="68"/>
      <c r="K21" s="14">
        <f t="shared" si="1"/>
        <v>16</v>
      </c>
      <c r="L21" s="14">
        <f t="shared" si="1"/>
        <v>16</v>
      </c>
      <c r="M21" s="14"/>
      <c r="N21" s="14"/>
      <c r="O21" s="16" t="s">
        <v>201</v>
      </c>
      <c r="P21" s="90"/>
      <c r="Q21" s="16"/>
      <c r="R21" s="70"/>
      <c r="S21" s="69"/>
    </row>
    <row r="22" spans="1:66" s="7" customFormat="1" ht="19.2" customHeight="1" x14ac:dyDescent="0.25">
      <c r="A22" s="78">
        <v>4</v>
      </c>
      <c r="B22" s="90" t="s">
        <v>50</v>
      </c>
      <c r="C22" s="6" t="s">
        <v>32</v>
      </c>
      <c r="D22" s="36" t="s">
        <v>28</v>
      </c>
      <c r="E22" s="49">
        <v>2021</v>
      </c>
      <c r="F22" s="20">
        <v>46196</v>
      </c>
      <c r="G22" s="20">
        <v>46196</v>
      </c>
      <c r="H22" s="37"/>
      <c r="I22" s="37"/>
      <c r="J22" s="68"/>
      <c r="K22" s="14">
        <f t="shared" si="1"/>
        <v>22</v>
      </c>
      <c r="L22" s="14">
        <f t="shared" si="1"/>
        <v>22</v>
      </c>
      <c r="M22" s="14"/>
      <c r="N22" s="14"/>
      <c r="O22" s="16" t="s">
        <v>180</v>
      </c>
      <c r="P22" s="58"/>
      <c r="Q22" s="16"/>
      <c r="R22" s="70"/>
      <c r="S22" s="69"/>
    </row>
    <row r="23" spans="1:66" s="7" customFormat="1" ht="19.2" customHeight="1" x14ac:dyDescent="0.25">
      <c r="A23" s="78">
        <v>5</v>
      </c>
      <c r="B23" s="90" t="s">
        <v>200</v>
      </c>
      <c r="C23" s="6" t="s">
        <v>29</v>
      </c>
      <c r="D23" s="36" t="s">
        <v>28</v>
      </c>
      <c r="E23" s="49">
        <v>2023</v>
      </c>
      <c r="F23" s="20">
        <v>46203</v>
      </c>
      <c r="G23" s="20">
        <v>46203</v>
      </c>
      <c r="H23" s="37"/>
      <c r="I23" s="37"/>
      <c r="J23" s="68"/>
      <c r="K23" s="14">
        <f t="shared" si="1"/>
        <v>15</v>
      </c>
      <c r="L23" s="14">
        <f t="shared" si="1"/>
        <v>15</v>
      </c>
      <c r="M23" s="14"/>
      <c r="N23" s="14"/>
      <c r="O23" s="16" t="s">
        <v>169</v>
      </c>
      <c r="P23" s="90" t="s">
        <v>10</v>
      </c>
      <c r="Q23" s="16"/>
      <c r="R23" s="70"/>
      <c r="S23" s="69"/>
    </row>
    <row r="24" spans="1:66" s="7" customFormat="1" ht="19.2" customHeight="1" x14ac:dyDescent="0.25">
      <c r="A24" s="78">
        <v>6</v>
      </c>
      <c r="B24" s="90" t="s">
        <v>57</v>
      </c>
      <c r="C24" s="6" t="s">
        <v>29</v>
      </c>
      <c r="D24" s="36" t="s">
        <v>28</v>
      </c>
      <c r="E24" s="49">
        <v>2023</v>
      </c>
      <c r="F24" s="20">
        <v>46212</v>
      </c>
      <c r="G24" s="20">
        <v>46212</v>
      </c>
      <c r="H24" s="37"/>
      <c r="I24" s="37"/>
      <c r="J24" s="68"/>
      <c r="K24" s="14">
        <f t="shared" si="1"/>
        <v>6</v>
      </c>
      <c r="L24" s="14">
        <f t="shared" si="1"/>
        <v>6</v>
      </c>
      <c r="M24" s="14"/>
      <c r="N24" s="14"/>
      <c r="O24" s="16" t="s">
        <v>211</v>
      </c>
      <c r="P24" s="191" t="s">
        <v>219</v>
      </c>
      <c r="Q24" s="16"/>
      <c r="R24" s="70"/>
      <c r="S24" s="69"/>
    </row>
    <row r="25" spans="1:66" s="35" customFormat="1" ht="13.95" customHeight="1" x14ac:dyDescent="0.3">
      <c r="A25" s="54"/>
      <c r="B25" s="38"/>
      <c r="C25" s="39"/>
      <c r="D25" s="38"/>
      <c r="E25" s="40"/>
      <c r="F25" s="41"/>
      <c r="G25" s="41"/>
      <c r="H25" s="41"/>
      <c r="I25" s="41"/>
      <c r="J25" s="41"/>
      <c r="K25" s="42"/>
      <c r="L25" s="41"/>
      <c r="M25" s="41"/>
      <c r="N25" s="41"/>
      <c r="O25" s="43" t="s">
        <v>37</v>
      </c>
      <c r="P25" s="44"/>
      <c r="Q25" s="44"/>
      <c r="R25" s="45"/>
      <c r="S25" s="4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</row>
    <row r="26" spans="1:66" s="7" customFormat="1" ht="13.95" customHeight="1" x14ac:dyDescent="0.3">
      <c r="A26" s="17"/>
      <c r="B26" s="77"/>
      <c r="C26" s="71"/>
      <c r="D26" s="77"/>
      <c r="E26" s="72"/>
      <c r="F26" s="73"/>
      <c r="G26" s="73"/>
      <c r="H26" s="73"/>
      <c r="I26" s="73"/>
      <c r="J26" s="73"/>
      <c r="K26" s="74"/>
      <c r="L26" s="73"/>
      <c r="M26" s="73"/>
      <c r="N26" s="73"/>
      <c r="O26" s="71"/>
      <c r="P26" s="76"/>
      <c r="Q26" s="76"/>
      <c r="R26" s="70"/>
      <c r="S26" s="75"/>
    </row>
    <row r="27" spans="1:66" s="35" customFormat="1" ht="13.95" customHeight="1" x14ac:dyDescent="0.3">
      <c r="A27" s="54"/>
      <c r="B27" s="38"/>
      <c r="C27" s="39"/>
      <c r="D27" s="38"/>
      <c r="E27" s="40"/>
      <c r="F27" s="41"/>
      <c r="G27" s="41"/>
      <c r="H27" s="41"/>
      <c r="I27" s="41"/>
      <c r="J27" s="41"/>
      <c r="K27" s="42"/>
      <c r="L27" s="41"/>
      <c r="M27" s="41"/>
      <c r="N27" s="41"/>
      <c r="O27" s="43" t="s">
        <v>38</v>
      </c>
      <c r="P27" s="44"/>
      <c r="Q27" s="44"/>
      <c r="R27" s="45"/>
      <c r="S27" s="43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</row>
    <row r="28" spans="1:66" s="7" customFormat="1" ht="27" customHeight="1" x14ac:dyDescent="0.3">
      <c r="A28" s="17">
        <v>1</v>
      </c>
      <c r="B28" s="90" t="s">
        <v>116</v>
      </c>
      <c r="C28" s="79" t="s">
        <v>32</v>
      </c>
      <c r="D28" s="80" t="s">
        <v>28</v>
      </c>
      <c r="E28" s="49">
        <v>2010</v>
      </c>
      <c r="F28" s="20">
        <v>46163</v>
      </c>
      <c r="G28" s="20">
        <v>46163</v>
      </c>
      <c r="H28" s="37"/>
      <c r="I28" s="37"/>
      <c r="J28" s="68"/>
      <c r="K28" s="14">
        <f t="shared" ref="K28:L28" si="2">$F$1-F28</f>
        <v>55</v>
      </c>
      <c r="L28" s="14">
        <f t="shared" si="2"/>
        <v>55</v>
      </c>
      <c r="M28" s="14"/>
      <c r="N28" s="14"/>
      <c r="O28" s="16" t="s">
        <v>166</v>
      </c>
      <c r="P28" s="58" t="s">
        <v>9</v>
      </c>
      <c r="Q28" s="76"/>
      <c r="R28" s="70"/>
      <c r="S28" s="75"/>
    </row>
    <row r="29" spans="1:66" s="35" customFormat="1" ht="13.95" customHeight="1" x14ac:dyDescent="0.3">
      <c r="A29" s="54"/>
      <c r="B29" s="38"/>
      <c r="C29" s="39"/>
      <c r="D29" s="38"/>
      <c r="E29" s="40"/>
      <c r="F29" s="41"/>
      <c r="G29" s="41"/>
      <c r="H29" s="41"/>
      <c r="I29" s="41"/>
      <c r="J29" s="41"/>
      <c r="K29" s="42"/>
      <c r="L29" s="41"/>
      <c r="M29" s="41"/>
      <c r="N29" s="41"/>
      <c r="O29" s="43"/>
      <c r="P29" s="43"/>
      <c r="Q29" s="44"/>
      <c r="R29" s="45"/>
      <c r="S29" s="43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4D23-EE75-42FB-91AF-C3CCE3E79ADF}">
  <dimension ref="A1:BN24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10.44140625" style="2" customWidth="1"/>
    <col min="4" max="4" width="10.33203125" style="2" customWidth="1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46219</v>
      </c>
      <c r="G1" s="20">
        <v>46219</v>
      </c>
      <c r="H1" s="20">
        <v>46219</v>
      </c>
      <c r="I1" s="20">
        <v>46219</v>
      </c>
      <c r="J1" s="20">
        <v>46219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198" t="s">
        <v>7</v>
      </c>
      <c r="L3" s="198" t="s">
        <v>19</v>
      </c>
      <c r="M3" s="198" t="s">
        <v>20</v>
      </c>
      <c r="N3" s="198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15.6" x14ac:dyDescent="0.3">
      <c r="A5" s="78">
        <v>1</v>
      </c>
      <c r="B5" s="90" t="s">
        <v>215</v>
      </c>
      <c r="C5" s="6" t="s">
        <v>216</v>
      </c>
      <c r="D5" s="36" t="s">
        <v>74</v>
      </c>
      <c r="E5" s="49">
        <v>2022</v>
      </c>
      <c r="F5" s="20">
        <v>46216</v>
      </c>
      <c r="G5" s="20">
        <v>46216</v>
      </c>
      <c r="H5" s="37"/>
      <c r="I5" s="37"/>
      <c r="J5" s="68"/>
      <c r="K5" s="14">
        <f t="shared" ref="K5:L9" si="0">$F$1-F5</f>
        <v>3</v>
      </c>
      <c r="L5" s="14">
        <f t="shared" si="0"/>
        <v>3</v>
      </c>
      <c r="M5" s="14"/>
      <c r="N5" s="14"/>
      <c r="O5" s="16" t="s">
        <v>221</v>
      </c>
      <c r="P5" s="191" t="s">
        <v>51</v>
      </c>
      <c r="Q5" s="90"/>
      <c r="R5" s="67" t="s">
        <v>26</v>
      </c>
      <c r="S5" s="63"/>
    </row>
    <row r="6" spans="1:66" s="7" customFormat="1" ht="15.6" x14ac:dyDescent="0.3">
      <c r="A6" s="78">
        <v>2</v>
      </c>
      <c r="B6" s="90" t="s">
        <v>57</v>
      </c>
      <c r="C6" s="6" t="s">
        <v>29</v>
      </c>
      <c r="D6" s="36" t="s">
        <v>28</v>
      </c>
      <c r="E6" s="49">
        <v>2023</v>
      </c>
      <c r="F6" s="20">
        <v>46212</v>
      </c>
      <c r="G6" s="20">
        <v>46212</v>
      </c>
      <c r="H6" s="37"/>
      <c r="I6" s="37"/>
      <c r="J6" s="68"/>
      <c r="K6" s="14">
        <f t="shared" si="0"/>
        <v>7</v>
      </c>
      <c r="L6" s="14">
        <f t="shared" si="0"/>
        <v>7</v>
      </c>
      <c r="M6" s="14"/>
      <c r="N6" s="14"/>
      <c r="O6" s="16" t="s">
        <v>211</v>
      </c>
      <c r="P6" s="191" t="s">
        <v>219</v>
      </c>
      <c r="Q6" s="90"/>
      <c r="R6" s="67" t="s">
        <v>30</v>
      </c>
      <c r="S6" s="63"/>
    </row>
    <row r="7" spans="1:66" s="7" customFormat="1" x14ac:dyDescent="0.25">
      <c r="A7" s="78">
        <v>3</v>
      </c>
      <c r="B7" s="90" t="s">
        <v>45</v>
      </c>
      <c r="C7" s="6" t="s">
        <v>29</v>
      </c>
      <c r="D7" s="36" t="s">
        <v>28</v>
      </c>
      <c r="E7" s="49">
        <v>2023</v>
      </c>
      <c r="F7" s="20">
        <v>46202</v>
      </c>
      <c r="G7" s="20">
        <v>46202</v>
      </c>
      <c r="H7" s="37"/>
      <c r="I7" s="37"/>
      <c r="J7" s="68"/>
      <c r="K7" s="14">
        <f t="shared" si="0"/>
        <v>17</v>
      </c>
      <c r="L7" s="14">
        <f t="shared" si="0"/>
        <v>17</v>
      </c>
      <c r="M7" s="14"/>
      <c r="N7" s="14"/>
      <c r="O7" s="16" t="s">
        <v>201</v>
      </c>
      <c r="P7" s="58"/>
      <c r="Q7" s="90"/>
      <c r="R7" s="67" t="s">
        <v>196</v>
      </c>
      <c r="S7" s="69"/>
    </row>
    <row r="8" spans="1:66" s="7" customFormat="1" x14ac:dyDescent="0.25">
      <c r="A8" s="78">
        <v>4</v>
      </c>
      <c r="B8" s="90" t="s">
        <v>200</v>
      </c>
      <c r="C8" s="6" t="s">
        <v>29</v>
      </c>
      <c r="D8" s="36" t="s">
        <v>28</v>
      </c>
      <c r="E8" s="49">
        <v>2023</v>
      </c>
      <c r="F8" s="20">
        <v>46203</v>
      </c>
      <c r="G8" s="20">
        <v>46203</v>
      </c>
      <c r="H8" s="37"/>
      <c r="I8" s="37"/>
      <c r="J8" s="68"/>
      <c r="K8" s="14">
        <f t="shared" si="0"/>
        <v>16</v>
      </c>
      <c r="L8" s="14">
        <f t="shared" si="0"/>
        <v>16</v>
      </c>
      <c r="M8" s="14"/>
      <c r="N8" s="14"/>
      <c r="O8" s="16" t="s">
        <v>169</v>
      </c>
      <c r="P8" s="90" t="s">
        <v>10</v>
      </c>
      <c r="Q8" s="58"/>
      <c r="R8" s="70" t="s">
        <v>198</v>
      </c>
      <c r="S8" s="69"/>
    </row>
    <row r="9" spans="1:66" s="7" customFormat="1" ht="15.6" x14ac:dyDescent="0.25">
      <c r="A9" s="78">
        <v>5</v>
      </c>
      <c r="B9" s="90" t="s">
        <v>192</v>
      </c>
      <c r="C9" s="6" t="s">
        <v>29</v>
      </c>
      <c r="D9" s="36" t="s">
        <v>28</v>
      </c>
      <c r="E9" s="49">
        <v>2023</v>
      </c>
      <c r="F9" s="20">
        <v>46219</v>
      </c>
      <c r="G9" s="20">
        <v>46219</v>
      </c>
      <c r="H9" s="37"/>
      <c r="I9" s="37"/>
      <c r="J9" s="68"/>
      <c r="K9" s="14">
        <f t="shared" si="0"/>
        <v>0</v>
      </c>
      <c r="L9" s="14">
        <f t="shared" si="0"/>
        <v>0</v>
      </c>
      <c r="M9" s="14"/>
      <c r="N9" s="14"/>
      <c r="O9" s="16" t="s">
        <v>222</v>
      </c>
      <c r="P9" s="58"/>
      <c r="Q9" s="16"/>
      <c r="R9" s="191" t="s">
        <v>220</v>
      </c>
      <c r="S9" s="69"/>
    </row>
    <row r="10" spans="1:66" s="7" customFormat="1" x14ac:dyDescent="0.25">
      <c r="A10" s="78"/>
      <c r="B10" s="90"/>
      <c r="C10" s="6"/>
      <c r="D10" s="36"/>
      <c r="E10" s="49"/>
      <c r="F10" s="20"/>
      <c r="G10" s="20"/>
      <c r="H10" s="37"/>
      <c r="I10" s="37"/>
      <c r="J10" s="68"/>
      <c r="K10" s="14"/>
      <c r="L10" s="14"/>
      <c r="M10" s="14"/>
      <c r="N10" s="14"/>
      <c r="O10" s="16"/>
      <c r="P10" s="70"/>
      <c r="Q10" s="16"/>
      <c r="R10" s="90" t="s">
        <v>153</v>
      </c>
      <c r="S10" s="69"/>
    </row>
    <row r="11" spans="1:66" s="7" customFormat="1" ht="15.6" x14ac:dyDescent="0.25">
      <c r="A11" s="78"/>
      <c r="B11" s="90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90"/>
      <c r="Q11" s="16"/>
      <c r="R11" s="191" t="s">
        <v>10</v>
      </c>
      <c r="S11" s="69"/>
    </row>
    <row r="12" spans="1:66" s="7" customFormat="1" x14ac:dyDescent="0.25">
      <c r="A12" s="78"/>
      <c r="B12" s="90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90"/>
      <c r="Q12" s="16"/>
      <c r="R12" s="90" t="s">
        <v>9</v>
      </c>
      <c r="S12" s="69"/>
    </row>
    <row r="13" spans="1:66" s="7" customFormat="1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90" t="s">
        <v>148</v>
      </c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18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9" si="1">$F$1-F17</f>
        <v>62</v>
      </c>
      <c r="L17" s="14">
        <f t="shared" si="1"/>
        <v>62</v>
      </c>
      <c r="M17" s="14"/>
      <c r="N17" s="14"/>
      <c r="O17" s="16" t="s">
        <v>172</v>
      </c>
      <c r="P17" s="58" t="s">
        <v>112</v>
      </c>
      <c r="Q17" s="16"/>
      <c r="R17" s="70"/>
      <c r="S17" s="69"/>
    </row>
    <row r="18" spans="1:66" s="7" customFormat="1" ht="19.2" customHeight="1" x14ac:dyDescent="0.25">
      <c r="A18" s="78">
        <v>2</v>
      </c>
      <c r="B18" s="90" t="s">
        <v>50</v>
      </c>
      <c r="C18" s="6" t="s">
        <v>32</v>
      </c>
      <c r="D18" s="36" t="s">
        <v>28</v>
      </c>
      <c r="E18" s="49">
        <v>2021</v>
      </c>
      <c r="F18" s="20">
        <v>46196</v>
      </c>
      <c r="G18" s="20">
        <v>46196</v>
      </c>
      <c r="H18" s="37"/>
      <c r="I18" s="37"/>
      <c r="J18" s="68"/>
      <c r="K18" s="14">
        <f t="shared" si="1"/>
        <v>23</v>
      </c>
      <c r="L18" s="14">
        <f t="shared" si="1"/>
        <v>23</v>
      </c>
      <c r="M18" s="14"/>
      <c r="N18" s="14"/>
      <c r="O18" s="16" t="s">
        <v>180</v>
      </c>
      <c r="P18" s="58"/>
      <c r="Q18" s="16"/>
      <c r="R18" s="70"/>
      <c r="S18" s="69"/>
    </row>
    <row r="19" spans="1:66" s="7" customFormat="1" ht="50.4" customHeight="1" x14ac:dyDescent="0.25">
      <c r="A19" s="78">
        <v>3</v>
      </c>
      <c r="B19" s="58" t="s">
        <v>65</v>
      </c>
      <c r="C19" s="6" t="s">
        <v>29</v>
      </c>
      <c r="D19" s="36" t="s">
        <v>28</v>
      </c>
      <c r="E19" s="49">
        <v>2023</v>
      </c>
      <c r="F19" s="20">
        <v>46187</v>
      </c>
      <c r="G19" s="20">
        <v>46187</v>
      </c>
      <c r="H19" s="37"/>
      <c r="I19" s="37"/>
      <c r="J19" s="68"/>
      <c r="K19" s="14">
        <f t="shared" si="1"/>
        <v>32</v>
      </c>
      <c r="L19" s="14">
        <f t="shared" si="1"/>
        <v>32</v>
      </c>
      <c r="M19" s="14"/>
      <c r="N19" s="14"/>
      <c r="O19" s="16" t="s">
        <v>214</v>
      </c>
      <c r="P19" s="67" t="s">
        <v>153</v>
      </c>
      <c r="Q19" s="16"/>
      <c r="R19" s="70"/>
      <c r="S19" s="69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37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13.95" customHeight="1" x14ac:dyDescent="0.3">
      <c r="A21" s="17"/>
      <c r="B21" s="77"/>
      <c r="C21" s="71"/>
      <c r="D21" s="77"/>
      <c r="E21" s="72"/>
      <c r="F21" s="73"/>
      <c r="G21" s="73"/>
      <c r="H21" s="73"/>
      <c r="I21" s="73"/>
      <c r="J21" s="73"/>
      <c r="K21" s="74"/>
      <c r="L21" s="73"/>
      <c r="M21" s="73"/>
      <c r="N21" s="73"/>
      <c r="O21" s="71"/>
      <c r="P21" s="76"/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 t="s">
        <v>38</v>
      </c>
      <c r="P22" s="44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  <row r="23" spans="1:66" s="7" customFormat="1" ht="27" customHeight="1" x14ac:dyDescent="0.3">
      <c r="A23" s="17">
        <v>1</v>
      </c>
      <c r="B23" s="90" t="s">
        <v>116</v>
      </c>
      <c r="C23" s="79" t="s">
        <v>32</v>
      </c>
      <c r="D23" s="80" t="s">
        <v>28</v>
      </c>
      <c r="E23" s="49">
        <v>2010</v>
      </c>
      <c r="F23" s="20">
        <v>46163</v>
      </c>
      <c r="G23" s="20">
        <v>46163</v>
      </c>
      <c r="H23" s="37"/>
      <c r="I23" s="37"/>
      <c r="J23" s="68"/>
      <c r="K23" s="14">
        <f t="shared" ref="K23:L23" si="2">$F$1-F23</f>
        <v>56</v>
      </c>
      <c r="L23" s="14">
        <f t="shared" si="2"/>
        <v>56</v>
      </c>
      <c r="M23" s="14"/>
      <c r="N23" s="14"/>
      <c r="O23" s="16" t="s">
        <v>166</v>
      </c>
      <c r="P23" s="58" t="s">
        <v>9</v>
      </c>
      <c r="Q23" s="76"/>
      <c r="R23" s="70"/>
      <c r="S23" s="75"/>
    </row>
    <row r="24" spans="1:66" s="35" customFormat="1" ht="13.95" customHeight="1" x14ac:dyDescent="0.3">
      <c r="A24" s="54"/>
      <c r="B24" s="38"/>
      <c r="C24" s="39"/>
      <c r="D24" s="38"/>
      <c r="E24" s="40"/>
      <c r="F24" s="41"/>
      <c r="G24" s="41"/>
      <c r="H24" s="41"/>
      <c r="I24" s="41"/>
      <c r="J24" s="41"/>
      <c r="K24" s="42"/>
      <c r="L24" s="41"/>
      <c r="M24" s="41"/>
      <c r="N24" s="41"/>
      <c r="O24" s="43"/>
      <c r="P24" s="43"/>
      <c r="Q24" s="44"/>
      <c r="R24" s="45"/>
      <c r="S24" s="43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C9F0-88C9-4015-AAB1-83B806EDC968}">
  <dimension ref="A1:BN24"/>
  <sheetViews>
    <sheetView workbookViewId="0">
      <selection sqref="A1:XFD1048576"/>
    </sheetView>
  </sheetViews>
  <sheetFormatPr defaultColWidth="9.109375" defaultRowHeight="13.2" x14ac:dyDescent="0.3"/>
  <cols>
    <col min="1" max="1" width="3.109375" style="1" customWidth="1"/>
    <col min="2" max="2" width="13" style="2" customWidth="1"/>
    <col min="3" max="3" width="10.44140625" style="2" customWidth="1"/>
    <col min="4" max="4" width="10.33203125" style="2" customWidth="1"/>
    <col min="5" max="5" width="6.33203125" style="9" bestFit="1" customWidth="1"/>
    <col min="6" max="6" width="11" style="10" customWidth="1"/>
    <col min="7" max="7" width="10.109375" style="10" bestFit="1" customWidth="1"/>
    <col min="8" max="8" width="9.6640625" style="10" customWidth="1"/>
    <col min="9" max="9" width="10.5546875" style="10" customWidth="1"/>
    <col min="10" max="10" width="9.88671875" style="10" customWidth="1"/>
    <col min="11" max="11" width="6.6640625" style="11" customWidth="1"/>
    <col min="12" max="12" width="6.109375" style="1" customWidth="1"/>
    <col min="13" max="13" width="6.5546875" style="1" customWidth="1"/>
    <col min="14" max="14" width="5.44140625" style="1" bestFit="1" customWidth="1"/>
    <col min="15" max="15" width="55.33203125" style="1" customWidth="1"/>
    <col min="16" max="16" width="12.5546875" style="1" customWidth="1"/>
    <col min="17" max="17" width="13" style="1" customWidth="1"/>
    <col min="18" max="18" width="14" style="2" customWidth="1"/>
    <col min="19" max="19" width="11.5546875" style="1" customWidth="1"/>
    <col min="20" max="20" width="12.6640625" style="3" bestFit="1" customWidth="1"/>
    <col min="21" max="16384" width="9.109375" style="3"/>
  </cols>
  <sheetData>
    <row r="1" spans="1:66" ht="13.95" customHeight="1" x14ac:dyDescent="0.3">
      <c r="A1" s="14"/>
      <c r="B1" s="24"/>
      <c r="C1" s="25"/>
      <c r="D1" s="15"/>
      <c r="E1" s="17"/>
      <c r="F1" s="20">
        <v>46220</v>
      </c>
      <c r="G1" s="20">
        <v>46220</v>
      </c>
      <c r="H1" s="20">
        <v>46220</v>
      </c>
      <c r="I1" s="20">
        <v>46220</v>
      </c>
      <c r="J1" s="20">
        <v>46220</v>
      </c>
      <c r="K1" s="20"/>
      <c r="L1" s="20"/>
      <c r="M1" s="20"/>
      <c r="N1" s="20"/>
      <c r="O1" s="15"/>
      <c r="P1" s="15"/>
      <c r="Q1" s="15"/>
      <c r="R1" s="15"/>
      <c r="S1" s="15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 spans="1:66" s="65" customFormat="1" ht="44.25" customHeight="1" x14ac:dyDescent="0.3">
      <c r="A2" s="433"/>
      <c r="B2" s="433" t="s">
        <v>11</v>
      </c>
      <c r="C2" s="433" t="s">
        <v>12</v>
      </c>
      <c r="D2" s="433" t="s">
        <v>13</v>
      </c>
      <c r="E2" s="433" t="s">
        <v>14</v>
      </c>
      <c r="F2" s="431" t="s">
        <v>2</v>
      </c>
      <c r="G2" s="431" t="s">
        <v>3</v>
      </c>
      <c r="H2" s="431" t="s">
        <v>15</v>
      </c>
      <c r="I2" s="431" t="s">
        <v>16</v>
      </c>
      <c r="J2" s="433" t="s">
        <v>4</v>
      </c>
      <c r="K2" s="441" t="s">
        <v>5</v>
      </c>
      <c r="L2" s="442"/>
      <c r="M2" s="442"/>
      <c r="N2" s="442"/>
      <c r="O2" s="433" t="s">
        <v>6</v>
      </c>
      <c r="P2" s="435" t="s">
        <v>25</v>
      </c>
      <c r="Q2" s="437" t="s">
        <v>17</v>
      </c>
      <c r="R2" s="437" t="s">
        <v>1</v>
      </c>
      <c r="S2" s="438" t="s">
        <v>18</v>
      </c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</row>
    <row r="3" spans="1:66" s="65" customFormat="1" ht="27" customHeight="1" x14ac:dyDescent="0.3">
      <c r="A3" s="434"/>
      <c r="B3" s="434"/>
      <c r="C3" s="434"/>
      <c r="D3" s="434"/>
      <c r="E3" s="434"/>
      <c r="F3" s="432"/>
      <c r="G3" s="440"/>
      <c r="H3" s="440"/>
      <c r="I3" s="432"/>
      <c r="J3" s="434"/>
      <c r="K3" s="200" t="s">
        <v>7</v>
      </c>
      <c r="L3" s="200" t="s">
        <v>19</v>
      </c>
      <c r="M3" s="200" t="s">
        <v>20</v>
      </c>
      <c r="N3" s="200" t="s">
        <v>21</v>
      </c>
      <c r="O3" s="434"/>
      <c r="P3" s="436"/>
      <c r="Q3" s="437"/>
      <c r="R3" s="437"/>
      <c r="S3" s="439"/>
      <c r="T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</row>
    <row r="4" spans="1:66" ht="13.95" customHeight="1" x14ac:dyDescent="0.3">
      <c r="A4" s="4"/>
      <c r="B4" s="26"/>
      <c r="C4" s="13"/>
      <c r="D4" s="5"/>
      <c r="E4" s="4"/>
      <c r="F4" s="27"/>
      <c r="G4" s="27"/>
      <c r="H4" s="27"/>
      <c r="I4" s="27"/>
      <c r="J4" s="27"/>
      <c r="K4" s="27"/>
      <c r="L4" s="27"/>
      <c r="M4" s="27"/>
      <c r="N4" s="27"/>
      <c r="O4" s="28" t="s">
        <v>8</v>
      </c>
      <c r="P4" s="28"/>
      <c r="Q4" s="5"/>
      <c r="R4" s="5"/>
      <c r="S4" s="2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s="7" customFormat="1" ht="15.6" x14ac:dyDescent="0.3">
      <c r="A5" s="78">
        <v>1</v>
      </c>
      <c r="B5" s="90" t="s">
        <v>215</v>
      </c>
      <c r="C5" s="6" t="s">
        <v>216</v>
      </c>
      <c r="D5" s="36" t="s">
        <v>74</v>
      </c>
      <c r="E5" s="49">
        <v>2022</v>
      </c>
      <c r="F5" s="20">
        <v>46216</v>
      </c>
      <c r="G5" s="20">
        <v>46216</v>
      </c>
      <c r="H5" s="37"/>
      <c r="I5" s="37"/>
      <c r="J5" s="68"/>
      <c r="K5" s="14">
        <f t="shared" ref="K5:L10" si="0">$F$1-F5</f>
        <v>4</v>
      </c>
      <c r="L5" s="14">
        <f t="shared" si="0"/>
        <v>4</v>
      </c>
      <c r="M5" s="14"/>
      <c r="N5" s="14"/>
      <c r="O5" s="16" t="s">
        <v>221</v>
      </c>
      <c r="P5" s="191" t="s">
        <v>51</v>
      </c>
      <c r="Q5" s="90" t="s">
        <v>192</v>
      </c>
      <c r="R5" s="67" t="s">
        <v>26</v>
      </c>
      <c r="S5" s="63"/>
    </row>
    <row r="6" spans="1:66" s="7" customFormat="1" ht="15.6" x14ac:dyDescent="0.3">
      <c r="A6" s="78">
        <v>2</v>
      </c>
      <c r="B6" s="90" t="s">
        <v>57</v>
      </c>
      <c r="C6" s="6" t="s">
        <v>29</v>
      </c>
      <c r="D6" s="36" t="s">
        <v>28</v>
      </c>
      <c r="E6" s="49">
        <v>2023</v>
      </c>
      <c r="F6" s="20">
        <v>46212</v>
      </c>
      <c r="G6" s="20">
        <v>46212</v>
      </c>
      <c r="H6" s="37"/>
      <c r="I6" s="37"/>
      <c r="J6" s="68"/>
      <c r="K6" s="14">
        <f t="shared" si="0"/>
        <v>8</v>
      </c>
      <c r="L6" s="14">
        <f t="shared" si="0"/>
        <v>8</v>
      </c>
      <c r="M6" s="14"/>
      <c r="N6" s="14"/>
      <c r="O6" s="16" t="s">
        <v>211</v>
      </c>
      <c r="P6" s="191" t="s">
        <v>219</v>
      </c>
      <c r="Q6" s="90" t="s">
        <v>157</v>
      </c>
      <c r="R6" s="67" t="s">
        <v>30</v>
      </c>
      <c r="S6" s="63"/>
    </row>
    <row r="7" spans="1:66" s="7" customFormat="1" x14ac:dyDescent="0.25">
      <c r="A7" s="78">
        <v>3</v>
      </c>
      <c r="B7" s="90" t="s">
        <v>45</v>
      </c>
      <c r="C7" s="6" t="s">
        <v>29</v>
      </c>
      <c r="D7" s="36" t="s">
        <v>28</v>
      </c>
      <c r="E7" s="49">
        <v>2023</v>
      </c>
      <c r="F7" s="20">
        <v>46202</v>
      </c>
      <c r="G7" s="20">
        <v>46202</v>
      </c>
      <c r="H7" s="37"/>
      <c r="I7" s="37"/>
      <c r="J7" s="68"/>
      <c r="K7" s="14">
        <f t="shared" si="0"/>
        <v>18</v>
      </c>
      <c r="L7" s="14">
        <f t="shared" si="0"/>
        <v>18</v>
      </c>
      <c r="M7" s="14"/>
      <c r="N7" s="14"/>
      <c r="O7" s="16" t="s">
        <v>201</v>
      </c>
      <c r="P7" s="58" t="s">
        <v>226</v>
      </c>
      <c r="Q7" s="90"/>
      <c r="R7" s="67" t="s">
        <v>196</v>
      </c>
      <c r="S7" s="69"/>
    </row>
    <row r="8" spans="1:66" s="7" customFormat="1" x14ac:dyDescent="0.25">
      <c r="A8" s="78">
        <v>4</v>
      </c>
      <c r="B8" s="90" t="s">
        <v>200</v>
      </c>
      <c r="C8" s="6" t="s">
        <v>29</v>
      </c>
      <c r="D8" s="36" t="s">
        <v>28</v>
      </c>
      <c r="E8" s="49">
        <v>2023</v>
      </c>
      <c r="F8" s="20">
        <v>46203</v>
      </c>
      <c r="G8" s="20">
        <v>46203</v>
      </c>
      <c r="H8" s="37"/>
      <c r="I8" s="37"/>
      <c r="J8" s="68"/>
      <c r="K8" s="14">
        <f t="shared" si="0"/>
        <v>17</v>
      </c>
      <c r="L8" s="14">
        <f t="shared" si="0"/>
        <v>17</v>
      </c>
      <c r="M8" s="14"/>
      <c r="N8" s="14"/>
      <c r="O8" s="16" t="s">
        <v>169</v>
      </c>
      <c r="P8" s="58" t="s">
        <v>9</v>
      </c>
      <c r="Q8" s="58"/>
      <c r="R8" s="70" t="s">
        <v>198</v>
      </c>
      <c r="S8" s="69"/>
    </row>
    <row r="9" spans="1:66" s="7" customFormat="1" ht="15.6" x14ac:dyDescent="0.25">
      <c r="A9" s="78">
        <v>5</v>
      </c>
      <c r="B9" s="90" t="s">
        <v>24</v>
      </c>
      <c r="C9" s="6" t="s">
        <v>29</v>
      </c>
      <c r="D9" s="36" t="s">
        <v>28</v>
      </c>
      <c r="E9" s="49">
        <v>2023</v>
      </c>
      <c r="F9" s="20">
        <v>46220</v>
      </c>
      <c r="G9" s="20">
        <v>46220</v>
      </c>
      <c r="H9" s="37"/>
      <c r="I9" s="37"/>
      <c r="J9" s="68"/>
      <c r="K9" s="14">
        <f t="shared" si="0"/>
        <v>0</v>
      </c>
      <c r="L9" s="14">
        <f t="shared" si="0"/>
        <v>0</v>
      </c>
      <c r="M9" s="14"/>
      <c r="N9" s="14"/>
      <c r="O9" s="16" t="s">
        <v>223</v>
      </c>
      <c r="P9" s="90" t="s">
        <v>227</v>
      </c>
      <c r="Q9" s="16"/>
      <c r="R9" s="191" t="s">
        <v>220</v>
      </c>
      <c r="S9" s="69"/>
    </row>
    <row r="10" spans="1:66" s="7" customFormat="1" ht="15.6" x14ac:dyDescent="0.25">
      <c r="A10" s="78">
        <v>6</v>
      </c>
      <c r="B10" s="191" t="s">
        <v>10</v>
      </c>
      <c r="C10" s="6" t="s">
        <v>32</v>
      </c>
      <c r="D10" s="36" t="s">
        <v>28</v>
      </c>
      <c r="E10" s="49">
        <v>2010</v>
      </c>
      <c r="F10" s="20">
        <v>46220</v>
      </c>
      <c r="G10" s="20">
        <v>46220</v>
      </c>
      <c r="H10" s="37"/>
      <c r="I10" s="37"/>
      <c r="J10" s="68"/>
      <c r="K10" s="14">
        <f t="shared" si="0"/>
        <v>0</v>
      </c>
      <c r="L10" s="14">
        <f t="shared" si="0"/>
        <v>0</v>
      </c>
      <c r="M10" s="14"/>
      <c r="N10" s="14"/>
      <c r="O10" s="16" t="s">
        <v>225</v>
      </c>
      <c r="P10" s="90"/>
      <c r="Q10" s="16"/>
      <c r="R10" s="90" t="s">
        <v>192</v>
      </c>
      <c r="S10" s="69"/>
    </row>
    <row r="11" spans="1:66" s="7" customFormat="1" x14ac:dyDescent="0.25">
      <c r="A11" s="78"/>
      <c r="B11" s="90"/>
      <c r="C11" s="6"/>
      <c r="D11" s="36"/>
      <c r="E11" s="49"/>
      <c r="F11" s="20"/>
      <c r="G11" s="20"/>
      <c r="H11" s="37"/>
      <c r="I11" s="37"/>
      <c r="J11" s="68"/>
      <c r="K11" s="14"/>
      <c r="L11" s="14"/>
      <c r="M11" s="14"/>
      <c r="N11" s="14"/>
      <c r="O11" s="16"/>
      <c r="P11" s="90"/>
      <c r="Q11" s="16"/>
      <c r="R11" s="90" t="s">
        <v>122</v>
      </c>
      <c r="S11" s="69"/>
    </row>
    <row r="12" spans="1:66" s="7" customFormat="1" x14ac:dyDescent="0.25">
      <c r="A12" s="78"/>
      <c r="B12" s="90"/>
      <c r="C12" s="6"/>
      <c r="D12" s="36"/>
      <c r="E12" s="49"/>
      <c r="F12" s="20"/>
      <c r="G12" s="20"/>
      <c r="H12" s="37"/>
      <c r="I12" s="37"/>
      <c r="J12" s="68"/>
      <c r="K12" s="14"/>
      <c r="L12" s="14"/>
      <c r="M12" s="14"/>
      <c r="N12" s="14"/>
      <c r="O12" s="16"/>
      <c r="P12" s="90"/>
      <c r="Q12" s="16"/>
      <c r="R12" s="90"/>
      <c r="S12" s="69"/>
    </row>
    <row r="13" spans="1:66" s="7" customFormat="1" x14ac:dyDescent="0.25">
      <c r="A13" s="78"/>
      <c r="B13" s="90"/>
      <c r="C13" s="79"/>
      <c r="D13" s="80"/>
      <c r="E13" s="49"/>
      <c r="F13" s="20"/>
      <c r="G13" s="20"/>
      <c r="H13" s="37"/>
      <c r="I13" s="37"/>
      <c r="J13" s="68"/>
      <c r="K13" s="14"/>
      <c r="L13" s="14"/>
      <c r="M13" s="14"/>
      <c r="N13" s="14"/>
      <c r="O13" s="16"/>
      <c r="P13" s="58"/>
      <c r="Q13" s="16"/>
      <c r="R13" s="90"/>
      <c r="S13" s="69"/>
    </row>
    <row r="14" spans="1:66" s="7" customFormat="1" ht="13.95" customHeight="1" x14ac:dyDescent="0.25">
      <c r="A14" s="52"/>
      <c r="B14" s="29"/>
      <c r="C14" s="12"/>
      <c r="D14" s="19"/>
      <c r="E14" s="18"/>
      <c r="F14" s="22"/>
      <c r="G14" s="22"/>
      <c r="H14" s="22"/>
      <c r="I14" s="22"/>
      <c r="J14" s="22"/>
      <c r="K14" s="18"/>
      <c r="L14" s="22"/>
      <c r="M14" s="22"/>
      <c r="N14" s="22"/>
      <c r="O14" s="30" t="s">
        <v>22</v>
      </c>
      <c r="P14" s="12"/>
      <c r="Q14" s="12"/>
      <c r="R14" s="19"/>
      <c r="S14" s="30"/>
    </row>
    <row r="15" spans="1:66" s="7" customFormat="1" ht="13.95" customHeight="1" x14ac:dyDescent="0.25">
      <c r="A15" s="56"/>
      <c r="B15" s="67"/>
      <c r="C15" s="79"/>
      <c r="D15" s="80"/>
      <c r="E15" s="49"/>
      <c r="F15" s="20"/>
      <c r="G15" s="20"/>
      <c r="H15" s="37"/>
      <c r="I15" s="37"/>
      <c r="J15" s="68"/>
      <c r="K15" s="14"/>
      <c r="L15" s="14"/>
      <c r="M15" s="14"/>
      <c r="N15" s="14"/>
      <c r="O15" s="16"/>
      <c r="P15" s="62"/>
      <c r="Q15" s="57"/>
      <c r="R15" s="50"/>
      <c r="S15" s="46"/>
    </row>
    <row r="16" spans="1:66" s="35" customFormat="1" ht="13.95" customHeight="1" x14ac:dyDescent="0.25">
      <c r="A16" s="53"/>
      <c r="B16" s="31"/>
      <c r="C16" s="12"/>
      <c r="D16" s="19" t="s">
        <v>0</v>
      </c>
      <c r="E16" s="18"/>
      <c r="F16" s="32"/>
      <c r="G16" s="32"/>
      <c r="H16" s="32"/>
      <c r="I16" s="32"/>
      <c r="J16" s="32"/>
      <c r="K16" s="18"/>
      <c r="L16" s="32"/>
      <c r="M16" s="32"/>
      <c r="N16" s="32"/>
      <c r="O16" s="33" t="s">
        <v>23</v>
      </c>
      <c r="P16" s="19"/>
      <c r="Q16" s="19"/>
      <c r="R16" s="34"/>
      <c r="S16" s="3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</row>
    <row r="17" spans="1:66" s="7" customFormat="1" ht="31.2" customHeight="1" x14ac:dyDescent="0.25">
      <c r="A17" s="78">
        <v>1</v>
      </c>
      <c r="B17" s="90" t="s">
        <v>85</v>
      </c>
      <c r="C17" s="6" t="s">
        <v>29</v>
      </c>
      <c r="D17" s="36" t="s">
        <v>28</v>
      </c>
      <c r="E17" s="49">
        <v>2023</v>
      </c>
      <c r="F17" s="20">
        <v>46157</v>
      </c>
      <c r="G17" s="20">
        <v>46157</v>
      </c>
      <c r="H17" s="37"/>
      <c r="I17" s="37"/>
      <c r="J17" s="68"/>
      <c r="K17" s="14">
        <f t="shared" ref="K17:L19" si="1">$F$1-F17</f>
        <v>63</v>
      </c>
      <c r="L17" s="14">
        <f t="shared" si="1"/>
        <v>63</v>
      </c>
      <c r="M17" s="14"/>
      <c r="N17" s="14"/>
      <c r="O17" s="16" t="s">
        <v>224</v>
      </c>
      <c r="P17" s="90" t="s">
        <v>148</v>
      </c>
      <c r="Q17" s="16"/>
      <c r="R17" s="70"/>
      <c r="S17" s="69"/>
    </row>
    <row r="18" spans="1:66" s="7" customFormat="1" ht="19.2" customHeight="1" x14ac:dyDescent="0.25">
      <c r="A18" s="78">
        <v>2</v>
      </c>
      <c r="B18" s="90" t="s">
        <v>50</v>
      </c>
      <c r="C18" s="6" t="s">
        <v>32</v>
      </c>
      <c r="D18" s="36" t="s">
        <v>28</v>
      </c>
      <c r="E18" s="49">
        <v>2021</v>
      </c>
      <c r="F18" s="20">
        <v>46196</v>
      </c>
      <c r="G18" s="20">
        <v>46196</v>
      </c>
      <c r="H18" s="37"/>
      <c r="I18" s="37"/>
      <c r="J18" s="68"/>
      <c r="K18" s="14">
        <f t="shared" si="1"/>
        <v>24</v>
      </c>
      <c r="L18" s="14">
        <f t="shared" si="1"/>
        <v>24</v>
      </c>
      <c r="M18" s="14"/>
      <c r="N18" s="14"/>
      <c r="O18" s="16" t="s">
        <v>180</v>
      </c>
      <c r="P18" s="90" t="s">
        <v>153</v>
      </c>
      <c r="Q18" s="16"/>
      <c r="R18" s="70"/>
      <c r="S18" s="69"/>
    </row>
    <row r="19" spans="1:66" s="7" customFormat="1" ht="50.4" customHeight="1" x14ac:dyDescent="0.25">
      <c r="A19" s="78">
        <v>3</v>
      </c>
      <c r="B19" s="58" t="s">
        <v>65</v>
      </c>
      <c r="C19" s="6" t="s">
        <v>29</v>
      </c>
      <c r="D19" s="36" t="s">
        <v>28</v>
      </c>
      <c r="E19" s="49">
        <v>2023</v>
      </c>
      <c r="F19" s="20">
        <v>46187</v>
      </c>
      <c r="G19" s="20">
        <v>46187</v>
      </c>
      <c r="H19" s="37"/>
      <c r="I19" s="37"/>
      <c r="J19" s="68"/>
      <c r="K19" s="14">
        <f t="shared" si="1"/>
        <v>33</v>
      </c>
      <c r="L19" s="14">
        <f t="shared" si="1"/>
        <v>33</v>
      </c>
      <c r="M19" s="14"/>
      <c r="N19" s="14"/>
      <c r="O19" s="16" t="s">
        <v>214</v>
      </c>
      <c r="P19" s="67" t="s">
        <v>48</v>
      </c>
      <c r="Q19" s="16"/>
      <c r="R19" s="70"/>
      <c r="S19" s="69"/>
    </row>
    <row r="20" spans="1:66" s="35" customFormat="1" ht="13.95" customHeight="1" x14ac:dyDescent="0.3">
      <c r="A20" s="54"/>
      <c r="B20" s="38"/>
      <c r="C20" s="39"/>
      <c r="D20" s="38"/>
      <c r="E20" s="40"/>
      <c r="F20" s="41"/>
      <c r="G20" s="41"/>
      <c r="H20" s="41"/>
      <c r="I20" s="41"/>
      <c r="J20" s="41"/>
      <c r="K20" s="42"/>
      <c r="L20" s="41"/>
      <c r="M20" s="41"/>
      <c r="N20" s="41"/>
      <c r="O20" s="43" t="s">
        <v>37</v>
      </c>
      <c r="P20" s="44"/>
      <c r="Q20" s="44"/>
      <c r="R20" s="45"/>
      <c r="S20" s="43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6" s="7" customFormat="1" ht="13.95" customHeight="1" x14ac:dyDescent="0.3">
      <c r="A21" s="17"/>
      <c r="B21" s="77"/>
      <c r="C21" s="71"/>
      <c r="D21" s="77"/>
      <c r="E21" s="72"/>
      <c r="F21" s="73"/>
      <c r="G21" s="73"/>
      <c r="H21" s="73"/>
      <c r="I21" s="73"/>
      <c r="J21" s="73"/>
      <c r="K21" s="74"/>
      <c r="L21" s="73"/>
      <c r="M21" s="73"/>
      <c r="N21" s="73"/>
      <c r="O21" s="71"/>
      <c r="P21" s="76"/>
      <c r="Q21" s="76"/>
      <c r="R21" s="70"/>
      <c r="S21" s="75"/>
    </row>
    <row r="22" spans="1:66" s="35" customFormat="1" ht="13.95" customHeight="1" x14ac:dyDescent="0.3">
      <c r="A22" s="54"/>
      <c r="B22" s="38"/>
      <c r="C22" s="39"/>
      <c r="D22" s="38"/>
      <c r="E22" s="40"/>
      <c r="F22" s="41"/>
      <c r="G22" s="41"/>
      <c r="H22" s="41"/>
      <c r="I22" s="41"/>
      <c r="J22" s="41"/>
      <c r="K22" s="42"/>
      <c r="L22" s="41"/>
      <c r="M22" s="41"/>
      <c r="N22" s="41"/>
      <c r="O22" s="43" t="s">
        <v>38</v>
      </c>
      <c r="P22" s="44"/>
      <c r="Q22" s="44"/>
      <c r="R22" s="45"/>
      <c r="S22" s="43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</row>
    <row r="23" spans="1:66" s="7" customFormat="1" ht="27" customHeight="1" x14ac:dyDescent="0.3">
      <c r="A23" s="17">
        <v>1</v>
      </c>
      <c r="B23" s="90" t="s">
        <v>116</v>
      </c>
      <c r="C23" s="79" t="s">
        <v>32</v>
      </c>
      <c r="D23" s="80" t="s">
        <v>28</v>
      </c>
      <c r="E23" s="49">
        <v>2010</v>
      </c>
      <c r="F23" s="20">
        <v>46163</v>
      </c>
      <c r="G23" s="20">
        <v>46163</v>
      </c>
      <c r="H23" s="37"/>
      <c r="I23" s="37"/>
      <c r="J23" s="68"/>
      <c r="K23" s="14">
        <f t="shared" ref="K23:L23" si="2">$F$1-F23</f>
        <v>57</v>
      </c>
      <c r="L23" s="14">
        <f t="shared" si="2"/>
        <v>57</v>
      </c>
      <c r="M23" s="14"/>
      <c r="N23" s="14"/>
      <c r="O23" s="16" t="s">
        <v>166</v>
      </c>
      <c r="Q23" s="76"/>
      <c r="R23" s="70"/>
      <c r="S23" s="75"/>
    </row>
    <row r="24" spans="1:66" s="35" customFormat="1" ht="13.95" customHeight="1" x14ac:dyDescent="0.3">
      <c r="A24" s="54"/>
      <c r="B24" s="38"/>
      <c r="C24" s="39"/>
      <c r="D24" s="38"/>
      <c r="E24" s="40"/>
      <c r="F24" s="41"/>
      <c r="G24" s="41"/>
      <c r="H24" s="41"/>
      <c r="I24" s="41"/>
      <c r="J24" s="41"/>
      <c r="K24" s="42"/>
      <c r="L24" s="41"/>
      <c r="M24" s="41"/>
      <c r="N24" s="41"/>
      <c r="O24" s="43"/>
      <c r="P24" s="43"/>
      <c r="Q24" s="44"/>
      <c r="R24" s="45"/>
      <c r="S24" s="43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1624-E2AC-4C57-B5CC-072907CFF61A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46221</v>
      </c>
      <c r="G1" s="206">
        <v>46221</v>
      </c>
      <c r="H1" s="206">
        <v>46221</v>
      </c>
      <c r="I1" s="206">
        <v>46221</v>
      </c>
      <c r="J1" s="206">
        <v>46221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82" t="s">
        <v>7</v>
      </c>
      <c r="L3" s="282" t="s">
        <v>19</v>
      </c>
      <c r="M3" s="282" t="s">
        <v>20</v>
      </c>
      <c r="N3" s="28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5" si="0">$F$1-F5</f>
        <v>5</v>
      </c>
      <c r="L5" s="201">
        <f t="shared" si="0"/>
        <v>5</v>
      </c>
      <c r="M5" s="201"/>
      <c r="N5" s="201"/>
      <c r="O5" s="222" t="s">
        <v>221</v>
      </c>
      <c r="P5" s="239" t="s">
        <v>51</v>
      </c>
      <c r="Q5" s="223" t="s">
        <v>192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45</v>
      </c>
      <c r="C6" s="217" t="s">
        <v>29</v>
      </c>
      <c r="D6" s="218" t="s">
        <v>28</v>
      </c>
      <c r="E6" s="219">
        <v>2023</v>
      </c>
      <c r="F6" s="206">
        <v>46202</v>
      </c>
      <c r="G6" s="206">
        <v>46202</v>
      </c>
      <c r="H6" s="220"/>
      <c r="I6" s="220"/>
      <c r="J6" s="221"/>
      <c r="K6" s="201">
        <f t="shared" ref="K6:K8" si="1">$F$1-F6</f>
        <v>19</v>
      </c>
      <c r="L6" s="201">
        <f t="shared" ref="L6:L8" si="2">$F$1-G6</f>
        <v>19</v>
      </c>
      <c r="M6" s="201"/>
      <c r="N6" s="201"/>
      <c r="O6" s="222" t="s">
        <v>201</v>
      </c>
      <c r="P6" s="227" t="s">
        <v>226</v>
      </c>
      <c r="Q6" s="228" t="s">
        <v>26</v>
      </c>
      <c r="R6" s="224" t="s">
        <v>196</v>
      </c>
      <c r="S6" s="225"/>
    </row>
    <row r="7" spans="1:66" s="226" customFormat="1" x14ac:dyDescent="0.3">
      <c r="A7" s="215">
        <v>3</v>
      </c>
      <c r="B7" s="216" t="s">
        <v>200</v>
      </c>
      <c r="C7" s="217" t="s">
        <v>29</v>
      </c>
      <c r="D7" s="218" t="s">
        <v>28</v>
      </c>
      <c r="E7" s="219">
        <v>2023</v>
      </c>
      <c r="F7" s="206">
        <v>46203</v>
      </c>
      <c r="G7" s="206">
        <v>46203</v>
      </c>
      <c r="H7" s="220"/>
      <c r="I7" s="220"/>
      <c r="J7" s="221"/>
      <c r="K7" s="201">
        <f t="shared" si="1"/>
        <v>18</v>
      </c>
      <c r="L7" s="201">
        <f t="shared" si="2"/>
        <v>18</v>
      </c>
      <c r="M7" s="201"/>
      <c r="N7" s="201"/>
      <c r="O7" s="222" t="s">
        <v>169</v>
      </c>
      <c r="P7" s="227" t="s">
        <v>9</v>
      </c>
      <c r="Q7" s="223" t="s">
        <v>24</v>
      </c>
      <c r="R7" s="239" t="s">
        <v>220</v>
      </c>
      <c r="S7" s="229"/>
    </row>
    <row r="8" spans="1:66" s="226" customFormat="1" x14ac:dyDescent="0.3">
      <c r="A8" s="215">
        <v>4</v>
      </c>
      <c r="B8" s="239" t="s">
        <v>10</v>
      </c>
      <c r="C8" s="217" t="s">
        <v>32</v>
      </c>
      <c r="D8" s="218" t="s">
        <v>28</v>
      </c>
      <c r="E8" s="219">
        <v>2010</v>
      </c>
      <c r="F8" s="206">
        <v>46220</v>
      </c>
      <c r="G8" s="206">
        <v>46220</v>
      </c>
      <c r="H8" s="220"/>
      <c r="I8" s="220"/>
      <c r="J8" s="221"/>
      <c r="K8" s="201">
        <f t="shared" si="1"/>
        <v>1</v>
      </c>
      <c r="L8" s="201">
        <f t="shared" si="2"/>
        <v>1</v>
      </c>
      <c r="M8" s="201"/>
      <c r="N8" s="201"/>
      <c r="O8" s="222" t="s">
        <v>225</v>
      </c>
      <c r="P8" s="227"/>
      <c r="Q8" s="223" t="s">
        <v>57</v>
      </c>
      <c r="R8" s="223" t="s">
        <v>44</v>
      </c>
      <c r="S8" s="229"/>
    </row>
    <row r="9" spans="1:66" s="226" customFormat="1" x14ac:dyDescent="0.3">
      <c r="A9" s="230">
        <v>5</v>
      </c>
      <c r="B9" s="223" t="s">
        <v>228</v>
      </c>
      <c r="C9" s="231" t="s">
        <v>29</v>
      </c>
      <c r="D9" s="232" t="s">
        <v>28</v>
      </c>
      <c r="E9" s="233">
        <v>2023</v>
      </c>
      <c r="F9" s="234">
        <v>46221</v>
      </c>
      <c r="G9" s="234">
        <v>46221</v>
      </c>
      <c r="H9" s="235"/>
      <c r="I9" s="235"/>
      <c r="J9" s="236"/>
      <c r="K9" s="237">
        <f t="shared" ref="K9" si="3">$F$1-F9</f>
        <v>0</v>
      </c>
      <c r="L9" s="237">
        <f t="shared" ref="L9" si="4">$F$1-G9</f>
        <v>0</v>
      </c>
      <c r="M9" s="237"/>
      <c r="N9" s="237"/>
      <c r="O9" s="238" t="s">
        <v>229</v>
      </c>
      <c r="P9" s="283" t="s">
        <v>219</v>
      </c>
      <c r="Q9" s="222"/>
      <c r="R9" s="216" t="s">
        <v>122</v>
      </c>
      <c r="S9" s="229"/>
    </row>
    <row r="10" spans="1:66" s="226" customFormat="1" x14ac:dyDescent="0.3">
      <c r="A10" s="215"/>
      <c r="B10" s="239"/>
      <c r="C10" s="217"/>
      <c r="D10" s="218"/>
      <c r="E10" s="219"/>
      <c r="F10" s="206"/>
      <c r="G10" s="206"/>
      <c r="H10" s="220"/>
      <c r="I10" s="220"/>
      <c r="J10" s="221"/>
      <c r="K10" s="201"/>
      <c r="L10" s="201"/>
      <c r="M10" s="201"/>
      <c r="N10" s="201"/>
      <c r="O10" s="222"/>
      <c r="P10" s="216"/>
      <c r="Q10" s="222"/>
      <c r="R10" s="239" t="s">
        <v>198</v>
      </c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31.2" customHeight="1" x14ac:dyDescent="0.3">
      <c r="A14" s="215">
        <v>1</v>
      </c>
      <c r="B14" s="216" t="s">
        <v>85</v>
      </c>
      <c r="C14" s="217" t="s">
        <v>29</v>
      </c>
      <c r="D14" s="218" t="s">
        <v>28</v>
      </c>
      <c r="E14" s="219">
        <v>2023</v>
      </c>
      <c r="F14" s="206">
        <v>46157</v>
      </c>
      <c r="G14" s="206">
        <v>46157</v>
      </c>
      <c r="H14" s="220"/>
      <c r="I14" s="220"/>
      <c r="J14" s="221"/>
      <c r="K14" s="201">
        <f t="shared" ref="K14:L16" si="5">$F$1-F14</f>
        <v>64</v>
      </c>
      <c r="L14" s="201">
        <f t="shared" si="5"/>
        <v>64</v>
      </c>
      <c r="M14" s="201"/>
      <c r="N14" s="201"/>
      <c r="O14" s="222" t="s">
        <v>224</v>
      </c>
      <c r="P14" s="216" t="s">
        <v>148</v>
      </c>
      <c r="Q14" s="222"/>
      <c r="R14" s="239"/>
      <c r="S14" s="229"/>
    </row>
    <row r="15" spans="1:66" s="226" customFormat="1" ht="19.2" customHeight="1" x14ac:dyDescent="0.3">
      <c r="A15" s="215">
        <v>2</v>
      </c>
      <c r="B15" s="216" t="s">
        <v>50</v>
      </c>
      <c r="C15" s="217" t="s">
        <v>32</v>
      </c>
      <c r="D15" s="218" t="s">
        <v>28</v>
      </c>
      <c r="E15" s="219">
        <v>2021</v>
      </c>
      <c r="F15" s="206">
        <v>46196</v>
      </c>
      <c r="G15" s="206">
        <v>46196</v>
      </c>
      <c r="H15" s="220"/>
      <c r="I15" s="220"/>
      <c r="J15" s="221"/>
      <c r="K15" s="201">
        <f t="shared" si="5"/>
        <v>25</v>
      </c>
      <c r="L15" s="201">
        <f t="shared" si="5"/>
        <v>25</v>
      </c>
      <c r="M15" s="201"/>
      <c r="N15" s="201"/>
      <c r="O15" s="222" t="s">
        <v>180</v>
      </c>
      <c r="P15" s="216" t="s">
        <v>153</v>
      </c>
      <c r="Q15" s="222"/>
      <c r="R15" s="239"/>
      <c r="S15" s="229"/>
    </row>
    <row r="16" spans="1:66" s="226" customFormat="1" ht="50.4" customHeight="1" x14ac:dyDescent="0.3">
      <c r="A16" s="215">
        <v>3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si="5"/>
        <v>34</v>
      </c>
      <c r="L16" s="201">
        <f t="shared" si="5"/>
        <v>34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0" si="6">$F$1-F20</f>
        <v>58</v>
      </c>
      <c r="L20" s="201">
        <f t="shared" si="6"/>
        <v>58</v>
      </c>
      <c r="M20" s="201"/>
      <c r="N20" s="201"/>
      <c r="O20" s="222" t="s">
        <v>166</v>
      </c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sortState xmlns:xlrd2="http://schemas.microsoft.com/office/spreadsheetml/2017/richdata2" ref="R5:R10">
    <sortCondition ref="R5:R10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B5F7-2634-45EA-8D5D-0BC5A5EBB1E7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46222</v>
      </c>
      <c r="G1" s="206">
        <v>46222</v>
      </c>
      <c r="H1" s="206">
        <v>46222</v>
      </c>
      <c r="I1" s="206">
        <v>46222</v>
      </c>
      <c r="J1" s="206">
        <v>46222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82" t="s">
        <v>7</v>
      </c>
      <c r="L3" s="282" t="s">
        <v>19</v>
      </c>
      <c r="M3" s="282" t="s">
        <v>20</v>
      </c>
      <c r="N3" s="28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9" si="0">$F$1-F5</f>
        <v>6</v>
      </c>
      <c r="L5" s="201">
        <f t="shared" si="0"/>
        <v>6</v>
      </c>
      <c r="M5" s="201"/>
      <c r="N5" s="201"/>
      <c r="O5" s="222" t="s">
        <v>221</v>
      </c>
      <c r="P5" s="239" t="s">
        <v>51</v>
      </c>
      <c r="Q5" s="283" t="s">
        <v>220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45</v>
      </c>
      <c r="C6" s="217" t="s">
        <v>29</v>
      </c>
      <c r="D6" s="218" t="s">
        <v>28</v>
      </c>
      <c r="E6" s="219">
        <v>2023</v>
      </c>
      <c r="F6" s="206">
        <v>46202</v>
      </c>
      <c r="G6" s="206">
        <v>46202</v>
      </c>
      <c r="H6" s="220"/>
      <c r="I6" s="220"/>
      <c r="J6" s="221"/>
      <c r="K6" s="201">
        <f t="shared" si="0"/>
        <v>20</v>
      </c>
      <c r="L6" s="201">
        <f t="shared" si="0"/>
        <v>20</v>
      </c>
      <c r="M6" s="201"/>
      <c r="N6" s="201"/>
      <c r="O6" s="222" t="s">
        <v>201</v>
      </c>
      <c r="P6" s="227" t="s">
        <v>226</v>
      </c>
      <c r="Q6" s="228"/>
      <c r="R6" s="224" t="s">
        <v>196</v>
      </c>
      <c r="S6" s="225"/>
    </row>
    <row r="7" spans="1:66" s="226" customFormat="1" x14ac:dyDescent="0.3">
      <c r="A7" s="215">
        <v>3</v>
      </c>
      <c r="B7" s="216" t="s">
        <v>200</v>
      </c>
      <c r="C7" s="217" t="s">
        <v>29</v>
      </c>
      <c r="D7" s="218" t="s">
        <v>28</v>
      </c>
      <c r="E7" s="219">
        <v>2023</v>
      </c>
      <c r="F7" s="206">
        <v>46203</v>
      </c>
      <c r="G7" s="206">
        <v>46203</v>
      </c>
      <c r="H7" s="220"/>
      <c r="I7" s="220"/>
      <c r="J7" s="221"/>
      <c r="K7" s="201">
        <f t="shared" si="0"/>
        <v>19</v>
      </c>
      <c r="L7" s="201">
        <f t="shared" si="0"/>
        <v>19</v>
      </c>
      <c r="M7" s="201"/>
      <c r="N7" s="201"/>
      <c r="O7" s="222" t="s">
        <v>169</v>
      </c>
      <c r="P7" s="227" t="s">
        <v>9</v>
      </c>
      <c r="Q7" s="223"/>
      <c r="R7" s="216" t="s">
        <v>44</v>
      </c>
      <c r="S7" s="229"/>
    </row>
    <row r="8" spans="1:66" s="226" customFormat="1" x14ac:dyDescent="0.3">
      <c r="A8" s="215">
        <v>4</v>
      </c>
      <c r="B8" s="239" t="s">
        <v>10</v>
      </c>
      <c r="C8" s="217" t="s">
        <v>32</v>
      </c>
      <c r="D8" s="218" t="s">
        <v>28</v>
      </c>
      <c r="E8" s="219">
        <v>2010</v>
      </c>
      <c r="F8" s="206">
        <v>46220</v>
      </c>
      <c r="G8" s="206">
        <v>46220</v>
      </c>
      <c r="H8" s="220"/>
      <c r="I8" s="220"/>
      <c r="J8" s="221"/>
      <c r="K8" s="201">
        <f t="shared" si="0"/>
        <v>2</v>
      </c>
      <c r="L8" s="201">
        <f t="shared" si="0"/>
        <v>2</v>
      </c>
      <c r="M8" s="201"/>
      <c r="N8" s="201"/>
      <c r="O8" s="222" t="s">
        <v>225</v>
      </c>
      <c r="P8" s="227"/>
      <c r="Q8" s="223"/>
      <c r="R8" s="216" t="s">
        <v>122</v>
      </c>
      <c r="S8" s="229"/>
    </row>
    <row r="9" spans="1:66" s="226" customFormat="1" x14ac:dyDescent="0.3">
      <c r="A9" s="230">
        <v>5</v>
      </c>
      <c r="B9" s="223" t="s">
        <v>228</v>
      </c>
      <c r="C9" s="231" t="s">
        <v>29</v>
      </c>
      <c r="D9" s="232" t="s">
        <v>28</v>
      </c>
      <c r="E9" s="233">
        <v>2023</v>
      </c>
      <c r="F9" s="234">
        <v>46221</v>
      </c>
      <c r="G9" s="234">
        <v>46221</v>
      </c>
      <c r="H9" s="235"/>
      <c r="I9" s="235"/>
      <c r="J9" s="236"/>
      <c r="K9" s="237">
        <f t="shared" si="0"/>
        <v>1</v>
      </c>
      <c r="L9" s="237">
        <f t="shared" si="0"/>
        <v>1</v>
      </c>
      <c r="M9" s="237"/>
      <c r="N9" s="237"/>
      <c r="O9" s="238" t="s">
        <v>229</v>
      </c>
      <c r="P9" s="283" t="s">
        <v>219</v>
      </c>
      <c r="Q9" s="222"/>
      <c r="R9" s="239" t="s">
        <v>198</v>
      </c>
      <c r="S9" s="229"/>
    </row>
    <row r="10" spans="1:66" s="226" customFormat="1" x14ac:dyDescent="0.3">
      <c r="A10" s="230">
        <v>6</v>
      </c>
      <c r="B10" s="283" t="s">
        <v>191</v>
      </c>
      <c r="C10" s="231" t="s">
        <v>29</v>
      </c>
      <c r="D10" s="232" t="s">
        <v>28</v>
      </c>
      <c r="E10" s="233">
        <v>2023</v>
      </c>
      <c r="F10" s="234">
        <v>46222</v>
      </c>
      <c r="G10" s="234">
        <v>46222</v>
      </c>
      <c r="H10" s="220"/>
      <c r="I10" s="220"/>
      <c r="J10" s="221"/>
      <c r="K10" s="237">
        <f t="shared" ref="K10" si="1">$F$1-F10</f>
        <v>0</v>
      </c>
      <c r="L10" s="237">
        <f t="shared" ref="L10" si="2">$F$1-G10</f>
        <v>0</v>
      </c>
      <c r="M10" s="201"/>
      <c r="N10" s="201"/>
      <c r="O10" s="238" t="s">
        <v>231</v>
      </c>
      <c r="P10" s="223" t="s">
        <v>153</v>
      </c>
      <c r="Q10" s="222"/>
      <c r="R10" s="239"/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31.2" customHeight="1" x14ac:dyDescent="0.3">
      <c r="A14" s="215">
        <v>1</v>
      </c>
      <c r="B14" s="216" t="s">
        <v>85</v>
      </c>
      <c r="C14" s="217" t="s">
        <v>29</v>
      </c>
      <c r="D14" s="218" t="s">
        <v>28</v>
      </c>
      <c r="E14" s="219">
        <v>2023</v>
      </c>
      <c r="F14" s="206">
        <v>46157</v>
      </c>
      <c r="G14" s="206">
        <v>46157</v>
      </c>
      <c r="H14" s="220"/>
      <c r="I14" s="220"/>
      <c r="J14" s="221"/>
      <c r="K14" s="201">
        <f t="shared" ref="K14:L16" si="3">$F$1-F14</f>
        <v>65</v>
      </c>
      <c r="L14" s="201">
        <f t="shared" si="3"/>
        <v>65</v>
      </c>
      <c r="M14" s="201"/>
      <c r="N14" s="201"/>
      <c r="O14" s="222" t="s">
        <v>224</v>
      </c>
      <c r="P14" s="216" t="s">
        <v>148</v>
      </c>
      <c r="Q14" s="222"/>
      <c r="R14" s="239"/>
      <c r="S14" s="229"/>
    </row>
    <row r="15" spans="1:66" s="226" customFormat="1" ht="19.2" customHeight="1" x14ac:dyDescent="0.3">
      <c r="A15" s="215">
        <v>2</v>
      </c>
      <c r="B15" s="216" t="s">
        <v>50</v>
      </c>
      <c r="C15" s="217" t="s">
        <v>32</v>
      </c>
      <c r="D15" s="218" t="s">
        <v>28</v>
      </c>
      <c r="E15" s="219">
        <v>2021</v>
      </c>
      <c r="F15" s="206">
        <v>46196</v>
      </c>
      <c r="G15" s="206">
        <v>46196</v>
      </c>
      <c r="H15" s="220"/>
      <c r="I15" s="220"/>
      <c r="J15" s="221"/>
      <c r="K15" s="201">
        <f t="shared" si="3"/>
        <v>26</v>
      </c>
      <c r="L15" s="201">
        <f t="shared" si="3"/>
        <v>26</v>
      </c>
      <c r="M15" s="201"/>
      <c r="N15" s="201"/>
      <c r="O15" s="222" t="s">
        <v>180</v>
      </c>
      <c r="P15" s="283" t="s">
        <v>220</v>
      </c>
      <c r="Q15" s="222"/>
      <c r="R15" s="239"/>
      <c r="S15" s="229"/>
    </row>
    <row r="16" spans="1:66" s="226" customFormat="1" ht="50.4" customHeight="1" x14ac:dyDescent="0.3">
      <c r="A16" s="215">
        <v>3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si="3"/>
        <v>35</v>
      </c>
      <c r="L16" s="201">
        <f t="shared" si="3"/>
        <v>35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0" si="4">$F$1-F20</f>
        <v>59</v>
      </c>
      <c r="L20" s="201">
        <f t="shared" si="4"/>
        <v>59</v>
      </c>
      <c r="M20" s="201"/>
      <c r="N20" s="201"/>
      <c r="O20" s="222" t="s">
        <v>166</v>
      </c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sortState xmlns:xlrd2="http://schemas.microsoft.com/office/spreadsheetml/2017/richdata2" ref="R5:R10">
    <sortCondition ref="R5:R10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DCDA-1FBF-412E-B0CD-AC50D0B4AD01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46223</v>
      </c>
      <c r="G1" s="206">
        <v>46223</v>
      </c>
      <c r="H1" s="206">
        <v>46223</v>
      </c>
      <c r="I1" s="206">
        <v>46223</v>
      </c>
      <c r="J1" s="206">
        <v>46223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84" t="s">
        <v>7</v>
      </c>
      <c r="L3" s="284" t="s">
        <v>19</v>
      </c>
      <c r="M3" s="284" t="s">
        <v>20</v>
      </c>
      <c r="N3" s="284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9" si="0">$F$1-F5</f>
        <v>7</v>
      </c>
      <c r="L5" s="201">
        <f t="shared" si="0"/>
        <v>7</v>
      </c>
      <c r="M5" s="201"/>
      <c r="N5" s="201"/>
      <c r="O5" s="222" t="s">
        <v>221</v>
      </c>
      <c r="P5" s="239" t="s">
        <v>51</v>
      </c>
      <c r="Q5" s="223" t="s">
        <v>45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20"/>
      <c r="I6" s="220"/>
      <c r="J6" s="221"/>
      <c r="K6" s="201">
        <f t="shared" si="0"/>
        <v>20</v>
      </c>
      <c r="L6" s="201">
        <f t="shared" si="0"/>
        <v>20</v>
      </c>
      <c r="M6" s="201"/>
      <c r="N6" s="201"/>
      <c r="O6" s="222" t="s">
        <v>89</v>
      </c>
      <c r="P6" s="227" t="s">
        <v>9</v>
      </c>
      <c r="Q6" s="228"/>
      <c r="R6" s="224" t="s">
        <v>196</v>
      </c>
      <c r="S6" s="225"/>
    </row>
    <row r="7" spans="1:66" s="226" customFormat="1" x14ac:dyDescent="0.3">
      <c r="A7" s="215">
        <v>3</v>
      </c>
      <c r="B7" s="239" t="s">
        <v>10</v>
      </c>
      <c r="C7" s="217" t="s">
        <v>32</v>
      </c>
      <c r="D7" s="218" t="s">
        <v>28</v>
      </c>
      <c r="E7" s="219">
        <v>2010</v>
      </c>
      <c r="F7" s="206">
        <v>46220</v>
      </c>
      <c r="G7" s="206">
        <v>46220</v>
      </c>
      <c r="H7" s="220"/>
      <c r="I7" s="220"/>
      <c r="J7" s="221"/>
      <c r="K7" s="201">
        <f t="shared" si="0"/>
        <v>3</v>
      </c>
      <c r="L7" s="201">
        <f t="shared" si="0"/>
        <v>3</v>
      </c>
      <c r="M7" s="201"/>
      <c r="N7" s="201"/>
      <c r="O7" s="222" t="s">
        <v>225</v>
      </c>
      <c r="P7" s="227"/>
      <c r="Q7" s="223"/>
      <c r="R7" s="216" t="s">
        <v>44</v>
      </c>
      <c r="S7" s="229"/>
    </row>
    <row r="8" spans="1:66" s="226" customFormat="1" x14ac:dyDescent="0.3">
      <c r="A8" s="215">
        <v>4</v>
      </c>
      <c r="B8" s="216" t="s">
        <v>228</v>
      </c>
      <c r="C8" s="217" t="s">
        <v>29</v>
      </c>
      <c r="D8" s="218" t="s">
        <v>28</v>
      </c>
      <c r="E8" s="219">
        <v>2023</v>
      </c>
      <c r="F8" s="206">
        <v>46221</v>
      </c>
      <c r="G8" s="206">
        <v>46221</v>
      </c>
      <c r="H8" s="220"/>
      <c r="I8" s="220"/>
      <c r="J8" s="221"/>
      <c r="K8" s="201">
        <f t="shared" si="0"/>
        <v>2</v>
      </c>
      <c r="L8" s="201">
        <f t="shared" si="0"/>
        <v>2</v>
      </c>
      <c r="M8" s="201"/>
      <c r="N8" s="201"/>
      <c r="O8" s="222" t="s">
        <v>229</v>
      </c>
      <c r="P8" s="239" t="s">
        <v>219</v>
      </c>
      <c r="Q8" s="223"/>
      <c r="R8" s="216" t="s">
        <v>122</v>
      </c>
      <c r="S8" s="229"/>
    </row>
    <row r="9" spans="1:66" s="226" customFormat="1" x14ac:dyDescent="0.3">
      <c r="A9" s="215">
        <v>5</v>
      </c>
      <c r="B9" s="239" t="s">
        <v>191</v>
      </c>
      <c r="C9" s="217" t="s">
        <v>29</v>
      </c>
      <c r="D9" s="218" t="s">
        <v>28</v>
      </c>
      <c r="E9" s="219">
        <v>2023</v>
      </c>
      <c r="F9" s="206">
        <v>46222</v>
      </c>
      <c r="G9" s="206">
        <v>46222</v>
      </c>
      <c r="H9" s="220"/>
      <c r="I9" s="220"/>
      <c r="J9" s="221"/>
      <c r="K9" s="201">
        <f t="shared" si="0"/>
        <v>1</v>
      </c>
      <c r="L9" s="201">
        <f t="shared" si="0"/>
        <v>1</v>
      </c>
      <c r="M9" s="201"/>
      <c r="N9" s="201"/>
      <c r="O9" s="222" t="s">
        <v>231</v>
      </c>
      <c r="P9" s="216" t="s">
        <v>153</v>
      </c>
      <c r="Q9" s="222"/>
      <c r="R9" s="239" t="s">
        <v>198</v>
      </c>
      <c r="S9" s="229"/>
    </row>
    <row r="10" spans="1:66" s="226" customFormat="1" x14ac:dyDescent="0.3">
      <c r="A10" s="215"/>
      <c r="B10" s="216"/>
      <c r="C10" s="217"/>
      <c r="D10" s="218"/>
      <c r="E10" s="219"/>
      <c r="F10" s="206"/>
      <c r="G10" s="206"/>
      <c r="H10" s="220"/>
      <c r="I10" s="220"/>
      <c r="J10" s="221"/>
      <c r="K10" s="201"/>
      <c r="L10" s="201"/>
      <c r="M10" s="201"/>
      <c r="N10" s="201"/>
      <c r="O10" s="222"/>
      <c r="P10" s="227"/>
      <c r="Q10" s="222"/>
      <c r="R10" s="223" t="s">
        <v>148</v>
      </c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31.2" customHeight="1" x14ac:dyDescent="0.3">
      <c r="A14" s="215">
        <v>1</v>
      </c>
      <c r="B14" s="216" t="s">
        <v>85</v>
      </c>
      <c r="C14" s="217" t="s">
        <v>29</v>
      </c>
      <c r="D14" s="218" t="s">
        <v>28</v>
      </c>
      <c r="E14" s="219">
        <v>2023</v>
      </c>
      <c r="F14" s="206">
        <v>46157</v>
      </c>
      <c r="G14" s="206">
        <v>46157</v>
      </c>
      <c r="H14" s="220"/>
      <c r="I14" s="220"/>
      <c r="J14" s="221"/>
      <c r="K14" s="201">
        <f t="shared" ref="K14:L16" si="1">$F$1-F14</f>
        <v>66</v>
      </c>
      <c r="L14" s="201">
        <f t="shared" si="1"/>
        <v>66</v>
      </c>
      <c r="M14" s="201"/>
      <c r="N14" s="201"/>
      <c r="O14" s="222" t="s">
        <v>224</v>
      </c>
      <c r="P14" s="286" t="s">
        <v>226</v>
      </c>
      <c r="Q14" s="222"/>
      <c r="R14" s="239"/>
      <c r="S14" s="229"/>
    </row>
    <row r="15" spans="1:66" s="226" customFormat="1" ht="19.2" customHeight="1" x14ac:dyDescent="0.3">
      <c r="A15" s="215">
        <v>2</v>
      </c>
      <c r="B15" s="216" t="s">
        <v>50</v>
      </c>
      <c r="C15" s="217" t="s">
        <v>32</v>
      </c>
      <c r="D15" s="218" t="s">
        <v>28</v>
      </c>
      <c r="E15" s="219">
        <v>2021</v>
      </c>
      <c r="F15" s="206">
        <v>46196</v>
      </c>
      <c r="G15" s="206">
        <v>46196</v>
      </c>
      <c r="H15" s="220"/>
      <c r="I15" s="220"/>
      <c r="J15" s="221"/>
      <c r="K15" s="201">
        <f t="shared" si="1"/>
        <v>27</v>
      </c>
      <c r="L15" s="201">
        <f t="shared" si="1"/>
        <v>27</v>
      </c>
      <c r="M15" s="201"/>
      <c r="N15" s="201"/>
      <c r="O15" s="222" t="s">
        <v>180</v>
      </c>
      <c r="P15" s="239" t="s">
        <v>220</v>
      </c>
      <c r="Q15" s="222"/>
      <c r="R15" s="239"/>
      <c r="S15" s="229"/>
    </row>
    <row r="16" spans="1:66" s="226" customFormat="1" ht="50.4" customHeight="1" x14ac:dyDescent="0.3">
      <c r="A16" s="215">
        <v>3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si="1"/>
        <v>36</v>
      </c>
      <c r="L16" s="201">
        <f t="shared" si="1"/>
        <v>36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0" si="2">$F$1-F20</f>
        <v>60</v>
      </c>
      <c r="L20" s="201">
        <f t="shared" si="2"/>
        <v>60</v>
      </c>
      <c r="M20" s="201"/>
      <c r="N20" s="201"/>
      <c r="O20" s="222" t="s">
        <v>166</v>
      </c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sortState xmlns:xlrd2="http://schemas.microsoft.com/office/spreadsheetml/2017/richdata2" ref="A5:P10">
    <sortCondition ref="A5:A10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6CA0-D8D0-4207-B72F-E8B9C2770A67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46224</v>
      </c>
      <c r="G1" s="206">
        <v>46224</v>
      </c>
      <c r="H1" s="206">
        <v>46224</v>
      </c>
      <c r="I1" s="206">
        <v>46224</v>
      </c>
      <c r="J1" s="206">
        <v>46224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85" t="s">
        <v>7</v>
      </c>
      <c r="L3" s="285" t="s">
        <v>19</v>
      </c>
      <c r="M3" s="285" t="s">
        <v>20</v>
      </c>
      <c r="N3" s="28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12" si="0">$F$1-F5</f>
        <v>8</v>
      </c>
      <c r="L5" s="201">
        <f t="shared" si="0"/>
        <v>8</v>
      </c>
      <c r="M5" s="201"/>
      <c r="N5" s="201"/>
      <c r="O5" s="222" t="s">
        <v>221</v>
      </c>
      <c r="P5" s="239" t="s">
        <v>51</v>
      </c>
      <c r="Q5" s="283" t="s">
        <v>191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20"/>
      <c r="I6" s="220"/>
      <c r="J6" s="221"/>
      <c r="K6" s="201">
        <f t="shared" si="0"/>
        <v>21</v>
      </c>
      <c r="L6" s="201">
        <f t="shared" si="0"/>
        <v>21</v>
      </c>
      <c r="M6" s="201"/>
      <c r="N6" s="201"/>
      <c r="O6" s="238" t="s">
        <v>232</v>
      </c>
      <c r="P6" s="227" t="s">
        <v>9</v>
      </c>
      <c r="Q6" s="223" t="s">
        <v>148</v>
      </c>
      <c r="R6" s="224" t="s">
        <v>196</v>
      </c>
      <c r="S6" s="225"/>
    </row>
    <row r="7" spans="1:66" s="226" customFormat="1" x14ac:dyDescent="0.3">
      <c r="A7" s="215">
        <v>3</v>
      </c>
      <c r="B7" s="216" t="s">
        <v>228</v>
      </c>
      <c r="C7" s="217" t="s">
        <v>29</v>
      </c>
      <c r="D7" s="218" t="s">
        <v>28</v>
      </c>
      <c r="E7" s="219">
        <v>2023</v>
      </c>
      <c r="F7" s="206">
        <v>46221</v>
      </c>
      <c r="G7" s="206">
        <v>46221</v>
      </c>
      <c r="H7" s="220"/>
      <c r="I7" s="220"/>
      <c r="J7" s="221"/>
      <c r="K7" s="201">
        <f t="shared" si="0"/>
        <v>3</v>
      </c>
      <c r="L7" s="201">
        <f t="shared" si="0"/>
        <v>3</v>
      </c>
      <c r="M7" s="201"/>
      <c r="N7" s="201"/>
      <c r="O7" s="222" t="s">
        <v>229</v>
      </c>
      <c r="P7" s="239" t="s">
        <v>219</v>
      </c>
      <c r="Q7" s="223"/>
      <c r="R7" s="216" t="s">
        <v>44</v>
      </c>
      <c r="S7" s="229"/>
    </row>
    <row r="8" spans="1:66" s="226" customFormat="1" x14ac:dyDescent="0.3">
      <c r="A8" s="215">
        <v>4</v>
      </c>
      <c r="B8" s="216" t="s">
        <v>50</v>
      </c>
      <c r="C8" s="217" t="s">
        <v>32</v>
      </c>
      <c r="D8" s="218" t="s">
        <v>28</v>
      </c>
      <c r="E8" s="219">
        <v>2021</v>
      </c>
      <c r="F8" s="206">
        <v>46196</v>
      </c>
      <c r="G8" s="206">
        <v>46196</v>
      </c>
      <c r="H8" s="220"/>
      <c r="I8" s="220"/>
      <c r="J8" s="221"/>
      <c r="K8" s="201">
        <f t="shared" si="0"/>
        <v>28</v>
      </c>
      <c r="L8" s="201">
        <f t="shared" si="0"/>
        <v>28</v>
      </c>
      <c r="M8" s="201"/>
      <c r="N8" s="201"/>
      <c r="O8" s="222" t="s">
        <v>180</v>
      </c>
      <c r="P8" s="239" t="s">
        <v>220</v>
      </c>
      <c r="Q8" s="223"/>
      <c r="R8" s="216" t="s">
        <v>122</v>
      </c>
      <c r="S8" s="229"/>
    </row>
    <row r="9" spans="1:66" s="226" customFormat="1" ht="27.6" x14ac:dyDescent="0.3">
      <c r="A9" s="215">
        <v>5</v>
      </c>
      <c r="B9" s="216" t="s">
        <v>85</v>
      </c>
      <c r="C9" s="217" t="s">
        <v>29</v>
      </c>
      <c r="D9" s="218" t="s">
        <v>28</v>
      </c>
      <c r="E9" s="219">
        <v>2023</v>
      </c>
      <c r="F9" s="206">
        <v>46157</v>
      </c>
      <c r="G9" s="206">
        <v>46157</v>
      </c>
      <c r="H9" s="220"/>
      <c r="I9" s="220"/>
      <c r="J9" s="221"/>
      <c r="K9" s="201">
        <f t="shared" si="0"/>
        <v>67</v>
      </c>
      <c r="L9" s="201">
        <f t="shared" si="0"/>
        <v>67</v>
      </c>
      <c r="M9" s="201"/>
      <c r="N9" s="201"/>
      <c r="O9" s="222" t="s">
        <v>233</v>
      </c>
      <c r="P9" s="286" t="s">
        <v>226</v>
      </c>
      <c r="Q9" s="222"/>
      <c r="R9" s="239" t="s">
        <v>198</v>
      </c>
      <c r="S9" s="229"/>
    </row>
    <row r="10" spans="1:66" s="226" customFormat="1" x14ac:dyDescent="0.3">
      <c r="A10" s="230">
        <v>6</v>
      </c>
      <c r="B10" s="223" t="s">
        <v>153</v>
      </c>
      <c r="C10" s="231" t="s">
        <v>32</v>
      </c>
      <c r="D10" s="232" t="s">
        <v>28</v>
      </c>
      <c r="E10" s="233">
        <v>2010</v>
      </c>
      <c r="F10" s="234">
        <v>46224</v>
      </c>
      <c r="G10" s="234">
        <v>46224</v>
      </c>
      <c r="H10" s="235"/>
      <c r="I10" s="235"/>
      <c r="J10" s="236"/>
      <c r="K10" s="237">
        <f t="shared" si="0"/>
        <v>0</v>
      </c>
      <c r="L10" s="237">
        <f t="shared" si="0"/>
        <v>0</v>
      </c>
      <c r="M10" s="237"/>
      <c r="N10" s="237"/>
      <c r="O10" s="238" t="s">
        <v>234</v>
      </c>
      <c r="P10" s="216"/>
      <c r="Q10" s="222"/>
      <c r="R10" s="223"/>
      <c r="S10" s="229"/>
    </row>
    <row r="11" spans="1:66" s="226" customFormat="1" x14ac:dyDescent="0.3">
      <c r="A11" s="230">
        <v>7</v>
      </c>
      <c r="B11" s="223" t="s">
        <v>235</v>
      </c>
      <c r="C11" s="231" t="s">
        <v>29</v>
      </c>
      <c r="D11" s="232" t="s">
        <v>28</v>
      </c>
      <c r="E11" s="233">
        <v>2023</v>
      </c>
      <c r="F11" s="234">
        <v>46224</v>
      </c>
      <c r="G11" s="234">
        <v>46224</v>
      </c>
      <c r="H11" s="235"/>
      <c r="I11" s="235"/>
      <c r="J11" s="236"/>
      <c r="K11" s="237">
        <f t="shared" si="0"/>
        <v>0</v>
      </c>
      <c r="L11" s="237">
        <f t="shared" si="0"/>
        <v>0</v>
      </c>
      <c r="M11" s="237"/>
      <c r="N11" s="237"/>
      <c r="O11" s="238" t="s">
        <v>236</v>
      </c>
      <c r="P11" s="286"/>
      <c r="Q11" s="222"/>
      <c r="R11" s="223"/>
      <c r="S11" s="229"/>
    </row>
    <row r="12" spans="1:66" s="226" customFormat="1" x14ac:dyDescent="0.3">
      <c r="A12" s="230">
        <v>8</v>
      </c>
      <c r="B12" s="283" t="s">
        <v>45</v>
      </c>
      <c r="C12" s="231" t="s">
        <v>29</v>
      </c>
      <c r="D12" s="232" t="s">
        <v>28</v>
      </c>
      <c r="E12" s="233">
        <v>2023</v>
      </c>
      <c r="F12" s="234">
        <v>46224</v>
      </c>
      <c r="G12" s="234">
        <v>46224</v>
      </c>
      <c r="H12" s="235"/>
      <c r="I12" s="235"/>
      <c r="J12" s="236"/>
      <c r="K12" s="237">
        <f t="shared" si="0"/>
        <v>0</v>
      </c>
      <c r="L12" s="237">
        <f t="shared" si="0"/>
        <v>0</v>
      </c>
      <c r="M12" s="237"/>
      <c r="N12" s="237"/>
      <c r="O12" s="238" t="s">
        <v>237</v>
      </c>
      <c r="P12" s="223" t="s">
        <v>148</v>
      </c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1">$F$1-F16</f>
        <v>37</v>
      </c>
      <c r="L16" s="201">
        <f t="shared" si="1"/>
        <v>37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2">$F$1-F20</f>
        <v>61</v>
      </c>
      <c r="L20" s="201">
        <f t="shared" si="2"/>
        <v>61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3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4</v>
      </c>
      <c r="L21" s="201">
        <f t="shared" si="2"/>
        <v>4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A5:P12">
    <sortCondition ref="A5:A12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C6D4-08FB-4659-A149-F8DBF78F8C69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46225</v>
      </c>
      <c r="G1" s="206">
        <v>46225</v>
      </c>
      <c r="H1" s="206">
        <v>46225</v>
      </c>
      <c r="I1" s="206">
        <v>46225</v>
      </c>
      <c r="J1" s="206">
        <v>46225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87" t="s">
        <v>7</v>
      </c>
      <c r="L3" s="287" t="s">
        <v>19</v>
      </c>
      <c r="M3" s="287" t="s">
        <v>20</v>
      </c>
      <c r="N3" s="28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11" si="0">$F$1-F5</f>
        <v>9</v>
      </c>
      <c r="L5" s="201">
        <f t="shared" si="0"/>
        <v>9</v>
      </c>
      <c r="M5" s="201"/>
      <c r="N5" s="201"/>
      <c r="O5" s="222" t="s">
        <v>221</v>
      </c>
      <c r="P5" s="239" t="s">
        <v>51</v>
      </c>
      <c r="Q5" s="283" t="s">
        <v>191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20"/>
      <c r="I6" s="220"/>
      <c r="J6" s="221"/>
      <c r="K6" s="201">
        <f t="shared" si="0"/>
        <v>22</v>
      </c>
      <c r="L6" s="201">
        <f t="shared" si="0"/>
        <v>22</v>
      </c>
      <c r="M6" s="201"/>
      <c r="N6" s="201"/>
      <c r="O6" s="238" t="s">
        <v>232</v>
      </c>
      <c r="P6" s="227" t="s">
        <v>9</v>
      </c>
      <c r="Q6" s="223" t="s">
        <v>148</v>
      </c>
      <c r="R6" s="224" t="s">
        <v>196</v>
      </c>
      <c r="S6" s="225"/>
    </row>
    <row r="7" spans="1:66" s="226" customFormat="1" x14ac:dyDescent="0.3">
      <c r="A7" s="215">
        <v>3</v>
      </c>
      <c r="B7" s="216" t="s">
        <v>228</v>
      </c>
      <c r="C7" s="217" t="s">
        <v>29</v>
      </c>
      <c r="D7" s="218" t="s">
        <v>28</v>
      </c>
      <c r="E7" s="219">
        <v>2023</v>
      </c>
      <c r="F7" s="206">
        <v>46221</v>
      </c>
      <c r="G7" s="206">
        <v>46221</v>
      </c>
      <c r="H7" s="220"/>
      <c r="I7" s="220"/>
      <c r="J7" s="221"/>
      <c r="K7" s="201">
        <f t="shared" si="0"/>
        <v>4</v>
      </c>
      <c r="L7" s="201">
        <f t="shared" si="0"/>
        <v>4</v>
      </c>
      <c r="M7" s="201"/>
      <c r="N7" s="201"/>
      <c r="O7" s="222" t="s">
        <v>229</v>
      </c>
      <c r="P7" s="239" t="s">
        <v>219</v>
      </c>
      <c r="Q7" s="223" t="s">
        <v>50</v>
      </c>
      <c r="R7" s="283" t="s">
        <v>220</v>
      </c>
      <c r="S7" s="229"/>
    </row>
    <row r="8" spans="1:66" s="226" customFormat="1" x14ac:dyDescent="0.3">
      <c r="A8" s="215">
        <v>4</v>
      </c>
      <c r="B8" s="216" t="s">
        <v>85</v>
      </c>
      <c r="C8" s="217" t="s">
        <v>29</v>
      </c>
      <c r="D8" s="218" t="s">
        <v>28</v>
      </c>
      <c r="E8" s="219">
        <v>2023</v>
      </c>
      <c r="F8" s="206">
        <v>46157</v>
      </c>
      <c r="G8" s="206">
        <v>46157</v>
      </c>
      <c r="H8" s="220"/>
      <c r="I8" s="220"/>
      <c r="J8" s="221"/>
      <c r="K8" s="201">
        <f t="shared" si="0"/>
        <v>68</v>
      </c>
      <c r="L8" s="201">
        <f t="shared" si="0"/>
        <v>68</v>
      </c>
      <c r="M8" s="201"/>
      <c r="N8" s="201"/>
      <c r="O8" s="238" t="s">
        <v>89</v>
      </c>
      <c r="P8" s="286" t="s">
        <v>226</v>
      </c>
      <c r="Q8" s="223"/>
      <c r="R8" s="216" t="s">
        <v>44</v>
      </c>
      <c r="S8" s="229"/>
    </row>
    <row r="9" spans="1:66" s="226" customFormat="1" x14ac:dyDescent="0.3">
      <c r="A9" s="215">
        <v>5</v>
      </c>
      <c r="B9" s="216" t="s">
        <v>153</v>
      </c>
      <c r="C9" s="217" t="s">
        <v>32</v>
      </c>
      <c r="D9" s="218" t="s">
        <v>28</v>
      </c>
      <c r="E9" s="219">
        <v>2010</v>
      </c>
      <c r="F9" s="206">
        <v>46224</v>
      </c>
      <c r="G9" s="206">
        <v>46224</v>
      </c>
      <c r="H9" s="220"/>
      <c r="I9" s="220"/>
      <c r="J9" s="221"/>
      <c r="K9" s="201">
        <f t="shared" si="0"/>
        <v>1</v>
      </c>
      <c r="L9" s="201">
        <f t="shared" si="0"/>
        <v>1</v>
      </c>
      <c r="M9" s="201"/>
      <c r="N9" s="201"/>
      <c r="O9" s="222" t="s">
        <v>234</v>
      </c>
      <c r="P9" s="216"/>
      <c r="Q9" s="222"/>
      <c r="R9" s="216" t="s">
        <v>122</v>
      </c>
      <c r="S9" s="229"/>
    </row>
    <row r="10" spans="1:66" s="226" customFormat="1" x14ac:dyDescent="0.3">
      <c r="A10" s="215">
        <v>6</v>
      </c>
      <c r="B10" s="216" t="s">
        <v>235</v>
      </c>
      <c r="C10" s="217" t="s">
        <v>29</v>
      </c>
      <c r="D10" s="218" t="s">
        <v>28</v>
      </c>
      <c r="E10" s="219">
        <v>2023</v>
      </c>
      <c r="F10" s="206">
        <v>46224</v>
      </c>
      <c r="G10" s="206">
        <v>46224</v>
      </c>
      <c r="H10" s="220"/>
      <c r="I10" s="220"/>
      <c r="J10" s="221"/>
      <c r="K10" s="201">
        <f t="shared" si="0"/>
        <v>1</v>
      </c>
      <c r="L10" s="201">
        <f t="shared" si="0"/>
        <v>1</v>
      </c>
      <c r="M10" s="201"/>
      <c r="N10" s="201"/>
      <c r="O10" s="222" t="s">
        <v>236</v>
      </c>
      <c r="P10" s="227"/>
      <c r="Q10" s="222"/>
      <c r="R10" s="239" t="s">
        <v>198</v>
      </c>
      <c r="S10" s="229"/>
    </row>
    <row r="11" spans="1:66" s="226" customFormat="1" x14ac:dyDescent="0.3">
      <c r="A11" s="215">
        <v>7</v>
      </c>
      <c r="B11" s="239" t="s">
        <v>45</v>
      </c>
      <c r="C11" s="217" t="s">
        <v>29</v>
      </c>
      <c r="D11" s="218" t="s">
        <v>28</v>
      </c>
      <c r="E11" s="219">
        <v>2023</v>
      </c>
      <c r="F11" s="206">
        <v>46224</v>
      </c>
      <c r="G11" s="206">
        <v>46224</v>
      </c>
      <c r="H11" s="220"/>
      <c r="I11" s="220"/>
      <c r="J11" s="221"/>
      <c r="K11" s="201">
        <f t="shared" si="0"/>
        <v>1</v>
      </c>
      <c r="L11" s="201">
        <f t="shared" si="0"/>
        <v>1</v>
      </c>
      <c r="M11" s="201"/>
      <c r="N11" s="201"/>
      <c r="O11" s="238" t="s">
        <v>89</v>
      </c>
      <c r="P11" s="216" t="s">
        <v>148</v>
      </c>
      <c r="Q11" s="222"/>
      <c r="R11" s="223"/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1">$F$1-F16</f>
        <v>38</v>
      </c>
      <c r="L16" s="201">
        <f t="shared" si="1"/>
        <v>38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2">$F$1-F20</f>
        <v>62</v>
      </c>
      <c r="L20" s="201">
        <f t="shared" si="2"/>
        <v>62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3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5</v>
      </c>
      <c r="L21" s="201">
        <f t="shared" si="2"/>
        <v>5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R5:R10">
    <sortCondition ref="R5:R10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A478-D6AC-4382-9DC2-9ED2F595FC61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46225</v>
      </c>
      <c r="G1" s="206">
        <v>46225</v>
      </c>
      <c r="H1" s="206">
        <v>46225</v>
      </c>
      <c r="I1" s="206">
        <v>46225</v>
      </c>
      <c r="J1" s="206">
        <v>46225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88" t="s">
        <v>7</v>
      </c>
      <c r="L3" s="288" t="s">
        <v>19</v>
      </c>
      <c r="M3" s="288" t="s">
        <v>20</v>
      </c>
      <c r="N3" s="28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10" si="0">$F$1-F5</f>
        <v>9</v>
      </c>
      <c r="L5" s="201">
        <f t="shared" si="0"/>
        <v>9</v>
      </c>
      <c r="M5" s="201"/>
      <c r="N5" s="201"/>
      <c r="O5" s="222" t="s">
        <v>221</v>
      </c>
      <c r="P5" s="239" t="s">
        <v>51</v>
      </c>
      <c r="Q5" s="223" t="s">
        <v>44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20"/>
      <c r="I6" s="220"/>
      <c r="J6" s="221"/>
      <c r="K6" s="201">
        <f t="shared" si="0"/>
        <v>22</v>
      </c>
      <c r="L6" s="201">
        <f t="shared" si="0"/>
        <v>22</v>
      </c>
      <c r="M6" s="201"/>
      <c r="N6" s="201"/>
      <c r="O6" s="238" t="s">
        <v>232</v>
      </c>
      <c r="P6" s="227" t="s">
        <v>9</v>
      </c>
      <c r="Q6" s="223" t="s">
        <v>85</v>
      </c>
      <c r="R6" s="223" t="s">
        <v>26</v>
      </c>
      <c r="S6" s="225"/>
    </row>
    <row r="7" spans="1:66" s="226" customFormat="1" x14ac:dyDescent="0.3">
      <c r="A7" s="215">
        <v>3</v>
      </c>
      <c r="B7" s="216" t="s">
        <v>228</v>
      </c>
      <c r="C7" s="217" t="s">
        <v>29</v>
      </c>
      <c r="D7" s="218" t="s">
        <v>28</v>
      </c>
      <c r="E7" s="219">
        <v>2023</v>
      </c>
      <c r="F7" s="206">
        <v>46221</v>
      </c>
      <c r="G7" s="206">
        <v>46221</v>
      </c>
      <c r="H7" s="220"/>
      <c r="I7" s="220"/>
      <c r="J7" s="221"/>
      <c r="K7" s="201">
        <f t="shared" si="0"/>
        <v>4</v>
      </c>
      <c r="L7" s="201">
        <f t="shared" si="0"/>
        <v>4</v>
      </c>
      <c r="M7" s="201"/>
      <c r="N7" s="201"/>
      <c r="O7" s="238" t="s">
        <v>89</v>
      </c>
      <c r="P7" s="239" t="s">
        <v>219</v>
      </c>
      <c r="Q7" s="223" t="s">
        <v>238</v>
      </c>
      <c r="R7" s="224" t="s">
        <v>196</v>
      </c>
      <c r="S7" s="229"/>
    </row>
    <row r="8" spans="1:66" s="226" customFormat="1" x14ac:dyDescent="0.3">
      <c r="A8" s="215">
        <v>4</v>
      </c>
      <c r="B8" s="216" t="s">
        <v>153</v>
      </c>
      <c r="C8" s="217" t="s">
        <v>32</v>
      </c>
      <c r="D8" s="218" t="s">
        <v>28</v>
      </c>
      <c r="E8" s="219">
        <v>2010</v>
      </c>
      <c r="F8" s="206">
        <v>46224</v>
      </c>
      <c r="G8" s="206">
        <v>46224</v>
      </c>
      <c r="H8" s="220"/>
      <c r="I8" s="220"/>
      <c r="J8" s="221"/>
      <c r="K8" s="201">
        <f t="shared" si="0"/>
        <v>1</v>
      </c>
      <c r="L8" s="201">
        <f t="shared" si="0"/>
        <v>1</v>
      </c>
      <c r="M8" s="201"/>
      <c r="N8" s="201"/>
      <c r="O8" s="222" t="s">
        <v>234</v>
      </c>
      <c r="P8" s="216"/>
      <c r="Q8" s="283" t="s">
        <v>198</v>
      </c>
      <c r="R8" s="239" t="s">
        <v>220</v>
      </c>
      <c r="S8" s="229"/>
    </row>
    <row r="9" spans="1:66" s="226" customFormat="1" x14ac:dyDescent="0.3">
      <c r="A9" s="215">
        <v>5</v>
      </c>
      <c r="B9" s="216" t="s">
        <v>235</v>
      </c>
      <c r="C9" s="217" t="s">
        <v>29</v>
      </c>
      <c r="D9" s="218" t="s">
        <v>28</v>
      </c>
      <c r="E9" s="219">
        <v>2023</v>
      </c>
      <c r="F9" s="206">
        <v>46224</v>
      </c>
      <c r="G9" s="206">
        <v>46224</v>
      </c>
      <c r="H9" s="220"/>
      <c r="I9" s="220"/>
      <c r="J9" s="221"/>
      <c r="K9" s="201">
        <f t="shared" si="0"/>
        <v>1</v>
      </c>
      <c r="L9" s="201">
        <f t="shared" si="0"/>
        <v>1</v>
      </c>
      <c r="M9" s="201"/>
      <c r="N9" s="201"/>
      <c r="O9" s="222" t="s">
        <v>236</v>
      </c>
      <c r="P9" s="227"/>
      <c r="Q9" s="222"/>
      <c r="R9" s="216" t="s">
        <v>122</v>
      </c>
      <c r="S9" s="229"/>
    </row>
    <row r="10" spans="1:66" s="226" customFormat="1" x14ac:dyDescent="0.3">
      <c r="A10" s="215">
        <v>6</v>
      </c>
      <c r="B10" s="239" t="s">
        <v>45</v>
      </c>
      <c r="C10" s="217" t="s">
        <v>29</v>
      </c>
      <c r="D10" s="218" t="s">
        <v>28</v>
      </c>
      <c r="E10" s="219">
        <v>2023</v>
      </c>
      <c r="F10" s="206">
        <v>46224</v>
      </c>
      <c r="G10" s="206">
        <v>46224</v>
      </c>
      <c r="H10" s="220"/>
      <c r="I10" s="220"/>
      <c r="J10" s="221"/>
      <c r="K10" s="201">
        <f t="shared" si="0"/>
        <v>1</v>
      </c>
      <c r="L10" s="201">
        <f t="shared" si="0"/>
        <v>1</v>
      </c>
      <c r="M10" s="201"/>
      <c r="N10" s="201"/>
      <c r="O10" s="238" t="s">
        <v>89</v>
      </c>
      <c r="P10" s="216"/>
      <c r="Q10" s="222"/>
      <c r="R10" s="239"/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38"/>
      <c r="P11" s="286"/>
      <c r="Q11" s="222"/>
      <c r="R11" s="223"/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1">$F$1-F16</f>
        <v>38</v>
      </c>
      <c r="L16" s="201">
        <f t="shared" si="1"/>
        <v>38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2">$F$1-F20</f>
        <v>62</v>
      </c>
      <c r="L20" s="201">
        <f t="shared" si="2"/>
        <v>62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3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5</v>
      </c>
      <c r="L21" s="201">
        <f t="shared" si="2"/>
        <v>5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R5:R9">
    <sortCondition ref="R5:R9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CAAA-C57A-4020-B016-38125F75FDEE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46228</v>
      </c>
      <c r="G1" s="206">
        <v>46228</v>
      </c>
      <c r="H1" s="206">
        <v>46228</v>
      </c>
      <c r="I1" s="206">
        <v>46228</v>
      </c>
      <c r="J1" s="206">
        <v>46228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89" t="s">
        <v>7</v>
      </c>
      <c r="L3" s="289" t="s">
        <v>19</v>
      </c>
      <c r="M3" s="289" t="s">
        <v>20</v>
      </c>
      <c r="N3" s="28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9" si="0">$F$1-F5</f>
        <v>12</v>
      </c>
      <c r="L5" s="201">
        <f t="shared" si="0"/>
        <v>12</v>
      </c>
      <c r="M5" s="201"/>
      <c r="N5" s="201"/>
      <c r="O5" s="222" t="s">
        <v>221</v>
      </c>
      <c r="P5" s="239" t="s">
        <v>51</v>
      </c>
      <c r="Q5" s="223" t="s">
        <v>228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20"/>
      <c r="I6" s="220"/>
      <c r="J6" s="221"/>
      <c r="K6" s="201">
        <f t="shared" si="0"/>
        <v>25</v>
      </c>
      <c r="L6" s="201">
        <f t="shared" si="0"/>
        <v>25</v>
      </c>
      <c r="M6" s="201"/>
      <c r="N6" s="201"/>
      <c r="O6" s="238" t="s">
        <v>232</v>
      </c>
      <c r="P6" s="227" t="s">
        <v>9</v>
      </c>
      <c r="Q6" s="223"/>
      <c r="R6" s="216" t="s">
        <v>26</v>
      </c>
      <c r="S6" s="225"/>
    </row>
    <row r="7" spans="1:66" s="226" customFormat="1" x14ac:dyDescent="0.3">
      <c r="A7" s="215">
        <v>3</v>
      </c>
      <c r="B7" s="216" t="s">
        <v>153</v>
      </c>
      <c r="C7" s="217" t="s">
        <v>32</v>
      </c>
      <c r="D7" s="218" t="s">
        <v>28</v>
      </c>
      <c r="E7" s="219">
        <v>2010</v>
      </c>
      <c r="F7" s="206">
        <v>46224</v>
      </c>
      <c r="G7" s="206">
        <v>46224</v>
      </c>
      <c r="H7" s="220"/>
      <c r="I7" s="220"/>
      <c r="J7" s="221"/>
      <c r="K7" s="201">
        <f t="shared" si="0"/>
        <v>4</v>
      </c>
      <c r="L7" s="201">
        <f t="shared" si="0"/>
        <v>4</v>
      </c>
      <c r="M7" s="201"/>
      <c r="N7" s="201"/>
      <c r="O7" s="222" t="s">
        <v>234</v>
      </c>
      <c r="P7" s="216"/>
      <c r="Q7" s="223"/>
      <c r="R7" s="224" t="s">
        <v>196</v>
      </c>
      <c r="S7" s="229"/>
    </row>
    <row r="8" spans="1:66" s="226" customFormat="1" x14ac:dyDescent="0.3">
      <c r="A8" s="215">
        <v>4</v>
      </c>
      <c r="B8" s="216" t="s">
        <v>235</v>
      </c>
      <c r="C8" s="217" t="s">
        <v>29</v>
      </c>
      <c r="D8" s="218" t="s">
        <v>28</v>
      </c>
      <c r="E8" s="219">
        <v>2023</v>
      </c>
      <c r="F8" s="206">
        <v>46224</v>
      </c>
      <c r="G8" s="206">
        <v>46224</v>
      </c>
      <c r="H8" s="220"/>
      <c r="I8" s="220"/>
      <c r="J8" s="221"/>
      <c r="K8" s="201">
        <f t="shared" si="0"/>
        <v>4</v>
      </c>
      <c r="L8" s="201">
        <f t="shared" si="0"/>
        <v>4</v>
      </c>
      <c r="M8" s="201"/>
      <c r="N8" s="201"/>
      <c r="O8" s="222" t="s">
        <v>236</v>
      </c>
      <c r="P8" s="227"/>
      <c r="Q8" s="283"/>
      <c r="R8" s="239" t="s">
        <v>220</v>
      </c>
      <c r="S8" s="229"/>
    </row>
    <row r="9" spans="1:66" s="226" customFormat="1" x14ac:dyDescent="0.3">
      <c r="A9" s="215">
        <v>5</v>
      </c>
      <c r="B9" s="239" t="s">
        <v>45</v>
      </c>
      <c r="C9" s="217" t="s">
        <v>29</v>
      </c>
      <c r="D9" s="218" t="s">
        <v>28</v>
      </c>
      <c r="E9" s="219">
        <v>2023</v>
      </c>
      <c r="F9" s="206">
        <v>46224</v>
      </c>
      <c r="G9" s="206">
        <v>46224</v>
      </c>
      <c r="H9" s="220"/>
      <c r="I9" s="220"/>
      <c r="J9" s="221"/>
      <c r="K9" s="201">
        <f t="shared" si="0"/>
        <v>4</v>
      </c>
      <c r="L9" s="201">
        <f t="shared" si="0"/>
        <v>4</v>
      </c>
      <c r="M9" s="201"/>
      <c r="N9" s="201"/>
      <c r="O9" s="222" t="s">
        <v>89</v>
      </c>
      <c r="P9" s="216"/>
      <c r="Q9" s="222"/>
      <c r="R9" s="216" t="s">
        <v>122</v>
      </c>
      <c r="S9" s="229"/>
    </row>
    <row r="10" spans="1:66" s="226" customFormat="1" x14ac:dyDescent="0.3">
      <c r="A10" s="230">
        <v>6</v>
      </c>
      <c r="B10" s="223" t="s">
        <v>27</v>
      </c>
      <c r="C10" s="231" t="s">
        <v>32</v>
      </c>
      <c r="D10" s="232" t="s">
        <v>28</v>
      </c>
      <c r="E10" s="233">
        <v>2018</v>
      </c>
      <c r="F10" s="234">
        <v>46228</v>
      </c>
      <c r="G10" s="234">
        <v>46228</v>
      </c>
      <c r="H10" s="235"/>
      <c r="I10" s="235"/>
      <c r="J10" s="236"/>
      <c r="K10" s="237">
        <f t="shared" ref="K10" si="1">$F$1-F10</f>
        <v>0</v>
      </c>
      <c r="L10" s="237">
        <f t="shared" ref="L10" si="2">$F$1-G10</f>
        <v>0</v>
      </c>
      <c r="M10" s="237"/>
      <c r="N10" s="237"/>
      <c r="O10" s="238" t="s">
        <v>221</v>
      </c>
      <c r="P10" s="223" t="s">
        <v>228</v>
      </c>
      <c r="Q10" s="222"/>
      <c r="R10" s="216"/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38"/>
      <c r="P11" s="286"/>
      <c r="Q11" s="222"/>
      <c r="R11" s="223"/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3">$F$1-F16</f>
        <v>41</v>
      </c>
      <c r="L16" s="201">
        <f t="shared" si="3"/>
        <v>41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4">$F$1-F20</f>
        <v>65</v>
      </c>
      <c r="L20" s="201">
        <f t="shared" si="4"/>
        <v>65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3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8</v>
      </c>
      <c r="L21" s="201">
        <f t="shared" si="4"/>
        <v>8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A5:P10">
    <sortCondition ref="A5:A10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4D95-07B7-49F1-BB1E-AA0E4AE28101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46229</v>
      </c>
      <c r="G1" s="206">
        <v>46229</v>
      </c>
      <c r="H1" s="206">
        <v>46229</v>
      </c>
      <c r="I1" s="206">
        <v>46229</v>
      </c>
      <c r="J1" s="206">
        <v>46229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90" t="s">
        <v>7</v>
      </c>
      <c r="L3" s="290" t="s">
        <v>19</v>
      </c>
      <c r="M3" s="290" t="s">
        <v>20</v>
      </c>
      <c r="N3" s="29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10" si="0">$F$1-F5</f>
        <v>13</v>
      </c>
      <c r="L5" s="201">
        <f t="shared" si="0"/>
        <v>13</v>
      </c>
      <c r="M5" s="201"/>
      <c r="N5" s="201"/>
      <c r="O5" s="222" t="s">
        <v>221</v>
      </c>
      <c r="P5" s="239" t="s">
        <v>51</v>
      </c>
      <c r="Q5" s="223" t="s">
        <v>228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20"/>
      <c r="I6" s="220"/>
      <c r="J6" s="221"/>
      <c r="K6" s="201">
        <f t="shared" si="0"/>
        <v>26</v>
      </c>
      <c r="L6" s="201">
        <f t="shared" si="0"/>
        <v>26</v>
      </c>
      <c r="M6" s="201"/>
      <c r="N6" s="201"/>
      <c r="O6" s="238" t="s">
        <v>232</v>
      </c>
      <c r="P6" s="227" t="s">
        <v>9</v>
      </c>
      <c r="Q6" s="223"/>
      <c r="R6" s="216" t="s">
        <v>26</v>
      </c>
      <c r="S6" s="225"/>
    </row>
    <row r="7" spans="1:66" s="226" customFormat="1" x14ac:dyDescent="0.3">
      <c r="A7" s="215">
        <v>3</v>
      </c>
      <c r="B7" s="216" t="s">
        <v>153</v>
      </c>
      <c r="C7" s="217" t="s">
        <v>32</v>
      </c>
      <c r="D7" s="218" t="s">
        <v>28</v>
      </c>
      <c r="E7" s="219">
        <v>2010</v>
      </c>
      <c r="F7" s="206">
        <v>46224</v>
      </c>
      <c r="G7" s="206">
        <v>46224</v>
      </c>
      <c r="H7" s="220"/>
      <c r="I7" s="220"/>
      <c r="J7" s="221"/>
      <c r="K7" s="201">
        <f t="shared" si="0"/>
        <v>5</v>
      </c>
      <c r="L7" s="201">
        <f t="shared" si="0"/>
        <v>5</v>
      </c>
      <c r="M7" s="201"/>
      <c r="N7" s="201"/>
      <c r="O7" s="222" t="s">
        <v>234</v>
      </c>
      <c r="P7" s="216"/>
      <c r="Q7" s="223"/>
      <c r="R7" s="224" t="s">
        <v>196</v>
      </c>
      <c r="S7" s="229"/>
    </row>
    <row r="8" spans="1:66" s="226" customFormat="1" x14ac:dyDescent="0.3">
      <c r="A8" s="215">
        <v>4</v>
      </c>
      <c r="B8" s="216" t="s">
        <v>235</v>
      </c>
      <c r="C8" s="217" t="s">
        <v>29</v>
      </c>
      <c r="D8" s="218" t="s">
        <v>28</v>
      </c>
      <c r="E8" s="219">
        <v>2023</v>
      </c>
      <c r="F8" s="206">
        <v>46224</v>
      </c>
      <c r="G8" s="206">
        <v>46224</v>
      </c>
      <c r="H8" s="220"/>
      <c r="I8" s="220"/>
      <c r="J8" s="221"/>
      <c r="K8" s="201">
        <f t="shared" si="0"/>
        <v>5</v>
      </c>
      <c r="L8" s="201">
        <f t="shared" si="0"/>
        <v>5</v>
      </c>
      <c r="M8" s="201"/>
      <c r="N8" s="201"/>
      <c r="O8" s="222" t="s">
        <v>236</v>
      </c>
      <c r="P8" s="227"/>
      <c r="Q8" s="283"/>
      <c r="R8" s="239" t="s">
        <v>220</v>
      </c>
      <c r="S8" s="229"/>
    </row>
    <row r="9" spans="1:66" s="226" customFormat="1" x14ac:dyDescent="0.3">
      <c r="A9" s="215">
        <v>5</v>
      </c>
      <c r="B9" s="239" t="s">
        <v>45</v>
      </c>
      <c r="C9" s="217" t="s">
        <v>29</v>
      </c>
      <c r="D9" s="218" t="s">
        <v>28</v>
      </c>
      <c r="E9" s="219">
        <v>2023</v>
      </c>
      <c r="F9" s="206">
        <v>46224</v>
      </c>
      <c r="G9" s="206">
        <v>46224</v>
      </c>
      <c r="H9" s="220"/>
      <c r="I9" s="220"/>
      <c r="J9" s="221"/>
      <c r="K9" s="201">
        <f t="shared" si="0"/>
        <v>5</v>
      </c>
      <c r="L9" s="201">
        <f t="shared" si="0"/>
        <v>5</v>
      </c>
      <c r="M9" s="201"/>
      <c r="N9" s="201"/>
      <c r="O9" s="222" t="s">
        <v>89</v>
      </c>
      <c r="P9" s="216"/>
      <c r="Q9" s="222"/>
      <c r="R9" s="216" t="s">
        <v>122</v>
      </c>
      <c r="S9" s="229"/>
    </row>
    <row r="10" spans="1:66" s="226" customFormat="1" x14ac:dyDescent="0.3">
      <c r="A10" s="230">
        <v>6</v>
      </c>
      <c r="B10" s="223" t="s">
        <v>27</v>
      </c>
      <c r="C10" s="231" t="s">
        <v>32</v>
      </c>
      <c r="D10" s="232" t="s">
        <v>28</v>
      </c>
      <c r="E10" s="233">
        <v>2018</v>
      </c>
      <c r="F10" s="234">
        <v>46228</v>
      </c>
      <c r="G10" s="234">
        <v>46228</v>
      </c>
      <c r="H10" s="235"/>
      <c r="I10" s="235"/>
      <c r="J10" s="236"/>
      <c r="K10" s="237">
        <f t="shared" si="0"/>
        <v>1</v>
      </c>
      <c r="L10" s="237">
        <f t="shared" si="0"/>
        <v>1</v>
      </c>
      <c r="M10" s="237"/>
      <c r="N10" s="237"/>
      <c r="O10" s="238" t="s">
        <v>221</v>
      </c>
      <c r="P10" s="223" t="s">
        <v>228</v>
      </c>
      <c r="Q10" s="222"/>
      <c r="R10" s="223" t="s">
        <v>24</v>
      </c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38"/>
      <c r="P11" s="286"/>
      <c r="Q11" s="222"/>
      <c r="R11" s="223" t="s">
        <v>76</v>
      </c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1">$F$1-F16</f>
        <v>42</v>
      </c>
      <c r="L16" s="201">
        <f t="shared" si="1"/>
        <v>42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2">$F$1-F20</f>
        <v>66</v>
      </c>
      <c r="L20" s="201">
        <f t="shared" si="2"/>
        <v>66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3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9</v>
      </c>
      <c r="L21" s="201">
        <f t="shared" si="2"/>
        <v>9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910A-C226-4536-A399-B3B8DE59B8E6}">
  <dimension ref="A1:BN22"/>
  <sheetViews>
    <sheetView workbookViewId="0">
      <selection activeCell="O16" sqref="O1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46230</v>
      </c>
      <c r="G1" s="206">
        <v>46230</v>
      </c>
      <c r="H1" s="206">
        <v>46230</v>
      </c>
      <c r="I1" s="206">
        <v>46230</v>
      </c>
      <c r="J1" s="206">
        <v>46230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91" t="s">
        <v>7</v>
      </c>
      <c r="L3" s="291" t="s">
        <v>19</v>
      </c>
      <c r="M3" s="291" t="s">
        <v>20</v>
      </c>
      <c r="N3" s="29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20"/>
      <c r="I5" s="220"/>
      <c r="J5" s="221"/>
      <c r="K5" s="201">
        <f t="shared" ref="K5:L10" si="0">$F$1-F5</f>
        <v>14</v>
      </c>
      <c r="L5" s="201">
        <f t="shared" si="0"/>
        <v>14</v>
      </c>
      <c r="M5" s="201"/>
      <c r="N5" s="201"/>
      <c r="O5" s="222" t="s">
        <v>221</v>
      </c>
      <c r="P5" s="239" t="s">
        <v>51</v>
      </c>
      <c r="Q5" s="223" t="s">
        <v>228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20"/>
      <c r="I6" s="220"/>
      <c r="J6" s="221"/>
      <c r="K6" s="201">
        <f t="shared" si="0"/>
        <v>27</v>
      </c>
      <c r="L6" s="201">
        <f t="shared" si="0"/>
        <v>27</v>
      </c>
      <c r="M6" s="201"/>
      <c r="N6" s="201"/>
      <c r="O6" s="238" t="s">
        <v>232</v>
      </c>
      <c r="P6" s="227" t="s">
        <v>9</v>
      </c>
      <c r="Q6" s="223" t="s">
        <v>153</v>
      </c>
      <c r="R6" s="216" t="s">
        <v>26</v>
      </c>
      <c r="S6" s="225"/>
    </row>
    <row r="7" spans="1:66" s="226" customFormat="1" x14ac:dyDescent="0.3">
      <c r="A7" s="215">
        <v>3</v>
      </c>
      <c r="B7" s="216" t="s">
        <v>235</v>
      </c>
      <c r="C7" s="217" t="s">
        <v>29</v>
      </c>
      <c r="D7" s="218" t="s">
        <v>28</v>
      </c>
      <c r="E7" s="219">
        <v>2023</v>
      </c>
      <c r="F7" s="206">
        <v>46224</v>
      </c>
      <c r="G7" s="206">
        <v>46224</v>
      </c>
      <c r="H7" s="220"/>
      <c r="I7" s="220"/>
      <c r="J7" s="221"/>
      <c r="K7" s="201">
        <f t="shared" si="0"/>
        <v>6</v>
      </c>
      <c r="L7" s="201">
        <f t="shared" si="0"/>
        <v>6</v>
      </c>
      <c r="M7" s="201"/>
      <c r="N7" s="201"/>
      <c r="O7" s="222" t="s">
        <v>236</v>
      </c>
      <c r="P7" s="227"/>
      <c r="Q7" s="223"/>
      <c r="R7" s="224" t="s">
        <v>196</v>
      </c>
      <c r="S7" s="229"/>
    </row>
    <row r="8" spans="1:66" s="226" customFormat="1" x14ac:dyDescent="0.3">
      <c r="A8" s="215">
        <v>4</v>
      </c>
      <c r="B8" s="239" t="s">
        <v>45</v>
      </c>
      <c r="C8" s="217" t="s">
        <v>29</v>
      </c>
      <c r="D8" s="218" t="s">
        <v>28</v>
      </c>
      <c r="E8" s="219">
        <v>2023</v>
      </c>
      <c r="F8" s="206">
        <v>46224</v>
      </c>
      <c r="G8" s="206">
        <v>46224</v>
      </c>
      <c r="H8" s="220"/>
      <c r="I8" s="220"/>
      <c r="J8" s="221"/>
      <c r="K8" s="201">
        <f t="shared" si="0"/>
        <v>6</v>
      </c>
      <c r="L8" s="201">
        <f t="shared" si="0"/>
        <v>6</v>
      </c>
      <c r="M8" s="201"/>
      <c r="N8" s="201"/>
      <c r="O8" s="222" t="s">
        <v>89</v>
      </c>
      <c r="P8" s="216"/>
      <c r="Q8" s="283"/>
      <c r="R8" s="239" t="s">
        <v>220</v>
      </c>
      <c r="S8" s="229"/>
    </row>
    <row r="9" spans="1:66" s="226" customFormat="1" x14ac:dyDescent="0.3">
      <c r="A9" s="230">
        <v>5</v>
      </c>
      <c r="B9" s="223" t="s">
        <v>27</v>
      </c>
      <c r="C9" s="231" t="s">
        <v>32</v>
      </c>
      <c r="D9" s="232" t="s">
        <v>28</v>
      </c>
      <c r="E9" s="233">
        <v>2018</v>
      </c>
      <c r="F9" s="234">
        <v>46228</v>
      </c>
      <c r="G9" s="234">
        <v>46228</v>
      </c>
      <c r="H9" s="235"/>
      <c r="I9" s="235"/>
      <c r="J9" s="236"/>
      <c r="K9" s="237">
        <f t="shared" si="0"/>
        <v>2</v>
      </c>
      <c r="L9" s="237">
        <f t="shared" si="0"/>
        <v>2</v>
      </c>
      <c r="M9" s="237"/>
      <c r="N9" s="237"/>
      <c r="O9" s="238" t="s">
        <v>221</v>
      </c>
      <c r="P9" s="223" t="s">
        <v>228</v>
      </c>
      <c r="Q9" s="222"/>
      <c r="R9" s="216" t="s">
        <v>122</v>
      </c>
      <c r="S9" s="229"/>
    </row>
    <row r="10" spans="1:66" s="226" customFormat="1" x14ac:dyDescent="0.3">
      <c r="A10" s="230">
        <v>6</v>
      </c>
      <c r="B10" s="223" t="s">
        <v>57</v>
      </c>
      <c r="C10" s="231" t="s">
        <v>29</v>
      </c>
      <c r="D10" s="232" t="s">
        <v>28</v>
      </c>
      <c r="E10" s="233">
        <v>2023</v>
      </c>
      <c r="F10" s="234">
        <v>46230</v>
      </c>
      <c r="G10" s="234">
        <v>46230</v>
      </c>
      <c r="H10" s="235"/>
      <c r="I10" s="235"/>
      <c r="J10" s="236"/>
      <c r="K10" s="237">
        <f t="shared" si="0"/>
        <v>0</v>
      </c>
      <c r="L10" s="237">
        <f t="shared" si="0"/>
        <v>0</v>
      </c>
      <c r="M10" s="237"/>
      <c r="N10" s="237"/>
      <c r="O10" s="238" t="s">
        <v>239</v>
      </c>
      <c r="P10" s="286" t="s">
        <v>153</v>
      </c>
      <c r="Q10" s="222"/>
      <c r="R10" s="223" t="s">
        <v>24</v>
      </c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16"/>
      <c r="Q11" s="222"/>
      <c r="R11" s="223" t="s">
        <v>76</v>
      </c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1">$F$1-F16</f>
        <v>43</v>
      </c>
      <c r="L16" s="201">
        <f t="shared" si="1"/>
        <v>43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2">$F$1-F20</f>
        <v>67</v>
      </c>
      <c r="L20" s="201">
        <f t="shared" si="2"/>
        <v>67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3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10</v>
      </c>
      <c r="L21" s="201">
        <f t="shared" si="2"/>
        <v>10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A5:P11">
    <sortCondition ref="A5:A11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7193-5877-44BE-B680-BD8313C2AAFF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46231</v>
      </c>
      <c r="G1" s="206">
        <v>46231</v>
      </c>
      <c r="H1" s="206">
        <v>46231</v>
      </c>
      <c r="I1" s="206">
        <v>46231</v>
      </c>
      <c r="J1" s="206">
        <v>46231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92" t="s">
        <v>7</v>
      </c>
      <c r="L3" s="292" t="s">
        <v>19</v>
      </c>
      <c r="M3" s="292" t="s">
        <v>20</v>
      </c>
      <c r="N3" s="29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thickBot="1" x14ac:dyDescent="0.35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94"/>
      <c r="I5" s="220"/>
      <c r="J5" s="221"/>
      <c r="K5" s="201">
        <f t="shared" ref="K5:L8" si="0">$F$1-F5</f>
        <v>15</v>
      </c>
      <c r="L5" s="201">
        <f t="shared" si="0"/>
        <v>15</v>
      </c>
      <c r="M5" s="201"/>
      <c r="N5" s="201"/>
      <c r="O5" s="222" t="s">
        <v>221</v>
      </c>
      <c r="P5" s="239" t="s">
        <v>51</v>
      </c>
      <c r="Q5" s="223"/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95"/>
      <c r="I6" s="220"/>
      <c r="J6" s="221"/>
      <c r="K6" s="201">
        <f t="shared" si="0"/>
        <v>28</v>
      </c>
      <c r="L6" s="201">
        <f t="shared" si="0"/>
        <v>28</v>
      </c>
      <c r="M6" s="201"/>
      <c r="N6" s="201"/>
      <c r="O6" s="222" t="s">
        <v>232</v>
      </c>
      <c r="P6" s="227" t="s">
        <v>9</v>
      </c>
      <c r="Q6" s="223"/>
      <c r="R6" s="216" t="s">
        <v>26</v>
      </c>
      <c r="S6" s="225"/>
    </row>
    <row r="7" spans="1:66" s="226" customFormat="1" x14ac:dyDescent="0.3">
      <c r="A7" s="215">
        <v>3</v>
      </c>
      <c r="B7" s="216" t="s">
        <v>235</v>
      </c>
      <c r="C7" s="217" t="s">
        <v>29</v>
      </c>
      <c r="D7" s="218" t="s">
        <v>28</v>
      </c>
      <c r="E7" s="219">
        <v>2023</v>
      </c>
      <c r="F7" s="206">
        <v>46224</v>
      </c>
      <c r="G7" s="206">
        <v>46224</v>
      </c>
      <c r="H7" s="296"/>
      <c r="I7" s="220"/>
      <c r="J7" s="221"/>
      <c r="K7" s="201">
        <f t="shared" si="0"/>
        <v>7</v>
      </c>
      <c r="L7" s="201">
        <f t="shared" si="0"/>
        <v>7</v>
      </c>
      <c r="M7" s="201"/>
      <c r="N7" s="201"/>
      <c r="O7" s="222" t="s">
        <v>236</v>
      </c>
      <c r="P7" s="227"/>
      <c r="Q7" s="223"/>
      <c r="R7" s="224" t="s">
        <v>196</v>
      </c>
      <c r="S7" s="229"/>
    </row>
    <row r="8" spans="1:66" s="226" customFormat="1" x14ac:dyDescent="0.3">
      <c r="A8" s="215">
        <v>4</v>
      </c>
      <c r="B8" s="239" t="s">
        <v>45</v>
      </c>
      <c r="C8" s="217" t="s">
        <v>29</v>
      </c>
      <c r="D8" s="218" t="s">
        <v>28</v>
      </c>
      <c r="E8" s="219">
        <v>2023</v>
      </c>
      <c r="F8" s="206">
        <v>46224</v>
      </c>
      <c r="G8" s="206">
        <v>46224</v>
      </c>
      <c r="H8" s="296"/>
      <c r="I8" s="220"/>
      <c r="J8" s="221"/>
      <c r="K8" s="201">
        <f t="shared" si="0"/>
        <v>7</v>
      </c>
      <c r="L8" s="201">
        <f t="shared" si="0"/>
        <v>7</v>
      </c>
      <c r="M8" s="201"/>
      <c r="N8" s="201"/>
      <c r="O8" s="222" t="s">
        <v>89</v>
      </c>
      <c r="P8" s="216"/>
      <c r="Q8" s="283"/>
      <c r="R8" s="239" t="s">
        <v>220</v>
      </c>
      <c r="S8" s="229"/>
    </row>
    <row r="9" spans="1:66" s="226" customFormat="1" x14ac:dyDescent="0.3">
      <c r="A9" s="215">
        <v>5</v>
      </c>
      <c r="B9" s="216" t="s">
        <v>57</v>
      </c>
      <c r="C9" s="217" t="s">
        <v>29</v>
      </c>
      <c r="D9" s="218" t="s">
        <v>28</v>
      </c>
      <c r="E9" s="219">
        <v>2023</v>
      </c>
      <c r="F9" s="206">
        <v>46230</v>
      </c>
      <c r="G9" s="206">
        <v>46230</v>
      </c>
      <c r="H9" s="297"/>
      <c r="I9" s="220"/>
      <c r="J9" s="221"/>
      <c r="K9" s="201">
        <f t="shared" ref="K9" si="1">$F$1-F9</f>
        <v>1</v>
      </c>
      <c r="L9" s="201">
        <f t="shared" ref="L9" si="2">$F$1-G9</f>
        <v>1</v>
      </c>
      <c r="M9" s="237"/>
      <c r="N9" s="237"/>
      <c r="O9" s="238" t="s">
        <v>239</v>
      </c>
      <c r="P9" s="286" t="s">
        <v>153</v>
      </c>
      <c r="Q9" s="222"/>
      <c r="R9" s="216"/>
      <c r="S9" s="229"/>
    </row>
    <row r="10" spans="1:66" s="226" customFormat="1" x14ac:dyDescent="0.3">
      <c r="A10" s="230"/>
      <c r="B10" s="223"/>
      <c r="C10" s="231"/>
      <c r="D10" s="232"/>
      <c r="E10" s="233"/>
      <c r="F10" s="234"/>
      <c r="G10" s="234"/>
      <c r="H10" s="298"/>
      <c r="I10" s="235"/>
      <c r="J10" s="236"/>
      <c r="K10" s="237"/>
      <c r="L10" s="237"/>
      <c r="M10" s="237"/>
      <c r="N10" s="237"/>
      <c r="O10" s="238"/>
      <c r="P10" s="286"/>
      <c r="Q10" s="222"/>
      <c r="R10" s="223" t="s">
        <v>228</v>
      </c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16"/>
      <c r="Q11" s="222"/>
      <c r="R11" s="223" t="s">
        <v>240</v>
      </c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3">$F$1-F16</f>
        <v>44</v>
      </c>
      <c r="L16" s="201">
        <f t="shared" si="3"/>
        <v>44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4">$F$1-F20</f>
        <v>68</v>
      </c>
      <c r="L20" s="201">
        <f t="shared" si="4"/>
        <v>68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11</v>
      </c>
      <c r="L21" s="201">
        <f t="shared" si="4"/>
        <v>11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1C58-4C89-4390-991C-D97E37B7318F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46232</v>
      </c>
      <c r="G1" s="206">
        <v>46232</v>
      </c>
      <c r="H1" s="206">
        <v>46232</v>
      </c>
      <c r="I1" s="206">
        <v>46232</v>
      </c>
      <c r="J1" s="206">
        <v>46232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93" t="s">
        <v>7</v>
      </c>
      <c r="L3" s="293" t="s">
        <v>19</v>
      </c>
      <c r="M3" s="293" t="s">
        <v>20</v>
      </c>
      <c r="N3" s="29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thickBot="1" x14ac:dyDescent="0.35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94"/>
      <c r="I5" s="220"/>
      <c r="J5" s="221"/>
      <c r="K5" s="201">
        <f t="shared" ref="K5:L7" si="0">$F$1-F5</f>
        <v>16</v>
      </c>
      <c r="L5" s="201">
        <f t="shared" si="0"/>
        <v>16</v>
      </c>
      <c r="M5" s="201"/>
      <c r="N5" s="201"/>
      <c r="O5" s="238" t="s">
        <v>241</v>
      </c>
      <c r="P5" s="239" t="s">
        <v>51</v>
      </c>
      <c r="Q5" s="223"/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95"/>
      <c r="I6" s="220"/>
      <c r="J6" s="221"/>
      <c r="K6" s="201">
        <f t="shared" si="0"/>
        <v>29</v>
      </c>
      <c r="L6" s="201">
        <f t="shared" si="0"/>
        <v>29</v>
      </c>
      <c r="M6" s="201"/>
      <c r="N6" s="201"/>
      <c r="O6" s="222" t="s">
        <v>232</v>
      </c>
      <c r="P6" s="227" t="s">
        <v>9</v>
      </c>
      <c r="Q6" s="223"/>
      <c r="R6" s="216" t="s">
        <v>26</v>
      </c>
      <c r="S6" s="225"/>
    </row>
    <row r="7" spans="1:66" s="226" customFormat="1" x14ac:dyDescent="0.3">
      <c r="A7" s="215">
        <v>3</v>
      </c>
      <c r="B7" s="216" t="s">
        <v>235</v>
      </c>
      <c r="C7" s="217" t="s">
        <v>29</v>
      </c>
      <c r="D7" s="218" t="s">
        <v>28</v>
      </c>
      <c r="E7" s="219">
        <v>2023</v>
      </c>
      <c r="F7" s="206">
        <v>46224</v>
      </c>
      <c r="G7" s="206">
        <v>46224</v>
      </c>
      <c r="H7" s="296"/>
      <c r="I7" s="220"/>
      <c r="J7" s="221"/>
      <c r="K7" s="201">
        <f t="shared" si="0"/>
        <v>8</v>
      </c>
      <c r="L7" s="201">
        <f t="shared" si="0"/>
        <v>8</v>
      </c>
      <c r="M7" s="201"/>
      <c r="N7" s="201"/>
      <c r="O7" s="222" t="s">
        <v>242</v>
      </c>
      <c r="P7" s="227"/>
      <c r="Q7" s="223"/>
      <c r="R7" s="224" t="s">
        <v>196</v>
      </c>
      <c r="S7" s="229"/>
    </row>
    <row r="8" spans="1:66" s="226" customFormat="1" ht="27.6" x14ac:dyDescent="0.3">
      <c r="A8" s="215">
        <v>4</v>
      </c>
      <c r="B8" s="216" t="s">
        <v>57</v>
      </c>
      <c r="C8" s="217" t="s">
        <v>29</v>
      </c>
      <c r="D8" s="218" t="s">
        <v>28</v>
      </c>
      <c r="E8" s="219">
        <v>2023</v>
      </c>
      <c r="F8" s="206">
        <v>46230</v>
      </c>
      <c r="G8" s="206">
        <v>46230</v>
      </c>
      <c r="H8" s="297"/>
      <c r="I8" s="220"/>
      <c r="J8" s="221"/>
      <c r="K8" s="201">
        <f t="shared" ref="K8" si="1">$F$1-F8</f>
        <v>2</v>
      </c>
      <c r="L8" s="201">
        <f t="shared" ref="L8" si="2">$F$1-G8</f>
        <v>2</v>
      </c>
      <c r="M8" s="237"/>
      <c r="N8" s="237"/>
      <c r="O8" s="238" t="s">
        <v>243</v>
      </c>
      <c r="P8" s="227" t="s">
        <v>153</v>
      </c>
      <c r="Q8" s="283"/>
      <c r="R8" s="239" t="s">
        <v>220</v>
      </c>
      <c r="S8" s="229"/>
    </row>
    <row r="9" spans="1:66" s="226" customFormat="1" x14ac:dyDescent="0.3">
      <c r="A9" s="215"/>
      <c r="B9" s="216"/>
      <c r="C9" s="217"/>
      <c r="D9" s="218"/>
      <c r="E9" s="219"/>
      <c r="F9" s="206"/>
      <c r="G9" s="206"/>
      <c r="H9" s="297"/>
      <c r="I9" s="220"/>
      <c r="J9" s="221"/>
      <c r="K9" s="201"/>
      <c r="L9" s="201"/>
      <c r="M9" s="237"/>
      <c r="N9" s="237"/>
      <c r="O9" s="238"/>
      <c r="P9" s="286"/>
      <c r="Q9" s="222"/>
      <c r="R9" s="239" t="s">
        <v>45</v>
      </c>
      <c r="S9" s="229"/>
    </row>
    <row r="10" spans="1:66" s="226" customFormat="1" x14ac:dyDescent="0.3">
      <c r="A10" s="230"/>
      <c r="B10" s="223"/>
      <c r="C10" s="231"/>
      <c r="D10" s="232"/>
      <c r="E10" s="233"/>
      <c r="F10" s="234"/>
      <c r="G10" s="234"/>
      <c r="H10" s="298"/>
      <c r="I10" s="235"/>
      <c r="J10" s="236"/>
      <c r="K10" s="237"/>
      <c r="L10" s="237"/>
      <c r="M10" s="237"/>
      <c r="N10" s="237"/>
      <c r="O10" s="238"/>
      <c r="P10" s="286"/>
      <c r="Q10" s="222"/>
      <c r="R10" s="216" t="s">
        <v>228</v>
      </c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16"/>
      <c r="Q11" s="222"/>
      <c r="R11" s="216" t="s">
        <v>240</v>
      </c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3">$F$1-F16</f>
        <v>45</v>
      </c>
      <c r="L16" s="201">
        <f t="shared" si="3"/>
        <v>45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4">$F$1-F20</f>
        <v>69</v>
      </c>
      <c r="L20" s="201">
        <f t="shared" si="4"/>
        <v>69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12</v>
      </c>
      <c r="L21" s="201">
        <f t="shared" si="4"/>
        <v>12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12CA-EF19-40F8-9997-E5E4295DB62C}">
  <dimension ref="A1:BN22"/>
  <sheetViews>
    <sheetView workbookViewId="0">
      <selection activeCell="B5" sqref="B5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46233</v>
      </c>
      <c r="G1" s="206">
        <v>46233</v>
      </c>
      <c r="H1" s="206">
        <v>46233</v>
      </c>
      <c r="I1" s="206">
        <v>46233</v>
      </c>
      <c r="J1" s="206">
        <v>46233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299" t="s">
        <v>7</v>
      </c>
      <c r="L3" s="299" t="s">
        <v>19</v>
      </c>
      <c r="M3" s="299" t="s">
        <v>20</v>
      </c>
      <c r="N3" s="29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thickBot="1" x14ac:dyDescent="0.35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215</v>
      </c>
      <c r="C5" s="217" t="s">
        <v>216</v>
      </c>
      <c r="D5" s="218" t="s">
        <v>74</v>
      </c>
      <c r="E5" s="219">
        <v>2022</v>
      </c>
      <c r="F5" s="206">
        <v>46216</v>
      </c>
      <c r="G5" s="206">
        <v>46216</v>
      </c>
      <c r="H5" s="294"/>
      <c r="I5" s="220"/>
      <c r="J5" s="221"/>
      <c r="K5" s="201">
        <f t="shared" ref="K5:L8" si="0">$F$1-F5</f>
        <v>17</v>
      </c>
      <c r="L5" s="201">
        <f t="shared" si="0"/>
        <v>17</v>
      </c>
      <c r="M5" s="201"/>
      <c r="N5" s="201"/>
      <c r="O5" s="222" t="s">
        <v>241</v>
      </c>
      <c r="P5" s="303" t="s">
        <v>51</v>
      </c>
      <c r="Q5" s="223"/>
      <c r="R5" s="224" t="s">
        <v>30</v>
      </c>
      <c r="S5" s="225"/>
    </row>
    <row r="6" spans="1:66" s="226" customFormat="1" x14ac:dyDescent="0.3">
      <c r="A6" s="215">
        <v>2</v>
      </c>
      <c r="B6" s="216" t="s">
        <v>200</v>
      </c>
      <c r="C6" s="217" t="s">
        <v>29</v>
      </c>
      <c r="D6" s="218" t="s">
        <v>28</v>
      </c>
      <c r="E6" s="219">
        <v>2023</v>
      </c>
      <c r="F6" s="206">
        <v>46203</v>
      </c>
      <c r="G6" s="206">
        <v>46203</v>
      </c>
      <c r="H6" s="295"/>
      <c r="I6" s="220"/>
      <c r="J6" s="221"/>
      <c r="K6" s="201">
        <f t="shared" si="0"/>
        <v>30</v>
      </c>
      <c r="L6" s="201">
        <f t="shared" si="0"/>
        <v>30</v>
      </c>
      <c r="M6" s="201"/>
      <c r="N6" s="201"/>
      <c r="O6" s="222" t="s">
        <v>245</v>
      </c>
      <c r="P6" s="227"/>
      <c r="Q6" s="223"/>
      <c r="R6" s="216" t="s">
        <v>26</v>
      </c>
      <c r="S6" s="225"/>
    </row>
    <row r="7" spans="1:66" s="226" customFormat="1" x14ac:dyDescent="0.3">
      <c r="A7" s="215">
        <v>3</v>
      </c>
      <c r="B7" s="216" t="s">
        <v>235</v>
      </c>
      <c r="C7" s="217" t="s">
        <v>29</v>
      </c>
      <c r="D7" s="218" t="s">
        <v>28</v>
      </c>
      <c r="E7" s="219">
        <v>2023</v>
      </c>
      <c r="F7" s="206">
        <v>46224</v>
      </c>
      <c r="G7" s="206">
        <v>46224</v>
      </c>
      <c r="H7" s="296"/>
      <c r="I7" s="220"/>
      <c r="J7" s="221"/>
      <c r="K7" s="201">
        <f t="shared" si="0"/>
        <v>9</v>
      </c>
      <c r="L7" s="201">
        <f t="shared" si="0"/>
        <v>9</v>
      </c>
      <c r="M7" s="201"/>
      <c r="N7" s="201"/>
      <c r="O7" s="222" t="s">
        <v>242</v>
      </c>
      <c r="P7" s="227"/>
      <c r="Q7" s="223"/>
      <c r="R7" s="224" t="s">
        <v>196</v>
      </c>
      <c r="S7" s="229"/>
    </row>
    <row r="8" spans="1:66" s="226" customFormat="1" ht="27.6" x14ac:dyDescent="0.3">
      <c r="A8" s="215">
        <v>4</v>
      </c>
      <c r="B8" s="216" t="s">
        <v>57</v>
      </c>
      <c r="C8" s="217" t="s">
        <v>29</v>
      </c>
      <c r="D8" s="218" t="s">
        <v>28</v>
      </c>
      <c r="E8" s="219">
        <v>2023</v>
      </c>
      <c r="F8" s="206">
        <v>46230</v>
      </c>
      <c r="G8" s="206">
        <v>46230</v>
      </c>
      <c r="H8" s="297"/>
      <c r="I8" s="220"/>
      <c r="J8" s="221"/>
      <c r="K8" s="201">
        <f t="shared" si="0"/>
        <v>3</v>
      </c>
      <c r="L8" s="201">
        <f t="shared" si="0"/>
        <v>3</v>
      </c>
      <c r="M8" s="237"/>
      <c r="N8" s="237"/>
      <c r="O8" s="222" t="s">
        <v>243</v>
      </c>
      <c r="P8" s="304" t="s">
        <v>153</v>
      </c>
      <c r="Q8" s="283"/>
      <c r="R8" s="239" t="s">
        <v>220</v>
      </c>
      <c r="S8" s="229"/>
    </row>
    <row r="9" spans="1:66" s="226" customFormat="1" x14ac:dyDescent="0.3">
      <c r="A9" s="230">
        <v>5</v>
      </c>
      <c r="B9" s="286" t="s">
        <v>9</v>
      </c>
      <c r="C9" s="301" t="s">
        <v>32</v>
      </c>
      <c r="D9" s="302" t="s">
        <v>28</v>
      </c>
      <c r="E9" s="233">
        <v>2010</v>
      </c>
      <c r="F9" s="234">
        <v>46233</v>
      </c>
      <c r="G9" s="234">
        <v>46233</v>
      </c>
      <c r="H9" s="297"/>
      <c r="I9" s="235"/>
      <c r="J9" s="236"/>
      <c r="K9" s="237">
        <v>0</v>
      </c>
      <c r="L9" s="237">
        <v>0</v>
      </c>
      <c r="M9" s="237"/>
      <c r="N9" s="237"/>
      <c r="O9" s="238" t="s">
        <v>244</v>
      </c>
      <c r="P9" s="303" t="s">
        <v>45</v>
      </c>
      <c r="Q9" s="222"/>
      <c r="R9" s="216" t="s">
        <v>228</v>
      </c>
      <c r="S9" s="229"/>
    </row>
    <row r="10" spans="1:66" s="226" customFormat="1" x14ac:dyDescent="0.3">
      <c r="A10" s="230"/>
      <c r="B10" s="223"/>
      <c r="C10" s="231"/>
      <c r="D10" s="232"/>
      <c r="E10" s="233"/>
      <c r="F10" s="234"/>
      <c r="G10" s="234"/>
      <c r="H10" s="298"/>
      <c r="I10" s="235"/>
      <c r="J10" s="236"/>
      <c r="K10" s="237"/>
      <c r="L10" s="237"/>
      <c r="M10" s="237"/>
      <c r="N10" s="237"/>
      <c r="O10" s="238"/>
      <c r="P10" s="286"/>
      <c r="Q10" s="222"/>
      <c r="R10" s="216" t="s">
        <v>240</v>
      </c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16"/>
      <c r="Q11" s="222"/>
      <c r="R11" s="216"/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1">$F$1-F16</f>
        <v>46</v>
      </c>
      <c r="L16" s="201">
        <f t="shared" si="1"/>
        <v>46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2">$F$1-F20</f>
        <v>70</v>
      </c>
      <c r="L20" s="201">
        <f t="shared" si="2"/>
        <v>70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13</v>
      </c>
      <c r="L21" s="201">
        <f t="shared" si="2"/>
        <v>13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257B-1FE0-4E6B-9379-057BF29C7F70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10.55468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46234</v>
      </c>
      <c r="G1" s="206">
        <v>46234</v>
      </c>
      <c r="H1" s="206">
        <v>46234</v>
      </c>
      <c r="I1" s="206">
        <v>46234</v>
      </c>
      <c r="J1" s="206">
        <v>46234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00" t="s">
        <v>7</v>
      </c>
      <c r="L3" s="300" t="s">
        <v>19</v>
      </c>
      <c r="M3" s="300" t="s">
        <v>20</v>
      </c>
      <c r="N3" s="30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200</v>
      </c>
      <c r="C5" s="217" t="s">
        <v>29</v>
      </c>
      <c r="D5" s="218" t="s">
        <v>28</v>
      </c>
      <c r="E5" s="219">
        <v>2023</v>
      </c>
      <c r="F5" s="206">
        <v>46203</v>
      </c>
      <c r="G5" s="206">
        <v>46203</v>
      </c>
      <c r="H5" s="295"/>
      <c r="I5" s="220"/>
      <c r="J5" s="221"/>
      <c r="K5" s="201">
        <f t="shared" ref="K5:K10" si="0">$F$1-F5</f>
        <v>31</v>
      </c>
      <c r="L5" s="201">
        <f t="shared" ref="L5:L10" si="1">$F$1-G5</f>
        <v>31</v>
      </c>
      <c r="M5" s="201"/>
      <c r="N5" s="201"/>
      <c r="O5" s="222" t="s">
        <v>245</v>
      </c>
      <c r="P5" s="239"/>
      <c r="Q5" s="306" t="s">
        <v>215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si="0"/>
        <v>10</v>
      </c>
      <c r="L6" s="201">
        <f t="shared" si="1"/>
        <v>10</v>
      </c>
      <c r="M6" s="201"/>
      <c r="N6" s="201"/>
      <c r="O6" s="222" t="s">
        <v>242</v>
      </c>
      <c r="P6" s="227"/>
      <c r="Q6" s="306" t="s">
        <v>228</v>
      </c>
      <c r="R6" s="216" t="s">
        <v>26</v>
      </c>
      <c r="S6" s="225"/>
    </row>
    <row r="7" spans="1:66" s="226" customFormat="1" ht="27.6" x14ac:dyDescent="0.3">
      <c r="A7" s="215">
        <v>3</v>
      </c>
      <c r="B7" s="216" t="s">
        <v>57</v>
      </c>
      <c r="C7" s="217" t="s">
        <v>29</v>
      </c>
      <c r="D7" s="218" t="s">
        <v>28</v>
      </c>
      <c r="E7" s="219">
        <v>2023</v>
      </c>
      <c r="F7" s="206">
        <v>46230</v>
      </c>
      <c r="G7" s="206">
        <v>46230</v>
      </c>
      <c r="H7" s="297"/>
      <c r="I7" s="220"/>
      <c r="J7" s="221"/>
      <c r="K7" s="201">
        <f t="shared" si="0"/>
        <v>4</v>
      </c>
      <c r="L7" s="201">
        <f t="shared" si="1"/>
        <v>4</v>
      </c>
      <c r="M7" s="237"/>
      <c r="N7" s="237"/>
      <c r="O7" s="222" t="s">
        <v>243</v>
      </c>
      <c r="P7" s="227"/>
      <c r="Q7" s="223"/>
      <c r="R7" s="224" t="s">
        <v>196</v>
      </c>
      <c r="S7" s="229"/>
    </row>
    <row r="8" spans="1:66" s="226" customFormat="1" x14ac:dyDescent="0.3">
      <c r="A8" s="215">
        <v>4</v>
      </c>
      <c r="B8" s="227" t="s">
        <v>9</v>
      </c>
      <c r="C8" s="240" t="s">
        <v>32</v>
      </c>
      <c r="D8" s="241" t="s">
        <v>28</v>
      </c>
      <c r="E8" s="219">
        <v>2010</v>
      </c>
      <c r="F8" s="206">
        <v>46233</v>
      </c>
      <c r="G8" s="206">
        <v>46233</v>
      </c>
      <c r="H8" s="305"/>
      <c r="I8" s="220"/>
      <c r="J8" s="221"/>
      <c r="K8" s="201">
        <f t="shared" si="0"/>
        <v>1</v>
      </c>
      <c r="L8" s="201">
        <f t="shared" si="1"/>
        <v>1</v>
      </c>
      <c r="M8" s="201"/>
      <c r="N8" s="201"/>
      <c r="O8" s="222" t="s">
        <v>244</v>
      </c>
      <c r="P8" s="260" t="s">
        <v>153</v>
      </c>
      <c r="Q8" s="283"/>
      <c r="R8" s="239" t="s">
        <v>220</v>
      </c>
      <c r="S8" s="229"/>
    </row>
    <row r="9" spans="1:66" s="226" customFormat="1" x14ac:dyDescent="0.3">
      <c r="A9" s="215">
        <v>5</v>
      </c>
      <c r="B9" s="223" t="s">
        <v>246</v>
      </c>
      <c r="C9" s="231" t="s">
        <v>29</v>
      </c>
      <c r="D9" s="232" t="s">
        <v>28</v>
      </c>
      <c r="E9" s="233">
        <v>2023</v>
      </c>
      <c r="F9" s="234">
        <v>46234</v>
      </c>
      <c r="G9" s="234">
        <v>46234</v>
      </c>
      <c r="H9" s="298"/>
      <c r="I9" s="235"/>
      <c r="J9" s="236"/>
      <c r="K9" s="237">
        <f t="shared" si="0"/>
        <v>0</v>
      </c>
      <c r="L9" s="237">
        <f t="shared" si="1"/>
        <v>0</v>
      </c>
      <c r="M9" s="237"/>
      <c r="N9" s="237"/>
      <c r="O9" s="238" t="s">
        <v>247</v>
      </c>
      <c r="P9" s="283" t="s">
        <v>51</v>
      </c>
      <c r="Q9" s="222"/>
      <c r="R9" s="216" t="s">
        <v>240</v>
      </c>
      <c r="S9" s="229"/>
    </row>
    <row r="10" spans="1:66" s="226" customFormat="1" x14ac:dyDescent="0.3">
      <c r="A10" s="215">
        <v>6</v>
      </c>
      <c r="B10" s="223" t="s">
        <v>248</v>
      </c>
      <c r="C10" s="231" t="s">
        <v>29</v>
      </c>
      <c r="D10" s="232" t="s">
        <v>28</v>
      </c>
      <c r="E10" s="233">
        <v>2023</v>
      </c>
      <c r="F10" s="234">
        <v>46234</v>
      </c>
      <c r="G10" s="234">
        <v>46234</v>
      </c>
      <c r="H10" s="298"/>
      <c r="I10" s="235"/>
      <c r="J10" s="236"/>
      <c r="K10" s="237">
        <f t="shared" si="0"/>
        <v>0</v>
      </c>
      <c r="L10" s="237">
        <f t="shared" si="1"/>
        <v>0</v>
      </c>
      <c r="M10" s="237"/>
      <c r="N10" s="237"/>
      <c r="O10" s="238" t="s">
        <v>249</v>
      </c>
      <c r="P10" s="308" t="s">
        <v>228</v>
      </c>
      <c r="Q10" s="222"/>
      <c r="R10" s="216"/>
      <c r="S10" s="229"/>
    </row>
    <row r="11" spans="1:66" s="226" customFormat="1" x14ac:dyDescent="0.3">
      <c r="A11" s="215"/>
      <c r="B11" s="216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16"/>
      <c r="Q11" s="222"/>
      <c r="R11" s="216"/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2">$F$1-F16</f>
        <v>47</v>
      </c>
      <c r="L16" s="201">
        <f t="shared" si="2"/>
        <v>47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3">$F$1-F20</f>
        <v>71</v>
      </c>
      <c r="L20" s="201">
        <f t="shared" si="3"/>
        <v>71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3"/>
        <v>14</v>
      </c>
      <c r="L21" s="201">
        <f t="shared" si="3"/>
        <v>14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71F9-1490-4103-9C7E-180F09D9F8DF}">
  <dimension ref="A1:BN23"/>
  <sheetViews>
    <sheetView workbookViewId="0">
      <selection activeCell="P9" sqref="P9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24.1093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46235</v>
      </c>
      <c r="G1" s="206">
        <v>46235</v>
      </c>
      <c r="H1" s="206">
        <v>46235</v>
      </c>
      <c r="I1" s="206">
        <v>46235</v>
      </c>
      <c r="J1" s="206">
        <v>46235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07" t="s">
        <v>7</v>
      </c>
      <c r="L3" s="307" t="s">
        <v>19</v>
      </c>
      <c r="M3" s="307" t="s">
        <v>20</v>
      </c>
      <c r="N3" s="30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200</v>
      </c>
      <c r="C5" s="217" t="s">
        <v>29</v>
      </c>
      <c r="D5" s="218" t="s">
        <v>28</v>
      </c>
      <c r="E5" s="219">
        <v>2023</v>
      </c>
      <c r="F5" s="206">
        <v>46203</v>
      </c>
      <c r="G5" s="206">
        <v>46203</v>
      </c>
      <c r="H5" s="295"/>
      <c r="I5" s="220"/>
      <c r="J5" s="221"/>
      <c r="K5" s="201">
        <f t="shared" ref="K5:L10" si="0">$F$1-F5</f>
        <v>32</v>
      </c>
      <c r="L5" s="201">
        <f t="shared" si="0"/>
        <v>32</v>
      </c>
      <c r="M5" s="201"/>
      <c r="N5" s="201"/>
      <c r="O5" s="222" t="s">
        <v>245</v>
      </c>
      <c r="P5" s="239"/>
      <c r="Q5" s="306"/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si="0"/>
        <v>11</v>
      </c>
      <c r="L6" s="201">
        <f t="shared" si="0"/>
        <v>11</v>
      </c>
      <c r="M6" s="201"/>
      <c r="N6" s="201"/>
      <c r="O6" s="222" t="s">
        <v>242</v>
      </c>
      <c r="P6" s="227"/>
      <c r="Q6" s="306"/>
      <c r="R6" s="216" t="s">
        <v>26</v>
      </c>
      <c r="S6" s="225"/>
    </row>
    <row r="7" spans="1:66" s="226" customFormat="1" ht="27.6" x14ac:dyDescent="0.3">
      <c r="A7" s="215">
        <v>3</v>
      </c>
      <c r="B7" s="216" t="s">
        <v>57</v>
      </c>
      <c r="C7" s="217" t="s">
        <v>29</v>
      </c>
      <c r="D7" s="218" t="s">
        <v>28</v>
      </c>
      <c r="E7" s="219">
        <v>2023</v>
      </c>
      <c r="F7" s="206">
        <v>46230</v>
      </c>
      <c r="G7" s="206">
        <v>46230</v>
      </c>
      <c r="H7" s="297"/>
      <c r="I7" s="220"/>
      <c r="J7" s="221"/>
      <c r="K7" s="201">
        <f t="shared" si="0"/>
        <v>5</v>
      </c>
      <c r="L7" s="201">
        <f t="shared" si="0"/>
        <v>5</v>
      </c>
      <c r="M7" s="237"/>
      <c r="N7" s="237"/>
      <c r="O7" s="222" t="s">
        <v>243</v>
      </c>
      <c r="P7" s="227"/>
      <c r="Q7" s="223"/>
      <c r="R7" s="224" t="s">
        <v>196</v>
      </c>
      <c r="S7" s="229"/>
    </row>
    <row r="8" spans="1:66" s="226" customFormat="1" x14ac:dyDescent="0.3">
      <c r="A8" s="215">
        <v>4</v>
      </c>
      <c r="B8" s="227" t="s">
        <v>9</v>
      </c>
      <c r="C8" s="240" t="s">
        <v>32</v>
      </c>
      <c r="D8" s="241" t="s">
        <v>28</v>
      </c>
      <c r="E8" s="219">
        <v>2010</v>
      </c>
      <c r="F8" s="206">
        <v>46233</v>
      </c>
      <c r="G8" s="206">
        <v>46233</v>
      </c>
      <c r="H8" s="305"/>
      <c r="I8" s="220"/>
      <c r="J8" s="221"/>
      <c r="K8" s="201">
        <f t="shared" si="0"/>
        <v>2</v>
      </c>
      <c r="L8" s="201">
        <f t="shared" si="0"/>
        <v>2</v>
      </c>
      <c r="M8" s="201"/>
      <c r="N8" s="201"/>
      <c r="O8" s="222" t="s">
        <v>244</v>
      </c>
      <c r="P8" s="260" t="s">
        <v>153</v>
      </c>
      <c r="Q8" s="283"/>
      <c r="R8" s="239" t="s">
        <v>220</v>
      </c>
      <c r="S8" s="229"/>
    </row>
    <row r="9" spans="1:66" s="226" customFormat="1" x14ac:dyDescent="0.3">
      <c r="A9" s="215">
        <v>5</v>
      </c>
      <c r="B9" s="216" t="s">
        <v>246</v>
      </c>
      <c r="C9" s="217" t="s">
        <v>29</v>
      </c>
      <c r="D9" s="218" t="s">
        <v>28</v>
      </c>
      <c r="E9" s="219">
        <v>2023</v>
      </c>
      <c r="F9" s="206">
        <v>46234</v>
      </c>
      <c r="G9" s="206">
        <v>46234</v>
      </c>
      <c r="H9" s="310"/>
      <c r="I9" s="220"/>
      <c r="J9" s="221"/>
      <c r="K9" s="201">
        <f t="shared" si="0"/>
        <v>1</v>
      </c>
      <c r="L9" s="201">
        <f t="shared" si="0"/>
        <v>1</v>
      </c>
      <c r="M9" s="201"/>
      <c r="N9" s="201"/>
      <c r="O9" s="222" t="s">
        <v>250</v>
      </c>
      <c r="P9" s="239" t="s">
        <v>51</v>
      </c>
      <c r="Q9" s="222"/>
      <c r="R9" s="216" t="s">
        <v>240</v>
      </c>
      <c r="S9" s="229"/>
    </row>
    <row r="10" spans="1:66" s="226" customFormat="1" x14ac:dyDescent="0.3">
      <c r="A10" s="215">
        <v>6</v>
      </c>
      <c r="B10" s="216" t="s">
        <v>248</v>
      </c>
      <c r="C10" s="217" t="s">
        <v>29</v>
      </c>
      <c r="D10" s="218" t="s">
        <v>28</v>
      </c>
      <c r="E10" s="219">
        <v>2023</v>
      </c>
      <c r="F10" s="206">
        <v>46234</v>
      </c>
      <c r="G10" s="206">
        <v>46234</v>
      </c>
      <c r="H10" s="310"/>
      <c r="I10" s="220"/>
      <c r="J10" s="221"/>
      <c r="K10" s="201">
        <f t="shared" si="0"/>
        <v>1</v>
      </c>
      <c r="L10" s="201">
        <f t="shared" si="0"/>
        <v>1</v>
      </c>
      <c r="M10" s="201"/>
      <c r="N10" s="201"/>
      <c r="O10" s="222" t="s">
        <v>252</v>
      </c>
      <c r="P10" s="306" t="s">
        <v>228</v>
      </c>
      <c r="Q10" s="222"/>
      <c r="R10" s="216"/>
      <c r="S10" s="229"/>
    </row>
    <row r="11" spans="1:66" s="226" customFormat="1" x14ac:dyDescent="0.3">
      <c r="A11" s="215">
        <v>7</v>
      </c>
      <c r="B11" s="223" t="s">
        <v>33</v>
      </c>
      <c r="C11" s="231" t="s">
        <v>29</v>
      </c>
      <c r="D11" s="232" t="s">
        <v>28</v>
      </c>
      <c r="E11" s="233">
        <v>2023</v>
      </c>
      <c r="F11" s="234">
        <v>46235</v>
      </c>
      <c r="G11" s="234">
        <v>46235</v>
      </c>
      <c r="H11" s="296"/>
      <c r="I11" s="235"/>
      <c r="J11" s="236"/>
      <c r="K11" s="237">
        <f t="shared" ref="K11" si="1">$F$1-F11</f>
        <v>0</v>
      </c>
      <c r="L11" s="237">
        <f t="shared" ref="L11" si="2">$F$1-G11</f>
        <v>0</v>
      </c>
      <c r="M11" s="201"/>
      <c r="N11" s="201"/>
      <c r="O11" s="238" t="s">
        <v>250</v>
      </c>
      <c r="P11" s="223" t="s">
        <v>251</v>
      </c>
      <c r="Q11" s="222"/>
      <c r="R11" s="216"/>
      <c r="S11" s="229"/>
    </row>
    <row r="12" spans="1:66" s="226" customFormat="1" x14ac:dyDescent="0.3">
      <c r="A12" s="215"/>
      <c r="B12" s="223"/>
      <c r="C12" s="231"/>
      <c r="D12" s="232"/>
      <c r="E12" s="233"/>
      <c r="F12" s="234"/>
      <c r="G12" s="234"/>
      <c r="H12" s="296"/>
      <c r="I12" s="235"/>
      <c r="J12" s="236"/>
      <c r="K12" s="237"/>
      <c r="L12" s="237"/>
      <c r="M12" s="201"/>
      <c r="N12" s="201"/>
      <c r="O12" s="238"/>
      <c r="P12" s="223"/>
      <c r="Q12" s="222"/>
      <c r="R12" s="216"/>
      <c r="S12" s="229"/>
    </row>
    <row r="13" spans="1:66" s="226" customFormat="1" x14ac:dyDescent="0.3">
      <c r="A13" s="215"/>
      <c r="B13" s="216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39"/>
      <c r="Q13" s="222"/>
      <c r="R13" s="223"/>
      <c r="S13" s="229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24"/>
      <c r="C15" s="240"/>
      <c r="D15" s="241"/>
      <c r="E15" s="219"/>
      <c r="F15" s="206"/>
      <c r="G15" s="206"/>
      <c r="H15" s="220"/>
      <c r="I15" s="220"/>
      <c r="J15" s="221"/>
      <c r="K15" s="201"/>
      <c r="L15" s="201"/>
      <c r="M15" s="201"/>
      <c r="N15" s="201"/>
      <c r="O15" s="222"/>
      <c r="P15" s="250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50.4" customHeight="1" x14ac:dyDescent="0.3">
      <c r="A17" s="215">
        <v>1</v>
      </c>
      <c r="B17" s="260" t="s">
        <v>65</v>
      </c>
      <c r="C17" s="217" t="s">
        <v>29</v>
      </c>
      <c r="D17" s="218" t="s">
        <v>28</v>
      </c>
      <c r="E17" s="219">
        <v>2023</v>
      </c>
      <c r="F17" s="206">
        <v>46187</v>
      </c>
      <c r="G17" s="206">
        <v>46187</v>
      </c>
      <c r="H17" s="220"/>
      <c r="I17" s="220"/>
      <c r="J17" s="221"/>
      <c r="K17" s="201">
        <f t="shared" ref="K17:L17" si="3">$F$1-F17</f>
        <v>48</v>
      </c>
      <c r="L17" s="201">
        <f t="shared" si="3"/>
        <v>48</v>
      </c>
      <c r="M17" s="201"/>
      <c r="N17" s="201"/>
      <c r="O17" s="222" t="s">
        <v>230</v>
      </c>
      <c r="P17" s="224" t="s">
        <v>48</v>
      </c>
      <c r="Q17" s="222"/>
      <c r="R17" s="239"/>
      <c r="S17" s="229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70"/>
      <c r="C19" s="271"/>
      <c r="D19" s="270"/>
      <c r="E19" s="272"/>
      <c r="F19" s="273"/>
      <c r="G19" s="273"/>
      <c r="H19" s="273"/>
      <c r="I19" s="273"/>
      <c r="J19" s="273"/>
      <c r="K19" s="274"/>
      <c r="L19" s="273"/>
      <c r="M19" s="273"/>
      <c r="N19" s="273"/>
      <c r="O19" s="271"/>
      <c r="P19" s="275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2" si="4">$F$1-F21</f>
        <v>72</v>
      </c>
      <c r="L21" s="201">
        <f t="shared" si="4"/>
        <v>72</v>
      </c>
      <c r="M21" s="201"/>
      <c r="N21" s="201"/>
      <c r="O21" s="222" t="s">
        <v>166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4"/>
        <v>15</v>
      </c>
      <c r="L22" s="201">
        <f t="shared" si="4"/>
        <v>15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A046-73CA-4D22-9D39-2FD6AE6D449A}">
  <dimension ref="A1:BN23"/>
  <sheetViews>
    <sheetView workbookViewId="0">
      <selection activeCell="I31" sqref="I31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24.1093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46236</v>
      </c>
      <c r="G1" s="206">
        <v>46236</v>
      </c>
      <c r="H1" s="206">
        <v>46236</v>
      </c>
      <c r="I1" s="206">
        <v>46236</v>
      </c>
      <c r="J1" s="206">
        <v>46236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09" t="s">
        <v>7</v>
      </c>
      <c r="L3" s="309" t="s">
        <v>19</v>
      </c>
      <c r="M3" s="309" t="s">
        <v>20</v>
      </c>
      <c r="N3" s="30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200</v>
      </c>
      <c r="C5" s="217" t="s">
        <v>29</v>
      </c>
      <c r="D5" s="218" t="s">
        <v>28</v>
      </c>
      <c r="E5" s="219">
        <v>2023</v>
      </c>
      <c r="F5" s="206">
        <v>46203</v>
      </c>
      <c r="G5" s="206">
        <v>46203</v>
      </c>
      <c r="H5" s="295"/>
      <c r="I5" s="220"/>
      <c r="J5" s="221"/>
      <c r="K5" s="201">
        <f t="shared" ref="K5:L8" si="0">$F$1-F5</f>
        <v>33</v>
      </c>
      <c r="L5" s="201">
        <f t="shared" si="0"/>
        <v>33</v>
      </c>
      <c r="M5" s="201"/>
      <c r="N5" s="201"/>
      <c r="O5" s="222" t="s">
        <v>245</v>
      </c>
      <c r="P5" s="239"/>
      <c r="Q5" s="223" t="s">
        <v>246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si="0"/>
        <v>12</v>
      </c>
      <c r="L6" s="201">
        <f t="shared" si="0"/>
        <v>12</v>
      </c>
      <c r="M6" s="201"/>
      <c r="N6" s="201"/>
      <c r="O6" s="222" t="s">
        <v>242</v>
      </c>
      <c r="P6" s="227"/>
      <c r="Q6" s="306"/>
      <c r="R6" s="216" t="s">
        <v>26</v>
      </c>
      <c r="S6" s="225"/>
    </row>
    <row r="7" spans="1:66" s="226" customFormat="1" ht="27.6" x14ac:dyDescent="0.3">
      <c r="A7" s="215">
        <v>3</v>
      </c>
      <c r="B7" s="216" t="s">
        <v>57</v>
      </c>
      <c r="C7" s="217" t="s">
        <v>29</v>
      </c>
      <c r="D7" s="218" t="s">
        <v>28</v>
      </c>
      <c r="E7" s="219">
        <v>2023</v>
      </c>
      <c r="F7" s="206">
        <v>46230</v>
      </c>
      <c r="G7" s="206">
        <v>46230</v>
      </c>
      <c r="H7" s="297"/>
      <c r="I7" s="220"/>
      <c r="J7" s="221"/>
      <c r="K7" s="201">
        <f t="shared" si="0"/>
        <v>6</v>
      </c>
      <c r="L7" s="201">
        <f t="shared" si="0"/>
        <v>6</v>
      </c>
      <c r="M7" s="237"/>
      <c r="N7" s="237"/>
      <c r="O7" s="222" t="s">
        <v>243</v>
      </c>
      <c r="P7" s="227"/>
      <c r="Q7" s="223"/>
      <c r="R7" s="224" t="s">
        <v>196</v>
      </c>
      <c r="S7" s="229"/>
    </row>
    <row r="8" spans="1:66" s="226" customFormat="1" x14ac:dyDescent="0.3">
      <c r="A8" s="215">
        <v>4</v>
      </c>
      <c r="B8" s="227" t="s">
        <v>9</v>
      </c>
      <c r="C8" s="240" t="s">
        <v>32</v>
      </c>
      <c r="D8" s="241" t="s">
        <v>28</v>
      </c>
      <c r="E8" s="219">
        <v>2010</v>
      </c>
      <c r="F8" s="206">
        <v>46233</v>
      </c>
      <c r="G8" s="206">
        <v>46233</v>
      </c>
      <c r="H8" s="305"/>
      <c r="I8" s="220"/>
      <c r="J8" s="221"/>
      <c r="K8" s="201">
        <f t="shared" si="0"/>
        <v>3</v>
      </c>
      <c r="L8" s="201">
        <f t="shared" si="0"/>
        <v>3</v>
      </c>
      <c r="M8" s="201"/>
      <c r="N8" s="201"/>
      <c r="O8" s="222" t="s">
        <v>244</v>
      </c>
      <c r="P8" s="260" t="s">
        <v>153</v>
      </c>
      <c r="Q8" s="283"/>
      <c r="R8" s="239" t="s">
        <v>220</v>
      </c>
      <c r="S8" s="229"/>
    </row>
    <row r="9" spans="1:66" s="226" customFormat="1" x14ac:dyDescent="0.3">
      <c r="A9" s="215">
        <v>5</v>
      </c>
      <c r="B9" s="216" t="s">
        <v>248</v>
      </c>
      <c r="C9" s="217" t="s">
        <v>29</v>
      </c>
      <c r="D9" s="218" t="s">
        <v>28</v>
      </c>
      <c r="E9" s="219">
        <v>2023</v>
      </c>
      <c r="F9" s="206">
        <v>46234</v>
      </c>
      <c r="G9" s="206">
        <v>46234</v>
      </c>
      <c r="H9" s="310"/>
      <c r="I9" s="220"/>
      <c r="J9" s="221"/>
      <c r="K9" s="201">
        <f t="shared" ref="K9:K11" si="1">$F$1-F9</f>
        <v>2</v>
      </c>
      <c r="L9" s="201">
        <f t="shared" ref="L9:L10" si="2">$F$1-G9</f>
        <v>2</v>
      </c>
      <c r="M9" s="201"/>
      <c r="N9" s="201"/>
      <c r="O9" s="222" t="s">
        <v>252</v>
      </c>
      <c r="P9" s="306" t="s">
        <v>228</v>
      </c>
      <c r="Q9" s="222"/>
      <c r="R9" s="216" t="s">
        <v>240</v>
      </c>
      <c r="S9" s="229"/>
    </row>
    <row r="10" spans="1:66" s="226" customFormat="1" x14ac:dyDescent="0.3">
      <c r="A10" s="215">
        <v>6</v>
      </c>
      <c r="B10" s="216" t="s">
        <v>33</v>
      </c>
      <c r="C10" s="217" t="s">
        <v>29</v>
      </c>
      <c r="D10" s="218" t="s">
        <v>28</v>
      </c>
      <c r="E10" s="219">
        <v>2023</v>
      </c>
      <c r="F10" s="206">
        <v>46235</v>
      </c>
      <c r="G10" s="206">
        <v>46235</v>
      </c>
      <c r="H10" s="312"/>
      <c r="I10" s="220"/>
      <c r="J10" s="221"/>
      <c r="K10" s="201">
        <f t="shared" si="1"/>
        <v>1</v>
      </c>
      <c r="L10" s="201">
        <f t="shared" si="2"/>
        <v>1</v>
      </c>
      <c r="M10" s="201"/>
      <c r="N10" s="201"/>
      <c r="O10" s="222" t="s">
        <v>250</v>
      </c>
      <c r="P10" s="216" t="s">
        <v>251</v>
      </c>
      <c r="Q10" s="222"/>
      <c r="R10" s="216"/>
      <c r="S10" s="229"/>
    </row>
    <row r="11" spans="1:66" s="322" customFormat="1" x14ac:dyDescent="0.3">
      <c r="A11" s="313">
        <v>7</v>
      </c>
      <c r="B11" s="314" t="s">
        <v>51</v>
      </c>
      <c r="C11" s="301" t="s">
        <v>32</v>
      </c>
      <c r="D11" s="302" t="s">
        <v>28</v>
      </c>
      <c r="E11" s="233">
        <v>2010</v>
      </c>
      <c r="F11" s="315">
        <v>46236</v>
      </c>
      <c r="G11" s="315">
        <v>46236</v>
      </c>
      <c r="H11" s="296"/>
      <c r="I11" s="316"/>
      <c r="J11" s="317"/>
      <c r="K11" s="318">
        <f t="shared" si="1"/>
        <v>0</v>
      </c>
      <c r="L11" s="318">
        <v>0</v>
      </c>
      <c r="M11" s="319"/>
      <c r="N11" s="319"/>
      <c r="O11" s="320" t="s">
        <v>253</v>
      </c>
      <c r="P11" s="308"/>
      <c r="Q11" s="270"/>
      <c r="R11" s="306"/>
      <c r="S11" s="321"/>
    </row>
    <row r="12" spans="1:66" s="226" customFormat="1" x14ac:dyDescent="0.3">
      <c r="A12" s="215"/>
      <c r="B12" s="223"/>
      <c r="C12" s="231"/>
      <c r="D12" s="232"/>
      <c r="E12" s="233"/>
      <c r="F12" s="234"/>
      <c r="G12" s="234"/>
      <c r="H12" s="296"/>
      <c r="I12" s="235"/>
      <c r="J12" s="236"/>
      <c r="K12" s="237"/>
      <c r="L12" s="237"/>
      <c r="M12" s="201"/>
      <c r="N12" s="201"/>
      <c r="O12" s="238"/>
      <c r="P12" s="223"/>
      <c r="Q12" s="222"/>
      <c r="R12" s="216"/>
      <c r="S12" s="229"/>
    </row>
    <row r="13" spans="1:66" s="226" customFormat="1" x14ac:dyDescent="0.3">
      <c r="A13" s="215"/>
      <c r="B13" s="216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39"/>
      <c r="Q13" s="222"/>
      <c r="R13" s="223"/>
      <c r="S13" s="229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24"/>
      <c r="C15" s="240"/>
      <c r="D15" s="241"/>
      <c r="E15" s="219"/>
      <c r="F15" s="206"/>
      <c r="G15" s="206"/>
      <c r="H15" s="220"/>
      <c r="I15" s="220"/>
      <c r="J15" s="221"/>
      <c r="K15" s="201"/>
      <c r="L15" s="201"/>
      <c r="M15" s="201"/>
      <c r="N15" s="201"/>
      <c r="O15" s="222"/>
      <c r="P15" s="250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50.4" customHeight="1" x14ac:dyDescent="0.3">
      <c r="A17" s="215">
        <v>1</v>
      </c>
      <c r="B17" s="260" t="s">
        <v>65</v>
      </c>
      <c r="C17" s="217" t="s">
        <v>29</v>
      </c>
      <c r="D17" s="218" t="s">
        <v>28</v>
      </c>
      <c r="E17" s="219">
        <v>2023</v>
      </c>
      <c r="F17" s="206">
        <v>46187</v>
      </c>
      <c r="G17" s="206">
        <v>46187</v>
      </c>
      <c r="H17" s="220"/>
      <c r="I17" s="220"/>
      <c r="J17" s="221"/>
      <c r="K17" s="201">
        <f t="shared" ref="K17:L17" si="3">$F$1-F17</f>
        <v>49</v>
      </c>
      <c r="L17" s="201">
        <f t="shared" si="3"/>
        <v>49</v>
      </c>
      <c r="M17" s="201"/>
      <c r="N17" s="201"/>
      <c r="O17" s="222" t="s">
        <v>230</v>
      </c>
      <c r="P17" s="224" t="s">
        <v>48</v>
      </c>
      <c r="Q17" s="222"/>
      <c r="R17" s="239"/>
      <c r="S17" s="229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70"/>
      <c r="C19" s="271"/>
      <c r="D19" s="270"/>
      <c r="E19" s="272"/>
      <c r="F19" s="273"/>
      <c r="G19" s="273"/>
      <c r="H19" s="273"/>
      <c r="I19" s="273"/>
      <c r="J19" s="273"/>
      <c r="K19" s="274"/>
      <c r="L19" s="273"/>
      <c r="M19" s="273"/>
      <c r="N19" s="273"/>
      <c r="O19" s="271"/>
      <c r="P19" s="275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2" si="4">$F$1-F21</f>
        <v>73</v>
      </c>
      <c r="L21" s="201">
        <f t="shared" si="4"/>
        <v>73</v>
      </c>
      <c r="M21" s="201"/>
      <c r="N21" s="201"/>
      <c r="O21" s="222" t="s">
        <v>166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4"/>
        <v>16</v>
      </c>
      <c r="L22" s="201">
        <f t="shared" si="4"/>
        <v>16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61C4-7216-4512-A89F-2A74DD2399A1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24.1093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46237</v>
      </c>
      <c r="G1" s="206">
        <v>46237</v>
      </c>
      <c r="H1" s="206">
        <v>46237</v>
      </c>
      <c r="I1" s="206">
        <v>46237</v>
      </c>
      <c r="J1" s="206">
        <v>46237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11" t="s">
        <v>7</v>
      </c>
      <c r="L3" s="311" t="s">
        <v>19</v>
      </c>
      <c r="M3" s="311" t="s">
        <v>20</v>
      </c>
      <c r="N3" s="31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200</v>
      </c>
      <c r="C5" s="217" t="s">
        <v>29</v>
      </c>
      <c r="D5" s="218" t="s">
        <v>28</v>
      </c>
      <c r="E5" s="219">
        <v>2023</v>
      </c>
      <c r="F5" s="206">
        <v>46203</v>
      </c>
      <c r="G5" s="206">
        <v>46203</v>
      </c>
      <c r="H5" s="295"/>
      <c r="I5" s="220"/>
      <c r="J5" s="221"/>
      <c r="K5" s="201">
        <f t="shared" ref="K5:L10" si="0">$F$1-F5</f>
        <v>34</v>
      </c>
      <c r="L5" s="201">
        <f t="shared" si="0"/>
        <v>34</v>
      </c>
      <c r="M5" s="201"/>
      <c r="N5" s="201"/>
      <c r="O5" s="222" t="s">
        <v>254</v>
      </c>
      <c r="P5" s="239"/>
      <c r="Q5" s="314" t="s">
        <v>51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si="0"/>
        <v>13</v>
      </c>
      <c r="L6" s="201">
        <f t="shared" si="0"/>
        <v>13</v>
      </c>
      <c r="M6" s="201"/>
      <c r="N6" s="201"/>
      <c r="O6" s="222" t="s">
        <v>242</v>
      </c>
      <c r="P6" s="227"/>
      <c r="Q6" s="306"/>
      <c r="R6" s="216" t="s">
        <v>26</v>
      </c>
      <c r="S6" s="225"/>
    </row>
    <row r="7" spans="1:66" s="226" customFormat="1" ht="27.6" x14ac:dyDescent="0.3">
      <c r="A7" s="215">
        <v>3</v>
      </c>
      <c r="B7" s="216" t="s">
        <v>57</v>
      </c>
      <c r="C7" s="217" t="s">
        <v>29</v>
      </c>
      <c r="D7" s="218" t="s">
        <v>28</v>
      </c>
      <c r="E7" s="219">
        <v>2023</v>
      </c>
      <c r="F7" s="206">
        <v>46230</v>
      </c>
      <c r="G7" s="206">
        <v>46230</v>
      </c>
      <c r="H7" s="297"/>
      <c r="I7" s="220"/>
      <c r="J7" s="221"/>
      <c r="K7" s="201">
        <f t="shared" si="0"/>
        <v>7</v>
      </c>
      <c r="L7" s="201">
        <f t="shared" si="0"/>
        <v>7</v>
      </c>
      <c r="M7" s="237"/>
      <c r="N7" s="237"/>
      <c r="O7" s="222" t="s">
        <v>243</v>
      </c>
      <c r="P7" s="227"/>
      <c r="Q7" s="223"/>
      <c r="R7" s="224" t="s">
        <v>196</v>
      </c>
      <c r="S7" s="229"/>
    </row>
    <row r="8" spans="1:66" s="226" customFormat="1" x14ac:dyDescent="0.3">
      <c r="A8" s="215">
        <v>4</v>
      </c>
      <c r="B8" s="227" t="s">
        <v>9</v>
      </c>
      <c r="C8" s="240" t="s">
        <v>32</v>
      </c>
      <c r="D8" s="241" t="s">
        <v>28</v>
      </c>
      <c r="E8" s="219">
        <v>2010</v>
      </c>
      <c r="F8" s="206">
        <v>46233</v>
      </c>
      <c r="G8" s="206">
        <v>46233</v>
      </c>
      <c r="H8" s="305"/>
      <c r="I8" s="220"/>
      <c r="J8" s="221"/>
      <c r="K8" s="201">
        <f t="shared" si="0"/>
        <v>4</v>
      </c>
      <c r="L8" s="201">
        <f t="shared" si="0"/>
        <v>4</v>
      </c>
      <c r="M8" s="201"/>
      <c r="N8" s="201"/>
      <c r="O8" s="222" t="s">
        <v>244</v>
      </c>
      <c r="P8" s="260" t="s">
        <v>153</v>
      </c>
      <c r="Q8" s="283"/>
      <c r="R8" s="239" t="s">
        <v>220</v>
      </c>
      <c r="S8" s="229"/>
    </row>
    <row r="9" spans="1:66" s="226" customFormat="1" x14ac:dyDescent="0.3">
      <c r="A9" s="215">
        <v>5</v>
      </c>
      <c r="B9" s="216" t="s">
        <v>248</v>
      </c>
      <c r="C9" s="217" t="s">
        <v>29</v>
      </c>
      <c r="D9" s="218" t="s">
        <v>28</v>
      </c>
      <c r="E9" s="219">
        <v>2023</v>
      </c>
      <c r="F9" s="206">
        <v>46234</v>
      </c>
      <c r="G9" s="206">
        <v>46234</v>
      </c>
      <c r="H9" s="310"/>
      <c r="I9" s="220"/>
      <c r="J9" s="221"/>
      <c r="K9" s="201">
        <f t="shared" si="0"/>
        <v>3</v>
      </c>
      <c r="L9" s="201">
        <f t="shared" si="0"/>
        <v>3</v>
      </c>
      <c r="M9" s="201"/>
      <c r="N9" s="201"/>
      <c r="O9" s="222" t="s">
        <v>252</v>
      </c>
      <c r="P9" s="324" t="s">
        <v>51</v>
      </c>
      <c r="Q9" s="222"/>
      <c r="R9" s="216" t="s">
        <v>240</v>
      </c>
      <c r="S9" s="229"/>
    </row>
    <row r="10" spans="1:66" s="226" customFormat="1" x14ac:dyDescent="0.3">
      <c r="A10" s="215">
        <v>6</v>
      </c>
      <c r="B10" s="216" t="s">
        <v>33</v>
      </c>
      <c r="C10" s="217" t="s">
        <v>29</v>
      </c>
      <c r="D10" s="218" t="s">
        <v>28</v>
      </c>
      <c r="E10" s="219">
        <v>2023</v>
      </c>
      <c r="F10" s="206">
        <v>46235</v>
      </c>
      <c r="G10" s="206">
        <v>46235</v>
      </c>
      <c r="H10" s="312"/>
      <c r="I10" s="220"/>
      <c r="J10" s="221"/>
      <c r="K10" s="201">
        <f t="shared" si="0"/>
        <v>2</v>
      </c>
      <c r="L10" s="201">
        <f t="shared" si="0"/>
        <v>2</v>
      </c>
      <c r="M10" s="201"/>
      <c r="N10" s="201"/>
      <c r="O10" s="222" t="s">
        <v>255</v>
      </c>
      <c r="P10" s="216" t="s">
        <v>251</v>
      </c>
      <c r="Q10" s="222"/>
      <c r="R10" s="216"/>
      <c r="S10" s="229"/>
    </row>
    <row r="11" spans="1:66" s="226" customFormat="1" x14ac:dyDescent="0.3">
      <c r="A11" s="215">
        <v>7</v>
      </c>
      <c r="B11" s="223" t="s">
        <v>256</v>
      </c>
      <c r="C11" s="231" t="s">
        <v>32</v>
      </c>
      <c r="D11" s="232" t="s">
        <v>28</v>
      </c>
      <c r="E11" s="233">
        <v>2020</v>
      </c>
      <c r="F11" s="234">
        <v>46237</v>
      </c>
      <c r="G11" s="234">
        <v>46237</v>
      </c>
      <c r="H11" s="296"/>
      <c r="I11" s="235"/>
      <c r="J11" s="236"/>
      <c r="K11" s="237">
        <f t="shared" ref="K11" si="1">$F$1-F11</f>
        <v>0</v>
      </c>
      <c r="L11" s="237">
        <f t="shared" ref="L11" si="2">$F$1-G11</f>
        <v>0</v>
      </c>
      <c r="M11" s="237"/>
      <c r="N11" s="237"/>
      <c r="O11" s="238" t="s">
        <v>257</v>
      </c>
      <c r="P11" s="308" t="s">
        <v>228</v>
      </c>
      <c r="Q11" s="222"/>
      <c r="R11" s="216"/>
      <c r="S11" s="229"/>
    </row>
    <row r="12" spans="1:66" s="226" customFormat="1" x14ac:dyDescent="0.3">
      <c r="A12" s="215"/>
      <c r="B12" s="223"/>
      <c r="C12" s="231"/>
      <c r="D12" s="232"/>
      <c r="E12" s="233"/>
      <c r="F12" s="234"/>
      <c r="G12" s="234"/>
      <c r="H12" s="296"/>
      <c r="I12" s="235"/>
      <c r="J12" s="236"/>
      <c r="K12" s="237"/>
      <c r="L12" s="237"/>
      <c r="M12" s="201"/>
      <c r="N12" s="201"/>
      <c r="O12" s="238"/>
      <c r="P12" s="223"/>
      <c r="Q12" s="222"/>
      <c r="R12" s="216"/>
      <c r="S12" s="229"/>
    </row>
    <row r="13" spans="1:66" s="226" customFormat="1" x14ac:dyDescent="0.3">
      <c r="A13" s="215"/>
      <c r="B13" s="216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39"/>
      <c r="Q13" s="222"/>
      <c r="R13" s="223"/>
      <c r="S13" s="229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24"/>
      <c r="C15" s="240"/>
      <c r="D15" s="241"/>
      <c r="E15" s="219"/>
      <c r="F15" s="206"/>
      <c r="G15" s="206"/>
      <c r="H15" s="220"/>
      <c r="I15" s="220"/>
      <c r="J15" s="221"/>
      <c r="K15" s="201"/>
      <c r="L15" s="201"/>
      <c r="M15" s="201"/>
      <c r="N15" s="201"/>
      <c r="O15" s="222"/>
      <c r="P15" s="250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50.4" customHeight="1" x14ac:dyDescent="0.3">
      <c r="A17" s="215">
        <v>1</v>
      </c>
      <c r="B17" s="260" t="s">
        <v>65</v>
      </c>
      <c r="C17" s="217" t="s">
        <v>29</v>
      </c>
      <c r="D17" s="218" t="s">
        <v>28</v>
      </c>
      <c r="E17" s="219">
        <v>2023</v>
      </c>
      <c r="F17" s="206">
        <v>46187</v>
      </c>
      <c r="G17" s="206">
        <v>46187</v>
      </c>
      <c r="H17" s="220"/>
      <c r="I17" s="220"/>
      <c r="J17" s="221"/>
      <c r="K17" s="201">
        <f t="shared" ref="K17:L17" si="3">$F$1-F17</f>
        <v>50</v>
      </c>
      <c r="L17" s="201">
        <f t="shared" si="3"/>
        <v>50</v>
      </c>
      <c r="M17" s="201"/>
      <c r="N17" s="201"/>
      <c r="O17" s="222" t="s">
        <v>230</v>
      </c>
      <c r="P17" s="224" t="s">
        <v>48</v>
      </c>
      <c r="Q17" s="222"/>
      <c r="R17" s="239"/>
      <c r="S17" s="229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70"/>
      <c r="C19" s="271"/>
      <c r="D19" s="270"/>
      <c r="E19" s="272"/>
      <c r="F19" s="273"/>
      <c r="G19" s="273"/>
      <c r="H19" s="273"/>
      <c r="I19" s="273"/>
      <c r="J19" s="273"/>
      <c r="K19" s="274"/>
      <c r="L19" s="273"/>
      <c r="M19" s="273"/>
      <c r="N19" s="273"/>
      <c r="O19" s="271"/>
      <c r="P19" s="275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2" si="4">$F$1-F21</f>
        <v>74</v>
      </c>
      <c r="L21" s="201">
        <f t="shared" si="4"/>
        <v>74</v>
      </c>
      <c r="M21" s="201"/>
      <c r="N21" s="201"/>
      <c r="O21" s="222" t="s">
        <v>166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4"/>
        <v>17</v>
      </c>
      <c r="L22" s="201">
        <f t="shared" si="4"/>
        <v>17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FE05-3CDE-4254-8D70-4B3BE801A3A1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24.1093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46238</v>
      </c>
      <c r="G1" s="206">
        <v>46238</v>
      </c>
      <c r="H1" s="206">
        <v>46238</v>
      </c>
      <c r="I1" s="206">
        <v>46238</v>
      </c>
      <c r="J1" s="206">
        <v>46238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23" t="s">
        <v>7</v>
      </c>
      <c r="L3" s="323" t="s">
        <v>19</v>
      </c>
      <c r="M3" s="323" t="s">
        <v>20</v>
      </c>
      <c r="N3" s="32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200</v>
      </c>
      <c r="C5" s="217" t="s">
        <v>29</v>
      </c>
      <c r="D5" s="218" t="s">
        <v>28</v>
      </c>
      <c r="E5" s="219">
        <v>2023</v>
      </c>
      <c r="F5" s="206">
        <v>46203</v>
      </c>
      <c r="G5" s="206">
        <v>46203</v>
      </c>
      <c r="H5" s="295"/>
      <c r="I5" s="220"/>
      <c r="J5" s="221"/>
      <c r="K5" s="201">
        <f t="shared" ref="K5:L10" si="0">$F$1-F5</f>
        <v>35</v>
      </c>
      <c r="L5" s="201">
        <f t="shared" si="0"/>
        <v>35</v>
      </c>
      <c r="M5" s="201"/>
      <c r="N5" s="201"/>
      <c r="O5" s="222" t="s">
        <v>254</v>
      </c>
      <c r="P5" s="239"/>
      <c r="Q5" s="314" t="s">
        <v>51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si="0"/>
        <v>14</v>
      </c>
      <c r="L6" s="201">
        <f t="shared" si="0"/>
        <v>14</v>
      </c>
      <c r="M6" s="201"/>
      <c r="N6" s="201"/>
      <c r="O6" s="222" t="s">
        <v>242</v>
      </c>
      <c r="P6" s="227"/>
      <c r="Q6" s="306"/>
      <c r="R6" s="216" t="s">
        <v>26</v>
      </c>
      <c r="S6" s="225"/>
    </row>
    <row r="7" spans="1:66" s="226" customFormat="1" ht="27.6" x14ac:dyDescent="0.3">
      <c r="A7" s="215">
        <v>3</v>
      </c>
      <c r="B7" s="216" t="s">
        <v>57</v>
      </c>
      <c r="C7" s="217" t="s">
        <v>29</v>
      </c>
      <c r="D7" s="218" t="s">
        <v>28</v>
      </c>
      <c r="E7" s="219">
        <v>2023</v>
      </c>
      <c r="F7" s="206">
        <v>46230</v>
      </c>
      <c r="G7" s="206">
        <v>46230</v>
      </c>
      <c r="H7" s="297"/>
      <c r="I7" s="220"/>
      <c r="J7" s="221"/>
      <c r="K7" s="201">
        <f t="shared" si="0"/>
        <v>8</v>
      </c>
      <c r="L7" s="201">
        <f t="shared" si="0"/>
        <v>8</v>
      </c>
      <c r="M7" s="237"/>
      <c r="N7" s="237"/>
      <c r="O7" s="222" t="s">
        <v>243</v>
      </c>
      <c r="P7" s="227"/>
      <c r="Q7" s="223"/>
      <c r="R7" s="224" t="s">
        <v>196</v>
      </c>
      <c r="S7" s="229"/>
    </row>
    <row r="8" spans="1:66" s="226" customFormat="1" x14ac:dyDescent="0.3">
      <c r="A8" s="215">
        <v>4</v>
      </c>
      <c r="B8" s="227" t="s">
        <v>9</v>
      </c>
      <c r="C8" s="240" t="s">
        <v>32</v>
      </c>
      <c r="D8" s="241" t="s">
        <v>28</v>
      </c>
      <c r="E8" s="219">
        <v>2010</v>
      </c>
      <c r="F8" s="206">
        <v>46233</v>
      </c>
      <c r="G8" s="206">
        <v>46233</v>
      </c>
      <c r="H8" s="305"/>
      <c r="I8" s="220"/>
      <c r="J8" s="221"/>
      <c r="K8" s="201">
        <f t="shared" si="0"/>
        <v>5</v>
      </c>
      <c r="L8" s="201">
        <f t="shared" si="0"/>
        <v>5</v>
      </c>
      <c r="M8" s="201"/>
      <c r="N8" s="201"/>
      <c r="O8" s="222" t="s">
        <v>244</v>
      </c>
      <c r="P8" s="260" t="s">
        <v>153</v>
      </c>
      <c r="Q8" s="283"/>
      <c r="R8" s="239" t="s">
        <v>220</v>
      </c>
      <c r="S8" s="229"/>
    </row>
    <row r="9" spans="1:66" s="226" customFormat="1" x14ac:dyDescent="0.3">
      <c r="A9" s="215">
        <v>5</v>
      </c>
      <c r="B9" s="216" t="s">
        <v>248</v>
      </c>
      <c r="C9" s="217" t="s">
        <v>29</v>
      </c>
      <c r="D9" s="218" t="s">
        <v>28</v>
      </c>
      <c r="E9" s="219">
        <v>2023</v>
      </c>
      <c r="F9" s="206">
        <v>46234</v>
      </c>
      <c r="G9" s="206">
        <v>46234</v>
      </c>
      <c r="H9" s="310"/>
      <c r="I9" s="220"/>
      <c r="J9" s="221"/>
      <c r="K9" s="201">
        <f t="shared" si="0"/>
        <v>4</v>
      </c>
      <c r="L9" s="201">
        <f t="shared" si="0"/>
        <v>4</v>
      </c>
      <c r="M9" s="201"/>
      <c r="N9" s="201"/>
      <c r="O9" s="222" t="s">
        <v>252</v>
      </c>
      <c r="P9" s="324" t="s">
        <v>51</v>
      </c>
      <c r="Q9" s="222"/>
      <c r="R9" s="216" t="s">
        <v>240</v>
      </c>
      <c r="S9" s="229"/>
    </row>
    <row r="10" spans="1:66" s="226" customFormat="1" x14ac:dyDescent="0.3">
      <c r="A10" s="215">
        <v>6</v>
      </c>
      <c r="B10" s="216" t="s">
        <v>256</v>
      </c>
      <c r="C10" s="217" t="s">
        <v>32</v>
      </c>
      <c r="D10" s="218" t="s">
        <v>28</v>
      </c>
      <c r="E10" s="219">
        <v>2020</v>
      </c>
      <c r="F10" s="206">
        <v>46237</v>
      </c>
      <c r="G10" s="206">
        <v>46237</v>
      </c>
      <c r="H10" s="312"/>
      <c r="I10" s="220"/>
      <c r="J10" s="221"/>
      <c r="K10" s="201">
        <f t="shared" si="0"/>
        <v>1</v>
      </c>
      <c r="L10" s="201">
        <f t="shared" si="0"/>
        <v>1</v>
      </c>
      <c r="M10" s="201"/>
      <c r="N10" s="201"/>
      <c r="O10" s="222" t="s">
        <v>257</v>
      </c>
      <c r="P10" s="306" t="s">
        <v>228</v>
      </c>
      <c r="Q10" s="222"/>
      <c r="R10" s="216"/>
      <c r="S10" s="229"/>
    </row>
    <row r="11" spans="1:66" s="226" customFormat="1" x14ac:dyDescent="0.3">
      <c r="A11" s="215">
        <v>7</v>
      </c>
      <c r="B11" s="223" t="s">
        <v>85</v>
      </c>
      <c r="C11" s="231" t="s">
        <v>29</v>
      </c>
      <c r="D11" s="232" t="s">
        <v>28</v>
      </c>
      <c r="E11" s="233">
        <v>2023</v>
      </c>
      <c r="F11" s="234">
        <v>46238</v>
      </c>
      <c r="G11" s="234">
        <v>46238</v>
      </c>
      <c r="H11" s="296"/>
      <c r="I11" s="235"/>
      <c r="J11" s="236"/>
      <c r="K11" s="237">
        <f t="shared" ref="K11" si="1">$F$1-F11</f>
        <v>0</v>
      </c>
      <c r="L11" s="237">
        <f t="shared" ref="L11" si="2">$F$1-G11</f>
        <v>0</v>
      </c>
      <c r="M11" s="237"/>
      <c r="N11" s="237"/>
      <c r="O11" s="238" t="s">
        <v>258</v>
      </c>
      <c r="P11" s="308" t="s">
        <v>33</v>
      </c>
      <c r="Q11" s="222"/>
      <c r="R11" s="216"/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3">$F$1-F16</f>
        <v>51</v>
      </c>
      <c r="L16" s="201">
        <f t="shared" si="3"/>
        <v>51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70"/>
      <c r="C18" s="271"/>
      <c r="D18" s="270"/>
      <c r="E18" s="272"/>
      <c r="F18" s="273"/>
      <c r="G18" s="273"/>
      <c r="H18" s="273"/>
      <c r="I18" s="273"/>
      <c r="J18" s="273"/>
      <c r="K18" s="274"/>
      <c r="L18" s="273"/>
      <c r="M18" s="273"/>
      <c r="N18" s="273"/>
      <c r="O18" s="271"/>
      <c r="P18" s="275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1" si="4">$F$1-F20</f>
        <v>75</v>
      </c>
      <c r="L20" s="201">
        <f t="shared" si="4"/>
        <v>75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18</v>
      </c>
      <c r="L21" s="201">
        <f t="shared" si="4"/>
        <v>18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FFAD-24DB-4CFA-AA5D-0BAE8711E8C9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24.1093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46239</v>
      </c>
      <c r="G1" s="206">
        <v>46239</v>
      </c>
      <c r="H1" s="206">
        <v>46239</v>
      </c>
      <c r="I1" s="206">
        <v>46239</v>
      </c>
      <c r="J1" s="206">
        <v>46239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25" t="s">
        <v>7</v>
      </c>
      <c r="L3" s="325" t="s">
        <v>19</v>
      </c>
      <c r="M3" s="325" t="s">
        <v>20</v>
      </c>
      <c r="N3" s="32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200</v>
      </c>
      <c r="C5" s="217" t="s">
        <v>29</v>
      </c>
      <c r="D5" s="218" t="s">
        <v>28</v>
      </c>
      <c r="E5" s="219">
        <v>2023</v>
      </c>
      <c r="F5" s="206">
        <v>46203</v>
      </c>
      <c r="G5" s="206">
        <v>46203</v>
      </c>
      <c r="H5" s="295"/>
      <c r="I5" s="220"/>
      <c r="J5" s="221"/>
      <c r="K5" s="201">
        <f t="shared" ref="K5:L6" si="0">$F$1-F5</f>
        <v>36</v>
      </c>
      <c r="L5" s="201">
        <f t="shared" si="0"/>
        <v>36</v>
      </c>
      <c r="M5" s="201"/>
      <c r="N5" s="201"/>
      <c r="O5" s="222" t="s">
        <v>254</v>
      </c>
      <c r="P5" s="239"/>
      <c r="Q5" s="326" t="s">
        <v>57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si="0"/>
        <v>15</v>
      </c>
      <c r="L6" s="201">
        <f t="shared" si="0"/>
        <v>15</v>
      </c>
      <c r="M6" s="201"/>
      <c r="N6" s="201"/>
      <c r="O6" s="222" t="s">
        <v>242</v>
      </c>
      <c r="P6" s="227"/>
      <c r="Q6" s="306"/>
      <c r="R6" s="216" t="s">
        <v>26</v>
      </c>
      <c r="S6" s="225"/>
    </row>
    <row r="7" spans="1:66" s="226" customFormat="1" x14ac:dyDescent="0.3">
      <c r="A7" s="215">
        <v>3</v>
      </c>
      <c r="B7" s="216" t="s">
        <v>248</v>
      </c>
      <c r="C7" s="217" t="s">
        <v>29</v>
      </c>
      <c r="D7" s="218" t="s">
        <v>28</v>
      </c>
      <c r="E7" s="219">
        <v>2023</v>
      </c>
      <c r="F7" s="206">
        <v>46234</v>
      </c>
      <c r="G7" s="206">
        <v>46234</v>
      </c>
      <c r="H7" s="310"/>
      <c r="I7" s="220"/>
      <c r="J7" s="221"/>
      <c r="K7" s="201">
        <f t="shared" ref="K7:K9" si="1">$F$1-F7</f>
        <v>5</v>
      </c>
      <c r="L7" s="201">
        <f t="shared" ref="L7:L9" si="2">$F$1-G7</f>
        <v>5</v>
      </c>
      <c r="M7" s="201"/>
      <c r="N7" s="201"/>
      <c r="O7" s="222" t="s">
        <v>252</v>
      </c>
      <c r="P7" s="324" t="s">
        <v>51</v>
      </c>
      <c r="Q7" s="223"/>
      <c r="R7" s="224" t="s">
        <v>196</v>
      </c>
      <c r="S7" s="229"/>
    </row>
    <row r="8" spans="1:66" s="226" customFormat="1" x14ac:dyDescent="0.3">
      <c r="A8" s="215">
        <v>4</v>
      </c>
      <c r="B8" s="216" t="s">
        <v>256</v>
      </c>
      <c r="C8" s="217" t="s">
        <v>32</v>
      </c>
      <c r="D8" s="218" t="s">
        <v>28</v>
      </c>
      <c r="E8" s="219">
        <v>2020</v>
      </c>
      <c r="F8" s="206">
        <v>46237</v>
      </c>
      <c r="G8" s="206">
        <v>46237</v>
      </c>
      <c r="H8" s="312"/>
      <c r="I8" s="220"/>
      <c r="J8" s="221"/>
      <c r="K8" s="201">
        <f t="shared" si="1"/>
        <v>2</v>
      </c>
      <c r="L8" s="201">
        <f t="shared" si="2"/>
        <v>2</v>
      </c>
      <c r="M8" s="201"/>
      <c r="N8" s="201"/>
      <c r="O8" s="222" t="s">
        <v>257</v>
      </c>
      <c r="P8" s="306" t="s">
        <v>228</v>
      </c>
      <c r="Q8" s="283"/>
      <c r="R8" s="239" t="s">
        <v>220</v>
      </c>
      <c r="S8" s="229"/>
    </row>
    <row r="9" spans="1:66" s="226" customFormat="1" x14ac:dyDescent="0.3">
      <c r="A9" s="215">
        <v>5</v>
      </c>
      <c r="B9" s="216" t="s">
        <v>85</v>
      </c>
      <c r="C9" s="217" t="s">
        <v>29</v>
      </c>
      <c r="D9" s="218" t="s">
        <v>28</v>
      </c>
      <c r="E9" s="219">
        <v>2023</v>
      </c>
      <c r="F9" s="206">
        <v>46238</v>
      </c>
      <c r="G9" s="206">
        <v>46238</v>
      </c>
      <c r="H9" s="312"/>
      <c r="I9" s="220"/>
      <c r="J9" s="221"/>
      <c r="K9" s="201">
        <f t="shared" si="1"/>
        <v>1</v>
      </c>
      <c r="L9" s="201">
        <f t="shared" si="2"/>
        <v>1</v>
      </c>
      <c r="M9" s="201"/>
      <c r="N9" s="201"/>
      <c r="O9" s="222" t="s">
        <v>259</v>
      </c>
      <c r="P9" s="306" t="s">
        <v>33</v>
      </c>
      <c r="Q9" s="222"/>
      <c r="R9" s="260" t="s">
        <v>153</v>
      </c>
      <c r="S9" s="229"/>
    </row>
    <row r="10" spans="1:66" s="226" customFormat="1" x14ac:dyDescent="0.3">
      <c r="A10" s="215"/>
      <c r="B10" s="216"/>
      <c r="C10" s="217"/>
      <c r="D10" s="218"/>
      <c r="E10" s="219"/>
      <c r="F10" s="206"/>
      <c r="G10" s="206"/>
      <c r="H10" s="312"/>
      <c r="I10" s="220"/>
      <c r="J10" s="221"/>
      <c r="K10" s="201"/>
      <c r="L10" s="201"/>
      <c r="M10" s="201"/>
      <c r="N10" s="201"/>
      <c r="O10" s="222"/>
      <c r="P10" s="306"/>
      <c r="Q10" s="222"/>
      <c r="R10" s="216" t="s">
        <v>240</v>
      </c>
      <c r="S10" s="229"/>
    </row>
    <row r="11" spans="1:66" s="226" customFormat="1" x14ac:dyDescent="0.3">
      <c r="A11" s="215"/>
      <c r="B11" s="223"/>
      <c r="C11" s="231"/>
      <c r="D11" s="232"/>
      <c r="E11" s="233"/>
      <c r="F11" s="234"/>
      <c r="G11" s="234"/>
      <c r="H11" s="296"/>
      <c r="I11" s="235"/>
      <c r="J11" s="236"/>
      <c r="K11" s="237"/>
      <c r="L11" s="237"/>
      <c r="M11" s="237"/>
      <c r="N11" s="237"/>
      <c r="O11" s="238"/>
      <c r="P11" s="308"/>
      <c r="Q11" s="222"/>
      <c r="R11" s="216"/>
      <c r="S11" s="229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3">$F$1-F16</f>
        <v>52</v>
      </c>
      <c r="L16" s="201">
        <f t="shared" si="3"/>
        <v>52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4">$F$1-F20</f>
        <v>76</v>
      </c>
      <c r="L20" s="201">
        <f t="shared" si="4"/>
        <v>76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19</v>
      </c>
      <c r="L21" s="201">
        <f t="shared" si="4"/>
        <v>19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4"/>
        <v>6</v>
      </c>
      <c r="L22" s="201">
        <f t="shared" si="4"/>
        <v>6</v>
      </c>
      <c r="M22" s="201"/>
      <c r="N22" s="201"/>
      <c r="O22" s="222" t="s">
        <v>244</v>
      </c>
      <c r="P22" s="260" t="s">
        <v>153</v>
      </c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4BB7-18E5-4600-BC1A-76EFC5BEAE78}">
  <dimension ref="A1:BN23"/>
  <sheetViews>
    <sheetView workbookViewId="0">
      <selection activeCell="J28" sqref="J28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24.1093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46240</v>
      </c>
      <c r="G1" s="206">
        <v>46240</v>
      </c>
      <c r="H1" s="206">
        <v>46240</v>
      </c>
      <c r="I1" s="206">
        <v>46240</v>
      </c>
      <c r="J1" s="206">
        <v>46240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27" t="s">
        <v>7</v>
      </c>
      <c r="L3" s="327" t="s">
        <v>19</v>
      </c>
      <c r="M3" s="327" t="s">
        <v>20</v>
      </c>
      <c r="N3" s="32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85</v>
      </c>
      <c r="C5" s="217" t="s">
        <v>29</v>
      </c>
      <c r="D5" s="218" t="s">
        <v>28</v>
      </c>
      <c r="E5" s="219">
        <v>2023</v>
      </c>
      <c r="F5" s="206">
        <v>46238</v>
      </c>
      <c r="G5" s="206">
        <v>46238</v>
      </c>
      <c r="H5" s="312"/>
      <c r="I5" s="220"/>
      <c r="J5" s="221"/>
      <c r="K5" s="201">
        <f t="shared" ref="K5" si="0">$F$1-F5</f>
        <v>2</v>
      </c>
      <c r="L5" s="201">
        <f t="shared" ref="L5" si="1">$F$1-G5</f>
        <v>2</v>
      </c>
      <c r="M5" s="201"/>
      <c r="N5" s="201"/>
      <c r="O5" s="222" t="s">
        <v>259</v>
      </c>
      <c r="P5" s="306" t="s">
        <v>33</v>
      </c>
      <c r="Q5" s="223" t="s">
        <v>200</v>
      </c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ref="K6:L8" si="2">$F$1-F6</f>
        <v>16</v>
      </c>
      <c r="L6" s="201">
        <f t="shared" si="2"/>
        <v>16</v>
      </c>
      <c r="M6" s="201"/>
      <c r="N6" s="201"/>
      <c r="O6" s="222" t="s">
        <v>242</v>
      </c>
      <c r="P6" s="227"/>
      <c r="Q6" s="216"/>
      <c r="R6" s="216" t="s">
        <v>26</v>
      </c>
      <c r="S6" s="225"/>
    </row>
    <row r="7" spans="1:66" s="226" customFormat="1" x14ac:dyDescent="0.3">
      <c r="A7" s="215">
        <v>3</v>
      </c>
      <c r="B7" s="216" t="s">
        <v>248</v>
      </c>
      <c r="C7" s="217" t="s">
        <v>29</v>
      </c>
      <c r="D7" s="218" t="s">
        <v>28</v>
      </c>
      <c r="E7" s="219">
        <v>2023</v>
      </c>
      <c r="F7" s="206">
        <v>46234</v>
      </c>
      <c r="G7" s="206">
        <v>46234</v>
      </c>
      <c r="H7" s="310"/>
      <c r="I7" s="220"/>
      <c r="J7" s="221"/>
      <c r="K7" s="201">
        <f t="shared" si="2"/>
        <v>6</v>
      </c>
      <c r="L7" s="201">
        <f t="shared" si="2"/>
        <v>6</v>
      </c>
      <c r="M7" s="201"/>
      <c r="N7" s="201"/>
      <c r="O7" s="222" t="s">
        <v>252</v>
      </c>
      <c r="P7" s="324" t="s">
        <v>51</v>
      </c>
      <c r="Q7" s="223"/>
      <c r="R7" s="224" t="s">
        <v>196</v>
      </c>
      <c r="S7" s="229"/>
    </row>
    <row r="8" spans="1:66" s="226" customFormat="1" x14ac:dyDescent="0.3">
      <c r="A8" s="215">
        <v>4</v>
      </c>
      <c r="B8" s="216" t="s">
        <v>256</v>
      </c>
      <c r="C8" s="217" t="s">
        <v>32</v>
      </c>
      <c r="D8" s="218" t="s">
        <v>28</v>
      </c>
      <c r="E8" s="219">
        <v>2020</v>
      </c>
      <c r="F8" s="206">
        <v>46237</v>
      </c>
      <c r="G8" s="206">
        <v>46237</v>
      </c>
      <c r="H8" s="312"/>
      <c r="I8" s="220"/>
      <c r="J8" s="221"/>
      <c r="K8" s="201">
        <f t="shared" si="2"/>
        <v>3</v>
      </c>
      <c r="L8" s="201">
        <f t="shared" si="2"/>
        <v>3</v>
      </c>
      <c r="M8" s="201"/>
      <c r="N8" s="201"/>
      <c r="O8" s="222" t="s">
        <v>257</v>
      </c>
      <c r="P8" s="306" t="s">
        <v>228</v>
      </c>
      <c r="Q8" s="223"/>
      <c r="R8" s="239" t="s">
        <v>220</v>
      </c>
      <c r="S8" s="239"/>
    </row>
    <row r="9" spans="1:66" s="226" customFormat="1" x14ac:dyDescent="0.3">
      <c r="A9" s="215"/>
      <c r="B9" s="216"/>
      <c r="C9" s="217"/>
      <c r="D9" s="218"/>
      <c r="E9" s="219"/>
      <c r="F9" s="206"/>
      <c r="G9" s="206"/>
      <c r="H9" s="312"/>
      <c r="I9" s="220"/>
      <c r="J9" s="221"/>
      <c r="K9" s="201"/>
      <c r="L9" s="201"/>
      <c r="M9" s="201"/>
      <c r="N9" s="201"/>
      <c r="O9" s="222"/>
      <c r="P9" s="306"/>
      <c r="Q9" s="260"/>
      <c r="R9" s="223" t="s">
        <v>200</v>
      </c>
      <c r="S9" s="229"/>
    </row>
    <row r="10" spans="1:66" s="226" customFormat="1" x14ac:dyDescent="0.3">
      <c r="A10" s="215"/>
      <c r="B10" s="216"/>
      <c r="C10" s="217"/>
      <c r="D10" s="218"/>
      <c r="E10" s="219"/>
      <c r="F10" s="206"/>
      <c r="G10" s="206"/>
      <c r="H10" s="312"/>
      <c r="I10" s="220"/>
      <c r="J10" s="221"/>
      <c r="K10" s="201"/>
      <c r="L10" s="201"/>
      <c r="M10" s="201"/>
      <c r="N10" s="201"/>
      <c r="O10" s="222"/>
      <c r="P10" s="306"/>
      <c r="Q10" s="222"/>
      <c r="R10" s="260" t="s">
        <v>153</v>
      </c>
      <c r="S10" s="229"/>
    </row>
    <row r="11" spans="1:66" s="226" customFormat="1" x14ac:dyDescent="0.3">
      <c r="A11" s="215"/>
      <c r="B11" s="223"/>
      <c r="C11" s="231"/>
      <c r="D11" s="232"/>
      <c r="E11" s="233"/>
      <c r="F11" s="234"/>
      <c r="G11" s="234"/>
      <c r="H11" s="296"/>
      <c r="I11" s="235"/>
      <c r="J11" s="236"/>
      <c r="K11" s="237"/>
      <c r="L11" s="237"/>
      <c r="M11" s="237"/>
      <c r="N11" s="237"/>
      <c r="O11" s="238"/>
      <c r="P11" s="308"/>
      <c r="Q11" s="222"/>
      <c r="R11" s="216" t="s">
        <v>240</v>
      </c>
      <c r="S11" s="216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3">$F$1-F16</f>
        <v>53</v>
      </c>
      <c r="L16" s="201">
        <f t="shared" si="3"/>
        <v>53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4">$F$1-F20</f>
        <v>77</v>
      </c>
      <c r="L20" s="201">
        <f t="shared" si="4"/>
        <v>77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20</v>
      </c>
      <c r="L21" s="201">
        <f t="shared" si="4"/>
        <v>20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4"/>
        <v>7</v>
      </c>
      <c r="L22" s="201">
        <f t="shared" si="4"/>
        <v>7</v>
      </c>
      <c r="M22" s="201"/>
      <c r="N22" s="201"/>
      <c r="O22" s="222" t="s">
        <v>244</v>
      </c>
      <c r="P22" s="260" t="s">
        <v>153</v>
      </c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5899-9F07-40B6-8B04-2084F69B41CB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24.10937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46241</v>
      </c>
      <c r="G1" s="206">
        <v>46241</v>
      </c>
      <c r="H1" s="206">
        <v>46241</v>
      </c>
      <c r="I1" s="206">
        <v>46241</v>
      </c>
      <c r="J1" s="206">
        <v>46241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28" t="s">
        <v>7</v>
      </c>
      <c r="L3" s="328" t="s">
        <v>19</v>
      </c>
      <c r="M3" s="328" t="s">
        <v>20</v>
      </c>
      <c r="N3" s="32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15">
        <v>1</v>
      </c>
      <c r="B5" s="216" t="s">
        <v>85</v>
      </c>
      <c r="C5" s="217" t="s">
        <v>29</v>
      </c>
      <c r="D5" s="218" t="s">
        <v>28</v>
      </c>
      <c r="E5" s="219">
        <v>2023</v>
      </c>
      <c r="F5" s="206">
        <v>46238</v>
      </c>
      <c r="G5" s="206">
        <v>46238</v>
      </c>
      <c r="H5" s="312"/>
      <c r="I5" s="220"/>
      <c r="J5" s="221"/>
      <c r="K5" s="201">
        <f t="shared" ref="K5:L9" si="0">$F$1-F5</f>
        <v>3</v>
      </c>
      <c r="L5" s="201">
        <f t="shared" si="0"/>
        <v>3</v>
      </c>
      <c r="M5" s="201"/>
      <c r="N5" s="201"/>
      <c r="O5" s="222" t="s">
        <v>259</v>
      </c>
      <c r="P5" s="306" t="s">
        <v>219</v>
      </c>
      <c r="Q5" s="223"/>
      <c r="R5" s="224" t="s">
        <v>30</v>
      </c>
      <c r="S5" s="225"/>
    </row>
    <row r="6" spans="1:66" s="226" customFormat="1" x14ac:dyDescent="0.3">
      <c r="A6" s="215">
        <v>2</v>
      </c>
      <c r="B6" s="216" t="s">
        <v>235</v>
      </c>
      <c r="C6" s="217" t="s">
        <v>29</v>
      </c>
      <c r="D6" s="218" t="s">
        <v>28</v>
      </c>
      <c r="E6" s="219">
        <v>2023</v>
      </c>
      <c r="F6" s="206">
        <v>46224</v>
      </c>
      <c r="G6" s="206">
        <v>46224</v>
      </c>
      <c r="H6" s="296"/>
      <c r="I6" s="220"/>
      <c r="J6" s="221"/>
      <c r="K6" s="201">
        <f t="shared" si="0"/>
        <v>17</v>
      </c>
      <c r="L6" s="201">
        <f t="shared" si="0"/>
        <v>17</v>
      </c>
      <c r="M6" s="201"/>
      <c r="N6" s="201"/>
      <c r="O6" s="222" t="s">
        <v>242</v>
      </c>
      <c r="P6" s="227"/>
      <c r="Q6" s="216"/>
      <c r="R6" s="216" t="s">
        <v>26</v>
      </c>
      <c r="S6" s="225"/>
    </row>
    <row r="7" spans="1:66" s="226" customFormat="1" x14ac:dyDescent="0.3">
      <c r="A7" s="215">
        <v>3</v>
      </c>
      <c r="B7" s="216" t="s">
        <v>248</v>
      </c>
      <c r="C7" s="217" t="s">
        <v>29</v>
      </c>
      <c r="D7" s="218" t="s">
        <v>28</v>
      </c>
      <c r="E7" s="219">
        <v>2023</v>
      </c>
      <c r="F7" s="206">
        <v>46234</v>
      </c>
      <c r="G7" s="206">
        <v>46234</v>
      </c>
      <c r="H7" s="310"/>
      <c r="I7" s="220"/>
      <c r="J7" s="221"/>
      <c r="K7" s="201">
        <f t="shared" si="0"/>
        <v>7</v>
      </c>
      <c r="L7" s="201">
        <f t="shared" si="0"/>
        <v>7</v>
      </c>
      <c r="M7" s="201"/>
      <c r="N7" s="201"/>
      <c r="O7" s="222" t="s">
        <v>252</v>
      </c>
      <c r="P7" s="324" t="s">
        <v>51</v>
      </c>
      <c r="Q7" s="223"/>
      <c r="R7" s="224" t="s">
        <v>196</v>
      </c>
      <c r="S7" s="229"/>
    </row>
    <row r="8" spans="1:66" s="226" customFormat="1" x14ac:dyDescent="0.3">
      <c r="A8" s="215">
        <v>4</v>
      </c>
      <c r="B8" s="216" t="s">
        <v>256</v>
      </c>
      <c r="C8" s="217" t="s">
        <v>32</v>
      </c>
      <c r="D8" s="218" t="s">
        <v>28</v>
      </c>
      <c r="E8" s="219">
        <v>2020</v>
      </c>
      <c r="F8" s="206">
        <v>46237</v>
      </c>
      <c r="G8" s="206">
        <v>46237</v>
      </c>
      <c r="H8" s="312"/>
      <c r="I8" s="220"/>
      <c r="J8" s="221"/>
      <c r="K8" s="201">
        <f t="shared" si="0"/>
        <v>4</v>
      </c>
      <c r="L8" s="201">
        <f t="shared" si="0"/>
        <v>4</v>
      </c>
      <c r="M8" s="201"/>
      <c r="N8" s="201"/>
      <c r="O8" s="222" t="s">
        <v>257</v>
      </c>
      <c r="P8" s="306" t="s">
        <v>148</v>
      </c>
      <c r="Q8" s="223"/>
      <c r="R8" s="239" t="s">
        <v>263</v>
      </c>
      <c r="S8" s="239"/>
    </row>
    <row r="9" spans="1:66" s="226" customFormat="1" x14ac:dyDescent="0.3">
      <c r="A9" s="215">
        <v>5</v>
      </c>
      <c r="B9" s="223" t="s">
        <v>260</v>
      </c>
      <c r="C9" s="231" t="s">
        <v>32</v>
      </c>
      <c r="D9" s="232" t="s">
        <v>28</v>
      </c>
      <c r="E9" s="233">
        <v>2020</v>
      </c>
      <c r="F9" s="234">
        <v>46241</v>
      </c>
      <c r="G9" s="234">
        <v>46241</v>
      </c>
      <c r="H9" s="296"/>
      <c r="I9" s="235"/>
      <c r="J9" s="236"/>
      <c r="K9" s="237">
        <f t="shared" si="0"/>
        <v>0</v>
      </c>
      <c r="L9" s="237">
        <v>0</v>
      </c>
      <c r="M9" s="237"/>
      <c r="N9" s="237"/>
      <c r="O9" s="238" t="s">
        <v>261</v>
      </c>
      <c r="P9" s="308" t="s">
        <v>153</v>
      </c>
      <c r="Q9" s="260"/>
      <c r="R9" s="239" t="s">
        <v>220</v>
      </c>
      <c r="S9" s="229"/>
    </row>
    <row r="10" spans="1:66" s="226" customFormat="1" x14ac:dyDescent="0.3">
      <c r="A10" s="215">
        <v>6</v>
      </c>
      <c r="B10" s="223" t="s">
        <v>200</v>
      </c>
      <c r="C10" s="231" t="s">
        <v>29</v>
      </c>
      <c r="D10" s="232" t="s">
        <v>28</v>
      </c>
      <c r="E10" s="233">
        <v>2023</v>
      </c>
      <c r="F10" s="234">
        <v>46241</v>
      </c>
      <c r="G10" s="234">
        <v>46241</v>
      </c>
      <c r="H10" s="312"/>
      <c r="I10" s="220"/>
      <c r="J10" s="221"/>
      <c r="K10" s="237">
        <f t="shared" ref="K10" si="1">$F$1-F10</f>
        <v>0</v>
      </c>
      <c r="L10" s="237">
        <v>0</v>
      </c>
      <c r="M10" s="201"/>
      <c r="N10" s="201"/>
      <c r="O10" s="238" t="s">
        <v>262</v>
      </c>
      <c r="P10" s="306"/>
      <c r="Q10" s="222"/>
      <c r="R10" s="216" t="s">
        <v>240</v>
      </c>
      <c r="S10" s="229"/>
    </row>
    <row r="11" spans="1:66" s="226" customFormat="1" x14ac:dyDescent="0.3">
      <c r="A11" s="215"/>
      <c r="B11" s="223"/>
      <c r="C11" s="231"/>
      <c r="D11" s="232"/>
      <c r="E11" s="233"/>
      <c r="F11" s="234"/>
      <c r="G11" s="234"/>
      <c r="H11" s="296"/>
      <c r="I11" s="235"/>
      <c r="J11" s="236"/>
      <c r="K11" s="237"/>
      <c r="L11" s="237"/>
      <c r="M11" s="237"/>
      <c r="N11" s="237"/>
      <c r="O11" s="238"/>
      <c r="P11" s="308"/>
      <c r="Q11" s="222"/>
      <c r="R11" s="216"/>
      <c r="S11" s="216"/>
    </row>
    <row r="12" spans="1:66" s="226" customFormat="1" x14ac:dyDescent="0.3">
      <c r="A12" s="215"/>
      <c r="B12" s="216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39"/>
      <c r="Q12" s="222"/>
      <c r="R12" s="22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50.4" customHeight="1" x14ac:dyDescent="0.3">
      <c r="A16" s="215">
        <v>1</v>
      </c>
      <c r="B16" s="260" t="s">
        <v>65</v>
      </c>
      <c r="C16" s="217" t="s">
        <v>29</v>
      </c>
      <c r="D16" s="218" t="s">
        <v>28</v>
      </c>
      <c r="E16" s="219">
        <v>2023</v>
      </c>
      <c r="F16" s="206">
        <v>46187</v>
      </c>
      <c r="G16" s="206">
        <v>46187</v>
      </c>
      <c r="H16" s="220"/>
      <c r="I16" s="220"/>
      <c r="J16" s="221"/>
      <c r="K16" s="201">
        <f t="shared" ref="K16:L16" si="2">$F$1-F16</f>
        <v>54</v>
      </c>
      <c r="L16" s="201">
        <f t="shared" si="2"/>
        <v>54</v>
      </c>
      <c r="M16" s="201"/>
      <c r="N16" s="201"/>
      <c r="O16" s="222" t="s">
        <v>230</v>
      </c>
      <c r="P16" s="224" t="s">
        <v>48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3">$F$1-F20</f>
        <v>78</v>
      </c>
      <c r="L20" s="201">
        <f t="shared" si="3"/>
        <v>78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3"/>
        <v>21</v>
      </c>
      <c r="L21" s="201">
        <f t="shared" si="3"/>
        <v>21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3"/>
        <v>8</v>
      </c>
      <c r="L22" s="201">
        <f t="shared" si="3"/>
        <v>8</v>
      </c>
      <c r="M22" s="201"/>
      <c r="N22" s="201"/>
      <c r="O22" s="222" t="s">
        <v>244</v>
      </c>
      <c r="P22" s="260" t="s">
        <v>153</v>
      </c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72A7-5FA5-4ABD-9A94-E47B52814860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46242</v>
      </c>
      <c r="G1" s="206">
        <v>46242</v>
      </c>
      <c r="H1" s="206">
        <v>46242</v>
      </c>
      <c r="I1" s="206">
        <v>46242</v>
      </c>
      <c r="J1" s="206">
        <v>46242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29" t="s">
        <v>7</v>
      </c>
      <c r="L3" s="329" t="s">
        <v>19</v>
      </c>
      <c r="M3" s="329" t="s">
        <v>20</v>
      </c>
      <c r="N3" s="32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4</v>
      </c>
      <c r="L5" s="205">
        <f t="shared" si="0"/>
        <v>4</v>
      </c>
      <c r="M5" s="205"/>
      <c r="N5" s="205"/>
      <c r="O5" s="222" t="s">
        <v>259</v>
      </c>
      <c r="P5" s="283" t="s">
        <v>263</v>
      </c>
      <c r="Q5" s="283" t="s">
        <v>263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235</v>
      </c>
      <c r="C6" s="331" t="s">
        <v>29</v>
      </c>
      <c r="D6" s="332" t="s">
        <v>28</v>
      </c>
      <c r="E6" s="333">
        <v>2023</v>
      </c>
      <c r="F6" s="334">
        <v>46224</v>
      </c>
      <c r="G6" s="334">
        <v>46224</v>
      </c>
      <c r="H6" s="296"/>
      <c r="I6" s="335"/>
      <c r="J6" s="336"/>
      <c r="K6" s="205">
        <f t="shared" si="0"/>
        <v>18</v>
      </c>
      <c r="L6" s="205">
        <f t="shared" si="0"/>
        <v>18</v>
      </c>
      <c r="M6" s="205"/>
      <c r="N6" s="205"/>
      <c r="O6" s="222" t="s">
        <v>242</v>
      </c>
      <c r="P6" s="260"/>
      <c r="Q6" s="283" t="s">
        <v>220</v>
      </c>
      <c r="R6" s="216" t="s">
        <v>26</v>
      </c>
      <c r="S6" s="225"/>
    </row>
    <row r="7" spans="1:66" s="226" customFormat="1" x14ac:dyDescent="0.3">
      <c r="A7" s="249">
        <v>3</v>
      </c>
      <c r="B7" s="216" t="s">
        <v>248</v>
      </c>
      <c r="C7" s="331" t="s">
        <v>29</v>
      </c>
      <c r="D7" s="332" t="s">
        <v>28</v>
      </c>
      <c r="E7" s="333">
        <v>2023</v>
      </c>
      <c r="F7" s="334">
        <v>46234</v>
      </c>
      <c r="G7" s="334">
        <v>46234</v>
      </c>
      <c r="H7" s="310"/>
      <c r="I7" s="335"/>
      <c r="J7" s="336"/>
      <c r="K7" s="205">
        <f t="shared" si="0"/>
        <v>8</v>
      </c>
      <c r="L7" s="205">
        <f t="shared" si="0"/>
        <v>8</v>
      </c>
      <c r="M7" s="205"/>
      <c r="N7" s="205"/>
      <c r="O7" s="222" t="s">
        <v>252</v>
      </c>
      <c r="P7" s="324" t="s">
        <v>51</v>
      </c>
      <c r="Q7" s="223"/>
      <c r="R7" s="216" t="s">
        <v>196</v>
      </c>
      <c r="S7" s="229"/>
    </row>
    <row r="8" spans="1:66" s="226" customFormat="1" x14ac:dyDescent="0.3">
      <c r="A8" s="249">
        <v>4</v>
      </c>
      <c r="B8" s="216" t="s">
        <v>256</v>
      </c>
      <c r="C8" s="331" t="s">
        <v>32</v>
      </c>
      <c r="D8" s="332" t="s">
        <v>28</v>
      </c>
      <c r="E8" s="333">
        <v>2020</v>
      </c>
      <c r="F8" s="334">
        <v>46237</v>
      </c>
      <c r="G8" s="334">
        <v>46237</v>
      </c>
      <c r="H8" s="312"/>
      <c r="I8" s="335"/>
      <c r="J8" s="336"/>
      <c r="K8" s="205">
        <f t="shared" si="0"/>
        <v>5</v>
      </c>
      <c r="L8" s="205">
        <f t="shared" si="0"/>
        <v>5</v>
      </c>
      <c r="M8" s="205"/>
      <c r="N8" s="205"/>
      <c r="O8" s="222" t="s">
        <v>257</v>
      </c>
      <c r="P8" s="306" t="s">
        <v>148</v>
      </c>
      <c r="Q8" s="223"/>
      <c r="R8" s="216" t="s">
        <v>240</v>
      </c>
      <c r="S8" s="239"/>
    </row>
    <row r="9" spans="1:66" s="226" customFormat="1" x14ac:dyDescent="0.3">
      <c r="A9" s="249">
        <v>5</v>
      </c>
      <c r="B9" s="216" t="s">
        <v>260</v>
      </c>
      <c r="C9" s="331" t="s">
        <v>32</v>
      </c>
      <c r="D9" s="332" t="s">
        <v>28</v>
      </c>
      <c r="E9" s="333">
        <v>2020</v>
      </c>
      <c r="F9" s="334">
        <v>46241</v>
      </c>
      <c r="G9" s="334">
        <v>46241</v>
      </c>
      <c r="H9" s="312"/>
      <c r="I9" s="335"/>
      <c r="J9" s="336"/>
      <c r="K9" s="205">
        <f t="shared" si="0"/>
        <v>1</v>
      </c>
      <c r="L9" s="205">
        <f t="shared" si="0"/>
        <v>1</v>
      </c>
      <c r="M9" s="205"/>
      <c r="N9" s="205"/>
      <c r="O9" s="222" t="s">
        <v>261</v>
      </c>
      <c r="P9" s="306" t="s">
        <v>153</v>
      </c>
      <c r="Q9" s="260"/>
      <c r="R9" s="239"/>
      <c r="S9" s="229"/>
    </row>
    <row r="10" spans="1:66" s="226" customFormat="1" x14ac:dyDescent="0.3">
      <c r="A10" s="344">
        <v>6</v>
      </c>
      <c r="B10" s="223" t="s">
        <v>200</v>
      </c>
      <c r="C10" s="337" t="s">
        <v>29</v>
      </c>
      <c r="D10" s="338" t="s">
        <v>28</v>
      </c>
      <c r="E10" s="339">
        <v>2023</v>
      </c>
      <c r="F10" s="340">
        <v>46241</v>
      </c>
      <c r="G10" s="340">
        <v>46241</v>
      </c>
      <c r="H10" s="296"/>
      <c r="I10" s="341"/>
      <c r="J10" s="342"/>
      <c r="K10" s="343">
        <f t="shared" si="0"/>
        <v>1</v>
      </c>
      <c r="L10" s="343">
        <f t="shared" si="0"/>
        <v>1</v>
      </c>
      <c r="M10" s="343"/>
      <c r="N10" s="343"/>
      <c r="O10" s="238" t="s">
        <v>89</v>
      </c>
      <c r="P10" s="308"/>
      <c r="Q10" s="222"/>
      <c r="R10" s="239"/>
      <c r="S10" s="229"/>
    </row>
    <row r="11" spans="1:66" s="226" customFormat="1" x14ac:dyDescent="0.3">
      <c r="A11" s="344">
        <v>7</v>
      </c>
      <c r="B11" s="308" t="s">
        <v>219</v>
      </c>
      <c r="C11" s="337" t="s">
        <v>32</v>
      </c>
      <c r="D11" s="338" t="s">
        <v>28</v>
      </c>
      <c r="E11" s="339">
        <v>2010</v>
      </c>
      <c r="F11" s="340">
        <v>46242</v>
      </c>
      <c r="G11" s="340">
        <v>46242</v>
      </c>
      <c r="H11" s="296"/>
      <c r="I11" s="341"/>
      <c r="J11" s="342"/>
      <c r="K11" s="343">
        <f t="shared" ref="K11:K12" si="1">$F$1-F11</f>
        <v>0</v>
      </c>
      <c r="L11" s="343">
        <f t="shared" ref="L11:L12" si="2">$F$1-G11</f>
        <v>0</v>
      </c>
      <c r="M11" s="343"/>
      <c r="N11" s="343"/>
      <c r="O11" s="238" t="s">
        <v>264</v>
      </c>
      <c r="P11" s="308" t="s">
        <v>265</v>
      </c>
      <c r="Q11" s="222"/>
      <c r="R11" s="216"/>
      <c r="S11" s="216"/>
    </row>
    <row r="12" spans="1:66" s="226" customFormat="1" ht="50.4" customHeight="1" x14ac:dyDescent="0.3">
      <c r="A12" s="215">
        <v>8</v>
      </c>
      <c r="B12" s="260" t="s">
        <v>65</v>
      </c>
      <c r="C12" s="217" t="s">
        <v>29</v>
      </c>
      <c r="D12" s="218" t="s">
        <v>28</v>
      </c>
      <c r="E12" s="219">
        <v>2023</v>
      </c>
      <c r="F12" s="206">
        <v>46187</v>
      </c>
      <c r="G12" s="206">
        <v>46187</v>
      </c>
      <c r="H12" s="220"/>
      <c r="I12" s="220"/>
      <c r="J12" s="221"/>
      <c r="K12" s="201">
        <f t="shared" si="1"/>
        <v>55</v>
      </c>
      <c r="L12" s="201">
        <f t="shared" si="2"/>
        <v>55</v>
      </c>
      <c r="M12" s="201"/>
      <c r="N12" s="201"/>
      <c r="O12" s="222" t="s">
        <v>230</v>
      </c>
      <c r="P12" s="224" t="s">
        <v>48</v>
      </c>
      <c r="Q12" s="222"/>
      <c r="R12" s="239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24"/>
      <c r="C16" s="240"/>
      <c r="D16" s="241"/>
      <c r="E16" s="219"/>
      <c r="F16" s="206"/>
      <c r="G16" s="206"/>
      <c r="H16" s="220"/>
      <c r="I16" s="220"/>
      <c r="J16" s="221"/>
      <c r="K16" s="201"/>
      <c r="L16" s="201"/>
      <c r="M16" s="201"/>
      <c r="N16" s="201"/>
      <c r="O16" s="222"/>
      <c r="P16" s="250"/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3">$F$1-F20</f>
        <v>79</v>
      </c>
      <c r="L20" s="201">
        <f t="shared" si="3"/>
        <v>79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3"/>
        <v>22</v>
      </c>
      <c r="L21" s="201">
        <f t="shared" si="3"/>
        <v>22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3"/>
        <v>9</v>
      </c>
      <c r="L22" s="201">
        <f t="shared" si="3"/>
        <v>9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sortState xmlns:xlrd2="http://schemas.microsoft.com/office/spreadsheetml/2017/richdata2" ref="R5:R10">
    <sortCondition ref="R5:R10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10CB-6C24-4EBD-B245-898E2D429221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46243</v>
      </c>
      <c r="G1" s="206">
        <v>46243</v>
      </c>
      <c r="H1" s="206">
        <v>46243</v>
      </c>
      <c r="I1" s="206">
        <v>46243</v>
      </c>
      <c r="J1" s="206">
        <v>46243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30" t="s">
        <v>7</v>
      </c>
      <c r="L3" s="330" t="s">
        <v>19</v>
      </c>
      <c r="M3" s="330" t="s">
        <v>20</v>
      </c>
      <c r="N3" s="33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5</v>
      </c>
      <c r="L5" s="205">
        <f t="shared" si="0"/>
        <v>5</v>
      </c>
      <c r="M5" s="205"/>
      <c r="N5" s="205"/>
      <c r="O5" s="222" t="s">
        <v>259</v>
      </c>
      <c r="P5" s="283" t="s">
        <v>263</v>
      </c>
      <c r="Q5" s="283" t="s">
        <v>263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235</v>
      </c>
      <c r="C6" s="331" t="s">
        <v>29</v>
      </c>
      <c r="D6" s="332" t="s">
        <v>28</v>
      </c>
      <c r="E6" s="333">
        <v>2023</v>
      </c>
      <c r="F6" s="334">
        <v>46224</v>
      </c>
      <c r="G6" s="334">
        <v>46224</v>
      </c>
      <c r="H6" s="296"/>
      <c r="I6" s="335"/>
      <c r="J6" s="336"/>
      <c r="K6" s="205">
        <f t="shared" si="0"/>
        <v>19</v>
      </c>
      <c r="L6" s="205">
        <f t="shared" si="0"/>
        <v>19</v>
      </c>
      <c r="M6" s="205"/>
      <c r="N6" s="205"/>
      <c r="O6" s="222" t="s">
        <v>242</v>
      </c>
      <c r="P6" s="260"/>
      <c r="Q6" s="283"/>
      <c r="R6" s="216" t="s">
        <v>26</v>
      </c>
      <c r="S6" s="225"/>
    </row>
    <row r="7" spans="1:66" s="226" customFormat="1" x14ac:dyDescent="0.3">
      <c r="A7" s="249">
        <v>3</v>
      </c>
      <c r="B7" s="216" t="s">
        <v>248</v>
      </c>
      <c r="C7" s="331" t="s">
        <v>29</v>
      </c>
      <c r="D7" s="332" t="s">
        <v>28</v>
      </c>
      <c r="E7" s="333">
        <v>2023</v>
      </c>
      <c r="F7" s="334">
        <v>46234</v>
      </c>
      <c r="G7" s="334">
        <v>46234</v>
      </c>
      <c r="H7" s="310"/>
      <c r="I7" s="335"/>
      <c r="J7" s="336"/>
      <c r="K7" s="205">
        <f t="shared" si="0"/>
        <v>9</v>
      </c>
      <c r="L7" s="205">
        <f t="shared" si="0"/>
        <v>9</v>
      </c>
      <c r="M7" s="205"/>
      <c r="N7" s="205"/>
      <c r="O7" s="222" t="s">
        <v>252</v>
      </c>
      <c r="P7" s="324" t="s">
        <v>51</v>
      </c>
      <c r="Q7" s="223" t="s">
        <v>200</v>
      </c>
      <c r="R7" s="216" t="s">
        <v>196</v>
      </c>
      <c r="S7" s="229"/>
    </row>
    <row r="8" spans="1:66" s="226" customFormat="1" x14ac:dyDescent="0.3">
      <c r="A8" s="249">
        <v>4</v>
      </c>
      <c r="B8" s="216" t="s">
        <v>256</v>
      </c>
      <c r="C8" s="331" t="s">
        <v>32</v>
      </c>
      <c r="D8" s="332" t="s">
        <v>28</v>
      </c>
      <c r="E8" s="333">
        <v>2020</v>
      </c>
      <c r="F8" s="334">
        <v>46237</v>
      </c>
      <c r="G8" s="334">
        <v>46237</v>
      </c>
      <c r="H8" s="312"/>
      <c r="I8" s="335"/>
      <c r="J8" s="336"/>
      <c r="K8" s="205">
        <f t="shared" si="0"/>
        <v>6</v>
      </c>
      <c r="L8" s="205">
        <f t="shared" si="0"/>
        <v>6</v>
      </c>
      <c r="M8" s="205"/>
      <c r="N8" s="205"/>
      <c r="O8" s="222" t="s">
        <v>257</v>
      </c>
      <c r="P8" s="306" t="s">
        <v>148</v>
      </c>
      <c r="Q8" s="308" t="s">
        <v>219</v>
      </c>
      <c r="R8" s="216" t="s">
        <v>240</v>
      </c>
      <c r="S8" s="239"/>
    </row>
    <row r="9" spans="1:66" s="226" customFormat="1" x14ac:dyDescent="0.3">
      <c r="A9" s="249">
        <v>5</v>
      </c>
      <c r="B9" s="216" t="s">
        <v>260</v>
      </c>
      <c r="C9" s="331" t="s">
        <v>32</v>
      </c>
      <c r="D9" s="332" t="s">
        <v>28</v>
      </c>
      <c r="E9" s="333">
        <v>2020</v>
      </c>
      <c r="F9" s="334">
        <v>46241</v>
      </c>
      <c r="G9" s="334">
        <v>46241</v>
      </c>
      <c r="H9" s="312"/>
      <c r="I9" s="335"/>
      <c r="J9" s="336"/>
      <c r="K9" s="205">
        <f t="shared" si="0"/>
        <v>2</v>
      </c>
      <c r="L9" s="205">
        <f t="shared" si="0"/>
        <v>2</v>
      </c>
      <c r="M9" s="205"/>
      <c r="N9" s="205"/>
      <c r="O9" s="222" t="s">
        <v>261</v>
      </c>
      <c r="P9" s="306" t="s">
        <v>153</v>
      </c>
      <c r="Q9" s="260"/>
      <c r="R9" s="283" t="s">
        <v>220</v>
      </c>
      <c r="S9" s="229"/>
    </row>
    <row r="10" spans="1:66" s="226" customFormat="1" ht="50.4" customHeight="1" x14ac:dyDescent="0.3">
      <c r="A10" s="215">
        <v>6</v>
      </c>
      <c r="B10" s="260" t="s">
        <v>65</v>
      </c>
      <c r="C10" s="217" t="s">
        <v>29</v>
      </c>
      <c r="D10" s="218" t="s">
        <v>28</v>
      </c>
      <c r="E10" s="219">
        <v>2023</v>
      </c>
      <c r="F10" s="206">
        <v>46187</v>
      </c>
      <c r="G10" s="206">
        <v>46187</v>
      </c>
      <c r="H10" s="220"/>
      <c r="I10" s="220"/>
      <c r="J10" s="221"/>
      <c r="K10" s="201">
        <f t="shared" si="0"/>
        <v>56</v>
      </c>
      <c r="L10" s="201">
        <f t="shared" si="0"/>
        <v>56</v>
      </c>
      <c r="M10" s="201"/>
      <c r="N10" s="201"/>
      <c r="O10" s="222" t="s">
        <v>230</v>
      </c>
      <c r="P10" s="224" t="s">
        <v>48</v>
      </c>
      <c r="Q10" s="222"/>
      <c r="R10" s="239"/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1">$F$1-F18</f>
        <v>80</v>
      </c>
      <c r="L18" s="201">
        <f t="shared" si="1"/>
        <v>80</v>
      </c>
      <c r="M18" s="201"/>
      <c r="N18" s="201"/>
      <c r="O18" s="222" t="s">
        <v>166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1"/>
        <v>23</v>
      </c>
      <c r="L19" s="201">
        <f t="shared" si="1"/>
        <v>23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1"/>
        <v>10</v>
      </c>
      <c r="L20" s="201">
        <f t="shared" si="1"/>
        <v>10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3576-C63D-4FA2-8867-9D80C1F4BD88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46243</v>
      </c>
      <c r="G1" s="206">
        <v>46243</v>
      </c>
      <c r="H1" s="206">
        <v>46243</v>
      </c>
      <c r="I1" s="206">
        <v>46243</v>
      </c>
      <c r="J1" s="206">
        <v>46243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45" t="s">
        <v>7</v>
      </c>
      <c r="L3" s="345" t="s">
        <v>19</v>
      </c>
      <c r="M3" s="345" t="s">
        <v>20</v>
      </c>
      <c r="N3" s="34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5</v>
      </c>
      <c r="L5" s="205">
        <f t="shared" si="0"/>
        <v>5</v>
      </c>
      <c r="M5" s="205"/>
      <c r="N5" s="205"/>
      <c r="O5" s="222" t="s">
        <v>259</v>
      </c>
      <c r="P5" s="283" t="s">
        <v>263</v>
      </c>
      <c r="Q5" s="283"/>
      <c r="R5" s="216" t="s">
        <v>30</v>
      </c>
      <c r="S5" s="225"/>
    </row>
    <row r="6" spans="1:66" s="226" customFormat="1" x14ac:dyDescent="0.3">
      <c r="A6" s="249">
        <v>2</v>
      </c>
      <c r="B6" s="216" t="s">
        <v>235</v>
      </c>
      <c r="C6" s="331" t="s">
        <v>29</v>
      </c>
      <c r="D6" s="332" t="s">
        <v>28</v>
      </c>
      <c r="E6" s="333">
        <v>2023</v>
      </c>
      <c r="F6" s="334">
        <v>46224</v>
      </c>
      <c r="G6" s="334">
        <v>46224</v>
      </c>
      <c r="H6" s="296"/>
      <c r="I6" s="335"/>
      <c r="J6" s="336"/>
      <c r="K6" s="205">
        <f t="shared" si="0"/>
        <v>19</v>
      </c>
      <c r="L6" s="205">
        <f t="shared" si="0"/>
        <v>19</v>
      </c>
      <c r="M6" s="205"/>
      <c r="N6" s="205"/>
      <c r="O6" s="222" t="s">
        <v>242</v>
      </c>
      <c r="P6" s="260"/>
      <c r="Q6" s="283"/>
      <c r="R6" s="216" t="s">
        <v>26</v>
      </c>
      <c r="S6" s="225"/>
    </row>
    <row r="7" spans="1:66" s="226" customFormat="1" x14ac:dyDescent="0.3">
      <c r="A7" s="249">
        <v>3</v>
      </c>
      <c r="B7" s="216" t="s">
        <v>248</v>
      </c>
      <c r="C7" s="331" t="s">
        <v>29</v>
      </c>
      <c r="D7" s="332" t="s">
        <v>28</v>
      </c>
      <c r="E7" s="333">
        <v>2023</v>
      </c>
      <c r="F7" s="334">
        <v>46234</v>
      </c>
      <c r="G7" s="334">
        <v>46234</v>
      </c>
      <c r="H7" s="310"/>
      <c r="I7" s="335"/>
      <c r="J7" s="336"/>
      <c r="K7" s="205">
        <f t="shared" si="0"/>
        <v>9</v>
      </c>
      <c r="L7" s="205">
        <f t="shared" si="0"/>
        <v>9</v>
      </c>
      <c r="M7" s="205"/>
      <c r="N7" s="205"/>
      <c r="O7" s="222" t="s">
        <v>252</v>
      </c>
      <c r="P7" s="324" t="s">
        <v>51</v>
      </c>
      <c r="Q7" s="223"/>
      <c r="R7" s="216" t="s">
        <v>196</v>
      </c>
      <c r="S7" s="229"/>
    </row>
    <row r="8" spans="1:66" s="226" customFormat="1" x14ac:dyDescent="0.3">
      <c r="A8" s="249">
        <v>4</v>
      </c>
      <c r="B8" s="216" t="s">
        <v>256</v>
      </c>
      <c r="C8" s="331" t="s">
        <v>32</v>
      </c>
      <c r="D8" s="332" t="s">
        <v>28</v>
      </c>
      <c r="E8" s="333">
        <v>2020</v>
      </c>
      <c r="F8" s="334">
        <v>46237</v>
      </c>
      <c r="G8" s="334">
        <v>46237</v>
      </c>
      <c r="H8" s="312"/>
      <c r="I8" s="335"/>
      <c r="J8" s="336"/>
      <c r="K8" s="205">
        <f t="shared" si="0"/>
        <v>6</v>
      </c>
      <c r="L8" s="205">
        <f t="shared" si="0"/>
        <v>6</v>
      </c>
      <c r="M8" s="205"/>
      <c r="N8" s="205"/>
      <c r="O8" s="222" t="s">
        <v>257</v>
      </c>
      <c r="P8" s="306" t="s">
        <v>148</v>
      </c>
      <c r="Q8" s="308"/>
      <c r="R8" s="216" t="s">
        <v>240</v>
      </c>
      <c r="S8" s="239"/>
    </row>
    <row r="9" spans="1:66" s="226" customFormat="1" x14ac:dyDescent="0.3">
      <c r="A9" s="249">
        <v>5</v>
      </c>
      <c r="B9" s="216" t="s">
        <v>260</v>
      </c>
      <c r="C9" s="331" t="s">
        <v>32</v>
      </c>
      <c r="D9" s="332" t="s">
        <v>28</v>
      </c>
      <c r="E9" s="333">
        <v>2020</v>
      </c>
      <c r="F9" s="334">
        <v>46241</v>
      </c>
      <c r="G9" s="334">
        <v>46241</v>
      </c>
      <c r="H9" s="312"/>
      <c r="I9" s="335"/>
      <c r="J9" s="336"/>
      <c r="K9" s="205">
        <f t="shared" si="0"/>
        <v>2</v>
      </c>
      <c r="L9" s="205">
        <f t="shared" si="0"/>
        <v>2</v>
      </c>
      <c r="M9" s="205"/>
      <c r="N9" s="205"/>
      <c r="O9" s="222" t="s">
        <v>261</v>
      </c>
      <c r="P9" s="306" t="s">
        <v>153</v>
      </c>
      <c r="Q9" s="260"/>
      <c r="R9" s="283" t="s">
        <v>220</v>
      </c>
      <c r="S9" s="229"/>
    </row>
    <row r="10" spans="1:66" s="226" customFormat="1" ht="50.4" customHeight="1" x14ac:dyDescent="0.3">
      <c r="A10" s="215">
        <v>6</v>
      </c>
      <c r="B10" s="260" t="s">
        <v>65</v>
      </c>
      <c r="C10" s="217" t="s">
        <v>29</v>
      </c>
      <c r="D10" s="218" t="s">
        <v>28</v>
      </c>
      <c r="E10" s="219">
        <v>2023</v>
      </c>
      <c r="F10" s="206">
        <v>46187</v>
      </c>
      <c r="G10" s="206">
        <v>46187</v>
      </c>
      <c r="H10" s="220"/>
      <c r="I10" s="220"/>
      <c r="J10" s="221"/>
      <c r="K10" s="201">
        <f t="shared" si="0"/>
        <v>56</v>
      </c>
      <c r="L10" s="201">
        <f t="shared" si="0"/>
        <v>56</v>
      </c>
      <c r="M10" s="201"/>
      <c r="N10" s="201"/>
      <c r="O10" s="222" t="s">
        <v>230</v>
      </c>
      <c r="P10" s="224" t="s">
        <v>48</v>
      </c>
      <c r="Q10" s="222"/>
      <c r="R10" s="239"/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1">$F$1-F18</f>
        <v>80</v>
      </c>
      <c r="L18" s="201">
        <f t="shared" si="1"/>
        <v>80</v>
      </c>
      <c r="M18" s="201"/>
      <c r="N18" s="201"/>
      <c r="O18" s="222" t="s">
        <v>166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1"/>
        <v>23</v>
      </c>
      <c r="L19" s="201">
        <f t="shared" si="1"/>
        <v>23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1"/>
        <v>10</v>
      </c>
      <c r="L20" s="201">
        <f t="shared" si="1"/>
        <v>10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CA76-A72E-44A3-A926-A52B279DB043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46245</v>
      </c>
      <c r="G1" s="206">
        <v>46245</v>
      </c>
      <c r="H1" s="206">
        <v>46245</v>
      </c>
      <c r="I1" s="206">
        <v>46245</v>
      </c>
      <c r="J1" s="206">
        <v>46245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46" t="s">
        <v>7</v>
      </c>
      <c r="L3" s="346" t="s">
        <v>19</v>
      </c>
      <c r="M3" s="346" t="s">
        <v>20</v>
      </c>
      <c r="N3" s="34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7</v>
      </c>
      <c r="L5" s="205">
        <f t="shared" si="0"/>
        <v>7</v>
      </c>
      <c r="M5" s="205"/>
      <c r="N5" s="205"/>
      <c r="O5" s="222" t="s">
        <v>259</v>
      </c>
      <c r="P5" s="283" t="s">
        <v>263</v>
      </c>
      <c r="Q5" s="283"/>
      <c r="R5" s="216" t="s">
        <v>30</v>
      </c>
      <c r="S5" s="225"/>
    </row>
    <row r="6" spans="1:66" s="226" customFormat="1" x14ac:dyDescent="0.3">
      <c r="A6" s="249">
        <v>2</v>
      </c>
      <c r="B6" s="216" t="s">
        <v>235</v>
      </c>
      <c r="C6" s="331" t="s">
        <v>29</v>
      </c>
      <c r="D6" s="332" t="s">
        <v>28</v>
      </c>
      <c r="E6" s="333">
        <v>2023</v>
      </c>
      <c r="F6" s="334">
        <v>46224</v>
      </c>
      <c r="G6" s="334">
        <v>46224</v>
      </c>
      <c r="H6" s="296"/>
      <c r="I6" s="335"/>
      <c r="J6" s="336"/>
      <c r="K6" s="205">
        <f t="shared" si="0"/>
        <v>21</v>
      </c>
      <c r="L6" s="205">
        <f t="shared" si="0"/>
        <v>21</v>
      </c>
      <c r="M6" s="205"/>
      <c r="N6" s="205"/>
      <c r="O6" s="222" t="s">
        <v>242</v>
      </c>
      <c r="P6" s="260"/>
      <c r="Q6" s="283"/>
      <c r="R6" s="216" t="s">
        <v>26</v>
      </c>
      <c r="S6" s="225"/>
    </row>
    <row r="7" spans="1:66" s="226" customFormat="1" x14ac:dyDescent="0.3">
      <c r="A7" s="249">
        <v>3</v>
      </c>
      <c r="B7" s="216" t="s">
        <v>248</v>
      </c>
      <c r="C7" s="331" t="s">
        <v>29</v>
      </c>
      <c r="D7" s="332" t="s">
        <v>28</v>
      </c>
      <c r="E7" s="333">
        <v>2023</v>
      </c>
      <c r="F7" s="334">
        <v>46234</v>
      </c>
      <c r="G7" s="334">
        <v>46234</v>
      </c>
      <c r="H7" s="310"/>
      <c r="I7" s="335"/>
      <c r="J7" s="336"/>
      <c r="K7" s="205">
        <f t="shared" si="0"/>
        <v>11</v>
      </c>
      <c r="L7" s="205">
        <f t="shared" si="0"/>
        <v>11</v>
      </c>
      <c r="M7" s="205"/>
      <c r="N7" s="205"/>
      <c r="O7" s="222" t="s">
        <v>252</v>
      </c>
      <c r="P7" s="324" t="s">
        <v>51</v>
      </c>
      <c r="Q7" s="223"/>
      <c r="R7" s="216" t="s">
        <v>196</v>
      </c>
      <c r="S7" s="229"/>
    </row>
    <row r="8" spans="1:66" s="226" customFormat="1" x14ac:dyDescent="0.3">
      <c r="A8" s="249">
        <v>4</v>
      </c>
      <c r="B8" s="216" t="s">
        <v>256</v>
      </c>
      <c r="C8" s="331" t="s">
        <v>32</v>
      </c>
      <c r="D8" s="332" t="s">
        <v>28</v>
      </c>
      <c r="E8" s="333">
        <v>2020</v>
      </c>
      <c r="F8" s="334">
        <v>46237</v>
      </c>
      <c r="G8" s="334">
        <v>46237</v>
      </c>
      <c r="H8" s="312"/>
      <c r="I8" s="335"/>
      <c r="J8" s="336"/>
      <c r="K8" s="205">
        <f t="shared" si="0"/>
        <v>8</v>
      </c>
      <c r="L8" s="205">
        <f t="shared" si="0"/>
        <v>8</v>
      </c>
      <c r="M8" s="205"/>
      <c r="N8" s="205"/>
      <c r="O8" s="222" t="s">
        <v>257</v>
      </c>
      <c r="P8" s="306" t="s">
        <v>148</v>
      </c>
      <c r="Q8" s="308"/>
      <c r="R8" s="216" t="s">
        <v>240</v>
      </c>
      <c r="S8" s="239"/>
    </row>
    <row r="9" spans="1:66" s="226" customFormat="1" x14ac:dyDescent="0.3">
      <c r="A9" s="249">
        <v>5</v>
      </c>
      <c r="B9" s="216" t="s">
        <v>260</v>
      </c>
      <c r="C9" s="331" t="s">
        <v>32</v>
      </c>
      <c r="D9" s="332" t="s">
        <v>28</v>
      </c>
      <c r="E9" s="333">
        <v>2020</v>
      </c>
      <c r="F9" s="334">
        <v>46241</v>
      </c>
      <c r="G9" s="334">
        <v>46241</v>
      </c>
      <c r="H9" s="312"/>
      <c r="I9" s="335"/>
      <c r="J9" s="336"/>
      <c r="K9" s="205">
        <f t="shared" si="0"/>
        <v>4</v>
      </c>
      <c r="L9" s="205">
        <f t="shared" si="0"/>
        <v>4</v>
      </c>
      <c r="M9" s="205"/>
      <c r="N9" s="205"/>
      <c r="O9" s="222" t="s">
        <v>261</v>
      </c>
      <c r="P9" s="306" t="s">
        <v>153</v>
      </c>
      <c r="Q9" s="260"/>
      <c r="R9" s="283" t="s">
        <v>220</v>
      </c>
      <c r="S9" s="229"/>
    </row>
    <row r="10" spans="1:66" s="226" customFormat="1" ht="50.4" customHeight="1" x14ac:dyDescent="0.3">
      <c r="A10" s="215">
        <v>6</v>
      </c>
      <c r="B10" s="260" t="s">
        <v>65</v>
      </c>
      <c r="C10" s="217" t="s">
        <v>29</v>
      </c>
      <c r="D10" s="218" t="s">
        <v>28</v>
      </c>
      <c r="E10" s="219">
        <v>2023</v>
      </c>
      <c r="F10" s="206">
        <v>46187</v>
      </c>
      <c r="G10" s="206">
        <v>46187</v>
      </c>
      <c r="H10" s="220"/>
      <c r="I10" s="220"/>
      <c r="J10" s="221"/>
      <c r="K10" s="201">
        <f t="shared" si="0"/>
        <v>58</v>
      </c>
      <c r="L10" s="201">
        <f t="shared" si="0"/>
        <v>58</v>
      </c>
      <c r="M10" s="201"/>
      <c r="N10" s="201"/>
      <c r="O10" s="222" t="s">
        <v>230</v>
      </c>
      <c r="P10" s="224" t="s">
        <v>48</v>
      </c>
      <c r="Q10" s="222"/>
      <c r="R10" s="283" t="s">
        <v>200</v>
      </c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1">$F$1-F18</f>
        <v>82</v>
      </c>
      <c r="L18" s="201">
        <f t="shared" si="1"/>
        <v>82</v>
      </c>
      <c r="M18" s="201"/>
      <c r="N18" s="201"/>
      <c r="O18" s="222" t="s">
        <v>166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1"/>
        <v>25</v>
      </c>
      <c r="L19" s="201">
        <f t="shared" si="1"/>
        <v>25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1"/>
        <v>12</v>
      </c>
      <c r="L20" s="201">
        <f t="shared" si="1"/>
        <v>12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66B9-169F-4700-BD6A-22BC255405ED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46246</v>
      </c>
      <c r="G1" s="206">
        <v>46246</v>
      </c>
      <c r="H1" s="206">
        <v>46246</v>
      </c>
      <c r="I1" s="206">
        <v>46246</v>
      </c>
      <c r="J1" s="206">
        <v>46246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47" t="s">
        <v>7</v>
      </c>
      <c r="L3" s="347" t="s">
        <v>19</v>
      </c>
      <c r="M3" s="347" t="s">
        <v>20</v>
      </c>
      <c r="N3" s="34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8</v>
      </c>
      <c r="L5" s="205">
        <f t="shared" si="0"/>
        <v>8</v>
      </c>
      <c r="M5" s="205"/>
      <c r="N5" s="205"/>
      <c r="O5" s="222" t="s">
        <v>259</v>
      </c>
      <c r="P5" s="283" t="s">
        <v>263</v>
      </c>
      <c r="Q5" s="283"/>
      <c r="R5" s="216" t="s">
        <v>30</v>
      </c>
      <c r="S5" s="225"/>
    </row>
    <row r="6" spans="1:66" s="226" customFormat="1" x14ac:dyDescent="0.3">
      <c r="A6" s="249">
        <v>2</v>
      </c>
      <c r="B6" s="216" t="s">
        <v>235</v>
      </c>
      <c r="C6" s="331" t="s">
        <v>29</v>
      </c>
      <c r="D6" s="332" t="s">
        <v>28</v>
      </c>
      <c r="E6" s="333">
        <v>2023</v>
      </c>
      <c r="F6" s="334">
        <v>46224</v>
      </c>
      <c r="G6" s="334">
        <v>46224</v>
      </c>
      <c r="H6" s="296"/>
      <c r="I6" s="335"/>
      <c r="J6" s="336"/>
      <c r="K6" s="205">
        <f t="shared" si="0"/>
        <v>22</v>
      </c>
      <c r="L6" s="205">
        <f t="shared" si="0"/>
        <v>22</v>
      </c>
      <c r="M6" s="205"/>
      <c r="N6" s="205"/>
      <c r="O6" s="222" t="s">
        <v>242</v>
      </c>
      <c r="P6" s="260"/>
      <c r="Q6" s="283"/>
      <c r="R6" s="216" t="s">
        <v>26</v>
      </c>
      <c r="S6" s="225"/>
    </row>
    <row r="7" spans="1:66" s="226" customFormat="1" x14ac:dyDescent="0.3">
      <c r="A7" s="249">
        <v>3</v>
      </c>
      <c r="B7" s="216" t="s">
        <v>248</v>
      </c>
      <c r="C7" s="331" t="s">
        <v>29</v>
      </c>
      <c r="D7" s="332" t="s">
        <v>28</v>
      </c>
      <c r="E7" s="333">
        <v>2023</v>
      </c>
      <c r="F7" s="334">
        <v>46234</v>
      </c>
      <c r="G7" s="334">
        <v>46234</v>
      </c>
      <c r="H7" s="310"/>
      <c r="I7" s="335"/>
      <c r="J7" s="336"/>
      <c r="K7" s="205">
        <f t="shared" si="0"/>
        <v>12</v>
      </c>
      <c r="L7" s="205">
        <f t="shared" si="0"/>
        <v>12</v>
      </c>
      <c r="M7" s="205"/>
      <c r="N7" s="205"/>
      <c r="O7" s="222" t="s">
        <v>252</v>
      </c>
      <c r="P7" s="324" t="s">
        <v>51</v>
      </c>
      <c r="Q7" s="223"/>
      <c r="R7" s="216" t="s">
        <v>196</v>
      </c>
      <c r="S7" s="229"/>
    </row>
    <row r="8" spans="1:66" s="226" customFormat="1" x14ac:dyDescent="0.3">
      <c r="A8" s="249">
        <v>4</v>
      </c>
      <c r="B8" s="216" t="s">
        <v>256</v>
      </c>
      <c r="C8" s="331" t="s">
        <v>32</v>
      </c>
      <c r="D8" s="332" t="s">
        <v>28</v>
      </c>
      <c r="E8" s="333">
        <v>2020</v>
      </c>
      <c r="F8" s="334">
        <v>46237</v>
      </c>
      <c r="G8" s="334">
        <v>46237</v>
      </c>
      <c r="H8" s="312"/>
      <c r="I8" s="335"/>
      <c r="J8" s="336"/>
      <c r="K8" s="205">
        <f t="shared" si="0"/>
        <v>9</v>
      </c>
      <c r="L8" s="205">
        <f t="shared" si="0"/>
        <v>9</v>
      </c>
      <c r="M8" s="205"/>
      <c r="N8" s="205"/>
      <c r="O8" s="222" t="s">
        <v>257</v>
      </c>
      <c r="P8" s="306" t="s">
        <v>148</v>
      </c>
      <c r="Q8" s="308"/>
      <c r="R8" s="216" t="s">
        <v>240</v>
      </c>
      <c r="S8" s="239"/>
    </row>
    <row r="9" spans="1:66" s="226" customFormat="1" x14ac:dyDescent="0.3">
      <c r="A9" s="249">
        <v>5</v>
      </c>
      <c r="B9" s="216" t="s">
        <v>260</v>
      </c>
      <c r="C9" s="331" t="s">
        <v>32</v>
      </c>
      <c r="D9" s="332" t="s">
        <v>28</v>
      </c>
      <c r="E9" s="333">
        <v>2020</v>
      </c>
      <c r="F9" s="334">
        <v>46241</v>
      </c>
      <c r="G9" s="334">
        <v>46241</v>
      </c>
      <c r="H9" s="312"/>
      <c r="I9" s="335"/>
      <c r="J9" s="336"/>
      <c r="K9" s="205">
        <f t="shared" si="0"/>
        <v>5</v>
      </c>
      <c r="L9" s="205">
        <f t="shared" si="0"/>
        <v>5</v>
      </c>
      <c r="M9" s="205"/>
      <c r="N9" s="205"/>
      <c r="O9" s="222" t="s">
        <v>261</v>
      </c>
      <c r="P9" s="306" t="s">
        <v>153</v>
      </c>
      <c r="Q9" s="260"/>
      <c r="R9" s="283" t="s">
        <v>220</v>
      </c>
      <c r="S9" s="229"/>
    </row>
    <row r="10" spans="1:66" s="226" customFormat="1" ht="50.4" customHeight="1" x14ac:dyDescent="0.3">
      <c r="A10" s="215">
        <v>6</v>
      </c>
      <c r="B10" s="260" t="s">
        <v>65</v>
      </c>
      <c r="C10" s="217" t="s">
        <v>29</v>
      </c>
      <c r="D10" s="218" t="s">
        <v>28</v>
      </c>
      <c r="E10" s="219">
        <v>2023</v>
      </c>
      <c r="F10" s="206">
        <v>46187</v>
      </c>
      <c r="G10" s="206">
        <v>46187</v>
      </c>
      <c r="H10" s="220"/>
      <c r="I10" s="220"/>
      <c r="J10" s="221"/>
      <c r="K10" s="201">
        <f t="shared" si="0"/>
        <v>59</v>
      </c>
      <c r="L10" s="201">
        <f t="shared" si="0"/>
        <v>59</v>
      </c>
      <c r="M10" s="201"/>
      <c r="N10" s="201"/>
      <c r="O10" s="222" t="s">
        <v>230</v>
      </c>
      <c r="P10" s="224" t="s">
        <v>48</v>
      </c>
      <c r="Q10" s="222"/>
      <c r="R10" s="283" t="s">
        <v>200</v>
      </c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1">$F$1-F18</f>
        <v>83</v>
      </c>
      <c r="L18" s="201">
        <f t="shared" si="1"/>
        <v>83</v>
      </c>
      <c r="M18" s="201"/>
      <c r="N18" s="201"/>
      <c r="O18" s="222" t="s">
        <v>166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1"/>
        <v>26</v>
      </c>
      <c r="L19" s="201">
        <f t="shared" si="1"/>
        <v>26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1"/>
        <v>13</v>
      </c>
      <c r="L20" s="201">
        <f t="shared" si="1"/>
        <v>13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321A-D01E-4A46-9013-CB28E864C7C6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46247</v>
      </c>
      <c r="G1" s="206">
        <v>46247</v>
      </c>
      <c r="H1" s="206">
        <v>46247</v>
      </c>
      <c r="I1" s="206">
        <v>46247</v>
      </c>
      <c r="J1" s="206">
        <v>46247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48" t="s">
        <v>7</v>
      </c>
      <c r="L3" s="348" t="s">
        <v>19</v>
      </c>
      <c r="M3" s="348" t="s">
        <v>20</v>
      </c>
      <c r="N3" s="34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9</v>
      </c>
      <c r="L5" s="205">
        <f t="shared" si="0"/>
        <v>9</v>
      </c>
      <c r="M5" s="205"/>
      <c r="N5" s="205"/>
      <c r="O5" s="222" t="s">
        <v>259</v>
      </c>
      <c r="P5" s="283" t="s">
        <v>263</v>
      </c>
      <c r="Q5" s="283"/>
      <c r="R5" s="216" t="s">
        <v>30</v>
      </c>
      <c r="S5" s="225"/>
    </row>
    <row r="6" spans="1:66" s="226" customFormat="1" x14ac:dyDescent="0.3">
      <c r="A6" s="249">
        <v>2</v>
      </c>
      <c r="B6" s="216" t="s">
        <v>235</v>
      </c>
      <c r="C6" s="331" t="s">
        <v>29</v>
      </c>
      <c r="D6" s="332" t="s">
        <v>28</v>
      </c>
      <c r="E6" s="333">
        <v>2023</v>
      </c>
      <c r="F6" s="334">
        <v>46224</v>
      </c>
      <c r="G6" s="334">
        <v>46224</v>
      </c>
      <c r="H6" s="296"/>
      <c r="I6" s="335"/>
      <c r="J6" s="336"/>
      <c r="K6" s="205">
        <f t="shared" si="0"/>
        <v>23</v>
      </c>
      <c r="L6" s="205">
        <f t="shared" si="0"/>
        <v>23</v>
      </c>
      <c r="M6" s="205"/>
      <c r="N6" s="205"/>
      <c r="O6" s="222" t="s">
        <v>242</v>
      </c>
      <c r="P6" s="260"/>
      <c r="Q6" s="283"/>
      <c r="R6" s="216" t="s">
        <v>26</v>
      </c>
      <c r="S6" s="225"/>
    </row>
    <row r="7" spans="1:66" s="226" customFormat="1" x14ac:dyDescent="0.3">
      <c r="A7" s="249">
        <v>3</v>
      </c>
      <c r="B7" s="216" t="s">
        <v>248</v>
      </c>
      <c r="C7" s="331" t="s">
        <v>29</v>
      </c>
      <c r="D7" s="332" t="s">
        <v>28</v>
      </c>
      <c r="E7" s="333">
        <v>2023</v>
      </c>
      <c r="F7" s="334">
        <v>46234</v>
      </c>
      <c r="G7" s="334">
        <v>46234</v>
      </c>
      <c r="H7" s="310"/>
      <c r="I7" s="335"/>
      <c r="J7" s="336"/>
      <c r="K7" s="205">
        <f t="shared" si="0"/>
        <v>13</v>
      </c>
      <c r="L7" s="205">
        <f t="shared" si="0"/>
        <v>13</v>
      </c>
      <c r="M7" s="205"/>
      <c r="N7" s="205"/>
      <c r="O7" s="222" t="s">
        <v>252</v>
      </c>
      <c r="P7" s="324" t="s">
        <v>51</v>
      </c>
      <c r="Q7" s="223"/>
      <c r="R7" s="216" t="s">
        <v>196</v>
      </c>
      <c r="S7" s="229"/>
    </row>
    <row r="8" spans="1:66" s="226" customFormat="1" x14ac:dyDescent="0.3">
      <c r="A8" s="249">
        <v>4</v>
      </c>
      <c r="B8" s="216" t="s">
        <v>256</v>
      </c>
      <c r="C8" s="331" t="s">
        <v>32</v>
      </c>
      <c r="D8" s="332" t="s">
        <v>28</v>
      </c>
      <c r="E8" s="333">
        <v>2020</v>
      </c>
      <c r="F8" s="334">
        <v>46237</v>
      </c>
      <c r="G8" s="334">
        <v>46237</v>
      </c>
      <c r="H8" s="312"/>
      <c r="I8" s="335"/>
      <c r="J8" s="336"/>
      <c r="K8" s="205">
        <f t="shared" si="0"/>
        <v>10</v>
      </c>
      <c r="L8" s="205">
        <f t="shared" si="0"/>
        <v>10</v>
      </c>
      <c r="M8" s="205"/>
      <c r="N8" s="205"/>
      <c r="O8" s="222" t="s">
        <v>257</v>
      </c>
      <c r="P8" s="306" t="s">
        <v>148</v>
      </c>
      <c r="Q8" s="308"/>
      <c r="R8" s="216" t="s">
        <v>240</v>
      </c>
      <c r="S8" s="239"/>
    </row>
    <row r="9" spans="1:66" s="226" customFormat="1" x14ac:dyDescent="0.3">
      <c r="A9" s="249">
        <v>5</v>
      </c>
      <c r="B9" s="216" t="s">
        <v>260</v>
      </c>
      <c r="C9" s="331" t="s">
        <v>32</v>
      </c>
      <c r="D9" s="332" t="s">
        <v>28</v>
      </c>
      <c r="E9" s="333">
        <v>2020</v>
      </c>
      <c r="F9" s="334">
        <v>46241</v>
      </c>
      <c r="G9" s="334">
        <v>46241</v>
      </c>
      <c r="H9" s="312"/>
      <c r="I9" s="335"/>
      <c r="J9" s="336"/>
      <c r="K9" s="205">
        <f t="shared" si="0"/>
        <v>6</v>
      </c>
      <c r="L9" s="205">
        <f t="shared" si="0"/>
        <v>6</v>
      </c>
      <c r="M9" s="205"/>
      <c r="N9" s="205"/>
      <c r="O9" s="222" t="s">
        <v>261</v>
      </c>
      <c r="P9" s="306" t="s">
        <v>153</v>
      </c>
      <c r="Q9" s="260"/>
      <c r="R9" s="283" t="s">
        <v>220</v>
      </c>
      <c r="S9" s="229"/>
    </row>
    <row r="10" spans="1:66" s="226" customFormat="1" ht="50.4" customHeight="1" x14ac:dyDescent="0.3">
      <c r="A10" s="215">
        <v>6</v>
      </c>
      <c r="B10" s="260" t="s">
        <v>65</v>
      </c>
      <c r="C10" s="217" t="s">
        <v>29</v>
      </c>
      <c r="D10" s="218" t="s">
        <v>28</v>
      </c>
      <c r="E10" s="219">
        <v>2023</v>
      </c>
      <c r="F10" s="206">
        <v>46187</v>
      </c>
      <c r="G10" s="206">
        <v>46187</v>
      </c>
      <c r="H10" s="220"/>
      <c r="I10" s="220"/>
      <c r="J10" s="221"/>
      <c r="K10" s="201">
        <f t="shared" si="0"/>
        <v>60</v>
      </c>
      <c r="L10" s="201">
        <f t="shared" si="0"/>
        <v>60</v>
      </c>
      <c r="M10" s="201"/>
      <c r="N10" s="201"/>
      <c r="O10" s="222" t="s">
        <v>230</v>
      </c>
      <c r="P10" s="224" t="s">
        <v>48</v>
      </c>
      <c r="Q10" s="222"/>
      <c r="R10" s="283" t="s">
        <v>200</v>
      </c>
      <c r="S10" s="229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1">$F$1-F18</f>
        <v>84</v>
      </c>
      <c r="L18" s="201">
        <f t="shared" si="1"/>
        <v>84</v>
      </c>
      <c r="M18" s="201"/>
      <c r="N18" s="201"/>
      <c r="O18" s="222" t="s">
        <v>166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1"/>
        <v>27</v>
      </c>
      <c r="L19" s="201">
        <f t="shared" si="1"/>
        <v>27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1"/>
        <v>14</v>
      </c>
      <c r="L20" s="201">
        <f t="shared" si="1"/>
        <v>14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5800-A1EA-47E1-88DE-0BBB20FD8DE0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46248</v>
      </c>
      <c r="G1" s="206">
        <v>46248</v>
      </c>
      <c r="H1" s="206">
        <v>46248</v>
      </c>
      <c r="I1" s="206">
        <v>46248</v>
      </c>
      <c r="J1" s="206">
        <v>46248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49" t="s">
        <v>7</v>
      </c>
      <c r="L3" s="349" t="s">
        <v>19</v>
      </c>
      <c r="M3" s="349" t="s">
        <v>20</v>
      </c>
      <c r="N3" s="34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10</v>
      </c>
      <c r="L5" s="205">
        <f t="shared" si="0"/>
        <v>10</v>
      </c>
      <c r="M5" s="205"/>
      <c r="N5" s="205"/>
      <c r="O5" s="222" t="s">
        <v>259</v>
      </c>
      <c r="P5" s="283" t="s">
        <v>263</v>
      </c>
      <c r="Q5" s="283"/>
      <c r="R5" s="21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334"/>
      <c r="G6" s="334"/>
      <c r="H6" s="296"/>
      <c r="I6" s="335"/>
      <c r="J6" s="336"/>
      <c r="K6" s="205"/>
      <c r="L6" s="205"/>
      <c r="M6" s="205"/>
      <c r="N6" s="205"/>
      <c r="O6" s="222"/>
      <c r="P6" s="260"/>
      <c r="Q6" s="283"/>
      <c r="R6" s="216" t="s">
        <v>26</v>
      </c>
      <c r="S6" s="225"/>
    </row>
    <row r="7" spans="1:66" s="226" customFormat="1" x14ac:dyDescent="0.3">
      <c r="A7" s="249">
        <v>2</v>
      </c>
      <c r="B7" s="216" t="s">
        <v>248</v>
      </c>
      <c r="C7" s="331" t="s">
        <v>29</v>
      </c>
      <c r="D7" s="332" t="s">
        <v>28</v>
      </c>
      <c r="E7" s="333">
        <v>2023</v>
      </c>
      <c r="F7" s="334">
        <v>46234</v>
      </c>
      <c r="G7" s="334">
        <v>46234</v>
      </c>
      <c r="H7" s="310"/>
      <c r="I7" s="335"/>
      <c r="J7" s="336"/>
      <c r="K7" s="205">
        <f t="shared" si="0"/>
        <v>14</v>
      </c>
      <c r="L7" s="205">
        <f t="shared" si="0"/>
        <v>14</v>
      </c>
      <c r="M7" s="205"/>
      <c r="N7" s="205"/>
      <c r="O7" s="222" t="s">
        <v>252</v>
      </c>
      <c r="P7" s="324" t="s">
        <v>51</v>
      </c>
      <c r="Q7" s="223"/>
      <c r="R7" s="216" t="s">
        <v>196</v>
      </c>
      <c r="S7" s="229"/>
    </row>
    <row r="8" spans="1:66" s="226" customFormat="1" x14ac:dyDescent="0.3">
      <c r="A8" s="249">
        <v>3</v>
      </c>
      <c r="B8" s="216" t="s">
        <v>256</v>
      </c>
      <c r="C8" s="331" t="s">
        <v>32</v>
      </c>
      <c r="D8" s="332" t="s">
        <v>28</v>
      </c>
      <c r="E8" s="333">
        <v>2020</v>
      </c>
      <c r="F8" s="334">
        <v>46237</v>
      </c>
      <c r="G8" s="334">
        <v>46237</v>
      </c>
      <c r="H8" s="312"/>
      <c r="I8" s="335"/>
      <c r="J8" s="336"/>
      <c r="K8" s="205">
        <f t="shared" si="0"/>
        <v>11</v>
      </c>
      <c r="L8" s="205">
        <f t="shared" si="0"/>
        <v>11</v>
      </c>
      <c r="M8" s="205"/>
      <c r="N8" s="205"/>
      <c r="O8" s="222" t="s">
        <v>257</v>
      </c>
      <c r="P8" s="306" t="s">
        <v>148</v>
      </c>
      <c r="Q8" s="308"/>
      <c r="R8" s="216" t="s">
        <v>240</v>
      </c>
      <c r="S8" s="239"/>
    </row>
    <row r="9" spans="1:66" s="226" customFormat="1" x14ac:dyDescent="0.3">
      <c r="A9" s="249">
        <v>4</v>
      </c>
      <c r="B9" s="216" t="s">
        <v>260</v>
      </c>
      <c r="C9" s="331" t="s">
        <v>32</v>
      </c>
      <c r="D9" s="332" t="s">
        <v>28</v>
      </c>
      <c r="E9" s="333">
        <v>2020</v>
      </c>
      <c r="F9" s="334">
        <v>46241</v>
      </c>
      <c r="G9" s="334">
        <v>46241</v>
      </c>
      <c r="H9" s="312"/>
      <c r="I9" s="335"/>
      <c r="J9" s="336"/>
      <c r="K9" s="205">
        <f t="shared" si="0"/>
        <v>7</v>
      </c>
      <c r="L9" s="205">
        <f t="shared" si="0"/>
        <v>7</v>
      </c>
      <c r="M9" s="205"/>
      <c r="N9" s="205"/>
      <c r="O9" s="222" t="s">
        <v>261</v>
      </c>
      <c r="P9" s="306" t="s">
        <v>153</v>
      </c>
      <c r="Q9" s="260"/>
      <c r="R9" s="283" t="s">
        <v>220</v>
      </c>
      <c r="S9" s="229"/>
    </row>
    <row r="10" spans="1:66" s="226" customFormat="1" ht="50.4" customHeight="1" x14ac:dyDescent="0.3">
      <c r="A10" s="215">
        <v>5</v>
      </c>
      <c r="B10" s="260" t="s">
        <v>65</v>
      </c>
      <c r="C10" s="217" t="s">
        <v>29</v>
      </c>
      <c r="D10" s="218" t="s">
        <v>28</v>
      </c>
      <c r="E10" s="219">
        <v>2023</v>
      </c>
      <c r="F10" s="206">
        <v>46187</v>
      </c>
      <c r="G10" s="206">
        <v>46187</v>
      </c>
      <c r="H10" s="220"/>
      <c r="I10" s="220"/>
      <c r="J10" s="221"/>
      <c r="K10" s="201">
        <f t="shared" si="0"/>
        <v>61</v>
      </c>
      <c r="L10" s="201">
        <f t="shared" si="0"/>
        <v>61</v>
      </c>
      <c r="M10" s="201"/>
      <c r="N10" s="201"/>
      <c r="O10" s="222" t="s">
        <v>230</v>
      </c>
      <c r="P10" s="224" t="s">
        <v>48</v>
      </c>
      <c r="Q10" s="222"/>
      <c r="R10" s="283" t="s">
        <v>200</v>
      </c>
      <c r="S10" s="229"/>
    </row>
    <row r="11" spans="1:66" s="226" customFormat="1" x14ac:dyDescent="0.3">
      <c r="A11" s="215"/>
      <c r="B11" s="260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24"/>
      <c r="Q11" s="222"/>
      <c r="R11" s="223" t="s">
        <v>235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83" t="s">
        <v>44</v>
      </c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24"/>
      <c r="C16" s="240"/>
      <c r="D16" s="241"/>
      <c r="E16" s="219"/>
      <c r="F16" s="206"/>
      <c r="G16" s="206"/>
      <c r="H16" s="220"/>
      <c r="I16" s="220"/>
      <c r="J16" s="221"/>
      <c r="K16" s="201"/>
      <c r="L16" s="201"/>
      <c r="M16" s="201"/>
      <c r="N16" s="201"/>
      <c r="O16" s="222"/>
      <c r="P16" s="250"/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85</v>
      </c>
      <c r="L20" s="201">
        <f t="shared" si="1"/>
        <v>85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28</v>
      </c>
      <c r="L21" s="201">
        <f t="shared" si="1"/>
        <v>28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15</v>
      </c>
      <c r="L22" s="201">
        <f t="shared" si="1"/>
        <v>15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256B-A1FE-4461-BEF0-FD4AB5B5B651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46249</v>
      </c>
      <c r="G1" s="206">
        <v>46249</v>
      </c>
      <c r="H1" s="206">
        <v>46249</v>
      </c>
      <c r="I1" s="206">
        <v>46249</v>
      </c>
      <c r="J1" s="206">
        <v>46249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0" t="s">
        <v>7</v>
      </c>
      <c r="L3" s="350" t="s">
        <v>19</v>
      </c>
      <c r="M3" s="350" t="s">
        <v>20</v>
      </c>
      <c r="N3" s="35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10" si="0">$F$1-F5</f>
        <v>11</v>
      </c>
      <c r="L5" s="205">
        <f t="shared" si="0"/>
        <v>11</v>
      </c>
      <c r="M5" s="205"/>
      <c r="N5" s="205"/>
      <c r="O5" s="222" t="s">
        <v>259</v>
      </c>
      <c r="P5" s="283" t="s">
        <v>263</v>
      </c>
      <c r="Q5" s="283" t="s">
        <v>200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248</v>
      </c>
      <c r="C6" s="331" t="s">
        <v>29</v>
      </c>
      <c r="D6" s="332" t="s">
        <v>28</v>
      </c>
      <c r="E6" s="333">
        <v>2023</v>
      </c>
      <c r="F6" s="334">
        <v>46234</v>
      </c>
      <c r="G6" s="334">
        <v>46234</v>
      </c>
      <c r="H6" s="312"/>
      <c r="I6" s="335"/>
      <c r="J6" s="336"/>
      <c r="K6" s="205">
        <f t="shared" si="0"/>
        <v>15</v>
      </c>
      <c r="L6" s="205">
        <f t="shared" si="0"/>
        <v>15</v>
      </c>
      <c r="M6" s="205"/>
      <c r="N6" s="205"/>
      <c r="O6" s="222" t="s">
        <v>252</v>
      </c>
      <c r="P6" s="324" t="s">
        <v>51</v>
      </c>
      <c r="Q6" s="283"/>
      <c r="R6" s="216" t="s">
        <v>26</v>
      </c>
      <c r="S6" s="225"/>
    </row>
    <row r="7" spans="1:66" s="226" customFormat="1" x14ac:dyDescent="0.3">
      <c r="A7" s="249">
        <v>3</v>
      </c>
      <c r="B7" s="216" t="s">
        <v>256</v>
      </c>
      <c r="C7" s="331" t="s">
        <v>32</v>
      </c>
      <c r="D7" s="332" t="s">
        <v>28</v>
      </c>
      <c r="E7" s="333">
        <v>2020</v>
      </c>
      <c r="F7" s="334">
        <v>46237</v>
      </c>
      <c r="G7" s="334">
        <v>46237</v>
      </c>
      <c r="H7" s="310"/>
      <c r="I7" s="335"/>
      <c r="J7" s="336"/>
      <c r="K7" s="205">
        <f t="shared" si="0"/>
        <v>12</v>
      </c>
      <c r="L7" s="205">
        <f t="shared" si="0"/>
        <v>12</v>
      </c>
      <c r="M7" s="205"/>
      <c r="N7" s="205"/>
      <c r="O7" s="222" t="s">
        <v>257</v>
      </c>
      <c r="P7" s="306" t="s">
        <v>148</v>
      </c>
      <c r="Q7" s="223"/>
      <c r="R7" s="216" t="s">
        <v>196</v>
      </c>
      <c r="S7" s="229"/>
    </row>
    <row r="8" spans="1:66" s="226" customFormat="1" x14ac:dyDescent="0.3">
      <c r="A8" s="249">
        <v>4</v>
      </c>
      <c r="B8" s="216" t="s">
        <v>260</v>
      </c>
      <c r="C8" s="331" t="s">
        <v>32</v>
      </c>
      <c r="D8" s="332" t="s">
        <v>28</v>
      </c>
      <c r="E8" s="333">
        <v>2020</v>
      </c>
      <c r="F8" s="334">
        <v>46241</v>
      </c>
      <c r="G8" s="334">
        <v>46241</v>
      </c>
      <c r="H8" s="312"/>
      <c r="I8" s="335"/>
      <c r="J8" s="336"/>
      <c r="K8" s="205">
        <f t="shared" si="0"/>
        <v>8</v>
      </c>
      <c r="L8" s="205">
        <f t="shared" si="0"/>
        <v>8</v>
      </c>
      <c r="M8" s="205"/>
      <c r="N8" s="205"/>
      <c r="O8" s="238" t="s">
        <v>89</v>
      </c>
      <c r="P8" s="306" t="s">
        <v>153</v>
      </c>
      <c r="Q8" s="308"/>
      <c r="R8" s="283" t="s">
        <v>220</v>
      </c>
      <c r="S8" s="239"/>
    </row>
    <row r="9" spans="1:66" s="226" customFormat="1" ht="41.4" x14ac:dyDescent="0.3">
      <c r="A9" s="215">
        <v>5</v>
      </c>
      <c r="B9" s="260" t="s">
        <v>65</v>
      </c>
      <c r="C9" s="217" t="s">
        <v>29</v>
      </c>
      <c r="D9" s="218" t="s">
        <v>28</v>
      </c>
      <c r="E9" s="219">
        <v>2023</v>
      </c>
      <c r="F9" s="206">
        <v>46187</v>
      </c>
      <c r="G9" s="206">
        <v>46187</v>
      </c>
      <c r="H9" s="220"/>
      <c r="I9" s="220"/>
      <c r="J9" s="221"/>
      <c r="K9" s="201">
        <f t="shared" si="0"/>
        <v>62</v>
      </c>
      <c r="L9" s="201">
        <f t="shared" si="0"/>
        <v>62</v>
      </c>
      <c r="M9" s="201"/>
      <c r="N9" s="201"/>
      <c r="O9" s="222" t="s">
        <v>230</v>
      </c>
      <c r="P9" s="224" t="s">
        <v>48</v>
      </c>
      <c r="Q9" s="260"/>
      <c r="R9" s="283" t="s">
        <v>44</v>
      </c>
      <c r="S9" s="229"/>
    </row>
    <row r="10" spans="1:66" s="226" customFormat="1" x14ac:dyDescent="0.3">
      <c r="A10" s="344">
        <v>6</v>
      </c>
      <c r="B10" s="223" t="s">
        <v>192</v>
      </c>
      <c r="C10" s="231" t="s">
        <v>29</v>
      </c>
      <c r="D10" s="232" t="s">
        <v>28</v>
      </c>
      <c r="E10" s="233">
        <v>2023</v>
      </c>
      <c r="F10" s="234">
        <v>46249</v>
      </c>
      <c r="G10" s="234">
        <v>46249</v>
      </c>
      <c r="H10" s="235"/>
      <c r="I10" s="235"/>
      <c r="J10" s="236"/>
      <c r="K10" s="237">
        <f t="shared" si="0"/>
        <v>0</v>
      </c>
      <c r="L10" s="237">
        <f t="shared" si="0"/>
        <v>0</v>
      </c>
      <c r="M10" s="343"/>
      <c r="N10" s="343"/>
      <c r="O10" s="238" t="s">
        <v>266</v>
      </c>
      <c r="P10" s="283" t="s">
        <v>200</v>
      </c>
      <c r="Q10" s="222"/>
      <c r="R10" s="223" t="s">
        <v>235</v>
      </c>
      <c r="S10" s="229"/>
    </row>
    <row r="11" spans="1:66" s="226" customFormat="1" x14ac:dyDescent="0.3">
      <c r="A11" s="215"/>
      <c r="B11" s="260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24"/>
      <c r="Q11" s="222"/>
      <c r="R11" s="216" t="s">
        <v>240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83"/>
      <c r="S12" s="229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24"/>
      <c r="C14" s="240"/>
      <c r="D14" s="241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50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24"/>
      <c r="C16" s="240"/>
      <c r="D16" s="241"/>
      <c r="E16" s="219"/>
      <c r="F16" s="206"/>
      <c r="G16" s="206"/>
      <c r="H16" s="220"/>
      <c r="I16" s="220"/>
      <c r="J16" s="221"/>
      <c r="K16" s="201"/>
      <c r="L16" s="201"/>
      <c r="M16" s="201"/>
      <c r="N16" s="201"/>
      <c r="O16" s="222"/>
      <c r="P16" s="250"/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86</v>
      </c>
      <c r="L20" s="201">
        <f t="shared" si="1"/>
        <v>86</v>
      </c>
      <c r="M20" s="201"/>
      <c r="N20" s="201"/>
      <c r="O20" s="222" t="s">
        <v>166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29</v>
      </c>
      <c r="L21" s="201">
        <f t="shared" si="1"/>
        <v>29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16</v>
      </c>
      <c r="L22" s="201">
        <f t="shared" si="1"/>
        <v>16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sortState xmlns:xlrd2="http://schemas.microsoft.com/office/spreadsheetml/2017/richdata2" ref="R5:R12">
    <sortCondition ref="R5:R12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BD9F-2905-4F8B-A50C-F39A08208AFC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46250</v>
      </c>
      <c r="G1" s="206">
        <v>46250</v>
      </c>
      <c r="H1" s="206">
        <v>46250</v>
      </c>
      <c r="I1" s="206">
        <v>46250</v>
      </c>
      <c r="J1" s="206">
        <v>46250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1" t="s">
        <v>7</v>
      </c>
      <c r="L3" s="351" t="s">
        <v>19</v>
      </c>
      <c r="M3" s="351" t="s">
        <v>20</v>
      </c>
      <c r="N3" s="35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9" si="0">$F$1-F5</f>
        <v>12</v>
      </c>
      <c r="L5" s="205">
        <f t="shared" si="0"/>
        <v>12</v>
      </c>
      <c r="M5" s="205"/>
      <c r="N5" s="205"/>
      <c r="O5" s="222" t="s">
        <v>259</v>
      </c>
      <c r="P5" s="283" t="s">
        <v>263</v>
      </c>
      <c r="Q5" s="223" t="s">
        <v>260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248</v>
      </c>
      <c r="C6" s="331" t="s">
        <v>29</v>
      </c>
      <c r="D6" s="332" t="s">
        <v>28</v>
      </c>
      <c r="E6" s="333">
        <v>2023</v>
      </c>
      <c r="F6" s="334">
        <v>46234</v>
      </c>
      <c r="G6" s="334">
        <v>46234</v>
      </c>
      <c r="H6" s="312"/>
      <c r="I6" s="335"/>
      <c r="J6" s="336"/>
      <c r="K6" s="205">
        <f t="shared" si="0"/>
        <v>16</v>
      </c>
      <c r="L6" s="205">
        <f t="shared" si="0"/>
        <v>16</v>
      </c>
      <c r="M6" s="205"/>
      <c r="N6" s="205"/>
      <c r="O6" s="222" t="s">
        <v>252</v>
      </c>
      <c r="P6" s="324" t="s">
        <v>51</v>
      </c>
      <c r="Q6" s="223" t="s">
        <v>235</v>
      </c>
      <c r="R6" s="216" t="s">
        <v>26</v>
      </c>
      <c r="S6" s="225"/>
    </row>
    <row r="7" spans="1:66" s="226" customFormat="1" x14ac:dyDescent="0.3">
      <c r="A7" s="249">
        <v>3</v>
      </c>
      <c r="B7" s="216" t="s">
        <v>256</v>
      </c>
      <c r="C7" s="331" t="s">
        <v>32</v>
      </c>
      <c r="D7" s="332" t="s">
        <v>28</v>
      </c>
      <c r="E7" s="333">
        <v>2020</v>
      </c>
      <c r="F7" s="334">
        <v>46237</v>
      </c>
      <c r="G7" s="334">
        <v>46237</v>
      </c>
      <c r="H7" s="310"/>
      <c r="I7" s="335"/>
      <c r="J7" s="336"/>
      <c r="K7" s="205">
        <f t="shared" si="0"/>
        <v>13</v>
      </c>
      <c r="L7" s="205">
        <f t="shared" si="0"/>
        <v>13</v>
      </c>
      <c r="M7" s="205"/>
      <c r="N7" s="205"/>
      <c r="O7" s="222" t="s">
        <v>257</v>
      </c>
      <c r="P7" s="306" t="s">
        <v>148</v>
      </c>
      <c r="Q7" s="223"/>
      <c r="R7" s="216" t="s">
        <v>196</v>
      </c>
      <c r="S7" s="229"/>
    </row>
    <row r="8" spans="1:66" s="226" customFormat="1" ht="41.4" x14ac:dyDescent="0.3">
      <c r="A8" s="215">
        <v>4</v>
      </c>
      <c r="B8" s="260" t="s">
        <v>65</v>
      </c>
      <c r="C8" s="217" t="s">
        <v>29</v>
      </c>
      <c r="D8" s="218" t="s">
        <v>28</v>
      </c>
      <c r="E8" s="219">
        <v>2023</v>
      </c>
      <c r="F8" s="206">
        <v>46187</v>
      </c>
      <c r="G8" s="206">
        <v>46187</v>
      </c>
      <c r="H8" s="220"/>
      <c r="I8" s="220"/>
      <c r="J8" s="221"/>
      <c r="K8" s="201">
        <f t="shared" si="0"/>
        <v>63</v>
      </c>
      <c r="L8" s="201">
        <f t="shared" si="0"/>
        <v>63</v>
      </c>
      <c r="M8" s="201"/>
      <c r="N8" s="201"/>
      <c r="O8" s="222" t="s">
        <v>230</v>
      </c>
      <c r="P8" s="224" t="s">
        <v>48</v>
      </c>
      <c r="Q8" s="308"/>
      <c r="R8" s="283" t="s">
        <v>220</v>
      </c>
      <c r="S8" s="239"/>
    </row>
    <row r="9" spans="1:66" s="226" customFormat="1" x14ac:dyDescent="0.3">
      <c r="A9" s="344">
        <v>5</v>
      </c>
      <c r="B9" s="223" t="s">
        <v>192</v>
      </c>
      <c r="C9" s="231" t="s">
        <v>29</v>
      </c>
      <c r="D9" s="232" t="s">
        <v>28</v>
      </c>
      <c r="E9" s="233">
        <v>2023</v>
      </c>
      <c r="F9" s="234">
        <v>46249</v>
      </c>
      <c r="G9" s="234">
        <v>46249</v>
      </c>
      <c r="H9" s="235"/>
      <c r="I9" s="235"/>
      <c r="J9" s="236"/>
      <c r="K9" s="237">
        <f t="shared" si="0"/>
        <v>1</v>
      </c>
      <c r="L9" s="237">
        <f t="shared" si="0"/>
        <v>1</v>
      </c>
      <c r="M9" s="343"/>
      <c r="N9" s="343"/>
      <c r="O9" s="238" t="s">
        <v>266</v>
      </c>
      <c r="P9" s="283" t="s">
        <v>235</v>
      </c>
      <c r="Q9" s="260"/>
      <c r="R9" s="283" t="s">
        <v>44</v>
      </c>
      <c r="S9" s="229"/>
    </row>
    <row r="10" spans="1:66" s="226" customFormat="1" x14ac:dyDescent="0.3">
      <c r="A10" s="249"/>
      <c r="B10" s="216"/>
      <c r="C10" s="331"/>
      <c r="D10" s="332"/>
      <c r="E10" s="333"/>
      <c r="F10" s="334"/>
      <c r="G10" s="334"/>
      <c r="H10" s="312"/>
      <c r="I10" s="335"/>
      <c r="J10" s="336"/>
      <c r="K10" s="205"/>
      <c r="L10" s="205"/>
      <c r="M10" s="205"/>
      <c r="N10" s="205"/>
      <c r="O10" s="238"/>
      <c r="P10" s="306"/>
      <c r="Q10" s="222"/>
      <c r="R10" s="283" t="s">
        <v>200</v>
      </c>
      <c r="S10" s="229"/>
    </row>
    <row r="11" spans="1:66" s="226" customFormat="1" x14ac:dyDescent="0.3">
      <c r="A11" s="215"/>
      <c r="B11" s="260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24"/>
      <c r="Q11" s="222"/>
      <c r="R11" s="216" t="s">
        <v>240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308" t="s">
        <v>153</v>
      </c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308" t="s">
        <v>219</v>
      </c>
      <c r="S13" s="229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24"/>
      <c r="C15" s="240"/>
      <c r="D15" s="241"/>
      <c r="E15" s="219"/>
      <c r="F15" s="206"/>
      <c r="G15" s="206"/>
      <c r="H15" s="220"/>
      <c r="I15" s="220"/>
      <c r="J15" s="221"/>
      <c r="K15" s="201"/>
      <c r="L15" s="201"/>
      <c r="M15" s="201"/>
      <c r="N15" s="201"/>
      <c r="O15" s="222"/>
      <c r="P15" s="250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27"/>
      <c r="C19" s="240"/>
      <c r="D19" s="241"/>
      <c r="E19" s="219"/>
      <c r="F19" s="206"/>
      <c r="G19" s="206"/>
      <c r="H19" s="305"/>
      <c r="I19" s="220"/>
      <c r="J19" s="221"/>
      <c r="K19" s="201"/>
      <c r="L19" s="201"/>
      <c r="M19" s="201"/>
      <c r="N19" s="201"/>
      <c r="O19" s="222"/>
      <c r="P19" s="260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1">$F$1-F21</f>
        <v>87</v>
      </c>
      <c r="L21" s="201">
        <f t="shared" si="1"/>
        <v>87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1"/>
        <v>30</v>
      </c>
      <c r="L22" s="201">
        <f t="shared" si="1"/>
        <v>30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1"/>
        <v>17</v>
      </c>
      <c r="L23" s="201">
        <f t="shared" si="1"/>
        <v>17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sortState xmlns:xlrd2="http://schemas.microsoft.com/office/spreadsheetml/2017/richdata2" ref="A5:P10">
    <sortCondition ref="A5:A10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3799-EDDE-4C3F-B2BB-F8B74AC7D65D}">
  <dimension ref="A1:BN25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46251</v>
      </c>
      <c r="G1" s="206">
        <v>46251</v>
      </c>
      <c r="H1" s="206">
        <v>46251</v>
      </c>
      <c r="I1" s="206">
        <v>46251</v>
      </c>
      <c r="J1" s="206">
        <v>46251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2" t="s">
        <v>7</v>
      </c>
      <c r="L3" s="352" t="s">
        <v>19</v>
      </c>
      <c r="M3" s="352" t="s">
        <v>20</v>
      </c>
      <c r="N3" s="35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9" si="0">$F$1-F5</f>
        <v>13</v>
      </c>
      <c r="L5" s="205">
        <f t="shared" si="0"/>
        <v>13</v>
      </c>
      <c r="M5" s="205"/>
      <c r="N5" s="205"/>
      <c r="O5" s="222" t="s">
        <v>259</v>
      </c>
      <c r="P5" s="239" t="s">
        <v>263</v>
      </c>
      <c r="Q5" s="216"/>
      <c r="R5" s="216" t="s">
        <v>30</v>
      </c>
      <c r="S5" s="225"/>
    </row>
    <row r="6" spans="1:66" s="226" customFormat="1" x14ac:dyDescent="0.3">
      <c r="A6" s="249">
        <v>2</v>
      </c>
      <c r="B6" s="216" t="s">
        <v>248</v>
      </c>
      <c r="C6" s="331" t="s">
        <v>29</v>
      </c>
      <c r="D6" s="332" t="s">
        <v>28</v>
      </c>
      <c r="E6" s="333">
        <v>2023</v>
      </c>
      <c r="F6" s="334">
        <v>46234</v>
      </c>
      <c r="G6" s="334">
        <v>46234</v>
      </c>
      <c r="H6" s="312"/>
      <c r="I6" s="335"/>
      <c r="J6" s="336"/>
      <c r="K6" s="205">
        <f t="shared" si="0"/>
        <v>17</v>
      </c>
      <c r="L6" s="205">
        <f t="shared" si="0"/>
        <v>17</v>
      </c>
      <c r="M6" s="205"/>
      <c r="N6" s="205"/>
      <c r="O6" s="222" t="s">
        <v>252</v>
      </c>
      <c r="P6" s="324" t="s">
        <v>51</v>
      </c>
      <c r="Q6" s="216"/>
      <c r="R6" s="216" t="s">
        <v>26</v>
      </c>
      <c r="S6" s="225"/>
    </row>
    <row r="7" spans="1:66" s="226" customFormat="1" x14ac:dyDescent="0.3">
      <c r="A7" s="249">
        <v>3</v>
      </c>
      <c r="B7" s="216" t="s">
        <v>256</v>
      </c>
      <c r="C7" s="331" t="s">
        <v>32</v>
      </c>
      <c r="D7" s="332" t="s">
        <v>28</v>
      </c>
      <c r="E7" s="333">
        <v>2020</v>
      </c>
      <c r="F7" s="334">
        <v>46237</v>
      </c>
      <c r="G7" s="334">
        <v>46237</v>
      </c>
      <c r="H7" s="310"/>
      <c r="I7" s="335"/>
      <c r="J7" s="336"/>
      <c r="K7" s="205">
        <f t="shared" si="0"/>
        <v>14</v>
      </c>
      <c r="L7" s="205">
        <f t="shared" si="0"/>
        <v>14</v>
      </c>
      <c r="M7" s="205"/>
      <c r="N7" s="205"/>
      <c r="O7" s="222" t="s">
        <v>257</v>
      </c>
      <c r="P7" s="306" t="s">
        <v>148</v>
      </c>
      <c r="Q7" s="216"/>
      <c r="R7" s="216" t="s">
        <v>196</v>
      </c>
      <c r="S7" s="229"/>
    </row>
    <row r="8" spans="1:66" s="226" customFormat="1" x14ac:dyDescent="0.3">
      <c r="A8" s="215"/>
      <c r="B8" s="260"/>
      <c r="C8" s="217"/>
      <c r="D8" s="218"/>
      <c r="E8" s="219"/>
      <c r="F8" s="206"/>
      <c r="G8" s="206"/>
      <c r="H8" s="220"/>
      <c r="I8" s="220"/>
      <c r="J8" s="221"/>
      <c r="K8" s="201"/>
      <c r="L8" s="201"/>
      <c r="M8" s="201"/>
      <c r="N8" s="201"/>
      <c r="O8" s="222"/>
      <c r="P8" s="224" t="s">
        <v>48</v>
      </c>
      <c r="Q8" s="306"/>
      <c r="R8" s="239" t="s">
        <v>220</v>
      </c>
      <c r="S8" s="239"/>
    </row>
    <row r="9" spans="1:66" s="226" customFormat="1" x14ac:dyDescent="0.3">
      <c r="A9" s="344">
        <v>5</v>
      </c>
      <c r="B9" s="223" t="s">
        <v>192</v>
      </c>
      <c r="C9" s="231" t="s">
        <v>29</v>
      </c>
      <c r="D9" s="232" t="s">
        <v>28</v>
      </c>
      <c r="E9" s="233">
        <v>2023</v>
      </c>
      <c r="F9" s="234">
        <v>46249</v>
      </c>
      <c r="G9" s="234">
        <v>46249</v>
      </c>
      <c r="H9" s="235"/>
      <c r="I9" s="235"/>
      <c r="J9" s="236"/>
      <c r="K9" s="237">
        <f t="shared" si="0"/>
        <v>2</v>
      </c>
      <c r="L9" s="237">
        <f t="shared" si="0"/>
        <v>2</v>
      </c>
      <c r="M9" s="343"/>
      <c r="N9" s="343"/>
      <c r="O9" s="238" t="s">
        <v>266</v>
      </c>
      <c r="P9" s="283" t="s">
        <v>235</v>
      </c>
      <c r="Q9" s="260"/>
      <c r="R9" s="239" t="s">
        <v>44</v>
      </c>
      <c r="S9" s="229"/>
    </row>
    <row r="10" spans="1:66" s="226" customFormat="1" x14ac:dyDescent="0.3">
      <c r="A10" s="249"/>
      <c r="B10" s="216"/>
      <c r="C10" s="331"/>
      <c r="D10" s="332"/>
      <c r="E10" s="333"/>
      <c r="F10" s="334"/>
      <c r="G10" s="334"/>
      <c r="H10" s="312"/>
      <c r="I10" s="335"/>
      <c r="J10" s="336"/>
      <c r="K10" s="205"/>
      <c r="L10" s="205"/>
      <c r="M10" s="205"/>
      <c r="N10" s="205"/>
      <c r="O10" s="222"/>
      <c r="P10" s="306"/>
      <c r="Q10" s="222"/>
      <c r="R10" s="239" t="s">
        <v>200</v>
      </c>
      <c r="S10" s="229"/>
    </row>
    <row r="11" spans="1:66" s="226" customFormat="1" x14ac:dyDescent="0.3">
      <c r="A11" s="215"/>
      <c r="B11" s="260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24"/>
      <c r="Q11" s="222"/>
      <c r="R11" s="216" t="s">
        <v>240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306" t="s">
        <v>153</v>
      </c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306" t="s">
        <v>219</v>
      </c>
      <c r="S13" s="229"/>
    </row>
    <row r="14" spans="1:66" s="260" customFormat="1" x14ac:dyDescent="0.3">
      <c r="R14" s="354" t="s">
        <v>65</v>
      </c>
    </row>
    <row r="15" spans="1:66" s="226" customFormat="1" ht="13.95" customHeight="1" x14ac:dyDescent="0.3">
      <c r="A15" s="242"/>
      <c r="B15" s="243"/>
      <c r="C15" s="244"/>
      <c r="D15" s="245"/>
      <c r="E15" s="246"/>
      <c r="F15" s="247"/>
      <c r="G15" s="247"/>
      <c r="H15" s="247"/>
      <c r="I15" s="247"/>
      <c r="J15" s="247"/>
      <c r="K15" s="246"/>
      <c r="L15" s="247"/>
      <c r="M15" s="247"/>
      <c r="N15" s="247"/>
      <c r="O15" s="248" t="s">
        <v>22</v>
      </c>
      <c r="P15" s="244"/>
      <c r="Q15" s="244"/>
      <c r="R15" s="245"/>
      <c r="S15" s="248"/>
    </row>
    <row r="16" spans="1:66" s="226" customFormat="1" ht="13.95" customHeight="1" x14ac:dyDescent="0.3">
      <c r="A16" s="249"/>
      <c r="B16" s="224"/>
      <c r="C16" s="240"/>
      <c r="D16" s="241"/>
      <c r="E16" s="219"/>
      <c r="F16" s="206"/>
      <c r="G16" s="206"/>
      <c r="H16" s="220"/>
      <c r="I16" s="220"/>
      <c r="J16" s="221"/>
      <c r="K16" s="201"/>
      <c r="L16" s="201"/>
      <c r="M16" s="201"/>
      <c r="N16" s="201"/>
      <c r="O16" s="222"/>
      <c r="P16" s="250"/>
      <c r="Q16" s="251"/>
      <c r="R16" s="252"/>
      <c r="S16" s="253"/>
    </row>
    <row r="17" spans="1:66" s="259" customFormat="1" ht="13.95" customHeight="1" x14ac:dyDescent="0.3">
      <c r="A17" s="254"/>
      <c r="B17" s="255"/>
      <c r="C17" s="244"/>
      <c r="D17" s="245" t="s">
        <v>0</v>
      </c>
      <c r="E17" s="246"/>
      <c r="F17" s="256"/>
      <c r="G17" s="256"/>
      <c r="H17" s="256"/>
      <c r="I17" s="256"/>
      <c r="J17" s="256"/>
      <c r="K17" s="246"/>
      <c r="L17" s="256"/>
      <c r="M17" s="256"/>
      <c r="N17" s="256"/>
      <c r="O17" s="257" t="s">
        <v>23</v>
      </c>
      <c r="P17" s="245"/>
      <c r="Q17" s="245"/>
      <c r="R17" s="258"/>
      <c r="S17" s="25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24"/>
      <c r="C18" s="240"/>
      <c r="D18" s="241"/>
      <c r="E18" s="219"/>
      <c r="F18" s="206"/>
      <c r="G18" s="206"/>
      <c r="H18" s="220"/>
      <c r="I18" s="220"/>
      <c r="J18" s="221"/>
      <c r="K18" s="201"/>
      <c r="L18" s="201"/>
      <c r="M18" s="201"/>
      <c r="N18" s="201"/>
      <c r="O18" s="222"/>
      <c r="P18" s="250"/>
      <c r="Q18" s="251"/>
      <c r="R18" s="252"/>
      <c r="S18" s="253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37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13.95" customHeight="1" x14ac:dyDescent="0.3">
      <c r="A20" s="205"/>
      <c r="B20" s="227"/>
      <c r="C20" s="240"/>
      <c r="D20" s="241"/>
      <c r="E20" s="219"/>
      <c r="F20" s="206"/>
      <c r="G20" s="206"/>
      <c r="H20" s="305"/>
      <c r="I20" s="220"/>
      <c r="J20" s="221"/>
      <c r="K20" s="201"/>
      <c r="L20" s="201"/>
      <c r="M20" s="201"/>
      <c r="N20" s="201"/>
      <c r="O20" s="222"/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 t="s">
        <v>38</v>
      </c>
      <c r="P21" s="268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  <row r="22" spans="1:66" s="226" customFormat="1" ht="27" customHeight="1" x14ac:dyDescent="0.3">
      <c r="A22" s="205">
        <v>1</v>
      </c>
      <c r="B22" s="216" t="s">
        <v>116</v>
      </c>
      <c r="C22" s="240" t="s">
        <v>32</v>
      </c>
      <c r="D22" s="241" t="s">
        <v>28</v>
      </c>
      <c r="E22" s="219">
        <v>2010</v>
      </c>
      <c r="F22" s="206">
        <v>46163</v>
      </c>
      <c r="G22" s="206">
        <v>46163</v>
      </c>
      <c r="H22" s="220"/>
      <c r="I22" s="220"/>
      <c r="J22" s="221"/>
      <c r="K22" s="201">
        <f t="shared" ref="K22:L24" si="1">$F$1-F22</f>
        <v>88</v>
      </c>
      <c r="L22" s="201">
        <f t="shared" si="1"/>
        <v>88</v>
      </c>
      <c r="M22" s="201"/>
      <c r="N22" s="201"/>
      <c r="O22" s="222" t="s">
        <v>267</v>
      </c>
      <c r="Q22" s="275"/>
      <c r="R22" s="239"/>
      <c r="S22" s="276"/>
    </row>
    <row r="23" spans="1:66" s="226" customFormat="1" ht="27" customHeight="1" x14ac:dyDescent="0.3">
      <c r="A23" s="215">
        <v>2</v>
      </c>
      <c r="B23" s="239" t="s">
        <v>10</v>
      </c>
      <c r="C23" s="217" t="s">
        <v>32</v>
      </c>
      <c r="D23" s="218" t="s">
        <v>28</v>
      </c>
      <c r="E23" s="219">
        <v>2010</v>
      </c>
      <c r="F23" s="206">
        <v>46220</v>
      </c>
      <c r="G23" s="206">
        <v>46220</v>
      </c>
      <c r="H23" s="220"/>
      <c r="I23" s="220"/>
      <c r="J23" s="221"/>
      <c r="K23" s="201">
        <f t="shared" si="1"/>
        <v>31</v>
      </c>
      <c r="L23" s="201">
        <f t="shared" si="1"/>
        <v>31</v>
      </c>
      <c r="M23" s="201"/>
      <c r="N23" s="201"/>
      <c r="O23" s="222" t="s">
        <v>225</v>
      </c>
      <c r="P23" s="227"/>
      <c r="Q23" s="275"/>
      <c r="R23" s="239"/>
      <c r="S23" s="276"/>
    </row>
    <row r="24" spans="1:66" s="226" customFormat="1" ht="13.95" customHeight="1" x14ac:dyDescent="0.3">
      <c r="A24" s="205">
        <v>3</v>
      </c>
      <c r="B24" s="227" t="s">
        <v>9</v>
      </c>
      <c r="C24" s="240" t="s">
        <v>32</v>
      </c>
      <c r="D24" s="241" t="s">
        <v>28</v>
      </c>
      <c r="E24" s="219">
        <v>2010</v>
      </c>
      <c r="F24" s="206">
        <v>46233</v>
      </c>
      <c r="G24" s="206">
        <v>46233</v>
      </c>
      <c r="H24" s="305"/>
      <c r="I24" s="220"/>
      <c r="J24" s="221"/>
      <c r="K24" s="201">
        <f t="shared" si="1"/>
        <v>18</v>
      </c>
      <c r="L24" s="201">
        <f t="shared" si="1"/>
        <v>18</v>
      </c>
      <c r="M24" s="201"/>
      <c r="N24" s="201"/>
      <c r="O24" s="222" t="s">
        <v>244</v>
      </c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/>
      <c r="P25" s="267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4E4E-CA08-4AA2-93CC-9246396EF674}">
  <dimension ref="A1:BN25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1093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46252</v>
      </c>
      <c r="G1" s="206">
        <v>46252</v>
      </c>
      <c r="H1" s="206">
        <v>46252</v>
      </c>
      <c r="I1" s="206">
        <v>46252</v>
      </c>
      <c r="J1" s="206">
        <v>46252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3" t="s">
        <v>7</v>
      </c>
      <c r="L3" s="353" t="s">
        <v>19</v>
      </c>
      <c r="M3" s="353" t="s">
        <v>20</v>
      </c>
      <c r="N3" s="35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7" si="0">$F$1-F5</f>
        <v>14</v>
      </c>
      <c r="L5" s="205">
        <f t="shared" si="0"/>
        <v>14</v>
      </c>
      <c r="M5" s="205"/>
      <c r="N5" s="205"/>
      <c r="O5" s="222" t="s">
        <v>259</v>
      </c>
      <c r="P5" s="239" t="s">
        <v>263</v>
      </c>
      <c r="Q5" s="216" t="s">
        <v>192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248</v>
      </c>
      <c r="C6" s="331" t="s">
        <v>29</v>
      </c>
      <c r="D6" s="332" t="s">
        <v>28</v>
      </c>
      <c r="E6" s="333">
        <v>2023</v>
      </c>
      <c r="F6" s="334">
        <v>46234</v>
      </c>
      <c r="G6" s="334">
        <v>46234</v>
      </c>
      <c r="H6" s="312"/>
      <c r="I6" s="335"/>
      <c r="J6" s="336"/>
      <c r="K6" s="205">
        <f t="shared" si="0"/>
        <v>18</v>
      </c>
      <c r="L6" s="205">
        <f t="shared" si="0"/>
        <v>18</v>
      </c>
      <c r="M6" s="205"/>
      <c r="N6" s="205"/>
      <c r="O6" s="222" t="s">
        <v>252</v>
      </c>
      <c r="P6" s="324" t="s">
        <v>51</v>
      </c>
      <c r="Q6" s="216"/>
      <c r="R6" s="216" t="s">
        <v>26</v>
      </c>
      <c r="S6" s="225"/>
    </row>
    <row r="7" spans="1:66" s="226" customFormat="1" x14ac:dyDescent="0.3">
      <c r="A7" s="249">
        <v>3</v>
      </c>
      <c r="B7" s="216" t="s">
        <v>256</v>
      </c>
      <c r="C7" s="331" t="s">
        <v>32</v>
      </c>
      <c r="D7" s="332" t="s">
        <v>28</v>
      </c>
      <c r="E7" s="333">
        <v>2020</v>
      </c>
      <c r="F7" s="334">
        <v>46237</v>
      </c>
      <c r="G7" s="334">
        <v>46237</v>
      </c>
      <c r="H7" s="310"/>
      <c r="I7" s="335"/>
      <c r="J7" s="336"/>
      <c r="K7" s="205">
        <f t="shared" si="0"/>
        <v>15</v>
      </c>
      <c r="L7" s="205">
        <f t="shared" si="0"/>
        <v>15</v>
      </c>
      <c r="M7" s="205"/>
      <c r="N7" s="205"/>
      <c r="O7" s="222" t="s">
        <v>257</v>
      </c>
      <c r="P7" s="306" t="s">
        <v>153</v>
      </c>
      <c r="Q7" s="216"/>
      <c r="R7" s="216" t="s">
        <v>196</v>
      </c>
      <c r="S7" s="229"/>
    </row>
    <row r="8" spans="1:66" s="226" customFormat="1" x14ac:dyDescent="0.3">
      <c r="A8" s="215"/>
      <c r="B8" s="216"/>
      <c r="C8" s="217"/>
      <c r="D8" s="218"/>
      <c r="E8" s="219"/>
      <c r="F8" s="206"/>
      <c r="G8" s="206"/>
      <c r="H8" s="220"/>
      <c r="I8" s="220"/>
      <c r="J8" s="221"/>
      <c r="K8" s="201"/>
      <c r="L8" s="201"/>
      <c r="M8" s="205"/>
      <c r="N8" s="205"/>
      <c r="O8" s="222"/>
      <c r="P8" s="239"/>
      <c r="Q8" s="306"/>
      <c r="R8" s="239" t="s">
        <v>220</v>
      </c>
      <c r="S8" s="239"/>
    </row>
    <row r="9" spans="1:66" s="226" customFormat="1" x14ac:dyDescent="0.3">
      <c r="A9" s="344"/>
      <c r="B9" s="223"/>
      <c r="C9" s="231"/>
      <c r="D9" s="232"/>
      <c r="E9" s="233"/>
      <c r="F9" s="234"/>
      <c r="G9" s="234"/>
      <c r="H9" s="235"/>
      <c r="I9" s="235"/>
      <c r="J9" s="236"/>
      <c r="K9" s="237"/>
      <c r="L9" s="237"/>
      <c r="M9" s="343"/>
      <c r="N9" s="343"/>
      <c r="O9" s="238"/>
      <c r="P9" s="283"/>
      <c r="Q9" s="260"/>
      <c r="R9" s="306" t="s">
        <v>148</v>
      </c>
      <c r="S9" s="229"/>
    </row>
    <row r="10" spans="1:66" s="226" customFormat="1" x14ac:dyDescent="0.3">
      <c r="A10" s="249"/>
      <c r="B10" s="216"/>
      <c r="C10" s="331"/>
      <c r="D10" s="332"/>
      <c r="E10" s="333"/>
      <c r="F10" s="334"/>
      <c r="G10" s="334"/>
      <c r="H10" s="312"/>
      <c r="I10" s="335"/>
      <c r="J10" s="336"/>
      <c r="K10" s="205"/>
      <c r="L10" s="205"/>
      <c r="M10" s="205"/>
      <c r="N10" s="205"/>
      <c r="O10" s="222"/>
      <c r="P10" s="306"/>
      <c r="Q10" s="222"/>
      <c r="R10" s="306" t="s">
        <v>219</v>
      </c>
      <c r="S10" s="229"/>
    </row>
    <row r="11" spans="1:66" s="226" customFormat="1" x14ac:dyDescent="0.3">
      <c r="A11" s="215"/>
      <c r="B11" s="260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24"/>
      <c r="Q11" s="222"/>
      <c r="R11" s="216" t="s">
        <v>240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354" t="s">
        <v>65</v>
      </c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306"/>
      <c r="S13" s="229"/>
    </row>
    <row r="14" spans="1:66" s="260" customFormat="1" x14ac:dyDescent="0.3">
      <c r="R14" s="354"/>
    </row>
    <row r="15" spans="1:66" s="226" customFormat="1" ht="13.95" customHeight="1" x14ac:dyDescent="0.3">
      <c r="A15" s="242"/>
      <c r="B15" s="243"/>
      <c r="C15" s="244"/>
      <c r="D15" s="245"/>
      <c r="E15" s="246"/>
      <c r="F15" s="247"/>
      <c r="G15" s="247"/>
      <c r="H15" s="247"/>
      <c r="I15" s="247"/>
      <c r="J15" s="247"/>
      <c r="K15" s="246"/>
      <c r="L15" s="247"/>
      <c r="M15" s="247"/>
      <c r="N15" s="247"/>
      <c r="O15" s="248" t="s">
        <v>22</v>
      </c>
      <c r="P15" s="244"/>
      <c r="Q15" s="244"/>
      <c r="R15" s="245"/>
      <c r="S15" s="248"/>
    </row>
    <row r="16" spans="1:66" s="226" customFormat="1" ht="13.95" customHeight="1" x14ac:dyDescent="0.3">
      <c r="A16" s="249"/>
      <c r="B16" s="224"/>
      <c r="C16" s="240"/>
      <c r="D16" s="241"/>
      <c r="E16" s="219"/>
      <c r="F16" s="206"/>
      <c r="G16" s="206"/>
      <c r="H16" s="220"/>
      <c r="I16" s="220"/>
      <c r="J16" s="221"/>
      <c r="K16" s="201"/>
      <c r="L16" s="201"/>
      <c r="M16" s="201"/>
      <c r="N16" s="201"/>
      <c r="O16" s="222"/>
      <c r="P16" s="250"/>
      <c r="Q16" s="251"/>
      <c r="R16" s="252"/>
      <c r="S16" s="253"/>
    </row>
    <row r="17" spans="1:66" s="259" customFormat="1" ht="13.95" customHeight="1" x14ac:dyDescent="0.3">
      <c r="A17" s="254"/>
      <c r="B17" s="255"/>
      <c r="C17" s="244"/>
      <c r="D17" s="245" t="s">
        <v>0</v>
      </c>
      <c r="E17" s="246"/>
      <c r="F17" s="256"/>
      <c r="G17" s="256"/>
      <c r="H17" s="256"/>
      <c r="I17" s="256"/>
      <c r="J17" s="256"/>
      <c r="K17" s="246"/>
      <c r="L17" s="256"/>
      <c r="M17" s="256"/>
      <c r="N17" s="256"/>
      <c r="O17" s="257" t="s">
        <v>23</v>
      </c>
      <c r="P17" s="245"/>
      <c r="Q17" s="245"/>
      <c r="R17" s="258"/>
      <c r="S17" s="25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24"/>
      <c r="C18" s="240"/>
      <c r="D18" s="241"/>
      <c r="E18" s="219"/>
      <c r="F18" s="206"/>
      <c r="G18" s="206"/>
      <c r="H18" s="220"/>
      <c r="I18" s="220"/>
      <c r="J18" s="221"/>
      <c r="K18" s="201"/>
      <c r="L18" s="201"/>
      <c r="M18" s="201"/>
      <c r="N18" s="201"/>
      <c r="O18" s="222"/>
      <c r="P18" s="250"/>
      <c r="Q18" s="251"/>
      <c r="R18" s="252"/>
      <c r="S18" s="253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37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13.95" customHeight="1" x14ac:dyDescent="0.3">
      <c r="A20" s="205"/>
      <c r="B20" s="227"/>
      <c r="C20" s="240"/>
      <c r="D20" s="241"/>
      <c r="E20" s="219"/>
      <c r="F20" s="206"/>
      <c r="G20" s="206"/>
      <c r="H20" s="305"/>
      <c r="I20" s="220"/>
      <c r="J20" s="221"/>
      <c r="K20" s="201"/>
      <c r="L20" s="201"/>
      <c r="M20" s="201"/>
      <c r="N20" s="201"/>
      <c r="O20" s="222"/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 t="s">
        <v>38</v>
      </c>
      <c r="P21" s="268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  <row r="22" spans="1:66" s="226" customFormat="1" ht="27" customHeight="1" x14ac:dyDescent="0.3">
      <c r="A22" s="205">
        <v>1</v>
      </c>
      <c r="B22" s="216" t="s">
        <v>116</v>
      </c>
      <c r="C22" s="240" t="s">
        <v>32</v>
      </c>
      <c r="D22" s="241" t="s">
        <v>28</v>
      </c>
      <c r="E22" s="219">
        <v>2010</v>
      </c>
      <c r="F22" s="206">
        <v>46163</v>
      </c>
      <c r="G22" s="206">
        <v>46163</v>
      </c>
      <c r="H22" s="220"/>
      <c r="I22" s="220"/>
      <c r="J22" s="221"/>
      <c r="K22" s="201">
        <f t="shared" ref="K22:L24" si="1">$F$1-F22</f>
        <v>89</v>
      </c>
      <c r="L22" s="201">
        <f t="shared" si="1"/>
        <v>89</v>
      </c>
      <c r="M22" s="201"/>
      <c r="N22" s="201"/>
      <c r="O22" s="222" t="s">
        <v>267</v>
      </c>
      <c r="Q22" s="275"/>
      <c r="R22" s="239"/>
      <c r="S22" s="276"/>
    </row>
    <row r="23" spans="1:66" s="226" customFormat="1" ht="27" customHeight="1" x14ac:dyDescent="0.3">
      <c r="A23" s="215">
        <v>2</v>
      </c>
      <c r="B23" s="239" t="s">
        <v>10</v>
      </c>
      <c r="C23" s="217" t="s">
        <v>32</v>
      </c>
      <c r="D23" s="218" t="s">
        <v>28</v>
      </c>
      <c r="E23" s="219">
        <v>2010</v>
      </c>
      <c r="F23" s="206">
        <v>46220</v>
      </c>
      <c r="G23" s="206">
        <v>46220</v>
      </c>
      <c r="H23" s="220"/>
      <c r="I23" s="220"/>
      <c r="J23" s="221"/>
      <c r="K23" s="201">
        <f t="shared" si="1"/>
        <v>32</v>
      </c>
      <c r="L23" s="201">
        <f t="shared" si="1"/>
        <v>32</v>
      </c>
      <c r="M23" s="201"/>
      <c r="N23" s="201"/>
      <c r="O23" s="222" t="s">
        <v>225</v>
      </c>
      <c r="P23" s="227"/>
      <c r="Q23" s="275"/>
      <c r="R23" s="239"/>
      <c r="S23" s="276"/>
    </row>
    <row r="24" spans="1:66" s="226" customFormat="1" ht="13.95" customHeight="1" x14ac:dyDescent="0.3">
      <c r="A24" s="205">
        <v>3</v>
      </c>
      <c r="B24" s="227" t="s">
        <v>9</v>
      </c>
      <c r="C24" s="240" t="s">
        <v>32</v>
      </c>
      <c r="D24" s="241" t="s">
        <v>28</v>
      </c>
      <c r="E24" s="219">
        <v>2010</v>
      </c>
      <c r="F24" s="206">
        <v>46233</v>
      </c>
      <c r="G24" s="206">
        <v>46233</v>
      </c>
      <c r="H24" s="305"/>
      <c r="I24" s="220"/>
      <c r="J24" s="221"/>
      <c r="K24" s="201">
        <f t="shared" si="1"/>
        <v>19</v>
      </c>
      <c r="L24" s="201">
        <f t="shared" si="1"/>
        <v>19</v>
      </c>
      <c r="M24" s="201"/>
      <c r="N24" s="201"/>
      <c r="O24" s="222" t="s">
        <v>244</v>
      </c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/>
      <c r="P25" s="267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B23F-2B11-464C-83B1-60E5331382EF}">
  <dimension ref="A1:BN25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46253</v>
      </c>
      <c r="G1" s="206">
        <v>46253</v>
      </c>
      <c r="H1" s="206">
        <v>46253</v>
      </c>
      <c r="I1" s="206">
        <v>46253</v>
      </c>
      <c r="J1" s="206">
        <v>46253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5" t="s">
        <v>7</v>
      </c>
      <c r="L3" s="355" t="s">
        <v>19</v>
      </c>
      <c r="M3" s="355" t="s">
        <v>20</v>
      </c>
      <c r="N3" s="35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85</v>
      </c>
      <c r="C5" s="331" t="s">
        <v>29</v>
      </c>
      <c r="D5" s="332" t="s">
        <v>28</v>
      </c>
      <c r="E5" s="333">
        <v>2023</v>
      </c>
      <c r="F5" s="334">
        <v>46238</v>
      </c>
      <c r="G5" s="334">
        <v>46238</v>
      </c>
      <c r="H5" s="312"/>
      <c r="I5" s="335"/>
      <c r="J5" s="336"/>
      <c r="K5" s="205">
        <f t="shared" ref="K5:L7" si="0">$F$1-F5</f>
        <v>15</v>
      </c>
      <c r="L5" s="205">
        <f t="shared" si="0"/>
        <v>15</v>
      </c>
      <c r="M5" s="205"/>
      <c r="N5" s="205"/>
      <c r="O5" s="222" t="s">
        <v>259</v>
      </c>
      <c r="P5" s="239" t="s">
        <v>263</v>
      </c>
      <c r="Q5" s="216"/>
      <c r="R5" s="216" t="s">
        <v>30</v>
      </c>
      <c r="S5" s="225"/>
    </row>
    <row r="6" spans="1:66" s="226" customFormat="1" x14ac:dyDescent="0.3">
      <c r="A6" s="249">
        <v>2</v>
      </c>
      <c r="B6" s="216" t="s">
        <v>248</v>
      </c>
      <c r="C6" s="331" t="s">
        <v>29</v>
      </c>
      <c r="D6" s="332" t="s">
        <v>28</v>
      </c>
      <c r="E6" s="333">
        <v>2023</v>
      </c>
      <c r="F6" s="334">
        <v>46234</v>
      </c>
      <c r="G6" s="334">
        <v>46234</v>
      </c>
      <c r="H6" s="312"/>
      <c r="I6" s="335"/>
      <c r="J6" s="336"/>
      <c r="K6" s="205">
        <f t="shared" si="0"/>
        <v>19</v>
      </c>
      <c r="L6" s="205">
        <f t="shared" si="0"/>
        <v>19</v>
      </c>
      <c r="M6" s="205"/>
      <c r="N6" s="205"/>
      <c r="O6" s="222" t="s">
        <v>252</v>
      </c>
      <c r="P6" s="324" t="s">
        <v>51</v>
      </c>
      <c r="Q6" s="216"/>
      <c r="R6" s="216" t="s">
        <v>26</v>
      </c>
      <c r="S6" s="225"/>
    </row>
    <row r="7" spans="1:66" s="226" customFormat="1" x14ac:dyDescent="0.3">
      <c r="A7" s="249">
        <v>3</v>
      </c>
      <c r="B7" s="216" t="s">
        <v>256</v>
      </c>
      <c r="C7" s="331" t="s">
        <v>32</v>
      </c>
      <c r="D7" s="332" t="s">
        <v>28</v>
      </c>
      <c r="E7" s="333">
        <v>2020</v>
      </c>
      <c r="F7" s="334">
        <v>46237</v>
      </c>
      <c r="G7" s="334">
        <v>46237</v>
      </c>
      <c r="H7" s="310"/>
      <c r="I7" s="335"/>
      <c r="J7" s="336"/>
      <c r="K7" s="205">
        <f t="shared" si="0"/>
        <v>16</v>
      </c>
      <c r="L7" s="205">
        <f t="shared" si="0"/>
        <v>16</v>
      </c>
      <c r="M7" s="205"/>
      <c r="N7" s="205"/>
      <c r="O7" s="222" t="s">
        <v>271</v>
      </c>
      <c r="P7" s="306" t="s">
        <v>153</v>
      </c>
      <c r="Q7" s="216"/>
      <c r="R7" s="216" t="s">
        <v>196</v>
      </c>
      <c r="S7" s="229"/>
    </row>
    <row r="8" spans="1:66" s="226" customFormat="1" x14ac:dyDescent="0.3">
      <c r="A8" s="215">
        <v>4</v>
      </c>
      <c r="B8" s="223" t="s">
        <v>269</v>
      </c>
      <c r="C8" s="337" t="s">
        <v>32</v>
      </c>
      <c r="D8" s="232" t="s">
        <v>270</v>
      </c>
      <c r="E8" s="233">
        <v>2012</v>
      </c>
      <c r="F8" s="234">
        <v>46253</v>
      </c>
      <c r="G8" s="234">
        <v>46253</v>
      </c>
      <c r="H8" s="235"/>
      <c r="I8" s="235"/>
      <c r="J8" s="236"/>
      <c r="K8" s="343">
        <f t="shared" ref="K8" si="1">$F$1-F8</f>
        <v>0</v>
      </c>
      <c r="L8" s="343">
        <f t="shared" ref="L8" si="2">$F$1-G8</f>
        <v>0</v>
      </c>
      <c r="M8" s="343"/>
      <c r="N8" s="343"/>
      <c r="O8" s="238" t="s">
        <v>103</v>
      </c>
      <c r="P8" s="239"/>
      <c r="Q8" s="306"/>
      <c r="R8" s="239" t="s">
        <v>220</v>
      </c>
      <c r="S8" s="239"/>
    </row>
    <row r="9" spans="1:66" s="226" customFormat="1" x14ac:dyDescent="0.3">
      <c r="A9" s="344"/>
      <c r="B9" s="223"/>
      <c r="C9" s="231"/>
      <c r="D9" s="232"/>
      <c r="E9" s="233"/>
      <c r="F9" s="234"/>
      <c r="G9" s="234"/>
      <c r="H9" s="235"/>
      <c r="I9" s="235"/>
      <c r="J9" s="236"/>
      <c r="K9" s="237"/>
      <c r="L9" s="237"/>
      <c r="M9" s="343"/>
      <c r="N9" s="343"/>
      <c r="O9" s="238"/>
      <c r="P9" s="283"/>
      <c r="Q9" s="260"/>
      <c r="R9" s="306" t="s">
        <v>148</v>
      </c>
      <c r="S9" s="229"/>
    </row>
    <row r="10" spans="1:66" s="226" customFormat="1" x14ac:dyDescent="0.3">
      <c r="A10" s="249"/>
      <c r="B10" s="216"/>
      <c r="C10" s="331"/>
      <c r="D10" s="332"/>
      <c r="E10" s="333"/>
      <c r="F10" s="334"/>
      <c r="G10" s="334"/>
      <c r="H10" s="312"/>
      <c r="I10" s="335"/>
      <c r="J10" s="336"/>
      <c r="K10" s="205"/>
      <c r="L10" s="205"/>
      <c r="M10" s="205"/>
      <c r="N10" s="205"/>
      <c r="O10" s="222"/>
      <c r="P10" s="306"/>
      <c r="Q10" s="222"/>
      <c r="R10" s="306" t="s">
        <v>219</v>
      </c>
      <c r="S10" s="229"/>
    </row>
    <row r="11" spans="1:66" s="226" customFormat="1" x14ac:dyDescent="0.3">
      <c r="A11" s="215"/>
      <c r="B11" s="260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24"/>
      <c r="Q11" s="222"/>
      <c r="R11" s="216" t="s">
        <v>240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354" t="s">
        <v>65</v>
      </c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306"/>
      <c r="S13" s="229"/>
    </row>
    <row r="14" spans="1:66" s="260" customFormat="1" x14ac:dyDescent="0.3">
      <c r="R14" s="354"/>
    </row>
    <row r="15" spans="1:66" s="226" customFormat="1" ht="13.95" customHeight="1" x14ac:dyDescent="0.3">
      <c r="A15" s="242"/>
      <c r="B15" s="243"/>
      <c r="C15" s="244"/>
      <c r="D15" s="245"/>
      <c r="E15" s="246"/>
      <c r="F15" s="247"/>
      <c r="G15" s="247"/>
      <c r="H15" s="247"/>
      <c r="I15" s="247"/>
      <c r="J15" s="247"/>
      <c r="K15" s="246"/>
      <c r="L15" s="247"/>
      <c r="M15" s="247"/>
      <c r="N15" s="247"/>
      <c r="O15" s="248" t="s">
        <v>22</v>
      </c>
      <c r="P15" s="244"/>
      <c r="Q15" s="244"/>
      <c r="R15" s="245"/>
      <c r="S15" s="248"/>
    </row>
    <row r="16" spans="1:66" s="226" customFormat="1" ht="13.95" customHeight="1" x14ac:dyDescent="0.3">
      <c r="A16" s="249"/>
      <c r="B16" s="224"/>
      <c r="C16" s="240"/>
      <c r="D16" s="241"/>
      <c r="E16" s="219"/>
      <c r="F16" s="206"/>
      <c r="G16" s="206"/>
      <c r="H16" s="220"/>
      <c r="I16" s="220"/>
      <c r="J16" s="221"/>
      <c r="K16" s="201"/>
      <c r="L16" s="201"/>
      <c r="M16" s="201"/>
      <c r="N16" s="201"/>
      <c r="O16" s="222"/>
      <c r="P16" s="250"/>
      <c r="Q16" s="251"/>
      <c r="R16" s="252"/>
      <c r="S16" s="253"/>
    </row>
    <row r="17" spans="1:66" s="259" customFormat="1" ht="13.95" customHeight="1" x14ac:dyDescent="0.3">
      <c r="A17" s="254"/>
      <c r="B17" s="255"/>
      <c r="C17" s="244"/>
      <c r="D17" s="245" t="s">
        <v>0</v>
      </c>
      <c r="E17" s="246"/>
      <c r="F17" s="256"/>
      <c r="G17" s="256"/>
      <c r="H17" s="256"/>
      <c r="I17" s="256"/>
      <c r="J17" s="256"/>
      <c r="K17" s="246"/>
      <c r="L17" s="256"/>
      <c r="M17" s="256"/>
      <c r="N17" s="256"/>
      <c r="O17" s="257" t="s">
        <v>23</v>
      </c>
      <c r="P17" s="245"/>
      <c r="Q17" s="245"/>
      <c r="R17" s="258"/>
      <c r="S17" s="25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24"/>
      <c r="C18" s="240"/>
      <c r="D18" s="241"/>
      <c r="E18" s="219"/>
      <c r="F18" s="206"/>
      <c r="G18" s="206"/>
      <c r="H18" s="220"/>
      <c r="I18" s="220"/>
      <c r="J18" s="221"/>
      <c r="K18" s="201"/>
      <c r="L18" s="201"/>
      <c r="M18" s="201"/>
      <c r="N18" s="201"/>
      <c r="O18" s="222"/>
      <c r="P18" s="250"/>
      <c r="Q18" s="251"/>
      <c r="R18" s="252"/>
      <c r="S18" s="253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37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13.95" customHeight="1" x14ac:dyDescent="0.3">
      <c r="A20" s="205"/>
      <c r="B20" s="227"/>
      <c r="C20" s="240"/>
      <c r="D20" s="241"/>
      <c r="E20" s="219"/>
      <c r="F20" s="206"/>
      <c r="G20" s="206"/>
      <c r="H20" s="305"/>
      <c r="I20" s="220"/>
      <c r="J20" s="221"/>
      <c r="K20" s="201"/>
      <c r="L20" s="201"/>
      <c r="M20" s="201"/>
      <c r="N20" s="201"/>
      <c r="O20" s="222"/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 t="s">
        <v>38</v>
      </c>
      <c r="P21" s="268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  <row r="22" spans="1:66" s="226" customFormat="1" ht="27" customHeight="1" x14ac:dyDescent="0.3">
      <c r="A22" s="205">
        <v>1</v>
      </c>
      <c r="B22" s="216" t="s">
        <v>116</v>
      </c>
      <c r="C22" s="240" t="s">
        <v>32</v>
      </c>
      <c r="D22" s="241" t="s">
        <v>28</v>
      </c>
      <c r="E22" s="219">
        <v>2010</v>
      </c>
      <c r="F22" s="206">
        <v>46163</v>
      </c>
      <c r="G22" s="206">
        <v>46163</v>
      </c>
      <c r="H22" s="220"/>
      <c r="I22" s="220"/>
      <c r="J22" s="221"/>
      <c r="K22" s="201">
        <f t="shared" ref="K22:L24" si="3">$F$1-F22</f>
        <v>90</v>
      </c>
      <c r="L22" s="201">
        <f t="shared" si="3"/>
        <v>90</v>
      </c>
      <c r="M22" s="201"/>
      <c r="N22" s="201"/>
      <c r="O22" s="222" t="s">
        <v>267</v>
      </c>
      <c r="Q22" s="275"/>
      <c r="R22" s="239"/>
      <c r="S22" s="276"/>
    </row>
    <row r="23" spans="1:66" s="226" customFormat="1" ht="27" customHeight="1" x14ac:dyDescent="0.3">
      <c r="A23" s="215">
        <v>2</v>
      </c>
      <c r="B23" s="239" t="s">
        <v>10</v>
      </c>
      <c r="C23" s="217" t="s">
        <v>32</v>
      </c>
      <c r="D23" s="218" t="s">
        <v>28</v>
      </c>
      <c r="E23" s="219">
        <v>2010</v>
      </c>
      <c r="F23" s="206">
        <v>46220</v>
      </c>
      <c r="G23" s="206">
        <v>46220</v>
      </c>
      <c r="H23" s="220"/>
      <c r="I23" s="220"/>
      <c r="J23" s="221"/>
      <c r="K23" s="201">
        <f t="shared" si="3"/>
        <v>33</v>
      </c>
      <c r="L23" s="201">
        <f t="shared" si="3"/>
        <v>33</v>
      </c>
      <c r="M23" s="201"/>
      <c r="N23" s="201"/>
      <c r="O23" s="222" t="s">
        <v>225</v>
      </c>
      <c r="P23" s="227"/>
      <c r="Q23" s="275"/>
      <c r="R23" s="239"/>
      <c r="S23" s="276"/>
    </row>
    <row r="24" spans="1:66" s="226" customFormat="1" ht="13.95" customHeight="1" x14ac:dyDescent="0.3">
      <c r="A24" s="205">
        <v>3</v>
      </c>
      <c r="B24" s="227" t="s">
        <v>9</v>
      </c>
      <c r="C24" s="240" t="s">
        <v>32</v>
      </c>
      <c r="D24" s="241" t="s">
        <v>28</v>
      </c>
      <c r="E24" s="219">
        <v>2010</v>
      </c>
      <c r="F24" s="206">
        <v>46233</v>
      </c>
      <c r="G24" s="206">
        <v>46233</v>
      </c>
      <c r="H24" s="305"/>
      <c r="I24" s="220"/>
      <c r="J24" s="221"/>
      <c r="K24" s="201">
        <f t="shared" si="3"/>
        <v>20</v>
      </c>
      <c r="L24" s="201">
        <f t="shared" si="3"/>
        <v>20</v>
      </c>
      <c r="M24" s="201"/>
      <c r="N24" s="201"/>
      <c r="O24" s="222" t="s">
        <v>244</v>
      </c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/>
      <c r="P25" s="267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CEDE-A99B-4D69-9186-FF904AC2CF43}">
  <dimension ref="A1:BN29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46254</v>
      </c>
      <c r="G1" s="206">
        <v>46254</v>
      </c>
      <c r="H1" s="206">
        <v>46254</v>
      </c>
      <c r="I1" s="206">
        <v>46254</v>
      </c>
      <c r="J1" s="206">
        <v>46254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6" t="s">
        <v>7</v>
      </c>
      <c r="L3" s="356" t="s">
        <v>19</v>
      </c>
      <c r="M3" s="356" t="s">
        <v>20</v>
      </c>
      <c r="N3" s="35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334">
        <v>46254</v>
      </c>
      <c r="G5" s="334">
        <v>46254</v>
      </c>
      <c r="H5" s="312"/>
      <c r="I5" s="335"/>
      <c r="J5" s="336"/>
      <c r="K5" s="205">
        <f t="shared" ref="K5:L5" si="0">$F$1-F5</f>
        <v>0</v>
      </c>
      <c r="L5" s="205">
        <f t="shared" si="0"/>
        <v>0</v>
      </c>
      <c r="M5" s="205"/>
      <c r="N5" s="205"/>
      <c r="O5" s="222" t="s">
        <v>273</v>
      </c>
      <c r="P5" s="306" t="s">
        <v>235</v>
      </c>
      <c r="Q5" s="216"/>
      <c r="R5" s="21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334"/>
      <c r="G6" s="334"/>
      <c r="H6" s="312"/>
      <c r="I6" s="335"/>
      <c r="J6" s="336"/>
      <c r="K6" s="205"/>
      <c r="L6" s="205"/>
      <c r="M6" s="205"/>
      <c r="N6" s="205"/>
      <c r="O6" s="222"/>
      <c r="P6" s="324"/>
      <c r="Q6" s="216"/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06"/>
      <c r="Q7" s="216"/>
      <c r="R7" s="239" t="s">
        <v>220</v>
      </c>
      <c r="S7" s="229"/>
    </row>
    <row r="8" spans="1:66" s="226" customFormat="1" x14ac:dyDescent="0.3">
      <c r="A8" s="215"/>
      <c r="B8" s="216"/>
      <c r="C8" s="331"/>
      <c r="D8" s="218"/>
      <c r="E8" s="219"/>
      <c r="F8" s="206"/>
      <c r="G8" s="206"/>
      <c r="H8" s="220"/>
      <c r="I8" s="220"/>
      <c r="J8" s="221"/>
      <c r="K8" s="205"/>
      <c r="L8" s="205"/>
      <c r="M8" s="205"/>
      <c r="N8" s="205"/>
      <c r="O8" s="222"/>
      <c r="P8" s="239"/>
      <c r="Q8" s="306"/>
      <c r="R8" s="306" t="s">
        <v>148</v>
      </c>
      <c r="S8" s="239"/>
    </row>
    <row r="9" spans="1:66" s="226" customFormat="1" x14ac:dyDescent="0.3">
      <c r="A9" s="249"/>
      <c r="B9" s="260"/>
      <c r="C9" s="331"/>
      <c r="D9" s="332"/>
      <c r="E9" s="333"/>
      <c r="F9" s="206"/>
      <c r="G9" s="206"/>
      <c r="H9" s="220"/>
      <c r="I9" s="220"/>
      <c r="J9" s="221"/>
      <c r="K9" s="201"/>
      <c r="L9" s="201"/>
      <c r="M9" s="205"/>
      <c r="N9" s="205"/>
      <c r="O9" s="222"/>
      <c r="P9" s="283"/>
      <c r="Q9" s="260"/>
      <c r="R9" s="306" t="s">
        <v>219</v>
      </c>
      <c r="S9" s="229"/>
    </row>
    <row r="10" spans="1:66" s="226" customFormat="1" x14ac:dyDescent="0.3">
      <c r="A10" s="249"/>
      <c r="B10" s="306"/>
      <c r="C10" s="331"/>
      <c r="D10" s="332"/>
      <c r="E10" s="333"/>
      <c r="F10" s="206"/>
      <c r="G10" s="206"/>
      <c r="H10" s="312"/>
      <c r="I10" s="335"/>
      <c r="J10" s="336"/>
      <c r="K10" s="201"/>
      <c r="L10" s="201"/>
      <c r="M10" s="205"/>
      <c r="N10" s="205"/>
      <c r="O10" s="222"/>
      <c r="P10" s="306"/>
      <c r="Q10" s="222"/>
      <c r="R10" s="216" t="s">
        <v>240</v>
      </c>
      <c r="S10" s="229"/>
    </row>
    <row r="11" spans="1:66" s="226" customFormat="1" x14ac:dyDescent="0.3">
      <c r="A11" s="215"/>
      <c r="B11" s="260"/>
      <c r="C11" s="217"/>
      <c r="D11" s="218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24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30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306"/>
      <c r="S13" s="229"/>
    </row>
    <row r="14" spans="1:66" s="260" customFormat="1" x14ac:dyDescent="0.3">
      <c r="R14" s="354"/>
    </row>
    <row r="15" spans="1:66" s="226" customFormat="1" ht="13.95" customHeight="1" x14ac:dyDescent="0.3">
      <c r="A15" s="242"/>
      <c r="B15" s="243"/>
      <c r="C15" s="244"/>
      <c r="D15" s="245"/>
      <c r="E15" s="246"/>
      <c r="F15" s="247"/>
      <c r="G15" s="247"/>
      <c r="H15" s="247"/>
      <c r="I15" s="247"/>
      <c r="J15" s="247"/>
      <c r="K15" s="246"/>
      <c r="L15" s="247"/>
      <c r="M15" s="247"/>
      <c r="N15" s="247"/>
      <c r="O15" s="248" t="s">
        <v>22</v>
      </c>
      <c r="P15" s="244"/>
      <c r="Q15" s="244"/>
      <c r="R15" s="245"/>
      <c r="S15" s="248"/>
    </row>
    <row r="16" spans="1:66" s="226" customFormat="1" ht="13.95" customHeight="1" x14ac:dyDescent="0.3">
      <c r="A16" s="249"/>
      <c r="B16" s="224"/>
      <c r="C16" s="240"/>
      <c r="D16" s="241"/>
      <c r="E16" s="219"/>
      <c r="F16" s="206"/>
      <c r="G16" s="206"/>
      <c r="H16" s="220"/>
      <c r="I16" s="220"/>
      <c r="J16" s="221"/>
      <c r="K16" s="201"/>
      <c r="L16" s="201"/>
      <c r="M16" s="201"/>
      <c r="N16" s="201"/>
      <c r="O16" s="222"/>
      <c r="P16" s="250"/>
      <c r="Q16" s="251"/>
      <c r="R16" s="252"/>
      <c r="S16" s="253"/>
    </row>
    <row r="17" spans="1:66" s="259" customFormat="1" ht="13.95" customHeight="1" x14ac:dyDescent="0.3">
      <c r="A17" s="254"/>
      <c r="B17" s="255"/>
      <c r="C17" s="244"/>
      <c r="D17" s="245" t="s">
        <v>0</v>
      </c>
      <c r="E17" s="246"/>
      <c r="F17" s="256"/>
      <c r="G17" s="256"/>
      <c r="H17" s="256"/>
      <c r="I17" s="256"/>
      <c r="J17" s="256"/>
      <c r="K17" s="246"/>
      <c r="L17" s="256"/>
      <c r="M17" s="256"/>
      <c r="N17" s="256"/>
      <c r="O17" s="257" t="s">
        <v>23</v>
      </c>
      <c r="P17" s="245"/>
      <c r="Q17" s="245"/>
      <c r="R17" s="258"/>
      <c r="S17" s="25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>
        <v>1</v>
      </c>
      <c r="B18" s="216" t="s">
        <v>85</v>
      </c>
      <c r="C18" s="331" t="s">
        <v>29</v>
      </c>
      <c r="D18" s="332" t="s">
        <v>28</v>
      </c>
      <c r="E18" s="333">
        <v>2023</v>
      </c>
      <c r="F18" s="334">
        <v>46238</v>
      </c>
      <c r="G18" s="334">
        <v>46238</v>
      </c>
      <c r="H18" s="312"/>
      <c r="I18" s="335"/>
      <c r="J18" s="336"/>
      <c r="K18" s="205">
        <f t="shared" ref="K18:K22" si="1">$F$1-F18</f>
        <v>16</v>
      </c>
      <c r="L18" s="205">
        <f t="shared" ref="L18:L22" si="2">$F$1-G18</f>
        <v>16</v>
      </c>
      <c r="M18" s="205"/>
      <c r="N18" s="205"/>
      <c r="O18" s="222" t="s">
        <v>259</v>
      </c>
      <c r="P18" s="239" t="s">
        <v>263</v>
      </c>
      <c r="Q18" s="251"/>
      <c r="R18" s="252"/>
      <c r="S18" s="253"/>
    </row>
    <row r="19" spans="1:66" s="226" customFormat="1" ht="13.95" customHeight="1" x14ac:dyDescent="0.3">
      <c r="A19" s="249">
        <v>2</v>
      </c>
      <c r="B19" s="216" t="s">
        <v>248</v>
      </c>
      <c r="C19" s="331" t="s">
        <v>29</v>
      </c>
      <c r="D19" s="332" t="s">
        <v>28</v>
      </c>
      <c r="E19" s="333">
        <v>2023</v>
      </c>
      <c r="F19" s="334">
        <v>46234</v>
      </c>
      <c r="G19" s="334">
        <v>46234</v>
      </c>
      <c r="H19" s="312"/>
      <c r="I19" s="335"/>
      <c r="J19" s="336"/>
      <c r="K19" s="205">
        <f t="shared" si="1"/>
        <v>20</v>
      </c>
      <c r="L19" s="205">
        <f t="shared" si="2"/>
        <v>20</v>
      </c>
      <c r="M19" s="205"/>
      <c r="N19" s="205"/>
      <c r="O19" s="222" t="s">
        <v>252</v>
      </c>
      <c r="P19" s="324" t="s">
        <v>51</v>
      </c>
      <c r="Q19" s="251"/>
      <c r="R19" s="252"/>
      <c r="S19" s="253"/>
    </row>
    <row r="20" spans="1:66" s="226" customFormat="1" ht="13.95" customHeight="1" x14ac:dyDescent="0.3">
      <c r="A20" s="249">
        <v>3</v>
      </c>
      <c r="B20" s="216" t="s">
        <v>256</v>
      </c>
      <c r="C20" s="331" t="s">
        <v>32</v>
      </c>
      <c r="D20" s="332" t="s">
        <v>28</v>
      </c>
      <c r="E20" s="333">
        <v>2020</v>
      </c>
      <c r="F20" s="334">
        <v>46237</v>
      </c>
      <c r="G20" s="334">
        <v>46237</v>
      </c>
      <c r="H20" s="310"/>
      <c r="I20" s="335"/>
      <c r="J20" s="336"/>
      <c r="K20" s="205">
        <f t="shared" si="1"/>
        <v>17</v>
      </c>
      <c r="L20" s="205">
        <f t="shared" si="2"/>
        <v>17</v>
      </c>
      <c r="M20" s="205"/>
      <c r="N20" s="205"/>
      <c r="O20" s="222" t="s">
        <v>271</v>
      </c>
      <c r="P20" s="306" t="s">
        <v>153</v>
      </c>
      <c r="Q20" s="251"/>
      <c r="R20" s="252"/>
      <c r="S20" s="253"/>
    </row>
    <row r="21" spans="1:66" s="226" customFormat="1" ht="13.95" customHeight="1" x14ac:dyDescent="0.3">
      <c r="A21" s="215">
        <v>4</v>
      </c>
      <c r="B21" s="216" t="s">
        <v>269</v>
      </c>
      <c r="C21" s="331" t="s">
        <v>32</v>
      </c>
      <c r="D21" s="218" t="s">
        <v>270</v>
      </c>
      <c r="E21" s="219">
        <v>2012</v>
      </c>
      <c r="F21" s="206">
        <v>46253</v>
      </c>
      <c r="G21" s="206">
        <v>46253</v>
      </c>
      <c r="H21" s="220"/>
      <c r="I21" s="220"/>
      <c r="J21" s="221"/>
      <c r="K21" s="205">
        <f t="shared" si="1"/>
        <v>1</v>
      </c>
      <c r="L21" s="205">
        <f t="shared" si="2"/>
        <v>1</v>
      </c>
      <c r="M21" s="205"/>
      <c r="N21" s="205"/>
      <c r="O21" s="222" t="s">
        <v>103</v>
      </c>
      <c r="P21" s="239"/>
      <c r="Q21" s="251"/>
      <c r="R21" s="252"/>
      <c r="S21" s="253"/>
    </row>
    <row r="22" spans="1:66" s="226" customFormat="1" ht="31.95" customHeight="1" x14ac:dyDescent="0.3">
      <c r="A22" s="249">
        <v>5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1"/>
        <v>0</v>
      </c>
      <c r="L22" s="201">
        <f t="shared" si="2"/>
        <v>0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 t="s">
        <v>37</v>
      </c>
      <c r="P23" s="268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  <row r="24" spans="1:66" s="226" customFormat="1" ht="13.95" customHeight="1" x14ac:dyDescent="0.3">
      <c r="A24" s="205"/>
      <c r="B24" s="227"/>
      <c r="C24" s="240"/>
      <c r="D24" s="241"/>
      <c r="E24" s="219"/>
      <c r="F24" s="206"/>
      <c r="G24" s="206"/>
      <c r="H24" s="305"/>
      <c r="I24" s="220"/>
      <c r="J24" s="221"/>
      <c r="K24" s="201"/>
      <c r="L24" s="201"/>
      <c r="M24" s="201"/>
      <c r="N24" s="201"/>
      <c r="O24" s="222"/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 t="s">
        <v>38</v>
      </c>
      <c r="P25" s="268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  <row r="26" spans="1:66" s="226" customFormat="1" ht="27" customHeight="1" x14ac:dyDescent="0.3">
      <c r="A26" s="205">
        <v>1</v>
      </c>
      <c r="B26" s="216" t="s">
        <v>116</v>
      </c>
      <c r="C26" s="240" t="s">
        <v>32</v>
      </c>
      <c r="D26" s="241" t="s">
        <v>28</v>
      </c>
      <c r="E26" s="219">
        <v>2010</v>
      </c>
      <c r="F26" s="206">
        <v>46163</v>
      </c>
      <c r="G26" s="206">
        <v>46163</v>
      </c>
      <c r="H26" s="220"/>
      <c r="I26" s="220"/>
      <c r="J26" s="221"/>
      <c r="K26" s="201">
        <f t="shared" ref="K26:L28" si="3">$F$1-F26</f>
        <v>91</v>
      </c>
      <c r="L26" s="201">
        <f t="shared" si="3"/>
        <v>91</v>
      </c>
      <c r="M26" s="201"/>
      <c r="N26" s="201"/>
      <c r="O26" s="222" t="s">
        <v>267</v>
      </c>
      <c r="Q26" s="275"/>
      <c r="R26" s="239"/>
      <c r="S26" s="276"/>
    </row>
    <row r="27" spans="1:66" s="226" customFormat="1" ht="27" customHeight="1" x14ac:dyDescent="0.3">
      <c r="A27" s="215">
        <v>2</v>
      </c>
      <c r="B27" s="239" t="s">
        <v>10</v>
      </c>
      <c r="C27" s="217" t="s">
        <v>32</v>
      </c>
      <c r="D27" s="218" t="s">
        <v>28</v>
      </c>
      <c r="E27" s="219">
        <v>2010</v>
      </c>
      <c r="F27" s="206">
        <v>46220</v>
      </c>
      <c r="G27" s="206">
        <v>46220</v>
      </c>
      <c r="H27" s="220"/>
      <c r="I27" s="220"/>
      <c r="J27" s="221"/>
      <c r="K27" s="201">
        <f t="shared" si="3"/>
        <v>34</v>
      </c>
      <c r="L27" s="201">
        <f t="shared" si="3"/>
        <v>34</v>
      </c>
      <c r="M27" s="201"/>
      <c r="N27" s="201"/>
      <c r="O27" s="222" t="s">
        <v>225</v>
      </c>
      <c r="P27" s="227"/>
      <c r="Q27" s="275"/>
      <c r="R27" s="239"/>
      <c r="S27" s="276"/>
    </row>
    <row r="28" spans="1:66" s="226" customFormat="1" ht="13.95" customHeight="1" x14ac:dyDescent="0.3">
      <c r="A28" s="205">
        <v>3</v>
      </c>
      <c r="B28" s="227" t="s">
        <v>9</v>
      </c>
      <c r="C28" s="240" t="s">
        <v>32</v>
      </c>
      <c r="D28" s="241" t="s">
        <v>28</v>
      </c>
      <c r="E28" s="219">
        <v>2010</v>
      </c>
      <c r="F28" s="206">
        <v>46233</v>
      </c>
      <c r="G28" s="206">
        <v>46233</v>
      </c>
      <c r="H28" s="305"/>
      <c r="I28" s="220"/>
      <c r="J28" s="221"/>
      <c r="K28" s="201">
        <f t="shared" si="3"/>
        <v>21</v>
      </c>
      <c r="L28" s="201">
        <f t="shared" si="3"/>
        <v>21</v>
      </c>
      <c r="M28" s="201"/>
      <c r="N28" s="201"/>
      <c r="O28" s="222" t="s">
        <v>244</v>
      </c>
      <c r="P28" s="260"/>
      <c r="Q28" s="275"/>
      <c r="R28" s="239"/>
      <c r="S28" s="276"/>
    </row>
    <row r="29" spans="1:66" s="259" customFormat="1" ht="13.95" customHeight="1" x14ac:dyDescent="0.3">
      <c r="A29" s="261"/>
      <c r="B29" s="262"/>
      <c r="C29" s="263"/>
      <c r="D29" s="262"/>
      <c r="E29" s="264"/>
      <c r="F29" s="265"/>
      <c r="G29" s="265"/>
      <c r="H29" s="265"/>
      <c r="I29" s="265"/>
      <c r="J29" s="265"/>
      <c r="K29" s="266"/>
      <c r="L29" s="265"/>
      <c r="M29" s="265"/>
      <c r="N29" s="265"/>
      <c r="O29" s="267"/>
      <c r="P29" s="267"/>
      <c r="Q29" s="268"/>
      <c r="R29" s="269"/>
      <c r="S29" s="267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F875-C080-43B5-88DF-FE187A09C002}">
  <dimension ref="A1:BN29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46255</v>
      </c>
      <c r="G1" s="206">
        <v>46255</v>
      </c>
      <c r="H1" s="206">
        <v>46255</v>
      </c>
      <c r="I1" s="206">
        <v>46255</v>
      </c>
      <c r="J1" s="206">
        <v>46255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7" t="s">
        <v>7</v>
      </c>
      <c r="L3" s="357" t="s">
        <v>19</v>
      </c>
      <c r="M3" s="357" t="s">
        <v>20</v>
      </c>
      <c r="N3" s="35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186</v>
      </c>
      <c r="C5" s="331" t="s">
        <v>32</v>
      </c>
      <c r="D5" s="332" t="s">
        <v>28</v>
      </c>
      <c r="E5" s="333">
        <v>2019</v>
      </c>
      <c r="F5" s="334">
        <v>46255</v>
      </c>
      <c r="G5" s="334">
        <v>46255</v>
      </c>
      <c r="H5" s="312"/>
      <c r="I5" s="335"/>
      <c r="J5" s="336"/>
      <c r="K5" s="205">
        <f t="shared" ref="K5:L5" si="0">$F$1-F5</f>
        <v>0</v>
      </c>
      <c r="L5" s="205">
        <f t="shared" si="0"/>
        <v>0</v>
      </c>
      <c r="M5" s="205"/>
      <c r="N5" s="205"/>
      <c r="O5" s="222" t="s">
        <v>103</v>
      </c>
      <c r="P5" s="216" t="s">
        <v>45</v>
      </c>
      <c r="Q5" s="216" t="s">
        <v>45</v>
      </c>
      <c r="R5" s="21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334"/>
      <c r="G6" s="334"/>
      <c r="H6" s="312"/>
      <c r="I6" s="335"/>
      <c r="J6" s="336"/>
      <c r="K6" s="205"/>
      <c r="L6" s="205"/>
      <c r="M6" s="205"/>
      <c r="N6" s="205"/>
      <c r="O6" s="222"/>
      <c r="P6" s="324"/>
      <c r="Q6" s="216" t="s">
        <v>269</v>
      </c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16" t="s">
        <v>150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306" t="s">
        <v>148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306" t="s">
        <v>219</v>
      </c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 t="s">
        <v>240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 t="s">
        <v>269</v>
      </c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2" si="1">$F$1-F19</f>
        <v>17</v>
      </c>
      <c r="L19" s="205">
        <f t="shared" si="1"/>
        <v>17</v>
      </c>
      <c r="M19" s="205"/>
      <c r="N19" s="205"/>
      <c r="O19" s="222" t="s">
        <v>259</v>
      </c>
      <c r="P19" s="239" t="s">
        <v>263</v>
      </c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1"/>
        <v>21</v>
      </c>
      <c r="L20" s="205">
        <f t="shared" si="1"/>
        <v>21</v>
      </c>
      <c r="M20" s="205"/>
      <c r="N20" s="205"/>
      <c r="O20" s="222" t="s">
        <v>252</v>
      </c>
      <c r="P20" s="324" t="s">
        <v>51</v>
      </c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1"/>
        <v>18</v>
      </c>
      <c r="L21" s="205">
        <f t="shared" si="1"/>
        <v>18</v>
      </c>
      <c r="M21" s="205"/>
      <c r="N21" s="205"/>
      <c r="O21" s="222" t="s">
        <v>271</v>
      </c>
      <c r="P21" s="306" t="s">
        <v>153</v>
      </c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1"/>
        <v>1</v>
      </c>
      <c r="L22" s="201">
        <f t="shared" si="1"/>
        <v>1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 t="s">
        <v>37</v>
      </c>
      <c r="P23" s="268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  <row r="24" spans="1:66" s="226" customFormat="1" ht="13.95" customHeight="1" x14ac:dyDescent="0.3">
      <c r="A24" s="205"/>
      <c r="B24" s="227"/>
      <c r="C24" s="240"/>
      <c r="D24" s="241"/>
      <c r="E24" s="219"/>
      <c r="F24" s="206"/>
      <c r="G24" s="206"/>
      <c r="H24" s="305"/>
      <c r="I24" s="220"/>
      <c r="J24" s="221"/>
      <c r="K24" s="201"/>
      <c r="L24" s="201"/>
      <c r="M24" s="201"/>
      <c r="N24" s="201"/>
      <c r="O24" s="222"/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 t="s">
        <v>38</v>
      </c>
      <c r="P25" s="268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  <row r="26" spans="1:66" s="226" customFormat="1" ht="27" customHeight="1" x14ac:dyDescent="0.3">
      <c r="A26" s="205">
        <v>1</v>
      </c>
      <c r="B26" s="216" t="s">
        <v>116</v>
      </c>
      <c r="C26" s="240" t="s">
        <v>32</v>
      </c>
      <c r="D26" s="241" t="s">
        <v>28</v>
      </c>
      <c r="E26" s="219">
        <v>2010</v>
      </c>
      <c r="F26" s="206">
        <v>46163</v>
      </c>
      <c r="G26" s="206">
        <v>46163</v>
      </c>
      <c r="H26" s="220"/>
      <c r="I26" s="220"/>
      <c r="J26" s="221"/>
      <c r="K26" s="201">
        <f t="shared" ref="K26:L28" si="2">$F$1-F26</f>
        <v>92</v>
      </c>
      <c r="L26" s="201">
        <f t="shared" si="2"/>
        <v>92</v>
      </c>
      <c r="M26" s="201"/>
      <c r="N26" s="201"/>
      <c r="O26" s="222" t="s">
        <v>267</v>
      </c>
      <c r="Q26" s="275"/>
      <c r="R26" s="239"/>
      <c r="S26" s="276"/>
    </row>
    <row r="27" spans="1:66" s="226" customFormat="1" ht="27" customHeight="1" x14ac:dyDescent="0.3">
      <c r="A27" s="215">
        <v>2</v>
      </c>
      <c r="B27" s="239" t="s">
        <v>10</v>
      </c>
      <c r="C27" s="217" t="s">
        <v>32</v>
      </c>
      <c r="D27" s="218" t="s">
        <v>28</v>
      </c>
      <c r="E27" s="219">
        <v>2010</v>
      </c>
      <c r="F27" s="206">
        <v>46220</v>
      </c>
      <c r="G27" s="206">
        <v>46220</v>
      </c>
      <c r="H27" s="220"/>
      <c r="I27" s="220"/>
      <c r="J27" s="221"/>
      <c r="K27" s="201">
        <f t="shared" si="2"/>
        <v>35</v>
      </c>
      <c r="L27" s="201">
        <f t="shared" si="2"/>
        <v>35</v>
      </c>
      <c r="M27" s="201"/>
      <c r="N27" s="201"/>
      <c r="O27" s="222" t="s">
        <v>225</v>
      </c>
      <c r="P27" s="227"/>
      <c r="Q27" s="275"/>
      <c r="R27" s="239"/>
      <c r="S27" s="276"/>
    </row>
    <row r="28" spans="1:66" s="226" customFormat="1" ht="13.95" customHeight="1" x14ac:dyDescent="0.3">
      <c r="A28" s="205">
        <v>3</v>
      </c>
      <c r="B28" s="227" t="s">
        <v>9</v>
      </c>
      <c r="C28" s="240" t="s">
        <v>32</v>
      </c>
      <c r="D28" s="241" t="s">
        <v>28</v>
      </c>
      <c r="E28" s="219">
        <v>2010</v>
      </c>
      <c r="F28" s="206">
        <v>46233</v>
      </c>
      <c r="G28" s="206">
        <v>46233</v>
      </c>
      <c r="H28" s="305"/>
      <c r="I28" s="220"/>
      <c r="J28" s="221"/>
      <c r="K28" s="201">
        <f t="shared" si="2"/>
        <v>22</v>
      </c>
      <c r="L28" s="201">
        <f t="shared" si="2"/>
        <v>22</v>
      </c>
      <c r="M28" s="201"/>
      <c r="N28" s="201"/>
      <c r="O28" s="222" t="s">
        <v>244</v>
      </c>
      <c r="P28" s="260"/>
      <c r="Q28" s="275"/>
      <c r="R28" s="239"/>
      <c r="S28" s="276"/>
    </row>
    <row r="29" spans="1:66" s="259" customFormat="1" ht="13.95" customHeight="1" x14ac:dyDescent="0.3">
      <c r="A29" s="261"/>
      <c r="B29" s="262"/>
      <c r="C29" s="263"/>
      <c r="D29" s="262"/>
      <c r="E29" s="264"/>
      <c r="F29" s="265"/>
      <c r="G29" s="265"/>
      <c r="H29" s="265"/>
      <c r="I29" s="265"/>
      <c r="J29" s="265"/>
      <c r="K29" s="266"/>
      <c r="L29" s="265"/>
      <c r="M29" s="265"/>
      <c r="N29" s="265"/>
      <c r="O29" s="267"/>
      <c r="P29" s="267"/>
      <c r="Q29" s="268"/>
      <c r="R29" s="269"/>
      <c r="S29" s="267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F00D-B231-4555-AD9C-5793C1C6B51A}">
  <dimension ref="A1:BN29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46256</v>
      </c>
      <c r="G1" s="206">
        <v>46256</v>
      </c>
      <c r="H1" s="206">
        <v>46256</v>
      </c>
      <c r="I1" s="206">
        <v>46256</v>
      </c>
      <c r="J1" s="206">
        <v>46256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8" t="s">
        <v>7</v>
      </c>
      <c r="L3" s="358" t="s">
        <v>19</v>
      </c>
      <c r="M3" s="358" t="s">
        <v>20</v>
      </c>
      <c r="N3" s="35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186</v>
      </c>
      <c r="C5" s="331" t="s">
        <v>32</v>
      </c>
      <c r="D5" s="332" t="s">
        <v>28</v>
      </c>
      <c r="E5" s="333">
        <v>2019</v>
      </c>
      <c r="F5" s="334">
        <v>46255</v>
      </c>
      <c r="G5" s="334">
        <v>46255</v>
      </c>
      <c r="H5" s="312"/>
      <c r="I5" s="335"/>
      <c r="J5" s="336"/>
      <c r="K5" s="205">
        <f t="shared" ref="K5:L5" si="0">$F$1-F5</f>
        <v>1</v>
      </c>
      <c r="L5" s="205">
        <f t="shared" si="0"/>
        <v>1</v>
      </c>
      <c r="M5" s="205"/>
      <c r="N5" s="205"/>
      <c r="O5" s="222" t="s">
        <v>103</v>
      </c>
      <c r="P5" s="216"/>
      <c r="Q5" s="216"/>
      <c r="R5" s="216" t="s">
        <v>30</v>
      </c>
      <c r="S5" s="225"/>
    </row>
    <row r="6" spans="1:66" s="226" customFormat="1" x14ac:dyDescent="0.3">
      <c r="A6" s="249">
        <v>2</v>
      </c>
      <c r="B6" s="216" t="s">
        <v>45</v>
      </c>
      <c r="C6" s="331" t="s">
        <v>29</v>
      </c>
      <c r="D6" s="332" t="s">
        <v>28</v>
      </c>
      <c r="E6" s="333">
        <v>2023</v>
      </c>
      <c r="F6" s="334">
        <v>46256</v>
      </c>
      <c r="G6" s="334">
        <v>46256</v>
      </c>
      <c r="H6" s="312"/>
      <c r="I6" s="335"/>
      <c r="J6" s="336"/>
      <c r="K6" s="205">
        <f t="shared" ref="K6" si="1">$F$1-F6</f>
        <v>0</v>
      </c>
      <c r="L6" s="205">
        <f t="shared" ref="L6" si="2">$F$1-G6</f>
        <v>0</v>
      </c>
      <c r="M6" s="205"/>
      <c r="N6" s="205"/>
      <c r="O6" s="222" t="s">
        <v>274</v>
      </c>
      <c r="P6" s="324"/>
      <c r="Q6" s="216"/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16" t="s">
        <v>150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306"/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306" t="s">
        <v>219</v>
      </c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 t="s">
        <v>240</v>
      </c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 t="s">
        <v>269</v>
      </c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2" si="3">$F$1-F19</f>
        <v>18</v>
      </c>
      <c r="L19" s="205">
        <f t="shared" si="3"/>
        <v>18</v>
      </c>
      <c r="M19" s="205"/>
      <c r="N19" s="205"/>
      <c r="O19" s="222" t="s">
        <v>259</v>
      </c>
      <c r="P19" s="239" t="s">
        <v>263</v>
      </c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3"/>
        <v>22</v>
      </c>
      <c r="L20" s="205">
        <f t="shared" si="3"/>
        <v>22</v>
      </c>
      <c r="M20" s="205"/>
      <c r="N20" s="205"/>
      <c r="O20" s="222" t="s">
        <v>252</v>
      </c>
      <c r="P20" s="324" t="s">
        <v>51</v>
      </c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3"/>
        <v>19</v>
      </c>
      <c r="L21" s="205">
        <f t="shared" si="3"/>
        <v>19</v>
      </c>
      <c r="M21" s="205"/>
      <c r="N21" s="205"/>
      <c r="O21" s="222" t="s">
        <v>271</v>
      </c>
      <c r="P21" s="306" t="s">
        <v>153</v>
      </c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3"/>
        <v>2</v>
      </c>
      <c r="L22" s="201">
        <f t="shared" si="3"/>
        <v>2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 t="s">
        <v>37</v>
      </c>
      <c r="P23" s="268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  <row r="24" spans="1:66" s="226" customFormat="1" ht="13.95" customHeight="1" x14ac:dyDescent="0.3">
      <c r="A24" s="205"/>
      <c r="B24" s="227"/>
      <c r="C24" s="240"/>
      <c r="D24" s="241"/>
      <c r="E24" s="219"/>
      <c r="F24" s="206"/>
      <c r="G24" s="206"/>
      <c r="H24" s="305"/>
      <c r="I24" s="220"/>
      <c r="J24" s="221"/>
      <c r="K24" s="201"/>
      <c r="L24" s="201"/>
      <c r="M24" s="201"/>
      <c r="N24" s="201"/>
      <c r="O24" s="222"/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 t="s">
        <v>38</v>
      </c>
      <c r="P25" s="268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  <row r="26" spans="1:66" s="226" customFormat="1" ht="27" customHeight="1" x14ac:dyDescent="0.3">
      <c r="A26" s="205">
        <v>1</v>
      </c>
      <c r="B26" s="216" t="s">
        <v>116</v>
      </c>
      <c r="C26" s="240" t="s">
        <v>32</v>
      </c>
      <c r="D26" s="241" t="s">
        <v>28</v>
      </c>
      <c r="E26" s="219">
        <v>2010</v>
      </c>
      <c r="F26" s="206">
        <v>46163</v>
      </c>
      <c r="G26" s="206">
        <v>46163</v>
      </c>
      <c r="H26" s="220"/>
      <c r="I26" s="220"/>
      <c r="J26" s="221"/>
      <c r="K26" s="201">
        <f t="shared" ref="K26:L28" si="4">$F$1-F26</f>
        <v>93</v>
      </c>
      <c r="L26" s="201">
        <f t="shared" si="4"/>
        <v>93</v>
      </c>
      <c r="M26" s="201"/>
      <c r="N26" s="201"/>
      <c r="O26" s="222" t="s">
        <v>267</v>
      </c>
      <c r="Q26" s="275"/>
      <c r="R26" s="239"/>
      <c r="S26" s="276"/>
    </row>
    <row r="27" spans="1:66" s="226" customFormat="1" ht="27" customHeight="1" x14ac:dyDescent="0.3">
      <c r="A27" s="215">
        <v>2</v>
      </c>
      <c r="B27" s="239" t="s">
        <v>10</v>
      </c>
      <c r="C27" s="217" t="s">
        <v>32</v>
      </c>
      <c r="D27" s="218" t="s">
        <v>28</v>
      </c>
      <c r="E27" s="219">
        <v>2010</v>
      </c>
      <c r="F27" s="206">
        <v>46220</v>
      </c>
      <c r="G27" s="206">
        <v>46220</v>
      </c>
      <c r="H27" s="220"/>
      <c r="I27" s="220"/>
      <c r="J27" s="221"/>
      <c r="K27" s="201">
        <f t="shared" si="4"/>
        <v>36</v>
      </c>
      <c r="L27" s="201">
        <f t="shared" si="4"/>
        <v>36</v>
      </c>
      <c r="M27" s="201"/>
      <c r="N27" s="201"/>
      <c r="O27" s="222" t="s">
        <v>225</v>
      </c>
      <c r="P27" s="227"/>
      <c r="Q27" s="275"/>
      <c r="R27" s="239"/>
      <c r="S27" s="276"/>
    </row>
    <row r="28" spans="1:66" s="226" customFormat="1" ht="13.95" customHeight="1" x14ac:dyDescent="0.3">
      <c r="A28" s="205">
        <v>3</v>
      </c>
      <c r="B28" s="227" t="s">
        <v>9</v>
      </c>
      <c r="C28" s="240" t="s">
        <v>32</v>
      </c>
      <c r="D28" s="241" t="s">
        <v>28</v>
      </c>
      <c r="E28" s="219">
        <v>2010</v>
      </c>
      <c r="F28" s="206">
        <v>46233</v>
      </c>
      <c r="G28" s="206">
        <v>46233</v>
      </c>
      <c r="H28" s="305"/>
      <c r="I28" s="220"/>
      <c r="J28" s="221"/>
      <c r="K28" s="201">
        <f t="shared" si="4"/>
        <v>23</v>
      </c>
      <c r="L28" s="201">
        <f t="shared" si="4"/>
        <v>23</v>
      </c>
      <c r="M28" s="201"/>
      <c r="N28" s="201"/>
      <c r="O28" s="222" t="s">
        <v>244</v>
      </c>
      <c r="P28" s="260"/>
      <c r="Q28" s="275"/>
      <c r="R28" s="239"/>
      <c r="S28" s="276"/>
    </row>
    <row r="29" spans="1:66" s="259" customFormat="1" ht="13.95" customHeight="1" x14ac:dyDescent="0.3">
      <c r="A29" s="261"/>
      <c r="B29" s="262"/>
      <c r="C29" s="263"/>
      <c r="D29" s="262"/>
      <c r="E29" s="264"/>
      <c r="F29" s="265"/>
      <c r="G29" s="265"/>
      <c r="H29" s="265"/>
      <c r="I29" s="265"/>
      <c r="J29" s="265"/>
      <c r="K29" s="266"/>
      <c r="L29" s="265"/>
      <c r="M29" s="265"/>
      <c r="N29" s="265"/>
      <c r="O29" s="267"/>
      <c r="P29" s="267"/>
      <c r="Q29" s="268"/>
      <c r="R29" s="269"/>
      <c r="S29" s="267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0DF9-2E66-48DE-85D9-11703B154948}">
  <dimension ref="A1:BN29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46257</v>
      </c>
      <c r="G1" s="206">
        <v>46257</v>
      </c>
      <c r="H1" s="206">
        <v>46257</v>
      </c>
      <c r="I1" s="206">
        <v>46257</v>
      </c>
      <c r="J1" s="206">
        <v>46257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59" t="s">
        <v>7</v>
      </c>
      <c r="L3" s="359" t="s">
        <v>19</v>
      </c>
      <c r="M3" s="359" t="s">
        <v>20</v>
      </c>
      <c r="N3" s="35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186</v>
      </c>
      <c r="C5" s="331" t="s">
        <v>32</v>
      </c>
      <c r="D5" s="332" t="s">
        <v>28</v>
      </c>
      <c r="E5" s="333">
        <v>2019</v>
      </c>
      <c r="F5" s="334">
        <v>46255</v>
      </c>
      <c r="G5" s="334">
        <v>46255</v>
      </c>
      <c r="H5" s="312"/>
      <c r="I5" s="335"/>
      <c r="J5" s="336"/>
      <c r="K5" s="205">
        <f t="shared" ref="K5:L5" si="0">$F$1-F5</f>
        <v>2</v>
      </c>
      <c r="L5" s="205">
        <f t="shared" si="0"/>
        <v>2</v>
      </c>
      <c r="M5" s="205"/>
      <c r="N5" s="205"/>
      <c r="O5" s="222" t="s">
        <v>103</v>
      </c>
      <c r="P5" s="216" t="s">
        <v>45</v>
      </c>
      <c r="Q5" s="216"/>
      <c r="R5" s="21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334"/>
      <c r="G6" s="334"/>
      <c r="H6" s="312"/>
      <c r="I6" s="335"/>
      <c r="J6" s="336"/>
      <c r="K6" s="205"/>
      <c r="L6" s="205"/>
      <c r="M6" s="205"/>
      <c r="N6" s="205"/>
      <c r="O6" s="222"/>
      <c r="P6" s="324"/>
      <c r="Q6" s="216"/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16" t="s">
        <v>150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216" t="s">
        <v>240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216" t="s">
        <v>269</v>
      </c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2" si="1">$F$1-F19</f>
        <v>19</v>
      </c>
      <c r="L19" s="205">
        <f t="shared" si="1"/>
        <v>19</v>
      </c>
      <c r="M19" s="205"/>
      <c r="N19" s="205"/>
      <c r="O19" s="222" t="s">
        <v>259</v>
      </c>
      <c r="P19" s="239" t="s">
        <v>263</v>
      </c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1"/>
        <v>23</v>
      </c>
      <c r="L20" s="205">
        <f t="shared" si="1"/>
        <v>23</v>
      </c>
      <c r="M20" s="205"/>
      <c r="N20" s="205"/>
      <c r="O20" s="222" t="s">
        <v>252</v>
      </c>
      <c r="P20" s="324" t="s">
        <v>51</v>
      </c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1"/>
        <v>20</v>
      </c>
      <c r="L21" s="205">
        <f t="shared" si="1"/>
        <v>20</v>
      </c>
      <c r="M21" s="205"/>
      <c r="N21" s="205"/>
      <c r="O21" s="222" t="s">
        <v>271</v>
      </c>
      <c r="P21" s="306" t="s">
        <v>153</v>
      </c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1"/>
        <v>3</v>
      </c>
      <c r="L22" s="201">
        <f t="shared" si="1"/>
        <v>3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 t="s">
        <v>37</v>
      </c>
      <c r="P23" s="268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  <row r="24" spans="1:66" s="226" customFormat="1" ht="13.95" customHeight="1" x14ac:dyDescent="0.3">
      <c r="A24" s="205"/>
      <c r="B24" s="227"/>
      <c r="C24" s="240"/>
      <c r="D24" s="241"/>
      <c r="E24" s="219"/>
      <c r="F24" s="206"/>
      <c r="G24" s="206"/>
      <c r="H24" s="305"/>
      <c r="I24" s="220"/>
      <c r="J24" s="221"/>
      <c r="K24" s="201"/>
      <c r="L24" s="201"/>
      <c r="M24" s="201"/>
      <c r="N24" s="201"/>
      <c r="O24" s="222"/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 t="s">
        <v>38</v>
      </c>
      <c r="P25" s="268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  <row r="26" spans="1:66" s="226" customFormat="1" ht="27" customHeight="1" x14ac:dyDescent="0.3">
      <c r="A26" s="205">
        <v>1</v>
      </c>
      <c r="B26" s="216" t="s">
        <v>116</v>
      </c>
      <c r="C26" s="240" t="s">
        <v>32</v>
      </c>
      <c r="D26" s="241" t="s">
        <v>28</v>
      </c>
      <c r="E26" s="219">
        <v>2010</v>
      </c>
      <c r="F26" s="206">
        <v>46163</v>
      </c>
      <c r="G26" s="206">
        <v>46163</v>
      </c>
      <c r="H26" s="220"/>
      <c r="I26" s="220"/>
      <c r="J26" s="221"/>
      <c r="K26" s="201">
        <f t="shared" ref="K26:L28" si="2">$F$1-F26</f>
        <v>94</v>
      </c>
      <c r="L26" s="201">
        <f t="shared" si="2"/>
        <v>94</v>
      </c>
      <c r="M26" s="201"/>
      <c r="N26" s="201"/>
      <c r="O26" s="222" t="s">
        <v>267</v>
      </c>
      <c r="Q26" s="275"/>
      <c r="R26" s="239"/>
      <c r="S26" s="276"/>
    </row>
    <row r="27" spans="1:66" s="226" customFormat="1" ht="27" customHeight="1" x14ac:dyDescent="0.3">
      <c r="A27" s="215">
        <v>2</v>
      </c>
      <c r="B27" s="239" t="s">
        <v>10</v>
      </c>
      <c r="C27" s="217" t="s">
        <v>32</v>
      </c>
      <c r="D27" s="218" t="s">
        <v>28</v>
      </c>
      <c r="E27" s="219">
        <v>2010</v>
      </c>
      <c r="F27" s="206">
        <v>46220</v>
      </c>
      <c r="G27" s="206">
        <v>46220</v>
      </c>
      <c r="H27" s="220"/>
      <c r="I27" s="220"/>
      <c r="J27" s="221"/>
      <c r="K27" s="201">
        <f t="shared" si="2"/>
        <v>37</v>
      </c>
      <c r="L27" s="201">
        <f t="shared" si="2"/>
        <v>37</v>
      </c>
      <c r="M27" s="201"/>
      <c r="N27" s="201"/>
      <c r="O27" s="222" t="s">
        <v>225</v>
      </c>
      <c r="P27" s="227"/>
      <c r="Q27" s="275"/>
      <c r="R27" s="239"/>
      <c r="S27" s="276"/>
    </row>
    <row r="28" spans="1:66" s="226" customFormat="1" ht="13.95" customHeight="1" x14ac:dyDescent="0.3">
      <c r="A28" s="205">
        <v>3</v>
      </c>
      <c r="B28" s="227" t="s">
        <v>9</v>
      </c>
      <c r="C28" s="240" t="s">
        <v>32</v>
      </c>
      <c r="D28" s="241" t="s">
        <v>28</v>
      </c>
      <c r="E28" s="219">
        <v>2010</v>
      </c>
      <c r="F28" s="206">
        <v>46233</v>
      </c>
      <c r="G28" s="206">
        <v>46233</v>
      </c>
      <c r="H28" s="305"/>
      <c r="I28" s="220"/>
      <c r="J28" s="221"/>
      <c r="K28" s="201">
        <f t="shared" si="2"/>
        <v>24</v>
      </c>
      <c r="L28" s="201">
        <f t="shared" si="2"/>
        <v>24</v>
      </c>
      <c r="M28" s="201"/>
      <c r="N28" s="201"/>
      <c r="O28" s="222" t="s">
        <v>244</v>
      </c>
      <c r="P28" s="260"/>
      <c r="Q28" s="275"/>
      <c r="R28" s="239"/>
      <c r="S28" s="276"/>
    </row>
    <row r="29" spans="1:66" s="259" customFormat="1" ht="13.95" customHeight="1" x14ac:dyDescent="0.3">
      <c r="A29" s="261"/>
      <c r="B29" s="262"/>
      <c r="C29" s="263"/>
      <c r="D29" s="262"/>
      <c r="E29" s="264"/>
      <c r="F29" s="265"/>
      <c r="G29" s="265"/>
      <c r="H29" s="265"/>
      <c r="I29" s="265"/>
      <c r="J29" s="265"/>
      <c r="K29" s="266"/>
      <c r="L29" s="265"/>
      <c r="M29" s="265"/>
      <c r="N29" s="265"/>
      <c r="O29" s="267"/>
      <c r="P29" s="267"/>
      <c r="Q29" s="268"/>
      <c r="R29" s="269"/>
      <c r="S29" s="267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FACE-6A44-45A9-A3C5-593BDDB00835}">
  <dimension ref="A1:BN30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46258</v>
      </c>
      <c r="G1" s="206">
        <v>46258</v>
      </c>
      <c r="H1" s="206">
        <v>46258</v>
      </c>
      <c r="I1" s="206">
        <v>46258</v>
      </c>
      <c r="J1" s="206">
        <v>46258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0" t="s">
        <v>7</v>
      </c>
      <c r="L3" s="360" t="s">
        <v>19</v>
      </c>
      <c r="M3" s="360" t="s">
        <v>20</v>
      </c>
      <c r="N3" s="36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/>
      <c r="B5" s="216"/>
      <c r="C5" s="331"/>
      <c r="D5" s="332"/>
      <c r="E5" s="333"/>
      <c r="F5" s="334"/>
      <c r="G5" s="334"/>
      <c r="H5" s="312"/>
      <c r="I5" s="335"/>
      <c r="J5" s="336"/>
      <c r="K5" s="205">
        <f t="shared" ref="K5:L5" si="0">$F$1-F5</f>
        <v>46258</v>
      </c>
      <c r="L5" s="205">
        <f t="shared" si="0"/>
        <v>46258</v>
      </c>
      <c r="M5" s="205"/>
      <c r="N5" s="205"/>
      <c r="O5" s="222"/>
      <c r="P5" s="216"/>
      <c r="Q5" s="216"/>
      <c r="R5" s="21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334"/>
      <c r="G6" s="334"/>
      <c r="H6" s="312"/>
      <c r="I6" s="335"/>
      <c r="J6" s="336"/>
      <c r="K6" s="205"/>
      <c r="L6" s="205"/>
      <c r="M6" s="205"/>
      <c r="N6" s="205"/>
      <c r="O6" s="222"/>
      <c r="P6" s="324"/>
      <c r="Q6" s="216"/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16" t="s">
        <v>150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216" t="s">
        <v>240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216" t="s">
        <v>275</v>
      </c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3" si="1">$F$1-F19</f>
        <v>20</v>
      </c>
      <c r="L19" s="205">
        <f t="shared" si="1"/>
        <v>20</v>
      </c>
      <c r="M19" s="205"/>
      <c r="N19" s="205"/>
      <c r="O19" s="222" t="s">
        <v>259</v>
      </c>
      <c r="P19" s="239" t="s">
        <v>263</v>
      </c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1"/>
        <v>24</v>
      </c>
      <c r="L20" s="205">
        <f t="shared" si="1"/>
        <v>24</v>
      </c>
      <c r="M20" s="205"/>
      <c r="N20" s="205"/>
      <c r="O20" s="222" t="s">
        <v>252</v>
      </c>
      <c r="P20" s="324" t="s">
        <v>51</v>
      </c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1"/>
        <v>21</v>
      </c>
      <c r="L21" s="205">
        <f t="shared" si="1"/>
        <v>21</v>
      </c>
      <c r="M21" s="205"/>
      <c r="N21" s="205"/>
      <c r="O21" s="222" t="s">
        <v>271</v>
      </c>
      <c r="P21" s="306" t="s">
        <v>153</v>
      </c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1"/>
        <v>4</v>
      </c>
      <c r="L22" s="201">
        <f t="shared" si="1"/>
        <v>4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26" customFormat="1" ht="31.95" customHeight="1" x14ac:dyDescent="0.3">
      <c r="A23" s="249">
        <v>5</v>
      </c>
      <c r="B23" s="216" t="s">
        <v>186</v>
      </c>
      <c r="C23" s="331" t="s">
        <v>32</v>
      </c>
      <c r="D23" s="332" t="s">
        <v>28</v>
      </c>
      <c r="E23" s="333">
        <v>2019</v>
      </c>
      <c r="F23" s="334">
        <v>46255</v>
      </c>
      <c r="G23" s="334">
        <v>46255</v>
      </c>
      <c r="H23" s="312"/>
      <c r="I23" s="335"/>
      <c r="J23" s="336"/>
      <c r="K23" s="205">
        <f t="shared" si="1"/>
        <v>3</v>
      </c>
      <c r="L23" s="205">
        <f t="shared" si="1"/>
        <v>3</v>
      </c>
      <c r="M23" s="205"/>
      <c r="N23" s="205"/>
      <c r="O23" s="222" t="s">
        <v>103</v>
      </c>
      <c r="P23" s="216" t="s">
        <v>45</v>
      </c>
      <c r="Q23" s="251"/>
      <c r="R23" s="252"/>
      <c r="S23" s="253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 t="s">
        <v>37</v>
      </c>
      <c r="P24" s="268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  <row r="25" spans="1:66" s="226" customFormat="1" ht="13.95" customHeight="1" x14ac:dyDescent="0.3">
      <c r="A25" s="205"/>
      <c r="B25" s="227"/>
      <c r="C25" s="240"/>
      <c r="D25" s="241"/>
      <c r="E25" s="219"/>
      <c r="F25" s="206"/>
      <c r="G25" s="206"/>
      <c r="H25" s="305"/>
      <c r="I25" s="220"/>
      <c r="J25" s="221"/>
      <c r="K25" s="201"/>
      <c r="L25" s="201"/>
      <c r="M25" s="201"/>
      <c r="N25" s="201"/>
      <c r="O25" s="222"/>
      <c r="P25" s="260"/>
      <c r="Q25" s="275"/>
      <c r="R25" s="239"/>
      <c r="S25" s="276"/>
    </row>
    <row r="26" spans="1:66" s="259" customFormat="1" ht="13.95" customHeight="1" x14ac:dyDescent="0.3">
      <c r="A26" s="261"/>
      <c r="B26" s="262"/>
      <c r="C26" s="263"/>
      <c r="D26" s="262"/>
      <c r="E26" s="264"/>
      <c r="F26" s="265"/>
      <c r="G26" s="265"/>
      <c r="H26" s="265"/>
      <c r="I26" s="265"/>
      <c r="J26" s="265"/>
      <c r="K26" s="266"/>
      <c r="L26" s="265"/>
      <c r="M26" s="265"/>
      <c r="N26" s="265"/>
      <c r="O26" s="267" t="s">
        <v>38</v>
      </c>
      <c r="P26" s="268"/>
      <c r="Q26" s="268"/>
      <c r="R26" s="269"/>
      <c r="S26" s="267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</row>
    <row r="27" spans="1:66" s="226" customFormat="1" ht="27" customHeight="1" x14ac:dyDescent="0.3">
      <c r="A27" s="205">
        <v>1</v>
      </c>
      <c r="B27" s="216" t="s">
        <v>116</v>
      </c>
      <c r="C27" s="240" t="s">
        <v>32</v>
      </c>
      <c r="D27" s="241" t="s">
        <v>28</v>
      </c>
      <c r="E27" s="219">
        <v>2010</v>
      </c>
      <c r="F27" s="206">
        <v>46163</v>
      </c>
      <c r="G27" s="206">
        <v>46163</v>
      </c>
      <c r="H27" s="220"/>
      <c r="I27" s="220"/>
      <c r="J27" s="221"/>
      <c r="K27" s="201">
        <f t="shared" ref="K27:L29" si="2">$F$1-F27</f>
        <v>95</v>
      </c>
      <c r="L27" s="201">
        <f t="shared" si="2"/>
        <v>95</v>
      </c>
      <c r="M27" s="201"/>
      <c r="N27" s="201"/>
      <c r="O27" s="222" t="s">
        <v>267</v>
      </c>
      <c r="Q27" s="275"/>
      <c r="R27" s="239"/>
      <c r="S27" s="276"/>
    </row>
    <row r="28" spans="1:66" s="226" customFormat="1" ht="27" customHeight="1" x14ac:dyDescent="0.3">
      <c r="A28" s="215">
        <v>2</v>
      </c>
      <c r="B28" s="239" t="s">
        <v>10</v>
      </c>
      <c r="C28" s="217" t="s">
        <v>32</v>
      </c>
      <c r="D28" s="218" t="s">
        <v>28</v>
      </c>
      <c r="E28" s="219">
        <v>2010</v>
      </c>
      <c r="F28" s="206">
        <v>46220</v>
      </c>
      <c r="G28" s="206">
        <v>46220</v>
      </c>
      <c r="H28" s="220"/>
      <c r="I28" s="220"/>
      <c r="J28" s="221"/>
      <c r="K28" s="201">
        <f t="shared" si="2"/>
        <v>38</v>
      </c>
      <c r="L28" s="201">
        <f t="shared" si="2"/>
        <v>38</v>
      </c>
      <c r="M28" s="201"/>
      <c r="N28" s="201"/>
      <c r="O28" s="222" t="s">
        <v>225</v>
      </c>
      <c r="P28" s="227"/>
      <c r="Q28" s="275"/>
      <c r="R28" s="239"/>
      <c r="S28" s="276"/>
    </row>
    <row r="29" spans="1:66" s="226" customFormat="1" ht="13.95" customHeight="1" x14ac:dyDescent="0.3">
      <c r="A29" s="205">
        <v>3</v>
      </c>
      <c r="B29" s="227" t="s">
        <v>9</v>
      </c>
      <c r="C29" s="240" t="s">
        <v>32</v>
      </c>
      <c r="D29" s="241" t="s">
        <v>28</v>
      </c>
      <c r="E29" s="219">
        <v>2010</v>
      </c>
      <c r="F29" s="206">
        <v>46233</v>
      </c>
      <c r="G29" s="206">
        <v>46233</v>
      </c>
      <c r="H29" s="305"/>
      <c r="I29" s="220"/>
      <c r="J29" s="221"/>
      <c r="K29" s="201">
        <f t="shared" si="2"/>
        <v>25</v>
      </c>
      <c r="L29" s="201">
        <f t="shared" si="2"/>
        <v>25</v>
      </c>
      <c r="M29" s="201"/>
      <c r="N29" s="201"/>
      <c r="O29" s="222" t="s">
        <v>244</v>
      </c>
      <c r="P29" s="260"/>
      <c r="Q29" s="275"/>
      <c r="R29" s="239"/>
      <c r="S29" s="276"/>
    </row>
    <row r="30" spans="1:66" s="259" customFormat="1" ht="13.95" customHeight="1" x14ac:dyDescent="0.3">
      <c r="A30" s="261"/>
      <c r="B30" s="262"/>
      <c r="C30" s="263"/>
      <c r="D30" s="262"/>
      <c r="E30" s="264"/>
      <c r="F30" s="265"/>
      <c r="G30" s="265"/>
      <c r="H30" s="265"/>
      <c r="I30" s="265"/>
      <c r="J30" s="265"/>
      <c r="K30" s="266"/>
      <c r="L30" s="265"/>
      <c r="M30" s="265"/>
      <c r="N30" s="265"/>
      <c r="O30" s="267"/>
      <c r="P30" s="267"/>
      <c r="Q30" s="268"/>
      <c r="R30" s="269"/>
      <c r="S30" s="267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E3E9-F457-4632-BC08-0B7E7AE1D97F}">
  <dimension ref="A1:BN29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46259</v>
      </c>
      <c r="G1" s="206">
        <v>46259</v>
      </c>
      <c r="H1" s="206">
        <v>46259</v>
      </c>
      <c r="I1" s="206">
        <v>46259</v>
      </c>
      <c r="J1" s="206">
        <v>46259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1" t="s">
        <v>7</v>
      </c>
      <c r="L3" s="361" t="s">
        <v>19</v>
      </c>
      <c r="M3" s="361" t="s">
        <v>20</v>
      </c>
      <c r="N3" s="36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219</v>
      </c>
      <c r="C5" s="331" t="s">
        <v>32</v>
      </c>
      <c r="D5" s="332" t="s">
        <v>28</v>
      </c>
      <c r="E5" s="333">
        <v>2010</v>
      </c>
      <c r="F5" s="334">
        <v>46259</v>
      </c>
      <c r="G5" s="334">
        <v>46259</v>
      </c>
      <c r="H5" s="312"/>
      <c r="I5" s="335"/>
      <c r="J5" s="336"/>
      <c r="K5" s="205">
        <f t="shared" ref="K5:L5" si="0">$F$1-F5</f>
        <v>0</v>
      </c>
      <c r="L5" s="205">
        <f t="shared" si="0"/>
        <v>0</v>
      </c>
      <c r="M5" s="205"/>
      <c r="N5" s="205"/>
      <c r="O5" s="222" t="s">
        <v>276</v>
      </c>
      <c r="P5" s="216" t="s">
        <v>45</v>
      </c>
      <c r="Q5" s="216" t="s">
        <v>186</v>
      </c>
      <c r="R5" s="21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334"/>
      <c r="G6" s="334"/>
      <c r="H6" s="312"/>
      <c r="I6" s="335"/>
      <c r="J6" s="336"/>
      <c r="K6" s="205"/>
      <c r="L6" s="205"/>
      <c r="M6" s="205"/>
      <c r="N6" s="205"/>
      <c r="O6" s="222"/>
      <c r="P6" s="324"/>
      <c r="Q6" s="216"/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16" t="s">
        <v>150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216" t="s">
        <v>240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216" t="s">
        <v>275</v>
      </c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2" si="1">$F$1-F19</f>
        <v>21</v>
      </c>
      <c r="L19" s="205">
        <f t="shared" si="1"/>
        <v>21</v>
      </c>
      <c r="M19" s="205"/>
      <c r="N19" s="205"/>
      <c r="O19" s="222" t="s">
        <v>277</v>
      </c>
      <c r="P19" s="239" t="s">
        <v>263</v>
      </c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1"/>
        <v>25</v>
      </c>
      <c r="L20" s="205">
        <f t="shared" si="1"/>
        <v>25</v>
      </c>
      <c r="M20" s="205"/>
      <c r="N20" s="205"/>
      <c r="O20" s="222" t="s">
        <v>252</v>
      </c>
      <c r="P20" s="324" t="s">
        <v>51</v>
      </c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1"/>
        <v>22</v>
      </c>
      <c r="L21" s="205">
        <f t="shared" si="1"/>
        <v>22</v>
      </c>
      <c r="M21" s="205"/>
      <c r="N21" s="205"/>
      <c r="O21" s="222" t="s">
        <v>271</v>
      </c>
      <c r="P21" s="306" t="s">
        <v>153</v>
      </c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1"/>
        <v>5</v>
      </c>
      <c r="L22" s="201">
        <f t="shared" si="1"/>
        <v>5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 t="s">
        <v>37</v>
      </c>
      <c r="P23" s="268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  <row r="24" spans="1:66" s="226" customFormat="1" ht="13.95" customHeight="1" x14ac:dyDescent="0.3">
      <c r="A24" s="205"/>
      <c r="B24" s="227"/>
      <c r="C24" s="240"/>
      <c r="D24" s="241"/>
      <c r="E24" s="219"/>
      <c r="F24" s="206"/>
      <c r="G24" s="206"/>
      <c r="H24" s="305"/>
      <c r="I24" s="220"/>
      <c r="J24" s="221"/>
      <c r="K24" s="201"/>
      <c r="L24" s="201"/>
      <c r="M24" s="201"/>
      <c r="N24" s="201"/>
      <c r="O24" s="222"/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 t="s">
        <v>38</v>
      </c>
      <c r="P25" s="268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  <row r="26" spans="1:66" s="226" customFormat="1" ht="27" customHeight="1" x14ac:dyDescent="0.3">
      <c r="A26" s="205">
        <v>1</v>
      </c>
      <c r="B26" s="216" t="s">
        <v>116</v>
      </c>
      <c r="C26" s="240" t="s">
        <v>32</v>
      </c>
      <c r="D26" s="241" t="s">
        <v>28</v>
      </c>
      <c r="E26" s="219">
        <v>2010</v>
      </c>
      <c r="F26" s="206">
        <v>46163</v>
      </c>
      <c r="G26" s="206">
        <v>46163</v>
      </c>
      <c r="H26" s="220"/>
      <c r="I26" s="220"/>
      <c r="J26" s="221"/>
      <c r="K26" s="201">
        <f t="shared" ref="K26:L28" si="2">$F$1-F26</f>
        <v>96</v>
      </c>
      <c r="L26" s="201">
        <f t="shared" si="2"/>
        <v>96</v>
      </c>
      <c r="M26" s="201"/>
      <c r="N26" s="201"/>
      <c r="O26" s="222" t="s">
        <v>267</v>
      </c>
      <c r="Q26" s="275"/>
      <c r="R26" s="239"/>
      <c r="S26" s="276"/>
    </row>
    <row r="27" spans="1:66" s="226" customFormat="1" ht="27" customHeight="1" x14ac:dyDescent="0.3">
      <c r="A27" s="215">
        <v>2</v>
      </c>
      <c r="B27" s="239" t="s">
        <v>10</v>
      </c>
      <c r="C27" s="217" t="s">
        <v>32</v>
      </c>
      <c r="D27" s="218" t="s">
        <v>28</v>
      </c>
      <c r="E27" s="219">
        <v>2010</v>
      </c>
      <c r="F27" s="206">
        <v>46220</v>
      </c>
      <c r="G27" s="206">
        <v>46220</v>
      </c>
      <c r="H27" s="220"/>
      <c r="I27" s="220"/>
      <c r="J27" s="221"/>
      <c r="K27" s="201">
        <f t="shared" si="2"/>
        <v>39</v>
      </c>
      <c r="L27" s="201">
        <f t="shared" si="2"/>
        <v>39</v>
      </c>
      <c r="M27" s="201"/>
      <c r="N27" s="201"/>
      <c r="O27" s="222" t="s">
        <v>225</v>
      </c>
      <c r="P27" s="227"/>
      <c r="Q27" s="275"/>
      <c r="R27" s="239"/>
      <c r="S27" s="276"/>
    </row>
    <row r="28" spans="1:66" s="226" customFormat="1" ht="13.95" customHeight="1" x14ac:dyDescent="0.3">
      <c r="A28" s="205">
        <v>3</v>
      </c>
      <c r="B28" s="227" t="s">
        <v>9</v>
      </c>
      <c r="C28" s="240" t="s">
        <v>32</v>
      </c>
      <c r="D28" s="241" t="s">
        <v>28</v>
      </c>
      <c r="E28" s="219">
        <v>2010</v>
      </c>
      <c r="F28" s="206">
        <v>46233</v>
      </c>
      <c r="G28" s="206">
        <v>46233</v>
      </c>
      <c r="H28" s="305"/>
      <c r="I28" s="220"/>
      <c r="J28" s="221"/>
      <c r="K28" s="201">
        <f t="shared" si="2"/>
        <v>26</v>
      </c>
      <c r="L28" s="201">
        <f t="shared" si="2"/>
        <v>26</v>
      </c>
      <c r="M28" s="201"/>
      <c r="N28" s="201"/>
      <c r="O28" s="222" t="s">
        <v>244</v>
      </c>
      <c r="P28" s="260"/>
      <c r="Q28" s="275"/>
      <c r="R28" s="239"/>
      <c r="S28" s="276"/>
    </row>
    <row r="29" spans="1:66" s="259" customFormat="1" ht="13.95" customHeight="1" x14ac:dyDescent="0.3">
      <c r="A29" s="261"/>
      <c r="B29" s="262"/>
      <c r="C29" s="263"/>
      <c r="D29" s="262"/>
      <c r="E29" s="264"/>
      <c r="F29" s="265"/>
      <c r="G29" s="265"/>
      <c r="H29" s="265"/>
      <c r="I29" s="265"/>
      <c r="J29" s="265"/>
      <c r="K29" s="266"/>
      <c r="L29" s="265"/>
      <c r="M29" s="265"/>
      <c r="N29" s="265"/>
      <c r="O29" s="267"/>
      <c r="P29" s="267"/>
      <c r="Q29" s="268"/>
      <c r="R29" s="269"/>
      <c r="S29" s="267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6"/>
      <c r="AX29" s="226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54C1-9F0A-4F75-81B0-F640300CD029}">
  <dimension ref="A1:BN30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46260</v>
      </c>
      <c r="G1" s="206">
        <v>46260</v>
      </c>
      <c r="H1" s="206">
        <v>46260</v>
      </c>
      <c r="I1" s="206">
        <v>46260</v>
      </c>
      <c r="J1" s="206">
        <v>46260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2" t="s">
        <v>7</v>
      </c>
      <c r="L3" s="362" t="s">
        <v>19</v>
      </c>
      <c r="M3" s="362" t="s">
        <v>20</v>
      </c>
      <c r="N3" s="36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/>
      <c r="B5" s="216"/>
      <c r="C5" s="331"/>
      <c r="D5" s="332"/>
      <c r="E5" s="333"/>
      <c r="F5" s="334"/>
      <c r="G5" s="334"/>
      <c r="H5" s="312"/>
      <c r="I5" s="335"/>
      <c r="J5" s="336"/>
      <c r="K5" s="205">
        <f t="shared" ref="K5:L5" si="0">$F$1-F5</f>
        <v>46260</v>
      </c>
      <c r="L5" s="205">
        <f t="shared" si="0"/>
        <v>46260</v>
      </c>
      <c r="M5" s="205"/>
      <c r="N5" s="205"/>
      <c r="O5" s="222"/>
      <c r="P5" s="216"/>
      <c r="Q5" s="216"/>
      <c r="R5" s="21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334"/>
      <c r="G6" s="334"/>
      <c r="H6" s="312"/>
      <c r="I6" s="335"/>
      <c r="J6" s="336"/>
      <c r="K6" s="205"/>
      <c r="L6" s="205"/>
      <c r="M6" s="205"/>
      <c r="N6" s="205"/>
      <c r="O6" s="222"/>
      <c r="P6" s="324"/>
      <c r="Q6" s="216"/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16" t="s">
        <v>45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216" t="s">
        <v>240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216" t="s">
        <v>275</v>
      </c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3" si="1">$F$1-F19</f>
        <v>22</v>
      </c>
      <c r="L19" s="205">
        <f t="shared" si="1"/>
        <v>22</v>
      </c>
      <c r="M19" s="205"/>
      <c r="N19" s="205"/>
      <c r="O19" s="222" t="s">
        <v>277</v>
      </c>
      <c r="P19" s="239" t="s">
        <v>263</v>
      </c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1"/>
        <v>26</v>
      </c>
      <c r="L20" s="205">
        <f t="shared" si="1"/>
        <v>26</v>
      </c>
      <c r="M20" s="205"/>
      <c r="N20" s="205"/>
      <c r="O20" s="222" t="s">
        <v>252</v>
      </c>
      <c r="P20" s="324" t="s">
        <v>51</v>
      </c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1"/>
        <v>23</v>
      </c>
      <c r="L21" s="205">
        <f t="shared" si="1"/>
        <v>23</v>
      </c>
      <c r="M21" s="205"/>
      <c r="N21" s="205"/>
      <c r="O21" s="222" t="s">
        <v>271</v>
      </c>
      <c r="P21" s="306" t="s">
        <v>153</v>
      </c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1"/>
        <v>6</v>
      </c>
      <c r="L22" s="201">
        <f t="shared" si="1"/>
        <v>6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26" customFormat="1" ht="31.95" customHeight="1" x14ac:dyDescent="0.3">
      <c r="A23" s="249">
        <v>5</v>
      </c>
      <c r="B23" s="216" t="s">
        <v>219</v>
      </c>
      <c r="C23" s="331" t="s">
        <v>32</v>
      </c>
      <c r="D23" s="332" t="s">
        <v>28</v>
      </c>
      <c r="E23" s="333">
        <v>2010</v>
      </c>
      <c r="F23" s="334">
        <v>46259</v>
      </c>
      <c r="G23" s="334">
        <v>46259</v>
      </c>
      <c r="H23" s="312"/>
      <c r="I23" s="335"/>
      <c r="J23" s="336"/>
      <c r="K23" s="205">
        <f t="shared" si="1"/>
        <v>1</v>
      </c>
      <c r="L23" s="205">
        <f t="shared" si="1"/>
        <v>1</v>
      </c>
      <c r="M23" s="205"/>
      <c r="N23" s="205"/>
      <c r="O23" s="222" t="s">
        <v>276</v>
      </c>
      <c r="P23" s="216" t="s">
        <v>275</v>
      </c>
      <c r="Q23" s="251"/>
      <c r="R23" s="252"/>
      <c r="S23" s="253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 t="s">
        <v>37</v>
      </c>
      <c r="P24" s="268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  <row r="25" spans="1:66" s="226" customFormat="1" ht="13.95" customHeight="1" x14ac:dyDescent="0.3">
      <c r="A25" s="205"/>
      <c r="B25" s="227"/>
      <c r="C25" s="240"/>
      <c r="D25" s="241"/>
      <c r="E25" s="219"/>
      <c r="F25" s="206"/>
      <c r="G25" s="206"/>
      <c r="H25" s="305"/>
      <c r="I25" s="220"/>
      <c r="J25" s="221"/>
      <c r="K25" s="201"/>
      <c r="L25" s="201"/>
      <c r="M25" s="201"/>
      <c r="N25" s="201"/>
      <c r="O25" s="222"/>
      <c r="P25" s="260"/>
      <c r="Q25" s="275"/>
      <c r="R25" s="239"/>
      <c r="S25" s="276"/>
    </row>
    <row r="26" spans="1:66" s="259" customFormat="1" ht="13.95" customHeight="1" x14ac:dyDescent="0.3">
      <c r="A26" s="261"/>
      <c r="B26" s="262"/>
      <c r="C26" s="263"/>
      <c r="D26" s="262"/>
      <c r="E26" s="264"/>
      <c r="F26" s="265"/>
      <c r="G26" s="265"/>
      <c r="H26" s="265"/>
      <c r="I26" s="265"/>
      <c r="J26" s="265"/>
      <c r="K26" s="266"/>
      <c r="L26" s="265"/>
      <c r="M26" s="265"/>
      <c r="N26" s="265"/>
      <c r="O26" s="267" t="s">
        <v>38</v>
      </c>
      <c r="P26" s="268"/>
      <c r="Q26" s="268"/>
      <c r="R26" s="269"/>
      <c r="S26" s="267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</row>
    <row r="27" spans="1:66" s="226" customFormat="1" ht="27" customHeight="1" x14ac:dyDescent="0.3">
      <c r="A27" s="205">
        <v>1</v>
      </c>
      <c r="B27" s="216" t="s">
        <v>116</v>
      </c>
      <c r="C27" s="240" t="s">
        <v>32</v>
      </c>
      <c r="D27" s="241" t="s">
        <v>28</v>
      </c>
      <c r="E27" s="219">
        <v>2010</v>
      </c>
      <c r="F27" s="206">
        <v>46163</v>
      </c>
      <c r="G27" s="206">
        <v>46163</v>
      </c>
      <c r="H27" s="220"/>
      <c r="I27" s="220"/>
      <c r="J27" s="221"/>
      <c r="K27" s="201">
        <f t="shared" ref="K27:L29" si="2">$F$1-F27</f>
        <v>97</v>
      </c>
      <c r="L27" s="201">
        <f t="shared" si="2"/>
        <v>97</v>
      </c>
      <c r="M27" s="201"/>
      <c r="N27" s="201"/>
      <c r="O27" s="222" t="s">
        <v>267</v>
      </c>
      <c r="Q27" s="275"/>
      <c r="R27" s="239"/>
      <c r="S27" s="276"/>
    </row>
    <row r="28" spans="1:66" s="226" customFormat="1" ht="27" customHeight="1" x14ac:dyDescent="0.3">
      <c r="A28" s="215">
        <v>2</v>
      </c>
      <c r="B28" s="239" t="s">
        <v>10</v>
      </c>
      <c r="C28" s="217" t="s">
        <v>32</v>
      </c>
      <c r="D28" s="218" t="s">
        <v>28</v>
      </c>
      <c r="E28" s="219">
        <v>2010</v>
      </c>
      <c r="F28" s="206">
        <v>46220</v>
      </c>
      <c r="G28" s="206">
        <v>46220</v>
      </c>
      <c r="H28" s="220"/>
      <c r="I28" s="220"/>
      <c r="J28" s="221"/>
      <c r="K28" s="201">
        <f t="shared" si="2"/>
        <v>40</v>
      </c>
      <c r="L28" s="201">
        <f t="shared" si="2"/>
        <v>40</v>
      </c>
      <c r="M28" s="201"/>
      <c r="N28" s="201"/>
      <c r="O28" s="222" t="s">
        <v>225</v>
      </c>
      <c r="P28" s="227"/>
      <c r="Q28" s="275"/>
      <c r="R28" s="239"/>
      <c r="S28" s="276"/>
    </row>
    <row r="29" spans="1:66" s="226" customFormat="1" ht="13.95" customHeight="1" x14ac:dyDescent="0.3">
      <c r="A29" s="205">
        <v>3</v>
      </c>
      <c r="B29" s="227" t="s">
        <v>9</v>
      </c>
      <c r="C29" s="240" t="s">
        <v>32</v>
      </c>
      <c r="D29" s="241" t="s">
        <v>28</v>
      </c>
      <c r="E29" s="219">
        <v>2010</v>
      </c>
      <c r="F29" s="206">
        <v>46233</v>
      </c>
      <c r="G29" s="206">
        <v>46233</v>
      </c>
      <c r="H29" s="305"/>
      <c r="I29" s="220"/>
      <c r="J29" s="221"/>
      <c r="K29" s="201">
        <f t="shared" si="2"/>
        <v>27</v>
      </c>
      <c r="L29" s="201">
        <f t="shared" si="2"/>
        <v>27</v>
      </c>
      <c r="M29" s="201"/>
      <c r="N29" s="201"/>
      <c r="O29" s="222" t="s">
        <v>244</v>
      </c>
      <c r="P29" s="260"/>
      <c r="Q29" s="275"/>
      <c r="R29" s="239"/>
      <c r="S29" s="276"/>
    </row>
    <row r="30" spans="1:66" s="259" customFormat="1" ht="13.95" customHeight="1" x14ac:dyDescent="0.3">
      <c r="A30" s="261"/>
      <c r="B30" s="262"/>
      <c r="C30" s="263"/>
      <c r="D30" s="262"/>
      <c r="E30" s="264"/>
      <c r="F30" s="265"/>
      <c r="G30" s="265"/>
      <c r="H30" s="265"/>
      <c r="I30" s="265"/>
      <c r="J30" s="265"/>
      <c r="K30" s="266"/>
      <c r="L30" s="265"/>
      <c r="M30" s="265"/>
      <c r="N30" s="265"/>
      <c r="O30" s="267"/>
      <c r="P30" s="267"/>
      <c r="Q30" s="268"/>
      <c r="R30" s="269"/>
      <c r="S30" s="267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1F6F-FBB6-49B2-97AE-E0E43F6CA625}">
  <dimension ref="A1:BN30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46261</v>
      </c>
      <c r="G1" s="206">
        <v>46261</v>
      </c>
      <c r="H1" s="206">
        <v>46261</v>
      </c>
      <c r="I1" s="206">
        <v>46261</v>
      </c>
      <c r="J1" s="206">
        <v>46261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3" t="s">
        <v>7</v>
      </c>
      <c r="L3" s="363" t="s">
        <v>19</v>
      </c>
      <c r="M3" s="363" t="s">
        <v>20</v>
      </c>
      <c r="N3" s="36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219</v>
      </c>
      <c r="C5" s="331" t="s">
        <v>32</v>
      </c>
      <c r="D5" s="332" t="s">
        <v>28</v>
      </c>
      <c r="E5" s="333">
        <v>2010</v>
      </c>
      <c r="F5" s="334">
        <v>46259</v>
      </c>
      <c r="G5" s="334">
        <v>46259</v>
      </c>
      <c r="H5" s="312"/>
      <c r="I5" s="335"/>
      <c r="J5" s="336"/>
      <c r="K5" s="205">
        <f t="shared" ref="K5" si="0">$F$1-F5</f>
        <v>2</v>
      </c>
      <c r="L5" s="205">
        <f t="shared" ref="L5" si="1">$F$1-G5</f>
        <v>2</v>
      </c>
      <c r="M5" s="205"/>
      <c r="N5" s="205"/>
      <c r="O5" s="222" t="s">
        <v>276</v>
      </c>
      <c r="P5" s="216" t="s">
        <v>275</v>
      </c>
      <c r="Q5" s="216"/>
      <c r="R5" s="216" t="s">
        <v>30</v>
      </c>
      <c r="S5" s="225"/>
    </row>
    <row r="6" spans="1:66" s="226" customFormat="1" x14ac:dyDescent="0.3">
      <c r="A6" s="249">
        <v>2</v>
      </c>
      <c r="B6" s="216" t="s">
        <v>215</v>
      </c>
      <c r="C6" s="331" t="s">
        <v>278</v>
      </c>
      <c r="D6" s="332" t="s">
        <v>74</v>
      </c>
      <c r="E6" s="333">
        <v>2022</v>
      </c>
      <c r="F6" s="334">
        <v>46261</v>
      </c>
      <c r="G6" s="334">
        <v>46261</v>
      </c>
      <c r="H6" s="312"/>
      <c r="I6" s="335"/>
      <c r="J6" s="336"/>
      <c r="K6" s="205">
        <f t="shared" ref="K6" si="2">$F$1-F6</f>
        <v>0</v>
      </c>
      <c r="L6" s="205">
        <f t="shared" ref="L6" si="3">$F$1-G6</f>
        <v>0</v>
      </c>
      <c r="M6" s="205"/>
      <c r="N6" s="205"/>
      <c r="O6" s="222" t="s">
        <v>279</v>
      </c>
      <c r="P6" s="216"/>
      <c r="Q6" s="216"/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23" t="s">
        <v>269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216" t="s">
        <v>240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216"/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3" si="4">$F$1-F19</f>
        <v>23</v>
      </c>
      <c r="L19" s="205">
        <f t="shared" si="4"/>
        <v>23</v>
      </c>
      <c r="M19" s="205"/>
      <c r="N19" s="205"/>
      <c r="O19" s="222" t="s">
        <v>277</v>
      </c>
      <c r="P19" s="239"/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4"/>
        <v>27</v>
      </c>
      <c r="L20" s="205">
        <f t="shared" si="4"/>
        <v>27</v>
      </c>
      <c r="M20" s="205"/>
      <c r="N20" s="205"/>
      <c r="O20" s="222" t="s">
        <v>252</v>
      </c>
      <c r="P20" s="324"/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4"/>
        <v>24</v>
      </c>
      <c r="L21" s="205">
        <f t="shared" si="4"/>
        <v>24</v>
      </c>
      <c r="M21" s="205"/>
      <c r="N21" s="205"/>
      <c r="O21" s="222" t="s">
        <v>271</v>
      </c>
      <c r="P21" s="306"/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4"/>
        <v>7</v>
      </c>
      <c r="L22" s="201">
        <f t="shared" si="4"/>
        <v>7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26" customFormat="1" ht="31.95" customHeight="1" x14ac:dyDescent="0.3">
      <c r="A23" s="249">
        <v>5</v>
      </c>
      <c r="B23" s="216" t="s">
        <v>51</v>
      </c>
      <c r="C23" s="331" t="s">
        <v>32</v>
      </c>
      <c r="D23" s="332" t="s">
        <v>28</v>
      </c>
      <c r="E23" s="333">
        <v>2012</v>
      </c>
      <c r="F23" s="334">
        <v>46261</v>
      </c>
      <c r="G23" s="334">
        <v>46261</v>
      </c>
      <c r="H23" s="312"/>
      <c r="I23" s="335"/>
      <c r="J23" s="336"/>
      <c r="K23" s="205">
        <f t="shared" si="4"/>
        <v>0</v>
      </c>
      <c r="L23" s="205">
        <f t="shared" si="4"/>
        <v>0</v>
      </c>
      <c r="M23" s="205"/>
      <c r="N23" s="205"/>
      <c r="O23" s="222" t="s">
        <v>276</v>
      </c>
      <c r="P23" s="306" t="s">
        <v>153</v>
      </c>
      <c r="Q23" s="251"/>
      <c r="R23" s="252"/>
      <c r="S23" s="253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 t="s">
        <v>37</v>
      </c>
      <c r="P24" s="268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  <row r="25" spans="1:66" s="226" customFormat="1" ht="13.95" customHeight="1" x14ac:dyDescent="0.3">
      <c r="A25" s="205"/>
      <c r="B25" s="227"/>
      <c r="C25" s="240"/>
      <c r="D25" s="241"/>
      <c r="E25" s="219"/>
      <c r="F25" s="206"/>
      <c r="G25" s="206"/>
      <c r="H25" s="305"/>
      <c r="I25" s="220"/>
      <c r="J25" s="221"/>
      <c r="K25" s="201"/>
      <c r="L25" s="201"/>
      <c r="M25" s="201"/>
      <c r="N25" s="201"/>
      <c r="O25" s="222"/>
      <c r="P25" s="260"/>
      <c r="Q25" s="275"/>
      <c r="R25" s="239"/>
      <c r="S25" s="276"/>
    </row>
    <row r="26" spans="1:66" s="259" customFormat="1" ht="13.95" customHeight="1" x14ac:dyDescent="0.3">
      <c r="A26" s="261"/>
      <c r="B26" s="262"/>
      <c r="C26" s="263"/>
      <c r="D26" s="262"/>
      <c r="E26" s="264"/>
      <c r="F26" s="265"/>
      <c r="G26" s="265"/>
      <c r="H26" s="265"/>
      <c r="I26" s="265"/>
      <c r="J26" s="265"/>
      <c r="K26" s="266"/>
      <c r="L26" s="265"/>
      <c r="M26" s="265"/>
      <c r="N26" s="265"/>
      <c r="O26" s="267" t="s">
        <v>38</v>
      </c>
      <c r="P26" s="268"/>
      <c r="Q26" s="268"/>
      <c r="R26" s="269"/>
      <c r="S26" s="267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</row>
    <row r="27" spans="1:66" s="226" customFormat="1" ht="27" customHeight="1" x14ac:dyDescent="0.3">
      <c r="A27" s="205">
        <v>1</v>
      </c>
      <c r="B27" s="216" t="s">
        <v>116</v>
      </c>
      <c r="C27" s="240" t="s">
        <v>32</v>
      </c>
      <c r="D27" s="241" t="s">
        <v>28</v>
      </c>
      <c r="E27" s="219">
        <v>2010</v>
      </c>
      <c r="F27" s="206">
        <v>46163</v>
      </c>
      <c r="G27" s="206">
        <v>46163</v>
      </c>
      <c r="H27" s="220"/>
      <c r="I27" s="220"/>
      <c r="J27" s="221"/>
      <c r="K27" s="201">
        <f t="shared" ref="K27:L29" si="5">$F$1-F27</f>
        <v>98</v>
      </c>
      <c r="L27" s="201">
        <f t="shared" si="5"/>
        <v>98</v>
      </c>
      <c r="M27" s="201"/>
      <c r="N27" s="201"/>
      <c r="O27" s="222" t="s">
        <v>267</v>
      </c>
      <c r="Q27" s="275"/>
      <c r="R27" s="239"/>
      <c r="S27" s="276"/>
    </row>
    <row r="28" spans="1:66" s="226" customFormat="1" ht="27" customHeight="1" x14ac:dyDescent="0.3">
      <c r="A28" s="215">
        <v>2</v>
      </c>
      <c r="B28" s="239" t="s">
        <v>10</v>
      </c>
      <c r="C28" s="217" t="s">
        <v>32</v>
      </c>
      <c r="D28" s="218" t="s">
        <v>28</v>
      </c>
      <c r="E28" s="219">
        <v>2010</v>
      </c>
      <c r="F28" s="206">
        <v>46220</v>
      </c>
      <c r="G28" s="206">
        <v>46220</v>
      </c>
      <c r="H28" s="220"/>
      <c r="I28" s="220"/>
      <c r="J28" s="221"/>
      <c r="K28" s="201">
        <f t="shared" si="5"/>
        <v>41</v>
      </c>
      <c r="L28" s="201">
        <f t="shared" si="5"/>
        <v>41</v>
      </c>
      <c r="M28" s="201"/>
      <c r="N28" s="201"/>
      <c r="O28" s="222" t="s">
        <v>225</v>
      </c>
      <c r="P28" s="227"/>
      <c r="Q28" s="275"/>
      <c r="R28" s="239"/>
      <c r="S28" s="276"/>
    </row>
    <row r="29" spans="1:66" s="226" customFormat="1" ht="13.95" customHeight="1" x14ac:dyDescent="0.3">
      <c r="A29" s="205">
        <v>3</v>
      </c>
      <c r="B29" s="227" t="s">
        <v>9</v>
      </c>
      <c r="C29" s="240" t="s">
        <v>32</v>
      </c>
      <c r="D29" s="241" t="s">
        <v>28</v>
      </c>
      <c r="E29" s="219">
        <v>2010</v>
      </c>
      <c r="F29" s="206">
        <v>46233</v>
      </c>
      <c r="G29" s="206">
        <v>46233</v>
      </c>
      <c r="H29" s="305"/>
      <c r="I29" s="220"/>
      <c r="J29" s="221"/>
      <c r="K29" s="201">
        <f t="shared" si="5"/>
        <v>28</v>
      </c>
      <c r="L29" s="201">
        <f t="shared" si="5"/>
        <v>28</v>
      </c>
      <c r="M29" s="201"/>
      <c r="N29" s="201"/>
      <c r="O29" s="222" t="s">
        <v>244</v>
      </c>
      <c r="P29" s="260"/>
      <c r="Q29" s="275"/>
      <c r="R29" s="239"/>
      <c r="S29" s="276"/>
    </row>
    <row r="30" spans="1:66" s="259" customFormat="1" ht="13.95" customHeight="1" x14ac:dyDescent="0.3">
      <c r="A30" s="261"/>
      <c r="B30" s="262"/>
      <c r="C30" s="263"/>
      <c r="D30" s="262"/>
      <c r="E30" s="264"/>
      <c r="F30" s="265"/>
      <c r="G30" s="265"/>
      <c r="H30" s="265"/>
      <c r="I30" s="265"/>
      <c r="J30" s="265"/>
      <c r="K30" s="266"/>
      <c r="L30" s="265"/>
      <c r="M30" s="265"/>
      <c r="N30" s="265"/>
      <c r="O30" s="267"/>
      <c r="P30" s="267"/>
      <c r="Q30" s="268"/>
      <c r="R30" s="269"/>
      <c r="S30" s="267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AE57-076D-4CC7-9503-9C9A3662B2B3}">
  <dimension ref="A1:BN30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 t="s">
        <v>268</v>
      </c>
      <c r="B1" s="202"/>
      <c r="C1" s="203"/>
      <c r="D1" s="204"/>
      <c r="E1" s="205"/>
      <c r="F1" s="206">
        <v>46262</v>
      </c>
      <c r="G1" s="206">
        <v>46262</v>
      </c>
      <c r="H1" s="206">
        <v>46262</v>
      </c>
      <c r="I1" s="206">
        <v>46262</v>
      </c>
      <c r="J1" s="206">
        <v>46262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4" t="s">
        <v>7</v>
      </c>
      <c r="L3" s="364" t="s">
        <v>19</v>
      </c>
      <c r="M3" s="364" t="s">
        <v>20</v>
      </c>
      <c r="N3" s="364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344">
        <v>1</v>
      </c>
      <c r="B5" s="223" t="s">
        <v>235</v>
      </c>
      <c r="C5" s="337" t="s">
        <v>29</v>
      </c>
      <c r="D5" s="338" t="s">
        <v>28</v>
      </c>
      <c r="E5" s="339">
        <v>2023</v>
      </c>
      <c r="F5" s="340">
        <v>46262</v>
      </c>
      <c r="G5" s="340">
        <v>46262</v>
      </c>
      <c r="H5" s="296"/>
      <c r="I5" s="341"/>
      <c r="J5" s="342" t="s">
        <v>281</v>
      </c>
      <c r="K5" s="343">
        <f t="shared" ref="K5:L5" si="0">$F$1-F5</f>
        <v>0</v>
      </c>
      <c r="L5" s="343">
        <f t="shared" si="0"/>
        <v>0</v>
      </c>
      <c r="M5" s="343"/>
      <c r="N5" s="343"/>
      <c r="O5" s="238" t="s">
        <v>280</v>
      </c>
      <c r="P5" s="216"/>
      <c r="Q5" s="223" t="s">
        <v>219</v>
      </c>
      <c r="R5" s="216" t="s">
        <v>30</v>
      </c>
      <c r="S5" s="225"/>
    </row>
    <row r="6" spans="1:66" s="226" customFormat="1" x14ac:dyDescent="0.3">
      <c r="A6" s="344">
        <v>2</v>
      </c>
      <c r="B6" s="223" t="s">
        <v>282</v>
      </c>
      <c r="C6" s="337" t="s">
        <v>32</v>
      </c>
      <c r="D6" s="338" t="s">
        <v>28</v>
      </c>
      <c r="E6" s="339">
        <v>2020</v>
      </c>
      <c r="F6" s="340">
        <v>46262</v>
      </c>
      <c r="G6" s="340">
        <v>46262</v>
      </c>
      <c r="H6" s="312"/>
      <c r="I6" s="335"/>
      <c r="J6" s="336"/>
      <c r="K6" s="343">
        <f t="shared" ref="K6" si="1">$F$1-F6</f>
        <v>0</v>
      </c>
      <c r="L6" s="343">
        <f t="shared" ref="L6" si="2">$F$1-G6</f>
        <v>0</v>
      </c>
      <c r="M6" s="205"/>
      <c r="N6" s="205"/>
      <c r="O6" s="238" t="s">
        <v>283</v>
      </c>
      <c r="P6" s="216"/>
      <c r="Q6" s="223" t="s">
        <v>215</v>
      </c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16"/>
      <c r="R7" s="223" t="s">
        <v>269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216" t="s">
        <v>240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216"/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3" si="3">$F$1-F19</f>
        <v>24</v>
      </c>
      <c r="L19" s="205">
        <f t="shared" si="3"/>
        <v>24</v>
      </c>
      <c r="M19" s="205"/>
      <c r="N19" s="205"/>
      <c r="O19" s="222" t="s">
        <v>277</v>
      </c>
      <c r="P19" s="239"/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3"/>
        <v>28</v>
      </c>
      <c r="L20" s="205">
        <f t="shared" si="3"/>
        <v>28</v>
      </c>
      <c r="M20" s="205"/>
      <c r="N20" s="205"/>
      <c r="O20" s="222" t="s">
        <v>252</v>
      </c>
      <c r="P20" s="324"/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3"/>
        <v>25</v>
      </c>
      <c r="L21" s="205">
        <f t="shared" si="3"/>
        <v>25</v>
      </c>
      <c r="M21" s="205"/>
      <c r="N21" s="205"/>
      <c r="O21" s="222" t="s">
        <v>271</v>
      </c>
      <c r="P21" s="306"/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3"/>
        <v>8</v>
      </c>
      <c r="L22" s="201">
        <f t="shared" si="3"/>
        <v>8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26" customFormat="1" ht="31.95" customHeight="1" x14ac:dyDescent="0.3">
      <c r="A23" s="249">
        <v>5</v>
      </c>
      <c r="B23" s="216" t="s">
        <v>51</v>
      </c>
      <c r="C23" s="331" t="s">
        <v>32</v>
      </c>
      <c r="D23" s="332" t="s">
        <v>28</v>
      </c>
      <c r="E23" s="333">
        <v>2012</v>
      </c>
      <c r="F23" s="334">
        <v>46261</v>
      </c>
      <c r="G23" s="334">
        <v>46261</v>
      </c>
      <c r="H23" s="312"/>
      <c r="I23" s="335"/>
      <c r="J23" s="336"/>
      <c r="K23" s="205">
        <f t="shared" si="3"/>
        <v>1</v>
      </c>
      <c r="L23" s="205">
        <f t="shared" si="3"/>
        <v>1</v>
      </c>
      <c r="M23" s="205"/>
      <c r="N23" s="205"/>
      <c r="O23" s="222" t="s">
        <v>276</v>
      </c>
      <c r="P23" s="306" t="s">
        <v>153</v>
      </c>
      <c r="Q23" s="251"/>
      <c r="R23" s="252"/>
      <c r="S23" s="253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 t="s">
        <v>37</v>
      </c>
      <c r="P24" s="268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  <row r="25" spans="1:66" s="226" customFormat="1" ht="13.95" customHeight="1" x14ac:dyDescent="0.3">
      <c r="A25" s="205"/>
      <c r="B25" s="227"/>
      <c r="C25" s="240"/>
      <c r="D25" s="241"/>
      <c r="E25" s="219"/>
      <c r="F25" s="206"/>
      <c r="G25" s="206"/>
      <c r="H25" s="305"/>
      <c r="I25" s="220"/>
      <c r="J25" s="221"/>
      <c r="K25" s="201"/>
      <c r="L25" s="201"/>
      <c r="M25" s="201"/>
      <c r="N25" s="201"/>
      <c r="O25" s="222"/>
      <c r="P25" s="260"/>
      <c r="Q25" s="275"/>
      <c r="R25" s="239"/>
      <c r="S25" s="276"/>
    </row>
    <row r="26" spans="1:66" s="259" customFormat="1" ht="13.95" customHeight="1" x14ac:dyDescent="0.3">
      <c r="A26" s="261"/>
      <c r="B26" s="262"/>
      <c r="C26" s="263"/>
      <c r="D26" s="262"/>
      <c r="E26" s="264"/>
      <c r="F26" s="265"/>
      <c r="G26" s="265"/>
      <c r="H26" s="265"/>
      <c r="I26" s="265"/>
      <c r="J26" s="265"/>
      <c r="K26" s="266"/>
      <c r="L26" s="265"/>
      <c r="M26" s="265"/>
      <c r="N26" s="265"/>
      <c r="O26" s="267" t="s">
        <v>38</v>
      </c>
      <c r="P26" s="268"/>
      <c r="Q26" s="268"/>
      <c r="R26" s="269"/>
      <c r="S26" s="267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</row>
    <row r="27" spans="1:66" s="226" customFormat="1" ht="27" customHeight="1" x14ac:dyDescent="0.3">
      <c r="A27" s="205">
        <v>1</v>
      </c>
      <c r="B27" s="216" t="s">
        <v>116</v>
      </c>
      <c r="C27" s="240" t="s">
        <v>32</v>
      </c>
      <c r="D27" s="241" t="s">
        <v>28</v>
      </c>
      <c r="E27" s="219">
        <v>2010</v>
      </c>
      <c r="F27" s="206">
        <v>46163</v>
      </c>
      <c r="G27" s="206">
        <v>46163</v>
      </c>
      <c r="H27" s="220"/>
      <c r="I27" s="220"/>
      <c r="J27" s="221"/>
      <c r="K27" s="201">
        <f t="shared" ref="K27:L29" si="4">$F$1-F27</f>
        <v>99</v>
      </c>
      <c r="L27" s="201">
        <f t="shared" si="4"/>
        <v>99</v>
      </c>
      <c r="M27" s="201"/>
      <c r="N27" s="201"/>
      <c r="O27" s="222" t="s">
        <v>267</v>
      </c>
      <c r="Q27" s="275"/>
      <c r="R27" s="239"/>
      <c r="S27" s="276"/>
    </row>
    <row r="28" spans="1:66" s="226" customFormat="1" ht="27" customHeight="1" x14ac:dyDescent="0.3">
      <c r="A28" s="215">
        <v>2</v>
      </c>
      <c r="B28" s="239" t="s">
        <v>10</v>
      </c>
      <c r="C28" s="217" t="s">
        <v>32</v>
      </c>
      <c r="D28" s="218" t="s">
        <v>28</v>
      </c>
      <c r="E28" s="219">
        <v>2010</v>
      </c>
      <c r="F28" s="206">
        <v>46220</v>
      </c>
      <c r="G28" s="206">
        <v>46220</v>
      </c>
      <c r="H28" s="220"/>
      <c r="I28" s="220"/>
      <c r="J28" s="221"/>
      <c r="K28" s="201">
        <f t="shared" si="4"/>
        <v>42</v>
      </c>
      <c r="L28" s="201">
        <f t="shared" si="4"/>
        <v>42</v>
      </c>
      <c r="M28" s="201"/>
      <c r="N28" s="201"/>
      <c r="O28" s="222" t="s">
        <v>225</v>
      </c>
      <c r="P28" s="227"/>
      <c r="Q28" s="275"/>
      <c r="R28" s="239"/>
      <c r="S28" s="276"/>
    </row>
    <row r="29" spans="1:66" s="226" customFormat="1" ht="13.95" customHeight="1" x14ac:dyDescent="0.3">
      <c r="A29" s="205">
        <v>3</v>
      </c>
      <c r="B29" s="227" t="s">
        <v>9</v>
      </c>
      <c r="C29" s="240" t="s">
        <v>32</v>
      </c>
      <c r="D29" s="241" t="s">
        <v>28</v>
      </c>
      <c r="E29" s="219">
        <v>2010</v>
      </c>
      <c r="F29" s="206">
        <v>46233</v>
      </c>
      <c r="G29" s="206">
        <v>46233</v>
      </c>
      <c r="H29" s="305"/>
      <c r="I29" s="220"/>
      <c r="J29" s="221"/>
      <c r="K29" s="201">
        <f t="shared" si="4"/>
        <v>29</v>
      </c>
      <c r="L29" s="201">
        <f t="shared" si="4"/>
        <v>29</v>
      </c>
      <c r="M29" s="201"/>
      <c r="N29" s="201"/>
      <c r="O29" s="222" t="s">
        <v>244</v>
      </c>
      <c r="P29" s="260"/>
      <c r="Q29" s="275"/>
      <c r="R29" s="239"/>
      <c r="S29" s="276"/>
    </row>
    <row r="30" spans="1:66" s="259" customFormat="1" ht="13.95" customHeight="1" x14ac:dyDescent="0.3">
      <c r="A30" s="261"/>
      <c r="B30" s="262"/>
      <c r="C30" s="263"/>
      <c r="D30" s="262"/>
      <c r="E30" s="264"/>
      <c r="F30" s="265"/>
      <c r="G30" s="265"/>
      <c r="H30" s="265"/>
      <c r="I30" s="265"/>
      <c r="J30" s="265"/>
      <c r="K30" s="266"/>
      <c r="L30" s="265"/>
      <c r="M30" s="265"/>
      <c r="N30" s="265"/>
      <c r="O30" s="267"/>
      <c r="P30" s="267"/>
      <c r="Q30" s="268"/>
      <c r="R30" s="269"/>
      <c r="S30" s="267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B5FB-4DDB-4366-8DF0-95C43EDF0E0E}">
  <dimension ref="A1:BN30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46263</v>
      </c>
      <c r="G1" s="206">
        <v>46263</v>
      </c>
      <c r="H1" s="206">
        <v>46263</v>
      </c>
      <c r="I1" s="206">
        <v>46263</v>
      </c>
      <c r="J1" s="206">
        <v>46263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5" t="s">
        <v>7</v>
      </c>
      <c r="L3" s="365" t="s">
        <v>19</v>
      </c>
      <c r="M3" s="365" t="s">
        <v>20</v>
      </c>
      <c r="N3" s="36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344"/>
      <c r="B5" s="223"/>
      <c r="C5" s="337"/>
      <c r="D5" s="338"/>
      <c r="E5" s="339"/>
      <c r="F5" s="340"/>
      <c r="G5" s="340"/>
      <c r="H5" s="296"/>
      <c r="I5" s="341"/>
      <c r="J5" s="342"/>
      <c r="K5" s="343"/>
      <c r="L5" s="343"/>
      <c r="M5" s="343"/>
      <c r="N5" s="343"/>
      <c r="O5" s="238"/>
      <c r="P5" s="216"/>
      <c r="Q5" s="223" t="s">
        <v>269</v>
      </c>
      <c r="R5" s="216" t="s">
        <v>30</v>
      </c>
      <c r="S5" s="225"/>
    </row>
    <row r="6" spans="1:66" s="226" customFormat="1" x14ac:dyDescent="0.3">
      <c r="A6" s="344"/>
      <c r="B6" s="223"/>
      <c r="C6" s="337"/>
      <c r="D6" s="338"/>
      <c r="E6" s="339"/>
      <c r="F6" s="340"/>
      <c r="G6" s="340"/>
      <c r="H6" s="312"/>
      <c r="I6" s="335"/>
      <c r="J6" s="336"/>
      <c r="K6" s="343"/>
      <c r="L6" s="343"/>
      <c r="M6" s="205"/>
      <c r="N6" s="205"/>
      <c r="O6" s="238"/>
      <c r="P6" s="216"/>
      <c r="Q6" s="223" t="s">
        <v>235</v>
      </c>
      <c r="R6" s="216" t="s">
        <v>26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23" t="s">
        <v>282</v>
      </c>
      <c r="R7" s="223"/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0"/>
      <c r="I8" s="335"/>
      <c r="J8" s="336"/>
      <c r="K8" s="205"/>
      <c r="L8" s="205"/>
      <c r="M8" s="205"/>
      <c r="N8" s="205"/>
      <c r="O8" s="222"/>
      <c r="P8" s="306"/>
      <c r="Q8" s="216"/>
      <c r="R8" s="239" t="s">
        <v>220</v>
      </c>
      <c r="S8" s="229"/>
    </row>
    <row r="9" spans="1:66" s="226" customFormat="1" x14ac:dyDescent="0.3">
      <c r="A9" s="215"/>
      <c r="B9" s="216"/>
      <c r="C9" s="331"/>
      <c r="D9" s="218"/>
      <c r="E9" s="219"/>
      <c r="F9" s="206"/>
      <c r="G9" s="206"/>
      <c r="H9" s="220"/>
      <c r="I9" s="220"/>
      <c r="J9" s="221"/>
      <c r="K9" s="205"/>
      <c r="L9" s="205"/>
      <c r="M9" s="205"/>
      <c r="N9" s="205"/>
      <c r="O9" s="222"/>
      <c r="P9" s="239"/>
      <c r="Q9" s="306"/>
      <c r="R9" s="216" t="s">
        <v>240</v>
      </c>
      <c r="S9" s="239"/>
    </row>
    <row r="10" spans="1:66" s="226" customFormat="1" x14ac:dyDescent="0.3">
      <c r="A10" s="249"/>
      <c r="B10" s="260"/>
      <c r="C10" s="331"/>
      <c r="D10" s="332"/>
      <c r="E10" s="333"/>
      <c r="F10" s="206"/>
      <c r="G10" s="206"/>
      <c r="H10" s="220"/>
      <c r="I10" s="220"/>
      <c r="J10" s="221"/>
      <c r="K10" s="201"/>
      <c r="L10" s="201"/>
      <c r="M10" s="205"/>
      <c r="N10" s="205"/>
      <c r="O10" s="222"/>
      <c r="P10" s="283"/>
      <c r="Q10" s="260"/>
      <c r="R10" s="216"/>
      <c r="S10" s="229"/>
    </row>
    <row r="11" spans="1:66" s="226" customFormat="1" x14ac:dyDescent="0.3">
      <c r="A11" s="249"/>
      <c r="B11" s="306"/>
      <c r="C11" s="331"/>
      <c r="D11" s="332"/>
      <c r="E11" s="333"/>
      <c r="F11" s="206"/>
      <c r="G11" s="206"/>
      <c r="H11" s="312"/>
      <c r="I11" s="335"/>
      <c r="J11" s="336"/>
      <c r="K11" s="201"/>
      <c r="L11" s="201"/>
      <c r="M11" s="205"/>
      <c r="N11" s="205"/>
      <c r="O11" s="222"/>
      <c r="P11" s="306"/>
      <c r="Q11" s="222"/>
      <c r="R11" s="216"/>
      <c r="S11" s="229"/>
    </row>
    <row r="12" spans="1:66" s="226" customFormat="1" x14ac:dyDescent="0.3">
      <c r="A12" s="215"/>
      <c r="B12" s="260"/>
      <c r="C12" s="217"/>
      <c r="D12" s="218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24"/>
      <c r="Q12" s="222"/>
      <c r="R12" s="216"/>
      <c r="S12" s="229"/>
    </row>
    <row r="13" spans="1:66" s="226" customFormat="1" x14ac:dyDescent="0.3">
      <c r="A13" s="215"/>
      <c r="B13" s="260"/>
      <c r="C13" s="217"/>
      <c r="D13" s="218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24"/>
      <c r="Q13" s="222"/>
      <c r="R13" s="216"/>
      <c r="S13" s="229"/>
    </row>
    <row r="14" spans="1:66" s="226" customFormat="1" x14ac:dyDescent="0.3">
      <c r="A14" s="215"/>
      <c r="B14" s="260"/>
      <c r="C14" s="217"/>
      <c r="D14" s="218"/>
      <c r="E14" s="219"/>
      <c r="F14" s="206"/>
      <c r="G14" s="206"/>
      <c r="H14" s="220"/>
      <c r="I14" s="220"/>
      <c r="J14" s="221"/>
      <c r="K14" s="201"/>
      <c r="L14" s="201"/>
      <c r="M14" s="201"/>
      <c r="N14" s="201"/>
      <c r="O14" s="222"/>
      <c r="P14" s="224"/>
      <c r="Q14" s="222"/>
      <c r="R14" s="306"/>
      <c r="S14" s="229"/>
    </row>
    <row r="15" spans="1:66" s="260" customFormat="1" x14ac:dyDescent="0.3">
      <c r="R15" s="354"/>
    </row>
    <row r="16" spans="1:66" s="226" customFormat="1" ht="13.95" customHeight="1" x14ac:dyDescent="0.3">
      <c r="A16" s="242"/>
      <c r="B16" s="243"/>
      <c r="C16" s="244"/>
      <c r="D16" s="245"/>
      <c r="E16" s="246"/>
      <c r="F16" s="247"/>
      <c r="G16" s="247"/>
      <c r="H16" s="247"/>
      <c r="I16" s="247"/>
      <c r="J16" s="247"/>
      <c r="K16" s="246"/>
      <c r="L16" s="247"/>
      <c r="M16" s="247"/>
      <c r="N16" s="247"/>
      <c r="O16" s="248" t="s">
        <v>22</v>
      </c>
      <c r="P16" s="244"/>
      <c r="Q16" s="244"/>
      <c r="R16" s="245"/>
      <c r="S16" s="248"/>
    </row>
    <row r="17" spans="1:66" s="226" customFormat="1" ht="13.95" customHeight="1" x14ac:dyDescent="0.3">
      <c r="A17" s="249"/>
      <c r="B17" s="224"/>
      <c r="C17" s="240"/>
      <c r="D17" s="241"/>
      <c r="E17" s="219"/>
      <c r="F17" s="206"/>
      <c r="G17" s="206"/>
      <c r="H17" s="220"/>
      <c r="I17" s="220"/>
      <c r="J17" s="221"/>
      <c r="K17" s="201"/>
      <c r="L17" s="201"/>
      <c r="M17" s="201"/>
      <c r="N17" s="201"/>
      <c r="O17" s="222"/>
      <c r="P17" s="250"/>
      <c r="Q17" s="251"/>
      <c r="R17" s="252"/>
      <c r="S17" s="253"/>
    </row>
    <row r="18" spans="1:66" s="259" customFormat="1" ht="13.95" customHeight="1" x14ac:dyDescent="0.3">
      <c r="A18" s="254"/>
      <c r="B18" s="255"/>
      <c r="C18" s="244"/>
      <c r="D18" s="245" t="s">
        <v>0</v>
      </c>
      <c r="E18" s="246"/>
      <c r="F18" s="256"/>
      <c r="G18" s="256"/>
      <c r="H18" s="256"/>
      <c r="I18" s="256"/>
      <c r="J18" s="256"/>
      <c r="K18" s="246"/>
      <c r="L18" s="256"/>
      <c r="M18" s="256"/>
      <c r="N18" s="256"/>
      <c r="O18" s="257" t="s">
        <v>23</v>
      </c>
      <c r="P18" s="245"/>
      <c r="Q18" s="245"/>
      <c r="R18" s="258"/>
      <c r="S18" s="25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>
        <v>1</v>
      </c>
      <c r="B19" s="216" t="s">
        <v>85</v>
      </c>
      <c r="C19" s="331" t="s">
        <v>29</v>
      </c>
      <c r="D19" s="332" t="s">
        <v>28</v>
      </c>
      <c r="E19" s="333">
        <v>2023</v>
      </c>
      <c r="F19" s="334">
        <v>46238</v>
      </c>
      <c r="G19" s="334">
        <v>46238</v>
      </c>
      <c r="H19" s="312"/>
      <c r="I19" s="335"/>
      <c r="J19" s="336"/>
      <c r="K19" s="205">
        <f t="shared" ref="K19:L23" si="0">$F$1-F19</f>
        <v>25</v>
      </c>
      <c r="L19" s="205">
        <f t="shared" si="0"/>
        <v>25</v>
      </c>
      <c r="M19" s="205"/>
      <c r="N19" s="205"/>
      <c r="O19" s="222" t="s">
        <v>277</v>
      </c>
      <c r="P19" s="239"/>
      <c r="Q19" s="251"/>
      <c r="R19" s="252"/>
      <c r="S19" s="253"/>
    </row>
    <row r="20" spans="1:66" s="226" customFormat="1" ht="13.95" customHeight="1" x14ac:dyDescent="0.3">
      <c r="A20" s="249">
        <v>2</v>
      </c>
      <c r="B20" s="216" t="s">
        <v>248</v>
      </c>
      <c r="C20" s="331" t="s">
        <v>29</v>
      </c>
      <c r="D20" s="332" t="s">
        <v>28</v>
      </c>
      <c r="E20" s="333">
        <v>2023</v>
      </c>
      <c r="F20" s="334">
        <v>46234</v>
      </c>
      <c r="G20" s="334">
        <v>46234</v>
      </c>
      <c r="H20" s="312"/>
      <c r="I20" s="335"/>
      <c r="J20" s="336"/>
      <c r="K20" s="205">
        <f t="shared" si="0"/>
        <v>29</v>
      </c>
      <c r="L20" s="205">
        <f t="shared" si="0"/>
        <v>29</v>
      </c>
      <c r="M20" s="205"/>
      <c r="N20" s="205"/>
      <c r="O20" s="222" t="s">
        <v>252</v>
      </c>
      <c r="P20" s="324"/>
      <c r="Q20" s="251"/>
      <c r="R20" s="252"/>
      <c r="S20" s="253"/>
    </row>
    <row r="21" spans="1:66" s="226" customFormat="1" ht="13.95" customHeight="1" x14ac:dyDescent="0.3">
      <c r="A21" s="249">
        <v>3</v>
      </c>
      <c r="B21" s="216" t="s">
        <v>256</v>
      </c>
      <c r="C21" s="331" t="s">
        <v>32</v>
      </c>
      <c r="D21" s="332" t="s">
        <v>28</v>
      </c>
      <c r="E21" s="333">
        <v>2020</v>
      </c>
      <c r="F21" s="334">
        <v>46237</v>
      </c>
      <c r="G21" s="334">
        <v>46237</v>
      </c>
      <c r="H21" s="310"/>
      <c r="I21" s="335"/>
      <c r="J21" s="336"/>
      <c r="K21" s="205">
        <f t="shared" si="0"/>
        <v>26</v>
      </c>
      <c r="L21" s="205">
        <f t="shared" si="0"/>
        <v>26</v>
      </c>
      <c r="M21" s="205"/>
      <c r="N21" s="205"/>
      <c r="O21" s="222" t="s">
        <v>271</v>
      </c>
      <c r="P21" s="306"/>
      <c r="Q21" s="251"/>
      <c r="R21" s="252"/>
      <c r="S21" s="253"/>
    </row>
    <row r="22" spans="1:66" s="226" customFormat="1" ht="31.95" customHeight="1" x14ac:dyDescent="0.3">
      <c r="A22" s="249">
        <v>4</v>
      </c>
      <c r="B22" s="260" t="s">
        <v>65</v>
      </c>
      <c r="C22" s="331" t="s">
        <v>29</v>
      </c>
      <c r="D22" s="332" t="s">
        <v>28</v>
      </c>
      <c r="E22" s="333">
        <v>2023</v>
      </c>
      <c r="F22" s="206">
        <v>46254</v>
      </c>
      <c r="G22" s="206">
        <v>46254</v>
      </c>
      <c r="H22" s="220"/>
      <c r="I22" s="220"/>
      <c r="J22" s="221"/>
      <c r="K22" s="201">
        <f t="shared" si="0"/>
        <v>9</v>
      </c>
      <c r="L22" s="201">
        <f t="shared" si="0"/>
        <v>9</v>
      </c>
      <c r="M22" s="205"/>
      <c r="N22" s="205"/>
      <c r="O22" s="222" t="s">
        <v>272</v>
      </c>
      <c r="P22" s="283"/>
      <c r="Q22" s="251"/>
      <c r="R22" s="252"/>
      <c r="S22" s="253"/>
    </row>
    <row r="23" spans="1:66" s="226" customFormat="1" ht="31.95" customHeight="1" x14ac:dyDescent="0.3">
      <c r="A23" s="249">
        <v>5</v>
      </c>
      <c r="B23" s="216" t="s">
        <v>51</v>
      </c>
      <c r="C23" s="331" t="s">
        <v>32</v>
      </c>
      <c r="D23" s="332" t="s">
        <v>28</v>
      </c>
      <c r="E23" s="333">
        <v>2012</v>
      </c>
      <c r="F23" s="334">
        <v>46261</v>
      </c>
      <c r="G23" s="334">
        <v>46261</v>
      </c>
      <c r="H23" s="312"/>
      <c r="I23" s="335"/>
      <c r="J23" s="336"/>
      <c r="K23" s="205">
        <f t="shared" si="0"/>
        <v>2</v>
      </c>
      <c r="L23" s="205">
        <f t="shared" si="0"/>
        <v>2</v>
      </c>
      <c r="M23" s="205"/>
      <c r="N23" s="205"/>
      <c r="O23" s="222" t="s">
        <v>276</v>
      </c>
      <c r="P23" s="306" t="s">
        <v>153</v>
      </c>
      <c r="Q23" s="251"/>
      <c r="R23" s="252"/>
      <c r="S23" s="253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 t="s">
        <v>37</v>
      </c>
      <c r="P24" s="268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  <row r="25" spans="1:66" s="226" customFormat="1" ht="13.95" customHeight="1" x14ac:dyDescent="0.3">
      <c r="A25" s="205"/>
      <c r="B25" s="227"/>
      <c r="C25" s="240"/>
      <c r="D25" s="241"/>
      <c r="E25" s="219"/>
      <c r="F25" s="206"/>
      <c r="G25" s="206"/>
      <c r="H25" s="305"/>
      <c r="I25" s="220"/>
      <c r="J25" s="221"/>
      <c r="K25" s="201"/>
      <c r="L25" s="201"/>
      <c r="M25" s="201"/>
      <c r="N25" s="201"/>
      <c r="O25" s="222"/>
      <c r="P25" s="260"/>
      <c r="Q25" s="275"/>
      <c r="R25" s="239"/>
      <c r="S25" s="276"/>
    </row>
    <row r="26" spans="1:66" s="259" customFormat="1" ht="13.95" customHeight="1" x14ac:dyDescent="0.3">
      <c r="A26" s="261"/>
      <c r="B26" s="262"/>
      <c r="C26" s="263"/>
      <c r="D26" s="262"/>
      <c r="E26" s="264"/>
      <c r="F26" s="265"/>
      <c r="G26" s="265"/>
      <c r="H26" s="265"/>
      <c r="I26" s="265"/>
      <c r="J26" s="265"/>
      <c r="K26" s="266"/>
      <c r="L26" s="265"/>
      <c r="M26" s="265"/>
      <c r="N26" s="265"/>
      <c r="O26" s="267" t="s">
        <v>38</v>
      </c>
      <c r="P26" s="268"/>
      <c r="Q26" s="268"/>
      <c r="R26" s="269"/>
      <c r="S26" s="267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</row>
    <row r="27" spans="1:66" s="226" customFormat="1" ht="27" customHeight="1" x14ac:dyDescent="0.3">
      <c r="A27" s="205">
        <v>1</v>
      </c>
      <c r="B27" s="216" t="s">
        <v>116</v>
      </c>
      <c r="C27" s="240" t="s">
        <v>32</v>
      </c>
      <c r="D27" s="241" t="s">
        <v>28</v>
      </c>
      <c r="E27" s="219">
        <v>2010</v>
      </c>
      <c r="F27" s="206">
        <v>46163</v>
      </c>
      <c r="G27" s="206">
        <v>46163</v>
      </c>
      <c r="H27" s="220"/>
      <c r="I27" s="220"/>
      <c r="J27" s="221"/>
      <c r="K27" s="201">
        <f t="shared" ref="K27:L29" si="1">$F$1-F27</f>
        <v>100</v>
      </c>
      <c r="L27" s="201">
        <f t="shared" si="1"/>
        <v>100</v>
      </c>
      <c r="M27" s="201"/>
      <c r="N27" s="201"/>
      <c r="O27" s="222" t="s">
        <v>267</v>
      </c>
      <c r="Q27" s="275"/>
      <c r="R27" s="239"/>
      <c r="S27" s="276"/>
    </row>
    <row r="28" spans="1:66" s="226" customFormat="1" ht="27" customHeight="1" x14ac:dyDescent="0.3">
      <c r="A28" s="215">
        <v>2</v>
      </c>
      <c r="B28" s="239" t="s">
        <v>10</v>
      </c>
      <c r="C28" s="217" t="s">
        <v>32</v>
      </c>
      <c r="D28" s="218" t="s">
        <v>28</v>
      </c>
      <c r="E28" s="219">
        <v>2010</v>
      </c>
      <c r="F28" s="206">
        <v>46220</v>
      </c>
      <c r="G28" s="206">
        <v>46220</v>
      </c>
      <c r="H28" s="220"/>
      <c r="I28" s="220"/>
      <c r="J28" s="221"/>
      <c r="K28" s="201">
        <f t="shared" si="1"/>
        <v>43</v>
      </c>
      <c r="L28" s="201">
        <f t="shared" si="1"/>
        <v>43</v>
      </c>
      <c r="M28" s="201"/>
      <c r="N28" s="201"/>
      <c r="O28" s="222" t="s">
        <v>225</v>
      </c>
      <c r="P28" s="227"/>
      <c r="Q28" s="275"/>
      <c r="R28" s="239"/>
      <c r="S28" s="276"/>
    </row>
    <row r="29" spans="1:66" s="226" customFormat="1" ht="13.95" customHeight="1" x14ac:dyDescent="0.3">
      <c r="A29" s="205">
        <v>3</v>
      </c>
      <c r="B29" s="227" t="s">
        <v>9</v>
      </c>
      <c r="C29" s="240" t="s">
        <v>32</v>
      </c>
      <c r="D29" s="241" t="s">
        <v>28</v>
      </c>
      <c r="E29" s="219">
        <v>2010</v>
      </c>
      <c r="F29" s="206">
        <v>46233</v>
      </c>
      <c r="G29" s="206">
        <v>46233</v>
      </c>
      <c r="H29" s="305"/>
      <c r="I29" s="220"/>
      <c r="J29" s="221"/>
      <c r="K29" s="201">
        <f t="shared" si="1"/>
        <v>30</v>
      </c>
      <c r="L29" s="201">
        <f t="shared" si="1"/>
        <v>30</v>
      </c>
      <c r="M29" s="201"/>
      <c r="N29" s="201"/>
      <c r="O29" s="222" t="s">
        <v>244</v>
      </c>
      <c r="P29" s="260"/>
      <c r="Q29" s="275"/>
      <c r="R29" s="239"/>
      <c r="S29" s="276"/>
    </row>
    <row r="30" spans="1:66" s="259" customFormat="1" ht="13.95" customHeight="1" x14ac:dyDescent="0.3">
      <c r="A30" s="261"/>
      <c r="B30" s="262"/>
      <c r="C30" s="263"/>
      <c r="D30" s="262"/>
      <c r="E30" s="264"/>
      <c r="F30" s="265"/>
      <c r="G30" s="265"/>
      <c r="H30" s="265"/>
      <c r="I30" s="265"/>
      <c r="J30" s="265"/>
      <c r="K30" s="266"/>
      <c r="L30" s="265"/>
      <c r="M30" s="265"/>
      <c r="N30" s="265"/>
      <c r="O30" s="267"/>
      <c r="P30" s="267"/>
      <c r="Q30" s="268"/>
      <c r="R30" s="269"/>
      <c r="S30" s="267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A612-8060-42B9-9728-291342FC270B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46264</v>
      </c>
      <c r="G1" s="206">
        <v>46264</v>
      </c>
      <c r="H1" s="206">
        <v>46264</v>
      </c>
      <c r="I1" s="206">
        <v>46264</v>
      </c>
      <c r="J1" s="206">
        <v>46264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6" t="s">
        <v>7</v>
      </c>
      <c r="L3" s="366" t="s">
        <v>19</v>
      </c>
      <c r="M3" s="366" t="s">
        <v>20</v>
      </c>
      <c r="N3" s="36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344">
        <v>1</v>
      </c>
      <c r="B5" s="223" t="s">
        <v>285</v>
      </c>
      <c r="C5" s="337" t="s">
        <v>34</v>
      </c>
      <c r="D5" s="338" t="s">
        <v>286</v>
      </c>
      <c r="E5" s="339">
        <v>2014</v>
      </c>
      <c r="F5" s="234">
        <v>46264</v>
      </c>
      <c r="G5" s="234">
        <v>46264</v>
      </c>
      <c r="H5" s="296"/>
      <c r="I5" s="341"/>
      <c r="J5" s="342"/>
      <c r="K5" s="343">
        <f t="shared" ref="K5" si="0">$F$1-F5</f>
        <v>0</v>
      </c>
      <c r="L5" s="343">
        <f t="shared" ref="L5" si="1">$F$1-G5</f>
        <v>0</v>
      </c>
      <c r="M5" s="343"/>
      <c r="N5" s="343"/>
      <c r="O5" s="238" t="s">
        <v>284</v>
      </c>
      <c r="P5" s="223" t="s">
        <v>26</v>
      </c>
      <c r="Q5" s="223" t="s">
        <v>26</v>
      </c>
      <c r="R5" s="216" t="s">
        <v>30</v>
      </c>
      <c r="S5" s="225"/>
    </row>
    <row r="6" spans="1:66" s="226" customFormat="1" x14ac:dyDescent="0.3">
      <c r="A6" s="344"/>
      <c r="B6" s="223"/>
      <c r="C6" s="337"/>
      <c r="D6" s="338"/>
      <c r="E6" s="339"/>
      <c r="F6" s="340"/>
      <c r="G6" s="340"/>
      <c r="H6" s="312"/>
      <c r="I6" s="335"/>
      <c r="J6" s="336"/>
      <c r="K6" s="343"/>
      <c r="L6" s="343"/>
      <c r="M6" s="205"/>
      <c r="N6" s="205"/>
      <c r="O6" s="238"/>
      <c r="P6" s="216"/>
      <c r="Q6" s="223"/>
      <c r="R6" s="239" t="s">
        <v>220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22"/>
      <c r="P7" s="324"/>
      <c r="Q7" s="223"/>
      <c r="R7" s="216" t="s">
        <v>240</v>
      </c>
      <c r="S7" s="225"/>
    </row>
    <row r="8" spans="1:66" s="226" customFormat="1" ht="13.95" customHeight="1" x14ac:dyDescent="0.3">
      <c r="A8" s="242"/>
      <c r="B8" s="243"/>
      <c r="C8" s="244"/>
      <c r="D8" s="245"/>
      <c r="E8" s="246"/>
      <c r="F8" s="247"/>
      <c r="G8" s="247"/>
      <c r="H8" s="247"/>
      <c r="I8" s="247"/>
      <c r="J8" s="247"/>
      <c r="K8" s="246"/>
      <c r="L8" s="247"/>
      <c r="M8" s="247"/>
      <c r="N8" s="247"/>
      <c r="O8" s="248" t="s">
        <v>22</v>
      </c>
      <c r="P8" s="244"/>
      <c r="Q8" s="244"/>
      <c r="R8" s="245"/>
      <c r="S8" s="248"/>
    </row>
    <row r="9" spans="1:66" s="226" customFormat="1" ht="13.95" customHeight="1" x14ac:dyDescent="0.3">
      <c r="A9" s="249"/>
      <c r="B9" s="224"/>
      <c r="C9" s="240"/>
      <c r="D9" s="241"/>
      <c r="E9" s="219"/>
      <c r="F9" s="206"/>
      <c r="G9" s="206"/>
      <c r="H9" s="220"/>
      <c r="I9" s="220"/>
      <c r="J9" s="221"/>
      <c r="K9" s="201"/>
      <c r="L9" s="201"/>
      <c r="M9" s="201"/>
      <c r="N9" s="201"/>
      <c r="O9" s="222"/>
      <c r="P9" s="250"/>
      <c r="Q9" s="251"/>
      <c r="R9" s="252"/>
      <c r="S9" s="253"/>
    </row>
    <row r="10" spans="1:66" s="259" customFormat="1" ht="13.95" customHeight="1" x14ac:dyDescent="0.3">
      <c r="A10" s="254"/>
      <c r="B10" s="255"/>
      <c r="C10" s="244"/>
      <c r="D10" s="245" t="s">
        <v>0</v>
      </c>
      <c r="E10" s="246"/>
      <c r="F10" s="256"/>
      <c r="G10" s="256"/>
      <c r="H10" s="256"/>
      <c r="I10" s="256"/>
      <c r="J10" s="256"/>
      <c r="K10" s="246"/>
      <c r="L10" s="256"/>
      <c r="M10" s="256"/>
      <c r="N10" s="256"/>
      <c r="O10" s="257" t="s">
        <v>23</v>
      </c>
      <c r="P10" s="245"/>
      <c r="Q10" s="245"/>
      <c r="R10" s="258"/>
      <c r="S10" s="257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</row>
    <row r="11" spans="1:66" s="226" customFormat="1" ht="13.95" customHeight="1" x14ac:dyDescent="0.3">
      <c r="A11" s="249">
        <v>1</v>
      </c>
      <c r="B11" s="216" t="s">
        <v>85</v>
      </c>
      <c r="C11" s="331" t="s">
        <v>29</v>
      </c>
      <c r="D11" s="332" t="s">
        <v>28</v>
      </c>
      <c r="E11" s="333">
        <v>2023</v>
      </c>
      <c r="F11" s="334">
        <v>46238</v>
      </c>
      <c r="G11" s="334">
        <v>46238</v>
      </c>
      <c r="H11" s="312"/>
      <c r="I11" s="335"/>
      <c r="J11" s="336"/>
      <c r="K11" s="205">
        <f t="shared" ref="K11:L15" si="2">$F$1-F11</f>
        <v>26</v>
      </c>
      <c r="L11" s="205">
        <f t="shared" si="2"/>
        <v>26</v>
      </c>
      <c r="M11" s="205"/>
      <c r="N11" s="205"/>
      <c r="O11" s="222" t="s">
        <v>277</v>
      </c>
      <c r="P11" s="239"/>
      <c r="Q11" s="251"/>
      <c r="R11" s="252"/>
      <c r="S11" s="253"/>
    </row>
    <row r="12" spans="1:66" s="226" customFormat="1" ht="13.95" customHeight="1" x14ac:dyDescent="0.3">
      <c r="A12" s="249">
        <v>2</v>
      </c>
      <c r="B12" s="216" t="s">
        <v>248</v>
      </c>
      <c r="C12" s="331" t="s">
        <v>29</v>
      </c>
      <c r="D12" s="332" t="s">
        <v>28</v>
      </c>
      <c r="E12" s="333">
        <v>2023</v>
      </c>
      <c r="F12" s="334">
        <v>46234</v>
      </c>
      <c r="G12" s="334">
        <v>46234</v>
      </c>
      <c r="H12" s="312"/>
      <c r="I12" s="335"/>
      <c r="J12" s="336"/>
      <c r="K12" s="205">
        <f t="shared" si="2"/>
        <v>30</v>
      </c>
      <c r="L12" s="205">
        <f t="shared" si="2"/>
        <v>30</v>
      </c>
      <c r="M12" s="205"/>
      <c r="N12" s="205"/>
      <c r="O12" s="222" t="s">
        <v>252</v>
      </c>
      <c r="P12" s="324"/>
      <c r="Q12" s="251"/>
      <c r="R12" s="252"/>
      <c r="S12" s="253"/>
    </row>
    <row r="13" spans="1:66" s="226" customFormat="1" ht="13.95" customHeight="1" x14ac:dyDescent="0.3">
      <c r="A13" s="249">
        <v>3</v>
      </c>
      <c r="B13" s="216" t="s">
        <v>256</v>
      </c>
      <c r="C13" s="331" t="s">
        <v>32</v>
      </c>
      <c r="D13" s="332" t="s">
        <v>28</v>
      </c>
      <c r="E13" s="333">
        <v>2020</v>
      </c>
      <c r="F13" s="334">
        <v>46237</v>
      </c>
      <c r="G13" s="334">
        <v>46237</v>
      </c>
      <c r="H13" s="310"/>
      <c r="I13" s="335"/>
      <c r="J13" s="336"/>
      <c r="K13" s="205">
        <f t="shared" si="2"/>
        <v>27</v>
      </c>
      <c r="L13" s="205">
        <f t="shared" si="2"/>
        <v>27</v>
      </c>
      <c r="M13" s="205"/>
      <c r="N13" s="205"/>
      <c r="O13" s="222" t="s">
        <v>271</v>
      </c>
      <c r="P13" s="306"/>
      <c r="Q13" s="251"/>
      <c r="R13" s="252"/>
      <c r="S13" s="253"/>
    </row>
    <row r="14" spans="1:66" s="226" customFormat="1" ht="31.95" customHeight="1" x14ac:dyDescent="0.3">
      <c r="A14" s="249">
        <v>4</v>
      </c>
      <c r="B14" s="260" t="s">
        <v>65</v>
      </c>
      <c r="C14" s="331" t="s">
        <v>29</v>
      </c>
      <c r="D14" s="332" t="s">
        <v>28</v>
      </c>
      <c r="E14" s="333">
        <v>2023</v>
      </c>
      <c r="F14" s="206">
        <v>46254</v>
      </c>
      <c r="G14" s="206">
        <v>46254</v>
      </c>
      <c r="H14" s="220"/>
      <c r="I14" s="220"/>
      <c r="J14" s="221"/>
      <c r="K14" s="201">
        <f t="shared" si="2"/>
        <v>10</v>
      </c>
      <c r="L14" s="201">
        <f t="shared" si="2"/>
        <v>10</v>
      </c>
      <c r="M14" s="205"/>
      <c r="N14" s="205"/>
      <c r="O14" s="222" t="s">
        <v>272</v>
      </c>
      <c r="P14" s="283"/>
      <c r="Q14" s="251"/>
      <c r="R14" s="252"/>
      <c r="S14" s="253"/>
    </row>
    <row r="15" spans="1:66" s="226" customFormat="1" ht="31.95" customHeight="1" x14ac:dyDescent="0.3">
      <c r="A15" s="249">
        <v>5</v>
      </c>
      <c r="B15" s="216" t="s">
        <v>51</v>
      </c>
      <c r="C15" s="331" t="s">
        <v>32</v>
      </c>
      <c r="D15" s="332" t="s">
        <v>28</v>
      </c>
      <c r="E15" s="333">
        <v>2012</v>
      </c>
      <c r="F15" s="334">
        <v>46261</v>
      </c>
      <c r="G15" s="334">
        <v>46261</v>
      </c>
      <c r="H15" s="312"/>
      <c r="I15" s="335"/>
      <c r="J15" s="336"/>
      <c r="K15" s="205">
        <f t="shared" si="2"/>
        <v>3</v>
      </c>
      <c r="L15" s="205">
        <f t="shared" si="2"/>
        <v>3</v>
      </c>
      <c r="M15" s="205"/>
      <c r="N15" s="205"/>
      <c r="O15" s="222" t="s">
        <v>276</v>
      </c>
      <c r="P15" s="306" t="s">
        <v>153</v>
      </c>
      <c r="Q15" s="251"/>
      <c r="R15" s="252"/>
      <c r="S15" s="253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3">$F$1-F19</f>
        <v>101</v>
      </c>
      <c r="L19" s="201">
        <f t="shared" si="3"/>
        <v>101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3"/>
        <v>44</v>
      </c>
      <c r="L20" s="201">
        <f t="shared" si="3"/>
        <v>44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3"/>
        <v>31</v>
      </c>
      <c r="L21" s="201">
        <f t="shared" si="3"/>
        <v>31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R5:R7">
    <sortCondition ref="R5:R7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85A5-F005-4E21-9180-1A3F9C4AB367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46264</v>
      </c>
      <c r="G1" s="206">
        <v>46264</v>
      </c>
      <c r="H1" s="206">
        <v>46264</v>
      </c>
      <c r="I1" s="206">
        <v>46264</v>
      </c>
      <c r="J1" s="206">
        <v>46264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7" t="s">
        <v>7</v>
      </c>
      <c r="L3" s="367" t="s">
        <v>19</v>
      </c>
      <c r="M3" s="367" t="s">
        <v>20</v>
      </c>
      <c r="N3" s="36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344">
        <v>1</v>
      </c>
      <c r="B5" s="223" t="s">
        <v>285</v>
      </c>
      <c r="C5" s="337" t="s">
        <v>34</v>
      </c>
      <c r="D5" s="338" t="s">
        <v>286</v>
      </c>
      <c r="E5" s="339">
        <v>2014</v>
      </c>
      <c r="F5" s="234">
        <v>46264</v>
      </c>
      <c r="G5" s="234">
        <v>46264</v>
      </c>
      <c r="H5" s="296"/>
      <c r="I5" s="341"/>
      <c r="J5" s="342"/>
      <c r="K5" s="343">
        <f t="shared" ref="K5:L6" si="0">$F$1-F5</f>
        <v>0</v>
      </c>
      <c r="L5" s="343">
        <f t="shared" si="0"/>
        <v>0</v>
      </c>
      <c r="M5" s="343"/>
      <c r="N5" s="343"/>
      <c r="O5" s="238" t="s">
        <v>284</v>
      </c>
      <c r="P5" s="223" t="s">
        <v>26</v>
      </c>
      <c r="Q5" s="283" t="s">
        <v>220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51</v>
      </c>
      <c r="C6" s="331" t="s">
        <v>32</v>
      </c>
      <c r="D6" s="332" t="s">
        <v>28</v>
      </c>
      <c r="E6" s="333">
        <v>2012</v>
      </c>
      <c r="F6" s="334">
        <v>46261</v>
      </c>
      <c r="G6" s="334">
        <v>46261</v>
      </c>
      <c r="H6" s="312"/>
      <c r="I6" s="335"/>
      <c r="J6" s="336"/>
      <c r="K6" s="205">
        <f t="shared" si="0"/>
        <v>3</v>
      </c>
      <c r="L6" s="205">
        <f t="shared" si="0"/>
        <v>3</v>
      </c>
      <c r="M6" s="205"/>
      <c r="N6" s="205"/>
      <c r="O6" s="238" t="s">
        <v>89</v>
      </c>
      <c r="P6" s="306" t="s">
        <v>153</v>
      </c>
      <c r="Q6" s="223"/>
      <c r="R6" s="239" t="s">
        <v>220</v>
      </c>
      <c r="S6" s="225"/>
    </row>
    <row r="7" spans="1:66" s="226" customFormat="1" x14ac:dyDescent="0.3">
      <c r="A7" s="344">
        <v>3</v>
      </c>
      <c r="B7" s="223" t="s">
        <v>287</v>
      </c>
      <c r="C7" s="337" t="s">
        <v>29</v>
      </c>
      <c r="D7" s="338" t="s">
        <v>28</v>
      </c>
      <c r="E7" s="339">
        <v>2023</v>
      </c>
      <c r="F7" s="340">
        <v>46265</v>
      </c>
      <c r="G7" s="340">
        <v>46265</v>
      </c>
      <c r="H7" s="298"/>
      <c r="I7" s="341"/>
      <c r="J7" s="342"/>
      <c r="K7" s="343">
        <f t="shared" ref="K7" si="1">$F$1-F7</f>
        <v>-1</v>
      </c>
      <c r="L7" s="343">
        <f t="shared" ref="L7" si="2">$F$1-G7</f>
        <v>-1</v>
      </c>
      <c r="M7" s="343"/>
      <c r="N7" s="343"/>
      <c r="O7" s="238" t="s">
        <v>288</v>
      </c>
      <c r="P7" s="283" t="s">
        <v>220</v>
      </c>
      <c r="Q7" s="223"/>
      <c r="R7" s="216" t="s">
        <v>240</v>
      </c>
      <c r="S7" s="225"/>
    </row>
    <row r="8" spans="1:66" s="226" customFormat="1" ht="13.95" customHeight="1" x14ac:dyDescent="0.3">
      <c r="A8" s="242"/>
      <c r="B8" s="243"/>
      <c r="C8" s="244"/>
      <c r="D8" s="245"/>
      <c r="E8" s="246"/>
      <c r="F8" s="247"/>
      <c r="G8" s="247"/>
      <c r="H8" s="247"/>
      <c r="I8" s="247"/>
      <c r="J8" s="247"/>
      <c r="K8" s="246"/>
      <c r="L8" s="247"/>
      <c r="M8" s="247"/>
      <c r="N8" s="247"/>
      <c r="O8" s="248" t="s">
        <v>22</v>
      </c>
      <c r="P8" s="244"/>
      <c r="Q8" s="244"/>
      <c r="R8" s="245"/>
      <c r="S8" s="248"/>
    </row>
    <row r="9" spans="1:66" s="226" customFormat="1" ht="13.95" customHeight="1" x14ac:dyDescent="0.3">
      <c r="A9" s="249"/>
      <c r="B9" s="224"/>
      <c r="C9" s="240"/>
      <c r="D9" s="241"/>
      <c r="E9" s="219"/>
      <c r="F9" s="206"/>
      <c r="G9" s="206"/>
      <c r="H9" s="220"/>
      <c r="I9" s="220"/>
      <c r="J9" s="221"/>
      <c r="K9" s="201"/>
      <c r="L9" s="201"/>
      <c r="M9" s="201"/>
      <c r="N9" s="201"/>
      <c r="O9" s="222"/>
      <c r="P9" s="250"/>
      <c r="Q9" s="251"/>
      <c r="R9" s="252"/>
      <c r="S9" s="253"/>
    </row>
    <row r="10" spans="1:66" s="259" customFormat="1" ht="13.95" customHeight="1" x14ac:dyDescent="0.3">
      <c r="A10" s="254"/>
      <c r="B10" s="255"/>
      <c r="C10" s="244"/>
      <c r="D10" s="245" t="s">
        <v>0</v>
      </c>
      <c r="E10" s="246"/>
      <c r="F10" s="256"/>
      <c r="G10" s="256"/>
      <c r="H10" s="256"/>
      <c r="I10" s="256"/>
      <c r="J10" s="256"/>
      <c r="K10" s="246"/>
      <c r="L10" s="256"/>
      <c r="M10" s="256"/>
      <c r="N10" s="256"/>
      <c r="O10" s="257" t="s">
        <v>23</v>
      </c>
      <c r="P10" s="245"/>
      <c r="Q10" s="245"/>
      <c r="R10" s="258"/>
      <c r="S10" s="257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</row>
    <row r="11" spans="1:66" s="226" customFormat="1" ht="13.95" customHeight="1" x14ac:dyDescent="0.3">
      <c r="A11" s="249">
        <v>1</v>
      </c>
      <c r="B11" s="216" t="s">
        <v>85</v>
      </c>
      <c r="C11" s="331" t="s">
        <v>29</v>
      </c>
      <c r="D11" s="332" t="s">
        <v>28</v>
      </c>
      <c r="E11" s="333">
        <v>2023</v>
      </c>
      <c r="F11" s="334">
        <v>46238</v>
      </c>
      <c r="G11" s="334">
        <v>46238</v>
      </c>
      <c r="H11" s="312"/>
      <c r="I11" s="335"/>
      <c r="J11" s="336"/>
      <c r="K11" s="205">
        <f t="shared" ref="K11:L14" si="3">$F$1-F11</f>
        <v>26</v>
      </c>
      <c r="L11" s="205">
        <f t="shared" si="3"/>
        <v>26</v>
      </c>
      <c r="M11" s="205"/>
      <c r="N11" s="205"/>
      <c r="O11" s="222" t="s">
        <v>277</v>
      </c>
      <c r="P11" s="239"/>
      <c r="Q11" s="251"/>
      <c r="R11" s="252"/>
      <c r="S11" s="253"/>
    </row>
    <row r="12" spans="1:66" s="226" customFormat="1" ht="13.95" customHeight="1" x14ac:dyDescent="0.3">
      <c r="A12" s="249">
        <v>2</v>
      </c>
      <c r="B12" s="216" t="s">
        <v>248</v>
      </c>
      <c r="C12" s="331" t="s">
        <v>29</v>
      </c>
      <c r="D12" s="332" t="s">
        <v>28</v>
      </c>
      <c r="E12" s="333">
        <v>2023</v>
      </c>
      <c r="F12" s="334">
        <v>46234</v>
      </c>
      <c r="G12" s="334">
        <v>46234</v>
      </c>
      <c r="H12" s="312"/>
      <c r="I12" s="335"/>
      <c r="J12" s="336"/>
      <c r="K12" s="205">
        <f t="shared" si="3"/>
        <v>30</v>
      </c>
      <c r="L12" s="205">
        <f t="shared" si="3"/>
        <v>30</v>
      </c>
      <c r="M12" s="205"/>
      <c r="N12" s="205"/>
      <c r="O12" s="222" t="s">
        <v>252</v>
      </c>
      <c r="P12" s="324"/>
      <c r="Q12" s="251"/>
      <c r="R12" s="252"/>
      <c r="S12" s="253"/>
    </row>
    <row r="13" spans="1:66" s="226" customFormat="1" ht="13.95" customHeight="1" x14ac:dyDescent="0.3">
      <c r="A13" s="249">
        <v>3</v>
      </c>
      <c r="B13" s="216" t="s">
        <v>256</v>
      </c>
      <c r="C13" s="331" t="s">
        <v>32</v>
      </c>
      <c r="D13" s="332" t="s">
        <v>28</v>
      </c>
      <c r="E13" s="333">
        <v>2020</v>
      </c>
      <c r="F13" s="334">
        <v>46237</v>
      </c>
      <c r="G13" s="334">
        <v>46237</v>
      </c>
      <c r="H13" s="310"/>
      <c r="I13" s="335"/>
      <c r="J13" s="336"/>
      <c r="K13" s="205">
        <f t="shared" si="3"/>
        <v>27</v>
      </c>
      <c r="L13" s="205">
        <f t="shared" si="3"/>
        <v>27</v>
      </c>
      <c r="M13" s="205"/>
      <c r="N13" s="205"/>
      <c r="O13" s="222" t="s">
        <v>271</v>
      </c>
      <c r="P13" s="306"/>
      <c r="Q13" s="251"/>
      <c r="R13" s="252"/>
      <c r="S13" s="253"/>
    </row>
    <row r="14" spans="1:66" s="226" customFormat="1" ht="31.95" customHeight="1" x14ac:dyDescent="0.3">
      <c r="A14" s="249">
        <v>4</v>
      </c>
      <c r="B14" s="260" t="s">
        <v>65</v>
      </c>
      <c r="C14" s="331" t="s">
        <v>29</v>
      </c>
      <c r="D14" s="332" t="s">
        <v>28</v>
      </c>
      <c r="E14" s="333">
        <v>2023</v>
      </c>
      <c r="F14" s="206">
        <v>46254</v>
      </c>
      <c r="G14" s="206">
        <v>46254</v>
      </c>
      <c r="H14" s="220"/>
      <c r="I14" s="220"/>
      <c r="J14" s="221"/>
      <c r="K14" s="201">
        <f t="shared" si="3"/>
        <v>10</v>
      </c>
      <c r="L14" s="201">
        <f t="shared" si="3"/>
        <v>10</v>
      </c>
      <c r="M14" s="205"/>
      <c r="N14" s="205"/>
      <c r="O14" s="222" t="s">
        <v>272</v>
      </c>
      <c r="P14" s="283"/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4">$F$1-F18</f>
        <v>101</v>
      </c>
      <c r="L18" s="201">
        <f t="shared" si="4"/>
        <v>101</v>
      </c>
      <c r="M18" s="201"/>
      <c r="N18" s="201"/>
      <c r="O18" s="222" t="s">
        <v>267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4"/>
        <v>44</v>
      </c>
      <c r="L19" s="201">
        <f t="shared" si="4"/>
        <v>44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4"/>
        <v>31</v>
      </c>
      <c r="L20" s="201">
        <f t="shared" si="4"/>
        <v>31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FAEA-2343-44A7-B6CA-3F72708EAF4E}">
  <dimension ref="A1:BN21"/>
  <sheetViews>
    <sheetView workbookViewId="0">
      <selection activeCell="O6" sqref="O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46264</v>
      </c>
      <c r="G1" s="206">
        <v>46264</v>
      </c>
      <c r="H1" s="206">
        <v>46264</v>
      </c>
      <c r="I1" s="206">
        <v>46264</v>
      </c>
      <c r="J1" s="206">
        <v>46264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8" t="s">
        <v>7</v>
      </c>
      <c r="L3" s="368" t="s">
        <v>19</v>
      </c>
      <c r="M3" s="368" t="s">
        <v>20</v>
      </c>
      <c r="N3" s="36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344">
        <v>1</v>
      </c>
      <c r="B5" s="223" t="s">
        <v>285</v>
      </c>
      <c r="C5" s="337" t="s">
        <v>34</v>
      </c>
      <c r="D5" s="338" t="s">
        <v>286</v>
      </c>
      <c r="E5" s="339">
        <v>2014</v>
      </c>
      <c r="F5" s="234">
        <v>46264</v>
      </c>
      <c r="G5" s="234">
        <v>46264</v>
      </c>
      <c r="H5" s="296"/>
      <c r="I5" s="341"/>
      <c r="J5" s="342"/>
      <c r="K5" s="343">
        <f t="shared" ref="K5:L7" si="0">$F$1-F5</f>
        <v>0</v>
      </c>
      <c r="L5" s="343">
        <f t="shared" si="0"/>
        <v>0</v>
      </c>
      <c r="M5" s="343"/>
      <c r="N5" s="343"/>
      <c r="O5" s="238" t="s">
        <v>284</v>
      </c>
      <c r="P5" s="223" t="s">
        <v>26</v>
      </c>
      <c r="Q5" s="283" t="s">
        <v>220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51</v>
      </c>
      <c r="C6" s="331" t="s">
        <v>32</v>
      </c>
      <c r="D6" s="332" t="s">
        <v>28</v>
      </c>
      <c r="E6" s="333">
        <v>2012</v>
      </c>
      <c r="F6" s="334">
        <v>46261</v>
      </c>
      <c r="G6" s="334">
        <v>46261</v>
      </c>
      <c r="H6" s="312"/>
      <c r="I6" s="335"/>
      <c r="J6" s="336"/>
      <c r="K6" s="205">
        <f t="shared" si="0"/>
        <v>3</v>
      </c>
      <c r="L6" s="205">
        <f t="shared" si="0"/>
        <v>3</v>
      </c>
      <c r="M6" s="205"/>
      <c r="N6" s="205"/>
      <c r="O6" s="238" t="s">
        <v>89</v>
      </c>
      <c r="P6" s="306" t="s">
        <v>153</v>
      </c>
      <c r="Q6" s="223"/>
      <c r="R6" s="239" t="s">
        <v>220</v>
      </c>
      <c r="S6" s="225"/>
    </row>
    <row r="7" spans="1:66" s="226" customFormat="1" x14ac:dyDescent="0.3">
      <c r="A7" s="344">
        <v>3</v>
      </c>
      <c r="B7" s="223" t="s">
        <v>287</v>
      </c>
      <c r="C7" s="337" t="s">
        <v>29</v>
      </c>
      <c r="D7" s="338" t="s">
        <v>28</v>
      </c>
      <c r="E7" s="339">
        <v>2023</v>
      </c>
      <c r="F7" s="340">
        <v>46265</v>
      </c>
      <c r="G7" s="340">
        <v>46265</v>
      </c>
      <c r="H7" s="298"/>
      <c r="I7" s="341"/>
      <c r="J7" s="342"/>
      <c r="K7" s="343">
        <f t="shared" si="0"/>
        <v>-1</v>
      </c>
      <c r="L7" s="343">
        <f t="shared" si="0"/>
        <v>-1</v>
      </c>
      <c r="M7" s="343"/>
      <c r="N7" s="343"/>
      <c r="O7" s="238" t="s">
        <v>288</v>
      </c>
      <c r="P7" s="283" t="s">
        <v>220</v>
      </c>
      <c r="Q7" s="223"/>
      <c r="R7" s="216" t="s">
        <v>240</v>
      </c>
      <c r="S7" s="225"/>
    </row>
    <row r="8" spans="1:66" s="226" customFormat="1" ht="13.95" customHeight="1" x14ac:dyDescent="0.3">
      <c r="A8" s="242"/>
      <c r="B8" s="243"/>
      <c r="C8" s="244"/>
      <c r="D8" s="245"/>
      <c r="E8" s="246"/>
      <c r="F8" s="247"/>
      <c r="G8" s="247"/>
      <c r="H8" s="247"/>
      <c r="I8" s="247"/>
      <c r="J8" s="247"/>
      <c r="K8" s="246"/>
      <c r="L8" s="247"/>
      <c r="M8" s="247"/>
      <c r="N8" s="247"/>
      <c r="O8" s="248" t="s">
        <v>22</v>
      </c>
      <c r="P8" s="244"/>
      <c r="Q8" s="244"/>
      <c r="R8" s="245"/>
      <c r="S8" s="248"/>
    </row>
    <row r="9" spans="1:66" s="226" customFormat="1" ht="13.95" customHeight="1" x14ac:dyDescent="0.3">
      <c r="A9" s="249"/>
      <c r="B9" s="224"/>
      <c r="C9" s="240"/>
      <c r="D9" s="241"/>
      <c r="E9" s="219"/>
      <c r="F9" s="206"/>
      <c r="G9" s="206"/>
      <c r="H9" s="220"/>
      <c r="I9" s="220"/>
      <c r="J9" s="221"/>
      <c r="K9" s="201"/>
      <c r="L9" s="201"/>
      <c r="M9" s="201"/>
      <c r="N9" s="201"/>
      <c r="O9" s="222"/>
      <c r="P9" s="250"/>
      <c r="Q9" s="251"/>
      <c r="R9" s="252"/>
      <c r="S9" s="253"/>
    </row>
    <row r="10" spans="1:66" s="259" customFormat="1" ht="13.95" customHeight="1" x14ac:dyDescent="0.3">
      <c r="A10" s="254"/>
      <c r="B10" s="255"/>
      <c r="C10" s="244"/>
      <c r="D10" s="245" t="s">
        <v>0</v>
      </c>
      <c r="E10" s="246"/>
      <c r="F10" s="256"/>
      <c r="G10" s="256"/>
      <c r="H10" s="256"/>
      <c r="I10" s="256"/>
      <c r="J10" s="256"/>
      <c r="K10" s="246"/>
      <c r="L10" s="256"/>
      <c r="M10" s="256"/>
      <c r="N10" s="256"/>
      <c r="O10" s="257" t="s">
        <v>23</v>
      </c>
      <c r="P10" s="245"/>
      <c r="Q10" s="245"/>
      <c r="R10" s="258"/>
      <c r="S10" s="257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</row>
    <row r="11" spans="1:66" s="226" customFormat="1" ht="13.95" customHeight="1" x14ac:dyDescent="0.3">
      <c r="A11" s="249">
        <v>1</v>
      </c>
      <c r="B11" s="216" t="s">
        <v>85</v>
      </c>
      <c r="C11" s="331" t="s">
        <v>29</v>
      </c>
      <c r="D11" s="332" t="s">
        <v>28</v>
      </c>
      <c r="E11" s="333">
        <v>2023</v>
      </c>
      <c r="F11" s="334">
        <v>46238</v>
      </c>
      <c r="G11" s="334">
        <v>46238</v>
      </c>
      <c r="H11" s="312"/>
      <c r="I11" s="335"/>
      <c r="J11" s="336"/>
      <c r="K11" s="205">
        <f t="shared" ref="K11:L14" si="1">$F$1-F11</f>
        <v>26</v>
      </c>
      <c r="L11" s="205">
        <f t="shared" si="1"/>
        <v>26</v>
      </c>
      <c r="M11" s="205"/>
      <c r="N11" s="205"/>
      <c r="O11" s="222" t="s">
        <v>277</v>
      </c>
      <c r="P11" s="239"/>
      <c r="Q11" s="251"/>
      <c r="R11" s="252"/>
      <c r="S11" s="253"/>
    </row>
    <row r="12" spans="1:66" s="226" customFormat="1" ht="13.95" customHeight="1" x14ac:dyDescent="0.3">
      <c r="A12" s="249">
        <v>2</v>
      </c>
      <c r="B12" s="216" t="s">
        <v>248</v>
      </c>
      <c r="C12" s="331" t="s">
        <v>29</v>
      </c>
      <c r="D12" s="332" t="s">
        <v>28</v>
      </c>
      <c r="E12" s="333">
        <v>2023</v>
      </c>
      <c r="F12" s="334">
        <v>46234</v>
      </c>
      <c r="G12" s="334">
        <v>46234</v>
      </c>
      <c r="H12" s="312"/>
      <c r="I12" s="335"/>
      <c r="J12" s="336"/>
      <c r="K12" s="205">
        <f t="shared" si="1"/>
        <v>30</v>
      </c>
      <c r="L12" s="205">
        <f t="shared" si="1"/>
        <v>30</v>
      </c>
      <c r="M12" s="205"/>
      <c r="N12" s="205"/>
      <c r="O12" s="222" t="s">
        <v>252</v>
      </c>
      <c r="P12" s="324"/>
      <c r="Q12" s="251"/>
      <c r="R12" s="252"/>
      <c r="S12" s="253"/>
    </row>
    <row r="13" spans="1:66" s="226" customFormat="1" ht="13.95" customHeight="1" x14ac:dyDescent="0.3">
      <c r="A13" s="249">
        <v>3</v>
      </c>
      <c r="B13" s="216" t="s">
        <v>256</v>
      </c>
      <c r="C13" s="331" t="s">
        <v>32</v>
      </c>
      <c r="D13" s="332" t="s">
        <v>28</v>
      </c>
      <c r="E13" s="333">
        <v>2020</v>
      </c>
      <c r="F13" s="334">
        <v>46237</v>
      </c>
      <c r="G13" s="334">
        <v>46237</v>
      </c>
      <c r="H13" s="310"/>
      <c r="I13" s="335"/>
      <c r="J13" s="336"/>
      <c r="K13" s="205">
        <f t="shared" si="1"/>
        <v>27</v>
      </c>
      <c r="L13" s="205">
        <f t="shared" si="1"/>
        <v>27</v>
      </c>
      <c r="M13" s="205"/>
      <c r="N13" s="205"/>
      <c r="O13" s="222" t="s">
        <v>271</v>
      </c>
      <c r="P13" s="306"/>
      <c r="Q13" s="251"/>
      <c r="R13" s="252"/>
      <c r="S13" s="253"/>
    </row>
    <row r="14" spans="1:66" s="226" customFormat="1" ht="31.95" customHeight="1" x14ac:dyDescent="0.3">
      <c r="A14" s="249">
        <v>4</v>
      </c>
      <c r="B14" s="260" t="s">
        <v>65</v>
      </c>
      <c r="C14" s="331" t="s">
        <v>29</v>
      </c>
      <c r="D14" s="332" t="s">
        <v>28</v>
      </c>
      <c r="E14" s="333">
        <v>2023</v>
      </c>
      <c r="F14" s="206">
        <v>46254</v>
      </c>
      <c r="G14" s="206">
        <v>46254</v>
      </c>
      <c r="H14" s="220"/>
      <c r="I14" s="220"/>
      <c r="J14" s="221"/>
      <c r="K14" s="201">
        <f t="shared" si="1"/>
        <v>10</v>
      </c>
      <c r="L14" s="201">
        <f t="shared" si="1"/>
        <v>10</v>
      </c>
      <c r="M14" s="205"/>
      <c r="N14" s="205"/>
      <c r="O14" s="222" t="s">
        <v>272</v>
      </c>
      <c r="P14" s="283"/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2">$F$1-F18</f>
        <v>101</v>
      </c>
      <c r="L18" s="201">
        <f t="shared" si="2"/>
        <v>101</v>
      </c>
      <c r="M18" s="201"/>
      <c r="N18" s="201"/>
      <c r="O18" s="222" t="s">
        <v>267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2"/>
        <v>44</v>
      </c>
      <c r="L19" s="201">
        <f t="shared" si="2"/>
        <v>44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2"/>
        <v>31</v>
      </c>
      <c r="L20" s="201">
        <f t="shared" si="2"/>
        <v>31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7411-CC13-4FE5-A94C-24A6B34C7135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46267</v>
      </c>
      <c r="G1" s="206">
        <v>46267</v>
      </c>
      <c r="H1" s="206">
        <v>46267</v>
      </c>
      <c r="I1" s="206">
        <v>46267</v>
      </c>
      <c r="J1" s="206">
        <v>46267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69" t="s">
        <v>7</v>
      </c>
      <c r="L3" s="369" t="s">
        <v>19</v>
      </c>
      <c r="M3" s="369" t="s">
        <v>20</v>
      </c>
      <c r="N3" s="36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344">
        <v>1</v>
      </c>
      <c r="B5" s="223" t="s">
        <v>285</v>
      </c>
      <c r="C5" s="337" t="s">
        <v>34</v>
      </c>
      <c r="D5" s="338" t="s">
        <v>286</v>
      </c>
      <c r="E5" s="339">
        <v>2014</v>
      </c>
      <c r="F5" s="234">
        <v>46264</v>
      </c>
      <c r="G5" s="234">
        <v>46264</v>
      </c>
      <c r="H5" s="296"/>
      <c r="I5" s="341"/>
      <c r="J5" s="342"/>
      <c r="K5" s="343">
        <f>$F$1-F5</f>
        <v>3</v>
      </c>
      <c r="L5" s="343">
        <f>$F$1-G5</f>
        <v>3</v>
      </c>
      <c r="M5" s="343"/>
      <c r="N5" s="343"/>
      <c r="O5" s="238" t="s">
        <v>284</v>
      </c>
      <c r="P5" s="223" t="s">
        <v>26</v>
      </c>
      <c r="Q5" s="223" t="s">
        <v>51</v>
      </c>
      <c r="R5" s="216" t="s">
        <v>30</v>
      </c>
      <c r="S5" s="225"/>
    </row>
    <row r="6" spans="1:66" s="226" customFormat="1" x14ac:dyDescent="0.3">
      <c r="A6" s="344">
        <v>2</v>
      </c>
      <c r="B6" s="223" t="s">
        <v>287</v>
      </c>
      <c r="C6" s="337" t="s">
        <v>29</v>
      </c>
      <c r="D6" s="338" t="s">
        <v>28</v>
      </c>
      <c r="E6" s="339">
        <v>2023</v>
      </c>
      <c r="F6" s="340">
        <v>46265</v>
      </c>
      <c r="G6" s="340">
        <v>46265</v>
      </c>
      <c r="H6" s="296"/>
      <c r="I6" s="341"/>
      <c r="J6" s="342"/>
      <c r="K6" s="343">
        <f>$F$1-F6</f>
        <v>2</v>
      </c>
      <c r="L6" s="343">
        <f>$F$1-G6</f>
        <v>2</v>
      </c>
      <c r="M6" s="343"/>
      <c r="N6" s="343"/>
      <c r="O6" s="238" t="s">
        <v>288</v>
      </c>
      <c r="P6" s="283" t="s">
        <v>220</v>
      </c>
      <c r="Q6" s="283" t="s">
        <v>220</v>
      </c>
      <c r="R6" s="216" t="s">
        <v>240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38"/>
      <c r="P7" s="306"/>
      <c r="Q7" s="223"/>
      <c r="R7" s="223" t="s">
        <v>148</v>
      </c>
      <c r="S7" s="225"/>
    </row>
    <row r="8" spans="1:66" s="226" customFormat="1" x14ac:dyDescent="0.3">
      <c r="A8" s="344"/>
      <c r="B8" s="223"/>
      <c r="C8" s="337"/>
      <c r="D8" s="338"/>
      <c r="E8" s="339"/>
      <c r="F8" s="340"/>
      <c r="G8" s="340"/>
      <c r="H8" s="298"/>
      <c r="I8" s="341"/>
      <c r="J8" s="342"/>
      <c r="K8" s="343"/>
      <c r="L8" s="343"/>
      <c r="M8" s="343"/>
      <c r="N8" s="343"/>
      <c r="O8" s="238"/>
      <c r="P8" s="283"/>
      <c r="Q8" s="223"/>
      <c r="R8" s="216"/>
      <c r="S8" s="225"/>
    </row>
    <row r="9" spans="1:66" s="226" customFormat="1" ht="13.95" customHeight="1" x14ac:dyDescent="0.3">
      <c r="A9" s="242"/>
      <c r="B9" s="243"/>
      <c r="C9" s="244"/>
      <c r="D9" s="245"/>
      <c r="E9" s="246"/>
      <c r="F9" s="247"/>
      <c r="G9" s="247"/>
      <c r="H9" s="247"/>
      <c r="I9" s="247"/>
      <c r="J9" s="247"/>
      <c r="K9" s="246"/>
      <c r="L9" s="247"/>
      <c r="M9" s="247"/>
      <c r="N9" s="247"/>
      <c r="O9" s="248" t="s">
        <v>22</v>
      </c>
      <c r="P9" s="244"/>
      <c r="Q9" s="244"/>
      <c r="R9" s="245"/>
      <c r="S9" s="248"/>
    </row>
    <row r="10" spans="1:66" s="226" customFormat="1" ht="13.95" customHeight="1" x14ac:dyDescent="0.3">
      <c r="A10" s="249"/>
      <c r="B10" s="224"/>
      <c r="C10" s="240"/>
      <c r="D10" s="241"/>
      <c r="E10" s="219"/>
      <c r="F10" s="206"/>
      <c r="G10" s="206"/>
      <c r="H10" s="220"/>
      <c r="I10" s="220"/>
      <c r="J10" s="221"/>
      <c r="K10" s="201"/>
      <c r="L10" s="201"/>
      <c r="M10" s="201"/>
      <c r="N10" s="201"/>
      <c r="O10" s="222"/>
      <c r="P10" s="250"/>
      <c r="Q10" s="251"/>
      <c r="R10" s="252"/>
      <c r="S10" s="253"/>
    </row>
    <row r="11" spans="1:66" s="259" customFormat="1" ht="13.95" customHeight="1" x14ac:dyDescent="0.3">
      <c r="A11" s="254"/>
      <c r="B11" s="255"/>
      <c r="C11" s="244"/>
      <c r="D11" s="245" t="s">
        <v>0</v>
      </c>
      <c r="E11" s="246"/>
      <c r="F11" s="256"/>
      <c r="G11" s="256"/>
      <c r="H11" s="256"/>
      <c r="I11" s="256"/>
      <c r="J11" s="256"/>
      <c r="K11" s="246"/>
      <c r="L11" s="256"/>
      <c r="M11" s="256"/>
      <c r="N11" s="256"/>
      <c r="O11" s="257" t="s">
        <v>23</v>
      </c>
      <c r="P11" s="245"/>
      <c r="Q11" s="245"/>
      <c r="R11" s="258"/>
      <c r="S11" s="257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</row>
    <row r="12" spans="1:66" s="226" customFormat="1" ht="13.95" customHeight="1" x14ac:dyDescent="0.3">
      <c r="A12" s="249">
        <v>1</v>
      </c>
      <c r="B12" s="216" t="s">
        <v>85</v>
      </c>
      <c r="C12" s="331" t="s">
        <v>29</v>
      </c>
      <c r="D12" s="332" t="s">
        <v>28</v>
      </c>
      <c r="E12" s="333">
        <v>2023</v>
      </c>
      <c r="F12" s="334">
        <v>46238</v>
      </c>
      <c r="G12" s="334">
        <v>46238</v>
      </c>
      <c r="H12" s="312"/>
      <c r="I12" s="335"/>
      <c r="J12" s="336"/>
      <c r="K12" s="205">
        <f t="shared" ref="K12:L15" si="0">$F$1-F12</f>
        <v>29</v>
      </c>
      <c r="L12" s="205">
        <f t="shared" si="0"/>
        <v>29</v>
      </c>
      <c r="M12" s="205"/>
      <c r="N12" s="205"/>
      <c r="O12" s="222" t="s">
        <v>277</v>
      </c>
      <c r="P12" s="239"/>
      <c r="Q12" s="251"/>
      <c r="R12" s="252"/>
      <c r="S12" s="253"/>
    </row>
    <row r="13" spans="1:66" s="226" customFormat="1" ht="13.95" customHeight="1" x14ac:dyDescent="0.3">
      <c r="A13" s="249">
        <v>2</v>
      </c>
      <c r="B13" s="216" t="s">
        <v>248</v>
      </c>
      <c r="C13" s="331" t="s">
        <v>29</v>
      </c>
      <c r="D13" s="332" t="s">
        <v>28</v>
      </c>
      <c r="E13" s="333">
        <v>2023</v>
      </c>
      <c r="F13" s="334">
        <v>46234</v>
      </c>
      <c r="G13" s="334">
        <v>46234</v>
      </c>
      <c r="H13" s="312"/>
      <c r="I13" s="335"/>
      <c r="J13" s="336"/>
      <c r="K13" s="205">
        <f t="shared" si="0"/>
        <v>33</v>
      </c>
      <c r="L13" s="205">
        <f t="shared" si="0"/>
        <v>33</v>
      </c>
      <c r="M13" s="205"/>
      <c r="N13" s="205"/>
      <c r="O13" s="222" t="s">
        <v>252</v>
      </c>
      <c r="P13" s="324"/>
      <c r="Q13" s="251"/>
      <c r="R13" s="252"/>
      <c r="S13" s="253"/>
    </row>
    <row r="14" spans="1:66" s="226" customFormat="1" ht="13.95" customHeight="1" x14ac:dyDescent="0.3">
      <c r="A14" s="249">
        <v>3</v>
      </c>
      <c r="B14" s="216" t="s">
        <v>256</v>
      </c>
      <c r="C14" s="331" t="s">
        <v>32</v>
      </c>
      <c r="D14" s="332" t="s">
        <v>28</v>
      </c>
      <c r="E14" s="333">
        <v>2020</v>
      </c>
      <c r="F14" s="334">
        <v>46237</v>
      </c>
      <c r="G14" s="334">
        <v>46237</v>
      </c>
      <c r="H14" s="310"/>
      <c r="I14" s="335"/>
      <c r="J14" s="336"/>
      <c r="K14" s="205">
        <f t="shared" si="0"/>
        <v>30</v>
      </c>
      <c r="L14" s="205">
        <f t="shared" si="0"/>
        <v>30</v>
      </c>
      <c r="M14" s="205"/>
      <c r="N14" s="205"/>
      <c r="O14" s="222" t="s">
        <v>271</v>
      </c>
      <c r="P14" s="306"/>
      <c r="Q14" s="251"/>
      <c r="R14" s="252"/>
      <c r="S14" s="253"/>
    </row>
    <row r="15" spans="1:66" s="226" customFormat="1" ht="31.95" customHeight="1" x14ac:dyDescent="0.3">
      <c r="A15" s="249">
        <v>4</v>
      </c>
      <c r="B15" s="260" t="s">
        <v>65</v>
      </c>
      <c r="C15" s="331" t="s">
        <v>29</v>
      </c>
      <c r="D15" s="332" t="s">
        <v>28</v>
      </c>
      <c r="E15" s="333">
        <v>2023</v>
      </c>
      <c r="F15" s="206">
        <v>46254</v>
      </c>
      <c r="G15" s="206">
        <v>46254</v>
      </c>
      <c r="H15" s="220"/>
      <c r="I15" s="220"/>
      <c r="J15" s="221"/>
      <c r="K15" s="201">
        <f t="shared" si="0"/>
        <v>13</v>
      </c>
      <c r="L15" s="201">
        <f t="shared" si="0"/>
        <v>13</v>
      </c>
      <c r="M15" s="205"/>
      <c r="N15" s="205"/>
      <c r="O15" s="222" t="s">
        <v>272</v>
      </c>
      <c r="P15" s="306" t="s">
        <v>153</v>
      </c>
      <c r="Q15" s="251"/>
      <c r="R15" s="252"/>
      <c r="S15" s="253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1">$F$1-F19</f>
        <v>104</v>
      </c>
      <c r="L19" s="201">
        <f t="shared" si="1"/>
        <v>104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1"/>
        <v>47</v>
      </c>
      <c r="L20" s="201">
        <f t="shared" si="1"/>
        <v>47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1"/>
        <v>34</v>
      </c>
      <c r="L21" s="201">
        <f t="shared" si="1"/>
        <v>34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A5:P7">
    <sortCondition ref="A5:A7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CDED-D35E-4008-9C0D-82D7FDD64717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46267</v>
      </c>
      <c r="G1" s="206">
        <v>46267</v>
      </c>
      <c r="H1" s="206">
        <v>46267</v>
      </c>
      <c r="I1" s="206">
        <v>46267</v>
      </c>
      <c r="J1" s="206">
        <v>46267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0" t="s">
        <v>7</v>
      </c>
      <c r="L3" s="370" t="s">
        <v>19</v>
      </c>
      <c r="M3" s="370" t="s">
        <v>20</v>
      </c>
      <c r="N3" s="37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344">
        <v>1</v>
      </c>
      <c r="B5" s="223" t="s">
        <v>285</v>
      </c>
      <c r="C5" s="337" t="s">
        <v>34</v>
      </c>
      <c r="D5" s="338" t="s">
        <v>286</v>
      </c>
      <c r="E5" s="339">
        <v>2014</v>
      </c>
      <c r="F5" s="234">
        <v>46264</v>
      </c>
      <c r="G5" s="234">
        <v>46264</v>
      </c>
      <c r="H5" s="296"/>
      <c r="I5" s="341"/>
      <c r="J5" s="342"/>
      <c r="K5" s="343">
        <f>$F$1-F5</f>
        <v>3</v>
      </c>
      <c r="L5" s="343">
        <f>$F$1-G5</f>
        <v>3</v>
      </c>
      <c r="M5" s="343"/>
      <c r="N5" s="343"/>
      <c r="O5" s="238" t="s">
        <v>284</v>
      </c>
      <c r="P5" s="223" t="s">
        <v>26</v>
      </c>
      <c r="Q5" s="223" t="s">
        <v>51</v>
      </c>
      <c r="R5" s="216" t="s">
        <v>30</v>
      </c>
      <c r="S5" s="225"/>
    </row>
    <row r="6" spans="1:66" s="226" customFormat="1" x14ac:dyDescent="0.3">
      <c r="A6" s="344">
        <v>2</v>
      </c>
      <c r="B6" s="223" t="s">
        <v>287</v>
      </c>
      <c r="C6" s="337" t="s">
        <v>29</v>
      </c>
      <c r="D6" s="338" t="s">
        <v>28</v>
      </c>
      <c r="E6" s="339">
        <v>2023</v>
      </c>
      <c r="F6" s="340">
        <v>46265</v>
      </c>
      <c r="G6" s="340">
        <v>46265</v>
      </c>
      <c r="H6" s="296"/>
      <c r="I6" s="341"/>
      <c r="J6" s="342"/>
      <c r="K6" s="343">
        <f>$F$1-F6</f>
        <v>2</v>
      </c>
      <c r="L6" s="343">
        <f>$F$1-G6</f>
        <v>2</v>
      </c>
      <c r="M6" s="343"/>
      <c r="N6" s="343"/>
      <c r="O6" s="238" t="s">
        <v>288</v>
      </c>
      <c r="P6" s="283" t="s">
        <v>220</v>
      </c>
      <c r="Q6" s="283" t="s">
        <v>220</v>
      </c>
      <c r="R6" s="216" t="s">
        <v>240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0"/>
      <c r="I7" s="335"/>
      <c r="J7" s="336"/>
      <c r="K7" s="205"/>
      <c r="L7" s="205"/>
      <c r="M7" s="205"/>
      <c r="N7" s="205"/>
      <c r="O7" s="238"/>
      <c r="P7" s="306"/>
      <c r="Q7" s="223"/>
      <c r="R7" s="223" t="s">
        <v>148</v>
      </c>
      <c r="S7" s="225"/>
    </row>
    <row r="8" spans="1:66" s="226" customFormat="1" x14ac:dyDescent="0.3">
      <c r="A8" s="344"/>
      <c r="B8" s="223"/>
      <c r="C8" s="337"/>
      <c r="D8" s="338"/>
      <c r="E8" s="339"/>
      <c r="F8" s="340"/>
      <c r="G8" s="340"/>
      <c r="H8" s="298"/>
      <c r="I8" s="341"/>
      <c r="J8" s="342"/>
      <c r="K8" s="343"/>
      <c r="L8" s="343"/>
      <c r="M8" s="343"/>
      <c r="N8" s="343"/>
      <c r="O8" s="238"/>
      <c r="P8" s="283"/>
      <c r="Q8" s="223"/>
      <c r="R8" s="216"/>
      <c r="S8" s="225"/>
    </row>
    <row r="9" spans="1:66" s="226" customFormat="1" ht="13.95" customHeight="1" x14ac:dyDescent="0.3">
      <c r="A9" s="242"/>
      <c r="B9" s="243"/>
      <c r="C9" s="244"/>
      <c r="D9" s="245"/>
      <c r="E9" s="246"/>
      <c r="F9" s="247"/>
      <c r="G9" s="247"/>
      <c r="H9" s="247"/>
      <c r="I9" s="247"/>
      <c r="J9" s="247"/>
      <c r="K9" s="246"/>
      <c r="L9" s="247"/>
      <c r="M9" s="247"/>
      <c r="N9" s="247"/>
      <c r="O9" s="248" t="s">
        <v>22</v>
      </c>
      <c r="P9" s="244"/>
      <c r="Q9" s="244"/>
      <c r="R9" s="245"/>
      <c r="S9" s="248"/>
    </row>
    <row r="10" spans="1:66" s="226" customFormat="1" ht="13.95" customHeight="1" x14ac:dyDescent="0.3">
      <c r="A10" s="249"/>
      <c r="B10" s="224"/>
      <c r="C10" s="240"/>
      <c r="D10" s="241"/>
      <c r="E10" s="219"/>
      <c r="F10" s="206"/>
      <c r="G10" s="206"/>
      <c r="H10" s="220"/>
      <c r="I10" s="220"/>
      <c r="J10" s="221"/>
      <c r="K10" s="201"/>
      <c r="L10" s="201"/>
      <c r="M10" s="201"/>
      <c r="N10" s="201"/>
      <c r="O10" s="222"/>
      <c r="P10" s="250"/>
      <c r="Q10" s="251"/>
      <c r="R10" s="252"/>
      <c r="S10" s="253"/>
    </row>
    <row r="11" spans="1:66" s="259" customFormat="1" ht="13.95" customHeight="1" x14ac:dyDescent="0.3">
      <c r="A11" s="254"/>
      <c r="B11" s="255"/>
      <c r="C11" s="244"/>
      <c r="D11" s="245" t="s">
        <v>0</v>
      </c>
      <c r="E11" s="246"/>
      <c r="F11" s="256"/>
      <c r="G11" s="256"/>
      <c r="H11" s="256"/>
      <c r="I11" s="256"/>
      <c r="J11" s="256"/>
      <c r="K11" s="246"/>
      <c r="L11" s="256"/>
      <c r="M11" s="256"/>
      <c r="N11" s="256"/>
      <c r="O11" s="257" t="s">
        <v>23</v>
      </c>
      <c r="P11" s="245"/>
      <c r="Q11" s="245"/>
      <c r="R11" s="258"/>
      <c r="S11" s="257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</row>
    <row r="12" spans="1:66" s="226" customFormat="1" ht="13.95" customHeight="1" x14ac:dyDescent="0.3">
      <c r="A12" s="249">
        <v>1</v>
      </c>
      <c r="B12" s="216" t="s">
        <v>85</v>
      </c>
      <c r="C12" s="331" t="s">
        <v>29</v>
      </c>
      <c r="D12" s="332" t="s">
        <v>28</v>
      </c>
      <c r="E12" s="333">
        <v>2023</v>
      </c>
      <c r="F12" s="334">
        <v>46238</v>
      </c>
      <c r="G12" s="334">
        <v>46238</v>
      </c>
      <c r="H12" s="312"/>
      <c r="I12" s="335"/>
      <c r="J12" s="336"/>
      <c r="K12" s="205">
        <f t="shared" ref="K12:L15" si="0">$F$1-F12</f>
        <v>29</v>
      </c>
      <c r="L12" s="205">
        <f t="shared" si="0"/>
        <v>29</v>
      </c>
      <c r="M12" s="205"/>
      <c r="N12" s="205"/>
      <c r="O12" s="222" t="s">
        <v>277</v>
      </c>
      <c r="P12" s="239"/>
      <c r="Q12" s="251"/>
      <c r="R12" s="252"/>
      <c r="S12" s="253"/>
    </row>
    <row r="13" spans="1:66" s="226" customFormat="1" ht="13.95" customHeight="1" x14ac:dyDescent="0.3">
      <c r="A13" s="249">
        <v>2</v>
      </c>
      <c r="B13" s="216" t="s">
        <v>248</v>
      </c>
      <c r="C13" s="331" t="s">
        <v>29</v>
      </c>
      <c r="D13" s="332" t="s">
        <v>28</v>
      </c>
      <c r="E13" s="333">
        <v>2023</v>
      </c>
      <c r="F13" s="334">
        <v>46234</v>
      </c>
      <c r="G13" s="334">
        <v>46234</v>
      </c>
      <c r="H13" s="312"/>
      <c r="I13" s="335"/>
      <c r="J13" s="336"/>
      <c r="K13" s="205">
        <f t="shared" si="0"/>
        <v>33</v>
      </c>
      <c r="L13" s="205">
        <f t="shared" si="0"/>
        <v>33</v>
      </c>
      <c r="M13" s="205"/>
      <c r="N13" s="205"/>
      <c r="O13" s="222" t="s">
        <v>252</v>
      </c>
      <c r="P13" s="324"/>
      <c r="Q13" s="251"/>
      <c r="R13" s="252"/>
      <c r="S13" s="253"/>
    </row>
    <row r="14" spans="1:66" s="226" customFormat="1" ht="13.95" customHeight="1" x14ac:dyDescent="0.3">
      <c r="A14" s="249">
        <v>3</v>
      </c>
      <c r="B14" s="216" t="s">
        <v>256</v>
      </c>
      <c r="C14" s="331" t="s">
        <v>32</v>
      </c>
      <c r="D14" s="332" t="s">
        <v>28</v>
      </c>
      <c r="E14" s="333">
        <v>2020</v>
      </c>
      <c r="F14" s="334">
        <v>46237</v>
      </c>
      <c r="G14" s="334">
        <v>46237</v>
      </c>
      <c r="H14" s="310"/>
      <c r="I14" s="335"/>
      <c r="J14" s="336"/>
      <c r="K14" s="205">
        <f t="shared" si="0"/>
        <v>30</v>
      </c>
      <c r="L14" s="205">
        <f t="shared" si="0"/>
        <v>30</v>
      </c>
      <c r="M14" s="205"/>
      <c r="N14" s="205"/>
      <c r="O14" s="222" t="s">
        <v>271</v>
      </c>
      <c r="P14" s="306"/>
      <c r="Q14" s="251"/>
      <c r="R14" s="252"/>
      <c r="S14" s="253"/>
    </row>
    <row r="15" spans="1:66" s="226" customFormat="1" ht="31.95" customHeight="1" x14ac:dyDescent="0.3">
      <c r="A15" s="249">
        <v>4</v>
      </c>
      <c r="B15" s="260" t="s">
        <v>65</v>
      </c>
      <c r="C15" s="331" t="s">
        <v>29</v>
      </c>
      <c r="D15" s="332" t="s">
        <v>28</v>
      </c>
      <c r="E15" s="333">
        <v>2023</v>
      </c>
      <c r="F15" s="206">
        <v>46254</v>
      </c>
      <c r="G15" s="206">
        <v>46254</v>
      </c>
      <c r="H15" s="220"/>
      <c r="I15" s="220"/>
      <c r="J15" s="221"/>
      <c r="K15" s="201">
        <f t="shared" si="0"/>
        <v>13</v>
      </c>
      <c r="L15" s="201">
        <f t="shared" si="0"/>
        <v>13</v>
      </c>
      <c r="M15" s="205"/>
      <c r="N15" s="205"/>
      <c r="O15" s="222" t="s">
        <v>272</v>
      </c>
      <c r="P15" s="306" t="s">
        <v>153</v>
      </c>
      <c r="Q15" s="251"/>
      <c r="R15" s="252"/>
      <c r="S15" s="253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1">$F$1-F19</f>
        <v>104</v>
      </c>
      <c r="L19" s="201">
        <f t="shared" si="1"/>
        <v>104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1"/>
        <v>47</v>
      </c>
      <c r="L20" s="201">
        <f t="shared" si="1"/>
        <v>47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1"/>
        <v>34</v>
      </c>
      <c r="L21" s="201">
        <f t="shared" si="1"/>
        <v>34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31DD-A084-4C9B-A278-9A9891C3712A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46269</v>
      </c>
      <c r="G1" s="206">
        <v>46269</v>
      </c>
      <c r="H1" s="206">
        <v>46269</v>
      </c>
      <c r="I1" s="206">
        <v>46269</v>
      </c>
      <c r="J1" s="206">
        <v>46269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1" t="s">
        <v>7</v>
      </c>
      <c r="L3" s="371" t="s">
        <v>19</v>
      </c>
      <c r="M3" s="371" t="s">
        <v>20</v>
      </c>
      <c r="N3" s="37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7" si="0">$F$1-F5</f>
        <v>5</v>
      </c>
      <c r="L5" s="205">
        <f t="shared" si="0"/>
        <v>5</v>
      </c>
      <c r="M5" s="205"/>
      <c r="N5" s="205"/>
      <c r="O5" s="222" t="s">
        <v>284</v>
      </c>
      <c r="P5" s="216" t="s">
        <v>26</v>
      </c>
      <c r="Q5" s="223" t="s">
        <v>248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287</v>
      </c>
      <c r="C6" s="331" t="s">
        <v>29</v>
      </c>
      <c r="D6" s="332" t="s">
        <v>28</v>
      </c>
      <c r="E6" s="333">
        <v>2023</v>
      </c>
      <c r="F6" s="334">
        <v>46265</v>
      </c>
      <c r="G6" s="334">
        <v>46265</v>
      </c>
      <c r="H6" s="312"/>
      <c r="I6" s="335"/>
      <c r="J6" s="336"/>
      <c r="K6" s="205">
        <f t="shared" si="0"/>
        <v>4</v>
      </c>
      <c r="L6" s="205">
        <f t="shared" si="0"/>
        <v>4</v>
      </c>
      <c r="M6" s="205"/>
      <c r="N6" s="205"/>
      <c r="O6" s="222" t="s">
        <v>288</v>
      </c>
      <c r="P6" s="239" t="s">
        <v>220</v>
      </c>
      <c r="Q6" s="223" t="s">
        <v>153</v>
      </c>
      <c r="R6" s="216" t="s">
        <v>240</v>
      </c>
      <c r="S6" s="225"/>
    </row>
    <row r="7" spans="1:66" s="226" customFormat="1" x14ac:dyDescent="0.3">
      <c r="A7" s="344">
        <v>3</v>
      </c>
      <c r="B7" s="223" t="s">
        <v>289</v>
      </c>
      <c r="C7" s="337" t="s">
        <v>34</v>
      </c>
      <c r="D7" s="338" t="s">
        <v>290</v>
      </c>
      <c r="E7" s="339">
        <v>2014</v>
      </c>
      <c r="F7" s="234">
        <v>46269</v>
      </c>
      <c r="G7" s="234">
        <v>46269</v>
      </c>
      <c r="H7" s="296"/>
      <c r="I7" s="341"/>
      <c r="J7" s="342"/>
      <c r="K7" s="343">
        <f t="shared" si="0"/>
        <v>0</v>
      </c>
      <c r="L7" s="343">
        <f t="shared" si="0"/>
        <v>0</v>
      </c>
      <c r="M7" s="343"/>
      <c r="N7" s="343"/>
      <c r="O7" s="238" t="s">
        <v>291</v>
      </c>
      <c r="P7" s="308" t="s">
        <v>251</v>
      </c>
      <c r="Q7" s="223" t="s">
        <v>148</v>
      </c>
      <c r="R7" s="216"/>
      <c r="S7" s="225"/>
    </row>
    <row r="8" spans="1:66" s="226" customFormat="1" x14ac:dyDescent="0.3">
      <c r="A8" s="344">
        <v>4</v>
      </c>
      <c r="B8" s="223" t="s">
        <v>35</v>
      </c>
      <c r="C8" s="337" t="s">
        <v>29</v>
      </c>
      <c r="D8" s="338" t="s">
        <v>28</v>
      </c>
      <c r="E8" s="339">
        <v>2023</v>
      </c>
      <c r="F8" s="234">
        <v>46269</v>
      </c>
      <c r="G8" s="234">
        <v>46269</v>
      </c>
      <c r="H8" s="298"/>
      <c r="I8" s="341"/>
      <c r="J8" s="342"/>
      <c r="K8" s="343">
        <f t="shared" ref="K8" si="1">$F$1-F8</f>
        <v>0</v>
      </c>
      <c r="L8" s="343">
        <f t="shared" ref="L8" si="2">$F$1-G8</f>
        <v>0</v>
      </c>
      <c r="M8" s="343"/>
      <c r="N8" s="343"/>
      <c r="O8" s="238" t="s">
        <v>292</v>
      </c>
      <c r="P8" s="283" t="s">
        <v>148</v>
      </c>
      <c r="Q8" s="216"/>
      <c r="R8" s="223"/>
      <c r="S8" s="225"/>
    </row>
    <row r="9" spans="1:66" s="226" customFormat="1" ht="13.95" customHeight="1" x14ac:dyDescent="0.3">
      <c r="A9" s="242"/>
      <c r="B9" s="243"/>
      <c r="C9" s="244"/>
      <c r="D9" s="245"/>
      <c r="E9" s="246"/>
      <c r="F9" s="247"/>
      <c r="G9" s="247"/>
      <c r="H9" s="247"/>
      <c r="I9" s="247"/>
      <c r="J9" s="247"/>
      <c r="K9" s="246"/>
      <c r="L9" s="247"/>
      <c r="M9" s="247"/>
      <c r="N9" s="247"/>
      <c r="O9" s="248" t="s">
        <v>22</v>
      </c>
      <c r="P9" s="244"/>
      <c r="Q9" s="244"/>
      <c r="R9" s="245"/>
      <c r="S9" s="248"/>
    </row>
    <row r="10" spans="1:66" s="226" customFormat="1" ht="13.95" customHeight="1" x14ac:dyDescent="0.3">
      <c r="A10" s="249"/>
      <c r="B10" s="224"/>
      <c r="C10" s="240"/>
      <c r="D10" s="241"/>
      <c r="E10" s="219"/>
      <c r="F10" s="206"/>
      <c r="G10" s="206"/>
      <c r="H10" s="220"/>
      <c r="I10" s="220"/>
      <c r="J10" s="221"/>
      <c r="K10" s="201"/>
      <c r="L10" s="201"/>
      <c r="M10" s="201"/>
      <c r="N10" s="201"/>
      <c r="O10" s="222"/>
      <c r="P10" s="250"/>
      <c r="Q10" s="251"/>
      <c r="R10" s="252"/>
      <c r="S10" s="253"/>
    </row>
    <row r="11" spans="1:66" s="259" customFormat="1" ht="13.95" customHeight="1" x14ac:dyDescent="0.3">
      <c r="A11" s="254"/>
      <c r="B11" s="255"/>
      <c r="C11" s="244"/>
      <c r="D11" s="245" t="s">
        <v>0</v>
      </c>
      <c r="E11" s="246"/>
      <c r="F11" s="256"/>
      <c r="G11" s="256"/>
      <c r="H11" s="256"/>
      <c r="I11" s="256"/>
      <c r="J11" s="256"/>
      <c r="K11" s="246"/>
      <c r="L11" s="256"/>
      <c r="M11" s="256"/>
      <c r="N11" s="256"/>
      <c r="O11" s="257" t="s">
        <v>23</v>
      </c>
      <c r="P11" s="245"/>
      <c r="Q11" s="245"/>
      <c r="R11" s="258"/>
      <c r="S11" s="257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</row>
    <row r="12" spans="1:66" s="226" customFormat="1" ht="13.95" customHeight="1" x14ac:dyDescent="0.3">
      <c r="A12" s="249">
        <v>1</v>
      </c>
      <c r="B12" s="216" t="s">
        <v>85</v>
      </c>
      <c r="C12" s="331" t="s">
        <v>29</v>
      </c>
      <c r="D12" s="332" t="s">
        <v>28</v>
      </c>
      <c r="E12" s="333">
        <v>2023</v>
      </c>
      <c r="F12" s="334">
        <v>46238</v>
      </c>
      <c r="G12" s="334">
        <v>46238</v>
      </c>
      <c r="H12" s="312"/>
      <c r="I12" s="335"/>
      <c r="J12" s="336"/>
      <c r="K12" s="205">
        <f t="shared" ref="K12:L14" si="3">$F$1-F12</f>
        <v>31</v>
      </c>
      <c r="L12" s="205">
        <f t="shared" si="3"/>
        <v>31</v>
      </c>
      <c r="M12" s="205"/>
      <c r="N12" s="205"/>
      <c r="O12" s="222" t="s">
        <v>277</v>
      </c>
      <c r="P12" s="239" t="s">
        <v>235</v>
      </c>
      <c r="Q12" s="251"/>
      <c r="R12" s="252"/>
      <c r="S12" s="253"/>
    </row>
    <row r="13" spans="1:66" s="226" customFormat="1" ht="13.95" customHeight="1" x14ac:dyDescent="0.3">
      <c r="A13" s="249">
        <v>2</v>
      </c>
      <c r="B13" s="216" t="s">
        <v>256</v>
      </c>
      <c r="C13" s="331" t="s">
        <v>32</v>
      </c>
      <c r="D13" s="332" t="s">
        <v>28</v>
      </c>
      <c r="E13" s="333">
        <v>2020</v>
      </c>
      <c r="F13" s="334">
        <v>46237</v>
      </c>
      <c r="G13" s="334">
        <v>46237</v>
      </c>
      <c r="H13" s="310"/>
      <c r="I13" s="335"/>
      <c r="J13" s="336"/>
      <c r="K13" s="205">
        <f t="shared" si="3"/>
        <v>32</v>
      </c>
      <c r="L13" s="205">
        <f t="shared" si="3"/>
        <v>32</v>
      </c>
      <c r="M13" s="205"/>
      <c r="N13" s="205"/>
      <c r="O13" s="222" t="s">
        <v>271</v>
      </c>
      <c r="P13" s="306" t="s">
        <v>45</v>
      </c>
      <c r="Q13" s="251"/>
      <c r="R13" s="252"/>
      <c r="S13" s="253"/>
    </row>
    <row r="14" spans="1:66" s="226" customFormat="1" ht="31.95" customHeight="1" x14ac:dyDescent="0.3">
      <c r="A14" s="249">
        <v>3</v>
      </c>
      <c r="B14" s="260" t="s">
        <v>65</v>
      </c>
      <c r="C14" s="331" t="s">
        <v>29</v>
      </c>
      <c r="D14" s="332" t="s">
        <v>28</v>
      </c>
      <c r="E14" s="333">
        <v>2023</v>
      </c>
      <c r="F14" s="206">
        <v>46254</v>
      </c>
      <c r="G14" s="206">
        <v>46254</v>
      </c>
      <c r="H14" s="220"/>
      <c r="I14" s="220"/>
      <c r="J14" s="221"/>
      <c r="K14" s="201">
        <f t="shared" si="3"/>
        <v>15</v>
      </c>
      <c r="L14" s="201">
        <f t="shared" si="3"/>
        <v>15</v>
      </c>
      <c r="M14" s="205"/>
      <c r="N14" s="205"/>
      <c r="O14" s="222" t="s">
        <v>272</v>
      </c>
      <c r="P14" s="306" t="s">
        <v>48</v>
      </c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4">$F$1-F18</f>
        <v>106</v>
      </c>
      <c r="L18" s="201">
        <f t="shared" si="4"/>
        <v>106</v>
      </c>
      <c r="M18" s="201"/>
      <c r="N18" s="201"/>
      <c r="O18" s="222" t="s">
        <v>267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4"/>
        <v>49</v>
      </c>
      <c r="L19" s="201">
        <f t="shared" si="4"/>
        <v>49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4"/>
        <v>36</v>
      </c>
      <c r="L20" s="201">
        <f t="shared" si="4"/>
        <v>36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5A15-7ED9-48AB-B9DB-1A50D47C35C2}">
  <dimension ref="A1:BN21"/>
  <sheetViews>
    <sheetView workbookViewId="0">
      <selection activeCell="R7" sqref="R7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46271</v>
      </c>
      <c r="G1" s="206">
        <v>46271</v>
      </c>
      <c r="H1" s="206">
        <v>46271</v>
      </c>
      <c r="I1" s="206">
        <v>46271</v>
      </c>
      <c r="J1" s="206">
        <v>46271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2" t="s">
        <v>7</v>
      </c>
      <c r="L3" s="372" t="s">
        <v>19</v>
      </c>
      <c r="M3" s="372" t="s">
        <v>20</v>
      </c>
      <c r="N3" s="37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8" si="0">$F$1-F5</f>
        <v>7</v>
      </c>
      <c r="L5" s="205">
        <f t="shared" si="0"/>
        <v>7</v>
      </c>
      <c r="M5" s="205"/>
      <c r="N5" s="205"/>
      <c r="O5" s="222" t="s">
        <v>284</v>
      </c>
      <c r="P5" s="216" t="s">
        <v>26</v>
      </c>
      <c r="Q5" s="223" t="s">
        <v>248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287</v>
      </c>
      <c r="C6" s="331" t="s">
        <v>29</v>
      </c>
      <c r="D6" s="332" t="s">
        <v>28</v>
      </c>
      <c r="E6" s="333">
        <v>2023</v>
      </c>
      <c r="F6" s="334">
        <v>46265</v>
      </c>
      <c r="G6" s="334">
        <v>46265</v>
      </c>
      <c r="H6" s="312"/>
      <c r="I6" s="335"/>
      <c r="J6" s="336"/>
      <c r="K6" s="205">
        <f t="shared" si="0"/>
        <v>6</v>
      </c>
      <c r="L6" s="205">
        <f t="shared" si="0"/>
        <v>6</v>
      </c>
      <c r="M6" s="205"/>
      <c r="N6" s="205"/>
      <c r="O6" s="222" t="s">
        <v>288</v>
      </c>
      <c r="P6" s="239" t="s">
        <v>220</v>
      </c>
      <c r="Q6" s="223" t="s">
        <v>153</v>
      </c>
      <c r="R6" s="216" t="s">
        <v>240</v>
      </c>
      <c r="S6" s="225"/>
    </row>
    <row r="7" spans="1:66" s="226" customFormat="1" x14ac:dyDescent="0.3">
      <c r="A7" s="344">
        <v>3</v>
      </c>
      <c r="B7" s="223" t="s">
        <v>289</v>
      </c>
      <c r="C7" s="337" t="s">
        <v>34</v>
      </c>
      <c r="D7" s="338" t="s">
        <v>290</v>
      </c>
      <c r="E7" s="339">
        <v>2014</v>
      </c>
      <c r="F7" s="234">
        <v>46269</v>
      </c>
      <c r="G7" s="234">
        <v>46269</v>
      </c>
      <c r="H7" s="296"/>
      <c r="I7" s="341"/>
      <c r="J7" s="342"/>
      <c r="K7" s="343">
        <f t="shared" si="0"/>
        <v>2</v>
      </c>
      <c r="L7" s="343">
        <f t="shared" si="0"/>
        <v>2</v>
      </c>
      <c r="M7" s="343"/>
      <c r="N7" s="343"/>
      <c r="O7" s="238" t="s">
        <v>291</v>
      </c>
      <c r="P7" s="308" t="s">
        <v>251</v>
      </c>
      <c r="Q7" s="223" t="s">
        <v>148</v>
      </c>
      <c r="R7" s="223" t="s">
        <v>215</v>
      </c>
      <c r="S7" s="225"/>
    </row>
    <row r="8" spans="1:66" s="226" customFormat="1" x14ac:dyDescent="0.3">
      <c r="A8" s="344">
        <v>4</v>
      </c>
      <c r="B8" s="223" t="s">
        <v>35</v>
      </c>
      <c r="C8" s="337" t="s">
        <v>29</v>
      </c>
      <c r="D8" s="338" t="s">
        <v>28</v>
      </c>
      <c r="E8" s="339">
        <v>2023</v>
      </c>
      <c r="F8" s="234">
        <v>46269</v>
      </c>
      <c r="G8" s="234">
        <v>46269</v>
      </c>
      <c r="H8" s="298"/>
      <c r="I8" s="341"/>
      <c r="J8" s="342"/>
      <c r="K8" s="343">
        <f t="shared" si="0"/>
        <v>2</v>
      </c>
      <c r="L8" s="343">
        <f t="shared" si="0"/>
        <v>2</v>
      </c>
      <c r="M8" s="343"/>
      <c r="N8" s="343"/>
      <c r="O8" s="238" t="s">
        <v>292</v>
      </c>
      <c r="P8" s="283" t="s">
        <v>148</v>
      </c>
      <c r="R8" s="223"/>
      <c r="S8" s="225"/>
    </row>
    <row r="9" spans="1:66" s="226" customFormat="1" ht="13.95" customHeight="1" x14ac:dyDescent="0.3">
      <c r="A9" s="242"/>
      <c r="B9" s="243"/>
      <c r="C9" s="244"/>
      <c r="D9" s="245"/>
      <c r="E9" s="246"/>
      <c r="F9" s="247"/>
      <c r="G9" s="247"/>
      <c r="H9" s="247"/>
      <c r="I9" s="247"/>
      <c r="J9" s="247"/>
      <c r="K9" s="246"/>
      <c r="L9" s="247"/>
      <c r="M9" s="247"/>
      <c r="N9" s="247"/>
      <c r="O9" s="248" t="s">
        <v>22</v>
      </c>
      <c r="P9" s="244"/>
      <c r="Q9" s="244"/>
      <c r="R9" s="245"/>
      <c r="S9" s="248"/>
    </row>
    <row r="10" spans="1:66" s="226" customFormat="1" ht="13.95" customHeight="1" x14ac:dyDescent="0.3">
      <c r="A10" s="249"/>
      <c r="B10" s="224"/>
      <c r="C10" s="240"/>
      <c r="D10" s="241"/>
      <c r="E10" s="219"/>
      <c r="F10" s="206"/>
      <c r="G10" s="206"/>
      <c r="H10" s="220"/>
      <c r="I10" s="220"/>
      <c r="J10" s="221"/>
      <c r="K10" s="201"/>
      <c r="L10" s="201"/>
      <c r="M10" s="201"/>
      <c r="N10" s="201"/>
      <c r="O10" s="222"/>
      <c r="P10" s="250"/>
      <c r="Q10" s="251"/>
      <c r="R10" s="252"/>
      <c r="S10" s="253"/>
    </row>
    <row r="11" spans="1:66" s="259" customFormat="1" ht="13.95" customHeight="1" x14ac:dyDescent="0.3">
      <c r="A11" s="254"/>
      <c r="B11" s="255"/>
      <c r="C11" s="244"/>
      <c r="D11" s="245" t="s">
        <v>0</v>
      </c>
      <c r="E11" s="246"/>
      <c r="F11" s="256"/>
      <c r="G11" s="256"/>
      <c r="H11" s="256"/>
      <c r="I11" s="256"/>
      <c r="J11" s="256"/>
      <c r="K11" s="246"/>
      <c r="L11" s="256"/>
      <c r="M11" s="256"/>
      <c r="N11" s="256"/>
      <c r="O11" s="257" t="s">
        <v>23</v>
      </c>
      <c r="P11" s="245"/>
      <c r="Q11" s="245"/>
      <c r="R11" s="258"/>
      <c r="S11" s="257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</row>
    <row r="12" spans="1:66" s="226" customFormat="1" ht="13.95" customHeight="1" x14ac:dyDescent="0.3">
      <c r="A12" s="249">
        <v>1</v>
      </c>
      <c r="B12" s="216" t="s">
        <v>85</v>
      </c>
      <c r="C12" s="331" t="s">
        <v>29</v>
      </c>
      <c r="D12" s="332" t="s">
        <v>28</v>
      </c>
      <c r="E12" s="333">
        <v>2023</v>
      </c>
      <c r="F12" s="334">
        <v>46238</v>
      </c>
      <c r="G12" s="334">
        <v>46238</v>
      </c>
      <c r="H12" s="312"/>
      <c r="I12" s="335"/>
      <c r="J12" s="336"/>
      <c r="K12" s="205">
        <f t="shared" ref="K12:L14" si="1">$F$1-F12</f>
        <v>33</v>
      </c>
      <c r="L12" s="205">
        <f t="shared" si="1"/>
        <v>33</v>
      </c>
      <c r="M12" s="205"/>
      <c r="N12" s="205"/>
      <c r="O12" s="222" t="s">
        <v>277</v>
      </c>
      <c r="P12" s="239" t="s">
        <v>235</v>
      </c>
      <c r="Q12" s="251"/>
      <c r="R12" s="252"/>
      <c r="S12" s="253"/>
    </row>
    <row r="13" spans="1:66" s="226" customFormat="1" ht="13.95" customHeight="1" x14ac:dyDescent="0.3">
      <c r="A13" s="249">
        <v>2</v>
      </c>
      <c r="B13" s="216" t="s">
        <v>256</v>
      </c>
      <c r="C13" s="331" t="s">
        <v>32</v>
      </c>
      <c r="D13" s="332" t="s">
        <v>28</v>
      </c>
      <c r="E13" s="333">
        <v>2020</v>
      </c>
      <c r="F13" s="334">
        <v>46237</v>
      </c>
      <c r="G13" s="334">
        <v>46237</v>
      </c>
      <c r="H13" s="310"/>
      <c r="I13" s="335"/>
      <c r="J13" s="336"/>
      <c r="K13" s="205">
        <f t="shared" si="1"/>
        <v>34</v>
      </c>
      <c r="L13" s="205">
        <f t="shared" si="1"/>
        <v>34</v>
      </c>
      <c r="M13" s="205"/>
      <c r="N13" s="205"/>
      <c r="O13" s="222" t="s">
        <v>271</v>
      </c>
      <c r="P13" s="306" t="s">
        <v>45</v>
      </c>
      <c r="Q13" s="251"/>
      <c r="R13" s="252"/>
      <c r="S13" s="253"/>
    </row>
    <row r="14" spans="1:66" s="226" customFormat="1" ht="31.95" customHeight="1" x14ac:dyDescent="0.3">
      <c r="A14" s="249">
        <v>3</v>
      </c>
      <c r="B14" s="260" t="s">
        <v>65</v>
      </c>
      <c r="C14" s="331" t="s">
        <v>29</v>
      </c>
      <c r="D14" s="332" t="s">
        <v>28</v>
      </c>
      <c r="E14" s="333">
        <v>2023</v>
      </c>
      <c r="F14" s="206">
        <v>46254</v>
      </c>
      <c r="G14" s="206">
        <v>46254</v>
      </c>
      <c r="H14" s="220"/>
      <c r="I14" s="220"/>
      <c r="J14" s="221"/>
      <c r="K14" s="201">
        <f t="shared" si="1"/>
        <v>17</v>
      </c>
      <c r="L14" s="201">
        <f t="shared" si="1"/>
        <v>17</v>
      </c>
      <c r="M14" s="205"/>
      <c r="N14" s="205"/>
      <c r="O14" s="222" t="s">
        <v>272</v>
      </c>
      <c r="P14" s="306" t="s">
        <v>48</v>
      </c>
      <c r="Q14" s="251"/>
      <c r="R14" s="252"/>
      <c r="S14" s="253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05"/>
      <c r="B16" s="227"/>
      <c r="C16" s="240"/>
      <c r="D16" s="241"/>
      <c r="E16" s="219"/>
      <c r="F16" s="206"/>
      <c r="G16" s="206"/>
      <c r="H16" s="305"/>
      <c r="I16" s="220"/>
      <c r="J16" s="221"/>
      <c r="K16" s="201"/>
      <c r="L16" s="201"/>
      <c r="M16" s="201"/>
      <c r="N16" s="201"/>
      <c r="O16" s="222"/>
      <c r="P16" s="260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2">$F$1-F18</f>
        <v>108</v>
      </c>
      <c r="L18" s="201">
        <f t="shared" si="2"/>
        <v>108</v>
      </c>
      <c r="M18" s="201"/>
      <c r="N18" s="201"/>
      <c r="O18" s="222" t="s">
        <v>267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2"/>
        <v>51</v>
      </c>
      <c r="L19" s="201">
        <f t="shared" si="2"/>
        <v>51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2"/>
        <v>38</v>
      </c>
      <c r="L20" s="201">
        <f t="shared" si="2"/>
        <v>38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1E79-2E78-4EEF-BBEA-B898CC6C53CC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46271</v>
      </c>
      <c r="G1" s="206">
        <v>46271</v>
      </c>
      <c r="H1" s="206">
        <v>46271</v>
      </c>
      <c r="I1" s="206">
        <v>46271</v>
      </c>
      <c r="J1" s="206">
        <v>46271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3" t="s">
        <v>7</v>
      </c>
      <c r="L3" s="373" t="s">
        <v>19</v>
      </c>
      <c r="M3" s="373" t="s">
        <v>20</v>
      </c>
      <c r="N3" s="37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9" si="0">$F$1-F5</f>
        <v>7</v>
      </c>
      <c r="L5" s="205">
        <f t="shared" si="0"/>
        <v>7</v>
      </c>
      <c r="M5" s="205"/>
      <c r="N5" s="205"/>
      <c r="O5" s="222" t="s">
        <v>284</v>
      </c>
      <c r="P5" s="216" t="s">
        <v>26</v>
      </c>
      <c r="Q5" s="223" t="s">
        <v>248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287</v>
      </c>
      <c r="C6" s="331" t="s">
        <v>29</v>
      </c>
      <c r="D6" s="332" t="s">
        <v>28</v>
      </c>
      <c r="E6" s="333">
        <v>2023</v>
      </c>
      <c r="F6" s="334">
        <v>46265</v>
      </c>
      <c r="G6" s="334">
        <v>46265</v>
      </c>
      <c r="H6" s="312"/>
      <c r="I6" s="335"/>
      <c r="J6" s="336"/>
      <c r="K6" s="205">
        <f t="shared" si="0"/>
        <v>6</v>
      </c>
      <c r="L6" s="205">
        <f t="shared" si="0"/>
        <v>6</v>
      </c>
      <c r="M6" s="205"/>
      <c r="N6" s="205"/>
      <c r="O6" s="222" t="s">
        <v>288</v>
      </c>
      <c r="P6" s="239" t="s">
        <v>220</v>
      </c>
      <c r="Q6" s="223" t="s">
        <v>153</v>
      </c>
      <c r="R6" s="216" t="s">
        <v>240</v>
      </c>
      <c r="S6" s="225"/>
    </row>
    <row r="7" spans="1:66" s="226" customFormat="1" x14ac:dyDescent="0.3">
      <c r="A7" s="344">
        <v>3</v>
      </c>
      <c r="B7" s="223" t="s">
        <v>289</v>
      </c>
      <c r="C7" s="337" t="s">
        <v>34</v>
      </c>
      <c r="D7" s="338" t="s">
        <v>290</v>
      </c>
      <c r="E7" s="339">
        <v>2014</v>
      </c>
      <c r="F7" s="234">
        <v>46269</v>
      </c>
      <c r="G7" s="234">
        <v>46269</v>
      </c>
      <c r="H7" s="296"/>
      <c r="I7" s="341"/>
      <c r="J7" s="342"/>
      <c r="K7" s="343">
        <f t="shared" si="0"/>
        <v>2</v>
      </c>
      <c r="L7" s="343">
        <f t="shared" si="0"/>
        <v>2</v>
      </c>
      <c r="M7" s="343"/>
      <c r="N7" s="343"/>
      <c r="O7" s="238" t="s">
        <v>291</v>
      </c>
      <c r="P7" s="308" t="s">
        <v>251</v>
      </c>
      <c r="Q7" s="223" t="s">
        <v>148</v>
      </c>
      <c r="R7" s="223"/>
      <c r="S7" s="225"/>
    </row>
    <row r="8" spans="1:66" s="226" customFormat="1" x14ac:dyDescent="0.3">
      <c r="A8" s="344">
        <v>4</v>
      </c>
      <c r="B8" s="223" t="s">
        <v>35</v>
      </c>
      <c r="C8" s="337" t="s">
        <v>29</v>
      </c>
      <c r="D8" s="338" t="s">
        <v>28</v>
      </c>
      <c r="E8" s="339">
        <v>2023</v>
      </c>
      <c r="F8" s="234">
        <v>46269</v>
      </c>
      <c r="G8" s="234">
        <v>46269</v>
      </c>
      <c r="H8" s="298"/>
      <c r="I8" s="341"/>
      <c r="J8" s="342"/>
      <c r="K8" s="343">
        <f t="shared" si="0"/>
        <v>2</v>
      </c>
      <c r="L8" s="343">
        <f t="shared" si="0"/>
        <v>2</v>
      </c>
      <c r="M8" s="343"/>
      <c r="N8" s="343"/>
      <c r="O8" s="238" t="s">
        <v>292</v>
      </c>
      <c r="P8" s="283" t="s">
        <v>148</v>
      </c>
      <c r="Q8" s="223" t="s">
        <v>215</v>
      </c>
      <c r="R8" s="223"/>
      <c r="S8" s="225"/>
    </row>
    <row r="9" spans="1:66" s="226" customFormat="1" x14ac:dyDescent="0.3">
      <c r="A9" s="344">
        <v>5</v>
      </c>
      <c r="B9" s="223" t="s">
        <v>125</v>
      </c>
      <c r="C9" s="337" t="s">
        <v>29</v>
      </c>
      <c r="D9" s="338" t="s">
        <v>28</v>
      </c>
      <c r="E9" s="339">
        <v>2023</v>
      </c>
      <c r="F9" s="234">
        <v>46271</v>
      </c>
      <c r="G9" s="234">
        <v>46271</v>
      </c>
      <c r="H9" s="298"/>
      <c r="I9" s="341"/>
      <c r="J9" s="342"/>
      <c r="K9" s="343">
        <f t="shared" si="0"/>
        <v>0</v>
      </c>
      <c r="L9" s="343">
        <f t="shared" si="0"/>
        <v>0</v>
      </c>
      <c r="M9" s="343"/>
      <c r="N9" s="343"/>
      <c r="O9" s="238" t="s">
        <v>293</v>
      </c>
      <c r="P9" s="223" t="s">
        <v>153</v>
      </c>
      <c r="Q9" s="216"/>
      <c r="R9" s="223"/>
      <c r="S9" s="225"/>
    </row>
    <row r="10" spans="1:66" s="226" customFormat="1" ht="13.95" customHeight="1" x14ac:dyDescent="0.3">
      <c r="A10" s="242"/>
      <c r="B10" s="243"/>
      <c r="C10" s="244"/>
      <c r="D10" s="245"/>
      <c r="E10" s="246"/>
      <c r="F10" s="247"/>
      <c r="G10" s="247"/>
      <c r="H10" s="247"/>
      <c r="I10" s="247"/>
      <c r="J10" s="247"/>
      <c r="K10" s="246"/>
      <c r="L10" s="247"/>
      <c r="M10" s="247"/>
      <c r="N10" s="247"/>
      <c r="O10" s="248" t="s">
        <v>22</v>
      </c>
      <c r="P10" s="244"/>
      <c r="Q10" s="244"/>
      <c r="R10" s="245"/>
      <c r="S10" s="248"/>
    </row>
    <row r="11" spans="1:66" s="226" customFormat="1" ht="13.95" customHeight="1" x14ac:dyDescent="0.3">
      <c r="A11" s="249"/>
      <c r="B11" s="224"/>
      <c r="C11" s="240"/>
      <c r="D11" s="241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50"/>
      <c r="Q11" s="251"/>
      <c r="R11" s="252"/>
      <c r="S11" s="253"/>
    </row>
    <row r="12" spans="1:66" s="259" customFormat="1" ht="13.95" customHeight="1" x14ac:dyDescent="0.3">
      <c r="A12" s="254"/>
      <c r="B12" s="255"/>
      <c r="C12" s="244"/>
      <c r="D12" s="245" t="s">
        <v>0</v>
      </c>
      <c r="E12" s="246"/>
      <c r="F12" s="256"/>
      <c r="G12" s="256"/>
      <c r="H12" s="256"/>
      <c r="I12" s="256"/>
      <c r="J12" s="256"/>
      <c r="K12" s="246"/>
      <c r="L12" s="256"/>
      <c r="M12" s="256"/>
      <c r="N12" s="256"/>
      <c r="O12" s="257" t="s">
        <v>23</v>
      </c>
      <c r="P12" s="245"/>
      <c r="Q12" s="245"/>
      <c r="R12" s="258"/>
      <c r="S12" s="257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</row>
    <row r="13" spans="1:66" s="226" customFormat="1" ht="13.95" customHeight="1" x14ac:dyDescent="0.3">
      <c r="A13" s="249">
        <v>1</v>
      </c>
      <c r="B13" s="216" t="s">
        <v>85</v>
      </c>
      <c r="C13" s="331" t="s">
        <v>29</v>
      </c>
      <c r="D13" s="332" t="s">
        <v>28</v>
      </c>
      <c r="E13" s="333">
        <v>2023</v>
      </c>
      <c r="F13" s="334">
        <v>46238</v>
      </c>
      <c r="G13" s="334">
        <v>46238</v>
      </c>
      <c r="H13" s="312"/>
      <c r="I13" s="335"/>
      <c r="J13" s="336"/>
      <c r="K13" s="205">
        <f t="shared" ref="K13:L15" si="1">$F$1-F13</f>
        <v>33</v>
      </c>
      <c r="L13" s="205">
        <f t="shared" si="1"/>
        <v>33</v>
      </c>
      <c r="M13" s="205"/>
      <c r="N13" s="205"/>
      <c r="O13" s="222" t="s">
        <v>277</v>
      </c>
      <c r="P13" s="239" t="s">
        <v>235</v>
      </c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256</v>
      </c>
      <c r="C14" s="331" t="s">
        <v>32</v>
      </c>
      <c r="D14" s="332" t="s">
        <v>28</v>
      </c>
      <c r="E14" s="333">
        <v>2020</v>
      </c>
      <c r="F14" s="334">
        <v>46237</v>
      </c>
      <c r="G14" s="334">
        <v>46237</v>
      </c>
      <c r="H14" s="310"/>
      <c r="I14" s="335"/>
      <c r="J14" s="336"/>
      <c r="K14" s="205">
        <f t="shared" si="1"/>
        <v>34</v>
      </c>
      <c r="L14" s="205">
        <f t="shared" si="1"/>
        <v>34</v>
      </c>
      <c r="M14" s="205"/>
      <c r="N14" s="205"/>
      <c r="O14" s="222" t="s">
        <v>271</v>
      </c>
      <c r="P14" s="306" t="s">
        <v>45</v>
      </c>
      <c r="Q14" s="251"/>
      <c r="R14" s="252"/>
      <c r="S14" s="253"/>
    </row>
    <row r="15" spans="1:66" s="226" customFormat="1" ht="31.95" customHeight="1" x14ac:dyDescent="0.3">
      <c r="A15" s="249">
        <v>3</v>
      </c>
      <c r="B15" s="260" t="s">
        <v>65</v>
      </c>
      <c r="C15" s="331" t="s">
        <v>29</v>
      </c>
      <c r="D15" s="332" t="s">
        <v>28</v>
      </c>
      <c r="E15" s="333">
        <v>2023</v>
      </c>
      <c r="F15" s="206">
        <v>46254</v>
      </c>
      <c r="G15" s="206">
        <v>46254</v>
      </c>
      <c r="H15" s="220"/>
      <c r="I15" s="220"/>
      <c r="J15" s="221"/>
      <c r="K15" s="201">
        <f t="shared" si="1"/>
        <v>17</v>
      </c>
      <c r="L15" s="201">
        <f t="shared" si="1"/>
        <v>17</v>
      </c>
      <c r="M15" s="205"/>
      <c r="N15" s="205"/>
      <c r="O15" s="222" t="s">
        <v>272</v>
      </c>
      <c r="P15" s="306" t="s">
        <v>48</v>
      </c>
      <c r="Q15" s="251"/>
      <c r="R15" s="252"/>
      <c r="S15" s="253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108</v>
      </c>
      <c r="L19" s="201">
        <f t="shared" si="2"/>
        <v>108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51</v>
      </c>
      <c r="L20" s="201">
        <f t="shared" si="2"/>
        <v>51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38</v>
      </c>
      <c r="L21" s="201">
        <f t="shared" si="2"/>
        <v>38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D992-FE2F-4848-802E-EE343F3B5A93}">
  <dimension ref="A1:BN22"/>
  <sheetViews>
    <sheetView workbookViewId="0">
      <selection activeCell="B9" sqref="B9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46272</v>
      </c>
      <c r="G1" s="206">
        <v>46272</v>
      </c>
      <c r="H1" s="206">
        <v>46272</v>
      </c>
      <c r="I1" s="206">
        <v>46272</v>
      </c>
      <c r="J1" s="206">
        <v>46272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4" t="s">
        <v>7</v>
      </c>
      <c r="L3" s="374" t="s">
        <v>19</v>
      </c>
      <c r="M3" s="374" t="s">
        <v>20</v>
      </c>
      <c r="N3" s="374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9" si="0">$F$1-F5</f>
        <v>8</v>
      </c>
      <c r="L5" s="205">
        <f t="shared" si="0"/>
        <v>8</v>
      </c>
      <c r="M5" s="205"/>
      <c r="N5" s="205"/>
      <c r="O5" s="222" t="s">
        <v>284</v>
      </c>
      <c r="P5" s="216" t="s">
        <v>26</v>
      </c>
      <c r="Q5" s="223" t="s">
        <v>248</v>
      </c>
      <c r="R5" s="216" t="s">
        <v>30</v>
      </c>
      <c r="S5" s="225"/>
    </row>
    <row r="6" spans="1:66" s="226" customFormat="1" x14ac:dyDescent="0.3">
      <c r="A6" s="249">
        <v>2</v>
      </c>
      <c r="B6" s="216" t="s">
        <v>287</v>
      </c>
      <c r="C6" s="331" t="s">
        <v>29</v>
      </c>
      <c r="D6" s="332" t="s">
        <v>28</v>
      </c>
      <c r="E6" s="333">
        <v>2023</v>
      </c>
      <c r="F6" s="334">
        <v>46265</v>
      </c>
      <c r="G6" s="334">
        <v>46265</v>
      </c>
      <c r="H6" s="312"/>
      <c r="I6" s="335"/>
      <c r="J6" s="336"/>
      <c r="K6" s="205">
        <f t="shared" si="0"/>
        <v>7</v>
      </c>
      <c r="L6" s="205">
        <f t="shared" si="0"/>
        <v>7</v>
      </c>
      <c r="M6" s="205"/>
      <c r="N6" s="205"/>
      <c r="O6" s="222" t="s">
        <v>288</v>
      </c>
      <c r="P6" s="239" t="s">
        <v>220</v>
      </c>
      <c r="Q6" s="223" t="s">
        <v>153</v>
      </c>
      <c r="R6" s="216" t="s">
        <v>240</v>
      </c>
      <c r="S6" s="225"/>
    </row>
    <row r="7" spans="1:66" s="226" customFormat="1" x14ac:dyDescent="0.3">
      <c r="A7" s="344">
        <v>3</v>
      </c>
      <c r="B7" s="223" t="s">
        <v>289</v>
      </c>
      <c r="C7" s="337" t="s">
        <v>34</v>
      </c>
      <c r="D7" s="338" t="s">
        <v>290</v>
      </c>
      <c r="E7" s="339">
        <v>2014</v>
      </c>
      <c r="F7" s="234">
        <v>46269</v>
      </c>
      <c r="G7" s="234">
        <v>46269</v>
      </c>
      <c r="H7" s="296"/>
      <c r="I7" s="341"/>
      <c r="J7" s="342"/>
      <c r="K7" s="343">
        <f t="shared" si="0"/>
        <v>3</v>
      </c>
      <c r="L7" s="343">
        <f t="shared" si="0"/>
        <v>3</v>
      </c>
      <c r="M7" s="343"/>
      <c r="N7" s="343"/>
      <c r="O7" s="238" t="s">
        <v>291</v>
      </c>
      <c r="P7" s="308" t="s">
        <v>251</v>
      </c>
      <c r="Q7" s="223" t="s">
        <v>148</v>
      </c>
      <c r="R7" s="223"/>
      <c r="S7" s="225"/>
    </row>
    <row r="8" spans="1:66" s="226" customFormat="1" x14ac:dyDescent="0.3">
      <c r="A8" s="344">
        <v>4</v>
      </c>
      <c r="B8" s="223" t="s">
        <v>35</v>
      </c>
      <c r="C8" s="337" t="s">
        <v>29</v>
      </c>
      <c r="D8" s="338" t="s">
        <v>28</v>
      </c>
      <c r="E8" s="339">
        <v>2023</v>
      </c>
      <c r="F8" s="234">
        <v>46269</v>
      </c>
      <c r="G8" s="234">
        <v>46269</v>
      </c>
      <c r="H8" s="298"/>
      <c r="I8" s="341"/>
      <c r="J8" s="342"/>
      <c r="K8" s="343">
        <f t="shared" si="0"/>
        <v>3</v>
      </c>
      <c r="L8" s="343">
        <f t="shared" si="0"/>
        <v>3</v>
      </c>
      <c r="M8" s="343"/>
      <c r="N8" s="343"/>
      <c r="O8" s="238" t="s">
        <v>292</v>
      </c>
      <c r="P8" s="283" t="s">
        <v>148</v>
      </c>
      <c r="Q8" s="223" t="s">
        <v>215</v>
      </c>
      <c r="R8" s="223"/>
      <c r="S8" s="225"/>
    </row>
    <row r="9" spans="1:66" s="226" customFormat="1" x14ac:dyDescent="0.3">
      <c r="A9" s="344">
        <v>5</v>
      </c>
      <c r="B9" s="223" t="s">
        <v>125</v>
      </c>
      <c r="C9" s="337" t="s">
        <v>29</v>
      </c>
      <c r="D9" s="338" t="s">
        <v>28</v>
      </c>
      <c r="E9" s="339">
        <v>2023</v>
      </c>
      <c r="F9" s="234">
        <v>46271</v>
      </c>
      <c r="G9" s="234">
        <v>46271</v>
      </c>
      <c r="H9" s="298"/>
      <c r="I9" s="341"/>
      <c r="J9" s="342"/>
      <c r="K9" s="343">
        <f t="shared" si="0"/>
        <v>1</v>
      </c>
      <c r="L9" s="343">
        <f t="shared" si="0"/>
        <v>1</v>
      </c>
      <c r="M9" s="343"/>
      <c r="N9" s="343"/>
      <c r="O9" s="238" t="s">
        <v>293</v>
      </c>
      <c r="P9" s="223" t="s">
        <v>153</v>
      </c>
      <c r="Q9" s="216"/>
      <c r="R9" s="223"/>
      <c r="S9" s="225"/>
    </row>
    <row r="10" spans="1:66" s="226" customFormat="1" ht="13.95" customHeight="1" x14ac:dyDescent="0.3">
      <c r="A10" s="242"/>
      <c r="B10" s="243"/>
      <c r="C10" s="244"/>
      <c r="D10" s="245"/>
      <c r="E10" s="246"/>
      <c r="F10" s="247"/>
      <c r="G10" s="247"/>
      <c r="H10" s="247"/>
      <c r="I10" s="247"/>
      <c r="J10" s="247"/>
      <c r="K10" s="246"/>
      <c r="L10" s="247"/>
      <c r="M10" s="247"/>
      <c r="N10" s="247"/>
      <c r="O10" s="248" t="s">
        <v>22</v>
      </c>
      <c r="P10" s="244"/>
      <c r="Q10" s="244"/>
      <c r="R10" s="245"/>
      <c r="S10" s="248"/>
    </row>
    <row r="11" spans="1:66" s="226" customFormat="1" ht="13.95" customHeight="1" x14ac:dyDescent="0.3">
      <c r="A11" s="249"/>
      <c r="B11" s="224"/>
      <c r="C11" s="240"/>
      <c r="D11" s="241"/>
      <c r="E11" s="219"/>
      <c r="F11" s="206"/>
      <c r="G11" s="206"/>
      <c r="H11" s="220"/>
      <c r="I11" s="220"/>
      <c r="J11" s="221"/>
      <c r="K11" s="201"/>
      <c r="L11" s="201"/>
      <c r="M11" s="201"/>
      <c r="N11" s="201"/>
      <c r="O11" s="222"/>
      <c r="P11" s="250"/>
      <c r="Q11" s="251"/>
      <c r="R11" s="252"/>
      <c r="S11" s="253"/>
    </row>
    <row r="12" spans="1:66" s="259" customFormat="1" ht="13.95" customHeight="1" x14ac:dyDescent="0.3">
      <c r="A12" s="254"/>
      <c r="B12" s="255"/>
      <c r="C12" s="244"/>
      <c r="D12" s="245" t="s">
        <v>0</v>
      </c>
      <c r="E12" s="246"/>
      <c r="F12" s="256"/>
      <c r="G12" s="256"/>
      <c r="H12" s="256"/>
      <c r="I12" s="256"/>
      <c r="J12" s="256"/>
      <c r="K12" s="246"/>
      <c r="L12" s="256"/>
      <c r="M12" s="256"/>
      <c r="N12" s="256"/>
      <c r="O12" s="257" t="s">
        <v>23</v>
      </c>
      <c r="P12" s="245"/>
      <c r="Q12" s="245"/>
      <c r="R12" s="258"/>
      <c r="S12" s="257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</row>
    <row r="13" spans="1:66" s="226" customFormat="1" ht="13.95" customHeight="1" x14ac:dyDescent="0.3">
      <c r="A13" s="249">
        <v>1</v>
      </c>
      <c r="B13" s="216" t="s">
        <v>85</v>
      </c>
      <c r="C13" s="331" t="s">
        <v>29</v>
      </c>
      <c r="D13" s="332" t="s">
        <v>28</v>
      </c>
      <c r="E13" s="333">
        <v>2023</v>
      </c>
      <c r="F13" s="334">
        <v>46238</v>
      </c>
      <c r="G13" s="334">
        <v>46238</v>
      </c>
      <c r="H13" s="312"/>
      <c r="I13" s="335"/>
      <c r="J13" s="336"/>
      <c r="K13" s="205">
        <f t="shared" ref="K13:L15" si="1">$F$1-F13</f>
        <v>34</v>
      </c>
      <c r="L13" s="205">
        <f t="shared" si="1"/>
        <v>34</v>
      </c>
      <c r="M13" s="205"/>
      <c r="N13" s="205"/>
      <c r="O13" s="222" t="s">
        <v>277</v>
      </c>
      <c r="P13" s="239" t="s">
        <v>235</v>
      </c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256</v>
      </c>
      <c r="C14" s="331" t="s">
        <v>32</v>
      </c>
      <c r="D14" s="332" t="s">
        <v>28</v>
      </c>
      <c r="E14" s="333">
        <v>2020</v>
      </c>
      <c r="F14" s="334">
        <v>46237</v>
      </c>
      <c r="G14" s="334">
        <v>46237</v>
      </c>
      <c r="H14" s="310"/>
      <c r="I14" s="335"/>
      <c r="J14" s="336"/>
      <c r="K14" s="205">
        <f t="shared" si="1"/>
        <v>35</v>
      </c>
      <c r="L14" s="205">
        <f t="shared" si="1"/>
        <v>35</v>
      </c>
      <c r="M14" s="205"/>
      <c r="N14" s="205"/>
      <c r="O14" s="222" t="s">
        <v>271</v>
      </c>
      <c r="P14" s="306" t="s">
        <v>45</v>
      </c>
      <c r="Q14" s="251"/>
      <c r="R14" s="252"/>
      <c r="S14" s="253"/>
    </row>
    <row r="15" spans="1:66" s="226" customFormat="1" ht="31.95" customHeight="1" x14ac:dyDescent="0.3">
      <c r="A15" s="249">
        <v>3</v>
      </c>
      <c r="B15" s="260" t="s">
        <v>65</v>
      </c>
      <c r="C15" s="331" t="s">
        <v>29</v>
      </c>
      <c r="D15" s="332" t="s">
        <v>28</v>
      </c>
      <c r="E15" s="333">
        <v>2023</v>
      </c>
      <c r="F15" s="206">
        <v>46254</v>
      </c>
      <c r="G15" s="206">
        <v>46254</v>
      </c>
      <c r="H15" s="220"/>
      <c r="I15" s="220"/>
      <c r="J15" s="221"/>
      <c r="K15" s="201">
        <f t="shared" si="1"/>
        <v>18</v>
      </c>
      <c r="L15" s="201">
        <f t="shared" si="1"/>
        <v>18</v>
      </c>
      <c r="M15" s="205"/>
      <c r="N15" s="205"/>
      <c r="O15" s="222" t="s">
        <v>272</v>
      </c>
      <c r="P15" s="306" t="s">
        <v>48</v>
      </c>
      <c r="Q15" s="251"/>
      <c r="R15" s="252"/>
      <c r="S15" s="253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109</v>
      </c>
      <c r="L19" s="201">
        <f t="shared" si="2"/>
        <v>109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52</v>
      </c>
      <c r="L20" s="201">
        <f t="shared" si="2"/>
        <v>52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39</v>
      </c>
      <c r="L21" s="201">
        <f t="shared" si="2"/>
        <v>39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96F3-0773-4CE3-A2C8-B1C3A221B2EC}">
  <dimension ref="A1:BN23"/>
  <sheetViews>
    <sheetView workbookViewId="0">
      <selection activeCell="P6" sqref="P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46273</v>
      </c>
      <c r="G1" s="206">
        <v>46273</v>
      </c>
      <c r="H1" s="206">
        <v>46273</v>
      </c>
      <c r="I1" s="206">
        <v>46273</v>
      </c>
      <c r="J1" s="206">
        <v>46273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5" t="s">
        <v>7</v>
      </c>
      <c r="L3" s="375" t="s">
        <v>19</v>
      </c>
      <c r="M3" s="375" t="s">
        <v>20</v>
      </c>
      <c r="N3" s="37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9" si="0">$F$1-F5</f>
        <v>9</v>
      </c>
      <c r="L5" s="205">
        <f t="shared" si="0"/>
        <v>9</v>
      </c>
      <c r="M5" s="205"/>
      <c r="N5" s="205"/>
      <c r="O5" s="222" t="s">
        <v>284</v>
      </c>
      <c r="P5" s="216" t="s">
        <v>26</v>
      </c>
      <c r="Q5" s="223" t="s">
        <v>125</v>
      </c>
      <c r="R5" s="306" t="s">
        <v>30</v>
      </c>
      <c r="S5" s="225"/>
    </row>
    <row r="6" spans="1:66" s="226" customFormat="1" x14ac:dyDescent="0.3">
      <c r="A6" s="249">
        <v>2</v>
      </c>
      <c r="B6" s="216" t="s">
        <v>287</v>
      </c>
      <c r="C6" s="331" t="s">
        <v>29</v>
      </c>
      <c r="D6" s="332" t="s">
        <v>28</v>
      </c>
      <c r="E6" s="333">
        <v>2023</v>
      </c>
      <c r="F6" s="334">
        <v>46265</v>
      </c>
      <c r="G6" s="334">
        <v>46265</v>
      </c>
      <c r="H6" s="312"/>
      <c r="I6" s="335"/>
      <c r="J6" s="336"/>
      <c r="K6" s="205">
        <f t="shared" si="0"/>
        <v>8</v>
      </c>
      <c r="L6" s="205">
        <f t="shared" si="0"/>
        <v>8</v>
      </c>
      <c r="M6" s="205"/>
      <c r="N6" s="205"/>
      <c r="O6" s="222" t="s">
        <v>288</v>
      </c>
      <c r="P6" s="239" t="s">
        <v>220</v>
      </c>
      <c r="Q6" s="223"/>
      <c r="R6" s="306" t="s">
        <v>240</v>
      </c>
      <c r="S6" s="225"/>
    </row>
    <row r="7" spans="1:66" s="226" customFormat="1" x14ac:dyDescent="0.3">
      <c r="A7" s="249">
        <v>3</v>
      </c>
      <c r="B7" s="216" t="s">
        <v>289</v>
      </c>
      <c r="C7" s="331" t="s">
        <v>34</v>
      </c>
      <c r="D7" s="332" t="s">
        <v>290</v>
      </c>
      <c r="E7" s="333">
        <v>2014</v>
      </c>
      <c r="F7" s="206">
        <v>46269</v>
      </c>
      <c r="G7" s="206">
        <v>46269</v>
      </c>
      <c r="H7" s="312"/>
      <c r="I7" s="335"/>
      <c r="J7" s="336"/>
      <c r="K7" s="205">
        <f t="shared" si="0"/>
        <v>4</v>
      </c>
      <c r="L7" s="205">
        <f t="shared" si="0"/>
        <v>4</v>
      </c>
      <c r="M7" s="205"/>
      <c r="N7" s="205"/>
      <c r="O7" s="222" t="s">
        <v>291</v>
      </c>
      <c r="P7" s="306" t="s">
        <v>251</v>
      </c>
      <c r="Q7" s="223"/>
      <c r="R7" s="306" t="s">
        <v>299</v>
      </c>
      <c r="S7" s="225"/>
    </row>
    <row r="8" spans="1:66" s="226" customFormat="1" x14ac:dyDescent="0.3">
      <c r="A8" s="249">
        <v>4</v>
      </c>
      <c r="B8" s="216" t="s">
        <v>35</v>
      </c>
      <c r="C8" s="331" t="s">
        <v>29</v>
      </c>
      <c r="D8" s="332" t="s">
        <v>28</v>
      </c>
      <c r="E8" s="333">
        <v>2023</v>
      </c>
      <c r="F8" s="206">
        <v>46269</v>
      </c>
      <c r="G8" s="206">
        <v>46269</v>
      </c>
      <c r="H8" s="310"/>
      <c r="I8" s="335"/>
      <c r="J8" s="336"/>
      <c r="K8" s="205">
        <f t="shared" si="0"/>
        <v>4</v>
      </c>
      <c r="L8" s="205">
        <f t="shared" si="0"/>
        <v>4</v>
      </c>
      <c r="M8" s="205"/>
      <c r="N8" s="205"/>
      <c r="O8" s="222" t="s">
        <v>298</v>
      </c>
      <c r="P8" s="239" t="s">
        <v>148</v>
      </c>
      <c r="Q8" s="223"/>
      <c r="R8" s="306" t="s">
        <v>300</v>
      </c>
      <c r="S8" s="225"/>
    </row>
    <row r="9" spans="1:66" s="226" customFormat="1" x14ac:dyDescent="0.3">
      <c r="A9" s="344">
        <v>5</v>
      </c>
      <c r="B9" s="223" t="s">
        <v>294</v>
      </c>
      <c r="C9" s="337" t="s">
        <v>29</v>
      </c>
      <c r="D9" s="338" t="s">
        <v>28</v>
      </c>
      <c r="E9" s="339">
        <v>2023</v>
      </c>
      <c r="F9" s="234">
        <v>46273</v>
      </c>
      <c r="G9" s="234">
        <v>46273</v>
      </c>
      <c r="H9" s="310"/>
      <c r="I9" s="335"/>
      <c r="J9" s="336"/>
      <c r="K9" s="343">
        <f t="shared" si="0"/>
        <v>0</v>
      </c>
      <c r="L9" s="343">
        <f t="shared" si="0"/>
        <v>0</v>
      </c>
      <c r="M9" s="205"/>
      <c r="N9" s="205"/>
      <c r="O9" s="238" t="s">
        <v>295</v>
      </c>
      <c r="P9" s="223" t="s">
        <v>153</v>
      </c>
      <c r="Q9" s="223"/>
      <c r="R9" s="223"/>
      <c r="S9" s="225"/>
    </row>
    <row r="10" spans="1:66" s="226" customFormat="1" x14ac:dyDescent="0.3">
      <c r="A10" s="344">
        <v>6</v>
      </c>
      <c r="B10" s="223" t="s">
        <v>296</v>
      </c>
      <c r="C10" s="337" t="s">
        <v>29</v>
      </c>
      <c r="D10" s="338" t="s">
        <v>28</v>
      </c>
      <c r="E10" s="339">
        <v>2023</v>
      </c>
      <c r="F10" s="234">
        <v>46273</v>
      </c>
      <c r="G10" s="234">
        <v>46273</v>
      </c>
      <c r="H10" s="298"/>
      <c r="I10" s="341"/>
      <c r="J10" s="342"/>
      <c r="K10" s="343">
        <f t="shared" ref="K10" si="1">$F$1-F10</f>
        <v>0</v>
      </c>
      <c r="L10" s="343">
        <f t="shared" ref="L10" si="2">$F$1-G10</f>
        <v>0</v>
      </c>
      <c r="M10" s="343"/>
      <c r="N10" s="343"/>
      <c r="O10" s="238" t="s">
        <v>297</v>
      </c>
      <c r="P10" s="283"/>
      <c r="Q10" s="223"/>
      <c r="R10" s="223"/>
      <c r="S10" s="225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>
        <v>1</v>
      </c>
      <c r="B14" s="216" t="s">
        <v>85</v>
      </c>
      <c r="C14" s="331" t="s">
        <v>29</v>
      </c>
      <c r="D14" s="332" t="s">
        <v>28</v>
      </c>
      <c r="E14" s="333">
        <v>2023</v>
      </c>
      <c r="F14" s="334">
        <v>46238</v>
      </c>
      <c r="G14" s="334">
        <v>46238</v>
      </c>
      <c r="H14" s="312"/>
      <c r="I14" s="335"/>
      <c r="J14" s="336"/>
      <c r="K14" s="205">
        <f t="shared" ref="K14:L16" si="3">$F$1-F14</f>
        <v>35</v>
      </c>
      <c r="L14" s="205">
        <f t="shared" si="3"/>
        <v>35</v>
      </c>
      <c r="M14" s="205"/>
      <c r="N14" s="205"/>
      <c r="O14" s="222" t="s">
        <v>277</v>
      </c>
      <c r="P14" s="239" t="s">
        <v>235</v>
      </c>
      <c r="Q14" s="251"/>
      <c r="R14" s="252"/>
      <c r="S14" s="253"/>
    </row>
    <row r="15" spans="1:66" s="226" customFormat="1" ht="13.95" customHeight="1" x14ac:dyDescent="0.3">
      <c r="A15" s="249">
        <v>2</v>
      </c>
      <c r="B15" s="216" t="s">
        <v>256</v>
      </c>
      <c r="C15" s="331" t="s">
        <v>32</v>
      </c>
      <c r="D15" s="332" t="s">
        <v>28</v>
      </c>
      <c r="E15" s="333">
        <v>2020</v>
      </c>
      <c r="F15" s="334">
        <v>46237</v>
      </c>
      <c r="G15" s="334">
        <v>46237</v>
      </c>
      <c r="H15" s="310"/>
      <c r="I15" s="335"/>
      <c r="J15" s="336"/>
      <c r="K15" s="205">
        <f t="shared" si="3"/>
        <v>36</v>
      </c>
      <c r="L15" s="205">
        <f t="shared" si="3"/>
        <v>36</v>
      </c>
      <c r="M15" s="205"/>
      <c r="N15" s="205"/>
      <c r="O15" s="222" t="s">
        <v>271</v>
      </c>
      <c r="P15" s="306" t="s">
        <v>45</v>
      </c>
      <c r="Q15" s="251"/>
      <c r="R15" s="252"/>
      <c r="S15" s="253"/>
    </row>
    <row r="16" spans="1:66" s="226" customFormat="1" ht="31.95" customHeight="1" x14ac:dyDescent="0.3">
      <c r="A16" s="249">
        <v>3</v>
      </c>
      <c r="B16" s="260" t="s">
        <v>65</v>
      </c>
      <c r="C16" s="331" t="s">
        <v>29</v>
      </c>
      <c r="D16" s="332" t="s">
        <v>28</v>
      </c>
      <c r="E16" s="333">
        <v>2023</v>
      </c>
      <c r="F16" s="206">
        <v>46254</v>
      </c>
      <c r="G16" s="206">
        <v>46254</v>
      </c>
      <c r="H16" s="220"/>
      <c r="I16" s="220"/>
      <c r="J16" s="221"/>
      <c r="K16" s="201">
        <f t="shared" si="3"/>
        <v>19</v>
      </c>
      <c r="L16" s="201">
        <f t="shared" si="3"/>
        <v>19</v>
      </c>
      <c r="M16" s="205"/>
      <c r="N16" s="205"/>
      <c r="O16" s="222" t="s">
        <v>272</v>
      </c>
      <c r="P16" s="306" t="s">
        <v>48</v>
      </c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4">$F$1-F20</f>
        <v>110</v>
      </c>
      <c r="L20" s="201">
        <f t="shared" si="4"/>
        <v>110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53</v>
      </c>
      <c r="L21" s="201">
        <f t="shared" si="4"/>
        <v>53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4"/>
        <v>40</v>
      </c>
      <c r="L22" s="201">
        <f t="shared" si="4"/>
        <v>40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67D9-58CB-49CF-A026-EF7C8484E4D7}">
  <dimension ref="A1:BN23"/>
  <sheetViews>
    <sheetView workbookViewId="0">
      <selection activeCell="B6" sqref="B6:P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46274</v>
      </c>
      <c r="G1" s="206">
        <v>46273</v>
      </c>
      <c r="H1" s="206">
        <v>46273</v>
      </c>
      <c r="I1" s="206">
        <v>46273</v>
      </c>
      <c r="J1" s="206">
        <v>46273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6" t="s">
        <v>7</v>
      </c>
      <c r="L3" s="376" t="s">
        <v>19</v>
      </c>
      <c r="M3" s="376" t="s">
        <v>20</v>
      </c>
      <c r="N3" s="37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7" si="0">$F$1-F5</f>
        <v>10</v>
      </c>
      <c r="L5" s="205">
        <f t="shared" si="0"/>
        <v>10</v>
      </c>
      <c r="M5" s="205"/>
      <c r="N5" s="205"/>
      <c r="O5" s="222" t="s">
        <v>284</v>
      </c>
      <c r="P5" s="216" t="s">
        <v>26</v>
      </c>
      <c r="Q5" s="223" t="s">
        <v>296</v>
      </c>
      <c r="R5" s="306" t="s">
        <v>30</v>
      </c>
      <c r="S5" s="225"/>
    </row>
    <row r="6" spans="1:66" s="226" customFormat="1" x14ac:dyDescent="0.3">
      <c r="A6" s="249">
        <v>2</v>
      </c>
      <c r="B6" s="216" t="s">
        <v>287</v>
      </c>
      <c r="C6" s="331" t="s">
        <v>29</v>
      </c>
      <c r="D6" s="332" t="s">
        <v>28</v>
      </c>
      <c r="E6" s="333">
        <v>2023</v>
      </c>
      <c r="F6" s="334">
        <v>46265</v>
      </c>
      <c r="G6" s="334">
        <v>46265</v>
      </c>
      <c r="H6" s="312"/>
      <c r="I6" s="335"/>
      <c r="J6" s="336"/>
      <c r="K6" s="205">
        <f t="shared" si="0"/>
        <v>9</v>
      </c>
      <c r="L6" s="205">
        <f t="shared" si="0"/>
        <v>9</v>
      </c>
      <c r="M6" s="205"/>
      <c r="N6" s="205"/>
      <c r="O6" s="222" t="s">
        <v>301</v>
      </c>
      <c r="P6" s="239" t="s">
        <v>213</v>
      </c>
      <c r="Q6" s="223" t="s">
        <v>35</v>
      </c>
      <c r="R6" s="306" t="s">
        <v>240</v>
      </c>
      <c r="S6" s="225"/>
    </row>
    <row r="7" spans="1:66" s="226" customFormat="1" x14ac:dyDescent="0.3">
      <c r="A7" s="249">
        <v>3</v>
      </c>
      <c r="B7" s="216" t="s">
        <v>289</v>
      </c>
      <c r="C7" s="331" t="s">
        <v>34</v>
      </c>
      <c r="D7" s="332" t="s">
        <v>290</v>
      </c>
      <c r="E7" s="333">
        <v>2014</v>
      </c>
      <c r="F7" s="206">
        <v>46269</v>
      </c>
      <c r="G7" s="206">
        <v>46269</v>
      </c>
      <c r="H7" s="312"/>
      <c r="I7" s="335"/>
      <c r="J7" s="336"/>
      <c r="K7" s="205">
        <f t="shared" si="0"/>
        <v>5</v>
      </c>
      <c r="L7" s="205">
        <f t="shared" si="0"/>
        <v>5</v>
      </c>
      <c r="M7" s="205"/>
      <c r="N7" s="205"/>
      <c r="O7" s="222" t="s">
        <v>291</v>
      </c>
      <c r="P7" s="306" t="s">
        <v>251</v>
      </c>
      <c r="Q7" s="223"/>
      <c r="R7" s="306" t="s">
        <v>299</v>
      </c>
      <c r="S7" s="225"/>
    </row>
    <row r="8" spans="1:66" s="226" customFormat="1" x14ac:dyDescent="0.3">
      <c r="A8" s="249">
        <v>4</v>
      </c>
      <c r="B8" s="216" t="s">
        <v>294</v>
      </c>
      <c r="C8" s="331" t="s">
        <v>29</v>
      </c>
      <c r="D8" s="332" t="s">
        <v>28</v>
      </c>
      <c r="E8" s="333">
        <v>2023</v>
      </c>
      <c r="F8" s="206">
        <v>46273</v>
      </c>
      <c r="G8" s="206">
        <v>46273</v>
      </c>
      <c r="H8" s="310"/>
      <c r="I8" s="335"/>
      <c r="J8" s="336"/>
      <c r="K8" s="205">
        <f t="shared" ref="K8" si="1">$F$1-F8</f>
        <v>1</v>
      </c>
      <c r="L8" s="205">
        <f t="shared" ref="L8" si="2">$F$1-G8</f>
        <v>1</v>
      </c>
      <c r="M8" s="205"/>
      <c r="N8" s="205"/>
      <c r="O8" s="222" t="s">
        <v>295</v>
      </c>
      <c r="P8" s="216" t="s">
        <v>153</v>
      </c>
      <c r="Q8" s="223"/>
      <c r="R8" s="306" t="s">
        <v>300</v>
      </c>
      <c r="S8" s="225"/>
    </row>
    <row r="9" spans="1:66" s="226" customFormat="1" x14ac:dyDescent="0.3">
      <c r="A9" s="249"/>
      <c r="B9" s="308"/>
      <c r="C9" s="337"/>
      <c r="D9" s="338"/>
      <c r="E9" s="33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 t="s">
        <v>220</v>
      </c>
      <c r="S9" s="225"/>
    </row>
    <row r="10" spans="1:66" s="226" customFormat="1" x14ac:dyDescent="0.3">
      <c r="A10" s="344"/>
      <c r="B10" s="223"/>
      <c r="C10" s="337"/>
      <c r="D10" s="338"/>
      <c r="E10" s="339"/>
      <c r="F10" s="234"/>
      <c r="G10" s="234"/>
      <c r="H10" s="298"/>
      <c r="I10" s="341"/>
      <c r="J10" s="342"/>
      <c r="K10" s="343"/>
      <c r="L10" s="343"/>
      <c r="M10" s="343"/>
      <c r="N10" s="343"/>
      <c r="O10" s="238"/>
      <c r="P10" s="283"/>
      <c r="Q10" s="223"/>
      <c r="R10" s="223"/>
      <c r="S10" s="225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>
        <v>1</v>
      </c>
      <c r="B14" s="216" t="s">
        <v>85</v>
      </c>
      <c r="C14" s="331" t="s">
        <v>29</v>
      </c>
      <c r="D14" s="332" t="s">
        <v>28</v>
      </c>
      <c r="E14" s="333">
        <v>2023</v>
      </c>
      <c r="F14" s="334">
        <v>46238</v>
      </c>
      <c r="G14" s="334">
        <v>46238</v>
      </c>
      <c r="H14" s="312"/>
      <c r="I14" s="335"/>
      <c r="J14" s="336"/>
      <c r="K14" s="205">
        <f t="shared" ref="K14:L16" si="3">$F$1-F14</f>
        <v>36</v>
      </c>
      <c r="L14" s="205">
        <f t="shared" si="3"/>
        <v>36</v>
      </c>
      <c r="M14" s="205"/>
      <c r="N14" s="205"/>
      <c r="O14" s="222" t="s">
        <v>277</v>
      </c>
      <c r="P14" s="239" t="s">
        <v>235</v>
      </c>
      <c r="Q14" s="251"/>
      <c r="R14" s="252"/>
      <c r="S14" s="253"/>
    </row>
    <row r="15" spans="1:66" s="226" customFormat="1" ht="13.95" customHeight="1" x14ac:dyDescent="0.3">
      <c r="A15" s="249">
        <v>2</v>
      </c>
      <c r="B15" s="216" t="s">
        <v>256</v>
      </c>
      <c r="C15" s="331" t="s">
        <v>32</v>
      </c>
      <c r="D15" s="332" t="s">
        <v>28</v>
      </c>
      <c r="E15" s="333">
        <v>2020</v>
      </c>
      <c r="F15" s="334">
        <v>46237</v>
      </c>
      <c r="G15" s="334">
        <v>46237</v>
      </c>
      <c r="H15" s="310"/>
      <c r="I15" s="335"/>
      <c r="J15" s="336"/>
      <c r="K15" s="205">
        <f t="shared" si="3"/>
        <v>37</v>
      </c>
      <c r="L15" s="205">
        <f t="shared" si="3"/>
        <v>37</v>
      </c>
      <c r="M15" s="205"/>
      <c r="N15" s="205"/>
      <c r="O15" s="222" t="s">
        <v>271</v>
      </c>
      <c r="P15" s="306" t="s">
        <v>45</v>
      </c>
      <c r="Q15" s="251"/>
      <c r="R15" s="252"/>
      <c r="S15" s="253"/>
    </row>
    <row r="16" spans="1:66" s="226" customFormat="1" ht="31.95" customHeight="1" x14ac:dyDescent="0.3">
      <c r="A16" s="249">
        <v>3</v>
      </c>
      <c r="B16" s="260" t="s">
        <v>65</v>
      </c>
      <c r="C16" s="331" t="s">
        <v>29</v>
      </c>
      <c r="D16" s="332" t="s">
        <v>28</v>
      </c>
      <c r="E16" s="333">
        <v>2023</v>
      </c>
      <c r="F16" s="206">
        <v>46254</v>
      </c>
      <c r="G16" s="206">
        <v>46254</v>
      </c>
      <c r="H16" s="220"/>
      <c r="I16" s="220"/>
      <c r="J16" s="221"/>
      <c r="K16" s="201">
        <f t="shared" si="3"/>
        <v>20</v>
      </c>
      <c r="L16" s="201">
        <f t="shared" si="3"/>
        <v>20</v>
      </c>
      <c r="M16" s="205"/>
      <c r="N16" s="205"/>
      <c r="O16" s="222" t="s">
        <v>272</v>
      </c>
      <c r="P16" s="306" t="s">
        <v>48</v>
      </c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4">$F$1-F20</f>
        <v>111</v>
      </c>
      <c r="L20" s="201">
        <f t="shared" si="4"/>
        <v>111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54</v>
      </c>
      <c r="L21" s="201">
        <f t="shared" si="4"/>
        <v>54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4"/>
        <v>41</v>
      </c>
      <c r="L22" s="201">
        <f t="shared" si="4"/>
        <v>41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F48F-5AAA-4006-A36D-18C705624DDF}">
  <dimension ref="A1:BN23"/>
  <sheetViews>
    <sheetView workbookViewId="0">
      <selection activeCell="O7" sqref="O7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46275</v>
      </c>
      <c r="G1" s="206">
        <v>46275</v>
      </c>
      <c r="H1" s="206">
        <v>46275</v>
      </c>
      <c r="I1" s="206">
        <v>46275</v>
      </c>
      <c r="J1" s="206">
        <v>46275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77" t="s">
        <v>7</v>
      </c>
      <c r="L3" s="377" t="s">
        <v>19</v>
      </c>
      <c r="M3" s="377" t="s">
        <v>20</v>
      </c>
      <c r="N3" s="37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5" si="0">$F$1-F5</f>
        <v>11</v>
      </c>
      <c r="L5" s="205">
        <f t="shared" si="0"/>
        <v>11</v>
      </c>
      <c r="M5" s="205"/>
      <c r="N5" s="205"/>
      <c r="O5" s="222" t="s">
        <v>284</v>
      </c>
      <c r="P5" s="216" t="s">
        <v>26</v>
      </c>
      <c r="Q5" s="223" t="s">
        <v>287</v>
      </c>
      <c r="R5" s="306" t="s">
        <v>30</v>
      </c>
      <c r="S5" s="225"/>
    </row>
    <row r="6" spans="1:66" s="226" customFormat="1" x14ac:dyDescent="0.3">
      <c r="A6" s="249">
        <v>2</v>
      </c>
      <c r="B6" s="216" t="s">
        <v>305</v>
      </c>
      <c r="C6" s="331" t="s">
        <v>34</v>
      </c>
      <c r="D6" s="332" t="s">
        <v>290</v>
      </c>
      <c r="E6" s="333">
        <v>2014</v>
      </c>
      <c r="F6" s="206">
        <v>46269</v>
      </c>
      <c r="G6" s="206">
        <v>46269</v>
      </c>
      <c r="H6" s="312"/>
      <c r="I6" s="335"/>
      <c r="J6" s="336"/>
      <c r="K6" s="205">
        <f t="shared" ref="K6:K7" si="1">$F$1-F6</f>
        <v>6</v>
      </c>
      <c r="L6" s="205">
        <f t="shared" ref="L6:L7" si="2">$F$1-G6</f>
        <v>6</v>
      </c>
      <c r="M6" s="205"/>
      <c r="N6" s="205"/>
      <c r="O6" s="222" t="s">
        <v>291</v>
      </c>
      <c r="P6" s="306" t="s">
        <v>251</v>
      </c>
      <c r="Q6" s="223"/>
      <c r="R6" s="306" t="s">
        <v>240</v>
      </c>
      <c r="S6" s="225"/>
    </row>
    <row r="7" spans="1:66" s="226" customFormat="1" x14ac:dyDescent="0.3">
      <c r="A7" s="249">
        <v>3</v>
      </c>
      <c r="B7" s="216" t="s">
        <v>306</v>
      </c>
      <c r="C7" s="331" t="s">
        <v>29</v>
      </c>
      <c r="D7" s="332" t="s">
        <v>28</v>
      </c>
      <c r="E7" s="333">
        <v>2023</v>
      </c>
      <c r="F7" s="206">
        <v>46273</v>
      </c>
      <c r="G7" s="206">
        <v>46273</v>
      </c>
      <c r="H7" s="310"/>
      <c r="I7" s="335"/>
      <c r="J7" s="336"/>
      <c r="K7" s="205">
        <f t="shared" si="1"/>
        <v>2</v>
      </c>
      <c r="L7" s="205">
        <f t="shared" si="2"/>
        <v>2</v>
      </c>
      <c r="M7" s="205"/>
      <c r="N7" s="205"/>
      <c r="O7" s="222" t="s">
        <v>295</v>
      </c>
      <c r="P7" s="216" t="s">
        <v>153</v>
      </c>
      <c r="Q7" s="223"/>
      <c r="R7" s="306" t="s">
        <v>299</v>
      </c>
      <c r="S7" s="225"/>
    </row>
    <row r="8" spans="1:66" s="226" customFormat="1" x14ac:dyDescent="0.3">
      <c r="A8" s="249">
        <v>4</v>
      </c>
      <c r="B8" s="308" t="s">
        <v>48</v>
      </c>
      <c r="C8" s="301" t="s">
        <v>32</v>
      </c>
      <c r="D8" s="302" t="s">
        <v>28</v>
      </c>
      <c r="E8" s="233">
        <v>2012</v>
      </c>
      <c r="F8" s="315">
        <v>46275</v>
      </c>
      <c r="G8" s="315">
        <v>46275</v>
      </c>
      <c r="H8" s="298"/>
      <c r="I8" s="378"/>
      <c r="J8" s="379"/>
      <c r="K8" s="343">
        <v>0</v>
      </c>
      <c r="L8" s="343">
        <v>0</v>
      </c>
      <c r="M8" s="380"/>
      <c r="N8" s="380"/>
      <c r="O8" s="320" t="s">
        <v>302</v>
      </c>
      <c r="P8" s="308" t="s">
        <v>300</v>
      </c>
      <c r="Q8" s="223"/>
      <c r="R8" s="216" t="s">
        <v>303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 t="s">
        <v>304</v>
      </c>
      <c r="S9" s="225"/>
    </row>
    <row r="10" spans="1:66" s="226" customFormat="1" x14ac:dyDescent="0.3">
      <c r="A10" s="344"/>
      <c r="B10" s="223"/>
      <c r="C10" s="337"/>
      <c r="D10" s="338"/>
      <c r="E10" s="339"/>
      <c r="F10" s="234"/>
      <c r="G10" s="234"/>
      <c r="H10" s="298"/>
      <c r="I10" s="341"/>
      <c r="J10" s="342"/>
      <c r="K10" s="343"/>
      <c r="L10" s="343"/>
      <c r="M10" s="343"/>
      <c r="N10" s="343"/>
      <c r="O10" s="238"/>
      <c r="P10" s="283"/>
      <c r="Q10" s="223"/>
      <c r="R10" s="223"/>
      <c r="S10" s="225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>
        <v>1</v>
      </c>
      <c r="B14" s="216" t="s">
        <v>85</v>
      </c>
      <c r="C14" s="331" t="s">
        <v>29</v>
      </c>
      <c r="D14" s="332" t="s">
        <v>28</v>
      </c>
      <c r="E14" s="333">
        <v>2023</v>
      </c>
      <c r="F14" s="334">
        <v>46238</v>
      </c>
      <c r="G14" s="334">
        <v>46238</v>
      </c>
      <c r="H14" s="312"/>
      <c r="I14" s="335"/>
      <c r="J14" s="336"/>
      <c r="K14" s="205">
        <f t="shared" ref="K14:L16" si="3">$F$1-F14</f>
        <v>37</v>
      </c>
      <c r="L14" s="205">
        <f t="shared" si="3"/>
        <v>37</v>
      </c>
      <c r="M14" s="205"/>
      <c r="N14" s="205"/>
      <c r="O14" s="222" t="s">
        <v>277</v>
      </c>
      <c r="P14" s="239" t="s">
        <v>235</v>
      </c>
      <c r="Q14" s="251"/>
      <c r="R14" s="252"/>
      <c r="S14" s="253"/>
    </row>
    <row r="15" spans="1:66" s="226" customFormat="1" ht="13.95" customHeight="1" x14ac:dyDescent="0.3">
      <c r="A15" s="249">
        <v>2</v>
      </c>
      <c r="B15" s="216" t="s">
        <v>256</v>
      </c>
      <c r="C15" s="331" t="s">
        <v>32</v>
      </c>
      <c r="D15" s="332" t="s">
        <v>28</v>
      </c>
      <c r="E15" s="333">
        <v>2020</v>
      </c>
      <c r="F15" s="334">
        <v>46237</v>
      </c>
      <c r="G15" s="334">
        <v>46237</v>
      </c>
      <c r="H15" s="310"/>
      <c r="I15" s="335"/>
      <c r="J15" s="336"/>
      <c r="K15" s="205">
        <f t="shared" si="3"/>
        <v>38</v>
      </c>
      <c r="L15" s="205">
        <f t="shared" si="3"/>
        <v>38</v>
      </c>
      <c r="M15" s="205"/>
      <c r="N15" s="205"/>
      <c r="O15" s="222" t="s">
        <v>271</v>
      </c>
      <c r="P15" s="306" t="s">
        <v>45</v>
      </c>
      <c r="Q15" s="251"/>
      <c r="R15" s="252"/>
      <c r="S15" s="253"/>
    </row>
    <row r="16" spans="1:66" s="226" customFormat="1" ht="31.95" customHeight="1" x14ac:dyDescent="0.3">
      <c r="A16" s="249">
        <v>3</v>
      </c>
      <c r="B16" s="260" t="s">
        <v>65</v>
      </c>
      <c r="C16" s="331" t="s">
        <v>29</v>
      </c>
      <c r="D16" s="332" t="s">
        <v>28</v>
      </c>
      <c r="E16" s="333">
        <v>2023</v>
      </c>
      <c r="F16" s="206">
        <v>46254</v>
      </c>
      <c r="G16" s="206">
        <v>46254</v>
      </c>
      <c r="H16" s="220"/>
      <c r="I16" s="220"/>
      <c r="J16" s="221"/>
      <c r="K16" s="201">
        <f t="shared" si="3"/>
        <v>21</v>
      </c>
      <c r="L16" s="201">
        <f t="shared" si="3"/>
        <v>21</v>
      </c>
      <c r="M16" s="205"/>
      <c r="N16" s="205"/>
      <c r="O16" s="222" t="s">
        <v>272</v>
      </c>
      <c r="P16" s="306" t="s">
        <v>48</v>
      </c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4">$F$1-F20</f>
        <v>112</v>
      </c>
      <c r="L20" s="201">
        <f t="shared" si="4"/>
        <v>112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55</v>
      </c>
      <c r="L21" s="201">
        <f t="shared" si="4"/>
        <v>55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4"/>
        <v>42</v>
      </c>
      <c r="L22" s="201">
        <f t="shared" si="4"/>
        <v>42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0301-89DF-4AC2-A48A-5477D28E1B26}">
  <dimension ref="A1:BN23"/>
  <sheetViews>
    <sheetView workbookViewId="0">
      <selection activeCell="P31" sqref="P31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46276</v>
      </c>
      <c r="G1" s="206">
        <v>46276</v>
      </c>
      <c r="H1" s="206">
        <v>46276</v>
      </c>
      <c r="I1" s="206">
        <v>46276</v>
      </c>
      <c r="J1" s="206">
        <v>46276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1" t="s">
        <v>7</v>
      </c>
      <c r="L3" s="381" t="s">
        <v>19</v>
      </c>
      <c r="M3" s="381" t="s">
        <v>20</v>
      </c>
      <c r="N3" s="38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8" si="0">$F$1-F5</f>
        <v>12</v>
      </c>
      <c r="L5" s="205">
        <f t="shared" si="0"/>
        <v>12</v>
      </c>
      <c r="M5" s="205"/>
      <c r="N5" s="205"/>
      <c r="O5" s="222" t="s">
        <v>284</v>
      </c>
      <c r="P5" s="216" t="s">
        <v>26</v>
      </c>
      <c r="Q5" s="383" t="s">
        <v>48</v>
      </c>
      <c r="R5" s="306" t="s">
        <v>30</v>
      </c>
      <c r="S5" s="225"/>
    </row>
    <row r="6" spans="1:66" s="226" customFormat="1" x14ac:dyDescent="0.3">
      <c r="A6" s="249">
        <v>2</v>
      </c>
      <c r="B6" s="216" t="s">
        <v>305</v>
      </c>
      <c r="C6" s="331" t="s">
        <v>34</v>
      </c>
      <c r="D6" s="332" t="s">
        <v>290</v>
      </c>
      <c r="E6" s="333">
        <v>2014</v>
      </c>
      <c r="F6" s="206">
        <v>46269</v>
      </c>
      <c r="G6" s="206">
        <v>46269</v>
      </c>
      <c r="H6" s="312"/>
      <c r="I6" s="335"/>
      <c r="J6" s="336"/>
      <c r="K6" s="205">
        <f t="shared" si="0"/>
        <v>7</v>
      </c>
      <c r="L6" s="205">
        <f t="shared" si="0"/>
        <v>7</v>
      </c>
      <c r="M6" s="205"/>
      <c r="N6" s="205"/>
      <c r="O6" s="222" t="s">
        <v>291</v>
      </c>
      <c r="P6" s="306" t="s">
        <v>251</v>
      </c>
      <c r="Q6" s="223"/>
      <c r="R6" s="306" t="s">
        <v>240</v>
      </c>
      <c r="S6" s="225"/>
    </row>
    <row r="7" spans="1:66" s="226" customFormat="1" x14ac:dyDescent="0.3">
      <c r="A7" s="249">
        <v>3</v>
      </c>
      <c r="B7" s="216" t="s">
        <v>306</v>
      </c>
      <c r="C7" s="331" t="s">
        <v>29</v>
      </c>
      <c r="D7" s="332" t="s">
        <v>28</v>
      </c>
      <c r="E7" s="333">
        <v>2023</v>
      </c>
      <c r="F7" s="206">
        <v>46273</v>
      </c>
      <c r="G7" s="206">
        <v>46273</v>
      </c>
      <c r="H7" s="310"/>
      <c r="I7" s="335"/>
      <c r="J7" s="336"/>
      <c r="K7" s="205">
        <f t="shared" si="0"/>
        <v>3</v>
      </c>
      <c r="L7" s="205">
        <f t="shared" si="0"/>
        <v>3</v>
      </c>
      <c r="M7" s="205"/>
      <c r="N7" s="205"/>
      <c r="O7" s="238" t="s">
        <v>307</v>
      </c>
      <c r="P7" s="216" t="s">
        <v>153</v>
      </c>
      <c r="Q7" s="223"/>
      <c r="R7" s="306" t="s">
        <v>299</v>
      </c>
      <c r="S7" s="225"/>
    </row>
    <row r="8" spans="1:66" s="226" customFormat="1" x14ac:dyDescent="0.3">
      <c r="A8" s="249">
        <v>4</v>
      </c>
      <c r="B8" s="223" t="s">
        <v>287</v>
      </c>
      <c r="C8" s="337" t="s">
        <v>29</v>
      </c>
      <c r="D8" s="338" t="s">
        <v>28</v>
      </c>
      <c r="E8" s="339">
        <v>2023</v>
      </c>
      <c r="F8" s="340">
        <v>46276</v>
      </c>
      <c r="G8" s="340">
        <v>46276</v>
      </c>
      <c r="H8" s="296"/>
      <c r="I8" s="341"/>
      <c r="J8" s="342"/>
      <c r="K8" s="343">
        <f t="shared" si="0"/>
        <v>0</v>
      </c>
      <c r="L8" s="343">
        <f t="shared" si="0"/>
        <v>0</v>
      </c>
      <c r="M8" s="205"/>
      <c r="N8" s="205"/>
      <c r="O8" s="238" t="s">
        <v>308</v>
      </c>
      <c r="P8" s="239" t="s">
        <v>213</v>
      </c>
      <c r="Q8" s="223"/>
      <c r="R8" s="216" t="s">
        <v>303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306" t="s">
        <v>300</v>
      </c>
      <c r="S9" s="225"/>
    </row>
    <row r="10" spans="1:66" s="226" customFormat="1" x14ac:dyDescent="0.3">
      <c r="A10" s="344"/>
      <c r="B10" s="223"/>
      <c r="C10" s="337"/>
      <c r="D10" s="338"/>
      <c r="E10" s="339"/>
      <c r="F10" s="234"/>
      <c r="G10" s="234"/>
      <c r="H10" s="298"/>
      <c r="I10" s="341"/>
      <c r="J10" s="342"/>
      <c r="K10" s="343"/>
      <c r="L10" s="343"/>
      <c r="M10" s="343"/>
      <c r="N10" s="343"/>
      <c r="O10" s="238"/>
      <c r="P10" s="283"/>
      <c r="Q10" s="223"/>
      <c r="R10" s="239" t="s">
        <v>304</v>
      </c>
      <c r="S10" s="225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>
        <v>1</v>
      </c>
      <c r="B14" s="216" t="s">
        <v>85</v>
      </c>
      <c r="C14" s="331" t="s">
        <v>29</v>
      </c>
      <c r="D14" s="332" t="s">
        <v>28</v>
      </c>
      <c r="E14" s="333">
        <v>2023</v>
      </c>
      <c r="F14" s="334">
        <v>46238</v>
      </c>
      <c r="G14" s="334">
        <v>46238</v>
      </c>
      <c r="H14" s="312"/>
      <c r="I14" s="335"/>
      <c r="J14" s="336"/>
      <c r="K14" s="205">
        <f t="shared" ref="K14:L16" si="1">$F$1-F14</f>
        <v>38</v>
      </c>
      <c r="L14" s="205">
        <f t="shared" si="1"/>
        <v>38</v>
      </c>
      <c r="M14" s="205"/>
      <c r="N14" s="205"/>
      <c r="O14" s="222" t="s">
        <v>277</v>
      </c>
      <c r="P14" s="239" t="s">
        <v>235</v>
      </c>
      <c r="Q14" s="251"/>
      <c r="R14" s="239"/>
      <c r="S14" s="253"/>
    </row>
    <row r="15" spans="1:66" s="226" customFormat="1" ht="13.95" customHeight="1" x14ac:dyDescent="0.3">
      <c r="A15" s="249">
        <v>2</v>
      </c>
      <c r="B15" s="216" t="s">
        <v>256</v>
      </c>
      <c r="C15" s="331" t="s">
        <v>32</v>
      </c>
      <c r="D15" s="332" t="s">
        <v>28</v>
      </c>
      <c r="E15" s="333">
        <v>2020</v>
      </c>
      <c r="F15" s="334">
        <v>46237</v>
      </c>
      <c r="G15" s="334">
        <v>46237</v>
      </c>
      <c r="H15" s="310"/>
      <c r="I15" s="335"/>
      <c r="J15" s="336"/>
      <c r="K15" s="205">
        <f t="shared" si="1"/>
        <v>39</v>
      </c>
      <c r="L15" s="205">
        <f t="shared" si="1"/>
        <v>39</v>
      </c>
      <c r="M15" s="205"/>
      <c r="N15" s="205"/>
      <c r="O15" s="222" t="s">
        <v>271</v>
      </c>
      <c r="P15" s="306" t="s">
        <v>45</v>
      </c>
      <c r="Q15" s="251"/>
      <c r="R15" s="252"/>
      <c r="S15" s="253"/>
    </row>
    <row r="16" spans="1:66" s="226" customFormat="1" ht="31.95" customHeight="1" x14ac:dyDescent="0.3">
      <c r="A16" s="249">
        <v>3</v>
      </c>
      <c r="B16" s="260" t="s">
        <v>65</v>
      </c>
      <c r="C16" s="331" t="s">
        <v>29</v>
      </c>
      <c r="D16" s="332" t="s">
        <v>28</v>
      </c>
      <c r="E16" s="333">
        <v>2023</v>
      </c>
      <c r="F16" s="206">
        <v>46254</v>
      </c>
      <c r="G16" s="206">
        <v>46254</v>
      </c>
      <c r="H16" s="220"/>
      <c r="I16" s="220"/>
      <c r="J16" s="221"/>
      <c r="K16" s="201">
        <f t="shared" si="1"/>
        <v>22</v>
      </c>
      <c r="L16" s="201">
        <f t="shared" si="1"/>
        <v>22</v>
      </c>
      <c r="M16" s="205"/>
      <c r="N16" s="205"/>
      <c r="O16" s="222" t="s">
        <v>272</v>
      </c>
      <c r="P16" s="306" t="s">
        <v>48</v>
      </c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2">$F$1-F20</f>
        <v>113</v>
      </c>
      <c r="L20" s="201">
        <f t="shared" si="2"/>
        <v>113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56</v>
      </c>
      <c r="L21" s="201">
        <f t="shared" si="2"/>
        <v>56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2"/>
        <v>43</v>
      </c>
      <c r="L22" s="201">
        <f t="shared" si="2"/>
        <v>43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8E28-BD2E-413F-AA1E-6B076373DA74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46277</v>
      </c>
      <c r="G1" s="206">
        <v>46277</v>
      </c>
      <c r="H1" s="206">
        <v>46277</v>
      </c>
      <c r="I1" s="206">
        <v>46277</v>
      </c>
      <c r="J1" s="206">
        <v>46277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2" t="s">
        <v>7</v>
      </c>
      <c r="L3" s="382" t="s">
        <v>19</v>
      </c>
      <c r="M3" s="382" t="s">
        <v>20</v>
      </c>
      <c r="N3" s="38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7" si="0">$F$1-F5</f>
        <v>13</v>
      </c>
      <c r="L5" s="205">
        <f t="shared" si="0"/>
        <v>13</v>
      </c>
      <c r="M5" s="205"/>
      <c r="N5" s="205"/>
      <c r="O5" s="222" t="s">
        <v>284</v>
      </c>
      <c r="P5" s="216" t="s">
        <v>26</v>
      </c>
      <c r="Q5" s="216" t="s">
        <v>287</v>
      </c>
      <c r="R5" s="306" t="s">
        <v>30</v>
      </c>
      <c r="S5" s="225"/>
    </row>
    <row r="6" spans="1:66" s="226" customFormat="1" x14ac:dyDescent="0.3">
      <c r="A6" s="249">
        <v>2</v>
      </c>
      <c r="B6" s="216" t="s">
        <v>305</v>
      </c>
      <c r="C6" s="331" t="s">
        <v>34</v>
      </c>
      <c r="D6" s="332" t="s">
        <v>290</v>
      </c>
      <c r="E6" s="333">
        <v>2014</v>
      </c>
      <c r="F6" s="206">
        <v>46269</v>
      </c>
      <c r="G6" s="206">
        <v>46269</v>
      </c>
      <c r="H6" s="312"/>
      <c r="I6" s="335"/>
      <c r="J6" s="336"/>
      <c r="K6" s="205">
        <f t="shared" si="0"/>
        <v>8</v>
      </c>
      <c r="L6" s="205">
        <f t="shared" si="0"/>
        <v>8</v>
      </c>
      <c r="M6" s="205"/>
      <c r="N6" s="205"/>
      <c r="O6" s="222" t="s">
        <v>309</v>
      </c>
      <c r="P6" s="306" t="s">
        <v>300</v>
      </c>
      <c r="Q6" s="216" t="s">
        <v>306</v>
      </c>
      <c r="R6" s="306" t="s">
        <v>240</v>
      </c>
      <c r="S6" s="225"/>
    </row>
    <row r="7" spans="1:66" s="226" customFormat="1" x14ac:dyDescent="0.3">
      <c r="A7" s="249">
        <v>3</v>
      </c>
      <c r="B7" s="223" t="s">
        <v>251</v>
      </c>
      <c r="C7" s="337" t="s">
        <v>29</v>
      </c>
      <c r="D7" s="338" t="s">
        <v>28</v>
      </c>
      <c r="E7" s="339">
        <v>2023</v>
      </c>
      <c r="F7" s="340">
        <v>46277</v>
      </c>
      <c r="G7" s="340">
        <v>46277</v>
      </c>
      <c r="H7" s="296"/>
      <c r="I7" s="341"/>
      <c r="J7" s="342"/>
      <c r="K7" s="343">
        <f t="shared" si="0"/>
        <v>0</v>
      </c>
      <c r="L7" s="343">
        <f t="shared" si="0"/>
        <v>0</v>
      </c>
      <c r="M7" s="343"/>
      <c r="N7" s="343"/>
      <c r="O7" s="238" t="s">
        <v>310</v>
      </c>
      <c r="P7" s="216"/>
      <c r="Q7" s="223"/>
      <c r="R7" s="306" t="s">
        <v>299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23"/>
      <c r="R8" s="216" t="s">
        <v>303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 t="s">
        <v>304</v>
      </c>
      <c r="S9" s="225"/>
    </row>
    <row r="10" spans="1:66" s="226" customFormat="1" x14ac:dyDescent="0.3">
      <c r="A10" s="344"/>
      <c r="B10" s="223"/>
      <c r="C10" s="337"/>
      <c r="D10" s="338"/>
      <c r="E10" s="339"/>
      <c r="F10" s="234"/>
      <c r="G10" s="234"/>
      <c r="H10" s="298"/>
      <c r="I10" s="341"/>
      <c r="J10" s="342"/>
      <c r="K10" s="343"/>
      <c r="L10" s="343"/>
      <c r="M10" s="343"/>
      <c r="N10" s="343"/>
      <c r="O10" s="238"/>
      <c r="P10" s="283"/>
      <c r="Q10" s="223"/>
      <c r="R10" s="216" t="s">
        <v>153</v>
      </c>
      <c r="S10" s="225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24"/>
      <c r="C12" s="240"/>
      <c r="D12" s="241"/>
      <c r="E12" s="219"/>
      <c r="F12" s="206"/>
      <c r="G12" s="206"/>
      <c r="H12" s="220"/>
      <c r="I12" s="220"/>
      <c r="J12" s="221"/>
      <c r="K12" s="201"/>
      <c r="L12" s="201"/>
      <c r="M12" s="201"/>
      <c r="N12" s="201"/>
      <c r="O12" s="222"/>
      <c r="P12" s="250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>
        <v>1</v>
      </c>
      <c r="B14" s="216" t="s">
        <v>85</v>
      </c>
      <c r="C14" s="331" t="s">
        <v>29</v>
      </c>
      <c r="D14" s="332" t="s">
        <v>28</v>
      </c>
      <c r="E14" s="333">
        <v>2023</v>
      </c>
      <c r="F14" s="334">
        <v>46238</v>
      </c>
      <c r="G14" s="334">
        <v>46238</v>
      </c>
      <c r="H14" s="312"/>
      <c r="I14" s="335"/>
      <c r="J14" s="336"/>
      <c r="K14" s="205">
        <f t="shared" ref="K14:L16" si="1">$F$1-F14</f>
        <v>39</v>
      </c>
      <c r="L14" s="205">
        <f t="shared" si="1"/>
        <v>39</v>
      </c>
      <c r="M14" s="205"/>
      <c r="N14" s="205"/>
      <c r="O14" s="222" t="s">
        <v>277</v>
      </c>
      <c r="P14" s="239" t="s">
        <v>235</v>
      </c>
      <c r="Q14" s="251"/>
      <c r="R14" s="239"/>
      <c r="S14" s="253"/>
    </row>
    <row r="15" spans="1:66" s="226" customFormat="1" ht="13.95" customHeight="1" x14ac:dyDescent="0.3">
      <c r="A15" s="249">
        <v>2</v>
      </c>
      <c r="B15" s="216" t="s">
        <v>256</v>
      </c>
      <c r="C15" s="331" t="s">
        <v>32</v>
      </c>
      <c r="D15" s="332" t="s">
        <v>28</v>
      </c>
      <c r="E15" s="333">
        <v>2020</v>
      </c>
      <c r="F15" s="334">
        <v>46237</v>
      </c>
      <c r="G15" s="334">
        <v>46237</v>
      </c>
      <c r="H15" s="310"/>
      <c r="I15" s="335"/>
      <c r="J15" s="336"/>
      <c r="K15" s="205">
        <f t="shared" si="1"/>
        <v>40</v>
      </c>
      <c r="L15" s="205">
        <f t="shared" si="1"/>
        <v>40</v>
      </c>
      <c r="M15" s="205"/>
      <c r="N15" s="205"/>
      <c r="O15" s="222" t="s">
        <v>271</v>
      </c>
      <c r="P15" s="306" t="s">
        <v>45</v>
      </c>
      <c r="Q15" s="251"/>
      <c r="R15" s="252"/>
      <c r="S15" s="253"/>
    </row>
    <row r="16" spans="1:66" s="226" customFormat="1" ht="31.95" customHeight="1" x14ac:dyDescent="0.3">
      <c r="A16" s="249">
        <v>3</v>
      </c>
      <c r="B16" s="260" t="s">
        <v>65</v>
      </c>
      <c r="C16" s="331" t="s">
        <v>29</v>
      </c>
      <c r="D16" s="332" t="s">
        <v>28</v>
      </c>
      <c r="E16" s="333">
        <v>2023</v>
      </c>
      <c r="F16" s="206">
        <v>46254</v>
      </c>
      <c r="G16" s="206">
        <v>46254</v>
      </c>
      <c r="H16" s="220"/>
      <c r="I16" s="220"/>
      <c r="J16" s="221"/>
      <c r="K16" s="201">
        <f t="shared" si="1"/>
        <v>23</v>
      </c>
      <c r="L16" s="201">
        <f t="shared" si="1"/>
        <v>23</v>
      </c>
      <c r="M16" s="205"/>
      <c r="N16" s="205"/>
      <c r="O16" s="222" t="s">
        <v>272</v>
      </c>
      <c r="P16" s="306" t="s">
        <v>48</v>
      </c>
      <c r="Q16" s="251"/>
      <c r="R16" s="252"/>
      <c r="S16" s="253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05"/>
      <c r="B18" s="227"/>
      <c r="C18" s="240"/>
      <c r="D18" s="241"/>
      <c r="E18" s="219"/>
      <c r="F18" s="206"/>
      <c r="G18" s="206"/>
      <c r="H18" s="305"/>
      <c r="I18" s="220"/>
      <c r="J18" s="221"/>
      <c r="K18" s="201"/>
      <c r="L18" s="201"/>
      <c r="M18" s="201"/>
      <c r="N18" s="201"/>
      <c r="O18" s="222"/>
      <c r="P18" s="260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2">$F$1-F20</f>
        <v>114</v>
      </c>
      <c r="L20" s="201">
        <f t="shared" si="2"/>
        <v>114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57</v>
      </c>
      <c r="L21" s="201">
        <f t="shared" si="2"/>
        <v>57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2"/>
        <v>44</v>
      </c>
      <c r="L22" s="201">
        <f t="shared" si="2"/>
        <v>44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8E91-D25D-4258-B083-FB0F0B13E2D4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46278</v>
      </c>
      <c r="G1" s="206">
        <v>46278</v>
      </c>
      <c r="H1" s="206">
        <v>46278</v>
      </c>
      <c r="I1" s="206">
        <v>46278</v>
      </c>
      <c r="J1" s="206">
        <v>46278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4" t="s">
        <v>7</v>
      </c>
      <c r="L3" s="384" t="s">
        <v>19</v>
      </c>
      <c r="M3" s="384" t="s">
        <v>20</v>
      </c>
      <c r="N3" s="384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285</v>
      </c>
      <c r="C5" s="331" t="s">
        <v>34</v>
      </c>
      <c r="D5" s="332" t="s">
        <v>286</v>
      </c>
      <c r="E5" s="333">
        <v>2014</v>
      </c>
      <c r="F5" s="206">
        <v>46264</v>
      </c>
      <c r="G5" s="206">
        <v>46264</v>
      </c>
      <c r="H5" s="312"/>
      <c r="I5" s="335"/>
      <c r="J5" s="336"/>
      <c r="K5" s="205">
        <f t="shared" ref="K5:L6" si="0">$F$1-F5</f>
        <v>14</v>
      </c>
      <c r="L5" s="205">
        <f t="shared" si="0"/>
        <v>14</v>
      </c>
      <c r="M5" s="205"/>
      <c r="N5" s="205"/>
      <c r="O5" s="222" t="s">
        <v>284</v>
      </c>
      <c r="P5" s="216" t="s">
        <v>26</v>
      </c>
      <c r="Q5" s="223" t="s">
        <v>251</v>
      </c>
      <c r="R5" s="306" t="s">
        <v>30</v>
      </c>
      <c r="S5" s="225"/>
    </row>
    <row r="6" spans="1:66" s="226" customFormat="1" x14ac:dyDescent="0.3">
      <c r="A6" s="249">
        <v>2</v>
      </c>
      <c r="B6" s="216" t="s">
        <v>305</v>
      </c>
      <c r="C6" s="331" t="s">
        <v>34</v>
      </c>
      <c r="D6" s="332" t="s">
        <v>290</v>
      </c>
      <c r="E6" s="333">
        <v>2014</v>
      </c>
      <c r="F6" s="206">
        <v>46269</v>
      </c>
      <c r="G6" s="206">
        <v>46269</v>
      </c>
      <c r="H6" s="312"/>
      <c r="I6" s="335"/>
      <c r="J6" s="336"/>
      <c r="K6" s="205">
        <f t="shared" si="0"/>
        <v>9</v>
      </c>
      <c r="L6" s="205">
        <f t="shared" si="0"/>
        <v>9</v>
      </c>
      <c r="M6" s="205"/>
      <c r="N6" s="205"/>
      <c r="O6" s="222" t="s">
        <v>309</v>
      </c>
      <c r="P6" s="306" t="s">
        <v>300</v>
      </c>
      <c r="Q6" s="216"/>
      <c r="R6" s="306" t="s">
        <v>240</v>
      </c>
      <c r="S6" s="225"/>
    </row>
    <row r="7" spans="1:66" s="226" customFormat="1" x14ac:dyDescent="0.3">
      <c r="A7" s="249"/>
      <c r="B7" s="223"/>
      <c r="C7" s="337"/>
      <c r="D7" s="338"/>
      <c r="E7" s="339"/>
      <c r="F7" s="340"/>
      <c r="G7" s="340"/>
      <c r="H7" s="296"/>
      <c r="I7" s="341"/>
      <c r="J7" s="342"/>
      <c r="K7" s="343"/>
      <c r="L7" s="343"/>
      <c r="M7" s="343"/>
      <c r="N7" s="343"/>
      <c r="O7" s="238"/>
      <c r="P7" s="216"/>
      <c r="Q7" s="223"/>
      <c r="R7" s="306" t="s">
        <v>299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23"/>
      <c r="R8" s="216" t="s">
        <v>303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 t="s">
        <v>304</v>
      </c>
      <c r="S9" s="225"/>
    </row>
    <row r="10" spans="1:66" s="226" customFormat="1" x14ac:dyDescent="0.3">
      <c r="A10" s="249"/>
      <c r="B10" s="308"/>
      <c r="C10" s="217"/>
      <c r="D10" s="218"/>
      <c r="E10" s="219"/>
      <c r="F10" s="315"/>
      <c r="G10" s="315"/>
      <c r="H10" s="298"/>
      <c r="I10" s="378"/>
      <c r="J10" s="379"/>
      <c r="K10" s="343"/>
      <c r="L10" s="343"/>
      <c r="M10" s="380"/>
      <c r="N10" s="380"/>
      <c r="O10" s="320"/>
      <c r="P10" s="223"/>
      <c r="Q10" s="223"/>
      <c r="R10" s="239" t="s">
        <v>26</v>
      </c>
      <c r="S10" s="225"/>
    </row>
    <row r="11" spans="1:66" s="226" customFormat="1" x14ac:dyDescent="0.3">
      <c r="A11" s="344"/>
      <c r="B11" s="223"/>
      <c r="C11" s="337"/>
      <c r="D11" s="338"/>
      <c r="E11" s="339"/>
      <c r="F11" s="234"/>
      <c r="G11" s="234"/>
      <c r="H11" s="298"/>
      <c r="I11" s="341"/>
      <c r="J11" s="342"/>
      <c r="K11" s="343"/>
      <c r="L11" s="343"/>
      <c r="M11" s="343"/>
      <c r="N11" s="343"/>
      <c r="O11" s="238"/>
      <c r="P11" s="283"/>
      <c r="Q11" s="223"/>
      <c r="R11" s="216" t="s">
        <v>153</v>
      </c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24"/>
      <c r="C13" s="240"/>
      <c r="D13" s="241"/>
      <c r="E13" s="219"/>
      <c r="F13" s="206"/>
      <c r="G13" s="206"/>
      <c r="H13" s="220"/>
      <c r="I13" s="220"/>
      <c r="J13" s="221"/>
      <c r="K13" s="201"/>
      <c r="L13" s="201"/>
      <c r="M13" s="201"/>
      <c r="N13" s="201"/>
      <c r="O13" s="222"/>
      <c r="P13" s="250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>
        <v>1</v>
      </c>
      <c r="B15" s="216" t="s">
        <v>85</v>
      </c>
      <c r="C15" s="331" t="s">
        <v>29</v>
      </c>
      <c r="D15" s="332" t="s">
        <v>28</v>
      </c>
      <c r="E15" s="333">
        <v>2023</v>
      </c>
      <c r="F15" s="334">
        <v>46238</v>
      </c>
      <c r="G15" s="334">
        <v>46238</v>
      </c>
      <c r="H15" s="312"/>
      <c r="I15" s="335"/>
      <c r="J15" s="336"/>
      <c r="K15" s="205">
        <f t="shared" ref="K15:L17" si="1">$F$1-F15</f>
        <v>40</v>
      </c>
      <c r="L15" s="205">
        <f t="shared" si="1"/>
        <v>40</v>
      </c>
      <c r="M15" s="205"/>
      <c r="N15" s="205"/>
      <c r="O15" s="222" t="s">
        <v>277</v>
      </c>
      <c r="P15" s="239" t="s">
        <v>235</v>
      </c>
      <c r="Q15" s="251"/>
      <c r="R15" s="239"/>
      <c r="S15" s="253"/>
    </row>
    <row r="16" spans="1:66" s="226" customFormat="1" ht="13.95" customHeight="1" x14ac:dyDescent="0.3">
      <c r="A16" s="249">
        <v>2</v>
      </c>
      <c r="B16" s="216" t="s">
        <v>256</v>
      </c>
      <c r="C16" s="331" t="s">
        <v>32</v>
      </c>
      <c r="D16" s="332" t="s">
        <v>28</v>
      </c>
      <c r="E16" s="333">
        <v>2020</v>
      </c>
      <c r="F16" s="334">
        <v>46237</v>
      </c>
      <c r="G16" s="334">
        <v>46237</v>
      </c>
      <c r="H16" s="310"/>
      <c r="I16" s="335"/>
      <c r="J16" s="336"/>
      <c r="K16" s="205">
        <f t="shared" si="1"/>
        <v>41</v>
      </c>
      <c r="L16" s="205">
        <f t="shared" si="1"/>
        <v>41</v>
      </c>
      <c r="M16" s="205"/>
      <c r="N16" s="205"/>
      <c r="O16" s="222" t="s">
        <v>271</v>
      </c>
      <c r="P16" s="306" t="s">
        <v>45</v>
      </c>
      <c r="Q16" s="251"/>
      <c r="R16" s="252"/>
      <c r="S16" s="253"/>
    </row>
    <row r="17" spans="1:66" s="226" customFormat="1" ht="31.95" customHeight="1" x14ac:dyDescent="0.3">
      <c r="A17" s="249">
        <v>3</v>
      </c>
      <c r="B17" s="260" t="s">
        <v>65</v>
      </c>
      <c r="C17" s="331" t="s">
        <v>29</v>
      </c>
      <c r="D17" s="332" t="s">
        <v>28</v>
      </c>
      <c r="E17" s="333">
        <v>2023</v>
      </c>
      <c r="F17" s="206">
        <v>46254</v>
      </c>
      <c r="G17" s="206">
        <v>46254</v>
      </c>
      <c r="H17" s="220"/>
      <c r="I17" s="220"/>
      <c r="J17" s="221"/>
      <c r="K17" s="201">
        <f t="shared" si="1"/>
        <v>24</v>
      </c>
      <c r="L17" s="201">
        <f t="shared" si="1"/>
        <v>24</v>
      </c>
      <c r="M17" s="205"/>
      <c r="N17" s="205"/>
      <c r="O17" s="222" t="s">
        <v>272</v>
      </c>
      <c r="P17" s="306" t="s">
        <v>48</v>
      </c>
      <c r="Q17" s="251"/>
      <c r="R17" s="252"/>
      <c r="S17" s="253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27"/>
      <c r="C19" s="240"/>
      <c r="D19" s="241"/>
      <c r="E19" s="219"/>
      <c r="F19" s="206"/>
      <c r="G19" s="206"/>
      <c r="H19" s="305"/>
      <c r="I19" s="220"/>
      <c r="J19" s="221"/>
      <c r="K19" s="201"/>
      <c r="L19" s="201"/>
      <c r="M19" s="201"/>
      <c r="N19" s="201"/>
      <c r="O19" s="222"/>
      <c r="P19" s="260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2">$F$1-F21</f>
        <v>115</v>
      </c>
      <c r="L21" s="201">
        <f t="shared" si="2"/>
        <v>115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2"/>
        <v>58</v>
      </c>
      <c r="L22" s="201">
        <f t="shared" si="2"/>
        <v>58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2"/>
        <v>45</v>
      </c>
      <c r="L23" s="201">
        <f t="shared" si="2"/>
        <v>45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0630-5B21-4037-990A-B36DE021DD66}">
  <dimension ref="A1:BN25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46279</v>
      </c>
      <c r="G1" s="206">
        <v>46279</v>
      </c>
      <c r="H1" s="206">
        <v>46279</v>
      </c>
      <c r="I1" s="206">
        <v>46279</v>
      </c>
      <c r="J1" s="206">
        <v>46279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5" t="s">
        <v>7</v>
      </c>
      <c r="L3" s="385" t="s">
        <v>19</v>
      </c>
      <c r="M3" s="385" t="s">
        <v>20</v>
      </c>
      <c r="N3" s="38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215</v>
      </c>
      <c r="C5" s="331" t="s">
        <v>216</v>
      </c>
      <c r="D5" s="332" t="s">
        <v>74</v>
      </c>
      <c r="E5" s="333">
        <v>2022</v>
      </c>
      <c r="F5" s="206">
        <v>46279</v>
      </c>
      <c r="G5" s="206">
        <v>46279</v>
      </c>
      <c r="H5" s="312"/>
      <c r="I5" s="335"/>
      <c r="J5" s="336"/>
      <c r="K5" s="205">
        <f t="shared" ref="K5:L5" si="0">$F$1-F5</f>
        <v>0</v>
      </c>
      <c r="L5" s="205">
        <f t="shared" si="0"/>
        <v>0</v>
      </c>
      <c r="M5" s="205"/>
      <c r="N5" s="205"/>
      <c r="O5" s="222" t="s">
        <v>313</v>
      </c>
      <c r="P5" s="216" t="s">
        <v>153</v>
      </c>
      <c r="Q5" s="223"/>
      <c r="R5" s="30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206"/>
      <c r="G6" s="206"/>
      <c r="H6" s="312"/>
      <c r="I6" s="335"/>
      <c r="J6" s="336"/>
      <c r="K6" s="205"/>
      <c r="L6" s="205"/>
      <c r="M6" s="205"/>
      <c r="N6" s="205"/>
      <c r="O6" s="222"/>
      <c r="P6" s="306"/>
      <c r="Q6" s="216"/>
      <c r="R6" s="306" t="s">
        <v>240</v>
      </c>
      <c r="S6" s="225"/>
    </row>
    <row r="7" spans="1:66" s="226" customFormat="1" x14ac:dyDescent="0.3">
      <c r="A7" s="249"/>
      <c r="B7" s="223"/>
      <c r="C7" s="337"/>
      <c r="D7" s="338"/>
      <c r="E7" s="339"/>
      <c r="F7" s="340"/>
      <c r="G7" s="340"/>
      <c r="H7" s="296"/>
      <c r="I7" s="341"/>
      <c r="J7" s="342"/>
      <c r="K7" s="343"/>
      <c r="L7" s="343"/>
      <c r="M7" s="343"/>
      <c r="N7" s="343"/>
      <c r="O7" s="238"/>
      <c r="P7" s="216"/>
      <c r="Q7" s="223"/>
      <c r="R7" s="306" t="s">
        <v>299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23"/>
      <c r="R8" s="216" t="s">
        <v>303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 t="s">
        <v>304</v>
      </c>
      <c r="S9" s="225"/>
    </row>
    <row r="10" spans="1:66" s="226" customFormat="1" x14ac:dyDescent="0.3">
      <c r="A10" s="249"/>
      <c r="B10" s="308"/>
      <c r="C10" s="217"/>
      <c r="D10" s="218"/>
      <c r="E10" s="219"/>
      <c r="F10" s="315"/>
      <c r="G10" s="315"/>
      <c r="H10" s="298"/>
      <c r="I10" s="378"/>
      <c r="J10" s="379"/>
      <c r="K10" s="343"/>
      <c r="L10" s="343"/>
      <c r="M10" s="380"/>
      <c r="N10" s="380"/>
      <c r="O10" s="320"/>
      <c r="P10" s="223"/>
      <c r="Q10" s="223"/>
      <c r="R10" s="239" t="s">
        <v>26</v>
      </c>
      <c r="S10" s="225"/>
    </row>
    <row r="11" spans="1:66" s="226" customFormat="1" x14ac:dyDescent="0.3">
      <c r="A11" s="344"/>
      <c r="B11" s="223"/>
      <c r="C11" s="337"/>
      <c r="D11" s="338"/>
      <c r="E11" s="339"/>
      <c r="F11" s="234"/>
      <c r="G11" s="234"/>
      <c r="H11" s="298"/>
      <c r="I11" s="341"/>
      <c r="J11" s="342"/>
      <c r="K11" s="343"/>
      <c r="L11" s="343"/>
      <c r="M11" s="343"/>
      <c r="N11" s="343"/>
      <c r="O11" s="238"/>
      <c r="P11" s="283"/>
      <c r="Q11" s="223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K14" si="1">$F$1-F13</f>
        <v>15</v>
      </c>
      <c r="L13" s="205">
        <f t="shared" ref="L13:L14" si="2">$F$1-G13</f>
        <v>15</v>
      </c>
      <c r="M13" s="205"/>
      <c r="N13" s="205"/>
      <c r="O13" s="222" t="s">
        <v>312</v>
      </c>
      <c r="P13" s="216" t="s">
        <v>26</v>
      </c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10</v>
      </c>
      <c r="L14" s="205">
        <f t="shared" si="2"/>
        <v>10</v>
      </c>
      <c r="M14" s="205"/>
      <c r="N14" s="205"/>
      <c r="O14" s="222" t="s">
        <v>311</v>
      </c>
      <c r="P14" s="306" t="s">
        <v>300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85</v>
      </c>
      <c r="C16" s="331" t="s">
        <v>29</v>
      </c>
      <c r="D16" s="332" t="s">
        <v>28</v>
      </c>
      <c r="E16" s="333">
        <v>2023</v>
      </c>
      <c r="F16" s="334">
        <v>46238</v>
      </c>
      <c r="G16" s="334">
        <v>46238</v>
      </c>
      <c r="H16" s="312"/>
      <c r="I16" s="335"/>
      <c r="J16" s="336"/>
      <c r="K16" s="205">
        <f t="shared" ref="K16:L18" si="3">$F$1-F16</f>
        <v>41</v>
      </c>
      <c r="L16" s="205">
        <f t="shared" si="3"/>
        <v>41</v>
      </c>
      <c r="M16" s="205"/>
      <c r="N16" s="205"/>
      <c r="O16" s="222" t="s">
        <v>277</v>
      </c>
      <c r="P16" s="239" t="s">
        <v>235</v>
      </c>
      <c r="Q16" s="251"/>
      <c r="R16" s="239"/>
      <c r="S16" s="253"/>
    </row>
    <row r="17" spans="1:66" s="226" customFormat="1" ht="13.95" customHeight="1" x14ac:dyDescent="0.3">
      <c r="A17" s="249">
        <v>2</v>
      </c>
      <c r="B17" s="216" t="s">
        <v>256</v>
      </c>
      <c r="C17" s="331" t="s">
        <v>32</v>
      </c>
      <c r="D17" s="332" t="s">
        <v>28</v>
      </c>
      <c r="E17" s="333">
        <v>2020</v>
      </c>
      <c r="F17" s="334">
        <v>46237</v>
      </c>
      <c r="G17" s="334">
        <v>46237</v>
      </c>
      <c r="H17" s="310"/>
      <c r="I17" s="335"/>
      <c r="J17" s="336"/>
      <c r="K17" s="205">
        <f t="shared" si="3"/>
        <v>42</v>
      </c>
      <c r="L17" s="205">
        <f t="shared" si="3"/>
        <v>42</v>
      </c>
      <c r="M17" s="205"/>
      <c r="N17" s="205"/>
      <c r="O17" s="222" t="s">
        <v>271</v>
      </c>
      <c r="P17" s="306" t="s">
        <v>45</v>
      </c>
      <c r="Q17" s="251"/>
      <c r="R17" s="252"/>
      <c r="S17" s="253"/>
    </row>
    <row r="18" spans="1:66" s="226" customFormat="1" ht="31.95" customHeight="1" x14ac:dyDescent="0.3">
      <c r="A18" s="249">
        <v>3</v>
      </c>
      <c r="B18" s="260" t="s">
        <v>65</v>
      </c>
      <c r="C18" s="331" t="s">
        <v>29</v>
      </c>
      <c r="D18" s="332" t="s">
        <v>28</v>
      </c>
      <c r="E18" s="333">
        <v>2023</v>
      </c>
      <c r="F18" s="206">
        <v>46254</v>
      </c>
      <c r="G18" s="206">
        <v>46254</v>
      </c>
      <c r="H18" s="220"/>
      <c r="I18" s="220"/>
      <c r="J18" s="221"/>
      <c r="K18" s="201">
        <f t="shared" si="3"/>
        <v>25</v>
      </c>
      <c r="L18" s="201">
        <f t="shared" si="3"/>
        <v>25</v>
      </c>
      <c r="M18" s="205"/>
      <c r="N18" s="205"/>
      <c r="O18" s="222" t="s">
        <v>272</v>
      </c>
      <c r="P18" s="306" t="s">
        <v>48</v>
      </c>
      <c r="Q18" s="251"/>
      <c r="R18" s="252"/>
      <c r="S18" s="253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37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13.95" customHeight="1" x14ac:dyDescent="0.3">
      <c r="A20" s="205"/>
      <c r="B20" s="227"/>
      <c r="C20" s="240"/>
      <c r="D20" s="241"/>
      <c r="E20" s="219"/>
      <c r="F20" s="206"/>
      <c r="G20" s="206"/>
      <c r="H20" s="305"/>
      <c r="I20" s="220"/>
      <c r="J20" s="221"/>
      <c r="K20" s="201"/>
      <c r="L20" s="201"/>
      <c r="M20" s="201"/>
      <c r="N20" s="201"/>
      <c r="O20" s="222"/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 t="s">
        <v>38</v>
      </c>
      <c r="P21" s="268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  <row r="22" spans="1:66" s="226" customFormat="1" ht="27" customHeight="1" x14ac:dyDescent="0.3">
      <c r="A22" s="205">
        <v>1</v>
      </c>
      <c r="B22" s="216" t="s">
        <v>116</v>
      </c>
      <c r="C22" s="240" t="s">
        <v>32</v>
      </c>
      <c r="D22" s="241" t="s">
        <v>28</v>
      </c>
      <c r="E22" s="219">
        <v>2010</v>
      </c>
      <c r="F22" s="206">
        <v>46163</v>
      </c>
      <c r="G22" s="206">
        <v>46163</v>
      </c>
      <c r="H22" s="220"/>
      <c r="I22" s="220"/>
      <c r="J22" s="221"/>
      <c r="K22" s="201">
        <f t="shared" ref="K22:L24" si="4">$F$1-F22</f>
        <v>116</v>
      </c>
      <c r="L22" s="201">
        <f t="shared" si="4"/>
        <v>116</v>
      </c>
      <c r="M22" s="201"/>
      <c r="N22" s="201"/>
      <c r="O22" s="222" t="s">
        <v>267</v>
      </c>
      <c r="Q22" s="275"/>
      <c r="R22" s="239"/>
      <c r="S22" s="276"/>
    </row>
    <row r="23" spans="1:66" s="226" customFormat="1" ht="27" customHeight="1" x14ac:dyDescent="0.3">
      <c r="A23" s="215">
        <v>2</v>
      </c>
      <c r="B23" s="239" t="s">
        <v>10</v>
      </c>
      <c r="C23" s="217" t="s">
        <v>32</v>
      </c>
      <c r="D23" s="218" t="s">
        <v>28</v>
      </c>
      <c r="E23" s="219">
        <v>2010</v>
      </c>
      <c r="F23" s="206">
        <v>46220</v>
      </c>
      <c r="G23" s="206">
        <v>46220</v>
      </c>
      <c r="H23" s="220"/>
      <c r="I23" s="220"/>
      <c r="J23" s="221"/>
      <c r="K23" s="201">
        <f t="shared" si="4"/>
        <v>59</v>
      </c>
      <c r="L23" s="201">
        <f t="shared" si="4"/>
        <v>59</v>
      </c>
      <c r="M23" s="201"/>
      <c r="N23" s="201"/>
      <c r="O23" s="222" t="s">
        <v>225</v>
      </c>
      <c r="P23" s="227"/>
      <c r="Q23" s="275"/>
      <c r="R23" s="239"/>
      <c r="S23" s="276"/>
    </row>
    <row r="24" spans="1:66" s="226" customFormat="1" ht="13.95" customHeight="1" x14ac:dyDescent="0.3">
      <c r="A24" s="205">
        <v>3</v>
      </c>
      <c r="B24" s="227" t="s">
        <v>9</v>
      </c>
      <c r="C24" s="240" t="s">
        <v>32</v>
      </c>
      <c r="D24" s="241" t="s">
        <v>28</v>
      </c>
      <c r="E24" s="219">
        <v>2010</v>
      </c>
      <c r="F24" s="206">
        <v>46233</v>
      </c>
      <c r="G24" s="206">
        <v>46233</v>
      </c>
      <c r="H24" s="305"/>
      <c r="I24" s="220"/>
      <c r="J24" s="221"/>
      <c r="K24" s="201">
        <f t="shared" si="4"/>
        <v>46</v>
      </c>
      <c r="L24" s="201">
        <f t="shared" si="4"/>
        <v>46</v>
      </c>
      <c r="M24" s="201"/>
      <c r="N24" s="201"/>
      <c r="O24" s="222" t="s">
        <v>244</v>
      </c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/>
      <c r="P25" s="267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CEF5-13E6-4018-9184-DE74C0D728EA}">
  <dimension ref="A1:BN26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46280</v>
      </c>
      <c r="G1" s="206">
        <v>46280</v>
      </c>
      <c r="H1" s="206">
        <v>46280</v>
      </c>
      <c r="I1" s="206">
        <v>46280</v>
      </c>
      <c r="J1" s="206">
        <v>46280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6" t="s">
        <v>7</v>
      </c>
      <c r="L3" s="386" t="s">
        <v>19</v>
      </c>
      <c r="M3" s="386" t="s">
        <v>20</v>
      </c>
      <c r="N3" s="38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23" t="s">
        <v>45</v>
      </c>
      <c r="C5" s="337" t="s">
        <v>29</v>
      </c>
      <c r="D5" s="338" t="s">
        <v>28</v>
      </c>
      <c r="E5" s="339">
        <v>2023</v>
      </c>
      <c r="F5" s="234">
        <v>46280</v>
      </c>
      <c r="G5" s="234">
        <v>46280</v>
      </c>
      <c r="H5" s="296"/>
      <c r="I5" s="341"/>
      <c r="J5" s="342"/>
      <c r="K5" s="343">
        <f t="shared" ref="K5:L5" si="0">$F$1-F5</f>
        <v>0</v>
      </c>
      <c r="L5" s="343">
        <f t="shared" si="0"/>
        <v>0</v>
      </c>
      <c r="M5" s="343"/>
      <c r="N5" s="343"/>
      <c r="O5" s="238" t="s">
        <v>314</v>
      </c>
      <c r="P5" s="216" t="s">
        <v>303</v>
      </c>
      <c r="Q5" s="223"/>
      <c r="R5" s="30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206"/>
      <c r="G6" s="206"/>
      <c r="H6" s="312"/>
      <c r="I6" s="335"/>
      <c r="J6" s="336"/>
      <c r="K6" s="205"/>
      <c r="L6" s="205"/>
      <c r="M6" s="205"/>
      <c r="N6" s="205"/>
      <c r="O6" s="222"/>
      <c r="P6" s="306"/>
      <c r="Q6" s="216"/>
      <c r="R6" s="306" t="s">
        <v>240</v>
      </c>
      <c r="S6" s="225"/>
    </row>
    <row r="7" spans="1:66" s="226" customFormat="1" x14ac:dyDescent="0.3">
      <c r="A7" s="249"/>
      <c r="B7" s="223"/>
      <c r="C7" s="337"/>
      <c r="D7" s="338"/>
      <c r="E7" s="339"/>
      <c r="F7" s="340"/>
      <c r="G7" s="340"/>
      <c r="H7" s="296"/>
      <c r="I7" s="341"/>
      <c r="J7" s="342"/>
      <c r="K7" s="343"/>
      <c r="L7" s="343"/>
      <c r="M7" s="343"/>
      <c r="N7" s="343"/>
      <c r="O7" s="238"/>
      <c r="P7" s="216"/>
      <c r="Q7" s="223"/>
      <c r="R7" s="306" t="s">
        <v>299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23"/>
      <c r="R8" s="216" t="s">
        <v>275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 t="s">
        <v>304</v>
      </c>
      <c r="S9" s="225"/>
    </row>
    <row r="10" spans="1:66" s="226" customFormat="1" x14ac:dyDescent="0.3">
      <c r="A10" s="249"/>
      <c r="B10" s="308"/>
      <c r="C10" s="217"/>
      <c r="D10" s="218"/>
      <c r="E10" s="219"/>
      <c r="F10" s="315"/>
      <c r="G10" s="315"/>
      <c r="H10" s="298"/>
      <c r="I10" s="378"/>
      <c r="J10" s="379"/>
      <c r="K10" s="343"/>
      <c r="L10" s="343"/>
      <c r="M10" s="380"/>
      <c r="N10" s="380"/>
      <c r="O10" s="320"/>
      <c r="P10" s="223"/>
      <c r="Q10" s="223"/>
      <c r="R10" s="239" t="s">
        <v>26</v>
      </c>
      <c r="S10" s="225"/>
    </row>
    <row r="11" spans="1:66" s="226" customFormat="1" x14ac:dyDescent="0.3">
      <c r="A11" s="344"/>
      <c r="B11" s="223"/>
      <c r="C11" s="337"/>
      <c r="D11" s="338"/>
      <c r="E11" s="339"/>
      <c r="F11" s="234"/>
      <c r="G11" s="234"/>
      <c r="H11" s="298"/>
      <c r="I11" s="341"/>
      <c r="J11" s="342"/>
      <c r="K11" s="343"/>
      <c r="L11" s="343"/>
      <c r="M11" s="343"/>
      <c r="N11" s="343"/>
      <c r="O11" s="238"/>
      <c r="P11" s="283"/>
      <c r="Q11" s="223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16</v>
      </c>
      <c r="L13" s="205">
        <f t="shared" si="1"/>
        <v>16</v>
      </c>
      <c r="M13" s="205"/>
      <c r="N13" s="205"/>
      <c r="O13" s="222" t="s">
        <v>312</v>
      </c>
      <c r="P13" s="216" t="s">
        <v>26</v>
      </c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11</v>
      </c>
      <c r="L14" s="205">
        <f t="shared" si="1"/>
        <v>11</v>
      </c>
      <c r="M14" s="205"/>
      <c r="N14" s="205"/>
      <c r="O14" s="222" t="s">
        <v>311</v>
      </c>
      <c r="P14" s="306" t="s">
        <v>300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85</v>
      </c>
      <c r="C16" s="331" t="s">
        <v>29</v>
      </c>
      <c r="D16" s="332" t="s">
        <v>28</v>
      </c>
      <c r="E16" s="333">
        <v>2023</v>
      </c>
      <c r="F16" s="334">
        <v>46238</v>
      </c>
      <c r="G16" s="334">
        <v>46238</v>
      </c>
      <c r="H16" s="312"/>
      <c r="I16" s="335"/>
      <c r="J16" s="336"/>
      <c r="K16" s="205">
        <f t="shared" ref="K16:L18" si="2">$F$1-F16</f>
        <v>42</v>
      </c>
      <c r="L16" s="205">
        <f t="shared" si="2"/>
        <v>42</v>
      </c>
      <c r="M16" s="205"/>
      <c r="N16" s="205"/>
      <c r="O16" s="222" t="s">
        <v>277</v>
      </c>
      <c r="P16" s="239" t="s">
        <v>235</v>
      </c>
      <c r="Q16" s="251"/>
      <c r="R16" s="239"/>
      <c r="S16" s="253"/>
    </row>
    <row r="17" spans="1:66" s="226" customFormat="1" ht="13.95" customHeight="1" x14ac:dyDescent="0.3">
      <c r="A17" s="249">
        <v>2</v>
      </c>
      <c r="B17" s="216" t="s">
        <v>256</v>
      </c>
      <c r="C17" s="331" t="s">
        <v>32</v>
      </c>
      <c r="D17" s="332" t="s">
        <v>28</v>
      </c>
      <c r="E17" s="333">
        <v>2020</v>
      </c>
      <c r="F17" s="334">
        <v>46237</v>
      </c>
      <c r="G17" s="334">
        <v>46237</v>
      </c>
      <c r="H17" s="310"/>
      <c r="I17" s="335"/>
      <c r="J17" s="336"/>
      <c r="K17" s="205">
        <f t="shared" si="2"/>
        <v>43</v>
      </c>
      <c r="L17" s="205">
        <f t="shared" si="2"/>
        <v>43</v>
      </c>
      <c r="M17" s="205"/>
      <c r="N17" s="205"/>
      <c r="O17" s="222" t="s">
        <v>271</v>
      </c>
      <c r="P17" s="306" t="s">
        <v>45</v>
      </c>
      <c r="Q17" s="251"/>
      <c r="R17" s="252"/>
      <c r="S17" s="253"/>
    </row>
    <row r="18" spans="1:66" s="226" customFormat="1" ht="31.95" customHeight="1" x14ac:dyDescent="0.3">
      <c r="A18" s="249">
        <v>3</v>
      </c>
      <c r="B18" s="260" t="s">
        <v>65</v>
      </c>
      <c r="C18" s="331" t="s">
        <v>29</v>
      </c>
      <c r="D18" s="332" t="s">
        <v>28</v>
      </c>
      <c r="E18" s="333">
        <v>2023</v>
      </c>
      <c r="F18" s="206">
        <v>46254</v>
      </c>
      <c r="G18" s="206">
        <v>46254</v>
      </c>
      <c r="H18" s="220"/>
      <c r="I18" s="220"/>
      <c r="J18" s="221"/>
      <c r="K18" s="201">
        <f t="shared" si="2"/>
        <v>26</v>
      </c>
      <c r="L18" s="201">
        <f t="shared" si="2"/>
        <v>26</v>
      </c>
      <c r="M18" s="205"/>
      <c r="N18" s="205"/>
      <c r="O18" s="222" t="s">
        <v>272</v>
      </c>
      <c r="P18" s="306" t="s">
        <v>48</v>
      </c>
      <c r="Q18" s="251"/>
      <c r="R18" s="252"/>
      <c r="S18" s="253"/>
    </row>
    <row r="19" spans="1:66" s="226" customFormat="1" ht="31.95" customHeight="1" x14ac:dyDescent="0.3">
      <c r="A19" s="249">
        <v>4</v>
      </c>
      <c r="B19" s="216" t="s">
        <v>215</v>
      </c>
      <c r="C19" s="331" t="s">
        <v>216</v>
      </c>
      <c r="D19" s="332" t="s">
        <v>74</v>
      </c>
      <c r="E19" s="333">
        <v>2022</v>
      </c>
      <c r="F19" s="206">
        <v>46279</v>
      </c>
      <c r="G19" s="206">
        <v>46279</v>
      </c>
      <c r="H19" s="220"/>
      <c r="I19" s="220"/>
      <c r="J19" s="221"/>
      <c r="K19" s="201">
        <f t="shared" ref="K19" si="3">$F$1-F19</f>
        <v>1</v>
      </c>
      <c r="L19" s="201">
        <f t="shared" ref="L19" si="4">$F$1-G19</f>
        <v>1</v>
      </c>
      <c r="M19" s="205"/>
      <c r="N19" s="205"/>
      <c r="O19" s="222" t="s">
        <v>313</v>
      </c>
      <c r="P19" s="216" t="s">
        <v>153</v>
      </c>
      <c r="Q19" s="251"/>
      <c r="R19" s="252"/>
      <c r="S19" s="253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37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13.95" customHeight="1" x14ac:dyDescent="0.3">
      <c r="A21" s="205"/>
      <c r="B21" s="227"/>
      <c r="C21" s="240"/>
      <c r="D21" s="241"/>
      <c r="E21" s="219"/>
      <c r="F21" s="206"/>
      <c r="G21" s="206"/>
      <c r="H21" s="305"/>
      <c r="I21" s="220"/>
      <c r="J21" s="221"/>
      <c r="K21" s="201"/>
      <c r="L21" s="201"/>
      <c r="M21" s="201"/>
      <c r="N21" s="201"/>
      <c r="O21" s="222"/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 t="s">
        <v>38</v>
      </c>
      <c r="P22" s="268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  <row r="23" spans="1:66" s="226" customFormat="1" ht="27" customHeight="1" x14ac:dyDescent="0.3">
      <c r="A23" s="205">
        <v>1</v>
      </c>
      <c r="B23" s="216" t="s">
        <v>116</v>
      </c>
      <c r="C23" s="240" t="s">
        <v>32</v>
      </c>
      <c r="D23" s="241" t="s">
        <v>28</v>
      </c>
      <c r="E23" s="219">
        <v>2010</v>
      </c>
      <c r="F23" s="206">
        <v>46163</v>
      </c>
      <c r="G23" s="206">
        <v>46163</v>
      </c>
      <c r="H23" s="220"/>
      <c r="I23" s="220"/>
      <c r="J23" s="221"/>
      <c r="K23" s="201">
        <f t="shared" ref="K23:L25" si="5">$F$1-F23</f>
        <v>117</v>
      </c>
      <c r="L23" s="201">
        <f t="shared" si="5"/>
        <v>117</v>
      </c>
      <c r="M23" s="201"/>
      <c r="N23" s="201"/>
      <c r="O23" s="222" t="s">
        <v>267</v>
      </c>
      <c r="Q23" s="275"/>
      <c r="R23" s="239"/>
      <c r="S23" s="276"/>
    </row>
    <row r="24" spans="1:66" s="226" customFormat="1" ht="27" customHeight="1" x14ac:dyDescent="0.3">
      <c r="A24" s="215">
        <v>2</v>
      </c>
      <c r="B24" s="239" t="s">
        <v>10</v>
      </c>
      <c r="C24" s="217" t="s">
        <v>32</v>
      </c>
      <c r="D24" s="218" t="s">
        <v>28</v>
      </c>
      <c r="E24" s="219">
        <v>2010</v>
      </c>
      <c r="F24" s="206">
        <v>46220</v>
      </c>
      <c r="G24" s="206">
        <v>46220</v>
      </c>
      <c r="H24" s="220"/>
      <c r="I24" s="220"/>
      <c r="J24" s="221"/>
      <c r="K24" s="201">
        <f t="shared" si="5"/>
        <v>60</v>
      </c>
      <c r="L24" s="201">
        <f t="shared" si="5"/>
        <v>60</v>
      </c>
      <c r="M24" s="201"/>
      <c r="N24" s="201"/>
      <c r="O24" s="222" t="s">
        <v>225</v>
      </c>
      <c r="P24" s="227"/>
      <c r="Q24" s="275"/>
      <c r="R24" s="239"/>
      <c r="S24" s="276"/>
    </row>
    <row r="25" spans="1:66" s="226" customFormat="1" ht="13.95" customHeight="1" x14ac:dyDescent="0.3">
      <c r="A25" s="205">
        <v>3</v>
      </c>
      <c r="B25" s="227" t="s">
        <v>9</v>
      </c>
      <c r="C25" s="240" t="s">
        <v>32</v>
      </c>
      <c r="D25" s="241" t="s">
        <v>28</v>
      </c>
      <c r="E25" s="219">
        <v>2010</v>
      </c>
      <c r="F25" s="206">
        <v>46233</v>
      </c>
      <c r="G25" s="206">
        <v>46233</v>
      </c>
      <c r="H25" s="305"/>
      <c r="I25" s="220"/>
      <c r="J25" s="221"/>
      <c r="K25" s="201">
        <f t="shared" si="5"/>
        <v>47</v>
      </c>
      <c r="L25" s="201">
        <f t="shared" si="5"/>
        <v>47</v>
      </c>
      <c r="M25" s="201"/>
      <c r="N25" s="201"/>
      <c r="O25" s="222" t="s">
        <v>244</v>
      </c>
      <c r="P25" s="260"/>
      <c r="Q25" s="275"/>
      <c r="R25" s="239"/>
      <c r="S25" s="276"/>
    </row>
    <row r="26" spans="1:66" s="259" customFormat="1" ht="13.95" customHeight="1" x14ac:dyDescent="0.3">
      <c r="A26" s="261"/>
      <c r="B26" s="262"/>
      <c r="C26" s="263"/>
      <c r="D26" s="262"/>
      <c r="E26" s="264"/>
      <c r="F26" s="265"/>
      <c r="G26" s="265"/>
      <c r="H26" s="265"/>
      <c r="I26" s="265"/>
      <c r="J26" s="265"/>
      <c r="K26" s="266"/>
      <c r="L26" s="265"/>
      <c r="M26" s="265"/>
      <c r="N26" s="265"/>
      <c r="O26" s="267"/>
      <c r="P26" s="267"/>
      <c r="Q26" s="268"/>
      <c r="R26" s="269"/>
      <c r="S26" s="267"/>
      <c r="T26" s="226"/>
      <c r="U26" s="226"/>
      <c r="V26" s="226"/>
      <c r="W26" s="226"/>
      <c r="X26" s="226"/>
      <c r="Y26" s="226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BFA1E-B6F4-4960-A9D5-AAD62391A6DF}">
  <dimension ref="A1:BN25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46281</v>
      </c>
      <c r="G1" s="206">
        <v>46281</v>
      </c>
      <c r="H1" s="206">
        <v>46281</v>
      </c>
      <c r="I1" s="206">
        <v>46281</v>
      </c>
      <c r="J1" s="206">
        <v>46281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7" t="s">
        <v>7</v>
      </c>
      <c r="L3" s="387" t="s">
        <v>19</v>
      </c>
      <c r="M3" s="387" t="s">
        <v>20</v>
      </c>
      <c r="N3" s="38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1</v>
      </c>
      <c r="L5" s="205">
        <f t="shared" si="0"/>
        <v>1</v>
      </c>
      <c r="M5" s="205"/>
      <c r="N5" s="205"/>
      <c r="O5" s="222" t="s">
        <v>314</v>
      </c>
      <c r="P5" s="216" t="s">
        <v>303</v>
      </c>
      <c r="Q5" s="216" t="s">
        <v>275</v>
      </c>
      <c r="R5" s="30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206"/>
      <c r="G6" s="206"/>
      <c r="H6" s="312"/>
      <c r="I6" s="335"/>
      <c r="J6" s="336"/>
      <c r="K6" s="205"/>
      <c r="L6" s="205"/>
      <c r="M6" s="205"/>
      <c r="N6" s="205"/>
      <c r="O6" s="222"/>
      <c r="P6" s="306"/>
      <c r="Q6" s="216" t="s">
        <v>215</v>
      </c>
      <c r="R6" s="306" t="s">
        <v>240</v>
      </c>
      <c r="S6" s="225"/>
    </row>
    <row r="7" spans="1:66" s="226" customFormat="1" x14ac:dyDescent="0.3">
      <c r="A7" s="249"/>
      <c r="B7" s="223"/>
      <c r="C7" s="337"/>
      <c r="D7" s="338"/>
      <c r="E7" s="339"/>
      <c r="F7" s="340"/>
      <c r="G7" s="340"/>
      <c r="H7" s="296"/>
      <c r="I7" s="341"/>
      <c r="J7" s="342"/>
      <c r="K7" s="343"/>
      <c r="L7" s="343"/>
      <c r="M7" s="343"/>
      <c r="N7" s="343"/>
      <c r="O7" s="238"/>
      <c r="P7" s="216"/>
      <c r="Q7" s="223"/>
      <c r="R7" s="306" t="s">
        <v>299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23"/>
      <c r="R8" s="216" t="s">
        <v>153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 t="s">
        <v>304</v>
      </c>
      <c r="S9" s="225"/>
    </row>
    <row r="10" spans="1:66" s="226" customFormat="1" x14ac:dyDescent="0.3">
      <c r="A10" s="249"/>
      <c r="B10" s="308"/>
      <c r="C10" s="217"/>
      <c r="D10" s="218"/>
      <c r="E10" s="219"/>
      <c r="F10" s="315"/>
      <c r="G10" s="315"/>
      <c r="H10" s="298"/>
      <c r="I10" s="378"/>
      <c r="J10" s="379"/>
      <c r="K10" s="343"/>
      <c r="L10" s="343"/>
      <c r="M10" s="380"/>
      <c r="N10" s="380"/>
      <c r="O10" s="320"/>
      <c r="P10" s="223"/>
      <c r="Q10" s="223"/>
      <c r="R10" s="239" t="s">
        <v>26</v>
      </c>
      <c r="S10" s="225"/>
    </row>
    <row r="11" spans="1:66" s="226" customFormat="1" x14ac:dyDescent="0.3">
      <c r="A11" s="344"/>
      <c r="B11" s="223"/>
      <c r="C11" s="337"/>
      <c r="D11" s="338"/>
      <c r="E11" s="339"/>
      <c r="F11" s="234"/>
      <c r="G11" s="234"/>
      <c r="H11" s="298"/>
      <c r="I11" s="341"/>
      <c r="J11" s="342"/>
      <c r="K11" s="343"/>
      <c r="L11" s="343"/>
      <c r="M11" s="343"/>
      <c r="N11" s="343"/>
      <c r="O11" s="238"/>
      <c r="P11" s="283"/>
      <c r="Q11" s="223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17</v>
      </c>
      <c r="L13" s="205">
        <f t="shared" si="1"/>
        <v>17</v>
      </c>
      <c r="M13" s="205"/>
      <c r="N13" s="205"/>
      <c r="O13" s="222" t="s">
        <v>312</v>
      </c>
      <c r="P13" s="216" t="s">
        <v>26</v>
      </c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12</v>
      </c>
      <c r="L14" s="205">
        <f t="shared" si="1"/>
        <v>12</v>
      </c>
      <c r="M14" s="205"/>
      <c r="N14" s="205"/>
      <c r="O14" s="222" t="s">
        <v>311</v>
      </c>
      <c r="P14" s="306" t="s">
        <v>300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85</v>
      </c>
      <c r="C16" s="331" t="s">
        <v>29</v>
      </c>
      <c r="D16" s="332" t="s">
        <v>28</v>
      </c>
      <c r="E16" s="333">
        <v>2023</v>
      </c>
      <c r="F16" s="334">
        <v>46238</v>
      </c>
      <c r="G16" s="334">
        <v>46238</v>
      </c>
      <c r="H16" s="312"/>
      <c r="I16" s="335"/>
      <c r="J16" s="336"/>
      <c r="K16" s="205">
        <f t="shared" ref="K16:L18" si="2">$F$1-F16</f>
        <v>43</v>
      </c>
      <c r="L16" s="205">
        <f t="shared" si="2"/>
        <v>43</v>
      </c>
      <c r="M16" s="205"/>
      <c r="N16" s="205"/>
      <c r="O16" s="222" t="s">
        <v>277</v>
      </c>
      <c r="P16" s="239" t="s">
        <v>235</v>
      </c>
      <c r="Q16" s="251"/>
      <c r="R16" s="239"/>
      <c r="S16" s="253"/>
    </row>
    <row r="17" spans="1:66" s="226" customFormat="1" ht="13.95" customHeight="1" x14ac:dyDescent="0.3">
      <c r="A17" s="249">
        <v>2</v>
      </c>
      <c r="B17" s="216" t="s">
        <v>256</v>
      </c>
      <c r="C17" s="331" t="s">
        <v>32</v>
      </c>
      <c r="D17" s="332" t="s">
        <v>28</v>
      </c>
      <c r="E17" s="333">
        <v>2020</v>
      </c>
      <c r="F17" s="334">
        <v>46237</v>
      </c>
      <c r="G17" s="334">
        <v>46237</v>
      </c>
      <c r="H17" s="310"/>
      <c r="I17" s="335"/>
      <c r="J17" s="336"/>
      <c r="K17" s="205">
        <f t="shared" si="2"/>
        <v>44</v>
      </c>
      <c r="L17" s="205">
        <f t="shared" si="2"/>
        <v>44</v>
      </c>
      <c r="M17" s="205"/>
      <c r="N17" s="205"/>
      <c r="O17" s="222" t="s">
        <v>271</v>
      </c>
      <c r="P17" s="306" t="s">
        <v>45</v>
      </c>
      <c r="Q17" s="251"/>
      <c r="R17" s="252"/>
      <c r="S17" s="253"/>
    </row>
    <row r="18" spans="1:66" s="226" customFormat="1" ht="31.95" customHeight="1" x14ac:dyDescent="0.3">
      <c r="A18" s="249">
        <v>3</v>
      </c>
      <c r="B18" s="260" t="s">
        <v>65</v>
      </c>
      <c r="C18" s="331" t="s">
        <v>29</v>
      </c>
      <c r="D18" s="332" t="s">
        <v>28</v>
      </c>
      <c r="E18" s="333">
        <v>2023</v>
      </c>
      <c r="F18" s="206">
        <v>46254</v>
      </c>
      <c r="G18" s="206">
        <v>46254</v>
      </c>
      <c r="H18" s="220"/>
      <c r="I18" s="220"/>
      <c r="J18" s="221"/>
      <c r="K18" s="201">
        <f t="shared" si="2"/>
        <v>27</v>
      </c>
      <c r="L18" s="201">
        <f t="shared" si="2"/>
        <v>27</v>
      </c>
      <c r="M18" s="205"/>
      <c r="N18" s="205"/>
      <c r="O18" s="222" t="s">
        <v>272</v>
      </c>
      <c r="P18" s="306" t="s">
        <v>48</v>
      </c>
      <c r="Q18" s="251"/>
      <c r="R18" s="252"/>
      <c r="S18" s="253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37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13.95" customHeight="1" x14ac:dyDescent="0.3">
      <c r="A20" s="205"/>
      <c r="B20" s="227"/>
      <c r="C20" s="240"/>
      <c r="D20" s="241"/>
      <c r="E20" s="219"/>
      <c r="F20" s="206"/>
      <c r="G20" s="206"/>
      <c r="H20" s="305"/>
      <c r="I20" s="220"/>
      <c r="J20" s="221"/>
      <c r="K20" s="201"/>
      <c r="L20" s="201"/>
      <c r="M20" s="201"/>
      <c r="N20" s="201"/>
      <c r="O20" s="222"/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 t="s">
        <v>38</v>
      </c>
      <c r="P21" s="268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  <row r="22" spans="1:66" s="226" customFormat="1" ht="27" customHeight="1" x14ac:dyDescent="0.3">
      <c r="A22" s="205">
        <v>1</v>
      </c>
      <c r="B22" s="216" t="s">
        <v>116</v>
      </c>
      <c r="C22" s="240" t="s">
        <v>32</v>
      </c>
      <c r="D22" s="241" t="s">
        <v>28</v>
      </c>
      <c r="E22" s="219">
        <v>2010</v>
      </c>
      <c r="F22" s="206">
        <v>46163</v>
      </c>
      <c r="G22" s="206">
        <v>46163</v>
      </c>
      <c r="H22" s="220"/>
      <c r="I22" s="220"/>
      <c r="J22" s="221"/>
      <c r="K22" s="201">
        <f t="shared" ref="K22:L24" si="3">$F$1-F22</f>
        <v>118</v>
      </c>
      <c r="L22" s="201">
        <f t="shared" si="3"/>
        <v>118</v>
      </c>
      <c r="M22" s="201"/>
      <c r="N22" s="201"/>
      <c r="O22" s="222" t="s">
        <v>267</v>
      </c>
      <c r="Q22" s="275"/>
      <c r="R22" s="239"/>
      <c r="S22" s="276"/>
    </row>
    <row r="23" spans="1:66" s="226" customFormat="1" ht="27" customHeight="1" x14ac:dyDescent="0.3">
      <c r="A23" s="215">
        <v>2</v>
      </c>
      <c r="B23" s="239" t="s">
        <v>10</v>
      </c>
      <c r="C23" s="217" t="s">
        <v>32</v>
      </c>
      <c r="D23" s="218" t="s">
        <v>28</v>
      </c>
      <c r="E23" s="219">
        <v>2010</v>
      </c>
      <c r="F23" s="206">
        <v>46220</v>
      </c>
      <c r="G23" s="206">
        <v>46220</v>
      </c>
      <c r="H23" s="220"/>
      <c r="I23" s="220"/>
      <c r="J23" s="221"/>
      <c r="K23" s="201">
        <f t="shared" si="3"/>
        <v>61</v>
      </c>
      <c r="L23" s="201">
        <f t="shared" si="3"/>
        <v>61</v>
      </c>
      <c r="M23" s="201"/>
      <c r="N23" s="201"/>
      <c r="O23" s="222" t="s">
        <v>225</v>
      </c>
      <c r="P23" s="227"/>
      <c r="Q23" s="275"/>
      <c r="R23" s="239"/>
      <c r="S23" s="276"/>
    </row>
    <row r="24" spans="1:66" s="226" customFormat="1" ht="13.95" customHeight="1" x14ac:dyDescent="0.3">
      <c r="A24" s="205">
        <v>3</v>
      </c>
      <c r="B24" s="227" t="s">
        <v>9</v>
      </c>
      <c r="C24" s="240" t="s">
        <v>32</v>
      </c>
      <c r="D24" s="241" t="s">
        <v>28</v>
      </c>
      <c r="E24" s="219">
        <v>2010</v>
      </c>
      <c r="F24" s="206">
        <v>46233</v>
      </c>
      <c r="G24" s="206">
        <v>46233</v>
      </c>
      <c r="H24" s="305"/>
      <c r="I24" s="220"/>
      <c r="J24" s="221"/>
      <c r="K24" s="201">
        <f t="shared" si="3"/>
        <v>48</v>
      </c>
      <c r="L24" s="201">
        <f t="shared" si="3"/>
        <v>48</v>
      </c>
      <c r="M24" s="201"/>
      <c r="N24" s="201"/>
      <c r="O24" s="222" t="s">
        <v>244</v>
      </c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/>
      <c r="P25" s="267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4B91-8E7B-41F2-83AB-AB8F5808A34A}">
  <dimension ref="A1:BN25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46282</v>
      </c>
      <c r="G1" s="206">
        <v>46282</v>
      </c>
      <c r="H1" s="206">
        <v>46282</v>
      </c>
      <c r="I1" s="206">
        <v>46282</v>
      </c>
      <c r="J1" s="206">
        <v>46282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8" t="s">
        <v>7</v>
      </c>
      <c r="L3" s="388" t="s">
        <v>19</v>
      </c>
      <c r="M3" s="388" t="s">
        <v>20</v>
      </c>
      <c r="N3" s="38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2</v>
      </c>
      <c r="L5" s="205">
        <f t="shared" si="0"/>
        <v>2</v>
      </c>
      <c r="M5" s="205"/>
      <c r="N5" s="205"/>
      <c r="O5" s="222" t="s">
        <v>314</v>
      </c>
      <c r="P5" s="216" t="s">
        <v>303</v>
      </c>
      <c r="Q5" s="306" t="s">
        <v>299</v>
      </c>
      <c r="R5" s="306" t="s">
        <v>30</v>
      </c>
      <c r="S5" s="225"/>
    </row>
    <row r="6" spans="1:66" s="226" customFormat="1" x14ac:dyDescent="0.3">
      <c r="A6" s="249">
        <v>2</v>
      </c>
      <c r="B6" s="216" t="s">
        <v>192</v>
      </c>
      <c r="C6" s="331" t="s">
        <v>29</v>
      </c>
      <c r="D6" s="332" t="s">
        <v>28</v>
      </c>
      <c r="E6" s="333">
        <v>2023</v>
      </c>
      <c r="F6" s="206">
        <v>46282</v>
      </c>
      <c r="G6" s="206">
        <v>46282</v>
      </c>
      <c r="H6" s="312"/>
      <c r="I6" s="335"/>
      <c r="J6" s="336"/>
      <c r="K6" s="205">
        <f t="shared" ref="K6" si="1">$F$1-F6</f>
        <v>0</v>
      </c>
      <c r="L6" s="205">
        <f t="shared" ref="L6" si="2">$F$1-G6</f>
        <v>0</v>
      </c>
      <c r="M6" s="205"/>
      <c r="N6" s="205"/>
      <c r="O6" s="222" t="s">
        <v>315</v>
      </c>
      <c r="P6" s="216" t="s">
        <v>153</v>
      </c>
      <c r="Q6" s="216"/>
      <c r="R6" s="306" t="s">
        <v>240</v>
      </c>
      <c r="S6" s="225"/>
    </row>
    <row r="7" spans="1:66" s="226" customFormat="1" x14ac:dyDescent="0.3">
      <c r="A7" s="249"/>
      <c r="B7" s="223"/>
      <c r="C7" s="337"/>
      <c r="D7" s="338"/>
      <c r="E7" s="339"/>
      <c r="F7" s="340"/>
      <c r="G7" s="340"/>
      <c r="H7" s="296"/>
      <c r="I7" s="341"/>
      <c r="J7" s="342"/>
      <c r="K7" s="343"/>
      <c r="L7" s="343"/>
      <c r="M7" s="343"/>
      <c r="N7" s="343"/>
      <c r="O7" s="238"/>
      <c r="P7" s="216"/>
      <c r="Q7" s="223"/>
      <c r="R7" s="239" t="s">
        <v>304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23"/>
      <c r="R8" s="239" t="s">
        <v>26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/>
      <c r="S9" s="225"/>
    </row>
    <row r="10" spans="1:66" s="226" customFormat="1" x14ac:dyDescent="0.3">
      <c r="A10" s="249"/>
      <c r="B10" s="308"/>
      <c r="C10" s="217"/>
      <c r="D10" s="218"/>
      <c r="E10" s="219"/>
      <c r="F10" s="315"/>
      <c r="G10" s="315"/>
      <c r="H10" s="298"/>
      <c r="I10" s="378"/>
      <c r="J10" s="379"/>
      <c r="K10" s="343"/>
      <c r="L10" s="343"/>
      <c r="M10" s="380"/>
      <c r="N10" s="380"/>
      <c r="O10" s="320"/>
      <c r="P10" s="223"/>
      <c r="Q10" s="223"/>
      <c r="R10" s="239"/>
      <c r="S10" s="225"/>
    </row>
    <row r="11" spans="1:66" s="226" customFormat="1" x14ac:dyDescent="0.3">
      <c r="A11" s="344"/>
      <c r="B11" s="223"/>
      <c r="C11" s="337"/>
      <c r="D11" s="338"/>
      <c r="E11" s="339"/>
      <c r="F11" s="234"/>
      <c r="G11" s="234"/>
      <c r="H11" s="298"/>
      <c r="I11" s="341"/>
      <c r="J11" s="342"/>
      <c r="K11" s="343"/>
      <c r="L11" s="343"/>
      <c r="M11" s="343"/>
      <c r="N11" s="343"/>
      <c r="O11" s="238"/>
      <c r="P11" s="283"/>
      <c r="Q11" s="223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3">$F$1-F13</f>
        <v>18</v>
      </c>
      <c r="L13" s="205">
        <f t="shared" si="3"/>
        <v>18</v>
      </c>
      <c r="M13" s="205"/>
      <c r="N13" s="205"/>
      <c r="O13" s="222" t="s">
        <v>312</v>
      </c>
      <c r="P13" s="216" t="s">
        <v>26</v>
      </c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3"/>
        <v>13</v>
      </c>
      <c r="L14" s="205">
        <f t="shared" si="3"/>
        <v>13</v>
      </c>
      <c r="M14" s="205"/>
      <c r="N14" s="205"/>
      <c r="O14" s="222" t="s">
        <v>311</v>
      </c>
      <c r="P14" s="306" t="s">
        <v>300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85</v>
      </c>
      <c r="C16" s="331" t="s">
        <v>29</v>
      </c>
      <c r="D16" s="332" t="s">
        <v>28</v>
      </c>
      <c r="E16" s="333">
        <v>2023</v>
      </c>
      <c r="F16" s="334">
        <v>46238</v>
      </c>
      <c r="G16" s="334">
        <v>46238</v>
      </c>
      <c r="H16" s="312"/>
      <c r="I16" s="335"/>
      <c r="J16" s="336"/>
      <c r="K16" s="205">
        <f t="shared" ref="K16:L18" si="4">$F$1-F16</f>
        <v>44</v>
      </c>
      <c r="L16" s="205">
        <f t="shared" si="4"/>
        <v>44</v>
      </c>
      <c r="M16" s="205"/>
      <c r="N16" s="205"/>
      <c r="O16" s="222" t="s">
        <v>277</v>
      </c>
      <c r="P16" s="239" t="s">
        <v>235</v>
      </c>
      <c r="Q16" s="251"/>
      <c r="R16" s="239"/>
      <c r="S16" s="253"/>
    </row>
    <row r="17" spans="1:66" s="226" customFormat="1" ht="13.95" customHeight="1" x14ac:dyDescent="0.3">
      <c r="A17" s="249">
        <v>2</v>
      </c>
      <c r="B17" s="216" t="s">
        <v>256</v>
      </c>
      <c r="C17" s="331" t="s">
        <v>32</v>
      </c>
      <c r="D17" s="332" t="s">
        <v>28</v>
      </c>
      <c r="E17" s="333">
        <v>2020</v>
      </c>
      <c r="F17" s="334">
        <v>46237</v>
      </c>
      <c r="G17" s="334">
        <v>46237</v>
      </c>
      <c r="H17" s="310"/>
      <c r="I17" s="335"/>
      <c r="J17" s="336"/>
      <c r="K17" s="205">
        <f t="shared" si="4"/>
        <v>45</v>
      </c>
      <c r="L17" s="205">
        <f t="shared" si="4"/>
        <v>45</v>
      </c>
      <c r="M17" s="205"/>
      <c r="N17" s="205"/>
      <c r="O17" s="222" t="s">
        <v>271</v>
      </c>
      <c r="P17" s="306" t="s">
        <v>45</v>
      </c>
      <c r="Q17" s="251"/>
      <c r="R17" s="252"/>
      <c r="S17" s="253"/>
    </row>
    <row r="18" spans="1:66" s="226" customFormat="1" ht="31.95" customHeight="1" x14ac:dyDescent="0.3">
      <c r="A18" s="249">
        <v>3</v>
      </c>
      <c r="B18" s="260" t="s">
        <v>65</v>
      </c>
      <c r="C18" s="331" t="s">
        <v>29</v>
      </c>
      <c r="D18" s="332" t="s">
        <v>28</v>
      </c>
      <c r="E18" s="333">
        <v>2023</v>
      </c>
      <c r="F18" s="206">
        <v>46254</v>
      </c>
      <c r="G18" s="206">
        <v>46254</v>
      </c>
      <c r="H18" s="220"/>
      <c r="I18" s="220"/>
      <c r="J18" s="221"/>
      <c r="K18" s="201">
        <f t="shared" si="4"/>
        <v>28</v>
      </c>
      <c r="L18" s="201">
        <f t="shared" si="4"/>
        <v>28</v>
      </c>
      <c r="M18" s="205"/>
      <c r="N18" s="205"/>
      <c r="O18" s="222" t="s">
        <v>272</v>
      </c>
      <c r="P18" s="306" t="s">
        <v>48</v>
      </c>
      <c r="Q18" s="251"/>
      <c r="R18" s="252"/>
      <c r="S18" s="253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37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13.95" customHeight="1" x14ac:dyDescent="0.3">
      <c r="A20" s="205"/>
      <c r="B20" s="227"/>
      <c r="C20" s="240"/>
      <c r="D20" s="241"/>
      <c r="E20" s="219"/>
      <c r="F20" s="206"/>
      <c r="G20" s="206"/>
      <c r="H20" s="305"/>
      <c r="I20" s="220"/>
      <c r="J20" s="221"/>
      <c r="K20" s="201"/>
      <c r="L20" s="201"/>
      <c r="M20" s="201"/>
      <c r="N20" s="201"/>
      <c r="O20" s="222"/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 t="s">
        <v>38</v>
      </c>
      <c r="P21" s="268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  <row r="22" spans="1:66" s="226" customFormat="1" ht="27" customHeight="1" x14ac:dyDescent="0.3">
      <c r="A22" s="205">
        <v>1</v>
      </c>
      <c r="B22" s="216" t="s">
        <v>116</v>
      </c>
      <c r="C22" s="240" t="s">
        <v>32</v>
      </c>
      <c r="D22" s="241" t="s">
        <v>28</v>
      </c>
      <c r="E22" s="219">
        <v>2010</v>
      </c>
      <c r="F22" s="206">
        <v>46163</v>
      </c>
      <c r="G22" s="206">
        <v>46163</v>
      </c>
      <c r="H22" s="220"/>
      <c r="I22" s="220"/>
      <c r="J22" s="221"/>
      <c r="K22" s="201">
        <f t="shared" ref="K22:L24" si="5">$F$1-F22</f>
        <v>119</v>
      </c>
      <c r="L22" s="201">
        <f t="shared" si="5"/>
        <v>119</v>
      </c>
      <c r="M22" s="201"/>
      <c r="N22" s="201"/>
      <c r="O22" s="222" t="s">
        <v>267</v>
      </c>
      <c r="Q22" s="275"/>
      <c r="R22" s="239"/>
      <c r="S22" s="276"/>
    </row>
    <row r="23" spans="1:66" s="226" customFormat="1" ht="27" customHeight="1" x14ac:dyDescent="0.3">
      <c r="A23" s="215">
        <v>2</v>
      </c>
      <c r="B23" s="239" t="s">
        <v>10</v>
      </c>
      <c r="C23" s="217" t="s">
        <v>32</v>
      </c>
      <c r="D23" s="218" t="s">
        <v>28</v>
      </c>
      <c r="E23" s="219">
        <v>2010</v>
      </c>
      <c r="F23" s="206">
        <v>46220</v>
      </c>
      <c r="G23" s="206">
        <v>46220</v>
      </c>
      <c r="H23" s="220"/>
      <c r="I23" s="220"/>
      <c r="J23" s="221"/>
      <c r="K23" s="201">
        <f t="shared" si="5"/>
        <v>62</v>
      </c>
      <c r="L23" s="201">
        <f t="shared" si="5"/>
        <v>62</v>
      </c>
      <c r="M23" s="201"/>
      <c r="N23" s="201"/>
      <c r="O23" s="222" t="s">
        <v>225</v>
      </c>
      <c r="P23" s="227"/>
      <c r="Q23" s="275"/>
      <c r="R23" s="239"/>
      <c r="S23" s="276"/>
    </row>
    <row r="24" spans="1:66" s="226" customFormat="1" ht="13.95" customHeight="1" x14ac:dyDescent="0.3">
      <c r="A24" s="205">
        <v>3</v>
      </c>
      <c r="B24" s="227" t="s">
        <v>9</v>
      </c>
      <c r="C24" s="240" t="s">
        <v>32</v>
      </c>
      <c r="D24" s="241" t="s">
        <v>28</v>
      </c>
      <c r="E24" s="219">
        <v>2010</v>
      </c>
      <c r="F24" s="206">
        <v>46233</v>
      </c>
      <c r="G24" s="206">
        <v>46233</v>
      </c>
      <c r="H24" s="305"/>
      <c r="I24" s="220"/>
      <c r="J24" s="221"/>
      <c r="K24" s="201">
        <f t="shared" si="5"/>
        <v>49</v>
      </c>
      <c r="L24" s="201">
        <f t="shared" si="5"/>
        <v>49</v>
      </c>
      <c r="M24" s="201"/>
      <c r="N24" s="201"/>
      <c r="O24" s="222" t="s">
        <v>244</v>
      </c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/>
      <c r="P25" s="267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4CC7-1DBD-41C2-A33A-4DA88907CB8A}">
  <dimension ref="A1:BN25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46283</v>
      </c>
      <c r="G1" s="206">
        <v>46283</v>
      </c>
      <c r="H1" s="206">
        <v>46283</v>
      </c>
      <c r="I1" s="206">
        <v>46283</v>
      </c>
      <c r="J1" s="206">
        <v>46283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89" t="s">
        <v>7</v>
      </c>
      <c r="L3" s="389" t="s">
        <v>19</v>
      </c>
      <c r="M3" s="389" t="s">
        <v>20</v>
      </c>
      <c r="N3" s="38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6" si="0">$F$1-F5</f>
        <v>3</v>
      </c>
      <c r="L5" s="205">
        <f t="shared" si="0"/>
        <v>3</v>
      </c>
      <c r="M5" s="205"/>
      <c r="N5" s="205"/>
      <c r="O5" s="222" t="s">
        <v>314</v>
      </c>
      <c r="P5" s="216"/>
      <c r="Q5" s="306"/>
      <c r="R5" s="306" t="s">
        <v>30</v>
      </c>
      <c r="S5" s="225"/>
    </row>
    <row r="6" spans="1:66" s="226" customFormat="1" x14ac:dyDescent="0.3">
      <c r="A6" s="249">
        <v>2</v>
      </c>
      <c r="B6" s="216" t="s">
        <v>192</v>
      </c>
      <c r="C6" s="331" t="s">
        <v>29</v>
      </c>
      <c r="D6" s="332" t="s">
        <v>28</v>
      </c>
      <c r="E6" s="333">
        <v>2023</v>
      </c>
      <c r="F6" s="206">
        <v>46282</v>
      </c>
      <c r="G6" s="206">
        <v>46282</v>
      </c>
      <c r="H6" s="312"/>
      <c r="I6" s="335"/>
      <c r="J6" s="336"/>
      <c r="K6" s="205">
        <f t="shared" si="0"/>
        <v>1</v>
      </c>
      <c r="L6" s="205">
        <f t="shared" si="0"/>
        <v>1</v>
      </c>
      <c r="M6" s="205"/>
      <c r="N6" s="205"/>
      <c r="O6" s="222" t="s">
        <v>315</v>
      </c>
      <c r="P6" s="216"/>
      <c r="Q6" s="216"/>
      <c r="R6" s="306" t="s">
        <v>240</v>
      </c>
      <c r="S6" s="225"/>
    </row>
    <row r="7" spans="1:66" s="226" customFormat="1" x14ac:dyDescent="0.3">
      <c r="A7" s="249"/>
      <c r="B7" s="223"/>
      <c r="C7" s="337"/>
      <c r="D7" s="338"/>
      <c r="E7" s="339"/>
      <c r="F7" s="340"/>
      <c r="G7" s="340"/>
      <c r="H7" s="296"/>
      <c r="I7" s="341"/>
      <c r="J7" s="342"/>
      <c r="K7" s="343"/>
      <c r="L7" s="343"/>
      <c r="M7" s="343"/>
      <c r="N7" s="343"/>
      <c r="O7" s="238"/>
      <c r="P7" s="216"/>
      <c r="Q7" s="223"/>
      <c r="R7" s="239" t="s">
        <v>304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23"/>
      <c r="R8" s="239" t="s">
        <v>26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39"/>
      <c r="S9" s="225"/>
    </row>
    <row r="10" spans="1:66" s="226" customFormat="1" x14ac:dyDescent="0.3">
      <c r="A10" s="249"/>
      <c r="B10" s="308"/>
      <c r="C10" s="217"/>
      <c r="D10" s="218"/>
      <c r="E10" s="219"/>
      <c r="F10" s="315"/>
      <c r="G10" s="315"/>
      <c r="H10" s="298"/>
      <c r="I10" s="378"/>
      <c r="J10" s="379"/>
      <c r="K10" s="343"/>
      <c r="L10" s="343"/>
      <c r="M10" s="380"/>
      <c r="N10" s="380"/>
      <c r="O10" s="320"/>
      <c r="P10" s="223"/>
      <c r="Q10" s="223"/>
      <c r="R10" s="239"/>
      <c r="S10" s="225"/>
    </row>
    <row r="11" spans="1:66" s="226" customFormat="1" x14ac:dyDescent="0.3">
      <c r="A11" s="344"/>
      <c r="B11" s="223"/>
      <c r="C11" s="337"/>
      <c r="D11" s="338"/>
      <c r="E11" s="339"/>
      <c r="F11" s="234"/>
      <c r="G11" s="234"/>
      <c r="H11" s="298"/>
      <c r="I11" s="341"/>
      <c r="J11" s="342"/>
      <c r="K11" s="343"/>
      <c r="L11" s="343"/>
      <c r="M11" s="343"/>
      <c r="N11" s="343"/>
      <c r="O11" s="238"/>
      <c r="P11" s="283"/>
      <c r="Q11" s="223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19</v>
      </c>
      <c r="L13" s="205">
        <f t="shared" si="1"/>
        <v>19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14</v>
      </c>
      <c r="L14" s="205">
        <f t="shared" si="1"/>
        <v>14</v>
      </c>
      <c r="M14" s="205"/>
      <c r="N14" s="205"/>
      <c r="O14" s="222" t="s">
        <v>311</v>
      </c>
      <c r="P14" s="216" t="s">
        <v>153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85</v>
      </c>
      <c r="C16" s="331" t="s">
        <v>29</v>
      </c>
      <c r="D16" s="332" t="s">
        <v>28</v>
      </c>
      <c r="E16" s="333">
        <v>2023</v>
      </c>
      <c r="F16" s="334">
        <v>46238</v>
      </c>
      <c r="G16" s="334">
        <v>46238</v>
      </c>
      <c r="H16" s="312"/>
      <c r="I16" s="335"/>
      <c r="J16" s="336"/>
      <c r="K16" s="205">
        <f t="shared" ref="K16:L18" si="2">$F$1-F16</f>
        <v>45</v>
      </c>
      <c r="L16" s="205">
        <f t="shared" si="2"/>
        <v>45</v>
      </c>
      <c r="M16" s="205"/>
      <c r="N16" s="205"/>
      <c r="O16" s="222" t="s">
        <v>277</v>
      </c>
      <c r="P16" s="239" t="s">
        <v>235</v>
      </c>
      <c r="Q16" s="251"/>
      <c r="R16" s="239"/>
      <c r="S16" s="253"/>
    </row>
    <row r="17" spans="1:66" s="226" customFormat="1" ht="13.95" customHeight="1" x14ac:dyDescent="0.3">
      <c r="A17" s="249">
        <v>2</v>
      </c>
      <c r="B17" s="216" t="s">
        <v>256</v>
      </c>
      <c r="C17" s="331" t="s">
        <v>32</v>
      </c>
      <c r="D17" s="332" t="s">
        <v>28</v>
      </c>
      <c r="E17" s="333">
        <v>2020</v>
      </c>
      <c r="F17" s="334">
        <v>46237</v>
      </c>
      <c r="G17" s="334">
        <v>46237</v>
      </c>
      <c r="H17" s="310"/>
      <c r="I17" s="335"/>
      <c r="J17" s="336"/>
      <c r="K17" s="205">
        <f t="shared" si="2"/>
        <v>46</v>
      </c>
      <c r="L17" s="205">
        <f t="shared" si="2"/>
        <v>46</v>
      </c>
      <c r="M17" s="205"/>
      <c r="N17" s="205"/>
      <c r="O17" s="222" t="s">
        <v>271</v>
      </c>
      <c r="P17" s="216" t="s">
        <v>303</v>
      </c>
      <c r="Q17" s="251"/>
      <c r="R17" s="252"/>
      <c r="S17" s="253"/>
    </row>
    <row r="18" spans="1:66" s="226" customFormat="1" ht="31.95" customHeight="1" x14ac:dyDescent="0.3">
      <c r="A18" s="249">
        <v>3</v>
      </c>
      <c r="B18" s="260" t="s">
        <v>65</v>
      </c>
      <c r="C18" s="331" t="s">
        <v>29</v>
      </c>
      <c r="D18" s="332" t="s">
        <v>28</v>
      </c>
      <c r="E18" s="333">
        <v>2023</v>
      </c>
      <c r="F18" s="206">
        <v>46254</v>
      </c>
      <c r="G18" s="206">
        <v>46254</v>
      </c>
      <c r="H18" s="220"/>
      <c r="I18" s="220"/>
      <c r="J18" s="221"/>
      <c r="K18" s="201">
        <f t="shared" si="2"/>
        <v>29</v>
      </c>
      <c r="L18" s="201">
        <f t="shared" si="2"/>
        <v>29</v>
      </c>
      <c r="M18" s="205"/>
      <c r="N18" s="205"/>
      <c r="O18" s="222" t="s">
        <v>272</v>
      </c>
      <c r="P18" s="306" t="s">
        <v>48</v>
      </c>
      <c r="Q18" s="251"/>
      <c r="R18" s="252"/>
      <c r="S18" s="253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37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13.95" customHeight="1" x14ac:dyDescent="0.3">
      <c r="A20" s="205"/>
      <c r="B20" s="227"/>
      <c r="C20" s="240"/>
      <c r="D20" s="241"/>
      <c r="E20" s="219"/>
      <c r="F20" s="206"/>
      <c r="G20" s="206"/>
      <c r="H20" s="305"/>
      <c r="I20" s="220"/>
      <c r="J20" s="221"/>
      <c r="K20" s="201"/>
      <c r="L20" s="201"/>
      <c r="M20" s="201"/>
      <c r="N20" s="201"/>
      <c r="O20" s="222"/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 t="s">
        <v>38</v>
      </c>
      <c r="P21" s="268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  <row r="22" spans="1:66" s="226" customFormat="1" ht="27" customHeight="1" x14ac:dyDescent="0.3">
      <c r="A22" s="205">
        <v>1</v>
      </c>
      <c r="B22" s="216" t="s">
        <v>116</v>
      </c>
      <c r="C22" s="240" t="s">
        <v>32</v>
      </c>
      <c r="D22" s="241" t="s">
        <v>28</v>
      </c>
      <c r="E22" s="219">
        <v>2010</v>
      </c>
      <c r="F22" s="206">
        <v>46163</v>
      </c>
      <c r="G22" s="206">
        <v>46163</v>
      </c>
      <c r="H22" s="220"/>
      <c r="I22" s="220"/>
      <c r="J22" s="221"/>
      <c r="K22" s="201">
        <f t="shared" ref="K22:L24" si="3">$F$1-F22</f>
        <v>120</v>
      </c>
      <c r="L22" s="201">
        <f t="shared" si="3"/>
        <v>120</v>
      </c>
      <c r="M22" s="201"/>
      <c r="N22" s="201"/>
      <c r="O22" s="222" t="s">
        <v>267</v>
      </c>
      <c r="Q22" s="275"/>
      <c r="R22" s="239"/>
      <c r="S22" s="276"/>
    </row>
    <row r="23" spans="1:66" s="226" customFormat="1" ht="27" customHeight="1" x14ac:dyDescent="0.3">
      <c r="A23" s="215">
        <v>2</v>
      </c>
      <c r="B23" s="239" t="s">
        <v>10</v>
      </c>
      <c r="C23" s="217" t="s">
        <v>32</v>
      </c>
      <c r="D23" s="218" t="s">
        <v>28</v>
      </c>
      <c r="E23" s="219">
        <v>2010</v>
      </c>
      <c r="F23" s="206">
        <v>46220</v>
      </c>
      <c r="G23" s="206">
        <v>46220</v>
      </c>
      <c r="H23" s="220"/>
      <c r="I23" s="220"/>
      <c r="J23" s="221"/>
      <c r="K23" s="201">
        <f t="shared" si="3"/>
        <v>63</v>
      </c>
      <c r="L23" s="201">
        <f t="shared" si="3"/>
        <v>63</v>
      </c>
      <c r="M23" s="201"/>
      <c r="N23" s="201"/>
      <c r="O23" s="222" t="s">
        <v>225</v>
      </c>
      <c r="P23" s="227"/>
      <c r="Q23" s="275"/>
      <c r="R23" s="239"/>
      <c r="S23" s="276"/>
    </row>
    <row r="24" spans="1:66" s="226" customFormat="1" ht="13.95" customHeight="1" x14ac:dyDescent="0.3">
      <c r="A24" s="205">
        <v>3</v>
      </c>
      <c r="B24" s="227" t="s">
        <v>9</v>
      </c>
      <c r="C24" s="240" t="s">
        <v>32</v>
      </c>
      <c r="D24" s="241" t="s">
        <v>28</v>
      </c>
      <c r="E24" s="219">
        <v>2010</v>
      </c>
      <c r="F24" s="206">
        <v>46233</v>
      </c>
      <c r="G24" s="206">
        <v>46233</v>
      </c>
      <c r="H24" s="305"/>
      <c r="I24" s="220"/>
      <c r="J24" s="221"/>
      <c r="K24" s="201">
        <f t="shared" si="3"/>
        <v>50</v>
      </c>
      <c r="L24" s="201">
        <f t="shared" si="3"/>
        <v>50</v>
      </c>
      <c r="M24" s="201"/>
      <c r="N24" s="201"/>
      <c r="O24" s="222" t="s">
        <v>244</v>
      </c>
      <c r="P24" s="260"/>
      <c r="Q24" s="275"/>
      <c r="R24" s="239"/>
      <c r="S24" s="276"/>
    </row>
    <row r="25" spans="1:66" s="259" customFormat="1" ht="13.95" customHeight="1" x14ac:dyDescent="0.3">
      <c r="A25" s="261"/>
      <c r="B25" s="262"/>
      <c r="C25" s="263"/>
      <c r="D25" s="262"/>
      <c r="E25" s="264"/>
      <c r="F25" s="265"/>
      <c r="G25" s="265"/>
      <c r="H25" s="265"/>
      <c r="I25" s="265"/>
      <c r="J25" s="265"/>
      <c r="K25" s="266"/>
      <c r="L25" s="265"/>
      <c r="M25" s="265"/>
      <c r="N25" s="265"/>
      <c r="O25" s="267"/>
      <c r="P25" s="267"/>
      <c r="Q25" s="268"/>
      <c r="R25" s="269"/>
      <c r="S25" s="267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6"/>
      <c r="AX25" s="226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F8EB-371D-4A0C-BF26-650841319D7E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46284</v>
      </c>
      <c r="G1" s="206">
        <v>46284</v>
      </c>
      <c r="H1" s="206">
        <v>46284</v>
      </c>
      <c r="I1" s="206">
        <v>46284</v>
      </c>
      <c r="J1" s="206">
        <v>46284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90" t="s">
        <v>7</v>
      </c>
      <c r="L3" s="390" t="s">
        <v>19</v>
      </c>
      <c r="M3" s="390" t="s">
        <v>20</v>
      </c>
      <c r="N3" s="39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4</v>
      </c>
      <c r="L5" s="205">
        <f t="shared" si="0"/>
        <v>4</v>
      </c>
      <c r="M5" s="205"/>
      <c r="N5" s="205"/>
      <c r="O5" s="222" t="s">
        <v>314</v>
      </c>
      <c r="P5" s="283" t="s">
        <v>304</v>
      </c>
      <c r="Q5" s="223" t="s">
        <v>192</v>
      </c>
      <c r="R5" s="30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206"/>
      <c r="G6" s="206"/>
      <c r="H6" s="312"/>
      <c r="I6" s="335"/>
      <c r="J6" s="336"/>
      <c r="K6" s="205"/>
      <c r="L6" s="205"/>
      <c r="M6" s="205"/>
      <c r="N6" s="205"/>
      <c r="O6" s="222"/>
      <c r="P6" s="216"/>
      <c r="Q6" s="223" t="s">
        <v>85</v>
      </c>
      <c r="R6" s="306" t="s">
        <v>240</v>
      </c>
      <c r="S6" s="225"/>
    </row>
    <row r="7" spans="1:66" s="226" customFormat="1" x14ac:dyDescent="0.3">
      <c r="A7" s="249"/>
      <c r="B7" s="223"/>
      <c r="C7" s="337"/>
      <c r="D7" s="338"/>
      <c r="E7" s="339"/>
      <c r="F7" s="340"/>
      <c r="G7" s="340"/>
      <c r="H7" s="296"/>
      <c r="I7" s="341"/>
      <c r="J7" s="342"/>
      <c r="K7" s="343"/>
      <c r="L7" s="343"/>
      <c r="M7" s="343"/>
      <c r="N7" s="343"/>
      <c r="O7" s="238"/>
      <c r="P7" s="216"/>
      <c r="Q7" s="283" t="s">
        <v>235</v>
      </c>
      <c r="R7" s="239" t="s">
        <v>26</v>
      </c>
      <c r="S7" s="225"/>
    </row>
    <row r="8" spans="1:66" s="226" customFormat="1" x14ac:dyDescent="0.3">
      <c r="A8" s="249"/>
      <c r="B8" s="223"/>
      <c r="C8" s="337"/>
      <c r="D8" s="338"/>
      <c r="E8" s="339"/>
      <c r="F8" s="340"/>
      <c r="G8" s="340"/>
      <c r="H8" s="296"/>
      <c r="I8" s="341"/>
      <c r="J8" s="342"/>
      <c r="K8" s="343"/>
      <c r="L8" s="343"/>
      <c r="M8" s="343"/>
      <c r="N8" s="343"/>
      <c r="O8" s="238"/>
      <c r="P8" s="306"/>
      <c r="Q8" s="283" t="s">
        <v>304</v>
      </c>
      <c r="R8" s="283" t="s">
        <v>148</v>
      </c>
      <c r="S8" s="225"/>
    </row>
    <row r="9" spans="1:66" s="226" customFormat="1" x14ac:dyDescent="0.3">
      <c r="A9" s="249"/>
      <c r="B9" s="308"/>
      <c r="C9" s="240"/>
      <c r="D9" s="241"/>
      <c r="E9" s="219"/>
      <c r="F9" s="315"/>
      <c r="G9" s="315"/>
      <c r="H9" s="298"/>
      <c r="I9" s="378"/>
      <c r="J9" s="379"/>
      <c r="K9" s="343"/>
      <c r="L9" s="343"/>
      <c r="M9" s="380"/>
      <c r="N9" s="380"/>
      <c r="O9" s="320"/>
      <c r="P9" s="223"/>
      <c r="Q9" s="223"/>
      <c r="R9" s="223" t="s">
        <v>153</v>
      </c>
      <c r="S9" s="225"/>
    </row>
    <row r="10" spans="1:66" s="226" customFormat="1" x14ac:dyDescent="0.3">
      <c r="A10" s="249"/>
      <c r="B10" s="308"/>
      <c r="C10" s="217"/>
      <c r="D10" s="218"/>
      <c r="E10" s="219"/>
      <c r="F10" s="315"/>
      <c r="G10" s="315"/>
      <c r="H10" s="298"/>
      <c r="I10" s="378"/>
      <c r="J10" s="379"/>
      <c r="K10" s="343"/>
      <c r="L10" s="343"/>
      <c r="M10" s="380"/>
      <c r="N10" s="380"/>
      <c r="O10" s="320"/>
      <c r="P10" s="223"/>
      <c r="Q10" s="223"/>
      <c r="R10" s="223"/>
      <c r="S10" s="225"/>
    </row>
    <row r="11" spans="1:66" s="226" customFormat="1" x14ac:dyDescent="0.3">
      <c r="A11" s="344"/>
      <c r="B11" s="223"/>
      <c r="C11" s="337"/>
      <c r="D11" s="338"/>
      <c r="E11" s="339"/>
      <c r="F11" s="234"/>
      <c r="G11" s="234"/>
      <c r="H11" s="298"/>
      <c r="I11" s="341"/>
      <c r="J11" s="342"/>
      <c r="K11" s="343"/>
      <c r="L11" s="343"/>
      <c r="M11" s="343"/>
      <c r="N11" s="343"/>
      <c r="O11" s="238"/>
      <c r="P11" s="283"/>
      <c r="Q11" s="223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20</v>
      </c>
      <c r="L13" s="205">
        <f t="shared" si="1"/>
        <v>20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15</v>
      </c>
      <c r="L14" s="205">
        <f t="shared" si="1"/>
        <v>15</v>
      </c>
      <c r="M14" s="205"/>
      <c r="N14" s="205"/>
      <c r="O14" s="222" t="s">
        <v>311</v>
      </c>
      <c r="P14" s="223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256</v>
      </c>
      <c r="C16" s="331" t="s">
        <v>32</v>
      </c>
      <c r="D16" s="332" t="s">
        <v>28</v>
      </c>
      <c r="E16" s="333">
        <v>2020</v>
      </c>
      <c r="F16" s="334">
        <v>46237</v>
      </c>
      <c r="G16" s="334">
        <v>46237</v>
      </c>
      <c r="H16" s="310"/>
      <c r="I16" s="335"/>
      <c r="J16" s="336"/>
      <c r="K16" s="205">
        <f t="shared" ref="K16:L17" si="2">$F$1-F16</f>
        <v>47</v>
      </c>
      <c r="L16" s="205">
        <f t="shared" si="2"/>
        <v>47</v>
      </c>
      <c r="M16" s="205"/>
      <c r="N16" s="205"/>
      <c r="O16" s="222" t="s">
        <v>271</v>
      </c>
      <c r="P16" s="216" t="s">
        <v>303</v>
      </c>
      <c r="Q16" s="251"/>
      <c r="R16" s="252"/>
      <c r="S16" s="253"/>
    </row>
    <row r="17" spans="1:66" s="226" customFormat="1" ht="31.95" customHeight="1" x14ac:dyDescent="0.3">
      <c r="A17" s="249">
        <v>2</v>
      </c>
      <c r="B17" s="260" t="s">
        <v>65</v>
      </c>
      <c r="C17" s="331" t="s">
        <v>29</v>
      </c>
      <c r="D17" s="332" t="s">
        <v>28</v>
      </c>
      <c r="E17" s="333">
        <v>2023</v>
      </c>
      <c r="F17" s="206">
        <v>46254</v>
      </c>
      <c r="G17" s="206">
        <v>46254</v>
      </c>
      <c r="H17" s="220"/>
      <c r="I17" s="220"/>
      <c r="J17" s="221"/>
      <c r="K17" s="201">
        <f t="shared" si="2"/>
        <v>30</v>
      </c>
      <c r="L17" s="201">
        <f t="shared" si="2"/>
        <v>30</v>
      </c>
      <c r="M17" s="205"/>
      <c r="N17" s="205"/>
      <c r="O17" s="222" t="s">
        <v>272</v>
      </c>
      <c r="P17" s="306" t="s">
        <v>48</v>
      </c>
      <c r="Q17" s="251"/>
      <c r="R17" s="252"/>
      <c r="S17" s="253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27"/>
      <c r="C19" s="240"/>
      <c r="D19" s="241"/>
      <c r="E19" s="219"/>
      <c r="F19" s="206"/>
      <c r="G19" s="206"/>
      <c r="H19" s="305"/>
      <c r="I19" s="220"/>
      <c r="J19" s="221"/>
      <c r="K19" s="201"/>
      <c r="L19" s="201"/>
      <c r="M19" s="201"/>
      <c r="N19" s="201"/>
      <c r="O19" s="222"/>
      <c r="P19" s="260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3">$F$1-F21</f>
        <v>121</v>
      </c>
      <c r="L21" s="201">
        <f t="shared" si="3"/>
        <v>121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3"/>
        <v>64</v>
      </c>
      <c r="L22" s="201">
        <f t="shared" si="3"/>
        <v>64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3"/>
        <v>51</v>
      </c>
      <c r="L23" s="201">
        <f t="shared" si="3"/>
        <v>51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02A2-3D4B-40D9-AA56-B9E676669A20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46285</v>
      </c>
      <c r="G1" s="206">
        <v>46285</v>
      </c>
      <c r="H1" s="206">
        <v>46285</v>
      </c>
      <c r="I1" s="206">
        <v>46285</v>
      </c>
      <c r="J1" s="206">
        <v>46285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91" t="s">
        <v>7</v>
      </c>
      <c r="L3" s="391" t="s">
        <v>19</v>
      </c>
      <c r="M3" s="391" t="s">
        <v>20</v>
      </c>
      <c r="N3" s="39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5</v>
      </c>
      <c r="L5" s="205">
        <f t="shared" si="0"/>
        <v>5</v>
      </c>
      <c r="M5" s="205"/>
      <c r="N5" s="205"/>
      <c r="O5" s="222" t="s">
        <v>314</v>
      </c>
      <c r="P5" s="239" t="s">
        <v>304</v>
      </c>
      <c r="Q5" s="283" t="s">
        <v>26</v>
      </c>
      <c r="R5" s="30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206"/>
      <c r="G6" s="206"/>
      <c r="H6" s="312"/>
      <c r="I6" s="335"/>
      <c r="J6" s="336"/>
      <c r="K6" s="205"/>
      <c r="L6" s="205"/>
      <c r="M6" s="205"/>
      <c r="N6" s="205"/>
      <c r="O6" s="222"/>
      <c r="P6" s="216"/>
      <c r="Q6" s="216"/>
      <c r="R6" s="306" t="s">
        <v>240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2"/>
      <c r="I7" s="335"/>
      <c r="J7" s="336"/>
      <c r="K7" s="205"/>
      <c r="L7" s="205"/>
      <c r="M7" s="205"/>
      <c r="N7" s="205"/>
      <c r="O7" s="222"/>
      <c r="P7" s="216"/>
      <c r="Q7" s="239"/>
      <c r="R7" s="283" t="s">
        <v>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2"/>
      <c r="I8" s="335"/>
      <c r="J8" s="336"/>
      <c r="K8" s="205"/>
      <c r="L8" s="205"/>
      <c r="M8" s="205"/>
      <c r="N8" s="205"/>
      <c r="O8" s="222"/>
      <c r="P8" s="306"/>
      <c r="Q8" s="239"/>
      <c r="R8" s="239" t="s">
        <v>148</v>
      </c>
      <c r="S8" s="225"/>
    </row>
    <row r="9" spans="1:66" s="226" customFormat="1" x14ac:dyDescent="0.3">
      <c r="A9" s="249"/>
      <c r="B9" s="306"/>
      <c r="C9" s="240"/>
      <c r="D9" s="241"/>
      <c r="E9" s="219"/>
      <c r="F9" s="392"/>
      <c r="G9" s="392"/>
      <c r="H9" s="310"/>
      <c r="I9" s="393"/>
      <c r="J9" s="394"/>
      <c r="K9" s="205"/>
      <c r="L9" s="205"/>
      <c r="M9" s="274"/>
      <c r="N9" s="274"/>
      <c r="O9" s="270"/>
      <c r="P9" s="216"/>
      <c r="Q9" s="216"/>
      <c r="R9" s="216" t="s">
        <v>153</v>
      </c>
      <c r="S9" s="225"/>
    </row>
    <row r="10" spans="1:66" s="226" customFormat="1" x14ac:dyDescent="0.3">
      <c r="A10" s="249"/>
      <c r="B10" s="306"/>
      <c r="C10" s="217"/>
      <c r="D10" s="218"/>
      <c r="E10" s="219"/>
      <c r="F10" s="392"/>
      <c r="G10" s="392"/>
      <c r="H10" s="310"/>
      <c r="I10" s="393"/>
      <c r="J10" s="394"/>
      <c r="K10" s="205"/>
      <c r="L10" s="205"/>
      <c r="M10" s="274"/>
      <c r="N10" s="274"/>
      <c r="O10" s="270"/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21</v>
      </c>
      <c r="L13" s="205">
        <f t="shared" si="1"/>
        <v>21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16</v>
      </c>
      <c r="L14" s="205">
        <f t="shared" si="1"/>
        <v>16</v>
      </c>
      <c r="M14" s="205"/>
      <c r="N14" s="205"/>
      <c r="O14" s="222" t="s">
        <v>311</v>
      </c>
      <c r="P14" s="216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256</v>
      </c>
      <c r="C16" s="331" t="s">
        <v>32</v>
      </c>
      <c r="D16" s="332" t="s">
        <v>28</v>
      </c>
      <c r="E16" s="333">
        <v>2020</v>
      </c>
      <c r="F16" s="334">
        <v>46237</v>
      </c>
      <c r="G16" s="334">
        <v>46237</v>
      </c>
      <c r="H16" s="310"/>
      <c r="I16" s="335"/>
      <c r="J16" s="336"/>
      <c r="K16" s="205">
        <f t="shared" ref="K16:L17" si="2">$F$1-F16</f>
        <v>48</v>
      </c>
      <c r="L16" s="205">
        <f t="shared" si="2"/>
        <v>48</v>
      </c>
      <c r="M16" s="205"/>
      <c r="N16" s="205"/>
      <c r="O16" s="222" t="s">
        <v>271</v>
      </c>
      <c r="P16" s="216" t="s">
        <v>303</v>
      </c>
      <c r="Q16" s="251"/>
      <c r="R16" s="252"/>
      <c r="S16" s="253"/>
    </row>
    <row r="17" spans="1:66" s="226" customFormat="1" ht="31.95" customHeight="1" x14ac:dyDescent="0.3">
      <c r="A17" s="249">
        <v>2</v>
      </c>
      <c r="B17" s="260" t="s">
        <v>65</v>
      </c>
      <c r="C17" s="331" t="s">
        <v>29</v>
      </c>
      <c r="D17" s="332" t="s">
        <v>28</v>
      </c>
      <c r="E17" s="333">
        <v>2023</v>
      </c>
      <c r="F17" s="206">
        <v>46254</v>
      </c>
      <c r="G17" s="206">
        <v>46254</v>
      </c>
      <c r="H17" s="220"/>
      <c r="I17" s="220"/>
      <c r="J17" s="221"/>
      <c r="K17" s="201">
        <f t="shared" si="2"/>
        <v>31</v>
      </c>
      <c r="L17" s="201">
        <f t="shared" si="2"/>
        <v>31</v>
      </c>
      <c r="M17" s="205"/>
      <c r="N17" s="205"/>
      <c r="O17" s="222" t="s">
        <v>272</v>
      </c>
      <c r="P17" s="306" t="s">
        <v>48</v>
      </c>
      <c r="Q17" s="251"/>
      <c r="R17" s="252"/>
      <c r="S17" s="253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27"/>
      <c r="C19" s="240"/>
      <c r="D19" s="241"/>
      <c r="E19" s="219"/>
      <c r="F19" s="206"/>
      <c r="G19" s="206"/>
      <c r="H19" s="305"/>
      <c r="I19" s="220"/>
      <c r="J19" s="221"/>
      <c r="K19" s="201"/>
      <c r="L19" s="201"/>
      <c r="M19" s="201"/>
      <c r="N19" s="201"/>
      <c r="O19" s="222"/>
      <c r="P19" s="260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3">$F$1-F21</f>
        <v>122</v>
      </c>
      <c r="L21" s="201">
        <f t="shared" si="3"/>
        <v>122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3"/>
        <v>65</v>
      </c>
      <c r="L22" s="201">
        <f t="shared" si="3"/>
        <v>65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3"/>
        <v>52</v>
      </c>
      <c r="L23" s="201">
        <f t="shared" si="3"/>
        <v>52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95A4-AA6A-4F4A-AB22-5F72A1F66D60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46286</v>
      </c>
      <c r="G1" s="206">
        <v>46286</v>
      </c>
      <c r="H1" s="206">
        <v>46286</v>
      </c>
      <c r="I1" s="206">
        <v>46286</v>
      </c>
      <c r="J1" s="206">
        <v>46286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95" t="s">
        <v>7</v>
      </c>
      <c r="L3" s="395" t="s">
        <v>19</v>
      </c>
      <c r="M3" s="395" t="s">
        <v>20</v>
      </c>
      <c r="N3" s="39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6</v>
      </c>
      <c r="L5" s="205">
        <f t="shared" si="0"/>
        <v>6</v>
      </c>
      <c r="M5" s="205"/>
      <c r="N5" s="205"/>
      <c r="O5" s="222" t="s">
        <v>314</v>
      </c>
      <c r="P5" s="239" t="s">
        <v>304</v>
      </c>
      <c r="Q5" s="283" t="s">
        <v>26</v>
      </c>
      <c r="R5" s="30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206"/>
      <c r="G6" s="206"/>
      <c r="H6" s="312"/>
      <c r="I6" s="335"/>
      <c r="J6" s="336"/>
      <c r="K6" s="205"/>
      <c r="L6" s="205"/>
      <c r="M6" s="205"/>
      <c r="N6" s="205"/>
      <c r="O6" s="222"/>
      <c r="P6" s="216"/>
      <c r="Q6" s="216"/>
      <c r="R6" s="306" t="s">
        <v>240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2"/>
      <c r="I7" s="335"/>
      <c r="J7" s="336"/>
      <c r="K7" s="205"/>
      <c r="L7" s="205"/>
      <c r="M7" s="205"/>
      <c r="N7" s="205"/>
      <c r="O7" s="222"/>
      <c r="P7" s="216"/>
      <c r="Q7" s="239"/>
      <c r="R7" s="283" t="s">
        <v>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2"/>
      <c r="I8" s="335"/>
      <c r="J8" s="336"/>
      <c r="K8" s="205"/>
      <c r="L8" s="205"/>
      <c r="M8" s="205"/>
      <c r="N8" s="205"/>
      <c r="O8" s="222"/>
      <c r="P8" s="306"/>
      <c r="Q8" s="239"/>
      <c r="R8" s="239" t="s">
        <v>148</v>
      </c>
      <c r="S8" s="225"/>
    </row>
    <row r="9" spans="1:66" s="226" customFormat="1" x14ac:dyDescent="0.3">
      <c r="A9" s="249"/>
      <c r="B9" s="306"/>
      <c r="C9" s="240"/>
      <c r="D9" s="241"/>
      <c r="E9" s="219"/>
      <c r="F9" s="392"/>
      <c r="G9" s="392"/>
      <c r="H9" s="310"/>
      <c r="I9" s="393"/>
      <c r="J9" s="394"/>
      <c r="K9" s="205"/>
      <c r="L9" s="205"/>
      <c r="M9" s="274"/>
      <c r="N9" s="274"/>
      <c r="O9" s="270"/>
      <c r="P9" s="216"/>
      <c r="Q9" s="216"/>
      <c r="R9" s="216" t="s">
        <v>153</v>
      </c>
      <c r="S9" s="225"/>
    </row>
    <row r="10" spans="1:66" s="226" customFormat="1" x14ac:dyDescent="0.3">
      <c r="A10" s="249"/>
      <c r="B10" s="306"/>
      <c r="C10" s="217"/>
      <c r="D10" s="218"/>
      <c r="E10" s="219"/>
      <c r="F10" s="392"/>
      <c r="G10" s="392"/>
      <c r="H10" s="310"/>
      <c r="I10" s="393"/>
      <c r="J10" s="394"/>
      <c r="K10" s="205"/>
      <c r="L10" s="205"/>
      <c r="M10" s="274"/>
      <c r="N10" s="274"/>
      <c r="O10" s="270"/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22</v>
      </c>
      <c r="L13" s="205">
        <f t="shared" si="1"/>
        <v>22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17</v>
      </c>
      <c r="L14" s="205">
        <f t="shared" si="1"/>
        <v>17</v>
      </c>
      <c r="M14" s="205"/>
      <c r="N14" s="205"/>
      <c r="O14" s="222" t="s">
        <v>311</v>
      </c>
      <c r="P14" s="216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256</v>
      </c>
      <c r="C16" s="331" t="s">
        <v>32</v>
      </c>
      <c r="D16" s="332" t="s">
        <v>28</v>
      </c>
      <c r="E16" s="333">
        <v>2020</v>
      </c>
      <c r="F16" s="334">
        <v>46237</v>
      </c>
      <c r="G16" s="334">
        <v>46237</v>
      </c>
      <c r="H16" s="310"/>
      <c r="I16" s="335"/>
      <c r="J16" s="336"/>
      <c r="K16" s="205">
        <f t="shared" ref="K16:L17" si="2">$F$1-F16</f>
        <v>49</v>
      </c>
      <c r="L16" s="205">
        <f t="shared" si="2"/>
        <v>49</v>
      </c>
      <c r="M16" s="205"/>
      <c r="N16" s="205"/>
      <c r="O16" s="222" t="s">
        <v>271</v>
      </c>
      <c r="P16" s="216" t="s">
        <v>303</v>
      </c>
      <c r="Q16" s="251"/>
      <c r="R16" s="252"/>
      <c r="S16" s="253"/>
    </row>
    <row r="17" spans="1:66" s="226" customFormat="1" ht="31.95" customHeight="1" x14ac:dyDescent="0.3">
      <c r="A17" s="249">
        <v>2</v>
      </c>
      <c r="B17" s="260" t="s">
        <v>65</v>
      </c>
      <c r="C17" s="331" t="s">
        <v>29</v>
      </c>
      <c r="D17" s="332" t="s">
        <v>28</v>
      </c>
      <c r="E17" s="333">
        <v>2023</v>
      </c>
      <c r="F17" s="206">
        <v>46254</v>
      </c>
      <c r="G17" s="206">
        <v>46254</v>
      </c>
      <c r="H17" s="220"/>
      <c r="I17" s="220"/>
      <c r="J17" s="221"/>
      <c r="K17" s="201">
        <f t="shared" si="2"/>
        <v>32</v>
      </c>
      <c r="L17" s="201">
        <f t="shared" si="2"/>
        <v>32</v>
      </c>
      <c r="M17" s="205"/>
      <c r="N17" s="205"/>
      <c r="O17" s="222" t="s">
        <v>272</v>
      </c>
      <c r="P17" s="306" t="s">
        <v>48</v>
      </c>
      <c r="Q17" s="251"/>
      <c r="R17" s="252"/>
      <c r="S17" s="253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27"/>
      <c r="C19" s="240"/>
      <c r="D19" s="241"/>
      <c r="E19" s="219"/>
      <c r="F19" s="206"/>
      <c r="G19" s="206"/>
      <c r="H19" s="305"/>
      <c r="I19" s="220"/>
      <c r="J19" s="221"/>
      <c r="K19" s="201"/>
      <c r="L19" s="201"/>
      <c r="M19" s="201"/>
      <c r="N19" s="201"/>
      <c r="O19" s="222"/>
      <c r="P19" s="260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3">$F$1-F21</f>
        <v>123</v>
      </c>
      <c r="L21" s="201">
        <f t="shared" si="3"/>
        <v>123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3"/>
        <v>66</v>
      </c>
      <c r="L22" s="201">
        <f t="shared" si="3"/>
        <v>66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3"/>
        <v>53</v>
      </c>
      <c r="L23" s="201">
        <f t="shared" si="3"/>
        <v>53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C741-8A6E-4385-975A-8C3191D3E598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46287</v>
      </c>
      <c r="G1" s="206">
        <v>46287</v>
      </c>
      <c r="H1" s="206">
        <v>46287</v>
      </c>
      <c r="I1" s="206">
        <v>46287</v>
      </c>
      <c r="J1" s="206">
        <v>46287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96" t="s">
        <v>7</v>
      </c>
      <c r="L3" s="396" t="s">
        <v>19</v>
      </c>
      <c r="M3" s="396" t="s">
        <v>20</v>
      </c>
      <c r="N3" s="39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7</v>
      </c>
      <c r="L5" s="205">
        <f t="shared" si="0"/>
        <v>7</v>
      </c>
      <c r="M5" s="205"/>
      <c r="N5" s="205"/>
      <c r="O5" s="222" t="s">
        <v>314</v>
      </c>
      <c r="P5" s="239" t="s">
        <v>304</v>
      </c>
      <c r="Q5" s="283" t="s">
        <v>26</v>
      </c>
      <c r="R5" s="306" t="s">
        <v>30</v>
      </c>
      <c r="S5" s="225"/>
    </row>
    <row r="6" spans="1:66" s="226" customFormat="1" x14ac:dyDescent="0.3">
      <c r="A6" s="249"/>
      <c r="B6" s="216"/>
      <c r="C6" s="331"/>
      <c r="D6" s="332"/>
      <c r="E6" s="333"/>
      <c r="F6" s="206"/>
      <c r="G6" s="206"/>
      <c r="H6" s="312"/>
      <c r="I6" s="335"/>
      <c r="J6" s="336"/>
      <c r="K6" s="205"/>
      <c r="L6" s="205"/>
      <c r="M6" s="205"/>
      <c r="N6" s="205"/>
      <c r="O6" s="222"/>
      <c r="P6" s="216"/>
      <c r="Q6" s="216"/>
      <c r="R6" s="306" t="s">
        <v>240</v>
      </c>
      <c r="S6" s="225"/>
    </row>
    <row r="7" spans="1:66" s="226" customFormat="1" x14ac:dyDescent="0.3">
      <c r="A7" s="249"/>
      <c r="B7" s="216"/>
      <c r="C7" s="331"/>
      <c r="D7" s="332"/>
      <c r="E7" s="333"/>
      <c r="F7" s="334"/>
      <c r="G7" s="334"/>
      <c r="H7" s="312"/>
      <c r="I7" s="335"/>
      <c r="J7" s="336"/>
      <c r="K7" s="205"/>
      <c r="L7" s="205"/>
      <c r="M7" s="205"/>
      <c r="N7" s="205"/>
      <c r="O7" s="222"/>
      <c r="P7" s="216"/>
      <c r="Q7" s="239"/>
      <c r="R7" s="283" t="s">
        <v>50</v>
      </c>
      <c r="S7" s="225"/>
    </row>
    <row r="8" spans="1:66" s="226" customFormat="1" x14ac:dyDescent="0.3">
      <c r="A8" s="249"/>
      <c r="B8" s="216"/>
      <c r="C8" s="331"/>
      <c r="D8" s="332"/>
      <c r="E8" s="333"/>
      <c r="F8" s="334"/>
      <c r="G8" s="334"/>
      <c r="H8" s="312"/>
      <c r="I8" s="335"/>
      <c r="J8" s="336"/>
      <c r="K8" s="205"/>
      <c r="L8" s="205"/>
      <c r="M8" s="205"/>
      <c r="N8" s="205"/>
      <c r="O8" s="222"/>
      <c r="P8" s="306"/>
      <c r="Q8" s="239"/>
      <c r="R8" s="239" t="s">
        <v>148</v>
      </c>
      <c r="S8" s="225"/>
    </row>
    <row r="9" spans="1:66" s="226" customFormat="1" x14ac:dyDescent="0.3">
      <c r="A9" s="249"/>
      <c r="B9" s="306"/>
      <c r="C9" s="240"/>
      <c r="D9" s="241"/>
      <c r="E9" s="219"/>
      <c r="F9" s="392"/>
      <c r="G9" s="392"/>
      <c r="H9" s="310"/>
      <c r="I9" s="393"/>
      <c r="J9" s="394"/>
      <c r="K9" s="205"/>
      <c r="L9" s="205"/>
      <c r="M9" s="274"/>
      <c r="N9" s="274"/>
      <c r="O9" s="270"/>
      <c r="P9" s="216"/>
      <c r="Q9" s="216"/>
      <c r="R9" s="216" t="s">
        <v>153</v>
      </c>
      <c r="S9" s="225"/>
    </row>
    <row r="10" spans="1:66" s="226" customFormat="1" x14ac:dyDescent="0.3">
      <c r="A10" s="249"/>
      <c r="B10" s="306"/>
      <c r="C10" s="217"/>
      <c r="D10" s="218"/>
      <c r="E10" s="219"/>
      <c r="F10" s="392"/>
      <c r="G10" s="392"/>
      <c r="H10" s="310"/>
      <c r="I10" s="393"/>
      <c r="J10" s="394"/>
      <c r="K10" s="205"/>
      <c r="L10" s="205"/>
      <c r="M10" s="274"/>
      <c r="N10" s="274"/>
      <c r="O10" s="270"/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23</v>
      </c>
      <c r="L13" s="205">
        <f t="shared" si="1"/>
        <v>23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18</v>
      </c>
      <c r="L14" s="205">
        <f t="shared" si="1"/>
        <v>18</v>
      </c>
      <c r="M14" s="205"/>
      <c r="N14" s="205"/>
      <c r="O14" s="222" t="s">
        <v>311</v>
      </c>
      <c r="P14" s="216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256</v>
      </c>
      <c r="C16" s="331" t="s">
        <v>32</v>
      </c>
      <c r="D16" s="332" t="s">
        <v>28</v>
      </c>
      <c r="E16" s="333">
        <v>2020</v>
      </c>
      <c r="F16" s="334">
        <v>46237</v>
      </c>
      <c r="G16" s="334">
        <v>46237</v>
      </c>
      <c r="H16" s="310"/>
      <c r="I16" s="335"/>
      <c r="J16" s="336"/>
      <c r="K16" s="205">
        <f t="shared" ref="K16:L17" si="2">$F$1-F16</f>
        <v>50</v>
      </c>
      <c r="L16" s="205">
        <f t="shared" si="2"/>
        <v>50</v>
      </c>
      <c r="M16" s="205"/>
      <c r="N16" s="205"/>
      <c r="O16" s="222" t="s">
        <v>271</v>
      </c>
      <c r="P16" s="216" t="s">
        <v>303</v>
      </c>
      <c r="Q16" s="251"/>
      <c r="R16" s="252"/>
      <c r="S16" s="253"/>
    </row>
    <row r="17" spans="1:66" s="226" customFormat="1" ht="31.95" customHeight="1" x14ac:dyDescent="0.3">
      <c r="A17" s="249">
        <v>2</v>
      </c>
      <c r="B17" s="260" t="s">
        <v>65</v>
      </c>
      <c r="C17" s="331" t="s">
        <v>29</v>
      </c>
      <c r="D17" s="332" t="s">
        <v>28</v>
      </c>
      <c r="E17" s="333">
        <v>2023</v>
      </c>
      <c r="F17" s="206">
        <v>46254</v>
      </c>
      <c r="G17" s="206">
        <v>46254</v>
      </c>
      <c r="H17" s="220"/>
      <c r="I17" s="220"/>
      <c r="J17" s="221"/>
      <c r="K17" s="201">
        <f t="shared" si="2"/>
        <v>33</v>
      </c>
      <c r="L17" s="201">
        <f t="shared" si="2"/>
        <v>33</v>
      </c>
      <c r="M17" s="205"/>
      <c r="N17" s="205"/>
      <c r="O17" s="222" t="s">
        <v>272</v>
      </c>
      <c r="P17" s="306" t="s">
        <v>48</v>
      </c>
      <c r="Q17" s="251"/>
      <c r="R17" s="252"/>
      <c r="S17" s="253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05"/>
      <c r="B19" s="227"/>
      <c r="C19" s="240"/>
      <c r="D19" s="241"/>
      <c r="E19" s="219"/>
      <c r="F19" s="206"/>
      <c r="G19" s="206"/>
      <c r="H19" s="305"/>
      <c r="I19" s="220"/>
      <c r="J19" s="221"/>
      <c r="K19" s="201"/>
      <c r="L19" s="201"/>
      <c r="M19" s="201"/>
      <c r="N19" s="201"/>
      <c r="O19" s="222"/>
      <c r="P19" s="260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3">$F$1-F21</f>
        <v>124</v>
      </c>
      <c r="L21" s="201">
        <f t="shared" si="3"/>
        <v>124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3"/>
        <v>67</v>
      </c>
      <c r="L22" s="201">
        <f t="shared" si="3"/>
        <v>67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3"/>
        <v>54</v>
      </c>
      <c r="L23" s="201">
        <f t="shared" si="3"/>
        <v>54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B18B-7CE4-462B-942A-BBA114906DFA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46288</v>
      </c>
      <c r="G1" s="206">
        <v>46288</v>
      </c>
      <c r="H1" s="206">
        <v>46288</v>
      </c>
      <c r="I1" s="206">
        <v>46288</v>
      </c>
      <c r="J1" s="206">
        <v>46288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97" t="s">
        <v>7</v>
      </c>
      <c r="L3" s="397" t="s">
        <v>19</v>
      </c>
      <c r="M3" s="397" t="s">
        <v>20</v>
      </c>
      <c r="N3" s="39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8</v>
      </c>
      <c r="L5" s="205">
        <f t="shared" si="0"/>
        <v>8</v>
      </c>
      <c r="M5" s="205"/>
      <c r="N5" s="205"/>
      <c r="O5" s="222" t="s">
        <v>314</v>
      </c>
      <c r="P5" s="239" t="s">
        <v>304</v>
      </c>
      <c r="Q5" s="283" t="s">
        <v>148</v>
      </c>
      <c r="R5" s="306" t="s">
        <v>30</v>
      </c>
      <c r="S5" s="225"/>
    </row>
    <row r="6" spans="1:66" s="226" customFormat="1" ht="27.6" x14ac:dyDescent="0.3">
      <c r="A6" s="344">
        <v>2</v>
      </c>
      <c r="B6" s="223" t="s">
        <v>316</v>
      </c>
      <c r="C6" s="337" t="s">
        <v>34</v>
      </c>
      <c r="D6" s="338" t="s">
        <v>317</v>
      </c>
      <c r="E6" s="339">
        <v>2018</v>
      </c>
      <c r="F6" s="234">
        <v>46288</v>
      </c>
      <c r="G6" s="234">
        <v>46288</v>
      </c>
      <c r="H6" s="296"/>
      <c r="I6" s="341"/>
      <c r="J6" s="342"/>
      <c r="K6" s="343">
        <f t="shared" ref="K6:K8" si="1">$F$1-F6</f>
        <v>0</v>
      </c>
      <c r="L6" s="343">
        <f t="shared" ref="L6:L8" si="2">$F$1-G6</f>
        <v>0</v>
      </c>
      <c r="M6" s="343"/>
      <c r="N6" s="343"/>
      <c r="O6" s="238" t="s">
        <v>318</v>
      </c>
      <c r="P6" s="223" t="s">
        <v>153</v>
      </c>
      <c r="Q6" s="223" t="s">
        <v>153</v>
      </c>
      <c r="R6" s="283" t="s">
        <v>26</v>
      </c>
      <c r="S6" s="225"/>
    </row>
    <row r="7" spans="1:66" s="226" customFormat="1" x14ac:dyDescent="0.3">
      <c r="A7" s="249">
        <v>3</v>
      </c>
      <c r="B7" s="216" t="s">
        <v>256</v>
      </c>
      <c r="C7" s="331" t="s">
        <v>32</v>
      </c>
      <c r="D7" s="332" t="s">
        <v>28</v>
      </c>
      <c r="E7" s="333">
        <v>2020</v>
      </c>
      <c r="F7" s="334">
        <v>46237</v>
      </c>
      <c r="G7" s="334">
        <v>46237</v>
      </c>
      <c r="H7" s="310"/>
      <c r="I7" s="335"/>
      <c r="J7" s="336"/>
      <c r="K7" s="205">
        <f t="shared" si="1"/>
        <v>51</v>
      </c>
      <c r="L7" s="205">
        <f t="shared" si="2"/>
        <v>51</v>
      </c>
      <c r="M7" s="205"/>
      <c r="N7" s="205"/>
      <c r="O7" s="222" t="s">
        <v>271</v>
      </c>
      <c r="P7" s="216" t="s">
        <v>235</v>
      </c>
      <c r="Q7" s="239"/>
      <c r="R7" s="283" t="s">
        <v>50</v>
      </c>
      <c r="S7" s="225"/>
    </row>
    <row r="8" spans="1:66" s="226" customFormat="1" ht="27.6" x14ac:dyDescent="0.3">
      <c r="A8" s="249">
        <v>4</v>
      </c>
      <c r="B8" s="260" t="s">
        <v>65</v>
      </c>
      <c r="C8" s="331" t="s">
        <v>29</v>
      </c>
      <c r="D8" s="332" t="s">
        <v>28</v>
      </c>
      <c r="E8" s="333">
        <v>2023</v>
      </c>
      <c r="F8" s="206">
        <v>46254</v>
      </c>
      <c r="G8" s="206">
        <v>46254</v>
      </c>
      <c r="H8" s="220"/>
      <c r="I8" s="220"/>
      <c r="J8" s="221"/>
      <c r="K8" s="201">
        <f t="shared" si="1"/>
        <v>34</v>
      </c>
      <c r="L8" s="201">
        <f t="shared" si="2"/>
        <v>34</v>
      </c>
      <c r="M8" s="205"/>
      <c r="N8" s="205"/>
      <c r="O8" s="222" t="s">
        <v>272</v>
      </c>
      <c r="P8" s="306" t="s">
        <v>48</v>
      </c>
      <c r="Q8" s="239"/>
      <c r="R8" s="306" t="s">
        <v>240</v>
      </c>
      <c r="S8" s="225"/>
    </row>
    <row r="9" spans="1:66" s="226" customFormat="1" x14ac:dyDescent="0.3">
      <c r="A9" s="344">
        <v>5</v>
      </c>
      <c r="B9" s="308" t="s">
        <v>200</v>
      </c>
      <c r="C9" s="337" t="s">
        <v>29</v>
      </c>
      <c r="D9" s="338" t="s">
        <v>28</v>
      </c>
      <c r="E9" s="339">
        <v>2023</v>
      </c>
      <c r="F9" s="234">
        <v>46288</v>
      </c>
      <c r="G9" s="234">
        <v>46288</v>
      </c>
      <c r="H9" s="298"/>
      <c r="I9" s="378"/>
      <c r="J9" s="379"/>
      <c r="K9" s="237">
        <f t="shared" ref="K9" si="3">$F$1-F9</f>
        <v>0</v>
      </c>
      <c r="L9" s="237">
        <f t="shared" ref="L9" si="4">$F$1-G9</f>
        <v>0</v>
      </c>
      <c r="M9" s="380"/>
      <c r="N9" s="380"/>
      <c r="O9" s="320" t="s">
        <v>319</v>
      </c>
      <c r="P9" s="283" t="s">
        <v>148</v>
      </c>
      <c r="Q9" s="216"/>
      <c r="R9" s="239"/>
      <c r="S9" s="225"/>
    </row>
    <row r="10" spans="1:66" s="226" customFormat="1" x14ac:dyDescent="0.3">
      <c r="A10" s="249"/>
      <c r="B10" s="306"/>
      <c r="C10" s="217"/>
      <c r="D10" s="218"/>
      <c r="E10" s="219"/>
      <c r="F10" s="392"/>
      <c r="G10" s="392"/>
      <c r="H10" s="310"/>
      <c r="I10" s="393"/>
      <c r="J10" s="394"/>
      <c r="K10" s="205"/>
      <c r="L10" s="205"/>
      <c r="M10" s="274"/>
      <c r="N10" s="274"/>
      <c r="O10" s="270"/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5">$F$1-F13</f>
        <v>24</v>
      </c>
      <c r="L13" s="205">
        <f t="shared" si="5"/>
        <v>24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5"/>
        <v>19</v>
      </c>
      <c r="L14" s="205">
        <f t="shared" si="5"/>
        <v>19</v>
      </c>
      <c r="M14" s="205"/>
      <c r="N14" s="205"/>
      <c r="O14" s="222" t="s">
        <v>311</v>
      </c>
      <c r="P14" s="216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6">$F$1-F19</f>
        <v>125</v>
      </c>
      <c r="L19" s="201">
        <f t="shared" si="6"/>
        <v>125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6"/>
        <v>68</v>
      </c>
      <c r="L20" s="201">
        <f t="shared" si="6"/>
        <v>68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6"/>
        <v>55</v>
      </c>
      <c r="L21" s="201">
        <f t="shared" si="6"/>
        <v>55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R6:R9">
    <sortCondition ref="R5:R9"/>
  </sortState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0A81-7134-447F-8458-1D0788D0C6EB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46288</v>
      </c>
      <c r="G1" s="206">
        <v>46288</v>
      </c>
      <c r="H1" s="206">
        <v>46288</v>
      </c>
      <c r="I1" s="206">
        <v>46288</v>
      </c>
      <c r="J1" s="206">
        <v>46288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98" t="s">
        <v>7</v>
      </c>
      <c r="L3" s="398" t="s">
        <v>19</v>
      </c>
      <c r="M3" s="398" t="s">
        <v>20</v>
      </c>
      <c r="N3" s="39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9" si="0">$F$1-F5</f>
        <v>8</v>
      </c>
      <c r="L5" s="205">
        <f t="shared" si="0"/>
        <v>8</v>
      </c>
      <c r="M5" s="205"/>
      <c r="N5" s="205"/>
      <c r="O5" s="222" t="s">
        <v>314</v>
      </c>
      <c r="P5" s="239" t="s">
        <v>304</v>
      </c>
      <c r="Q5" s="283" t="s">
        <v>148</v>
      </c>
      <c r="R5" s="306" t="s">
        <v>30</v>
      </c>
      <c r="S5" s="225"/>
    </row>
    <row r="6" spans="1:66" s="226" customFormat="1" ht="27.6" x14ac:dyDescent="0.3">
      <c r="A6" s="344">
        <v>2</v>
      </c>
      <c r="B6" s="223" t="s">
        <v>316</v>
      </c>
      <c r="C6" s="337" t="s">
        <v>34</v>
      </c>
      <c r="D6" s="338" t="s">
        <v>317</v>
      </c>
      <c r="E6" s="339">
        <v>2018</v>
      </c>
      <c r="F6" s="234">
        <v>46288</v>
      </c>
      <c r="G6" s="234">
        <v>46288</v>
      </c>
      <c r="H6" s="296"/>
      <c r="I6" s="341"/>
      <c r="J6" s="342"/>
      <c r="K6" s="343">
        <f t="shared" si="0"/>
        <v>0</v>
      </c>
      <c r="L6" s="343">
        <f t="shared" si="0"/>
        <v>0</v>
      </c>
      <c r="M6" s="343"/>
      <c r="N6" s="343"/>
      <c r="O6" s="238" t="s">
        <v>318</v>
      </c>
      <c r="P6" s="223" t="s">
        <v>153</v>
      </c>
      <c r="Q6" s="223" t="s">
        <v>153</v>
      </c>
      <c r="R6" s="283" t="s">
        <v>26</v>
      </c>
      <c r="S6" s="225"/>
    </row>
    <row r="7" spans="1:66" s="226" customFormat="1" x14ac:dyDescent="0.3">
      <c r="A7" s="249">
        <v>3</v>
      </c>
      <c r="B7" s="216" t="s">
        <v>256</v>
      </c>
      <c r="C7" s="331" t="s">
        <v>32</v>
      </c>
      <c r="D7" s="332" t="s">
        <v>28</v>
      </c>
      <c r="E7" s="333">
        <v>2020</v>
      </c>
      <c r="F7" s="334">
        <v>46237</v>
      </c>
      <c r="G7" s="334">
        <v>46237</v>
      </c>
      <c r="H7" s="310"/>
      <c r="I7" s="335"/>
      <c r="J7" s="336"/>
      <c r="K7" s="205">
        <f t="shared" si="0"/>
        <v>51</v>
      </c>
      <c r="L7" s="205">
        <f t="shared" si="0"/>
        <v>51</v>
      </c>
      <c r="M7" s="205"/>
      <c r="N7" s="205"/>
      <c r="O7" s="222" t="s">
        <v>271</v>
      </c>
      <c r="P7" s="216" t="s">
        <v>235</v>
      </c>
      <c r="Q7" s="239"/>
      <c r="R7" s="283" t="s">
        <v>50</v>
      </c>
      <c r="S7" s="225"/>
    </row>
    <row r="8" spans="1:66" s="226" customFormat="1" ht="27.6" x14ac:dyDescent="0.3">
      <c r="A8" s="249">
        <v>4</v>
      </c>
      <c r="B8" s="260" t="s">
        <v>65</v>
      </c>
      <c r="C8" s="331" t="s">
        <v>29</v>
      </c>
      <c r="D8" s="332" t="s">
        <v>28</v>
      </c>
      <c r="E8" s="333">
        <v>2023</v>
      </c>
      <c r="F8" s="206">
        <v>46254</v>
      </c>
      <c r="G8" s="206">
        <v>46254</v>
      </c>
      <c r="H8" s="220"/>
      <c r="I8" s="220"/>
      <c r="J8" s="221"/>
      <c r="K8" s="201">
        <f t="shared" si="0"/>
        <v>34</v>
      </c>
      <c r="L8" s="201">
        <f t="shared" si="0"/>
        <v>34</v>
      </c>
      <c r="M8" s="205"/>
      <c r="N8" s="205"/>
      <c r="O8" s="222" t="s">
        <v>272</v>
      </c>
      <c r="P8" s="306" t="s">
        <v>48</v>
      </c>
      <c r="Q8" s="239"/>
      <c r="R8" s="306" t="s">
        <v>240</v>
      </c>
      <c r="S8" s="225"/>
    </row>
    <row r="9" spans="1:66" s="226" customFormat="1" x14ac:dyDescent="0.3">
      <c r="A9" s="344">
        <v>5</v>
      </c>
      <c r="B9" s="308" t="s">
        <v>200</v>
      </c>
      <c r="C9" s="337" t="s">
        <v>29</v>
      </c>
      <c r="D9" s="338" t="s">
        <v>28</v>
      </c>
      <c r="E9" s="339">
        <v>2023</v>
      </c>
      <c r="F9" s="234">
        <v>46288</v>
      </c>
      <c r="G9" s="234">
        <v>46288</v>
      </c>
      <c r="H9" s="298"/>
      <c r="I9" s="378"/>
      <c r="J9" s="379"/>
      <c r="K9" s="237">
        <f t="shared" si="0"/>
        <v>0</v>
      </c>
      <c r="L9" s="237">
        <f t="shared" si="0"/>
        <v>0</v>
      </c>
      <c r="M9" s="380"/>
      <c r="N9" s="380"/>
      <c r="O9" s="320" t="s">
        <v>319</v>
      </c>
      <c r="P9" s="283" t="s">
        <v>148</v>
      </c>
      <c r="Q9" s="216"/>
      <c r="R9" s="239"/>
      <c r="S9" s="225"/>
    </row>
    <row r="10" spans="1:66" s="226" customFormat="1" x14ac:dyDescent="0.3">
      <c r="A10" s="249"/>
      <c r="B10" s="306"/>
      <c r="C10" s="217"/>
      <c r="D10" s="218"/>
      <c r="E10" s="219"/>
      <c r="F10" s="392"/>
      <c r="G10" s="392"/>
      <c r="H10" s="310"/>
      <c r="I10" s="393"/>
      <c r="J10" s="394"/>
      <c r="K10" s="205"/>
      <c r="L10" s="205"/>
      <c r="M10" s="274"/>
      <c r="N10" s="274"/>
      <c r="O10" s="270"/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24</v>
      </c>
      <c r="L13" s="205">
        <f t="shared" si="1"/>
        <v>24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19</v>
      </c>
      <c r="L14" s="205">
        <f t="shared" si="1"/>
        <v>19</v>
      </c>
      <c r="M14" s="205"/>
      <c r="N14" s="205"/>
      <c r="O14" s="222" t="s">
        <v>311</v>
      </c>
      <c r="P14" s="216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125</v>
      </c>
      <c r="L19" s="201">
        <f t="shared" si="2"/>
        <v>125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68</v>
      </c>
      <c r="L20" s="201">
        <f t="shared" si="2"/>
        <v>68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55</v>
      </c>
      <c r="L21" s="201">
        <f t="shared" si="2"/>
        <v>55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D961-2925-4520-BCB7-086F3D857AE4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46290</v>
      </c>
      <c r="G1" s="206">
        <v>46290</v>
      </c>
      <c r="H1" s="206">
        <v>46290</v>
      </c>
      <c r="I1" s="206">
        <v>46290</v>
      </c>
      <c r="J1" s="206">
        <v>46290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399" t="s">
        <v>7</v>
      </c>
      <c r="L3" s="399" t="s">
        <v>19</v>
      </c>
      <c r="M3" s="399" t="s">
        <v>20</v>
      </c>
      <c r="N3" s="39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10</v>
      </c>
      <c r="L5" s="205">
        <f t="shared" si="0"/>
        <v>10</v>
      </c>
      <c r="M5" s="205"/>
      <c r="N5" s="205"/>
      <c r="O5" s="222" t="s">
        <v>314</v>
      </c>
      <c r="P5" s="239" t="s">
        <v>304</v>
      </c>
      <c r="Q5" s="283" t="s">
        <v>256</v>
      </c>
      <c r="R5" s="306" t="s">
        <v>30</v>
      </c>
      <c r="S5" s="225"/>
    </row>
    <row r="6" spans="1:66" s="226" customFormat="1" ht="27.6" x14ac:dyDescent="0.3">
      <c r="A6" s="249">
        <v>2</v>
      </c>
      <c r="B6" s="216" t="s">
        <v>316</v>
      </c>
      <c r="C6" s="331" t="s">
        <v>34</v>
      </c>
      <c r="D6" s="332" t="s">
        <v>317</v>
      </c>
      <c r="E6" s="333">
        <v>2018</v>
      </c>
      <c r="F6" s="206">
        <v>46288</v>
      </c>
      <c r="G6" s="206">
        <v>46288</v>
      </c>
      <c r="H6" s="312"/>
      <c r="I6" s="335"/>
      <c r="J6" s="336"/>
      <c r="K6" s="205">
        <f t="shared" si="0"/>
        <v>2</v>
      </c>
      <c r="L6" s="205">
        <f t="shared" si="0"/>
        <v>2</v>
      </c>
      <c r="M6" s="205"/>
      <c r="N6" s="205"/>
      <c r="O6" s="222" t="s">
        <v>318</v>
      </c>
      <c r="P6" s="216" t="s">
        <v>153</v>
      </c>
      <c r="Q6" s="223"/>
      <c r="R6" s="239" t="s">
        <v>26</v>
      </c>
      <c r="S6" s="225"/>
    </row>
    <row r="7" spans="1:66" s="226" customFormat="1" ht="27.6" x14ac:dyDescent="0.3">
      <c r="A7" s="249">
        <v>4</v>
      </c>
      <c r="B7" s="260" t="s">
        <v>65</v>
      </c>
      <c r="C7" s="331" t="s">
        <v>29</v>
      </c>
      <c r="D7" s="332" t="s">
        <v>28</v>
      </c>
      <c r="E7" s="333">
        <v>2023</v>
      </c>
      <c r="F7" s="206">
        <v>46254</v>
      </c>
      <c r="G7" s="206">
        <v>46254</v>
      </c>
      <c r="H7" s="401"/>
      <c r="I7" s="220"/>
      <c r="J7" s="221"/>
      <c r="K7" s="201">
        <f t="shared" si="0"/>
        <v>36</v>
      </c>
      <c r="L7" s="201">
        <f t="shared" si="0"/>
        <v>36</v>
      </c>
      <c r="M7" s="205"/>
      <c r="N7" s="205"/>
      <c r="O7" s="222" t="s">
        <v>272</v>
      </c>
      <c r="P7" s="306" t="s">
        <v>48</v>
      </c>
      <c r="Q7" s="239"/>
      <c r="R7" s="239" t="s">
        <v>50</v>
      </c>
      <c r="S7" s="225"/>
    </row>
    <row r="8" spans="1:66" s="226" customFormat="1" x14ac:dyDescent="0.3">
      <c r="A8" s="249">
        <v>5</v>
      </c>
      <c r="B8" s="306" t="s">
        <v>200</v>
      </c>
      <c r="C8" s="331" t="s">
        <v>29</v>
      </c>
      <c r="D8" s="332" t="s">
        <v>28</v>
      </c>
      <c r="E8" s="333">
        <v>2023</v>
      </c>
      <c r="F8" s="206">
        <v>46288</v>
      </c>
      <c r="G8" s="206">
        <v>46288</v>
      </c>
      <c r="H8" s="312"/>
      <c r="I8" s="393"/>
      <c r="J8" s="394"/>
      <c r="K8" s="201">
        <f t="shared" si="0"/>
        <v>2</v>
      </c>
      <c r="L8" s="201">
        <f t="shared" si="0"/>
        <v>2</v>
      </c>
      <c r="M8" s="274"/>
      <c r="N8" s="274"/>
      <c r="O8" s="270" t="s">
        <v>319</v>
      </c>
      <c r="P8" s="239" t="s">
        <v>148</v>
      </c>
      <c r="Q8" s="239"/>
      <c r="R8" s="306" t="s">
        <v>240</v>
      </c>
      <c r="S8" s="225"/>
    </row>
    <row r="9" spans="1:66" s="226" customFormat="1" x14ac:dyDescent="0.3">
      <c r="A9" s="249"/>
      <c r="B9" s="216"/>
      <c r="C9" s="331"/>
      <c r="D9" s="332"/>
      <c r="E9" s="333"/>
      <c r="F9" s="334"/>
      <c r="G9" s="334"/>
      <c r="H9" s="310"/>
      <c r="I9" s="335"/>
      <c r="J9" s="336"/>
      <c r="K9" s="205"/>
      <c r="L9" s="205"/>
      <c r="M9" s="205"/>
      <c r="N9" s="205"/>
      <c r="O9" s="222"/>
      <c r="P9" s="216"/>
      <c r="Q9" s="216"/>
      <c r="R9" s="223" t="s">
        <v>235</v>
      </c>
      <c r="S9" s="225"/>
    </row>
    <row r="10" spans="1:66" s="226" customFormat="1" x14ac:dyDescent="0.3">
      <c r="A10" s="249"/>
      <c r="B10" s="306"/>
      <c r="C10" s="217"/>
      <c r="D10" s="218"/>
      <c r="E10" s="219"/>
      <c r="F10" s="392"/>
      <c r="G10" s="392"/>
      <c r="H10" s="310"/>
      <c r="I10" s="393"/>
      <c r="J10" s="394"/>
      <c r="K10" s="205"/>
      <c r="L10" s="205"/>
      <c r="M10" s="274"/>
      <c r="N10" s="274"/>
      <c r="O10" s="270"/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26</v>
      </c>
      <c r="L13" s="205">
        <f t="shared" si="1"/>
        <v>26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21</v>
      </c>
      <c r="L14" s="205">
        <f t="shared" si="1"/>
        <v>21</v>
      </c>
      <c r="M14" s="205"/>
      <c r="N14" s="205"/>
      <c r="O14" s="222" t="s">
        <v>311</v>
      </c>
      <c r="P14" s="216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127</v>
      </c>
      <c r="L19" s="201">
        <f t="shared" si="2"/>
        <v>127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70</v>
      </c>
      <c r="L20" s="201">
        <f t="shared" si="2"/>
        <v>70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57</v>
      </c>
      <c r="L21" s="201">
        <f t="shared" si="2"/>
        <v>57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sortState xmlns:xlrd2="http://schemas.microsoft.com/office/spreadsheetml/2017/richdata2" ref="A5:P9">
    <sortCondition ref="A5:A9"/>
  </sortState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A4F1-2B74-4DD7-A0F4-60B02A6AB5BA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46291</v>
      </c>
      <c r="G1" s="206">
        <v>46291</v>
      </c>
      <c r="H1" s="206">
        <v>46291</v>
      </c>
      <c r="I1" s="206">
        <v>46291</v>
      </c>
      <c r="J1" s="206">
        <v>46291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0" t="s">
        <v>7</v>
      </c>
      <c r="L3" s="400" t="s">
        <v>19</v>
      </c>
      <c r="M3" s="400" t="s">
        <v>20</v>
      </c>
      <c r="N3" s="40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11</v>
      </c>
      <c r="L5" s="205">
        <f t="shared" si="0"/>
        <v>11</v>
      </c>
      <c r="M5" s="205"/>
      <c r="N5" s="205"/>
      <c r="O5" s="222" t="s">
        <v>314</v>
      </c>
      <c r="P5" s="239" t="s">
        <v>304</v>
      </c>
      <c r="Q5" s="283"/>
      <c r="R5" s="306" t="s">
        <v>30</v>
      </c>
      <c r="S5" s="225"/>
    </row>
    <row r="6" spans="1:66" s="226" customFormat="1" ht="27.6" x14ac:dyDescent="0.3">
      <c r="A6" s="249">
        <v>2</v>
      </c>
      <c r="B6" s="216" t="s">
        <v>316</v>
      </c>
      <c r="C6" s="331" t="s">
        <v>34</v>
      </c>
      <c r="D6" s="332" t="s">
        <v>317</v>
      </c>
      <c r="E6" s="333">
        <v>2018</v>
      </c>
      <c r="F6" s="206">
        <v>46288</v>
      </c>
      <c r="G6" s="206">
        <v>46288</v>
      </c>
      <c r="H6" s="312"/>
      <c r="I6" s="335"/>
      <c r="J6" s="336"/>
      <c r="K6" s="205">
        <f t="shared" si="0"/>
        <v>3</v>
      </c>
      <c r="L6" s="205">
        <f t="shared" si="0"/>
        <v>3</v>
      </c>
      <c r="M6" s="205"/>
      <c r="N6" s="205"/>
      <c r="O6" s="222" t="s">
        <v>318</v>
      </c>
      <c r="P6" s="216" t="s">
        <v>153</v>
      </c>
      <c r="Q6" s="223"/>
      <c r="R6" s="239" t="s">
        <v>26</v>
      </c>
      <c r="S6" s="225"/>
    </row>
    <row r="7" spans="1:66" s="226" customFormat="1" ht="27.6" x14ac:dyDescent="0.3">
      <c r="A7" s="249">
        <v>3</v>
      </c>
      <c r="B7" s="260" t="s">
        <v>65</v>
      </c>
      <c r="C7" s="331" t="s">
        <v>29</v>
      </c>
      <c r="D7" s="332" t="s">
        <v>28</v>
      </c>
      <c r="E7" s="333">
        <v>2023</v>
      </c>
      <c r="F7" s="206">
        <v>46254</v>
      </c>
      <c r="G7" s="206">
        <v>46254</v>
      </c>
      <c r="H7" s="401"/>
      <c r="I7" s="220"/>
      <c r="J7" s="221"/>
      <c r="K7" s="201">
        <f t="shared" si="0"/>
        <v>37</v>
      </c>
      <c r="L7" s="201">
        <f t="shared" si="0"/>
        <v>37</v>
      </c>
      <c r="M7" s="205"/>
      <c r="N7" s="205"/>
      <c r="O7" s="222" t="s">
        <v>272</v>
      </c>
      <c r="P7" s="306" t="s">
        <v>48</v>
      </c>
      <c r="Q7" s="239"/>
      <c r="R7" s="306" t="s">
        <v>240</v>
      </c>
      <c r="S7" s="225"/>
    </row>
    <row r="8" spans="1:66" s="226" customFormat="1" x14ac:dyDescent="0.3">
      <c r="A8" s="249">
        <v>4</v>
      </c>
      <c r="B8" s="306" t="s">
        <v>200</v>
      </c>
      <c r="C8" s="331" t="s">
        <v>29</v>
      </c>
      <c r="D8" s="332" t="s">
        <v>28</v>
      </c>
      <c r="E8" s="333">
        <v>2023</v>
      </c>
      <c r="F8" s="206">
        <v>46288</v>
      </c>
      <c r="G8" s="206">
        <v>46288</v>
      </c>
      <c r="H8" s="312"/>
      <c r="I8" s="393"/>
      <c r="J8" s="394"/>
      <c r="K8" s="201">
        <f t="shared" si="0"/>
        <v>3</v>
      </c>
      <c r="L8" s="201">
        <f t="shared" si="0"/>
        <v>3</v>
      </c>
      <c r="M8" s="274"/>
      <c r="N8" s="274"/>
      <c r="O8" s="270" t="s">
        <v>319</v>
      </c>
      <c r="P8" s="239" t="s">
        <v>148</v>
      </c>
      <c r="Q8" s="239"/>
      <c r="R8" s="223" t="s">
        <v>44</v>
      </c>
      <c r="S8" s="225"/>
    </row>
    <row r="9" spans="1:66" s="226" customFormat="1" x14ac:dyDescent="0.3">
      <c r="A9" s="249">
        <v>5</v>
      </c>
      <c r="B9" s="308" t="s">
        <v>235</v>
      </c>
      <c r="C9" s="337" t="s">
        <v>320</v>
      </c>
      <c r="D9" s="338" t="s">
        <v>28</v>
      </c>
      <c r="E9" s="339">
        <v>2024</v>
      </c>
      <c r="F9" s="234">
        <v>46288</v>
      </c>
      <c r="G9" s="234">
        <v>46288</v>
      </c>
      <c r="H9" s="298"/>
      <c r="I9" s="341"/>
      <c r="J9" s="342"/>
      <c r="K9" s="343">
        <v>0</v>
      </c>
      <c r="L9" s="343">
        <v>0</v>
      </c>
      <c r="M9" s="343"/>
      <c r="N9" s="343"/>
      <c r="O9" s="238" t="s">
        <v>321</v>
      </c>
      <c r="P9" s="239" t="s">
        <v>256</v>
      </c>
      <c r="Q9" s="216"/>
      <c r="R9" s="223"/>
      <c r="S9" s="225"/>
    </row>
    <row r="10" spans="1:66" s="226" customFormat="1" x14ac:dyDescent="0.3">
      <c r="A10" s="249"/>
      <c r="B10" s="306"/>
      <c r="C10" s="217"/>
      <c r="D10" s="218"/>
      <c r="E10" s="219"/>
      <c r="F10" s="392"/>
      <c r="G10" s="392"/>
      <c r="H10" s="310"/>
      <c r="I10" s="393"/>
      <c r="J10" s="394"/>
      <c r="K10" s="205"/>
      <c r="L10" s="205"/>
      <c r="M10" s="274"/>
      <c r="N10" s="274"/>
      <c r="O10" s="270"/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285</v>
      </c>
      <c r="C13" s="331" t="s">
        <v>34</v>
      </c>
      <c r="D13" s="332" t="s">
        <v>286</v>
      </c>
      <c r="E13" s="333">
        <v>2014</v>
      </c>
      <c r="F13" s="206">
        <v>46264</v>
      </c>
      <c r="G13" s="206">
        <v>46264</v>
      </c>
      <c r="H13" s="312"/>
      <c r="I13" s="335"/>
      <c r="J13" s="336"/>
      <c r="K13" s="205">
        <f t="shared" ref="K13:L14" si="1">$F$1-F13</f>
        <v>27</v>
      </c>
      <c r="L13" s="205">
        <f t="shared" si="1"/>
        <v>27</v>
      </c>
      <c r="M13" s="205"/>
      <c r="N13" s="205"/>
      <c r="O13" s="222" t="s">
        <v>312</v>
      </c>
      <c r="P13" s="216"/>
      <c r="Q13" s="251"/>
      <c r="R13" s="252"/>
      <c r="S13" s="253"/>
    </row>
    <row r="14" spans="1:66" s="226" customFormat="1" ht="13.95" customHeight="1" x14ac:dyDescent="0.3">
      <c r="A14" s="249">
        <v>2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si="1"/>
        <v>22</v>
      </c>
      <c r="L14" s="205">
        <f t="shared" si="1"/>
        <v>22</v>
      </c>
      <c r="M14" s="205"/>
      <c r="N14" s="205"/>
      <c r="O14" s="222" t="s">
        <v>311</v>
      </c>
      <c r="P14" s="216" t="s">
        <v>192</v>
      </c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128</v>
      </c>
      <c r="L19" s="201">
        <f t="shared" si="2"/>
        <v>128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71</v>
      </c>
      <c r="L20" s="201">
        <f t="shared" si="2"/>
        <v>71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58</v>
      </c>
      <c r="L21" s="201">
        <f t="shared" si="2"/>
        <v>58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honeticPr fontId="22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3D52-150E-4124-A5CB-D8D9D693A5D1}">
  <dimension ref="A1:BN22"/>
  <sheetViews>
    <sheetView workbookViewId="0">
      <selection activeCell="O38" sqref="O38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58.554687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46292</v>
      </c>
      <c r="G1" s="206">
        <v>46292</v>
      </c>
      <c r="H1" s="206">
        <v>46292</v>
      </c>
      <c r="I1" s="206">
        <v>46292</v>
      </c>
      <c r="J1" s="206">
        <v>46292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2" t="s">
        <v>7</v>
      </c>
      <c r="L3" s="402" t="s">
        <v>19</v>
      </c>
      <c r="M3" s="402" t="s">
        <v>20</v>
      </c>
      <c r="N3" s="40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12</v>
      </c>
      <c r="L5" s="205">
        <f t="shared" si="0"/>
        <v>12</v>
      </c>
      <c r="M5" s="205"/>
      <c r="N5" s="205"/>
      <c r="O5" s="222" t="s">
        <v>314</v>
      </c>
      <c r="P5" s="239" t="s">
        <v>304</v>
      </c>
      <c r="Q5" s="223" t="s">
        <v>316</v>
      </c>
      <c r="R5" s="306" t="s">
        <v>30</v>
      </c>
      <c r="S5" s="225"/>
    </row>
    <row r="6" spans="1:66" s="226" customFormat="1" ht="27.6" x14ac:dyDescent="0.3">
      <c r="A6" s="249">
        <v>2</v>
      </c>
      <c r="B6" s="260" t="s">
        <v>65</v>
      </c>
      <c r="C6" s="331" t="s">
        <v>29</v>
      </c>
      <c r="D6" s="332" t="s">
        <v>28</v>
      </c>
      <c r="E6" s="333">
        <v>2023</v>
      </c>
      <c r="F6" s="206">
        <v>46254</v>
      </c>
      <c r="G6" s="206">
        <v>46254</v>
      </c>
      <c r="H6" s="401"/>
      <c r="I6" s="220"/>
      <c r="J6" s="221"/>
      <c r="K6" s="201">
        <f t="shared" ref="K6:K7" si="1">$F$1-F6</f>
        <v>38</v>
      </c>
      <c r="L6" s="201">
        <f t="shared" ref="L6:L7" si="2">$F$1-G6</f>
        <v>38</v>
      </c>
      <c r="M6" s="205"/>
      <c r="N6" s="205"/>
      <c r="O6" s="222" t="s">
        <v>272</v>
      </c>
      <c r="P6" s="306" t="s">
        <v>48</v>
      </c>
      <c r="Q6" s="223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1"/>
        <v>4</v>
      </c>
      <c r="L7" s="201">
        <f t="shared" si="2"/>
        <v>4</v>
      </c>
      <c r="M7" s="274"/>
      <c r="N7" s="274"/>
      <c r="O7" s="270" t="s">
        <v>319</v>
      </c>
      <c r="P7" s="239" t="s">
        <v>148</v>
      </c>
      <c r="Q7" s="239"/>
      <c r="R7" s="306" t="s">
        <v>240</v>
      </c>
      <c r="S7" s="225"/>
    </row>
    <row r="8" spans="1:66" s="226" customFormat="1" x14ac:dyDescent="0.3">
      <c r="A8" s="249">
        <v>4</v>
      </c>
      <c r="B8" s="306" t="s">
        <v>235</v>
      </c>
      <c r="C8" s="331" t="s">
        <v>320</v>
      </c>
      <c r="D8" s="332" t="s">
        <v>28</v>
      </c>
      <c r="E8" s="333">
        <v>2024</v>
      </c>
      <c r="F8" s="206">
        <v>46288</v>
      </c>
      <c r="G8" s="206">
        <v>46288</v>
      </c>
      <c r="H8" s="310"/>
      <c r="I8" s="335"/>
      <c r="J8" s="336"/>
      <c r="K8" s="205">
        <v>1</v>
      </c>
      <c r="L8" s="205">
        <v>1</v>
      </c>
      <c r="M8" s="205"/>
      <c r="N8" s="205"/>
      <c r="O8" s="222" t="s">
        <v>321</v>
      </c>
      <c r="P8" s="239" t="s">
        <v>256</v>
      </c>
      <c r="Q8" s="239"/>
      <c r="R8" s="216" t="s">
        <v>44</v>
      </c>
      <c r="S8" s="225"/>
    </row>
    <row r="9" spans="1:66" s="226" customFormat="1" x14ac:dyDescent="0.3">
      <c r="A9" s="249">
        <v>5</v>
      </c>
      <c r="B9" s="216" t="s">
        <v>285</v>
      </c>
      <c r="C9" s="331" t="s">
        <v>34</v>
      </c>
      <c r="D9" s="332" t="s">
        <v>286</v>
      </c>
      <c r="E9" s="333">
        <v>2014</v>
      </c>
      <c r="F9" s="206">
        <v>46264</v>
      </c>
      <c r="G9" s="206">
        <v>46264</v>
      </c>
      <c r="H9" s="312"/>
      <c r="I9" s="335"/>
      <c r="J9" s="336"/>
      <c r="K9" s="205">
        <f>$F$1-F9</f>
        <v>28</v>
      </c>
      <c r="L9" s="205">
        <f>$F$1-G9</f>
        <v>28</v>
      </c>
      <c r="M9" s="205"/>
      <c r="N9" s="205"/>
      <c r="O9" s="238" t="s">
        <v>322</v>
      </c>
      <c r="P9" s="239"/>
      <c r="Q9" s="216"/>
      <c r="R9" s="223"/>
      <c r="S9" s="225"/>
    </row>
    <row r="10" spans="1:66" s="226" customFormat="1" x14ac:dyDescent="0.3">
      <c r="A10" s="249">
        <v>6</v>
      </c>
      <c r="B10" s="308" t="s">
        <v>153</v>
      </c>
      <c r="C10" s="301" t="s">
        <v>32</v>
      </c>
      <c r="D10" s="302" t="s">
        <v>28</v>
      </c>
      <c r="E10" s="233">
        <v>2010</v>
      </c>
      <c r="F10" s="234">
        <v>46292</v>
      </c>
      <c r="G10" s="234">
        <v>46292</v>
      </c>
      <c r="H10" s="298"/>
      <c r="I10" s="378"/>
      <c r="J10" s="379"/>
      <c r="K10" s="343">
        <v>0</v>
      </c>
      <c r="L10" s="343">
        <v>0</v>
      </c>
      <c r="M10" s="380"/>
      <c r="N10" s="380"/>
      <c r="O10" s="320" t="s">
        <v>323</v>
      </c>
      <c r="P10" s="216"/>
      <c r="Q10" s="216"/>
      <c r="R10" s="216"/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305</v>
      </c>
      <c r="C13" s="331" t="s">
        <v>34</v>
      </c>
      <c r="D13" s="332" t="s">
        <v>290</v>
      </c>
      <c r="E13" s="333">
        <v>2014</v>
      </c>
      <c r="F13" s="206">
        <v>46269</v>
      </c>
      <c r="G13" s="206">
        <v>46269</v>
      </c>
      <c r="H13" s="312"/>
      <c r="I13" s="335"/>
      <c r="J13" s="336"/>
      <c r="K13" s="205">
        <f t="shared" ref="K13" si="3">$F$1-F13</f>
        <v>23</v>
      </c>
      <c r="L13" s="205">
        <f t="shared" ref="L13" si="4">$F$1-G13</f>
        <v>23</v>
      </c>
      <c r="M13" s="205"/>
      <c r="N13" s="205"/>
      <c r="O13" s="222" t="s">
        <v>311</v>
      </c>
      <c r="P13" s="216" t="s">
        <v>192</v>
      </c>
      <c r="Q13" s="251"/>
      <c r="R13" s="252"/>
      <c r="S13" s="253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5">$F$1-F19</f>
        <v>129</v>
      </c>
      <c r="L19" s="201">
        <f t="shared" si="5"/>
        <v>129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5"/>
        <v>72</v>
      </c>
      <c r="L20" s="201">
        <f t="shared" si="5"/>
        <v>72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5"/>
        <v>59</v>
      </c>
      <c r="L21" s="201">
        <f t="shared" si="5"/>
        <v>59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A40C-4023-47FF-8406-9ED3F4F079EC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46293</v>
      </c>
      <c r="G1" s="206">
        <v>46293</v>
      </c>
      <c r="H1" s="206">
        <v>46293</v>
      </c>
      <c r="I1" s="206">
        <v>46293</v>
      </c>
      <c r="J1" s="206">
        <v>46293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3" t="s">
        <v>7</v>
      </c>
      <c r="L3" s="403" t="s">
        <v>19</v>
      </c>
      <c r="M3" s="403" t="s">
        <v>20</v>
      </c>
      <c r="N3" s="40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7" si="0">$F$1-F5</f>
        <v>13</v>
      </c>
      <c r="L5" s="205">
        <f t="shared" si="0"/>
        <v>13</v>
      </c>
      <c r="M5" s="205"/>
      <c r="N5" s="205"/>
      <c r="O5" s="222" t="s">
        <v>314</v>
      </c>
      <c r="P5" s="239" t="s">
        <v>304</v>
      </c>
      <c r="Q5" s="223"/>
      <c r="R5" s="306" t="s">
        <v>30</v>
      </c>
      <c r="S5" s="225"/>
    </row>
    <row r="6" spans="1:66" s="226" customFormat="1" x14ac:dyDescent="0.3">
      <c r="A6" s="249">
        <v>2</v>
      </c>
      <c r="B6" s="260" t="s">
        <v>65</v>
      </c>
      <c r="C6" s="331" t="s">
        <v>29</v>
      </c>
      <c r="D6" s="332" t="s">
        <v>28</v>
      </c>
      <c r="E6" s="333">
        <v>2023</v>
      </c>
      <c r="F6" s="206">
        <v>46254</v>
      </c>
      <c r="G6" s="206">
        <v>46254</v>
      </c>
      <c r="H6" s="401"/>
      <c r="I6" s="220"/>
      <c r="J6" s="221"/>
      <c r="K6" s="201">
        <f t="shared" si="0"/>
        <v>39</v>
      </c>
      <c r="L6" s="201">
        <f t="shared" si="0"/>
        <v>39</v>
      </c>
      <c r="M6" s="205"/>
      <c r="N6" s="205"/>
      <c r="O6" s="222" t="s">
        <v>36</v>
      </c>
      <c r="P6" s="306" t="s">
        <v>48</v>
      </c>
      <c r="Q6" s="223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5</v>
      </c>
      <c r="L7" s="201">
        <f t="shared" si="0"/>
        <v>5</v>
      </c>
      <c r="M7" s="274"/>
      <c r="N7" s="274"/>
      <c r="O7" s="270" t="s">
        <v>319</v>
      </c>
      <c r="P7" s="239" t="s">
        <v>148</v>
      </c>
      <c r="Q7" s="239"/>
      <c r="R7" s="306" t="s">
        <v>240</v>
      </c>
      <c r="S7" s="225"/>
    </row>
    <row r="8" spans="1:66" s="226" customFormat="1" x14ac:dyDescent="0.3">
      <c r="A8" s="249">
        <v>4</v>
      </c>
      <c r="B8" s="306" t="s">
        <v>235</v>
      </c>
      <c r="C8" s="331" t="s">
        <v>320</v>
      </c>
      <c r="D8" s="332" t="s">
        <v>28</v>
      </c>
      <c r="E8" s="333">
        <v>2024</v>
      </c>
      <c r="F8" s="206">
        <v>46288</v>
      </c>
      <c r="G8" s="206">
        <v>46288</v>
      </c>
      <c r="H8" s="310"/>
      <c r="I8" s="335"/>
      <c r="J8" s="336"/>
      <c r="K8" s="205">
        <v>1</v>
      </c>
      <c r="L8" s="205">
        <v>1</v>
      </c>
      <c r="M8" s="205"/>
      <c r="N8" s="205"/>
      <c r="O8" s="222" t="s">
        <v>321</v>
      </c>
      <c r="P8" s="239" t="s">
        <v>256</v>
      </c>
      <c r="Q8" s="239"/>
      <c r="R8" s="216" t="s">
        <v>275</v>
      </c>
      <c r="S8" s="225"/>
    </row>
    <row r="9" spans="1:66" s="226" customFormat="1" x14ac:dyDescent="0.3">
      <c r="A9" s="249">
        <v>5</v>
      </c>
      <c r="B9" s="216" t="s">
        <v>285</v>
      </c>
      <c r="C9" s="331" t="s">
        <v>34</v>
      </c>
      <c r="D9" s="332" t="s">
        <v>286</v>
      </c>
      <c r="E9" s="333">
        <v>2014</v>
      </c>
      <c r="F9" s="206">
        <v>46264</v>
      </c>
      <c r="G9" s="206">
        <v>46264</v>
      </c>
      <c r="H9" s="312"/>
      <c r="I9" s="335"/>
      <c r="J9" s="336"/>
      <c r="K9" s="205">
        <f>$F$1-F9</f>
        <v>29</v>
      </c>
      <c r="L9" s="205">
        <f>$F$1-G9</f>
        <v>29</v>
      </c>
      <c r="M9" s="205"/>
      <c r="N9" s="205"/>
      <c r="O9" s="222" t="s">
        <v>322</v>
      </c>
      <c r="P9" s="239"/>
      <c r="Q9" s="216"/>
      <c r="R9" s="306" t="s">
        <v>153</v>
      </c>
      <c r="S9" s="225"/>
    </row>
    <row r="10" spans="1:66" s="226" customFormat="1" x14ac:dyDescent="0.3">
      <c r="A10" s="249"/>
      <c r="B10" s="308"/>
      <c r="C10" s="301"/>
      <c r="D10" s="302"/>
      <c r="E10" s="233"/>
      <c r="F10" s="234"/>
      <c r="G10" s="234"/>
      <c r="H10" s="298"/>
      <c r="I10" s="378"/>
      <c r="J10" s="379"/>
      <c r="K10" s="205"/>
      <c r="L10" s="205"/>
      <c r="M10" s="380"/>
      <c r="N10" s="380"/>
      <c r="O10" s="320"/>
      <c r="P10" s="216"/>
      <c r="Q10" s="216"/>
      <c r="R10" s="216" t="s">
        <v>85</v>
      </c>
      <c r="S10" s="225"/>
    </row>
    <row r="11" spans="1:66" s="226" customFormat="1" x14ac:dyDescent="0.3">
      <c r="A11" s="249"/>
      <c r="B11" s="216"/>
      <c r="C11" s="331"/>
      <c r="D11" s="332"/>
      <c r="E11" s="333"/>
      <c r="F11" s="206"/>
      <c r="G11" s="206"/>
      <c r="H11" s="310"/>
      <c r="I11" s="335"/>
      <c r="J11" s="336"/>
      <c r="K11" s="205"/>
      <c r="L11" s="205"/>
      <c r="M11" s="205"/>
      <c r="N11" s="205"/>
      <c r="O11" s="222"/>
      <c r="P11" s="239"/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305</v>
      </c>
      <c r="C13" s="331" t="s">
        <v>34</v>
      </c>
      <c r="D13" s="332" t="s">
        <v>290</v>
      </c>
      <c r="E13" s="333">
        <v>2014</v>
      </c>
      <c r="F13" s="206">
        <v>46269</v>
      </c>
      <c r="G13" s="206">
        <v>46269</v>
      </c>
      <c r="H13" s="312"/>
      <c r="I13" s="335"/>
      <c r="J13" s="336"/>
      <c r="K13" s="205">
        <f t="shared" ref="K13:L13" si="1">$F$1-F13</f>
        <v>24</v>
      </c>
      <c r="L13" s="205">
        <f t="shared" si="1"/>
        <v>24</v>
      </c>
      <c r="M13" s="205"/>
      <c r="N13" s="205"/>
      <c r="O13" s="222" t="s">
        <v>311</v>
      </c>
      <c r="P13" s="216" t="s">
        <v>192</v>
      </c>
      <c r="Q13" s="251"/>
      <c r="R13" s="252"/>
      <c r="S13" s="253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130</v>
      </c>
      <c r="L19" s="201">
        <f t="shared" si="2"/>
        <v>130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73</v>
      </c>
      <c r="L20" s="201">
        <f t="shared" si="2"/>
        <v>73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60</v>
      </c>
      <c r="L21" s="201">
        <f t="shared" si="2"/>
        <v>60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B868-3A15-41CA-95A3-4DD9883E6E91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46294</v>
      </c>
      <c r="G1" s="206">
        <v>46294</v>
      </c>
      <c r="H1" s="206">
        <v>46294</v>
      </c>
      <c r="I1" s="206">
        <v>46294</v>
      </c>
      <c r="J1" s="206">
        <v>46294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4" t="s">
        <v>7</v>
      </c>
      <c r="L3" s="404" t="s">
        <v>19</v>
      </c>
      <c r="M3" s="404" t="s">
        <v>20</v>
      </c>
      <c r="N3" s="404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7" si="0">$F$1-F5</f>
        <v>14</v>
      </c>
      <c r="L5" s="205">
        <f t="shared" si="0"/>
        <v>14</v>
      </c>
      <c r="M5" s="205"/>
      <c r="N5" s="205"/>
      <c r="O5" s="222" t="s">
        <v>314</v>
      </c>
      <c r="P5" s="239" t="s">
        <v>304</v>
      </c>
      <c r="Q5" s="216" t="s">
        <v>285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65</v>
      </c>
      <c r="C6" s="331" t="s">
        <v>29</v>
      </c>
      <c r="D6" s="332" t="s">
        <v>28</v>
      </c>
      <c r="E6" s="333">
        <v>2023</v>
      </c>
      <c r="F6" s="206">
        <v>46254</v>
      </c>
      <c r="G6" s="206">
        <v>46254</v>
      </c>
      <c r="H6" s="401"/>
      <c r="I6" s="220"/>
      <c r="J6" s="221"/>
      <c r="K6" s="201">
        <f t="shared" si="0"/>
        <v>40</v>
      </c>
      <c r="L6" s="201">
        <f t="shared" si="0"/>
        <v>40</v>
      </c>
      <c r="M6" s="205"/>
      <c r="N6" s="205"/>
      <c r="O6" s="222" t="s">
        <v>36</v>
      </c>
      <c r="P6" s="306" t="s">
        <v>48</v>
      </c>
      <c r="Q6" s="216" t="s">
        <v>275</v>
      </c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6</v>
      </c>
      <c r="L7" s="201">
        <f t="shared" si="0"/>
        <v>6</v>
      </c>
      <c r="M7" s="274"/>
      <c r="N7" s="274"/>
      <c r="O7" s="270" t="s">
        <v>319</v>
      </c>
      <c r="P7" s="239" t="s">
        <v>148</v>
      </c>
      <c r="Q7" s="239"/>
      <c r="R7" s="306" t="s">
        <v>240</v>
      </c>
      <c r="S7" s="225"/>
    </row>
    <row r="8" spans="1:66" s="226" customFormat="1" x14ac:dyDescent="0.3">
      <c r="A8" s="249">
        <v>4</v>
      </c>
      <c r="B8" s="306" t="s">
        <v>235</v>
      </c>
      <c r="C8" s="331" t="s">
        <v>29</v>
      </c>
      <c r="D8" s="332" t="s">
        <v>28</v>
      </c>
      <c r="E8" s="333">
        <v>2023</v>
      </c>
      <c r="F8" s="206">
        <v>46288</v>
      </c>
      <c r="G8" s="206">
        <v>46288</v>
      </c>
      <c r="H8" s="310"/>
      <c r="I8" s="335"/>
      <c r="J8" s="336"/>
      <c r="K8" s="205">
        <v>1</v>
      </c>
      <c r="L8" s="205">
        <v>1</v>
      </c>
      <c r="M8" s="205"/>
      <c r="N8" s="205"/>
      <c r="O8" s="222" t="s">
        <v>321</v>
      </c>
      <c r="P8" s="239" t="s">
        <v>256</v>
      </c>
      <c r="Q8" s="239"/>
      <c r="R8" s="306" t="s">
        <v>219</v>
      </c>
      <c r="S8" s="225"/>
    </row>
    <row r="9" spans="1:66" s="226" customFormat="1" x14ac:dyDescent="0.3">
      <c r="A9" s="249">
        <v>5</v>
      </c>
      <c r="B9" s="223" t="s">
        <v>251</v>
      </c>
      <c r="C9" s="337" t="s">
        <v>29</v>
      </c>
      <c r="D9" s="338" t="s">
        <v>28</v>
      </c>
      <c r="E9" s="339">
        <v>2023</v>
      </c>
      <c r="F9" s="234">
        <v>46294</v>
      </c>
      <c r="G9" s="234">
        <v>46294</v>
      </c>
      <c r="H9" s="296"/>
      <c r="I9" s="341"/>
      <c r="J9" s="342"/>
      <c r="K9" s="343">
        <f>$F$1-F9</f>
        <v>0</v>
      </c>
      <c r="L9" s="343">
        <f>$F$1-G9</f>
        <v>0</v>
      </c>
      <c r="M9" s="343"/>
      <c r="N9" s="343"/>
      <c r="O9" s="238" t="s">
        <v>36</v>
      </c>
      <c r="P9" s="216" t="s">
        <v>285</v>
      </c>
      <c r="Q9" s="216"/>
      <c r="R9" s="216"/>
      <c r="S9" s="225"/>
    </row>
    <row r="10" spans="1:66" s="226" customFormat="1" x14ac:dyDescent="0.3">
      <c r="A10" s="249">
        <v>6</v>
      </c>
      <c r="B10" s="308" t="s">
        <v>157</v>
      </c>
      <c r="C10" s="337" t="s">
        <v>29</v>
      </c>
      <c r="D10" s="338" t="s">
        <v>28</v>
      </c>
      <c r="E10" s="339">
        <v>2023</v>
      </c>
      <c r="F10" s="234">
        <v>46294</v>
      </c>
      <c r="G10" s="234">
        <v>46294</v>
      </c>
      <c r="H10" s="298"/>
      <c r="I10" s="378"/>
      <c r="J10" s="379"/>
      <c r="K10" s="343">
        <f>$F$1-F10</f>
        <v>0</v>
      </c>
      <c r="L10" s="343">
        <f>$F$1-G10</f>
        <v>0</v>
      </c>
      <c r="M10" s="380"/>
      <c r="N10" s="380"/>
      <c r="O10" s="320" t="s">
        <v>324</v>
      </c>
      <c r="P10" s="306" t="s">
        <v>153</v>
      </c>
      <c r="Q10" s="216"/>
      <c r="R10" s="216"/>
      <c r="S10" s="225"/>
    </row>
    <row r="11" spans="1:66" s="226" customFormat="1" x14ac:dyDescent="0.3">
      <c r="A11" s="249">
        <v>7</v>
      </c>
      <c r="B11" s="223" t="s">
        <v>220</v>
      </c>
      <c r="C11" s="337" t="s">
        <v>34</v>
      </c>
      <c r="D11" s="338" t="s">
        <v>290</v>
      </c>
      <c r="E11" s="339">
        <v>2007</v>
      </c>
      <c r="F11" s="234">
        <v>46294</v>
      </c>
      <c r="G11" s="234">
        <v>46294</v>
      </c>
      <c r="H11" s="298"/>
      <c r="I11" s="341"/>
      <c r="J11" s="342"/>
      <c r="K11" s="343">
        <f t="shared" ref="K11" si="1">$F$1-F11</f>
        <v>0</v>
      </c>
      <c r="L11" s="343">
        <f t="shared" ref="L11" si="2">$F$1-G11</f>
        <v>0</v>
      </c>
      <c r="M11" s="343"/>
      <c r="N11" s="343"/>
      <c r="O11" s="238" t="s">
        <v>325</v>
      </c>
      <c r="P11" s="216" t="s">
        <v>85</v>
      </c>
      <c r="Q11" s="216"/>
      <c r="R11" s="21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>
        <v>1</v>
      </c>
      <c r="B13" s="216" t="s">
        <v>305</v>
      </c>
      <c r="C13" s="331" t="s">
        <v>34</v>
      </c>
      <c r="D13" s="332" t="s">
        <v>290</v>
      </c>
      <c r="E13" s="333">
        <v>2014</v>
      </c>
      <c r="F13" s="206">
        <v>46269</v>
      </c>
      <c r="G13" s="206">
        <v>46269</v>
      </c>
      <c r="H13" s="312"/>
      <c r="I13" s="335"/>
      <c r="J13" s="336"/>
      <c r="K13" s="205">
        <f t="shared" ref="K13:L13" si="3">$F$1-F13</f>
        <v>25</v>
      </c>
      <c r="L13" s="205">
        <f t="shared" si="3"/>
        <v>25</v>
      </c>
      <c r="M13" s="205"/>
      <c r="N13" s="205"/>
      <c r="O13" s="222" t="s">
        <v>311</v>
      </c>
      <c r="P13" s="216" t="s">
        <v>192</v>
      </c>
      <c r="Q13" s="251"/>
      <c r="R13" s="252"/>
      <c r="S13" s="253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05"/>
      <c r="B17" s="227"/>
      <c r="C17" s="240"/>
      <c r="D17" s="241"/>
      <c r="E17" s="219"/>
      <c r="F17" s="206"/>
      <c r="G17" s="206"/>
      <c r="H17" s="305"/>
      <c r="I17" s="220"/>
      <c r="J17" s="221"/>
      <c r="K17" s="201"/>
      <c r="L17" s="201"/>
      <c r="M17" s="201"/>
      <c r="N17" s="201"/>
      <c r="O17" s="222"/>
      <c r="P17" s="260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4">$F$1-F19</f>
        <v>131</v>
      </c>
      <c r="L19" s="201">
        <f t="shared" si="4"/>
        <v>131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4"/>
        <v>74</v>
      </c>
      <c r="L20" s="201">
        <f t="shared" si="4"/>
        <v>74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4"/>
        <v>61</v>
      </c>
      <c r="L21" s="201">
        <f t="shared" si="4"/>
        <v>61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C959-47B4-488A-99F5-AFB794309631}">
  <dimension ref="A1:BN21"/>
  <sheetViews>
    <sheetView workbookViewId="0">
      <selection activeCell="P6" sqref="P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46295</v>
      </c>
      <c r="G1" s="206">
        <v>46295</v>
      </c>
      <c r="H1" s="206">
        <v>46295</v>
      </c>
      <c r="I1" s="206">
        <v>46295</v>
      </c>
      <c r="J1" s="206">
        <v>46295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5" t="s">
        <v>7</v>
      </c>
      <c r="L3" s="405" t="s">
        <v>19</v>
      </c>
      <c r="M3" s="405" t="s">
        <v>20</v>
      </c>
      <c r="N3" s="40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7" si="0">$F$1-F5</f>
        <v>15</v>
      </c>
      <c r="L5" s="205">
        <f t="shared" si="0"/>
        <v>15</v>
      </c>
      <c r="M5" s="205"/>
      <c r="N5" s="205"/>
      <c r="O5" s="222" t="s">
        <v>314</v>
      </c>
      <c r="P5" s="239" t="s">
        <v>304</v>
      </c>
      <c r="Q5" s="216" t="s">
        <v>220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65</v>
      </c>
      <c r="C6" s="331" t="s">
        <v>29</v>
      </c>
      <c r="D6" s="332" t="s">
        <v>28</v>
      </c>
      <c r="E6" s="333">
        <v>2023</v>
      </c>
      <c r="F6" s="206">
        <v>46254</v>
      </c>
      <c r="G6" s="206">
        <v>46254</v>
      </c>
      <c r="H6" s="401"/>
      <c r="I6" s="220"/>
      <c r="J6" s="221"/>
      <c r="K6" s="201">
        <f t="shared" si="0"/>
        <v>41</v>
      </c>
      <c r="L6" s="201">
        <f t="shared" si="0"/>
        <v>41</v>
      </c>
      <c r="M6" s="205"/>
      <c r="N6" s="205"/>
      <c r="O6" s="222" t="s">
        <v>36</v>
      </c>
      <c r="P6" s="306" t="s">
        <v>48</v>
      </c>
      <c r="Q6" s="216" t="s">
        <v>251</v>
      </c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7</v>
      </c>
      <c r="L7" s="201">
        <f t="shared" si="0"/>
        <v>7</v>
      </c>
      <c r="M7" s="274"/>
      <c r="N7" s="274"/>
      <c r="O7" s="270" t="s">
        <v>319</v>
      </c>
      <c r="P7" s="239" t="s">
        <v>148</v>
      </c>
      <c r="Q7" s="306" t="s">
        <v>157</v>
      </c>
      <c r="R7" s="306" t="s">
        <v>240</v>
      </c>
      <c r="S7" s="225"/>
    </row>
    <row r="8" spans="1:66" s="226" customFormat="1" x14ac:dyDescent="0.3">
      <c r="A8" s="249">
        <v>4</v>
      </c>
      <c r="B8" s="306" t="s">
        <v>235</v>
      </c>
      <c r="C8" s="331" t="s">
        <v>29</v>
      </c>
      <c r="D8" s="332" t="s">
        <v>28</v>
      </c>
      <c r="E8" s="333">
        <v>2023</v>
      </c>
      <c r="F8" s="206">
        <v>46288</v>
      </c>
      <c r="G8" s="206">
        <v>46288</v>
      </c>
      <c r="H8" s="310"/>
      <c r="I8" s="335"/>
      <c r="J8" s="336"/>
      <c r="K8" s="205">
        <v>1</v>
      </c>
      <c r="L8" s="205">
        <v>1</v>
      </c>
      <c r="M8" s="205"/>
      <c r="N8" s="205"/>
      <c r="O8" s="222" t="s">
        <v>321</v>
      </c>
      <c r="P8" s="239" t="s">
        <v>256</v>
      </c>
      <c r="Q8" s="239"/>
      <c r="R8" s="306" t="s">
        <v>219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0"/>
      <c r="I9" s="393"/>
      <c r="J9" s="394"/>
      <c r="K9" s="205"/>
      <c r="L9" s="205"/>
      <c r="M9" s="274"/>
      <c r="N9" s="274"/>
      <c r="O9" s="270"/>
      <c r="P9" s="306"/>
      <c r="Q9" s="216"/>
      <c r="R9" s="216" t="s">
        <v>285</v>
      </c>
      <c r="S9" s="225"/>
    </row>
    <row r="10" spans="1:66" s="226" customFormat="1" x14ac:dyDescent="0.3">
      <c r="A10" s="249"/>
      <c r="B10" s="308"/>
      <c r="C10" s="337"/>
      <c r="D10" s="338"/>
      <c r="E10" s="339"/>
      <c r="F10" s="234"/>
      <c r="G10" s="234"/>
      <c r="H10" s="298"/>
      <c r="I10" s="378"/>
      <c r="J10" s="379"/>
      <c r="K10" s="343"/>
      <c r="L10" s="343"/>
      <c r="M10" s="380"/>
      <c r="N10" s="380"/>
      <c r="O10" s="320"/>
      <c r="P10" s="306"/>
      <c r="Q10" s="216"/>
      <c r="R10" s="306" t="s">
        <v>153</v>
      </c>
      <c r="S10" s="225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16"/>
      <c r="C12" s="331"/>
      <c r="D12" s="332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16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>
        <v>1</v>
      </c>
      <c r="B14" s="216" t="s">
        <v>305</v>
      </c>
      <c r="C14" s="331" t="s">
        <v>34</v>
      </c>
      <c r="D14" s="332" t="s">
        <v>290</v>
      </c>
      <c r="E14" s="333">
        <v>2014</v>
      </c>
      <c r="F14" s="206">
        <v>46269</v>
      </c>
      <c r="G14" s="206">
        <v>46269</v>
      </c>
      <c r="H14" s="312"/>
      <c r="I14" s="335"/>
      <c r="J14" s="336"/>
      <c r="K14" s="205">
        <f t="shared" ref="K14" si="1">$F$1-F14</f>
        <v>26</v>
      </c>
      <c r="L14" s="205">
        <f t="shared" ref="L14" si="2">$F$1-G14</f>
        <v>26</v>
      </c>
      <c r="M14" s="205"/>
      <c r="N14" s="205"/>
      <c r="O14" s="222" t="s">
        <v>326</v>
      </c>
      <c r="P14" s="216" t="s">
        <v>192</v>
      </c>
      <c r="Q14" s="222"/>
      <c r="R14" s="239"/>
      <c r="S14" s="229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3">$F$1-F18</f>
        <v>132</v>
      </c>
      <c r="L18" s="201">
        <f t="shared" si="3"/>
        <v>132</v>
      </c>
      <c r="M18" s="201"/>
      <c r="N18" s="201"/>
      <c r="O18" s="222" t="s">
        <v>267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3"/>
        <v>75</v>
      </c>
      <c r="L19" s="201">
        <f t="shared" si="3"/>
        <v>75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3"/>
        <v>62</v>
      </c>
      <c r="L20" s="201">
        <f t="shared" si="3"/>
        <v>62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E9E1-3304-48C1-88C1-FC7B41F1F672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46296</v>
      </c>
      <c r="G1" s="206">
        <v>46296</v>
      </c>
      <c r="H1" s="206">
        <v>46296</v>
      </c>
      <c r="I1" s="206">
        <v>46296</v>
      </c>
      <c r="J1" s="206">
        <v>46296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6" t="s">
        <v>7</v>
      </c>
      <c r="L3" s="406" t="s">
        <v>19</v>
      </c>
      <c r="M3" s="406" t="s">
        <v>20</v>
      </c>
      <c r="N3" s="40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5" si="0">$F$1-F5</f>
        <v>16</v>
      </c>
      <c r="L5" s="205">
        <f t="shared" si="0"/>
        <v>16</v>
      </c>
      <c r="M5" s="205"/>
      <c r="N5" s="205"/>
      <c r="O5" s="222" t="s">
        <v>314</v>
      </c>
      <c r="P5" s="239" t="s">
        <v>304</v>
      </c>
      <c r="Q5" s="260" t="s">
        <v>65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ref="K6:K8" si="1">$F$1-F6</f>
        <v>8</v>
      </c>
      <c r="L6" s="201">
        <f t="shared" ref="L6:L8" si="2">$F$1-G6</f>
        <v>8</v>
      </c>
      <c r="M6" s="205"/>
      <c r="N6" s="205"/>
      <c r="O6" s="222" t="s">
        <v>321</v>
      </c>
      <c r="P6" s="306" t="s">
        <v>256</v>
      </c>
      <c r="Q6" s="216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1"/>
        <v>8</v>
      </c>
      <c r="L7" s="201">
        <f t="shared" si="2"/>
        <v>8</v>
      </c>
      <c r="M7" s="274"/>
      <c r="N7" s="274"/>
      <c r="O7" s="270" t="s">
        <v>319</v>
      </c>
      <c r="P7" s="239" t="s">
        <v>148</v>
      </c>
      <c r="Q7" s="216"/>
      <c r="R7" s="260" t="s">
        <v>65</v>
      </c>
      <c r="S7" s="225"/>
    </row>
    <row r="8" spans="1:66" s="226" customFormat="1" x14ac:dyDescent="0.3">
      <c r="A8" s="249">
        <v>4</v>
      </c>
      <c r="B8" s="306" t="s">
        <v>287</v>
      </c>
      <c r="C8" s="331" t="s">
        <v>29</v>
      </c>
      <c r="D8" s="332" t="s">
        <v>28</v>
      </c>
      <c r="E8" s="333">
        <v>2023</v>
      </c>
      <c r="F8" s="206">
        <v>46296</v>
      </c>
      <c r="G8" s="206">
        <v>46296</v>
      </c>
      <c r="H8" s="310"/>
      <c r="I8" s="335"/>
      <c r="J8" s="336"/>
      <c r="K8" s="205">
        <f t="shared" si="1"/>
        <v>0</v>
      </c>
      <c r="L8" s="201">
        <f t="shared" si="2"/>
        <v>0</v>
      </c>
      <c r="M8" s="205"/>
      <c r="N8" s="205"/>
      <c r="O8" s="222" t="s">
        <v>327</v>
      </c>
      <c r="P8" s="306" t="s">
        <v>153</v>
      </c>
      <c r="Q8" s="306"/>
      <c r="R8" s="306" t="s">
        <v>240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0"/>
      <c r="I9" s="335"/>
      <c r="J9" s="336"/>
      <c r="K9" s="205"/>
      <c r="L9" s="201"/>
      <c r="M9" s="205"/>
      <c r="N9" s="205"/>
      <c r="O9" s="222"/>
      <c r="P9" s="306"/>
      <c r="Q9" s="239"/>
      <c r="R9" s="306" t="s">
        <v>219</v>
      </c>
      <c r="S9" s="225"/>
    </row>
    <row r="10" spans="1:66" s="226" customFormat="1" x14ac:dyDescent="0.3">
      <c r="A10" s="249"/>
      <c r="B10" s="306"/>
      <c r="C10" s="331"/>
      <c r="D10" s="332"/>
      <c r="E10" s="333"/>
      <c r="F10" s="206"/>
      <c r="G10" s="206"/>
      <c r="H10" s="310"/>
      <c r="I10" s="393"/>
      <c r="J10" s="394"/>
      <c r="K10" s="205"/>
      <c r="L10" s="205"/>
      <c r="M10" s="274"/>
      <c r="N10" s="274"/>
      <c r="O10" s="270"/>
      <c r="P10" s="306"/>
      <c r="Q10" s="216"/>
      <c r="R10" s="216" t="s">
        <v>285</v>
      </c>
      <c r="S10" s="225"/>
    </row>
    <row r="11" spans="1:66" s="226" customFormat="1" x14ac:dyDescent="0.3">
      <c r="A11" s="249"/>
      <c r="B11" s="308"/>
      <c r="C11" s="337"/>
      <c r="D11" s="338"/>
      <c r="E11" s="339"/>
      <c r="F11" s="234"/>
      <c r="G11" s="234"/>
      <c r="H11" s="298"/>
      <c r="I11" s="378"/>
      <c r="J11" s="379"/>
      <c r="K11" s="343"/>
      <c r="L11" s="343"/>
      <c r="M11" s="380"/>
      <c r="N11" s="380"/>
      <c r="O11" s="320"/>
      <c r="P11" s="306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>
        <v>1</v>
      </c>
      <c r="B15" s="216" t="s">
        <v>305</v>
      </c>
      <c r="C15" s="331" t="s">
        <v>34</v>
      </c>
      <c r="D15" s="332" t="s">
        <v>290</v>
      </c>
      <c r="E15" s="333">
        <v>2014</v>
      </c>
      <c r="F15" s="206">
        <v>46269</v>
      </c>
      <c r="G15" s="206">
        <v>46269</v>
      </c>
      <c r="H15" s="312"/>
      <c r="I15" s="335"/>
      <c r="J15" s="336"/>
      <c r="K15" s="205">
        <f t="shared" ref="K15:L15" si="3">$F$1-F15</f>
        <v>27</v>
      </c>
      <c r="L15" s="205">
        <f t="shared" si="3"/>
        <v>27</v>
      </c>
      <c r="M15" s="205"/>
      <c r="N15" s="205"/>
      <c r="O15" s="222" t="s">
        <v>326</v>
      </c>
      <c r="P15" s="216" t="s">
        <v>192</v>
      </c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4">$F$1-F19</f>
        <v>133</v>
      </c>
      <c r="L19" s="201">
        <f t="shared" si="4"/>
        <v>133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4"/>
        <v>76</v>
      </c>
      <c r="L20" s="201">
        <f t="shared" si="4"/>
        <v>76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4"/>
        <v>63</v>
      </c>
      <c r="L21" s="201">
        <f t="shared" si="4"/>
        <v>63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093F-A546-48AC-9832-4A8669D6382C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46297</v>
      </c>
      <c r="G1" s="206">
        <v>46297</v>
      </c>
      <c r="H1" s="206">
        <v>46297</v>
      </c>
      <c r="I1" s="206">
        <v>46297</v>
      </c>
      <c r="J1" s="206">
        <v>46297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7" t="s">
        <v>7</v>
      </c>
      <c r="L3" s="407" t="s">
        <v>19</v>
      </c>
      <c r="M3" s="407" t="s">
        <v>20</v>
      </c>
      <c r="N3" s="40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9" si="0">$F$1-F5</f>
        <v>17</v>
      </c>
      <c r="L5" s="205">
        <f t="shared" si="0"/>
        <v>17</v>
      </c>
      <c r="M5" s="205"/>
      <c r="N5" s="205"/>
      <c r="O5" s="222" t="s">
        <v>314</v>
      </c>
      <c r="P5" s="239" t="s">
        <v>304</v>
      </c>
      <c r="Q5" s="260"/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9</v>
      </c>
      <c r="L6" s="201">
        <f t="shared" si="0"/>
        <v>9</v>
      </c>
      <c r="M6" s="205"/>
      <c r="N6" s="205"/>
      <c r="O6" s="222" t="s">
        <v>321</v>
      </c>
      <c r="P6" s="306" t="s">
        <v>256</v>
      </c>
      <c r="Q6" s="216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9</v>
      </c>
      <c r="L7" s="201">
        <f t="shared" si="0"/>
        <v>9</v>
      </c>
      <c r="M7" s="274"/>
      <c r="N7" s="274"/>
      <c r="O7" s="270" t="s">
        <v>319</v>
      </c>
      <c r="P7" s="239" t="s">
        <v>148</v>
      </c>
      <c r="Q7" s="216"/>
      <c r="R7" s="260"/>
      <c r="S7" s="225"/>
    </row>
    <row r="8" spans="1:66" s="226" customFormat="1" x14ac:dyDescent="0.3">
      <c r="A8" s="249">
        <v>4</v>
      </c>
      <c r="B8" s="306" t="s">
        <v>287</v>
      </c>
      <c r="C8" s="331" t="s">
        <v>29</v>
      </c>
      <c r="D8" s="332" t="s">
        <v>28</v>
      </c>
      <c r="E8" s="333">
        <v>2023</v>
      </c>
      <c r="F8" s="206">
        <v>46296</v>
      </c>
      <c r="G8" s="206">
        <v>46296</v>
      </c>
      <c r="H8" s="310"/>
      <c r="I8" s="335"/>
      <c r="J8" s="336"/>
      <c r="K8" s="205">
        <f t="shared" si="0"/>
        <v>1</v>
      </c>
      <c r="L8" s="201">
        <f t="shared" si="0"/>
        <v>1</v>
      </c>
      <c r="M8" s="205"/>
      <c r="N8" s="205"/>
      <c r="O8" s="222" t="s">
        <v>329</v>
      </c>
      <c r="P8" s="306" t="s">
        <v>153</v>
      </c>
      <c r="Q8" s="306"/>
      <c r="R8" s="306" t="s">
        <v>240</v>
      </c>
      <c r="S8" s="225"/>
    </row>
    <row r="9" spans="1:66" s="226" customFormat="1" x14ac:dyDescent="0.3">
      <c r="A9" s="249">
        <v>5</v>
      </c>
      <c r="B9" s="354" t="s">
        <v>65</v>
      </c>
      <c r="C9" s="337" t="s">
        <v>29</v>
      </c>
      <c r="D9" s="338" t="s">
        <v>28</v>
      </c>
      <c r="E9" s="339">
        <v>2023</v>
      </c>
      <c r="F9" s="234">
        <v>46297</v>
      </c>
      <c r="G9" s="234">
        <v>46297</v>
      </c>
      <c r="H9" s="298"/>
      <c r="I9" s="341"/>
      <c r="J9" s="342"/>
      <c r="K9" s="343">
        <f t="shared" si="0"/>
        <v>0</v>
      </c>
      <c r="L9" s="237">
        <f t="shared" si="0"/>
        <v>0</v>
      </c>
      <c r="M9" s="343"/>
      <c r="N9" s="343"/>
      <c r="O9" s="238" t="s">
        <v>328</v>
      </c>
      <c r="P9" s="306" t="s">
        <v>48</v>
      </c>
      <c r="Q9" s="239"/>
      <c r="R9" s="306" t="s">
        <v>219</v>
      </c>
      <c r="S9" s="225"/>
    </row>
    <row r="10" spans="1:66" s="226" customFormat="1" x14ac:dyDescent="0.3">
      <c r="A10" s="249"/>
      <c r="B10" s="306"/>
      <c r="C10" s="331"/>
      <c r="D10" s="332"/>
      <c r="E10" s="333"/>
      <c r="F10" s="206"/>
      <c r="G10" s="206"/>
      <c r="H10" s="310"/>
      <c r="I10" s="393"/>
      <c r="J10" s="394"/>
      <c r="K10" s="205"/>
      <c r="L10" s="205"/>
      <c r="M10" s="274"/>
      <c r="N10" s="274"/>
      <c r="O10" s="270"/>
      <c r="P10" s="306"/>
      <c r="Q10" s="216"/>
      <c r="R10" s="216" t="s">
        <v>285</v>
      </c>
      <c r="S10" s="225"/>
    </row>
    <row r="11" spans="1:66" s="226" customFormat="1" x14ac:dyDescent="0.3">
      <c r="A11" s="249"/>
      <c r="B11" s="308"/>
      <c r="C11" s="337"/>
      <c r="D11" s="338"/>
      <c r="E11" s="339"/>
      <c r="F11" s="234"/>
      <c r="G11" s="234"/>
      <c r="H11" s="298"/>
      <c r="I11" s="378"/>
      <c r="J11" s="379"/>
      <c r="K11" s="343"/>
      <c r="L11" s="343"/>
      <c r="M11" s="380"/>
      <c r="N11" s="380"/>
      <c r="O11" s="320"/>
      <c r="P11" s="306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>
        <v>1</v>
      </c>
      <c r="B15" s="216" t="s">
        <v>305</v>
      </c>
      <c r="C15" s="331" t="s">
        <v>34</v>
      </c>
      <c r="D15" s="332" t="s">
        <v>290</v>
      </c>
      <c r="E15" s="333">
        <v>2014</v>
      </c>
      <c r="F15" s="206">
        <v>46269</v>
      </c>
      <c r="G15" s="206">
        <v>46269</v>
      </c>
      <c r="H15" s="312"/>
      <c r="I15" s="335"/>
      <c r="J15" s="336"/>
      <c r="K15" s="205">
        <f t="shared" ref="K15:L15" si="1">$F$1-F15</f>
        <v>28</v>
      </c>
      <c r="L15" s="205">
        <f t="shared" si="1"/>
        <v>28</v>
      </c>
      <c r="M15" s="205"/>
      <c r="N15" s="205"/>
      <c r="O15" s="222" t="s">
        <v>326</v>
      </c>
      <c r="P15" s="216" t="s">
        <v>192</v>
      </c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134</v>
      </c>
      <c r="L19" s="201">
        <f t="shared" si="2"/>
        <v>134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77</v>
      </c>
      <c r="L20" s="201">
        <f t="shared" si="2"/>
        <v>77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64</v>
      </c>
      <c r="L21" s="201">
        <f t="shared" si="2"/>
        <v>64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0092-06D6-467D-A98E-D2317EBA2F5B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46298</v>
      </c>
      <c r="G1" s="206">
        <v>46298</v>
      </c>
      <c r="H1" s="206">
        <v>46298</v>
      </c>
      <c r="I1" s="206">
        <v>46298</v>
      </c>
      <c r="J1" s="206">
        <v>46298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8" t="s">
        <v>7</v>
      </c>
      <c r="L3" s="408" t="s">
        <v>19</v>
      </c>
      <c r="M3" s="408" t="s">
        <v>20</v>
      </c>
      <c r="N3" s="40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9" si="0">$F$1-F5</f>
        <v>18</v>
      </c>
      <c r="L5" s="205">
        <f t="shared" si="0"/>
        <v>18</v>
      </c>
      <c r="M5" s="205"/>
      <c r="N5" s="205"/>
      <c r="O5" s="222" t="s">
        <v>314</v>
      </c>
      <c r="P5" s="239" t="s">
        <v>304</v>
      </c>
      <c r="Q5" s="260" t="s">
        <v>65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10</v>
      </c>
      <c r="L6" s="201">
        <f t="shared" si="0"/>
        <v>10</v>
      </c>
      <c r="M6" s="205"/>
      <c r="N6" s="205"/>
      <c r="O6" s="222" t="s">
        <v>321</v>
      </c>
      <c r="P6" s="306" t="s">
        <v>256</v>
      </c>
      <c r="Q6" s="216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10</v>
      </c>
      <c r="L7" s="201">
        <f t="shared" si="0"/>
        <v>10</v>
      </c>
      <c r="M7" s="274"/>
      <c r="N7" s="274"/>
      <c r="O7" s="270" t="s">
        <v>319</v>
      </c>
      <c r="P7" s="239" t="s">
        <v>148</v>
      </c>
      <c r="Q7" s="216"/>
      <c r="R7" s="260"/>
      <c r="S7" s="225"/>
    </row>
    <row r="8" spans="1:66" s="226" customFormat="1" x14ac:dyDescent="0.3">
      <c r="A8" s="249">
        <v>4</v>
      </c>
      <c r="B8" s="306" t="s">
        <v>287</v>
      </c>
      <c r="C8" s="331" t="s">
        <v>29</v>
      </c>
      <c r="D8" s="332" t="s">
        <v>28</v>
      </c>
      <c r="E8" s="333">
        <v>2023</v>
      </c>
      <c r="F8" s="206">
        <v>46296</v>
      </c>
      <c r="G8" s="206">
        <v>46296</v>
      </c>
      <c r="H8" s="310"/>
      <c r="I8" s="335"/>
      <c r="J8" s="336"/>
      <c r="K8" s="205">
        <f t="shared" si="0"/>
        <v>2</v>
      </c>
      <c r="L8" s="201">
        <f t="shared" si="0"/>
        <v>2</v>
      </c>
      <c r="M8" s="205"/>
      <c r="N8" s="205"/>
      <c r="O8" s="222" t="s">
        <v>329</v>
      </c>
      <c r="P8" s="306" t="s">
        <v>153</v>
      </c>
      <c r="Q8" s="306"/>
      <c r="R8" s="306" t="s">
        <v>240</v>
      </c>
      <c r="S8" s="225"/>
    </row>
    <row r="9" spans="1:66" s="226" customFormat="1" x14ac:dyDescent="0.3">
      <c r="A9" s="249">
        <v>5</v>
      </c>
      <c r="B9" s="354" t="s">
        <v>251</v>
      </c>
      <c r="C9" s="337" t="s">
        <v>29</v>
      </c>
      <c r="D9" s="338" t="s">
        <v>28</v>
      </c>
      <c r="E9" s="339">
        <v>2023</v>
      </c>
      <c r="F9" s="234">
        <v>46298</v>
      </c>
      <c r="G9" s="234">
        <v>46298</v>
      </c>
      <c r="H9" s="298"/>
      <c r="I9" s="341"/>
      <c r="J9" s="342"/>
      <c r="K9" s="343">
        <f t="shared" si="0"/>
        <v>0</v>
      </c>
      <c r="L9" s="237">
        <f t="shared" si="0"/>
        <v>0</v>
      </c>
      <c r="M9" s="343"/>
      <c r="N9" s="343"/>
      <c r="O9" s="238" t="s">
        <v>331</v>
      </c>
      <c r="P9" s="216" t="s">
        <v>285</v>
      </c>
      <c r="Q9" s="239"/>
      <c r="R9" s="306" t="s">
        <v>219</v>
      </c>
      <c r="S9" s="225"/>
    </row>
    <row r="10" spans="1:66" s="226" customFormat="1" x14ac:dyDescent="0.3">
      <c r="A10" s="249">
        <v>6</v>
      </c>
      <c r="B10" s="308" t="s">
        <v>27</v>
      </c>
      <c r="C10" s="301" t="s">
        <v>32</v>
      </c>
      <c r="D10" s="302" t="s">
        <v>28</v>
      </c>
      <c r="E10" s="339">
        <v>2018</v>
      </c>
      <c r="F10" s="234">
        <v>46298</v>
      </c>
      <c r="G10" s="234">
        <v>46298</v>
      </c>
      <c r="H10" s="298"/>
      <c r="I10" s="378"/>
      <c r="J10" s="379"/>
      <c r="K10" s="343">
        <f t="shared" ref="K10" si="1">$F$1-F10</f>
        <v>0</v>
      </c>
      <c r="L10" s="237">
        <f t="shared" ref="L10" si="2">$F$1-G10</f>
        <v>0</v>
      </c>
      <c r="M10" s="380"/>
      <c r="N10" s="380"/>
      <c r="O10" s="320" t="s">
        <v>330</v>
      </c>
      <c r="P10" s="260" t="s">
        <v>65</v>
      </c>
      <c r="Q10" s="216"/>
      <c r="R10" s="216"/>
      <c r="S10" s="225"/>
    </row>
    <row r="11" spans="1:66" s="226" customFormat="1" x14ac:dyDescent="0.3">
      <c r="A11" s="249"/>
      <c r="B11" s="308"/>
      <c r="C11" s="337"/>
      <c r="D11" s="338"/>
      <c r="E11" s="339"/>
      <c r="F11" s="234"/>
      <c r="G11" s="234"/>
      <c r="H11" s="298"/>
      <c r="I11" s="378"/>
      <c r="J11" s="379"/>
      <c r="K11" s="343"/>
      <c r="L11" s="343"/>
      <c r="M11" s="380"/>
      <c r="N11" s="380"/>
      <c r="O11" s="320"/>
      <c r="P11" s="306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>
        <v>1</v>
      </c>
      <c r="B15" s="216" t="s">
        <v>305</v>
      </c>
      <c r="C15" s="331" t="s">
        <v>34</v>
      </c>
      <c r="D15" s="332" t="s">
        <v>290</v>
      </c>
      <c r="E15" s="333">
        <v>2014</v>
      </c>
      <c r="F15" s="206">
        <v>46269</v>
      </c>
      <c r="G15" s="206">
        <v>46269</v>
      </c>
      <c r="H15" s="312"/>
      <c r="I15" s="335"/>
      <c r="J15" s="336"/>
      <c r="K15" s="205">
        <f t="shared" ref="K15:L15" si="3">$F$1-F15</f>
        <v>29</v>
      </c>
      <c r="L15" s="205">
        <f t="shared" si="3"/>
        <v>29</v>
      </c>
      <c r="M15" s="205"/>
      <c r="N15" s="205"/>
      <c r="O15" s="222" t="s">
        <v>326</v>
      </c>
      <c r="P15" s="216" t="s">
        <v>192</v>
      </c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4">$F$1-F19</f>
        <v>135</v>
      </c>
      <c r="L19" s="201">
        <f t="shared" si="4"/>
        <v>135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4"/>
        <v>78</v>
      </c>
      <c r="L20" s="201">
        <f t="shared" si="4"/>
        <v>78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4"/>
        <v>65</v>
      </c>
      <c r="L21" s="201">
        <f t="shared" si="4"/>
        <v>65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9BD3-9533-4B96-9E90-EF3BC52D7244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3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46299</v>
      </c>
      <c r="G1" s="206">
        <v>46299</v>
      </c>
      <c r="H1" s="206">
        <v>46299</v>
      </c>
      <c r="I1" s="206">
        <v>46299</v>
      </c>
      <c r="J1" s="206">
        <v>46299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09" t="s">
        <v>7</v>
      </c>
      <c r="L3" s="409" t="s">
        <v>19</v>
      </c>
      <c r="M3" s="409" t="s">
        <v>20</v>
      </c>
      <c r="N3" s="40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1" si="0">$F$1-F5</f>
        <v>19</v>
      </c>
      <c r="L5" s="205">
        <f t="shared" si="0"/>
        <v>19</v>
      </c>
      <c r="M5" s="205"/>
      <c r="N5" s="205"/>
      <c r="O5" s="222" t="s">
        <v>314</v>
      </c>
      <c r="P5" s="239" t="s">
        <v>304</v>
      </c>
      <c r="Q5" s="260"/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11</v>
      </c>
      <c r="L6" s="201">
        <f t="shared" si="0"/>
        <v>11</v>
      </c>
      <c r="M6" s="205"/>
      <c r="N6" s="205"/>
      <c r="O6" s="222" t="s">
        <v>321</v>
      </c>
      <c r="P6" s="306" t="s">
        <v>256</v>
      </c>
      <c r="Q6" s="216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11</v>
      </c>
      <c r="L7" s="201">
        <f t="shared" si="0"/>
        <v>11</v>
      </c>
      <c r="M7" s="274"/>
      <c r="N7" s="274"/>
      <c r="O7" s="270" t="s">
        <v>319</v>
      </c>
      <c r="P7" s="239" t="s">
        <v>148</v>
      </c>
      <c r="Q7" s="216"/>
      <c r="R7" s="260"/>
      <c r="S7" s="225"/>
    </row>
    <row r="8" spans="1:66" s="226" customFormat="1" x14ac:dyDescent="0.3">
      <c r="A8" s="249">
        <v>4</v>
      </c>
      <c r="B8" s="306" t="s">
        <v>287</v>
      </c>
      <c r="C8" s="331" t="s">
        <v>29</v>
      </c>
      <c r="D8" s="332" t="s">
        <v>28</v>
      </c>
      <c r="E8" s="333">
        <v>2023</v>
      </c>
      <c r="F8" s="206">
        <v>46296</v>
      </c>
      <c r="G8" s="206">
        <v>46296</v>
      </c>
      <c r="H8" s="310"/>
      <c r="I8" s="335"/>
      <c r="J8" s="336"/>
      <c r="K8" s="205">
        <f t="shared" si="0"/>
        <v>3</v>
      </c>
      <c r="L8" s="201">
        <f t="shared" si="0"/>
        <v>3</v>
      </c>
      <c r="M8" s="205"/>
      <c r="N8" s="205"/>
      <c r="O8" s="222" t="s">
        <v>332</v>
      </c>
      <c r="P8" s="306" t="s">
        <v>153</v>
      </c>
      <c r="Q8" s="306"/>
      <c r="R8" s="306" t="s">
        <v>240</v>
      </c>
      <c r="S8" s="225"/>
    </row>
    <row r="9" spans="1:66" s="226" customFormat="1" x14ac:dyDescent="0.3">
      <c r="A9" s="249">
        <v>5</v>
      </c>
      <c r="B9" s="260" t="s">
        <v>251</v>
      </c>
      <c r="C9" s="331" t="s">
        <v>29</v>
      </c>
      <c r="D9" s="332" t="s">
        <v>28</v>
      </c>
      <c r="E9" s="333">
        <v>2023</v>
      </c>
      <c r="F9" s="206">
        <v>46298</v>
      </c>
      <c r="G9" s="206">
        <v>46298</v>
      </c>
      <c r="H9" s="310"/>
      <c r="I9" s="335"/>
      <c r="J9" s="336"/>
      <c r="K9" s="205">
        <f t="shared" si="0"/>
        <v>1</v>
      </c>
      <c r="L9" s="201">
        <f t="shared" si="0"/>
        <v>1</v>
      </c>
      <c r="M9" s="205"/>
      <c r="N9" s="205"/>
      <c r="O9" s="222" t="s">
        <v>331</v>
      </c>
      <c r="P9" s="216" t="s">
        <v>285</v>
      </c>
      <c r="Q9" s="239"/>
      <c r="R9" s="306" t="s">
        <v>219</v>
      </c>
      <c r="S9" s="225"/>
    </row>
    <row r="10" spans="1:66" s="226" customFormat="1" x14ac:dyDescent="0.3">
      <c r="A10" s="249">
        <v>6</v>
      </c>
      <c r="B10" s="306" t="s">
        <v>27</v>
      </c>
      <c r="C10" s="240" t="s">
        <v>32</v>
      </c>
      <c r="D10" s="241" t="s">
        <v>28</v>
      </c>
      <c r="E10" s="333">
        <v>2018</v>
      </c>
      <c r="F10" s="206">
        <v>46298</v>
      </c>
      <c r="G10" s="206">
        <v>46298</v>
      </c>
      <c r="H10" s="310"/>
      <c r="I10" s="393"/>
      <c r="J10" s="394"/>
      <c r="K10" s="205">
        <f t="shared" si="0"/>
        <v>1</v>
      </c>
      <c r="L10" s="201">
        <f t="shared" si="0"/>
        <v>1</v>
      </c>
      <c r="M10" s="274"/>
      <c r="N10" s="274"/>
      <c r="O10" s="270" t="s">
        <v>333</v>
      </c>
      <c r="P10" s="260" t="s">
        <v>65</v>
      </c>
      <c r="Q10" s="216"/>
      <c r="R10" s="216"/>
      <c r="S10" s="225"/>
    </row>
    <row r="11" spans="1:66" s="226" customFormat="1" x14ac:dyDescent="0.3">
      <c r="A11" s="249">
        <v>7</v>
      </c>
      <c r="B11" s="308" t="s">
        <v>334</v>
      </c>
      <c r="C11" s="337" t="s">
        <v>34</v>
      </c>
      <c r="D11" s="338" t="s">
        <v>290</v>
      </c>
      <c r="E11" s="339">
        <v>2008</v>
      </c>
      <c r="F11" s="234">
        <v>46299</v>
      </c>
      <c r="G11" s="234">
        <v>46299</v>
      </c>
      <c r="H11" s="298"/>
      <c r="I11" s="378"/>
      <c r="J11" s="379"/>
      <c r="K11" s="343">
        <f t="shared" si="0"/>
        <v>0</v>
      </c>
      <c r="L11" s="343">
        <f t="shared" si="0"/>
        <v>0</v>
      </c>
      <c r="M11" s="380"/>
      <c r="N11" s="380"/>
      <c r="O11" s="320" t="s">
        <v>335</v>
      </c>
      <c r="P11" s="306"/>
      <c r="Q11" s="216"/>
      <c r="R11" s="306"/>
      <c r="S11" s="225"/>
    </row>
    <row r="12" spans="1:66" s="226" customFormat="1" x14ac:dyDescent="0.3">
      <c r="A12" s="249">
        <v>8</v>
      </c>
      <c r="B12" s="308" t="s">
        <v>107</v>
      </c>
      <c r="C12" s="240" t="s">
        <v>32</v>
      </c>
      <c r="D12" s="241" t="s">
        <v>28</v>
      </c>
      <c r="E12" s="339">
        <v>2018</v>
      </c>
      <c r="F12" s="234">
        <v>46299</v>
      </c>
      <c r="G12" s="234">
        <v>46299</v>
      </c>
      <c r="H12" s="298"/>
      <c r="I12" s="378"/>
      <c r="J12" s="379"/>
      <c r="K12" s="343">
        <f t="shared" ref="K12" si="1">$F$1-F12</f>
        <v>0</v>
      </c>
      <c r="L12" s="343">
        <f t="shared" ref="L12" si="2">$F$1-G12</f>
        <v>0</v>
      </c>
      <c r="M12" s="380"/>
      <c r="N12" s="380"/>
      <c r="O12" s="320" t="s">
        <v>336</v>
      </c>
      <c r="P12" s="306"/>
      <c r="Q12" s="216"/>
      <c r="R12" s="306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305</v>
      </c>
      <c r="C16" s="331" t="s">
        <v>34</v>
      </c>
      <c r="D16" s="332" t="s">
        <v>290</v>
      </c>
      <c r="E16" s="333">
        <v>2014</v>
      </c>
      <c r="F16" s="206">
        <v>46269</v>
      </c>
      <c r="G16" s="206">
        <v>46269</v>
      </c>
      <c r="H16" s="312"/>
      <c r="I16" s="335"/>
      <c r="J16" s="336"/>
      <c r="K16" s="205">
        <f t="shared" ref="K16:L16" si="3">$F$1-F16</f>
        <v>30</v>
      </c>
      <c r="L16" s="205">
        <f t="shared" si="3"/>
        <v>30</v>
      </c>
      <c r="M16" s="205"/>
      <c r="N16" s="205"/>
      <c r="O16" s="222" t="s">
        <v>326</v>
      </c>
      <c r="P16" s="216" t="s">
        <v>192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4">$F$1-F20</f>
        <v>136</v>
      </c>
      <c r="L20" s="201">
        <f t="shared" si="4"/>
        <v>136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79</v>
      </c>
      <c r="L21" s="201">
        <f t="shared" si="4"/>
        <v>79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4"/>
        <v>66</v>
      </c>
      <c r="L22" s="201">
        <f t="shared" si="4"/>
        <v>66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52BC-D895-4CB7-BA91-52B19B99C4DD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46300</v>
      </c>
      <c r="G1" s="206">
        <v>46300</v>
      </c>
      <c r="H1" s="206">
        <v>46300</v>
      </c>
      <c r="I1" s="206">
        <v>46300</v>
      </c>
      <c r="J1" s="206">
        <v>46300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0" t="s">
        <v>7</v>
      </c>
      <c r="L3" s="410" t="s">
        <v>19</v>
      </c>
      <c r="M3" s="410" t="s">
        <v>20</v>
      </c>
      <c r="N3" s="41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20</v>
      </c>
      <c r="L5" s="205">
        <f t="shared" si="0"/>
        <v>20</v>
      </c>
      <c r="M5" s="205"/>
      <c r="N5" s="205"/>
      <c r="O5" s="222" t="s">
        <v>314</v>
      </c>
      <c r="P5" s="239" t="s">
        <v>304</v>
      </c>
      <c r="Q5" s="306" t="s">
        <v>107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12</v>
      </c>
      <c r="L6" s="201">
        <f t="shared" si="0"/>
        <v>12</v>
      </c>
      <c r="M6" s="205"/>
      <c r="N6" s="205"/>
      <c r="O6" s="222" t="s">
        <v>321</v>
      </c>
      <c r="P6" s="306" t="s">
        <v>256</v>
      </c>
      <c r="Q6" s="216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12</v>
      </c>
      <c r="L7" s="201">
        <f t="shared" si="0"/>
        <v>12</v>
      </c>
      <c r="M7" s="274"/>
      <c r="N7" s="274"/>
      <c r="O7" s="270" t="s">
        <v>319</v>
      </c>
      <c r="P7" s="239" t="s">
        <v>148</v>
      </c>
      <c r="Q7" s="216"/>
      <c r="R7" s="260"/>
      <c r="S7" s="225"/>
    </row>
    <row r="8" spans="1:66" s="226" customFormat="1" x14ac:dyDescent="0.3">
      <c r="A8" s="249">
        <v>4</v>
      </c>
      <c r="B8" s="306" t="s">
        <v>287</v>
      </c>
      <c r="C8" s="331" t="s">
        <v>29</v>
      </c>
      <c r="D8" s="332" t="s">
        <v>28</v>
      </c>
      <c r="E8" s="333">
        <v>2023</v>
      </c>
      <c r="F8" s="206">
        <v>46296</v>
      </c>
      <c r="G8" s="206">
        <v>46296</v>
      </c>
      <c r="H8" s="310"/>
      <c r="I8" s="335"/>
      <c r="J8" s="336"/>
      <c r="K8" s="205">
        <f t="shared" si="0"/>
        <v>4</v>
      </c>
      <c r="L8" s="201">
        <f t="shared" si="0"/>
        <v>4</v>
      </c>
      <c r="M8" s="205"/>
      <c r="N8" s="205"/>
      <c r="O8" s="222" t="s">
        <v>332</v>
      </c>
      <c r="P8" s="306"/>
      <c r="Q8" s="306"/>
      <c r="R8" s="306" t="s">
        <v>240</v>
      </c>
      <c r="S8" s="225"/>
    </row>
    <row r="9" spans="1:66" s="226" customFormat="1" x14ac:dyDescent="0.3">
      <c r="A9" s="249">
        <v>5</v>
      </c>
      <c r="B9" s="306" t="s">
        <v>27</v>
      </c>
      <c r="C9" s="240" t="s">
        <v>32</v>
      </c>
      <c r="D9" s="241" t="s">
        <v>28</v>
      </c>
      <c r="E9" s="333">
        <v>2018</v>
      </c>
      <c r="F9" s="206">
        <v>46298</v>
      </c>
      <c r="G9" s="206">
        <v>46298</v>
      </c>
      <c r="H9" s="310"/>
      <c r="I9" s="393"/>
      <c r="J9" s="394"/>
      <c r="K9" s="205">
        <f t="shared" ref="K9:K11" si="1">$F$1-F9</f>
        <v>2</v>
      </c>
      <c r="L9" s="201">
        <f t="shared" ref="L9:L11" si="2">$F$1-G9</f>
        <v>2</v>
      </c>
      <c r="M9" s="274"/>
      <c r="N9" s="274"/>
      <c r="O9" s="270" t="s">
        <v>333</v>
      </c>
      <c r="P9" s="260" t="s">
        <v>65</v>
      </c>
      <c r="Q9" s="239"/>
      <c r="R9" s="306" t="s">
        <v>219</v>
      </c>
      <c r="S9" s="225"/>
    </row>
    <row r="10" spans="1:66" s="226" customFormat="1" x14ac:dyDescent="0.3">
      <c r="A10" s="249">
        <v>6</v>
      </c>
      <c r="B10" s="306" t="s">
        <v>334</v>
      </c>
      <c r="C10" s="331" t="s">
        <v>34</v>
      </c>
      <c r="D10" s="332" t="s">
        <v>290</v>
      </c>
      <c r="E10" s="333">
        <v>2008</v>
      </c>
      <c r="F10" s="206">
        <v>46299</v>
      </c>
      <c r="G10" s="206">
        <v>46299</v>
      </c>
      <c r="H10" s="310"/>
      <c r="I10" s="393"/>
      <c r="J10" s="394"/>
      <c r="K10" s="205">
        <f t="shared" si="1"/>
        <v>1</v>
      </c>
      <c r="L10" s="205">
        <f t="shared" si="2"/>
        <v>1</v>
      </c>
      <c r="M10" s="274"/>
      <c r="N10" s="274"/>
      <c r="O10" s="270" t="s">
        <v>335</v>
      </c>
      <c r="P10" s="260" t="s">
        <v>251</v>
      </c>
      <c r="Q10" s="216"/>
      <c r="R10" s="216"/>
      <c r="S10" s="225"/>
    </row>
    <row r="11" spans="1:66" s="226" customFormat="1" x14ac:dyDescent="0.3">
      <c r="A11" s="249">
        <v>7</v>
      </c>
      <c r="B11" s="308" t="s">
        <v>215</v>
      </c>
      <c r="C11" s="337" t="s">
        <v>337</v>
      </c>
      <c r="D11" s="338" t="s">
        <v>338</v>
      </c>
      <c r="E11" s="339">
        <v>2022</v>
      </c>
      <c r="F11" s="234">
        <v>46300</v>
      </c>
      <c r="G11" s="234">
        <v>46300</v>
      </c>
      <c r="H11" s="298"/>
      <c r="I11" s="378"/>
      <c r="J11" s="379"/>
      <c r="K11" s="343">
        <f t="shared" si="1"/>
        <v>0</v>
      </c>
      <c r="L11" s="343">
        <f t="shared" si="2"/>
        <v>0</v>
      </c>
      <c r="M11" s="380"/>
      <c r="N11" s="380"/>
      <c r="O11" s="320" t="s">
        <v>93</v>
      </c>
      <c r="P11" s="260" t="s">
        <v>339</v>
      </c>
      <c r="Q11" s="216"/>
      <c r="R11" s="306"/>
      <c r="S11" s="225"/>
    </row>
    <row r="12" spans="1:66" s="226" customFormat="1" x14ac:dyDescent="0.3">
      <c r="A12" s="249"/>
      <c r="B12" s="308"/>
      <c r="C12" s="301"/>
      <c r="D12" s="302"/>
      <c r="E12" s="339"/>
      <c r="F12" s="234"/>
      <c r="G12" s="234"/>
      <c r="H12" s="298"/>
      <c r="I12" s="378"/>
      <c r="J12" s="379"/>
      <c r="K12" s="343"/>
      <c r="L12" s="343"/>
      <c r="M12" s="380"/>
      <c r="N12" s="380"/>
      <c r="O12" s="320"/>
      <c r="P12" s="306"/>
      <c r="Q12" s="216"/>
      <c r="R12" s="306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305</v>
      </c>
      <c r="C16" s="331" t="s">
        <v>34</v>
      </c>
      <c r="D16" s="332" t="s">
        <v>290</v>
      </c>
      <c r="E16" s="333">
        <v>2014</v>
      </c>
      <c r="F16" s="206">
        <v>46269</v>
      </c>
      <c r="G16" s="206">
        <v>46269</v>
      </c>
      <c r="H16" s="312"/>
      <c r="I16" s="335"/>
      <c r="J16" s="336"/>
      <c r="K16" s="205">
        <f t="shared" ref="K16:L16" si="3">$F$1-F16</f>
        <v>31</v>
      </c>
      <c r="L16" s="205">
        <f t="shared" si="3"/>
        <v>31</v>
      </c>
      <c r="M16" s="205"/>
      <c r="N16" s="205"/>
      <c r="O16" s="222" t="s">
        <v>326</v>
      </c>
      <c r="P16" s="216" t="s">
        <v>192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4">$F$1-F20</f>
        <v>137</v>
      </c>
      <c r="L20" s="201">
        <f t="shared" si="4"/>
        <v>137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4"/>
        <v>80</v>
      </c>
      <c r="L21" s="201">
        <f t="shared" si="4"/>
        <v>80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4"/>
        <v>67</v>
      </c>
      <c r="L22" s="201">
        <f t="shared" si="4"/>
        <v>67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AE52-2D6E-483B-B51E-434296EBE67B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46301</v>
      </c>
      <c r="G1" s="206">
        <v>46301</v>
      </c>
      <c r="H1" s="206">
        <v>46301</v>
      </c>
      <c r="I1" s="206">
        <v>46301</v>
      </c>
      <c r="J1" s="206">
        <v>46301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1" t="s">
        <v>7</v>
      </c>
      <c r="L3" s="411" t="s">
        <v>19</v>
      </c>
      <c r="M3" s="411" t="s">
        <v>20</v>
      </c>
      <c r="N3" s="41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2" si="0">$F$1-F5</f>
        <v>21</v>
      </c>
      <c r="L5" s="205">
        <f t="shared" si="0"/>
        <v>21</v>
      </c>
      <c r="M5" s="205"/>
      <c r="N5" s="205"/>
      <c r="O5" s="222" t="s">
        <v>314</v>
      </c>
      <c r="P5" s="239" t="s">
        <v>304</v>
      </c>
      <c r="Q5" s="306"/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13</v>
      </c>
      <c r="L6" s="201">
        <f t="shared" si="0"/>
        <v>13</v>
      </c>
      <c r="M6" s="205"/>
      <c r="N6" s="205"/>
      <c r="O6" s="222" t="s">
        <v>321</v>
      </c>
      <c r="P6" s="306" t="s">
        <v>256</v>
      </c>
      <c r="Q6" s="216"/>
      <c r="R6" s="239" t="s">
        <v>26</v>
      </c>
      <c r="S6" s="225"/>
    </row>
    <row r="7" spans="1:66" s="226" customFormat="1" x14ac:dyDescent="0.3">
      <c r="A7" s="249">
        <v>3</v>
      </c>
      <c r="B7" s="306" t="s">
        <v>200</v>
      </c>
      <c r="C7" s="331" t="s">
        <v>29</v>
      </c>
      <c r="D7" s="332" t="s">
        <v>28</v>
      </c>
      <c r="E7" s="333">
        <v>2023</v>
      </c>
      <c r="F7" s="206">
        <v>46288</v>
      </c>
      <c r="G7" s="206">
        <v>46288</v>
      </c>
      <c r="H7" s="312"/>
      <c r="I7" s="393"/>
      <c r="J7" s="394"/>
      <c r="K7" s="201">
        <f t="shared" si="0"/>
        <v>13</v>
      </c>
      <c r="L7" s="201">
        <f t="shared" si="0"/>
        <v>13</v>
      </c>
      <c r="M7" s="274"/>
      <c r="N7" s="274"/>
      <c r="O7" s="270" t="s">
        <v>319</v>
      </c>
      <c r="P7" s="239" t="s">
        <v>148</v>
      </c>
      <c r="Q7" s="216"/>
      <c r="R7" s="260" t="s">
        <v>155</v>
      </c>
      <c r="S7" s="225"/>
    </row>
    <row r="8" spans="1:66" s="226" customFormat="1" x14ac:dyDescent="0.3">
      <c r="A8" s="249">
        <v>4</v>
      </c>
      <c r="B8" s="306" t="s">
        <v>287</v>
      </c>
      <c r="C8" s="331" t="s">
        <v>29</v>
      </c>
      <c r="D8" s="332" t="s">
        <v>28</v>
      </c>
      <c r="E8" s="333">
        <v>2023</v>
      </c>
      <c r="F8" s="206">
        <v>46296</v>
      </c>
      <c r="G8" s="206">
        <v>46296</v>
      </c>
      <c r="H8" s="310"/>
      <c r="I8" s="335"/>
      <c r="J8" s="336"/>
      <c r="K8" s="205">
        <f t="shared" si="0"/>
        <v>5</v>
      </c>
      <c r="L8" s="201">
        <f t="shared" si="0"/>
        <v>5</v>
      </c>
      <c r="M8" s="205"/>
      <c r="N8" s="205"/>
      <c r="O8" s="222" t="s">
        <v>341</v>
      </c>
      <c r="P8" s="306"/>
      <c r="Q8" s="306"/>
      <c r="R8" s="306" t="s">
        <v>240</v>
      </c>
      <c r="S8" s="225"/>
    </row>
    <row r="9" spans="1:66" s="226" customFormat="1" x14ac:dyDescent="0.3">
      <c r="A9" s="249">
        <v>5</v>
      </c>
      <c r="B9" s="306" t="s">
        <v>27</v>
      </c>
      <c r="C9" s="240" t="s">
        <v>32</v>
      </c>
      <c r="D9" s="241" t="s">
        <v>28</v>
      </c>
      <c r="E9" s="333">
        <v>2018</v>
      </c>
      <c r="F9" s="206">
        <v>46298</v>
      </c>
      <c r="G9" s="206">
        <v>46298</v>
      </c>
      <c r="H9" s="310"/>
      <c r="I9" s="393"/>
      <c r="J9" s="394"/>
      <c r="K9" s="205">
        <f t="shared" si="0"/>
        <v>3</v>
      </c>
      <c r="L9" s="201">
        <f t="shared" si="0"/>
        <v>3</v>
      </c>
      <c r="M9" s="274"/>
      <c r="N9" s="274"/>
      <c r="O9" s="270" t="s">
        <v>333</v>
      </c>
      <c r="P9" s="260" t="s">
        <v>65</v>
      </c>
      <c r="Q9" s="239"/>
      <c r="R9" s="306"/>
      <c r="S9" s="225"/>
    </row>
    <row r="10" spans="1:66" s="226" customFormat="1" x14ac:dyDescent="0.3">
      <c r="A10" s="249">
        <v>6</v>
      </c>
      <c r="B10" s="306" t="s">
        <v>334</v>
      </c>
      <c r="C10" s="331" t="s">
        <v>34</v>
      </c>
      <c r="D10" s="332" t="s">
        <v>290</v>
      </c>
      <c r="E10" s="333">
        <v>2008</v>
      </c>
      <c r="F10" s="206">
        <v>46299</v>
      </c>
      <c r="G10" s="206">
        <v>46299</v>
      </c>
      <c r="H10" s="310"/>
      <c r="I10" s="393"/>
      <c r="J10" s="394"/>
      <c r="K10" s="205">
        <f t="shared" si="0"/>
        <v>2</v>
      </c>
      <c r="L10" s="205">
        <f t="shared" si="0"/>
        <v>2</v>
      </c>
      <c r="M10" s="274"/>
      <c r="N10" s="274"/>
      <c r="O10" s="270" t="s">
        <v>335</v>
      </c>
      <c r="P10" s="260"/>
      <c r="Q10" s="216"/>
      <c r="R10" s="216"/>
      <c r="S10" s="225"/>
    </row>
    <row r="11" spans="1:66" s="226" customFormat="1" x14ac:dyDescent="0.3">
      <c r="A11" s="249">
        <v>7</v>
      </c>
      <c r="B11" s="306" t="s">
        <v>215</v>
      </c>
      <c r="C11" s="331" t="s">
        <v>337</v>
      </c>
      <c r="D11" s="332" t="s">
        <v>338</v>
      </c>
      <c r="E11" s="333">
        <v>2022</v>
      </c>
      <c r="F11" s="206">
        <v>46300</v>
      </c>
      <c r="G11" s="206">
        <v>46300</v>
      </c>
      <c r="H11" s="310"/>
      <c r="I11" s="393"/>
      <c r="J11" s="394"/>
      <c r="K11" s="205">
        <f t="shared" si="0"/>
        <v>1</v>
      </c>
      <c r="L11" s="205">
        <f t="shared" si="0"/>
        <v>1</v>
      </c>
      <c r="M11" s="274"/>
      <c r="N11" s="274"/>
      <c r="O11" s="270" t="s">
        <v>93</v>
      </c>
      <c r="P11" s="260" t="s">
        <v>339</v>
      </c>
      <c r="Q11" s="216"/>
      <c r="R11" s="306"/>
      <c r="S11" s="225"/>
    </row>
    <row r="12" spans="1:66" s="226" customFormat="1" x14ac:dyDescent="0.3">
      <c r="A12" s="249">
        <v>8</v>
      </c>
      <c r="B12" s="308" t="s">
        <v>251</v>
      </c>
      <c r="C12" s="337" t="s">
        <v>29</v>
      </c>
      <c r="D12" s="338" t="s">
        <v>28</v>
      </c>
      <c r="E12" s="339">
        <v>2023</v>
      </c>
      <c r="F12" s="234">
        <v>46301</v>
      </c>
      <c r="G12" s="234">
        <v>46301</v>
      </c>
      <c r="H12" s="298"/>
      <c r="I12" s="378"/>
      <c r="J12" s="379"/>
      <c r="K12" s="343">
        <f t="shared" si="0"/>
        <v>0</v>
      </c>
      <c r="L12" s="343">
        <f t="shared" si="0"/>
        <v>0</v>
      </c>
      <c r="M12" s="380"/>
      <c r="N12" s="380"/>
      <c r="O12" s="320" t="s">
        <v>340</v>
      </c>
      <c r="P12" s="306" t="s">
        <v>150</v>
      </c>
      <c r="Q12" s="216"/>
      <c r="R12" s="306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>
        <v>1</v>
      </c>
      <c r="B16" s="216" t="s">
        <v>305</v>
      </c>
      <c r="C16" s="331" t="s">
        <v>34</v>
      </c>
      <c r="D16" s="332" t="s">
        <v>290</v>
      </c>
      <c r="E16" s="333">
        <v>2014</v>
      </c>
      <c r="F16" s="206">
        <v>46269</v>
      </c>
      <c r="G16" s="206">
        <v>46269</v>
      </c>
      <c r="H16" s="312"/>
      <c r="I16" s="335"/>
      <c r="J16" s="336"/>
      <c r="K16" s="205">
        <f t="shared" ref="K16:L16" si="1">$F$1-F16</f>
        <v>32</v>
      </c>
      <c r="L16" s="205">
        <f t="shared" si="1"/>
        <v>32</v>
      </c>
      <c r="M16" s="205"/>
      <c r="N16" s="205"/>
      <c r="O16" s="222" t="s">
        <v>326</v>
      </c>
      <c r="P16" s="216" t="s">
        <v>192</v>
      </c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2">$F$1-F20</f>
        <v>138</v>
      </c>
      <c r="L20" s="201">
        <f t="shared" si="2"/>
        <v>138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2"/>
        <v>81</v>
      </c>
      <c r="L21" s="201">
        <f t="shared" si="2"/>
        <v>81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2"/>
        <v>68</v>
      </c>
      <c r="L22" s="201">
        <f t="shared" si="2"/>
        <v>68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B024-F125-4549-972F-D2E1EF42F50B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46302</v>
      </c>
      <c r="G1" s="206">
        <v>46302</v>
      </c>
      <c r="H1" s="206">
        <v>46302</v>
      </c>
      <c r="I1" s="206">
        <v>46302</v>
      </c>
      <c r="J1" s="206">
        <v>46302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2" t="s">
        <v>7</v>
      </c>
      <c r="L3" s="412" t="s">
        <v>19</v>
      </c>
      <c r="M3" s="412" t="s">
        <v>20</v>
      </c>
      <c r="N3" s="41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22</v>
      </c>
      <c r="L5" s="205">
        <f t="shared" si="0"/>
        <v>22</v>
      </c>
      <c r="M5" s="205"/>
      <c r="N5" s="205"/>
      <c r="O5" s="222" t="s">
        <v>314</v>
      </c>
      <c r="P5" s="239"/>
      <c r="Q5" s="306" t="s">
        <v>200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14</v>
      </c>
      <c r="L6" s="201">
        <f t="shared" si="0"/>
        <v>14</v>
      </c>
      <c r="M6" s="205"/>
      <c r="N6" s="205"/>
      <c r="O6" s="222" t="s">
        <v>321</v>
      </c>
      <c r="P6" s="306"/>
      <c r="Q6" s="354" t="s">
        <v>155</v>
      </c>
      <c r="R6" s="283"/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6</v>
      </c>
      <c r="L7" s="201">
        <f t="shared" si="0"/>
        <v>6</v>
      </c>
      <c r="M7" s="205"/>
      <c r="N7" s="205"/>
      <c r="O7" s="222" t="s">
        <v>341</v>
      </c>
      <c r="P7" s="308" t="s">
        <v>153</v>
      </c>
      <c r="Q7" s="308" t="s">
        <v>44</v>
      </c>
      <c r="R7" s="306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4</v>
      </c>
      <c r="L8" s="201">
        <f t="shared" si="0"/>
        <v>4</v>
      </c>
      <c r="M8" s="274"/>
      <c r="N8" s="274"/>
      <c r="O8" s="270" t="s">
        <v>333</v>
      </c>
      <c r="P8" s="260" t="s">
        <v>65</v>
      </c>
      <c r="Q8" s="223" t="s">
        <v>49</v>
      </c>
      <c r="R8" s="306"/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ref="K9:K11" si="1">$F$1-F9</f>
        <v>2</v>
      </c>
      <c r="L9" s="205">
        <f t="shared" ref="L9:L11" si="2">$F$1-G9</f>
        <v>2</v>
      </c>
      <c r="M9" s="274"/>
      <c r="N9" s="274"/>
      <c r="O9" s="270" t="s">
        <v>93</v>
      </c>
      <c r="P9" s="260" t="s">
        <v>339</v>
      </c>
      <c r="Q9" s="308" t="s">
        <v>240</v>
      </c>
      <c r="R9" s="216"/>
      <c r="S9" s="225"/>
    </row>
    <row r="10" spans="1:66" s="226" customFormat="1" x14ac:dyDescent="0.3">
      <c r="A10" s="249">
        <v>6</v>
      </c>
      <c r="B10" s="306" t="s">
        <v>251</v>
      </c>
      <c r="C10" s="331" t="s">
        <v>29</v>
      </c>
      <c r="D10" s="332" t="s">
        <v>28</v>
      </c>
      <c r="E10" s="333">
        <v>2023</v>
      </c>
      <c r="F10" s="206">
        <v>46301</v>
      </c>
      <c r="G10" s="206">
        <v>46301</v>
      </c>
      <c r="H10" s="310"/>
      <c r="I10" s="393"/>
      <c r="J10" s="394"/>
      <c r="K10" s="205">
        <f t="shared" si="1"/>
        <v>1</v>
      </c>
      <c r="L10" s="205">
        <f t="shared" si="2"/>
        <v>1</v>
      </c>
      <c r="M10" s="274"/>
      <c r="N10" s="274"/>
      <c r="O10" s="270" t="s">
        <v>340</v>
      </c>
      <c r="P10" s="306" t="s">
        <v>150</v>
      </c>
      <c r="Q10" s="283" t="s">
        <v>26</v>
      </c>
      <c r="R10" s="260"/>
      <c r="S10" s="225"/>
    </row>
    <row r="11" spans="1:66" s="226" customFormat="1" x14ac:dyDescent="0.3">
      <c r="A11" s="249">
        <v>7</v>
      </c>
      <c r="B11" s="308" t="s">
        <v>186</v>
      </c>
      <c r="C11" s="301" t="s">
        <v>32</v>
      </c>
      <c r="D11" s="302" t="s">
        <v>28</v>
      </c>
      <c r="E11" s="339">
        <v>2022</v>
      </c>
      <c r="F11" s="234">
        <v>46302</v>
      </c>
      <c r="G11" s="234">
        <v>46302</v>
      </c>
      <c r="H11" s="298"/>
      <c r="I11" s="378"/>
      <c r="J11" s="379"/>
      <c r="K11" s="343">
        <f t="shared" si="1"/>
        <v>0</v>
      </c>
      <c r="L11" s="343">
        <f t="shared" si="2"/>
        <v>0</v>
      </c>
      <c r="M11" s="380"/>
      <c r="N11" s="380"/>
      <c r="O11" s="320" t="s">
        <v>342</v>
      </c>
      <c r="P11" s="283" t="s">
        <v>148</v>
      </c>
      <c r="Q11" s="308" t="s">
        <v>334</v>
      </c>
      <c r="R11" s="283"/>
      <c r="S11" s="225"/>
    </row>
    <row r="12" spans="1:66" s="226" customFormat="1" x14ac:dyDescent="0.3">
      <c r="A12" s="249">
        <v>8</v>
      </c>
      <c r="B12" s="308" t="s">
        <v>153</v>
      </c>
      <c r="C12" s="301" t="s">
        <v>32</v>
      </c>
      <c r="D12" s="302" t="s">
        <v>28</v>
      </c>
      <c r="E12" s="339">
        <v>2010</v>
      </c>
      <c r="F12" s="234">
        <v>46302</v>
      </c>
      <c r="G12" s="234">
        <v>46302</v>
      </c>
      <c r="H12" s="298"/>
      <c r="I12" s="378"/>
      <c r="J12" s="379"/>
      <c r="K12" s="343">
        <f t="shared" ref="K12" si="3">$F$1-F12</f>
        <v>0</v>
      </c>
      <c r="L12" s="343">
        <f t="shared" ref="L12" si="4">$F$1-G12</f>
        <v>0</v>
      </c>
      <c r="M12" s="380"/>
      <c r="N12" s="380"/>
      <c r="O12" s="320" t="s">
        <v>93</v>
      </c>
      <c r="P12" s="283" t="s">
        <v>304</v>
      </c>
      <c r="Q12" s="283" t="s">
        <v>304</v>
      </c>
      <c r="R12" s="306"/>
      <c r="S12" s="225"/>
    </row>
    <row r="13" spans="1:66" s="226" customFormat="1" x14ac:dyDescent="0.3">
      <c r="A13" s="249"/>
      <c r="B13" s="308"/>
      <c r="C13" s="301"/>
      <c r="D13" s="302"/>
      <c r="E13" s="339"/>
      <c r="F13" s="234"/>
      <c r="G13" s="234"/>
      <c r="H13" s="298"/>
      <c r="I13" s="378"/>
      <c r="J13" s="379"/>
      <c r="K13" s="343"/>
      <c r="L13" s="343"/>
      <c r="M13" s="380"/>
      <c r="N13" s="380"/>
      <c r="O13" s="320"/>
      <c r="P13" s="239"/>
      <c r="Q13" s="216"/>
      <c r="R13" s="306"/>
      <c r="S13" s="225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>
        <v>1</v>
      </c>
      <c r="B17" s="216" t="s">
        <v>305</v>
      </c>
      <c r="C17" s="331" t="s">
        <v>34</v>
      </c>
      <c r="D17" s="332" t="s">
        <v>290</v>
      </c>
      <c r="E17" s="333">
        <v>2014</v>
      </c>
      <c r="F17" s="206">
        <v>46269</v>
      </c>
      <c r="G17" s="206">
        <v>46269</v>
      </c>
      <c r="H17" s="312"/>
      <c r="I17" s="335"/>
      <c r="J17" s="336"/>
      <c r="K17" s="205">
        <f t="shared" ref="K17:L17" si="5">$F$1-F17</f>
        <v>33</v>
      </c>
      <c r="L17" s="205">
        <f t="shared" si="5"/>
        <v>33</v>
      </c>
      <c r="M17" s="205"/>
      <c r="N17" s="205"/>
      <c r="O17" s="222" t="s">
        <v>326</v>
      </c>
      <c r="P17" s="216" t="s">
        <v>192</v>
      </c>
      <c r="Q17" s="222"/>
      <c r="R17" s="239"/>
      <c r="S17" s="229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/>
      <c r="B19" s="216"/>
      <c r="C19" s="331"/>
      <c r="D19" s="332"/>
      <c r="E19" s="333"/>
      <c r="F19" s="206"/>
      <c r="G19" s="206"/>
      <c r="H19" s="312"/>
      <c r="I19" s="335"/>
      <c r="J19" s="336"/>
      <c r="K19" s="205"/>
      <c r="L19" s="205"/>
      <c r="M19" s="205"/>
      <c r="N19" s="205"/>
      <c r="O19" s="222"/>
      <c r="P19" s="216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6">$F$1-F21</f>
        <v>139</v>
      </c>
      <c r="L21" s="201">
        <f t="shared" si="6"/>
        <v>139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6"/>
        <v>82</v>
      </c>
      <c r="L22" s="201">
        <f t="shared" si="6"/>
        <v>82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6"/>
        <v>69</v>
      </c>
      <c r="L23" s="201">
        <f t="shared" si="6"/>
        <v>69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1A3D-E808-4D5A-862C-F0143E41E263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46302</v>
      </c>
      <c r="G1" s="206">
        <v>46302</v>
      </c>
      <c r="H1" s="206">
        <v>46302</v>
      </c>
      <c r="I1" s="206">
        <v>46302</v>
      </c>
      <c r="J1" s="206">
        <v>46302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3" t="s">
        <v>7</v>
      </c>
      <c r="L3" s="413" t="s">
        <v>19</v>
      </c>
      <c r="M3" s="413" t="s">
        <v>20</v>
      </c>
      <c r="N3" s="41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2" si="0">$F$1-F5</f>
        <v>22</v>
      </c>
      <c r="L5" s="205">
        <f t="shared" si="0"/>
        <v>22</v>
      </c>
      <c r="M5" s="205"/>
      <c r="N5" s="205"/>
      <c r="O5" s="222" t="s">
        <v>314</v>
      </c>
      <c r="P5" s="239"/>
      <c r="Q5" s="306" t="s">
        <v>200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14</v>
      </c>
      <c r="L6" s="201">
        <f t="shared" si="0"/>
        <v>14</v>
      </c>
      <c r="M6" s="205"/>
      <c r="N6" s="205"/>
      <c r="O6" s="222" t="s">
        <v>321</v>
      </c>
      <c r="P6" s="306"/>
      <c r="Q6" s="354" t="s">
        <v>155</v>
      </c>
      <c r="R6" s="283"/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6</v>
      </c>
      <c r="L7" s="201">
        <f t="shared" si="0"/>
        <v>6</v>
      </c>
      <c r="M7" s="205"/>
      <c r="N7" s="205"/>
      <c r="O7" s="222" t="s">
        <v>341</v>
      </c>
      <c r="P7" s="308" t="s">
        <v>153</v>
      </c>
      <c r="Q7" s="308" t="s">
        <v>44</v>
      </c>
      <c r="R7" s="306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4</v>
      </c>
      <c r="L8" s="201">
        <f t="shared" si="0"/>
        <v>4</v>
      </c>
      <c r="M8" s="274"/>
      <c r="N8" s="274"/>
      <c r="O8" s="270" t="s">
        <v>333</v>
      </c>
      <c r="P8" s="260" t="s">
        <v>65</v>
      </c>
      <c r="Q8" s="223" t="s">
        <v>49</v>
      </c>
      <c r="R8" s="306"/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2</v>
      </c>
      <c r="L9" s="205">
        <f t="shared" si="0"/>
        <v>2</v>
      </c>
      <c r="M9" s="274"/>
      <c r="N9" s="274"/>
      <c r="O9" s="270" t="s">
        <v>93</v>
      </c>
      <c r="P9" s="260" t="s">
        <v>339</v>
      </c>
      <c r="Q9" s="308" t="s">
        <v>240</v>
      </c>
      <c r="R9" s="216"/>
      <c r="S9" s="225"/>
    </row>
    <row r="10" spans="1:66" s="226" customFormat="1" x14ac:dyDescent="0.3">
      <c r="A10" s="249">
        <v>6</v>
      </c>
      <c r="B10" s="306" t="s">
        <v>251</v>
      </c>
      <c r="C10" s="331" t="s">
        <v>29</v>
      </c>
      <c r="D10" s="332" t="s">
        <v>28</v>
      </c>
      <c r="E10" s="333">
        <v>2023</v>
      </c>
      <c r="F10" s="206">
        <v>46301</v>
      </c>
      <c r="G10" s="206">
        <v>46301</v>
      </c>
      <c r="H10" s="310"/>
      <c r="I10" s="393"/>
      <c r="J10" s="394"/>
      <c r="K10" s="205">
        <f t="shared" si="0"/>
        <v>1</v>
      </c>
      <c r="L10" s="205">
        <f t="shared" si="0"/>
        <v>1</v>
      </c>
      <c r="M10" s="274"/>
      <c r="N10" s="274"/>
      <c r="O10" s="270" t="s">
        <v>340</v>
      </c>
      <c r="P10" s="306" t="s">
        <v>150</v>
      </c>
      <c r="Q10" s="283" t="s">
        <v>26</v>
      </c>
      <c r="R10" s="260"/>
      <c r="S10" s="225"/>
    </row>
    <row r="11" spans="1:66" s="226" customFormat="1" x14ac:dyDescent="0.3">
      <c r="A11" s="249">
        <v>7</v>
      </c>
      <c r="B11" s="308" t="s">
        <v>186</v>
      </c>
      <c r="C11" s="301" t="s">
        <v>32</v>
      </c>
      <c r="D11" s="302" t="s">
        <v>28</v>
      </c>
      <c r="E11" s="339">
        <v>2022</v>
      </c>
      <c r="F11" s="234">
        <v>46302</v>
      </c>
      <c r="G11" s="234">
        <v>46302</v>
      </c>
      <c r="H11" s="298"/>
      <c r="I11" s="378"/>
      <c r="J11" s="379"/>
      <c r="K11" s="343">
        <f t="shared" si="0"/>
        <v>0</v>
      </c>
      <c r="L11" s="343">
        <f t="shared" si="0"/>
        <v>0</v>
      </c>
      <c r="M11" s="380"/>
      <c r="N11" s="380"/>
      <c r="O11" s="320" t="s">
        <v>342</v>
      </c>
      <c r="P11" s="283" t="s">
        <v>148</v>
      </c>
      <c r="Q11" s="308" t="s">
        <v>334</v>
      </c>
      <c r="R11" s="283"/>
      <c r="S11" s="225"/>
    </row>
    <row r="12" spans="1:66" s="226" customFormat="1" x14ac:dyDescent="0.3">
      <c r="A12" s="249">
        <v>8</v>
      </c>
      <c r="B12" s="308" t="s">
        <v>153</v>
      </c>
      <c r="C12" s="301" t="s">
        <v>32</v>
      </c>
      <c r="D12" s="302" t="s">
        <v>28</v>
      </c>
      <c r="E12" s="339">
        <v>2010</v>
      </c>
      <c r="F12" s="234">
        <v>46302</v>
      </c>
      <c r="G12" s="234">
        <v>46302</v>
      </c>
      <c r="H12" s="298"/>
      <c r="I12" s="378"/>
      <c r="J12" s="379"/>
      <c r="K12" s="343">
        <f t="shared" si="0"/>
        <v>0</v>
      </c>
      <c r="L12" s="343">
        <f t="shared" si="0"/>
        <v>0</v>
      </c>
      <c r="M12" s="380"/>
      <c r="N12" s="380"/>
      <c r="O12" s="320" t="s">
        <v>93</v>
      </c>
      <c r="P12" s="283" t="s">
        <v>304</v>
      </c>
      <c r="Q12" s="283" t="s">
        <v>304</v>
      </c>
      <c r="R12" s="306"/>
      <c r="S12" s="225"/>
    </row>
    <row r="13" spans="1:66" s="226" customFormat="1" x14ac:dyDescent="0.3">
      <c r="A13" s="249"/>
      <c r="B13" s="308"/>
      <c r="C13" s="301"/>
      <c r="D13" s="302"/>
      <c r="E13" s="339"/>
      <c r="F13" s="234"/>
      <c r="G13" s="234"/>
      <c r="H13" s="298"/>
      <c r="I13" s="378"/>
      <c r="J13" s="379"/>
      <c r="K13" s="343"/>
      <c r="L13" s="343"/>
      <c r="M13" s="380"/>
      <c r="N13" s="380"/>
      <c r="O13" s="320"/>
      <c r="P13" s="239"/>
      <c r="Q13" s="216"/>
      <c r="R13" s="306"/>
      <c r="S13" s="225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>
        <v>1</v>
      </c>
      <c r="B17" s="216" t="s">
        <v>305</v>
      </c>
      <c r="C17" s="331" t="s">
        <v>34</v>
      </c>
      <c r="D17" s="332" t="s">
        <v>290</v>
      </c>
      <c r="E17" s="333">
        <v>2014</v>
      </c>
      <c r="F17" s="206">
        <v>46269</v>
      </c>
      <c r="G17" s="206">
        <v>46269</v>
      </c>
      <c r="H17" s="312"/>
      <c r="I17" s="335"/>
      <c r="J17" s="336"/>
      <c r="K17" s="205">
        <f t="shared" ref="K17:L17" si="1">$F$1-F17</f>
        <v>33</v>
      </c>
      <c r="L17" s="205">
        <f t="shared" si="1"/>
        <v>33</v>
      </c>
      <c r="M17" s="205"/>
      <c r="N17" s="205"/>
      <c r="O17" s="222" t="s">
        <v>326</v>
      </c>
      <c r="P17" s="216" t="s">
        <v>192</v>
      </c>
      <c r="Q17" s="222"/>
      <c r="R17" s="239"/>
      <c r="S17" s="229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/>
      <c r="B19" s="216"/>
      <c r="C19" s="331"/>
      <c r="D19" s="332"/>
      <c r="E19" s="333"/>
      <c r="F19" s="206"/>
      <c r="G19" s="206"/>
      <c r="H19" s="312"/>
      <c r="I19" s="335"/>
      <c r="J19" s="336"/>
      <c r="K19" s="205"/>
      <c r="L19" s="205"/>
      <c r="M19" s="205"/>
      <c r="N19" s="205"/>
      <c r="O19" s="222"/>
      <c r="P19" s="216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2">$F$1-F21</f>
        <v>139</v>
      </c>
      <c r="L21" s="201">
        <f t="shared" si="2"/>
        <v>139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2"/>
        <v>82</v>
      </c>
      <c r="L22" s="201">
        <f t="shared" si="2"/>
        <v>82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2"/>
        <v>69</v>
      </c>
      <c r="L23" s="201">
        <f t="shared" si="2"/>
        <v>69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1587-DF1A-4038-9072-A517D4FCBEBE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46304</v>
      </c>
      <c r="G1" s="206">
        <v>46304</v>
      </c>
      <c r="H1" s="206">
        <v>46304</v>
      </c>
      <c r="I1" s="206">
        <v>46304</v>
      </c>
      <c r="J1" s="206">
        <v>46304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4" t="s">
        <v>7</v>
      </c>
      <c r="L3" s="414" t="s">
        <v>19</v>
      </c>
      <c r="M3" s="414" t="s">
        <v>20</v>
      </c>
      <c r="N3" s="414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2" si="0">$F$1-F5</f>
        <v>24</v>
      </c>
      <c r="L5" s="205">
        <f t="shared" si="0"/>
        <v>24</v>
      </c>
      <c r="M5" s="205"/>
      <c r="N5" s="205"/>
      <c r="O5" s="222" t="s">
        <v>314</v>
      </c>
      <c r="P5" s="239"/>
      <c r="Q5" s="306" t="s">
        <v>200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16</v>
      </c>
      <c r="L6" s="201">
        <f t="shared" si="0"/>
        <v>16</v>
      </c>
      <c r="M6" s="205"/>
      <c r="N6" s="205"/>
      <c r="O6" s="222" t="s">
        <v>321</v>
      </c>
      <c r="P6" s="306"/>
      <c r="Q6" s="354" t="s">
        <v>155</v>
      </c>
      <c r="R6" s="283"/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8</v>
      </c>
      <c r="L7" s="201">
        <f t="shared" si="0"/>
        <v>8</v>
      </c>
      <c r="M7" s="205"/>
      <c r="N7" s="205"/>
      <c r="O7" s="222" t="s">
        <v>341</v>
      </c>
      <c r="P7" s="308" t="s">
        <v>153</v>
      </c>
      <c r="Q7" s="308" t="s">
        <v>44</v>
      </c>
      <c r="R7" s="306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6</v>
      </c>
      <c r="L8" s="201">
        <f t="shared" si="0"/>
        <v>6</v>
      </c>
      <c r="M8" s="274"/>
      <c r="N8" s="274"/>
      <c r="O8" s="270" t="s">
        <v>333</v>
      </c>
      <c r="P8" s="260" t="s">
        <v>65</v>
      </c>
      <c r="Q8" s="223" t="s">
        <v>49</v>
      </c>
      <c r="R8" s="306"/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4</v>
      </c>
      <c r="L9" s="205">
        <f t="shared" si="0"/>
        <v>4</v>
      </c>
      <c r="M9" s="274"/>
      <c r="N9" s="274"/>
      <c r="O9" s="270" t="s">
        <v>93</v>
      </c>
      <c r="P9" s="260" t="s">
        <v>339</v>
      </c>
      <c r="Q9" s="308" t="s">
        <v>240</v>
      </c>
      <c r="R9" s="216"/>
      <c r="S9" s="225"/>
    </row>
    <row r="10" spans="1:66" s="226" customFormat="1" x14ac:dyDescent="0.3">
      <c r="A10" s="249">
        <v>6</v>
      </c>
      <c r="B10" s="306" t="s">
        <v>251</v>
      </c>
      <c r="C10" s="331" t="s">
        <v>29</v>
      </c>
      <c r="D10" s="332" t="s">
        <v>28</v>
      </c>
      <c r="E10" s="333">
        <v>2023</v>
      </c>
      <c r="F10" s="206">
        <v>46301</v>
      </c>
      <c r="G10" s="206">
        <v>46301</v>
      </c>
      <c r="H10" s="310"/>
      <c r="I10" s="393"/>
      <c r="J10" s="394"/>
      <c r="K10" s="205">
        <f t="shared" si="0"/>
        <v>3</v>
      </c>
      <c r="L10" s="205">
        <f t="shared" si="0"/>
        <v>3</v>
      </c>
      <c r="M10" s="274"/>
      <c r="N10" s="274"/>
      <c r="O10" s="270" t="s">
        <v>340</v>
      </c>
      <c r="P10" s="306" t="s">
        <v>150</v>
      </c>
      <c r="Q10" s="283" t="s">
        <v>26</v>
      </c>
      <c r="R10" s="260"/>
      <c r="S10" s="225"/>
    </row>
    <row r="11" spans="1:66" s="226" customFormat="1" x14ac:dyDescent="0.3">
      <c r="A11" s="249">
        <v>7</v>
      </c>
      <c r="B11" s="308" t="s">
        <v>186</v>
      </c>
      <c r="C11" s="301" t="s">
        <v>32</v>
      </c>
      <c r="D11" s="302" t="s">
        <v>28</v>
      </c>
      <c r="E11" s="339">
        <v>2022</v>
      </c>
      <c r="F11" s="234">
        <v>46302</v>
      </c>
      <c r="G11" s="234">
        <v>46302</v>
      </c>
      <c r="H11" s="298"/>
      <c r="I11" s="378"/>
      <c r="J11" s="379"/>
      <c r="K11" s="343">
        <f t="shared" si="0"/>
        <v>2</v>
      </c>
      <c r="L11" s="343">
        <f t="shared" si="0"/>
        <v>2</v>
      </c>
      <c r="M11" s="380"/>
      <c r="N11" s="380"/>
      <c r="O11" s="320" t="s">
        <v>342</v>
      </c>
      <c r="P11" s="283" t="s">
        <v>148</v>
      </c>
      <c r="Q11" s="308" t="s">
        <v>334</v>
      </c>
      <c r="R11" s="283"/>
      <c r="S11" s="225"/>
    </row>
    <row r="12" spans="1:66" s="226" customFormat="1" x14ac:dyDescent="0.3">
      <c r="A12" s="249">
        <v>8</v>
      </c>
      <c r="B12" s="308" t="s">
        <v>153</v>
      </c>
      <c r="C12" s="301" t="s">
        <v>32</v>
      </c>
      <c r="D12" s="302" t="s">
        <v>28</v>
      </c>
      <c r="E12" s="339">
        <v>2010</v>
      </c>
      <c r="F12" s="234">
        <v>46302</v>
      </c>
      <c r="G12" s="234">
        <v>46302</v>
      </c>
      <c r="H12" s="298"/>
      <c r="I12" s="378"/>
      <c r="J12" s="379"/>
      <c r="K12" s="343">
        <f t="shared" si="0"/>
        <v>2</v>
      </c>
      <c r="L12" s="343">
        <f t="shared" si="0"/>
        <v>2</v>
      </c>
      <c r="M12" s="380"/>
      <c r="N12" s="380"/>
      <c r="O12" s="320" t="s">
        <v>93</v>
      </c>
      <c r="P12" s="283" t="s">
        <v>304</v>
      </c>
      <c r="Q12" s="283" t="s">
        <v>304</v>
      </c>
      <c r="R12" s="306"/>
      <c r="S12" s="225"/>
    </row>
    <row r="13" spans="1:66" s="226" customFormat="1" x14ac:dyDescent="0.3">
      <c r="A13" s="249"/>
      <c r="B13" s="308"/>
      <c r="C13" s="301"/>
      <c r="D13" s="302"/>
      <c r="E13" s="339"/>
      <c r="F13" s="234"/>
      <c r="G13" s="234"/>
      <c r="H13" s="298"/>
      <c r="I13" s="378"/>
      <c r="J13" s="379"/>
      <c r="K13" s="343"/>
      <c r="L13" s="343"/>
      <c r="M13" s="380"/>
      <c r="N13" s="380"/>
      <c r="O13" s="320"/>
      <c r="P13" s="239"/>
      <c r="Q13" s="216"/>
      <c r="R13" s="306"/>
      <c r="S13" s="225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>
        <v>1</v>
      </c>
      <c r="B17" s="216" t="s">
        <v>305</v>
      </c>
      <c r="C17" s="331" t="s">
        <v>34</v>
      </c>
      <c r="D17" s="332" t="s">
        <v>290</v>
      </c>
      <c r="E17" s="333">
        <v>2014</v>
      </c>
      <c r="F17" s="206">
        <v>46269</v>
      </c>
      <c r="G17" s="206">
        <v>46269</v>
      </c>
      <c r="H17" s="312"/>
      <c r="I17" s="335"/>
      <c r="J17" s="336"/>
      <c r="K17" s="205">
        <f t="shared" ref="K17:L17" si="1">$F$1-F17</f>
        <v>35</v>
      </c>
      <c r="L17" s="205">
        <f t="shared" si="1"/>
        <v>35</v>
      </c>
      <c r="M17" s="205"/>
      <c r="N17" s="205"/>
      <c r="O17" s="222" t="s">
        <v>326</v>
      </c>
      <c r="P17" s="216" t="s">
        <v>192</v>
      </c>
      <c r="Q17" s="222"/>
      <c r="R17" s="239"/>
      <c r="S17" s="229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/>
      <c r="B19" s="216"/>
      <c r="C19" s="331"/>
      <c r="D19" s="332"/>
      <c r="E19" s="333"/>
      <c r="F19" s="206"/>
      <c r="G19" s="206"/>
      <c r="H19" s="312"/>
      <c r="I19" s="335"/>
      <c r="J19" s="336"/>
      <c r="K19" s="205"/>
      <c r="L19" s="205"/>
      <c r="M19" s="205"/>
      <c r="N19" s="205"/>
      <c r="O19" s="222"/>
      <c r="P19" s="216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2">$F$1-F21</f>
        <v>141</v>
      </c>
      <c r="L21" s="201">
        <f t="shared" si="2"/>
        <v>141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2"/>
        <v>84</v>
      </c>
      <c r="L22" s="201">
        <f t="shared" si="2"/>
        <v>84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2"/>
        <v>71</v>
      </c>
      <c r="L23" s="201">
        <f t="shared" si="2"/>
        <v>71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1D6F-99B3-4A3E-AA7C-11DC2FE0D265}">
  <dimension ref="A1:BN24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46305</v>
      </c>
      <c r="G1" s="206">
        <v>46305</v>
      </c>
      <c r="H1" s="206">
        <v>46305</v>
      </c>
      <c r="I1" s="206">
        <v>46305</v>
      </c>
      <c r="J1" s="206">
        <v>46305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5" t="s">
        <v>7</v>
      </c>
      <c r="L3" s="415" t="s">
        <v>19</v>
      </c>
      <c r="M3" s="415" t="s">
        <v>20</v>
      </c>
      <c r="N3" s="41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2" si="0">$F$1-F5</f>
        <v>25</v>
      </c>
      <c r="L5" s="205">
        <f t="shared" si="0"/>
        <v>25</v>
      </c>
      <c r="M5" s="205"/>
      <c r="N5" s="205"/>
      <c r="O5" s="222" t="s">
        <v>314</v>
      </c>
      <c r="P5" s="239"/>
      <c r="Q5" s="306" t="s">
        <v>200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17</v>
      </c>
      <c r="L6" s="201">
        <f t="shared" si="0"/>
        <v>17</v>
      </c>
      <c r="M6" s="205"/>
      <c r="N6" s="205"/>
      <c r="O6" s="222" t="s">
        <v>321</v>
      </c>
      <c r="P6" s="306"/>
      <c r="Q6" s="354" t="s">
        <v>155</v>
      </c>
      <c r="R6" s="283"/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9</v>
      </c>
      <c r="L7" s="201">
        <f t="shared" si="0"/>
        <v>9</v>
      </c>
      <c r="M7" s="205"/>
      <c r="N7" s="205"/>
      <c r="O7" s="222" t="s">
        <v>341</v>
      </c>
      <c r="P7" s="308" t="s">
        <v>153</v>
      </c>
      <c r="Q7" s="308" t="s">
        <v>44</v>
      </c>
      <c r="R7" s="306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7</v>
      </c>
      <c r="L8" s="201">
        <f t="shared" si="0"/>
        <v>7</v>
      </c>
      <c r="M8" s="274"/>
      <c r="N8" s="274"/>
      <c r="O8" s="270" t="s">
        <v>333</v>
      </c>
      <c r="P8" s="260" t="s">
        <v>65</v>
      </c>
      <c r="Q8" s="223" t="s">
        <v>49</v>
      </c>
      <c r="R8" s="306"/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5</v>
      </c>
      <c r="L9" s="205">
        <f t="shared" si="0"/>
        <v>5</v>
      </c>
      <c r="M9" s="274"/>
      <c r="N9" s="274"/>
      <c r="O9" s="270" t="s">
        <v>93</v>
      </c>
      <c r="P9" s="260" t="s">
        <v>339</v>
      </c>
      <c r="Q9" s="308" t="s">
        <v>240</v>
      </c>
      <c r="R9" s="216"/>
      <c r="S9" s="225"/>
    </row>
    <row r="10" spans="1:66" s="226" customFormat="1" x14ac:dyDescent="0.3">
      <c r="A10" s="249">
        <v>6</v>
      </c>
      <c r="B10" s="306" t="s">
        <v>251</v>
      </c>
      <c r="C10" s="331" t="s">
        <v>29</v>
      </c>
      <c r="D10" s="332" t="s">
        <v>28</v>
      </c>
      <c r="E10" s="333">
        <v>2023</v>
      </c>
      <c r="F10" s="206">
        <v>46301</v>
      </c>
      <c r="G10" s="206">
        <v>46301</v>
      </c>
      <c r="H10" s="310"/>
      <c r="I10" s="393"/>
      <c r="J10" s="394"/>
      <c r="K10" s="205">
        <f t="shared" si="0"/>
        <v>4</v>
      </c>
      <c r="L10" s="205">
        <f t="shared" si="0"/>
        <v>4</v>
      </c>
      <c r="M10" s="274"/>
      <c r="N10" s="274"/>
      <c r="O10" s="270" t="s">
        <v>340</v>
      </c>
      <c r="P10" s="306" t="s">
        <v>150</v>
      </c>
      <c r="Q10" s="283" t="s">
        <v>26</v>
      </c>
      <c r="R10" s="260"/>
      <c r="S10" s="225"/>
    </row>
    <row r="11" spans="1:66" s="226" customFormat="1" x14ac:dyDescent="0.3">
      <c r="A11" s="249">
        <v>7</v>
      </c>
      <c r="B11" s="308" t="s">
        <v>186</v>
      </c>
      <c r="C11" s="301" t="s">
        <v>32</v>
      </c>
      <c r="D11" s="302" t="s">
        <v>28</v>
      </c>
      <c r="E11" s="339">
        <v>2022</v>
      </c>
      <c r="F11" s="234">
        <v>46302</v>
      </c>
      <c r="G11" s="234">
        <v>46302</v>
      </c>
      <c r="H11" s="298"/>
      <c r="I11" s="378"/>
      <c r="J11" s="379"/>
      <c r="K11" s="343">
        <f t="shared" si="0"/>
        <v>3</v>
      </c>
      <c r="L11" s="343">
        <f t="shared" si="0"/>
        <v>3</v>
      </c>
      <c r="M11" s="380"/>
      <c r="N11" s="380"/>
      <c r="O11" s="320" t="s">
        <v>342</v>
      </c>
      <c r="P11" s="283" t="s">
        <v>148</v>
      </c>
      <c r="Q11" s="308" t="s">
        <v>334</v>
      </c>
      <c r="R11" s="283"/>
      <c r="S11" s="225"/>
    </row>
    <row r="12" spans="1:66" s="226" customFormat="1" x14ac:dyDescent="0.3">
      <c r="A12" s="249">
        <v>8</v>
      </c>
      <c r="B12" s="308" t="s">
        <v>153</v>
      </c>
      <c r="C12" s="301" t="s">
        <v>32</v>
      </c>
      <c r="D12" s="302" t="s">
        <v>28</v>
      </c>
      <c r="E12" s="339">
        <v>2010</v>
      </c>
      <c r="F12" s="234">
        <v>46302</v>
      </c>
      <c r="G12" s="234">
        <v>46302</v>
      </c>
      <c r="H12" s="298"/>
      <c r="I12" s="378"/>
      <c r="J12" s="379"/>
      <c r="K12" s="343">
        <f t="shared" si="0"/>
        <v>3</v>
      </c>
      <c r="L12" s="343">
        <f t="shared" si="0"/>
        <v>3</v>
      </c>
      <c r="M12" s="380"/>
      <c r="N12" s="380"/>
      <c r="O12" s="320" t="s">
        <v>93</v>
      </c>
      <c r="P12" s="283" t="s">
        <v>304</v>
      </c>
      <c r="Q12" s="283" t="s">
        <v>304</v>
      </c>
      <c r="R12" s="306"/>
      <c r="S12" s="225"/>
    </row>
    <row r="13" spans="1:66" s="226" customFormat="1" x14ac:dyDescent="0.3">
      <c r="A13" s="249"/>
      <c r="B13" s="308"/>
      <c r="C13" s="301"/>
      <c r="D13" s="302"/>
      <c r="E13" s="339"/>
      <c r="F13" s="234"/>
      <c r="G13" s="234"/>
      <c r="H13" s="298"/>
      <c r="I13" s="378"/>
      <c r="J13" s="379"/>
      <c r="K13" s="343"/>
      <c r="L13" s="343"/>
      <c r="M13" s="380"/>
      <c r="N13" s="380"/>
      <c r="O13" s="320"/>
      <c r="P13" s="239"/>
      <c r="Q13" s="216"/>
      <c r="R13" s="306"/>
      <c r="S13" s="225"/>
    </row>
    <row r="14" spans="1:66" s="226" customFormat="1" ht="13.95" customHeight="1" x14ac:dyDescent="0.3">
      <c r="A14" s="242"/>
      <c r="B14" s="243"/>
      <c r="C14" s="244"/>
      <c r="D14" s="245"/>
      <c r="E14" s="246"/>
      <c r="F14" s="247"/>
      <c r="G14" s="247"/>
      <c r="H14" s="247"/>
      <c r="I14" s="247"/>
      <c r="J14" s="247"/>
      <c r="K14" s="246"/>
      <c r="L14" s="247"/>
      <c r="M14" s="247"/>
      <c r="N14" s="247"/>
      <c r="O14" s="248" t="s">
        <v>22</v>
      </c>
      <c r="P14" s="244"/>
      <c r="Q14" s="244"/>
      <c r="R14" s="245"/>
      <c r="S14" s="248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51"/>
      <c r="R15" s="252"/>
      <c r="S15" s="253"/>
    </row>
    <row r="16" spans="1:66" s="259" customFormat="1" ht="13.95" customHeight="1" x14ac:dyDescent="0.3">
      <c r="A16" s="254"/>
      <c r="B16" s="255"/>
      <c r="C16" s="244"/>
      <c r="D16" s="245" t="s">
        <v>0</v>
      </c>
      <c r="E16" s="246"/>
      <c r="F16" s="256"/>
      <c r="G16" s="256"/>
      <c r="H16" s="256"/>
      <c r="I16" s="256"/>
      <c r="J16" s="256"/>
      <c r="K16" s="246"/>
      <c r="L16" s="256"/>
      <c r="M16" s="256"/>
      <c r="N16" s="256"/>
      <c r="O16" s="257" t="s">
        <v>23</v>
      </c>
      <c r="P16" s="245"/>
      <c r="Q16" s="245"/>
      <c r="R16" s="258"/>
      <c r="S16" s="25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>
        <v>1</v>
      </c>
      <c r="B17" s="216" t="s">
        <v>305</v>
      </c>
      <c r="C17" s="331" t="s">
        <v>34</v>
      </c>
      <c r="D17" s="332" t="s">
        <v>290</v>
      </c>
      <c r="E17" s="333">
        <v>2014</v>
      </c>
      <c r="F17" s="206">
        <v>46269</v>
      </c>
      <c r="G17" s="206">
        <v>46269</v>
      </c>
      <c r="H17" s="312"/>
      <c r="I17" s="335"/>
      <c r="J17" s="336"/>
      <c r="K17" s="205">
        <f t="shared" ref="K17:L17" si="1">$F$1-F17</f>
        <v>36</v>
      </c>
      <c r="L17" s="205">
        <f t="shared" si="1"/>
        <v>36</v>
      </c>
      <c r="M17" s="205"/>
      <c r="N17" s="205"/>
      <c r="O17" s="222" t="s">
        <v>326</v>
      </c>
      <c r="P17" s="216" t="s">
        <v>192</v>
      </c>
      <c r="Q17" s="222"/>
      <c r="R17" s="239"/>
      <c r="S17" s="229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37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13.95" customHeight="1" x14ac:dyDescent="0.3">
      <c r="A19" s="249"/>
      <c r="B19" s="216"/>
      <c r="C19" s="331"/>
      <c r="D19" s="332"/>
      <c r="E19" s="333"/>
      <c r="F19" s="206"/>
      <c r="G19" s="206"/>
      <c r="H19" s="312"/>
      <c r="I19" s="335"/>
      <c r="J19" s="336"/>
      <c r="K19" s="205"/>
      <c r="L19" s="205"/>
      <c r="M19" s="205"/>
      <c r="N19" s="205"/>
      <c r="O19" s="222"/>
      <c r="P19" s="216"/>
      <c r="Q19" s="275"/>
      <c r="R19" s="239"/>
      <c r="S19" s="276"/>
    </row>
    <row r="20" spans="1:66" s="259" customFormat="1" ht="13.95" customHeight="1" x14ac:dyDescent="0.3">
      <c r="A20" s="261"/>
      <c r="B20" s="262"/>
      <c r="C20" s="263"/>
      <c r="D20" s="262"/>
      <c r="E20" s="264"/>
      <c r="F20" s="265"/>
      <c r="G20" s="265"/>
      <c r="H20" s="265"/>
      <c r="I20" s="265"/>
      <c r="J20" s="265"/>
      <c r="K20" s="266"/>
      <c r="L20" s="265"/>
      <c r="M20" s="265"/>
      <c r="N20" s="265"/>
      <c r="O20" s="267" t="s">
        <v>38</v>
      </c>
      <c r="P20" s="268"/>
      <c r="Q20" s="268"/>
      <c r="R20" s="269"/>
      <c r="S20" s="267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6"/>
      <c r="AX20" s="226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</row>
    <row r="21" spans="1:66" s="226" customFormat="1" ht="27" customHeight="1" x14ac:dyDescent="0.3">
      <c r="A21" s="205">
        <v>1</v>
      </c>
      <c r="B21" s="216" t="s">
        <v>116</v>
      </c>
      <c r="C21" s="240" t="s">
        <v>32</v>
      </c>
      <c r="D21" s="241" t="s">
        <v>28</v>
      </c>
      <c r="E21" s="219">
        <v>2010</v>
      </c>
      <c r="F21" s="206">
        <v>46163</v>
      </c>
      <c r="G21" s="206">
        <v>46163</v>
      </c>
      <c r="H21" s="220"/>
      <c r="I21" s="220"/>
      <c r="J21" s="221"/>
      <c r="K21" s="201">
        <f t="shared" ref="K21:L23" si="2">$F$1-F21</f>
        <v>142</v>
      </c>
      <c r="L21" s="201">
        <f t="shared" si="2"/>
        <v>142</v>
      </c>
      <c r="M21" s="201"/>
      <c r="N21" s="201"/>
      <c r="O21" s="222" t="s">
        <v>267</v>
      </c>
      <c r="Q21" s="275"/>
      <c r="R21" s="239"/>
      <c r="S21" s="276"/>
    </row>
    <row r="22" spans="1:66" s="226" customFormat="1" ht="27" customHeight="1" x14ac:dyDescent="0.3">
      <c r="A22" s="215">
        <v>2</v>
      </c>
      <c r="B22" s="239" t="s">
        <v>10</v>
      </c>
      <c r="C22" s="217" t="s">
        <v>32</v>
      </c>
      <c r="D22" s="218" t="s">
        <v>28</v>
      </c>
      <c r="E22" s="219">
        <v>2010</v>
      </c>
      <c r="F22" s="206">
        <v>46220</v>
      </c>
      <c r="G22" s="206">
        <v>46220</v>
      </c>
      <c r="H22" s="220"/>
      <c r="I22" s="220"/>
      <c r="J22" s="221"/>
      <c r="K22" s="201">
        <f t="shared" si="2"/>
        <v>85</v>
      </c>
      <c r="L22" s="201">
        <f t="shared" si="2"/>
        <v>85</v>
      </c>
      <c r="M22" s="201"/>
      <c r="N22" s="201"/>
      <c r="O22" s="222" t="s">
        <v>225</v>
      </c>
      <c r="P22" s="227"/>
      <c r="Q22" s="275"/>
      <c r="R22" s="239"/>
      <c r="S22" s="276"/>
    </row>
    <row r="23" spans="1:66" s="226" customFormat="1" ht="13.95" customHeight="1" x14ac:dyDescent="0.3">
      <c r="A23" s="205">
        <v>3</v>
      </c>
      <c r="B23" s="227" t="s">
        <v>9</v>
      </c>
      <c r="C23" s="240" t="s">
        <v>32</v>
      </c>
      <c r="D23" s="241" t="s">
        <v>28</v>
      </c>
      <c r="E23" s="219">
        <v>2010</v>
      </c>
      <c r="F23" s="206">
        <v>46233</v>
      </c>
      <c r="G23" s="206">
        <v>46233</v>
      </c>
      <c r="H23" s="305"/>
      <c r="I23" s="220"/>
      <c r="J23" s="221"/>
      <c r="K23" s="201">
        <f t="shared" si="2"/>
        <v>72</v>
      </c>
      <c r="L23" s="201">
        <f t="shared" si="2"/>
        <v>72</v>
      </c>
      <c r="M23" s="201"/>
      <c r="N23" s="201"/>
      <c r="O23" s="222" t="s">
        <v>244</v>
      </c>
      <c r="P23" s="260"/>
      <c r="Q23" s="275"/>
      <c r="R23" s="239"/>
      <c r="S23" s="276"/>
    </row>
    <row r="24" spans="1:66" s="259" customFormat="1" ht="13.95" customHeight="1" x14ac:dyDescent="0.3">
      <c r="A24" s="261"/>
      <c r="B24" s="262"/>
      <c r="C24" s="263"/>
      <c r="D24" s="262"/>
      <c r="E24" s="264"/>
      <c r="F24" s="265"/>
      <c r="G24" s="265"/>
      <c r="H24" s="265"/>
      <c r="I24" s="265"/>
      <c r="J24" s="265"/>
      <c r="K24" s="266"/>
      <c r="L24" s="265"/>
      <c r="M24" s="265"/>
      <c r="N24" s="265"/>
      <c r="O24" s="267"/>
      <c r="P24" s="267"/>
      <c r="Q24" s="268"/>
      <c r="R24" s="269"/>
      <c r="S24" s="267"/>
      <c r="T24" s="226"/>
      <c r="U24" s="226"/>
      <c r="V24" s="226"/>
      <c r="W24" s="226"/>
      <c r="X24" s="226"/>
      <c r="Y24" s="226"/>
      <c r="Z24" s="226"/>
      <c r="AA24" s="226"/>
      <c r="AB24" s="226"/>
      <c r="AC24" s="226"/>
      <c r="AD24" s="226"/>
      <c r="AE24" s="226"/>
      <c r="AF24" s="226"/>
      <c r="AG24" s="226"/>
      <c r="AH24" s="226"/>
      <c r="AI24" s="226"/>
      <c r="AJ24" s="226"/>
      <c r="AK24" s="226"/>
      <c r="AL24" s="226"/>
      <c r="AM24" s="226"/>
      <c r="AN24" s="226"/>
      <c r="AO24" s="226"/>
      <c r="AP24" s="226"/>
      <c r="AQ24" s="226"/>
      <c r="AR24" s="226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0C87-BF35-4D65-BC9C-2A3A2D8AD9C9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46306</v>
      </c>
      <c r="G1" s="206">
        <v>46306</v>
      </c>
      <c r="H1" s="206">
        <v>46306</v>
      </c>
      <c r="I1" s="206">
        <v>46306</v>
      </c>
      <c r="J1" s="206">
        <v>46306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6" t="s">
        <v>7</v>
      </c>
      <c r="L3" s="416" t="s">
        <v>19</v>
      </c>
      <c r="M3" s="416" t="s">
        <v>20</v>
      </c>
      <c r="N3" s="41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0" si="0">$F$1-F5</f>
        <v>26</v>
      </c>
      <c r="L5" s="205">
        <f t="shared" si="0"/>
        <v>26</v>
      </c>
      <c r="M5" s="205"/>
      <c r="N5" s="205"/>
      <c r="O5" s="222" t="s">
        <v>314</v>
      </c>
      <c r="P5" s="239"/>
      <c r="Q5" s="308" t="s">
        <v>153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18</v>
      </c>
      <c r="L6" s="201">
        <f t="shared" si="0"/>
        <v>18</v>
      </c>
      <c r="M6" s="205"/>
      <c r="N6" s="205"/>
      <c r="O6" s="222" t="s">
        <v>321</v>
      </c>
      <c r="P6" s="306"/>
      <c r="Q6" s="308" t="s">
        <v>251</v>
      </c>
      <c r="R6" s="308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10</v>
      </c>
      <c r="L7" s="201">
        <f t="shared" si="0"/>
        <v>10</v>
      </c>
      <c r="M7" s="205"/>
      <c r="N7" s="205"/>
      <c r="O7" s="222" t="s">
        <v>341</v>
      </c>
      <c r="P7" s="239" t="s">
        <v>304</v>
      </c>
      <c r="Q7" s="306"/>
      <c r="R7" s="306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8</v>
      </c>
      <c r="L8" s="201">
        <f t="shared" si="0"/>
        <v>8</v>
      </c>
      <c r="M8" s="274"/>
      <c r="N8" s="274"/>
      <c r="O8" s="270" t="s">
        <v>333</v>
      </c>
      <c r="P8" s="260" t="s">
        <v>65</v>
      </c>
      <c r="Q8" s="216"/>
      <c r="R8" s="306"/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6</v>
      </c>
      <c r="L9" s="205">
        <f t="shared" si="0"/>
        <v>6</v>
      </c>
      <c r="M9" s="274"/>
      <c r="N9" s="274"/>
      <c r="O9" s="270" t="s">
        <v>93</v>
      </c>
      <c r="P9" s="260" t="s">
        <v>339</v>
      </c>
      <c r="Q9" s="306"/>
      <c r="R9" s="216"/>
      <c r="S9" s="225"/>
    </row>
    <row r="10" spans="1:66" s="226" customFormat="1" x14ac:dyDescent="0.3">
      <c r="A10" s="249">
        <v>6</v>
      </c>
      <c r="B10" s="306" t="s">
        <v>186</v>
      </c>
      <c r="C10" s="240" t="s">
        <v>32</v>
      </c>
      <c r="D10" s="241" t="s">
        <v>28</v>
      </c>
      <c r="E10" s="333">
        <v>2022</v>
      </c>
      <c r="F10" s="206">
        <v>46302</v>
      </c>
      <c r="G10" s="206">
        <v>46302</v>
      </c>
      <c r="H10" s="310"/>
      <c r="I10" s="393"/>
      <c r="J10" s="394"/>
      <c r="K10" s="205">
        <f t="shared" si="0"/>
        <v>4</v>
      </c>
      <c r="L10" s="205">
        <f t="shared" si="0"/>
        <v>4</v>
      </c>
      <c r="M10" s="274"/>
      <c r="N10" s="274"/>
      <c r="O10" s="270" t="s">
        <v>342</v>
      </c>
      <c r="P10" s="239" t="s">
        <v>148</v>
      </c>
      <c r="Q10" s="306"/>
      <c r="R10" s="239"/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0"/>
      <c r="I11" s="393"/>
      <c r="J11" s="394"/>
      <c r="K11" s="205"/>
      <c r="L11" s="205"/>
      <c r="M11" s="274"/>
      <c r="N11" s="274"/>
      <c r="O11" s="270"/>
      <c r="P11" s="239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>
        <v>1</v>
      </c>
      <c r="B15" s="216" t="s">
        <v>305</v>
      </c>
      <c r="C15" s="331" t="s">
        <v>34</v>
      </c>
      <c r="D15" s="332" t="s">
        <v>290</v>
      </c>
      <c r="E15" s="333">
        <v>2014</v>
      </c>
      <c r="F15" s="206">
        <v>46269</v>
      </c>
      <c r="G15" s="206">
        <v>46269</v>
      </c>
      <c r="H15" s="312"/>
      <c r="I15" s="335"/>
      <c r="J15" s="336"/>
      <c r="K15" s="205">
        <f t="shared" ref="K15:L15" si="1">$F$1-F15</f>
        <v>37</v>
      </c>
      <c r="L15" s="205">
        <f t="shared" si="1"/>
        <v>37</v>
      </c>
      <c r="M15" s="205"/>
      <c r="N15" s="205"/>
      <c r="O15" s="222" t="s">
        <v>326</v>
      </c>
      <c r="P15" s="216" t="s">
        <v>192</v>
      </c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143</v>
      </c>
      <c r="L19" s="201">
        <f t="shared" si="2"/>
        <v>143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86</v>
      </c>
      <c r="L20" s="201">
        <f t="shared" si="2"/>
        <v>86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73</v>
      </c>
      <c r="L21" s="201">
        <f t="shared" si="2"/>
        <v>73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A1A6-591A-4206-A59F-31B05F90FA7E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46307</v>
      </c>
      <c r="G1" s="206">
        <v>46307</v>
      </c>
      <c r="H1" s="206">
        <v>46307</v>
      </c>
      <c r="I1" s="206">
        <v>46307</v>
      </c>
      <c r="J1" s="206">
        <v>46307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7" t="s">
        <v>7</v>
      </c>
      <c r="L3" s="417" t="s">
        <v>19</v>
      </c>
      <c r="M3" s="417" t="s">
        <v>20</v>
      </c>
      <c r="N3" s="41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0" si="0">$F$1-F5</f>
        <v>27</v>
      </c>
      <c r="L5" s="205">
        <f t="shared" si="0"/>
        <v>27</v>
      </c>
      <c r="M5" s="205"/>
      <c r="N5" s="205"/>
      <c r="O5" s="222" t="s">
        <v>314</v>
      </c>
      <c r="P5" s="239"/>
      <c r="Q5" s="308" t="s">
        <v>153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19</v>
      </c>
      <c r="L6" s="201">
        <f t="shared" si="0"/>
        <v>19</v>
      </c>
      <c r="M6" s="205"/>
      <c r="N6" s="205"/>
      <c r="O6" s="222" t="s">
        <v>321</v>
      </c>
      <c r="P6" s="306"/>
      <c r="Q6" s="308" t="s">
        <v>251</v>
      </c>
      <c r="R6" s="308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11</v>
      </c>
      <c r="L7" s="201">
        <f t="shared" si="0"/>
        <v>11</v>
      </c>
      <c r="M7" s="205"/>
      <c r="N7" s="205"/>
      <c r="O7" s="222" t="s">
        <v>341</v>
      </c>
      <c r="P7" s="239" t="s">
        <v>304</v>
      </c>
      <c r="Q7" s="306"/>
      <c r="R7" s="306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9</v>
      </c>
      <c r="L8" s="201">
        <f t="shared" si="0"/>
        <v>9</v>
      </c>
      <c r="M8" s="274"/>
      <c r="N8" s="274"/>
      <c r="O8" s="270" t="s">
        <v>333</v>
      </c>
      <c r="P8" s="260" t="s">
        <v>65</v>
      </c>
      <c r="Q8" s="216"/>
      <c r="R8" s="306"/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7</v>
      </c>
      <c r="L9" s="205">
        <f t="shared" si="0"/>
        <v>7</v>
      </c>
      <c r="M9" s="274"/>
      <c r="N9" s="274"/>
      <c r="O9" s="270" t="s">
        <v>93</v>
      </c>
      <c r="P9" s="260" t="s">
        <v>339</v>
      </c>
      <c r="Q9" s="306"/>
      <c r="R9" s="216"/>
      <c r="S9" s="225"/>
    </row>
    <row r="10" spans="1:66" s="226" customFormat="1" x14ac:dyDescent="0.3">
      <c r="A10" s="249">
        <v>6</v>
      </c>
      <c r="B10" s="306" t="s">
        <v>186</v>
      </c>
      <c r="C10" s="240" t="s">
        <v>32</v>
      </c>
      <c r="D10" s="241" t="s">
        <v>28</v>
      </c>
      <c r="E10" s="333">
        <v>2022</v>
      </c>
      <c r="F10" s="206">
        <v>46302</v>
      </c>
      <c r="G10" s="206">
        <v>46302</v>
      </c>
      <c r="H10" s="310"/>
      <c r="I10" s="393"/>
      <c r="J10" s="394"/>
      <c r="K10" s="205">
        <f t="shared" si="0"/>
        <v>5</v>
      </c>
      <c r="L10" s="205">
        <f t="shared" si="0"/>
        <v>5</v>
      </c>
      <c r="M10" s="274"/>
      <c r="N10" s="274"/>
      <c r="O10" s="270" t="s">
        <v>342</v>
      </c>
      <c r="P10" s="239" t="s">
        <v>148</v>
      </c>
      <c r="Q10" s="306"/>
      <c r="R10" s="239"/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0"/>
      <c r="I11" s="393"/>
      <c r="J11" s="394"/>
      <c r="K11" s="205"/>
      <c r="L11" s="205"/>
      <c r="M11" s="274"/>
      <c r="N11" s="274"/>
      <c r="O11" s="270"/>
      <c r="P11" s="239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>
        <v>1</v>
      </c>
      <c r="B15" s="216" t="s">
        <v>305</v>
      </c>
      <c r="C15" s="331" t="s">
        <v>34</v>
      </c>
      <c r="D15" s="332" t="s">
        <v>290</v>
      </c>
      <c r="E15" s="333">
        <v>2014</v>
      </c>
      <c r="F15" s="206">
        <v>46269</v>
      </c>
      <c r="G15" s="206">
        <v>46269</v>
      </c>
      <c r="H15" s="312"/>
      <c r="I15" s="335"/>
      <c r="J15" s="336"/>
      <c r="K15" s="205">
        <f t="shared" ref="K15:L15" si="1">$F$1-F15</f>
        <v>38</v>
      </c>
      <c r="L15" s="205">
        <f t="shared" si="1"/>
        <v>38</v>
      </c>
      <c r="M15" s="205"/>
      <c r="N15" s="205"/>
      <c r="O15" s="222" t="s">
        <v>326</v>
      </c>
      <c r="P15" s="216" t="s">
        <v>192</v>
      </c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2">$F$1-F19</f>
        <v>144</v>
      </c>
      <c r="L19" s="201">
        <f t="shared" si="2"/>
        <v>144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2"/>
        <v>87</v>
      </c>
      <c r="L20" s="201">
        <f t="shared" si="2"/>
        <v>87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2"/>
        <v>74</v>
      </c>
      <c r="L21" s="201">
        <f t="shared" si="2"/>
        <v>74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49F4-0C37-4E0E-B445-ABC784034B60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46308</v>
      </c>
      <c r="G1" s="206">
        <v>46308</v>
      </c>
      <c r="H1" s="206">
        <v>46308</v>
      </c>
      <c r="I1" s="206">
        <v>46308</v>
      </c>
      <c r="J1" s="206">
        <v>46308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8" t="s">
        <v>7</v>
      </c>
      <c r="L3" s="418" t="s">
        <v>19</v>
      </c>
      <c r="M3" s="418" t="s">
        <v>20</v>
      </c>
      <c r="N3" s="41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9" si="0">$F$1-F5</f>
        <v>28</v>
      </c>
      <c r="L5" s="205">
        <f t="shared" si="0"/>
        <v>28</v>
      </c>
      <c r="M5" s="205"/>
      <c r="N5" s="205"/>
      <c r="O5" s="222" t="s">
        <v>314</v>
      </c>
      <c r="P5" s="239"/>
      <c r="Q5" s="308" t="s">
        <v>186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20</v>
      </c>
      <c r="L6" s="201">
        <f t="shared" si="0"/>
        <v>20</v>
      </c>
      <c r="M6" s="205"/>
      <c r="N6" s="205"/>
      <c r="O6" s="222" t="s">
        <v>321</v>
      </c>
      <c r="P6" s="306"/>
      <c r="Q6" s="223" t="s">
        <v>305</v>
      </c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12</v>
      </c>
      <c r="L7" s="201">
        <f t="shared" si="0"/>
        <v>12</v>
      </c>
      <c r="M7" s="205"/>
      <c r="N7" s="205"/>
      <c r="O7" s="222" t="s">
        <v>341</v>
      </c>
      <c r="P7" s="239" t="s">
        <v>304</v>
      </c>
      <c r="Q7" s="223" t="s">
        <v>192</v>
      </c>
      <c r="R7" s="283" t="s">
        <v>148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10</v>
      </c>
      <c r="L8" s="201">
        <f t="shared" si="0"/>
        <v>10</v>
      </c>
      <c r="M8" s="274"/>
      <c r="N8" s="274"/>
      <c r="O8" s="270" t="s">
        <v>333</v>
      </c>
      <c r="P8" s="260" t="s">
        <v>65</v>
      </c>
      <c r="Q8" s="306"/>
      <c r="R8" s="223" t="s">
        <v>51</v>
      </c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8</v>
      </c>
      <c r="L9" s="205">
        <f t="shared" si="0"/>
        <v>8</v>
      </c>
      <c r="M9" s="274"/>
      <c r="N9" s="274"/>
      <c r="O9" s="270" t="s">
        <v>93</v>
      </c>
      <c r="P9" s="260" t="s">
        <v>339</v>
      </c>
      <c r="Q9" s="216"/>
      <c r="R9" s="216"/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0"/>
      <c r="I10" s="393"/>
      <c r="J10" s="394"/>
      <c r="K10" s="205"/>
      <c r="L10" s="205"/>
      <c r="M10" s="274"/>
      <c r="N10" s="274"/>
      <c r="O10" s="270"/>
      <c r="P10" s="239"/>
      <c r="Q10" s="306"/>
      <c r="R10" s="239"/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0"/>
      <c r="I11" s="393"/>
      <c r="J11" s="394"/>
      <c r="K11" s="205"/>
      <c r="L11" s="205"/>
      <c r="M11" s="274"/>
      <c r="N11" s="274"/>
      <c r="O11" s="270"/>
      <c r="P11" s="239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1">$F$1-F19</f>
        <v>145</v>
      </c>
      <c r="L19" s="201">
        <f t="shared" si="1"/>
        <v>145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1"/>
        <v>88</v>
      </c>
      <c r="L20" s="201">
        <f t="shared" si="1"/>
        <v>88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1"/>
        <v>75</v>
      </c>
      <c r="L21" s="201">
        <f t="shared" si="1"/>
        <v>75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9345-365D-4D9C-9D90-93DD0CC5CE55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46309</v>
      </c>
      <c r="G1" s="206">
        <v>46309</v>
      </c>
      <c r="H1" s="206">
        <v>46309</v>
      </c>
      <c r="I1" s="206">
        <v>46309</v>
      </c>
      <c r="J1" s="206">
        <v>46309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19" t="s">
        <v>7</v>
      </c>
      <c r="L3" s="419" t="s">
        <v>19</v>
      </c>
      <c r="M3" s="419" t="s">
        <v>20</v>
      </c>
      <c r="N3" s="41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9" si="0">$F$1-F5</f>
        <v>29</v>
      </c>
      <c r="L5" s="205">
        <f t="shared" si="0"/>
        <v>29</v>
      </c>
      <c r="M5" s="205"/>
      <c r="N5" s="205"/>
      <c r="O5" s="222" t="s">
        <v>314</v>
      </c>
      <c r="P5" s="239"/>
      <c r="Q5" s="283" t="s">
        <v>148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21</v>
      </c>
      <c r="L6" s="201">
        <f t="shared" si="0"/>
        <v>21</v>
      </c>
      <c r="M6" s="205"/>
      <c r="N6" s="205"/>
      <c r="O6" s="222" t="s">
        <v>321</v>
      </c>
      <c r="P6" s="306"/>
      <c r="Q6" s="223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13</v>
      </c>
      <c r="L7" s="201">
        <f t="shared" si="0"/>
        <v>13</v>
      </c>
      <c r="M7" s="205"/>
      <c r="N7" s="205"/>
      <c r="O7" s="222" t="s">
        <v>341</v>
      </c>
      <c r="P7" s="239" t="s">
        <v>304</v>
      </c>
      <c r="Q7" s="223"/>
      <c r="R7" s="283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11</v>
      </c>
      <c r="L8" s="201">
        <f t="shared" si="0"/>
        <v>11</v>
      </c>
      <c r="M8" s="274"/>
      <c r="N8" s="274"/>
      <c r="O8" s="270" t="s">
        <v>333</v>
      </c>
      <c r="P8" s="260" t="s">
        <v>65</v>
      </c>
      <c r="Q8" s="306"/>
      <c r="R8" s="223" t="s">
        <v>51</v>
      </c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9</v>
      </c>
      <c r="L9" s="205">
        <f t="shared" si="0"/>
        <v>9</v>
      </c>
      <c r="M9" s="274"/>
      <c r="N9" s="274"/>
      <c r="O9" s="270" t="s">
        <v>93</v>
      </c>
      <c r="P9" s="260" t="s">
        <v>339</v>
      </c>
      <c r="Q9" s="216"/>
      <c r="R9" s="216"/>
      <c r="S9" s="225"/>
    </row>
    <row r="10" spans="1:66" s="226" customFormat="1" x14ac:dyDescent="0.3">
      <c r="A10" s="344">
        <v>6</v>
      </c>
      <c r="B10" s="308" t="s">
        <v>191</v>
      </c>
      <c r="C10" s="337" t="s">
        <v>29</v>
      </c>
      <c r="D10" s="338" t="s">
        <v>28</v>
      </c>
      <c r="E10" s="339">
        <v>2023</v>
      </c>
      <c r="F10" s="234">
        <v>46309</v>
      </c>
      <c r="G10" s="234">
        <v>46309</v>
      </c>
      <c r="H10" s="296"/>
      <c r="I10" s="341"/>
      <c r="J10" s="342"/>
      <c r="K10" s="343">
        <f t="shared" ref="K10" si="1">$F$1-F10</f>
        <v>0</v>
      </c>
      <c r="L10" s="343">
        <f t="shared" ref="L10" si="2">$F$1-G10</f>
        <v>0</v>
      </c>
      <c r="M10" s="343"/>
      <c r="N10" s="343"/>
      <c r="O10" s="238" t="s">
        <v>343</v>
      </c>
      <c r="P10" s="283" t="s">
        <v>148</v>
      </c>
      <c r="Q10" s="306"/>
      <c r="R10" s="239"/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0"/>
      <c r="I11" s="393"/>
      <c r="J11" s="394"/>
      <c r="K11" s="205"/>
      <c r="L11" s="205"/>
      <c r="M11" s="274"/>
      <c r="N11" s="274"/>
      <c r="O11" s="270"/>
      <c r="P11" s="239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3">$F$1-F19</f>
        <v>146</v>
      </c>
      <c r="L19" s="201">
        <f t="shared" si="3"/>
        <v>146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3"/>
        <v>89</v>
      </c>
      <c r="L20" s="201">
        <f t="shared" si="3"/>
        <v>89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3"/>
        <v>76</v>
      </c>
      <c r="L21" s="201">
        <f t="shared" si="3"/>
        <v>76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080A-8A8B-4017-B960-F7C5437D637E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46310</v>
      </c>
      <c r="G1" s="206">
        <v>46310</v>
      </c>
      <c r="H1" s="206">
        <v>46310</v>
      </c>
      <c r="I1" s="206">
        <v>46310</v>
      </c>
      <c r="J1" s="206">
        <v>46310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0" t="s">
        <v>7</v>
      </c>
      <c r="L3" s="420" t="s">
        <v>19</v>
      </c>
      <c r="M3" s="420" t="s">
        <v>20</v>
      </c>
      <c r="N3" s="42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0" si="0">$F$1-F5</f>
        <v>30</v>
      </c>
      <c r="L5" s="205">
        <f t="shared" si="0"/>
        <v>30</v>
      </c>
      <c r="M5" s="205"/>
      <c r="N5" s="205"/>
      <c r="O5" s="222" t="s">
        <v>314</v>
      </c>
      <c r="P5" s="239"/>
      <c r="Q5" s="283" t="s">
        <v>148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22</v>
      </c>
      <c r="L6" s="201">
        <f t="shared" si="0"/>
        <v>22</v>
      </c>
      <c r="M6" s="205"/>
      <c r="N6" s="205"/>
      <c r="O6" s="222" t="s">
        <v>321</v>
      </c>
      <c r="P6" s="306"/>
      <c r="Q6" s="223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14</v>
      </c>
      <c r="L7" s="201">
        <f t="shared" si="0"/>
        <v>14</v>
      </c>
      <c r="M7" s="205"/>
      <c r="N7" s="205"/>
      <c r="O7" s="222" t="s">
        <v>341</v>
      </c>
      <c r="P7" s="239" t="s">
        <v>304</v>
      </c>
      <c r="Q7" s="223"/>
      <c r="R7" s="223" t="s">
        <v>51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12</v>
      </c>
      <c r="L8" s="201">
        <f t="shared" si="0"/>
        <v>12</v>
      </c>
      <c r="M8" s="274"/>
      <c r="N8" s="274"/>
      <c r="O8" s="270" t="s">
        <v>333</v>
      </c>
      <c r="P8" s="260" t="s">
        <v>65</v>
      </c>
      <c r="Q8" s="306"/>
      <c r="R8" s="223"/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10</v>
      </c>
      <c r="L9" s="205">
        <f t="shared" si="0"/>
        <v>10</v>
      </c>
      <c r="M9" s="274"/>
      <c r="N9" s="274"/>
      <c r="O9" s="270" t="s">
        <v>93</v>
      </c>
      <c r="P9" s="260" t="s">
        <v>339</v>
      </c>
      <c r="Q9" s="216"/>
      <c r="R9" s="216"/>
      <c r="S9" s="225"/>
    </row>
    <row r="10" spans="1:66" s="226" customFormat="1" x14ac:dyDescent="0.3">
      <c r="A10" s="344">
        <v>6</v>
      </c>
      <c r="B10" s="308" t="s">
        <v>191</v>
      </c>
      <c r="C10" s="337" t="s">
        <v>29</v>
      </c>
      <c r="D10" s="338" t="s">
        <v>28</v>
      </c>
      <c r="E10" s="339">
        <v>2023</v>
      </c>
      <c r="F10" s="234">
        <v>46309</v>
      </c>
      <c r="G10" s="234">
        <v>46309</v>
      </c>
      <c r="H10" s="296"/>
      <c r="I10" s="341"/>
      <c r="J10" s="342"/>
      <c r="K10" s="343">
        <f t="shared" si="0"/>
        <v>1</v>
      </c>
      <c r="L10" s="343">
        <f t="shared" si="0"/>
        <v>1</v>
      </c>
      <c r="M10" s="343"/>
      <c r="N10" s="343"/>
      <c r="O10" s="238" t="s">
        <v>343</v>
      </c>
      <c r="P10" s="283" t="s">
        <v>148</v>
      </c>
      <c r="Q10" s="306"/>
      <c r="R10" s="239"/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0"/>
      <c r="I11" s="393"/>
      <c r="J11" s="394"/>
      <c r="K11" s="205"/>
      <c r="L11" s="205"/>
      <c r="M11" s="274"/>
      <c r="N11" s="274"/>
      <c r="O11" s="270"/>
      <c r="P11" s="239"/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1">$F$1-F19</f>
        <v>147</v>
      </c>
      <c r="L19" s="201">
        <f t="shared" si="1"/>
        <v>147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1"/>
        <v>90</v>
      </c>
      <c r="L20" s="201">
        <f t="shared" si="1"/>
        <v>90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1"/>
        <v>77</v>
      </c>
      <c r="L21" s="201">
        <f t="shared" si="1"/>
        <v>77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B6C2-92D3-459C-BA4C-C0DEB4B033E8}">
  <dimension ref="A1:BN22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46311</v>
      </c>
      <c r="G1" s="206">
        <v>46311</v>
      </c>
      <c r="H1" s="206">
        <v>46311</v>
      </c>
      <c r="I1" s="206">
        <v>46311</v>
      </c>
      <c r="J1" s="206">
        <v>46311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1" t="s">
        <v>7</v>
      </c>
      <c r="L3" s="421" t="s">
        <v>19</v>
      </c>
      <c r="M3" s="421" t="s">
        <v>20</v>
      </c>
      <c r="N3" s="421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0" si="0">$F$1-F5</f>
        <v>31</v>
      </c>
      <c r="L5" s="205">
        <f t="shared" si="0"/>
        <v>31</v>
      </c>
      <c r="M5" s="205"/>
      <c r="N5" s="205"/>
      <c r="O5" s="222" t="s">
        <v>314</v>
      </c>
      <c r="P5" s="239"/>
      <c r="Q5" s="239" t="s">
        <v>148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23</v>
      </c>
      <c r="L6" s="201">
        <f t="shared" si="0"/>
        <v>23</v>
      </c>
      <c r="M6" s="205"/>
      <c r="N6" s="205"/>
      <c r="O6" s="222" t="s">
        <v>321</v>
      </c>
      <c r="P6" s="306"/>
      <c r="Q6" s="223" t="s">
        <v>51</v>
      </c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15</v>
      </c>
      <c r="L7" s="201">
        <f t="shared" si="0"/>
        <v>15</v>
      </c>
      <c r="M7" s="205"/>
      <c r="N7" s="205"/>
      <c r="O7" s="222" t="s">
        <v>341</v>
      </c>
      <c r="P7" s="239" t="s">
        <v>304</v>
      </c>
      <c r="Q7" s="216"/>
      <c r="R7" s="216"/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13</v>
      </c>
      <c r="L8" s="201">
        <f t="shared" si="0"/>
        <v>13</v>
      </c>
      <c r="M8" s="274"/>
      <c r="N8" s="274"/>
      <c r="O8" s="270" t="s">
        <v>333</v>
      </c>
      <c r="P8" s="260" t="s">
        <v>65</v>
      </c>
      <c r="Q8" s="306"/>
      <c r="R8" s="223" t="s">
        <v>46</v>
      </c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11</v>
      </c>
      <c r="L9" s="205">
        <f t="shared" si="0"/>
        <v>11</v>
      </c>
      <c r="M9" s="274"/>
      <c r="N9" s="274"/>
      <c r="O9" s="270" t="s">
        <v>93</v>
      </c>
      <c r="P9" s="260" t="s">
        <v>339</v>
      </c>
      <c r="Q9" s="216"/>
      <c r="R9" s="216"/>
      <c r="S9" s="225"/>
    </row>
    <row r="10" spans="1:66" s="226" customFormat="1" x14ac:dyDescent="0.3">
      <c r="A10" s="249">
        <v>6</v>
      </c>
      <c r="B10" s="306" t="s">
        <v>191</v>
      </c>
      <c r="C10" s="331" t="s">
        <v>29</v>
      </c>
      <c r="D10" s="332" t="s">
        <v>28</v>
      </c>
      <c r="E10" s="333">
        <v>2023</v>
      </c>
      <c r="F10" s="206">
        <v>46309</v>
      </c>
      <c r="G10" s="206">
        <v>46309</v>
      </c>
      <c r="H10" s="312"/>
      <c r="I10" s="335"/>
      <c r="J10" s="336"/>
      <c r="K10" s="205">
        <f t="shared" si="0"/>
        <v>2</v>
      </c>
      <c r="L10" s="205">
        <f t="shared" si="0"/>
        <v>2</v>
      </c>
      <c r="M10" s="205"/>
      <c r="N10" s="205"/>
      <c r="O10" s="222" t="s">
        <v>343</v>
      </c>
      <c r="P10" s="239" t="s">
        <v>148</v>
      </c>
      <c r="Q10" s="306"/>
      <c r="R10" s="239"/>
      <c r="S10" s="225"/>
    </row>
    <row r="11" spans="1:66" s="226" customFormat="1" x14ac:dyDescent="0.3">
      <c r="A11" s="344">
        <v>7</v>
      </c>
      <c r="B11" s="308" t="s">
        <v>344</v>
      </c>
      <c r="C11" s="337" t="s">
        <v>29</v>
      </c>
      <c r="D11" s="338" t="s">
        <v>28</v>
      </c>
      <c r="E11" s="339">
        <v>2023</v>
      </c>
      <c r="F11" s="234">
        <v>46311</v>
      </c>
      <c r="G11" s="234">
        <v>46311</v>
      </c>
      <c r="H11" s="298"/>
      <c r="I11" s="378"/>
      <c r="J11" s="379"/>
      <c r="K11" s="343">
        <f t="shared" ref="K11" si="1">$F$1-F11</f>
        <v>0</v>
      </c>
      <c r="L11" s="343">
        <f t="shared" ref="L11" si="2">$F$1-G11</f>
        <v>0</v>
      </c>
      <c r="M11" s="380"/>
      <c r="N11" s="380"/>
      <c r="O11" s="320" t="s">
        <v>345</v>
      </c>
      <c r="P11" s="223" t="s">
        <v>51</v>
      </c>
      <c r="Q11" s="216"/>
      <c r="R11" s="306"/>
      <c r="S11" s="225"/>
    </row>
    <row r="12" spans="1:66" s="226" customFormat="1" ht="13.95" customHeight="1" x14ac:dyDescent="0.3">
      <c r="A12" s="242"/>
      <c r="B12" s="243"/>
      <c r="C12" s="244"/>
      <c r="D12" s="245"/>
      <c r="E12" s="246"/>
      <c r="F12" s="247"/>
      <c r="G12" s="247"/>
      <c r="H12" s="247"/>
      <c r="I12" s="247"/>
      <c r="J12" s="247"/>
      <c r="K12" s="246"/>
      <c r="L12" s="247"/>
      <c r="M12" s="247"/>
      <c r="N12" s="247"/>
      <c r="O12" s="248" t="s">
        <v>22</v>
      </c>
      <c r="P12" s="244"/>
      <c r="Q12" s="244"/>
      <c r="R12" s="245"/>
      <c r="S12" s="248"/>
    </row>
    <row r="13" spans="1:66" s="226" customFormat="1" ht="13.95" customHeight="1" x14ac:dyDescent="0.3">
      <c r="A13" s="249"/>
      <c r="B13" s="216"/>
      <c r="C13" s="331"/>
      <c r="D13" s="332"/>
      <c r="E13" s="333"/>
      <c r="F13" s="206"/>
      <c r="G13" s="206"/>
      <c r="H13" s="312"/>
      <c r="I13" s="335"/>
      <c r="J13" s="336"/>
      <c r="K13" s="205"/>
      <c r="L13" s="205"/>
      <c r="M13" s="205"/>
      <c r="N13" s="205"/>
      <c r="O13" s="222"/>
      <c r="P13" s="216"/>
      <c r="Q13" s="251"/>
      <c r="R13" s="252"/>
      <c r="S13" s="253"/>
    </row>
    <row r="14" spans="1:66" s="259" customFormat="1" ht="13.95" customHeight="1" x14ac:dyDescent="0.3">
      <c r="A14" s="254"/>
      <c r="B14" s="255"/>
      <c r="C14" s="244"/>
      <c r="D14" s="245" t="s">
        <v>0</v>
      </c>
      <c r="E14" s="246"/>
      <c r="F14" s="256"/>
      <c r="G14" s="256"/>
      <c r="H14" s="256"/>
      <c r="I14" s="256"/>
      <c r="J14" s="256"/>
      <c r="K14" s="246"/>
      <c r="L14" s="256"/>
      <c r="M14" s="256"/>
      <c r="N14" s="256"/>
      <c r="O14" s="257" t="s">
        <v>23</v>
      </c>
      <c r="P14" s="245"/>
      <c r="Q14" s="245"/>
      <c r="R14" s="258"/>
      <c r="S14" s="257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</row>
    <row r="15" spans="1:66" s="226" customFormat="1" ht="13.95" customHeight="1" x14ac:dyDescent="0.3">
      <c r="A15" s="249"/>
      <c r="B15" s="216"/>
      <c r="C15" s="331"/>
      <c r="D15" s="332"/>
      <c r="E15" s="333"/>
      <c r="F15" s="206"/>
      <c r="G15" s="206"/>
      <c r="H15" s="312"/>
      <c r="I15" s="335"/>
      <c r="J15" s="336"/>
      <c r="K15" s="205"/>
      <c r="L15" s="205"/>
      <c r="M15" s="205"/>
      <c r="N15" s="205"/>
      <c r="O15" s="222"/>
      <c r="P15" s="216"/>
      <c r="Q15" s="222"/>
      <c r="R15" s="239"/>
      <c r="S15" s="229"/>
    </row>
    <row r="16" spans="1:66" s="259" customFormat="1" ht="13.95" customHeight="1" x14ac:dyDescent="0.3">
      <c r="A16" s="261"/>
      <c r="B16" s="262"/>
      <c r="C16" s="263"/>
      <c r="D16" s="262"/>
      <c r="E16" s="264"/>
      <c r="F16" s="265"/>
      <c r="G16" s="265"/>
      <c r="H16" s="265"/>
      <c r="I16" s="265"/>
      <c r="J16" s="265"/>
      <c r="K16" s="266"/>
      <c r="L16" s="265"/>
      <c r="M16" s="265"/>
      <c r="N16" s="265"/>
      <c r="O16" s="267" t="s">
        <v>37</v>
      </c>
      <c r="P16" s="268"/>
      <c r="Q16" s="268"/>
      <c r="R16" s="269"/>
      <c r="S16" s="267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</row>
    <row r="17" spans="1:66" s="226" customFormat="1" ht="13.95" customHeight="1" x14ac:dyDescent="0.3">
      <c r="A17" s="249"/>
      <c r="B17" s="216"/>
      <c r="C17" s="331"/>
      <c r="D17" s="332"/>
      <c r="E17" s="333"/>
      <c r="F17" s="206"/>
      <c r="G17" s="206"/>
      <c r="H17" s="312"/>
      <c r="I17" s="335"/>
      <c r="J17" s="336"/>
      <c r="K17" s="205"/>
      <c r="L17" s="205"/>
      <c r="M17" s="205"/>
      <c r="N17" s="205"/>
      <c r="O17" s="222"/>
      <c r="P17" s="216"/>
      <c r="Q17" s="275"/>
      <c r="R17" s="239"/>
      <c r="S17" s="276"/>
    </row>
    <row r="18" spans="1:66" s="259" customFormat="1" ht="13.95" customHeight="1" x14ac:dyDescent="0.3">
      <c r="A18" s="261"/>
      <c r="B18" s="262"/>
      <c r="C18" s="263"/>
      <c r="D18" s="262"/>
      <c r="E18" s="264"/>
      <c r="F18" s="265"/>
      <c r="G18" s="265"/>
      <c r="H18" s="265"/>
      <c r="I18" s="265"/>
      <c r="J18" s="265"/>
      <c r="K18" s="266"/>
      <c r="L18" s="265"/>
      <c r="M18" s="265"/>
      <c r="N18" s="265"/>
      <c r="O18" s="267" t="s">
        <v>38</v>
      </c>
      <c r="P18" s="268"/>
      <c r="Q18" s="268"/>
      <c r="R18" s="269"/>
      <c r="S18" s="267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226"/>
      <c r="AP18" s="226"/>
      <c r="AQ18" s="226"/>
      <c r="AR18" s="226"/>
      <c r="AS18" s="226"/>
      <c r="AT18" s="226"/>
      <c r="AU18" s="226"/>
      <c r="AV18" s="226"/>
      <c r="AW18" s="226"/>
      <c r="AX18" s="226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</row>
    <row r="19" spans="1:66" s="226" customFormat="1" ht="27" customHeight="1" x14ac:dyDescent="0.3">
      <c r="A19" s="205">
        <v>1</v>
      </c>
      <c r="B19" s="216" t="s">
        <v>116</v>
      </c>
      <c r="C19" s="240" t="s">
        <v>32</v>
      </c>
      <c r="D19" s="241" t="s">
        <v>28</v>
      </c>
      <c r="E19" s="219">
        <v>2010</v>
      </c>
      <c r="F19" s="206">
        <v>46163</v>
      </c>
      <c r="G19" s="206">
        <v>46163</v>
      </c>
      <c r="H19" s="220"/>
      <c r="I19" s="220"/>
      <c r="J19" s="221"/>
      <c r="K19" s="201">
        <f t="shared" ref="K19:L21" si="3">$F$1-F19</f>
        <v>148</v>
      </c>
      <c r="L19" s="201">
        <f t="shared" si="3"/>
        <v>148</v>
      </c>
      <c r="M19" s="201"/>
      <c r="N19" s="201"/>
      <c r="O19" s="222" t="s">
        <v>267</v>
      </c>
      <c r="Q19" s="275"/>
      <c r="R19" s="239"/>
      <c r="S19" s="276"/>
    </row>
    <row r="20" spans="1:66" s="226" customFormat="1" ht="27" customHeight="1" x14ac:dyDescent="0.3">
      <c r="A20" s="215">
        <v>2</v>
      </c>
      <c r="B20" s="239" t="s">
        <v>10</v>
      </c>
      <c r="C20" s="217" t="s">
        <v>32</v>
      </c>
      <c r="D20" s="218" t="s">
        <v>28</v>
      </c>
      <c r="E20" s="219">
        <v>2010</v>
      </c>
      <c r="F20" s="206">
        <v>46220</v>
      </c>
      <c r="G20" s="206">
        <v>46220</v>
      </c>
      <c r="H20" s="220"/>
      <c r="I20" s="220"/>
      <c r="J20" s="221"/>
      <c r="K20" s="201">
        <f t="shared" si="3"/>
        <v>91</v>
      </c>
      <c r="L20" s="201">
        <f t="shared" si="3"/>
        <v>91</v>
      </c>
      <c r="M20" s="201"/>
      <c r="N20" s="201"/>
      <c r="O20" s="222" t="s">
        <v>225</v>
      </c>
      <c r="P20" s="227"/>
      <c r="Q20" s="275"/>
      <c r="R20" s="239"/>
      <c r="S20" s="276"/>
    </row>
    <row r="21" spans="1:66" s="226" customFormat="1" ht="13.95" customHeight="1" x14ac:dyDescent="0.3">
      <c r="A21" s="205">
        <v>3</v>
      </c>
      <c r="B21" s="227" t="s">
        <v>9</v>
      </c>
      <c r="C21" s="240" t="s">
        <v>32</v>
      </c>
      <c r="D21" s="241" t="s">
        <v>28</v>
      </c>
      <c r="E21" s="219">
        <v>2010</v>
      </c>
      <c r="F21" s="206">
        <v>46233</v>
      </c>
      <c r="G21" s="206">
        <v>46233</v>
      </c>
      <c r="H21" s="305"/>
      <c r="I21" s="220"/>
      <c r="J21" s="221"/>
      <c r="K21" s="201">
        <f t="shared" si="3"/>
        <v>78</v>
      </c>
      <c r="L21" s="201">
        <f t="shared" si="3"/>
        <v>78</v>
      </c>
      <c r="M21" s="201"/>
      <c r="N21" s="201"/>
      <c r="O21" s="222" t="s">
        <v>244</v>
      </c>
      <c r="P21" s="260"/>
      <c r="Q21" s="275"/>
      <c r="R21" s="239"/>
      <c r="S21" s="276"/>
    </row>
    <row r="22" spans="1:66" s="259" customFormat="1" ht="13.95" customHeight="1" x14ac:dyDescent="0.3">
      <c r="A22" s="261"/>
      <c r="B22" s="262"/>
      <c r="C22" s="263"/>
      <c r="D22" s="262"/>
      <c r="E22" s="264"/>
      <c r="F22" s="265"/>
      <c r="G22" s="265"/>
      <c r="H22" s="265"/>
      <c r="I22" s="265"/>
      <c r="J22" s="265"/>
      <c r="K22" s="266"/>
      <c r="L22" s="265"/>
      <c r="M22" s="265"/>
      <c r="N22" s="265"/>
      <c r="O22" s="267"/>
      <c r="P22" s="267"/>
      <c r="Q22" s="268"/>
      <c r="R22" s="269"/>
      <c r="S22" s="267"/>
      <c r="T22" s="226"/>
      <c r="U22" s="226"/>
      <c r="V22" s="226"/>
      <c r="W22" s="226"/>
      <c r="X22" s="226"/>
      <c r="Y22" s="226"/>
      <c r="Z22" s="226"/>
      <c r="AA22" s="226"/>
      <c r="AB22" s="226"/>
      <c r="AC22" s="226"/>
      <c r="AD22" s="226"/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96F0-BD9C-47AF-AC1F-07D8759E9D4D}">
  <dimension ref="A1:BN21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46312</v>
      </c>
      <c r="G1" s="206">
        <v>46312</v>
      </c>
      <c r="H1" s="206">
        <v>46312</v>
      </c>
      <c r="I1" s="206">
        <v>46312</v>
      </c>
      <c r="J1" s="206">
        <v>46312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2" t="s">
        <v>7</v>
      </c>
      <c r="L3" s="422" t="s">
        <v>19</v>
      </c>
      <c r="M3" s="422" t="s">
        <v>20</v>
      </c>
      <c r="N3" s="422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10" si="0">$F$1-F5</f>
        <v>32</v>
      </c>
      <c r="L5" s="205">
        <f t="shared" si="0"/>
        <v>32</v>
      </c>
      <c r="M5" s="205"/>
      <c r="N5" s="205"/>
      <c r="O5" s="222" t="s">
        <v>314</v>
      </c>
      <c r="P5" s="239"/>
      <c r="Q5" s="308" t="s">
        <v>200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24</v>
      </c>
      <c r="L6" s="201">
        <f t="shared" si="0"/>
        <v>24</v>
      </c>
      <c r="M6" s="205"/>
      <c r="N6" s="205"/>
      <c r="O6" s="222" t="s">
        <v>321</v>
      </c>
      <c r="P6" s="306"/>
      <c r="Q6" s="223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16</v>
      </c>
      <c r="L7" s="201">
        <f t="shared" si="0"/>
        <v>16</v>
      </c>
      <c r="M7" s="205"/>
      <c r="N7" s="205"/>
      <c r="O7" s="222" t="s">
        <v>341</v>
      </c>
      <c r="P7" s="239" t="s">
        <v>304</v>
      </c>
      <c r="Q7" s="216"/>
      <c r="R7" s="223" t="s">
        <v>51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14</v>
      </c>
      <c r="L8" s="201">
        <f t="shared" si="0"/>
        <v>14</v>
      </c>
      <c r="M8" s="274"/>
      <c r="N8" s="274"/>
      <c r="O8" s="270" t="s">
        <v>333</v>
      </c>
      <c r="P8" s="260" t="s">
        <v>65</v>
      </c>
      <c r="Q8" s="306"/>
      <c r="R8" s="223" t="s">
        <v>46</v>
      </c>
      <c r="S8" s="225"/>
    </row>
    <row r="9" spans="1:66" s="226" customFormat="1" x14ac:dyDescent="0.3">
      <c r="A9" s="249">
        <v>5</v>
      </c>
      <c r="B9" s="306" t="s">
        <v>215</v>
      </c>
      <c r="C9" s="331" t="s">
        <v>337</v>
      </c>
      <c r="D9" s="332" t="s">
        <v>338</v>
      </c>
      <c r="E9" s="333">
        <v>2022</v>
      </c>
      <c r="F9" s="206">
        <v>46300</v>
      </c>
      <c r="G9" s="206">
        <v>46300</v>
      </c>
      <c r="H9" s="310"/>
      <c r="I9" s="393"/>
      <c r="J9" s="394"/>
      <c r="K9" s="205">
        <f t="shared" si="0"/>
        <v>12</v>
      </c>
      <c r="L9" s="205">
        <f t="shared" si="0"/>
        <v>12</v>
      </c>
      <c r="M9" s="274"/>
      <c r="N9" s="274"/>
      <c r="O9" s="270" t="s">
        <v>93</v>
      </c>
      <c r="P9" s="260" t="s">
        <v>339</v>
      </c>
      <c r="Q9" s="216"/>
      <c r="R9" s="216"/>
      <c r="S9" s="225"/>
    </row>
    <row r="10" spans="1:66" s="226" customFormat="1" x14ac:dyDescent="0.3">
      <c r="A10" s="249">
        <v>6</v>
      </c>
      <c r="B10" s="306" t="s">
        <v>191</v>
      </c>
      <c r="C10" s="331" t="s">
        <v>29</v>
      </c>
      <c r="D10" s="332" t="s">
        <v>28</v>
      </c>
      <c r="E10" s="333">
        <v>2023</v>
      </c>
      <c r="F10" s="206">
        <v>46309</v>
      </c>
      <c r="G10" s="206">
        <v>46309</v>
      </c>
      <c r="H10" s="312"/>
      <c r="I10" s="335"/>
      <c r="J10" s="336"/>
      <c r="K10" s="205">
        <f t="shared" si="0"/>
        <v>3</v>
      </c>
      <c r="L10" s="205">
        <f t="shared" si="0"/>
        <v>3</v>
      </c>
      <c r="M10" s="205"/>
      <c r="N10" s="205"/>
      <c r="O10" s="222" t="s">
        <v>343</v>
      </c>
      <c r="P10" s="239" t="s">
        <v>148</v>
      </c>
      <c r="Q10" s="306"/>
      <c r="R10" s="239"/>
      <c r="S10" s="225"/>
    </row>
    <row r="11" spans="1:66" s="226" customFormat="1" ht="13.95" customHeight="1" x14ac:dyDescent="0.3">
      <c r="A11" s="242"/>
      <c r="B11" s="243"/>
      <c r="C11" s="244"/>
      <c r="D11" s="245"/>
      <c r="E11" s="246"/>
      <c r="F11" s="247"/>
      <c r="G11" s="247"/>
      <c r="H11" s="247"/>
      <c r="I11" s="247"/>
      <c r="J11" s="247"/>
      <c r="K11" s="246"/>
      <c r="L11" s="247"/>
      <c r="M11" s="247"/>
      <c r="N11" s="247"/>
      <c r="O11" s="248" t="s">
        <v>22</v>
      </c>
      <c r="P11" s="244"/>
      <c r="Q11" s="244"/>
      <c r="R11" s="245"/>
      <c r="S11" s="248"/>
    </row>
    <row r="12" spans="1:66" s="226" customFormat="1" ht="13.95" customHeight="1" x14ac:dyDescent="0.3">
      <c r="A12" s="249"/>
      <c r="B12" s="216"/>
      <c r="C12" s="331"/>
      <c r="D12" s="332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16"/>
      <c r="Q12" s="251"/>
      <c r="R12" s="252"/>
      <c r="S12" s="253"/>
    </row>
    <row r="13" spans="1:66" s="259" customFormat="1" ht="13.95" customHeight="1" x14ac:dyDescent="0.3">
      <c r="A13" s="254"/>
      <c r="B13" s="255"/>
      <c r="C13" s="244"/>
      <c r="D13" s="245" t="s">
        <v>0</v>
      </c>
      <c r="E13" s="246"/>
      <c r="F13" s="256"/>
      <c r="G13" s="256"/>
      <c r="H13" s="256"/>
      <c r="I13" s="256"/>
      <c r="J13" s="256"/>
      <c r="K13" s="246"/>
      <c r="L13" s="256"/>
      <c r="M13" s="256"/>
      <c r="N13" s="256"/>
      <c r="O13" s="257" t="s">
        <v>23</v>
      </c>
      <c r="P13" s="245"/>
      <c r="Q13" s="245"/>
      <c r="R13" s="258"/>
      <c r="S13" s="257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22"/>
      <c r="R14" s="239"/>
      <c r="S14" s="229"/>
    </row>
    <row r="15" spans="1:66" s="259" customFormat="1" ht="13.95" customHeight="1" x14ac:dyDescent="0.3">
      <c r="A15" s="261"/>
      <c r="B15" s="262"/>
      <c r="C15" s="263"/>
      <c r="D15" s="262"/>
      <c r="E15" s="264"/>
      <c r="F15" s="265"/>
      <c r="G15" s="265"/>
      <c r="H15" s="265"/>
      <c r="I15" s="265"/>
      <c r="J15" s="265"/>
      <c r="K15" s="266"/>
      <c r="L15" s="265"/>
      <c r="M15" s="265"/>
      <c r="N15" s="265"/>
      <c r="O15" s="267" t="s">
        <v>37</v>
      </c>
      <c r="P15" s="268"/>
      <c r="Q15" s="268"/>
      <c r="R15" s="269"/>
      <c r="S15" s="26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75"/>
      <c r="R16" s="239"/>
      <c r="S16" s="276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38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27" customHeight="1" x14ac:dyDescent="0.3">
      <c r="A18" s="205">
        <v>1</v>
      </c>
      <c r="B18" s="216" t="s">
        <v>116</v>
      </c>
      <c r="C18" s="240" t="s">
        <v>32</v>
      </c>
      <c r="D18" s="241" t="s">
        <v>28</v>
      </c>
      <c r="E18" s="219">
        <v>2010</v>
      </c>
      <c r="F18" s="206">
        <v>46163</v>
      </c>
      <c r="G18" s="206">
        <v>46163</v>
      </c>
      <c r="H18" s="220"/>
      <c r="I18" s="220"/>
      <c r="J18" s="221"/>
      <c r="K18" s="201">
        <f t="shared" ref="K18:L20" si="1">$F$1-F18</f>
        <v>149</v>
      </c>
      <c r="L18" s="201">
        <f t="shared" si="1"/>
        <v>149</v>
      </c>
      <c r="M18" s="201"/>
      <c r="N18" s="201"/>
      <c r="O18" s="222" t="s">
        <v>267</v>
      </c>
      <c r="Q18" s="275"/>
      <c r="R18" s="239"/>
      <c r="S18" s="276"/>
    </row>
    <row r="19" spans="1:66" s="226" customFormat="1" ht="27" customHeight="1" x14ac:dyDescent="0.3">
      <c r="A19" s="215">
        <v>2</v>
      </c>
      <c r="B19" s="239" t="s">
        <v>10</v>
      </c>
      <c r="C19" s="217" t="s">
        <v>32</v>
      </c>
      <c r="D19" s="218" t="s">
        <v>28</v>
      </c>
      <c r="E19" s="219">
        <v>2010</v>
      </c>
      <c r="F19" s="206">
        <v>46220</v>
      </c>
      <c r="G19" s="206">
        <v>46220</v>
      </c>
      <c r="H19" s="220"/>
      <c r="I19" s="220"/>
      <c r="J19" s="221"/>
      <c r="K19" s="201">
        <f t="shared" si="1"/>
        <v>92</v>
      </c>
      <c r="L19" s="201">
        <f t="shared" si="1"/>
        <v>92</v>
      </c>
      <c r="M19" s="201"/>
      <c r="N19" s="201"/>
      <c r="O19" s="222" t="s">
        <v>225</v>
      </c>
      <c r="P19" s="227"/>
      <c r="Q19" s="275"/>
      <c r="R19" s="239"/>
      <c r="S19" s="276"/>
    </row>
    <row r="20" spans="1:66" s="226" customFormat="1" ht="13.95" customHeight="1" x14ac:dyDescent="0.3">
      <c r="A20" s="205">
        <v>3</v>
      </c>
      <c r="B20" s="227" t="s">
        <v>9</v>
      </c>
      <c r="C20" s="240" t="s">
        <v>32</v>
      </c>
      <c r="D20" s="241" t="s">
        <v>28</v>
      </c>
      <c r="E20" s="219">
        <v>2010</v>
      </c>
      <c r="F20" s="206">
        <v>46233</v>
      </c>
      <c r="G20" s="206">
        <v>46233</v>
      </c>
      <c r="H20" s="305"/>
      <c r="I20" s="220"/>
      <c r="J20" s="221"/>
      <c r="K20" s="201">
        <f t="shared" si="1"/>
        <v>79</v>
      </c>
      <c r="L20" s="201">
        <f t="shared" si="1"/>
        <v>79</v>
      </c>
      <c r="M20" s="201"/>
      <c r="N20" s="201"/>
      <c r="O20" s="222" t="s">
        <v>244</v>
      </c>
      <c r="P20" s="260"/>
      <c r="Q20" s="275"/>
      <c r="R20" s="239"/>
      <c r="S20" s="276"/>
    </row>
    <row r="21" spans="1:66" s="259" customFormat="1" ht="13.95" customHeight="1" x14ac:dyDescent="0.3">
      <c r="A21" s="261"/>
      <c r="B21" s="262"/>
      <c r="C21" s="263"/>
      <c r="D21" s="262"/>
      <c r="E21" s="264"/>
      <c r="F21" s="265"/>
      <c r="G21" s="265"/>
      <c r="H21" s="265"/>
      <c r="I21" s="265"/>
      <c r="J21" s="265"/>
      <c r="K21" s="266"/>
      <c r="L21" s="265"/>
      <c r="M21" s="265"/>
      <c r="N21" s="265"/>
      <c r="O21" s="267"/>
      <c r="P21" s="267"/>
      <c r="Q21" s="268"/>
      <c r="R21" s="269"/>
      <c r="S21" s="267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F38C-FF5F-4244-88EA-92472C558068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46313</v>
      </c>
      <c r="G1" s="206">
        <v>46313</v>
      </c>
      <c r="H1" s="206">
        <v>46313</v>
      </c>
      <c r="I1" s="206">
        <v>46313</v>
      </c>
      <c r="J1" s="206">
        <v>46313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3" t="s">
        <v>7</v>
      </c>
      <c r="L3" s="423" t="s">
        <v>19</v>
      </c>
      <c r="M3" s="423" t="s">
        <v>20</v>
      </c>
      <c r="N3" s="423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9" si="0">$F$1-F5</f>
        <v>33</v>
      </c>
      <c r="L5" s="205">
        <f t="shared" si="0"/>
        <v>33</v>
      </c>
      <c r="M5" s="205"/>
      <c r="N5" s="205"/>
      <c r="O5" s="222" t="s">
        <v>314</v>
      </c>
      <c r="P5" s="239"/>
      <c r="Q5" s="306" t="s">
        <v>215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25</v>
      </c>
      <c r="L6" s="201">
        <f t="shared" si="0"/>
        <v>25</v>
      </c>
      <c r="M6" s="205"/>
      <c r="N6" s="205"/>
      <c r="O6" s="222" t="s">
        <v>321</v>
      </c>
      <c r="P6" s="306"/>
      <c r="Q6" s="306" t="s">
        <v>191</v>
      </c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17</v>
      </c>
      <c r="L7" s="201">
        <f t="shared" si="0"/>
        <v>17</v>
      </c>
      <c r="M7" s="205"/>
      <c r="N7" s="205"/>
      <c r="O7" s="222" t="s">
        <v>341</v>
      </c>
      <c r="P7" s="239" t="s">
        <v>304</v>
      </c>
      <c r="Q7" s="216"/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15</v>
      </c>
      <c r="L8" s="201">
        <f t="shared" si="0"/>
        <v>15</v>
      </c>
      <c r="M8" s="274"/>
      <c r="N8" s="274"/>
      <c r="O8" s="270" t="s">
        <v>333</v>
      </c>
      <c r="P8" s="260" t="s">
        <v>65</v>
      </c>
      <c r="Q8" s="306"/>
      <c r="R8" s="216" t="s">
        <v>46</v>
      </c>
      <c r="S8" s="225"/>
    </row>
    <row r="9" spans="1:66" s="226" customFormat="1" x14ac:dyDescent="0.3">
      <c r="A9" s="249">
        <v>5</v>
      </c>
      <c r="B9" s="306" t="s">
        <v>334</v>
      </c>
      <c r="C9" s="240" t="s">
        <v>32</v>
      </c>
      <c r="D9" s="332" t="s">
        <v>346</v>
      </c>
      <c r="E9" s="333">
        <v>2008</v>
      </c>
      <c r="F9" s="206">
        <v>46313</v>
      </c>
      <c r="G9" s="206">
        <v>46313</v>
      </c>
      <c r="H9" s="312"/>
      <c r="I9" s="335"/>
      <c r="J9" s="336"/>
      <c r="K9" s="205">
        <f t="shared" si="0"/>
        <v>0</v>
      </c>
      <c r="L9" s="205">
        <f t="shared" si="0"/>
        <v>0</v>
      </c>
      <c r="M9" s="205"/>
      <c r="N9" s="205"/>
      <c r="O9" s="222" t="s">
        <v>347</v>
      </c>
      <c r="P9" s="306" t="s">
        <v>153</v>
      </c>
      <c r="Q9" s="306"/>
      <c r="R9" s="239" t="s">
        <v>26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239" t="s">
        <v>296</v>
      </c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 t="s">
        <v>148</v>
      </c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 t="s">
        <v>121</v>
      </c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150</v>
      </c>
      <c r="L20" s="201">
        <f t="shared" si="1"/>
        <v>150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93</v>
      </c>
      <c r="L21" s="201">
        <f t="shared" si="1"/>
        <v>93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80</v>
      </c>
      <c r="L22" s="201">
        <f t="shared" si="1"/>
        <v>80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7A7F-6823-41FB-812C-4BC112520FEE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46314</v>
      </c>
      <c r="G1" s="206">
        <v>46314</v>
      </c>
      <c r="H1" s="206">
        <v>46314</v>
      </c>
      <c r="I1" s="206">
        <v>46314</v>
      </c>
      <c r="J1" s="206">
        <v>46314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4" t="s">
        <v>7</v>
      </c>
      <c r="L3" s="424" t="s">
        <v>19</v>
      </c>
      <c r="M3" s="424" t="s">
        <v>20</v>
      </c>
      <c r="N3" s="424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9" si="0">$F$1-F5</f>
        <v>34</v>
      </c>
      <c r="L5" s="205">
        <f t="shared" si="0"/>
        <v>34</v>
      </c>
      <c r="M5" s="205"/>
      <c r="N5" s="205"/>
      <c r="O5" s="222" t="s">
        <v>314</v>
      </c>
      <c r="P5" s="239"/>
      <c r="Q5" s="306" t="s">
        <v>334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26</v>
      </c>
      <c r="L6" s="201">
        <f t="shared" si="0"/>
        <v>26</v>
      </c>
      <c r="M6" s="205"/>
      <c r="N6" s="205"/>
      <c r="O6" s="222" t="s">
        <v>321</v>
      </c>
      <c r="P6" s="306"/>
      <c r="Q6" s="239" t="s">
        <v>296</v>
      </c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18</v>
      </c>
      <c r="L7" s="201">
        <f t="shared" si="0"/>
        <v>18</v>
      </c>
      <c r="M7" s="205"/>
      <c r="N7" s="205"/>
      <c r="O7" s="222" t="s">
        <v>341</v>
      </c>
      <c r="P7" s="239" t="s">
        <v>304</v>
      </c>
      <c r="Q7" s="239" t="s">
        <v>26</v>
      </c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16</v>
      </c>
      <c r="L8" s="201">
        <f t="shared" si="0"/>
        <v>16</v>
      </c>
      <c r="M8" s="274"/>
      <c r="N8" s="274"/>
      <c r="O8" s="270" t="s">
        <v>333</v>
      </c>
      <c r="P8" s="260" t="s">
        <v>65</v>
      </c>
      <c r="Q8" s="239" t="s">
        <v>121</v>
      </c>
      <c r="R8" s="216" t="s">
        <v>46</v>
      </c>
      <c r="S8" s="225"/>
    </row>
    <row r="9" spans="1:66" s="226" customFormat="1" x14ac:dyDescent="0.3">
      <c r="A9" s="249">
        <v>5</v>
      </c>
      <c r="B9" s="306" t="s">
        <v>246</v>
      </c>
      <c r="C9" s="331" t="s">
        <v>29</v>
      </c>
      <c r="D9" s="332" t="s">
        <v>28</v>
      </c>
      <c r="E9" s="333">
        <v>2023</v>
      </c>
      <c r="F9" s="206">
        <v>46314</v>
      </c>
      <c r="G9" s="206">
        <v>46314</v>
      </c>
      <c r="H9" s="312"/>
      <c r="I9" s="335"/>
      <c r="J9" s="336"/>
      <c r="K9" s="205">
        <f t="shared" si="0"/>
        <v>0</v>
      </c>
      <c r="L9" s="205">
        <f t="shared" si="0"/>
        <v>0</v>
      </c>
      <c r="M9" s="205"/>
      <c r="N9" s="205"/>
      <c r="O9" s="222" t="s">
        <v>348</v>
      </c>
      <c r="P9" s="239" t="s">
        <v>148</v>
      </c>
      <c r="Q9" s="306"/>
      <c r="R9" s="306" t="s">
        <v>153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306"/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/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151</v>
      </c>
      <c r="L20" s="201">
        <f t="shared" si="1"/>
        <v>151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94</v>
      </c>
      <c r="L21" s="201">
        <f t="shared" si="1"/>
        <v>94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81</v>
      </c>
      <c r="L22" s="201">
        <f t="shared" si="1"/>
        <v>81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7C6E-F6A1-4162-8FA8-B4E38F751DCC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46315</v>
      </c>
      <c r="G1" s="206">
        <v>46315</v>
      </c>
      <c r="H1" s="206">
        <v>46315</v>
      </c>
      <c r="I1" s="206">
        <v>46315</v>
      </c>
      <c r="J1" s="206">
        <v>46315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5" t="s">
        <v>7</v>
      </c>
      <c r="L3" s="425" t="s">
        <v>19</v>
      </c>
      <c r="M3" s="425" t="s">
        <v>20</v>
      </c>
      <c r="N3" s="425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35</v>
      </c>
      <c r="L5" s="205">
        <f t="shared" si="0"/>
        <v>35</v>
      </c>
      <c r="M5" s="205"/>
      <c r="N5" s="205"/>
      <c r="O5" s="222" t="s">
        <v>314</v>
      </c>
      <c r="P5" s="239"/>
      <c r="Q5" s="306" t="s">
        <v>246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27</v>
      </c>
      <c r="L6" s="201">
        <f t="shared" si="0"/>
        <v>27</v>
      </c>
      <c r="M6" s="205"/>
      <c r="N6" s="205"/>
      <c r="O6" s="222" t="s">
        <v>321</v>
      </c>
      <c r="P6" s="306"/>
      <c r="Q6" s="239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19</v>
      </c>
      <c r="L7" s="201">
        <f t="shared" si="0"/>
        <v>19</v>
      </c>
      <c r="M7" s="205"/>
      <c r="N7" s="205"/>
      <c r="O7" s="222" t="s">
        <v>341</v>
      </c>
      <c r="P7" s="239" t="s">
        <v>304</v>
      </c>
      <c r="Q7" s="239"/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17</v>
      </c>
      <c r="L8" s="201">
        <f t="shared" si="0"/>
        <v>17</v>
      </c>
      <c r="M8" s="274"/>
      <c r="N8" s="274"/>
      <c r="O8" s="270" t="s">
        <v>333</v>
      </c>
      <c r="P8" s="260" t="s">
        <v>65</v>
      </c>
      <c r="Q8" s="239"/>
      <c r="R8" s="216" t="s">
        <v>46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2"/>
      <c r="I9" s="335"/>
      <c r="J9" s="336"/>
      <c r="K9" s="205"/>
      <c r="L9" s="205"/>
      <c r="M9" s="205"/>
      <c r="N9" s="205"/>
      <c r="O9" s="222"/>
      <c r="P9" s="239"/>
      <c r="Q9" s="306"/>
      <c r="R9" s="306" t="s">
        <v>153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306" t="s">
        <v>275</v>
      </c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 t="s">
        <v>148</v>
      </c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152</v>
      </c>
      <c r="L20" s="201">
        <f t="shared" si="1"/>
        <v>152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95</v>
      </c>
      <c r="L21" s="201">
        <f t="shared" si="1"/>
        <v>95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82</v>
      </c>
      <c r="L22" s="201">
        <f t="shared" si="1"/>
        <v>82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9E34-1839-4DF0-BB82-6FAE8D4B9EE3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46315</v>
      </c>
      <c r="G1" s="206">
        <v>46315</v>
      </c>
      <c r="H1" s="206">
        <v>46315</v>
      </c>
      <c r="I1" s="206">
        <v>46315</v>
      </c>
      <c r="J1" s="206">
        <v>46315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6" t="s">
        <v>7</v>
      </c>
      <c r="L3" s="426" t="s">
        <v>19</v>
      </c>
      <c r="M3" s="426" t="s">
        <v>20</v>
      </c>
      <c r="N3" s="426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35</v>
      </c>
      <c r="L5" s="205">
        <f t="shared" si="0"/>
        <v>35</v>
      </c>
      <c r="M5" s="205"/>
      <c r="N5" s="205"/>
      <c r="O5" s="222" t="s">
        <v>314</v>
      </c>
      <c r="P5" s="239"/>
      <c r="Q5" s="306" t="s">
        <v>275</v>
      </c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27</v>
      </c>
      <c r="L6" s="201">
        <f t="shared" si="0"/>
        <v>27</v>
      </c>
      <c r="M6" s="205"/>
      <c r="N6" s="205"/>
      <c r="O6" s="222" t="s">
        <v>321</v>
      </c>
      <c r="P6" s="306"/>
      <c r="Q6" s="239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19</v>
      </c>
      <c r="L7" s="201">
        <f t="shared" si="0"/>
        <v>19</v>
      </c>
      <c r="M7" s="205"/>
      <c r="N7" s="205"/>
      <c r="O7" s="222" t="s">
        <v>341</v>
      </c>
      <c r="P7" s="239" t="s">
        <v>304</v>
      </c>
      <c r="Q7" s="239"/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17</v>
      </c>
      <c r="L8" s="201">
        <f t="shared" si="0"/>
        <v>17</v>
      </c>
      <c r="M8" s="274"/>
      <c r="N8" s="274"/>
      <c r="O8" s="270" t="s">
        <v>333</v>
      </c>
      <c r="P8" s="260" t="s">
        <v>65</v>
      </c>
      <c r="Q8" s="239"/>
      <c r="R8" s="216" t="s">
        <v>46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2"/>
      <c r="I9" s="335"/>
      <c r="J9" s="336"/>
      <c r="K9" s="205"/>
      <c r="L9" s="205"/>
      <c r="M9" s="205"/>
      <c r="N9" s="205"/>
      <c r="O9" s="222"/>
      <c r="P9" s="239"/>
      <c r="Q9" s="306"/>
      <c r="R9" s="306" t="s">
        <v>153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239" t="s">
        <v>148</v>
      </c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/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152</v>
      </c>
      <c r="L20" s="201">
        <f t="shared" si="1"/>
        <v>152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95</v>
      </c>
      <c r="L21" s="201">
        <f t="shared" si="1"/>
        <v>95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82</v>
      </c>
      <c r="L22" s="201">
        <f t="shared" si="1"/>
        <v>82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722-4599-448C-BA75-95BE6AC960FE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46316</v>
      </c>
      <c r="G1" s="206">
        <v>46316</v>
      </c>
      <c r="H1" s="206">
        <v>46316</v>
      </c>
      <c r="I1" s="206">
        <v>46316</v>
      </c>
      <c r="J1" s="206">
        <v>46316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7" t="s">
        <v>7</v>
      </c>
      <c r="L3" s="427" t="s">
        <v>19</v>
      </c>
      <c r="M3" s="427" t="s">
        <v>20</v>
      </c>
      <c r="N3" s="427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36</v>
      </c>
      <c r="L5" s="205">
        <f t="shared" si="0"/>
        <v>36</v>
      </c>
      <c r="M5" s="205"/>
      <c r="N5" s="205"/>
      <c r="O5" s="222" t="s">
        <v>314</v>
      </c>
      <c r="P5" s="239"/>
      <c r="Q5" s="306"/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28</v>
      </c>
      <c r="L6" s="201">
        <f t="shared" si="0"/>
        <v>28</v>
      </c>
      <c r="M6" s="205"/>
      <c r="N6" s="205"/>
      <c r="O6" s="222" t="s">
        <v>321</v>
      </c>
      <c r="P6" s="306"/>
      <c r="Q6" s="239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20</v>
      </c>
      <c r="L7" s="201">
        <f t="shared" si="0"/>
        <v>20</v>
      </c>
      <c r="M7" s="205"/>
      <c r="N7" s="205"/>
      <c r="O7" s="222" t="s">
        <v>341</v>
      </c>
      <c r="P7" s="239" t="s">
        <v>304</v>
      </c>
      <c r="Q7" s="239"/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18</v>
      </c>
      <c r="L8" s="201">
        <f t="shared" si="0"/>
        <v>18</v>
      </c>
      <c r="M8" s="274"/>
      <c r="N8" s="274"/>
      <c r="O8" s="270" t="s">
        <v>333</v>
      </c>
      <c r="P8" s="260" t="s">
        <v>65</v>
      </c>
      <c r="Q8" s="239"/>
      <c r="R8" s="216" t="s">
        <v>46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2"/>
      <c r="I9" s="335"/>
      <c r="J9" s="336"/>
      <c r="K9" s="205"/>
      <c r="L9" s="205"/>
      <c r="M9" s="205"/>
      <c r="N9" s="205"/>
      <c r="O9" s="222"/>
      <c r="P9" s="239"/>
      <c r="Q9" s="306"/>
      <c r="R9" s="306" t="s">
        <v>153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239" t="s">
        <v>148</v>
      </c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/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153</v>
      </c>
      <c r="L20" s="201">
        <f t="shared" si="1"/>
        <v>153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96</v>
      </c>
      <c r="L21" s="201">
        <f t="shared" si="1"/>
        <v>96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83</v>
      </c>
      <c r="L22" s="201">
        <f t="shared" si="1"/>
        <v>83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B626-9C3D-4D38-9DDA-8B96E1B8CF91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46318</v>
      </c>
      <c r="G1" s="206">
        <v>46318</v>
      </c>
      <c r="H1" s="206">
        <v>46318</v>
      </c>
      <c r="I1" s="206">
        <v>46318</v>
      </c>
      <c r="J1" s="206">
        <v>46318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8" t="s">
        <v>7</v>
      </c>
      <c r="L3" s="428" t="s">
        <v>19</v>
      </c>
      <c r="M3" s="428" t="s">
        <v>20</v>
      </c>
      <c r="N3" s="428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38</v>
      </c>
      <c r="L5" s="205">
        <f t="shared" si="0"/>
        <v>38</v>
      </c>
      <c r="M5" s="205"/>
      <c r="N5" s="205"/>
      <c r="O5" s="222" t="s">
        <v>314</v>
      </c>
      <c r="P5" s="239"/>
      <c r="Q5" s="306"/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30</v>
      </c>
      <c r="L6" s="201">
        <f t="shared" si="0"/>
        <v>30</v>
      </c>
      <c r="M6" s="205"/>
      <c r="N6" s="205"/>
      <c r="O6" s="222" t="s">
        <v>321</v>
      </c>
      <c r="P6" s="306"/>
      <c r="Q6" s="239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22</v>
      </c>
      <c r="L7" s="201">
        <f t="shared" si="0"/>
        <v>22</v>
      </c>
      <c r="M7" s="205"/>
      <c r="N7" s="205"/>
      <c r="O7" s="222" t="s">
        <v>341</v>
      </c>
      <c r="P7" s="239" t="s">
        <v>304</v>
      </c>
      <c r="Q7" s="239"/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20</v>
      </c>
      <c r="L8" s="201">
        <f t="shared" si="0"/>
        <v>20</v>
      </c>
      <c r="M8" s="274"/>
      <c r="N8" s="274"/>
      <c r="O8" s="270" t="s">
        <v>333</v>
      </c>
      <c r="P8" s="260" t="s">
        <v>65</v>
      </c>
      <c r="Q8" s="239"/>
      <c r="R8" s="216" t="s">
        <v>46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2"/>
      <c r="I9" s="335"/>
      <c r="J9" s="336"/>
      <c r="K9" s="205"/>
      <c r="L9" s="205"/>
      <c r="M9" s="205"/>
      <c r="N9" s="205"/>
      <c r="O9" s="222"/>
      <c r="P9" s="239"/>
      <c r="Q9" s="306"/>
      <c r="R9" s="306" t="s">
        <v>153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239" t="s">
        <v>148</v>
      </c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/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155</v>
      </c>
      <c r="L20" s="201">
        <f t="shared" si="1"/>
        <v>155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98</v>
      </c>
      <c r="L21" s="201">
        <f t="shared" si="1"/>
        <v>98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85</v>
      </c>
      <c r="L22" s="201">
        <f t="shared" si="1"/>
        <v>85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F2:F3"/>
    <mergeCell ref="A2:A3"/>
    <mergeCell ref="B2:B3"/>
    <mergeCell ref="C2:C3"/>
    <mergeCell ref="D2:D3"/>
    <mergeCell ref="E2:E3"/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2C50D-5BF6-4203-932B-9B8DC0F0CD10}">
  <dimension ref="A1:BN23"/>
  <sheetViews>
    <sheetView workbookViewId="0">
      <selection sqref="A1:XFD1048576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46319</v>
      </c>
      <c r="G1" s="206">
        <v>46319</v>
      </c>
      <c r="H1" s="206">
        <v>46319</v>
      </c>
      <c r="I1" s="206">
        <v>46319</v>
      </c>
      <c r="J1" s="206">
        <v>46319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29" t="s">
        <v>7</v>
      </c>
      <c r="L3" s="429" t="s">
        <v>19</v>
      </c>
      <c r="M3" s="429" t="s">
        <v>20</v>
      </c>
      <c r="N3" s="429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39</v>
      </c>
      <c r="L5" s="205">
        <f t="shared" si="0"/>
        <v>39</v>
      </c>
      <c r="M5" s="205"/>
      <c r="N5" s="205"/>
      <c r="O5" s="222" t="s">
        <v>314</v>
      </c>
      <c r="P5" s="239"/>
      <c r="Q5" s="306"/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31</v>
      </c>
      <c r="L6" s="201">
        <f t="shared" si="0"/>
        <v>31</v>
      </c>
      <c r="M6" s="205"/>
      <c r="N6" s="205"/>
      <c r="O6" s="222" t="s">
        <v>350</v>
      </c>
      <c r="P6" s="306"/>
      <c r="Q6" s="239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23</v>
      </c>
      <c r="L7" s="201">
        <f t="shared" si="0"/>
        <v>23</v>
      </c>
      <c r="M7" s="205"/>
      <c r="N7" s="205"/>
      <c r="O7" s="222" t="s">
        <v>341</v>
      </c>
      <c r="P7" s="239" t="s">
        <v>304</v>
      </c>
      <c r="Q7" s="239"/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21</v>
      </c>
      <c r="L8" s="201">
        <f t="shared" si="0"/>
        <v>21</v>
      </c>
      <c r="M8" s="274"/>
      <c r="N8" s="274"/>
      <c r="O8" s="270" t="s">
        <v>349</v>
      </c>
      <c r="P8" s="260" t="s">
        <v>65</v>
      </c>
      <c r="Q8" s="239"/>
      <c r="R8" s="216" t="s">
        <v>46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2"/>
      <c r="I9" s="335"/>
      <c r="J9" s="336"/>
      <c r="K9" s="205"/>
      <c r="L9" s="205"/>
      <c r="M9" s="205"/>
      <c r="N9" s="205"/>
      <c r="O9" s="222"/>
      <c r="P9" s="239"/>
      <c r="Q9" s="306"/>
      <c r="R9" s="306" t="s">
        <v>153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239" t="s">
        <v>148</v>
      </c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/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156</v>
      </c>
      <c r="L20" s="201">
        <f t="shared" si="1"/>
        <v>156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99</v>
      </c>
      <c r="L21" s="201">
        <f t="shared" si="1"/>
        <v>99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86</v>
      </c>
      <c r="L22" s="201">
        <f t="shared" si="1"/>
        <v>86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2B7D-D849-4F2B-AE5C-DFC0F1955DA1}">
  <dimension ref="A1:BN23"/>
  <sheetViews>
    <sheetView tabSelected="1" workbookViewId="0">
      <selection activeCell="P31" sqref="P31"/>
    </sheetView>
  </sheetViews>
  <sheetFormatPr defaultColWidth="9.109375" defaultRowHeight="13.8" x14ac:dyDescent="0.3"/>
  <cols>
    <col min="1" max="1" width="3.109375" style="277" customWidth="1"/>
    <col min="2" max="2" width="11.88671875" style="278" customWidth="1"/>
    <col min="3" max="3" width="10.44140625" style="278" customWidth="1"/>
    <col min="4" max="4" width="10.33203125" style="278" customWidth="1"/>
    <col min="5" max="5" width="6.33203125" style="279" bestFit="1" customWidth="1"/>
    <col min="6" max="6" width="11" style="280" customWidth="1"/>
    <col min="7" max="7" width="10.109375" style="280" bestFit="1" customWidth="1"/>
    <col min="8" max="8" width="9.6640625" style="280" customWidth="1"/>
    <col min="9" max="9" width="9.33203125" style="280" customWidth="1"/>
    <col min="10" max="10" width="9.88671875" style="280" customWidth="1"/>
    <col min="11" max="11" width="6.6640625" style="281" customWidth="1"/>
    <col min="12" max="12" width="6.109375" style="277" customWidth="1"/>
    <col min="13" max="13" width="6.5546875" style="277" customWidth="1"/>
    <col min="14" max="14" width="5.44140625" style="277" bestFit="1" customWidth="1"/>
    <col min="15" max="15" width="60.6640625" style="277" customWidth="1"/>
    <col min="16" max="16" width="12.5546875" style="277" customWidth="1"/>
    <col min="17" max="17" width="13" style="277" customWidth="1"/>
    <col min="18" max="18" width="14" style="278" customWidth="1"/>
    <col min="19" max="19" width="11.5546875" style="277" customWidth="1"/>
    <col min="20" max="20" width="12.6640625" style="208" bestFit="1" customWidth="1"/>
    <col min="21" max="16384" width="9.109375" style="208"/>
  </cols>
  <sheetData>
    <row r="1" spans="1:66" ht="13.95" customHeight="1" x14ac:dyDescent="0.3">
      <c r="A1" s="201"/>
      <c r="B1" s="202"/>
      <c r="C1" s="203"/>
      <c r="D1" s="204"/>
      <c r="E1" s="205"/>
      <c r="F1" s="206">
        <v>46320</v>
      </c>
      <c r="G1" s="206">
        <v>46320</v>
      </c>
      <c r="H1" s="206">
        <v>46320</v>
      </c>
      <c r="I1" s="206">
        <v>46320</v>
      </c>
      <c r="J1" s="206">
        <v>46320</v>
      </c>
      <c r="K1" s="206"/>
      <c r="L1" s="206"/>
      <c r="M1" s="206"/>
      <c r="N1" s="206"/>
      <c r="O1" s="204"/>
      <c r="P1" s="204"/>
      <c r="Q1" s="204"/>
      <c r="R1" s="204"/>
      <c r="S1" s="204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7"/>
      <c r="AP1" s="207"/>
      <c r="AQ1" s="207"/>
      <c r="AR1" s="207"/>
      <c r="AS1" s="207"/>
      <c r="AT1" s="207"/>
      <c r="AU1" s="207"/>
      <c r="AV1" s="207"/>
      <c r="AW1" s="207"/>
      <c r="AX1" s="207"/>
      <c r="AY1" s="207"/>
      <c r="AZ1" s="207"/>
      <c r="BA1" s="207"/>
      <c r="BB1" s="207"/>
      <c r="BC1" s="207"/>
      <c r="BD1" s="207"/>
      <c r="BE1" s="207"/>
      <c r="BF1" s="207"/>
      <c r="BG1" s="207"/>
      <c r="BH1" s="207"/>
      <c r="BI1" s="207"/>
      <c r="BJ1" s="207"/>
      <c r="BK1" s="207"/>
      <c r="BL1" s="207"/>
      <c r="BM1" s="207"/>
      <c r="BN1" s="207"/>
    </row>
    <row r="2" spans="1:66" s="277" customFormat="1" ht="44.25" customHeight="1" x14ac:dyDescent="0.3">
      <c r="A2" s="451"/>
      <c r="B2" s="451" t="s">
        <v>11</v>
      </c>
      <c r="C2" s="451" t="s">
        <v>12</v>
      </c>
      <c r="D2" s="451" t="s">
        <v>13</v>
      </c>
      <c r="E2" s="451" t="s">
        <v>14</v>
      </c>
      <c r="F2" s="448" t="s">
        <v>2</v>
      </c>
      <c r="G2" s="448" t="s">
        <v>3</v>
      </c>
      <c r="H2" s="448" t="s">
        <v>15</v>
      </c>
      <c r="I2" s="448" t="s">
        <v>16</v>
      </c>
      <c r="J2" s="451" t="s">
        <v>4</v>
      </c>
      <c r="K2" s="453" t="s">
        <v>5</v>
      </c>
      <c r="L2" s="454"/>
      <c r="M2" s="454"/>
      <c r="N2" s="454"/>
      <c r="O2" s="451" t="s">
        <v>6</v>
      </c>
      <c r="P2" s="443" t="s">
        <v>25</v>
      </c>
      <c r="Q2" s="445" t="s">
        <v>17</v>
      </c>
      <c r="R2" s="445" t="s">
        <v>1</v>
      </c>
      <c r="S2" s="446" t="s">
        <v>18</v>
      </c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  <c r="BG2" s="279"/>
      <c r="BH2" s="279"/>
      <c r="BI2" s="279"/>
      <c r="BJ2" s="279"/>
      <c r="BK2" s="279"/>
      <c r="BL2" s="279"/>
      <c r="BM2" s="279"/>
      <c r="BN2" s="279"/>
    </row>
    <row r="3" spans="1:66" s="277" customFormat="1" ht="30.6" x14ac:dyDescent="0.3">
      <c r="A3" s="452"/>
      <c r="B3" s="452"/>
      <c r="C3" s="452"/>
      <c r="D3" s="452"/>
      <c r="E3" s="452"/>
      <c r="F3" s="450"/>
      <c r="G3" s="449"/>
      <c r="H3" s="449"/>
      <c r="I3" s="450"/>
      <c r="J3" s="452"/>
      <c r="K3" s="430" t="s">
        <v>7</v>
      </c>
      <c r="L3" s="430" t="s">
        <v>19</v>
      </c>
      <c r="M3" s="430" t="s">
        <v>20</v>
      </c>
      <c r="N3" s="430" t="s">
        <v>21</v>
      </c>
      <c r="O3" s="452"/>
      <c r="P3" s="444"/>
      <c r="Q3" s="445"/>
      <c r="R3" s="445"/>
      <c r="S3" s="447"/>
      <c r="T3" s="279"/>
      <c r="V3" s="279"/>
      <c r="W3" s="279"/>
      <c r="X3" s="279"/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9"/>
      <c r="AJ3" s="279"/>
      <c r="AK3" s="279"/>
      <c r="AL3" s="279"/>
      <c r="AM3" s="279"/>
      <c r="AN3" s="279"/>
      <c r="AO3" s="279"/>
      <c r="AP3" s="279"/>
      <c r="AQ3" s="279"/>
      <c r="AR3" s="279"/>
      <c r="AS3" s="279"/>
      <c r="AT3" s="279"/>
      <c r="AU3" s="279"/>
      <c r="AV3" s="279"/>
      <c r="AW3" s="279"/>
      <c r="AX3" s="279"/>
      <c r="AY3" s="279"/>
      <c r="AZ3" s="279"/>
      <c r="BA3" s="279"/>
      <c r="BB3" s="279"/>
      <c r="BC3" s="279"/>
      <c r="BD3" s="279"/>
      <c r="BE3" s="279"/>
      <c r="BF3" s="279"/>
      <c r="BG3" s="279"/>
      <c r="BH3" s="279"/>
      <c r="BI3" s="279"/>
      <c r="BJ3" s="279"/>
      <c r="BK3" s="279"/>
      <c r="BL3" s="279"/>
      <c r="BM3" s="279"/>
      <c r="BN3" s="279"/>
    </row>
    <row r="4" spans="1:66" ht="13.95" customHeight="1" x14ac:dyDescent="0.3">
      <c r="A4" s="209"/>
      <c r="B4" s="210"/>
      <c r="C4" s="211"/>
      <c r="D4" s="212"/>
      <c r="E4" s="209"/>
      <c r="F4" s="213"/>
      <c r="G4" s="213"/>
      <c r="H4" s="213"/>
      <c r="I4" s="213"/>
      <c r="J4" s="213"/>
      <c r="K4" s="213"/>
      <c r="L4" s="213"/>
      <c r="M4" s="213"/>
      <c r="N4" s="213"/>
      <c r="O4" s="214" t="s">
        <v>8</v>
      </c>
      <c r="P4" s="214"/>
      <c r="Q4" s="212"/>
      <c r="R4" s="212"/>
      <c r="S4" s="214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</row>
    <row r="5" spans="1:66" s="226" customFormat="1" x14ac:dyDescent="0.3">
      <c r="A5" s="249">
        <v>1</v>
      </c>
      <c r="B5" s="216" t="s">
        <v>45</v>
      </c>
      <c r="C5" s="331" t="s">
        <v>29</v>
      </c>
      <c r="D5" s="332" t="s">
        <v>28</v>
      </c>
      <c r="E5" s="333">
        <v>2023</v>
      </c>
      <c r="F5" s="206">
        <v>46280</v>
      </c>
      <c r="G5" s="206">
        <v>46280</v>
      </c>
      <c r="H5" s="312"/>
      <c r="I5" s="335"/>
      <c r="J5" s="336"/>
      <c r="K5" s="205">
        <f t="shared" ref="K5:L8" si="0">$F$1-F5</f>
        <v>40</v>
      </c>
      <c r="L5" s="205">
        <f t="shared" si="0"/>
        <v>40</v>
      </c>
      <c r="M5" s="205"/>
      <c r="N5" s="205"/>
      <c r="O5" s="222" t="s">
        <v>314</v>
      </c>
      <c r="P5" s="239"/>
      <c r="Q5" s="306"/>
      <c r="R5" s="306" t="s">
        <v>30</v>
      </c>
      <c r="S5" s="225"/>
    </row>
    <row r="6" spans="1:66" s="226" customFormat="1" x14ac:dyDescent="0.3">
      <c r="A6" s="249">
        <v>2</v>
      </c>
      <c r="B6" s="260" t="s">
        <v>235</v>
      </c>
      <c r="C6" s="331" t="s">
        <v>29</v>
      </c>
      <c r="D6" s="332" t="s">
        <v>28</v>
      </c>
      <c r="E6" s="333">
        <v>2023</v>
      </c>
      <c r="F6" s="206">
        <v>46288</v>
      </c>
      <c r="G6" s="206">
        <v>46288</v>
      </c>
      <c r="H6" s="401"/>
      <c r="I6" s="220"/>
      <c r="J6" s="221"/>
      <c r="K6" s="201">
        <f t="shared" si="0"/>
        <v>32</v>
      </c>
      <c r="L6" s="201">
        <f t="shared" si="0"/>
        <v>32</v>
      </c>
      <c r="M6" s="205"/>
      <c r="N6" s="205"/>
      <c r="O6" s="222" t="s">
        <v>350</v>
      </c>
      <c r="P6" s="306"/>
      <c r="Q6" s="239"/>
      <c r="R6" s="306" t="s">
        <v>150</v>
      </c>
      <c r="S6" s="225"/>
    </row>
    <row r="7" spans="1:66" s="226" customFormat="1" x14ac:dyDescent="0.3">
      <c r="A7" s="249">
        <v>3</v>
      </c>
      <c r="B7" s="306" t="s">
        <v>287</v>
      </c>
      <c r="C7" s="331" t="s">
        <v>29</v>
      </c>
      <c r="D7" s="332" t="s">
        <v>28</v>
      </c>
      <c r="E7" s="333">
        <v>2023</v>
      </c>
      <c r="F7" s="206">
        <v>46296</v>
      </c>
      <c r="G7" s="206">
        <v>46296</v>
      </c>
      <c r="H7" s="310"/>
      <c r="I7" s="335"/>
      <c r="J7" s="336"/>
      <c r="K7" s="205">
        <f t="shared" si="0"/>
        <v>24</v>
      </c>
      <c r="L7" s="201">
        <f t="shared" si="0"/>
        <v>24</v>
      </c>
      <c r="M7" s="205"/>
      <c r="N7" s="205"/>
      <c r="O7" s="222" t="s">
        <v>341</v>
      </c>
      <c r="P7" s="239" t="s">
        <v>304</v>
      </c>
      <c r="Q7" s="239"/>
      <c r="R7" s="216" t="s">
        <v>219</v>
      </c>
      <c r="S7" s="225"/>
    </row>
    <row r="8" spans="1:66" s="226" customFormat="1" x14ac:dyDescent="0.3">
      <c r="A8" s="249">
        <v>4</v>
      </c>
      <c r="B8" s="306" t="s">
        <v>27</v>
      </c>
      <c r="C8" s="240" t="s">
        <v>32</v>
      </c>
      <c r="D8" s="241" t="s">
        <v>28</v>
      </c>
      <c r="E8" s="333">
        <v>2018</v>
      </c>
      <c r="F8" s="206">
        <v>46298</v>
      </c>
      <c r="G8" s="206">
        <v>46298</v>
      </c>
      <c r="H8" s="310"/>
      <c r="I8" s="393"/>
      <c r="J8" s="394"/>
      <c r="K8" s="205">
        <f t="shared" si="0"/>
        <v>22</v>
      </c>
      <c r="L8" s="201">
        <f t="shared" si="0"/>
        <v>22</v>
      </c>
      <c r="M8" s="274"/>
      <c r="N8" s="274"/>
      <c r="O8" s="270" t="s">
        <v>349</v>
      </c>
      <c r="P8" s="260" t="s">
        <v>65</v>
      </c>
      <c r="Q8" s="239"/>
      <c r="R8" s="216" t="s">
        <v>46</v>
      </c>
      <c r="S8" s="225"/>
    </row>
    <row r="9" spans="1:66" s="226" customFormat="1" x14ac:dyDescent="0.3">
      <c r="A9" s="249"/>
      <c r="B9" s="306"/>
      <c r="C9" s="331"/>
      <c r="D9" s="332"/>
      <c r="E9" s="333"/>
      <c r="F9" s="206"/>
      <c r="G9" s="206"/>
      <c r="H9" s="312"/>
      <c r="I9" s="335"/>
      <c r="J9" s="336"/>
      <c r="K9" s="205"/>
      <c r="L9" s="205"/>
      <c r="M9" s="205"/>
      <c r="N9" s="205"/>
      <c r="O9" s="222"/>
      <c r="P9" s="239"/>
      <c r="Q9" s="306"/>
      <c r="R9" s="306" t="s">
        <v>153</v>
      </c>
      <c r="S9" s="225"/>
    </row>
    <row r="10" spans="1:66" s="226" customFormat="1" x14ac:dyDescent="0.3">
      <c r="A10" s="249"/>
      <c r="B10" s="306"/>
      <c r="C10" s="240"/>
      <c r="D10" s="241"/>
      <c r="E10" s="333"/>
      <c r="F10" s="206"/>
      <c r="G10" s="206"/>
      <c r="H10" s="312"/>
      <c r="I10" s="335"/>
      <c r="J10" s="336"/>
      <c r="K10" s="205"/>
      <c r="L10" s="205"/>
      <c r="M10" s="205"/>
      <c r="N10" s="205"/>
      <c r="O10" s="222"/>
      <c r="P10" s="239"/>
      <c r="Q10" s="306"/>
      <c r="R10" s="239" t="s">
        <v>148</v>
      </c>
      <c r="S10" s="225"/>
    </row>
    <row r="11" spans="1:66" s="226" customFormat="1" x14ac:dyDescent="0.3">
      <c r="A11" s="249"/>
      <c r="B11" s="306"/>
      <c r="C11" s="240"/>
      <c r="D11" s="241"/>
      <c r="E11" s="333"/>
      <c r="F11" s="206"/>
      <c r="G11" s="206"/>
      <c r="H11" s="312"/>
      <c r="I11" s="335"/>
      <c r="J11" s="336"/>
      <c r="K11" s="205"/>
      <c r="L11" s="205"/>
      <c r="M11" s="205"/>
      <c r="N11" s="205"/>
      <c r="O11" s="222"/>
      <c r="P11" s="239"/>
      <c r="Q11" s="306"/>
      <c r="R11" s="239"/>
      <c r="S11" s="225"/>
    </row>
    <row r="12" spans="1:66" s="226" customFormat="1" x14ac:dyDescent="0.3">
      <c r="A12" s="249"/>
      <c r="B12" s="306"/>
      <c r="C12" s="240"/>
      <c r="D12" s="241"/>
      <c r="E12" s="333"/>
      <c r="F12" s="206"/>
      <c r="G12" s="206"/>
      <c r="H12" s="312"/>
      <c r="I12" s="335"/>
      <c r="J12" s="336"/>
      <c r="K12" s="205"/>
      <c r="L12" s="205"/>
      <c r="M12" s="205"/>
      <c r="N12" s="205"/>
      <c r="O12" s="222"/>
      <c r="P12" s="239"/>
      <c r="Q12" s="306"/>
      <c r="R12" s="239"/>
      <c r="S12" s="225"/>
    </row>
    <row r="13" spans="1:66" s="226" customFormat="1" ht="13.95" customHeight="1" x14ac:dyDescent="0.3">
      <c r="A13" s="242"/>
      <c r="B13" s="243"/>
      <c r="C13" s="244"/>
      <c r="D13" s="245"/>
      <c r="E13" s="246"/>
      <c r="F13" s="247"/>
      <c r="G13" s="247"/>
      <c r="H13" s="247"/>
      <c r="I13" s="247"/>
      <c r="J13" s="247"/>
      <c r="K13" s="246"/>
      <c r="L13" s="247"/>
      <c r="M13" s="247"/>
      <c r="N13" s="247"/>
      <c r="O13" s="248" t="s">
        <v>22</v>
      </c>
      <c r="P13" s="244"/>
      <c r="Q13" s="244"/>
      <c r="R13" s="245"/>
      <c r="S13" s="248"/>
    </row>
    <row r="14" spans="1:66" s="226" customFormat="1" ht="13.95" customHeight="1" x14ac:dyDescent="0.3">
      <c r="A14" s="249"/>
      <c r="B14" s="216"/>
      <c r="C14" s="331"/>
      <c r="D14" s="332"/>
      <c r="E14" s="333"/>
      <c r="F14" s="206"/>
      <c r="G14" s="206"/>
      <c r="H14" s="312"/>
      <c r="I14" s="335"/>
      <c r="J14" s="336"/>
      <c r="K14" s="205"/>
      <c r="L14" s="205"/>
      <c r="M14" s="205"/>
      <c r="N14" s="205"/>
      <c r="O14" s="222"/>
      <c r="P14" s="216"/>
      <c r="Q14" s="251"/>
      <c r="R14" s="252"/>
      <c r="S14" s="253"/>
    </row>
    <row r="15" spans="1:66" s="259" customFormat="1" ht="13.95" customHeight="1" x14ac:dyDescent="0.3">
      <c r="A15" s="254"/>
      <c r="B15" s="255"/>
      <c r="C15" s="244"/>
      <c r="D15" s="245" t="s">
        <v>0</v>
      </c>
      <c r="E15" s="246"/>
      <c r="F15" s="256"/>
      <c r="G15" s="256"/>
      <c r="H15" s="256"/>
      <c r="I15" s="256"/>
      <c r="J15" s="256"/>
      <c r="K15" s="246"/>
      <c r="L15" s="256"/>
      <c r="M15" s="256"/>
      <c r="N15" s="256"/>
      <c r="O15" s="257" t="s">
        <v>23</v>
      </c>
      <c r="P15" s="245"/>
      <c r="Q15" s="245"/>
      <c r="R15" s="258"/>
      <c r="S15" s="257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</row>
    <row r="16" spans="1:66" s="226" customFormat="1" ht="13.95" customHeight="1" x14ac:dyDescent="0.3">
      <c r="A16" s="249"/>
      <c r="B16" s="216"/>
      <c r="C16" s="331"/>
      <c r="D16" s="332"/>
      <c r="E16" s="333"/>
      <c r="F16" s="206"/>
      <c r="G16" s="206"/>
      <c r="H16" s="312"/>
      <c r="I16" s="335"/>
      <c r="J16" s="336"/>
      <c r="K16" s="205"/>
      <c r="L16" s="205"/>
      <c r="M16" s="205"/>
      <c r="N16" s="205"/>
      <c r="O16" s="222"/>
      <c r="P16" s="216"/>
      <c r="Q16" s="222"/>
      <c r="R16" s="239"/>
      <c r="S16" s="229"/>
    </row>
    <row r="17" spans="1:66" s="259" customFormat="1" ht="13.95" customHeight="1" x14ac:dyDescent="0.3">
      <c r="A17" s="261"/>
      <c r="B17" s="262"/>
      <c r="C17" s="263"/>
      <c r="D17" s="262"/>
      <c r="E17" s="264"/>
      <c r="F17" s="265"/>
      <c r="G17" s="265"/>
      <c r="H17" s="265"/>
      <c r="I17" s="265"/>
      <c r="J17" s="265"/>
      <c r="K17" s="266"/>
      <c r="L17" s="265"/>
      <c r="M17" s="265"/>
      <c r="N17" s="265"/>
      <c r="O17" s="267" t="s">
        <v>37</v>
      </c>
      <c r="P17" s="268"/>
      <c r="Q17" s="268"/>
      <c r="R17" s="269"/>
      <c r="S17" s="267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</row>
    <row r="18" spans="1:66" s="226" customFormat="1" ht="13.95" customHeight="1" x14ac:dyDescent="0.3">
      <c r="A18" s="249"/>
      <c r="B18" s="216"/>
      <c r="C18" s="331"/>
      <c r="D18" s="332"/>
      <c r="E18" s="333"/>
      <c r="F18" s="206"/>
      <c r="G18" s="206"/>
      <c r="H18" s="312"/>
      <c r="I18" s="335"/>
      <c r="J18" s="336"/>
      <c r="K18" s="205"/>
      <c r="L18" s="205"/>
      <c r="M18" s="205"/>
      <c r="N18" s="205"/>
      <c r="O18" s="222"/>
      <c r="P18" s="216"/>
      <c r="Q18" s="275"/>
      <c r="R18" s="239"/>
      <c r="S18" s="276"/>
    </row>
    <row r="19" spans="1:66" s="259" customFormat="1" ht="13.95" customHeight="1" x14ac:dyDescent="0.3">
      <c r="A19" s="261"/>
      <c r="B19" s="262"/>
      <c r="C19" s="263"/>
      <c r="D19" s="262"/>
      <c r="E19" s="264"/>
      <c r="F19" s="265"/>
      <c r="G19" s="265"/>
      <c r="H19" s="265"/>
      <c r="I19" s="265"/>
      <c r="J19" s="265"/>
      <c r="K19" s="266"/>
      <c r="L19" s="265"/>
      <c r="M19" s="265"/>
      <c r="N19" s="265"/>
      <c r="O19" s="267" t="s">
        <v>38</v>
      </c>
      <c r="P19" s="268"/>
      <c r="Q19" s="268"/>
      <c r="R19" s="269"/>
      <c r="S19" s="267"/>
      <c r="T19" s="226"/>
      <c r="U19" s="226"/>
      <c r="V19" s="226"/>
      <c r="W19" s="226"/>
      <c r="X19" s="226"/>
      <c r="Y19" s="226"/>
      <c r="Z19" s="226"/>
      <c r="AA19" s="226"/>
      <c r="AB19" s="226"/>
      <c r="AC19" s="226"/>
      <c r="AD19" s="226"/>
      <c r="AE19" s="226"/>
      <c r="AF19" s="226"/>
      <c r="AG19" s="226"/>
      <c r="AH19" s="226"/>
      <c r="AI19" s="226"/>
      <c r="AJ19" s="226"/>
      <c r="AK19" s="226"/>
      <c r="AL19" s="226"/>
      <c r="AM19" s="226"/>
      <c r="AN19" s="226"/>
      <c r="AO19" s="226"/>
      <c r="AP19" s="226"/>
      <c r="AQ19" s="226"/>
      <c r="AR19" s="226"/>
      <c r="AS19" s="226"/>
      <c r="AT19" s="226"/>
      <c r="AU19" s="226"/>
      <c r="AV19" s="226"/>
      <c r="AW19" s="226"/>
      <c r="AX19" s="226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</row>
    <row r="20" spans="1:66" s="226" customFormat="1" ht="27" customHeight="1" x14ac:dyDescent="0.3">
      <c r="A20" s="205">
        <v>1</v>
      </c>
      <c r="B20" s="216" t="s">
        <v>116</v>
      </c>
      <c r="C20" s="240" t="s">
        <v>32</v>
      </c>
      <c r="D20" s="241" t="s">
        <v>28</v>
      </c>
      <c r="E20" s="219">
        <v>2010</v>
      </c>
      <c r="F20" s="206">
        <v>46163</v>
      </c>
      <c r="G20" s="206">
        <v>46163</v>
      </c>
      <c r="H20" s="220"/>
      <c r="I20" s="220"/>
      <c r="J20" s="221"/>
      <c r="K20" s="201">
        <f t="shared" ref="K20:L22" si="1">$F$1-F20</f>
        <v>157</v>
      </c>
      <c r="L20" s="201">
        <f t="shared" si="1"/>
        <v>157</v>
      </c>
      <c r="M20" s="201"/>
      <c r="N20" s="201"/>
      <c r="O20" s="222" t="s">
        <v>267</v>
      </c>
      <c r="Q20" s="275"/>
      <c r="R20" s="239"/>
      <c r="S20" s="276"/>
    </row>
    <row r="21" spans="1:66" s="226" customFormat="1" ht="27" customHeight="1" x14ac:dyDescent="0.3">
      <c r="A21" s="215">
        <v>2</v>
      </c>
      <c r="B21" s="239" t="s">
        <v>10</v>
      </c>
      <c r="C21" s="217" t="s">
        <v>32</v>
      </c>
      <c r="D21" s="218" t="s">
        <v>28</v>
      </c>
      <c r="E21" s="219">
        <v>2010</v>
      </c>
      <c r="F21" s="206">
        <v>46220</v>
      </c>
      <c r="G21" s="206">
        <v>46220</v>
      </c>
      <c r="H21" s="220"/>
      <c r="I21" s="220"/>
      <c r="J21" s="221"/>
      <c r="K21" s="201">
        <f t="shared" si="1"/>
        <v>100</v>
      </c>
      <c r="L21" s="201">
        <f t="shared" si="1"/>
        <v>100</v>
      </c>
      <c r="M21" s="201"/>
      <c r="N21" s="201"/>
      <c r="O21" s="222" t="s">
        <v>225</v>
      </c>
      <c r="P21" s="227"/>
      <c r="Q21" s="275"/>
      <c r="R21" s="239"/>
      <c r="S21" s="276"/>
    </row>
    <row r="22" spans="1:66" s="226" customFormat="1" ht="13.95" customHeight="1" x14ac:dyDescent="0.3">
      <c r="A22" s="205">
        <v>3</v>
      </c>
      <c r="B22" s="227" t="s">
        <v>9</v>
      </c>
      <c r="C22" s="240" t="s">
        <v>32</v>
      </c>
      <c r="D22" s="241" t="s">
        <v>28</v>
      </c>
      <c r="E22" s="219">
        <v>2010</v>
      </c>
      <c r="F22" s="206">
        <v>46233</v>
      </c>
      <c r="G22" s="206">
        <v>46233</v>
      </c>
      <c r="H22" s="305"/>
      <c r="I22" s="220"/>
      <c r="J22" s="221"/>
      <c r="K22" s="201">
        <f t="shared" si="1"/>
        <v>87</v>
      </c>
      <c r="L22" s="201">
        <f t="shared" si="1"/>
        <v>87</v>
      </c>
      <c r="M22" s="201"/>
      <c r="N22" s="201"/>
      <c r="O22" s="222" t="s">
        <v>244</v>
      </c>
      <c r="P22" s="260"/>
      <c r="Q22" s="275"/>
      <c r="R22" s="239"/>
      <c r="S22" s="276"/>
    </row>
    <row r="23" spans="1:66" s="259" customFormat="1" ht="13.95" customHeight="1" x14ac:dyDescent="0.3">
      <c r="A23" s="261"/>
      <c r="B23" s="262"/>
      <c r="C23" s="263"/>
      <c r="D23" s="262"/>
      <c r="E23" s="264"/>
      <c r="F23" s="265"/>
      <c r="G23" s="265"/>
      <c r="H23" s="265"/>
      <c r="I23" s="265"/>
      <c r="J23" s="265"/>
      <c r="K23" s="266"/>
      <c r="L23" s="265"/>
      <c r="M23" s="265"/>
      <c r="N23" s="265"/>
      <c r="O23" s="267"/>
      <c r="P23" s="267"/>
      <c r="Q23" s="268"/>
      <c r="R23" s="269"/>
      <c r="S23" s="267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</row>
  </sheetData>
  <mergeCells count="16">
    <mergeCell ref="P2:P3"/>
    <mergeCell ref="Q2:Q3"/>
    <mergeCell ref="R2:R3"/>
    <mergeCell ref="S2:S3"/>
    <mergeCell ref="G2:G3"/>
    <mergeCell ref="H2:H3"/>
    <mergeCell ref="I2:I3"/>
    <mergeCell ref="J2:J3"/>
    <mergeCell ref="K2:N2"/>
    <mergeCell ref="O2:O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207</vt:i4>
      </vt:variant>
    </vt:vector>
  </HeadingPairs>
  <TitlesOfParts>
    <vt:vector size="207" baseType="lpstr">
      <vt:lpstr>Лист1</vt:lpstr>
      <vt:lpstr>02.04</vt:lpstr>
      <vt:lpstr>03.04</vt:lpstr>
      <vt:lpstr>04.04</vt:lpstr>
      <vt:lpstr>05.04</vt:lpstr>
      <vt:lpstr>06.04</vt:lpstr>
      <vt:lpstr>07.04</vt:lpstr>
      <vt:lpstr>08.04</vt:lpstr>
      <vt:lpstr>09.04</vt:lpstr>
      <vt:lpstr>10.04</vt:lpstr>
      <vt:lpstr>11.04</vt:lpstr>
      <vt:lpstr>12.04</vt:lpstr>
      <vt:lpstr>13.04</vt:lpstr>
      <vt:lpstr>14.04</vt:lpstr>
      <vt:lpstr>15.04</vt:lpstr>
      <vt:lpstr>16.04</vt:lpstr>
      <vt:lpstr>17.04</vt:lpstr>
      <vt:lpstr>18.04</vt:lpstr>
      <vt:lpstr>19.04</vt:lpstr>
      <vt:lpstr>20.04</vt:lpstr>
      <vt:lpstr>21.04</vt:lpstr>
      <vt:lpstr>22.04</vt:lpstr>
      <vt:lpstr>23.04</vt:lpstr>
      <vt:lpstr>24.04</vt:lpstr>
      <vt:lpstr>25.04</vt:lpstr>
      <vt:lpstr>26.04</vt:lpstr>
      <vt:lpstr>27.04</vt:lpstr>
      <vt:lpstr>28.04</vt:lpstr>
      <vt:lpstr>29.04</vt:lpstr>
      <vt:lpstr>30.04</vt:lpstr>
      <vt:lpstr>01.05</vt:lpstr>
      <vt:lpstr>02.05</vt:lpstr>
      <vt:lpstr>03.05</vt:lpstr>
      <vt:lpstr>04.05</vt:lpstr>
      <vt:lpstr>05.05</vt:lpstr>
      <vt:lpstr>06.05.</vt:lpstr>
      <vt:lpstr>07.05</vt:lpstr>
      <vt:lpstr>08.05</vt:lpstr>
      <vt:lpstr>09.05</vt:lpstr>
      <vt:lpstr>10.05</vt:lpstr>
      <vt:lpstr>11.05</vt:lpstr>
      <vt:lpstr>12.05</vt:lpstr>
      <vt:lpstr>13.05</vt:lpstr>
      <vt:lpstr>14.05</vt:lpstr>
      <vt:lpstr>15.05</vt:lpstr>
      <vt:lpstr>16.05</vt:lpstr>
      <vt:lpstr>17.05</vt:lpstr>
      <vt:lpstr>18.05</vt:lpstr>
      <vt:lpstr>Лист2</vt:lpstr>
      <vt:lpstr>20.05</vt:lpstr>
      <vt:lpstr>21.05</vt:lpstr>
      <vt:lpstr>22.05</vt:lpstr>
      <vt:lpstr>23.05</vt:lpstr>
      <vt:lpstr>24.05</vt:lpstr>
      <vt:lpstr>25.05</vt:lpstr>
      <vt:lpstr>26.05</vt:lpstr>
      <vt:lpstr>27.05</vt:lpstr>
      <vt:lpstr>28.05</vt:lpstr>
      <vt:lpstr>29.05</vt:lpstr>
      <vt:lpstr>30.05</vt:lpstr>
      <vt:lpstr>31.05</vt:lpstr>
      <vt:lpstr>01.06</vt:lpstr>
      <vt:lpstr>02.06</vt:lpstr>
      <vt:lpstr>03.06</vt:lpstr>
      <vt:lpstr>04.06</vt:lpstr>
      <vt:lpstr>05.06</vt:lpstr>
      <vt:lpstr>06.06</vt:lpstr>
      <vt:lpstr>07.06</vt:lpstr>
      <vt:lpstr>08.06</vt:lpstr>
      <vt:lpstr>09.06</vt:lpstr>
      <vt:lpstr>10.06</vt:lpstr>
      <vt:lpstr>11.06</vt:lpstr>
      <vt:lpstr>12.06</vt:lpstr>
      <vt:lpstr>13.06</vt:lpstr>
      <vt:lpstr>14.06</vt:lpstr>
      <vt:lpstr>15.06</vt:lpstr>
      <vt:lpstr>16.06</vt:lpstr>
      <vt:lpstr>17.06</vt:lpstr>
      <vt:lpstr>18.06</vt:lpstr>
      <vt:lpstr>19.06</vt:lpstr>
      <vt:lpstr>20.06</vt:lpstr>
      <vt:lpstr>21.06</vt:lpstr>
      <vt:lpstr>22.06</vt:lpstr>
      <vt:lpstr>23.06</vt:lpstr>
      <vt:lpstr>24.06</vt:lpstr>
      <vt:lpstr>25.06</vt:lpstr>
      <vt:lpstr>26.06</vt:lpstr>
      <vt:lpstr>27.06.</vt:lpstr>
      <vt:lpstr>28.06</vt:lpstr>
      <vt:lpstr>29.06</vt:lpstr>
      <vt:lpstr>30.06</vt:lpstr>
      <vt:lpstr>01.07</vt:lpstr>
      <vt:lpstr>02.07</vt:lpstr>
      <vt:lpstr>03.07</vt:lpstr>
      <vt:lpstr>04.07</vt:lpstr>
      <vt:lpstr>05.07</vt:lpstr>
      <vt:lpstr>06.07</vt:lpstr>
      <vt:lpstr>07.07</vt:lpstr>
      <vt:lpstr>08.07</vt:lpstr>
      <vt:lpstr>09.07</vt:lpstr>
      <vt:lpstr>10.07</vt:lpstr>
      <vt:lpstr>11.07</vt:lpstr>
      <vt:lpstr>12.07</vt:lpstr>
      <vt:lpstr>13.07</vt:lpstr>
      <vt:lpstr>14.07</vt:lpstr>
      <vt:lpstr>15.07</vt:lpstr>
      <vt:lpstr>16.07</vt:lpstr>
      <vt:lpstr>17.07</vt:lpstr>
      <vt:lpstr>18.07</vt:lpstr>
      <vt:lpstr>19.07</vt:lpstr>
      <vt:lpstr>20.07</vt:lpstr>
      <vt:lpstr>21.07</vt:lpstr>
      <vt:lpstr>22.07</vt:lpstr>
      <vt:lpstr>23.07</vt:lpstr>
      <vt:lpstr>25.07</vt:lpstr>
      <vt:lpstr>26.07</vt:lpstr>
      <vt:lpstr>27.07</vt:lpstr>
      <vt:lpstr>28.07.</vt:lpstr>
      <vt:lpstr>29.07.</vt:lpstr>
      <vt:lpstr>30.07.</vt:lpstr>
      <vt:lpstr>31.07.</vt:lpstr>
      <vt:lpstr>01.08.</vt:lpstr>
      <vt:lpstr>02.08.</vt:lpstr>
      <vt:lpstr>03.08.</vt:lpstr>
      <vt:lpstr>04.08.</vt:lpstr>
      <vt:lpstr>05.08.</vt:lpstr>
      <vt:lpstr>06.08.</vt:lpstr>
      <vt:lpstr>07.08.</vt:lpstr>
      <vt:lpstr>08.08</vt:lpstr>
      <vt:lpstr>09.08</vt:lpstr>
      <vt:lpstr>10.08</vt:lpstr>
      <vt:lpstr>11.08</vt:lpstr>
      <vt:lpstr>12.08</vt:lpstr>
      <vt:lpstr>13.08</vt:lpstr>
      <vt:lpstr>14.08</vt:lpstr>
      <vt:lpstr>15.08</vt:lpstr>
      <vt:lpstr>16.08</vt:lpstr>
      <vt:lpstr>17.08</vt:lpstr>
      <vt:lpstr>18.08</vt:lpstr>
      <vt:lpstr>19.08</vt:lpstr>
      <vt:lpstr>20.08</vt:lpstr>
      <vt:lpstr>21.08</vt:lpstr>
      <vt:lpstr>22.08</vt:lpstr>
      <vt:lpstr>23.08</vt:lpstr>
      <vt:lpstr>24.08</vt:lpstr>
      <vt:lpstr>25.08</vt:lpstr>
      <vt:lpstr>26.08</vt:lpstr>
      <vt:lpstr>27.08</vt:lpstr>
      <vt:lpstr>28.08</vt:lpstr>
      <vt:lpstr>29.08</vt:lpstr>
      <vt:lpstr>30.08</vt:lpstr>
      <vt:lpstr>31.08</vt:lpstr>
      <vt:lpstr>01.09</vt:lpstr>
      <vt:lpstr>02.09</vt:lpstr>
      <vt:lpstr>03.09</vt:lpstr>
      <vt:lpstr>04.09</vt:lpstr>
      <vt:lpstr>05.09</vt:lpstr>
      <vt:lpstr>06.09</vt:lpstr>
      <vt:lpstr>07.09</vt:lpstr>
      <vt:lpstr>08.09.</vt:lpstr>
      <vt:lpstr>09.09.</vt:lpstr>
      <vt:lpstr>10.09.</vt:lpstr>
      <vt:lpstr>11.09.</vt:lpstr>
      <vt:lpstr>12.09</vt:lpstr>
      <vt:lpstr>13.09</vt:lpstr>
      <vt:lpstr>14.09</vt:lpstr>
      <vt:lpstr>15,09</vt:lpstr>
      <vt:lpstr>16.09</vt:lpstr>
      <vt:lpstr>17.09</vt:lpstr>
      <vt:lpstr>18.09</vt:lpstr>
      <vt:lpstr>Лист3</vt:lpstr>
      <vt:lpstr>Лист4</vt:lpstr>
      <vt:lpstr>21.09</vt:lpstr>
      <vt:lpstr>22.09</vt:lpstr>
      <vt:lpstr>23.09</vt:lpstr>
      <vt:lpstr>24.09</vt:lpstr>
      <vt:lpstr>25.09</vt:lpstr>
      <vt:lpstr>26.09.</vt:lpstr>
      <vt:lpstr>27.09.</vt:lpstr>
      <vt:lpstr>28.09</vt:lpstr>
      <vt:lpstr>29.09</vt:lpstr>
      <vt:lpstr>30.09</vt:lpstr>
      <vt:lpstr>01.10</vt:lpstr>
      <vt:lpstr>02.10</vt:lpstr>
      <vt:lpstr>03.10</vt:lpstr>
      <vt:lpstr>04.10</vt:lpstr>
      <vt:lpstr>05.10</vt:lpstr>
      <vt:lpstr>06.10</vt:lpstr>
      <vt:lpstr>07.10</vt:lpstr>
      <vt:lpstr>08.10</vt:lpstr>
      <vt:lpstr>09.10</vt:lpstr>
      <vt:lpstr>10.10</vt:lpstr>
      <vt:lpstr>11.10</vt:lpstr>
      <vt:lpstr>12.10</vt:lpstr>
      <vt:lpstr>13.10</vt:lpstr>
      <vt:lpstr>14.10</vt:lpstr>
      <vt:lpstr>15.10</vt:lpstr>
      <vt:lpstr>16.10</vt:lpstr>
      <vt:lpstr>17.10</vt:lpstr>
      <vt:lpstr>18.10</vt:lpstr>
      <vt:lpstr>19.10</vt:lpstr>
      <vt:lpstr>20.10</vt:lpstr>
      <vt:lpstr>21.10</vt:lpstr>
      <vt:lpstr>22.10</vt:lpstr>
      <vt:lpstr>23.10</vt:lpstr>
      <vt:lpstr>24.10</vt:lpstr>
      <vt:lpstr>25.10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2026-10-25T01:10:49Z</dcterms:modified>
</cp:coreProperties>
</file>