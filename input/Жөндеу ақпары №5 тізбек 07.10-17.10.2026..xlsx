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defaultThemeVersion="124226"/>
  <xr:revisionPtr revIDLastSave="0" documentId="13_ncr:1_{86F3D968-1F83-47C5-A7B7-BBDB7F8BA347}" xr6:coauthVersionLast="47" xr6:coauthVersionMax="47" xr10:uidLastSave="{00000000-0000-0000-0000-000000000000}"/>
  <bookViews>
    <workbookView xWindow="-108" yWindow="-108" windowWidth="30936" windowHeight="16776" tabRatio="286" firstSheet="13" activeTab="18" xr2:uid="{00000000-000D-0000-FFFF-FFFF00000000}"/>
  </bookViews>
  <sheets>
    <sheet name="07.10.26" sheetId="889" r:id="rId1"/>
    <sheet name="08.10.26 " sheetId="890" r:id="rId2"/>
    <sheet name="09.10.26" sheetId="891" r:id="rId3"/>
    <sheet name="10.10.26" sheetId="892" r:id="rId4"/>
    <sheet name="11.10.26" sheetId="893" r:id="rId5"/>
    <sheet name="12.10.26" sheetId="894" r:id="rId6"/>
    <sheet name="13.10.26" sheetId="895" r:id="rId7"/>
    <sheet name="14.10.26 " sheetId="896" r:id="rId8"/>
    <sheet name="15.10.26  " sheetId="897" r:id="rId9"/>
    <sheet name="16.10.26 " sheetId="898" r:id="rId10"/>
    <sheet name="17.10.2026" sheetId="899" r:id="rId11"/>
    <sheet name="18.10.2026" sheetId="900" r:id="rId12"/>
    <sheet name="19.10.2026" sheetId="901" r:id="rId13"/>
    <sheet name="20.10.26" sheetId="902" r:id="rId14"/>
    <sheet name="21.10.26" sheetId="903" r:id="rId15"/>
    <sheet name="22.10.26" sheetId="904" r:id="rId16"/>
    <sheet name="23.10.26" sheetId="905" r:id="rId17"/>
    <sheet name="24.10.26" sheetId="906" r:id="rId18"/>
    <sheet name="25.10.26" sheetId="907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907" l="1"/>
  <c r="L15" i="907"/>
  <c r="K15" i="907"/>
  <c r="L7" i="907"/>
  <c r="K7" i="907"/>
  <c r="L6" i="907"/>
  <c r="K6" i="907"/>
  <c r="L5" i="907"/>
  <c r="K5" i="907"/>
  <c r="D18" i="906"/>
  <c r="L15" i="906"/>
  <c r="K15" i="906"/>
  <c r="L7" i="906"/>
  <c r="K7" i="906"/>
  <c r="L6" i="906"/>
  <c r="K6" i="906"/>
  <c r="L5" i="906"/>
  <c r="K5" i="906"/>
  <c r="D18" i="905"/>
  <c r="L15" i="905"/>
  <c r="K15" i="905"/>
  <c r="L9" i="905"/>
  <c r="K9" i="905"/>
  <c r="L8" i="905"/>
  <c r="K8" i="905"/>
  <c r="L7" i="905"/>
  <c r="K7" i="905"/>
  <c r="L6" i="905"/>
  <c r="K6" i="905"/>
  <c r="L5" i="905"/>
  <c r="K5" i="905"/>
  <c r="L9" i="904"/>
  <c r="K9" i="904"/>
  <c r="D18" i="904"/>
  <c r="L15" i="904"/>
  <c r="K15" i="904"/>
  <c r="L8" i="904"/>
  <c r="K8" i="904"/>
  <c r="L7" i="904"/>
  <c r="K7" i="904"/>
  <c r="L6" i="904"/>
  <c r="K6" i="904"/>
  <c r="L5" i="904"/>
  <c r="K5" i="904"/>
  <c r="L8" i="903"/>
  <c r="K8" i="903"/>
  <c r="D18" i="903"/>
  <c r="L15" i="903"/>
  <c r="K15" i="903"/>
  <c r="L7" i="903"/>
  <c r="K7" i="903"/>
  <c r="L6" i="903"/>
  <c r="K6" i="903"/>
  <c r="L5" i="903"/>
  <c r="K5" i="903"/>
  <c r="D18" i="902"/>
  <c r="L16" i="902"/>
  <c r="K16" i="902"/>
  <c r="L15" i="902"/>
  <c r="K15" i="902"/>
  <c r="L7" i="902"/>
  <c r="K7" i="902"/>
  <c r="L6" i="902"/>
  <c r="K6" i="902"/>
  <c r="L5" i="902"/>
  <c r="K5" i="902"/>
  <c r="L8" i="901"/>
  <c r="K8" i="901"/>
  <c r="D18" i="901"/>
  <c r="L16" i="901"/>
  <c r="K16" i="901"/>
  <c r="L15" i="901"/>
  <c r="K15" i="901"/>
  <c r="L7" i="901"/>
  <c r="K7" i="901"/>
  <c r="L6" i="901"/>
  <c r="K6" i="901"/>
  <c r="L5" i="901"/>
  <c r="K5" i="901"/>
  <c r="D18" i="900"/>
  <c r="L16" i="900"/>
  <c r="K16" i="900"/>
  <c r="L15" i="900"/>
  <c r="K15" i="900"/>
  <c r="L7" i="900"/>
  <c r="K7" i="900"/>
  <c r="L6" i="900"/>
  <c r="K6" i="900"/>
  <c r="L5" i="900"/>
  <c r="K5" i="900"/>
  <c r="D18" i="899"/>
  <c r="L16" i="899"/>
  <c r="K16" i="899"/>
  <c r="L15" i="899"/>
  <c r="K15" i="899"/>
  <c r="L7" i="899"/>
  <c r="K7" i="899"/>
  <c r="L6" i="899"/>
  <c r="K6" i="899"/>
  <c r="L5" i="899"/>
  <c r="K5" i="899"/>
  <c r="D19" i="898"/>
  <c r="L17" i="898"/>
  <c r="K17" i="898"/>
  <c r="L16" i="898"/>
  <c r="K16" i="898"/>
  <c r="L8" i="898"/>
  <c r="K8" i="898"/>
  <c r="L7" i="898"/>
  <c r="K7" i="898"/>
  <c r="L9" i="898"/>
  <c r="K9" i="898"/>
  <c r="L6" i="898"/>
  <c r="K6" i="898"/>
  <c r="L5" i="898"/>
  <c r="K5" i="898"/>
  <c r="L9" i="897"/>
  <c r="K9" i="897"/>
  <c r="L7" i="897"/>
  <c r="L8" i="897"/>
  <c r="K7" i="897"/>
  <c r="K8" i="897"/>
  <c r="D19" i="897"/>
  <c r="L17" i="897"/>
  <c r="K17" i="897"/>
  <c r="L16" i="897"/>
  <c r="K16" i="897"/>
  <c r="L6" i="897"/>
  <c r="K6" i="897"/>
  <c r="L5" i="897"/>
  <c r="K5" i="897"/>
  <c r="D19" i="896"/>
  <c r="L17" i="896"/>
  <c r="K17" i="896"/>
  <c r="L16" i="896"/>
  <c r="K16" i="896"/>
  <c r="L6" i="896"/>
  <c r="K6" i="896"/>
  <c r="L5" i="896"/>
  <c r="K5" i="896"/>
  <c r="D19" i="895"/>
  <c r="L17" i="895"/>
  <c r="K17" i="895"/>
  <c r="L16" i="895"/>
  <c r="K16" i="895"/>
  <c r="L7" i="895"/>
  <c r="K7" i="895"/>
  <c r="L6" i="895"/>
  <c r="K6" i="895"/>
  <c r="L5" i="895"/>
  <c r="K5" i="895"/>
  <c r="L8" i="894"/>
  <c r="K8" i="894"/>
  <c r="L7" i="894"/>
  <c r="K7" i="894"/>
  <c r="D19" i="894"/>
  <c r="L17" i="894"/>
  <c r="K17" i="894"/>
  <c r="L16" i="894"/>
  <c r="K16" i="894"/>
  <c r="L6" i="894"/>
  <c r="K6" i="894"/>
  <c r="L5" i="894"/>
  <c r="K5" i="894"/>
  <c r="D19" i="893"/>
  <c r="L17" i="893"/>
  <c r="K17" i="893"/>
  <c r="L16" i="893"/>
  <c r="K16" i="893"/>
  <c r="L6" i="893"/>
  <c r="K6" i="893"/>
  <c r="L5" i="893"/>
  <c r="K5" i="893"/>
  <c r="L6" i="892"/>
  <c r="K6" i="892"/>
  <c r="L5" i="892"/>
  <c r="K5" i="892"/>
  <c r="D19" i="892"/>
  <c r="L17" i="892"/>
  <c r="K17" i="892"/>
  <c r="L16" i="892"/>
  <c r="K16" i="892"/>
  <c r="L6" i="891"/>
  <c r="K6" i="891"/>
  <c r="D19" i="891"/>
  <c r="L17" i="891"/>
  <c r="K17" i="891"/>
  <c r="L16" i="891"/>
  <c r="K16" i="891"/>
  <c r="L5" i="891"/>
  <c r="K5" i="891"/>
  <c r="D19" i="890"/>
  <c r="L17" i="890"/>
  <c r="K17" i="890"/>
  <c r="L16" i="890"/>
  <c r="K16" i="890"/>
  <c r="L5" i="890"/>
  <c r="K5" i="890"/>
  <c r="L17" i="889"/>
  <c r="K17" i="889"/>
  <c r="L7" i="889"/>
  <c r="K7" i="889"/>
  <c r="L6" i="889"/>
  <c r="K6" i="889"/>
  <c r="L5" i="889"/>
  <c r="K5" i="889"/>
  <c r="D19" i="889"/>
  <c r="L16" i="889"/>
  <c r="K16" i="889"/>
</calcChain>
</file>

<file path=xl/sharedStrings.xml><?xml version="1.0" encoding="utf-8"?>
<sst xmlns="http://schemas.openxmlformats.org/spreadsheetml/2006/main" count="1093" uniqueCount="99">
  <si>
    <t>№</t>
  </si>
  <si>
    <t xml:space="preserve">Мемлекеттік белгі / 
Госномер ТС    </t>
  </si>
  <si>
    <t xml:space="preserve">                    Марка   
</t>
  </si>
  <si>
    <t>Түрі/ Тип</t>
  </si>
  <si>
    <t>Шыққан жылы / 
Год выпуска</t>
  </si>
  <si>
    <t>Жөндеуге бастап тұрған күні</t>
  </si>
  <si>
    <t>ЖМЦ-да жөндеуде тұрған күні</t>
  </si>
  <si>
    <t>Жүргізушімен, көмекшісімен / 
С водителем, помощником</t>
  </si>
  <si>
    <t>Жалпы жөндеуде тұрған күндері</t>
  </si>
  <si>
    <t xml:space="preserve">Жөндеу жұмыстарының түрі / Ремонтные работы 
Қажетті қосалқы бөлшектер / Необходимые запасные части                                                        </t>
  </si>
  <si>
    <t>Жөндеуден / резервтен шыққан көліктер</t>
  </si>
  <si>
    <t>Дайын тұрған көліктер</t>
  </si>
  <si>
    <t>Ескертпе/
Примечание</t>
  </si>
  <si>
    <t>Барлығы</t>
  </si>
  <si>
    <t>ӨТБ</t>
  </si>
  <si>
    <t xml:space="preserve"> </t>
  </si>
  <si>
    <t xml:space="preserve">ТҚКжЖБ-не (ОТОиРТС) сұраныс берілген күні </t>
  </si>
  <si>
    <t>ТҚП (ОЭТС) бөлімінде жөндеуге бастап тұрған күні</t>
  </si>
  <si>
    <t>ЖМЦ (РМЦ)</t>
  </si>
  <si>
    <t xml:space="preserve">ТҚКжЖБ (ОТОиРТС) </t>
  </si>
  <si>
    <t xml:space="preserve">                      КПБ / ОЭТС</t>
  </si>
  <si>
    <t xml:space="preserve">             КТҚКжЖБ / ОТОиРТС</t>
  </si>
  <si>
    <t>Жалпы жөндеуде</t>
  </si>
  <si>
    <t xml:space="preserve">А/т №5 - Нұржан / Ноябрь </t>
  </si>
  <si>
    <t>47-AKE219</t>
  </si>
  <si>
    <t>AOLITE BL105-25</t>
  </si>
  <si>
    <t>экскаватор</t>
  </si>
  <si>
    <t>47-AFD420R</t>
  </si>
  <si>
    <t>54-ACE297R</t>
  </si>
  <si>
    <t xml:space="preserve">      Есептен шығу 2026ж.</t>
  </si>
  <si>
    <t>54-R223AKD</t>
  </si>
  <si>
    <t>50-АСЕ288</t>
  </si>
  <si>
    <t>50-AED820R</t>
  </si>
  <si>
    <t>47-AKE220</t>
  </si>
  <si>
    <t>20-Н266412</t>
  </si>
  <si>
    <t>20-177AG</t>
  </si>
  <si>
    <t>Гидроцилинр рулевой,стартер,генератор ж.ж.ж</t>
  </si>
  <si>
    <t>47-AKE216</t>
  </si>
  <si>
    <t>20-180AG</t>
  </si>
  <si>
    <t>астобус</t>
  </si>
  <si>
    <t>57-R789AKE</t>
  </si>
  <si>
    <t>53-R962AKE</t>
  </si>
  <si>
    <t>XC958</t>
  </si>
  <si>
    <t>54-AKE208R</t>
  </si>
  <si>
    <t>54-R221AKD</t>
  </si>
  <si>
    <t>ПАЗ-3205</t>
  </si>
  <si>
    <t>Б10М</t>
  </si>
  <si>
    <t>бульдозер</t>
  </si>
  <si>
    <t>Пружин ушклерінің втулклері жарамсызданған, ауыстыру ж.ж</t>
  </si>
  <si>
    <t>20-192AG</t>
  </si>
  <si>
    <t>От алмайды, ПД-23 тұсіріп жинақтау керек иінді  валы сынған</t>
  </si>
  <si>
    <t>50-AКЕ024</t>
  </si>
  <si>
    <t>Shantui SD-16</t>
  </si>
  <si>
    <t>Перебой ДВС форсункаларын тексеру керек</t>
  </si>
  <si>
    <t>погрузчик</t>
  </si>
  <si>
    <t>ДВС май қысымының давлениесін тексеру керек.</t>
  </si>
  <si>
    <t>20-178AG</t>
  </si>
  <si>
    <t>47-AKЕ640</t>
  </si>
  <si>
    <t>ПД-23 жинақталды орнатып от алдыру ж.ж.ж</t>
  </si>
  <si>
    <t>20-H614761</t>
  </si>
  <si>
    <t>Toyota</t>
  </si>
  <si>
    <t>автобус</t>
  </si>
  <si>
    <t>Ходовойында,тяглернде бөгде дыбыстар бар ақауын анықтап жөндеу</t>
  </si>
  <si>
    <t>Ходовойында,тяглернде бөгде дыбыстар бар ақауын анықтап ж.ж.</t>
  </si>
  <si>
    <t>50-ADD320</t>
  </si>
  <si>
    <t>Бортобой редуктордың подшипнигі жарамсызданған ж.ж</t>
  </si>
  <si>
    <t>20-Н264112</t>
  </si>
  <si>
    <t>50-AКЕ023</t>
  </si>
  <si>
    <t>Жоспарлы техникалық қызмет жұмыстары</t>
  </si>
  <si>
    <t>53-АKЕ020</t>
  </si>
  <si>
    <t>Lovol</t>
  </si>
  <si>
    <t>Фр.погрузчик</t>
  </si>
  <si>
    <t>Дөңгелек ауыстыру</t>
  </si>
  <si>
    <t>Жоспарлы техникалық қызмет жұмыстары жалғасуда</t>
  </si>
  <si>
    <t>20-Н263112</t>
  </si>
  <si>
    <t>47-AKE215</t>
  </si>
  <si>
    <t>47-ADD952R</t>
  </si>
  <si>
    <t>HMK-102 B</t>
  </si>
  <si>
    <t>От алмайды жанармай жүйесіндегі ақауды анықтап жөндеу</t>
  </si>
  <si>
    <t>Рулевой жүйесінің ақауын анықтап жөндеу</t>
  </si>
  <si>
    <t xml:space="preserve">Гусиница шынжыр табанын керетін дөңгелектің подшипнигі жарамсызданған </t>
  </si>
  <si>
    <t>47-AСD692R</t>
  </si>
  <si>
    <t>Гидрошланга жарылған, ауыстыру</t>
  </si>
  <si>
    <t>Гусиница шынжыр табанын керетін дөңгелектің подшипнигі жарамсызданған ж.ж.ж</t>
  </si>
  <si>
    <t>50-ADD820</t>
  </si>
  <si>
    <t>20-Н269512</t>
  </si>
  <si>
    <t>20-H3408</t>
  </si>
  <si>
    <t>54-R207AKЕ</t>
  </si>
  <si>
    <t>47-АКЕ219</t>
  </si>
  <si>
    <t>Каток поддерживающий,механизм натяжения жарамсыз</t>
  </si>
  <si>
    <t>механизм натяжения жарамсыз</t>
  </si>
  <si>
    <t>47-AСD692</t>
  </si>
  <si>
    <t>Эксковатор</t>
  </si>
  <si>
    <t>Кен орында ковштың гидрошлангасы жарамсыз май ағып тұр</t>
  </si>
  <si>
    <t>20-194AG</t>
  </si>
  <si>
    <t>Сырлау сылақ жұмыстары ж.ж</t>
  </si>
  <si>
    <t>20-Н2649</t>
  </si>
  <si>
    <t>Генератор жарамсыз ж.ж</t>
  </si>
  <si>
    <t>Арка  колеса жарамсыз ж.ж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</si>
</sst>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_-* #,##0.00_р_._-;\-* #,##0.00_р_._-;_-* &quot;-&quot;??_р_._-;_-@_-"/>
    <numFmt numFmtId="166" formatCode="[$-419]d\ mmm\ yy;@"/>
    <numFmt numFmtId="167" formatCode="[$-419]d\ mmm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  <family val="2"/>
    </font>
    <font>
      <sz val="10"/>
      <name val="Arial"/>
      <family val="2"/>
    </font>
    <font>
      <sz val="10"/>
      <color theme="1"/>
      <name val="Arial"/>
      <family val="2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Arial"/>
      <family val="2"/>
      <charset val="204"/>
    </font>
    <font>
      <b/>
      <sz val="10"/>
      <color rgb="FF008000"/>
      <name val="Arial"/>
      <family val="2"/>
      <charset val="204"/>
    </font>
    <font>
      <sz val="11"/>
      <color indexed="8"/>
      <name val="Calibri"/>
      <family val="2"/>
    </font>
    <font>
      <b/>
      <sz val="8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0" fontId="5" fillId="0" borderId="0"/>
    <xf numFmtId="0" fontId="3" fillId="0" borderId="0"/>
    <xf numFmtId="0" fontId="7" fillId="0" borderId="0"/>
    <xf numFmtId="0" fontId="6" fillId="0" borderId="0"/>
    <xf numFmtId="165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9" fillId="0" borderId="0"/>
    <xf numFmtId="164" fontId="7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1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20" fillId="0" borderId="0"/>
    <xf numFmtId="0" fontId="2" fillId="0" borderId="0"/>
    <xf numFmtId="0" fontId="1" fillId="0" borderId="0"/>
  </cellStyleXfs>
  <cellXfs count="110">
    <xf numFmtId="0" fontId="0" fillId="0" borderId="0" xfId="0"/>
    <xf numFmtId="0" fontId="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166" fontId="12" fillId="0" borderId="4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166" fontId="5" fillId="5" borderId="4" xfId="0" applyNumberFormat="1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166" fontId="15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8" fillId="3" borderId="0" xfId="0" applyFont="1" applyFill="1" applyAlignment="1">
      <alignment horizontal="left" vertical="center" wrapText="1"/>
    </xf>
    <xf numFmtId="0" fontId="19" fillId="3" borderId="4" xfId="0" applyFont="1" applyFill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67" fontId="5" fillId="6" borderId="2" xfId="0" applyNumberFormat="1" applyFont="1" applyFill="1" applyBorder="1" applyAlignment="1">
      <alignment horizontal="center" vertical="center" wrapText="1"/>
    </xf>
    <xf numFmtId="167" fontId="5" fillId="6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166" fontId="11" fillId="6" borderId="4" xfId="0" applyNumberFormat="1" applyFont="1" applyFill="1" applyBorder="1" applyAlignment="1">
      <alignment horizontal="center" vertical="center" wrapText="1"/>
    </xf>
    <xf numFmtId="167" fontId="11" fillId="6" borderId="4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6" fontId="5" fillId="3" borderId="4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5" borderId="4" xfId="0" applyFont="1" applyFill="1" applyBorder="1" applyAlignment="1">
      <alignment vertical="center"/>
    </xf>
    <xf numFmtId="0" fontId="11" fillId="5" borderId="4" xfId="0" applyFont="1" applyFill="1" applyBorder="1" applyAlignment="1">
      <alignment horizontal="center" vertical="center"/>
    </xf>
    <xf numFmtId="166" fontId="11" fillId="5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167" fontId="5" fillId="3" borderId="2" xfId="0" applyNumberFormat="1" applyFont="1" applyFill="1" applyBorder="1" applyAlignment="1">
      <alignment horizontal="center" vertical="center" wrapText="1"/>
    </xf>
    <xf numFmtId="167" fontId="5" fillId="3" borderId="4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0" fontId="22" fillId="5" borderId="4" xfId="0" applyFont="1" applyFill="1" applyBorder="1" applyAlignment="1">
      <alignment horizontal="center" vertical="center" wrapText="1"/>
    </xf>
    <xf numFmtId="0" fontId="23" fillId="3" borderId="4" xfId="0" applyFont="1" applyFill="1" applyBorder="1"/>
    <xf numFmtId="0" fontId="5" fillId="3" borderId="4" xfId="0" applyFont="1" applyFill="1" applyBorder="1" applyAlignment="1">
      <alignment horizontal="center" vertical="center"/>
    </xf>
    <xf numFmtId="0" fontId="16" fillId="3" borderId="4" xfId="0" applyFont="1" applyFill="1" applyBorder="1"/>
    <xf numFmtId="0" fontId="8" fillId="3" borderId="4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left"/>
    </xf>
    <xf numFmtId="0" fontId="15" fillId="3" borderId="4" xfId="0" applyFont="1" applyFill="1" applyBorder="1" applyAlignment="1">
      <alignment horizontal="center" vertical="center" wrapText="1"/>
    </xf>
    <xf numFmtId="0" fontId="24" fillId="3" borderId="4" xfId="0" applyFont="1" applyFill="1" applyBorder="1"/>
    <xf numFmtId="0" fontId="25" fillId="3" borderId="4" xfId="0" applyFont="1" applyFill="1" applyBorder="1"/>
    <xf numFmtId="0" fontId="25" fillId="3" borderId="4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5" fillId="3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16" fillId="3" borderId="4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 wrapText="1"/>
    </xf>
    <xf numFmtId="167" fontId="11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0" fontId="8" fillId="3" borderId="4" xfId="3" applyFont="1" applyFill="1" applyBorder="1" applyAlignment="1">
      <alignment horizontal="left" vertical="center" wrapText="1"/>
    </xf>
    <xf numFmtId="0" fontId="8" fillId="3" borderId="4" xfId="3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166" fontId="13" fillId="4" borderId="5" xfId="23" applyNumberFormat="1" applyFont="1" applyFill="1" applyBorder="1" applyAlignment="1">
      <alignment horizontal="center" vertical="center" wrapText="1"/>
    </xf>
    <xf numFmtId="166" fontId="13" fillId="4" borderId="6" xfId="23" applyNumberFormat="1" applyFont="1" applyFill="1" applyBorder="1" applyAlignment="1">
      <alignment horizontal="center" vertical="center" wrapText="1"/>
    </xf>
    <xf numFmtId="166" fontId="13" fillId="4" borderId="5" xfId="0" applyNumberFormat="1" applyFont="1" applyFill="1" applyBorder="1" applyAlignment="1">
      <alignment horizontal="center" vertical="center" wrapText="1"/>
    </xf>
    <xf numFmtId="166" fontId="13" fillId="4" borderId="6" xfId="0" applyNumberFormat="1" applyFont="1" applyFill="1" applyBorder="1" applyAlignment="1">
      <alignment horizontal="center" vertical="center" wrapText="1"/>
    </xf>
  </cellXfs>
  <cellStyles count="27">
    <cellStyle name="Comma 2 15" xfId="19" xr:uid="{00000000-0005-0000-0000-000000000000}"/>
    <cellStyle name="Normal 2 102" xfId="18" xr:uid="{00000000-0005-0000-0000-000001000000}"/>
    <cellStyle name="Normal 4" xfId="24" xr:uid="{00000000-0005-0000-0000-000002000000}"/>
    <cellStyle name="Normal 4 2 2" xfId="11" xr:uid="{00000000-0005-0000-0000-000003000000}"/>
    <cellStyle name="Normal_Бюджет АТС 2010_замечания+ЗП" xfId="7" xr:uid="{00000000-0005-0000-0000-000004000000}"/>
    <cellStyle name="Обычный" xfId="0" builtinId="0"/>
    <cellStyle name="Обычный 12 18" xfId="25" xr:uid="{00000000-0005-0000-0000-000006000000}"/>
    <cellStyle name="Обычный 12 2" xfId="6" xr:uid="{00000000-0005-0000-0000-000007000000}"/>
    <cellStyle name="Обычный 2" xfId="3" xr:uid="{00000000-0005-0000-0000-000008000000}"/>
    <cellStyle name="Обычный 2 2" xfId="5" xr:uid="{00000000-0005-0000-0000-000009000000}"/>
    <cellStyle name="Обычный 2 2 2" xfId="9" xr:uid="{00000000-0005-0000-0000-00000A000000}"/>
    <cellStyle name="Обычный 3" xfId="4" xr:uid="{00000000-0005-0000-0000-00000B000000}"/>
    <cellStyle name="Обычный 3 2" xfId="23" xr:uid="{00000000-0005-0000-0000-00000C000000}"/>
    <cellStyle name="Обычный 4" xfId="15" xr:uid="{00000000-0005-0000-0000-00000D000000}"/>
    <cellStyle name="Обычный 4 2" xfId="21" xr:uid="{00000000-0005-0000-0000-00000E000000}"/>
    <cellStyle name="Обычный 43 20" xfId="26" xr:uid="{00000000-0005-0000-0000-00000F000000}"/>
    <cellStyle name="Обычный 5 44" xfId="13" xr:uid="{00000000-0005-0000-0000-000010000000}"/>
    <cellStyle name="Процентный 2" xfId="14" xr:uid="{00000000-0005-0000-0000-000011000000}"/>
    <cellStyle name="Процентный 8" xfId="17" xr:uid="{00000000-0005-0000-0000-000012000000}"/>
    <cellStyle name="Финансовый 10" xfId="16" xr:uid="{00000000-0005-0000-0000-000013000000}"/>
    <cellStyle name="Финансовый 13 2" xfId="2" xr:uid="{00000000-0005-0000-0000-000014000000}"/>
    <cellStyle name="Финансовый 2" xfId="10" xr:uid="{00000000-0005-0000-0000-000015000000}"/>
    <cellStyle name="Финансовый 3" xfId="20" xr:uid="{00000000-0005-0000-0000-000016000000}"/>
    <cellStyle name="Финансовый 3 2" xfId="22" xr:uid="{00000000-0005-0000-0000-000017000000}"/>
    <cellStyle name="Финансовый 4" xfId="8" xr:uid="{00000000-0005-0000-0000-000018000000}"/>
    <cellStyle name="Финансовый 5" xfId="1" xr:uid="{00000000-0005-0000-0000-000019000000}"/>
    <cellStyle name="Финансовый 6 4" xfId="12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CC20-9772-4646-B904-CEC6F1DDCF89}">
  <dimension ref="A1:T29"/>
  <sheetViews>
    <sheetView workbookViewId="0">
      <selection activeCell="Q5" sqref="Q5:R11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46302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32</v>
      </c>
      <c r="C5" s="76" t="s">
        <v>46</v>
      </c>
      <c r="D5" s="63" t="s">
        <v>47</v>
      </c>
      <c r="E5" s="61">
        <v>2014</v>
      </c>
      <c r="F5" s="36">
        <v>46293</v>
      </c>
      <c r="G5" s="36">
        <v>46293</v>
      </c>
      <c r="H5" s="77"/>
      <c r="I5" s="77"/>
      <c r="J5" s="1"/>
      <c r="K5" s="1">
        <f t="shared" ref="K5:L7" si="0">$F$1-F5</f>
        <v>9</v>
      </c>
      <c r="L5" s="1">
        <f t="shared" si="0"/>
        <v>9</v>
      </c>
      <c r="M5" s="77"/>
      <c r="N5" s="77"/>
      <c r="O5" s="18" t="s">
        <v>50</v>
      </c>
      <c r="P5" s="64"/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51</v>
      </c>
      <c r="C6" s="76" t="s">
        <v>52</v>
      </c>
      <c r="D6" s="63" t="s">
        <v>47</v>
      </c>
      <c r="E6" s="61">
        <v>2025</v>
      </c>
      <c r="F6" s="36">
        <v>46301</v>
      </c>
      <c r="G6" s="36">
        <v>46301</v>
      </c>
      <c r="H6" s="77"/>
      <c r="I6" s="77"/>
      <c r="J6" s="1"/>
      <c r="K6" s="1">
        <f t="shared" si="0"/>
        <v>1</v>
      </c>
      <c r="L6" s="1">
        <f t="shared" si="0"/>
        <v>1</v>
      </c>
      <c r="M6" s="77"/>
      <c r="N6" s="77"/>
      <c r="O6" s="18" t="s">
        <v>53</v>
      </c>
      <c r="Q6" s="64" t="s">
        <v>35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41</v>
      </c>
      <c r="C7" s="76" t="s">
        <v>42</v>
      </c>
      <c r="D7" s="63" t="s">
        <v>54</v>
      </c>
      <c r="E7" s="61">
        <v>2022</v>
      </c>
      <c r="F7" s="36">
        <v>46301</v>
      </c>
      <c r="G7" s="36">
        <v>46301</v>
      </c>
      <c r="H7" s="77"/>
      <c r="I7" s="77"/>
      <c r="J7" s="1"/>
      <c r="K7" s="1">
        <f t="shared" si="0"/>
        <v>1</v>
      </c>
      <c r="L7" s="1">
        <f t="shared" si="0"/>
        <v>1</v>
      </c>
      <c r="M7" s="77"/>
      <c r="N7" s="77"/>
      <c r="O7" s="18" t="s">
        <v>55</v>
      </c>
      <c r="P7" s="64"/>
      <c r="Q7" s="64" t="s">
        <v>56</v>
      </c>
      <c r="R7" s="64" t="s">
        <v>24</v>
      </c>
      <c r="S7" s="20"/>
      <c r="T7" s="21"/>
    </row>
    <row r="8" spans="1:20" s="22" customFormat="1" ht="13.8" x14ac:dyDescent="0.25">
      <c r="A8" s="1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75"/>
      <c r="Q8" s="64" t="s">
        <v>34</v>
      </c>
      <c r="R8" s="64" t="s">
        <v>27</v>
      </c>
      <c r="S8" s="20"/>
      <c r="T8" s="21"/>
    </row>
    <row r="9" spans="1:20" s="22" customFormat="1" ht="13.8" x14ac:dyDescent="0.25">
      <c r="A9" s="1"/>
      <c r="B9" s="64"/>
      <c r="C9" s="75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75" t="s">
        <v>30</v>
      </c>
      <c r="R9" s="64" t="s">
        <v>37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Q10" s="75" t="s">
        <v>40</v>
      </c>
      <c r="R10" s="75" t="s">
        <v>44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64" t="s">
        <v>43</v>
      </c>
      <c r="R11" s="22" t="s">
        <v>57</v>
      </c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4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1">$F$1-F16</f>
        <v>99</v>
      </c>
      <c r="L16" s="1">
        <f t="shared" si="1"/>
        <v>99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5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1"/>
        <v>11</v>
      </c>
      <c r="L17" s="1">
        <f t="shared" si="1"/>
        <v>11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5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E2B0-A106-45A8-B13F-750A2F602262}">
  <dimension ref="A1:T29"/>
  <sheetViews>
    <sheetView workbookViewId="0">
      <selection activeCell="P6" sqref="P6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46303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32</v>
      </c>
      <c r="C5" s="76" t="s">
        <v>46</v>
      </c>
      <c r="D5" s="63" t="s">
        <v>47</v>
      </c>
      <c r="E5" s="61">
        <v>2014</v>
      </c>
      <c r="F5" s="36">
        <v>46293</v>
      </c>
      <c r="G5" s="36">
        <v>46293</v>
      </c>
      <c r="H5" s="77"/>
      <c r="I5" s="77"/>
      <c r="J5" s="1"/>
      <c r="K5" s="1">
        <f>$F$1-F5</f>
        <v>10</v>
      </c>
      <c r="L5" s="1">
        <f>$F$1-G5</f>
        <v>10</v>
      </c>
      <c r="M5" s="77"/>
      <c r="N5" s="77"/>
      <c r="O5" s="18" t="s">
        <v>58</v>
      </c>
      <c r="P5" s="64" t="s">
        <v>51</v>
      </c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/>
      <c r="B6" s="64"/>
      <c r="C6" s="76"/>
      <c r="D6" s="63"/>
      <c r="E6" s="61"/>
      <c r="F6" s="36"/>
      <c r="G6" s="36"/>
      <c r="H6" s="77"/>
      <c r="I6" s="77"/>
      <c r="J6" s="1"/>
      <c r="K6" s="1"/>
      <c r="L6" s="1"/>
      <c r="M6" s="77"/>
      <c r="N6" s="77"/>
      <c r="O6" s="18"/>
      <c r="P6" s="64" t="s">
        <v>41</v>
      </c>
      <c r="Q6" s="64" t="s">
        <v>35</v>
      </c>
      <c r="R6" s="64" t="s">
        <v>31</v>
      </c>
      <c r="S6" s="23"/>
    </row>
    <row r="7" spans="1:20" s="22" customFormat="1" ht="13.8" x14ac:dyDescent="0.25">
      <c r="A7" s="1"/>
      <c r="B7" s="64"/>
      <c r="C7" s="76"/>
      <c r="D7" s="63"/>
      <c r="E7" s="61"/>
      <c r="F7" s="36"/>
      <c r="G7" s="36"/>
      <c r="H7" s="77"/>
      <c r="I7" s="77"/>
      <c r="J7" s="1"/>
      <c r="K7" s="1"/>
      <c r="L7" s="1"/>
      <c r="M7" s="77"/>
      <c r="N7" s="77"/>
      <c r="O7" s="18"/>
      <c r="P7" s="64"/>
      <c r="Q7" s="64" t="s">
        <v>56</v>
      </c>
      <c r="R7" s="64" t="s">
        <v>24</v>
      </c>
      <c r="S7" s="20"/>
      <c r="T7" s="21"/>
    </row>
    <row r="8" spans="1:20" s="22" customFormat="1" ht="13.8" x14ac:dyDescent="0.25">
      <c r="A8" s="1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75"/>
      <c r="Q8" s="64" t="s">
        <v>34</v>
      </c>
      <c r="R8" s="64" t="s">
        <v>27</v>
      </c>
      <c r="S8" s="20"/>
      <c r="T8" s="21"/>
    </row>
    <row r="9" spans="1:20" s="22" customFormat="1" ht="13.8" x14ac:dyDescent="0.25">
      <c r="A9" s="1"/>
      <c r="B9" s="64"/>
      <c r="C9" s="75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75" t="s">
        <v>30</v>
      </c>
      <c r="R9" s="64" t="s">
        <v>37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Q10" s="75" t="s">
        <v>40</v>
      </c>
      <c r="R10" s="75" t="s">
        <v>44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64" t="s">
        <v>43</v>
      </c>
      <c r="R11" s="75" t="s">
        <v>57</v>
      </c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3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0">$F$1-F16</f>
        <v>100</v>
      </c>
      <c r="L16" s="1">
        <f t="shared" si="0"/>
        <v>100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4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0"/>
        <v>12</v>
      </c>
      <c r="L17" s="1">
        <f t="shared" si="0"/>
        <v>12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3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1D61-9137-4DDE-BC2E-12970DB06E86}">
  <dimension ref="A1:T29"/>
  <sheetViews>
    <sheetView workbookViewId="0">
      <selection activeCell="R12" sqref="R12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46304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32</v>
      </c>
      <c r="C5" s="76" t="s">
        <v>46</v>
      </c>
      <c r="D5" s="63" t="s">
        <v>47</v>
      </c>
      <c r="E5" s="61">
        <v>2014</v>
      </c>
      <c r="F5" s="36">
        <v>46293</v>
      </c>
      <c r="G5" s="36">
        <v>46293</v>
      </c>
      <c r="H5" s="77"/>
      <c r="I5" s="77"/>
      <c r="J5" s="1"/>
      <c r="K5" s="1">
        <f>$F$1-F5</f>
        <v>11</v>
      </c>
      <c r="L5" s="1">
        <f>$F$1-G5</f>
        <v>11</v>
      </c>
      <c r="M5" s="77"/>
      <c r="N5" s="77"/>
      <c r="O5" s="18" t="s">
        <v>58</v>
      </c>
      <c r="P5" s="64" t="s">
        <v>56</v>
      </c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59</v>
      </c>
      <c r="C6" s="76" t="s">
        <v>60</v>
      </c>
      <c r="D6" s="63" t="s">
        <v>61</v>
      </c>
      <c r="E6" s="61">
        <v>2006</v>
      </c>
      <c r="F6" s="36">
        <v>46304</v>
      </c>
      <c r="G6" s="36">
        <v>46304</v>
      </c>
      <c r="H6" s="77"/>
      <c r="I6" s="77"/>
      <c r="J6" s="1"/>
      <c r="K6" s="1">
        <f>$F$1-F6</f>
        <v>0</v>
      </c>
      <c r="L6" s="1">
        <f>$F$1-G6</f>
        <v>0</v>
      </c>
      <c r="M6" s="77"/>
      <c r="N6" s="77"/>
      <c r="O6" s="18" t="s">
        <v>62</v>
      </c>
      <c r="P6" s="75" t="s">
        <v>30</v>
      </c>
      <c r="Q6" s="64" t="s">
        <v>35</v>
      </c>
      <c r="R6" s="64" t="s">
        <v>31</v>
      </c>
      <c r="S6" s="23"/>
    </row>
    <row r="7" spans="1:20" s="22" customFormat="1" ht="13.8" x14ac:dyDescent="0.25">
      <c r="A7" s="1"/>
      <c r="B7" s="64"/>
      <c r="C7" s="76"/>
      <c r="D7" s="63"/>
      <c r="E7" s="61"/>
      <c r="F7" s="36"/>
      <c r="G7" s="36"/>
      <c r="H7" s="77"/>
      <c r="I7" s="77"/>
      <c r="J7" s="1"/>
      <c r="K7" s="1"/>
      <c r="L7" s="1"/>
      <c r="M7" s="77"/>
      <c r="N7" s="77"/>
      <c r="O7" s="18"/>
      <c r="P7" s="64" t="s">
        <v>43</v>
      </c>
      <c r="Q7" s="64" t="s">
        <v>34</v>
      </c>
      <c r="R7" s="64" t="s">
        <v>24</v>
      </c>
      <c r="S7" s="20"/>
      <c r="T7" s="21"/>
    </row>
    <row r="8" spans="1:20" s="22" customFormat="1" ht="13.8" x14ac:dyDescent="0.25">
      <c r="A8" s="1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75"/>
      <c r="Q8" s="75" t="s">
        <v>40</v>
      </c>
      <c r="R8" s="64" t="s">
        <v>27</v>
      </c>
      <c r="S8" s="20"/>
      <c r="T8" s="21"/>
    </row>
    <row r="9" spans="1:20" s="22" customFormat="1" ht="13.8" x14ac:dyDescent="0.25">
      <c r="A9" s="1"/>
      <c r="B9" s="64"/>
      <c r="C9" s="75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75" t="s">
        <v>44</v>
      </c>
      <c r="R9" s="64" t="s">
        <v>37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Q10" s="75" t="s">
        <v>57</v>
      </c>
      <c r="R10" s="63"/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63"/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Q12" s="63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3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0">$F$1-F16</f>
        <v>101</v>
      </c>
      <c r="L16" s="1">
        <f t="shared" si="0"/>
        <v>101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4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0"/>
        <v>13</v>
      </c>
      <c r="L17" s="1">
        <f t="shared" si="0"/>
        <v>13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4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BFC5-B208-442E-9A8D-A21B69BA8504}">
  <dimension ref="A1:T29"/>
  <sheetViews>
    <sheetView workbookViewId="0">
      <selection activeCell="K9" sqref="K9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46305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>$F$1-F5</f>
        <v>1</v>
      </c>
      <c r="L5" s="1">
        <f>$F$1-G5</f>
        <v>1</v>
      </c>
      <c r="M5" s="77"/>
      <c r="N5" s="77"/>
      <c r="O5" s="18" t="s">
        <v>63</v>
      </c>
      <c r="P5" s="64" t="s">
        <v>32</v>
      </c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>$F$1-F6</f>
        <v>0</v>
      </c>
      <c r="L6" s="1">
        <f>$F$1-G6</f>
        <v>0</v>
      </c>
      <c r="M6" s="77"/>
      <c r="N6" s="77"/>
      <c r="O6" s="18" t="s">
        <v>65</v>
      </c>
      <c r="P6" s="75"/>
      <c r="Q6" s="64" t="s">
        <v>35</v>
      </c>
      <c r="R6" s="64" t="s">
        <v>31</v>
      </c>
      <c r="S6" s="23"/>
    </row>
    <row r="7" spans="1:20" s="22" customFormat="1" ht="13.8" x14ac:dyDescent="0.25">
      <c r="A7" s="1"/>
      <c r="B7" s="64"/>
      <c r="C7" s="76"/>
      <c r="D7" s="63"/>
      <c r="E7" s="61"/>
      <c r="F7" s="36"/>
      <c r="G7" s="36"/>
      <c r="H7" s="77"/>
      <c r="I7" s="77"/>
      <c r="J7" s="1"/>
      <c r="K7" s="1"/>
      <c r="L7" s="1"/>
      <c r="M7" s="77"/>
      <c r="N7" s="77"/>
      <c r="O7" s="18"/>
      <c r="P7" s="64"/>
      <c r="Q7" s="64" t="s">
        <v>34</v>
      </c>
      <c r="R7" s="64" t="s">
        <v>24</v>
      </c>
      <c r="S7" s="20"/>
      <c r="T7" s="21"/>
    </row>
    <row r="8" spans="1:20" s="22" customFormat="1" ht="13.8" x14ac:dyDescent="0.25">
      <c r="A8" s="1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75"/>
      <c r="Q8" s="75" t="s">
        <v>40</v>
      </c>
      <c r="R8" s="64" t="s">
        <v>27</v>
      </c>
      <c r="S8" s="20"/>
      <c r="T8" s="21"/>
    </row>
    <row r="9" spans="1:20" s="22" customFormat="1" ht="13.8" x14ac:dyDescent="0.25">
      <c r="A9" s="1"/>
      <c r="B9" s="64"/>
      <c r="C9" s="75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75" t="s">
        <v>44</v>
      </c>
      <c r="R9" s="64" t="s">
        <v>37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Q10" s="75" t="s">
        <v>57</v>
      </c>
      <c r="R10" s="63"/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63"/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Q12" s="63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3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0">$F$1-F16</f>
        <v>102</v>
      </c>
      <c r="L16" s="1">
        <f t="shared" si="0"/>
        <v>102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4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0"/>
        <v>14</v>
      </c>
      <c r="L17" s="1">
        <f t="shared" si="0"/>
        <v>14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4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BF48-C9E5-44B0-9C01-E19F9AA87FFA}">
  <dimension ref="A1:T29"/>
  <sheetViews>
    <sheetView workbookViewId="0">
      <selection activeCell="B7" sqref="B7:F7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46306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>$F$1-F5</f>
        <v>2</v>
      </c>
      <c r="L5" s="1">
        <f>$F$1-G5</f>
        <v>2</v>
      </c>
      <c r="M5" s="77"/>
      <c r="N5" s="77"/>
      <c r="O5" s="18" t="s">
        <v>63</v>
      </c>
      <c r="P5" s="64"/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>$F$1-F6</f>
        <v>1</v>
      </c>
      <c r="L6" s="1">
        <f>$F$1-G6</f>
        <v>1</v>
      </c>
      <c r="M6" s="77"/>
      <c r="N6" s="77"/>
      <c r="O6" s="18" t="s">
        <v>65</v>
      </c>
      <c r="P6" s="75"/>
      <c r="Q6" s="64" t="s">
        <v>35</v>
      </c>
      <c r="R6" s="64" t="s">
        <v>31</v>
      </c>
      <c r="S6" s="23"/>
    </row>
    <row r="7" spans="1:20" s="22" customFormat="1" ht="13.8" x14ac:dyDescent="0.25">
      <c r="A7" s="1"/>
      <c r="B7" s="60"/>
      <c r="C7" s="76"/>
      <c r="D7" s="63"/>
      <c r="E7" s="61"/>
      <c r="F7" s="36"/>
      <c r="G7" s="36"/>
      <c r="H7" s="77"/>
      <c r="I7" s="77"/>
      <c r="J7" s="1"/>
      <c r="K7" s="1"/>
      <c r="L7" s="1"/>
      <c r="M7" s="77"/>
      <c r="N7" s="77"/>
      <c r="O7" s="18"/>
      <c r="P7" s="64"/>
      <c r="Q7" s="64" t="s">
        <v>34</v>
      </c>
      <c r="R7" s="64" t="s">
        <v>24</v>
      </c>
      <c r="S7" s="20"/>
      <c r="T7" s="21"/>
    </row>
    <row r="8" spans="1:20" s="22" customFormat="1" ht="13.8" x14ac:dyDescent="0.25">
      <c r="A8" s="1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75"/>
      <c r="Q8" s="75" t="s">
        <v>40</v>
      </c>
      <c r="R8" s="64" t="s">
        <v>27</v>
      </c>
      <c r="S8" s="20"/>
      <c r="T8" s="21"/>
    </row>
    <row r="9" spans="1:20" s="22" customFormat="1" ht="13.8" x14ac:dyDescent="0.25">
      <c r="A9" s="1"/>
      <c r="B9" s="64"/>
      <c r="C9" s="75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75" t="s">
        <v>44</v>
      </c>
      <c r="R9" s="64" t="s">
        <v>37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Q10" s="75" t="s">
        <v>57</v>
      </c>
      <c r="R10" s="64" t="s">
        <v>66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63"/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Q12" s="63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3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0">$F$1-F16</f>
        <v>103</v>
      </c>
      <c r="L16" s="1">
        <f t="shared" si="0"/>
        <v>103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4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0"/>
        <v>15</v>
      </c>
      <c r="L17" s="1">
        <f t="shared" si="0"/>
        <v>15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4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13E5-4384-4DA1-8F39-01E3AEEBE2E8}">
  <dimension ref="A1:T29"/>
  <sheetViews>
    <sheetView workbookViewId="0">
      <selection activeCell="F10" sqref="F10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46307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8" si="0">$F$1-F5</f>
        <v>3</v>
      </c>
      <c r="L5" s="1">
        <f t="shared" si="0"/>
        <v>3</v>
      </c>
      <c r="M5" s="77"/>
      <c r="N5" s="77"/>
      <c r="O5" s="18" t="s">
        <v>63</v>
      </c>
      <c r="P5" s="64"/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2</v>
      </c>
      <c r="L6" s="1">
        <f t="shared" si="0"/>
        <v>2</v>
      </c>
      <c r="M6" s="77"/>
      <c r="N6" s="77"/>
      <c r="O6" s="18" t="s">
        <v>65</v>
      </c>
      <c r="P6" s="75"/>
      <c r="Q6" s="64" t="s">
        <v>35</v>
      </c>
      <c r="R6" s="64" t="s">
        <v>31</v>
      </c>
      <c r="S6" s="23"/>
    </row>
    <row r="7" spans="1:20" s="22" customFormat="1" ht="13.8" x14ac:dyDescent="0.25">
      <c r="A7" s="1">
        <v>3</v>
      </c>
      <c r="B7" s="60" t="s">
        <v>67</v>
      </c>
      <c r="C7" s="76" t="s">
        <v>52</v>
      </c>
      <c r="D7" s="63" t="s">
        <v>47</v>
      </c>
      <c r="E7" s="61">
        <v>2022</v>
      </c>
      <c r="F7" s="36">
        <v>46307</v>
      </c>
      <c r="G7" s="36">
        <v>46307</v>
      </c>
      <c r="H7" s="77"/>
      <c r="I7" s="77"/>
      <c r="J7" s="1"/>
      <c r="K7" s="1">
        <f t="shared" si="0"/>
        <v>0</v>
      </c>
      <c r="L7" s="1">
        <f t="shared" si="0"/>
        <v>0</v>
      </c>
      <c r="M7" s="77"/>
      <c r="N7" s="77"/>
      <c r="O7" s="18" t="s">
        <v>68</v>
      </c>
      <c r="P7" s="64"/>
      <c r="Q7" s="64" t="s">
        <v>34</v>
      </c>
      <c r="R7" s="64" t="s">
        <v>24</v>
      </c>
      <c r="S7" s="20"/>
      <c r="T7" s="21"/>
    </row>
    <row r="8" spans="1:20" s="22" customFormat="1" ht="13.8" x14ac:dyDescent="0.25">
      <c r="A8" s="1">
        <v>4</v>
      </c>
      <c r="B8" s="60" t="s">
        <v>69</v>
      </c>
      <c r="C8" s="76" t="s">
        <v>70</v>
      </c>
      <c r="D8" s="63" t="s">
        <v>71</v>
      </c>
      <c r="E8" s="61">
        <v>2022</v>
      </c>
      <c r="F8" s="36">
        <v>46307</v>
      </c>
      <c r="G8" s="36">
        <v>46307</v>
      </c>
      <c r="H8" s="63"/>
      <c r="I8" s="63"/>
      <c r="J8" s="63"/>
      <c r="K8" s="1">
        <f t="shared" si="0"/>
        <v>0</v>
      </c>
      <c r="L8" s="1">
        <f t="shared" si="0"/>
        <v>0</v>
      </c>
      <c r="M8" s="63"/>
      <c r="N8" s="63"/>
      <c r="O8" s="63" t="s">
        <v>72</v>
      </c>
      <c r="P8" s="75"/>
      <c r="Q8" s="75" t="s">
        <v>40</v>
      </c>
      <c r="R8" s="64" t="s">
        <v>27</v>
      </c>
      <c r="S8" s="20"/>
      <c r="T8" s="21"/>
    </row>
    <row r="9" spans="1:20" s="22" customFormat="1" ht="13.8" x14ac:dyDescent="0.25">
      <c r="A9" s="1"/>
      <c r="B9" s="64"/>
      <c r="C9" s="75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75" t="s">
        <v>44</v>
      </c>
      <c r="R9" s="64" t="s">
        <v>37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Q10" s="75" t="s">
        <v>57</v>
      </c>
      <c r="R10" s="64" t="s">
        <v>66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75" t="s">
        <v>30</v>
      </c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Q12" s="63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5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1">$F$1-F16</f>
        <v>104</v>
      </c>
      <c r="L16" s="1">
        <f t="shared" si="1"/>
        <v>104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6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1"/>
        <v>16</v>
      </c>
      <c r="L17" s="1">
        <f t="shared" si="1"/>
        <v>16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6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793C-30A2-4B74-BD6D-AD5F05510245}">
  <dimension ref="A1:T29"/>
  <sheetViews>
    <sheetView workbookViewId="0">
      <selection activeCell="Q11" sqref="Q11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46308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7" si="0">$F$1-F5</f>
        <v>4</v>
      </c>
      <c r="L5" s="1">
        <f t="shared" si="0"/>
        <v>4</v>
      </c>
      <c r="M5" s="77"/>
      <c r="N5" s="77"/>
      <c r="O5" s="18" t="s">
        <v>63</v>
      </c>
      <c r="P5" s="60" t="s">
        <v>69</v>
      </c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3</v>
      </c>
      <c r="L6" s="1">
        <f t="shared" si="0"/>
        <v>3</v>
      </c>
      <c r="M6" s="77"/>
      <c r="N6" s="77"/>
      <c r="O6" s="18" t="s">
        <v>65</v>
      </c>
      <c r="P6" s="64" t="s">
        <v>35</v>
      </c>
      <c r="Q6" s="64" t="s">
        <v>34</v>
      </c>
      <c r="R6" s="64" t="s">
        <v>31</v>
      </c>
      <c r="S6" s="23"/>
    </row>
    <row r="7" spans="1:20" s="22" customFormat="1" ht="13.8" x14ac:dyDescent="0.25">
      <c r="A7" s="1">
        <v>3</v>
      </c>
      <c r="B7" s="60" t="s">
        <v>67</v>
      </c>
      <c r="C7" s="76" t="s">
        <v>52</v>
      </c>
      <c r="D7" s="63" t="s">
        <v>47</v>
      </c>
      <c r="E7" s="61">
        <v>2022</v>
      </c>
      <c r="F7" s="36">
        <v>46307</v>
      </c>
      <c r="G7" s="36">
        <v>46307</v>
      </c>
      <c r="H7" s="77"/>
      <c r="I7" s="77"/>
      <c r="J7" s="1"/>
      <c r="K7" s="1">
        <f t="shared" si="0"/>
        <v>1</v>
      </c>
      <c r="L7" s="1">
        <f t="shared" si="0"/>
        <v>1</v>
      </c>
      <c r="M7" s="77"/>
      <c r="N7" s="77"/>
      <c r="O7" s="18" t="s">
        <v>73</v>
      </c>
      <c r="P7" s="75" t="s">
        <v>57</v>
      </c>
      <c r="Q7" s="75" t="s">
        <v>40</v>
      </c>
      <c r="R7" s="64" t="s">
        <v>24</v>
      </c>
      <c r="S7" s="20"/>
      <c r="T7" s="21"/>
    </row>
    <row r="8" spans="1:20" s="22" customFormat="1" ht="13.8" x14ac:dyDescent="0.25">
      <c r="A8" s="1"/>
      <c r="B8" s="60"/>
      <c r="C8" s="76"/>
      <c r="D8" s="63"/>
      <c r="E8" s="61"/>
      <c r="F8" s="36"/>
      <c r="G8" s="36"/>
      <c r="H8" s="63"/>
      <c r="I8" s="63"/>
      <c r="J8" s="63"/>
      <c r="K8" s="1"/>
      <c r="L8" s="1"/>
      <c r="M8" s="63"/>
      <c r="N8" s="63"/>
      <c r="O8" s="63"/>
      <c r="P8" s="75"/>
      <c r="Q8" s="75" t="s">
        <v>44</v>
      </c>
      <c r="R8" s="64" t="s">
        <v>27</v>
      </c>
      <c r="S8" s="20"/>
      <c r="T8" s="21"/>
    </row>
    <row r="9" spans="1:20" s="22" customFormat="1" ht="13.8" x14ac:dyDescent="0.25">
      <c r="A9" s="1"/>
      <c r="B9" s="64"/>
      <c r="C9" s="75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75" t="s">
        <v>30</v>
      </c>
      <c r="R9" s="64" t="s">
        <v>37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Q10" s="64" t="s">
        <v>75</v>
      </c>
      <c r="R10" s="64" t="s">
        <v>66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R11" s="64" t="s">
        <v>74</v>
      </c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Q12" s="63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4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1">$F$1-F16</f>
        <v>105</v>
      </c>
      <c r="L16" s="1">
        <f t="shared" si="1"/>
        <v>105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5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1"/>
        <v>17</v>
      </c>
      <c r="L17" s="1">
        <f t="shared" si="1"/>
        <v>17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5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A698-9229-469C-ACA0-D70F13A66E0B}">
  <dimension ref="A1:T29"/>
  <sheetViews>
    <sheetView workbookViewId="0">
      <selection activeCell="Q10" sqref="Q10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46309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5</v>
      </c>
      <c r="L5" s="1">
        <f t="shared" si="0"/>
        <v>5</v>
      </c>
      <c r="M5" s="77"/>
      <c r="N5" s="77"/>
      <c r="O5" s="18" t="s">
        <v>63</v>
      </c>
      <c r="P5" s="64" t="s">
        <v>75</v>
      </c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4</v>
      </c>
      <c r="L6" s="1">
        <f t="shared" si="0"/>
        <v>4</v>
      </c>
      <c r="M6" s="77"/>
      <c r="N6" s="77"/>
      <c r="O6" s="18" t="s">
        <v>65</v>
      </c>
      <c r="P6" s="64" t="s">
        <v>66</v>
      </c>
      <c r="Q6" s="64" t="s">
        <v>34</v>
      </c>
      <c r="R6" s="64" t="s">
        <v>31</v>
      </c>
      <c r="S6" s="23"/>
    </row>
    <row r="7" spans="1:20" s="22" customFormat="1" ht="13.8" x14ac:dyDescent="0.25">
      <c r="A7" s="1"/>
      <c r="B7" s="60"/>
      <c r="C7" s="76"/>
      <c r="D7" s="63"/>
      <c r="E7" s="61"/>
      <c r="F7" s="36"/>
      <c r="G7" s="36"/>
      <c r="H7" s="77"/>
      <c r="I7" s="77"/>
      <c r="J7" s="1"/>
      <c r="K7" s="1"/>
      <c r="L7" s="1"/>
      <c r="M7" s="77"/>
      <c r="N7" s="77"/>
      <c r="O7" s="18"/>
      <c r="P7" s="75" t="s">
        <v>30</v>
      </c>
      <c r="Q7" s="75" t="s">
        <v>40</v>
      </c>
      <c r="R7" s="64" t="s">
        <v>24</v>
      </c>
      <c r="S7" s="20"/>
      <c r="T7" s="21"/>
    </row>
    <row r="8" spans="1:20" s="22" customFormat="1" ht="13.8" x14ac:dyDescent="0.25">
      <c r="A8" s="1"/>
      <c r="B8" s="60"/>
      <c r="C8" s="76"/>
      <c r="D8" s="63"/>
      <c r="E8" s="61"/>
      <c r="F8" s="36"/>
      <c r="G8" s="36"/>
      <c r="H8" s="63"/>
      <c r="I8" s="63"/>
      <c r="J8" s="63"/>
      <c r="K8" s="1"/>
      <c r="L8" s="1"/>
      <c r="M8" s="63"/>
      <c r="N8" s="63"/>
      <c r="O8" s="63"/>
      <c r="P8" s="60" t="s">
        <v>67</v>
      </c>
      <c r="Q8" s="75" t="s">
        <v>44</v>
      </c>
      <c r="R8" s="64" t="s">
        <v>27</v>
      </c>
      <c r="S8" s="20"/>
      <c r="T8" s="21"/>
    </row>
    <row r="9" spans="1:20" s="22" customFormat="1" ht="13.8" x14ac:dyDescent="0.25">
      <c r="A9" s="1"/>
      <c r="B9" s="64"/>
      <c r="C9" s="75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75" t="s">
        <v>57</v>
      </c>
      <c r="R9" s="64" t="s">
        <v>37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R10" s="64" t="s">
        <v>74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75"/>
      <c r="R11" s="64"/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Q12" s="63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3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1">$F$1-F16</f>
        <v>106</v>
      </c>
      <c r="L16" s="1">
        <f t="shared" si="1"/>
        <v>106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4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1"/>
        <v>18</v>
      </c>
      <c r="L17" s="1">
        <f t="shared" si="1"/>
        <v>18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4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06E5-FCC5-4791-802E-A0A5A28E08F5}">
  <dimension ref="A1:T29"/>
  <sheetViews>
    <sheetView workbookViewId="0">
      <selection activeCell="C10" sqref="C10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46310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9" si="0">$F$1-F5</f>
        <v>6</v>
      </c>
      <c r="L5" s="1">
        <f t="shared" si="0"/>
        <v>6</v>
      </c>
      <c r="M5" s="77"/>
      <c r="N5" s="77"/>
      <c r="O5" s="18" t="s">
        <v>63</v>
      </c>
      <c r="P5" s="75" t="s">
        <v>57</v>
      </c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5</v>
      </c>
      <c r="L6" s="1">
        <f t="shared" si="0"/>
        <v>5</v>
      </c>
      <c r="M6" s="77"/>
      <c r="N6" s="77"/>
      <c r="O6" s="18" t="s">
        <v>65</v>
      </c>
      <c r="P6" s="64" t="s">
        <v>24</v>
      </c>
      <c r="Q6" s="64" t="s">
        <v>34</v>
      </c>
      <c r="R6" s="64" t="s">
        <v>31</v>
      </c>
      <c r="S6" s="23"/>
    </row>
    <row r="7" spans="1:20" s="22" customFormat="1" ht="13.8" x14ac:dyDescent="0.25">
      <c r="A7" s="1">
        <v>3</v>
      </c>
      <c r="B7" s="60" t="s">
        <v>76</v>
      </c>
      <c r="C7" s="76" t="s">
        <v>77</v>
      </c>
      <c r="D7" s="63" t="s">
        <v>26</v>
      </c>
      <c r="E7" s="61">
        <v>2017</v>
      </c>
      <c r="F7" s="36">
        <v>46310</v>
      </c>
      <c r="G7" s="36">
        <v>46310</v>
      </c>
      <c r="H7" s="77"/>
      <c r="I7" s="77"/>
      <c r="J7" s="1"/>
      <c r="K7" s="1">
        <f t="shared" si="0"/>
        <v>0</v>
      </c>
      <c r="L7" s="1">
        <f t="shared" si="0"/>
        <v>0</v>
      </c>
      <c r="M7" s="77"/>
      <c r="N7" s="77"/>
      <c r="O7" s="18" t="s">
        <v>78</v>
      </c>
      <c r="P7" s="64" t="s">
        <v>37</v>
      </c>
      <c r="Q7" s="75" t="s">
        <v>40</v>
      </c>
      <c r="R7" s="64" t="s">
        <v>27</v>
      </c>
      <c r="S7" s="20"/>
      <c r="T7" s="21"/>
    </row>
    <row r="8" spans="1:20" s="22" customFormat="1" ht="13.8" x14ac:dyDescent="0.25">
      <c r="A8" s="1">
        <v>4</v>
      </c>
      <c r="B8" s="75" t="s">
        <v>75</v>
      </c>
      <c r="C8" s="76" t="s">
        <v>25</v>
      </c>
      <c r="D8" s="63" t="s">
        <v>26</v>
      </c>
      <c r="E8" s="61">
        <v>2024</v>
      </c>
      <c r="F8" s="36">
        <v>46310</v>
      </c>
      <c r="G8" s="36">
        <v>46310</v>
      </c>
      <c r="H8" s="63"/>
      <c r="I8" s="63"/>
      <c r="J8" s="63"/>
      <c r="K8" s="1">
        <f t="shared" si="0"/>
        <v>0</v>
      </c>
      <c r="L8" s="1">
        <f t="shared" si="0"/>
        <v>0</v>
      </c>
      <c r="M8" s="63"/>
      <c r="N8" s="63"/>
      <c r="O8" s="63" t="s">
        <v>79</v>
      </c>
      <c r="P8" s="60"/>
      <c r="Q8" s="75" t="s">
        <v>44</v>
      </c>
      <c r="R8" s="64" t="s">
        <v>74</v>
      </c>
      <c r="S8" s="20"/>
      <c r="T8" s="21"/>
    </row>
    <row r="9" spans="1:20" s="22" customFormat="1" ht="26.4" x14ac:dyDescent="0.25">
      <c r="A9" s="1">
        <v>5</v>
      </c>
      <c r="B9" s="64" t="s">
        <v>84</v>
      </c>
      <c r="C9" s="76" t="s">
        <v>46</v>
      </c>
      <c r="D9" s="63" t="s">
        <v>47</v>
      </c>
      <c r="E9" s="61">
        <v>2020</v>
      </c>
      <c r="F9" s="36">
        <v>46310</v>
      </c>
      <c r="G9" s="36">
        <v>46310</v>
      </c>
      <c r="H9" s="18"/>
      <c r="I9" s="18"/>
      <c r="J9" s="4"/>
      <c r="K9" s="1">
        <f t="shared" si="0"/>
        <v>0</v>
      </c>
      <c r="L9" s="1">
        <f t="shared" si="0"/>
        <v>0</v>
      </c>
      <c r="M9" s="18"/>
      <c r="N9" s="18"/>
      <c r="O9" s="18" t="s">
        <v>80</v>
      </c>
      <c r="P9" s="64"/>
      <c r="Q9" s="85"/>
      <c r="R9" s="63"/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4"/>
      <c r="R10" s="63"/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75"/>
      <c r="R11" s="64"/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Q12" s="63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6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1">$F$1-F16</f>
        <v>107</v>
      </c>
      <c r="L16" s="1">
        <f t="shared" si="1"/>
        <v>107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7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1"/>
        <v>19</v>
      </c>
      <c r="L17" s="1">
        <f t="shared" si="1"/>
        <v>19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7</v>
      </c>
      <c r="E19" s="39"/>
      <c r="F19" s="40"/>
      <c r="G19" s="40"/>
      <c r="H19" s="40"/>
      <c r="I19" s="40"/>
      <c r="J19" s="59"/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E739-5B61-4B14-899A-064A1C066FC4}">
  <dimension ref="A1:T29"/>
  <sheetViews>
    <sheetView workbookViewId="0">
      <selection activeCell="B8" sqref="B8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46311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7</v>
      </c>
      <c r="L5" s="1">
        <f t="shared" si="0"/>
        <v>7</v>
      </c>
      <c r="M5" s="77"/>
      <c r="N5" s="77"/>
      <c r="O5" s="18" t="s">
        <v>63</v>
      </c>
      <c r="P5" s="60" t="s">
        <v>76</v>
      </c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6</v>
      </c>
      <c r="L6" s="1">
        <f t="shared" si="0"/>
        <v>6</v>
      </c>
      <c r="M6" s="77"/>
      <c r="N6" s="77"/>
      <c r="O6" s="18" t="s">
        <v>65</v>
      </c>
      <c r="P6" s="64"/>
      <c r="Q6" s="64" t="s">
        <v>34</v>
      </c>
      <c r="R6" s="64" t="s">
        <v>31</v>
      </c>
      <c r="S6" s="23"/>
    </row>
    <row r="7" spans="1:20" s="22" customFormat="1" ht="13.8" x14ac:dyDescent="0.25">
      <c r="A7" s="1">
        <v>3</v>
      </c>
      <c r="B7" s="75" t="s">
        <v>75</v>
      </c>
      <c r="C7" s="76" t="s">
        <v>25</v>
      </c>
      <c r="D7" s="63" t="s">
        <v>26</v>
      </c>
      <c r="E7" s="61">
        <v>2024</v>
      </c>
      <c r="F7" s="36">
        <v>46310</v>
      </c>
      <c r="G7" s="36">
        <v>46310</v>
      </c>
      <c r="H7" s="63"/>
      <c r="I7" s="63"/>
      <c r="J7" s="63"/>
      <c r="K7" s="1">
        <f t="shared" ref="K7:L9" si="1">$F$1-F7</f>
        <v>1</v>
      </c>
      <c r="L7" s="1">
        <f t="shared" si="1"/>
        <v>1</v>
      </c>
      <c r="M7" s="63"/>
      <c r="N7" s="63"/>
      <c r="O7" s="63" t="s">
        <v>79</v>
      </c>
      <c r="P7" s="64"/>
      <c r="Q7" s="75" t="s">
        <v>40</v>
      </c>
      <c r="R7" s="64" t="s">
        <v>27</v>
      </c>
      <c r="S7" s="20"/>
      <c r="T7" s="21"/>
    </row>
    <row r="8" spans="1:20" s="22" customFormat="1" ht="26.4" x14ac:dyDescent="0.25">
      <c r="A8" s="1">
        <v>4</v>
      </c>
      <c r="B8" s="64" t="s">
        <v>84</v>
      </c>
      <c r="C8" s="76" t="s">
        <v>46</v>
      </c>
      <c r="D8" s="63" t="s">
        <v>47</v>
      </c>
      <c r="E8" s="61">
        <v>2020</v>
      </c>
      <c r="F8" s="36">
        <v>46310</v>
      </c>
      <c r="G8" s="36">
        <v>46310</v>
      </c>
      <c r="H8" s="18"/>
      <c r="I8" s="18"/>
      <c r="J8" s="4"/>
      <c r="K8" s="1">
        <f t="shared" si="1"/>
        <v>1</v>
      </c>
      <c r="L8" s="1">
        <f t="shared" si="1"/>
        <v>1</v>
      </c>
      <c r="M8" s="18"/>
      <c r="N8" s="18"/>
      <c r="O8" s="18" t="s">
        <v>80</v>
      </c>
      <c r="P8" s="60"/>
      <c r="Q8" s="75" t="s">
        <v>44</v>
      </c>
      <c r="R8" s="64" t="s">
        <v>74</v>
      </c>
      <c r="S8" s="20"/>
      <c r="T8" s="21"/>
    </row>
    <row r="9" spans="1:20" s="22" customFormat="1" ht="13.8" x14ac:dyDescent="0.25">
      <c r="A9" s="1">
        <v>5</v>
      </c>
      <c r="B9" s="60" t="s">
        <v>81</v>
      </c>
      <c r="C9" s="76" t="s">
        <v>77</v>
      </c>
      <c r="D9" s="63" t="s">
        <v>26</v>
      </c>
      <c r="E9" s="61">
        <v>2019</v>
      </c>
      <c r="F9" s="36">
        <v>46311</v>
      </c>
      <c r="G9" s="36">
        <v>46311</v>
      </c>
      <c r="H9" s="77"/>
      <c r="I9" s="77"/>
      <c r="J9" s="1">
        <v>1</v>
      </c>
      <c r="K9" s="1">
        <f t="shared" si="1"/>
        <v>0</v>
      </c>
      <c r="L9" s="1">
        <f t="shared" si="1"/>
        <v>0</v>
      </c>
      <c r="M9" s="77"/>
      <c r="N9" s="77"/>
      <c r="O9" s="18" t="s">
        <v>82</v>
      </c>
      <c r="P9" s="64"/>
      <c r="Q9" s="64" t="s">
        <v>37</v>
      </c>
      <c r="R9" s="63"/>
      <c r="S9" s="20"/>
      <c r="T9" s="21"/>
    </row>
    <row r="10" spans="1:20" s="22" customFormat="1" ht="13.8" x14ac:dyDescent="0.25">
      <c r="A10" s="1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4"/>
      <c r="R10" s="63"/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4"/>
      <c r="K11" s="1"/>
      <c r="L11" s="1"/>
      <c r="M11" s="18"/>
      <c r="N11" s="18"/>
      <c r="O11" s="18"/>
      <c r="P11" s="65"/>
      <c r="Q11" s="75"/>
      <c r="R11" s="64"/>
      <c r="S11" s="20"/>
      <c r="T11" s="21"/>
    </row>
    <row r="12" spans="1:20" s="22" customFormat="1" ht="13.8" x14ac:dyDescent="0.25">
      <c r="A12" s="1"/>
      <c r="B12" s="64"/>
      <c r="C12" s="76"/>
      <c r="D12" s="63"/>
      <c r="E12" s="61"/>
      <c r="F12" s="36"/>
      <c r="G12" s="36"/>
      <c r="H12" s="18"/>
      <c r="I12" s="18"/>
      <c r="J12" s="35"/>
      <c r="K12" s="82"/>
      <c r="L12" s="82"/>
      <c r="M12" s="83"/>
      <c r="N12" s="83"/>
      <c r="O12" s="84"/>
      <c r="P12" s="65"/>
      <c r="Q12" s="63"/>
      <c r="R12" s="64"/>
      <c r="S12" s="20"/>
      <c r="T12" s="21"/>
    </row>
    <row r="13" spans="1:20" s="22" customFormat="1" ht="15.6" customHeight="1" x14ac:dyDescent="0.25">
      <c r="A13" s="25"/>
      <c r="B13" s="26"/>
      <c r="C13" s="27"/>
      <c r="D13" s="54"/>
      <c r="E13" s="25"/>
      <c r="F13" s="28"/>
      <c r="G13" s="28"/>
      <c r="H13" s="28"/>
      <c r="I13" s="28"/>
      <c r="J13" s="88" t="s">
        <v>20</v>
      </c>
      <c r="K13" s="89"/>
      <c r="L13" s="89"/>
      <c r="M13" s="89"/>
      <c r="N13" s="89"/>
      <c r="O13" s="90"/>
      <c r="P13" s="27"/>
      <c r="Q13" s="29"/>
      <c r="R13" s="30"/>
      <c r="S13" s="20"/>
      <c r="T13" s="21"/>
    </row>
    <row r="14" spans="1:20" s="31" customFormat="1" ht="13.8" x14ac:dyDescent="0.25">
      <c r="A14" s="4"/>
      <c r="B14" s="79"/>
      <c r="C14" s="80"/>
      <c r="D14" s="80"/>
      <c r="E14" s="81"/>
      <c r="F14" s="36"/>
      <c r="G14" s="36"/>
      <c r="H14" s="18"/>
      <c r="I14" s="36"/>
      <c r="J14" s="4"/>
      <c r="K14" s="1"/>
      <c r="L14" s="1"/>
      <c r="M14" s="18"/>
      <c r="N14" s="1"/>
      <c r="O14" s="63"/>
      <c r="P14" s="18"/>
      <c r="R14" s="50"/>
      <c r="S14" s="60"/>
    </row>
    <row r="15" spans="1:20" s="7" customFormat="1" x14ac:dyDescent="0.3">
      <c r="A15" s="25"/>
      <c r="B15" s="32"/>
      <c r="C15" s="32"/>
      <c r="D15" s="54" t="s">
        <v>15</v>
      </c>
      <c r="E15" s="25"/>
      <c r="F15" s="33"/>
      <c r="G15" s="33"/>
      <c r="H15" s="33"/>
      <c r="I15" s="33"/>
      <c r="J15" s="88" t="s">
        <v>21</v>
      </c>
      <c r="K15" s="89"/>
      <c r="L15" s="89"/>
      <c r="M15" s="89"/>
      <c r="N15" s="89"/>
      <c r="O15" s="90"/>
      <c r="P15" s="27"/>
      <c r="Q15" s="29"/>
      <c r="R15" s="34"/>
      <c r="S15" s="23"/>
      <c r="T15" s="58"/>
    </row>
    <row r="16" spans="1:20" s="31" customFormat="1" ht="13.2" customHeight="1" x14ac:dyDescent="0.3">
      <c r="A16" s="35">
        <v>6</v>
      </c>
      <c r="B16" s="75" t="s">
        <v>33</v>
      </c>
      <c r="C16" s="76" t="s">
        <v>25</v>
      </c>
      <c r="D16" s="63" t="s">
        <v>26</v>
      </c>
      <c r="E16" s="61">
        <v>2024</v>
      </c>
      <c r="F16" s="36">
        <v>46203</v>
      </c>
      <c r="G16" s="36">
        <v>46203</v>
      </c>
      <c r="H16" s="77"/>
      <c r="I16" s="77"/>
      <c r="J16" s="77"/>
      <c r="K16" s="1">
        <f t="shared" ref="K16:L17" si="2">$F$1-F16</f>
        <v>108</v>
      </c>
      <c r="L16" s="1">
        <f t="shared" si="2"/>
        <v>108</v>
      </c>
      <c r="M16" s="77"/>
      <c r="N16" s="77"/>
      <c r="O16" s="18" t="s">
        <v>36</v>
      </c>
      <c r="P16" s="18"/>
      <c r="R16" s="78"/>
      <c r="S16" s="23"/>
    </row>
    <row r="17" spans="1:19" s="31" customFormat="1" ht="13.2" customHeight="1" x14ac:dyDescent="0.3">
      <c r="A17" s="35">
        <v>7</v>
      </c>
      <c r="B17" s="64" t="s">
        <v>49</v>
      </c>
      <c r="C17" s="76" t="s">
        <v>45</v>
      </c>
      <c r="D17" s="63" t="s">
        <v>39</v>
      </c>
      <c r="E17" s="61">
        <v>2022</v>
      </c>
      <c r="F17" s="36">
        <v>46291</v>
      </c>
      <c r="G17" s="36">
        <v>46291</v>
      </c>
      <c r="H17" s="18"/>
      <c r="I17" s="18"/>
      <c r="J17" s="4"/>
      <c r="K17" s="1">
        <f t="shared" si="2"/>
        <v>20</v>
      </c>
      <c r="L17" s="1">
        <f t="shared" si="2"/>
        <v>20</v>
      </c>
      <c r="M17" s="18"/>
      <c r="N17" s="18"/>
      <c r="O17" s="18" t="s">
        <v>48</v>
      </c>
      <c r="P17" s="18"/>
      <c r="Q17" s="49"/>
      <c r="R17" s="78"/>
      <c r="S17" s="23"/>
    </row>
    <row r="18" spans="1:19" s="31" customFormat="1" ht="13.2" customHeight="1" x14ac:dyDescent="0.3">
      <c r="A18" s="35"/>
      <c r="B18" s="75"/>
      <c r="C18" s="76"/>
      <c r="D18" s="63"/>
      <c r="E18" s="61"/>
      <c r="F18" s="36"/>
      <c r="G18" s="36"/>
      <c r="H18" s="77"/>
      <c r="I18" s="77"/>
      <c r="J18" s="77"/>
      <c r="K18" s="1"/>
      <c r="L18" s="1"/>
      <c r="M18" s="77"/>
      <c r="N18" s="77"/>
      <c r="O18" s="18"/>
      <c r="P18" s="18"/>
      <c r="Q18" s="49"/>
      <c r="R18" s="78"/>
      <c r="S18" s="23"/>
    </row>
    <row r="19" spans="1:19" ht="35.25" customHeight="1" x14ac:dyDescent="0.3">
      <c r="A19" s="37"/>
      <c r="B19" s="11" t="s">
        <v>22</v>
      </c>
      <c r="C19" s="38"/>
      <c r="D19" s="59">
        <f>COUNT(A5:A18)</f>
        <v>7</v>
      </c>
      <c r="E19" s="39"/>
      <c r="F19" s="40"/>
      <c r="G19" s="40"/>
      <c r="H19" s="40"/>
      <c r="I19" s="40"/>
      <c r="J19" s="59">
        <v>1</v>
      </c>
      <c r="K19" s="38"/>
      <c r="L19" s="38"/>
      <c r="M19" s="38"/>
      <c r="N19" s="38"/>
      <c r="O19" s="38"/>
      <c r="P19" s="12"/>
      <c r="Q19" s="51"/>
      <c r="R19" s="51"/>
      <c r="S19" s="23"/>
    </row>
    <row r="20" spans="1:19" ht="15" customHeight="1" x14ac:dyDescent="0.3">
      <c r="A20" s="37"/>
      <c r="B20" s="15"/>
      <c r="C20" s="38"/>
      <c r="D20" s="55"/>
      <c r="E20" s="39"/>
      <c r="F20" s="40"/>
      <c r="G20" s="40"/>
      <c r="H20" s="40"/>
      <c r="I20" s="40"/>
      <c r="J20" s="41"/>
      <c r="K20" s="91" t="s">
        <v>29</v>
      </c>
      <c r="L20" s="92"/>
      <c r="M20" s="92"/>
      <c r="N20" s="92"/>
      <c r="O20" s="92"/>
      <c r="P20" s="93"/>
      <c r="Q20" s="51"/>
      <c r="R20" s="51"/>
      <c r="S20" s="23"/>
    </row>
    <row r="21" spans="1:19" ht="13.8" x14ac:dyDescent="0.25">
      <c r="A21" s="66"/>
      <c r="B21" s="68"/>
      <c r="C21" s="68"/>
      <c r="D21" s="68"/>
      <c r="E21" s="71"/>
      <c r="F21" s="36"/>
      <c r="G21" s="36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25">
      <c r="A22" s="66"/>
      <c r="B22" s="68"/>
      <c r="C22" s="68"/>
      <c r="D22" s="68"/>
      <c r="E22" s="71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3">
      <c r="A24" s="66"/>
      <c r="B24" s="69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2"/>
      <c r="D26" s="72"/>
      <c r="E26" s="73"/>
      <c r="F26" s="24"/>
      <c r="G26" s="24"/>
      <c r="H26" s="24"/>
      <c r="I26" s="24"/>
      <c r="J26" s="42"/>
      <c r="K26" s="1"/>
      <c r="L26" s="1"/>
      <c r="M26" s="1"/>
      <c r="N26" s="1"/>
      <c r="O26" s="57"/>
      <c r="P26" s="3"/>
      <c r="Q26" s="4"/>
      <c r="R26" s="1"/>
      <c r="S26" s="18"/>
    </row>
    <row r="27" spans="1:19" ht="13.8" x14ac:dyDescent="0.25">
      <c r="A27" s="66"/>
      <c r="B27" s="68"/>
      <c r="C27" s="74"/>
      <c r="D27" s="70"/>
      <c r="E27" s="71"/>
      <c r="F27" s="17"/>
      <c r="G27" s="17"/>
      <c r="H27" s="18"/>
      <c r="I27" s="18"/>
      <c r="J27" s="18"/>
      <c r="K27" s="19"/>
      <c r="L27" s="19"/>
      <c r="M27" s="18"/>
      <c r="N27" s="18"/>
      <c r="O27" s="57"/>
      <c r="P27" s="3"/>
      <c r="Q27" s="4"/>
      <c r="R27" s="1"/>
      <c r="S27" s="18"/>
    </row>
    <row r="28" spans="1:19" ht="13.8" x14ac:dyDescent="0.25">
      <c r="A28" s="66"/>
      <c r="B28" s="68"/>
      <c r="C28" s="68"/>
      <c r="D28" s="68"/>
      <c r="E28" s="7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  <row r="29" spans="1:19" ht="13.8" x14ac:dyDescent="0.25">
      <c r="A29" s="66"/>
      <c r="B29" s="67"/>
      <c r="C29" s="62"/>
      <c r="D29" s="62"/>
      <c r="E29" s="61"/>
      <c r="F29" s="36"/>
      <c r="G29" s="36"/>
      <c r="H29" s="24"/>
      <c r="I29" s="24"/>
      <c r="J29" s="42"/>
      <c r="K29" s="1"/>
      <c r="L29" s="1"/>
      <c r="M29" s="1"/>
      <c r="N29" s="1"/>
      <c r="O29" s="57"/>
      <c r="P29" s="3"/>
      <c r="Q29" s="4"/>
      <c r="R29" s="1"/>
      <c r="S29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3:O13"/>
    <mergeCell ref="J15:O15"/>
    <mergeCell ref="K20:P20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B1A1-8185-41C4-8629-CF7E3AD2E4BF}">
  <dimension ref="A1:T28"/>
  <sheetViews>
    <sheetView workbookViewId="0">
      <selection sqref="A1:XFD1048576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46312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8</v>
      </c>
      <c r="L5" s="1">
        <f t="shared" si="0"/>
        <v>8</v>
      </c>
      <c r="M5" s="77"/>
      <c r="N5" s="77"/>
      <c r="O5" s="18" t="s">
        <v>63</v>
      </c>
      <c r="P5" s="60" t="s">
        <v>81</v>
      </c>
      <c r="Q5" s="64" t="s">
        <v>38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7</v>
      </c>
      <c r="L6" s="1">
        <f t="shared" si="0"/>
        <v>7</v>
      </c>
      <c r="M6" s="77"/>
      <c r="N6" s="77"/>
      <c r="O6" s="18" t="s">
        <v>65</v>
      </c>
      <c r="P6" s="75" t="s">
        <v>75</v>
      </c>
      <c r="Q6" s="64" t="s">
        <v>34</v>
      </c>
      <c r="R6" s="64" t="s">
        <v>31</v>
      </c>
      <c r="S6" s="23"/>
    </row>
    <row r="7" spans="1:20" s="22" customFormat="1" ht="26.4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2</v>
      </c>
      <c r="L7" s="1">
        <f>$F$1-G7</f>
        <v>2</v>
      </c>
      <c r="M7" s="18"/>
      <c r="N7" s="18"/>
      <c r="O7" s="18" t="s">
        <v>83</v>
      </c>
      <c r="P7" s="64"/>
      <c r="Q7" s="75" t="s">
        <v>40</v>
      </c>
      <c r="R7" s="64" t="s">
        <v>27</v>
      </c>
      <c r="S7" s="20"/>
      <c r="T7" s="21"/>
    </row>
    <row r="8" spans="1:20" s="22" customFormat="1" ht="13.8" x14ac:dyDescent="0.25">
      <c r="A8" s="1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0"/>
      <c r="Q8" s="75" t="s">
        <v>44</v>
      </c>
      <c r="R8" s="64" t="s">
        <v>74</v>
      </c>
      <c r="S8" s="20"/>
      <c r="T8" s="21"/>
    </row>
    <row r="9" spans="1:20" s="22" customFormat="1" ht="13.8" x14ac:dyDescent="0.25">
      <c r="A9" s="1"/>
      <c r="B9" s="60"/>
      <c r="C9" s="76"/>
      <c r="D9" s="63"/>
      <c r="E9" s="61"/>
      <c r="F9" s="36"/>
      <c r="G9" s="36"/>
      <c r="H9" s="77"/>
      <c r="I9" s="77"/>
      <c r="J9" s="1"/>
      <c r="K9" s="1"/>
      <c r="L9" s="1"/>
      <c r="M9" s="77"/>
      <c r="N9" s="77"/>
      <c r="O9" s="18"/>
      <c r="P9" s="64"/>
      <c r="Q9" s="64" t="s">
        <v>37</v>
      </c>
      <c r="R9" s="75" t="s">
        <v>75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75"/>
      <c r="R10" s="64"/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3"/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4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6" si="1">$F$1-F15</f>
        <v>109</v>
      </c>
      <c r="L15" s="1">
        <f t="shared" si="1"/>
        <v>109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>
        <v>5</v>
      </c>
      <c r="B16" s="64" t="s">
        <v>49</v>
      </c>
      <c r="C16" s="76" t="s">
        <v>45</v>
      </c>
      <c r="D16" s="63" t="s">
        <v>39</v>
      </c>
      <c r="E16" s="61">
        <v>2022</v>
      </c>
      <c r="F16" s="36">
        <v>46291</v>
      </c>
      <c r="G16" s="36">
        <v>46291</v>
      </c>
      <c r="H16" s="18"/>
      <c r="I16" s="18"/>
      <c r="J16" s="4"/>
      <c r="K16" s="1">
        <f t="shared" si="1"/>
        <v>21</v>
      </c>
      <c r="L16" s="1">
        <f t="shared" si="1"/>
        <v>21</v>
      </c>
      <c r="M16" s="18"/>
      <c r="N16" s="18"/>
      <c r="O16" s="18" t="s">
        <v>48</v>
      </c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5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0806E-D6CF-486C-A4A2-FE677B891C4C}">
  <dimension ref="A1:T28"/>
  <sheetViews>
    <sheetView workbookViewId="0">
      <selection sqref="A1:XFD1048576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46313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9</v>
      </c>
      <c r="L5" s="1">
        <f t="shared" si="0"/>
        <v>9</v>
      </c>
      <c r="M5" s="77"/>
      <c r="N5" s="77"/>
      <c r="O5" s="18" t="s">
        <v>63</v>
      </c>
      <c r="P5" s="60"/>
      <c r="Q5" s="64" t="s">
        <v>34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8</v>
      </c>
      <c r="L6" s="1">
        <f t="shared" si="0"/>
        <v>8</v>
      </c>
      <c r="M6" s="77"/>
      <c r="N6" s="77"/>
      <c r="O6" s="18" t="s">
        <v>89</v>
      </c>
      <c r="P6" s="75"/>
      <c r="Q6" s="75" t="s">
        <v>44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3</v>
      </c>
      <c r="L7" s="1">
        <f>$F$1-G7</f>
        <v>3</v>
      </c>
      <c r="M7" s="18"/>
      <c r="N7" s="18"/>
      <c r="O7" s="18" t="s">
        <v>90</v>
      </c>
      <c r="P7" s="64"/>
      <c r="Q7" s="64" t="s">
        <v>37</v>
      </c>
      <c r="R7" s="64" t="s">
        <v>27</v>
      </c>
      <c r="S7" s="20"/>
      <c r="T7" s="21"/>
    </row>
    <row r="8" spans="1:20" s="22" customFormat="1" ht="13.8" x14ac:dyDescent="0.25">
      <c r="A8" s="1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0"/>
      <c r="Q8" s="75" t="s">
        <v>75</v>
      </c>
      <c r="R8" s="64" t="s">
        <v>85</v>
      </c>
      <c r="S8" s="20"/>
      <c r="T8" s="21"/>
    </row>
    <row r="9" spans="1:20" s="22" customFormat="1" ht="13.8" x14ac:dyDescent="0.25">
      <c r="A9" s="1"/>
      <c r="B9" s="60"/>
      <c r="C9" s="76"/>
      <c r="D9" s="63"/>
      <c r="E9" s="61"/>
      <c r="F9" s="36"/>
      <c r="G9" s="36"/>
      <c r="H9" s="77"/>
      <c r="I9" s="77"/>
      <c r="J9" s="1"/>
      <c r="K9" s="1"/>
      <c r="L9" s="1"/>
      <c r="M9" s="77"/>
      <c r="N9" s="77"/>
      <c r="O9" s="18"/>
      <c r="P9" s="64"/>
      <c r="Q9" s="64" t="s">
        <v>86</v>
      </c>
      <c r="R9" s="75" t="s">
        <v>88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75" t="s">
        <v>87</v>
      </c>
      <c r="R10" s="75"/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3"/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4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6" si="1">$F$1-F15</f>
        <v>110</v>
      </c>
      <c r="L15" s="1">
        <f t="shared" si="1"/>
        <v>110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>
        <v>5</v>
      </c>
      <c r="B16" s="64" t="s">
        <v>49</v>
      </c>
      <c r="C16" s="76" t="s">
        <v>45</v>
      </c>
      <c r="D16" s="63" t="s">
        <v>39</v>
      </c>
      <c r="E16" s="61">
        <v>2022</v>
      </c>
      <c r="F16" s="36">
        <v>46291</v>
      </c>
      <c r="G16" s="36">
        <v>46291</v>
      </c>
      <c r="H16" s="18"/>
      <c r="I16" s="18"/>
      <c r="J16" s="4"/>
      <c r="K16" s="1">
        <f t="shared" si="1"/>
        <v>22</v>
      </c>
      <c r="L16" s="1">
        <f t="shared" si="1"/>
        <v>22</v>
      </c>
      <c r="M16" s="18"/>
      <c r="N16" s="18"/>
      <c r="O16" s="18" t="s">
        <v>48</v>
      </c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5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F8E0-10A0-41FF-B0FF-53BC5143B8C7}">
  <dimension ref="A1:T28"/>
  <sheetViews>
    <sheetView workbookViewId="0">
      <selection sqref="A1:XFD1048576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46314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10</v>
      </c>
      <c r="L5" s="1">
        <f t="shared" si="0"/>
        <v>10</v>
      </c>
      <c r="M5" s="77"/>
      <c r="N5" s="77"/>
      <c r="O5" s="18" t="s">
        <v>63</v>
      </c>
      <c r="P5" s="60"/>
      <c r="Q5" s="64" t="s">
        <v>34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9</v>
      </c>
      <c r="L6" s="1">
        <f t="shared" si="0"/>
        <v>9</v>
      </c>
      <c r="M6" s="77"/>
      <c r="N6" s="77"/>
      <c r="O6" s="18" t="s">
        <v>89</v>
      </c>
      <c r="P6" s="75"/>
      <c r="Q6" s="75" t="s">
        <v>44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4</v>
      </c>
      <c r="L7" s="1">
        <f>$F$1-G7</f>
        <v>4</v>
      </c>
      <c r="M7" s="18"/>
      <c r="N7" s="18"/>
      <c r="O7" s="18" t="s">
        <v>90</v>
      </c>
      <c r="P7" s="64"/>
      <c r="Q7" s="64" t="s">
        <v>37</v>
      </c>
      <c r="R7" s="64" t="s">
        <v>27</v>
      </c>
      <c r="S7" s="20"/>
      <c r="T7" s="21"/>
    </row>
    <row r="8" spans="1:20" s="22" customFormat="1" ht="13.8" x14ac:dyDescent="0.25">
      <c r="A8" s="1">
        <v>4</v>
      </c>
      <c r="B8" s="63" t="s">
        <v>91</v>
      </c>
      <c r="C8" s="76" t="s">
        <v>77</v>
      </c>
      <c r="D8" s="63" t="s">
        <v>92</v>
      </c>
      <c r="E8" s="61">
        <v>2024</v>
      </c>
      <c r="F8" s="36">
        <v>46314</v>
      </c>
      <c r="G8" s="36">
        <v>46314</v>
      </c>
      <c r="H8" s="18"/>
      <c r="I8" s="18"/>
      <c r="J8" s="4"/>
      <c r="K8" s="1">
        <f>$F$1-F8</f>
        <v>0</v>
      </c>
      <c r="L8" s="1">
        <f>$F$1-G8</f>
        <v>0</v>
      </c>
      <c r="M8" s="18"/>
      <c r="N8" s="18"/>
      <c r="O8" s="18" t="s">
        <v>93</v>
      </c>
      <c r="P8" s="60"/>
      <c r="Q8" s="75" t="s">
        <v>87</v>
      </c>
      <c r="R8" s="64" t="s">
        <v>85</v>
      </c>
      <c r="S8" s="20"/>
      <c r="T8" s="21"/>
    </row>
    <row r="9" spans="1:20" s="22" customFormat="1" ht="13.8" x14ac:dyDescent="0.25">
      <c r="A9" s="1"/>
      <c r="B9" s="60"/>
      <c r="C9" s="76"/>
      <c r="D9" s="63"/>
      <c r="E9" s="61"/>
      <c r="F9" s="36"/>
      <c r="G9" s="36"/>
      <c r="H9" s="77"/>
      <c r="I9" s="77"/>
      <c r="J9" s="1"/>
      <c r="K9" s="1"/>
      <c r="L9" s="1"/>
      <c r="M9" s="77"/>
      <c r="N9" s="77"/>
      <c r="O9" s="18"/>
      <c r="P9" s="64"/>
      <c r="Q9" s="64" t="s">
        <v>86</v>
      </c>
      <c r="R9" s="75" t="s">
        <v>88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75"/>
      <c r="R10" s="75" t="s">
        <v>30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3"/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5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6" si="1">$F$1-F15</f>
        <v>111</v>
      </c>
      <c r="L15" s="1">
        <f t="shared" si="1"/>
        <v>111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>
        <v>6</v>
      </c>
      <c r="B16" s="64" t="s">
        <v>49</v>
      </c>
      <c r="C16" s="76" t="s">
        <v>45</v>
      </c>
      <c r="D16" s="63" t="s">
        <v>39</v>
      </c>
      <c r="E16" s="61">
        <v>2022</v>
      </c>
      <c r="F16" s="36">
        <v>46291</v>
      </c>
      <c r="G16" s="36">
        <v>46291</v>
      </c>
      <c r="H16" s="18"/>
      <c r="I16" s="18"/>
      <c r="J16" s="4"/>
      <c r="K16" s="1">
        <f t="shared" si="1"/>
        <v>23</v>
      </c>
      <c r="L16" s="1">
        <f t="shared" si="1"/>
        <v>23</v>
      </c>
      <c r="M16" s="18"/>
      <c r="N16" s="18"/>
      <c r="O16" s="18" t="s">
        <v>48</v>
      </c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6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9EE9-4B71-4473-AAA9-C8722CCBF67E}">
  <dimension ref="A1:T28"/>
  <sheetViews>
    <sheetView workbookViewId="0">
      <selection activeCell="O9" sqref="O9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46315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11</v>
      </c>
      <c r="L5" s="1">
        <f t="shared" si="0"/>
        <v>11</v>
      </c>
      <c r="M5" s="77"/>
      <c r="N5" s="77"/>
      <c r="O5" s="18" t="s">
        <v>63</v>
      </c>
      <c r="P5" s="60"/>
      <c r="Q5" s="64" t="s">
        <v>34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10</v>
      </c>
      <c r="L6" s="1">
        <f t="shared" si="0"/>
        <v>10</v>
      </c>
      <c r="M6" s="77"/>
      <c r="N6" s="77"/>
      <c r="O6" s="18" t="s">
        <v>89</v>
      </c>
      <c r="P6" s="75"/>
      <c r="Q6" s="75" t="s">
        <v>44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5</v>
      </c>
      <c r="L7" s="1">
        <f>$F$1-G7</f>
        <v>5</v>
      </c>
      <c r="M7" s="18"/>
      <c r="N7" s="18"/>
      <c r="O7" s="18" t="s">
        <v>90</v>
      </c>
      <c r="P7" s="64"/>
      <c r="Q7" s="64" t="s">
        <v>37</v>
      </c>
      <c r="R7" s="64" t="s">
        <v>27</v>
      </c>
      <c r="S7" s="20"/>
      <c r="T7" s="21"/>
    </row>
    <row r="8" spans="1:20" s="22" customFormat="1" ht="13.8" x14ac:dyDescent="0.25">
      <c r="A8" s="1"/>
      <c r="B8" s="64"/>
      <c r="C8" s="76"/>
      <c r="D8" s="63"/>
      <c r="E8" s="61"/>
      <c r="F8" s="36"/>
      <c r="G8" s="36"/>
      <c r="H8" s="18"/>
      <c r="I8" s="18"/>
      <c r="J8" s="4"/>
      <c r="K8" s="1"/>
      <c r="L8" s="1"/>
      <c r="M8" s="18"/>
      <c r="N8" s="18"/>
      <c r="O8" s="18"/>
      <c r="P8" s="60"/>
      <c r="Q8" s="75" t="s">
        <v>87</v>
      </c>
      <c r="R8" s="64" t="s">
        <v>85</v>
      </c>
      <c r="S8" s="20"/>
      <c r="T8" s="21"/>
    </row>
    <row r="9" spans="1:20" s="22" customFormat="1" ht="13.8" x14ac:dyDescent="0.25">
      <c r="A9" s="1"/>
      <c r="B9" s="60"/>
      <c r="C9" s="76"/>
      <c r="D9" s="63"/>
      <c r="E9" s="61"/>
      <c r="F9" s="36"/>
      <c r="G9" s="36"/>
      <c r="H9" s="77"/>
      <c r="I9" s="77"/>
      <c r="J9" s="1"/>
      <c r="K9" s="1"/>
      <c r="L9" s="1"/>
      <c r="M9" s="77"/>
      <c r="N9" s="77"/>
      <c r="O9" s="18"/>
      <c r="P9" s="64"/>
      <c r="Q9" s="64" t="s">
        <v>86</v>
      </c>
      <c r="R9" s="75" t="s">
        <v>88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64" t="s">
        <v>75</v>
      </c>
      <c r="R10" s="75" t="s">
        <v>30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3"/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5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6" si="1">$F$1-F15</f>
        <v>112</v>
      </c>
      <c r="L15" s="1">
        <f t="shared" si="1"/>
        <v>112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>
        <v>6</v>
      </c>
      <c r="B16" s="64" t="s">
        <v>49</v>
      </c>
      <c r="C16" s="76" t="s">
        <v>45</v>
      </c>
      <c r="D16" s="63" t="s">
        <v>39</v>
      </c>
      <c r="E16" s="61">
        <v>2022</v>
      </c>
      <c r="F16" s="36">
        <v>46291</v>
      </c>
      <c r="G16" s="36">
        <v>46291</v>
      </c>
      <c r="H16" s="18"/>
      <c r="I16" s="18"/>
      <c r="J16" s="4"/>
      <c r="K16" s="1">
        <f t="shared" si="1"/>
        <v>24</v>
      </c>
      <c r="L16" s="1">
        <f t="shared" si="1"/>
        <v>24</v>
      </c>
      <c r="M16" s="18"/>
      <c r="N16" s="18"/>
      <c r="O16" s="18" t="s">
        <v>48</v>
      </c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5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9D96-E357-495B-BA20-0544D97AAC38}">
  <dimension ref="A1:T28"/>
  <sheetViews>
    <sheetView workbookViewId="0">
      <selection sqref="A1:XFD1048576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46316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12</v>
      </c>
      <c r="L5" s="1">
        <f t="shared" si="0"/>
        <v>12</v>
      </c>
      <c r="M5" s="77"/>
      <c r="N5" s="77"/>
      <c r="O5" s="18" t="s">
        <v>63</v>
      </c>
      <c r="P5" s="60"/>
      <c r="Q5" s="64" t="s">
        <v>34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11</v>
      </c>
      <c r="L6" s="1">
        <f t="shared" si="0"/>
        <v>11</v>
      </c>
      <c r="M6" s="77"/>
      <c r="N6" s="77"/>
      <c r="O6" s="18" t="s">
        <v>89</v>
      </c>
      <c r="P6" s="75"/>
      <c r="Q6" s="75" t="s">
        <v>44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6</v>
      </c>
      <c r="L7" s="1">
        <f>$F$1-G7</f>
        <v>6</v>
      </c>
      <c r="M7" s="18"/>
      <c r="N7" s="18"/>
      <c r="O7" s="18" t="s">
        <v>90</v>
      </c>
      <c r="P7" s="64"/>
      <c r="Q7" s="64" t="s">
        <v>37</v>
      </c>
      <c r="R7" s="64" t="s">
        <v>27</v>
      </c>
      <c r="S7" s="20"/>
      <c r="T7" s="21"/>
    </row>
    <row r="8" spans="1:20" s="22" customFormat="1" ht="13.8" x14ac:dyDescent="0.25">
      <c r="A8" s="1">
        <v>4</v>
      </c>
      <c r="B8" s="64" t="s">
        <v>94</v>
      </c>
      <c r="C8" s="76" t="s">
        <v>45</v>
      </c>
      <c r="D8" s="63" t="s">
        <v>39</v>
      </c>
      <c r="E8" s="61">
        <v>2022</v>
      </c>
      <c r="F8" s="36">
        <v>46315</v>
      </c>
      <c r="G8" s="36">
        <v>46315</v>
      </c>
      <c r="H8" s="18"/>
      <c r="I8" s="18"/>
      <c r="J8" s="4"/>
      <c r="K8" s="1">
        <f t="shared" ref="K8:L8" si="1">$F$1-F8</f>
        <v>1</v>
      </c>
      <c r="L8" s="1">
        <f t="shared" si="1"/>
        <v>1</v>
      </c>
      <c r="M8" s="18"/>
      <c r="N8" s="18"/>
      <c r="O8" s="18" t="s">
        <v>95</v>
      </c>
      <c r="P8" s="60"/>
      <c r="Q8" s="75" t="s">
        <v>87</v>
      </c>
      <c r="R8" s="64" t="s">
        <v>49</v>
      </c>
      <c r="S8" s="20"/>
      <c r="T8" s="21"/>
    </row>
    <row r="9" spans="1:20" s="22" customFormat="1" ht="13.8" x14ac:dyDescent="0.25">
      <c r="A9" s="1"/>
      <c r="B9" s="60"/>
      <c r="C9" s="76"/>
      <c r="D9" s="63"/>
      <c r="E9" s="61"/>
      <c r="F9" s="36"/>
      <c r="G9" s="36"/>
      <c r="H9" s="77"/>
      <c r="I9" s="77"/>
      <c r="J9" s="1"/>
      <c r="K9" s="1"/>
      <c r="L9" s="1"/>
      <c r="M9" s="77"/>
      <c r="N9" s="77"/>
      <c r="O9" s="18"/>
      <c r="P9" s="64"/>
      <c r="Q9" s="64" t="s">
        <v>86</v>
      </c>
      <c r="R9" s="75" t="s">
        <v>88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64" t="s">
        <v>75</v>
      </c>
      <c r="R10" s="75" t="s">
        <v>30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3"/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5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5" si="2">$F$1-F15</f>
        <v>113</v>
      </c>
      <c r="L15" s="1">
        <f t="shared" si="2"/>
        <v>113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/>
      <c r="B16" s="64"/>
      <c r="C16" s="76"/>
      <c r="D16" s="63"/>
      <c r="E16" s="61"/>
      <c r="F16" s="36"/>
      <c r="G16" s="36"/>
      <c r="H16" s="18"/>
      <c r="I16" s="18"/>
      <c r="J16" s="4"/>
      <c r="K16" s="1"/>
      <c r="L16" s="1"/>
      <c r="M16" s="18"/>
      <c r="N16" s="18"/>
      <c r="O16" s="18"/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5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9F74-DC3A-412F-937E-7CB3953673A7}">
  <dimension ref="A1:T28"/>
  <sheetViews>
    <sheetView workbookViewId="0">
      <selection sqref="A1:XFD1048576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46318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14</v>
      </c>
      <c r="L5" s="1">
        <f t="shared" si="0"/>
        <v>14</v>
      </c>
      <c r="M5" s="77"/>
      <c r="N5" s="77"/>
      <c r="O5" s="18" t="s">
        <v>63</v>
      </c>
      <c r="P5" s="60"/>
      <c r="Q5" s="64" t="s">
        <v>34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13</v>
      </c>
      <c r="L6" s="1">
        <f t="shared" si="0"/>
        <v>13</v>
      </c>
      <c r="M6" s="77"/>
      <c r="N6" s="77"/>
      <c r="O6" s="18" t="s">
        <v>89</v>
      </c>
      <c r="P6" s="75"/>
      <c r="Q6" s="75" t="s">
        <v>44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8</v>
      </c>
      <c r="L7" s="1">
        <f>$F$1-G7</f>
        <v>8</v>
      </c>
      <c r="M7" s="18"/>
      <c r="N7" s="18"/>
      <c r="O7" s="18" t="s">
        <v>90</v>
      </c>
      <c r="P7" s="64"/>
      <c r="Q7" s="64" t="s">
        <v>37</v>
      </c>
      <c r="R7" s="64" t="s">
        <v>27</v>
      </c>
      <c r="S7" s="20"/>
      <c r="T7" s="21"/>
    </row>
    <row r="8" spans="1:20" s="22" customFormat="1" ht="13.8" x14ac:dyDescent="0.25">
      <c r="A8" s="1">
        <v>4</v>
      </c>
      <c r="B8" s="64" t="s">
        <v>94</v>
      </c>
      <c r="C8" s="76" t="s">
        <v>45</v>
      </c>
      <c r="D8" s="63" t="s">
        <v>39</v>
      </c>
      <c r="E8" s="61">
        <v>2022</v>
      </c>
      <c r="F8" s="36">
        <v>46315</v>
      </c>
      <c r="G8" s="36">
        <v>46315</v>
      </c>
      <c r="H8" s="18"/>
      <c r="I8" s="18"/>
      <c r="J8" s="4"/>
      <c r="K8" s="1">
        <f t="shared" ref="K8:L8" si="1">$F$1-F8</f>
        <v>3</v>
      </c>
      <c r="L8" s="1">
        <f t="shared" si="1"/>
        <v>3</v>
      </c>
      <c r="M8" s="18"/>
      <c r="N8" s="18"/>
      <c r="O8" s="18" t="s">
        <v>98</v>
      </c>
      <c r="P8" s="60"/>
      <c r="Q8" s="75" t="s">
        <v>87</v>
      </c>
      <c r="R8" s="75" t="s">
        <v>30</v>
      </c>
      <c r="S8" s="20"/>
      <c r="T8" s="21"/>
    </row>
    <row r="9" spans="1:20" s="22" customFormat="1" ht="13.8" x14ac:dyDescent="0.25">
      <c r="A9" s="1">
        <v>5</v>
      </c>
      <c r="B9" s="64" t="s">
        <v>96</v>
      </c>
      <c r="C9" s="76" t="s">
        <v>45</v>
      </c>
      <c r="D9" s="63" t="s">
        <v>39</v>
      </c>
      <c r="E9" s="61">
        <v>2022</v>
      </c>
      <c r="F9" s="36">
        <v>46318</v>
      </c>
      <c r="G9" s="36">
        <v>46318</v>
      </c>
      <c r="H9" s="18"/>
      <c r="I9" s="18"/>
      <c r="J9" s="4"/>
      <c r="K9" s="1">
        <f t="shared" ref="K9" si="2">$F$1-F9</f>
        <v>0</v>
      </c>
      <c r="L9" s="1">
        <f t="shared" ref="L9" si="3">$F$1-G9</f>
        <v>0</v>
      </c>
      <c r="M9" s="18"/>
      <c r="N9" s="18"/>
      <c r="O9" s="18" t="s">
        <v>97</v>
      </c>
      <c r="P9" s="64"/>
      <c r="Q9" s="64" t="s">
        <v>86</v>
      </c>
      <c r="R9" s="75" t="s">
        <v>88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64" t="s">
        <v>75</v>
      </c>
      <c r="R10" s="75"/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3"/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6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5" si="4">$F$1-F15</f>
        <v>115</v>
      </c>
      <c r="L15" s="1">
        <f t="shared" si="4"/>
        <v>115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/>
      <c r="B16" s="64"/>
      <c r="C16" s="76"/>
      <c r="D16" s="63"/>
      <c r="E16" s="61"/>
      <c r="F16" s="36"/>
      <c r="G16" s="36"/>
      <c r="H16" s="18"/>
      <c r="I16" s="18"/>
      <c r="J16" s="4"/>
      <c r="K16" s="1"/>
      <c r="L16" s="1"/>
      <c r="M16" s="18"/>
      <c r="N16" s="18"/>
      <c r="O16" s="18"/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6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F963-3638-4BD4-8A81-9DF4BE902879}">
  <dimension ref="A1:T28"/>
  <sheetViews>
    <sheetView workbookViewId="0">
      <selection sqref="A1:XFD1048576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46318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14</v>
      </c>
      <c r="L5" s="1">
        <f t="shared" si="0"/>
        <v>14</v>
      </c>
      <c r="M5" s="77"/>
      <c r="N5" s="77"/>
      <c r="O5" s="18" t="s">
        <v>63</v>
      </c>
      <c r="P5" s="60"/>
      <c r="Q5" s="64" t="s">
        <v>34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13</v>
      </c>
      <c r="L6" s="1">
        <f t="shared" si="0"/>
        <v>13</v>
      </c>
      <c r="M6" s="77"/>
      <c r="N6" s="77"/>
      <c r="O6" s="18" t="s">
        <v>89</v>
      </c>
      <c r="P6" s="75"/>
      <c r="Q6" s="75" t="s">
        <v>44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8</v>
      </c>
      <c r="L7" s="1">
        <f>$F$1-G7</f>
        <v>8</v>
      </c>
      <c r="M7" s="18"/>
      <c r="N7" s="18"/>
      <c r="O7" s="18" t="s">
        <v>90</v>
      </c>
      <c r="P7" s="64"/>
      <c r="Q7" s="64" t="s">
        <v>37</v>
      </c>
      <c r="R7" s="64" t="s">
        <v>27</v>
      </c>
      <c r="S7" s="20"/>
      <c r="T7" s="21"/>
    </row>
    <row r="8" spans="1:20" s="22" customFormat="1" ht="13.8" x14ac:dyDescent="0.25">
      <c r="A8" s="1">
        <v>4</v>
      </c>
      <c r="B8" s="64" t="s">
        <v>94</v>
      </c>
      <c r="C8" s="76" t="s">
        <v>45</v>
      </c>
      <c r="D8" s="63" t="s">
        <v>39</v>
      </c>
      <c r="E8" s="61">
        <v>2022</v>
      </c>
      <c r="F8" s="36">
        <v>46315</v>
      </c>
      <c r="G8" s="36">
        <v>46315</v>
      </c>
      <c r="H8" s="18"/>
      <c r="I8" s="18"/>
      <c r="J8" s="4"/>
      <c r="K8" s="1">
        <f t="shared" ref="K8:L9" si="1">$F$1-F8</f>
        <v>3</v>
      </c>
      <c r="L8" s="1">
        <f t="shared" si="1"/>
        <v>3</v>
      </c>
      <c r="M8" s="18"/>
      <c r="N8" s="18"/>
      <c r="O8" s="18" t="s">
        <v>98</v>
      </c>
      <c r="P8" s="60"/>
      <c r="Q8" s="75" t="s">
        <v>87</v>
      </c>
      <c r="R8" s="75" t="s">
        <v>30</v>
      </c>
      <c r="S8" s="20"/>
      <c r="T8" s="21"/>
    </row>
    <row r="9" spans="1:20" s="22" customFormat="1" ht="13.8" x14ac:dyDescent="0.25">
      <c r="A9" s="1">
        <v>5</v>
      </c>
      <c r="B9" s="64" t="s">
        <v>96</v>
      </c>
      <c r="C9" s="76" t="s">
        <v>45</v>
      </c>
      <c r="D9" s="63" t="s">
        <v>39</v>
      </c>
      <c r="E9" s="61">
        <v>2022</v>
      </c>
      <c r="F9" s="36">
        <v>46318</v>
      </c>
      <c r="G9" s="36">
        <v>46318</v>
      </c>
      <c r="H9" s="18"/>
      <c r="I9" s="18"/>
      <c r="J9" s="4"/>
      <c r="K9" s="1">
        <f t="shared" si="1"/>
        <v>0</v>
      </c>
      <c r="L9" s="1">
        <f t="shared" si="1"/>
        <v>0</v>
      </c>
      <c r="M9" s="18"/>
      <c r="N9" s="18"/>
      <c r="O9" s="18" t="s">
        <v>97</v>
      </c>
      <c r="P9" s="64"/>
      <c r="Q9" s="64" t="s">
        <v>86</v>
      </c>
      <c r="R9" s="75" t="s">
        <v>88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64" t="s">
        <v>75</v>
      </c>
      <c r="R10" s="75"/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3"/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6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5" si="2">$F$1-F15</f>
        <v>115</v>
      </c>
      <c r="L15" s="1">
        <f t="shared" si="2"/>
        <v>115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/>
      <c r="B16" s="64"/>
      <c r="C16" s="76"/>
      <c r="D16" s="63"/>
      <c r="E16" s="61"/>
      <c r="F16" s="36"/>
      <c r="G16" s="36"/>
      <c r="H16" s="18"/>
      <c r="I16" s="18"/>
      <c r="J16" s="4"/>
      <c r="K16" s="1"/>
      <c r="L16" s="1"/>
      <c r="M16" s="18"/>
      <c r="N16" s="18"/>
      <c r="O16" s="18"/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6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DDBB-27CA-46F6-A3B4-8153958DC526}">
  <dimension ref="A1:T28"/>
  <sheetViews>
    <sheetView workbookViewId="0">
      <selection sqref="A1:XFD1048576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46319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/>
      <c r="K5" s="1">
        <f t="shared" ref="K5:L6" si="0">$F$1-F5</f>
        <v>15</v>
      </c>
      <c r="L5" s="1">
        <f t="shared" si="0"/>
        <v>15</v>
      </c>
      <c r="M5" s="77"/>
      <c r="N5" s="77"/>
      <c r="O5" s="18" t="s">
        <v>63</v>
      </c>
      <c r="P5" s="60"/>
      <c r="Q5" s="64" t="s">
        <v>34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14</v>
      </c>
      <c r="L6" s="1">
        <f t="shared" si="0"/>
        <v>14</v>
      </c>
      <c r="M6" s="77"/>
      <c r="N6" s="77"/>
      <c r="O6" s="18" t="s">
        <v>89</v>
      </c>
      <c r="P6" s="75"/>
      <c r="Q6" s="75" t="s">
        <v>44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9</v>
      </c>
      <c r="L7" s="1">
        <f>$F$1-G7</f>
        <v>9</v>
      </c>
      <c r="M7" s="18"/>
      <c r="N7" s="18"/>
      <c r="O7" s="18" t="s">
        <v>90</v>
      </c>
      <c r="P7" s="64"/>
      <c r="Q7" s="64" t="s">
        <v>37</v>
      </c>
      <c r="R7" s="64" t="s">
        <v>27</v>
      </c>
      <c r="S7" s="20"/>
      <c r="T7" s="21"/>
    </row>
    <row r="8" spans="1:20" s="22" customFormat="1" ht="13.8" x14ac:dyDescent="0.25">
      <c r="A8" s="1"/>
      <c r="B8" s="64"/>
      <c r="C8" s="76"/>
      <c r="D8" s="63"/>
      <c r="E8" s="61"/>
      <c r="F8" s="36"/>
      <c r="G8" s="36"/>
      <c r="H8" s="18"/>
      <c r="I8" s="18"/>
      <c r="J8" s="4"/>
      <c r="K8" s="1"/>
      <c r="L8" s="1"/>
      <c r="M8" s="18"/>
      <c r="N8" s="18"/>
      <c r="O8" s="18"/>
      <c r="P8" s="60"/>
      <c r="Q8" s="75" t="s">
        <v>87</v>
      </c>
      <c r="R8" s="75" t="s">
        <v>30</v>
      </c>
      <c r="S8" s="20"/>
      <c r="T8" s="21"/>
    </row>
    <row r="9" spans="1:20" s="22" customFormat="1" ht="13.8" x14ac:dyDescent="0.25">
      <c r="A9" s="1"/>
      <c r="B9" s="64"/>
      <c r="C9" s="76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64" t="s">
        <v>86</v>
      </c>
      <c r="R9" s="75" t="s">
        <v>88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64" t="s">
        <v>75</v>
      </c>
      <c r="R10" s="64" t="s">
        <v>49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4" t="s">
        <v>85</v>
      </c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4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5" si="1">$F$1-F15</f>
        <v>116</v>
      </c>
      <c r="L15" s="1">
        <f t="shared" si="1"/>
        <v>116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/>
      <c r="B16" s="64"/>
      <c r="C16" s="76"/>
      <c r="D16" s="63"/>
      <c r="E16" s="61"/>
      <c r="F16" s="36"/>
      <c r="G16" s="36"/>
      <c r="H16" s="18"/>
      <c r="I16" s="18"/>
      <c r="J16" s="4"/>
      <c r="K16" s="1"/>
      <c r="L16" s="1"/>
      <c r="M16" s="18"/>
      <c r="N16" s="18"/>
      <c r="O16" s="18"/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4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A811-45F6-4C4C-A872-4B550F295BB5}">
  <dimension ref="A1:T28"/>
  <sheetViews>
    <sheetView tabSelected="1" workbookViewId="0">
      <selection activeCell="J14" sqref="J14:O14"/>
    </sheetView>
  </sheetViews>
  <sheetFormatPr defaultColWidth="9.109375" defaultRowHeight="13.2" x14ac:dyDescent="0.3"/>
  <cols>
    <col min="1" max="1" width="4" style="43" customWidth="1"/>
    <col min="2" max="2" width="15" style="44" customWidth="1"/>
    <col min="3" max="3" width="16.6640625" style="31" customWidth="1"/>
    <col min="4" max="4" width="12.88671875" style="56" customWidth="1"/>
    <col min="5" max="5" width="10.33203125" style="45" customWidth="1"/>
    <col min="6" max="6" width="12.109375" style="46" customWidth="1"/>
    <col min="7" max="7" width="13.6640625" style="46" customWidth="1"/>
    <col min="8" max="8" width="10.44140625" style="46" customWidth="1"/>
    <col min="9" max="9" width="10.33203125" style="46" customWidth="1"/>
    <col min="10" max="10" width="13.109375" style="47" customWidth="1"/>
    <col min="11" max="11" width="7.33203125" style="43" customWidth="1"/>
    <col min="12" max="12" width="11.33203125" style="43" customWidth="1"/>
    <col min="13" max="13" width="10.5546875" style="43" customWidth="1"/>
    <col min="14" max="14" width="7.33203125" style="43" customWidth="1"/>
    <col min="15" max="15" width="65.6640625" style="31" customWidth="1"/>
    <col min="16" max="16" width="12.88671875" style="31" customWidth="1"/>
    <col min="17" max="17" width="14" style="45" customWidth="1"/>
    <col min="18" max="18" width="14.33203125" style="43" customWidth="1"/>
    <col min="19" max="19" width="32.109375" style="7" customWidth="1"/>
    <col min="20" max="16384" width="9.109375" style="8"/>
  </cols>
  <sheetData>
    <row r="1" spans="1:20" x14ac:dyDescent="0.3">
      <c r="A1" s="1"/>
      <c r="B1" s="2"/>
      <c r="C1" s="3"/>
      <c r="D1" s="52"/>
      <c r="E1" s="4"/>
      <c r="F1" s="100">
        <v>46320</v>
      </c>
      <c r="G1" s="101"/>
      <c r="H1" s="101"/>
      <c r="I1" s="101"/>
      <c r="J1" s="5"/>
      <c r="K1" s="1"/>
      <c r="L1" s="1"/>
      <c r="M1" s="1"/>
      <c r="N1" s="1"/>
      <c r="O1" s="3"/>
      <c r="P1" s="3"/>
      <c r="Q1" s="4"/>
      <c r="R1" s="6"/>
    </row>
    <row r="2" spans="1:20" s="9" customFormat="1" ht="11.25" customHeight="1" x14ac:dyDescent="0.3">
      <c r="A2" s="94" t="s">
        <v>0</v>
      </c>
      <c r="B2" s="102" t="s">
        <v>1</v>
      </c>
      <c r="C2" s="94" t="s">
        <v>2</v>
      </c>
      <c r="D2" s="104" t="s">
        <v>3</v>
      </c>
      <c r="E2" s="94" t="s">
        <v>4</v>
      </c>
      <c r="F2" s="106" t="s">
        <v>5</v>
      </c>
      <c r="G2" s="108" t="s">
        <v>6</v>
      </c>
      <c r="H2" s="108" t="s">
        <v>16</v>
      </c>
      <c r="I2" s="108" t="s">
        <v>17</v>
      </c>
      <c r="J2" s="94" t="s">
        <v>7</v>
      </c>
      <c r="K2" s="96" t="s">
        <v>8</v>
      </c>
      <c r="L2" s="97"/>
      <c r="M2" s="97"/>
      <c r="N2" s="97"/>
      <c r="O2" s="94" t="s">
        <v>9</v>
      </c>
      <c r="P2" s="98" t="s">
        <v>10</v>
      </c>
      <c r="Q2" s="98" t="s">
        <v>11</v>
      </c>
      <c r="R2" s="98"/>
      <c r="S2" s="86" t="s">
        <v>12</v>
      </c>
    </row>
    <row r="3" spans="1:20" s="9" customFormat="1" ht="59.25" customHeight="1" x14ac:dyDescent="0.3">
      <c r="A3" s="95"/>
      <c r="B3" s="103"/>
      <c r="C3" s="95"/>
      <c r="D3" s="105"/>
      <c r="E3" s="95"/>
      <c r="F3" s="107"/>
      <c r="G3" s="109"/>
      <c r="H3" s="109"/>
      <c r="I3" s="109"/>
      <c r="J3" s="95"/>
      <c r="K3" s="48" t="s">
        <v>13</v>
      </c>
      <c r="L3" s="48" t="s">
        <v>18</v>
      </c>
      <c r="M3" s="48" t="s">
        <v>19</v>
      </c>
      <c r="N3" s="48" t="s">
        <v>14</v>
      </c>
      <c r="O3" s="95"/>
      <c r="P3" s="99"/>
      <c r="Q3" s="99"/>
      <c r="R3" s="99"/>
      <c r="S3" s="87"/>
    </row>
    <row r="4" spans="1:20" s="7" customFormat="1" x14ac:dyDescent="0.3">
      <c r="A4" s="10"/>
      <c r="B4" s="11"/>
      <c r="C4" s="12"/>
      <c r="D4" s="53"/>
      <c r="E4" s="10"/>
      <c r="F4" s="13"/>
      <c r="G4" s="13"/>
      <c r="H4" s="13"/>
      <c r="I4" s="13"/>
      <c r="J4" s="14"/>
      <c r="K4" s="10"/>
      <c r="L4" s="10"/>
      <c r="M4" s="10"/>
      <c r="N4" s="10"/>
      <c r="O4" s="15" t="s">
        <v>23</v>
      </c>
      <c r="P4" s="10"/>
      <c r="Q4" s="16"/>
      <c r="R4" s="16"/>
      <c r="S4" s="4"/>
    </row>
    <row r="5" spans="1:20" s="22" customFormat="1" ht="13.8" x14ac:dyDescent="0.25">
      <c r="A5" s="1">
        <v>1</v>
      </c>
      <c r="B5" s="64" t="s">
        <v>59</v>
      </c>
      <c r="C5" s="76" t="s">
        <v>60</v>
      </c>
      <c r="D5" s="63" t="s">
        <v>61</v>
      </c>
      <c r="E5" s="61">
        <v>2006</v>
      </c>
      <c r="F5" s="36">
        <v>46304</v>
      </c>
      <c r="G5" s="36">
        <v>46304</v>
      </c>
      <c r="H5" s="77"/>
      <c r="I5" s="77"/>
      <c r="J5" s="1">
        <v>1</v>
      </c>
      <c r="K5" s="1">
        <f t="shared" ref="K5:L6" si="0">$F$1-F5</f>
        <v>16</v>
      </c>
      <c r="L5" s="1">
        <f t="shared" si="0"/>
        <v>16</v>
      </c>
      <c r="M5" s="77"/>
      <c r="N5" s="77"/>
      <c r="O5" s="18" t="s">
        <v>63</v>
      </c>
      <c r="P5" s="60"/>
      <c r="Q5" s="64" t="s">
        <v>34</v>
      </c>
      <c r="R5" s="68" t="s">
        <v>28</v>
      </c>
      <c r="S5" s="20"/>
      <c r="T5" s="21"/>
    </row>
    <row r="6" spans="1:20" s="7" customFormat="1" ht="13.8" x14ac:dyDescent="0.3">
      <c r="A6" s="1">
        <v>2</v>
      </c>
      <c r="B6" s="64" t="s">
        <v>64</v>
      </c>
      <c r="C6" s="76" t="s">
        <v>46</v>
      </c>
      <c r="D6" s="63" t="s">
        <v>47</v>
      </c>
      <c r="E6" s="61">
        <v>2018</v>
      </c>
      <c r="F6" s="36">
        <v>46305</v>
      </c>
      <c r="G6" s="36">
        <v>46305</v>
      </c>
      <c r="H6" s="77"/>
      <c r="I6" s="77"/>
      <c r="J6" s="1"/>
      <c r="K6" s="1">
        <f t="shared" si="0"/>
        <v>15</v>
      </c>
      <c r="L6" s="1">
        <f t="shared" si="0"/>
        <v>15</v>
      </c>
      <c r="M6" s="77"/>
      <c r="N6" s="77"/>
      <c r="O6" s="18" t="s">
        <v>89</v>
      </c>
      <c r="P6" s="75"/>
      <c r="Q6" s="75" t="s">
        <v>44</v>
      </c>
      <c r="R6" s="64" t="s">
        <v>31</v>
      </c>
      <c r="S6" s="23"/>
    </row>
    <row r="7" spans="1:20" s="22" customFormat="1" ht="13.8" x14ac:dyDescent="0.25">
      <c r="A7" s="1">
        <v>3</v>
      </c>
      <c r="B7" s="64" t="s">
        <v>84</v>
      </c>
      <c r="C7" s="76" t="s">
        <v>46</v>
      </c>
      <c r="D7" s="63" t="s">
        <v>47</v>
      </c>
      <c r="E7" s="61">
        <v>2020</v>
      </c>
      <c r="F7" s="36">
        <v>46310</v>
      </c>
      <c r="G7" s="36">
        <v>46310</v>
      </c>
      <c r="H7" s="18"/>
      <c r="I7" s="18"/>
      <c r="J7" s="4"/>
      <c r="K7" s="1">
        <f>$F$1-F7</f>
        <v>10</v>
      </c>
      <c r="L7" s="1">
        <f>$F$1-G7</f>
        <v>10</v>
      </c>
      <c r="M7" s="18"/>
      <c r="N7" s="18"/>
      <c r="O7" s="18" t="s">
        <v>90</v>
      </c>
      <c r="P7" s="64"/>
      <c r="Q7" s="64" t="s">
        <v>37</v>
      </c>
      <c r="R7" s="64" t="s">
        <v>27</v>
      </c>
      <c r="S7" s="20"/>
      <c r="T7" s="21"/>
    </row>
    <row r="8" spans="1:20" s="22" customFormat="1" ht="13.8" x14ac:dyDescent="0.25">
      <c r="A8" s="1"/>
      <c r="B8" s="64"/>
      <c r="C8" s="76"/>
      <c r="D8" s="63"/>
      <c r="E8" s="61"/>
      <c r="F8" s="36"/>
      <c r="G8" s="36"/>
      <c r="H8" s="18"/>
      <c r="I8" s="18"/>
      <c r="J8" s="4"/>
      <c r="K8" s="1"/>
      <c r="L8" s="1"/>
      <c r="M8" s="18"/>
      <c r="N8" s="18"/>
      <c r="O8" s="18"/>
      <c r="P8" s="60"/>
      <c r="Q8" s="75" t="s">
        <v>87</v>
      </c>
      <c r="R8" s="75" t="s">
        <v>30</v>
      </c>
      <c r="S8" s="20"/>
      <c r="T8" s="21"/>
    </row>
    <row r="9" spans="1:20" s="22" customFormat="1" ht="13.8" x14ac:dyDescent="0.25">
      <c r="A9" s="1"/>
      <c r="B9" s="64"/>
      <c r="C9" s="76"/>
      <c r="D9" s="63"/>
      <c r="E9" s="61"/>
      <c r="F9" s="36"/>
      <c r="G9" s="36"/>
      <c r="H9" s="18"/>
      <c r="I9" s="18"/>
      <c r="J9" s="4"/>
      <c r="K9" s="1"/>
      <c r="L9" s="1"/>
      <c r="M9" s="18"/>
      <c r="N9" s="18"/>
      <c r="O9" s="18"/>
      <c r="P9" s="64"/>
      <c r="Q9" s="64" t="s">
        <v>86</v>
      </c>
      <c r="R9" s="75" t="s">
        <v>88</v>
      </c>
      <c r="S9" s="20"/>
      <c r="T9" s="21"/>
    </row>
    <row r="10" spans="1:20" s="22" customFormat="1" ht="13.8" x14ac:dyDescent="0.25">
      <c r="A10" s="1"/>
      <c r="B10" s="64"/>
      <c r="C10" s="76"/>
      <c r="D10" s="63"/>
      <c r="E10" s="61"/>
      <c r="F10" s="36"/>
      <c r="G10" s="36"/>
      <c r="H10" s="18"/>
      <c r="I10" s="18"/>
      <c r="J10" s="4"/>
      <c r="K10" s="1"/>
      <c r="L10" s="1"/>
      <c r="M10" s="18"/>
      <c r="N10" s="18"/>
      <c r="O10" s="18"/>
      <c r="P10" s="65"/>
      <c r="Q10" s="64" t="s">
        <v>75</v>
      </c>
      <c r="R10" s="64" t="s">
        <v>49</v>
      </c>
      <c r="S10" s="20"/>
      <c r="T10" s="21"/>
    </row>
    <row r="11" spans="1:20" s="22" customFormat="1" ht="13.8" x14ac:dyDescent="0.25">
      <c r="A11" s="1"/>
      <c r="B11" s="64"/>
      <c r="C11" s="76"/>
      <c r="D11" s="63"/>
      <c r="E11" s="61"/>
      <c r="F11" s="36"/>
      <c r="G11" s="36"/>
      <c r="H11" s="18"/>
      <c r="I11" s="18"/>
      <c r="J11" s="35"/>
      <c r="K11" s="82"/>
      <c r="L11" s="82"/>
      <c r="M11" s="83"/>
      <c r="N11" s="83"/>
      <c r="O11" s="84"/>
      <c r="P11" s="65"/>
      <c r="Q11" s="64"/>
      <c r="R11" s="64"/>
      <c r="S11" s="20"/>
      <c r="T11" s="21"/>
    </row>
    <row r="12" spans="1:20" s="22" customFormat="1" ht="15.6" customHeight="1" x14ac:dyDescent="0.25">
      <c r="A12" s="25"/>
      <c r="B12" s="26"/>
      <c r="C12" s="27"/>
      <c r="D12" s="54"/>
      <c r="E12" s="25"/>
      <c r="F12" s="28"/>
      <c r="G12" s="28"/>
      <c r="H12" s="28"/>
      <c r="I12" s="28"/>
      <c r="J12" s="88" t="s">
        <v>20</v>
      </c>
      <c r="K12" s="89"/>
      <c r="L12" s="89"/>
      <c r="M12" s="89"/>
      <c r="N12" s="89"/>
      <c r="O12" s="90"/>
      <c r="P12" s="27"/>
      <c r="Q12" s="29"/>
      <c r="R12" s="30"/>
      <c r="S12" s="20"/>
      <c r="T12" s="21"/>
    </row>
    <row r="13" spans="1:20" s="31" customFormat="1" ht="13.8" x14ac:dyDescent="0.25">
      <c r="A13" s="4"/>
      <c r="B13" s="79"/>
      <c r="C13" s="80"/>
      <c r="D13" s="80"/>
      <c r="E13" s="81"/>
      <c r="F13" s="36"/>
      <c r="G13" s="36"/>
      <c r="H13" s="18"/>
      <c r="I13" s="36"/>
      <c r="J13" s="4"/>
      <c r="K13" s="1"/>
      <c r="L13" s="1"/>
      <c r="M13" s="18"/>
      <c r="N13" s="1"/>
      <c r="O13" s="63"/>
      <c r="P13" s="18"/>
      <c r="R13" s="50"/>
      <c r="S13" s="60"/>
    </row>
    <row r="14" spans="1:20" s="7" customFormat="1" x14ac:dyDescent="0.3">
      <c r="A14" s="25"/>
      <c r="B14" s="32"/>
      <c r="C14" s="32"/>
      <c r="D14" s="54" t="s">
        <v>15</v>
      </c>
      <c r="E14" s="25"/>
      <c r="F14" s="33"/>
      <c r="G14" s="33"/>
      <c r="H14" s="33"/>
      <c r="I14" s="33"/>
      <c r="J14" s="88" t="s">
        <v>21</v>
      </c>
      <c r="K14" s="89"/>
      <c r="L14" s="89"/>
      <c r="M14" s="89"/>
      <c r="N14" s="89"/>
      <c r="O14" s="90"/>
      <c r="P14" s="27"/>
      <c r="Q14" s="29"/>
      <c r="R14" s="34"/>
      <c r="S14" s="23"/>
      <c r="T14" s="58"/>
    </row>
    <row r="15" spans="1:20" s="31" customFormat="1" ht="13.2" customHeight="1" x14ac:dyDescent="0.3">
      <c r="A15" s="35">
        <v>4</v>
      </c>
      <c r="B15" s="75" t="s">
        <v>33</v>
      </c>
      <c r="C15" s="76" t="s">
        <v>25</v>
      </c>
      <c r="D15" s="63" t="s">
        <v>26</v>
      </c>
      <c r="E15" s="61">
        <v>2024</v>
      </c>
      <c r="F15" s="36">
        <v>46203</v>
      </c>
      <c r="G15" s="36">
        <v>46203</v>
      </c>
      <c r="H15" s="77"/>
      <c r="I15" s="77"/>
      <c r="J15" s="77"/>
      <c r="K15" s="1">
        <f t="shared" ref="K15:L15" si="1">$F$1-F15</f>
        <v>117</v>
      </c>
      <c r="L15" s="1">
        <f t="shared" si="1"/>
        <v>117</v>
      </c>
      <c r="M15" s="77"/>
      <c r="N15" s="77"/>
      <c r="O15" s="18" t="s">
        <v>36</v>
      </c>
      <c r="P15" s="18"/>
      <c r="R15" s="78"/>
      <c r="S15" s="23"/>
    </row>
    <row r="16" spans="1:20" s="31" customFormat="1" ht="13.2" customHeight="1" x14ac:dyDescent="0.3">
      <c r="A16" s="35"/>
      <c r="B16" s="64"/>
      <c r="C16" s="76"/>
      <c r="D16" s="63"/>
      <c r="E16" s="61"/>
      <c r="F16" s="36"/>
      <c r="G16" s="36"/>
      <c r="H16" s="18"/>
      <c r="I16" s="18"/>
      <c r="J16" s="4"/>
      <c r="K16" s="1"/>
      <c r="L16" s="1"/>
      <c r="M16" s="18"/>
      <c r="N16" s="18"/>
      <c r="O16" s="18"/>
      <c r="P16" s="18"/>
      <c r="Q16" s="49"/>
      <c r="R16" s="78"/>
      <c r="S16" s="23"/>
    </row>
    <row r="17" spans="1:19" s="31" customFormat="1" ht="13.2" customHeight="1" x14ac:dyDescent="0.3">
      <c r="A17" s="35"/>
      <c r="B17" s="75"/>
      <c r="C17" s="76"/>
      <c r="D17" s="63"/>
      <c r="E17" s="61"/>
      <c r="F17" s="36"/>
      <c r="G17" s="36"/>
      <c r="H17" s="77"/>
      <c r="I17" s="77"/>
      <c r="J17" s="77"/>
      <c r="K17" s="1"/>
      <c r="L17" s="1"/>
      <c r="M17" s="77"/>
      <c r="N17" s="77"/>
      <c r="O17" s="18"/>
      <c r="P17" s="18"/>
      <c r="Q17" s="49"/>
      <c r="R17" s="78"/>
      <c r="S17" s="23"/>
    </row>
    <row r="18" spans="1:19" ht="35.25" customHeight="1" x14ac:dyDescent="0.3">
      <c r="A18" s="37"/>
      <c r="B18" s="11" t="s">
        <v>22</v>
      </c>
      <c r="C18" s="38"/>
      <c r="D18" s="59">
        <f>COUNT(A5:A17)</f>
        <v>4</v>
      </c>
      <c r="E18" s="39"/>
      <c r="F18" s="40"/>
      <c r="G18" s="40"/>
      <c r="H18" s="40"/>
      <c r="I18" s="40"/>
      <c r="J18" s="59"/>
      <c r="K18" s="38"/>
      <c r="L18" s="38"/>
      <c r="M18" s="38"/>
      <c r="N18" s="38"/>
      <c r="O18" s="38"/>
      <c r="P18" s="12"/>
      <c r="Q18" s="51"/>
      <c r="R18" s="51"/>
      <c r="S18" s="23"/>
    </row>
    <row r="19" spans="1:19" ht="15" customHeight="1" x14ac:dyDescent="0.3">
      <c r="A19" s="37"/>
      <c r="B19" s="15"/>
      <c r="C19" s="38"/>
      <c r="D19" s="55"/>
      <c r="E19" s="39"/>
      <c r="F19" s="40"/>
      <c r="G19" s="40"/>
      <c r="H19" s="40"/>
      <c r="I19" s="40"/>
      <c r="J19" s="41"/>
      <c r="K19" s="91" t="s">
        <v>29</v>
      </c>
      <c r="L19" s="92"/>
      <c r="M19" s="92"/>
      <c r="N19" s="92"/>
      <c r="O19" s="92"/>
      <c r="P19" s="93"/>
      <c r="Q19" s="51"/>
      <c r="R19" s="51"/>
      <c r="S19" s="23"/>
    </row>
    <row r="20" spans="1:19" ht="13.8" x14ac:dyDescent="0.25">
      <c r="A20" s="66"/>
      <c r="B20" s="68"/>
      <c r="C20" s="68"/>
      <c r="D20" s="68"/>
      <c r="E20" s="71"/>
      <c r="F20" s="36"/>
      <c r="G20" s="36"/>
      <c r="H20" s="24"/>
      <c r="I20" s="24"/>
      <c r="J20" s="42"/>
      <c r="K20" s="1"/>
      <c r="L20" s="1"/>
      <c r="M20" s="1"/>
      <c r="N20" s="1"/>
      <c r="O20" s="57"/>
      <c r="P20" s="3"/>
      <c r="Q20" s="4"/>
      <c r="R20" s="1"/>
      <c r="S20" s="18"/>
    </row>
    <row r="21" spans="1:19" ht="13.8" x14ac:dyDescent="0.25">
      <c r="A21" s="66"/>
      <c r="B21" s="68"/>
      <c r="C21" s="68"/>
      <c r="D21" s="68"/>
      <c r="E21" s="71"/>
      <c r="F21" s="24"/>
      <c r="G21" s="24"/>
      <c r="H21" s="24"/>
      <c r="I21" s="24"/>
      <c r="J21" s="42"/>
      <c r="K21" s="1"/>
      <c r="L21" s="1"/>
      <c r="M21" s="1"/>
      <c r="N21" s="1"/>
      <c r="O21" s="57"/>
      <c r="P21" s="3"/>
      <c r="Q21" s="4"/>
      <c r="R21" s="1"/>
      <c r="S21" s="18"/>
    </row>
    <row r="22" spans="1:19" ht="13.8" x14ac:dyDescent="0.3">
      <c r="A22" s="66"/>
      <c r="B22" s="69"/>
      <c r="C22" s="72"/>
      <c r="D22" s="72"/>
      <c r="E22" s="73"/>
      <c r="F22" s="24"/>
      <c r="G22" s="24"/>
      <c r="H22" s="24"/>
      <c r="I22" s="24"/>
      <c r="J22" s="42"/>
      <c r="K22" s="1"/>
      <c r="L22" s="1"/>
      <c r="M22" s="1"/>
      <c r="N22" s="1"/>
      <c r="O22" s="57"/>
      <c r="P22" s="3"/>
      <c r="Q22" s="4"/>
      <c r="R22" s="1"/>
      <c r="S22" s="18"/>
    </row>
    <row r="23" spans="1:19" ht="13.8" x14ac:dyDescent="0.3">
      <c r="A23" s="66"/>
      <c r="B23" s="69"/>
      <c r="C23" s="72"/>
      <c r="D23" s="72"/>
      <c r="E23" s="73"/>
      <c r="F23" s="24"/>
      <c r="G23" s="24"/>
      <c r="H23" s="24"/>
      <c r="I23" s="24"/>
      <c r="J23" s="42"/>
      <c r="K23" s="1"/>
      <c r="L23" s="1"/>
      <c r="M23" s="1"/>
      <c r="N23" s="1"/>
      <c r="O23" s="57"/>
      <c r="P23" s="3"/>
      <c r="Q23" s="4"/>
      <c r="R23" s="1"/>
      <c r="S23" s="18"/>
    </row>
    <row r="24" spans="1:19" ht="13.8" x14ac:dyDescent="0.25">
      <c r="A24" s="66"/>
      <c r="B24" s="68"/>
      <c r="C24" s="72"/>
      <c r="D24" s="72"/>
      <c r="E24" s="73"/>
      <c r="F24" s="24"/>
      <c r="G24" s="24"/>
      <c r="H24" s="24"/>
      <c r="I24" s="24"/>
      <c r="J24" s="42"/>
      <c r="K24" s="1"/>
      <c r="L24" s="1"/>
      <c r="M24" s="1"/>
      <c r="N24" s="1"/>
      <c r="O24" s="57"/>
      <c r="P24" s="3"/>
      <c r="Q24" s="4"/>
      <c r="R24" s="1"/>
      <c r="S24" s="18"/>
    </row>
    <row r="25" spans="1:19" ht="13.8" x14ac:dyDescent="0.25">
      <c r="A25" s="66"/>
      <c r="B25" s="68"/>
      <c r="C25" s="72"/>
      <c r="D25" s="72"/>
      <c r="E25" s="73"/>
      <c r="F25" s="24"/>
      <c r="G25" s="24"/>
      <c r="H25" s="24"/>
      <c r="I25" s="24"/>
      <c r="J25" s="42"/>
      <c r="K25" s="1"/>
      <c r="L25" s="1"/>
      <c r="M25" s="1"/>
      <c r="N25" s="1"/>
      <c r="O25" s="57"/>
      <c r="P25" s="3"/>
      <c r="Q25" s="4"/>
      <c r="R25" s="1"/>
      <c r="S25" s="18"/>
    </row>
    <row r="26" spans="1:19" ht="13.8" x14ac:dyDescent="0.25">
      <c r="A26" s="66"/>
      <c r="B26" s="68"/>
      <c r="C26" s="74"/>
      <c r="D26" s="70"/>
      <c r="E26" s="71"/>
      <c r="F26" s="17"/>
      <c r="G26" s="17"/>
      <c r="H26" s="18"/>
      <c r="I26" s="18"/>
      <c r="J26" s="18"/>
      <c r="K26" s="19"/>
      <c r="L26" s="19"/>
      <c r="M26" s="18"/>
      <c r="N26" s="18"/>
      <c r="O26" s="57"/>
      <c r="P26" s="3"/>
      <c r="Q26" s="4"/>
      <c r="R26" s="1"/>
      <c r="S26" s="18"/>
    </row>
    <row r="27" spans="1:19" ht="13.8" x14ac:dyDescent="0.25">
      <c r="A27" s="66"/>
      <c r="B27" s="68"/>
      <c r="C27" s="68"/>
      <c r="D27" s="68"/>
      <c r="E27" s="71"/>
      <c r="F27" s="36"/>
      <c r="G27" s="36"/>
      <c r="H27" s="24"/>
      <c r="I27" s="24"/>
      <c r="J27" s="42"/>
      <c r="K27" s="1"/>
      <c r="L27" s="1"/>
      <c r="M27" s="1"/>
      <c r="N27" s="1"/>
      <c r="O27" s="57"/>
      <c r="P27" s="3"/>
      <c r="Q27" s="4"/>
      <c r="R27" s="1"/>
      <c r="S27" s="18"/>
    </row>
    <row r="28" spans="1:19" ht="13.8" x14ac:dyDescent="0.25">
      <c r="A28" s="66"/>
      <c r="B28" s="67"/>
      <c r="C28" s="62"/>
      <c r="D28" s="62"/>
      <c r="E28" s="61"/>
      <c r="F28" s="36"/>
      <c r="G28" s="36"/>
      <c r="H28" s="24"/>
      <c r="I28" s="24"/>
      <c r="J28" s="42"/>
      <c r="K28" s="1"/>
      <c r="L28" s="1"/>
      <c r="M28" s="1"/>
      <c r="N28" s="1"/>
      <c r="O28" s="57"/>
      <c r="P28" s="3"/>
      <c r="Q28" s="4"/>
      <c r="R28" s="1"/>
      <c r="S28" s="18"/>
    </row>
  </sheetData>
  <mergeCells count="20">
    <mergeCell ref="F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S2:S3"/>
    <mergeCell ref="J12:O12"/>
    <mergeCell ref="J14:O14"/>
    <mergeCell ref="K19:P19"/>
    <mergeCell ref="J2:J3"/>
    <mergeCell ref="K2:N2"/>
    <mergeCell ref="O2:O3"/>
    <mergeCell ref="P2:P3"/>
    <mergeCell ref="Q2:Q3"/>
    <mergeCell ref="R2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07.10.26</vt:lpstr>
      <vt:lpstr>08.10.26 </vt:lpstr>
      <vt:lpstr>09.10.26</vt:lpstr>
      <vt:lpstr>10.10.26</vt:lpstr>
      <vt:lpstr>11.10.26</vt:lpstr>
      <vt:lpstr>12.10.26</vt:lpstr>
      <vt:lpstr>13.10.26</vt:lpstr>
      <vt:lpstr>14.10.26 </vt:lpstr>
      <vt:lpstr>15.10.26  </vt:lpstr>
      <vt:lpstr>16.10.26 </vt:lpstr>
      <vt:lpstr>17.10.2026</vt:lpstr>
      <vt:lpstr>18.10.2026</vt:lpstr>
      <vt:lpstr>19.10.2026</vt:lpstr>
      <vt:lpstr>20.10.26</vt:lpstr>
      <vt:lpstr>21.10.26</vt:lpstr>
      <vt:lpstr>22.10.26</vt:lpstr>
      <vt:lpstr>23.10.26</vt:lpstr>
      <vt:lpstr>24.10.26</vt:lpstr>
      <vt:lpstr>25.10.26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2026-10-25T00:29:21Z</dcterms:modified>
</cp:coreProperties>
</file>