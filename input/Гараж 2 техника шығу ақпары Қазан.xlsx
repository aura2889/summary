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R:\ДТТ\Диспетчер\Сводки Ерлан - Бауыржан\"/>
    </mc:Choice>
  </mc:AlternateContent>
  <xr:revisionPtr revIDLastSave="0" documentId="13_ncr:1_{EE0FEB46-204E-4489-8BA1-65E3106B99F4}" xr6:coauthVersionLast="47" xr6:coauthVersionMax="47" xr10:uidLastSave="{00000000-0000-0000-0000-000000000000}"/>
  <bookViews>
    <workbookView xWindow="-108" yWindow="-108" windowWidth="30936" windowHeight="16776" activeTab="15" xr2:uid="{00000000-000D-0000-FFFF-FFFF00000000}"/>
  </bookViews>
  <sheets>
    <sheet name="1" sheetId="1" r:id="rId1"/>
    <sheet name="2" sheetId="33" r:id="rId2"/>
    <sheet name="3" sheetId="34" r:id="rId3"/>
    <sheet name="4" sheetId="35" r:id="rId4"/>
    <sheet name="5" sheetId="36" r:id="rId5"/>
    <sheet name="6" sheetId="37" r:id="rId6"/>
    <sheet name="7" sheetId="38" r:id="rId7"/>
    <sheet name="8" sheetId="39" r:id="rId8"/>
    <sheet name="9" sheetId="40" r:id="rId9"/>
    <sheet name="10" sheetId="41" r:id="rId10"/>
    <sheet name="11" sheetId="42" r:id="rId11"/>
    <sheet name="12" sheetId="43" r:id="rId12"/>
    <sheet name="13" sheetId="44" r:id="rId13"/>
    <sheet name="14" sheetId="45" r:id="rId14"/>
    <sheet name="15" sheetId="46" r:id="rId15"/>
    <sheet name="16" sheetId="47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75" i="47" l="1"/>
  <c r="I73" i="47"/>
  <c r="I74" i="47"/>
  <c r="I72" i="47"/>
  <c r="I71" i="47"/>
  <c r="I69" i="47"/>
  <c r="I75" i="46"/>
  <c r="I74" i="46"/>
  <c r="I73" i="46"/>
  <c r="I72" i="46"/>
  <c r="I71" i="46"/>
  <c r="I69" i="46"/>
  <c r="I70" i="46" s="1"/>
  <c r="I75" i="45"/>
  <c r="I74" i="45"/>
  <c r="I73" i="45"/>
  <c r="I70" i="45" s="1"/>
  <c r="I72" i="45"/>
  <c r="I71" i="45"/>
  <c r="I69" i="45"/>
  <c r="I75" i="44"/>
  <c r="I74" i="44"/>
  <c r="I73" i="44"/>
  <c r="I72" i="44"/>
  <c r="I71" i="44"/>
  <c r="I69" i="44"/>
  <c r="I75" i="43"/>
  <c r="I74" i="43"/>
  <c r="I73" i="43"/>
  <c r="I72" i="43"/>
  <c r="I71" i="43"/>
  <c r="I69" i="43"/>
  <c r="I75" i="42"/>
  <c r="I74" i="42"/>
  <c r="I73" i="42"/>
  <c r="I70" i="42" s="1"/>
  <c r="I72" i="42"/>
  <c r="I71" i="42"/>
  <c r="I69" i="42"/>
  <c r="I75" i="41"/>
  <c r="I74" i="41"/>
  <c r="I73" i="41"/>
  <c r="I72" i="41"/>
  <c r="I71" i="41"/>
  <c r="I69" i="41"/>
  <c r="I70" i="41" s="1"/>
  <c r="I75" i="40"/>
  <c r="I74" i="40"/>
  <c r="I73" i="40"/>
  <c r="I72" i="40"/>
  <c r="I71" i="40"/>
  <c r="I69" i="40"/>
  <c r="I70" i="40" s="1"/>
  <c r="I69" i="39"/>
  <c r="I70" i="39" s="1"/>
  <c r="I71" i="39"/>
  <c r="I72" i="39"/>
  <c r="I73" i="39"/>
  <c r="I74" i="39"/>
  <c r="I75" i="39"/>
  <c r="I75" i="38"/>
  <c r="I74" i="38"/>
  <c r="I73" i="38"/>
  <c r="I72" i="38"/>
  <c r="I71" i="38"/>
  <c r="I69" i="38"/>
  <c r="I70" i="38" s="1"/>
  <c r="I75" i="37"/>
  <c r="I74" i="37"/>
  <c r="I73" i="37"/>
  <c r="I72" i="37"/>
  <c r="I71" i="37"/>
  <c r="I70" i="37"/>
  <c r="I69" i="37"/>
  <c r="I75" i="36"/>
  <c r="I74" i="36"/>
  <c r="I73" i="36"/>
  <c r="I72" i="36"/>
  <c r="I71" i="36"/>
  <c r="I69" i="36"/>
  <c r="I75" i="35"/>
  <c r="I74" i="35"/>
  <c r="I73" i="35"/>
  <c r="I72" i="35"/>
  <c r="I71" i="35"/>
  <c r="I69" i="35"/>
  <c r="I75" i="34"/>
  <c r="I74" i="34"/>
  <c r="I73" i="34"/>
  <c r="I72" i="34"/>
  <c r="I71" i="34"/>
  <c r="I69" i="34"/>
  <c r="I70" i="34" s="1"/>
  <c r="I75" i="33"/>
  <c r="I74" i="33"/>
  <c r="I73" i="33"/>
  <c r="I72" i="33"/>
  <c r="I71" i="33"/>
  <c r="I70" i="33"/>
  <c r="I69" i="33"/>
  <c r="I75" i="1"/>
  <c r="I74" i="1"/>
  <c r="I73" i="1"/>
  <c r="I72" i="1"/>
  <c r="I71" i="1"/>
  <c r="I69" i="1"/>
  <c r="I70" i="47" l="1"/>
  <c r="I70" i="44"/>
  <c r="I70" i="43"/>
  <c r="I70" i="36"/>
  <c r="I70" i="35"/>
  <c r="I7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5B1F47C4-1302-4BE8-A76B-60C2BDBD552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68D0E66D-6837-432D-98DE-E72C5BA2343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2" authorId="0" shapeId="0" xr:uid="{146C9CFC-89C5-4099-9DE8-6AC4D0BD82E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E6A25D4D-73AB-4736-A5C2-DC25B3F68F0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3AAAC7D0-6C7F-4FE2-929B-FFA875DC945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3" authorId="0" shapeId="0" xr:uid="{6899A069-E3EB-4E81-A989-D45881DECE4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47349BBE-0262-4B21-AF76-9541D922F3A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5EC8DA4D-4610-47F1-8ACF-B6BCE0A7768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3" authorId="0" shapeId="0" xr:uid="{38AF01B2-818D-4289-A698-A832541CD34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77FE2202-0F55-4D51-A7A6-AE9D8A5B9DF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E75A958D-867A-4B5F-BC72-7F4AFF0C2D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3" authorId="0" shapeId="0" xr:uid="{635331E0-FB3C-4174-B7BF-53194553BF2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FD23EBF9-569C-40BD-9D0D-C625F25B5CA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541EB9F7-E5FC-400D-82E4-E21159B56DE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<sst xmlns="http://schemas.openxmlformats.org/spreadsheetml/2006/main" count="3145" uniqueCount="343">
  <si>
    <t>ЦДН-1</t>
  </si>
  <si>
    <t>ЦДН-2</t>
  </si>
  <si>
    <t>ЦДН-3</t>
  </si>
  <si>
    <t>ППД</t>
  </si>
  <si>
    <t>Эл цех</t>
  </si>
  <si>
    <t>ДБ и ПКРС(1)</t>
  </si>
  <si>
    <t>ЦПП</t>
  </si>
  <si>
    <t>ЦПС</t>
  </si>
  <si>
    <t>РСУ</t>
  </si>
  <si>
    <t>Газ. участок</t>
  </si>
  <si>
    <t>20-H361512</t>
  </si>
  <si>
    <t>55-R044AKF</t>
  </si>
  <si>
    <t>53-R964AKE</t>
  </si>
  <si>
    <t xml:space="preserve">C 13-Н2645 </t>
  </si>
  <si>
    <t xml:space="preserve"> 20-152AG12</t>
  </si>
  <si>
    <t>53-R963AKE</t>
  </si>
  <si>
    <t xml:space="preserve"> 20-247AG12</t>
  </si>
  <si>
    <t>Маркшейдер</t>
  </si>
  <si>
    <t>27-Н348112</t>
  </si>
  <si>
    <t xml:space="preserve">С 13-Н2798 </t>
  </si>
  <si>
    <t>ЦИТС</t>
  </si>
  <si>
    <t>ПРЦЭО</t>
  </si>
  <si>
    <t>ОБиКРС</t>
  </si>
  <si>
    <t>20-Н269712</t>
  </si>
  <si>
    <t>ЦНИПР</t>
  </si>
  <si>
    <t>Бурение</t>
  </si>
  <si>
    <t>13-Н2829</t>
  </si>
  <si>
    <t>20-H356312</t>
  </si>
  <si>
    <t xml:space="preserve">ПРЦЭО </t>
  </si>
  <si>
    <t>РМУ гараж 2</t>
  </si>
  <si>
    <t>ЦТТ гараж 2</t>
  </si>
  <si>
    <t>ПКРС (2)</t>
  </si>
  <si>
    <t xml:space="preserve">ДРиСУ </t>
  </si>
  <si>
    <t>ОКС</t>
  </si>
  <si>
    <t>Экология</t>
  </si>
  <si>
    <t xml:space="preserve"> 21-Н2987</t>
  </si>
  <si>
    <t>20-Н343512</t>
  </si>
  <si>
    <t>С 13-Н2882</t>
  </si>
  <si>
    <t>32-Н270712</t>
  </si>
  <si>
    <t>21-H2629</t>
  </si>
  <si>
    <t>С 13-Н2888</t>
  </si>
  <si>
    <t>21-H3042</t>
  </si>
  <si>
    <t>С 13-H359912</t>
  </si>
  <si>
    <t>56-089AKD</t>
  </si>
  <si>
    <t>21-Н2954</t>
  </si>
  <si>
    <t>13-Н2859н</t>
  </si>
  <si>
    <t>56-096AKD</t>
  </si>
  <si>
    <t>56-396ARE</t>
  </si>
  <si>
    <t>УПТОК</t>
  </si>
  <si>
    <t>20-Н341312</t>
  </si>
  <si>
    <t>56-395ARE</t>
  </si>
  <si>
    <t>20-Н348212</t>
  </si>
  <si>
    <t>46-967ABD</t>
  </si>
  <si>
    <t>46-966ABD</t>
  </si>
  <si>
    <t>53-R969AKE</t>
  </si>
  <si>
    <t>60-968ADD</t>
  </si>
  <si>
    <t xml:space="preserve">СБ </t>
  </si>
  <si>
    <t>БПО  КРС-2</t>
  </si>
  <si>
    <t>С 13-Н2851</t>
  </si>
  <si>
    <t>С 13-812АН12</t>
  </si>
  <si>
    <t>20-Н344912</t>
  </si>
  <si>
    <t>35-H316912н</t>
  </si>
  <si>
    <t>Диспетчер № 5 Болар / Алмаз</t>
  </si>
  <si>
    <t>Диспетчер № 6 Асланбек/ Самалхан</t>
  </si>
  <si>
    <t>желіге шықты</t>
  </si>
  <si>
    <t>Жөндеу</t>
  </si>
  <si>
    <t>Резерв</t>
  </si>
  <si>
    <t>списание</t>
  </si>
  <si>
    <t>Барлығы</t>
  </si>
  <si>
    <t>54-910ACD</t>
  </si>
  <si>
    <t>Желіде</t>
  </si>
  <si>
    <t>54-911ACD</t>
  </si>
  <si>
    <t>Жөндеуде</t>
  </si>
  <si>
    <t>54-912ACD</t>
  </si>
  <si>
    <t>Резервте</t>
  </si>
  <si>
    <t xml:space="preserve"> 20-124AG12</t>
  </si>
  <si>
    <t>56-493ADD</t>
  </si>
  <si>
    <t>есептен шығу</t>
  </si>
  <si>
    <t>күн/түн жүрген көлік саны</t>
  </si>
  <si>
    <t>түнде</t>
  </si>
  <si>
    <t>УТТ-ға қайтарылды 01-04-2026</t>
  </si>
  <si>
    <t>38-834АН12</t>
  </si>
  <si>
    <t>44-217AH12</t>
  </si>
  <si>
    <t>20-278АЕ12</t>
  </si>
  <si>
    <t>44-233AH12</t>
  </si>
  <si>
    <t xml:space="preserve"> 20-845AН12</t>
  </si>
  <si>
    <t>62-807AH12</t>
  </si>
  <si>
    <t>20-287AE12</t>
  </si>
  <si>
    <t>53-892AСD</t>
  </si>
  <si>
    <t>53-891ACD</t>
  </si>
  <si>
    <t>55-411AED</t>
  </si>
  <si>
    <t xml:space="preserve"> 46-827AН12</t>
  </si>
  <si>
    <t>53-497ADD</t>
  </si>
  <si>
    <t>резерв</t>
  </si>
  <si>
    <t>13-Н2844</t>
  </si>
  <si>
    <t>28-Н321512н</t>
  </si>
  <si>
    <t>31-Н301812н</t>
  </si>
  <si>
    <t>31-H304312н</t>
  </si>
  <si>
    <t>22-H296812н</t>
  </si>
  <si>
    <t>13-Н2843</t>
  </si>
  <si>
    <t>62-Н359212д/н</t>
  </si>
  <si>
    <t>С13-Н2884</t>
  </si>
  <si>
    <t>13-Н2833</t>
  </si>
  <si>
    <t>13-Н2890н</t>
  </si>
  <si>
    <t>13-Н2866</t>
  </si>
  <si>
    <t>13-Н2830</t>
  </si>
  <si>
    <t>13-Н2847н</t>
  </si>
  <si>
    <t>13-Н2849н</t>
  </si>
  <si>
    <t>13-Н2841</t>
  </si>
  <si>
    <t>13-Н2840</t>
  </si>
  <si>
    <t>13-Н2826н</t>
  </si>
  <si>
    <t>13-Н2827</t>
  </si>
  <si>
    <t>28-H299612н</t>
  </si>
  <si>
    <t>31-H304312д</t>
  </si>
  <si>
    <t>34-Н347812н</t>
  </si>
  <si>
    <t>44-Н365612н</t>
  </si>
  <si>
    <t>49-H304112н</t>
  </si>
  <si>
    <t>35-H317312</t>
  </si>
  <si>
    <t>13-Н2879н</t>
  </si>
  <si>
    <t>С13-Н2831</t>
  </si>
  <si>
    <t xml:space="preserve"> 20-179AG12  </t>
  </si>
  <si>
    <t>20-586AG12</t>
  </si>
  <si>
    <t>20-174AG12</t>
  </si>
  <si>
    <t xml:space="preserve"> 13-д</t>
  </si>
  <si>
    <t>С 13-759BU д/н</t>
  </si>
  <si>
    <t xml:space="preserve"> 13-096AO12н</t>
  </si>
  <si>
    <t>35-H322812</t>
  </si>
  <si>
    <t>35-H317012</t>
  </si>
  <si>
    <t>27-Н361712</t>
  </si>
  <si>
    <t>31-Н319812</t>
  </si>
  <si>
    <t>34-Н284612</t>
  </si>
  <si>
    <t>34-Н287012</t>
  </si>
  <si>
    <t>34-H301112</t>
  </si>
  <si>
    <t>34-Н322012н</t>
  </si>
  <si>
    <t>34-Н341612</t>
  </si>
  <si>
    <t>35-H361412</t>
  </si>
  <si>
    <t>22-H304612</t>
  </si>
  <si>
    <t>22-H302212</t>
  </si>
  <si>
    <t>27-H342812</t>
  </si>
  <si>
    <t>62-Н360112</t>
  </si>
  <si>
    <t xml:space="preserve"> 13-Н2848</t>
  </si>
  <si>
    <t>13-Н2836</t>
  </si>
  <si>
    <t xml:space="preserve"> 13-Н2850</t>
  </si>
  <si>
    <t>13-Н2828</t>
  </si>
  <si>
    <t xml:space="preserve"> 13-н</t>
  </si>
  <si>
    <t xml:space="preserve"> 13-779BUн</t>
  </si>
  <si>
    <t>13-Н2852</t>
  </si>
  <si>
    <t>28-H318712</t>
  </si>
  <si>
    <t>28-Н320212</t>
  </si>
  <si>
    <t>34-Н284512</t>
  </si>
  <si>
    <t>34-Н347812</t>
  </si>
  <si>
    <t>35-348АS12</t>
  </si>
  <si>
    <t>35-903AC12</t>
  </si>
  <si>
    <t>35-967AG12н</t>
  </si>
  <si>
    <t>35-Н317112н</t>
  </si>
  <si>
    <t>35-H317812</t>
  </si>
  <si>
    <t>44-Н363712</t>
  </si>
  <si>
    <t>22-H279412</t>
  </si>
  <si>
    <t>49-H343912</t>
  </si>
  <si>
    <t>31-Н296312н</t>
  </si>
  <si>
    <t>31-Н297912н</t>
  </si>
  <si>
    <t>31-Н304012</t>
  </si>
  <si>
    <t>31-Н318312</t>
  </si>
  <si>
    <t>31-H322412</t>
  </si>
  <si>
    <t>31-H341412</t>
  </si>
  <si>
    <t>31-H346012</t>
  </si>
  <si>
    <t>31-H347512н</t>
  </si>
  <si>
    <t>35-H358212</t>
  </si>
  <si>
    <t>28-H314712</t>
  </si>
  <si>
    <t>32-Н270912д</t>
  </si>
  <si>
    <t>37-Н319312</t>
  </si>
  <si>
    <t>13-Н2837н</t>
  </si>
  <si>
    <t xml:space="preserve"> 13-Н2842</t>
  </si>
  <si>
    <t>34-Н340912н</t>
  </si>
  <si>
    <t xml:space="preserve"> 20-176AG12</t>
  </si>
  <si>
    <t>13-H3609д/н</t>
  </si>
  <si>
    <t>20-Н267412н</t>
  </si>
  <si>
    <t xml:space="preserve">   20-156AG12</t>
  </si>
  <si>
    <t>27-H345812н</t>
  </si>
  <si>
    <t>35-Н314912н</t>
  </si>
  <si>
    <t>27-H358912</t>
  </si>
  <si>
    <t>46-465RAKD</t>
  </si>
  <si>
    <t>35-Н98712</t>
  </si>
  <si>
    <t>28-H321412д/н</t>
  </si>
  <si>
    <t>22-Н358812</t>
  </si>
  <si>
    <t>22-Н363812н</t>
  </si>
  <si>
    <t>35-H323012н</t>
  </si>
  <si>
    <t>13-Н2890</t>
  </si>
  <si>
    <t>13-Н2837</t>
  </si>
  <si>
    <t>13-Н2852н</t>
  </si>
  <si>
    <t xml:space="preserve"> 13-Н2850н</t>
  </si>
  <si>
    <t>13-Н2836н</t>
  </si>
  <si>
    <t xml:space="preserve"> 13-779BU</t>
  </si>
  <si>
    <t>20-Н344912н</t>
  </si>
  <si>
    <t>20-Н267412</t>
  </si>
  <si>
    <t>13-Н2828н</t>
  </si>
  <si>
    <t>13-Н2841н</t>
  </si>
  <si>
    <t>13-Н2859</t>
  </si>
  <si>
    <t>13-Н2849</t>
  </si>
  <si>
    <t xml:space="preserve"> 13н</t>
  </si>
  <si>
    <t>13-Н2826</t>
  </si>
  <si>
    <t>13-Н2827н</t>
  </si>
  <si>
    <t>13-Н2847д/н</t>
  </si>
  <si>
    <t>27-H345812</t>
  </si>
  <si>
    <t>27-Н361712н</t>
  </si>
  <si>
    <t>28-H299612</t>
  </si>
  <si>
    <t>28-H318712н</t>
  </si>
  <si>
    <t>28-Н320212н</t>
  </si>
  <si>
    <t>28-Н321512</t>
  </si>
  <si>
    <t>31-Н296312</t>
  </si>
  <si>
    <t>31-Н297912</t>
  </si>
  <si>
    <t>31-Н301812</t>
  </si>
  <si>
    <t>31-Н304012н</t>
  </si>
  <si>
    <t>31-Н318312н</t>
  </si>
  <si>
    <t>31-H322412н</t>
  </si>
  <si>
    <t>31-H341412д/н</t>
  </si>
  <si>
    <t>31-H346012н</t>
  </si>
  <si>
    <t>31-H347512</t>
  </si>
  <si>
    <t>34-Н284612н</t>
  </si>
  <si>
    <t>34-H301112н</t>
  </si>
  <si>
    <t>34-Н322012</t>
  </si>
  <si>
    <t>34-Н340912</t>
  </si>
  <si>
    <t>34-Н341612н</t>
  </si>
  <si>
    <t>35-348АS12н</t>
  </si>
  <si>
    <t>35-903AC12н</t>
  </si>
  <si>
    <t>35-967AG12</t>
  </si>
  <si>
    <t>35-Н314912</t>
  </si>
  <si>
    <t>35-H316912</t>
  </si>
  <si>
    <t>35-Н317112</t>
  </si>
  <si>
    <t>35-H317312н</t>
  </si>
  <si>
    <t>35-H317812н</t>
  </si>
  <si>
    <t>35-H323012</t>
  </si>
  <si>
    <t>35-H358212н</t>
  </si>
  <si>
    <t>44-Н363712н</t>
  </si>
  <si>
    <t>44-Н365612</t>
  </si>
  <si>
    <t>22-H279412н</t>
  </si>
  <si>
    <t>22-H296812</t>
  </si>
  <si>
    <t>22-H302212н</t>
  </si>
  <si>
    <t>22-H304612н</t>
  </si>
  <si>
    <t>22-Н363812</t>
  </si>
  <si>
    <t>49-H304112</t>
  </si>
  <si>
    <t>49-H343912н</t>
  </si>
  <si>
    <t>34-H301112д</t>
  </si>
  <si>
    <t>35-H317812д/н</t>
  </si>
  <si>
    <t>31-H341412н</t>
  </si>
  <si>
    <t>13-Н2843д/н</t>
  </si>
  <si>
    <t>13-Н2841д/н</t>
  </si>
  <si>
    <t xml:space="preserve"> 13-Н2852н</t>
  </si>
  <si>
    <t>13-Н2879</t>
  </si>
  <si>
    <t>13-д</t>
  </si>
  <si>
    <t>13-Н2833н</t>
  </si>
  <si>
    <t>13-779BU</t>
  </si>
  <si>
    <t xml:space="preserve"> 20-174AG12</t>
  </si>
  <si>
    <t>20-152AG12</t>
  </si>
  <si>
    <t>С 13-Н2828н</t>
  </si>
  <si>
    <t xml:space="preserve"> 20-156AG12</t>
  </si>
  <si>
    <t>13-Н2848д/н</t>
  </si>
  <si>
    <t>13-Н2843н</t>
  </si>
  <si>
    <t xml:space="preserve"> 20-124AG12н</t>
  </si>
  <si>
    <t>31-Н318312д</t>
  </si>
  <si>
    <t>35-903AG12д</t>
  </si>
  <si>
    <t>35-Н317812д</t>
  </si>
  <si>
    <t>34-H341612д</t>
  </si>
  <si>
    <t>27-H345812д</t>
  </si>
  <si>
    <t>34-Н340912д</t>
  </si>
  <si>
    <t>62-Н360112д</t>
  </si>
  <si>
    <t>27-Н361712д</t>
  </si>
  <si>
    <t>27-Н348112н</t>
  </si>
  <si>
    <t>27-Н358912д</t>
  </si>
  <si>
    <t>27-Н342812д</t>
  </si>
  <si>
    <t>28-H320212д</t>
  </si>
  <si>
    <t>28-H299612д</t>
  </si>
  <si>
    <t>31-H304012н</t>
  </si>
  <si>
    <t>31-Н322412н</t>
  </si>
  <si>
    <t>31-H296312д</t>
  </si>
  <si>
    <t>31-Н347512д</t>
  </si>
  <si>
    <t>31-Н297912д</t>
  </si>
  <si>
    <t>31-H341412д</t>
  </si>
  <si>
    <t>34-H322012н</t>
  </si>
  <si>
    <t>34-Н284512д/н</t>
  </si>
  <si>
    <t>34-Н284612д</t>
  </si>
  <si>
    <t>34-Н301112д</t>
  </si>
  <si>
    <t>34-Н287012д</t>
  </si>
  <si>
    <t>35-Н322812н</t>
  </si>
  <si>
    <t>35-H317112н</t>
  </si>
  <si>
    <t>35-987АC12д</t>
  </si>
  <si>
    <t>35-348АS12д</t>
  </si>
  <si>
    <t>35-H358212д</t>
  </si>
  <si>
    <t>35-H314912д</t>
  </si>
  <si>
    <t>35-H323012д</t>
  </si>
  <si>
    <t>44-Н365612д</t>
  </si>
  <si>
    <t>62-Н359212н</t>
  </si>
  <si>
    <t>22-H358812д</t>
  </si>
  <si>
    <t>22-Н304612д</t>
  </si>
  <si>
    <t>22-H279412д</t>
  </si>
  <si>
    <t>22-H302212д/н</t>
  </si>
  <si>
    <t>49-H304112д</t>
  </si>
  <si>
    <t>37-Н319312д</t>
  </si>
  <si>
    <t>28-Н314712</t>
  </si>
  <si>
    <t>28-H321412д</t>
  </si>
  <si>
    <t>28-H321412н</t>
  </si>
  <si>
    <t>35-H361412д</t>
  </si>
  <si>
    <t xml:space="preserve"> 13-Н2852</t>
  </si>
  <si>
    <t>13-779BUн</t>
  </si>
  <si>
    <t xml:space="preserve"> 20-247AG12н</t>
  </si>
  <si>
    <t>13-н</t>
  </si>
  <si>
    <t>34-Н347812д</t>
  </si>
  <si>
    <t>27-Н348112д</t>
  </si>
  <si>
    <t>27-Н342812н</t>
  </si>
  <si>
    <t>28-H318712д</t>
  </si>
  <si>
    <t>28-Н321512д</t>
  </si>
  <si>
    <t>28-H320212н</t>
  </si>
  <si>
    <t>31-Н301812д</t>
  </si>
  <si>
    <t>31-Н322412д</t>
  </si>
  <si>
    <t>31-H346012д</t>
  </si>
  <si>
    <t>31-H304012д/н</t>
  </si>
  <si>
    <t>31-H296312н</t>
  </si>
  <si>
    <t>31-Н347512н</t>
  </si>
  <si>
    <t>34-H322012д</t>
  </si>
  <si>
    <t>34-Н301112н</t>
  </si>
  <si>
    <t>34-Н284512н</t>
  </si>
  <si>
    <t>34-Н287012н</t>
  </si>
  <si>
    <t>35-Н322812д</t>
  </si>
  <si>
    <t>35-H317312д</t>
  </si>
  <si>
    <t>35-967AG12д</t>
  </si>
  <si>
    <t>35-H317112д</t>
  </si>
  <si>
    <t>35-H316912д</t>
  </si>
  <si>
    <t>35-987АC12н</t>
  </si>
  <si>
    <t>35-H361412н</t>
  </si>
  <si>
    <t>35-H314912н</t>
  </si>
  <si>
    <t>44-Н363712д</t>
  </si>
  <si>
    <t>62-Н359212д</t>
  </si>
  <si>
    <t>22-H358812н</t>
  </si>
  <si>
    <t>22-Н304612н</t>
  </si>
  <si>
    <t>22-H279412д/н</t>
  </si>
  <si>
    <t>22-H302212д</t>
  </si>
  <si>
    <t>22-H296812д</t>
  </si>
  <si>
    <t>22-Н363812д</t>
  </si>
  <si>
    <t>49-H343912д</t>
  </si>
  <si>
    <t>35-Н322812</t>
  </si>
  <si>
    <t>35-H317012д</t>
  </si>
  <si>
    <t>С 13-Н2851н</t>
  </si>
  <si>
    <t>13-Н2836д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</si>
</sst>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  <font>
      <i/>
      <sz val="10"/>
      <name val="Arial"/>
      <family val="2"/>
      <charset val="204"/>
    </font>
    <font>
      <sz val="10"/>
      <name val="Helv"/>
    </font>
    <font>
      <b/>
      <sz val="10"/>
      <color rgb="FF006600"/>
      <name val="Arial"/>
      <family val="2"/>
      <charset val="204"/>
    </font>
    <font>
      <b/>
      <sz val="10"/>
      <color rgb="FF663300"/>
      <name val="Arial"/>
      <family val="2"/>
      <charset val="204"/>
    </font>
    <font>
      <sz val="10"/>
      <name val="Times New Roman"/>
      <family val="1"/>
      <charset val="204"/>
    </font>
    <font>
      <sz val="10"/>
      <color theme="1"/>
      <name val="Arial"/>
      <family val="2"/>
      <charset val="204"/>
    </font>
    <font>
      <sz val="9"/>
      <name val="Arial"/>
      <family val="2"/>
      <charset val="204"/>
    </font>
    <font>
      <sz val="10"/>
      <color rgb="FF663300"/>
      <name val="Arial"/>
      <family val="2"/>
      <charset val="204"/>
    </font>
    <font>
      <sz val="8"/>
      <name val="Arial"/>
      <family val="2"/>
      <charset val="204"/>
    </font>
    <font>
      <sz val="10"/>
      <color rgb="FF0000FF"/>
      <name val="Arial"/>
      <family val="2"/>
      <charset val="204"/>
    </font>
    <font>
      <sz val="10"/>
      <color rgb="FFFF0000"/>
      <name val="Arial"/>
      <family val="2"/>
      <charset val="204"/>
    </font>
    <font>
      <sz val="10"/>
      <color indexed="8"/>
      <name val="Arial"/>
      <family val="2"/>
      <charset val="204"/>
    </font>
    <font>
      <sz val="10"/>
      <color indexed="12"/>
      <name val="Arial"/>
      <family val="2"/>
      <charset val="204"/>
    </font>
    <font>
      <sz val="10"/>
      <color rgb="FF3F3F3F"/>
      <name val="Arial"/>
      <family val="2"/>
      <charset val="204"/>
    </font>
    <font>
      <sz val="10"/>
      <color theme="0"/>
      <name val="Arial"/>
      <family val="2"/>
      <charset val="204"/>
    </font>
    <font>
      <sz val="10"/>
      <color rgb="FF0070C0"/>
      <name val="Arial"/>
      <family val="2"/>
      <charset val="204"/>
    </font>
    <font>
      <sz val="10"/>
      <color rgb="FF009900"/>
      <name val="Arial"/>
      <family val="2"/>
      <charset val="204"/>
    </font>
    <font>
      <sz val="9"/>
      <color rgb="FF0000FF"/>
      <name val="Arial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0"/>
      <color rgb="FF00B050"/>
      <name val="Arial"/>
      <family val="2"/>
      <charset val="204"/>
    </font>
    <font>
      <sz val="10"/>
      <color rgb="FF006600"/>
      <name val="Arial"/>
      <family val="2"/>
      <charset val="204"/>
    </font>
    <font>
      <sz val="10"/>
      <color rgb="FF7030A0"/>
      <name val="Arial"/>
      <family val="2"/>
      <charset val="204"/>
    </font>
    <font>
      <sz val="10"/>
      <color rgb="FFC00000"/>
      <name val="Arial"/>
      <family val="2"/>
      <charset val="204"/>
    </font>
    <font>
      <sz val="9"/>
      <color rgb="FF009900"/>
      <name val="Arial"/>
      <family val="2"/>
      <charset val="204"/>
    </font>
    <font>
      <sz val="10"/>
      <color rgb="FF00B0F0"/>
      <name val="Arial"/>
      <family val="2"/>
      <charset val="204"/>
    </font>
    <font>
      <sz val="10"/>
      <color theme="9" tint="-0.499984740745262"/>
      <name val="Arial"/>
      <family val="2"/>
      <charset val="204"/>
    </font>
    <font>
      <sz val="10"/>
      <color rgb="FF002060"/>
      <name val="Arial"/>
      <family val="2"/>
      <charset val="204"/>
    </font>
    <font>
      <sz val="10"/>
      <color rgb="FF008000"/>
      <name val="Arial"/>
      <family val="2"/>
      <charset val="204"/>
    </font>
    <font>
      <sz val="10"/>
      <color theme="3" tint="-0.249977111117893"/>
      <name val="Arial"/>
      <family val="2"/>
      <charset val="204"/>
    </font>
    <font>
      <sz val="10"/>
      <color theme="5" tint="-0.249977111117893"/>
      <name val="Arial"/>
      <family val="2"/>
      <charset val="204"/>
    </font>
    <font>
      <sz val="10"/>
      <color theme="3" tint="0.39997558519241921"/>
      <name val="Arial"/>
      <family val="2"/>
      <charset val="204"/>
    </font>
    <font>
      <sz val="10"/>
      <color theme="4" tint="-0.249977111117893"/>
      <name val="Arial"/>
      <family val="2"/>
      <charset val="204"/>
    </font>
    <font>
      <sz val="10"/>
      <color rgb="FF5A0E5A"/>
      <name val="Arial"/>
      <family val="2"/>
      <charset val="204"/>
    </font>
    <font>
      <sz val="11"/>
      <color theme="1"/>
      <name val="Times New Roman"/>
      <family val="1"/>
      <charset val="204"/>
    </font>
    <font>
      <sz val="10"/>
      <color theme="9" tint="-0.249977111117893"/>
      <name val="Arial"/>
      <family val="2"/>
      <charset val="204"/>
    </font>
    <font>
      <sz val="11"/>
      <name val="Calibri"/>
      <family val="2"/>
      <charset val="204"/>
      <scheme val="minor"/>
    </font>
    <font>
      <b/>
      <sz val="10"/>
      <color theme="1"/>
      <name val="Arial"/>
      <family val="2"/>
      <charset val="204"/>
    </font>
    <font>
      <b/>
      <i/>
      <sz val="11"/>
      <color theme="1"/>
      <name val="Arial"/>
      <family val="2"/>
      <charset val="204"/>
    </font>
    <font>
      <b/>
      <sz val="10"/>
      <color theme="9" tint="-0.249977111117893"/>
      <name val="Arial"/>
      <family val="2"/>
      <charset val="204"/>
    </font>
    <font>
      <sz val="11"/>
      <color rgb="FFFF0000"/>
      <name val="Calibri"/>
      <family val="2"/>
      <charset val="204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D775D5"/>
        <bgColor indexed="64"/>
      </patternFill>
    </fill>
  </fills>
  <borders count="6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0">
    <xf numFmtId="0" fontId="0" fillId="0" borderId="0"/>
    <xf numFmtId="0" fontId="8" fillId="2" borderId="1" applyNumberFormat="0" applyAlignment="0" applyProtection="0"/>
    <xf numFmtId="0" fontId="9" fillId="3" borderId="2" applyNumberFormat="0" applyAlignment="0" applyProtection="0"/>
    <xf numFmtId="0" fontId="11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1" fillId="0" borderId="0"/>
    <xf numFmtId="0" fontId="11" fillId="0" borderId="0"/>
  </cellStyleXfs>
  <cellXfs count="183">
    <xf numFmtId="0" fontId="0" fillId="0" borderId="0" xfId="0"/>
    <xf numFmtId="0" fontId="10" fillId="7" borderId="3" xfId="0" applyFont="1" applyFill="1" applyBorder="1" applyAlignment="1">
      <alignment horizontal="center" vertical="center"/>
    </xf>
    <xf numFmtId="0" fontId="12" fillId="7" borderId="3" xfId="0" applyFont="1" applyFill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3" xfId="0" applyFont="1" applyBorder="1"/>
    <xf numFmtId="0" fontId="13" fillId="0" borderId="0" xfId="0" applyFont="1" applyAlignment="1">
      <alignment horizontal="center" vertical="center"/>
    </xf>
    <xf numFmtId="0" fontId="15" fillId="7" borderId="3" xfId="0" applyFont="1" applyFill="1" applyBorder="1" applyAlignment="1">
      <alignment horizontal="center" vertical="center"/>
    </xf>
    <xf numFmtId="0" fontId="17" fillId="7" borderId="3" xfId="8" applyFont="1" applyFill="1" applyBorder="1" applyAlignment="1">
      <alignment horizontal="center" vertical="center"/>
    </xf>
    <xf numFmtId="1" fontId="17" fillId="7" borderId="3" xfId="9" applyNumberFormat="1" applyFont="1" applyFill="1" applyBorder="1" applyAlignment="1">
      <alignment horizontal="center" vertical="center"/>
    </xf>
    <xf numFmtId="0" fontId="18" fillId="0" borderId="3" xfId="0" applyFont="1" applyBorder="1"/>
    <xf numFmtId="1" fontId="19" fillId="7" borderId="3" xfId="9" applyNumberFormat="1" applyFont="1" applyFill="1" applyBorder="1" applyAlignment="1">
      <alignment horizontal="center" vertical="center"/>
    </xf>
    <xf numFmtId="0" fontId="20" fillId="0" borderId="3" xfId="0" applyFont="1" applyBorder="1"/>
    <xf numFmtId="0" fontId="19" fillId="7" borderId="3" xfId="0" applyFont="1" applyFill="1" applyBorder="1" applyAlignment="1">
      <alignment horizontal="center" vertical="center"/>
    </xf>
    <xf numFmtId="0" fontId="11" fillId="7" borderId="3" xfId="0" applyFont="1" applyFill="1" applyBorder="1" applyAlignment="1">
      <alignment horizontal="left" vertical="center"/>
    </xf>
    <xf numFmtId="0" fontId="21" fillId="0" borderId="0" xfId="0" applyFont="1"/>
    <xf numFmtId="0" fontId="11" fillId="0" borderId="4" xfId="0" applyFont="1" applyBorder="1" applyAlignment="1">
      <alignment horizontal="center" vertical="center"/>
    </xf>
    <xf numFmtId="0" fontId="11" fillId="7" borderId="3" xfId="0" applyFont="1" applyFill="1" applyBorder="1" applyAlignment="1">
      <alignment horizontal="center" vertical="center"/>
    </xf>
    <xf numFmtId="0" fontId="22" fillId="7" borderId="3" xfId="3" applyFont="1" applyFill="1" applyBorder="1" applyAlignment="1">
      <alignment horizontal="center" vertical="center"/>
    </xf>
    <xf numFmtId="0" fontId="11" fillId="7" borderId="3" xfId="3" applyFont="1" applyFill="1" applyBorder="1" applyAlignment="1">
      <alignment horizontal="center" vertical="center"/>
    </xf>
    <xf numFmtId="0" fontId="22" fillId="0" borderId="3" xfId="3" applyFont="1" applyBorder="1" applyAlignment="1">
      <alignment horizontal="center" vertical="center"/>
    </xf>
    <xf numFmtId="0" fontId="23" fillId="7" borderId="3" xfId="3" applyFont="1" applyFill="1" applyBorder="1" applyAlignment="1">
      <alignment horizontal="center" vertical="center"/>
    </xf>
    <xf numFmtId="0" fontId="23" fillId="7" borderId="3" xfId="0" applyFont="1" applyFill="1" applyBorder="1" applyAlignment="1">
      <alignment horizontal="center" vertical="center"/>
    </xf>
    <xf numFmtId="0" fontId="24" fillId="4" borderId="3" xfId="3" applyFont="1" applyFill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25" fillId="9" borderId="3" xfId="3" applyFont="1" applyFill="1" applyBorder="1" applyAlignment="1">
      <alignment horizontal="center" vertical="center"/>
    </xf>
    <xf numFmtId="0" fontId="11" fillId="7" borderId="3" xfId="1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/>
    </xf>
    <xf numFmtId="0" fontId="18" fillId="7" borderId="3" xfId="1" applyFont="1" applyFill="1" applyBorder="1" applyAlignment="1">
      <alignment horizontal="center" vertical="center"/>
    </xf>
    <xf numFmtId="0" fontId="26" fillId="0" borderId="3" xfId="1" applyFont="1" applyFill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2" fillId="7" borderId="3" xfId="0" applyFont="1" applyFill="1" applyBorder="1" applyAlignment="1">
      <alignment horizontal="center" vertical="center"/>
    </xf>
    <xf numFmtId="0" fontId="26" fillId="7" borderId="3" xfId="1" applyFont="1" applyFill="1" applyBorder="1" applyAlignment="1">
      <alignment horizontal="center" vertical="center"/>
    </xf>
    <xf numFmtId="0" fontId="11" fillId="7" borderId="4" xfId="0" applyFont="1" applyFill="1" applyBorder="1" applyAlignment="1">
      <alignment horizontal="center" vertical="center"/>
    </xf>
    <xf numFmtId="0" fontId="18" fillId="7" borderId="3" xfId="5" applyFont="1" applyFill="1" applyBorder="1" applyAlignment="1">
      <alignment horizontal="center" vertical="center"/>
    </xf>
    <xf numFmtId="0" fontId="11" fillId="11" borderId="3" xfId="0" applyFont="1" applyFill="1" applyBorder="1" applyAlignment="1">
      <alignment horizontal="center" vertical="center"/>
    </xf>
    <xf numFmtId="0" fontId="18" fillId="7" borderId="3" xfId="0" applyFont="1" applyFill="1" applyBorder="1" applyAlignment="1">
      <alignment horizontal="center" vertical="center"/>
    </xf>
    <xf numFmtId="0" fontId="25" fillId="0" borderId="3" xfId="3" applyFont="1" applyBorder="1" applyAlignment="1">
      <alignment horizontal="center" vertical="center"/>
    </xf>
    <xf numFmtId="0" fontId="22" fillId="7" borderId="4" xfId="0" applyFont="1" applyFill="1" applyBorder="1" applyAlignment="1">
      <alignment horizontal="center" vertical="center"/>
    </xf>
    <xf numFmtId="0" fontId="18" fillId="4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22" fillId="9" borderId="3" xfId="0" applyFont="1" applyFill="1" applyBorder="1" applyAlignment="1">
      <alignment horizontal="center" vertical="center"/>
    </xf>
    <xf numFmtId="0" fontId="22" fillId="7" borderId="4" xfId="3" applyFont="1" applyFill="1" applyBorder="1" applyAlignment="1">
      <alignment horizontal="center" vertical="center"/>
    </xf>
    <xf numFmtId="0" fontId="18" fillId="7" borderId="4" xfId="3" applyFont="1" applyFill="1" applyBorder="1" applyAlignment="1">
      <alignment horizontal="center" vertical="center"/>
    </xf>
    <xf numFmtId="0" fontId="27" fillId="7" borderId="3" xfId="0" applyFont="1" applyFill="1" applyBorder="1" applyAlignment="1">
      <alignment horizontal="center" vertical="center"/>
    </xf>
    <xf numFmtId="0" fontId="11" fillId="0" borderId="4" xfId="2" applyFont="1" applyFill="1" applyBorder="1" applyAlignment="1">
      <alignment horizontal="center" vertical="center"/>
    </xf>
    <xf numFmtId="0" fontId="28" fillId="7" borderId="3" xfId="0" applyFont="1" applyFill="1" applyBorder="1" applyAlignment="1">
      <alignment horizontal="center" vertical="center"/>
    </xf>
    <xf numFmtId="0" fontId="11" fillId="0" borderId="3" xfId="3" applyFont="1" applyBorder="1" applyAlignment="1">
      <alignment horizontal="center" vertical="center"/>
    </xf>
    <xf numFmtId="0" fontId="11" fillId="0" borderId="4" xfId="3" applyFont="1" applyBorder="1" applyAlignment="1">
      <alignment horizontal="center" vertical="center"/>
    </xf>
    <xf numFmtId="0" fontId="11" fillId="0" borderId="3" xfId="0" applyFont="1" applyBorder="1" applyAlignment="1">
      <alignment horizontal="left" vertical="center"/>
    </xf>
    <xf numFmtId="0" fontId="11" fillId="5" borderId="3" xfId="0" applyFont="1" applyFill="1" applyBorder="1" applyAlignment="1">
      <alignment horizontal="center" vertical="center"/>
    </xf>
    <xf numFmtId="0" fontId="18" fillId="7" borderId="3" xfId="3" applyFont="1" applyFill="1" applyBorder="1" applyAlignment="1">
      <alignment horizontal="center" vertical="center"/>
    </xf>
    <xf numFmtId="0" fontId="11" fillId="0" borderId="3" xfId="2" applyFont="1" applyFill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1" fillId="4" borderId="3" xfId="3" applyFont="1" applyFill="1" applyBorder="1" applyAlignment="1">
      <alignment horizontal="center" vertical="center"/>
    </xf>
    <xf numFmtId="0" fontId="11" fillId="10" borderId="3" xfId="0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11" fillId="8" borderId="3" xfId="0" applyFont="1" applyFill="1" applyBorder="1" applyAlignment="1">
      <alignment horizontal="center" vertical="center"/>
    </xf>
    <xf numFmtId="0" fontId="30" fillId="7" borderId="3" xfId="3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1" fillId="12" borderId="3" xfId="7" applyFont="1" applyFill="1" applyBorder="1" applyAlignment="1">
      <alignment horizontal="center" vertical="center"/>
    </xf>
    <xf numFmtId="0" fontId="23" fillId="12" borderId="3" xfId="3" applyFont="1" applyFill="1" applyBorder="1" applyAlignment="1">
      <alignment horizontal="center" vertical="center"/>
    </xf>
    <xf numFmtId="0" fontId="34" fillId="12" borderId="3" xfId="7" applyFont="1" applyFill="1" applyBorder="1" applyAlignment="1">
      <alignment horizontal="center" vertical="center"/>
    </xf>
    <xf numFmtId="0" fontId="35" fillId="12" borderId="3" xfId="7" applyFont="1" applyFill="1" applyBorder="1" applyAlignment="1">
      <alignment horizontal="center" vertical="center"/>
    </xf>
    <xf numFmtId="0" fontId="37" fillId="7" borderId="3" xfId="0" applyFont="1" applyFill="1" applyBorder="1" applyAlignment="1">
      <alignment horizontal="center" vertical="center"/>
    </xf>
    <xf numFmtId="0" fontId="34" fillId="7" borderId="3" xfId="0" applyFont="1" applyFill="1" applyBorder="1" applyAlignment="1">
      <alignment horizontal="center" vertical="center"/>
    </xf>
    <xf numFmtId="0" fontId="36" fillId="7" borderId="3" xfId="0" applyFont="1" applyFill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36" fillId="0" borderId="3" xfId="0" applyFont="1" applyBorder="1" applyAlignment="1">
      <alignment horizontal="center" vertical="center"/>
    </xf>
    <xf numFmtId="0" fontId="34" fillId="7" borderId="3" xfId="1" applyFont="1" applyFill="1" applyBorder="1" applyAlignment="1">
      <alignment horizontal="center" vertical="center"/>
    </xf>
    <xf numFmtId="0" fontId="20" fillId="7" borderId="3" xfId="0" applyFont="1" applyFill="1" applyBorder="1" applyAlignment="1">
      <alignment horizontal="center" vertical="center"/>
    </xf>
    <xf numFmtId="0" fontId="20" fillId="7" borderId="3" xfId="4" applyFont="1" applyFill="1" applyBorder="1" applyAlignment="1">
      <alignment horizontal="center" vertical="center"/>
    </xf>
    <xf numFmtId="0" fontId="20" fillId="7" borderId="3" xfId="1" applyFont="1" applyFill="1" applyBorder="1" applyAlignment="1">
      <alignment horizontal="center" vertical="center"/>
    </xf>
    <xf numFmtId="0" fontId="36" fillId="7" borderId="3" xfId="3" applyFont="1" applyFill="1" applyBorder="1" applyAlignment="1">
      <alignment horizontal="center" vertical="center"/>
    </xf>
    <xf numFmtId="0" fontId="23" fillId="7" borderId="3" xfId="1" applyFont="1" applyFill="1" applyBorder="1" applyAlignment="1">
      <alignment horizontal="center" vertical="center"/>
    </xf>
    <xf numFmtId="0" fontId="34" fillId="7" borderId="4" xfId="0" applyFont="1" applyFill="1" applyBorder="1" applyAlignment="1">
      <alignment horizontal="center" vertical="center"/>
    </xf>
    <xf numFmtId="0" fontId="29" fillId="7" borderId="3" xfId="3" applyFont="1" applyFill="1" applyBorder="1" applyAlignment="1">
      <alignment horizontal="center" vertical="center"/>
    </xf>
    <xf numFmtId="0" fontId="18" fillId="0" borderId="5" xfId="0" applyFont="1" applyBorder="1" applyAlignment="1">
      <alignment vertical="center"/>
    </xf>
    <xf numFmtId="0" fontId="29" fillId="7" borderId="3" xfId="0" applyFont="1" applyFill="1" applyBorder="1" applyAlignment="1">
      <alignment horizontal="center" vertical="center"/>
    </xf>
    <xf numFmtId="0" fontId="34" fillId="7" borderId="3" xfId="0" applyFont="1" applyFill="1" applyBorder="1" applyAlignment="1">
      <alignment horizontal="center"/>
    </xf>
    <xf numFmtId="0" fontId="36" fillId="7" borderId="3" xfId="1" applyFont="1" applyFill="1" applyBorder="1" applyAlignment="1">
      <alignment horizontal="center" vertical="center"/>
    </xf>
    <xf numFmtId="0" fontId="18" fillId="13" borderId="3" xfId="0" applyFont="1" applyFill="1" applyBorder="1" applyAlignment="1">
      <alignment horizontal="center" vertical="center"/>
    </xf>
    <xf numFmtId="0" fontId="40" fillId="7" borderId="3" xfId="0" applyFont="1" applyFill="1" applyBorder="1" applyAlignment="1">
      <alignment horizontal="center"/>
    </xf>
    <xf numFmtId="0" fontId="41" fillId="7" borderId="3" xfId="6" applyFont="1" applyFill="1" applyBorder="1" applyAlignment="1">
      <alignment horizontal="center" vertical="center"/>
    </xf>
    <xf numFmtId="0" fontId="42" fillId="0" borderId="3" xfId="0" applyFont="1" applyBorder="1" applyAlignment="1">
      <alignment horizontal="center" vertical="center"/>
    </xf>
    <xf numFmtId="0" fontId="40" fillId="7" borderId="3" xfId="1" applyFont="1" applyFill="1" applyBorder="1" applyAlignment="1">
      <alignment horizontal="center" vertical="center"/>
    </xf>
    <xf numFmtId="0" fontId="34" fillId="7" borderId="3" xfId="3" applyFont="1" applyFill="1" applyBorder="1" applyAlignment="1">
      <alignment horizontal="center" vertical="center"/>
    </xf>
    <xf numFmtId="0" fontId="39" fillId="7" borderId="3" xfId="3" applyFont="1" applyFill="1" applyBorder="1" applyAlignment="1">
      <alignment horizontal="center" vertical="center"/>
    </xf>
    <xf numFmtId="0" fontId="43" fillId="7" borderId="3" xfId="0" applyFont="1" applyFill="1" applyBorder="1" applyAlignment="1">
      <alignment horizontal="center" vertical="center"/>
    </xf>
    <xf numFmtId="0" fontId="43" fillId="7" borderId="3" xfId="3" applyFont="1" applyFill="1" applyBorder="1" applyAlignment="1">
      <alignment horizontal="center" vertical="center"/>
    </xf>
    <xf numFmtId="0" fontId="44" fillId="7" borderId="3" xfId="0" applyFont="1" applyFill="1" applyBorder="1" applyAlignment="1">
      <alignment horizontal="center" vertical="center"/>
    </xf>
    <xf numFmtId="14" fontId="45" fillId="7" borderId="3" xfId="0" applyNumberFormat="1" applyFont="1" applyFill="1" applyBorder="1" applyAlignment="1">
      <alignment horizontal="center" vertical="center"/>
    </xf>
    <xf numFmtId="0" fontId="46" fillId="7" borderId="3" xfId="2" applyFont="1" applyFill="1" applyBorder="1" applyAlignment="1">
      <alignment horizontal="center" vertical="center"/>
    </xf>
    <xf numFmtId="0" fontId="35" fillId="7" borderId="3" xfId="0" applyFont="1" applyFill="1" applyBorder="1" applyAlignment="1">
      <alignment horizontal="center" vertical="center"/>
    </xf>
    <xf numFmtId="0" fontId="28" fillId="0" borderId="3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7" borderId="3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/>
    </xf>
    <xf numFmtId="0" fontId="11" fillId="8" borderId="3" xfId="2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7" borderId="3" xfId="6" applyFont="1" applyFill="1" applyBorder="1" applyAlignment="1">
      <alignment horizontal="center" vertical="center"/>
    </xf>
    <xf numFmtId="0" fontId="11" fillId="7" borderId="3" xfId="2" applyFont="1" applyFill="1" applyBorder="1" applyAlignment="1">
      <alignment horizontal="center" vertical="center"/>
    </xf>
    <xf numFmtId="0" fontId="11" fillId="6" borderId="3" xfId="3" applyFont="1" applyFill="1" applyBorder="1" applyAlignment="1">
      <alignment horizontal="center" vertical="center"/>
    </xf>
    <xf numFmtId="0" fontId="19" fillId="7" borderId="3" xfId="3" applyFont="1" applyFill="1" applyBorder="1" applyAlignment="1">
      <alignment horizontal="center" vertical="center"/>
    </xf>
    <xf numFmtId="0" fontId="18" fillId="0" borderId="3" xfId="5" applyFont="1" applyBorder="1" applyAlignment="1">
      <alignment horizontal="center" vertical="center"/>
    </xf>
    <xf numFmtId="0" fontId="6" fillId="0" borderId="0" xfId="0" applyFont="1"/>
    <xf numFmtId="0" fontId="6" fillId="0" borderId="0" xfId="0" applyFont="1" applyBorder="1"/>
    <xf numFmtId="0" fontId="6" fillId="0" borderId="3" xfId="0" applyFont="1" applyBorder="1"/>
    <xf numFmtId="0" fontId="39" fillId="10" borderId="3" xfId="0" applyFont="1" applyFill="1" applyBorder="1" applyAlignment="1">
      <alignment horizontal="center" vertical="center"/>
    </xf>
    <xf numFmtId="0" fontId="48" fillId="7" borderId="3" xfId="0" applyFont="1" applyFill="1" applyBorder="1" applyAlignment="1">
      <alignment horizontal="center" vertical="center"/>
    </xf>
    <xf numFmtId="0" fontId="48" fillId="0" borderId="3" xfId="0" applyFont="1" applyBorder="1" applyAlignment="1">
      <alignment horizontal="center"/>
    </xf>
    <xf numFmtId="0" fontId="11" fillId="14" borderId="3" xfId="0" applyFont="1" applyFill="1" applyBorder="1" applyAlignment="1">
      <alignment horizontal="center" vertical="center"/>
    </xf>
    <xf numFmtId="0" fontId="49" fillId="7" borderId="3" xfId="0" applyFont="1" applyFill="1" applyBorder="1" applyAlignment="1">
      <alignment vertical="center"/>
    </xf>
    <xf numFmtId="0" fontId="11" fillId="0" borderId="3" xfId="3" applyFont="1" applyFill="1" applyBorder="1" applyAlignment="1">
      <alignment horizontal="left" vertical="center"/>
    </xf>
    <xf numFmtId="0" fontId="23" fillId="7" borderId="0" xfId="0" applyFont="1" applyFill="1" applyBorder="1" applyAlignment="1">
      <alignment horizontal="center" vertical="center"/>
    </xf>
    <xf numFmtId="0" fontId="11" fillId="14" borderId="4" xfId="1" applyFont="1" applyFill="1" applyBorder="1" applyAlignment="1">
      <alignment horizontal="center" vertical="center"/>
    </xf>
    <xf numFmtId="0" fontId="11" fillId="14" borderId="3" xfId="1" applyFont="1" applyFill="1" applyBorder="1" applyAlignment="1">
      <alignment horizontal="center" vertical="center"/>
    </xf>
    <xf numFmtId="0" fontId="18" fillId="7" borderId="3" xfId="0" applyFont="1" applyFill="1" applyBorder="1" applyAlignment="1">
      <alignment vertical="center"/>
    </xf>
    <xf numFmtId="0" fontId="5" fillId="7" borderId="3" xfId="0" applyFont="1" applyFill="1" applyBorder="1" applyAlignment="1">
      <alignment vertical="center"/>
    </xf>
    <xf numFmtId="0" fontId="5" fillId="7" borderId="0" xfId="0" applyFont="1" applyFill="1" applyAlignment="1">
      <alignment vertical="center"/>
    </xf>
    <xf numFmtId="0" fontId="16" fillId="7" borderId="4" xfId="0" applyFont="1" applyFill="1" applyBorder="1" applyAlignment="1">
      <alignment horizontal="center" vertical="center"/>
    </xf>
    <xf numFmtId="0" fontId="20" fillId="7" borderId="4" xfId="0" applyFont="1" applyFill="1" applyBorder="1" applyAlignment="1">
      <alignment horizontal="center" vertical="center"/>
    </xf>
    <xf numFmtId="0" fontId="11" fillId="15" borderId="3" xfId="0" applyFont="1" applyFill="1" applyBorder="1" applyAlignment="1">
      <alignment horizontal="center" vertical="center"/>
    </xf>
    <xf numFmtId="0" fontId="11" fillId="15" borderId="3" xfId="1" applyFont="1" applyFill="1" applyBorder="1" applyAlignment="1">
      <alignment horizontal="center" vertical="center"/>
    </xf>
    <xf numFmtId="0" fontId="11" fillId="7" borderId="4" xfId="1" applyFont="1" applyFill="1" applyBorder="1" applyAlignment="1">
      <alignment horizontal="center" vertical="center"/>
    </xf>
    <xf numFmtId="0" fontId="4" fillId="7" borderId="3" xfId="0" applyFont="1" applyFill="1" applyBorder="1" applyAlignment="1">
      <alignment vertical="center"/>
    </xf>
    <xf numFmtId="0" fontId="4" fillId="7" borderId="0" xfId="0" applyFont="1" applyFill="1" applyAlignment="1">
      <alignment vertical="center"/>
    </xf>
    <xf numFmtId="0" fontId="11" fillId="6" borderId="4" xfId="0" applyFont="1" applyFill="1" applyBorder="1" applyAlignment="1">
      <alignment horizontal="center" vertical="center"/>
    </xf>
    <xf numFmtId="0" fontId="11" fillId="10" borderId="4" xfId="0" applyFont="1" applyFill="1" applyBorder="1" applyAlignment="1">
      <alignment horizontal="center" vertical="center"/>
    </xf>
    <xf numFmtId="0" fontId="11" fillId="7" borderId="4" xfId="3" applyFont="1" applyFill="1" applyBorder="1" applyAlignment="1">
      <alignment horizontal="center" vertical="center"/>
    </xf>
    <xf numFmtId="0" fontId="3" fillId="0" borderId="3" xfId="0" applyFont="1" applyBorder="1" applyAlignment="1">
      <alignment vertical="center"/>
    </xf>
    <xf numFmtId="0" fontId="36" fillId="0" borderId="3" xfId="0" applyFont="1" applyBorder="1" applyAlignment="1">
      <alignment horizontal="center"/>
    </xf>
    <xf numFmtId="0" fontId="11" fillId="8" borderId="3" xfId="6" applyFont="1" applyFill="1" applyBorder="1" applyAlignment="1">
      <alignment horizontal="center" vertical="center"/>
    </xf>
    <xf numFmtId="0" fontId="11" fillId="16" borderId="3" xfId="3" applyFont="1" applyFill="1" applyBorder="1" applyAlignment="1">
      <alignment horizontal="center" vertical="center"/>
    </xf>
    <xf numFmtId="0" fontId="11" fillId="17" borderId="3" xfId="0" applyFont="1" applyFill="1" applyBorder="1" applyAlignment="1">
      <alignment horizontal="center" vertical="center"/>
    </xf>
    <xf numFmtId="0" fontId="50" fillId="7" borderId="3" xfId="0" applyFont="1" applyFill="1" applyBorder="1" applyAlignment="1">
      <alignment horizontal="center" vertical="center"/>
    </xf>
    <xf numFmtId="0" fontId="50" fillId="7" borderId="3" xfId="4" applyFont="1" applyFill="1" applyBorder="1" applyAlignment="1">
      <alignment horizontal="center" vertical="center"/>
    </xf>
    <xf numFmtId="0" fontId="50" fillId="7" borderId="3" xfId="0" applyFont="1" applyFill="1" applyBorder="1" applyAlignment="1">
      <alignment horizontal="center"/>
    </xf>
    <xf numFmtId="0" fontId="50" fillId="7" borderId="4" xfId="1" applyFont="1" applyFill="1" applyBorder="1" applyAlignment="1">
      <alignment horizontal="center" vertical="center"/>
    </xf>
    <xf numFmtId="0" fontId="50" fillId="7" borderId="3" xfId="1" applyFont="1" applyFill="1" applyBorder="1" applyAlignment="1">
      <alignment horizontal="center" vertical="center"/>
    </xf>
    <xf numFmtId="0" fontId="51" fillId="7" borderId="3" xfId="0" applyFont="1" applyFill="1" applyBorder="1" applyAlignment="1">
      <alignment horizontal="center" vertical="center"/>
    </xf>
    <xf numFmtId="0" fontId="50" fillId="8" borderId="3" xfId="0" applyFont="1" applyFill="1" applyBorder="1" applyAlignment="1">
      <alignment horizontal="center" vertical="center"/>
    </xf>
    <xf numFmtId="0" fontId="10" fillId="8" borderId="3" xfId="0" applyFont="1" applyFill="1" applyBorder="1" applyAlignment="1">
      <alignment horizontal="center" vertical="center"/>
    </xf>
    <xf numFmtId="0" fontId="50" fillId="8" borderId="3" xfId="1" applyFont="1" applyFill="1" applyBorder="1" applyAlignment="1">
      <alignment horizontal="center" vertical="center"/>
    </xf>
    <xf numFmtId="0" fontId="10" fillId="7" borderId="3" xfId="4" applyFont="1" applyFill="1" applyBorder="1" applyAlignment="1">
      <alignment horizontal="center" vertical="center"/>
    </xf>
    <xf numFmtId="0" fontId="10" fillId="8" borderId="4" xfId="1" applyFont="1" applyFill="1" applyBorder="1" applyAlignment="1">
      <alignment horizontal="center" vertical="center"/>
    </xf>
    <xf numFmtId="0" fontId="50" fillId="8" borderId="3" xfId="0" applyFont="1" applyFill="1" applyBorder="1" applyAlignment="1">
      <alignment horizontal="center"/>
    </xf>
    <xf numFmtId="0" fontId="10" fillId="7" borderId="3" xfId="1" applyFont="1" applyFill="1" applyBorder="1" applyAlignment="1">
      <alignment horizontal="center" vertical="center"/>
    </xf>
    <xf numFmtId="0" fontId="10" fillId="8" borderId="3" xfId="1" applyFont="1" applyFill="1" applyBorder="1" applyAlignment="1">
      <alignment horizontal="center" vertical="center"/>
    </xf>
    <xf numFmtId="0" fontId="50" fillId="0" borderId="3" xfId="0" applyFont="1" applyBorder="1" applyAlignment="1">
      <alignment horizontal="center"/>
    </xf>
    <xf numFmtId="0" fontId="52" fillId="7" borderId="3" xfId="0" applyFont="1" applyFill="1" applyBorder="1" applyAlignment="1">
      <alignment horizontal="center" vertical="center"/>
    </xf>
    <xf numFmtId="0" fontId="53" fillId="0" borderId="3" xfId="0" applyFont="1" applyBorder="1" applyAlignment="1">
      <alignment horizontal="center"/>
    </xf>
    <xf numFmtId="0" fontId="50" fillId="0" borderId="3" xfId="5" applyFont="1" applyBorder="1" applyAlignment="1">
      <alignment horizontal="center" vertical="center"/>
    </xf>
    <xf numFmtId="0" fontId="11" fillId="16" borderId="4" xfId="0" applyFont="1" applyFill="1" applyBorder="1" applyAlignment="1">
      <alignment horizontal="center" vertical="center"/>
    </xf>
    <xf numFmtId="0" fontId="12" fillId="0" borderId="3" xfId="5" applyFont="1" applyBorder="1" applyAlignment="1">
      <alignment horizontal="center" vertical="center"/>
    </xf>
    <xf numFmtId="0" fontId="50" fillId="18" borderId="3" xfId="0" applyFont="1" applyFill="1" applyBorder="1" applyAlignment="1">
      <alignment horizontal="center" vertical="center"/>
    </xf>
    <xf numFmtId="0" fontId="10" fillId="0" borderId="3" xfId="5" applyFont="1" applyBorder="1" applyAlignment="1">
      <alignment horizontal="center" vertical="center"/>
    </xf>
    <xf numFmtId="0" fontId="11" fillId="16" borderId="3" xfId="0" applyFont="1" applyFill="1" applyBorder="1" applyAlignment="1">
      <alignment horizontal="center" vertical="center"/>
    </xf>
    <xf numFmtId="0" fontId="50" fillId="19" borderId="3" xfId="0" applyFont="1" applyFill="1" applyBorder="1" applyAlignment="1">
      <alignment horizontal="center" vertical="center"/>
    </xf>
    <xf numFmtId="0" fontId="10" fillId="8" borderId="3" xfId="4" applyFont="1" applyFill="1" applyBorder="1" applyAlignment="1">
      <alignment horizontal="center" vertical="center"/>
    </xf>
    <xf numFmtId="0" fontId="10" fillId="7" borderId="4" xfId="1" applyFont="1" applyFill="1" applyBorder="1" applyAlignment="1">
      <alignment horizontal="center" vertical="center"/>
    </xf>
    <xf numFmtId="0" fontId="52" fillId="7" borderId="4" xfId="1" applyFont="1" applyFill="1" applyBorder="1" applyAlignment="1">
      <alignment horizontal="center" vertical="center"/>
    </xf>
    <xf numFmtId="0" fontId="18" fillId="16" borderId="3" xfId="1" applyFont="1" applyFill="1" applyBorder="1" applyAlignment="1">
      <alignment horizontal="center" vertical="center"/>
    </xf>
    <xf numFmtId="0" fontId="48" fillId="7" borderId="4" xfId="1" applyFont="1" applyFill="1" applyBorder="1" applyAlignment="1">
      <alignment horizontal="center" vertical="center"/>
    </xf>
    <xf numFmtId="0" fontId="2" fillId="0" borderId="0" xfId="0" applyFont="1"/>
    <xf numFmtId="0" fontId="53" fillId="0" borderId="4" xfId="0" applyFont="1" applyBorder="1" applyAlignment="1">
      <alignment horizontal="center"/>
    </xf>
    <xf numFmtId="0" fontId="21" fillId="0" borderId="3" xfId="0" applyFont="1" applyBorder="1"/>
    <xf numFmtId="0" fontId="18" fillId="7" borderId="3" xfId="4" applyFont="1" applyFill="1" applyBorder="1" applyAlignment="1">
      <alignment horizontal="center" vertical="center"/>
    </xf>
    <xf numFmtId="0" fontId="11" fillId="7" borderId="3" xfId="4" applyFont="1" applyFill="1" applyBorder="1" applyAlignment="1">
      <alignment horizontal="center" vertical="center"/>
    </xf>
    <xf numFmtId="0" fontId="11" fillId="8" borderId="3" xfId="4" applyFont="1" applyFill="1" applyBorder="1" applyAlignment="1">
      <alignment horizontal="center" vertical="center"/>
    </xf>
    <xf numFmtId="0" fontId="18" fillId="7" borderId="3" xfId="0" applyFont="1" applyFill="1" applyBorder="1" applyAlignment="1">
      <alignment horizontal="center"/>
    </xf>
    <xf numFmtId="0" fontId="18" fillId="8" borderId="3" xfId="0" applyFont="1" applyFill="1" applyBorder="1" applyAlignment="1">
      <alignment horizontal="center"/>
    </xf>
    <xf numFmtId="0" fontId="18" fillId="8" borderId="3" xfId="1" applyFont="1" applyFill="1" applyBorder="1" applyAlignment="1">
      <alignment horizontal="center" vertical="center"/>
    </xf>
    <xf numFmtId="0" fontId="1" fillId="7" borderId="3" xfId="0" applyFont="1" applyFill="1" applyBorder="1" applyAlignment="1">
      <alignment vertical="center"/>
    </xf>
    <xf numFmtId="0" fontId="1" fillId="0" borderId="0" xfId="0" applyFont="1"/>
    <xf numFmtId="0" fontId="18" fillId="0" borderId="3" xfId="0" applyFont="1" applyBorder="1" applyAlignment="1">
      <alignment horizontal="center"/>
    </xf>
    <xf numFmtId="0" fontId="11" fillId="0" borderId="3" xfId="5" applyFont="1" applyBorder="1" applyAlignment="1">
      <alignment horizontal="center" vertical="center"/>
    </xf>
    <xf numFmtId="0" fontId="11" fillId="18" borderId="3" xfId="0" applyFont="1" applyFill="1" applyBorder="1" applyAlignment="1">
      <alignment horizontal="center" vertical="center"/>
    </xf>
    <xf numFmtId="0" fontId="18" fillId="18" borderId="3" xfId="0" applyFont="1" applyFill="1" applyBorder="1" applyAlignment="1">
      <alignment horizontal="center" vertical="center"/>
    </xf>
    <xf numFmtId="0" fontId="47" fillId="0" borderId="0" xfId="0" applyFont="1" applyAlignment="1">
      <alignment horizontal="center"/>
    </xf>
  </cellXfs>
  <cellStyles count="10">
    <cellStyle name="Normal 2 10" xfId="9" xr:uid="{00000000-0005-0000-0000-000000000000}"/>
    <cellStyle name="Normal_Sheet1" xfId="7" xr:uid="{00000000-0005-0000-0000-000001000000}"/>
    <cellStyle name="Normal_Transport daily dispatch report  16-22 ,  March  2009 2 2" xfId="3" xr:uid="{00000000-0005-0000-0000-000002000000}"/>
    <cellStyle name="Вывод" xfId="1" builtinId="21"/>
    <cellStyle name="Контрольная ячейка" xfId="2" builtinId="23"/>
    <cellStyle name="Обычный" xfId="0" builtinId="0"/>
    <cellStyle name="Обычный 10 10 6 2 2" xfId="5" xr:uid="{00000000-0005-0000-0000-000006000000}"/>
    <cellStyle name="Обычный 10 9" xfId="6" xr:uid="{00000000-0005-0000-0000-000007000000}"/>
    <cellStyle name="Обычный 2" xfId="8" xr:uid="{00000000-0005-0000-0000-000008000000}"/>
    <cellStyle name="Обычный 2 10" xfId="4" xr:uid="{00000000-0005-0000-0000-000009000000}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topLeftCell="A52" zoomScale="80" zoomScaleNormal="8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146</v>
      </c>
      <c r="B2" s="60" t="s">
        <v>103</v>
      </c>
      <c r="C2" s="3" t="s">
        <v>102</v>
      </c>
      <c r="D2" s="3" t="s">
        <v>141</v>
      </c>
      <c r="E2" s="60" t="s">
        <v>175</v>
      </c>
      <c r="F2" s="16" t="s">
        <v>169</v>
      </c>
      <c r="G2" s="60" t="s">
        <v>106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16" t="s">
        <v>142</v>
      </c>
      <c r="B3" s="60" t="s">
        <v>171</v>
      </c>
      <c r="C3" s="60" t="s">
        <v>118</v>
      </c>
      <c r="D3" s="3" t="s">
        <v>140</v>
      </c>
      <c r="E3" s="16"/>
      <c r="F3" s="3" t="s">
        <v>12</v>
      </c>
      <c r="G3" s="16" t="s">
        <v>105</v>
      </c>
      <c r="H3" s="110"/>
      <c r="I3" s="46" t="s">
        <v>13</v>
      </c>
      <c r="J3" s="18"/>
      <c r="M3" s="109"/>
    </row>
    <row r="4" spans="1:13" x14ac:dyDescent="0.3">
      <c r="A4" s="60" t="s">
        <v>145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14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150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1"/>
      <c r="C9" s="122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1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6" t="s">
        <v>143</v>
      </c>
      <c r="F17" s="57" t="s">
        <v>178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6" t="s">
        <v>108</v>
      </c>
      <c r="F18" s="16" t="s">
        <v>128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6" t="s">
        <v>99</v>
      </c>
      <c r="F19" s="57" t="s">
        <v>112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105" t="s">
        <v>124</v>
      </c>
      <c r="E20" s="60" t="s">
        <v>45</v>
      </c>
      <c r="F20" s="16" t="s">
        <v>147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105" t="s">
        <v>176</v>
      </c>
      <c r="E21" s="60" t="s">
        <v>107</v>
      </c>
      <c r="F21" s="16" t="s">
        <v>148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49</v>
      </c>
      <c r="E22" s="54" t="s">
        <v>144</v>
      </c>
      <c r="F22" s="57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5"/>
      <c r="F23" s="59" t="s">
        <v>95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E24" s="60" t="s">
        <v>125</v>
      </c>
      <c r="F24" s="25"/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 t="s">
        <v>177</v>
      </c>
      <c r="F25" s="57" t="s">
        <v>159</v>
      </c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25"/>
      <c r="F26" s="57" t="s">
        <v>160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25"/>
      <c r="F27" s="57" t="s">
        <v>96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0"/>
      <c r="F28" s="16" t="s">
        <v>161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49" t="s">
        <v>57</v>
      </c>
      <c r="F29" s="114" t="s">
        <v>97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60" t="s">
        <v>110</v>
      </c>
      <c r="F30" s="16" t="s">
        <v>162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6" t="s">
        <v>111</v>
      </c>
      <c r="F31" s="16" t="s">
        <v>163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8" t="s">
        <v>60</v>
      </c>
      <c r="F32" s="16" t="s">
        <v>164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17"/>
      <c r="F33" s="104" t="s">
        <v>165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3"/>
      <c r="F34" s="57" t="s">
        <v>166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3"/>
      <c r="F35" s="16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16"/>
      <c r="F36" s="16" t="s">
        <v>149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50"/>
      <c r="F37" s="16" t="s">
        <v>130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50"/>
      <c r="F38" s="25" t="s">
        <v>132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17"/>
      <c r="F39" s="57" t="s">
        <v>133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16"/>
      <c r="F40" s="59" t="s">
        <v>173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3"/>
      <c r="F41" s="16" t="s">
        <v>134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51"/>
      <c r="F42" s="119" t="s">
        <v>114</v>
      </c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51"/>
      <c r="F43" s="16"/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3"/>
      <c r="F44" s="16" t="s">
        <v>151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3"/>
      <c r="F45" s="16" t="s">
        <v>152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3"/>
      <c r="F46" s="59" t="s">
        <v>153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6"/>
      <c r="F47" s="59" t="s">
        <v>179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6"/>
      <c r="F48" s="57" t="s">
        <v>61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3"/>
      <c r="F49" s="59" t="s">
        <v>154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3"/>
      <c r="F50" s="16" t="s">
        <v>117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3"/>
      <c r="F51" s="16" t="s">
        <v>155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3"/>
      <c r="F52" s="101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3"/>
      <c r="F53" s="16" t="s">
        <v>167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6"/>
      <c r="F54" s="16" t="s">
        <v>135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6"/>
      <c r="F55" s="120"/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6"/>
      <c r="F56" s="16" t="s">
        <v>156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3"/>
      <c r="F57" s="56" t="s">
        <v>115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3"/>
      <c r="F58" s="59" t="s">
        <v>100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3"/>
      <c r="F59" s="16"/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3"/>
      <c r="F60" s="103" t="s">
        <v>157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3"/>
      <c r="F61" s="57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3"/>
      <c r="F62" s="16" t="s">
        <v>137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6"/>
      <c r="F63" s="16" t="s">
        <v>136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6"/>
      <c r="F64" s="16" t="s">
        <v>184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57" t="s">
        <v>185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59" t="s">
        <v>116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25" t="s">
        <v>158</v>
      </c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 t="s">
        <v>152</v>
      </c>
      <c r="B70" s="21" t="s">
        <v>168</v>
      </c>
      <c r="C70" s="112" t="s">
        <v>138</v>
      </c>
      <c r="D70" s="16" t="s">
        <v>99</v>
      </c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6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8</v>
      </c>
      <c r="J72" s="3"/>
    </row>
    <row r="73" spans="1:10" x14ac:dyDescent="0.3">
      <c r="A73" s="27"/>
      <c r="B73" s="73"/>
      <c r="C73" s="2"/>
      <c r="D73" s="6"/>
      <c r="E73" s="71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71"/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4</v>
      </c>
      <c r="F96" s="20" t="s">
        <v>65</v>
      </c>
      <c r="G96" s="3"/>
      <c r="H96" s="3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182"/>
      <c r="B102" s="182"/>
      <c r="C102" s="182"/>
      <c r="D102" s="182"/>
      <c r="E102" s="182"/>
      <c r="F102" s="182"/>
      <c r="G102" s="182"/>
      <c r="H102" s="182"/>
      <c r="I102" s="182"/>
      <c r="J102" s="182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5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AF77F-A81D-4F18-9CEB-1A7BD1E2F215}">
  <dimension ref="A1:M102"/>
  <sheetViews>
    <sheetView topLeftCell="A55" zoomScale="80" zoomScaleNormal="80" workbookViewId="0">
      <selection activeCell="J40" sqref="J40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140</v>
      </c>
      <c r="B2" s="60" t="s">
        <v>189</v>
      </c>
      <c r="C2" s="16" t="s">
        <v>102</v>
      </c>
      <c r="D2" s="3" t="s">
        <v>187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60" t="s">
        <v>190</v>
      </c>
      <c r="B3" s="60" t="s">
        <v>191</v>
      </c>
      <c r="C3" s="60" t="s">
        <v>118</v>
      </c>
      <c r="D3" s="3" t="s">
        <v>188</v>
      </c>
      <c r="E3" s="16"/>
      <c r="F3" s="3" t="s">
        <v>12</v>
      </c>
      <c r="G3" s="110"/>
      <c r="H3" s="110"/>
      <c r="I3" s="46" t="s">
        <v>13</v>
      </c>
      <c r="J3" s="18"/>
      <c r="M3" s="109"/>
    </row>
    <row r="4" spans="1:13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242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8"/>
      <c r="C9" s="129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25" t="s">
        <v>203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30" t="s">
        <v>196</v>
      </c>
      <c r="F18" s="60" t="s">
        <v>204</v>
      </c>
      <c r="G18" s="3"/>
      <c r="H18" s="16"/>
      <c r="I18" s="48"/>
      <c r="J18" s="3"/>
    </row>
    <row r="19" spans="1:10" x14ac:dyDescent="0.3">
      <c r="A19" s="23" t="s">
        <v>41</v>
      </c>
      <c r="B19" s="3"/>
      <c r="C19" s="18"/>
      <c r="D19" s="46" t="s">
        <v>42</v>
      </c>
      <c r="E19" s="130" t="s">
        <v>125</v>
      </c>
      <c r="F19" s="125" t="s">
        <v>205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60" t="s">
        <v>206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60" t="s">
        <v>193</v>
      </c>
      <c r="E21" s="32" t="s">
        <v>197</v>
      </c>
      <c r="F21" s="60" t="s">
        <v>207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194</v>
      </c>
      <c r="E22" s="32" t="s">
        <v>198</v>
      </c>
      <c r="F22" s="60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131" t="s">
        <v>199</v>
      </c>
      <c r="F23" s="126" t="s">
        <v>208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F24" s="126"/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7" t="s">
        <v>177</v>
      </c>
      <c r="F25" s="125" t="s">
        <v>209</v>
      </c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25" t="s">
        <v>210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25" t="s">
        <v>211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60" t="s">
        <v>212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60" t="s">
        <v>213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60" t="s">
        <v>214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30" t="s">
        <v>201</v>
      </c>
      <c r="F31" s="60" t="s">
        <v>215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60" t="s">
        <v>216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25" t="s">
        <v>217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25"/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6" t="s">
        <v>149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60" t="s">
        <v>218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19" t="s">
        <v>219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6" t="s">
        <v>220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25" t="s">
        <v>221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60" t="s">
        <v>222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25" t="s">
        <v>150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6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60" t="s">
        <v>223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60" t="s">
        <v>224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25" t="s">
        <v>225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25" t="s">
        <v>226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6" t="s">
        <v>227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25" t="s">
        <v>228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60" t="s">
        <v>229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60" t="s">
        <v>230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04" t="s">
        <v>231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60" t="s">
        <v>232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6" t="s">
        <v>135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20"/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60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35" t="s">
        <v>234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60" t="s">
        <v>100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6"/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60" t="s">
        <v>235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6" t="s">
        <v>236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60" t="s">
        <v>237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60" t="s">
        <v>238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6" t="s">
        <v>184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6" t="s">
        <v>239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25" t="s">
        <v>240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60" t="s">
        <v>241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25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1" t="s">
        <v>168</v>
      </c>
      <c r="C70" s="112" t="s">
        <v>138</v>
      </c>
      <c r="D70" s="16"/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110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8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105</v>
      </c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71" t="s">
        <v>41</v>
      </c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182"/>
      <c r="B102" s="182"/>
      <c r="C102" s="182"/>
      <c r="D102" s="182"/>
      <c r="E102" s="182"/>
      <c r="F102" s="182"/>
      <c r="G102" s="182"/>
      <c r="H102" s="182"/>
      <c r="I102" s="182"/>
      <c r="J102" s="182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4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19216-E6BD-4134-994F-B1DF9E00BA14}">
  <dimension ref="A1:M102"/>
  <sheetViews>
    <sheetView topLeftCell="A49" zoomScale="70" zoomScaleNormal="7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140</v>
      </c>
      <c r="B2" s="60" t="s">
        <v>189</v>
      </c>
      <c r="C2" s="16" t="s">
        <v>102</v>
      </c>
      <c r="D2" s="3" t="s">
        <v>187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60" t="s">
        <v>190</v>
      </c>
      <c r="B3" s="60" t="s">
        <v>191</v>
      </c>
      <c r="C3" s="60" t="s">
        <v>118</v>
      </c>
      <c r="D3" s="3" t="s">
        <v>188</v>
      </c>
      <c r="E3" s="16"/>
      <c r="F3" s="3" t="s">
        <v>12</v>
      </c>
      <c r="G3" s="110"/>
      <c r="H3" s="130" t="s">
        <v>218</v>
      </c>
      <c r="I3" s="46" t="s">
        <v>13</v>
      </c>
      <c r="J3" s="18"/>
      <c r="M3" s="109"/>
    </row>
    <row r="4" spans="1:13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242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8"/>
      <c r="C9" s="129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138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30" t="s">
        <v>196</v>
      </c>
      <c r="F18" s="16" t="s">
        <v>203</v>
      </c>
      <c r="G18" s="3"/>
      <c r="H18" s="16"/>
      <c r="I18" s="48"/>
      <c r="J18" s="3"/>
    </row>
    <row r="19" spans="1:10" x14ac:dyDescent="0.3">
      <c r="A19" s="23" t="s">
        <v>41</v>
      </c>
      <c r="B19" s="3"/>
      <c r="C19" s="18"/>
      <c r="D19" s="46" t="s">
        <v>42</v>
      </c>
      <c r="E19" s="130" t="s">
        <v>125</v>
      </c>
      <c r="F19" s="130" t="s">
        <v>204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6" t="s">
        <v>205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60" t="s">
        <v>193</v>
      </c>
      <c r="E21" s="32" t="s">
        <v>197</v>
      </c>
      <c r="F21" s="130" t="s">
        <v>206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194</v>
      </c>
      <c r="E22" s="32" t="s">
        <v>198</v>
      </c>
      <c r="F22" s="130" t="s">
        <v>207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131" t="s">
        <v>199</v>
      </c>
      <c r="F23" s="130" t="s">
        <v>183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F24" s="25" t="s">
        <v>208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7" t="s">
        <v>177</v>
      </c>
      <c r="F25" s="25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6" t="s">
        <v>209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6" t="s">
        <v>210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6" t="s">
        <v>211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30" t="s">
        <v>212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30" t="s">
        <v>213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30" t="s">
        <v>201</v>
      </c>
      <c r="F31" s="130" t="s">
        <v>214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0" t="s">
        <v>215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30" t="s">
        <v>216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6" t="s">
        <v>217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6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6" t="s">
        <v>149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33"/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19" t="s">
        <v>219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" t="s">
        <v>220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25" t="s">
        <v>221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30" t="s">
        <v>222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25" t="s">
        <v>150</v>
      </c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6"/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0" t="s">
        <v>223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0" t="s">
        <v>224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25" t="s">
        <v>225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6" t="s">
        <v>227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25" t="s">
        <v>228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30" t="s">
        <v>229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30" t="s">
        <v>243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04" t="s">
        <v>231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30" t="s">
        <v>232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6" t="s">
        <v>135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20"/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30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35" t="s">
        <v>234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30" t="s">
        <v>100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6"/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30" t="s">
        <v>235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6" t="s">
        <v>236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30" t="s">
        <v>237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30" t="s">
        <v>238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6" t="s">
        <v>184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6" t="s">
        <v>239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25" t="s">
        <v>240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130" t="s">
        <v>241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25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 t="s">
        <v>138</v>
      </c>
      <c r="B70" s="21" t="s">
        <v>168</v>
      </c>
      <c r="C70" s="134" t="s">
        <v>226</v>
      </c>
      <c r="D70" s="16"/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110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8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23" t="s">
        <v>105</v>
      </c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41</v>
      </c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182"/>
      <c r="B102" s="182"/>
      <c r="C102" s="182"/>
      <c r="D102" s="182"/>
      <c r="E102" s="182"/>
      <c r="F102" s="182"/>
      <c r="G102" s="182"/>
      <c r="H102" s="182"/>
      <c r="I102" s="182"/>
      <c r="J102" s="182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3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DAE15-FE05-4CD8-B380-09D923D3B537}">
  <dimension ref="A1:M102"/>
  <sheetViews>
    <sheetView zoomScale="70" zoomScaleNormal="7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140</v>
      </c>
      <c r="B2" s="60" t="s">
        <v>189</v>
      </c>
      <c r="C2" s="16" t="s">
        <v>102</v>
      </c>
      <c r="D2" s="3" t="s">
        <v>187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60" t="s">
        <v>190</v>
      </c>
      <c r="B3" s="60" t="s">
        <v>191</v>
      </c>
      <c r="C3" s="60" t="s">
        <v>118</v>
      </c>
      <c r="D3" s="3" t="s">
        <v>188</v>
      </c>
      <c r="E3" s="16"/>
      <c r="F3" s="3" t="s">
        <v>12</v>
      </c>
      <c r="G3" s="110"/>
      <c r="H3" s="130" t="s">
        <v>222</v>
      </c>
      <c r="I3" s="46" t="s">
        <v>13</v>
      </c>
      <c r="J3" s="18"/>
      <c r="M3" s="109"/>
    </row>
    <row r="4" spans="1:13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242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8"/>
      <c r="C9" s="129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138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30" t="s">
        <v>196</v>
      </c>
      <c r="F18" s="16" t="s">
        <v>203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125</v>
      </c>
      <c r="F19" s="57" t="s">
        <v>204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6" t="s">
        <v>205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60" t="s">
        <v>193</v>
      </c>
      <c r="E21" s="32" t="s">
        <v>197</v>
      </c>
      <c r="F21" s="57" t="s">
        <v>206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194</v>
      </c>
      <c r="E22" s="32" t="s">
        <v>198</v>
      </c>
      <c r="F22" s="57" t="s">
        <v>207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131" t="s">
        <v>199</v>
      </c>
      <c r="F23" s="57" t="s">
        <v>183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F24" s="25" t="s">
        <v>208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7" t="s">
        <v>177</v>
      </c>
      <c r="F25" s="25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6" t="s">
        <v>209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6" t="s">
        <v>210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6" t="s">
        <v>211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57" t="s">
        <v>212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57" t="s">
        <v>213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30" t="s">
        <v>201</v>
      </c>
      <c r="F31" s="57" t="s">
        <v>214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57" t="s">
        <v>244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01" t="s">
        <v>216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6" t="s">
        <v>217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6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6" t="s">
        <v>149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57" t="s">
        <v>218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19" t="s">
        <v>219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" t="s">
        <v>220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25" t="s">
        <v>221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"/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25" t="s">
        <v>150</v>
      </c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6"/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57" t="s">
        <v>223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57" t="s">
        <v>224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25" t="s">
        <v>225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25" t="s">
        <v>226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" t="s">
        <v>227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25" t="s">
        <v>228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57" t="s">
        <v>229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57" t="s">
        <v>243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04" t="s">
        <v>231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57" t="s">
        <v>232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6" t="s">
        <v>135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20"/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57" t="s">
        <v>233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35" t="s">
        <v>234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59" t="s">
        <v>100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6"/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35" t="s">
        <v>235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6" t="s">
        <v>236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57" t="s">
        <v>237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57" t="s">
        <v>238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6" t="s">
        <v>184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6" t="s">
        <v>239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25" t="s">
        <v>240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59" t="s">
        <v>241</v>
      </c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 t="s">
        <v>226</v>
      </c>
      <c r="B70" s="21" t="s">
        <v>168</v>
      </c>
      <c r="C70" s="134"/>
      <c r="D70" s="16" t="s">
        <v>41</v>
      </c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7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7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23" t="s">
        <v>105</v>
      </c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/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5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182"/>
      <c r="B102" s="182"/>
      <c r="C102" s="182"/>
      <c r="D102" s="182"/>
      <c r="E102" s="182"/>
      <c r="F102" s="182"/>
      <c r="G102" s="182"/>
      <c r="H102" s="182"/>
      <c r="I102" s="182"/>
      <c r="J102" s="182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2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A2C28-6148-4462-A70F-BFE75F70A89E}">
  <dimension ref="A1:M102"/>
  <sheetViews>
    <sheetView topLeftCell="A49" zoomScale="70" zoomScaleNormal="70" workbookViewId="0">
      <selection activeCell="E17" sqref="E17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140</v>
      </c>
      <c r="B2" s="60" t="s">
        <v>189</v>
      </c>
      <c r="C2" s="16" t="s">
        <v>102</v>
      </c>
      <c r="D2" s="3" t="s">
        <v>187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60" t="s">
        <v>190</v>
      </c>
      <c r="B3" s="60" t="s">
        <v>191</v>
      </c>
      <c r="C3" s="60" t="s">
        <v>118</v>
      </c>
      <c r="D3" s="3" t="s">
        <v>188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242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8"/>
      <c r="C9" s="129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138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30" t="s">
        <v>246</v>
      </c>
      <c r="F18" s="16" t="s">
        <v>203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125</v>
      </c>
      <c r="F19" s="57" t="s">
        <v>204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245</v>
      </c>
      <c r="F20" s="16" t="s">
        <v>205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60" t="s">
        <v>193</v>
      </c>
      <c r="E21" s="21" t="s">
        <v>197</v>
      </c>
      <c r="F21" s="57" t="s">
        <v>206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194</v>
      </c>
      <c r="E22" s="16" t="s">
        <v>198</v>
      </c>
      <c r="F22" s="57" t="s">
        <v>207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110"/>
      <c r="F23" s="57" t="s">
        <v>183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E24" s="110"/>
      <c r="F24" s="25" t="s">
        <v>208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 t="s">
        <v>177</v>
      </c>
      <c r="F25" s="25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6" t="s">
        <v>209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6" t="s">
        <v>210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6" t="s">
        <v>211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57" t="s">
        <v>212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57" t="s">
        <v>213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30" t="s">
        <v>201</v>
      </c>
      <c r="F31" s="57" t="s">
        <v>214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57" t="s">
        <v>244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01" t="s">
        <v>216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6" t="s">
        <v>217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6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6" t="s">
        <v>149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57" t="s">
        <v>218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19" t="s">
        <v>219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" t="s">
        <v>220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25" t="s">
        <v>221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57" t="s">
        <v>222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25" t="s">
        <v>150</v>
      </c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6"/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57" t="s">
        <v>223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57" t="s">
        <v>224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25" t="s">
        <v>225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25" t="s">
        <v>226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" t="s">
        <v>227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25" t="s">
        <v>228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57" t="s">
        <v>229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57" t="s">
        <v>243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04" t="s">
        <v>231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57" t="s">
        <v>232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6" t="s">
        <v>135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20"/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57" t="s">
        <v>233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35" t="s">
        <v>234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59" t="s">
        <v>100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6"/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35" t="s">
        <v>235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6" t="s">
        <v>236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57" t="s">
        <v>237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57" t="s">
        <v>238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6" t="s">
        <v>184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6" t="s">
        <v>239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25" t="s">
        <v>240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59" t="s">
        <v>241</v>
      </c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1" t="s">
        <v>168</v>
      </c>
      <c r="C70" s="134"/>
      <c r="D70" s="16"/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111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7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23" t="s">
        <v>105</v>
      </c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71" t="s">
        <v>197</v>
      </c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182"/>
      <c r="B102" s="182"/>
      <c r="C102" s="182"/>
      <c r="D102" s="182"/>
      <c r="E102" s="182"/>
      <c r="F102" s="182"/>
      <c r="G102" s="182"/>
      <c r="H102" s="182"/>
      <c r="I102" s="182"/>
      <c r="J102" s="182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1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1B6C8-8892-498D-AB9C-3DDA68AEA5D3}">
  <dimension ref="A1:M102"/>
  <sheetViews>
    <sheetView zoomScale="55" zoomScaleNormal="55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3" t="s">
        <v>249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60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16" t="s">
        <v>36</v>
      </c>
      <c r="E21" s="21"/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10"/>
      <c r="F23" s="138" t="s">
        <v>270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27"/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111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46</v>
      </c>
      <c r="F71" s="55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94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23" t="s">
        <v>105</v>
      </c>
      <c r="F74" s="55" t="s">
        <v>255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71" t="s">
        <v>197</v>
      </c>
      <c r="F75" s="130" t="s">
        <v>125</v>
      </c>
      <c r="G75" s="66"/>
      <c r="H75" s="7"/>
      <c r="I75" s="3">
        <f>SUM(A99,E99)</f>
        <v>35</v>
      </c>
      <c r="J75" s="3" t="s">
        <v>79</v>
      </c>
    </row>
    <row r="76" spans="1:10" x14ac:dyDescent="0.3">
      <c r="A76" s="72"/>
      <c r="B76" s="2"/>
      <c r="C76" s="2"/>
      <c r="D76" s="6"/>
      <c r="E76" s="71" t="s">
        <v>59</v>
      </c>
      <c r="F76" s="130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7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13</v>
      </c>
      <c r="F99" s="3" t="s">
        <v>79</v>
      </c>
      <c r="G99" s="3"/>
      <c r="H99" s="3"/>
      <c r="I99" s="3"/>
      <c r="J99" s="3"/>
    </row>
    <row r="102" spans="1:10" x14ac:dyDescent="0.3">
      <c r="A102" s="182"/>
      <c r="B102" s="182"/>
      <c r="C102" s="182"/>
      <c r="D102" s="182"/>
      <c r="E102" s="182"/>
      <c r="F102" s="182"/>
      <c r="G102" s="182"/>
      <c r="H102" s="182"/>
      <c r="I102" s="182"/>
      <c r="J102" s="182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0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56839-8602-4CA5-9395-1FF1F36FC71F}">
  <dimension ref="A1:M102"/>
  <sheetViews>
    <sheetView topLeftCell="A13" zoomScale="70" zoomScaleNormal="70" workbookViewId="0">
      <selection activeCell="A13"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23" t="s">
        <v>249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60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55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73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182"/>
      <c r="B102" s="182"/>
      <c r="C102" s="182"/>
      <c r="D102" s="182"/>
      <c r="E102" s="182"/>
      <c r="F102" s="182"/>
      <c r="G102" s="182"/>
      <c r="H102" s="182"/>
      <c r="I102" s="182"/>
      <c r="J102" s="182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9" priority="1"/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B3D09-F4DF-4074-B90A-89DBFE3C69DB}">
  <dimension ref="A1:M102"/>
  <sheetViews>
    <sheetView topLeftCell="A22" zoomScale="70" zoomScaleNormal="70" workbookViewId="0">
      <selection activeCell="C41" sqref="C41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23" t="s">
        <v>249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60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55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73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182"/>
      <c r="B102" s="182"/>
      <c r="C102" s="182"/>
      <c r="D102" s="182"/>
      <c r="E102" s="182"/>
      <c r="F102" s="182"/>
      <c r="G102" s="182"/>
      <c r="H102" s="182"/>
      <c r="I102" s="182"/>
      <c r="J102" s="182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8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DDA06-A1DC-45C6-8B75-69A08BF66A60}">
  <dimension ref="A1:M102"/>
  <sheetViews>
    <sheetView zoomScale="70" zoomScaleNormal="70" workbookViewId="0">
      <selection activeCell="O16" sqref="O1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23" t="s">
        <v>249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60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 t="s">
        <v>52</v>
      </c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6" t="s">
        <v>43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00" t="s">
        <v>54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/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157" t="s">
        <v>38</v>
      </c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182"/>
      <c r="B102" s="182"/>
      <c r="C102" s="182"/>
      <c r="D102" s="182"/>
      <c r="E102" s="182"/>
      <c r="F102" s="182"/>
      <c r="G102" s="182"/>
      <c r="H102" s="182"/>
      <c r="I102" s="182"/>
      <c r="J102" s="182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7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58A92-A4B2-4165-8EDD-65BBB1AB242C}">
  <dimension ref="A1:M102"/>
  <sheetViews>
    <sheetView zoomScale="70" zoomScaleNormal="70" workbookViewId="0">
      <selection activeCell="H32" sqref="H32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54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54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 t="s">
        <v>52</v>
      </c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158" t="s">
        <v>299</v>
      </c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150" t="s">
        <v>293</v>
      </c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6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58" t="s">
        <v>300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00" t="s">
        <v>54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/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59" t="s">
        <v>38</v>
      </c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 t="s">
        <v>43</v>
      </c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7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182"/>
      <c r="B102" s="182"/>
      <c r="C102" s="182"/>
      <c r="D102" s="182"/>
      <c r="E102" s="182"/>
      <c r="F102" s="182"/>
      <c r="G102" s="182"/>
      <c r="H102" s="182"/>
      <c r="I102" s="182"/>
      <c r="J102" s="182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6" priority="1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AD05E-2876-4BC1-ACB2-83F5C2A702F5}">
  <dimension ref="A1:M102"/>
  <sheetViews>
    <sheetView zoomScale="70" zoomScaleNormal="70" workbookViewId="0">
      <selection activeCell="H42" sqref="H42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54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54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 t="s">
        <v>52</v>
      </c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6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00" t="s">
        <v>54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/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38" t="s">
        <v>301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 t="s">
        <v>135</v>
      </c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" t="s">
        <v>129</v>
      </c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 t="s">
        <v>43</v>
      </c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7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182"/>
      <c r="B102" s="182"/>
      <c r="C102" s="182"/>
      <c r="D102" s="182"/>
      <c r="E102" s="182"/>
      <c r="F102" s="182"/>
      <c r="G102" s="182"/>
      <c r="H102" s="182"/>
      <c r="I102" s="182"/>
      <c r="J102" s="182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5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036DD-CA98-456B-8B0D-3EF2B5E944EC}">
  <dimension ref="A1:M102"/>
  <sheetViews>
    <sheetView topLeftCell="A48" zoomScale="70" zoomScaleNormal="70" workbookViewId="0">
      <selection activeCell="A96" sqref="A9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54" t="s">
        <v>118</v>
      </c>
      <c r="C2" s="160" t="s">
        <v>303</v>
      </c>
      <c r="D2" s="54" t="s">
        <v>248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190</v>
      </c>
      <c r="B3" s="60" t="s">
        <v>103</v>
      </c>
      <c r="C3" s="16" t="s">
        <v>188</v>
      </c>
      <c r="D3" s="3" t="s">
        <v>141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306</v>
      </c>
      <c r="B8" s="161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38" t="s">
        <v>260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" t="s">
        <v>261</v>
      </c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0" t="s">
        <v>107</v>
      </c>
      <c r="F17" s="138" t="s">
        <v>307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144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38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38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304</v>
      </c>
      <c r="E23" s="154" t="s">
        <v>305</v>
      </c>
      <c r="F23" s="144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45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" t="s">
        <v>314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111</v>
      </c>
      <c r="F30" s="145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110</v>
      </c>
      <c r="F31" s="145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44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45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45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39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1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2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7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45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63" t="s">
        <v>322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8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8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0" t="s">
        <v>325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2" t="s">
        <v>327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44" t="s">
        <v>328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9" t="s">
        <v>232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45" t="s">
        <v>329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45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9" t="s">
        <v>115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2" t="s">
        <v>330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2" t="s">
        <v>331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1" t="s">
        <v>332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1" t="s">
        <v>333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6" t="s">
        <v>334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" t="s">
        <v>335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0" t="s">
        <v>336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0" t="s">
        <v>337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0" t="s">
        <v>338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6" t="s">
        <v>116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" t="s">
        <v>129</v>
      </c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23" t="s">
        <v>46</v>
      </c>
      <c r="F74" s="55" t="s">
        <v>255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43</v>
      </c>
      <c r="F75" s="55" t="s">
        <v>197</v>
      </c>
      <c r="G75" s="66"/>
      <c r="H75" s="7"/>
      <c r="I75" s="3">
        <f>SUM(A99,E99)</f>
        <v>35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13</v>
      </c>
      <c r="F99" s="3" t="s">
        <v>79</v>
      </c>
      <c r="G99" s="3"/>
      <c r="H99" s="3"/>
      <c r="I99" s="3"/>
      <c r="J99" s="3"/>
    </row>
    <row r="102" spans="1:10" x14ac:dyDescent="0.3">
      <c r="A102" s="182"/>
      <c r="B102" s="182"/>
      <c r="C102" s="182"/>
      <c r="D102" s="182"/>
      <c r="E102" s="182"/>
      <c r="F102" s="182"/>
      <c r="G102" s="182"/>
      <c r="H102" s="182"/>
      <c r="I102" s="182"/>
      <c r="J102" s="182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4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28D02-2F51-4095-819B-C1B0AF51DFDD}">
  <dimension ref="A1:R110"/>
  <sheetViews>
    <sheetView topLeftCell="A46" zoomScale="70" zoomScaleNormal="70" workbookViewId="0">
      <selection activeCell="Q87" sqref="Q87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160" t="s">
        <v>118</v>
      </c>
      <c r="C2" s="160" t="s">
        <v>303</v>
      </c>
      <c r="D2" s="16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190</v>
      </c>
      <c r="B3" s="60" t="s">
        <v>103</v>
      </c>
      <c r="C3" s="16" t="s">
        <v>197</v>
      </c>
      <c r="D3" s="3" t="s">
        <v>141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306</v>
      </c>
      <c r="B8" s="161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38" t="s">
        <v>260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" t="s">
        <v>261</v>
      </c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0" t="s">
        <v>107</v>
      </c>
      <c r="F17" s="138" t="s">
        <v>307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144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38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38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304</v>
      </c>
      <c r="E23" s="154" t="s">
        <v>305</v>
      </c>
      <c r="F23" s="144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45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" t="s">
        <v>314</v>
      </c>
      <c r="G29" s="3"/>
      <c r="H29" s="3"/>
      <c r="I29" s="3"/>
      <c r="J29" s="3"/>
    </row>
    <row r="30" spans="1:10" x14ac:dyDescent="0.3">
      <c r="A30" s="165" t="s">
        <v>341</v>
      </c>
      <c r="B30" s="17"/>
      <c r="C30" s="3"/>
      <c r="D30" s="110"/>
      <c r="E30" s="32" t="s">
        <v>111</v>
      </c>
      <c r="F30" s="145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110</v>
      </c>
      <c r="F31" s="145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44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45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45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39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1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2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7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45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38" t="s">
        <v>340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8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8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0" t="s">
        <v>325</v>
      </c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2" t="s">
        <v>327</v>
      </c>
      <c r="G48" s="3"/>
      <c r="H48" s="3"/>
      <c r="I48" s="3"/>
      <c r="J48" s="3"/>
    </row>
    <row r="49" spans="1:16" x14ac:dyDescent="0.3">
      <c r="A49" s="46"/>
      <c r="B49" s="46"/>
      <c r="C49" s="46"/>
      <c r="D49" s="46"/>
      <c r="E49" s="15"/>
      <c r="F49" s="144" t="s">
        <v>328</v>
      </c>
      <c r="G49" s="110"/>
      <c r="H49" s="3"/>
      <c r="I49" s="3"/>
      <c r="J49" s="3"/>
    </row>
    <row r="50" spans="1:16" x14ac:dyDescent="0.3">
      <c r="A50" s="46"/>
      <c r="B50" s="46"/>
      <c r="C50" s="46"/>
      <c r="D50" s="46"/>
      <c r="E50" s="15"/>
      <c r="F50" s="149" t="s">
        <v>232</v>
      </c>
      <c r="G50" s="3"/>
      <c r="H50" s="3"/>
      <c r="I50" s="3"/>
      <c r="J50" s="3"/>
    </row>
    <row r="51" spans="1:16" x14ac:dyDescent="0.3">
      <c r="A51" s="46"/>
      <c r="B51" s="46"/>
      <c r="C51" s="46"/>
      <c r="D51" s="46"/>
      <c r="E51" s="15"/>
      <c r="F51" s="145" t="s">
        <v>329</v>
      </c>
      <c r="G51" s="3"/>
      <c r="H51" s="3"/>
      <c r="I51" s="3"/>
      <c r="J51" s="3"/>
    </row>
    <row r="52" spans="1:16" x14ac:dyDescent="0.3">
      <c r="A52" s="46"/>
      <c r="B52" s="46"/>
      <c r="C52" s="46"/>
      <c r="D52" s="46"/>
      <c r="E52" s="15"/>
      <c r="F52" s="145" t="s">
        <v>186</v>
      </c>
      <c r="G52" s="3"/>
      <c r="H52" s="21"/>
      <c r="I52" s="65"/>
      <c r="J52" s="3"/>
    </row>
    <row r="53" spans="1:16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6" x14ac:dyDescent="0.3">
      <c r="A54" s="46"/>
      <c r="B54" s="46"/>
      <c r="C54" s="46"/>
      <c r="D54" s="46"/>
      <c r="E54" s="47"/>
      <c r="F54" s="149" t="s">
        <v>115</v>
      </c>
      <c r="G54" s="3"/>
      <c r="H54" s="20"/>
      <c r="I54" s="55"/>
      <c r="J54" s="3"/>
    </row>
    <row r="55" spans="1:16" x14ac:dyDescent="0.3">
      <c r="A55" s="46"/>
      <c r="B55" s="46"/>
      <c r="C55" s="46"/>
      <c r="D55" s="3"/>
      <c r="E55" s="47"/>
      <c r="F55" s="142" t="s">
        <v>330</v>
      </c>
      <c r="G55" s="3"/>
      <c r="H55" s="20"/>
      <c r="I55" s="55"/>
      <c r="J55" s="3"/>
    </row>
    <row r="56" spans="1:16" x14ac:dyDescent="0.3">
      <c r="A56" s="46"/>
      <c r="B56" s="46"/>
      <c r="C56" s="46"/>
      <c r="D56" s="46"/>
      <c r="E56" s="47"/>
      <c r="F56" s="142" t="s">
        <v>331</v>
      </c>
      <c r="G56" s="3"/>
      <c r="H56" s="23"/>
      <c r="I56" s="55"/>
      <c r="J56" s="3"/>
    </row>
    <row r="57" spans="1:16" x14ac:dyDescent="0.3">
      <c r="A57" s="46"/>
      <c r="B57" s="46"/>
      <c r="C57" s="46"/>
      <c r="D57" s="46"/>
      <c r="E57" s="15"/>
      <c r="F57" s="151" t="s">
        <v>332</v>
      </c>
      <c r="G57" s="3"/>
      <c r="H57" s="20"/>
      <c r="I57" s="55"/>
      <c r="J57" s="3"/>
    </row>
    <row r="58" spans="1:16" x14ac:dyDescent="0.3">
      <c r="A58" s="46"/>
      <c r="B58" s="46"/>
      <c r="C58" s="46"/>
      <c r="D58" s="46"/>
      <c r="E58" s="15"/>
      <c r="F58" s="151" t="s">
        <v>333</v>
      </c>
      <c r="G58" s="16"/>
      <c r="H58" s="20"/>
      <c r="I58" s="55"/>
      <c r="J58" s="3"/>
    </row>
    <row r="59" spans="1:16" x14ac:dyDescent="0.3">
      <c r="A59" s="46"/>
      <c r="B59" s="46"/>
      <c r="C59" s="46"/>
      <c r="D59" s="46"/>
      <c r="E59" s="15"/>
      <c r="F59" s="146" t="s">
        <v>334</v>
      </c>
      <c r="G59" s="3"/>
      <c r="H59" s="3"/>
      <c r="I59" s="3"/>
      <c r="J59" s="3"/>
    </row>
    <row r="60" spans="1:16" x14ac:dyDescent="0.3">
      <c r="A60" s="46"/>
      <c r="B60" s="46"/>
      <c r="C60" s="46"/>
      <c r="D60" s="46"/>
      <c r="E60" s="15"/>
      <c r="F60" s="1" t="s">
        <v>335</v>
      </c>
      <c r="G60" s="3"/>
      <c r="H60" s="3"/>
      <c r="I60" s="3"/>
      <c r="J60" s="3"/>
      <c r="P60" s="55"/>
    </row>
    <row r="61" spans="1:16" x14ac:dyDescent="0.3">
      <c r="A61" s="3"/>
      <c r="B61" s="46"/>
      <c r="C61" s="46"/>
      <c r="D61" s="46"/>
      <c r="E61" s="15"/>
      <c r="F61" s="150" t="s">
        <v>336</v>
      </c>
      <c r="G61" s="3"/>
      <c r="H61" s="3"/>
      <c r="I61" s="3"/>
      <c r="J61" s="3"/>
    </row>
    <row r="62" spans="1:16" x14ac:dyDescent="0.3">
      <c r="A62" s="3"/>
      <c r="B62" s="55"/>
      <c r="C62" s="46"/>
      <c r="D62" s="46"/>
      <c r="E62" s="15"/>
      <c r="F62" s="150" t="s">
        <v>337</v>
      </c>
      <c r="G62" s="3"/>
      <c r="H62" s="3"/>
      <c r="I62" s="3"/>
      <c r="J62" s="3"/>
    </row>
    <row r="63" spans="1:16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  <c r="P63" s="55"/>
    </row>
    <row r="64" spans="1:16" x14ac:dyDescent="0.3">
      <c r="A64" s="46"/>
      <c r="B64" s="46"/>
      <c r="C64" s="46"/>
      <c r="D64" s="46"/>
      <c r="E64" s="47"/>
      <c r="F64" s="150" t="s">
        <v>338</v>
      </c>
      <c r="G64" s="52"/>
      <c r="H64" s="3"/>
      <c r="I64" s="3"/>
      <c r="J64" s="3"/>
    </row>
    <row r="65" spans="1:18" x14ac:dyDescent="0.3">
      <c r="A65" s="46"/>
      <c r="B65" s="46"/>
      <c r="C65" s="46"/>
      <c r="D65" s="46"/>
      <c r="E65" s="47"/>
      <c r="F65" s="146" t="s">
        <v>116</v>
      </c>
      <c r="G65" s="52"/>
      <c r="H65" s="3"/>
      <c r="I65" s="3"/>
      <c r="J65" s="3"/>
    </row>
    <row r="66" spans="1:18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8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8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8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8" x14ac:dyDescent="0.3">
      <c r="A70" s="138"/>
      <c r="B70" s="2" t="s">
        <v>298</v>
      </c>
      <c r="C70" s="164" t="s">
        <v>339</v>
      </c>
      <c r="D70" s="16" t="s">
        <v>197</v>
      </c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8" x14ac:dyDescent="0.3">
      <c r="A71" s="16"/>
      <c r="B71" s="2" t="s">
        <v>129</v>
      </c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7</v>
      </c>
      <c r="J71" s="3"/>
    </row>
    <row r="72" spans="1:18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8" x14ac:dyDescent="0.3">
      <c r="A73" s="27"/>
      <c r="B73" s="75"/>
      <c r="C73" s="2"/>
      <c r="D73" s="6"/>
      <c r="E73" s="23" t="s">
        <v>105</v>
      </c>
      <c r="F73" s="55" t="s">
        <v>255</v>
      </c>
      <c r="G73" s="66"/>
      <c r="H73" s="70" t="s">
        <v>77</v>
      </c>
      <c r="I73" s="70">
        <f>SUM(A95,E95)</f>
        <v>4</v>
      </c>
      <c r="J73" s="3"/>
    </row>
    <row r="74" spans="1:18" x14ac:dyDescent="0.3">
      <c r="A74" s="27"/>
      <c r="B74" s="11"/>
      <c r="C74" s="2"/>
      <c r="D74" s="6"/>
      <c r="E74" s="23" t="s">
        <v>46</v>
      </c>
      <c r="F74" s="55" t="s">
        <v>43</v>
      </c>
      <c r="G74" s="66"/>
      <c r="H74" s="3"/>
      <c r="I74" s="3">
        <f>SUM(A98,E98)</f>
        <v>8</v>
      </c>
      <c r="J74" s="48" t="s">
        <v>78</v>
      </c>
    </row>
    <row r="75" spans="1:18" x14ac:dyDescent="0.3">
      <c r="A75" s="27"/>
      <c r="B75" s="2"/>
      <c r="C75" s="2"/>
      <c r="D75" s="6"/>
      <c r="E75" s="23"/>
      <c r="F75" s="55"/>
      <c r="G75" s="66"/>
      <c r="H75" s="7"/>
      <c r="I75" s="3">
        <f>SUM(A99,E99)</f>
        <v>36</v>
      </c>
      <c r="J75" s="3" t="s">
        <v>79</v>
      </c>
    </row>
    <row r="76" spans="1:18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  <c r="P76" s="55"/>
      <c r="Q76" s="55"/>
      <c r="R76" s="55"/>
    </row>
    <row r="77" spans="1:18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  <c r="P77" s="55"/>
      <c r="Q77" s="55"/>
      <c r="R77" s="55"/>
    </row>
    <row r="78" spans="1:18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  <c r="P78" s="55"/>
      <c r="Q78" s="55"/>
      <c r="R78" s="55"/>
    </row>
    <row r="79" spans="1:18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  <c r="P79" s="55"/>
      <c r="Q79" s="55"/>
      <c r="R79" s="55"/>
    </row>
    <row r="80" spans="1:18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  <c r="P80" s="55"/>
      <c r="Q80" s="55"/>
      <c r="R80" s="55"/>
    </row>
    <row r="81" spans="1:18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  <c r="P81" s="55"/>
      <c r="Q81" s="55"/>
      <c r="R81" s="55"/>
    </row>
    <row r="82" spans="1:18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  <c r="P82" s="55"/>
      <c r="Q82" s="55"/>
      <c r="R82" s="55"/>
    </row>
    <row r="83" spans="1:18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  <c r="P83" s="55"/>
      <c r="Q83" s="55"/>
      <c r="R83" s="55"/>
    </row>
    <row r="84" spans="1:18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8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8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8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8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8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8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8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8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  <c r="K92" s="55"/>
    </row>
    <row r="93" spans="1:18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  <c r="L93" s="55"/>
    </row>
    <row r="94" spans="1:18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  <c r="L94" s="55"/>
    </row>
    <row r="95" spans="1:18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8" x14ac:dyDescent="0.3">
      <c r="A96" s="23">
        <v>2</v>
      </c>
      <c r="B96" s="45"/>
      <c r="C96" s="95"/>
      <c r="D96" s="3"/>
      <c r="E96" s="55">
        <v>5</v>
      </c>
      <c r="F96" s="20" t="s">
        <v>65</v>
      </c>
      <c r="G96" s="3"/>
      <c r="H96" s="55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55"/>
      <c r="B102" s="55"/>
      <c r="C102" s="55"/>
      <c r="D102" s="55"/>
      <c r="E102" s="55"/>
      <c r="F102" s="55"/>
      <c r="G102" s="55"/>
      <c r="H102" s="55"/>
      <c r="I102" s="55"/>
      <c r="J102" s="55"/>
    </row>
    <row r="103" spans="1:10" x14ac:dyDescent="0.3">
      <c r="I103" s="55"/>
      <c r="J103" s="55"/>
    </row>
    <row r="110" spans="1:10" x14ac:dyDescent="0.3">
      <c r="H110" s="55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3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50CD4-17B7-44C8-9476-FF48BE52BE2F}">
  <dimension ref="A1:M99"/>
  <sheetViews>
    <sheetView zoomScale="70" zoomScaleNormal="7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160" t="s">
        <v>118</v>
      </c>
      <c r="C2" s="160" t="s">
        <v>303</v>
      </c>
      <c r="D2" s="16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190</v>
      </c>
      <c r="B3" s="60" t="s">
        <v>103</v>
      </c>
      <c r="C3" s="16" t="s">
        <v>197</v>
      </c>
      <c r="D3" s="3" t="s">
        <v>141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306</v>
      </c>
      <c r="B8" s="161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38" t="s">
        <v>260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" t="s">
        <v>261</v>
      </c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0" t="s">
        <v>107</v>
      </c>
      <c r="F17" s="138" t="s">
        <v>307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144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38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38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304</v>
      </c>
      <c r="E23" s="154" t="s">
        <v>305</v>
      </c>
      <c r="F23" s="144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45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" t="s">
        <v>314</v>
      </c>
      <c r="G29" s="3"/>
      <c r="H29" s="3"/>
      <c r="I29" s="3"/>
      <c r="J29" s="3"/>
    </row>
    <row r="30" spans="1:10" x14ac:dyDescent="0.3">
      <c r="A30" s="165" t="s">
        <v>341</v>
      </c>
      <c r="B30" s="17"/>
      <c r="C30" s="3"/>
      <c r="D30" s="110"/>
      <c r="E30" s="32" t="s">
        <v>111</v>
      </c>
      <c r="F30" s="145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110</v>
      </c>
      <c r="F31" s="145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44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45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45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39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1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2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7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45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38" t="s">
        <v>340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8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8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0" t="s">
        <v>325</v>
      </c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2" t="s">
        <v>327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44" t="s">
        <v>328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9" t="s">
        <v>232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45" t="s">
        <v>329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45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9" t="s">
        <v>115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2" t="s">
        <v>330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2" t="s">
        <v>331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1" t="s">
        <v>332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1" t="s">
        <v>333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6" t="s">
        <v>334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" t="s">
        <v>335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0" t="s">
        <v>336</v>
      </c>
      <c r="G61" s="3"/>
      <c r="H61" s="3"/>
      <c r="I61" s="3"/>
      <c r="J61" s="3"/>
    </row>
    <row r="62" spans="1:10" x14ac:dyDescent="0.3">
      <c r="A62" s="3"/>
      <c r="B62" s="55"/>
      <c r="C62" s="46"/>
      <c r="D62" s="46"/>
      <c r="E62" s="15"/>
      <c r="F62" s="150" t="s">
        <v>337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0" t="s">
        <v>338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6" t="s">
        <v>116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/>
      <c r="B70" s="2" t="s">
        <v>298</v>
      </c>
      <c r="C70" s="164" t="s">
        <v>339</v>
      </c>
      <c r="D70" s="16" t="s">
        <v>197</v>
      </c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" t="s">
        <v>129</v>
      </c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7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255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23" t="s">
        <v>46</v>
      </c>
      <c r="F74" s="55" t="s">
        <v>43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/>
      <c r="F75" s="55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55">
        <v>5</v>
      </c>
      <c r="F96" s="20" t="s">
        <v>65</v>
      </c>
      <c r="G96" s="3"/>
      <c r="H96" s="55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2" priority="1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29C8F-1F01-4938-B479-6D14C6E755A8}">
  <dimension ref="A1:M99"/>
  <sheetViews>
    <sheetView topLeftCell="A40" zoomScale="85" zoomScaleNormal="85" workbookViewId="0">
      <selection activeCell="E70" sqref="E70:E74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160" t="s">
        <v>118</v>
      </c>
      <c r="C2" s="160" t="s">
        <v>303</v>
      </c>
      <c r="D2" s="16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190</v>
      </c>
      <c r="B3" s="60" t="s">
        <v>103</v>
      </c>
      <c r="C3" s="16" t="s">
        <v>197</v>
      </c>
      <c r="D3" s="3" t="s">
        <v>141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306</v>
      </c>
      <c r="B8" s="161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38" t="s">
        <v>260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" t="s">
        <v>261</v>
      </c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0" t="s">
        <v>107</v>
      </c>
      <c r="F17" s="138" t="s">
        <v>307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144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38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38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304</v>
      </c>
      <c r="E23" s="154" t="s">
        <v>305</v>
      </c>
      <c r="F23" s="144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45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" t="s">
        <v>314</v>
      </c>
      <c r="G29" s="3"/>
      <c r="H29" s="3"/>
      <c r="I29" s="3"/>
      <c r="J29" s="3"/>
    </row>
    <row r="30" spans="1:10" x14ac:dyDescent="0.3">
      <c r="A30" s="165" t="s">
        <v>341</v>
      </c>
      <c r="B30" s="17"/>
      <c r="C30" s="3"/>
      <c r="D30" s="110"/>
      <c r="E30" s="32" t="s">
        <v>111</v>
      </c>
      <c r="F30" s="145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110</v>
      </c>
      <c r="F31" s="145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44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45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45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39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1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2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7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45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38" t="s">
        <v>340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8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8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0" t="s">
        <v>325</v>
      </c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2" t="s">
        <v>327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44" t="s">
        <v>328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9" t="s">
        <v>232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45" t="s">
        <v>329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45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9" t="s">
        <v>115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2" t="s">
        <v>330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2" t="s">
        <v>331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1" t="s">
        <v>332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1" t="s">
        <v>333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6" t="s">
        <v>235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" t="s">
        <v>335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0" t="s">
        <v>336</v>
      </c>
      <c r="G61" s="3"/>
      <c r="H61" s="3"/>
      <c r="I61" s="3"/>
      <c r="J61" s="3"/>
    </row>
    <row r="62" spans="1:10" x14ac:dyDescent="0.3">
      <c r="A62" s="3"/>
      <c r="B62" s="55"/>
      <c r="C62" s="46"/>
      <c r="D62" s="46"/>
      <c r="E62" s="15"/>
      <c r="F62" s="150" t="s">
        <v>337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0" t="s">
        <v>338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6" t="s">
        <v>116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/>
      <c r="B70" s="21" t="s">
        <v>298</v>
      </c>
      <c r="C70" s="166" t="s">
        <v>339</v>
      </c>
      <c r="D70" s="16" t="s">
        <v>197</v>
      </c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1" t="s">
        <v>129</v>
      </c>
      <c r="C71" s="167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7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255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23" t="s">
        <v>46</v>
      </c>
      <c r="F74" s="55" t="s">
        <v>43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23"/>
      <c r="F75" s="55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55">
        <v>5</v>
      </c>
      <c r="F96" s="20" t="s">
        <v>65</v>
      </c>
      <c r="G96" s="3"/>
      <c r="H96" s="55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1" priority="1"/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C8313-3E82-4EAE-AB8C-AE585BD91D4B}">
  <dimension ref="A1:M99"/>
  <sheetViews>
    <sheetView tabSelected="1"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57" t="s">
        <v>118</v>
      </c>
      <c r="C2" s="57" t="s">
        <v>303</v>
      </c>
      <c r="D2" s="16" t="s">
        <v>188</v>
      </c>
      <c r="E2" s="57" t="s">
        <v>175</v>
      </c>
      <c r="F2" s="16" t="s">
        <v>169</v>
      </c>
      <c r="G2" s="5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57" t="s">
        <v>190</v>
      </c>
      <c r="B3" s="180" t="s">
        <v>191</v>
      </c>
      <c r="C3" s="16" t="s">
        <v>197</v>
      </c>
      <c r="D3" s="180" t="s">
        <v>342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259</v>
      </c>
      <c r="B7" s="173" t="s">
        <v>263</v>
      </c>
      <c r="C7" s="27" t="s">
        <v>265</v>
      </c>
      <c r="D7" s="4"/>
      <c r="E7" s="22" t="s">
        <v>17</v>
      </c>
      <c r="F7" s="23"/>
      <c r="G7" s="35" t="s">
        <v>266</v>
      </c>
      <c r="H7" s="20"/>
      <c r="I7" s="3"/>
      <c r="J7" s="24"/>
      <c r="M7" s="109"/>
    </row>
    <row r="8" spans="1:13" x14ac:dyDescent="0.3">
      <c r="A8" s="35" t="s">
        <v>306</v>
      </c>
      <c r="B8" s="180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5" t="s">
        <v>260</v>
      </c>
      <c r="B9" s="176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6" t="s">
        <v>261</v>
      </c>
      <c r="B10" s="177"/>
      <c r="C10" s="176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35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57" t="s">
        <v>107</v>
      </c>
      <c r="F17" s="35" t="s">
        <v>307</v>
      </c>
      <c r="G17" s="106" t="s">
        <v>101</v>
      </c>
      <c r="H17" s="17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7" t="s">
        <v>254</v>
      </c>
      <c r="D18" s="46" t="s">
        <v>40</v>
      </c>
      <c r="E18" s="57" t="s">
        <v>256</v>
      </c>
      <c r="F18" s="35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56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57" t="s">
        <v>124</v>
      </c>
      <c r="E20" s="32" t="s">
        <v>99</v>
      </c>
      <c r="F20" s="35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57" t="s">
        <v>125</v>
      </c>
      <c r="F21" s="35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32" t="s">
        <v>23</v>
      </c>
      <c r="F22" s="56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78" t="s">
        <v>297</v>
      </c>
      <c r="D23" s="57" t="s">
        <v>304</v>
      </c>
      <c r="E23" s="168" t="s">
        <v>305</v>
      </c>
      <c r="F23" s="56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32"/>
      <c r="F24" s="57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7"/>
      <c r="F25" s="169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6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6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6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6" t="s">
        <v>314</v>
      </c>
      <c r="G29" s="3"/>
      <c r="H29" s="3"/>
      <c r="I29" s="3"/>
      <c r="J29" s="3"/>
    </row>
    <row r="30" spans="1:10" x14ac:dyDescent="0.3">
      <c r="A30" s="57" t="s">
        <v>341</v>
      </c>
      <c r="B30" s="17"/>
      <c r="C30" s="3"/>
      <c r="D30" s="110"/>
      <c r="E30" s="32" t="s">
        <v>111</v>
      </c>
      <c r="F30" s="57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57" t="s">
        <v>110</v>
      </c>
      <c r="F31" s="57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56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57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57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70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27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27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71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8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57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7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69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35" t="s">
        <v>340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35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35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73" t="s">
        <v>325</v>
      </c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6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72" t="s">
        <v>327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56" t="s">
        <v>328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74" t="s">
        <v>232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57" t="s">
        <v>329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57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69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74" t="s">
        <v>115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27" t="s">
        <v>330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27" t="s">
        <v>331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59" t="s">
        <v>332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59" t="s">
        <v>333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75" t="s">
        <v>235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6" t="s">
        <v>335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25" t="s">
        <v>336</v>
      </c>
      <c r="G61" s="3"/>
      <c r="H61" s="3"/>
      <c r="I61" s="3"/>
      <c r="J61" s="3"/>
    </row>
    <row r="62" spans="1:10" x14ac:dyDescent="0.3">
      <c r="A62" s="3"/>
      <c r="B62" s="55"/>
      <c r="C62" s="46"/>
      <c r="D62" s="46"/>
      <c r="E62" s="15"/>
      <c r="F62" s="25" t="s">
        <v>337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69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25" t="s">
        <v>338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75" t="s">
        <v>116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/>
      <c r="B70" s="21" t="s">
        <v>298</v>
      </c>
      <c r="C70" s="166" t="s">
        <v>339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1" t="s">
        <v>129</v>
      </c>
      <c r="C71" s="167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255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71" t="s">
        <v>187</v>
      </c>
      <c r="F74" s="55" t="s">
        <v>43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55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6</v>
      </c>
      <c r="F96" s="20" t="s">
        <v>65</v>
      </c>
      <c r="G96" s="3"/>
      <c r="H96" s="55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Кайлюбаев Ерлан Сейтканулы</dc:creator>
  <cp:lastModifiedBy>Кайлюбаев Ерлан Сейтканулы</cp:lastModifiedBy>
  <cp:lastPrinted>2026-10-13T01:35:31Z</cp:lastPrinted>
  <dcterms:created xsi:type="dcterms:W3CDTF">2015-06-05T18:17:20Z</dcterms:created>
  <dcterms:modified xsi:type="dcterms:W3CDTF">2026-10-16T02:06:07Z</dcterms:modified>
</cp:coreProperties>
</file>