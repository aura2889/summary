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R:\ДТТ\Диспетчер\Сводки Ерлан - Бауыржан\"/>
    </mc:Choice>
  </mc:AlternateContent>
  <xr:revisionPtr revIDLastSave="0" documentId="13_ncr:1_{D116F151-F2CA-40BE-8831-F57450ADC096}" xr6:coauthVersionLast="47" xr6:coauthVersionMax="47" xr10:uidLastSave="{00000000-0000-0000-0000-000000000000}"/>
  <bookViews>
    <workbookView xWindow="-108" yWindow="-108" windowWidth="30936" windowHeight="16776" activeTab="18" xr2:uid="{00000000-000D-0000-FFFF-FFFF00000000}"/>
  </bookViews>
  <sheets>
    <sheet name="1" sheetId="1" r:id="rId1"/>
    <sheet name="2" sheetId="33" r:id="rId2"/>
    <sheet name="3" sheetId="34" r:id="rId3"/>
    <sheet name="4" sheetId="35" r:id="rId4"/>
    <sheet name="5" sheetId="36" r:id="rId5"/>
    <sheet name="6" sheetId="37" r:id="rId6"/>
    <sheet name="7" sheetId="38" r:id="rId7"/>
    <sheet name="8" sheetId="39" r:id="rId8"/>
    <sheet name="9" sheetId="40" r:id="rId9"/>
    <sheet name="10" sheetId="41" r:id="rId10"/>
    <sheet name="11" sheetId="42" r:id="rId11"/>
    <sheet name="12" sheetId="43" r:id="rId12"/>
    <sheet name="13" sheetId="44" r:id="rId13"/>
    <sheet name="14" sheetId="45" r:id="rId14"/>
    <sheet name="15" sheetId="46" r:id="rId15"/>
    <sheet name="16" sheetId="47" r:id="rId16"/>
    <sheet name="17" sheetId="48" r:id="rId17"/>
    <sheet name="18" sheetId="49" r:id="rId18"/>
    <sheet name="19" sheetId="5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5" i="50" l="1"/>
  <c r="I74" i="50"/>
  <c r="I73" i="50"/>
  <c r="I72" i="50"/>
  <c r="I71" i="50"/>
  <c r="I69" i="50"/>
  <c r="I75" i="49"/>
  <c r="I74" i="49"/>
  <c r="I73" i="49"/>
  <c r="I72" i="49"/>
  <c r="I71" i="49"/>
  <c r="I69" i="49"/>
  <c r="I70" i="50" l="1"/>
  <c r="I70" i="49"/>
  <c r="I75" i="48"/>
  <c r="I74" i="48"/>
  <c r="I73" i="48"/>
  <c r="I72" i="48"/>
  <c r="I71" i="48"/>
  <c r="I69" i="48"/>
  <c r="I70" i="48" l="1"/>
  <c r="I75" i="47"/>
  <c r="I73" i="47"/>
  <c r="I74" i="47"/>
  <c r="I72" i="47"/>
  <c r="I71" i="47"/>
  <c r="I69" i="47"/>
  <c r="I75" i="46"/>
  <c r="I74" i="46"/>
  <c r="I73" i="46"/>
  <c r="I72" i="46"/>
  <c r="I71" i="46"/>
  <c r="I69" i="46"/>
  <c r="I70" i="46" s="1"/>
  <c r="I75" i="45"/>
  <c r="I74" i="45"/>
  <c r="I73" i="45"/>
  <c r="I70" i="45" s="1"/>
  <c r="I72" i="45"/>
  <c r="I71" i="45"/>
  <c r="I69" i="45"/>
  <c r="I75" i="44"/>
  <c r="I74" i="44"/>
  <c r="I73" i="44"/>
  <c r="I72" i="44"/>
  <c r="I71" i="44"/>
  <c r="I69" i="44"/>
  <c r="I75" i="43"/>
  <c r="I74" i="43"/>
  <c r="I73" i="43"/>
  <c r="I72" i="43"/>
  <c r="I71" i="43"/>
  <c r="I69" i="43"/>
  <c r="I75" i="42"/>
  <c r="I74" i="42"/>
  <c r="I73" i="42"/>
  <c r="I70" i="42" s="1"/>
  <c r="I72" i="42"/>
  <c r="I71" i="42"/>
  <c r="I69" i="42"/>
  <c r="I75" i="41"/>
  <c r="I74" i="41"/>
  <c r="I73" i="41"/>
  <c r="I72" i="41"/>
  <c r="I71" i="41"/>
  <c r="I69" i="41"/>
  <c r="I70" i="41" s="1"/>
  <c r="I75" i="40"/>
  <c r="I74" i="40"/>
  <c r="I73" i="40"/>
  <c r="I72" i="40"/>
  <c r="I71" i="40"/>
  <c r="I69" i="40"/>
  <c r="I70" i="40" s="1"/>
  <c r="I69" i="39"/>
  <c r="I70" i="39" s="1"/>
  <c r="I71" i="39"/>
  <c r="I72" i="39"/>
  <c r="I73" i="39"/>
  <c r="I74" i="39"/>
  <c r="I75" i="39"/>
  <c r="I75" i="38"/>
  <c r="I74" i="38"/>
  <c r="I73" i="38"/>
  <c r="I72" i="38"/>
  <c r="I71" i="38"/>
  <c r="I69" i="38"/>
  <c r="I70" i="38" s="1"/>
  <c r="I75" i="37"/>
  <c r="I74" i="37"/>
  <c r="I73" i="37"/>
  <c r="I72" i="37"/>
  <c r="I71" i="37"/>
  <c r="I70" i="37"/>
  <c r="I69" i="37"/>
  <c r="I75" i="36"/>
  <c r="I74" i="36"/>
  <c r="I73" i="36"/>
  <c r="I72" i="36"/>
  <c r="I71" i="36"/>
  <c r="I69" i="36"/>
  <c r="I75" i="35"/>
  <c r="I74" i="35"/>
  <c r="I73" i="35"/>
  <c r="I72" i="35"/>
  <c r="I71" i="35"/>
  <c r="I69" i="35"/>
  <c r="I75" i="34"/>
  <c r="I74" i="34"/>
  <c r="I73" i="34"/>
  <c r="I72" i="34"/>
  <c r="I71" i="34"/>
  <c r="I69" i="34"/>
  <c r="I70" i="34" s="1"/>
  <c r="I75" i="33"/>
  <c r="I74" i="33"/>
  <c r="I73" i="33"/>
  <c r="I72" i="33"/>
  <c r="I71" i="33"/>
  <c r="I70" i="33"/>
  <c r="I69" i="33"/>
  <c r="I75" i="1"/>
  <c r="I74" i="1"/>
  <c r="I73" i="1"/>
  <c r="I72" i="1"/>
  <c r="I71" i="1"/>
  <c r="I69" i="1"/>
  <c r="I70" i="47" l="1"/>
  <c r="I70" i="44"/>
  <c r="I70" i="43"/>
  <c r="I70" i="36"/>
  <c r="I70" i="35"/>
  <c r="I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5B1F47C4-1302-4BE8-A76B-60C2BDBD552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68D0E66D-6837-432D-98DE-E72C5BA2343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2" authorId="0" shapeId="0" xr:uid="{146C9CFC-89C5-4099-9DE8-6AC4D0BD82E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E6A25D4D-73AB-4736-A5C2-DC25B3F68F0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3AAAC7D0-6C7F-4FE2-929B-FFA875DC945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3" authorId="0" shapeId="0" xr:uid="{6899A069-E3EB-4E81-A989-D45881DECE4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47349BBE-0262-4B21-AF76-9541D922F3A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5EC8DA4D-4610-47F1-8ACF-B6BCE0A7768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3" authorId="0" shapeId="0" xr:uid="{38AF01B2-818D-4289-A698-A832541CD34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77FE2202-0F55-4D51-A7A6-AE9D8A5B9DF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E75A958D-867A-4B5F-BC72-7F4AFF0C2D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3" authorId="0" shapeId="0" xr:uid="{635331E0-FB3C-4174-B7BF-53194553BF2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FD23EBF9-569C-40BD-9D0D-C625F25B5CA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541EB9F7-E5FC-400D-82E4-E21159B56DE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40AE3416-CE1D-444A-882B-054BC02F01D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24B9CE61-017C-46A3-AF00-C73E78115EE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0" authorId="0" shapeId="0" xr:uid="{82F24F6B-4166-46A9-8B57-E221EF4E41E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36DAE194-631B-4EEC-B5B8-58FEADD81BA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47D74BBA-ECB5-4145-986A-C2ED27CA9AB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0" authorId="0" shapeId="0" xr:uid="{D6891C63-1FE1-4BCE-A0EB-9BFC39B9FD5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J9" authorId="0" shapeId="0" xr:uid="{78D6C2C3-3645-437E-9D0E-7DDCE2391B2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8" authorId="0" shapeId="0" xr:uid="{5B1B02C3-4A7C-412A-A1C4-6BE909EB3A5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0" authorId="0" shapeId="0" xr:uid="{2F5C9E2D-918C-4F92-B268-1988A7C6528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<sst xmlns="http://schemas.openxmlformats.org/spreadsheetml/2006/main" count="3743" uniqueCount="354">
  <si>
    <t>ЦДН-1</t>
  </si>
  <si>
    <t>ЦДН-2</t>
  </si>
  <si>
    <t>ЦДН-3</t>
  </si>
  <si>
    <t>ППД</t>
  </si>
  <si>
    <t>Эл цех</t>
  </si>
  <si>
    <t>ДБ и ПКРС(1)</t>
  </si>
  <si>
    <t>ЦПП</t>
  </si>
  <si>
    <t>ЦПС</t>
  </si>
  <si>
    <t>РСУ</t>
  </si>
  <si>
    <t>Газ. участок</t>
  </si>
  <si>
    <t>20-H361512</t>
  </si>
  <si>
    <t>55-R044AKF</t>
  </si>
  <si>
    <t>53-R964AKE</t>
  </si>
  <si>
    <t xml:space="preserve">C 13-Н2645 </t>
  </si>
  <si>
    <t xml:space="preserve"> 20-152AG12</t>
  </si>
  <si>
    <t>53-R963AKE</t>
  </si>
  <si>
    <t xml:space="preserve"> 20-247AG12</t>
  </si>
  <si>
    <t>Маркшейдер</t>
  </si>
  <si>
    <t>27-Н348112</t>
  </si>
  <si>
    <t xml:space="preserve">С 13-Н2798 </t>
  </si>
  <si>
    <t>ЦИТС</t>
  </si>
  <si>
    <t>ПРЦЭО</t>
  </si>
  <si>
    <t>ОБиКРС</t>
  </si>
  <si>
    <t>20-Н269712</t>
  </si>
  <si>
    <t>ЦНИПР</t>
  </si>
  <si>
    <t>Бурение</t>
  </si>
  <si>
    <t>13-Н2829</t>
  </si>
  <si>
    <t>20-H356312</t>
  </si>
  <si>
    <t xml:space="preserve">ПРЦЭО </t>
  </si>
  <si>
    <t>РМУ гараж 2</t>
  </si>
  <si>
    <t>ЦТТ гараж 2</t>
  </si>
  <si>
    <t>ПКРС (2)</t>
  </si>
  <si>
    <t xml:space="preserve">ДРиСУ </t>
  </si>
  <si>
    <t>ОКС</t>
  </si>
  <si>
    <t>Экология</t>
  </si>
  <si>
    <t xml:space="preserve"> 21-Н2987</t>
  </si>
  <si>
    <t>20-Н343512</t>
  </si>
  <si>
    <t>С 13-Н2882</t>
  </si>
  <si>
    <t>32-Н270712</t>
  </si>
  <si>
    <t>21-H2629</t>
  </si>
  <si>
    <t>С 13-Н2888</t>
  </si>
  <si>
    <t>21-H3042</t>
  </si>
  <si>
    <t>С 13-H359912</t>
  </si>
  <si>
    <t>56-089AKD</t>
  </si>
  <si>
    <t>21-Н2954</t>
  </si>
  <si>
    <t>13-Н2859н</t>
  </si>
  <si>
    <t>56-096AKD</t>
  </si>
  <si>
    <t>56-396ARE</t>
  </si>
  <si>
    <t>УПТОК</t>
  </si>
  <si>
    <t>20-Н341312</t>
  </si>
  <si>
    <t>56-395ARE</t>
  </si>
  <si>
    <t>20-Н348212</t>
  </si>
  <si>
    <t>46-967ABD</t>
  </si>
  <si>
    <t>46-966ABD</t>
  </si>
  <si>
    <t>53-R969AKE</t>
  </si>
  <si>
    <t>60-968ADD</t>
  </si>
  <si>
    <t xml:space="preserve">СБ </t>
  </si>
  <si>
    <t>БПО  КРС-2</t>
  </si>
  <si>
    <t>С 13-Н2851</t>
  </si>
  <si>
    <t>С 13-812АН12</t>
  </si>
  <si>
    <t>20-Н344912</t>
  </si>
  <si>
    <t>35-H316912н</t>
  </si>
  <si>
    <t>Диспетчер № 5 Болар / Алмаз</t>
  </si>
  <si>
    <t>Диспетчер № 6 Асланбек/ Самалхан</t>
  </si>
  <si>
    <t>желіге шықты</t>
  </si>
  <si>
    <t>Жөндеу</t>
  </si>
  <si>
    <t>Резерв</t>
  </si>
  <si>
    <t>списание</t>
  </si>
  <si>
    <t>Барлығы</t>
  </si>
  <si>
    <t>54-910ACD</t>
  </si>
  <si>
    <t>Желіде</t>
  </si>
  <si>
    <t>54-911ACD</t>
  </si>
  <si>
    <t>Жөндеуде</t>
  </si>
  <si>
    <t>54-912ACD</t>
  </si>
  <si>
    <t>Резервте</t>
  </si>
  <si>
    <t xml:space="preserve"> 20-124AG12</t>
  </si>
  <si>
    <t>56-493ADD</t>
  </si>
  <si>
    <t>есептен шығу</t>
  </si>
  <si>
    <t>күн/түн жүрген көлік саны</t>
  </si>
  <si>
    <t>түнде</t>
  </si>
  <si>
    <t>УТТ-ға қайтарылды 01-04-2026</t>
  </si>
  <si>
    <t>38-834АН12</t>
  </si>
  <si>
    <t>44-217AH12</t>
  </si>
  <si>
    <t>20-278АЕ12</t>
  </si>
  <si>
    <t>44-233AH12</t>
  </si>
  <si>
    <t xml:space="preserve"> 20-845AН12</t>
  </si>
  <si>
    <t>62-807AH12</t>
  </si>
  <si>
    <t>20-287AE12</t>
  </si>
  <si>
    <t>53-892AСD</t>
  </si>
  <si>
    <t>53-891ACD</t>
  </si>
  <si>
    <t>55-411AED</t>
  </si>
  <si>
    <t xml:space="preserve"> 46-827AН12</t>
  </si>
  <si>
    <t>53-497ADD</t>
  </si>
  <si>
    <t>резерв</t>
  </si>
  <si>
    <t>13-Н2844</t>
  </si>
  <si>
    <t>28-Н321512н</t>
  </si>
  <si>
    <t>31-Н301812н</t>
  </si>
  <si>
    <t>31-H304312н</t>
  </si>
  <si>
    <t>22-H296812н</t>
  </si>
  <si>
    <t>13-Н2843</t>
  </si>
  <si>
    <t>62-Н359212д/н</t>
  </si>
  <si>
    <t>С13-Н2884</t>
  </si>
  <si>
    <t>13-Н2833</t>
  </si>
  <si>
    <t>13-Н2890н</t>
  </si>
  <si>
    <t>13-Н2866</t>
  </si>
  <si>
    <t>13-Н2830</t>
  </si>
  <si>
    <t>13-Н2847н</t>
  </si>
  <si>
    <t>13-Н2849н</t>
  </si>
  <si>
    <t>13-Н2841</t>
  </si>
  <si>
    <t>13-Н2840</t>
  </si>
  <si>
    <t>13-Н2826н</t>
  </si>
  <si>
    <t>13-Н2827</t>
  </si>
  <si>
    <t>28-H299612н</t>
  </si>
  <si>
    <t>31-H304312д</t>
  </si>
  <si>
    <t>34-Н347812н</t>
  </si>
  <si>
    <t>44-Н365612н</t>
  </si>
  <si>
    <t>49-H304112н</t>
  </si>
  <si>
    <t>35-H317312</t>
  </si>
  <si>
    <t>13-Н2879н</t>
  </si>
  <si>
    <t>С13-Н2831</t>
  </si>
  <si>
    <t xml:space="preserve"> 20-179AG12  </t>
  </si>
  <si>
    <t>20-586AG12</t>
  </si>
  <si>
    <t>20-174AG12</t>
  </si>
  <si>
    <t xml:space="preserve"> 13-д</t>
  </si>
  <si>
    <t>С 13-759BU д/н</t>
  </si>
  <si>
    <t xml:space="preserve"> 13-096AO12н</t>
  </si>
  <si>
    <t>35-H322812</t>
  </si>
  <si>
    <t>35-H317012</t>
  </si>
  <si>
    <t>27-Н361712</t>
  </si>
  <si>
    <t>31-Н319812</t>
  </si>
  <si>
    <t>34-Н284612</t>
  </si>
  <si>
    <t>34-Н287012</t>
  </si>
  <si>
    <t>34-H301112</t>
  </si>
  <si>
    <t>34-Н322012н</t>
  </si>
  <si>
    <t>34-Н341612</t>
  </si>
  <si>
    <t>35-H361412</t>
  </si>
  <si>
    <t>22-H304612</t>
  </si>
  <si>
    <t>22-H302212</t>
  </si>
  <si>
    <t>27-H342812</t>
  </si>
  <si>
    <t>62-Н360112</t>
  </si>
  <si>
    <t xml:space="preserve"> 13-Н2848</t>
  </si>
  <si>
    <t>13-Н2836</t>
  </si>
  <si>
    <t xml:space="preserve"> 13-Н2850</t>
  </si>
  <si>
    <t>13-Н2828</t>
  </si>
  <si>
    <t xml:space="preserve"> 13-н</t>
  </si>
  <si>
    <t xml:space="preserve"> 13-779BUн</t>
  </si>
  <si>
    <t>13-Н2852</t>
  </si>
  <si>
    <t>28-H318712</t>
  </si>
  <si>
    <t>28-Н320212</t>
  </si>
  <si>
    <t>34-Н284512</t>
  </si>
  <si>
    <t>34-Н347812</t>
  </si>
  <si>
    <t>35-348АS12</t>
  </si>
  <si>
    <t>35-903AC12</t>
  </si>
  <si>
    <t>35-967AG12н</t>
  </si>
  <si>
    <t>35-Н317112н</t>
  </si>
  <si>
    <t>35-H317812</t>
  </si>
  <si>
    <t>44-Н363712</t>
  </si>
  <si>
    <t>22-H279412</t>
  </si>
  <si>
    <t>49-H343912</t>
  </si>
  <si>
    <t>31-Н296312н</t>
  </si>
  <si>
    <t>31-Н297912н</t>
  </si>
  <si>
    <t>31-Н304012</t>
  </si>
  <si>
    <t>31-Н318312</t>
  </si>
  <si>
    <t>31-H322412</t>
  </si>
  <si>
    <t>31-H341412</t>
  </si>
  <si>
    <t>31-H346012</t>
  </si>
  <si>
    <t>31-H347512н</t>
  </si>
  <si>
    <t>35-H358212</t>
  </si>
  <si>
    <t>28-H314712</t>
  </si>
  <si>
    <t>32-Н270912д</t>
  </si>
  <si>
    <t>37-Н319312</t>
  </si>
  <si>
    <t>13-Н2837н</t>
  </si>
  <si>
    <t xml:space="preserve"> 13-Н2842</t>
  </si>
  <si>
    <t>34-Н340912н</t>
  </si>
  <si>
    <t xml:space="preserve"> 20-176AG12</t>
  </si>
  <si>
    <t>13-H3609д/н</t>
  </si>
  <si>
    <t>20-Н267412н</t>
  </si>
  <si>
    <t xml:space="preserve">   20-156AG12</t>
  </si>
  <si>
    <t>27-H345812н</t>
  </si>
  <si>
    <t>35-Н314912н</t>
  </si>
  <si>
    <t>27-H358912</t>
  </si>
  <si>
    <t>46-465RAKD</t>
  </si>
  <si>
    <t>35-Н98712</t>
  </si>
  <si>
    <t>28-H321412д/н</t>
  </si>
  <si>
    <t>22-Н358812</t>
  </si>
  <si>
    <t>22-Н363812н</t>
  </si>
  <si>
    <t>35-H323012н</t>
  </si>
  <si>
    <t>13-Н2890</t>
  </si>
  <si>
    <t>13-Н2837</t>
  </si>
  <si>
    <t>13-Н2852н</t>
  </si>
  <si>
    <t xml:space="preserve"> 13-Н2850н</t>
  </si>
  <si>
    <t>13-Н2836н</t>
  </si>
  <si>
    <t xml:space="preserve"> 13-779BU</t>
  </si>
  <si>
    <t>20-Н344912н</t>
  </si>
  <si>
    <t>20-Н267412</t>
  </si>
  <si>
    <t>13-Н2828н</t>
  </si>
  <si>
    <t>13-Н2841н</t>
  </si>
  <si>
    <t>13-Н2859</t>
  </si>
  <si>
    <t>13-Н2849</t>
  </si>
  <si>
    <t xml:space="preserve"> 13н</t>
  </si>
  <si>
    <t>13-Н2826</t>
  </si>
  <si>
    <t>13-Н2827н</t>
  </si>
  <si>
    <t>13-Н2847д/н</t>
  </si>
  <si>
    <t>27-H345812</t>
  </si>
  <si>
    <t>27-Н361712н</t>
  </si>
  <si>
    <t>28-H299612</t>
  </si>
  <si>
    <t>28-H318712н</t>
  </si>
  <si>
    <t>28-Н320212н</t>
  </si>
  <si>
    <t>28-Н321512</t>
  </si>
  <si>
    <t>31-Н296312</t>
  </si>
  <si>
    <t>31-Н297912</t>
  </si>
  <si>
    <t>31-Н301812</t>
  </si>
  <si>
    <t>31-Н304012н</t>
  </si>
  <si>
    <t>31-Н318312н</t>
  </si>
  <si>
    <t>31-H322412н</t>
  </si>
  <si>
    <t>31-H341412д/н</t>
  </si>
  <si>
    <t>31-H346012н</t>
  </si>
  <si>
    <t>31-H347512</t>
  </si>
  <si>
    <t>34-Н284612н</t>
  </si>
  <si>
    <t>34-H301112н</t>
  </si>
  <si>
    <t>34-Н322012</t>
  </si>
  <si>
    <t>34-Н340912</t>
  </si>
  <si>
    <t>34-Н341612н</t>
  </si>
  <si>
    <t>35-348АS12н</t>
  </si>
  <si>
    <t>35-903AC12н</t>
  </si>
  <si>
    <t>35-967AG12</t>
  </si>
  <si>
    <t>35-Н314912</t>
  </si>
  <si>
    <t>35-H316912</t>
  </si>
  <si>
    <t>35-Н317112</t>
  </si>
  <si>
    <t>35-H317312н</t>
  </si>
  <si>
    <t>35-H317812н</t>
  </si>
  <si>
    <t>35-H323012</t>
  </si>
  <si>
    <t>35-H358212н</t>
  </si>
  <si>
    <t>44-Н363712н</t>
  </si>
  <si>
    <t>44-Н365612</t>
  </si>
  <si>
    <t>22-H279412н</t>
  </si>
  <si>
    <t>22-H296812</t>
  </si>
  <si>
    <t>22-H302212н</t>
  </si>
  <si>
    <t>22-H304612н</t>
  </si>
  <si>
    <t>22-Н363812</t>
  </si>
  <si>
    <t>49-H304112</t>
  </si>
  <si>
    <t>49-H343912н</t>
  </si>
  <si>
    <t>34-H301112д</t>
  </si>
  <si>
    <t>35-H317812д/н</t>
  </si>
  <si>
    <t>31-H341412н</t>
  </si>
  <si>
    <t>13-Н2843д/н</t>
  </si>
  <si>
    <t>13-Н2841д/н</t>
  </si>
  <si>
    <t xml:space="preserve"> 13-Н2852н</t>
  </si>
  <si>
    <t>13-Н2879</t>
  </si>
  <si>
    <t>13-д</t>
  </si>
  <si>
    <t>13-Н2833н</t>
  </si>
  <si>
    <t>13-779BU</t>
  </si>
  <si>
    <t xml:space="preserve"> 20-174AG12</t>
  </si>
  <si>
    <t>20-152AG12</t>
  </si>
  <si>
    <t>С 13-Н2828н</t>
  </si>
  <si>
    <t xml:space="preserve"> 20-156AG12</t>
  </si>
  <si>
    <t>13-Н2848д/н</t>
  </si>
  <si>
    <t>13-Н2843н</t>
  </si>
  <si>
    <t xml:space="preserve"> 20-124AG12н</t>
  </si>
  <si>
    <t>31-Н318312д</t>
  </si>
  <si>
    <t>35-903AG12д</t>
  </si>
  <si>
    <t>35-Н317812д</t>
  </si>
  <si>
    <t>34-H341612д</t>
  </si>
  <si>
    <t>27-H345812д</t>
  </si>
  <si>
    <t>34-Н340912д</t>
  </si>
  <si>
    <t>62-Н360112д</t>
  </si>
  <si>
    <t>27-Н361712д</t>
  </si>
  <si>
    <t>27-Н348112н</t>
  </si>
  <si>
    <t>27-Н358912д</t>
  </si>
  <si>
    <t>27-Н342812д</t>
  </si>
  <si>
    <t>28-H320212д</t>
  </si>
  <si>
    <t>28-H299612д</t>
  </si>
  <si>
    <t>31-H304012н</t>
  </si>
  <si>
    <t>31-Н322412н</t>
  </si>
  <si>
    <t>31-H296312д</t>
  </si>
  <si>
    <t>31-Н347512д</t>
  </si>
  <si>
    <t>31-Н297912д</t>
  </si>
  <si>
    <t>31-H341412д</t>
  </si>
  <si>
    <t>34-H322012н</t>
  </si>
  <si>
    <t>34-Н284512д/н</t>
  </si>
  <si>
    <t>34-Н284612д</t>
  </si>
  <si>
    <t>34-Н301112д</t>
  </si>
  <si>
    <t>34-Н287012д</t>
  </si>
  <si>
    <t>35-Н322812н</t>
  </si>
  <si>
    <t>35-H317112н</t>
  </si>
  <si>
    <t>35-987АC12д</t>
  </si>
  <si>
    <t>35-348АS12д</t>
  </si>
  <si>
    <t>35-H358212д</t>
  </si>
  <si>
    <t>35-H314912д</t>
  </si>
  <si>
    <t>35-H323012д</t>
  </si>
  <si>
    <t>44-Н365612д</t>
  </si>
  <si>
    <t>62-Н359212н</t>
  </si>
  <si>
    <t>22-H358812д</t>
  </si>
  <si>
    <t>22-Н304612д</t>
  </si>
  <si>
    <t>22-H279412д</t>
  </si>
  <si>
    <t>22-H302212д/н</t>
  </si>
  <si>
    <t>49-H304112д</t>
  </si>
  <si>
    <t>37-Н319312д</t>
  </si>
  <si>
    <t>28-Н314712</t>
  </si>
  <si>
    <t>28-H321412д</t>
  </si>
  <si>
    <t>28-H321412н</t>
  </si>
  <si>
    <t>35-H361412д</t>
  </si>
  <si>
    <t xml:space="preserve"> 13-Н2852</t>
  </si>
  <si>
    <t>13-779BUн</t>
  </si>
  <si>
    <t xml:space="preserve"> 20-247AG12н</t>
  </si>
  <si>
    <t>13-н</t>
  </si>
  <si>
    <t>34-Н347812д</t>
  </si>
  <si>
    <t>27-Н348112д</t>
  </si>
  <si>
    <t>27-Н342812н</t>
  </si>
  <si>
    <t>28-H318712д</t>
  </si>
  <si>
    <t>28-Н321512д</t>
  </si>
  <si>
    <t>28-H320212н</t>
  </si>
  <si>
    <t>31-Н301812д</t>
  </si>
  <si>
    <t>31-Н322412д</t>
  </si>
  <si>
    <t>31-H346012д</t>
  </si>
  <si>
    <t>31-H304012д/н</t>
  </si>
  <si>
    <t>31-H296312н</t>
  </si>
  <si>
    <t>31-Н347512н</t>
  </si>
  <si>
    <t>34-H322012д</t>
  </si>
  <si>
    <t>34-Н301112н</t>
  </si>
  <si>
    <t>34-Н284512н</t>
  </si>
  <si>
    <t>34-Н287012н</t>
  </si>
  <si>
    <t>35-Н322812д</t>
  </si>
  <si>
    <t>35-H317312д</t>
  </si>
  <si>
    <t>35-967AG12д</t>
  </si>
  <si>
    <t>35-H317112д</t>
  </si>
  <si>
    <t>35-H316912д</t>
  </si>
  <si>
    <t>35-987АC12н</t>
  </si>
  <si>
    <t>35-H361412н</t>
  </si>
  <si>
    <t>35-H314912н</t>
  </si>
  <si>
    <t>44-Н363712д</t>
  </si>
  <si>
    <t>62-Н359212д</t>
  </si>
  <si>
    <t>22-H358812н</t>
  </si>
  <si>
    <t>22-Н304612н</t>
  </si>
  <si>
    <t>22-H279412д/н</t>
  </si>
  <si>
    <t>22-H302212д</t>
  </si>
  <si>
    <t>22-H296812д</t>
  </si>
  <si>
    <t>22-Н363812д</t>
  </si>
  <si>
    <t>49-H343912д</t>
  </si>
  <si>
    <t>35-Н322812</t>
  </si>
  <si>
    <t>35-H317012д</t>
  </si>
  <si>
    <t>С 13-Н2851н</t>
  </si>
  <si>
    <t>13-Н2836д</t>
  </si>
  <si>
    <t>С13-Н2852н</t>
  </si>
  <si>
    <t>С13-Н2879н</t>
  </si>
  <si>
    <t xml:space="preserve"> 20-179AG12н</t>
  </si>
  <si>
    <t>27-H358912н</t>
  </si>
  <si>
    <t>31-H346012д/н</t>
  </si>
  <si>
    <t>22-Н358812д/н</t>
  </si>
  <si>
    <t>27-H361712</t>
  </si>
  <si>
    <t>34-H341612</t>
  </si>
  <si>
    <t>31-H304312</t>
  </si>
  <si>
    <t>оқу</t>
  </si>
  <si>
    <t>13-Н2844н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</si>
</sst>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i/>
      <sz val="10"/>
      <name val="Arial"/>
      <family val="2"/>
      <charset val="204"/>
    </font>
    <font>
      <sz val="10"/>
      <name val="Helv"/>
    </font>
    <font>
      <b/>
      <sz val="10"/>
      <color rgb="FF006600"/>
      <name val="Arial"/>
      <family val="2"/>
      <charset val="204"/>
    </font>
    <font>
      <b/>
      <sz val="10"/>
      <color rgb="FF66330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Arial"/>
      <family val="2"/>
      <charset val="204"/>
    </font>
    <font>
      <sz val="9"/>
      <name val="Arial"/>
      <family val="2"/>
      <charset val="204"/>
    </font>
    <font>
      <sz val="10"/>
      <color rgb="FF663300"/>
      <name val="Arial"/>
      <family val="2"/>
      <charset val="204"/>
    </font>
    <font>
      <sz val="8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rgb="FF3F3F3F"/>
      <name val="Arial"/>
      <family val="2"/>
      <charset val="204"/>
    </font>
    <font>
      <sz val="10"/>
      <color theme="0"/>
      <name val="Arial"/>
      <family val="2"/>
      <charset val="204"/>
    </font>
    <font>
      <sz val="10"/>
      <color rgb="FF0070C0"/>
      <name val="Arial"/>
      <family val="2"/>
      <charset val="204"/>
    </font>
    <font>
      <sz val="10"/>
      <color rgb="FF009900"/>
      <name val="Arial"/>
      <family val="2"/>
      <charset val="204"/>
    </font>
    <font>
      <sz val="9"/>
      <color rgb="FF0000FF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rgb="FF00B050"/>
      <name val="Arial"/>
      <family val="2"/>
      <charset val="204"/>
    </font>
    <font>
      <sz val="10"/>
      <color rgb="FF006600"/>
      <name val="Arial"/>
      <family val="2"/>
      <charset val="204"/>
    </font>
    <font>
      <sz val="10"/>
      <color rgb="FF7030A0"/>
      <name val="Arial"/>
      <family val="2"/>
      <charset val="204"/>
    </font>
    <font>
      <sz val="10"/>
      <color rgb="FFC00000"/>
      <name val="Arial"/>
      <family val="2"/>
      <charset val="204"/>
    </font>
    <font>
      <sz val="9"/>
      <color rgb="FF009900"/>
      <name val="Arial"/>
      <family val="2"/>
      <charset val="204"/>
    </font>
    <font>
      <sz val="10"/>
      <color rgb="FF00B0F0"/>
      <name val="Arial"/>
      <family val="2"/>
      <charset val="204"/>
    </font>
    <font>
      <sz val="10"/>
      <color theme="9" tint="-0.499984740745262"/>
      <name val="Arial"/>
      <family val="2"/>
      <charset val="204"/>
    </font>
    <font>
      <sz val="10"/>
      <color rgb="FF002060"/>
      <name val="Arial"/>
      <family val="2"/>
      <charset val="204"/>
    </font>
    <font>
      <sz val="10"/>
      <color rgb="FF008000"/>
      <name val="Arial"/>
      <family val="2"/>
      <charset val="204"/>
    </font>
    <font>
      <sz val="10"/>
      <color theme="3" tint="-0.249977111117893"/>
      <name val="Arial"/>
      <family val="2"/>
      <charset val="204"/>
    </font>
    <font>
      <sz val="10"/>
      <color theme="5" tint="-0.249977111117893"/>
      <name val="Arial"/>
      <family val="2"/>
      <charset val="204"/>
    </font>
    <font>
      <sz val="10"/>
      <color theme="3" tint="0.39997558519241921"/>
      <name val="Arial"/>
      <family val="2"/>
      <charset val="204"/>
    </font>
    <font>
      <sz val="10"/>
      <color theme="4" tint="-0.249977111117893"/>
      <name val="Arial"/>
      <family val="2"/>
      <charset val="204"/>
    </font>
    <font>
      <sz val="10"/>
      <color rgb="FF5A0E5A"/>
      <name val="Arial"/>
      <family val="2"/>
      <charset val="204"/>
    </font>
    <font>
      <sz val="11"/>
      <color theme="1"/>
      <name val="Times New Roman"/>
      <family val="1"/>
      <charset val="204"/>
    </font>
    <font>
      <sz val="10"/>
      <color theme="9" tint="-0.249977111117893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sz val="10"/>
      <color theme="9" tint="-0.249977111117893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0"/>
      <color rgb="FFC00000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D775D5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1" fillId="2" borderId="1" applyNumberFormat="0" applyAlignment="0" applyProtection="0"/>
    <xf numFmtId="0" fontId="12" fillId="3" borderId="2" applyNumberFormat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4" fillId="0" borderId="0"/>
    <xf numFmtId="0" fontId="14" fillId="0" borderId="0"/>
  </cellStyleXfs>
  <cellXfs count="199">
    <xf numFmtId="0" fontId="0" fillId="0" borderId="0" xfId="0"/>
    <xf numFmtId="0" fontId="13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/>
    <xf numFmtId="0" fontId="16" fillId="0" borderId="0" xfId="0" applyFont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20" fillId="7" borderId="3" xfId="8" applyFont="1" applyFill="1" applyBorder="1" applyAlignment="1">
      <alignment horizontal="center" vertical="center"/>
    </xf>
    <xf numFmtId="1" fontId="20" fillId="7" borderId="3" xfId="9" applyNumberFormat="1" applyFont="1" applyFill="1" applyBorder="1" applyAlignment="1">
      <alignment horizontal="center" vertical="center"/>
    </xf>
    <xf numFmtId="0" fontId="21" fillId="0" borderId="3" xfId="0" applyFont="1" applyBorder="1"/>
    <xf numFmtId="1" fontId="22" fillId="7" borderId="3" xfId="9" applyNumberFormat="1" applyFont="1" applyFill="1" applyBorder="1" applyAlignment="1">
      <alignment horizontal="center" vertical="center"/>
    </xf>
    <xf numFmtId="0" fontId="23" fillId="0" borderId="3" xfId="0" applyFont="1" applyBorder="1"/>
    <xf numFmtId="0" fontId="22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24" fillId="0" borderId="0" xfId="0" applyFont="1"/>
    <xf numFmtId="0" fontId="14" fillId="0" borderId="4" xfId="0" applyFont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25" fillId="7" borderId="3" xfId="3" applyFont="1" applyFill="1" applyBorder="1" applyAlignment="1">
      <alignment horizontal="center" vertical="center"/>
    </xf>
    <xf numFmtId="0" fontId="14" fillId="7" borderId="3" xfId="3" applyFont="1" applyFill="1" applyBorder="1" applyAlignment="1">
      <alignment horizontal="center" vertical="center"/>
    </xf>
    <xf numFmtId="0" fontId="25" fillId="0" borderId="3" xfId="3" applyFont="1" applyBorder="1" applyAlignment="1">
      <alignment horizontal="center" vertical="center"/>
    </xf>
    <xf numFmtId="0" fontId="26" fillId="7" borderId="3" xfId="3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8" fillId="9" borderId="3" xfId="3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21" fillId="7" borderId="3" xfId="1" applyFont="1" applyFill="1" applyBorder="1" applyAlignment="1">
      <alignment horizontal="center" vertical="center"/>
    </xf>
    <xf numFmtId="0" fontId="29" fillId="0" borderId="3" xfId="1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9" fillId="7" borderId="3" xfId="1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21" fillId="7" borderId="3" xfId="5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8" fillId="0" borderId="3" xfId="3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5" fillId="7" borderId="4" xfId="3" applyFont="1" applyFill="1" applyBorder="1" applyAlignment="1">
      <alignment horizontal="center" vertical="center"/>
    </xf>
    <xf numFmtId="0" fontId="21" fillId="7" borderId="4" xfId="3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21" fillId="7" borderId="3" xfId="3" applyFont="1" applyFill="1" applyBorder="1" applyAlignment="1">
      <alignment horizontal="center" vertical="center"/>
    </xf>
    <xf numFmtId="0" fontId="14" fillId="0" borderId="3" xfId="2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4" fillId="4" borderId="3" xfId="3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33" fillId="7" borderId="3" xfId="3" applyFont="1" applyFill="1" applyBorder="1" applyAlignment="1">
      <alignment horizontal="center" vertical="center"/>
    </xf>
    <xf numFmtId="0" fontId="14" fillId="8" borderId="3" xfId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12" borderId="3" xfId="7" applyFont="1" applyFill="1" applyBorder="1" applyAlignment="1">
      <alignment horizontal="center" vertical="center"/>
    </xf>
    <xf numFmtId="0" fontId="26" fillId="12" borderId="3" xfId="3" applyFont="1" applyFill="1" applyBorder="1" applyAlignment="1">
      <alignment horizontal="center" vertical="center"/>
    </xf>
    <xf numFmtId="0" fontId="37" fillId="12" borderId="3" xfId="7" applyFont="1" applyFill="1" applyBorder="1" applyAlignment="1">
      <alignment horizontal="center" vertical="center"/>
    </xf>
    <xf numFmtId="0" fontId="38" fillId="12" borderId="3" xfId="7" applyFont="1" applyFill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/>
    </xf>
    <xf numFmtId="0" fontId="39" fillId="7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7" fillId="7" borderId="3" xfId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3" xfId="4" applyFont="1" applyFill="1" applyBorder="1" applyAlignment="1">
      <alignment horizontal="center" vertical="center"/>
    </xf>
    <xf numFmtId="0" fontId="23" fillId="7" borderId="3" xfId="1" applyFont="1" applyFill="1" applyBorder="1" applyAlignment="1">
      <alignment horizontal="center" vertical="center"/>
    </xf>
    <xf numFmtId="0" fontId="39" fillId="7" borderId="3" xfId="3" applyFont="1" applyFill="1" applyBorder="1" applyAlignment="1">
      <alignment horizontal="center" vertical="center"/>
    </xf>
    <xf numFmtId="0" fontId="26" fillId="7" borderId="3" xfId="1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/>
    </xf>
    <xf numFmtId="0" fontId="32" fillId="7" borderId="3" xfId="3" applyFont="1" applyFill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32" fillId="7" borderId="3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/>
    </xf>
    <xf numFmtId="0" fontId="39" fillId="7" borderId="3" xfId="1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/>
    </xf>
    <xf numFmtId="0" fontId="44" fillId="7" borderId="3" xfId="6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3" fillId="7" borderId="3" xfId="1" applyFont="1" applyFill="1" applyBorder="1" applyAlignment="1">
      <alignment horizontal="center" vertical="center"/>
    </xf>
    <xf numFmtId="0" fontId="37" fillId="7" borderId="3" xfId="3" applyFont="1" applyFill="1" applyBorder="1" applyAlignment="1">
      <alignment horizontal="center" vertical="center"/>
    </xf>
    <xf numFmtId="0" fontId="42" fillId="7" borderId="3" xfId="3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3" xfId="3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14" fontId="48" fillId="7" borderId="3" xfId="0" applyNumberFormat="1" applyFont="1" applyFill="1" applyBorder="1" applyAlignment="1">
      <alignment horizontal="center" vertical="center"/>
    </xf>
    <xf numFmtId="0" fontId="49" fillId="7" borderId="3" xfId="2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8" borderId="3" xfId="2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7" borderId="3" xfId="6" applyFont="1" applyFill="1" applyBorder="1" applyAlignment="1">
      <alignment horizontal="center" vertical="center"/>
    </xf>
    <xf numFmtId="0" fontId="14" fillId="7" borderId="3" xfId="2" applyFont="1" applyFill="1" applyBorder="1" applyAlignment="1">
      <alignment horizontal="center" vertical="center"/>
    </xf>
    <xf numFmtId="0" fontId="14" fillId="6" borderId="3" xfId="3" applyFont="1" applyFill="1" applyBorder="1" applyAlignment="1">
      <alignment horizontal="center" vertical="center"/>
    </xf>
    <xf numFmtId="0" fontId="22" fillId="7" borderId="3" xfId="3" applyFont="1" applyFill="1" applyBorder="1" applyAlignment="1">
      <alignment horizontal="center" vertical="center"/>
    </xf>
    <xf numFmtId="0" fontId="21" fillId="0" borderId="3" xfId="5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Border="1"/>
    <xf numFmtId="0" fontId="9" fillId="0" borderId="3" xfId="0" applyFont="1" applyBorder="1"/>
    <xf numFmtId="0" fontId="42" fillId="10" borderId="3" xfId="0" applyFont="1" applyFill="1" applyBorder="1" applyAlignment="1">
      <alignment horizontal="center" vertical="center"/>
    </xf>
    <xf numFmtId="0" fontId="51" fillId="7" borderId="3" xfId="0" applyFont="1" applyFill="1" applyBorder="1" applyAlignment="1">
      <alignment horizontal="center" vertical="center"/>
    </xf>
    <xf numFmtId="0" fontId="51" fillId="0" borderId="3" xfId="0" applyFont="1" applyBorder="1" applyAlignment="1">
      <alignment horizontal="center"/>
    </xf>
    <xf numFmtId="0" fontId="14" fillId="14" borderId="3" xfId="0" applyFont="1" applyFill="1" applyBorder="1" applyAlignment="1">
      <alignment horizontal="center" vertical="center"/>
    </xf>
    <xf numFmtId="0" fontId="52" fillId="7" borderId="3" xfId="0" applyFont="1" applyFill="1" applyBorder="1" applyAlignment="1">
      <alignment vertical="center"/>
    </xf>
    <xf numFmtId="0" fontId="14" fillId="0" borderId="3" xfId="3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center" vertical="center"/>
    </xf>
    <xf numFmtId="0" fontId="14" fillId="14" borderId="4" xfId="1" applyFont="1" applyFill="1" applyBorder="1" applyAlignment="1">
      <alignment horizontal="center" vertical="center"/>
    </xf>
    <xf numFmtId="0" fontId="14" fillId="14" borderId="3" xfId="1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vertical="center"/>
    </xf>
    <xf numFmtId="0" fontId="8" fillId="7" borderId="3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19" fillId="7" borderId="4" xfId="0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4" fillId="15" borderId="3" xfId="1" applyFont="1" applyFill="1" applyBorder="1" applyAlignment="1">
      <alignment horizontal="center" vertical="center"/>
    </xf>
    <xf numFmtId="0" fontId="14" fillId="7" borderId="4" xfId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0" fontId="14" fillId="6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7" borderId="4" xfId="3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39" fillId="0" borderId="3" xfId="0" applyFont="1" applyBorder="1" applyAlignment="1">
      <alignment horizontal="center"/>
    </xf>
    <xf numFmtId="0" fontId="14" fillId="8" borderId="3" xfId="6" applyFont="1" applyFill="1" applyBorder="1" applyAlignment="1">
      <alignment horizontal="center" vertical="center"/>
    </xf>
    <xf numFmtId="0" fontId="14" fillId="16" borderId="3" xfId="3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0" fontId="53" fillId="7" borderId="3" xfId="0" applyFont="1" applyFill="1" applyBorder="1" applyAlignment="1">
      <alignment horizontal="center" vertical="center"/>
    </xf>
    <xf numFmtId="0" fontId="53" fillId="7" borderId="3" xfId="4" applyFont="1" applyFill="1" applyBorder="1" applyAlignment="1">
      <alignment horizontal="center" vertical="center"/>
    </xf>
    <xf numFmtId="0" fontId="53" fillId="7" borderId="3" xfId="0" applyFont="1" applyFill="1" applyBorder="1" applyAlignment="1">
      <alignment horizontal="center"/>
    </xf>
    <xf numFmtId="0" fontId="53" fillId="7" borderId="4" xfId="1" applyFont="1" applyFill="1" applyBorder="1" applyAlignment="1">
      <alignment horizontal="center" vertical="center"/>
    </xf>
    <xf numFmtId="0" fontId="53" fillId="7" borderId="3" xfId="1" applyFont="1" applyFill="1" applyBorder="1" applyAlignment="1">
      <alignment horizontal="center" vertical="center"/>
    </xf>
    <xf numFmtId="0" fontId="54" fillId="7" borderId="3" xfId="0" applyFont="1" applyFill="1" applyBorder="1" applyAlignment="1">
      <alignment horizontal="center" vertical="center"/>
    </xf>
    <xf numFmtId="0" fontId="53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53" fillId="8" borderId="3" xfId="1" applyFont="1" applyFill="1" applyBorder="1" applyAlignment="1">
      <alignment horizontal="center" vertical="center"/>
    </xf>
    <xf numFmtId="0" fontId="13" fillId="7" borderId="3" xfId="4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53" fillId="8" borderId="3" xfId="0" applyFont="1" applyFill="1" applyBorder="1" applyAlignment="1">
      <alignment horizontal="center"/>
    </xf>
    <xf numFmtId="0" fontId="13" fillId="7" borderId="3" xfId="1" applyFont="1" applyFill="1" applyBorder="1" applyAlignment="1">
      <alignment horizontal="center" vertical="center"/>
    </xf>
    <xf numFmtId="0" fontId="13" fillId="8" borderId="3" xfId="1" applyFont="1" applyFill="1" applyBorder="1" applyAlignment="1">
      <alignment horizontal="center" vertical="center"/>
    </xf>
    <xf numFmtId="0" fontId="53" fillId="0" borderId="3" xfId="0" applyFont="1" applyBorder="1" applyAlignment="1">
      <alignment horizontal="center"/>
    </xf>
    <xf numFmtId="0" fontId="55" fillId="7" borderId="3" xfId="0" applyFont="1" applyFill="1" applyBorder="1" applyAlignment="1">
      <alignment horizontal="center" vertical="center"/>
    </xf>
    <xf numFmtId="0" fontId="56" fillId="0" borderId="3" xfId="0" applyFont="1" applyBorder="1" applyAlignment="1">
      <alignment horizontal="center"/>
    </xf>
    <xf numFmtId="0" fontId="53" fillId="0" borderId="3" xfId="5" applyFont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53" fillId="18" borderId="3" xfId="0" applyFont="1" applyFill="1" applyBorder="1" applyAlignment="1">
      <alignment horizontal="center" vertical="center"/>
    </xf>
    <xf numFmtId="0" fontId="13" fillId="0" borderId="3" xfId="5" applyFont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53" fillId="19" borderId="3" xfId="0" applyFont="1" applyFill="1" applyBorder="1" applyAlignment="1">
      <alignment horizontal="center" vertical="center"/>
    </xf>
    <xf numFmtId="0" fontId="13" fillId="8" borderId="3" xfId="4" applyFont="1" applyFill="1" applyBorder="1" applyAlignment="1">
      <alignment horizontal="center" vertical="center"/>
    </xf>
    <xf numFmtId="0" fontId="13" fillId="7" borderId="4" xfId="1" applyFont="1" applyFill="1" applyBorder="1" applyAlignment="1">
      <alignment horizontal="center" vertical="center"/>
    </xf>
    <xf numFmtId="0" fontId="55" fillId="7" borderId="4" xfId="1" applyFont="1" applyFill="1" applyBorder="1" applyAlignment="1">
      <alignment horizontal="center" vertical="center"/>
    </xf>
    <xf numFmtId="0" fontId="21" fillId="16" borderId="3" xfId="1" applyFont="1" applyFill="1" applyBorder="1" applyAlignment="1">
      <alignment horizontal="center" vertical="center"/>
    </xf>
    <xf numFmtId="0" fontId="51" fillId="7" borderId="4" xfId="1" applyFont="1" applyFill="1" applyBorder="1" applyAlignment="1">
      <alignment horizontal="center" vertical="center"/>
    </xf>
    <xf numFmtId="0" fontId="5" fillId="0" borderId="0" xfId="0" applyFont="1"/>
    <xf numFmtId="0" fontId="56" fillId="0" borderId="4" xfId="0" applyFont="1" applyBorder="1" applyAlignment="1">
      <alignment horizontal="center"/>
    </xf>
    <xf numFmtId="0" fontId="24" fillId="0" borderId="3" xfId="0" applyFont="1" applyBorder="1"/>
    <xf numFmtId="0" fontId="21" fillId="7" borderId="3" xfId="4" applyFont="1" applyFill="1" applyBorder="1" applyAlignment="1">
      <alignment horizontal="center" vertical="center"/>
    </xf>
    <xf numFmtId="0" fontId="14" fillId="7" borderId="3" xfId="4" applyFont="1" applyFill="1" applyBorder="1" applyAlignment="1">
      <alignment horizontal="center" vertical="center"/>
    </xf>
    <xf numFmtId="0" fontId="14" fillId="8" borderId="3" xfId="4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/>
    </xf>
    <xf numFmtId="0" fontId="21" fillId="8" borderId="3" xfId="0" applyFont="1" applyFill="1" applyBorder="1" applyAlignment="1">
      <alignment horizontal="center"/>
    </xf>
    <xf numFmtId="0" fontId="21" fillId="8" borderId="3" xfId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center"/>
    </xf>
    <xf numFmtId="0" fontId="4" fillId="0" borderId="0" xfId="0" applyFont="1"/>
    <xf numFmtId="0" fontId="21" fillId="0" borderId="3" xfId="0" applyFont="1" applyBorder="1" applyAlignment="1">
      <alignment horizontal="center"/>
    </xf>
    <xf numFmtId="0" fontId="14" fillId="0" borderId="3" xfId="5" applyFont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center" vertical="center"/>
    </xf>
    <xf numFmtId="0" fontId="39" fillId="7" borderId="4" xfId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0" fillId="7" borderId="3" xfId="0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57" fillId="7" borderId="3" xfId="0" applyFont="1" applyFill="1" applyBorder="1" applyAlignment="1">
      <alignment horizontal="center" vertical="center"/>
    </xf>
    <xf numFmtId="0" fontId="14" fillId="10" borderId="3" xfId="1" applyFont="1" applyFill="1" applyBorder="1" applyAlignment="1">
      <alignment horizontal="center" vertical="center"/>
    </xf>
    <xf numFmtId="0" fontId="14" fillId="20" borderId="3" xfId="0" applyFont="1" applyFill="1" applyBorder="1" applyAlignment="1">
      <alignment horizontal="center" vertical="center"/>
    </xf>
    <xf numFmtId="0" fontId="22" fillId="7" borderId="5" xfId="3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9" fillId="0" borderId="5" xfId="0" applyFont="1" applyBorder="1"/>
    <xf numFmtId="0" fontId="14" fillId="7" borderId="5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4" fillId="10" borderId="3" xfId="2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50" fillId="0" borderId="0" xfId="0" applyFont="1" applyAlignment="1">
      <alignment horizontal="center"/>
    </xf>
    <xf numFmtId="0" fontId="1" fillId="0" borderId="3" xfId="0" applyFont="1" applyBorder="1" applyAlignment="1">
      <alignment vertical="center"/>
    </xf>
  </cellXfs>
  <cellStyles count="10">
    <cellStyle name="Normal 2 10" xfId="9" xr:uid="{00000000-0005-0000-0000-000000000000}"/>
    <cellStyle name="Normal_Sheet1" xfId="7" xr:uid="{00000000-0005-0000-0000-000001000000}"/>
    <cellStyle name="Normal_Transport daily dispatch report  16-22 ,  March  2009 2 2" xfId="3" xr:uid="{00000000-0005-0000-0000-000002000000}"/>
    <cellStyle name="Вывод" xfId="1" builtinId="21"/>
    <cellStyle name="Контрольная ячейка" xfId="2" builtinId="23"/>
    <cellStyle name="Обычный" xfId="0" builtinId="0"/>
    <cellStyle name="Обычный 10 10 6 2 2" xfId="5" xr:uid="{00000000-0005-0000-0000-000006000000}"/>
    <cellStyle name="Обычный 10 9" xfId="6" xr:uid="{00000000-0005-0000-0000-000007000000}"/>
    <cellStyle name="Обычный 2" xfId="8" xr:uid="{00000000-0005-0000-0000-000008000000}"/>
    <cellStyle name="Обычный 2 10" xfId="4" xr:uid="{00000000-0005-0000-0000-000009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opLeftCell="A52" zoomScale="80" zoomScaleNormal="80" workbookViewId="0">
      <selection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146</v>
      </c>
      <c r="B2" s="60" t="s">
        <v>103</v>
      </c>
      <c r="C2" s="3" t="s">
        <v>102</v>
      </c>
      <c r="D2" s="3" t="s">
        <v>141</v>
      </c>
      <c r="E2" s="60" t="s">
        <v>175</v>
      </c>
      <c r="F2" s="16" t="s">
        <v>169</v>
      </c>
      <c r="G2" s="60" t="s">
        <v>106</v>
      </c>
      <c r="H2" s="18" t="s">
        <v>10</v>
      </c>
      <c r="I2" s="3" t="s">
        <v>11</v>
      </c>
      <c r="J2" s="18" t="s">
        <v>122</v>
      </c>
      <c r="M2" s="109"/>
    </row>
    <row r="3" spans="1:13" x14ac:dyDescent="0.3">
      <c r="A3" s="16" t="s">
        <v>142</v>
      </c>
      <c r="B3" s="60" t="s">
        <v>171</v>
      </c>
      <c r="C3" s="60" t="s">
        <v>118</v>
      </c>
      <c r="D3" s="3" t="s">
        <v>140</v>
      </c>
      <c r="E3" s="16"/>
      <c r="F3" s="3" t="s">
        <v>12</v>
      </c>
      <c r="G3" s="16" t="s">
        <v>105</v>
      </c>
      <c r="H3" s="110"/>
      <c r="I3" s="46" t="s">
        <v>13</v>
      </c>
      <c r="J3" s="18"/>
      <c r="M3" s="109"/>
    </row>
    <row r="4" spans="1:13" x14ac:dyDescent="0.3">
      <c r="A4" s="60" t="s">
        <v>145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75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14" t="s">
        <v>113</v>
      </c>
      <c r="B7" s="16" t="s">
        <v>18</v>
      </c>
      <c r="C7" s="16" t="s">
        <v>126</v>
      </c>
      <c r="D7" s="4"/>
      <c r="E7" s="22" t="s">
        <v>17</v>
      </c>
      <c r="F7" s="23"/>
      <c r="G7" s="3" t="s">
        <v>180</v>
      </c>
      <c r="H7" s="20"/>
      <c r="I7" s="3"/>
      <c r="J7" s="24"/>
      <c r="M7" s="109"/>
    </row>
    <row r="8" spans="1:13" x14ac:dyDescent="0.3">
      <c r="A8" s="32" t="s">
        <v>131</v>
      </c>
      <c r="B8" s="118" t="s">
        <v>150</v>
      </c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32" t="s">
        <v>182</v>
      </c>
      <c r="B9" s="121"/>
      <c r="C9" s="122"/>
      <c r="D9" s="4"/>
      <c r="E9" s="3"/>
      <c r="F9" s="3"/>
      <c r="G9" s="4"/>
      <c r="H9" s="4"/>
      <c r="I9" s="46" t="s">
        <v>23</v>
      </c>
      <c r="J9" s="111" t="s">
        <v>123</v>
      </c>
      <c r="M9" s="109"/>
    </row>
    <row r="10" spans="1:13" x14ac:dyDescent="0.3">
      <c r="A10" s="25" t="s">
        <v>127</v>
      </c>
      <c r="B10" s="115"/>
      <c r="C10" s="121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51</v>
      </c>
      <c r="D17" s="46" t="s">
        <v>37</v>
      </c>
      <c r="E17" s="16" t="s">
        <v>143</v>
      </c>
      <c r="F17" s="57" t="s">
        <v>178</v>
      </c>
      <c r="G17" s="106" t="s">
        <v>101</v>
      </c>
      <c r="H17" s="107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54" t="s">
        <v>123</v>
      </c>
      <c r="D18" s="46" t="s">
        <v>40</v>
      </c>
      <c r="E18" s="16" t="s">
        <v>108</v>
      </c>
      <c r="F18" s="16" t="s">
        <v>128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6" t="s">
        <v>99</v>
      </c>
      <c r="F19" s="57" t="s">
        <v>112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105" t="s">
        <v>124</v>
      </c>
      <c r="E20" s="60" t="s">
        <v>45</v>
      </c>
      <c r="F20" s="16" t="s">
        <v>147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105" t="s">
        <v>176</v>
      </c>
      <c r="E21" s="60" t="s">
        <v>107</v>
      </c>
      <c r="F21" s="16" t="s">
        <v>148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8" t="s">
        <v>49</v>
      </c>
      <c r="E22" s="54" t="s">
        <v>144</v>
      </c>
      <c r="F22" s="57" t="s">
        <v>183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27" t="s">
        <v>170</v>
      </c>
      <c r="D23" s="18"/>
      <c r="E23" s="5"/>
      <c r="F23" s="59" t="s">
        <v>95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6"/>
      <c r="E24" s="60" t="s">
        <v>125</v>
      </c>
      <c r="F24" s="25"/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6" t="s">
        <v>177</v>
      </c>
      <c r="F25" s="57" t="s">
        <v>159</v>
      </c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25"/>
      <c r="F26" s="57" t="s">
        <v>160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25"/>
      <c r="F27" s="57" t="s">
        <v>96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0"/>
      <c r="F28" s="16" t="s">
        <v>161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49" t="s">
        <v>57</v>
      </c>
      <c r="F29" s="114" t="s">
        <v>97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60" t="s">
        <v>110</v>
      </c>
      <c r="F30" s="16" t="s">
        <v>162</v>
      </c>
      <c r="G30" s="3"/>
      <c r="H30" s="3"/>
      <c r="I30" s="3"/>
      <c r="J30" s="3"/>
    </row>
    <row r="31" spans="1:10" x14ac:dyDescent="0.3">
      <c r="A31" s="27" t="s">
        <v>59</v>
      </c>
      <c r="B31" s="3"/>
      <c r="C31" s="3"/>
      <c r="D31" s="110"/>
      <c r="E31" s="16" t="s">
        <v>111</v>
      </c>
      <c r="F31" s="16" t="s">
        <v>163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8" t="s">
        <v>60</v>
      </c>
      <c r="F32" s="16" t="s">
        <v>164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17"/>
      <c r="F33" s="104" t="s">
        <v>165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3"/>
      <c r="F34" s="57" t="s">
        <v>166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3"/>
      <c r="F35" s="16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16"/>
      <c r="F36" s="16" t="s">
        <v>149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50"/>
      <c r="F37" s="16" t="s">
        <v>130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50"/>
      <c r="F38" s="25" t="s">
        <v>132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17"/>
      <c r="F39" s="57" t="s">
        <v>133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16"/>
      <c r="F40" s="59" t="s">
        <v>173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3"/>
      <c r="F41" s="16" t="s">
        <v>134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51"/>
      <c r="F42" s="119" t="s">
        <v>114</v>
      </c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51"/>
      <c r="F43" s="16"/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3"/>
      <c r="F44" s="16" t="s">
        <v>151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3"/>
      <c r="F45" s="16" t="s">
        <v>152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3"/>
      <c r="F46" s="59" t="s">
        <v>153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6"/>
      <c r="F47" s="59" t="s">
        <v>179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6"/>
      <c r="F48" s="57" t="s">
        <v>61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3"/>
      <c r="F49" s="59" t="s">
        <v>154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3"/>
      <c r="F50" s="16" t="s">
        <v>117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3"/>
      <c r="F51" s="16" t="s">
        <v>155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3"/>
      <c r="F52" s="101" t="s">
        <v>186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3"/>
      <c r="F53" s="16" t="s">
        <v>167</v>
      </c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6"/>
      <c r="F54" s="16" t="s">
        <v>135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6"/>
      <c r="F55" s="120"/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6"/>
      <c r="F56" s="16" t="s">
        <v>156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3"/>
      <c r="F57" s="56" t="s">
        <v>115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3"/>
      <c r="F58" s="59" t="s">
        <v>100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3"/>
      <c r="F59" s="16"/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3"/>
      <c r="F60" s="103" t="s">
        <v>157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3"/>
      <c r="F61" s="57" t="s">
        <v>98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3"/>
      <c r="F62" s="16" t="s">
        <v>137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6"/>
      <c r="F63" s="16" t="s">
        <v>136</v>
      </c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6"/>
      <c r="F64" s="16" t="s">
        <v>184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57" t="s">
        <v>185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59" t="s">
        <v>116</v>
      </c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25" t="s">
        <v>158</v>
      </c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 t="s">
        <v>152</v>
      </c>
      <c r="B70" s="21" t="s">
        <v>168</v>
      </c>
      <c r="C70" s="112" t="s">
        <v>138</v>
      </c>
      <c r="D70" s="16" t="s">
        <v>99</v>
      </c>
      <c r="E70" s="21" t="s">
        <v>104</v>
      </c>
      <c r="F70" s="55" t="s">
        <v>26</v>
      </c>
      <c r="G70" s="66"/>
      <c r="H70" s="3" t="s">
        <v>70</v>
      </c>
      <c r="I70" s="3">
        <f>SUM(I69-(I71+I72+I73))</f>
        <v>112</v>
      </c>
      <c r="J70" s="3"/>
    </row>
    <row r="71" spans="1:10" x14ac:dyDescent="0.3">
      <c r="A71" s="16"/>
      <c r="B71" s="21" t="s">
        <v>129</v>
      </c>
      <c r="C71" s="113"/>
      <c r="D71" s="16"/>
      <c r="E71" s="23" t="s">
        <v>46</v>
      </c>
      <c r="F71" s="55" t="s">
        <v>69</v>
      </c>
      <c r="G71" s="66"/>
      <c r="H71" s="23" t="s">
        <v>72</v>
      </c>
      <c r="I71" s="23">
        <f>A96+E96</f>
        <v>6</v>
      </c>
      <c r="J71" s="3"/>
    </row>
    <row r="72" spans="1:10" x14ac:dyDescent="0.3">
      <c r="A72" s="27"/>
      <c r="B72" s="124"/>
      <c r="C72" s="73"/>
      <c r="D72" s="16"/>
      <c r="E72" s="23" t="s">
        <v>94</v>
      </c>
      <c r="F72" s="55" t="s">
        <v>71</v>
      </c>
      <c r="G72" s="66"/>
      <c r="H72" s="68" t="s">
        <v>74</v>
      </c>
      <c r="I72" s="69">
        <f>A97+E97</f>
        <v>8</v>
      </c>
      <c r="J72" s="3"/>
    </row>
    <row r="73" spans="1:10" x14ac:dyDescent="0.3">
      <c r="A73" s="27"/>
      <c r="B73" s="73"/>
      <c r="C73" s="2"/>
      <c r="D73" s="6"/>
      <c r="E73" s="71" t="s">
        <v>109</v>
      </c>
      <c r="F73" s="55" t="s">
        <v>73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F74" s="55" t="s">
        <v>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71"/>
      <c r="F75" s="55" t="s">
        <v>174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F76" s="55" t="s">
        <v>36</v>
      </c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4</v>
      </c>
      <c r="F96" s="20" t="s">
        <v>65</v>
      </c>
      <c r="G96" s="3"/>
      <c r="H96" s="3"/>
      <c r="I96" s="55"/>
      <c r="J96" s="87"/>
    </row>
    <row r="97" spans="1:10" x14ac:dyDescent="0.3">
      <c r="A97" s="98">
        <v>1</v>
      </c>
      <c r="B97" s="45"/>
      <c r="C97" s="95"/>
      <c r="D97" s="3"/>
      <c r="E97" s="99">
        <v>7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F77F-A81D-4F18-9CEB-1A7BD1E2F215}">
  <dimension ref="A1:M102"/>
  <sheetViews>
    <sheetView topLeftCell="A55" zoomScale="80" zoomScaleNormal="80" workbookViewId="0">
      <selection activeCell="J40" sqref="J40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140</v>
      </c>
      <c r="B2" s="60" t="s">
        <v>189</v>
      </c>
      <c r="C2" s="16" t="s">
        <v>102</v>
      </c>
      <c r="D2" s="3" t="s">
        <v>187</v>
      </c>
      <c r="E2" s="60" t="s">
        <v>175</v>
      </c>
      <c r="F2" s="16" t="s">
        <v>169</v>
      </c>
      <c r="G2" s="60" t="s">
        <v>202</v>
      </c>
      <c r="H2" s="18" t="s">
        <v>10</v>
      </c>
      <c r="I2" s="3" t="s">
        <v>11</v>
      </c>
      <c r="J2" s="18" t="s">
        <v>122</v>
      </c>
      <c r="M2" s="109"/>
    </row>
    <row r="3" spans="1:13" x14ac:dyDescent="0.3">
      <c r="A3" s="60" t="s">
        <v>190</v>
      </c>
      <c r="B3" s="60" t="s">
        <v>191</v>
      </c>
      <c r="C3" s="60" t="s">
        <v>118</v>
      </c>
      <c r="D3" s="3" t="s">
        <v>188</v>
      </c>
      <c r="E3" s="16"/>
      <c r="F3" s="3" t="s">
        <v>12</v>
      </c>
      <c r="G3" s="110"/>
      <c r="H3" s="110"/>
      <c r="I3" s="46" t="s">
        <v>13</v>
      </c>
      <c r="J3" s="18"/>
      <c r="M3" s="109"/>
    </row>
    <row r="4" spans="1:13" x14ac:dyDescent="0.3">
      <c r="A4" s="16" t="s">
        <v>192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75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6" t="s">
        <v>113</v>
      </c>
      <c r="B7" s="16" t="s">
        <v>18</v>
      </c>
      <c r="C7" s="16" t="s">
        <v>126</v>
      </c>
      <c r="D7" s="4"/>
      <c r="E7" s="22" t="s">
        <v>17</v>
      </c>
      <c r="F7" s="23"/>
      <c r="G7" s="3" t="s">
        <v>180</v>
      </c>
      <c r="H7" s="20"/>
      <c r="I7" s="3"/>
      <c r="J7" s="24"/>
      <c r="M7" s="109"/>
    </row>
    <row r="8" spans="1:13" x14ac:dyDescent="0.3">
      <c r="A8" s="32" t="s">
        <v>131</v>
      </c>
      <c r="B8" s="118" t="s">
        <v>242</v>
      </c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32" t="s">
        <v>182</v>
      </c>
      <c r="B9" s="128"/>
      <c r="C9" s="129"/>
      <c r="D9" s="4"/>
      <c r="E9" s="3"/>
      <c r="F9" s="3"/>
      <c r="G9" s="4"/>
      <c r="H9" s="4"/>
      <c r="I9" s="46" t="s">
        <v>23</v>
      </c>
      <c r="J9" s="111" t="s">
        <v>123</v>
      </c>
      <c r="M9" s="109"/>
    </row>
    <row r="10" spans="1:13" x14ac:dyDescent="0.3">
      <c r="A10" s="25" t="s">
        <v>127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51</v>
      </c>
      <c r="D17" s="46" t="s">
        <v>37</v>
      </c>
      <c r="E17" s="130" t="s">
        <v>195</v>
      </c>
      <c r="F17" s="125" t="s">
        <v>203</v>
      </c>
      <c r="G17" s="106" t="s">
        <v>101</v>
      </c>
      <c r="H17" s="107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54" t="s">
        <v>123</v>
      </c>
      <c r="D18" s="46" t="s">
        <v>40</v>
      </c>
      <c r="E18" s="130" t="s">
        <v>196</v>
      </c>
      <c r="F18" s="60" t="s">
        <v>204</v>
      </c>
      <c r="G18" s="3"/>
      <c r="H18" s="16"/>
      <c r="I18" s="48"/>
      <c r="J18" s="3"/>
    </row>
    <row r="19" spans="1:10" x14ac:dyDescent="0.3">
      <c r="A19" s="23" t="s">
        <v>41</v>
      </c>
      <c r="B19" s="3"/>
      <c r="C19" s="18"/>
      <c r="D19" s="46" t="s">
        <v>42</v>
      </c>
      <c r="E19" s="130" t="s">
        <v>125</v>
      </c>
      <c r="F19" s="125" t="s">
        <v>205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32" t="s">
        <v>99</v>
      </c>
      <c r="F20" s="60" t="s">
        <v>206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60" t="s">
        <v>193</v>
      </c>
      <c r="E21" s="32" t="s">
        <v>197</v>
      </c>
      <c r="F21" s="60" t="s">
        <v>207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8" t="s">
        <v>194</v>
      </c>
      <c r="E22" s="32" t="s">
        <v>198</v>
      </c>
      <c r="F22" s="60" t="s">
        <v>183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27" t="s">
        <v>170</v>
      </c>
      <c r="D23" s="18"/>
      <c r="E23" s="131" t="s">
        <v>199</v>
      </c>
      <c r="F23" s="126" t="s">
        <v>208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6"/>
      <c r="F24" s="126"/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7" t="s">
        <v>177</v>
      </c>
      <c r="F25" s="125" t="s">
        <v>209</v>
      </c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127"/>
      <c r="F26" s="125" t="s">
        <v>210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127"/>
      <c r="F27" s="125" t="s">
        <v>211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60" t="s">
        <v>212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60" t="s">
        <v>213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60" t="s">
        <v>214</v>
      </c>
      <c r="G30" s="3"/>
      <c r="H30" s="3"/>
      <c r="I30" s="3"/>
      <c r="J30" s="3"/>
    </row>
    <row r="31" spans="1:10" x14ac:dyDescent="0.3">
      <c r="A31" s="27" t="s">
        <v>59</v>
      </c>
      <c r="B31" s="3"/>
      <c r="C31" s="3"/>
      <c r="D31" s="110"/>
      <c r="E31" s="130" t="s">
        <v>201</v>
      </c>
      <c r="F31" s="60" t="s">
        <v>215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60" t="s">
        <v>216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25" t="s">
        <v>217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25"/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6" t="s">
        <v>149</v>
      </c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60" t="s">
        <v>218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19" t="s">
        <v>219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6" t="s">
        <v>220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25" t="s">
        <v>221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60" t="s">
        <v>222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25" t="s">
        <v>150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6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60" t="s">
        <v>223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60" t="s">
        <v>224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25" t="s">
        <v>225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25" t="s">
        <v>226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6" t="s">
        <v>227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25" t="s">
        <v>228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60" t="s">
        <v>229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60" t="s">
        <v>230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04" t="s">
        <v>231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60" t="s">
        <v>232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6" t="s">
        <v>135</v>
      </c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20"/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60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35" t="s">
        <v>234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60" t="s">
        <v>100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6"/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60" t="s">
        <v>235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6" t="s">
        <v>236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60" t="s">
        <v>237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60" t="s">
        <v>238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6" t="s">
        <v>184</v>
      </c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6" t="s">
        <v>239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25" t="s">
        <v>240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60" t="s">
        <v>241</v>
      </c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25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/>
      <c r="B70" s="21" t="s">
        <v>168</v>
      </c>
      <c r="C70" s="112" t="s">
        <v>138</v>
      </c>
      <c r="D70" s="16"/>
      <c r="E70" s="21" t="s">
        <v>104</v>
      </c>
      <c r="F70" s="55" t="s">
        <v>26</v>
      </c>
      <c r="G70" s="66"/>
      <c r="H70" s="3" t="s">
        <v>70</v>
      </c>
      <c r="I70" s="3">
        <f>SUM(I69-(I71+I72+I73))</f>
        <v>110</v>
      </c>
      <c r="J70" s="3"/>
    </row>
    <row r="71" spans="1:10" x14ac:dyDescent="0.3">
      <c r="A71" s="16"/>
      <c r="B71" s="21" t="s">
        <v>129</v>
      </c>
      <c r="C71" s="113"/>
      <c r="D71" s="16"/>
      <c r="E71" s="23" t="s">
        <v>46</v>
      </c>
      <c r="F71" s="55" t="s">
        <v>69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124"/>
      <c r="C72" s="73"/>
      <c r="D72" s="16"/>
      <c r="E72" s="23" t="s">
        <v>94</v>
      </c>
      <c r="F72" s="55" t="s">
        <v>71</v>
      </c>
      <c r="G72" s="66"/>
      <c r="H72" s="68" t="s">
        <v>74</v>
      </c>
      <c r="I72" s="69">
        <f>A97+E97</f>
        <v>8</v>
      </c>
      <c r="J72" s="3"/>
    </row>
    <row r="73" spans="1:10" x14ac:dyDescent="0.3">
      <c r="A73" s="27"/>
      <c r="B73" s="73"/>
      <c r="C73" s="2"/>
      <c r="D73" s="6"/>
      <c r="E73" s="23" t="s">
        <v>109</v>
      </c>
      <c r="F73" s="55" t="s">
        <v>73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71" t="s">
        <v>105</v>
      </c>
      <c r="F74" s="55" t="s">
        <v>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71" t="s">
        <v>41</v>
      </c>
      <c r="F75" s="55" t="s">
        <v>174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F76" s="55" t="s">
        <v>36</v>
      </c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6</v>
      </c>
      <c r="F96" s="20" t="s">
        <v>65</v>
      </c>
      <c r="G96" s="3"/>
      <c r="H96" s="3"/>
      <c r="I96" s="55"/>
      <c r="J96" s="87"/>
    </row>
    <row r="97" spans="1:10" x14ac:dyDescent="0.3">
      <c r="A97" s="98">
        <v>1</v>
      </c>
      <c r="B97" s="45"/>
      <c r="C97" s="95"/>
      <c r="D97" s="3"/>
      <c r="E97" s="99">
        <v>7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9216-E6BD-4134-994F-B1DF9E00BA14}">
  <dimension ref="A1:M102"/>
  <sheetViews>
    <sheetView topLeftCell="A49" zoomScale="70" zoomScaleNormal="70" workbookViewId="0">
      <selection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140</v>
      </c>
      <c r="B2" s="60" t="s">
        <v>189</v>
      </c>
      <c r="C2" s="16" t="s">
        <v>102</v>
      </c>
      <c r="D2" s="3" t="s">
        <v>187</v>
      </c>
      <c r="E2" s="60" t="s">
        <v>175</v>
      </c>
      <c r="F2" s="16" t="s">
        <v>169</v>
      </c>
      <c r="G2" s="60" t="s">
        <v>202</v>
      </c>
      <c r="H2" s="18" t="s">
        <v>10</v>
      </c>
      <c r="I2" s="3" t="s">
        <v>11</v>
      </c>
      <c r="J2" s="18" t="s">
        <v>122</v>
      </c>
      <c r="M2" s="109"/>
    </row>
    <row r="3" spans="1:13" x14ac:dyDescent="0.3">
      <c r="A3" s="60" t="s">
        <v>190</v>
      </c>
      <c r="B3" s="60" t="s">
        <v>191</v>
      </c>
      <c r="C3" s="60" t="s">
        <v>118</v>
      </c>
      <c r="D3" s="3" t="s">
        <v>188</v>
      </c>
      <c r="E3" s="16"/>
      <c r="F3" s="3" t="s">
        <v>12</v>
      </c>
      <c r="G3" s="110"/>
      <c r="H3" s="130" t="s">
        <v>218</v>
      </c>
      <c r="I3" s="46" t="s">
        <v>13</v>
      </c>
      <c r="J3" s="18"/>
      <c r="M3" s="109"/>
    </row>
    <row r="4" spans="1:13" x14ac:dyDescent="0.3">
      <c r="A4" s="16" t="s">
        <v>192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75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6" t="s">
        <v>113</v>
      </c>
      <c r="B7" s="16" t="s">
        <v>18</v>
      </c>
      <c r="C7" s="16" t="s">
        <v>126</v>
      </c>
      <c r="D7" s="4"/>
      <c r="E7" s="22" t="s">
        <v>17</v>
      </c>
      <c r="F7" s="23"/>
      <c r="G7" s="3" t="s">
        <v>180</v>
      </c>
      <c r="H7" s="20"/>
      <c r="I7" s="3"/>
      <c r="J7" s="24"/>
      <c r="M7" s="109"/>
    </row>
    <row r="8" spans="1:13" x14ac:dyDescent="0.3">
      <c r="A8" s="32" t="s">
        <v>131</v>
      </c>
      <c r="B8" s="118" t="s">
        <v>242</v>
      </c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32" t="s">
        <v>182</v>
      </c>
      <c r="B9" s="128"/>
      <c r="C9" s="129"/>
      <c r="D9" s="4"/>
      <c r="E9" s="3"/>
      <c r="F9" s="3"/>
      <c r="G9" s="4"/>
      <c r="H9" s="4"/>
      <c r="I9" s="46" t="s">
        <v>23</v>
      </c>
      <c r="J9" s="111" t="s">
        <v>123</v>
      </c>
      <c r="M9" s="109"/>
    </row>
    <row r="10" spans="1:13" x14ac:dyDescent="0.3">
      <c r="A10" s="25" t="s">
        <v>127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51</v>
      </c>
      <c r="D17" s="46" t="s">
        <v>37</v>
      </c>
      <c r="E17" s="130" t="s">
        <v>195</v>
      </c>
      <c r="F17" s="16" t="s">
        <v>138</v>
      </c>
      <c r="G17" s="106" t="s">
        <v>101</v>
      </c>
      <c r="H17" s="107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54" t="s">
        <v>123</v>
      </c>
      <c r="D18" s="46" t="s">
        <v>40</v>
      </c>
      <c r="E18" s="130" t="s">
        <v>196</v>
      </c>
      <c r="F18" s="16" t="s">
        <v>203</v>
      </c>
      <c r="G18" s="3"/>
      <c r="H18" s="16"/>
      <c r="I18" s="48"/>
      <c r="J18" s="3"/>
    </row>
    <row r="19" spans="1:10" x14ac:dyDescent="0.3">
      <c r="A19" s="23" t="s">
        <v>41</v>
      </c>
      <c r="B19" s="3"/>
      <c r="C19" s="18"/>
      <c r="D19" s="46" t="s">
        <v>42</v>
      </c>
      <c r="E19" s="130" t="s">
        <v>125</v>
      </c>
      <c r="F19" s="130" t="s">
        <v>204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32" t="s">
        <v>99</v>
      </c>
      <c r="F20" s="16" t="s">
        <v>205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60" t="s">
        <v>193</v>
      </c>
      <c r="E21" s="32" t="s">
        <v>197</v>
      </c>
      <c r="F21" s="130" t="s">
        <v>206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8" t="s">
        <v>194</v>
      </c>
      <c r="E22" s="32" t="s">
        <v>198</v>
      </c>
      <c r="F22" s="130" t="s">
        <v>207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27" t="s">
        <v>170</v>
      </c>
      <c r="D23" s="18"/>
      <c r="E23" s="131" t="s">
        <v>199</v>
      </c>
      <c r="F23" s="130" t="s">
        <v>183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6"/>
      <c r="F24" s="25" t="s">
        <v>208</v>
      </c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7" t="s">
        <v>177</v>
      </c>
      <c r="F25" s="25"/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127"/>
      <c r="F26" s="16" t="s">
        <v>209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127"/>
      <c r="F27" s="16" t="s">
        <v>210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6" t="s">
        <v>211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30" t="s">
        <v>212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130" t="s">
        <v>213</v>
      </c>
      <c r="G30" s="3"/>
      <c r="H30" s="3"/>
      <c r="I30" s="3"/>
      <c r="J30" s="3"/>
    </row>
    <row r="31" spans="1:10" x14ac:dyDescent="0.3">
      <c r="A31" s="27" t="s">
        <v>59</v>
      </c>
      <c r="B31" s="3"/>
      <c r="C31" s="3"/>
      <c r="D31" s="110"/>
      <c r="E31" s="130" t="s">
        <v>201</v>
      </c>
      <c r="F31" s="130" t="s">
        <v>214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30" t="s">
        <v>215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30" t="s">
        <v>216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6" t="s">
        <v>217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6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6" t="s">
        <v>149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33"/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19" t="s">
        <v>219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6" t="s">
        <v>220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25" t="s">
        <v>221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30" t="s">
        <v>222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25" t="s">
        <v>150</v>
      </c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6"/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30" t="s">
        <v>223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30" t="s">
        <v>224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25" t="s">
        <v>225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6" t="s">
        <v>227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25" t="s">
        <v>228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30" t="s">
        <v>229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30" t="s">
        <v>243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04" t="s">
        <v>231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30" t="s">
        <v>232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6" t="s">
        <v>135</v>
      </c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20"/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30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35" t="s">
        <v>234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30" t="s">
        <v>100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6"/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30" t="s">
        <v>235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6" t="s">
        <v>236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30" t="s">
        <v>237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30" t="s">
        <v>238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6" t="s">
        <v>184</v>
      </c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6" t="s">
        <v>239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25" t="s">
        <v>240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130" t="s">
        <v>241</v>
      </c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25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 t="s">
        <v>138</v>
      </c>
      <c r="B70" s="21" t="s">
        <v>168</v>
      </c>
      <c r="C70" s="134" t="s">
        <v>226</v>
      </c>
      <c r="D70" s="16"/>
      <c r="E70" s="21" t="s">
        <v>104</v>
      </c>
      <c r="F70" s="55" t="s">
        <v>26</v>
      </c>
      <c r="G70" s="66"/>
      <c r="H70" s="3" t="s">
        <v>70</v>
      </c>
      <c r="I70" s="3">
        <f>SUM(I69-(I71+I72+I73))</f>
        <v>110</v>
      </c>
      <c r="J70" s="3"/>
    </row>
    <row r="71" spans="1:10" x14ac:dyDescent="0.3">
      <c r="A71" s="16"/>
      <c r="B71" s="21" t="s">
        <v>129</v>
      </c>
      <c r="C71" s="113"/>
      <c r="D71" s="16"/>
      <c r="E71" s="23" t="s">
        <v>46</v>
      </c>
      <c r="F71" s="55" t="s">
        <v>69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124"/>
      <c r="C72" s="73"/>
      <c r="D72" s="16"/>
      <c r="E72" s="23" t="s">
        <v>94</v>
      </c>
      <c r="F72" s="55" t="s">
        <v>71</v>
      </c>
      <c r="G72" s="66"/>
      <c r="H72" s="68" t="s">
        <v>74</v>
      </c>
      <c r="I72" s="69">
        <f>A97+E97</f>
        <v>8</v>
      </c>
      <c r="J72" s="3"/>
    </row>
    <row r="73" spans="1:10" x14ac:dyDescent="0.3">
      <c r="A73" s="27"/>
      <c r="B73" s="73"/>
      <c r="C73" s="2"/>
      <c r="D73" s="6"/>
      <c r="E73" s="23" t="s">
        <v>109</v>
      </c>
      <c r="F73" s="55" t="s">
        <v>73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23" t="s">
        <v>105</v>
      </c>
      <c r="F74" s="55" t="s">
        <v>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41</v>
      </c>
      <c r="F75" s="55" t="s">
        <v>174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F76" s="55" t="s">
        <v>36</v>
      </c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6</v>
      </c>
      <c r="F96" s="20" t="s">
        <v>65</v>
      </c>
      <c r="G96" s="3"/>
      <c r="H96" s="3"/>
      <c r="I96" s="55"/>
      <c r="J96" s="87"/>
    </row>
    <row r="97" spans="1:10" x14ac:dyDescent="0.3">
      <c r="A97" s="98">
        <v>1</v>
      </c>
      <c r="B97" s="45"/>
      <c r="C97" s="95"/>
      <c r="D97" s="3"/>
      <c r="E97" s="99">
        <v>7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AE15-FE05-4CD8-B380-09D923D3B537}">
  <dimension ref="A1:M102"/>
  <sheetViews>
    <sheetView zoomScale="70" zoomScaleNormal="70" workbookViewId="0">
      <selection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140</v>
      </c>
      <c r="B2" s="60" t="s">
        <v>189</v>
      </c>
      <c r="C2" s="16" t="s">
        <v>102</v>
      </c>
      <c r="D2" s="3" t="s">
        <v>187</v>
      </c>
      <c r="E2" s="60" t="s">
        <v>175</v>
      </c>
      <c r="F2" s="16" t="s">
        <v>169</v>
      </c>
      <c r="G2" s="60" t="s">
        <v>202</v>
      </c>
      <c r="H2" s="18" t="s">
        <v>10</v>
      </c>
      <c r="I2" s="3" t="s">
        <v>11</v>
      </c>
      <c r="J2" s="18" t="s">
        <v>122</v>
      </c>
      <c r="M2" s="109"/>
    </row>
    <row r="3" spans="1:13" x14ac:dyDescent="0.3">
      <c r="A3" s="60" t="s">
        <v>190</v>
      </c>
      <c r="B3" s="60" t="s">
        <v>191</v>
      </c>
      <c r="C3" s="60" t="s">
        <v>118</v>
      </c>
      <c r="D3" s="3" t="s">
        <v>188</v>
      </c>
      <c r="E3" s="16"/>
      <c r="F3" s="3" t="s">
        <v>12</v>
      </c>
      <c r="G3" s="110"/>
      <c r="H3" s="130" t="s">
        <v>222</v>
      </c>
      <c r="I3" s="46" t="s">
        <v>13</v>
      </c>
      <c r="J3" s="18"/>
      <c r="M3" s="109"/>
    </row>
    <row r="4" spans="1:13" x14ac:dyDescent="0.3">
      <c r="A4" s="16" t="s">
        <v>192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75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6" t="s">
        <v>113</v>
      </c>
      <c r="B7" s="16" t="s">
        <v>18</v>
      </c>
      <c r="C7" s="16" t="s">
        <v>126</v>
      </c>
      <c r="D7" s="4"/>
      <c r="E7" s="22" t="s">
        <v>17</v>
      </c>
      <c r="F7" s="23"/>
      <c r="G7" s="3" t="s">
        <v>180</v>
      </c>
      <c r="H7" s="20"/>
      <c r="I7" s="3"/>
      <c r="J7" s="24"/>
      <c r="M7" s="109"/>
    </row>
    <row r="8" spans="1:13" x14ac:dyDescent="0.3">
      <c r="A8" s="32" t="s">
        <v>131</v>
      </c>
      <c r="B8" s="118" t="s">
        <v>242</v>
      </c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32" t="s">
        <v>182</v>
      </c>
      <c r="B9" s="128"/>
      <c r="C9" s="129"/>
      <c r="D9" s="4"/>
      <c r="E9" s="3"/>
      <c r="F9" s="3"/>
      <c r="G9" s="4"/>
      <c r="H9" s="4"/>
      <c r="I9" s="46" t="s">
        <v>23</v>
      </c>
      <c r="J9" s="111" t="s">
        <v>123</v>
      </c>
      <c r="M9" s="109"/>
    </row>
    <row r="10" spans="1:13" x14ac:dyDescent="0.3">
      <c r="A10" s="25" t="s">
        <v>127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51</v>
      </c>
      <c r="D17" s="46" t="s">
        <v>37</v>
      </c>
      <c r="E17" s="130" t="s">
        <v>195</v>
      </c>
      <c r="F17" s="16" t="s">
        <v>138</v>
      </c>
      <c r="G17" s="106" t="s">
        <v>101</v>
      </c>
      <c r="H17" s="107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54" t="s">
        <v>123</v>
      </c>
      <c r="D18" s="46" t="s">
        <v>40</v>
      </c>
      <c r="E18" s="130" t="s">
        <v>196</v>
      </c>
      <c r="F18" s="16" t="s">
        <v>203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125</v>
      </c>
      <c r="F19" s="57" t="s">
        <v>204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32" t="s">
        <v>99</v>
      </c>
      <c r="F20" s="16" t="s">
        <v>205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60" t="s">
        <v>193</v>
      </c>
      <c r="E21" s="32" t="s">
        <v>197</v>
      </c>
      <c r="F21" s="57" t="s">
        <v>206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8" t="s">
        <v>194</v>
      </c>
      <c r="E22" s="32" t="s">
        <v>198</v>
      </c>
      <c r="F22" s="57" t="s">
        <v>207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27" t="s">
        <v>170</v>
      </c>
      <c r="D23" s="18"/>
      <c r="E23" s="131" t="s">
        <v>199</v>
      </c>
      <c r="F23" s="57" t="s">
        <v>183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6"/>
      <c r="F24" s="25" t="s">
        <v>208</v>
      </c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7" t="s">
        <v>177</v>
      </c>
      <c r="F25" s="25"/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127"/>
      <c r="F26" s="16" t="s">
        <v>209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127"/>
      <c r="F27" s="16" t="s">
        <v>210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6" t="s">
        <v>211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57" t="s">
        <v>212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57" t="s">
        <v>213</v>
      </c>
      <c r="G30" s="3"/>
      <c r="H30" s="3"/>
      <c r="I30" s="3"/>
      <c r="J30" s="3"/>
    </row>
    <row r="31" spans="1:10" x14ac:dyDescent="0.3">
      <c r="A31" s="27" t="s">
        <v>59</v>
      </c>
      <c r="B31" s="3"/>
      <c r="C31" s="3"/>
      <c r="D31" s="110"/>
      <c r="E31" s="130" t="s">
        <v>201</v>
      </c>
      <c r="F31" s="57" t="s">
        <v>214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57" t="s">
        <v>244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01" t="s">
        <v>216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6" t="s">
        <v>217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6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6" t="s">
        <v>149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57" t="s">
        <v>218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19" t="s">
        <v>219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6" t="s">
        <v>220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25" t="s">
        <v>221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6"/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25" t="s">
        <v>150</v>
      </c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6"/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57" t="s">
        <v>223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57" t="s">
        <v>224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25" t="s">
        <v>225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25" t="s">
        <v>226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6" t="s">
        <v>227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25" t="s">
        <v>228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57" t="s">
        <v>229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57" t="s">
        <v>243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04" t="s">
        <v>231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57" t="s">
        <v>232</v>
      </c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6" t="s">
        <v>135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20"/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57" t="s">
        <v>233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35" t="s">
        <v>234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59" t="s">
        <v>100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6"/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35" t="s">
        <v>235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6" t="s">
        <v>236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57" t="s">
        <v>237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57" t="s">
        <v>238</v>
      </c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6" t="s">
        <v>184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6" t="s">
        <v>239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25" t="s">
        <v>240</v>
      </c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59" t="s">
        <v>241</v>
      </c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 t="s">
        <v>226</v>
      </c>
      <c r="B70" s="21" t="s">
        <v>168</v>
      </c>
      <c r="C70" s="134"/>
      <c r="D70" s="16" t="s">
        <v>41</v>
      </c>
      <c r="E70" s="21" t="s">
        <v>104</v>
      </c>
      <c r="F70" s="55" t="s">
        <v>26</v>
      </c>
      <c r="G70" s="66"/>
      <c r="H70" s="3" t="s">
        <v>70</v>
      </c>
      <c r="I70" s="3">
        <f>SUM(I69-(I71+I72+I73))</f>
        <v>112</v>
      </c>
      <c r="J70" s="3"/>
    </row>
    <row r="71" spans="1:10" x14ac:dyDescent="0.3">
      <c r="A71" s="16"/>
      <c r="B71" s="21" t="s">
        <v>129</v>
      </c>
      <c r="C71" s="113"/>
      <c r="D71" s="16"/>
      <c r="E71" s="23" t="s">
        <v>46</v>
      </c>
      <c r="F71" s="55" t="s">
        <v>69</v>
      </c>
      <c r="G71" s="66"/>
      <c r="H71" s="23" t="s">
        <v>72</v>
      </c>
      <c r="I71" s="23">
        <f>A96+E96</f>
        <v>7</v>
      </c>
      <c r="J71" s="3"/>
    </row>
    <row r="72" spans="1:10" x14ac:dyDescent="0.3">
      <c r="A72" s="27"/>
      <c r="B72" s="124"/>
      <c r="C72" s="73"/>
      <c r="D72" s="16"/>
      <c r="E72" s="23" t="s">
        <v>94</v>
      </c>
      <c r="F72" s="55" t="s">
        <v>71</v>
      </c>
      <c r="G72" s="66"/>
      <c r="H72" s="68" t="s">
        <v>74</v>
      </c>
      <c r="I72" s="69">
        <f>A97+E97</f>
        <v>7</v>
      </c>
      <c r="J72" s="3"/>
    </row>
    <row r="73" spans="1:10" x14ac:dyDescent="0.3">
      <c r="A73" s="27"/>
      <c r="B73" s="73"/>
      <c r="C73" s="2"/>
      <c r="D73" s="6"/>
      <c r="E73" s="23" t="s">
        <v>109</v>
      </c>
      <c r="F73" s="55" t="s">
        <v>73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23" t="s">
        <v>105</v>
      </c>
      <c r="F74" s="55" t="s">
        <v>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/>
      <c r="F75" s="55" t="s">
        <v>174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F76" s="55" t="s">
        <v>36</v>
      </c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5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7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2C28-6148-4462-A70F-BFE75F70A89E}">
  <dimension ref="A1:M102"/>
  <sheetViews>
    <sheetView topLeftCell="A49" zoomScale="70" zoomScaleNormal="70" workbookViewId="0">
      <selection activeCell="E17" sqref="E17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140</v>
      </c>
      <c r="B2" s="60" t="s">
        <v>189</v>
      </c>
      <c r="C2" s="16" t="s">
        <v>102</v>
      </c>
      <c r="D2" s="3" t="s">
        <v>187</v>
      </c>
      <c r="E2" s="60" t="s">
        <v>175</v>
      </c>
      <c r="F2" s="16" t="s">
        <v>169</v>
      </c>
      <c r="G2" s="60" t="s">
        <v>202</v>
      </c>
      <c r="H2" s="18" t="s">
        <v>10</v>
      </c>
      <c r="I2" s="3" t="s">
        <v>11</v>
      </c>
      <c r="J2" s="18" t="s">
        <v>122</v>
      </c>
      <c r="M2" s="109"/>
    </row>
    <row r="3" spans="1:13" x14ac:dyDescent="0.3">
      <c r="A3" s="60" t="s">
        <v>190</v>
      </c>
      <c r="B3" s="60" t="s">
        <v>191</v>
      </c>
      <c r="C3" s="60" t="s">
        <v>118</v>
      </c>
      <c r="D3" s="3" t="s">
        <v>188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16" t="s">
        <v>192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75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6" t="s">
        <v>113</v>
      </c>
      <c r="B7" s="16" t="s">
        <v>18</v>
      </c>
      <c r="C7" s="16" t="s">
        <v>126</v>
      </c>
      <c r="D7" s="4"/>
      <c r="E7" s="22" t="s">
        <v>17</v>
      </c>
      <c r="F7" s="23"/>
      <c r="G7" s="3" t="s">
        <v>180</v>
      </c>
      <c r="H7" s="20"/>
      <c r="I7" s="3"/>
      <c r="J7" s="24"/>
      <c r="M7" s="109"/>
    </row>
    <row r="8" spans="1:13" x14ac:dyDescent="0.3">
      <c r="A8" s="32" t="s">
        <v>131</v>
      </c>
      <c r="B8" s="118" t="s">
        <v>242</v>
      </c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32" t="s">
        <v>182</v>
      </c>
      <c r="B9" s="128"/>
      <c r="C9" s="129"/>
      <c r="D9" s="4"/>
      <c r="E9" s="3"/>
      <c r="F9" s="3"/>
      <c r="G9" s="4"/>
      <c r="H9" s="4"/>
      <c r="I9" s="46" t="s">
        <v>23</v>
      </c>
      <c r="J9" s="111" t="s">
        <v>123</v>
      </c>
      <c r="M9" s="109"/>
    </row>
    <row r="10" spans="1:13" x14ac:dyDescent="0.3">
      <c r="A10" s="25" t="s">
        <v>127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51</v>
      </c>
      <c r="D17" s="46" t="s">
        <v>37</v>
      </c>
      <c r="E17" s="130" t="s">
        <v>195</v>
      </c>
      <c r="F17" s="16" t="s">
        <v>138</v>
      </c>
      <c r="G17" s="106" t="s">
        <v>101</v>
      </c>
      <c r="H17" s="107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54" t="s">
        <v>123</v>
      </c>
      <c r="D18" s="46" t="s">
        <v>40</v>
      </c>
      <c r="E18" s="130" t="s">
        <v>246</v>
      </c>
      <c r="F18" s="16" t="s">
        <v>203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125</v>
      </c>
      <c r="F19" s="57" t="s">
        <v>204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130" t="s">
        <v>245</v>
      </c>
      <c r="F20" s="16" t="s">
        <v>205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60" t="s">
        <v>193</v>
      </c>
      <c r="E21" s="21" t="s">
        <v>197</v>
      </c>
      <c r="F21" s="57" t="s">
        <v>206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8" t="s">
        <v>194</v>
      </c>
      <c r="E22" s="16" t="s">
        <v>198</v>
      </c>
      <c r="F22" s="57" t="s">
        <v>207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27" t="s">
        <v>170</v>
      </c>
      <c r="D23" s="18"/>
      <c r="E23" s="110"/>
      <c r="F23" s="57" t="s">
        <v>183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6"/>
      <c r="E24" s="110"/>
      <c r="F24" s="25" t="s">
        <v>208</v>
      </c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6" t="s">
        <v>177</v>
      </c>
      <c r="F25" s="25"/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127"/>
      <c r="F26" s="16" t="s">
        <v>209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127"/>
      <c r="F27" s="16" t="s">
        <v>210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6" t="s">
        <v>211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57" t="s">
        <v>212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57" t="s">
        <v>213</v>
      </c>
      <c r="G30" s="3"/>
      <c r="H30" s="3"/>
      <c r="I30" s="3"/>
      <c r="J30" s="3"/>
    </row>
    <row r="31" spans="1:10" x14ac:dyDescent="0.3">
      <c r="A31" s="27" t="s">
        <v>59</v>
      </c>
      <c r="B31" s="3"/>
      <c r="C31" s="3"/>
      <c r="D31" s="110"/>
      <c r="E31" s="130" t="s">
        <v>201</v>
      </c>
      <c r="F31" s="57" t="s">
        <v>214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57" t="s">
        <v>244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01" t="s">
        <v>216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6" t="s">
        <v>217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6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6" t="s">
        <v>149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57" t="s">
        <v>218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19" t="s">
        <v>219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6" t="s">
        <v>220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25" t="s">
        <v>221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57" t="s">
        <v>222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25" t="s">
        <v>150</v>
      </c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6"/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57" t="s">
        <v>223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57" t="s">
        <v>224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25" t="s">
        <v>225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25" t="s">
        <v>226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6" t="s">
        <v>227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25" t="s">
        <v>228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57" t="s">
        <v>229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57" t="s">
        <v>243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04" t="s">
        <v>231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57" t="s">
        <v>232</v>
      </c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6" t="s">
        <v>135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20"/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57" t="s">
        <v>233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35" t="s">
        <v>234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59" t="s">
        <v>100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6"/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35" t="s">
        <v>235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6" t="s">
        <v>236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57" t="s">
        <v>237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57" t="s">
        <v>238</v>
      </c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6" t="s">
        <v>184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6" t="s">
        <v>239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25" t="s">
        <v>240</v>
      </c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59" t="s">
        <v>241</v>
      </c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/>
      <c r="B70" s="21" t="s">
        <v>168</v>
      </c>
      <c r="C70" s="134"/>
      <c r="D70" s="16"/>
      <c r="E70" s="21" t="s">
        <v>104</v>
      </c>
      <c r="F70" s="55" t="s">
        <v>26</v>
      </c>
      <c r="G70" s="66"/>
      <c r="H70" s="3" t="s">
        <v>70</v>
      </c>
      <c r="I70" s="3">
        <f>SUM(I69-(I71+I72+I73))</f>
        <v>111</v>
      </c>
      <c r="J70" s="3"/>
    </row>
    <row r="71" spans="1:10" x14ac:dyDescent="0.3">
      <c r="A71" s="16"/>
      <c r="B71" s="21" t="s">
        <v>129</v>
      </c>
      <c r="C71" s="113"/>
      <c r="D71" s="16"/>
      <c r="E71" s="23" t="s">
        <v>46</v>
      </c>
      <c r="F71" s="55" t="s">
        <v>69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124"/>
      <c r="C72" s="73"/>
      <c r="D72" s="16"/>
      <c r="E72" s="23" t="s">
        <v>94</v>
      </c>
      <c r="F72" s="55" t="s">
        <v>71</v>
      </c>
      <c r="G72" s="66"/>
      <c r="H72" s="68" t="s">
        <v>74</v>
      </c>
      <c r="I72" s="69">
        <f>A97+E97</f>
        <v>7</v>
      </c>
      <c r="J72" s="3"/>
    </row>
    <row r="73" spans="1:10" x14ac:dyDescent="0.3">
      <c r="A73" s="27"/>
      <c r="B73" s="73"/>
      <c r="C73" s="2"/>
      <c r="D73" s="6"/>
      <c r="E73" s="23" t="s">
        <v>109</v>
      </c>
      <c r="F73" s="55" t="s">
        <v>73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23" t="s">
        <v>105</v>
      </c>
      <c r="F74" s="55" t="s">
        <v>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71" t="s">
        <v>197</v>
      </c>
      <c r="F75" s="55" t="s">
        <v>174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F76" s="55" t="s">
        <v>36</v>
      </c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6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7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B6C8-8892-498D-AB9C-3DDA68AEA5D3}">
  <dimension ref="A1:M102"/>
  <sheetViews>
    <sheetView zoomScale="55" zoomScaleNormal="55" workbookViewId="0">
      <selection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142</v>
      </c>
      <c r="B2" s="60" t="s">
        <v>250</v>
      </c>
      <c r="C2" s="16" t="s">
        <v>251</v>
      </c>
      <c r="D2" s="3" t="s">
        <v>249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247</v>
      </c>
      <c r="B3" s="60" t="s">
        <v>191</v>
      </c>
      <c r="C3" s="60" t="s">
        <v>171</v>
      </c>
      <c r="D3" s="3" t="s">
        <v>248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187</v>
      </c>
      <c r="B4" s="18" t="s">
        <v>119</v>
      </c>
      <c r="C4" s="18" t="s">
        <v>252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260</v>
      </c>
      <c r="B8" s="141" t="s">
        <v>264</v>
      </c>
      <c r="C8" s="143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" t="s">
        <v>261</v>
      </c>
      <c r="B9" s="128"/>
      <c r="C9" s="129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39" t="s">
        <v>262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" t="s">
        <v>198</v>
      </c>
      <c r="F17" s="144" t="s">
        <v>267</v>
      </c>
      <c r="G17" s="106" t="s">
        <v>101</v>
      </c>
      <c r="H17" s="107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196</v>
      </c>
      <c r="F19" s="138" t="s">
        <v>269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130" t="s">
        <v>257</v>
      </c>
      <c r="F20" s="144" t="s">
        <v>206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16" t="s">
        <v>36</v>
      </c>
      <c r="E21" s="21"/>
      <c r="F21" s="144" t="s">
        <v>95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258</v>
      </c>
      <c r="E23" s="110"/>
      <c r="F23" s="138" t="s">
        <v>270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8"/>
      <c r="E24" s="18"/>
      <c r="F24" s="1" t="s">
        <v>271</v>
      </c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127"/>
      <c r="F26" s="145" t="s">
        <v>97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127"/>
      <c r="F27" s="145" t="s">
        <v>272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45" t="s">
        <v>273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45" t="s">
        <v>216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145" t="s">
        <v>96</v>
      </c>
      <c r="G30" s="3"/>
      <c r="H30" s="3"/>
      <c r="I30" s="3"/>
      <c r="J30" s="3"/>
    </row>
    <row r="31" spans="1:10" x14ac:dyDescent="0.3">
      <c r="A31" s="27"/>
      <c r="B31" s="3"/>
      <c r="C31" s="3"/>
      <c r="D31" s="110"/>
      <c r="E31" s="130" t="s">
        <v>201</v>
      </c>
      <c r="F31" s="1" t="s">
        <v>274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38" t="s">
        <v>275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" t="s">
        <v>276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" t="s">
        <v>277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4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4" t="s">
        <v>114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6" t="s">
        <v>278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5" t="s">
        <v>279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47" t="s">
        <v>280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38" t="s">
        <v>281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47" t="s">
        <v>282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48" t="s">
        <v>283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44" t="s">
        <v>229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44" t="s">
        <v>153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9" t="s">
        <v>284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45" t="s">
        <v>61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47" t="s">
        <v>285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" t="s">
        <v>286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0" t="s">
        <v>287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" t="s">
        <v>288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" t="s">
        <v>289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0" t="s">
        <v>290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6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6" t="s">
        <v>291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0" t="s">
        <v>292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0" t="s">
        <v>293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2" t="s">
        <v>294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45" t="s">
        <v>295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1" t="s">
        <v>98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51" t="s">
        <v>185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1" t="s">
        <v>241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2" t="s">
        <v>296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/>
      <c r="B70" s="2" t="s">
        <v>298</v>
      </c>
      <c r="C70" s="153" t="s">
        <v>127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111</v>
      </c>
      <c r="J70" s="3"/>
    </row>
    <row r="71" spans="1:10" x14ac:dyDescent="0.3">
      <c r="A71" s="16"/>
      <c r="B71" s="2" t="s">
        <v>129</v>
      </c>
      <c r="C71" s="113"/>
      <c r="D71" s="16"/>
      <c r="E71" s="23" t="s">
        <v>46</v>
      </c>
      <c r="F71" s="55" t="s">
        <v>71</v>
      </c>
      <c r="G71" s="66"/>
      <c r="H71" s="23" t="s">
        <v>72</v>
      </c>
      <c r="I71" s="23">
        <f>A96+E96</f>
        <v>9</v>
      </c>
      <c r="J71" s="3"/>
    </row>
    <row r="72" spans="1:10" x14ac:dyDescent="0.3">
      <c r="A72" s="27"/>
      <c r="B72" s="2" t="s">
        <v>135</v>
      </c>
      <c r="C72" s="73"/>
      <c r="D72" s="16"/>
      <c r="E72" s="23" t="s">
        <v>94</v>
      </c>
      <c r="F72" s="55" t="s">
        <v>73</v>
      </c>
      <c r="G72" s="66"/>
      <c r="H72" s="68" t="s">
        <v>74</v>
      </c>
      <c r="I72" s="69">
        <f>A97+E97</f>
        <v>6</v>
      </c>
      <c r="J72" s="3"/>
    </row>
    <row r="73" spans="1:10" x14ac:dyDescent="0.3">
      <c r="A73" s="27"/>
      <c r="B73" s="73"/>
      <c r="C73" s="2"/>
      <c r="D73" s="6"/>
      <c r="E73" s="23" t="s">
        <v>109</v>
      </c>
      <c r="F73" s="55" t="s">
        <v>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23" t="s">
        <v>105</v>
      </c>
      <c r="F74" s="55" t="s">
        <v>255</v>
      </c>
      <c r="G74" s="66"/>
      <c r="H74" s="3"/>
      <c r="I74" s="3">
        <f>SUM(A98,E98)</f>
        <v>8</v>
      </c>
      <c r="J74" s="48" t="s">
        <v>78</v>
      </c>
    </row>
    <row r="75" spans="1:10" x14ac:dyDescent="0.3">
      <c r="A75" s="27"/>
      <c r="B75" s="2"/>
      <c r="C75" s="2"/>
      <c r="D75" s="6"/>
      <c r="E75" s="71" t="s">
        <v>197</v>
      </c>
      <c r="F75" s="130" t="s">
        <v>125</v>
      </c>
      <c r="G75" s="66"/>
      <c r="H75" s="7"/>
      <c r="I75" s="3">
        <f>SUM(A99,E99)</f>
        <v>35</v>
      </c>
      <c r="J75" s="3" t="s">
        <v>79</v>
      </c>
    </row>
    <row r="76" spans="1:10" x14ac:dyDescent="0.3">
      <c r="A76" s="72"/>
      <c r="B76" s="2"/>
      <c r="C76" s="2"/>
      <c r="D76" s="6"/>
      <c r="E76" s="71" t="s">
        <v>59</v>
      </c>
      <c r="F76" s="130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7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6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4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13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3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6839-8602-4CA5-9395-1FF1F36FC71F}">
  <dimension ref="A1:M102"/>
  <sheetViews>
    <sheetView topLeftCell="A13" zoomScale="70" zoomScaleNormal="70" workbookViewId="0">
      <selection activeCell="A13"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142</v>
      </c>
      <c r="B2" s="60" t="s">
        <v>250</v>
      </c>
      <c r="C2" s="16" t="s">
        <v>251</v>
      </c>
      <c r="D2" s="23" t="s">
        <v>249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247</v>
      </c>
      <c r="B3" s="60" t="s">
        <v>191</v>
      </c>
      <c r="C3" s="60" t="s">
        <v>171</v>
      </c>
      <c r="D3" s="3" t="s">
        <v>248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187</v>
      </c>
      <c r="B4" s="18" t="s">
        <v>119</v>
      </c>
      <c r="C4" s="18" t="s">
        <v>252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260</v>
      </c>
      <c r="B8" s="141" t="s">
        <v>264</v>
      </c>
      <c r="C8" s="143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" t="s">
        <v>261</v>
      </c>
      <c r="B9" s="128"/>
      <c r="C9" s="129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39" t="s">
        <v>262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" t="s">
        <v>198</v>
      </c>
      <c r="F17" s="144" t="s">
        <v>267</v>
      </c>
      <c r="G17" s="106" t="s">
        <v>101</v>
      </c>
      <c r="H17" s="155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196</v>
      </c>
      <c r="F19" s="138" t="s">
        <v>269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130" t="s">
        <v>257</v>
      </c>
      <c r="F20" s="144" t="s">
        <v>206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44" t="s">
        <v>95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258</v>
      </c>
      <c r="E23" s="154" t="s">
        <v>249</v>
      </c>
      <c r="F23" s="138" t="s">
        <v>270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8"/>
      <c r="E24" s="18"/>
      <c r="F24" s="1" t="s">
        <v>271</v>
      </c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127"/>
      <c r="F26" s="145" t="s">
        <v>97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127"/>
      <c r="F27" s="145" t="s">
        <v>272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45" t="s">
        <v>273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45" t="s">
        <v>216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145" t="s">
        <v>96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201</v>
      </c>
      <c r="F31" s="1" t="s">
        <v>274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38" t="s">
        <v>275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" t="s">
        <v>276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" t="s">
        <v>277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4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4" t="s">
        <v>114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6" t="s">
        <v>278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5" t="s">
        <v>279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47" t="s">
        <v>280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38" t="s">
        <v>281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47" t="s">
        <v>282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48" t="s">
        <v>283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44" t="s">
        <v>229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44" t="s">
        <v>153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9" t="s">
        <v>284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45" t="s">
        <v>61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47" t="s">
        <v>285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" t="s">
        <v>286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0" t="s">
        <v>287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" t="s">
        <v>288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" t="s">
        <v>289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0" t="s">
        <v>290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6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6" t="s">
        <v>291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0" t="s">
        <v>292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0" t="s">
        <v>293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2" t="s">
        <v>294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45" t="s">
        <v>295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1" t="s">
        <v>98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51" t="s">
        <v>185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1" t="s">
        <v>241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2" t="s">
        <v>296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/>
      <c r="B70" s="2" t="s">
        <v>298</v>
      </c>
      <c r="C70" s="153" t="s">
        <v>127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113</v>
      </c>
      <c r="J70" s="3"/>
    </row>
    <row r="71" spans="1:10" x14ac:dyDescent="0.3">
      <c r="A71" s="16"/>
      <c r="B71" s="2" t="s">
        <v>129</v>
      </c>
      <c r="C71" s="113"/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2" t="s">
        <v>135</v>
      </c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5</v>
      </c>
      <c r="J72" s="3"/>
    </row>
    <row r="73" spans="1:10" x14ac:dyDescent="0.3">
      <c r="A73" s="27"/>
      <c r="B73" s="73"/>
      <c r="C73" s="2"/>
      <c r="D73" s="6"/>
      <c r="E73" s="23" t="s">
        <v>105</v>
      </c>
      <c r="F73" s="55" t="s">
        <v>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71" t="s">
        <v>197</v>
      </c>
      <c r="F74" s="55" t="s">
        <v>255</v>
      </c>
      <c r="G74" s="66"/>
      <c r="H74" s="3"/>
      <c r="I74" s="3">
        <f>SUM(A98,E98)</f>
        <v>8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32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6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4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3D09-F4DF-4074-B90A-89DBFE3C69DB}">
  <dimension ref="A1:M102"/>
  <sheetViews>
    <sheetView topLeftCell="A22" zoomScale="70" zoomScaleNormal="70" workbookViewId="0">
      <selection activeCell="C41" sqref="C41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142</v>
      </c>
      <c r="B2" s="60" t="s">
        <v>250</v>
      </c>
      <c r="C2" s="16" t="s">
        <v>251</v>
      </c>
      <c r="D2" s="23" t="s">
        <v>249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247</v>
      </c>
      <c r="B3" s="60" t="s">
        <v>191</v>
      </c>
      <c r="C3" s="60" t="s">
        <v>171</v>
      </c>
      <c r="D3" s="3" t="s">
        <v>248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187</v>
      </c>
      <c r="B4" s="18" t="s">
        <v>119</v>
      </c>
      <c r="C4" s="18" t="s">
        <v>252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7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260</v>
      </c>
      <c r="B8" s="141" t="s">
        <v>264</v>
      </c>
      <c r="C8" s="143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" t="s">
        <v>261</v>
      </c>
      <c r="B9" s="128"/>
      <c r="C9" s="129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39" t="s">
        <v>262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" t="s">
        <v>198</v>
      </c>
      <c r="F17" s="144" t="s">
        <v>267</v>
      </c>
      <c r="G17" s="106" t="s">
        <v>101</v>
      </c>
      <c r="H17" s="155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196</v>
      </c>
      <c r="F19" s="138" t="s">
        <v>269</v>
      </c>
      <c r="G19" s="3"/>
      <c r="H19" s="1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130" t="s">
        <v>257</v>
      </c>
      <c r="F20" s="144" t="s">
        <v>206</v>
      </c>
      <c r="G20" s="3"/>
      <c r="H20" s="16" t="s">
        <v>43</v>
      </c>
      <c r="I20" s="21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44" t="s">
        <v>95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52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258</v>
      </c>
      <c r="E23" s="154" t="s">
        <v>249</v>
      </c>
      <c r="F23" s="138" t="s">
        <v>270</v>
      </c>
      <c r="G23" s="3"/>
      <c r="H23" s="3" t="s">
        <v>53</v>
      </c>
      <c r="I23" s="21"/>
      <c r="J23" s="3"/>
    </row>
    <row r="24" spans="1:10" x14ac:dyDescent="0.3">
      <c r="A24" s="3"/>
      <c r="B24" s="36"/>
      <c r="C24" s="36"/>
      <c r="D24" s="18"/>
      <c r="E24" s="18"/>
      <c r="F24" s="1" t="s">
        <v>271</v>
      </c>
      <c r="G24" s="3"/>
      <c r="H24" s="16" t="s">
        <v>76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00" t="s">
        <v>54</v>
      </c>
      <c r="I25" s="116"/>
      <c r="J25" s="3"/>
    </row>
    <row r="26" spans="1:10" x14ac:dyDescent="0.3">
      <c r="A26" s="3"/>
      <c r="B26" s="3"/>
      <c r="C26" s="3"/>
      <c r="D26" s="3"/>
      <c r="E26" s="127"/>
      <c r="F26" s="145" t="s">
        <v>97</v>
      </c>
      <c r="G26" s="3"/>
      <c r="H26" s="100" t="s">
        <v>50</v>
      </c>
      <c r="I26" s="116"/>
      <c r="J26" s="3"/>
    </row>
    <row r="27" spans="1:10" x14ac:dyDescent="0.3">
      <c r="A27" s="3"/>
      <c r="B27" s="3"/>
      <c r="C27" s="3"/>
      <c r="D27" s="19"/>
      <c r="E27" s="127"/>
      <c r="F27" s="145" t="s">
        <v>272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45" t="s">
        <v>273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45" t="s">
        <v>216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145" t="s">
        <v>96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201</v>
      </c>
      <c r="F31" s="1" t="s">
        <v>274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38" t="s">
        <v>275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" t="s">
        <v>276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" t="s">
        <v>277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4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4" t="s">
        <v>114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6" t="s">
        <v>278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5" t="s">
        <v>279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47" t="s">
        <v>280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38" t="s">
        <v>281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47" t="s">
        <v>282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48" t="s">
        <v>283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44" t="s">
        <v>229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44" t="s">
        <v>153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9" t="s">
        <v>284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45" t="s">
        <v>61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47" t="s">
        <v>285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" t="s">
        <v>286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0" t="s">
        <v>287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" t="s">
        <v>288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" t="s">
        <v>289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0" t="s">
        <v>290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6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6" t="s">
        <v>291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0" t="s">
        <v>292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0" t="s">
        <v>293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2" t="s">
        <v>294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45" t="s">
        <v>295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1" t="s">
        <v>98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51" t="s">
        <v>185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1" t="s">
        <v>241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2" t="s">
        <v>296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/>
      <c r="B70" s="2" t="s">
        <v>298</v>
      </c>
      <c r="C70" s="153" t="s">
        <v>127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113</v>
      </c>
      <c r="J70" s="3"/>
    </row>
    <row r="71" spans="1:10" x14ac:dyDescent="0.3">
      <c r="A71" s="16"/>
      <c r="B71" s="2" t="s">
        <v>129</v>
      </c>
      <c r="C71" s="113"/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2" t="s">
        <v>135</v>
      </c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5</v>
      </c>
      <c r="J72" s="3"/>
    </row>
    <row r="73" spans="1:10" x14ac:dyDescent="0.3">
      <c r="A73" s="27"/>
      <c r="B73" s="73"/>
      <c r="C73" s="2"/>
      <c r="D73" s="6"/>
      <c r="E73" s="23" t="s">
        <v>105</v>
      </c>
      <c r="F73" s="55" t="s">
        <v>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71" t="s">
        <v>197</v>
      </c>
      <c r="F74" s="55" t="s">
        <v>255</v>
      </c>
      <c r="G74" s="66"/>
      <c r="H74" s="3"/>
      <c r="I74" s="3">
        <f>SUM(A98,E98)</f>
        <v>8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32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6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4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DA06-A1DC-45C6-8B75-69A08BF66A60}">
  <dimension ref="A1:M102"/>
  <sheetViews>
    <sheetView zoomScale="70" zoomScaleNormal="70" workbookViewId="0">
      <selection activeCell="O16" sqref="O1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142</v>
      </c>
      <c r="B2" s="60" t="s">
        <v>250</v>
      </c>
      <c r="C2" s="16" t="s">
        <v>251</v>
      </c>
      <c r="D2" s="23" t="s">
        <v>249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247</v>
      </c>
      <c r="B3" s="60" t="s">
        <v>191</v>
      </c>
      <c r="C3" s="60" t="s">
        <v>171</v>
      </c>
      <c r="D3" s="3" t="s">
        <v>248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187</v>
      </c>
      <c r="B4" s="18" t="s">
        <v>119</v>
      </c>
      <c r="C4" s="18" t="s">
        <v>252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 t="s">
        <v>52</v>
      </c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260</v>
      </c>
      <c r="B8" s="141" t="s">
        <v>264</v>
      </c>
      <c r="C8" s="143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" t="s">
        <v>261</v>
      </c>
      <c r="B9" s="128"/>
      <c r="C9" s="129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39" t="s">
        <v>262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" t="s">
        <v>198</v>
      </c>
      <c r="F17" s="144" t="s">
        <v>267</v>
      </c>
      <c r="G17" s="106" t="s">
        <v>101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196</v>
      </c>
      <c r="F19" s="138" t="s">
        <v>269</v>
      </c>
      <c r="G19" s="3"/>
      <c r="H19" s="16" t="s">
        <v>43</v>
      </c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130" t="s">
        <v>257</v>
      </c>
      <c r="F20" s="144" t="s">
        <v>206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44" t="s">
        <v>95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258</v>
      </c>
      <c r="E23" s="154" t="s">
        <v>249</v>
      </c>
      <c r="F23" s="138" t="s">
        <v>270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8"/>
      <c r="F24" s="1" t="s">
        <v>271</v>
      </c>
      <c r="G24" s="3"/>
      <c r="H24" s="100" t="s">
        <v>54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00"/>
      <c r="I25" s="116"/>
      <c r="J25" s="3"/>
    </row>
    <row r="26" spans="1:10" x14ac:dyDescent="0.3">
      <c r="A26" s="3"/>
      <c r="B26" s="3"/>
      <c r="C26" s="3"/>
      <c r="D26" s="3"/>
      <c r="E26" s="127"/>
      <c r="F26" s="145" t="s">
        <v>97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45" t="s">
        <v>272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45" t="s">
        <v>273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45" t="s">
        <v>216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145" t="s">
        <v>96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201</v>
      </c>
      <c r="F31" s="1" t="s">
        <v>274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38" t="s">
        <v>275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" t="s">
        <v>276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" t="s">
        <v>277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4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4" t="s">
        <v>114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6" t="s">
        <v>278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5" t="s">
        <v>279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47" t="s">
        <v>280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38" t="s">
        <v>281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47" t="s">
        <v>282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48" t="s">
        <v>283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44" t="s">
        <v>229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44" t="s">
        <v>153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9" t="s">
        <v>284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45" t="s">
        <v>61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47" t="s">
        <v>285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" t="s">
        <v>286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0" t="s">
        <v>287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" t="s">
        <v>288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" t="s">
        <v>289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0" t="s">
        <v>290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6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6" t="s">
        <v>291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0" t="s">
        <v>292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0" t="s">
        <v>293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2" t="s">
        <v>294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45" t="s">
        <v>295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1" t="s">
        <v>98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51" t="s">
        <v>185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1" t="s">
        <v>241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2" t="s">
        <v>296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6"/>
      <c r="B70" s="2" t="s">
        <v>298</v>
      </c>
      <c r="C70" s="153" t="s">
        <v>127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113</v>
      </c>
      <c r="J70" s="3"/>
    </row>
    <row r="71" spans="1:10" x14ac:dyDescent="0.3">
      <c r="A71" s="16"/>
      <c r="B71" s="2" t="s">
        <v>129</v>
      </c>
      <c r="C71" s="113"/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2" t="s">
        <v>135</v>
      </c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5</v>
      </c>
      <c r="J72" s="3"/>
    </row>
    <row r="73" spans="1:10" x14ac:dyDescent="0.3">
      <c r="A73" s="27"/>
      <c r="B73" s="157" t="s">
        <v>38</v>
      </c>
      <c r="C73" s="2"/>
      <c r="D73" s="6"/>
      <c r="E73" s="23" t="s">
        <v>105</v>
      </c>
      <c r="F73" s="55" t="s">
        <v>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71" t="s">
        <v>197</v>
      </c>
      <c r="F74" s="55" t="s">
        <v>255</v>
      </c>
      <c r="G74" s="66"/>
      <c r="H74" s="3"/>
      <c r="I74" s="3">
        <f>SUM(A98,E98)</f>
        <v>8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32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6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4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8A92-A4B2-4165-8EDD-65BBB1AB242C}">
  <dimension ref="A1:M102"/>
  <sheetViews>
    <sheetView zoomScale="70" zoomScaleNormal="70" workbookViewId="0">
      <selection activeCell="H32" sqref="H32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142</v>
      </c>
      <c r="B2" s="60" t="s">
        <v>250</v>
      </c>
      <c r="C2" s="16" t="s">
        <v>251</v>
      </c>
      <c r="D2" s="54" t="s">
        <v>188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247</v>
      </c>
      <c r="B3" s="60" t="s">
        <v>191</v>
      </c>
      <c r="C3" s="54" t="s">
        <v>171</v>
      </c>
      <c r="D3" s="3" t="s">
        <v>248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187</v>
      </c>
      <c r="B4" s="18" t="s">
        <v>119</v>
      </c>
      <c r="C4" s="18" t="s">
        <v>252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 t="s">
        <v>52</v>
      </c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260</v>
      </c>
      <c r="B8" s="141" t="s">
        <v>264</v>
      </c>
      <c r="C8" s="143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" t="s">
        <v>261</v>
      </c>
      <c r="B9" s="128"/>
      <c r="C9" s="129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39" t="s">
        <v>262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10"/>
      <c r="B11" s="27"/>
      <c r="C11" s="3"/>
      <c r="D11" s="28"/>
      <c r="E11" s="16" t="s">
        <v>172</v>
      </c>
      <c r="F11" s="158" t="s">
        <v>299</v>
      </c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F12" s="150" t="s">
        <v>293</v>
      </c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" t="s">
        <v>198</v>
      </c>
      <c r="F17" s="144" t="s">
        <v>267</v>
      </c>
      <c r="G17" s="106" t="s">
        <v>101</v>
      </c>
      <c r="H17" s="159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196</v>
      </c>
      <c r="F19" s="138" t="s">
        <v>269</v>
      </c>
      <c r="G19" s="3"/>
      <c r="H19" s="16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130" t="s">
        <v>257</v>
      </c>
      <c r="F20" s="144" t="s">
        <v>206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44" t="s">
        <v>95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58" t="s">
        <v>300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258</v>
      </c>
      <c r="E23" s="154" t="s">
        <v>249</v>
      </c>
      <c r="F23" s="138" t="s">
        <v>270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8"/>
      <c r="F24" s="1" t="s">
        <v>271</v>
      </c>
      <c r="G24" s="3"/>
      <c r="H24" s="100" t="s">
        <v>54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00"/>
      <c r="I25" s="116"/>
      <c r="J25" s="3"/>
    </row>
    <row r="26" spans="1:10" x14ac:dyDescent="0.3">
      <c r="A26" s="3"/>
      <c r="B26" s="3"/>
      <c r="C26" s="3"/>
      <c r="D26" s="3"/>
      <c r="E26" s="127"/>
      <c r="F26" s="145" t="s">
        <v>97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45" t="s">
        <v>272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45" t="s">
        <v>273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45" t="s">
        <v>216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145" t="s">
        <v>96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201</v>
      </c>
      <c r="F31" s="1" t="s">
        <v>274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38" t="s">
        <v>275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" t="s">
        <v>276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" t="s">
        <v>277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4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4" t="s">
        <v>114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6" t="s">
        <v>278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5" t="s">
        <v>279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47" t="s">
        <v>280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38" t="s">
        <v>281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47" t="s">
        <v>282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48" t="s">
        <v>283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44" t="s">
        <v>229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44" t="s">
        <v>153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9" t="s">
        <v>284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45" t="s">
        <v>61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47" t="s">
        <v>285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" t="s">
        <v>286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0" t="s">
        <v>287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" t="s">
        <v>288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" t="s">
        <v>289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0" t="s">
        <v>290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6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6" t="s">
        <v>291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0" t="s">
        <v>292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2" t="s">
        <v>294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45" t="s">
        <v>295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1" t="s">
        <v>98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51" t="s">
        <v>185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1" t="s">
        <v>241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2" t="s">
        <v>296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59" t="s">
        <v>38</v>
      </c>
      <c r="B70" s="2" t="s">
        <v>298</v>
      </c>
      <c r="C70" s="153" t="s">
        <v>127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112</v>
      </c>
      <c r="J70" s="3"/>
    </row>
    <row r="71" spans="1:10" x14ac:dyDescent="0.3">
      <c r="A71" s="16"/>
      <c r="B71" s="2" t="s">
        <v>129</v>
      </c>
      <c r="C71" s="113"/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9</v>
      </c>
      <c r="J71" s="3"/>
    </row>
    <row r="72" spans="1:10" x14ac:dyDescent="0.3">
      <c r="A72" s="27"/>
      <c r="B72" s="2" t="s">
        <v>135</v>
      </c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5</v>
      </c>
      <c r="J72" s="3"/>
    </row>
    <row r="73" spans="1:10" x14ac:dyDescent="0.3">
      <c r="A73" s="27"/>
      <c r="C73" s="2"/>
      <c r="D73" s="6"/>
      <c r="E73" s="23" t="s">
        <v>105</v>
      </c>
      <c r="F73" s="55" t="s">
        <v>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7"/>
      <c r="C74" s="2"/>
      <c r="D74" s="6"/>
      <c r="E74" s="71" t="s">
        <v>197</v>
      </c>
      <c r="F74" s="55" t="s">
        <v>255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32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 t="s">
        <v>43</v>
      </c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7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D05E-2876-4BC1-ACB2-83F5C2A702F5}">
  <dimension ref="A1:M102"/>
  <sheetViews>
    <sheetView zoomScale="70" zoomScaleNormal="70" workbookViewId="0">
      <selection activeCell="H42" sqref="H42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142</v>
      </c>
      <c r="B2" s="60" t="s">
        <v>250</v>
      </c>
      <c r="C2" s="16" t="s">
        <v>251</v>
      </c>
      <c r="D2" s="54" t="s">
        <v>188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247</v>
      </c>
      <c r="B3" s="60" t="s">
        <v>191</v>
      </c>
      <c r="C3" s="54" t="s">
        <v>171</v>
      </c>
      <c r="D3" s="3" t="s">
        <v>248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187</v>
      </c>
      <c r="B4" s="18" t="s">
        <v>119</v>
      </c>
      <c r="C4" s="18" t="s">
        <v>252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 t="s">
        <v>52</v>
      </c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260</v>
      </c>
      <c r="B8" s="141" t="s">
        <v>264</v>
      </c>
      <c r="C8" s="25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" t="s">
        <v>261</v>
      </c>
      <c r="B9" s="128"/>
      <c r="C9" s="16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39" t="s">
        <v>262</v>
      </c>
      <c r="B10" s="115"/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38" t="s">
        <v>286</v>
      </c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" t="s">
        <v>198</v>
      </c>
      <c r="F17" s="144" t="s">
        <v>267</v>
      </c>
      <c r="G17" s="106" t="s">
        <v>101</v>
      </c>
      <c r="H17" s="159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130" t="s">
        <v>196</v>
      </c>
      <c r="F19" s="138" t="s">
        <v>269</v>
      </c>
      <c r="G19" s="3"/>
      <c r="H19" s="16"/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130" t="s">
        <v>257</v>
      </c>
      <c r="F20" s="144" t="s">
        <v>206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44" t="s">
        <v>95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258</v>
      </c>
      <c r="E23" s="154" t="s">
        <v>249</v>
      </c>
      <c r="F23" s="138" t="s">
        <v>270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8"/>
      <c r="F24" s="1" t="s">
        <v>271</v>
      </c>
      <c r="G24" s="3"/>
      <c r="H24" s="100" t="s">
        <v>54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00"/>
      <c r="I25" s="116"/>
      <c r="J25" s="3"/>
    </row>
    <row r="26" spans="1:10" x14ac:dyDescent="0.3">
      <c r="A26" s="3"/>
      <c r="B26" s="3"/>
      <c r="C26" s="3"/>
      <c r="D26" s="3"/>
      <c r="E26" s="127"/>
      <c r="F26" s="145" t="s">
        <v>97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45" t="s">
        <v>272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45" t="s">
        <v>273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45" t="s">
        <v>216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200</v>
      </c>
      <c r="F30" s="145" t="s">
        <v>96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201</v>
      </c>
      <c r="F31" s="1" t="s">
        <v>274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38" t="s">
        <v>275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" t="s">
        <v>276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" t="s">
        <v>277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4"/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4" t="s">
        <v>114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6" t="s">
        <v>278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5" t="s">
        <v>279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47" t="s">
        <v>280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38" t="s">
        <v>281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47" t="s">
        <v>282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48" t="s">
        <v>283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44" t="s">
        <v>229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44" t="s">
        <v>153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9" t="s">
        <v>284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45" t="s">
        <v>61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47" t="s">
        <v>285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38" t="s">
        <v>301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0" t="s">
        <v>287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" t="s">
        <v>288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" t="s">
        <v>289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0" t="s">
        <v>290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6" t="s">
        <v>233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6" t="s">
        <v>291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0" t="s">
        <v>292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0" t="s">
        <v>293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2" t="s">
        <v>294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45" t="s">
        <v>295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1" t="s">
        <v>98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51" t="s">
        <v>185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1" t="s">
        <v>241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2" t="s">
        <v>296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38" t="s">
        <v>135</v>
      </c>
      <c r="B70" s="2" t="s">
        <v>298</v>
      </c>
      <c r="C70" s="153" t="s">
        <v>127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112</v>
      </c>
      <c r="J70" s="3"/>
    </row>
    <row r="71" spans="1:10" x14ac:dyDescent="0.3">
      <c r="A71" s="16"/>
      <c r="B71" s="2" t="s">
        <v>129</v>
      </c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9</v>
      </c>
      <c r="J71" s="3"/>
    </row>
    <row r="72" spans="1:10" x14ac:dyDescent="0.3">
      <c r="A72" s="27"/>
      <c r="B72" s="74"/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5</v>
      </c>
      <c r="J72" s="3"/>
    </row>
    <row r="73" spans="1:10" x14ac:dyDescent="0.3">
      <c r="A73" s="27"/>
      <c r="B73" s="75"/>
      <c r="C73" s="2"/>
      <c r="D73" s="6"/>
      <c r="E73" s="23" t="s">
        <v>105</v>
      </c>
      <c r="F73" s="55" t="s">
        <v>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"/>
      <c r="C74" s="2"/>
      <c r="D74" s="6"/>
      <c r="E74" s="71" t="s">
        <v>197</v>
      </c>
      <c r="F74" s="55" t="s">
        <v>255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32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 t="s">
        <v>43</v>
      </c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7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8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36DD-CA98-456B-8B0D-3EF2B5E944EC}">
  <dimension ref="A1:M102"/>
  <sheetViews>
    <sheetView topLeftCell="A48" zoomScale="70" zoomScaleNormal="70" workbookViewId="0">
      <selection activeCell="A96" sqref="A9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302</v>
      </c>
      <c r="B2" s="54" t="s">
        <v>118</v>
      </c>
      <c r="C2" s="160" t="s">
        <v>303</v>
      </c>
      <c r="D2" s="54" t="s">
        <v>248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190</v>
      </c>
      <c r="B3" s="60" t="s">
        <v>103</v>
      </c>
      <c r="C3" s="16" t="s">
        <v>188</v>
      </c>
      <c r="D3" s="3" t="s">
        <v>141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102</v>
      </c>
      <c r="B4" s="18" t="s">
        <v>119</v>
      </c>
      <c r="C4" s="18" t="s">
        <v>252</v>
      </c>
      <c r="D4" s="19"/>
      <c r="E4" s="20"/>
      <c r="F4" s="3"/>
      <c r="G4" s="18" t="s">
        <v>75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306</v>
      </c>
      <c r="B8" s="161" t="s">
        <v>281</v>
      </c>
      <c r="C8" s="25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38" t="s">
        <v>260</v>
      </c>
      <c r="B9" s="128"/>
      <c r="C9" s="16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" t="s">
        <v>261</v>
      </c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38" t="s">
        <v>286</v>
      </c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0" t="s">
        <v>107</v>
      </c>
      <c r="F17" s="138" t="s">
        <v>307</v>
      </c>
      <c r="G17" s="106" t="s">
        <v>101</v>
      </c>
      <c r="H17" s="159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32" t="s">
        <v>108</v>
      </c>
      <c r="F19" s="144" t="s">
        <v>308</v>
      </c>
      <c r="G19" s="3"/>
      <c r="H19" s="100" t="s">
        <v>54</v>
      </c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32" t="s">
        <v>99</v>
      </c>
      <c r="F20" s="138" t="s">
        <v>309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38" t="s">
        <v>310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304</v>
      </c>
      <c r="E23" s="154" t="s">
        <v>305</v>
      </c>
      <c r="F23" s="144" t="s">
        <v>311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8"/>
      <c r="F24" s="145" t="s">
        <v>112</v>
      </c>
      <c r="G24" s="3"/>
      <c r="H24" s="16" t="s">
        <v>52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6"/>
      <c r="I25" s="116"/>
      <c r="J25" s="3"/>
    </row>
    <row r="26" spans="1:10" x14ac:dyDescent="0.3">
      <c r="A26" s="3"/>
      <c r="B26" s="3"/>
      <c r="C26" s="3"/>
      <c r="D26" s="3"/>
      <c r="E26" s="127"/>
      <c r="F26" s="1" t="s">
        <v>113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" t="s">
        <v>312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" t="s">
        <v>313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" t="s">
        <v>314</v>
      </c>
      <c r="G29" s="3"/>
      <c r="H29" s="3"/>
      <c r="I29" s="3"/>
      <c r="J29" s="3"/>
    </row>
    <row r="30" spans="1:10" x14ac:dyDescent="0.3">
      <c r="A30" s="27" t="s">
        <v>58</v>
      </c>
      <c r="B30" s="17"/>
      <c r="C30" s="3"/>
      <c r="D30" s="110"/>
      <c r="E30" s="32" t="s">
        <v>111</v>
      </c>
      <c r="F30" s="145" t="s">
        <v>315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110</v>
      </c>
      <c r="F31" s="145" t="s">
        <v>316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44" t="s">
        <v>317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45" t="s">
        <v>160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45" t="s">
        <v>244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39" t="s">
        <v>262</v>
      </c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1" t="s">
        <v>264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2" t="s">
        <v>318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7" t="s">
        <v>280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61" t="s">
        <v>319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45" t="s">
        <v>320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62" t="s">
        <v>321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63" t="s">
        <v>322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38" t="s">
        <v>323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38" t="s">
        <v>324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0" t="s">
        <v>325</v>
      </c>
      <c r="G46" s="3"/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" t="s">
        <v>326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62" t="s">
        <v>327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44" t="s">
        <v>328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9" t="s">
        <v>232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45" t="s">
        <v>329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45" t="s">
        <v>186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9" t="s">
        <v>115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2" t="s">
        <v>330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2" t="s">
        <v>331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1" t="s">
        <v>332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1" t="s">
        <v>333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6" t="s">
        <v>334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" t="s">
        <v>335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0" t="s">
        <v>336</v>
      </c>
      <c r="G61" s="3"/>
      <c r="H61" s="3"/>
      <c r="I61" s="3"/>
      <c r="J61" s="3"/>
    </row>
    <row r="62" spans="1:10" x14ac:dyDescent="0.3">
      <c r="A62" s="3"/>
      <c r="B62" s="46"/>
      <c r="C62" s="46"/>
      <c r="D62" s="46"/>
      <c r="E62" s="15"/>
      <c r="F62" s="150" t="s">
        <v>337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0" t="s">
        <v>338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6" t="s">
        <v>116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38"/>
      <c r="B70" s="2" t="s">
        <v>298</v>
      </c>
      <c r="C70" s="153" t="s">
        <v>127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112</v>
      </c>
      <c r="J70" s="3"/>
    </row>
    <row r="71" spans="1:10" x14ac:dyDescent="0.3">
      <c r="A71" s="16"/>
      <c r="B71" s="2" t="s">
        <v>129</v>
      </c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74"/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6</v>
      </c>
      <c r="J72" s="3"/>
    </row>
    <row r="73" spans="1:10" x14ac:dyDescent="0.3">
      <c r="A73" s="27"/>
      <c r="B73" s="75"/>
      <c r="C73" s="2"/>
      <c r="D73" s="6"/>
      <c r="E73" s="23" t="s">
        <v>105</v>
      </c>
      <c r="F73" s="55" t="s">
        <v>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"/>
      <c r="C74" s="2"/>
      <c r="D74" s="6"/>
      <c r="E74" s="23" t="s">
        <v>46</v>
      </c>
      <c r="F74" s="55" t="s">
        <v>255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43</v>
      </c>
      <c r="F75" s="55" t="s">
        <v>197</v>
      </c>
      <c r="G75" s="66"/>
      <c r="H75" s="7"/>
      <c r="I75" s="3">
        <f>SUM(A99,E99)</f>
        <v>35</v>
      </c>
      <c r="J75" s="3" t="s">
        <v>79</v>
      </c>
    </row>
    <row r="76" spans="1:10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76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16"/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3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1">
        <v>6</v>
      </c>
      <c r="F96" s="20" t="s">
        <v>65</v>
      </c>
      <c r="G96" s="3"/>
      <c r="H96" s="3"/>
      <c r="I96" s="55"/>
      <c r="J96" s="87"/>
    </row>
    <row r="97" spans="1:10" x14ac:dyDescent="0.3">
      <c r="A97" s="98">
        <v>0</v>
      </c>
      <c r="B97" s="45"/>
      <c r="C97" s="95"/>
      <c r="D97" s="3"/>
      <c r="E97" s="99">
        <v>6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13</v>
      </c>
      <c r="F99" s="3" t="s">
        <v>79</v>
      </c>
      <c r="G99" s="3"/>
      <c r="H99" s="3"/>
      <c r="I99" s="3"/>
      <c r="J99" s="3"/>
    </row>
    <row r="102" spans="1:10" x14ac:dyDescent="0.3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mergeCells count="1">
    <mergeCell ref="A102:J102"/>
  </mergeCells>
  <conditionalFormatting sqref="C92:C99">
    <cfRule type="duplicateValues" dxfId="7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8D02-2F51-4095-819B-C1B0AF51DFDD}">
  <dimension ref="A1:R110"/>
  <sheetViews>
    <sheetView topLeftCell="A46" zoomScale="70" zoomScaleNormal="70" workbookViewId="0">
      <selection activeCell="Q87" sqref="Q87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302</v>
      </c>
      <c r="B2" s="160" t="s">
        <v>118</v>
      </c>
      <c r="C2" s="160" t="s">
        <v>303</v>
      </c>
      <c r="D2" s="16" t="s">
        <v>188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190</v>
      </c>
      <c r="B3" s="60" t="s">
        <v>103</v>
      </c>
      <c r="C3" s="16" t="s">
        <v>197</v>
      </c>
      <c r="D3" s="3" t="s">
        <v>141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102</v>
      </c>
      <c r="B4" s="18" t="s">
        <v>119</v>
      </c>
      <c r="C4" s="18" t="s">
        <v>252</v>
      </c>
      <c r="D4" s="19"/>
      <c r="E4" s="20"/>
      <c r="F4" s="3"/>
      <c r="G4" s="18" t="s">
        <v>75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306</v>
      </c>
      <c r="B8" s="161" t="s">
        <v>281</v>
      </c>
      <c r="C8" s="25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38" t="s">
        <v>260</v>
      </c>
      <c r="B9" s="128"/>
      <c r="C9" s="16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" t="s">
        <v>261</v>
      </c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38" t="s">
        <v>286</v>
      </c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0" t="s">
        <v>107</v>
      </c>
      <c r="F17" s="138" t="s">
        <v>307</v>
      </c>
      <c r="G17" s="106" t="s">
        <v>101</v>
      </c>
      <c r="H17" s="159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32" t="s">
        <v>108</v>
      </c>
      <c r="F19" s="144" t="s">
        <v>308</v>
      </c>
      <c r="G19" s="3"/>
      <c r="H19" s="100" t="s">
        <v>54</v>
      </c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32" t="s">
        <v>99</v>
      </c>
      <c r="F20" s="138" t="s">
        <v>309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38" t="s">
        <v>310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304</v>
      </c>
      <c r="E23" s="154" t="s">
        <v>305</v>
      </c>
      <c r="F23" s="144" t="s">
        <v>311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8"/>
      <c r="F24" s="145" t="s">
        <v>112</v>
      </c>
      <c r="G24" s="3"/>
      <c r="H24" s="16" t="s">
        <v>52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6"/>
      <c r="I25" s="116"/>
      <c r="J25" s="3"/>
    </row>
    <row r="26" spans="1:10" x14ac:dyDescent="0.3">
      <c r="A26" s="3"/>
      <c r="B26" s="3"/>
      <c r="C26" s="3"/>
      <c r="D26" s="3"/>
      <c r="E26" s="127"/>
      <c r="F26" s="1" t="s">
        <v>113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" t="s">
        <v>312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" t="s">
        <v>313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" t="s">
        <v>314</v>
      </c>
      <c r="G29" s="3"/>
      <c r="H29" s="3"/>
      <c r="I29" s="3"/>
      <c r="J29" s="3"/>
    </row>
    <row r="30" spans="1:10" x14ac:dyDescent="0.3">
      <c r="A30" s="165" t="s">
        <v>341</v>
      </c>
      <c r="B30" s="17"/>
      <c r="C30" s="3"/>
      <c r="D30" s="110"/>
      <c r="E30" s="32" t="s">
        <v>111</v>
      </c>
      <c r="F30" s="145" t="s">
        <v>315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110</v>
      </c>
      <c r="F31" s="145" t="s">
        <v>316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44" t="s">
        <v>317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45" t="s">
        <v>160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45" t="s">
        <v>244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39" t="s">
        <v>262</v>
      </c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1" t="s">
        <v>264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2" t="s">
        <v>318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7" t="s">
        <v>280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61" t="s">
        <v>319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45" t="s">
        <v>320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62" t="s">
        <v>321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38" t="s">
        <v>340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38" t="s">
        <v>323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38" t="s">
        <v>324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0" t="s">
        <v>325</v>
      </c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" t="s">
        <v>326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62" t="s">
        <v>327</v>
      </c>
      <c r="G48" s="3"/>
      <c r="H48" s="3"/>
      <c r="I48" s="3"/>
      <c r="J48" s="3"/>
    </row>
    <row r="49" spans="1:16" x14ac:dyDescent="0.3">
      <c r="A49" s="46"/>
      <c r="B49" s="46"/>
      <c r="C49" s="46"/>
      <c r="D49" s="46"/>
      <c r="E49" s="15"/>
      <c r="F49" s="144" t="s">
        <v>328</v>
      </c>
      <c r="G49" s="110"/>
      <c r="H49" s="3"/>
      <c r="I49" s="3"/>
      <c r="J49" s="3"/>
    </row>
    <row r="50" spans="1:16" x14ac:dyDescent="0.3">
      <c r="A50" s="46"/>
      <c r="B50" s="46"/>
      <c r="C50" s="46"/>
      <c r="D50" s="46"/>
      <c r="E50" s="15"/>
      <c r="F50" s="149" t="s">
        <v>232</v>
      </c>
      <c r="G50" s="3"/>
      <c r="H50" s="3"/>
      <c r="I50" s="3"/>
      <c r="J50" s="3"/>
    </row>
    <row r="51" spans="1:16" x14ac:dyDescent="0.3">
      <c r="A51" s="46"/>
      <c r="B51" s="46"/>
      <c r="C51" s="46"/>
      <c r="D51" s="46"/>
      <c r="E51" s="15"/>
      <c r="F51" s="145" t="s">
        <v>329</v>
      </c>
      <c r="G51" s="3"/>
      <c r="H51" s="3"/>
      <c r="I51" s="3"/>
      <c r="J51" s="3"/>
    </row>
    <row r="52" spans="1:16" x14ac:dyDescent="0.3">
      <c r="A52" s="46"/>
      <c r="B52" s="46"/>
      <c r="C52" s="46"/>
      <c r="D52" s="46"/>
      <c r="E52" s="15"/>
      <c r="F52" s="145" t="s">
        <v>186</v>
      </c>
      <c r="G52" s="3"/>
      <c r="H52" s="21"/>
      <c r="I52" s="65"/>
      <c r="J52" s="3"/>
    </row>
    <row r="53" spans="1:16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6" x14ac:dyDescent="0.3">
      <c r="A54" s="46"/>
      <c r="B54" s="46"/>
      <c r="C54" s="46"/>
      <c r="D54" s="46"/>
      <c r="E54" s="47"/>
      <c r="F54" s="149" t="s">
        <v>115</v>
      </c>
      <c r="G54" s="3"/>
      <c r="H54" s="20"/>
      <c r="I54" s="55"/>
      <c r="J54" s="3"/>
    </row>
    <row r="55" spans="1:16" x14ac:dyDescent="0.3">
      <c r="A55" s="46"/>
      <c r="B55" s="46"/>
      <c r="C55" s="46"/>
      <c r="D55" s="3"/>
      <c r="E55" s="47"/>
      <c r="F55" s="142" t="s">
        <v>330</v>
      </c>
      <c r="G55" s="3"/>
      <c r="H55" s="20"/>
      <c r="I55" s="55"/>
      <c r="J55" s="3"/>
    </row>
    <row r="56" spans="1:16" x14ac:dyDescent="0.3">
      <c r="A56" s="46"/>
      <c r="B56" s="46"/>
      <c r="C56" s="46"/>
      <c r="D56" s="46"/>
      <c r="E56" s="47"/>
      <c r="F56" s="142" t="s">
        <v>331</v>
      </c>
      <c r="G56" s="3"/>
      <c r="H56" s="23"/>
      <c r="I56" s="55"/>
      <c r="J56" s="3"/>
    </row>
    <row r="57" spans="1:16" x14ac:dyDescent="0.3">
      <c r="A57" s="46"/>
      <c r="B57" s="46"/>
      <c r="C57" s="46"/>
      <c r="D57" s="46"/>
      <c r="E57" s="15"/>
      <c r="F57" s="151" t="s">
        <v>332</v>
      </c>
      <c r="G57" s="3"/>
      <c r="H57" s="20"/>
      <c r="I57" s="55"/>
      <c r="J57" s="3"/>
    </row>
    <row r="58" spans="1:16" x14ac:dyDescent="0.3">
      <c r="A58" s="46"/>
      <c r="B58" s="46"/>
      <c r="C58" s="46"/>
      <c r="D58" s="46"/>
      <c r="E58" s="15"/>
      <c r="F58" s="151" t="s">
        <v>333</v>
      </c>
      <c r="G58" s="16"/>
      <c r="H58" s="20"/>
      <c r="I58" s="55"/>
      <c r="J58" s="3"/>
    </row>
    <row r="59" spans="1:16" x14ac:dyDescent="0.3">
      <c r="A59" s="46"/>
      <c r="B59" s="46"/>
      <c r="C59" s="46"/>
      <c r="D59" s="46"/>
      <c r="E59" s="15"/>
      <c r="F59" s="146" t="s">
        <v>334</v>
      </c>
      <c r="G59" s="3"/>
      <c r="H59" s="3"/>
      <c r="I59" s="3"/>
      <c r="J59" s="3"/>
    </row>
    <row r="60" spans="1:16" x14ac:dyDescent="0.3">
      <c r="A60" s="46"/>
      <c r="B60" s="46"/>
      <c r="C60" s="46"/>
      <c r="D60" s="46"/>
      <c r="E60" s="15"/>
      <c r="F60" s="1" t="s">
        <v>335</v>
      </c>
      <c r="G60" s="3"/>
      <c r="H60" s="3"/>
      <c r="I60" s="3"/>
      <c r="J60" s="3"/>
      <c r="P60" s="55"/>
    </row>
    <row r="61" spans="1:16" x14ac:dyDescent="0.3">
      <c r="A61" s="3"/>
      <c r="B61" s="46"/>
      <c r="C61" s="46"/>
      <c r="D61" s="46"/>
      <c r="E61" s="15"/>
      <c r="F61" s="150" t="s">
        <v>336</v>
      </c>
      <c r="G61" s="3"/>
      <c r="H61" s="3"/>
      <c r="I61" s="3"/>
      <c r="J61" s="3"/>
    </row>
    <row r="62" spans="1:16" x14ac:dyDescent="0.3">
      <c r="A62" s="3"/>
      <c r="B62" s="55"/>
      <c r="C62" s="46"/>
      <c r="D62" s="46"/>
      <c r="E62" s="15"/>
      <c r="F62" s="150" t="s">
        <v>337</v>
      </c>
      <c r="G62" s="3"/>
      <c r="H62" s="3"/>
      <c r="I62" s="3"/>
      <c r="J62" s="3"/>
    </row>
    <row r="63" spans="1:16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  <c r="P63" s="55"/>
    </row>
    <row r="64" spans="1:16" x14ac:dyDescent="0.3">
      <c r="A64" s="46"/>
      <c r="B64" s="46"/>
      <c r="C64" s="46"/>
      <c r="D64" s="46"/>
      <c r="E64" s="47"/>
      <c r="F64" s="150" t="s">
        <v>338</v>
      </c>
      <c r="G64" s="52"/>
      <c r="H64" s="3"/>
      <c r="I64" s="3"/>
      <c r="J64" s="3"/>
    </row>
    <row r="65" spans="1:18" x14ac:dyDescent="0.3">
      <c r="A65" s="46"/>
      <c r="B65" s="46"/>
      <c r="C65" s="46"/>
      <c r="D65" s="46"/>
      <c r="E65" s="47"/>
      <c r="F65" s="146" t="s">
        <v>116</v>
      </c>
      <c r="G65" s="52"/>
      <c r="H65" s="3"/>
      <c r="I65" s="3"/>
      <c r="J65" s="3"/>
    </row>
    <row r="66" spans="1:18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8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8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8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8" x14ac:dyDescent="0.3">
      <c r="A70" s="138"/>
      <c r="B70" s="2" t="s">
        <v>298</v>
      </c>
      <c r="C70" s="164" t="s">
        <v>339</v>
      </c>
      <c r="D70" s="16" t="s">
        <v>197</v>
      </c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113</v>
      </c>
      <c r="J70" s="3"/>
    </row>
    <row r="71" spans="1:18" x14ac:dyDescent="0.3">
      <c r="A71" s="16"/>
      <c r="B71" s="2" t="s">
        <v>129</v>
      </c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7</v>
      </c>
      <c r="J71" s="3"/>
    </row>
    <row r="72" spans="1:18" x14ac:dyDescent="0.3">
      <c r="A72" s="27"/>
      <c r="B72" s="74"/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6</v>
      </c>
      <c r="J72" s="3"/>
    </row>
    <row r="73" spans="1:18" x14ac:dyDescent="0.3">
      <c r="A73" s="27"/>
      <c r="B73" s="75"/>
      <c r="C73" s="2"/>
      <c r="D73" s="6"/>
      <c r="E73" s="23" t="s">
        <v>105</v>
      </c>
      <c r="F73" s="55" t="s">
        <v>255</v>
      </c>
      <c r="G73" s="66"/>
      <c r="H73" s="70" t="s">
        <v>77</v>
      </c>
      <c r="I73" s="70">
        <f>SUM(A95,E95)</f>
        <v>4</v>
      </c>
      <c r="J73" s="3"/>
    </row>
    <row r="74" spans="1:18" x14ac:dyDescent="0.3">
      <c r="A74" s="27"/>
      <c r="B74" s="11"/>
      <c r="C74" s="2"/>
      <c r="D74" s="6"/>
      <c r="E74" s="23" t="s">
        <v>46</v>
      </c>
      <c r="F74" s="55" t="s">
        <v>43</v>
      </c>
      <c r="G74" s="66"/>
      <c r="H74" s="3"/>
      <c r="I74" s="3">
        <f>SUM(A98,E98)</f>
        <v>8</v>
      </c>
      <c r="J74" s="48" t="s">
        <v>78</v>
      </c>
    </row>
    <row r="75" spans="1:18" x14ac:dyDescent="0.3">
      <c r="A75" s="27"/>
      <c r="B75" s="2"/>
      <c r="C75" s="2"/>
      <c r="D75" s="6"/>
      <c r="E75" s="23"/>
      <c r="F75" s="55"/>
      <c r="G75" s="66"/>
      <c r="H75" s="7"/>
      <c r="I75" s="3">
        <f>SUM(A99,E99)</f>
        <v>36</v>
      </c>
      <c r="J75" s="3" t="s">
        <v>79</v>
      </c>
    </row>
    <row r="76" spans="1:18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  <c r="P76" s="55"/>
      <c r="Q76" s="55"/>
      <c r="R76" s="55"/>
    </row>
    <row r="77" spans="1:18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  <c r="P77" s="55"/>
      <c r="Q77" s="55"/>
      <c r="R77" s="55"/>
    </row>
    <row r="78" spans="1:18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  <c r="P78" s="55"/>
      <c r="Q78" s="55"/>
      <c r="R78" s="55"/>
    </row>
    <row r="79" spans="1:18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  <c r="P79" s="55"/>
      <c r="Q79" s="55"/>
      <c r="R79" s="55"/>
    </row>
    <row r="80" spans="1:18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  <c r="P80" s="55"/>
      <c r="Q80" s="55"/>
      <c r="R80" s="55"/>
    </row>
    <row r="81" spans="1:18" x14ac:dyDescent="0.3">
      <c r="A81" s="75"/>
      <c r="B81" s="75"/>
      <c r="C81" s="4"/>
      <c r="D81" s="80"/>
      <c r="E81" s="71"/>
      <c r="F81" s="71"/>
      <c r="G81" s="71"/>
      <c r="H81" s="55"/>
      <c r="I81" s="67"/>
      <c r="J81" s="81"/>
      <c r="P81" s="55"/>
      <c r="Q81" s="55"/>
      <c r="R81" s="55"/>
    </row>
    <row r="82" spans="1:18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  <c r="P82" s="55"/>
      <c r="Q82" s="55"/>
      <c r="R82" s="55"/>
    </row>
    <row r="83" spans="1:18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  <c r="P83" s="55"/>
      <c r="Q83" s="55"/>
      <c r="R83" s="55"/>
    </row>
    <row r="84" spans="1:18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8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8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8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8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8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8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8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8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  <c r="K92" s="55"/>
    </row>
    <row r="93" spans="1:18" x14ac:dyDescent="0.3">
      <c r="A93" s="3"/>
      <c r="B93" s="45"/>
      <c r="C93" s="95"/>
      <c r="D93" s="3"/>
      <c r="E93" s="3" t="s">
        <v>55</v>
      </c>
      <c r="F93" s="45"/>
      <c r="G93" s="19"/>
      <c r="H93" s="3"/>
      <c r="I93" s="81"/>
      <c r="J93" s="87"/>
      <c r="L93" s="55"/>
    </row>
    <row r="94" spans="1:18" x14ac:dyDescent="0.3">
      <c r="A94" s="97"/>
      <c r="B94" s="45"/>
      <c r="C94" s="95"/>
      <c r="D94" s="3"/>
      <c r="E94" s="96"/>
      <c r="F94" s="96"/>
      <c r="G94" s="19"/>
      <c r="H94" s="55"/>
      <c r="I94" s="81"/>
      <c r="J94" s="87"/>
      <c r="L94" s="55"/>
    </row>
    <row r="95" spans="1:18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8" x14ac:dyDescent="0.3">
      <c r="A96" s="23">
        <v>2</v>
      </c>
      <c r="B96" s="45"/>
      <c r="C96" s="95"/>
      <c r="D96" s="3"/>
      <c r="E96" s="55">
        <v>5</v>
      </c>
      <c r="F96" s="20" t="s">
        <v>65</v>
      </c>
      <c r="G96" s="3"/>
      <c r="H96" s="55"/>
      <c r="I96" s="55"/>
      <c r="J96" s="87"/>
    </row>
    <row r="97" spans="1:10" x14ac:dyDescent="0.3">
      <c r="A97" s="98">
        <v>1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4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  <row r="102" spans="1:10" x14ac:dyDescent="0.3">
      <c r="A102" s="55"/>
      <c r="B102" s="55"/>
      <c r="C102" s="55"/>
      <c r="D102" s="55"/>
      <c r="E102" s="55"/>
      <c r="F102" s="55"/>
      <c r="G102" s="55"/>
      <c r="H102" s="55"/>
      <c r="I102" s="55"/>
      <c r="J102" s="55"/>
    </row>
    <row r="103" spans="1:10" x14ac:dyDescent="0.3">
      <c r="I103" s="55"/>
      <c r="J103" s="55"/>
    </row>
    <row r="110" spans="1:10" x14ac:dyDescent="0.3">
      <c r="H110" s="55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conditionalFormatting sqref="C92:C99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0CD4-17B7-44C8-9476-FF48BE52BE2F}">
  <dimension ref="A1:M99"/>
  <sheetViews>
    <sheetView zoomScale="70" zoomScaleNormal="70" workbookViewId="0">
      <selection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302</v>
      </c>
      <c r="B2" s="160" t="s">
        <v>118</v>
      </c>
      <c r="C2" s="160" t="s">
        <v>303</v>
      </c>
      <c r="D2" s="16" t="s">
        <v>188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190</v>
      </c>
      <c r="B3" s="60" t="s">
        <v>103</v>
      </c>
      <c r="C3" s="16" t="s">
        <v>197</v>
      </c>
      <c r="D3" s="3" t="s">
        <v>141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102</v>
      </c>
      <c r="B4" s="18" t="s">
        <v>119</v>
      </c>
      <c r="C4" s="18" t="s">
        <v>252</v>
      </c>
      <c r="D4" s="19"/>
      <c r="E4" s="20"/>
      <c r="F4" s="3"/>
      <c r="G4" s="18" t="s">
        <v>75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306</v>
      </c>
      <c r="B8" s="161" t="s">
        <v>281</v>
      </c>
      <c r="C8" s="25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38" t="s">
        <v>260</v>
      </c>
      <c r="B9" s="128"/>
      <c r="C9" s="16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" t="s">
        <v>261</v>
      </c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38" t="s">
        <v>286</v>
      </c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0" t="s">
        <v>107</v>
      </c>
      <c r="F17" s="138" t="s">
        <v>307</v>
      </c>
      <c r="G17" s="106" t="s">
        <v>101</v>
      </c>
      <c r="H17" s="159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32" t="s">
        <v>108</v>
      </c>
      <c r="F19" s="144" t="s">
        <v>308</v>
      </c>
      <c r="G19" s="3"/>
      <c r="H19" s="100" t="s">
        <v>54</v>
      </c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32" t="s">
        <v>99</v>
      </c>
      <c r="F20" s="138" t="s">
        <v>309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38" t="s">
        <v>310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304</v>
      </c>
      <c r="E23" s="154" t="s">
        <v>305</v>
      </c>
      <c r="F23" s="144" t="s">
        <v>311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8"/>
      <c r="F24" s="145" t="s">
        <v>112</v>
      </c>
      <c r="G24" s="3"/>
      <c r="H24" s="16" t="s">
        <v>52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6"/>
      <c r="I25" s="116"/>
      <c r="J25" s="3"/>
    </row>
    <row r="26" spans="1:10" x14ac:dyDescent="0.3">
      <c r="A26" s="3"/>
      <c r="B26" s="3"/>
      <c r="C26" s="3"/>
      <c r="D26" s="3"/>
      <c r="E26" s="127"/>
      <c r="F26" s="1" t="s">
        <v>113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" t="s">
        <v>312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" t="s">
        <v>313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" t="s">
        <v>314</v>
      </c>
      <c r="G29" s="3"/>
      <c r="H29" s="3"/>
      <c r="I29" s="3"/>
      <c r="J29" s="3"/>
    </row>
    <row r="30" spans="1:10" x14ac:dyDescent="0.3">
      <c r="A30" s="165" t="s">
        <v>341</v>
      </c>
      <c r="B30" s="17"/>
      <c r="C30" s="3"/>
      <c r="D30" s="110"/>
      <c r="E30" s="32" t="s">
        <v>111</v>
      </c>
      <c r="F30" s="145" t="s">
        <v>315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110</v>
      </c>
      <c r="F31" s="145" t="s">
        <v>316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44" t="s">
        <v>317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45" t="s">
        <v>160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45" t="s">
        <v>244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39" t="s">
        <v>262</v>
      </c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1" t="s">
        <v>264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2" t="s">
        <v>318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7" t="s">
        <v>280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61" t="s">
        <v>319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45" t="s">
        <v>320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62" t="s">
        <v>321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38" t="s">
        <v>340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38" t="s">
        <v>323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38" t="s">
        <v>324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0" t="s">
        <v>325</v>
      </c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" t="s">
        <v>326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62" t="s">
        <v>327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44" t="s">
        <v>328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9" t="s">
        <v>232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45" t="s">
        <v>329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45" t="s">
        <v>186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9" t="s">
        <v>115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2" t="s">
        <v>330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2" t="s">
        <v>331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1" t="s">
        <v>332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1" t="s">
        <v>333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6" t="s">
        <v>334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" t="s">
        <v>335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0" t="s">
        <v>336</v>
      </c>
      <c r="G61" s="3"/>
      <c r="H61" s="3"/>
      <c r="I61" s="3"/>
      <c r="J61" s="3"/>
    </row>
    <row r="62" spans="1:10" x14ac:dyDescent="0.3">
      <c r="A62" s="3"/>
      <c r="B62" s="55"/>
      <c r="C62" s="46"/>
      <c r="D62" s="46"/>
      <c r="E62" s="15"/>
      <c r="F62" s="150" t="s">
        <v>337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0" t="s">
        <v>338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6" t="s">
        <v>116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38"/>
      <c r="B70" s="2" t="s">
        <v>298</v>
      </c>
      <c r="C70" s="164" t="s">
        <v>339</v>
      </c>
      <c r="D70" s="16" t="s">
        <v>197</v>
      </c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113</v>
      </c>
      <c r="J70" s="3"/>
    </row>
    <row r="71" spans="1:10" x14ac:dyDescent="0.3">
      <c r="A71" s="16"/>
      <c r="B71" s="2" t="s">
        <v>129</v>
      </c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7</v>
      </c>
      <c r="J71" s="3"/>
    </row>
    <row r="72" spans="1:10" x14ac:dyDescent="0.3">
      <c r="A72" s="27"/>
      <c r="B72" s="74"/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6</v>
      </c>
      <c r="J72" s="3"/>
    </row>
    <row r="73" spans="1:10" x14ac:dyDescent="0.3">
      <c r="A73" s="27"/>
      <c r="B73" s="75"/>
      <c r="C73" s="2"/>
      <c r="D73" s="6"/>
      <c r="E73" s="23" t="s">
        <v>105</v>
      </c>
      <c r="F73" s="55" t="s">
        <v>255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"/>
      <c r="C74" s="2"/>
      <c r="D74" s="6"/>
      <c r="E74" s="23" t="s">
        <v>46</v>
      </c>
      <c r="F74" s="55" t="s">
        <v>43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/>
      <c r="F75" s="55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55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3" t="s">
        <v>55</v>
      </c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55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55">
        <v>5</v>
      </c>
      <c r="F96" s="20" t="s">
        <v>65</v>
      </c>
      <c r="G96" s="3"/>
      <c r="H96" s="55"/>
      <c r="I96" s="55"/>
      <c r="J96" s="87"/>
    </row>
    <row r="97" spans="1:10" x14ac:dyDescent="0.3">
      <c r="A97" s="98">
        <v>1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conditionalFormatting sqref="C92:C99">
    <cfRule type="duplicateValues" dxfId="5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9C8F-1F01-4938-B479-6D14C6E755A8}">
  <dimension ref="A1:M99"/>
  <sheetViews>
    <sheetView topLeftCell="A40" zoomScale="85" zoomScaleNormal="85" workbookViewId="0">
      <selection activeCell="E70" sqref="E70:E74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302</v>
      </c>
      <c r="B2" s="160" t="s">
        <v>118</v>
      </c>
      <c r="C2" s="160" t="s">
        <v>303</v>
      </c>
      <c r="D2" s="16" t="s">
        <v>188</v>
      </c>
      <c r="E2" s="137" t="s">
        <v>175</v>
      </c>
      <c r="F2" s="1" t="s">
        <v>169</v>
      </c>
      <c r="G2" s="13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60" t="s">
        <v>190</v>
      </c>
      <c r="B3" s="60" t="s">
        <v>103</v>
      </c>
      <c r="C3" s="16" t="s">
        <v>197</v>
      </c>
      <c r="D3" s="3" t="s">
        <v>141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102</v>
      </c>
      <c r="B4" s="18" t="s">
        <v>119</v>
      </c>
      <c r="C4" s="18" t="s">
        <v>252</v>
      </c>
      <c r="D4" s="19"/>
      <c r="E4" s="20"/>
      <c r="F4" s="3"/>
      <c r="G4" s="18" t="s">
        <v>75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" t="s">
        <v>259</v>
      </c>
      <c r="B7" s="140" t="s">
        <v>263</v>
      </c>
      <c r="C7" s="142" t="s">
        <v>265</v>
      </c>
      <c r="D7" s="4"/>
      <c r="E7" s="22" t="s">
        <v>17</v>
      </c>
      <c r="F7" s="23"/>
      <c r="G7" s="138" t="s">
        <v>266</v>
      </c>
      <c r="H7" s="20"/>
      <c r="I7" s="3"/>
      <c r="J7" s="24"/>
      <c r="M7" s="109"/>
    </row>
    <row r="8" spans="1:13" x14ac:dyDescent="0.3">
      <c r="A8" s="138" t="s">
        <v>306</v>
      </c>
      <c r="B8" s="161" t="s">
        <v>281</v>
      </c>
      <c r="C8" s="25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138" t="s">
        <v>260</v>
      </c>
      <c r="B9" s="128"/>
      <c r="C9" s="16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" t="s">
        <v>261</v>
      </c>
      <c r="C10" s="128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138" t="s">
        <v>286</v>
      </c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160" t="s">
        <v>107</v>
      </c>
      <c r="F17" s="138" t="s">
        <v>307</v>
      </c>
      <c r="G17" s="106" t="s">
        <v>101</v>
      </c>
      <c r="H17" s="159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136" t="s">
        <v>254</v>
      </c>
      <c r="D18" s="46" t="s">
        <v>40</v>
      </c>
      <c r="E18" s="130" t="s">
        <v>256</v>
      </c>
      <c r="F18" s="138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32" t="s">
        <v>108</v>
      </c>
      <c r="F19" s="144" t="s">
        <v>308</v>
      </c>
      <c r="G19" s="3"/>
      <c r="H19" s="100" t="s">
        <v>54</v>
      </c>
      <c r="I19" s="16"/>
      <c r="J19" s="3"/>
    </row>
    <row r="20" spans="1:10" x14ac:dyDescent="0.3">
      <c r="A20" s="3" t="s">
        <v>44</v>
      </c>
      <c r="B20" s="3"/>
      <c r="C20" s="27"/>
      <c r="D20" s="60" t="s">
        <v>124</v>
      </c>
      <c r="E20" s="32" t="s">
        <v>99</v>
      </c>
      <c r="F20" s="138" t="s">
        <v>309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156" t="s">
        <v>125</v>
      </c>
      <c r="F21" s="138" t="s">
        <v>310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8" t="s">
        <v>23</v>
      </c>
      <c r="F22" s="144" t="s">
        <v>183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52" t="s">
        <v>297</v>
      </c>
      <c r="D23" s="136" t="s">
        <v>304</v>
      </c>
      <c r="E23" s="154" t="s">
        <v>305</v>
      </c>
      <c r="F23" s="144" t="s">
        <v>311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8"/>
      <c r="F24" s="145" t="s">
        <v>112</v>
      </c>
      <c r="G24" s="3"/>
      <c r="H24" s="16" t="s">
        <v>52</v>
      </c>
      <c r="I24" s="21"/>
      <c r="J24" s="3"/>
    </row>
    <row r="25" spans="1:10" x14ac:dyDescent="0.3">
      <c r="A25" s="3"/>
      <c r="B25" s="29"/>
      <c r="C25" s="29"/>
      <c r="D25" s="19"/>
      <c r="E25" s="46"/>
      <c r="F25" s="14"/>
      <c r="G25" s="3"/>
      <c r="H25" s="16"/>
      <c r="I25" s="116"/>
      <c r="J25" s="3"/>
    </row>
    <row r="26" spans="1:10" x14ac:dyDescent="0.3">
      <c r="A26" s="3"/>
      <c r="B26" s="3"/>
      <c r="C26" s="3"/>
      <c r="D26" s="3"/>
      <c r="E26" s="127"/>
      <c r="F26" s="1" t="s">
        <v>113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" t="s">
        <v>312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" t="s">
        <v>313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" t="s">
        <v>314</v>
      </c>
      <c r="G29" s="3"/>
      <c r="H29" s="3"/>
      <c r="I29" s="3"/>
      <c r="J29" s="3"/>
    </row>
    <row r="30" spans="1:10" x14ac:dyDescent="0.3">
      <c r="A30" s="165" t="s">
        <v>341</v>
      </c>
      <c r="B30" s="17"/>
      <c r="C30" s="3"/>
      <c r="D30" s="110"/>
      <c r="E30" s="32" t="s">
        <v>111</v>
      </c>
      <c r="F30" s="145" t="s">
        <v>315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130" t="s">
        <v>110</v>
      </c>
      <c r="F31" s="145" t="s">
        <v>316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144" t="s">
        <v>317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145" t="s">
        <v>160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145" t="s">
        <v>244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39" t="s">
        <v>262</v>
      </c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141" t="s">
        <v>264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142" t="s">
        <v>318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47" t="s">
        <v>280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61" t="s">
        <v>319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145" t="s">
        <v>320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62" t="s">
        <v>321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4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138" t="s">
        <v>340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138" t="s">
        <v>323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138" t="s">
        <v>324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40" t="s">
        <v>325</v>
      </c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" t="s">
        <v>326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62" t="s">
        <v>327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144" t="s">
        <v>328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49" t="s">
        <v>232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145" t="s">
        <v>329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145" t="s">
        <v>186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4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49" t="s">
        <v>115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142" t="s">
        <v>330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142" t="s">
        <v>331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151" t="s">
        <v>332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151" t="s">
        <v>333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46" t="s">
        <v>235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" t="s">
        <v>335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150" t="s">
        <v>336</v>
      </c>
      <c r="G61" s="3"/>
      <c r="H61" s="3"/>
      <c r="I61" s="3"/>
      <c r="J61" s="3"/>
    </row>
    <row r="62" spans="1:10" x14ac:dyDescent="0.3">
      <c r="A62" s="3"/>
      <c r="B62" s="55"/>
      <c r="C62" s="46"/>
      <c r="D62" s="46"/>
      <c r="E62" s="15"/>
      <c r="F62" s="150" t="s">
        <v>337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4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150" t="s">
        <v>338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46" t="s">
        <v>116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38"/>
      <c r="B70" s="21" t="s">
        <v>298</v>
      </c>
      <c r="C70" s="166" t="s">
        <v>339</v>
      </c>
      <c r="D70" s="16" t="s">
        <v>197</v>
      </c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113</v>
      </c>
      <c r="J70" s="3"/>
    </row>
    <row r="71" spans="1:10" x14ac:dyDescent="0.3">
      <c r="A71" s="16"/>
      <c r="B71" s="21" t="s">
        <v>129</v>
      </c>
      <c r="C71" s="167"/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7</v>
      </c>
      <c r="J71" s="3"/>
    </row>
    <row r="72" spans="1:10" x14ac:dyDescent="0.3">
      <c r="A72" s="27"/>
      <c r="B72" s="74"/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6</v>
      </c>
      <c r="J72" s="3"/>
    </row>
    <row r="73" spans="1:10" x14ac:dyDescent="0.3">
      <c r="A73" s="27"/>
      <c r="B73" s="75"/>
      <c r="C73" s="2"/>
      <c r="D73" s="6"/>
      <c r="E73" s="23" t="s">
        <v>105</v>
      </c>
      <c r="F73" s="55" t="s">
        <v>255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"/>
      <c r="C74" s="2"/>
      <c r="D74" s="6"/>
      <c r="E74" s="23" t="s">
        <v>46</v>
      </c>
      <c r="F74" s="55" t="s">
        <v>43</v>
      </c>
      <c r="G74" s="66"/>
      <c r="H74" s="3"/>
      <c r="I74" s="3">
        <f>SUM(A98,E98)</f>
        <v>8</v>
      </c>
      <c r="J74" s="48" t="s">
        <v>78</v>
      </c>
    </row>
    <row r="75" spans="1:10" x14ac:dyDescent="0.3">
      <c r="A75" s="27"/>
      <c r="B75" s="2"/>
      <c r="C75" s="2"/>
      <c r="D75" s="6"/>
      <c r="E75" s="23"/>
      <c r="F75" s="55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55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3" t="s">
        <v>55</v>
      </c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55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55">
        <v>5</v>
      </c>
      <c r="F96" s="20" t="s">
        <v>65</v>
      </c>
      <c r="G96" s="3"/>
      <c r="H96" s="55"/>
      <c r="I96" s="55"/>
      <c r="J96" s="87"/>
    </row>
    <row r="97" spans="1:10" x14ac:dyDescent="0.3">
      <c r="A97" s="98">
        <v>1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4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conditionalFormatting sqref="C92:C99">
    <cfRule type="duplicateValues" dxfId="4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8313-3E82-4EAE-AB8C-AE585BD91D4B}">
  <dimension ref="A1:M99"/>
  <sheetViews>
    <sheetView zoomScale="90" zoomScaleNormal="90" workbookViewId="0">
      <selection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x14ac:dyDescent="0.3">
      <c r="A2" s="16" t="s">
        <v>302</v>
      </c>
      <c r="B2" s="57" t="s">
        <v>118</v>
      </c>
      <c r="C2" s="57" t="s">
        <v>303</v>
      </c>
      <c r="D2" s="16" t="s">
        <v>188</v>
      </c>
      <c r="E2" s="57" t="s">
        <v>175</v>
      </c>
      <c r="F2" s="16" t="s">
        <v>169</v>
      </c>
      <c r="G2" s="57" t="s">
        <v>202</v>
      </c>
      <c r="H2" s="18" t="s">
        <v>10</v>
      </c>
      <c r="I2" s="3" t="s">
        <v>11</v>
      </c>
      <c r="J2" s="18" t="s">
        <v>253</v>
      </c>
      <c r="M2" s="109"/>
    </row>
    <row r="3" spans="1:13" x14ac:dyDescent="0.3">
      <c r="A3" s="57" t="s">
        <v>190</v>
      </c>
      <c r="B3" s="180" t="s">
        <v>191</v>
      </c>
      <c r="C3" s="16" t="s">
        <v>197</v>
      </c>
      <c r="D3" s="180" t="s">
        <v>342</v>
      </c>
      <c r="E3" s="16"/>
      <c r="F3" s="3" t="s">
        <v>12</v>
      </c>
      <c r="G3" s="110"/>
      <c r="H3" s="20"/>
      <c r="I3" s="46" t="s">
        <v>13</v>
      </c>
      <c r="J3" s="18"/>
      <c r="M3" s="109"/>
    </row>
    <row r="4" spans="1:13" x14ac:dyDescent="0.3">
      <c r="A4" s="3" t="s">
        <v>102</v>
      </c>
      <c r="B4" s="18" t="s">
        <v>119</v>
      </c>
      <c r="C4" s="18" t="s">
        <v>252</v>
      </c>
      <c r="D4" s="19"/>
      <c r="E4" s="20"/>
      <c r="F4" s="3"/>
      <c r="G4" s="18" t="s">
        <v>75</v>
      </c>
      <c r="H4" s="20"/>
      <c r="I4" s="3"/>
      <c r="J4" s="19"/>
      <c r="M4" s="109"/>
    </row>
    <row r="5" spans="1:13" x14ac:dyDescent="0.3">
      <c r="A5" s="16"/>
      <c r="B5" s="18" t="s">
        <v>194</v>
      </c>
      <c r="C5" s="18" t="s">
        <v>120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x14ac:dyDescent="0.3">
      <c r="A7" s="16" t="s">
        <v>259</v>
      </c>
      <c r="B7" s="173" t="s">
        <v>263</v>
      </c>
      <c r="C7" s="27" t="s">
        <v>265</v>
      </c>
      <c r="D7" s="4"/>
      <c r="E7" s="22" t="s">
        <v>17</v>
      </c>
      <c r="F7" s="23"/>
      <c r="G7" s="35" t="s">
        <v>266</v>
      </c>
      <c r="H7" s="20"/>
      <c r="I7" s="3"/>
      <c r="J7" s="24"/>
      <c r="M7" s="109"/>
    </row>
    <row r="8" spans="1:13" x14ac:dyDescent="0.3">
      <c r="A8" s="35" t="s">
        <v>306</v>
      </c>
      <c r="B8" s="180" t="s">
        <v>281</v>
      </c>
      <c r="C8" s="25"/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x14ac:dyDescent="0.3">
      <c r="A9" s="35" t="s">
        <v>260</v>
      </c>
      <c r="B9" s="176"/>
      <c r="C9" s="16"/>
      <c r="D9" s="4"/>
      <c r="E9" s="3"/>
      <c r="F9" s="3"/>
      <c r="G9" s="4"/>
      <c r="H9" s="4"/>
      <c r="I9" s="46" t="s">
        <v>23</v>
      </c>
      <c r="J9" s="3" t="s">
        <v>26</v>
      </c>
      <c r="M9" s="109"/>
    </row>
    <row r="10" spans="1:13" x14ac:dyDescent="0.3">
      <c r="A10" s="16" t="s">
        <v>261</v>
      </c>
      <c r="B10" s="177"/>
      <c r="C10" s="176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x14ac:dyDescent="0.3">
      <c r="A11" s="35" t="s">
        <v>286</v>
      </c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x14ac:dyDescent="0.3">
      <c r="A12" s="4"/>
      <c r="B12" s="16"/>
      <c r="C12" s="25"/>
      <c r="D12" s="3"/>
      <c r="E12" s="18"/>
      <c r="G12" s="3"/>
      <c r="H12" s="20"/>
      <c r="I12" s="3"/>
      <c r="J12" s="16"/>
      <c r="M12" s="109"/>
    </row>
    <row r="13" spans="1:13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x14ac:dyDescent="0.3">
      <c r="A17" s="3" t="s">
        <v>35</v>
      </c>
      <c r="B17" s="3"/>
      <c r="C17" s="46" t="s">
        <v>60</v>
      </c>
      <c r="D17" s="46" t="s">
        <v>37</v>
      </c>
      <c r="E17" s="57" t="s">
        <v>107</v>
      </c>
      <c r="F17" s="35" t="s">
        <v>307</v>
      </c>
      <c r="G17" s="106" t="s">
        <v>101</v>
      </c>
      <c r="H17" s="179" t="s">
        <v>38</v>
      </c>
      <c r="I17" s="27" t="s">
        <v>181</v>
      </c>
      <c r="J17" s="3"/>
    </row>
    <row r="18" spans="1:10" x14ac:dyDescent="0.3">
      <c r="A18" s="3" t="s">
        <v>39</v>
      </c>
      <c r="B18" s="3"/>
      <c r="C18" s="57" t="s">
        <v>254</v>
      </c>
      <c r="D18" s="46" t="s">
        <v>40</v>
      </c>
      <c r="E18" s="57" t="s">
        <v>256</v>
      </c>
      <c r="F18" s="35" t="s">
        <v>268</v>
      </c>
      <c r="G18" s="3"/>
      <c r="H18" s="16"/>
      <c r="I18" s="48"/>
      <c r="J18" s="3"/>
    </row>
    <row r="19" spans="1:10" x14ac:dyDescent="0.3">
      <c r="A19" s="3" t="s">
        <v>41</v>
      </c>
      <c r="B19" s="3"/>
      <c r="C19" s="18"/>
      <c r="D19" s="46" t="s">
        <v>42</v>
      </c>
      <c r="E19" s="32" t="s">
        <v>108</v>
      </c>
      <c r="F19" s="56" t="s">
        <v>308</v>
      </c>
      <c r="G19" s="3"/>
      <c r="H19" s="100" t="s">
        <v>54</v>
      </c>
      <c r="I19" s="16"/>
      <c r="J19" s="3"/>
    </row>
    <row r="20" spans="1:10" x14ac:dyDescent="0.3">
      <c r="A20" s="3" t="s">
        <v>44</v>
      </c>
      <c r="B20" s="3"/>
      <c r="C20" s="27"/>
      <c r="D20" s="57" t="s">
        <v>124</v>
      </c>
      <c r="E20" s="32" t="s">
        <v>99</v>
      </c>
      <c r="F20" s="35" t="s">
        <v>309</v>
      </c>
      <c r="G20" s="3"/>
      <c r="H20" s="100" t="s">
        <v>50</v>
      </c>
      <c r="I20" s="100"/>
      <c r="J20" s="3"/>
    </row>
    <row r="21" spans="1:10" x14ac:dyDescent="0.3">
      <c r="A21" s="21"/>
      <c r="B21" s="3"/>
      <c r="C21" s="16"/>
      <c r="D21" s="16" t="s">
        <v>36</v>
      </c>
      <c r="E21" s="57" t="s">
        <v>125</v>
      </c>
      <c r="F21" s="35" t="s">
        <v>310</v>
      </c>
      <c r="G21" s="3"/>
      <c r="H21" s="16" t="s">
        <v>47</v>
      </c>
      <c r="I21" s="21"/>
      <c r="J21" s="3"/>
    </row>
    <row r="22" spans="1:10" x14ac:dyDescent="0.3">
      <c r="A22" s="3"/>
      <c r="B22" s="33"/>
      <c r="C22" s="34" t="s">
        <v>48</v>
      </c>
      <c r="D22" s="16" t="s">
        <v>51</v>
      </c>
      <c r="E22" s="132" t="s">
        <v>23</v>
      </c>
      <c r="F22" s="56" t="s">
        <v>183</v>
      </c>
      <c r="G22" s="3"/>
      <c r="H22" s="16" t="s">
        <v>76</v>
      </c>
      <c r="I22" s="21"/>
      <c r="J22" s="3"/>
    </row>
    <row r="23" spans="1:10" x14ac:dyDescent="0.3">
      <c r="A23" s="3"/>
      <c r="B23" s="35"/>
      <c r="C23" s="178" t="s">
        <v>297</v>
      </c>
      <c r="D23" s="57" t="s">
        <v>304</v>
      </c>
      <c r="E23" s="168" t="s">
        <v>305</v>
      </c>
      <c r="F23" s="56" t="s">
        <v>311</v>
      </c>
      <c r="G23" s="3"/>
      <c r="H23" s="3" t="s">
        <v>53</v>
      </c>
      <c r="I23" s="3"/>
      <c r="J23" s="3"/>
    </row>
    <row r="24" spans="1:10" x14ac:dyDescent="0.3">
      <c r="A24" s="3"/>
      <c r="B24" s="36"/>
      <c r="C24" s="36"/>
      <c r="D24" s="18"/>
      <c r="E24" s="132"/>
      <c r="F24" s="57" t="s">
        <v>112</v>
      </c>
      <c r="G24" s="3"/>
      <c r="H24" s="16" t="s">
        <v>52</v>
      </c>
      <c r="I24" s="21"/>
      <c r="J24" s="3"/>
    </row>
    <row r="25" spans="1:10" x14ac:dyDescent="0.3">
      <c r="A25" s="3"/>
      <c r="B25" s="29"/>
      <c r="C25" s="29"/>
      <c r="D25" s="19"/>
      <c r="E25" s="47"/>
      <c r="F25" s="169"/>
      <c r="G25" s="3"/>
      <c r="H25" s="16"/>
      <c r="I25" s="116"/>
      <c r="J25" s="3"/>
    </row>
    <row r="26" spans="1:10" x14ac:dyDescent="0.3">
      <c r="A26" s="3"/>
      <c r="B26" s="3"/>
      <c r="C26" s="3"/>
      <c r="D26" s="3"/>
      <c r="E26" s="127"/>
      <c r="F26" s="16" t="s">
        <v>113</v>
      </c>
      <c r="G26" s="3"/>
      <c r="H26" s="100"/>
      <c r="I26" s="116"/>
      <c r="J26" s="3"/>
    </row>
    <row r="27" spans="1:10" x14ac:dyDescent="0.3">
      <c r="A27" s="3"/>
      <c r="B27" s="3"/>
      <c r="C27" s="3"/>
      <c r="D27" s="19"/>
      <c r="E27" s="127"/>
      <c r="F27" s="16" t="s">
        <v>312</v>
      </c>
      <c r="G27" s="3"/>
      <c r="H27" s="58"/>
      <c r="I27" s="3"/>
      <c r="J27" s="3"/>
    </row>
    <row r="28" spans="1:10" x14ac:dyDescent="0.3">
      <c r="A28" s="3"/>
      <c r="B28" s="3"/>
      <c r="C28" s="3"/>
      <c r="D28" s="110"/>
      <c r="E28" s="37"/>
      <c r="F28" s="16" t="s">
        <v>313</v>
      </c>
      <c r="G28" s="3"/>
      <c r="H28" s="3"/>
      <c r="I28" s="3"/>
      <c r="J28" s="3"/>
    </row>
    <row r="29" spans="1:10" x14ac:dyDescent="0.3">
      <c r="A29" s="38" t="s">
        <v>56</v>
      </c>
      <c r="B29" s="17"/>
      <c r="C29" s="3"/>
      <c r="D29" s="110"/>
      <c r="E29" s="39" t="s">
        <v>57</v>
      </c>
      <c r="F29" s="16" t="s">
        <v>314</v>
      </c>
      <c r="G29" s="3"/>
      <c r="H29" s="3"/>
      <c r="I29" s="3"/>
      <c r="J29" s="3"/>
    </row>
    <row r="30" spans="1:10" x14ac:dyDescent="0.3">
      <c r="A30" s="57" t="s">
        <v>341</v>
      </c>
      <c r="B30" s="17"/>
      <c r="C30" s="3"/>
      <c r="D30" s="110"/>
      <c r="E30" s="32" t="s">
        <v>111</v>
      </c>
      <c r="F30" s="57" t="s">
        <v>315</v>
      </c>
      <c r="G30" s="3"/>
      <c r="H30" s="3"/>
      <c r="I30" s="3"/>
      <c r="J30" s="3"/>
    </row>
    <row r="31" spans="1:10" x14ac:dyDescent="0.3">
      <c r="A31" s="3" t="s">
        <v>59</v>
      </c>
      <c r="B31" s="3"/>
      <c r="C31" s="3"/>
      <c r="D31" s="110"/>
      <c r="E31" s="57" t="s">
        <v>110</v>
      </c>
      <c r="F31" s="57" t="s">
        <v>316</v>
      </c>
      <c r="G31" s="3"/>
      <c r="H31" s="3"/>
      <c r="I31" s="3"/>
      <c r="J31" s="3"/>
    </row>
    <row r="32" spans="1:10" x14ac:dyDescent="0.3">
      <c r="A32" s="3"/>
      <c r="B32" s="40"/>
      <c r="C32" s="16"/>
      <c r="D32" s="110"/>
      <c r="E32" s="132" t="s">
        <v>49</v>
      </c>
      <c r="F32" s="56" t="s">
        <v>317</v>
      </c>
      <c r="G32" s="3"/>
      <c r="H32" s="3"/>
      <c r="I32" s="3"/>
      <c r="J32" s="3"/>
    </row>
    <row r="33" spans="1:10" x14ac:dyDescent="0.3">
      <c r="A33" s="3"/>
      <c r="B33" s="40"/>
      <c r="C33" s="16"/>
      <c r="D33" s="110"/>
      <c r="E33" s="41"/>
      <c r="F33" s="57" t="s">
        <v>160</v>
      </c>
      <c r="G33" s="3"/>
      <c r="H33" s="3"/>
      <c r="I33" s="3"/>
      <c r="J33" s="3"/>
    </row>
    <row r="34" spans="1:10" x14ac:dyDescent="0.3">
      <c r="A34" s="3"/>
      <c r="B34" s="40"/>
      <c r="C34" s="16"/>
      <c r="D34" s="110"/>
      <c r="E34" s="15"/>
      <c r="F34" s="57" t="s">
        <v>244</v>
      </c>
      <c r="G34" s="3"/>
      <c r="H34" s="3"/>
      <c r="I34" s="3"/>
      <c r="J34" s="3"/>
    </row>
    <row r="35" spans="1:10" x14ac:dyDescent="0.3">
      <c r="A35" s="3"/>
      <c r="B35" s="40"/>
      <c r="C35" s="16"/>
      <c r="D35" s="110"/>
      <c r="E35" s="15"/>
      <c r="F35" s="170" t="s">
        <v>262</v>
      </c>
      <c r="G35" s="3"/>
      <c r="H35" s="3"/>
      <c r="I35" s="3"/>
      <c r="J35" s="3"/>
    </row>
    <row r="36" spans="1:10" x14ac:dyDescent="0.3">
      <c r="A36" s="3"/>
      <c r="B36" s="40"/>
      <c r="C36" s="40"/>
      <c r="D36" s="110"/>
      <c r="E36" s="32"/>
      <c r="F36" s="27" t="s">
        <v>264</v>
      </c>
      <c r="G36" s="3"/>
      <c r="H36" s="3"/>
      <c r="I36" s="3"/>
      <c r="J36" s="3"/>
    </row>
    <row r="37" spans="1:10" x14ac:dyDescent="0.3">
      <c r="A37" s="3"/>
      <c r="B37" s="40"/>
      <c r="C37" s="40"/>
      <c r="D37" s="3"/>
      <c r="E37" s="42"/>
      <c r="F37" s="27" t="s">
        <v>318</v>
      </c>
      <c r="G37" s="3"/>
      <c r="H37" s="3"/>
      <c r="I37" s="3"/>
      <c r="J37" s="3"/>
    </row>
    <row r="38" spans="1:10" x14ac:dyDescent="0.3">
      <c r="A38" s="3"/>
      <c r="B38" s="40"/>
      <c r="C38" s="43"/>
      <c r="D38" s="3"/>
      <c r="E38" s="42"/>
      <c r="F38" s="171" t="s">
        <v>280</v>
      </c>
      <c r="G38" s="3"/>
      <c r="H38" s="3"/>
      <c r="I38" s="3"/>
      <c r="J38" s="3"/>
    </row>
    <row r="39" spans="1:10" x14ac:dyDescent="0.3">
      <c r="A39" s="3"/>
      <c r="B39" s="40"/>
      <c r="C39" s="43"/>
      <c r="D39" s="3"/>
      <c r="E39" s="41"/>
      <c r="F39" s="181" t="s">
        <v>319</v>
      </c>
      <c r="G39" s="3"/>
      <c r="H39" s="3"/>
      <c r="I39" s="3"/>
      <c r="J39" s="3"/>
    </row>
    <row r="40" spans="1:10" x14ac:dyDescent="0.3">
      <c r="A40" s="3"/>
      <c r="B40" s="40"/>
      <c r="C40" s="43"/>
      <c r="D40" s="3"/>
      <c r="E40" s="32"/>
      <c r="F40" s="57" t="s">
        <v>320</v>
      </c>
      <c r="G40" s="3"/>
      <c r="H40" s="3"/>
      <c r="I40" s="3"/>
      <c r="J40" s="3"/>
    </row>
    <row r="41" spans="1:10" x14ac:dyDescent="0.3">
      <c r="A41" s="3"/>
      <c r="B41" s="40"/>
      <c r="C41" s="43"/>
      <c r="D41" s="3"/>
      <c r="E41" s="15"/>
      <c r="F41" s="172" t="s">
        <v>321</v>
      </c>
      <c r="G41" s="3"/>
      <c r="H41" s="3"/>
      <c r="I41" s="3"/>
      <c r="J41" s="3"/>
    </row>
    <row r="42" spans="1:10" x14ac:dyDescent="0.3">
      <c r="A42" s="3"/>
      <c r="B42" s="40"/>
      <c r="C42" s="40"/>
      <c r="D42" s="17"/>
      <c r="E42" s="44"/>
      <c r="F42" s="169"/>
      <c r="G42" s="3"/>
      <c r="H42" s="3"/>
      <c r="I42" s="3"/>
      <c r="J42" s="3"/>
    </row>
    <row r="43" spans="1:10" x14ac:dyDescent="0.3">
      <c r="A43" s="3"/>
      <c r="B43" s="40"/>
      <c r="C43" s="40"/>
      <c r="D43" s="3"/>
      <c r="E43" s="44"/>
      <c r="F43" s="35" t="s">
        <v>340</v>
      </c>
      <c r="G43" s="3"/>
      <c r="H43" s="3"/>
      <c r="I43" s="3"/>
      <c r="J43" s="3"/>
    </row>
    <row r="44" spans="1:10" x14ac:dyDescent="0.3">
      <c r="A44" s="3"/>
      <c r="B44" s="3"/>
      <c r="C44" s="3"/>
      <c r="D44" s="45"/>
      <c r="E44" s="15"/>
      <c r="F44" s="35" t="s">
        <v>323</v>
      </c>
      <c r="G44" s="3"/>
      <c r="H44" s="3"/>
      <c r="I44" s="3"/>
      <c r="J44" s="3"/>
    </row>
    <row r="45" spans="1:10" x14ac:dyDescent="0.3">
      <c r="A45" s="3"/>
      <c r="B45" s="3"/>
      <c r="C45" s="3"/>
      <c r="D45" s="45"/>
      <c r="E45" s="15"/>
      <c r="F45" s="35" t="s">
        <v>324</v>
      </c>
      <c r="G45" s="3"/>
      <c r="H45" s="3"/>
      <c r="I45" s="3"/>
      <c r="J45" s="3"/>
    </row>
    <row r="46" spans="1:10" x14ac:dyDescent="0.3">
      <c r="A46" s="3"/>
      <c r="B46" s="3"/>
      <c r="C46" s="3"/>
      <c r="D46" s="16"/>
      <c r="E46" s="15"/>
      <c r="F46" s="173" t="s">
        <v>325</v>
      </c>
      <c r="H46" s="3"/>
      <c r="I46" s="3"/>
      <c r="J46" s="3"/>
    </row>
    <row r="47" spans="1:10" x14ac:dyDescent="0.3">
      <c r="A47" s="46"/>
      <c r="B47" s="46"/>
      <c r="C47" s="46"/>
      <c r="D47" s="46"/>
      <c r="E47" s="47"/>
      <c r="F47" s="16" t="s">
        <v>326</v>
      </c>
      <c r="G47" s="3"/>
      <c r="H47" s="3"/>
      <c r="I47" s="3"/>
      <c r="J47" s="3"/>
    </row>
    <row r="48" spans="1:10" x14ac:dyDescent="0.3">
      <c r="A48" s="46"/>
      <c r="B48" s="46"/>
      <c r="C48" s="46"/>
      <c r="D48" s="46"/>
      <c r="E48" s="47"/>
      <c r="F48" s="172" t="s">
        <v>327</v>
      </c>
      <c r="G48" s="3"/>
      <c r="H48" s="3"/>
      <c r="I48" s="3"/>
      <c r="J48" s="3"/>
    </row>
    <row r="49" spans="1:10" x14ac:dyDescent="0.3">
      <c r="A49" s="46"/>
      <c r="B49" s="46"/>
      <c r="C49" s="46"/>
      <c r="D49" s="46"/>
      <c r="E49" s="15"/>
      <c r="F49" s="56" t="s">
        <v>328</v>
      </c>
      <c r="G49" s="110"/>
      <c r="H49" s="3"/>
      <c r="I49" s="3"/>
      <c r="J49" s="3"/>
    </row>
    <row r="50" spans="1:10" x14ac:dyDescent="0.3">
      <c r="A50" s="46"/>
      <c r="B50" s="46"/>
      <c r="C50" s="46"/>
      <c r="D50" s="46"/>
      <c r="E50" s="15"/>
      <c r="F50" s="174" t="s">
        <v>232</v>
      </c>
      <c r="G50" s="3"/>
      <c r="H50" s="3"/>
      <c r="I50" s="3"/>
      <c r="J50" s="3"/>
    </row>
    <row r="51" spans="1:10" x14ac:dyDescent="0.3">
      <c r="A51" s="46"/>
      <c r="B51" s="46"/>
      <c r="C51" s="46"/>
      <c r="D51" s="46"/>
      <c r="E51" s="15"/>
      <c r="F51" s="57" t="s">
        <v>329</v>
      </c>
      <c r="G51" s="3"/>
      <c r="H51" s="3"/>
      <c r="I51" s="3"/>
      <c r="J51" s="3"/>
    </row>
    <row r="52" spans="1:10" x14ac:dyDescent="0.3">
      <c r="A52" s="46"/>
      <c r="B52" s="46"/>
      <c r="C52" s="46"/>
      <c r="D52" s="46"/>
      <c r="E52" s="15"/>
      <c r="F52" s="57" t="s">
        <v>186</v>
      </c>
      <c r="G52" s="3"/>
      <c r="H52" s="21"/>
      <c r="I52" s="65"/>
      <c r="J52" s="3"/>
    </row>
    <row r="53" spans="1:10" x14ac:dyDescent="0.3">
      <c r="A53" s="46"/>
      <c r="B53" s="46"/>
      <c r="C53" s="46"/>
      <c r="D53" s="46"/>
      <c r="E53" s="15"/>
      <c r="F53" s="169"/>
      <c r="G53" s="110"/>
      <c r="H53" s="21"/>
      <c r="I53" s="65"/>
      <c r="J53" s="3"/>
    </row>
    <row r="54" spans="1:10" x14ac:dyDescent="0.3">
      <c r="A54" s="46"/>
      <c r="B54" s="46"/>
      <c r="C54" s="46"/>
      <c r="D54" s="46"/>
      <c r="E54" s="47"/>
      <c r="F54" s="174" t="s">
        <v>115</v>
      </c>
      <c r="G54" s="3"/>
      <c r="H54" s="20"/>
      <c r="I54" s="55"/>
      <c r="J54" s="3"/>
    </row>
    <row r="55" spans="1:10" x14ac:dyDescent="0.3">
      <c r="A55" s="46"/>
      <c r="B55" s="46"/>
      <c r="C55" s="46"/>
      <c r="D55" s="3"/>
      <c r="E55" s="47"/>
      <c r="F55" s="27" t="s">
        <v>330</v>
      </c>
      <c r="G55" s="3"/>
      <c r="H55" s="20"/>
      <c r="I55" s="55"/>
      <c r="J55" s="3"/>
    </row>
    <row r="56" spans="1:10" x14ac:dyDescent="0.3">
      <c r="A56" s="46"/>
      <c r="B56" s="46"/>
      <c r="C56" s="46"/>
      <c r="D56" s="46"/>
      <c r="E56" s="47"/>
      <c r="F56" s="27" t="s">
        <v>331</v>
      </c>
      <c r="G56" s="3"/>
      <c r="H56" s="23"/>
      <c r="I56" s="55"/>
      <c r="J56" s="3"/>
    </row>
    <row r="57" spans="1:10" x14ac:dyDescent="0.3">
      <c r="A57" s="46"/>
      <c r="B57" s="46"/>
      <c r="C57" s="46"/>
      <c r="D57" s="46"/>
      <c r="E57" s="15"/>
      <c r="F57" s="59" t="s">
        <v>332</v>
      </c>
      <c r="G57" s="3"/>
      <c r="H57" s="20"/>
      <c r="I57" s="55"/>
      <c r="J57" s="3"/>
    </row>
    <row r="58" spans="1:10" x14ac:dyDescent="0.3">
      <c r="A58" s="46"/>
      <c r="B58" s="46"/>
      <c r="C58" s="46"/>
      <c r="D58" s="46"/>
      <c r="E58" s="15"/>
      <c r="F58" s="59" t="s">
        <v>333</v>
      </c>
      <c r="G58" s="16"/>
      <c r="H58" s="20"/>
      <c r="I58" s="55"/>
      <c r="J58" s="3"/>
    </row>
    <row r="59" spans="1:10" x14ac:dyDescent="0.3">
      <c r="A59" s="46"/>
      <c r="B59" s="46"/>
      <c r="C59" s="46"/>
      <c r="D59" s="46"/>
      <c r="E59" s="15"/>
      <c r="F59" s="175" t="s">
        <v>235</v>
      </c>
      <c r="G59" s="3"/>
      <c r="H59" s="3"/>
      <c r="I59" s="3"/>
      <c r="J59" s="3"/>
    </row>
    <row r="60" spans="1:10" x14ac:dyDescent="0.3">
      <c r="A60" s="46"/>
      <c r="B60" s="46"/>
      <c r="C60" s="46"/>
      <c r="D60" s="46"/>
      <c r="E60" s="15"/>
      <c r="F60" s="16" t="s">
        <v>335</v>
      </c>
      <c r="G60" s="3"/>
      <c r="H60" s="3"/>
      <c r="I60" s="3"/>
      <c r="J60" s="3"/>
    </row>
    <row r="61" spans="1:10" x14ac:dyDescent="0.3">
      <c r="A61" s="3"/>
      <c r="B61" s="46"/>
      <c r="C61" s="46"/>
      <c r="D61" s="46"/>
      <c r="E61" s="15"/>
      <c r="F61" s="25" t="s">
        <v>336</v>
      </c>
      <c r="G61" s="3"/>
      <c r="H61" s="3"/>
      <c r="I61" s="3"/>
      <c r="J61" s="3"/>
    </row>
    <row r="62" spans="1:10" x14ac:dyDescent="0.3">
      <c r="A62" s="3"/>
      <c r="B62" s="55"/>
      <c r="C62" s="46"/>
      <c r="D62" s="46"/>
      <c r="E62" s="15"/>
      <c r="F62" s="25" t="s">
        <v>337</v>
      </c>
      <c r="G62" s="3"/>
      <c r="H62" s="3"/>
      <c r="I62" s="3"/>
      <c r="J62" s="3"/>
    </row>
    <row r="63" spans="1:10" x14ac:dyDescent="0.3">
      <c r="A63" s="46"/>
      <c r="B63" s="46"/>
      <c r="C63" s="46"/>
      <c r="D63" s="46"/>
      <c r="E63" s="47"/>
      <c r="F63" s="169"/>
      <c r="G63" s="52"/>
      <c r="H63" s="3"/>
      <c r="I63" s="3"/>
      <c r="J63" s="3"/>
    </row>
    <row r="64" spans="1:10" x14ac:dyDescent="0.3">
      <c r="A64" s="46"/>
      <c r="B64" s="46"/>
      <c r="C64" s="46"/>
      <c r="D64" s="46"/>
      <c r="E64" s="47"/>
      <c r="F64" s="25" t="s">
        <v>338</v>
      </c>
      <c r="G64" s="52"/>
      <c r="H64" s="3"/>
      <c r="I64" s="3"/>
      <c r="J64" s="3"/>
    </row>
    <row r="65" spans="1:10" x14ac:dyDescent="0.3">
      <c r="A65" s="46"/>
      <c r="B65" s="46"/>
      <c r="C65" s="46"/>
      <c r="D65" s="46"/>
      <c r="E65" s="47"/>
      <c r="F65" s="175" t="s">
        <v>116</v>
      </c>
      <c r="G65" s="52"/>
      <c r="H65" s="3"/>
      <c r="I65" s="3"/>
      <c r="J65" s="3"/>
    </row>
    <row r="66" spans="1:10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138"/>
      <c r="B70" s="21" t="s">
        <v>298</v>
      </c>
      <c r="C70" s="166" t="s">
        <v>339</v>
      </c>
      <c r="D70" s="16"/>
      <c r="E70" s="21" t="s">
        <v>104</v>
      </c>
      <c r="F70" s="55" t="s">
        <v>69</v>
      </c>
      <c r="G70" s="66"/>
      <c r="H70" s="3" t="s">
        <v>70</v>
      </c>
      <c r="I70" s="3">
        <f>SUM(I69-(I71+I72+I73))</f>
        <v>112</v>
      </c>
      <c r="J70" s="3"/>
    </row>
    <row r="71" spans="1:10" x14ac:dyDescent="0.3">
      <c r="A71" s="16"/>
      <c r="B71" s="21" t="s">
        <v>129</v>
      </c>
      <c r="C71" s="167"/>
      <c r="D71" s="16"/>
      <c r="E71" s="23" t="s">
        <v>94</v>
      </c>
      <c r="F71" s="55" t="s">
        <v>71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74"/>
      <c r="C72" s="73"/>
      <c r="D72" s="16"/>
      <c r="E72" s="23" t="s">
        <v>109</v>
      </c>
      <c r="F72" s="55" t="s">
        <v>73</v>
      </c>
      <c r="G72" s="66"/>
      <c r="H72" s="68" t="s">
        <v>74</v>
      </c>
      <c r="I72" s="69">
        <f>A97+E97</f>
        <v>6</v>
      </c>
      <c r="J72" s="3"/>
    </row>
    <row r="73" spans="1:10" x14ac:dyDescent="0.3">
      <c r="A73" s="27"/>
      <c r="B73" s="75"/>
      <c r="C73" s="2"/>
      <c r="D73" s="6"/>
      <c r="E73" s="23" t="s">
        <v>105</v>
      </c>
      <c r="F73" s="55" t="s">
        <v>255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11"/>
      <c r="C74" s="2"/>
      <c r="D74" s="6"/>
      <c r="E74" s="71" t="s">
        <v>187</v>
      </c>
      <c r="F74" s="55" t="s">
        <v>43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55"/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2"/>
      <c r="C76" s="2"/>
      <c r="D76" s="6"/>
      <c r="E76" s="23"/>
      <c r="F76" s="3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4"/>
      <c r="D80" s="78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55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3" t="s">
        <v>55</v>
      </c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55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3">
        <v>6</v>
      </c>
      <c r="F96" s="20" t="s">
        <v>65</v>
      </c>
      <c r="G96" s="3"/>
      <c r="H96" s="55"/>
      <c r="I96" s="55"/>
      <c r="J96" s="87"/>
    </row>
    <row r="97" spans="1:10" x14ac:dyDescent="0.3">
      <c r="A97" s="98">
        <v>1</v>
      </c>
      <c r="B97" s="45"/>
      <c r="C97" s="95"/>
      <c r="D97" s="3"/>
      <c r="E97" s="99">
        <v>5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conditionalFormatting sqref="C92:C99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F4DD-7898-4636-83A7-CBAE2B281809}">
  <dimension ref="A1:M99"/>
  <sheetViews>
    <sheetView topLeftCell="A46" zoomScale="90" zoomScaleNormal="90" workbookViewId="0">
      <selection activeCell="A46"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ht="12.6" customHeight="1" x14ac:dyDescent="0.3">
      <c r="A2" s="16" t="s">
        <v>140</v>
      </c>
      <c r="B2" s="105" t="s">
        <v>343</v>
      </c>
      <c r="C2" s="16" t="s">
        <v>102</v>
      </c>
      <c r="D2" s="114" t="s">
        <v>342</v>
      </c>
      <c r="E2" s="57" t="s">
        <v>175</v>
      </c>
      <c r="F2" s="16" t="s">
        <v>169</v>
      </c>
      <c r="G2" s="60" t="s">
        <v>202</v>
      </c>
      <c r="H2" s="18" t="s">
        <v>10</v>
      </c>
      <c r="I2" s="3" t="s">
        <v>11</v>
      </c>
      <c r="J2" s="18" t="s">
        <v>122</v>
      </c>
      <c r="M2" s="109"/>
    </row>
    <row r="3" spans="1:13" ht="12.6" customHeight="1" x14ac:dyDescent="0.3">
      <c r="A3" s="60" t="s">
        <v>190</v>
      </c>
      <c r="B3" s="114" t="s">
        <v>191</v>
      </c>
      <c r="C3" s="105" t="s">
        <v>344</v>
      </c>
      <c r="D3" s="3" t="s">
        <v>188</v>
      </c>
      <c r="E3" s="16"/>
      <c r="F3" s="3" t="s">
        <v>12</v>
      </c>
      <c r="G3" s="16"/>
      <c r="H3" s="20"/>
      <c r="I3" s="46" t="s">
        <v>13</v>
      </c>
      <c r="J3" s="18"/>
      <c r="M3" s="109"/>
    </row>
    <row r="4" spans="1:13" ht="12.6" customHeight="1" x14ac:dyDescent="0.3">
      <c r="A4" s="16" t="s">
        <v>192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ht="12.6" customHeight="1" x14ac:dyDescent="0.3">
      <c r="A5" s="16"/>
      <c r="B5" s="18" t="s">
        <v>75</v>
      </c>
      <c r="C5" s="18" t="s">
        <v>194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ht="12.6" customHeight="1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ht="12.6" customHeight="1" x14ac:dyDescent="0.3">
      <c r="A7" s="16" t="s">
        <v>210</v>
      </c>
      <c r="B7" s="16" t="s">
        <v>349</v>
      </c>
      <c r="C7" s="16" t="s">
        <v>182</v>
      </c>
      <c r="D7" s="4"/>
      <c r="E7" s="22" t="s">
        <v>17</v>
      </c>
      <c r="F7" s="23"/>
      <c r="G7" s="35" t="s">
        <v>203</v>
      </c>
      <c r="H7" s="20"/>
      <c r="I7" s="3"/>
      <c r="J7" s="24"/>
      <c r="M7" s="109"/>
    </row>
    <row r="8" spans="1:13" ht="12.6" customHeight="1" x14ac:dyDescent="0.3">
      <c r="A8" s="114" t="s">
        <v>280</v>
      </c>
      <c r="B8" s="186"/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ht="12.6" customHeight="1" x14ac:dyDescent="0.3">
      <c r="A9" s="25" t="s">
        <v>127</v>
      </c>
      <c r="B9" s="186"/>
      <c r="C9" s="186"/>
      <c r="D9" s="4"/>
      <c r="E9" s="3"/>
      <c r="F9" s="3"/>
      <c r="G9" s="4"/>
      <c r="H9" s="4"/>
      <c r="I9" s="46" t="s">
        <v>23</v>
      </c>
      <c r="J9" s="168" t="s">
        <v>305</v>
      </c>
      <c r="M9" s="109"/>
    </row>
    <row r="10" spans="1:13" ht="12.6" customHeight="1" x14ac:dyDescent="0.3">
      <c r="A10" s="16" t="s">
        <v>126</v>
      </c>
      <c r="B10" s="115"/>
      <c r="C10" s="186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ht="12.6" customHeight="1" x14ac:dyDescent="0.3">
      <c r="A11" s="35"/>
      <c r="B11" s="27"/>
      <c r="C11" s="3"/>
      <c r="D11" s="28"/>
      <c r="E11" s="16" t="s">
        <v>172</v>
      </c>
      <c r="F11" s="114" t="s">
        <v>299</v>
      </c>
      <c r="G11" s="3"/>
      <c r="H11" s="20"/>
      <c r="I11" s="19"/>
      <c r="J11" s="16"/>
      <c r="M11" s="109"/>
    </row>
    <row r="12" spans="1:13" ht="12.6" customHeight="1" x14ac:dyDescent="0.3">
      <c r="A12" s="4"/>
      <c r="B12" s="16"/>
      <c r="C12" s="25"/>
      <c r="D12" s="3"/>
      <c r="E12" s="18"/>
      <c r="F12" s="16" t="s">
        <v>239</v>
      </c>
      <c r="G12" s="3"/>
      <c r="H12" s="20"/>
      <c r="I12" s="3"/>
      <c r="J12" s="16"/>
      <c r="M12" s="109"/>
    </row>
    <row r="13" spans="1:13" ht="12.6" customHeight="1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ht="12.6" customHeight="1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ht="12.6" customHeight="1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ht="12.6" customHeight="1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ht="12.6" customHeight="1" x14ac:dyDescent="0.3">
      <c r="A17" s="3" t="s">
        <v>35</v>
      </c>
      <c r="B17" s="3"/>
      <c r="C17" s="46" t="s">
        <v>51</v>
      </c>
      <c r="D17" s="46" t="s">
        <v>37</v>
      </c>
      <c r="E17" s="130" t="s">
        <v>195</v>
      </c>
      <c r="F17" s="16" t="s">
        <v>18</v>
      </c>
      <c r="G17" s="106" t="s">
        <v>101</v>
      </c>
      <c r="H17" s="179" t="s">
        <v>38</v>
      </c>
      <c r="I17" s="27" t="s">
        <v>181</v>
      </c>
      <c r="J17" s="3"/>
    </row>
    <row r="18" spans="1:10" ht="12.6" customHeight="1" x14ac:dyDescent="0.3">
      <c r="A18" s="3" t="s">
        <v>39</v>
      </c>
      <c r="B18" s="3"/>
      <c r="C18" s="168" t="s">
        <v>305</v>
      </c>
      <c r="D18" s="46" t="s">
        <v>40</v>
      </c>
      <c r="E18" s="130" t="s">
        <v>196</v>
      </c>
      <c r="F18" s="57" t="s">
        <v>346</v>
      </c>
      <c r="G18" s="3"/>
      <c r="H18" s="16"/>
      <c r="I18" s="48"/>
      <c r="J18" s="3"/>
    </row>
    <row r="19" spans="1:10" ht="12.6" customHeight="1" x14ac:dyDescent="0.3">
      <c r="A19" s="3" t="s">
        <v>41</v>
      </c>
      <c r="B19" s="3"/>
      <c r="C19" s="18"/>
      <c r="D19" s="46" t="s">
        <v>42</v>
      </c>
      <c r="E19" s="130" t="s">
        <v>125</v>
      </c>
      <c r="F19" s="16" t="s">
        <v>205</v>
      </c>
      <c r="G19" s="3"/>
      <c r="H19" s="16" t="s">
        <v>76</v>
      </c>
      <c r="I19" s="16"/>
      <c r="J19" s="3"/>
    </row>
    <row r="20" spans="1:10" ht="12.6" customHeight="1" x14ac:dyDescent="0.3">
      <c r="A20" s="3" t="s">
        <v>44</v>
      </c>
      <c r="B20" s="3"/>
      <c r="C20" s="27"/>
      <c r="D20" s="105" t="s">
        <v>124</v>
      </c>
      <c r="E20" s="168" t="s">
        <v>305</v>
      </c>
      <c r="F20" s="57" t="s">
        <v>206</v>
      </c>
      <c r="G20" s="3"/>
      <c r="H20" s="16" t="s">
        <v>43</v>
      </c>
      <c r="I20" s="100"/>
      <c r="J20" s="3"/>
    </row>
    <row r="21" spans="1:10" ht="12.6" customHeight="1" x14ac:dyDescent="0.3">
      <c r="A21" s="21"/>
      <c r="B21" s="3"/>
      <c r="C21" s="16"/>
      <c r="D21" s="105" t="s">
        <v>345</v>
      </c>
      <c r="E21" s="32" t="s">
        <v>99</v>
      </c>
      <c r="F21" s="57" t="s">
        <v>207</v>
      </c>
      <c r="G21" s="3"/>
      <c r="H21" s="16" t="s">
        <v>47</v>
      </c>
      <c r="I21" s="21"/>
      <c r="J21" s="3"/>
    </row>
    <row r="22" spans="1:10" ht="12.6" customHeight="1" x14ac:dyDescent="0.3">
      <c r="A22" s="3"/>
      <c r="B22" s="33"/>
      <c r="C22" s="34" t="s">
        <v>48</v>
      </c>
      <c r="D22" s="18" t="s">
        <v>174</v>
      </c>
      <c r="E22" s="32" t="s">
        <v>197</v>
      </c>
      <c r="F22" s="114" t="s">
        <v>300</v>
      </c>
      <c r="G22" s="3"/>
      <c r="H22" s="16" t="s">
        <v>52</v>
      </c>
      <c r="I22" s="21"/>
      <c r="J22" s="3"/>
    </row>
    <row r="23" spans="1:10" ht="12.6" customHeight="1" x14ac:dyDescent="0.3">
      <c r="A23" s="3"/>
      <c r="B23" s="35"/>
      <c r="C23" s="178" t="s">
        <v>297</v>
      </c>
      <c r="D23" s="19"/>
      <c r="E23" s="32" t="s">
        <v>198</v>
      </c>
      <c r="F23" s="25" t="s">
        <v>208</v>
      </c>
      <c r="G23" s="3"/>
      <c r="H23" s="3" t="s">
        <v>53</v>
      </c>
      <c r="I23" s="3"/>
      <c r="J23" s="3"/>
    </row>
    <row r="24" spans="1:10" ht="12.6" customHeight="1" x14ac:dyDescent="0.3">
      <c r="A24" s="3"/>
      <c r="B24" s="36"/>
      <c r="C24" s="36"/>
      <c r="D24" s="18"/>
      <c r="F24" s="25"/>
      <c r="G24" s="3"/>
      <c r="H24" s="3"/>
      <c r="I24" s="21"/>
      <c r="J24" s="3"/>
    </row>
    <row r="25" spans="1:10" ht="12.6" customHeight="1" x14ac:dyDescent="0.3">
      <c r="A25" s="3"/>
      <c r="B25" s="29"/>
      <c r="C25" s="29"/>
      <c r="D25" s="19"/>
      <c r="E25" s="47" t="s">
        <v>177</v>
      </c>
      <c r="F25" s="16" t="s">
        <v>209</v>
      </c>
      <c r="G25" s="3"/>
      <c r="H25" s="16"/>
      <c r="I25" s="116"/>
      <c r="J25" s="3"/>
    </row>
    <row r="26" spans="1:10" ht="12.6" customHeight="1" x14ac:dyDescent="0.3">
      <c r="A26" s="3"/>
      <c r="B26" s="3"/>
      <c r="C26" s="3"/>
      <c r="D26" s="3"/>
      <c r="E26" s="127"/>
      <c r="F26" s="16" t="s">
        <v>211</v>
      </c>
      <c r="G26" s="3"/>
      <c r="H26" s="16" t="s">
        <v>50</v>
      </c>
      <c r="I26" s="116"/>
      <c r="J26" s="3"/>
    </row>
    <row r="27" spans="1:10" ht="12.6" customHeight="1" x14ac:dyDescent="0.3">
      <c r="A27" s="3"/>
      <c r="B27" s="3"/>
      <c r="C27" s="3"/>
      <c r="D27" s="19"/>
      <c r="E27" s="127"/>
      <c r="F27" s="57" t="s">
        <v>212</v>
      </c>
      <c r="G27" s="3"/>
      <c r="H27" s="58"/>
      <c r="I27" s="3"/>
      <c r="J27" s="3"/>
    </row>
    <row r="28" spans="1:10" ht="12.6" customHeight="1" x14ac:dyDescent="0.3">
      <c r="A28" s="3"/>
      <c r="B28" s="3"/>
      <c r="C28" s="3"/>
      <c r="D28" s="110"/>
      <c r="E28" s="37"/>
      <c r="F28" s="16" t="s">
        <v>351</v>
      </c>
      <c r="G28" s="3"/>
      <c r="H28" s="3"/>
      <c r="I28" s="3"/>
      <c r="J28" s="3"/>
    </row>
    <row r="29" spans="1:10" ht="12.6" customHeight="1" x14ac:dyDescent="0.3">
      <c r="A29" s="38" t="s">
        <v>56</v>
      </c>
      <c r="B29" s="17"/>
      <c r="C29" s="3"/>
      <c r="D29" s="110"/>
      <c r="E29" s="39" t="s">
        <v>57</v>
      </c>
      <c r="F29" s="57" t="s">
        <v>213</v>
      </c>
      <c r="G29" s="3"/>
      <c r="H29" s="3"/>
      <c r="I29" s="3"/>
      <c r="J29" s="3"/>
    </row>
    <row r="30" spans="1:10" ht="12.6" customHeight="1" x14ac:dyDescent="0.3">
      <c r="A30" s="57" t="s">
        <v>341</v>
      </c>
      <c r="B30" s="17"/>
      <c r="C30" s="3"/>
      <c r="D30" s="110"/>
      <c r="E30" s="32" t="s">
        <v>200</v>
      </c>
      <c r="F30" s="57" t="s">
        <v>214</v>
      </c>
      <c r="G30" s="3"/>
      <c r="H30" s="3"/>
      <c r="I30" s="3"/>
      <c r="J30" s="3"/>
    </row>
    <row r="31" spans="1:10" ht="12.6" customHeight="1" x14ac:dyDescent="0.3">
      <c r="A31" s="3" t="s">
        <v>59</v>
      </c>
      <c r="B31" s="3"/>
      <c r="C31" s="3"/>
      <c r="D31" s="110"/>
      <c r="E31" s="130" t="s">
        <v>201</v>
      </c>
      <c r="F31" s="57" t="s">
        <v>244</v>
      </c>
      <c r="G31" s="3"/>
      <c r="H31" s="3"/>
      <c r="I31" s="3"/>
      <c r="J31" s="3"/>
    </row>
    <row r="32" spans="1:10" ht="12.6" customHeight="1" x14ac:dyDescent="0.3">
      <c r="A32" s="3"/>
      <c r="B32" s="40"/>
      <c r="C32" s="16"/>
      <c r="D32" s="110"/>
      <c r="E32" s="132" t="s">
        <v>60</v>
      </c>
      <c r="F32" s="101" t="s">
        <v>347</v>
      </c>
      <c r="G32" s="3"/>
      <c r="H32" s="3"/>
      <c r="I32" s="3"/>
      <c r="J32" s="3"/>
    </row>
    <row r="33" spans="1:10" ht="12.6" customHeight="1" x14ac:dyDescent="0.3">
      <c r="A33" s="3"/>
      <c r="B33" s="40"/>
      <c r="C33" s="16"/>
      <c r="D33" s="110"/>
      <c r="E33" s="41"/>
      <c r="F33" s="16" t="s">
        <v>217</v>
      </c>
      <c r="G33" s="3"/>
      <c r="H33" s="3"/>
      <c r="I33" s="3"/>
      <c r="J33" s="3"/>
    </row>
    <row r="34" spans="1:10" ht="12.6" customHeight="1" x14ac:dyDescent="0.3">
      <c r="A34" s="3"/>
      <c r="B34" s="40"/>
      <c r="C34" s="16"/>
      <c r="D34" s="110"/>
      <c r="E34" s="15"/>
      <c r="F34" s="16"/>
      <c r="G34" s="3"/>
      <c r="H34" s="3"/>
      <c r="I34" s="3"/>
      <c r="J34" s="3"/>
    </row>
    <row r="35" spans="1:10" ht="12.6" customHeight="1" x14ac:dyDescent="0.3">
      <c r="A35" s="3"/>
      <c r="B35" s="40"/>
      <c r="C35" s="16"/>
      <c r="D35" s="110"/>
      <c r="E35" s="15"/>
      <c r="F35" s="16" t="s">
        <v>149</v>
      </c>
      <c r="G35" s="3"/>
      <c r="H35" s="3"/>
      <c r="I35" s="3"/>
      <c r="J35" s="3"/>
    </row>
    <row r="36" spans="1:10" ht="12.6" customHeight="1" x14ac:dyDescent="0.3">
      <c r="A36" s="3"/>
      <c r="B36" s="40"/>
      <c r="C36" s="40"/>
      <c r="D36" s="110"/>
      <c r="E36" s="32"/>
      <c r="F36" s="114" t="s">
        <v>218</v>
      </c>
      <c r="G36" s="3"/>
      <c r="H36" s="3"/>
      <c r="I36" s="3"/>
      <c r="J36" s="3"/>
    </row>
    <row r="37" spans="1:10" ht="12.6" customHeight="1" x14ac:dyDescent="0.3">
      <c r="A37" s="3"/>
      <c r="B37" s="40"/>
      <c r="C37" s="40"/>
      <c r="D37" s="3"/>
      <c r="E37" s="42"/>
      <c r="F37" s="16" t="s">
        <v>131</v>
      </c>
      <c r="G37" s="3"/>
      <c r="H37" s="3"/>
      <c r="I37" s="3"/>
      <c r="J37" s="3"/>
    </row>
    <row r="38" spans="1:10" ht="12.6" customHeight="1" x14ac:dyDescent="0.3">
      <c r="A38" s="3"/>
      <c r="B38" s="40"/>
      <c r="C38" s="43"/>
      <c r="D38" s="3"/>
      <c r="E38" s="42"/>
      <c r="F38" s="59" t="s">
        <v>219</v>
      </c>
      <c r="G38" s="3"/>
      <c r="H38" s="3"/>
      <c r="I38" s="3"/>
      <c r="J38" s="3"/>
    </row>
    <row r="39" spans="1:10" ht="12.6" customHeight="1" x14ac:dyDescent="0.3">
      <c r="A39" s="3"/>
      <c r="B39" s="40"/>
      <c r="C39" s="43"/>
      <c r="D39" s="3"/>
      <c r="E39" s="41"/>
      <c r="F39" s="16" t="s">
        <v>220</v>
      </c>
      <c r="G39" s="3"/>
      <c r="H39" s="3"/>
      <c r="I39" s="3"/>
      <c r="J39" s="3"/>
    </row>
    <row r="40" spans="1:10" ht="12.6" customHeight="1" x14ac:dyDescent="0.3">
      <c r="A40" s="3"/>
      <c r="B40" s="40"/>
      <c r="C40" s="43"/>
      <c r="D40" s="3"/>
      <c r="E40" s="32"/>
      <c r="F40" s="59" t="s">
        <v>173</v>
      </c>
      <c r="G40" s="3"/>
      <c r="H40" s="3"/>
      <c r="I40" s="3"/>
      <c r="J40" s="3"/>
    </row>
    <row r="41" spans="1:10" ht="12.6" customHeight="1" x14ac:dyDescent="0.3">
      <c r="A41" s="3"/>
      <c r="B41" s="40"/>
      <c r="C41" s="43"/>
      <c r="D41" s="3"/>
      <c r="E41" s="15"/>
      <c r="F41" s="25" t="s">
        <v>150</v>
      </c>
      <c r="G41" s="3"/>
      <c r="H41" s="3"/>
      <c r="I41" s="3"/>
      <c r="J41" s="3"/>
    </row>
    <row r="42" spans="1:10" ht="12.6" customHeight="1" x14ac:dyDescent="0.3">
      <c r="A42" s="3"/>
      <c r="B42" s="40"/>
      <c r="C42" s="40"/>
      <c r="D42" s="17"/>
      <c r="E42" s="44"/>
      <c r="F42" s="16"/>
      <c r="G42" s="3"/>
      <c r="H42" s="3"/>
      <c r="I42" s="3"/>
      <c r="J42" s="3"/>
    </row>
    <row r="43" spans="1:10" ht="12.6" customHeight="1" x14ac:dyDescent="0.3">
      <c r="A43" s="3"/>
      <c r="B43" s="40"/>
      <c r="C43" s="40"/>
      <c r="D43" s="3"/>
      <c r="E43" s="44"/>
      <c r="F43" s="57" t="s">
        <v>223</v>
      </c>
      <c r="G43" s="3"/>
      <c r="H43" s="3"/>
      <c r="I43" s="3"/>
      <c r="J43" s="3"/>
    </row>
    <row r="44" spans="1:10" ht="12.6" customHeight="1" x14ac:dyDescent="0.3">
      <c r="A44" s="3"/>
      <c r="B44" s="3"/>
      <c r="C44" s="3"/>
      <c r="D44" s="45"/>
      <c r="E44" s="15"/>
      <c r="F44" s="16" t="s">
        <v>152</v>
      </c>
      <c r="G44" s="3"/>
      <c r="H44" s="3"/>
      <c r="I44" s="3"/>
      <c r="J44" s="3"/>
    </row>
    <row r="45" spans="1:10" ht="12.6" customHeight="1" x14ac:dyDescent="0.3">
      <c r="A45" s="3"/>
      <c r="B45" s="3"/>
      <c r="C45" s="3"/>
      <c r="D45" s="45"/>
      <c r="E45" s="15"/>
      <c r="F45" s="25" t="s">
        <v>225</v>
      </c>
      <c r="G45" s="3"/>
      <c r="H45" s="3"/>
      <c r="I45" s="3"/>
      <c r="J45" s="3"/>
    </row>
    <row r="46" spans="1:10" ht="12.6" customHeight="1" x14ac:dyDescent="0.3">
      <c r="A46" s="3"/>
      <c r="B46" s="3"/>
      <c r="C46" s="3"/>
      <c r="D46" s="16"/>
      <c r="E46" s="15"/>
      <c r="F46" s="59" t="s">
        <v>179</v>
      </c>
      <c r="H46" s="3"/>
      <c r="I46" s="3"/>
      <c r="J46" s="3"/>
    </row>
    <row r="47" spans="1:10" ht="12.6" customHeight="1" x14ac:dyDescent="0.3">
      <c r="A47" s="46"/>
      <c r="B47" s="46"/>
      <c r="C47" s="46"/>
      <c r="D47" s="46"/>
      <c r="E47" s="47"/>
      <c r="F47" s="16" t="s">
        <v>227</v>
      </c>
      <c r="G47" s="3"/>
      <c r="H47" s="3"/>
      <c r="I47" s="3"/>
      <c r="J47" s="3"/>
    </row>
    <row r="48" spans="1:10" ht="12.6" customHeight="1" x14ac:dyDescent="0.3">
      <c r="A48" s="46"/>
      <c r="B48" s="46"/>
      <c r="C48" s="46"/>
      <c r="D48" s="46"/>
      <c r="E48" s="47"/>
      <c r="F48" s="25" t="s">
        <v>228</v>
      </c>
      <c r="G48" s="3"/>
      <c r="H48" s="3"/>
      <c r="I48" s="3"/>
      <c r="J48" s="3"/>
    </row>
    <row r="49" spans="1:10" ht="12.6" customHeight="1" x14ac:dyDescent="0.3">
      <c r="A49" s="46"/>
      <c r="B49" s="46"/>
      <c r="C49" s="46"/>
      <c r="D49" s="46"/>
      <c r="E49" s="15"/>
      <c r="F49" s="57" t="s">
        <v>229</v>
      </c>
      <c r="G49" s="110"/>
      <c r="H49" s="3"/>
      <c r="I49" s="3"/>
      <c r="J49" s="3"/>
    </row>
    <row r="50" spans="1:10" ht="12.6" customHeight="1" x14ac:dyDescent="0.3">
      <c r="A50" s="46"/>
      <c r="B50" s="46"/>
      <c r="C50" s="46"/>
      <c r="D50" s="46"/>
      <c r="E50" s="15"/>
      <c r="F50" s="57" t="s">
        <v>230</v>
      </c>
      <c r="G50" s="3"/>
      <c r="H50" s="3"/>
      <c r="I50" s="3"/>
      <c r="J50" s="3"/>
    </row>
    <row r="51" spans="1:10" ht="12.6" customHeight="1" x14ac:dyDescent="0.3">
      <c r="A51" s="46"/>
      <c r="B51" s="46"/>
      <c r="C51" s="46"/>
      <c r="D51" s="46"/>
      <c r="E51" s="15"/>
      <c r="F51" s="104" t="s">
        <v>231</v>
      </c>
      <c r="G51" s="3"/>
      <c r="H51" s="3"/>
      <c r="I51" s="3"/>
      <c r="J51" s="3"/>
    </row>
    <row r="52" spans="1:10" ht="12.6" customHeight="1" x14ac:dyDescent="0.3">
      <c r="A52" s="46"/>
      <c r="B52" s="46"/>
      <c r="C52" s="46"/>
      <c r="D52" s="46"/>
      <c r="E52" s="15"/>
      <c r="F52" s="57" t="s">
        <v>232</v>
      </c>
      <c r="G52" s="3"/>
      <c r="H52" s="21"/>
      <c r="I52" s="65"/>
      <c r="J52" s="3"/>
    </row>
    <row r="53" spans="1:10" ht="12.6" customHeight="1" x14ac:dyDescent="0.3">
      <c r="A53" s="46"/>
      <c r="B53" s="46"/>
      <c r="C53" s="46"/>
      <c r="D53" s="46"/>
      <c r="E53" s="15"/>
      <c r="F53" s="16" t="s">
        <v>135</v>
      </c>
      <c r="G53" s="110"/>
      <c r="H53" s="21"/>
      <c r="I53" s="65"/>
      <c r="J53" s="3"/>
    </row>
    <row r="54" spans="1:10" ht="12.6" customHeight="1" x14ac:dyDescent="0.3">
      <c r="A54" s="46"/>
      <c r="B54" s="46"/>
      <c r="C54" s="46"/>
      <c r="D54" s="46"/>
      <c r="E54" s="47"/>
      <c r="F54" s="183"/>
      <c r="G54" s="3"/>
      <c r="H54" s="20"/>
      <c r="I54" s="55"/>
      <c r="J54" s="3"/>
    </row>
    <row r="55" spans="1:10" ht="12.6" customHeight="1" x14ac:dyDescent="0.3">
      <c r="A55" s="46"/>
      <c r="B55" s="46"/>
      <c r="C55" s="46"/>
      <c r="D55" s="3"/>
      <c r="E55" s="47"/>
      <c r="F55" s="35" t="s">
        <v>234</v>
      </c>
      <c r="G55" s="3"/>
      <c r="H55" s="20"/>
      <c r="I55" s="55"/>
      <c r="J55" s="3"/>
    </row>
    <row r="56" spans="1:10" ht="12.6" customHeight="1" x14ac:dyDescent="0.3">
      <c r="A56" s="46"/>
      <c r="B56" s="46"/>
      <c r="C56" s="46"/>
      <c r="D56" s="46"/>
      <c r="E56" s="47"/>
      <c r="F56" s="59" t="s">
        <v>100</v>
      </c>
      <c r="G56" s="3"/>
      <c r="H56" s="23"/>
      <c r="I56" s="55"/>
      <c r="J56" s="3"/>
    </row>
    <row r="57" spans="1:10" ht="12.6" customHeight="1" x14ac:dyDescent="0.3">
      <c r="A57" s="46"/>
      <c r="B57" s="46"/>
      <c r="C57" s="46"/>
      <c r="D57" s="46"/>
      <c r="E57" s="15"/>
      <c r="F57" s="16"/>
      <c r="G57" s="3"/>
      <c r="H57" s="20"/>
      <c r="I57" s="55"/>
      <c r="J57" s="3"/>
    </row>
    <row r="58" spans="1:10" ht="12.6" customHeight="1" x14ac:dyDescent="0.3">
      <c r="A58" s="46"/>
      <c r="B58" s="46"/>
      <c r="C58" s="46"/>
      <c r="D58" s="46"/>
      <c r="E58" s="15"/>
      <c r="F58" s="135" t="s">
        <v>235</v>
      </c>
      <c r="G58" s="16"/>
      <c r="H58" s="20"/>
      <c r="I58" s="55"/>
      <c r="J58" s="3"/>
    </row>
    <row r="59" spans="1:10" ht="12.6" customHeight="1" x14ac:dyDescent="0.3">
      <c r="A59" s="46"/>
      <c r="B59" s="46"/>
      <c r="C59" s="46"/>
      <c r="D59" s="46"/>
      <c r="E59" s="15"/>
      <c r="F59" s="16" t="s">
        <v>236</v>
      </c>
      <c r="G59" s="3"/>
      <c r="H59" s="3"/>
      <c r="I59" s="3"/>
      <c r="J59" s="3"/>
    </row>
    <row r="60" spans="1:10" ht="12.6" customHeight="1" x14ac:dyDescent="0.3">
      <c r="A60" s="46"/>
      <c r="B60" s="46"/>
      <c r="C60" s="46"/>
      <c r="D60" s="46"/>
      <c r="E60" s="15"/>
      <c r="F60" s="57" t="s">
        <v>237</v>
      </c>
      <c r="G60" s="3"/>
      <c r="H60" s="3"/>
      <c r="I60" s="3"/>
      <c r="J60" s="3"/>
    </row>
    <row r="61" spans="1:10" ht="12.6" customHeight="1" x14ac:dyDescent="0.3">
      <c r="A61" s="3"/>
      <c r="B61" s="46"/>
      <c r="C61" s="46"/>
      <c r="D61" s="46"/>
      <c r="E61" s="15"/>
      <c r="F61" s="16" t="s">
        <v>136</v>
      </c>
      <c r="G61" s="3"/>
      <c r="H61" s="3"/>
      <c r="I61" s="3"/>
      <c r="J61" s="3"/>
    </row>
    <row r="62" spans="1:10" ht="12.6" customHeight="1" x14ac:dyDescent="0.3">
      <c r="A62" s="3"/>
      <c r="B62" s="55"/>
      <c r="C62" s="46"/>
      <c r="D62" s="46"/>
      <c r="E62" s="15"/>
      <c r="F62" s="57" t="s">
        <v>348</v>
      </c>
      <c r="G62" s="3"/>
      <c r="H62" s="3"/>
      <c r="I62" s="3"/>
      <c r="J62" s="3"/>
    </row>
    <row r="63" spans="1:10" ht="12.6" customHeight="1" x14ac:dyDescent="0.3">
      <c r="A63" s="46"/>
      <c r="B63" s="46"/>
      <c r="C63" s="46"/>
      <c r="D63" s="46"/>
      <c r="E63" s="47"/>
      <c r="F63" s="184"/>
      <c r="G63" s="52"/>
      <c r="H63" s="3"/>
      <c r="I63" s="3"/>
      <c r="J63" s="3"/>
    </row>
    <row r="64" spans="1:10" ht="12.6" customHeight="1" x14ac:dyDescent="0.3">
      <c r="A64" s="46"/>
      <c r="B64" s="46"/>
      <c r="C64" s="46"/>
      <c r="D64" s="46"/>
      <c r="E64" s="47"/>
      <c r="F64" s="25" t="s">
        <v>240</v>
      </c>
      <c r="G64" s="52"/>
      <c r="H64" s="3"/>
      <c r="I64" s="3"/>
      <c r="J64" s="3"/>
    </row>
    <row r="65" spans="1:10" ht="12.6" customHeight="1" x14ac:dyDescent="0.3">
      <c r="A65" s="46"/>
      <c r="B65" s="46"/>
      <c r="C65" s="46"/>
      <c r="D65" s="46"/>
      <c r="E65" s="47"/>
      <c r="F65" s="59" t="s">
        <v>241</v>
      </c>
      <c r="G65" s="52"/>
      <c r="H65" s="3"/>
      <c r="I65" s="3"/>
      <c r="J65" s="3"/>
    </row>
    <row r="66" spans="1:10" ht="12.6" customHeight="1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35" t="s">
        <v>339</v>
      </c>
      <c r="B70" s="21" t="s">
        <v>298</v>
      </c>
      <c r="C70" s="73" t="s">
        <v>138</v>
      </c>
      <c r="D70" s="16" t="s">
        <v>255</v>
      </c>
      <c r="E70" s="21" t="s">
        <v>104</v>
      </c>
      <c r="F70" s="166" t="s">
        <v>69</v>
      </c>
      <c r="G70" s="66"/>
      <c r="H70" s="3" t="s">
        <v>70</v>
      </c>
      <c r="I70" s="3">
        <f>SUM(I69-(I71+I72+I73))</f>
        <v>108</v>
      </c>
      <c r="J70" s="3"/>
    </row>
    <row r="71" spans="1:10" x14ac:dyDescent="0.3">
      <c r="A71" s="16"/>
      <c r="B71" s="21" t="s">
        <v>129</v>
      </c>
      <c r="C71" s="73" t="s">
        <v>156</v>
      </c>
      <c r="D71" s="16"/>
      <c r="E71" s="23" t="s">
        <v>94</v>
      </c>
      <c r="F71" s="166" t="s">
        <v>71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74"/>
      <c r="C72" s="73" t="s">
        <v>350</v>
      </c>
      <c r="D72" s="16"/>
      <c r="E72" s="23" t="s">
        <v>109</v>
      </c>
      <c r="F72" s="166" t="s">
        <v>73</v>
      </c>
      <c r="G72" s="66"/>
      <c r="H72" s="68" t="s">
        <v>74</v>
      </c>
      <c r="I72" s="69">
        <f>A97+E97</f>
        <v>10</v>
      </c>
      <c r="J72" s="3"/>
    </row>
    <row r="73" spans="1:10" x14ac:dyDescent="0.3">
      <c r="A73" s="27"/>
      <c r="B73" s="75"/>
      <c r="C73" s="2"/>
      <c r="D73" s="6"/>
      <c r="E73" s="23" t="s">
        <v>105</v>
      </c>
      <c r="F73" s="182" t="s">
        <v>26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2"/>
      <c r="C74" s="2"/>
      <c r="D74" s="6"/>
      <c r="E74" s="23" t="s">
        <v>187</v>
      </c>
      <c r="F74" s="182" t="s">
        <v>36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182" t="s">
        <v>54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185"/>
      <c r="C76" s="2"/>
      <c r="D76" s="6"/>
      <c r="E76" s="23"/>
      <c r="F76" s="182" t="s">
        <v>49</v>
      </c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187"/>
      <c r="D80" s="6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55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3" t="s">
        <v>55</v>
      </c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55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3">
        <v>6</v>
      </c>
      <c r="F96" s="20" t="s">
        <v>65</v>
      </c>
      <c r="G96" s="3"/>
      <c r="H96" s="55"/>
      <c r="I96" s="55"/>
      <c r="J96" s="87"/>
    </row>
    <row r="97" spans="1:10" x14ac:dyDescent="0.3">
      <c r="A97" s="98">
        <v>3</v>
      </c>
      <c r="B97" s="45"/>
      <c r="C97" s="95"/>
      <c r="D97" s="3"/>
      <c r="E97" s="99">
        <v>7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conditionalFormatting sqref="C92:C99">
    <cfRule type="duplicateValues" dxfId="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03EF-4E93-4300-82E7-C6D9C9F77EC0}">
  <dimension ref="A1:M99"/>
  <sheetViews>
    <sheetView zoomScale="90" zoomScaleNormal="90" workbookViewId="0">
      <selection activeCell="A4"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ht="12.6" customHeight="1" x14ac:dyDescent="0.3">
      <c r="A2" s="16" t="s">
        <v>140</v>
      </c>
      <c r="B2" s="105" t="s">
        <v>343</v>
      </c>
      <c r="C2" s="16" t="s">
        <v>102</v>
      </c>
      <c r="D2" s="114" t="s">
        <v>342</v>
      </c>
      <c r="E2" s="57" t="s">
        <v>175</v>
      </c>
      <c r="F2" s="16" t="s">
        <v>169</v>
      </c>
      <c r="G2" s="60" t="s">
        <v>202</v>
      </c>
      <c r="H2" s="18" t="s">
        <v>10</v>
      </c>
      <c r="I2" s="3" t="s">
        <v>11</v>
      </c>
      <c r="J2" s="18" t="s">
        <v>122</v>
      </c>
      <c r="M2" s="109"/>
    </row>
    <row r="3" spans="1:13" ht="12.6" customHeight="1" x14ac:dyDescent="0.3">
      <c r="A3" s="60" t="s">
        <v>190</v>
      </c>
      <c r="B3" s="114" t="s">
        <v>191</v>
      </c>
      <c r="C3" s="105" t="s">
        <v>344</v>
      </c>
      <c r="D3" s="3" t="s">
        <v>188</v>
      </c>
      <c r="E3" s="16"/>
      <c r="F3" s="3" t="s">
        <v>12</v>
      </c>
      <c r="G3" s="16"/>
      <c r="H3" s="20"/>
      <c r="I3" s="46" t="s">
        <v>13</v>
      </c>
      <c r="J3" s="18"/>
      <c r="M3" s="109"/>
    </row>
    <row r="4" spans="1:13" ht="12.6" customHeight="1" x14ac:dyDescent="0.3">
      <c r="A4" s="16" t="s">
        <v>192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ht="12.6" customHeight="1" x14ac:dyDescent="0.3">
      <c r="A5" s="16"/>
      <c r="B5" s="18" t="s">
        <v>75</v>
      </c>
      <c r="C5" s="18" t="s">
        <v>194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ht="12.6" customHeight="1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ht="12.6" customHeight="1" x14ac:dyDescent="0.3">
      <c r="A7" s="16" t="s">
        <v>210</v>
      </c>
      <c r="B7" s="16" t="s">
        <v>349</v>
      </c>
      <c r="C7" s="16" t="s">
        <v>182</v>
      </c>
      <c r="D7" s="4"/>
      <c r="E7" s="22" t="s">
        <v>17</v>
      </c>
      <c r="F7" s="23"/>
      <c r="G7" s="35" t="s">
        <v>203</v>
      </c>
      <c r="H7" s="20"/>
      <c r="I7" s="3"/>
      <c r="J7" s="24"/>
      <c r="M7" s="109"/>
    </row>
    <row r="8" spans="1:13" ht="12.6" customHeight="1" x14ac:dyDescent="0.3">
      <c r="A8" s="25" t="s">
        <v>130</v>
      </c>
      <c r="B8" s="186"/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ht="12.6" customHeight="1" x14ac:dyDescent="0.3">
      <c r="A9" s="25" t="s">
        <v>127</v>
      </c>
      <c r="B9" s="186"/>
      <c r="C9" s="186"/>
      <c r="D9" s="4"/>
      <c r="E9" s="3"/>
      <c r="F9" s="3"/>
      <c r="G9" s="4"/>
      <c r="H9" s="4"/>
      <c r="I9" s="46" t="s">
        <v>23</v>
      </c>
      <c r="J9" s="154" t="s">
        <v>305</v>
      </c>
      <c r="M9" s="109"/>
    </row>
    <row r="10" spans="1:13" ht="12.6" customHeight="1" x14ac:dyDescent="0.3">
      <c r="A10" s="16" t="s">
        <v>126</v>
      </c>
      <c r="B10" s="115"/>
      <c r="C10" s="186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ht="12.6" customHeight="1" x14ac:dyDescent="0.3">
      <c r="A11" s="35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ht="12.6" customHeight="1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ht="12.6" customHeight="1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ht="12.6" customHeight="1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ht="12.6" customHeight="1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ht="12.6" customHeight="1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ht="12.6" customHeight="1" x14ac:dyDescent="0.3">
      <c r="A17" s="3" t="s">
        <v>35</v>
      </c>
      <c r="B17" s="3"/>
      <c r="C17" s="46" t="s">
        <v>51</v>
      </c>
      <c r="D17" s="46" t="s">
        <v>37</v>
      </c>
      <c r="E17" s="130" t="s">
        <v>195</v>
      </c>
      <c r="F17" s="16" t="s">
        <v>18</v>
      </c>
      <c r="G17" s="190" t="s">
        <v>101</v>
      </c>
      <c r="H17" s="179" t="s">
        <v>38</v>
      </c>
      <c r="I17" s="27" t="s">
        <v>181</v>
      </c>
      <c r="J17" s="3"/>
    </row>
    <row r="18" spans="1:10" ht="12.6" customHeight="1" x14ac:dyDescent="0.3">
      <c r="A18" s="3" t="s">
        <v>39</v>
      </c>
      <c r="B18" s="3"/>
      <c r="C18" s="168" t="s">
        <v>305</v>
      </c>
      <c r="D18" s="46" t="s">
        <v>40</v>
      </c>
      <c r="E18" s="130" t="s">
        <v>196</v>
      </c>
      <c r="F18" s="57" t="s">
        <v>346</v>
      </c>
      <c r="G18" s="191"/>
      <c r="H18" s="16"/>
      <c r="I18" s="48"/>
      <c r="J18" s="3"/>
    </row>
    <row r="19" spans="1:10" ht="12.6" customHeight="1" x14ac:dyDescent="0.3">
      <c r="A19" s="3" t="s">
        <v>41</v>
      </c>
      <c r="B19" s="3"/>
      <c r="C19" s="18"/>
      <c r="D19" s="46" t="s">
        <v>42</v>
      </c>
      <c r="E19" s="130" t="s">
        <v>125</v>
      </c>
      <c r="F19" s="16" t="s">
        <v>205</v>
      </c>
      <c r="G19" s="191"/>
      <c r="H19" s="16" t="s">
        <v>76</v>
      </c>
      <c r="I19" s="16"/>
      <c r="J19" s="3"/>
    </row>
    <row r="20" spans="1:10" ht="12.6" customHeight="1" x14ac:dyDescent="0.3">
      <c r="A20" s="3" t="s">
        <v>44</v>
      </c>
      <c r="B20" s="3"/>
      <c r="C20" s="27"/>
      <c r="D20" s="105" t="s">
        <v>124</v>
      </c>
      <c r="E20" s="168" t="s">
        <v>305</v>
      </c>
      <c r="F20" s="57" t="s">
        <v>206</v>
      </c>
      <c r="G20" s="191"/>
      <c r="H20" s="16" t="s">
        <v>43</v>
      </c>
      <c r="I20" s="100"/>
      <c r="J20" s="3"/>
    </row>
    <row r="21" spans="1:10" ht="12.6" customHeight="1" x14ac:dyDescent="0.3">
      <c r="A21" s="21"/>
      <c r="B21" s="3"/>
      <c r="C21" s="16"/>
      <c r="D21" s="105" t="s">
        <v>345</v>
      </c>
      <c r="E21" s="32" t="s">
        <v>99</v>
      </c>
      <c r="F21" s="57" t="s">
        <v>207</v>
      </c>
      <c r="G21" s="191"/>
      <c r="H21" s="16" t="s">
        <v>47</v>
      </c>
      <c r="I21" s="21"/>
      <c r="J21" s="3"/>
    </row>
    <row r="22" spans="1:10" ht="12.6" customHeight="1" x14ac:dyDescent="0.3">
      <c r="A22" s="3"/>
      <c r="B22" s="33"/>
      <c r="C22" s="34" t="s">
        <v>48</v>
      </c>
      <c r="D22" s="18" t="s">
        <v>174</v>
      </c>
      <c r="E22" s="32" t="s">
        <v>197</v>
      </c>
      <c r="F22" s="57" t="s">
        <v>183</v>
      </c>
      <c r="G22" s="191"/>
      <c r="H22" s="16" t="s">
        <v>52</v>
      </c>
      <c r="I22" s="21"/>
      <c r="J22" s="3"/>
    </row>
    <row r="23" spans="1:10" ht="12.6" customHeight="1" x14ac:dyDescent="0.3">
      <c r="A23" s="3"/>
      <c r="B23" s="35"/>
      <c r="C23" s="178" t="s">
        <v>297</v>
      </c>
      <c r="D23" s="18" t="s">
        <v>49</v>
      </c>
      <c r="E23" s="32" t="s">
        <v>198</v>
      </c>
      <c r="F23" s="188" t="s">
        <v>208</v>
      </c>
      <c r="G23" s="191"/>
      <c r="H23" s="3" t="s">
        <v>53</v>
      </c>
      <c r="I23" s="3"/>
      <c r="J23" s="3"/>
    </row>
    <row r="24" spans="1:10" ht="12.6" customHeight="1" x14ac:dyDescent="0.3">
      <c r="A24" s="3"/>
      <c r="B24" s="36"/>
      <c r="C24" s="36"/>
      <c r="D24" s="18"/>
      <c r="F24" s="25"/>
      <c r="G24" s="191"/>
      <c r="H24" s="3"/>
      <c r="I24" s="21"/>
      <c r="J24" s="3"/>
    </row>
    <row r="25" spans="1:10" ht="12.6" customHeight="1" x14ac:dyDescent="0.3">
      <c r="A25" s="3"/>
      <c r="B25" s="29"/>
      <c r="C25" s="29"/>
      <c r="D25" s="19"/>
      <c r="E25" s="47" t="s">
        <v>177</v>
      </c>
      <c r="F25" s="54" t="s">
        <v>209</v>
      </c>
      <c r="G25" s="191"/>
      <c r="H25" s="16"/>
      <c r="I25" s="116"/>
      <c r="J25" s="3"/>
    </row>
    <row r="26" spans="1:10" ht="12.6" customHeight="1" x14ac:dyDescent="0.3">
      <c r="A26" s="3"/>
      <c r="B26" s="3"/>
      <c r="C26" s="3"/>
      <c r="D26" s="3"/>
      <c r="E26" s="127"/>
      <c r="F26" s="16" t="s">
        <v>211</v>
      </c>
      <c r="G26" s="191"/>
      <c r="H26" s="16" t="s">
        <v>50</v>
      </c>
      <c r="I26" s="116"/>
      <c r="J26" s="3"/>
    </row>
    <row r="27" spans="1:10" ht="12.6" customHeight="1" x14ac:dyDescent="0.3">
      <c r="A27" s="3"/>
      <c r="B27" s="3"/>
      <c r="C27" s="3"/>
      <c r="D27" s="19"/>
      <c r="E27" s="127"/>
      <c r="F27" s="57" t="s">
        <v>212</v>
      </c>
      <c r="G27" s="191"/>
      <c r="H27" s="58"/>
      <c r="I27" s="3"/>
      <c r="J27" s="3"/>
    </row>
    <row r="28" spans="1:10" ht="12.6" customHeight="1" x14ac:dyDescent="0.3">
      <c r="A28" s="3"/>
      <c r="B28" s="3"/>
      <c r="C28" s="3"/>
      <c r="D28" s="110"/>
      <c r="E28" s="37"/>
      <c r="F28" s="54" t="s">
        <v>113</v>
      </c>
      <c r="G28" s="191"/>
      <c r="H28" s="3"/>
      <c r="I28" s="3"/>
      <c r="J28" s="3"/>
    </row>
    <row r="29" spans="1:10" ht="12.6" customHeight="1" x14ac:dyDescent="0.3">
      <c r="A29" s="38" t="s">
        <v>56</v>
      </c>
      <c r="B29" s="17"/>
      <c r="C29" s="3"/>
      <c r="D29" s="110"/>
      <c r="E29" s="39" t="s">
        <v>57</v>
      </c>
      <c r="F29" s="57" t="s">
        <v>213</v>
      </c>
      <c r="G29" s="191"/>
      <c r="H29" s="3"/>
      <c r="I29" s="3"/>
      <c r="J29" s="3"/>
    </row>
    <row r="30" spans="1:10" ht="12.6" customHeight="1" x14ac:dyDescent="0.3">
      <c r="A30" s="57" t="s">
        <v>341</v>
      </c>
      <c r="B30" s="17"/>
      <c r="C30" s="3"/>
      <c r="D30" s="110"/>
      <c r="E30" s="32" t="s">
        <v>200</v>
      </c>
      <c r="F30" s="57" t="s">
        <v>214</v>
      </c>
      <c r="G30" s="191"/>
      <c r="H30" s="3"/>
      <c r="I30" s="3"/>
      <c r="J30" s="3"/>
    </row>
    <row r="31" spans="1:10" ht="12.6" customHeight="1" x14ac:dyDescent="0.3">
      <c r="A31" s="3" t="s">
        <v>59</v>
      </c>
      <c r="B31" s="3"/>
      <c r="C31" s="3"/>
      <c r="D31" s="110"/>
      <c r="E31" s="130" t="s">
        <v>201</v>
      </c>
      <c r="F31" s="57" t="s">
        <v>244</v>
      </c>
      <c r="G31" s="191"/>
      <c r="H31" s="3"/>
      <c r="I31" s="3"/>
      <c r="J31" s="3"/>
    </row>
    <row r="32" spans="1:10" ht="12.6" customHeight="1" x14ac:dyDescent="0.3">
      <c r="A32" s="3"/>
      <c r="B32" s="40"/>
      <c r="C32" s="16"/>
      <c r="D32" s="110"/>
      <c r="E32" s="132" t="s">
        <v>60</v>
      </c>
      <c r="F32" s="101" t="s">
        <v>347</v>
      </c>
      <c r="G32" s="191"/>
      <c r="H32" s="3"/>
      <c r="I32" s="3"/>
      <c r="J32" s="3"/>
    </row>
    <row r="33" spans="1:10" ht="12.6" customHeight="1" x14ac:dyDescent="0.3">
      <c r="A33" s="3"/>
      <c r="B33" s="40"/>
      <c r="C33" s="16"/>
      <c r="D33" s="110"/>
      <c r="E33" s="41"/>
      <c r="F33" s="16" t="s">
        <v>217</v>
      </c>
      <c r="G33" s="191"/>
      <c r="H33" s="3"/>
      <c r="I33" s="3"/>
      <c r="J33" s="3"/>
    </row>
    <row r="34" spans="1:10" ht="12.6" customHeight="1" x14ac:dyDescent="0.3">
      <c r="A34" s="3"/>
      <c r="B34" s="40"/>
      <c r="C34" s="16"/>
      <c r="D34" s="110"/>
      <c r="E34" s="15"/>
      <c r="F34" s="16"/>
      <c r="G34" s="191"/>
      <c r="H34" s="3"/>
      <c r="I34" s="3"/>
      <c r="J34" s="3"/>
    </row>
    <row r="35" spans="1:10" ht="12.6" customHeight="1" x14ac:dyDescent="0.3">
      <c r="A35" s="3"/>
      <c r="B35" s="40"/>
      <c r="C35" s="16"/>
      <c r="D35" s="110"/>
      <c r="E35" s="15"/>
      <c r="F35" s="189" t="s">
        <v>279</v>
      </c>
      <c r="G35" s="191"/>
      <c r="H35" s="3"/>
      <c r="I35" s="3"/>
      <c r="J35" s="3"/>
    </row>
    <row r="36" spans="1:10" ht="12.6" customHeight="1" x14ac:dyDescent="0.3">
      <c r="A36" s="3"/>
      <c r="B36" s="40"/>
      <c r="C36" s="40"/>
      <c r="D36" s="110"/>
      <c r="E36" s="32"/>
      <c r="F36" s="54" t="s">
        <v>131</v>
      </c>
      <c r="G36" s="191"/>
      <c r="H36" s="3"/>
      <c r="I36" s="3"/>
      <c r="J36" s="3"/>
    </row>
    <row r="37" spans="1:10" ht="12.6" customHeight="1" x14ac:dyDescent="0.3">
      <c r="A37" s="3"/>
      <c r="B37" s="40"/>
      <c r="C37" s="40"/>
      <c r="D37" s="3"/>
      <c r="E37" s="42"/>
      <c r="F37" s="59" t="s">
        <v>219</v>
      </c>
      <c r="G37" s="191"/>
      <c r="H37" s="3"/>
      <c r="I37" s="3"/>
      <c r="J37" s="3"/>
    </row>
    <row r="38" spans="1:10" ht="12.6" customHeight="1" x14ac:dyDescent="0.3">
      <c r="A38" s="3"/>
      <c r="B38" s="40"/>
      <c r="C38" s="43"/>
      <c r="D38" s="3"/>
      <c r="E38" s="42"/>
      <c r="F38" s="16" t="s">
        <v>220</v>
      </c>
      <c r="G38" s="191"/>
      <c r="H38" s="3"/>
      <c r="I38" s="3"/>
      <c r="J38" s="3"/>
    </row>
    <row r="39" spans="1:10" ht="12.6" customHeight="1" x14ac:dyDescent="0.3">
      <c r="A39" s="3"/>
      <c r="B39" s="40"/>
      <c r="C39" s="43"/>
      <c r="D39" s="3"/>
      <c r="E39" s="41"/>
      <c r="F39" s="59" t="s">
        <v>173</v>
      </c>
      <c r="G39" s="191"/>
      <c r="H39" s="3"/>
      <c r="I39" s="3"/>
      <c r="J39" s="3"/>
    </row>
    <row r="40" spans="1:10" ht="12.6" customHeight="1" x14ac:dyDescent="0.3">
      <c r="A40" s="3"/>
      <c r="B40" s="40"/>
      <c r="C40" s="43"/>
      <c r="D40" s="3"/>
      <c r="E40" s="32"/>
      <c r="F40" s="25" t="s">
        <v>150</v>
      </c>
      <c r="G40" s="191"/>
      <c r="H40" s="3"/>
      <c r="I40" s="3"/>
      <c r="J40" s="3"/>
    </row>
    <row r="41" spans="1:10" ht="12.6" customHeight="1" x14ac:dyDescent="0.3">
      <c r="A41" s="3"/>
      <c r="B41" s="40"/>
      <c r="C41" s="43"/>
      <c r="D41" s="3"/>
      <c r="E41" s="15"/>
      <c r="F41" s="16"/>
      <c r="G41" s="191"/>
      <c r="H41" s="3"/>
      <c r="I41" s="3"/>
      <c r="J41" s="3"/>
    </row>
    <row r="42" spans="1:10" ht="12.6" customHeight="1" x14ac:dyDescent="0.3">
      <c r="A42" s="3"/>
      <c r="B42" s="40"/>
      <c r="C42" s="40"/>
      <c r="D42" s="17"/>
      <c r="E42" s="44"/>
      <c r="F42" s="57" t="s">
        <v>223</v>
      </c>
      <c r="G42" s="191"/>
      <c r="H42" s="3"/>
      <c r="I42" s="3"/>
      <c r="J42" s="3"/>
    </row>
    <row r="43" spans="1:10" ht="12.6" customHeight="1" x14ac:dyDescent="0.3">
      <c r="A43" s="3"/>
      <c r="B43" s="40"/>
      <c r="C43" s="40"/>
      <c r="D43" s="3"/>
      <c r="E43" s="44"/>
      <c r="F43" s="16" t="s">
        <v>152</v>
      </c>
      <c r="G43" s="191"/>
      <c r="H43" s="3"/>
      <c r="I43" s="3"/>
      <c r="J43" s="3"/>
    </row>
    <row r="44" spans="1:10" ht="12.6" customHeight="1" x14ac:dyDescent="0.3">
      <c r="A44" s="3"/>
      <c r="B44" s="3"/>
      <c r="C44" s="3"/>
      <c r="D44" s="45"/>
      <c r="E44" s="15"/>
      <c r="F44" s="25" t="s">
        <v>225</v>
      </c>
      <c r="G44" s="191"/>
      <c r="H44" s="3"/>
      <c r="I44" s="3"/>
      <c r="J44" s="3"/>
    </row>
    <row r="45" spans="1:10" ht="12.6" customHeight="1" x14ac:dyDescent="0.3">
      <c r="A45" s="3"/>
      <c r="B45" s="3"/>
      <c r="C45" s="3"/>
      <c r="D45" s="45"/>
      <c r="E45" s="15"/>
      <c r="F45" s="59" t="s">
        <v>179</v>
      </c>
      <c r="G45" s="191"/>
      <c r="H45" s="3"/>
      <c r="I45" s="3"/>
      <c r="J45" s="3"/>
    </row>
    <row r="46" spans="1:10" ht="12.6" customHeight="1" x14ac:dyDescent="0.3">
      <c r="A46" s="3"/>
      <c r="B46" s="3"/>
      <c r="C46" s="3"/>
      <c r="D46" s="16"/>
      <c r="E46" s="15"/>
      <c r="F46" s="16" t="s">
        <v>227</v>
      </c>
      <c r="H46" s="3"/>
      <c r="I46" s="3"/>
      <c r="J46" s="3"/>
    </row>
    <row r="47" spans="1:10" ht="12.6" customHeight="1" x14ac:dyDescent="0.3">
      <c r="A47" s="46"/>
      <c r="B47" s="46"/>
      <c r="C47" s="46"/>
      <c r="D47" s="46"/>
      <c r="E47" s="47"/>
      <c r="F47" s="25" t="s">
        <v>228</v>
      </c>
      <c r="G47" s="191"/>
      <c r="H47" s="3"/>
      <c r="I47" s="3"/>
      <c r="J47" s="3"/>
    </row>
    <row r="48" spans="1:10" ht="12.6" customHeight="1" x14ac:dyDescent="0.3">
      <c r="A48" s="46"/>
      <c r="B48" s="46"/>
      <c r="C48" s="46"/>
      <c r="D48" s="46"/>
      <c r="E48" s="47"/>
      <c r="F48" s="57" t="s">
        <v>229</v>
      </c>
      <c r="G48" s="191"/>
      <c r="H48" s="3"/>
      <c r="I48" s="3"/>
      <c r="J48" s="3"/>
    </row>
    <row r="49" spans="1:10" ht="12.6" customHeight="1" x14ac:dyDescent="0.3">
      <c r="A49" s="46"/>
      <c r="B49" s="46"/>
      <c r="C49" s="46"/>
      <c r="D49" s="46"/>
      <c r="E49" s="15"/>
      <c r="F49" s="57" t="s">
        <v>230</v>
      </c>
      <c r="G49" s="192"/>
      <c r="H49" s="3"/>
      <c r="I49" s="3"/>
      <c r="J49" s="3"/>
    </row>
    <row r="50" spans="1:10" ht="12.6" customHeight="1" x14ac:dyDescent="0.3">
      <c r="A50" s="46"/>
      <c r="B50" s="46"/>
      <c r="C50" s="46"/>
      <c r="D50" s="46"/>
      <c r="E50" s="15"/>
      <c r="F50" s="195" t="s">
        <v>231</v>
      </c>
      <c r="G50" s="191"/>
      <c r="H50" s="3"/>
      <c r="I50" s="3"/>
      <c r="J50" s="3"/>
    </row>
    <row r="51" spans="1:10" ht="12.6" customHeight="1" x14ac:dyDescent="0.3">
      <c r="A51" s="46"/>
      <c r="B51" s="46"/>
      <c r="C51" s="46"/>
      <c r="D51" s="46"/>
      <c r="E51" s="15"/>
      <c r="F51" s="57" t="s">
        <v>232</v>
      </c>
      <c r="G51" s="191"/>
      <c r="H51" s="3"/>
      <c r="I51" s="3"/>
      <c r="J51" s="3"/>
    </row>
    <row r="52" spans="1:10" ht="12.6" customHeight="1" x14ac:dyDescent="0.3">
      <c r="A52" s="46"/>
      <c r="B52" s="46"/>
      <c r="C52" s="46"/>
      <c r="D52" s="46"/>
      <c r="E52" s="15"/>
      <c r="F52" s="54" t="s">
        <v>135</v>
      </c>
      <c r="G52" s="191"/>
      <c r="H52" s="21"/>
      <c r="I52" s="65"/>
      <c r="J52" s="3"/>
    </row>
    <row r="53" spans="1:10" ht="12.6" customHeight="1" x14ac:dyDescent="0.3">
      <c r="A53" s="46"/>
      <c r="B53" s="46"/>
      <c r="C53" s="46"/>
      <c r="D53" s="46"/>
      <c r="E53" s="15"/>
      <c r="F53" s="196"/>
      <c r="G53" s="192"/>
      <c r="H53" s="21"/>
      <c r="I53" s="65"/>
      <c r="J53" s="3"/>
    </row>
    <row r="54" spans="1:10" ht="12.6" customHeight="1" x14ac:dyDescent="0.3">
      <c r="A54" s="46"/>
      <c r="B54" s="46"/>
      <c r="C54" s="46"/>
      <c r="D54" s="46"/>
      <c r="E54" s="47"/>
      <c r="F54" s="35" t="s">
        <v>234</v>
      </c>
      <c r="G54" s="191"/>
      <c r="H54" s="20"/>
      <c r="I54" s="55"/>
      <c r="J54" s="3"/>
    </row>
    <row r="55" spans="1:10" ht="12.6" customHeight="1" x14ac:dyDescent="0.3">
      <c r="A55" s="46"/>
      <c r="B55" s="46"/>
      <c r="C55" s="46"/>
      <c r="D55" s="3"/>
      <c r="E55" s="47"/>
      <c r="F55" s="188" t="s">
        <v>100</v>
      </c>
      <c r="G55" s="191"/>
      <c r="H55" s="20"/>
      <c r="I55" s="55"/>
      <c r="J55" s="3"/>
    </row>
    <row r="56" spans="1:10" ht="12.6" customHeight="1" x14ac:dyDescent="0.3">
      <c r="A56" s="46"/>
      <c r="B56" s="46"/>
      <c r="C56" s="46"/>
      <c r="D56" s="46"/>
      <c r="E56" s="47"/>
      <c r="F56" s="16"/>
      <c r="G56" s="191"/>
      <c r="H56" s="23"/>
      <c r="I56" s="55"/>
      <c r="J56" s="3"/>
    </row>
    <row r="57" spans="1:10" ht="12.6" customHeight="1" x14ac:dyDescent="0.3">
      <c r="A57" s="46"/>
      <c r="B57" s="46"/>
      <c r="C57" s="46"/>
      <c r="D57" s="46"/>
      <c r="E57" s="15"/>
      <c r="F57" s="135" t="s">
        <v>235</v>
      </c>
      <c r="G57" s="191"/>
      <c r="H57" s="20"/>
      <c r="I57" s="55"/>
      <c r="J57" s="3"/>
    </row>
    <row r="58" spans="1:10" ht="12.6" customHeight="1" x14ac:dyDescent="0.3">
      <c r="A58" s="46"/>
      <c r="B58" s="46"/>
      <c r="C58" s="46"/>
      <c r="D58" s="46"/>
      <c r="E58" s="15"/>
      <c r="F58" s="16" t="s">
        <v>236</v>
      </c>
      <c r="G58" s="193"/>
      <c r="H58" s="20"/>
      <c r="I58" s="55"/>
      <c r="J58" s="3"/>
    </row>
    <row r="59" spans="1:10" ht="12.6" customHeight="1" x14ac:dyDescent="0.3">
      <c r="A59" s="46"/>
      <c r="B59" s="46"/>
      <c r="C59" s="46"/>
      <c r="D59" s="46"/>
      <c r="E59" s="15"/>
      <c r="F59" s="57" t="s">
        <v>237</v>
      </c>
      <c r="G59" s="191"/>
      <c r="H59" s="3"/>
      <c r="I59" s="3"/>
      <c r="J59" s="3"/>
    </row>
    <row r="60" spans="1:10" ht="12.6" customHeight="1" x14ac:dyDescent="0.3">
      <c r="A60" s="46"/>
      <c r="B60" s="46"/>
      <c r="C60" s="46"/>
      <c r="D60" s="46"/>
      <c r="E60" s="15"/>
      <c r="F60" s="16" t="s">
        <v>136</v>
      </c>
      <c r="G60" s="191"/>
      <c r="H60" s="3"/>
      <c r="I60" s="3"/>
      <c r="J60" s="3"/>
    </row>
    <row r="61" spans="1:10" ht="12.6" customHeight="1" x14ac:dyDescent="0.3">
      <c r="A61" s="3"/>
      <c r="B61" s="46"/>
      <c r="C61" s="46"/>
      <c r="D61" s="46"/>
      <c r="E61" s="15"/>
      <c r="F61" s="57" t="s">
        <v>348</v>
      </c>
      <c r="G61" s="191"/>
      <c r="H61" s="3"/>
      <c r="I61" s="3"/>
      <c r="J61" s="3"/>
    </row>
    <row r="62" spans="1:10" ht="12.6" customHeight="1" x14ac:dyDescent="0.3">
      <c r="A62" s="3"/>
      <c r="B62" s="55"/>
      <c r="C62" s="46"/>
      <c r="D62" s="46"/>
      <c r="E62" s="15"/>
      <c r="F62" s="16" t="s">
        <v>239</v>
      </c>
      <c r="G62" s="191"/>
      <c r="H62" s="3"/>
      <c r="I62" s="3"/>
      <c r="J62" s="3"/>
    </row>
    <row r="63" spans="1:10" ht="12.6" customHeight="1" x14ac:dyDescent="0.3">
      <c r="A63" s="46"/>
      <c r="B63" s="46"/>
      <c r="C63" s="46"/>
      <c r="D63" s="46"/>
      <c r="E63" s="47"/>
      <c r="F63" s="25" t="s">
        <v>240</v>
      </c>
      <c r="G63" s="194"/>
      <c r="H63" s="3"/>
      <c r="I63" s="3"/>
      <c r="J63" s="3"/>
    </row>
    <row r="64" spans="1:10" ht="12.6" customHeight="1" x14ac:dyDescent="0.3">
      <c r="A64" s="46"/>
      <c r="B64" s="46"/>
      <c r="C64" s="46"/>
      <c r="D64" s="46"/>
      <c r="E64" s="47"/>
      <c r="F64" s="59" t="s">
        <v>241</v>
      </c>
      <c r="G64" s="194"/>
      <c r="H64" s="3"/>
      <c r="I64" s="3"/>
      <c r="J64" s="3"/>
    </row>
    <row r="65" spans="1:10" ht="12.6" customHeight="1" x14ac:dyDescent="0.3">
      <c r="A65" s="46"/>
      <c r="B65" s="46"/>
      <c r="C65" s="46"/>
      <c r="D65" s="46"/>
      <c r="E65" s="47"/>
      <c r="F65" s="47"/>
      <c r="G65" s="194"/>
      <c r="H65" s="3"/>
      <c r="I65" s="3"/>
      <c r="J65" s="3"/>
    </row>
    <row r="66" spans="1:10" ht="12.6" customHeight="1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35"/>
      <c r="B70" s="21" t="s">
        <v>298</v>
      </c>
      <c r="C70" s="166" t="s">
        <v>138</v>
      </c>
      <c r="D70" s="16" t="s">
        <v>49</v>
      </c>
      <c r="E70" s="21" t="s">
        <v>104</v>
      </c>
      <c r="F70" s="166" t="s">
        <v>69</v>
      </c>
      <c r="G70" s="66"/>
      <c r="H70" s="3" t="s">
        <v>70</v>
      </c>
      <c r="I70" s="3">
        <f>SUM(I69-(I71+I72+I73))</f>
        <v>109</v>
      </c>
      <c r="J70" s="3"/>
    </row>
    <row r="71" spans="1:10" x14ac:dyDescent="0.3">
      <c r="A71" s="16"/>
      <c r="B71" s="21" t="s">
        <v>129</v>
      </c>
      <c r="C71" s="166" t="s">
        <v>156</v>
      </c>
      <c r="D71" s="16"/>
      <c r="E71" s="23" t="s">
        <v>94</v>
      </c>
      <c r="F71" s="166" t="s">
        <v>71</v>
      </c>
      <c r="G71" s="66"/>
      <c r="H71" s="23" t="s">
        <v>72</v>
      </c>
      <c r="I71" s="23">
        <f>A96+E96</f>
        <v>8</v>
      </c>
      <c r="J71" s="3"/>
    </row>
    <row r="72" spans="1:10" x14ac:dyDescent="0.3">
      <c r="A72" s="27"/>
      <c r="B72" s="74"/>
      <c r="C72" s="166" t="s">
        <v>350</v>
      </c>
      <c r="D72" s="16"/>
      <c r="E72" s="23" t="s">
        <v>109</v>
      </c>
      <c r="F72" s="166" t="s">
        <v>73</v>
      </c>
      <c r="G72" s="66"/>
      <c r="H72" s="68" t="s">
        <v>74</v>
      </c>
      <c r="I72" s="69">
        <f>A97+E97</f>
        <v>9</v>
      </c>
      <c r="J72" s="3"/>
    </row>
    <row r="73" spans="1:10" x14ac:dyDescent="0.3">
      <c r="A73" s="27"/>
      <c r="B73" s="75"/>
      <c r="C73" s="2"/>
      <c r="D73" s="6"/>
      <c r="E73" s="23" t="s">
        <v>105</v>
      </c>
      <c r="F73" s="166" t="s">
        <v>26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2"/>
      <c r="C74" s="2"/>
      <c r="D74" s="6"/>
      <c r="E74" s="23" t="s">
        <v>187</v>
      </c>
      <c r="F74" s="166" t="s">
        <v>36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 t="s">
        <v>46</v>
      </c>
      <c r="F75" s="166" t="s">
        <v>54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185"/>
      <c r="C76" s="2"/>
      <c r="D76" s="6"/>
      <c r="E76" s="23"/>
      <c r="F76" s="182"/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187"/>
      <c r="D80" s="6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55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3" t="s">
        <v>55</v>
      </c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55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3">
        <v>6</v>
      </c>
      <c r="F96" s="20" t="s">
        <v>65</v>
      </c>
      <c r="G96" s="3"/>
      <c r="H96" s="55"/>
      <c r="I96" s="55"/>
      <c r="J96" s="87"/>
    </row>
    <row r="97" spans="1:10" x14ac:dyDescent="0.3">
      <c r="A97" s="98">
        <v>3</v>
      </c>
      <c r="B97" s="45"/>
      <c r="C97" s="95"/>
      <c r="D97" s="3"/>
      <c r="E97" s="99">
        <v>6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conditionalFormatting sqref="C92:C99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EAF8-0A53-4EA9-8928-5B8E7028A1E9}">
  <dimension ref="A1:M99"/>
  <sheetViews>
    <sheetView tabSelected="1" zoomScale="90" zoomScaleNormal="90" workbookViewId="0">
      <selection sqref="A1:XFD1048576"/>
    </sheetView>
  </sheetViews>
  <sheetFormatPr defaultColWidth="9.109375" defaultRowHeight="14.4" x14ac:dyDescent="0.3"/>
  <cols>
    <col min="1" max="10" width="16.44140625" style="108" customWidth="1"/>
    <col min="11" max="16384" width="9.109375" style="108"/>
  </cols>
  <sheetData>
    <row r="1" spans="1:1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49" t="s">
        <v>5</v>
      </c>
      <c r="G1" s="26" t="s">
        <v>6</v>
      </c>
      <c r="H1" s="26" t="s">
        <v>7</v>
      </c>
      <c r="I1" s="26" t="s">
        <v>8</v>
      </c>
      <c r="J1" s="53" t="s">
        <v>9</v>
      </c>
    </row>
    <row r="2" spans="1:13" ht="12.6" customHeight="1" x14ac:dyDescent="0.3">
      <c r="A2" s="16" t="s">
        <v>140</v>
      </c>
      <c r="B2" s="105" t="s">
        <v>343</v>
      </c>
      <c r="C2" s="16" t="s">
        <v>102</v>
      </c>
      <c r="D2" s="3" t="s">
        <v>187</v>
      </c>
      <c r="E2" s="57" t="s">
        <v>175</v>
      </c>
      <c r="F2" s="16" t="s">
        <v>169</v>
      </c>
      <c r="G2" s="60" t="s">
        <v>202</v>
      </c>
      <c r="H2" s="18" t="s">
        <v>10</v>
      </c>
      <c r="I2" s="3" t="s">
        <v>11</v>
      </c>
      <c r="J2" s="18" t="s">
        <v>122</v>
      </c>
      <c r="M2" s="109"/>
    </row>
    <row r="3" spans="1:13" ht="12.6" customHeight="1" x14ac:dyDescent="0.3">
      <c r="A3" s="60" t="s">
        <v>190</v>
      </c>
      <c r="B3" s="60" t="s">
        <v>191</v>
      </c>
      <c r="C3" s="105" t="s">
        <v>344</v>
      </c>
      <c r="D3" s="3" t="s">
        <v>188</v>
      </c>
      <c r="E3" s="16"/>
      <c r="F3" s="3" t="s">
        <v>12</v>
      </c>
      <c r="G3" s="16"/>
      <c r="H3" s="20"/>
      <c r="I3" s="46" t="s">
        <v>13</v>
      </c>
      <c r="J3" s="18"/>
      <c r="M3" s="109"/>
    </row>
    <row r="4" spans="1:13" ht="12.6" customHeight="1" x14ac:dyDescent="0.3">
      <c r="A4" s="16" t="s">
        <v>192</v>
      </c>
      <c r="B4" s="18" t="s">
        <v>119</v>
      </c>
      <c r="C4" s="18" t="s">
        <v>14</v>
      </c>
      <c r="D4" s="19"/>
      <c r="E4" s="20"/>
      <c r="F4" s="3"/>
      <c r="G4" s="18" t="s">
        <v>16</v>
      </c>
      <c r="H4" s="20"/>
      <c r="I4" s="3"/>
      <c r="J4" s="19"/>
      <c r="M4" s="109"/>
    </row>
    <row r="5" spans="1:13" ht="12.6" customHeight="1" x14ac:dyDescent="0.3">
      <c r="A5" s="16"/>
      <c r="B5" s="18" t="s">
        <v>75</v>
      </c>
      <c r="C5" s="18" t="s">
        <v>194</v>
      </c>
      <c r="D5" s="3" t="s">
        <v>15</v>
      </c>
      <c r="E5" s="21"/>
      <c r="F5" s="4"/>
      <c r="G5" s="18" t="s">
        <v>121</v>
      </c>
      <c r="H5" s="20"/>
      <c r="I5" s="3"/>
      <c r="J5" s="3"/>
      <c r="M5" s="109"/>
    </row>
    <row r="6" spans="1:13" ht="12.6" customHeight="1" x14ac:dyDescent="0.3">
      <c r="A6" s="110"/>
      <c r="B6" s="17"/>
      <c r="C6" s="16"/>
      <c r="D6" s="18"/>
      <c r="E6" s="3"/>
      <c r="F6" s="3"/>
      <c r="G6" s="18"/>
      <c r="H6" s="20"/>
      <c r="I6" s="3"/>
      <c r="J6" s="3"/>
      <c r="M6" s="109"/>
    </row>
    <row r="7" spans="1:13" ht="12.6" customHeight="1" x14ac:dyDescent="0.3">
      <c r="A7" s="16" t="s">
        <v>210</v>
      </c>
      <c r="B7" s="16" t="s">
        <v>349</v>
      </c>
      <c r="C7" s="16" t="s">
        <v>182</v>
      </c>
      <c r="D7" s="4"/>
      <c r="E7" s="22" t="s">
        <v>17</v>
      </c>
      <c r="F7" s="23"/>
      <c r="G7" s="35" t="s">
        <v>203</v>
      </c>
      <c r="H7" s="20"/>
      <c r="I7" s="3"/>
      <c r="J7" s="24"/>
      <c r="M7" s="109"/>
    </row>
    <row r="8" spans="1:13" ht="12.6" customHeight="1" x14ac:dyDescent="0.3">
      <c r="A8" s="25" t="s">
        <v>130</v>
      </c>
      <c r="B8" s="186"/>
      <c r="C8" s="25" t="s">
        <v>139</v>
      </c>
      <c r="D8" s="4"/>
      <c r="E8" s="18" t="s">
        <v>19</v>
      </c>
      <c r="F8" s="19"/>
      <c r="G8" s="35"/>
      <c r="H8" s="26" t="s">
        <v>20</v>
      </c>
      <c r="I8" s="26" t="s">
        <v>21</v>
      </c>
      <c r="J8" s="26" t="s">
        <v>22</v>
      </c>
      <c r="M8" s="109"/>
    </row>
    <row r="9" spans="1:13" ht="12.6" customHeight="1" x14ac:dyDescent="0.3">
      <c r="A9" s="25" t="s">
        <v>127</v>
      </c>
      <c r="B9" s="186"/>
      <c r="C9" s="186"/>
      <c r="D9" s="4"/>
      <c r="E9" s="3"/>
      <c r="F9" s="3"/>
      <c r="G9" s="4"/>
      <c r="H9" s="4"/>
      <c r="I9" s="46" t="s">
        <v>23</v>
      </c>
      <c r="J9" s="154" t="s">
        <v>305</v>
      </c>
      <c r="M9" s="109"/>
    </row>
    <row r="10" spans="1:13" ht="12.6" customHeight="1" x14ac:dyDescent="0.3">
      <c r="A10" s="16" t="s">
        <v>126</v>
      </c>
      <c r="B10" s="115"/>
      <c r="C10" s="186"/>
      <c r="D10" s="18"/>
      <c r="E10" s="26" t="s">
        <v>24</v>
      </c>
      <c r="F10" s="26" t="s">
        <v>25</v>
      </c>
      <c r="G10" s="3"/>
      <c r="H10" s="20"/>
      <c r="I10" s="3"/>
      <c r="J10" s="3"/>
      <c r="M10" s="109"/>
    </row>
    <row r="11" spans="1:13" ht="12.6" customHeight="1" x14ac:dyDescent="0.3">
      <c r="A11" s="35"/>
      <c r="B11" s="27"/>
      <c r="C11" s="3"/>
      <c r="D11" s="28"/>
      <c r="E11" s="16" t="s">
        <v>172</v>
      </c>
      <c r="F11" s="3"/>
      <c r="G11" s="3"/>
      <c r="H11" s="20"/>
      <c r="I11" s="19"/>
      <c r="J11" s="16"/>
      <c r="M11" s="109"/>
    </row>
    <row r="12" spans="1:13" ht="12.6" customHeight="1" x14ac:dyDescent="0.3">
      <c r="A12" s="4"/>
      <c r="B12" s="16"/>
      <c r="C12" s="25"/>
      <c r="D12" s="3"/>
      <c r="E12" s="18"/>
      <c r="F12" s="3"/>
      <c r="G12" s="3"/>
      <c r="H12" s="20"/>
      <c r="I12" s="3"/>
      <c r="J12" s="16"/>
      <c r="M12" s="109"/>
    </row>
    <row r="13" spans="1:13" ht="12.6" customHeight="1" x14ac:dyDescent="0.3">
      <c r="A13" s="29"/>
      <c r="B13" s="27"/>
      <c r="C13" s="16"/>
      <c r="D13" s="3"/>
      <c r="E13" s="18" t="s">
        <v>27</v>
      </c>
      <c r="F13" s="3"/>
      <c r="G13" s="3"/>
      <c r="H13" s="20"/>
      <c r="I13" s="3"/>
      <c r="J13" s="16"/>
      <c r="M13" s="109"/>
    </row>
    <row r="14" spans="1:13" ht="12.6" customHeight="1" x14ac:dyDescent="0.3">
      <c r="A14" s="30"/>
      <c r="B14" s="31"/>
      <c r="C14" s="16"/>
      <c r="D14" s="3"/>
      <c r="E14" s="3"/>
      <c r="F14" s="3"/>
      <c r="G14" s="3"/>
      <c r="H14" s="3"/>
      <c r="I14" s="3"/>
      <c r="J14" s="16"/>
      <c r="M14" s="109"/>
    </row>
    <row r="15" spans="1:13" ht="12.6" customHeight="1" x14ac:dyDescent="0.3">
      <c r="A15" s="3">
        <v>3</v>
      </c>
      <c r="B15" s="3">
        <v>2</v>
      </c>
      <c r="C15" s="3">
        <v>2</v>
      </c>
      <c r="D15" s="3">
        <v>2</v>
      </c>
      <c r="E15" s="3">
        <v>4</v>
      </c>
      <c r="F15" s="3"/>
      <c r="G15" s="35">
        <v>2</v>
      </c>
      <c r="H15" s="35"/>
      <c r="I15" s="3">
        <v>1</v>
      </c>
      <c r="J15" s="3">
        <v>1</v>
      </c>
      <c r="M15" s="109"/>
    </row>
    <row r="16" spans="1:13" ht="12.6" customHeight="1" x14ac:dyDescent="0.3">
      <c r="A16" s="34" t="s">
        <v>28</v>
      </c>
      <c r="B16" s="34" t="s">
        <v>21</v>
      </c>
      <c r="C16" s="34" t="s">
        <v>29</v>
      </c>
      <c r="D16" s="26" t="s">
        <v>30</v>
      </c>
      <c r="E16" s="49" t="s">
        <v>31</v>
      </c>
      <c r="F16" s="49" t="s">
        <v>31</v>
      </c>
      <c r="G16" s="26" t="s">
        <v>32</v>
      </c>
      <c r="H16" s="26" t="s">
        <v>33</v>
      </c>
      <c r="I16" s="26" t="s">
        <v>34</v>
      </c>
      <c r="J16" s="26"/>
      <c r="M16" s="109"/>
    </row>
    <row r="17" spans="1:10" ht="12.6" customHeight="1" x14ac:dyDescent="0.3">
      <c r="A17" s="3" t="s">
        <v>35</v>
      </c>
      <c r="B17" s="3"/>
      <c r="C17" s="46" t="s">
        <v>51</v>
      </c>
      <c r="D17" s="46" t="s">
        <v>37</v>
      </c>
      <c r="E17" s="130" t="s">
        <v>353</v>
      </c>
      <c r="F17" s="16" t="s">
        <v>18</v>
      </c>
      <c r="G17" s="190" t="s">
        <v>101</v>
      </c>
      <c r="H17" s="179" t="s">
        <v>38</v>
      </c>
      <c r="I17" s="27" t="s">
        <v>181</v>
      </c>
      <c r="J17" s="3"/>
    </row>
    <row r="18" spans="1:10" ht="12.6" customHeight="1" x14ac:dyDescent="0.3">
      <c r="A18" s="3" t="s">
        <v>39</v>
      </c>
      <c r="B18" s="3"/>
      <c r="C18" s="168" t="s">
        <v>305</v>
      </c>
      <c r="D18" s="46" t="s">
        <v>40</v>
      </c>
      <c r="E18" s="130" t="s">
        <v>196</v>
      </c>
      <c r="F18" s="57" t="s">
        <v>346</v>
      </c>
      <c r="G18" s="191"/>
      <c r="H18" s="16"/>
      <c r="I18" s="48"/>
      <c r="J18" s="3"/>
    </row>
    <row r="19" spans="1:10" ht="12.6" customHeight="1" x14ac:dyDescent="0.3">
      <c r="A19" s="3" t="s">
        <v>41</v>
      </c>
      <c r="B19" s="3"/>
      <c r="C19" s="18"/>
      <c r="D19" s="46" t="s">
        <v>42</v>
      </c>
      <c r="E19" s="130" t="s">
        <v>125</v>
      </c>
      <c r="F19" s="16" t="s">
        <v>205</v>
      </c>
      <c r="G19" s="191"/>
      <c r="H19" s="16" t="s">
        <v>76</v>
      </c>
      <c r="I19" s="16"/>
      <c r="J19" s="3"/>
    </row>
    <row r="20" spans="1:10" ht="12.6" customHeight="1" x14ac:dyDescent="0.3">
      <c r="A20" s="3" t="s">
        <v>44</v>
      </c>
      <c r="B20" s="3"/>
      <c r="C20" s="27"/>
      <c r="D20" s="105" t="s">
        <v>124</v>
      </c>
      <c r="E20" s="168" t="s">
        <v>305</v>
      </c>
      <c r="F20" s="57" t="s">
        <v>206</v>
      </c>
      <c r="G20" s="191"/>
      <c r="H20" s="16" t="s">
        <v>43</v>
      </c>
      <c r="I20" s="100"/>
      <c r="J20" s="3"/>
    </row>
    <row r="21" spans="1:10" ht="12.6" customHeight="1" x14ac:dyDescent="0.3">
      <c r="A21" s="21"/>
      <c r="B21" s="3"/>
      <c r="C21" s="16"/>
      <c r="D21" s="105" t="s">
        <v>345</v>
      </c>
      <c r="E21" s="32" t="s">
        <v>99</v>
      </c>
      <c r="F21" s="57" t="s">
        <v>207</v>
      </c>
      <c r="G21" s="191"/>
      <c r="H21" s="16" t="s">
        <v>47</v>
      </c>
      <c r="I21" s="21"/>
      <c r="J21" s="3"/>
    </row>
    <row r="22" spans="1:10" ht="12.6" customHeight="1" x14ac:dyDescent="0.3">
      <c r="A22" s="3"/>
      <c r="B22" s="33"/>
      <c r="C22" s="34" t="s">
        <v>48</v>
      </c>
      <c r="D22" s="18" t="s">
        <v>174</v>
      </c>
      <c r="E22" s="32" t="s">
        <v>197</v>
      </c>
      <c r="F22" s="57" t="s">
        <v>183</v>
      </c>
      <c r="G22" s="191"/>
      <c r="H22" s="16" t="s">
        <v>52</v>
      </c>
      <c r="I22" s="21"/>
      <c r="J22" s="3"/>
    </row>
    <row r="23" spans="1:10" ht="12.6" customHeight="1" x14ac:dyDescent="0.3">
      <c r="A23" s="3"/>
      <c r="B23" s="35"/>
      <c r="C23" s="178" t="s">
        <v>297</v>
      </c>
      <c r="D23" s="18" t="s">
        <v>49</v>
      </c>
      <c r="E23" s="32" t="s">
        <v>198</v>
      </c>
      <c r="F23" s="188" t="s">
        <v>208</v>
      </c>
      <c r="G23" s="191"/>
      <c r="H23" s="3" t="s">
        <v>53</v>
      </c>
      <c r="I23" s="3"/>
      <c r="J23" s="3"/>
    </row>
    <row r="24" spans="1:10" ht="12.6" customHeight="1" x14ac:dyDescent="0.3">
      <c r="A24" s="3"/>
      <c r="B24" s="36"/>
      <c r="C24" s="36"/>
      <c r="D24" s="18"/>
      <c r="F24" s="25"/>
      <c r="G24" s="191"/>
      <c r="H24" s="3"/>
      <c r="I24" s="21"/>
      <c r="J24" s="3"/>
    </row>
    <row r="25" spans="1:10" ht="12.6" customHeight="1" x14ac:dyDescent="0.3">
      <c r="A25" s="3"/>
      <c r="B25" s="29"/>
      <c r="C25" s="29"/>
      <c r="D25" s="19"/>
      <c r="E25" s="47" t="s">
        <v>177</v>
      </c>
      <c r="F25" s="54" t="s">
        <v>209</v>
      </c>
      <c r="G25" s="191"/>
      <c r="H25" s="16"/>
      <c r="I25" s="116"/>
      <c r="J25" s="3"/>
    </row>
    <row r="26" spans="1:10" ht="12.6" customHeight="1" x14ac:dyDescent="0.3">
      <c r="A26" s="3"/>
      <c r="B26" s="3"/>
      <c r="C26" s="3"/>
      <c r="D26" s="3"/>
      <c r="E26" s="127"/>
      <c r="F26" s="16" t="s">
        <v>211</v>
      </c>
      <c r="G26" s="191"/>
      <c r="H26" s="16" t="s">
        <v>50</v>
      </c>
      <c r="I26" s="116"/>
      <c r="J26" s="3"/>
    </row>
    <row r="27" spans="1:10" ht="12.6" customHeight="1" x14ac:dyDescent="0.3">
      <c r="A27" s="3"/>
      <c r="B27" s="3"/>
      <c r="C27" s="3"/>
      <c r="D27" s="19"/>
      <c r="E27" s="127"/>
      <c r="F27" s="57" t="s">
        <v>212</v>
      </c>
      <c r="G27" s="191"/>
      <c r="H27" s="58"/>
      <c r="I27" s="3"/>
      <c r="J27" s="3"/>
    </row>
    <row r="28" spans="1:10" ht="12.6" customHeight="1" x14ac:dyDescent="0.3">
      <c r="A28" s="3"/>
      <c r="B28" s="3"/>
      <c r="C28" s="3"/>
      <c r="D28" s="110"/>
      <c r="E28" s="37"/>
      <c r="F28" s="54" t="s">
        <v>113</v>
      </c>
      <c r="G28" s="191"/>
      <c r="H28" s="3"/>
      <c r="I28" s="3"/>
      <c r="J28" s="3"/>
    </row>
    <row r="29" spans="1:10" ht="12.6" customHeight="1" x14ac:dyDescent="0.3">
      <c r="A29" s="38" t="s">
        <v>56</v>
      </c>
      <c r="B29" s="17"/>
      <c r="C29" s="3"/>
      <c r="D29" s="110"/>
      <c r="E29" s="39" t="s">
        <v>57</v>
      </c>
      <c r="F29" s="57" t="s">
        <v>213</v>
      </c>
      <c r="G29" s="191"/>
      <c r="H29" s="3"/>
      <c r="I29" s="3"/>
      <c r="J29" s="3"/>
    </row>
    <row r="30" spans="1:10" ht="12.6" customHeight="1" x14ac:dyDescent="0.3">
      <c r="A30" s="57" t="s">
        <v>341</v>
      </c>
      <c r="B30" s="17"/>
      <c r="C30" s="3"/>
      <c r="D30" s="110"/>
      <c r="E30" s="32" t="s">
        <v>200</v>
      </c>
      <c r="F30" s="57" t="s">
        <v>214</v>
      </c>
      <c r="G30" s="191"/>
      <c r="H30" s="3"/>
      <c r="I30" s="3"/>
      <c r="J30" s="3"/>
    </row>
    <row r="31" spans="1:10" ht="12.6" customHeight="1" x14ac:dyDescent="0.3">
      <c r="A31" s="3" t="s">
        <v>59</v>
      </c>
      <c r="B31" s="3"/>
      <c r="C31" s="3"/>
      <c r="D31" s="110"/>
      <c r="E31" s="130" t="s">
        <v>201</v>
      </c>
      <c r="F31" s="57" t="s">
        <v>244</v>
      </c>
      <c r="G31" s="191"/>
      <c r="H31" s="3"/>
      <c r="I31" s="3"/>
      <c r="J31" s="3"/>
    </row>
    <row r="32" spans="1:10" ht="12.6" customHeight="1" x14ac:dyDescent="0.3">
      <c r="A32" s="3"/>
      <c r="B32" s="40"/>
      <c r="C32" s="16"/>
      <c r="D32" s="110"/>
      <c r="E32" s="132" t="s">
        <v>60</v>
      </c>
      <c r="F32" s="101" t="s">
        <v>347</v>
      </c>
      <c r="G32" s="191"/>
      <c r="H32" s="3"/>
      <c r="I32" s="3"/>
      <c r="J32" s="3"/>
    </row>
    <row r="33" spans="1:10" ht="12.6" customHeight="1" x14ac:dyDescent="0.3">
      <c r="A33" s="3"/>
      <c r="B33" s="40"/>
      <c r="C33" s="16"/>
      <c r="D33" s="110"/>
      <c r="E33" s="41"/>
      <c r="F33" s="16" t="s">
        <v>217</v>
      </c>
      <c r="G33" s="191"/>
      <c r="H33" s="3"/>
      <c r="I33" s="3"/>
      <c r="J33" s="3"/>
    </row>
    <row r="34" spans="1:10" ht="12.6" customHeight="1" x14ac:dyDescent="0.3">
      <c r="A34" s="3"/>
      <c r="B34" s="40"/>
      <c r="C34" s="16"/>
      <c r="D34" s="110"/>
      <c r="E34" s="15"/>
      <c r="F34" s="16"/>
      <c r="G34" s="191"/>
      <c r="H34" s="3"/>
      <c r="I34" s="3"/>
      <c r="J34" s="54"/>
    </row>
    <row r="35" spans="1:10" ht="12.6" customHeight="1" x14ac:dyDescent="0.3">
      <c r="A35" s="3"/>
      <c r="B35" s="40"/>
      <c r="C35" s="16"/>
      <c r="D35" s="110"/>
      <c r="E35" s="15"/>
      <c r="F35" s="59" t="s">
        <v>279</v>
      </c>
      <c r="G35" s="191"/>
      <c r="H35" s="3"/>
      <c r="I35" s="3"/>
      <c r="J35" s="3" t="s">
        <v>352</v>
      </c>
    </row>
    <row r="36" spans="1:10" ht="12.6" customHeight="1" x14ac:dyDescent="0.3">
      <c r="A36" s="3"/>
      <c r="B36" s="40"/>
      <c r="C36" s="40"/>
      <c r="D36" s="110"/>
      <c r="E36" s="32"/>
      <c r="F36" s="54" t="s">
        <v>131</v>
      </c>
      <c r="G36" s="191"/>
      <c r="H36" s="3"/>
      <c r="I36" s="3"/>
      <c r="J36" s="3"/>
    </row>
    <row r="37" spans="1:10" ht="12.6" customHeight="1" x14ac:dyDescent="0.3">
      <c r="A37" s="3"/>
      <c r="B37" s="40"/>
      <c r="C37" s="40"/>
      <c r="D37" s="3"/>
      <c r="E37" s="42"/>
      <c r="F37" s="59" t="s">
        <v>219</v>
      </c>
      <c r="G37" s="191"/>
      <c r="H37" s="3"/>
      <c r="I37" s="3"/>
      <c r="J37" s="3"/>
    </row>
    <row r="38" spans="1:10" ht="12.6" customHeight="1" x14ac:dyDescent="0.3">
      <c r="A38" s="3"/>
      <c r="B38" s="40"/>
      <c r="C38" s="43"/>
      <c r="D38" s="3"/>
      <c r="E38" s="42"/>
      <c r="F38" s="16" t="s">
        <v>220</v>
      </c>
      <c r="G38" s="191"/>
      <c r="H38" s="3"/>
      <c r="I38" s="3"/>
      <c r="J38" s="3"/>
    </row>
    <row r="39" spans="1:10" ht="12.6" customHeight="1" x14ac:dyDescent="0.3">
      <c r="A39" s="3"/>
      <c r="B39" s="40"/>
      <c r="C39" s="43"/>
      <c r="D39" s="3"/>
      <c r="E39" s="41"/>
      <c r="F39" s="59" t="s">
        <v>173</v>
      </c>
      <c r="G39" s="191"/>
      <c r="H39" s="3"/>
      <c r="I39" s="3"/>
      <c r="J39" s="3"/>
    </row>
    <row r="40" spans="1:10" ht="12.6" customHeight="1" x14ac:dyDescent="0.3">
      <c r="A40" s="3"/>
      <c r="B40" s="40"/>
      <c r="C40" s="43"/>
      <c r="D40" s="3"/>
      <c r="E40" s="32"/>
      <c r="F40" s="25" t="s">
        <v>150</v>
      </c>
      <c r="G40" s="191"/>
      <c r="H40" s="3"/>
      <c r="I40" s="3"/>
      <c r="J40" s="3"/>
    </row>
    <row r="41" spans="1:10" ht="12.6" customHeight="1" x14ac:dyDescent="0.3">
      <c r="A41" s="3"/>
      <c r="B41" s="40"/>
      <c r="C41" s="43"/>
      <c r="D41" s="3"/>
      <c r="E41" s="15"/>
      <c r="F41" s="16"/>
      <c r="G41" s="191"/>
      <c r="H41" s="3"/>
      <c r="I41" s="3"/>
      <c r="J41" s="3"/>
    </row>
    <row r="42" spans="1:10" ht="12.6" customHeight="1" x14ac:dyDescent="0.3">
      <c r="A42" s="3"/>
      <c r="B42" s="40"/>
      <c r="C42" s="40"/>
      <c r="D42" s="17"/>
      <c r="E42" s="44"/>
      <c r="F42" s="57" t="s">
        <v>223</v>
      </c>
      <c r="G42" s="191"/>
      <c r="H42" s="3"/>
      <c r="I42" s="3"/>
      <c r="J42" s="3"/>
    </row>
    <row r="43" spans="1:10" ht="12.6" customHeight="1" x14ac:dyDescent="0.3">
      <c r="A43" s="3"/>
      <c r="B43" s="40"/>
      <c r="C43" s="40"/>
      <c r="D43" s="3"/>
      <c r="E43" s="44"/>
      <c r="F43" s="16" t="s">
        <v>152</v>
      </c>
      <c r="G43" s="191"/>
      <c r="H43" s="3"/>
      <c r="I43" s="3"/>
      <c r="J43" s="3"/>
    </row>
    <row r="44" spans="1:10" ht="12.6" customHeight="1" x14ac:dyDescent="0.3">
      <c r="A44" s="3"/>
      <c r="B44" s="3"/>
      <c r="C44" s="3"/>
      <c r="D44" s="45"/>
      <c r="E44" s="15"/>
      <c r="F44" s="25" t="s">
        <v>225</v>
      </c>
      <c r="G44" s="191"/>
      <c r="H44" s="3"/>
      <c r="I44" s="3"/>
      <c r="J44" s="3"/>
    </row>
    <row r="45" spans="1:10" ht="12.6" customHeight="1" x14ac:dyDescent="0.3">
      <c r="A45" s="3"/>
      <c r="B45" s="3"/>
      <c r="C45" s="3"/>
      <c r="D45" s="45"/>
      <c r="E45" s="15"/>
      <c r="F45" s="59" t="s">
        <v>179</v>
      </c>
      <c r="G45" s="191"/>
      <c r="H45" s="3"/>
      <c r="I45" s="3"/>
      <c r="J45" s="3"/>
    </row>
    <row r="46" spans="1:10" ht="12.6" customHeight="1" x14ac:dyDescent="0.3">
      <c r="A46" s="3"/>
      <c r="B46" s="3"/>
      <c r="C46" s="3"/>
      <c r="D46" s="16"/>
      <c r="E46" s="15"/>
      <c r="F46" s="16" t="s">
        <v>227</v>
      </c>
      <c r="H46" s="3"/>
      <c r="I46" s="3"/>
      <c r="J46" s="3"/>
    </row>
    <row r="47" spans="1:10" ht="12.6" customHeight="1" x14ac:dyDescent="0.3">
      <c r="A47" s="46"/>
      <c r="B47" s="46"/>
      <c r="C47" s="46"/>
      <c r="D47" s="46"/>
      <c r="E47" s="47"/>
      <c r="F47" s="25" t="s">
        <v>228</v>
      </c>
      <c r="G47" s="191"/>
      <c r="H47" s="3"/>
      <c r="I47" s="3"/>
      <c r="J47" s="3"/>
    </row>
    <row r="48" spans="1:10" ht="12.6" customHeight="1" x14ac:dyDescent="0.3">
      <c r="A48" s="46"/>
      <c r="B48" s="46"/>
      <c r="C48" s="46"/>
      <c r="D48" s="46"/>
      <c r="E48" s="47"/>
      <c r="F48" s="57" t="s">
        <v>229</v>
      </c>
      <c r="G48" s="191"/>
      <c r="H48" s="3"/>
      <c r="I48" s="3"/>
      <c r="J48" s="3"/>
    </row>
    <row r="49" spans="1:10" ht="12.6" customHeight="1" x14ac:dyDescent="0.3">
      <c r="A49" s="46"/>
      <c r="B49" s="46"/>
      <c r="C49" s="46"/>
      <c r="D49" s="46"/>
      <c r="E49" s="15"/>
      <c r="F49" s="57" t="s">
        <v>230</v>
      </c>
      <c r="G49" s="192"/>
      <c r="H49" s="3"/>
      <c r="I49" s="3"/>
      <c r="J49" s="3"/>
    </row>
    <row r="50" spans="1:10" ht="12.6" customHeight="1" x14ac:dyDescent="0.3">
      <c r="A50" s="46"/>
      <c r="B50" s="46"/>
      <c r="C50" s="46"/>
      <c r="D50" s="46"/>
      <c r="E50" s="15"/>
      <c r="F50" s="195" t="s">
        <v>231</v>
      </c>
      <c r="G50" s="191"/>
      <c r="H50" s="3"/>
      <c r="I50" s="3"/>
      <c r="J50" s="3"/>
    </row>
    <row r="51" spans="1:10" ht="12.6" customHeight="1" x14ac:dyDescent="0.3">
      <c r="A51" s="46"/>
      <c r="B51" s="46"/>
      <c r="C51" s="46"/>
      <c r="D51" s="46"/>
      <c r="E51" s="15"/>
      <c r="F51" s="57" t="s">
        <v>232</v>
      </c>
      <c r="G51" s="191"/>
      <c r="H51" s="3"/>
      <c r="I51" s="3"/>
      <c r="J51" s="3"/>
    </row>
    <row r="52" spans="1:10" ht="12.6" customHeight="1" x14ac:dyDescent="0.3">
      <c r="A52" s="46"/>
      <c r="B52" s="46"/>
      <c r="C52" s="46"/>
      <c r="D52" s="46"/>
      <c r="E52" s="15"/>
      <c r="F52" s="54" t="s">
        <v>135</v>
      </c>
      <c r="G52" s="191"/>
      <c r="H52" s="21"/>
      <c r="I52" s="65"/>
      <c r="J52" s="3"/>
    </row>
    <row r="53" spans="1:10" ht="12.6" customHeight="1" x14ac:dyDescent="0.3">
      <c r="A53" s="46"/>
      <c r="B53" s="46"/>
      <c r="C53" s="46"/>
      <c r="D53" s="46"/>
      <c r="E53" s="15"/>
      <c r="F53" s="198"/>
      <c r="G53" s="192"/>
      <c r="H53" s="21"/>
      <c r="I53" s="65"/>
      <c r="J53" s="3"/>
    </row>
    <row r="54" spans="1:10" ht="12.6" customHeight="1" x14ac:dyDescent="0.3">
      <c r="A54" s="46"/>
      <c r="B54" s="46"/>
      <c r="C54" s="46"/>
      <c r="D54" s="46"/>
      <c r="E54" s="47"/>
      <c r="F54" s="35" t="s">
        <v>234</v>
      </c>
      <c r="G54" s="191"/>
      <c r="H54" s="20"/>
      <c r="I54" s="55"/>
      <c r="J54" s="3"/>
    </row>
    <row r="55" spans="1:10" ht="12.6" customHeight="1" x14ac:dyDescent="0.3">
      <c r="A55" s="46"/>
      <c r="B55" s="46"/>
      <c r="C55" s="46"/>
      <c r="D55" s="3"/>
      <c r="E55" s="47"/>
      <c r="F55" s="188" t="s">
        <v>100</v>
      </c>
      <c r="G55" s="191"/>
      <c r="H55" s="20"/>
      <c r="I55" s="55"/>
      <c r="J55" s="3"/>
    </row>
    <row r="56" spans="1:10" ht="12.6" customHeight="1" x14ac:dyDescent="0.3">
      <c r="A56" s="46"/>
      <c r="B56" s="46"/>
      <c r="C56" s="46"/>
      <c r="D56" s="46"/>
      <c r="E56" s="47"/>
      <c r="F56" s="16"/>
      <c r="G56" s="191"/>
      <c r="H56" s="23"/>
      <c r="I56" s="55"/>
      <c r="J56" s="3"/>
    </row>
    <row r="57" spans="1:10" ht="12.6" customHeight="1" x14ac:dyDescent="0.3">
      <c r="A57" s="46"/>
      <c r="B57" s="46"/>
      <c r="C57" s="46"/>
      <c r="D57" s="46"/>
      <c r="E57" s="15"/>
      <c r="F57" s="135" t="s">
        <v>235</v>
      </c>
      <c r="G57" s="191"/>
      <c r="H57" s="20"/>
      <c r="I57" s="55"/>
      <c r="J57" s="3"/>
    </row>
    <row r="58" spans="1:10" ht="12.6" customHeight="1" x14ac:dyDescent="0.3">
      <c r="A58" s="46"/>
      <c r="B58" s="46"/>
      <c r="C58" s="46"/>
      <c r="D58" s="46"/>
      <c r="E58" s="15"/>
      <c r="F58" s="16" t="s">
        <v>236</v>
      </c>
      <c r="G58" s="193"/>
      <c r="H58" s="20"/>
      <c r="I58" s="55"/>
      <c r="J58" s="3"/>
    </row>
    <row r="59" spans="1:10" ht="12.6" customHeight="1" x14ac:dyDescent="0.3">
      <c r="A59" s="46"/>
      <c r="B59" s="46"/>
      <c r="C59" s="46"/>
      <c r="D59" s="46"/>
      <c r="E59" s="15"/>
      <c r="F59" s="57" t="s">
        <v>237</v>
      </c>
      <c r="G59" s="191"/>
      <c r="H59" s="3"/>
      <c r="I59" s="3"/>
      <c r="J59" s="3"/>
    </row>
    <row r="60" spans="1:10" ht="12.6" customHeight="1" x14ac:dyDescent="0.3">
      <c r="A60" s="46"/>
      <c r="B60" s="46"/>
      <c r="C60" s="46"/>
      <c r="D60" s="46"/>
      <c r="E60" s="15"/>
      <c r="F60" s="16" t="s">
        <v>136</v>
      </c>
      <c r="G60" s="191"/>
      <c r="H60" s="3"/>
      <c r="I60" s="3"/>
      <c r="J60" s="3"/>
    </row>
    <row r="61" spans="1:10" ht="12.6" customHeight="1" x14ac:dyDescent="0.3">
      <c r="A61" s="3"/>
      <c r="B61" s="46"/>
      <c r="C61" s="46"/>
      <c r="D61" s="46"/>
      <c r="E61" s="15"/>
      <c r="F61" s="57" t="s">
        <v>348</v>
      </c>
      <c r="G61" s="191"/>
      <c r="H61" s="3"/>
      <c r="I61" s="3"/>
      <c r="J61" s="3"/>
    </row>
    <row r="62" spans="1:10" ht="12.6" customHeight="1" x14ac:dyDescent="0.3">
      <c r="A62" s="3"/>
      <c r="B62" s="55"/>
      <c r="C62" s="46"/>
      <c r="D62" s="46"/>
      <c r="E62" s="15"/>
      <c r="F62" s="16" t="s">
        <v>239</v>
      </c>
      <c r="G62" s="191"/>
      <c r="H62" s="3"/>
      <c r="I62" s="3"/>
      <c r="J62" s="3"/>
    </row>
    <row r="63" spans="1:10" ht="12.6" customHeight="1" x14ac:dyDescent="0.3">
      <c r="A63" s="46"/>
      <c r="B63" s="46"/>
      <c r="C63" s="46"/>
      <c r="D63" s="46"/>
      <c r="E63" s="47"/>
      <c r="F63" s="25" t="s">
        <v>240</v>
      </c>
      <c r="G63" s="194"/>
      <c r="H63" s="3"/>
      <c r="I63" s="3"/>
      <c r="J63" s="3"/>
    </row>
    <row r="64" spans="1:10" ht="12.6" customHeight="1" x14ac:dyDescent="0.3">
      <c r="A64" s="46"/>
      <c r="B64" s="46"/>
      <c r="C64" s="46"/>
      <c r="D64" s="46"/>
      <c r="E64" s="47"/>
      <c r="F64" s="59" t="s">
        <v>241</v>
      </c>
      <c r="G64" s="194"/>
      <c r="H64" s="3"/>
      <c r="I64" s="3"/>
      <c r="J64" s="3"/>
    </row>
    <row r="65" spans="1:10" ht="12.6" customHeight="1" x14ac:dyDescent="0.3">
      <c r="A65" s="46"/>
      <c r="B65" s="46"/>
      <c r="C65" s="46"/>
      <c r="D65" s="46"/>
      <c r="E65" s="47"/>
      <c r="F65" s="46"/>
      <c r="G65" s="194"/>
      <c r="H65" s="3"/>
      <c r="I65" s="3"/>
      <c r="J65" s="3"/>
    </row>
    <row r="66" spans="1:10" ht="12.6" customHeight="1" x14ac:dyDescent="0.3">
      <c r="A66" s="46"/>
      <c r="B66" s="46"/>
      <c r="C66" s="46"/>
      <c r="D66" s="46"/>
      <c r="E66" s="47"/>
      <c r="F66" s="3"/>
      <c r="G66" s="52"/>
      <c r="H66" s="3"/>
      <c r="I66" s="3"/>
      <c r="J66" s="3"/>
    </row>
    <row r="67" spans="1:10" x14ac:dyDescent="0.3">
      <c r="A67" s="3"/>
      <c r="B67" s="3">
        <v>59</v>
      </c>
      <c r="C67" s="3"/>
      <c r="D67" s="3">
        <v>71</v>
      </c>
      <c r="E67" s="15"/>
      <c r="F67" s="3"/>
      <c r="G67" s="52"/>
      <c r="H67" s="3"/>
      <c r="I67" s="3"/>
      <c r="J67" s="3"/>
    </row>
    <row r="68" spans="1:10" x14ac:dyDescent="0.3">
      <c r="A68" s="48" t="s">
        <v>62</v>
      </c>
      <c r="B68" s="3"/>
      <c r="C68" s="3"/>
      <c r="D68" s="3"/>
      <c r="E68" s="3" t="s">
        <v>63</v>
      </c>
      <c r="F68" s="3"/>
      <c r="G68" s="3"/>
      <c r="H68" s="3"/>
      <c r="I68" s="3"/>
      <c r="J68" s="3"/>
    </row>
    <row r="69" spans="1:10" x14ac:dyDescent="0.3">
      <c r="A69" s="61" t="s">
        <v>64</v>
      </c>
      <c r="B69" s="62" t="s">
        <v>65</v>
      </c>
      <c r="C69" s="63" t="s">
        <v>66</v>
      </c>
      <c r="D69" s="61" t="s">
        <v>64</v>
      </c>
      <c r="E69" s="62" t="s">
        <v>65</v>
      </c>
      <c r="F69" s="63" t="s">
        <v>66</v>
      </c>
      <c r="G69" s="64" t="s">
        <v>67</v>
      </c>
      <c r="H69" s="3" t="s">
        <v>68</v>
      </c>
      <c r="I69" s="3">
        <f>SUM(D67,B67)</f>
        <v>130</v>
      </c>
      <c r="J69" s="3"/>
    </row>
    <row r="70" spans="1:10" x14ac:dyDescent="0.3">
      <c r="A70" s="35"/>
      <c r="B70" s="21" t="s">
        <v>298</v>
      </c>
      <c r="C70" s="166" t="s">
        <v>138</v>
      </c>
      <c r="D70" s="16" t="s">
        <v>187</v>
      </c>
      <c r="E70" s="21" t="s">
        <v>104</v>
      </c>
      <c r="F70" s="166" t="s">
        <v>69</v>
      </c>
      <c r="G70" s="66"/>
      <c r="H70" s="3" t="s">
        <v>70</v>
      </c>
      <c r="I70" s="3">
        <f>SUM(I69-(I71+I72+I73))</f>
        <v>110</v>
      </c>
      <c r="J70" s="3"/>
    </row>
    <row r="71" spans="1:10" x14ac:dyDescent="0.3">
      <c r="A71" s="16"/>
      <c r="B71" s="21" t="s">
        <v>129</v>
      </c>
      <c r="C71" s="166" t="s">
        <v>156</v>
      </c>
      <c r="D71" s="16" t="s">
        <v>94</v>
      </c>
      <c r="E71" s="23" t="s">
        <v>109</v>
      </c>
      <c r="F71" s="166" t="s">
        <v>71</v>
      </c>
      <c r="G71" s="66"/>
      <c r="H71" s="23" t="s">
        <v>72</v>
      </c>
      <c r="I71" s="23">
        <f>A96+E96</f>
        <v>6</v>
      </c>
      <c r="J71" s="3"/>
    </row>
    <row r="72" spans="1:10" x14ac:dyDescent="0.3">
      <c r="A72" s="27"/>
      <c r="B72" s="74"/>
      <c r="C72" s="166" t="s">
        <v>350</v>
      </c>
      <c r="D72" s="16"/>
      <c r="E72" s="23" t="s">
        <v>105</v>
      </c>
      <c r="F72" s="166" t="s">
        <v>73</v>
      </c>
      <c r="G72" s="66"/>
      <c r="H72" s="68" t="s">
        <v>74</v>
      </c>
      <c r="I72" s="69">
        <f>A97+E97</f>
        <v>10</v>
      </c>
      <c r="J72" s="3"/>
    </row>
    <row r="73" spans="1:10" x14ac:dyDescent="0.3">
      <c r="A73" s="27"/>
      <c r="B73" s="75"/>
      <c r="C73" s="2"/>
      <c r="D73" s="6"/>
      <c r="E73" s="23" t="s">
        <v>46</v>
      </c>
      <c r="F73" s="166" t="s">
        <v>26</v>
      </c>
      <c r="G73" s="66"/>
      <c r="H73" s="70" t="s">
        <v>77</v>
      </c>
      <c r="I73" s="70">
        <f>SUM(A95,E95)</f>
        <v>4</v>
      </c>
      <c r="J73" s="3"/>
    </row>
    <row r="74" spans="1:10" x14ac:dyDescent="0.3">
      <c r="A74" s="27"/>
      <c r="B74" s="2"/>
      <c r="C74" s="2"/>
      <c r="D74" s="6"/>
      <c r="E74" s="23"/>
      <c r="F74" s="166" t="s">
        <v>36</v>
      </c>
      <c r="G74" s="66"/>
      <c r="H74" s="3"/>
      <c r="I74" s="3">
        <f>SUM(A98,E98)</f>
        <v>9</v>
      </c>
      <c r="J74" s="48" t="s">
        <v>78</v>
      </c>
    </row>
    <row r="75" spans="1:10" x14ac:dyDescent="0.3">
      <c r="A75" s="27"/>
      <c r="B75" s="2"/>
      <c r="C75" s="2"/>
      <c r="D75" s="6"/>
      <c r="E75" s="23"/>
      <c r="F75" s="166" t="s">
        <v>54</v>
      </c>
      <c r="G75" s="66"/>
      <c r="H75" s="7"/>
      <c r="I75" s="3">
        <f>SUM(A99,E99)</f>
        <v>36</v>
      </c>
      <c r="J75" s="3" t="s">
        <v>79</v>
      </c>
    </row>
    <row r="76" spans="1:10" x14ac:dyDescent="0.3">
      <c r="A76" s="72"/>
      <c r="B76" s="185"/>
      <c r="C76" s="2"/>
      <c r="D76" s="6"/>
      <c r="E76" s="23"/>
      <c r="F76" s="182" t="s">
        <v>143</v>
      </c>
      <c r="G76" s="66"/>
      <c r="H76" s="8"/>
      <c r="I76" s="19"/>
      <c r="J76" s="3"/>
    </row>
    <row r="77" spans="1:10" x14ac:dyDescent="0.3">
      <c r="A77" s="73"/>
      <c r="B77" s="2"/>
      <c r="C77" s="2"/>
      <c r="D77" s="6"/>
      <c r="E77" s="71"/>
      <c r="F77" s="55"/>
      <c r="G77" s="66"/>
      <c r="H77" s="23"/>
      <c r="I77" s="66"/>
      <c r="J77" s="3"/>
    </row>
    <row r="78" spans="1:10" x14ac:dyDescent="0.3">
      <c r="A78" s="74"/>
      <c r="B78" s="123"/>
      <c r="C78" s="2"/>
      <c r="D78" s="6"/>
      <c r="E78" s="66"/>
      <c r="F78" s="55"/>
      <c r="G78" s="10"/>
      <c r="H78" s="23"/>
      <c r="I78" s="66"/>
      <c r="J78" s="3"/>
    </row>
    <row r="79" spans="1:10" x14ac:dyDescent="0.3">
      <c r="A79" s="75"/>
      <c r="B79" s="9"/>
      <c r="C79" s="2"/>
      <c r="D79" s="6"/>
      <c r="E79" s="71"/>
      <c r="F79" s="71"/>
      <c r="G79" s="71"/>
      <c r="H79" s="55"/>
      <c r="I79" s="66"/>
      <c r="J79" s="3"/>
    </row>
    <row r="80" spans="1:10" x14ac:dyDescent="0.3">
      <c r="A80" s="11"/>
      <c r="B80" s="77"/>
      <c r="C80" s="187"/>
      <c r="D80" s="6"/>
      <c r="E80" s="71"/>
      <c r="F80" s="71"/>
      <c r="G80" s="71"/>
      <c r="H80" s="76"/>
      <c r="I80" s="66"/>
      <c r="J80" s="79"/>
    </row>
    <row r="81" spans="1:10" x14ac:dyDescent="0.3">
      <c r="A81" s="75"/>
      <c r="B81" s="75"/>
      <c r="C81" s="4"/>
      <c r="D81" s="80"/>
      <c r="E81" s="71"/>
      <c r="F81" s="71"/>
      <c r="G81" s="71"/>
      <c r="H81" s="55"/>
      <c r="I81" s="67"/>
      <c r="J81" s="81"/>
    </row>
    <row r="82" spans="1:10" x14ac:dyDescent="0.3">
      <c r="A82" s="75"/>
      <c r="B82" s="82"/>
      <c r="C82" s="83"/>
      <c r="D82" s="80"/>
      <c r="E82" s="71"/>
      <c r="F82" s="71"/>
      <c r="G82" s="71"/>
      <c r="H82" s="102"/>
      <c r="I82" s="67"/>
      <c r="J82" s="81"/>
    </row>
    <row r="83" spans="1:10" x14ac:dyDescent="0.3">
      <c r="A83" s="77"/>
      <c r="B83" s="82"/>
      <c r="C83" s="84" t="s">
        <v>67</v>
      </c>
      <c r="D83" s="73"/>
      <c r="E83" s="21" t="s">
        <v>80</v>
      </c>
      <c r="F83" s="81"/>
      <c r="G83" s="84" t="s">
        <v>67</v>
      </c>
      <c r="H83" s="76"/>
      <c r="I83" s="67"/>
      <c r="J83" s="55"/>
    </row>
    <row r="84" spans="1:10" x14ac:dyDescent="0.3">
      <c r="A84" s="77"/>
      <c r="B84" s="82"/>
      <c r="C84" s="85" t="s">
        <v>81</v>
      </c>
      <c r="D84" s="86"/>
      <c r="E84" s="87"/>
      <c r="F84" s="81"/>
      <c r="G84" s="16"/>
      <c r="H84" s="3"/>
      <c r="I84" s="21"/>
      <c r="J84" s="55"/>
    </row>
    <row r="85" spans="1:10" x14ac:dyDescent="0.3">
      <c r="A85" s="9"/>
      <c r="B85" s="72"/>
      <c r="C85" s="88" t="s">
        <v>82</v>
      </c>
      <c r="D85" s="3"/>
      <c r="E85" s="87" t="s">
        <v>83</v>
      </c>
      <c r="F85" s="55"/>
      <c r="G85" s="87"/>
      <c r="H85" s="3"/>
      <c r="I85" s="55"/>
      <c r="J85" s="12"/>
    </row>
    <row r="86" spans="1:10" x14ac:dyDescent="0.3">
      <c r="A86" s="9"/>
      <c r="B86" s="72"/>
      <c r="C86" s="85" t="s">
        <v>84</v>
      </c>
      <c r="D86" s="89"/>
      <c r="E86" s="87" t="s">
        <v>85</v>
      </c>
      <c r="F86" s="55"/>
      <c r="G86" s="87"/>
      <c r="H86" s="3"/>
      <c r="I86" s="55"/>
      <c r="J86" s="10"/>
    </row>
    <row r="87" spans="1:10" x14ac:dyDescent="0.3">
      <c r="A87" s="3"/>
      <c r="B87" s="4"/>
      <c r="C87" s="88" t="s">
        <v>86</v>
      </c>
      <c r="D87" s="89"/>
      <c r="E87" s="87" t="s">
        <v>87</v>
      </c>
      <c r="F87" s="4"/>
      <c r="G87" s="87"/>
      <c r="H87" s="13"/>
      <c r="I87" s="90"/>
      <c r="J87" s="81"/>
    </row>
    <row r="88" spans="1:10" x14ac:dyDescent="0.3">
      <c r="A88" s="3"/>
      <c r="B88" s="4"/>
      <c r="C88" s="14"/>
      <c r="D88" s="45"/>
      <c r="E88" s="87" t="s">
        <v>88</v>
      </c>
      <c r="F88" s="4"/>
      <c r="G88" s="91"/>
      <c r="H88" s="3"/>
      <c r="I88" s="90"/>
      <c r="J88" s="92"/>
    </row>
    <row r="89" spans="1:10" x14ac:dyDescent="0.3">
      <c r="A89" s="3"/>
      <c r="B89" s="4"/>
      <c r="C89" s="87"/>
      <c r="D89" s="45"/>
      <c r="E89" s="87" t="s">
        <v>89</v>
      </c>
      <c r="F89" s="21"/>
      <c r="G89" s="87"/>
      <c r="H89" s="3"/>
      <c r="I89" s="55"/>
      <c r="J89" s="92"/>
    </row>
    <row r="90" spans="1:10" x14ac:dyDescent="0.3">
      <c r="A90" s="3"/>
      <c r="B90" s="4"/>
      <c r="C90" s="87"/>
      <c r="D90" s="45"/>
      <c r="E90" s="87" t="s">
        <v>90</v>
      </c>
      <c r="F90" s="93"/>
      <c r="G90" s="87"/>
      <c r="H90" s="3"/>
      <c r="I90" s="55"/>
      <c r="J90" s="92"/>
    </row>
    <row r="91" spans="1:10" x14ac:dyDescent="0.3">
      <c r="A91" s="3"/>
      <c r="B91" s="4"/>
      <c r="C91" s="4"/>
      <c r="D91" s="45"/>
      <c r="E91" s="87" t="s">
        <v>91</v>
      </c>
      <c r="F91" s="94">
        <v>46168</v>
      </c>
      <c r="G91" s="87"/>
      <c r="H91" s="3"/>
      <c r="I91" s="79"/>
      <c r="J91" s="87"/>
    </row>
    <row r="92" spans="1:10" x14ac:dyDescent="0.3">
      <c r="A92" s="3"/>
      <c r="B92" s="4"/>
      <c r="C92" s="95"/>
      <c r="D92" s="45"/>
      <c r="E92" s="87" t="s">
        <v>92</v>
      </c>
      <c r="F92" s="45"/>
      <c r="G92" s="96"/>
      <c r="H92" s="3"/>
      <c r="I92" s="79"/>
      <c r="J92" s="87"/>
    </row>
    <row r="93" spans="1:10" x14ac:dyDescent="0.3">
      <c r="A93" s="3"/>
      <c r="B93" s="45"/>
      <c r="C93" s="95"/>
      <c r="D93" s="3"/>
      <c r="E93" s="3" t="s">
        <v>55</v>
      </c>
      <c r="F93" s="45"/>
      <c r="G93" s="19"/>
      <c r="H93" s="3"/>
      <c r="I93" s="81"/>
      <c r="J93" s="87"/>
    </row>
    <row r="94" spans="1:10" x14ac:dyDescent="0.3">
      <c r="A94" s="97"/>
      <c r="B94" s="45"/>
      <c r="C94" s="95"/>
      <c r="D94" s="3"/>
      <c r="E94" s="96"/>
      <c r="F94" s="96"/>
      <c r="G94" s="19"/>
      <c r="H94" s="55"/>
      <c r="I94" s="81"/>
      <c r="J94" s="87"/>
    </row>
    <row r="95" spans="1:10" x14ac:dyDescent="0.3">
      <c r="A95" s="97">
        <v>4</v>
      </c>
      <c r="B95" s="45"/>
      <c r="C95" s="95"/>
      <c r="D95" s="3"/>
      <c r="E95" s="45"/>
      <c r="F95" s="97"/>
      <c r="G95" s="3"/>
      <c r="H95" s="3"/>
      <c r="I95" s="55"/>
      <c r="J95" s="87"/>
    </row>
    <row r="96" spans="1:10" x14ac:dyDescent="0.3">
      <c r="A96" s="23">
        <v>2</v>
      </c>
      <c r="B96" s="45"/>
      <c r="C96" s="95"/>
      <c r="D96" s="3"/>
      <c r="E96" s="23">
        <v>4</v>
      </c>
      <c r="F96" s="20" t="s">
        <v>65</v>
      </c>
      <c r="G96" s="3"/>
      <c r="H96" s="55"/>
      <c r="I96" s="55"/>
      <c r="J96" s="87"/>
    </row>
    <row r="97" spans="1:10" x14ac:dyDescent="0.3">
      <c r="A97" s="98">
        <v>3</v>
      </c>
      <c r="B97" s="45"/>
      <c r="C97" s="95"/>
      <c r="D97" s="3"/>
      <c r="E97" s="99">
        <v>7</v>
      </c>
      <c r="F97" s="98" t="s">
        <v>93</v>
      </c>
      <c r="G97" s="3"/>
      <c r="H97" s="3"/>
      <c r="I97" s="4"/>
      <c r="J97" s="87"/>
    </row>
    <row r="98" spans="1:10" x14ac:dyDescent="0.3">
      <c r="A98" s="3">
        <v>4</v>
      </c>
      <c r="B98" s="45"/>
      <c r="C98" s="95"/>
      <c r="D98" s="3"/>
      <c r="E98" s="3">
        <v>5</v>
      </c>
      <c r="F98" s="48" t="s">
        <v>78</v>
      </c>
      <c r="G98" s="21"/>
      <c r="H98" s="3"/>
      <c r="I98" s="3"/>
      <c r="J98" s="3"/>
    </row>
    <row r="99" spans="1:10" x14ac:dyDescent="0.3">
      <c r="A99" s="3">
        <v>22</v>
      </c>
      <c r="B99" s="3"/>
      <c r="C99" s="95"/>
      <c r="D99" s="3"/>
      <c r="E99" s="3">
        <v>14</v>
      </c>
      <c r="F99" s="3" t="s">
        <v>79</v>
      </c>
      <c r="G99" s="3"/>
      <c r="H99" s="3"/>
      <c r="I99" s="3"/>
      <c r="J99" s="3"/>
    </row>
  </sheetData>
  <protectedRanges>
    <protectedRange sqref="H84:H86 H76:I76 H88:H99" name="Range1_1_1_1_1_1_1_1_1_1_3_1_1_2_1_1_1_1_1_1_1_1_1_1_1_1_1_2_3_1_1_1_1_1_1_1_1_1_1_1_1_1_1_1_1_1_1_1_2_1_1_1_1_1_1_1_1_1_1_1_1_1_1_1_1_1_1_1_1_1_1_1_1_1_1_1_1_1_1_1_1_2_1_1_1_1_1_1_1_1_1_1_1_1_1_1_1_1_1_1_1_1_1_1_1_1_1_1_1_1_1_1_1_1_1_1_1_1_1_1_1_1_1_1_2"/>
    <protectedRange sqref="F90" name="Range1_1_1_1_1_1_1_1_1_1_3_1_1_2_1_1_1_1_1_1_1_1_1_1_1_1_1_2_3_1_1_1_1_1_1_1_1_1_1_1_1_1_1_1_1_1_1_1_2_1_1_1_1_1_1_1_1_1_1_1_1_1_1_1_1_1_1_1_1_1_1_1_1_1_1_1_1_1_1_1_1_2_1_1_1_1_1_1_1_1_1_1_1_1_1_1_1_1_1_1_1_1_1_1_1_1_1_1_1_1_1_1_1_1_1_1_1_1_1_1_1_1_1_1_3"/>
    <protectedRange sqref="H74:H75" name="Range1_1_1_1_1_1_1_1_1_1_3_1_1_2_1_1_1_1_1_1_1_1_1_1_1_1_1_2_3_1_1_1_1_1_1_1_1_1_1_1_1_1_1_1_1_1_1_1_2_1_1_1_1_1_1_1_1_1_1_1_1_1_1_1_1_1_1_1_1_1_1_1_1_1_1_1_1_1_1_1_1_2_1_1_1_1_1_1_1_1_1_1_1_1_1_1_1_1_1_1_1_1_1_1_1_1_1_1_1_1_1_1_1_1_1_1_1_1_1_1_1_1_1_1_7"/>
    <protectedRange sqref="H70:H73" name="Range1_1_1_1_1_1_1_1_1_1_3_1_1_2_1_1_1_1_1_1_1_1_1_1_1_1_1_2_3_1_1_1_1_1_1_1_1_1_1_1_1_1_1_1_1_1_1_1_2_1_1_1_1_1_1_1_1_1_1_1_1_1_1_1_1_1_1_1_1_1_1_1_1_1_1_1_1_1_1_1_1_2_1_1_1_1_1_1_1_1_1_1_1_1_1_1_1_1_1_1_1_1_1_1_1_1_1_1_1_1_1_1_1_1_1_1_1_1_1_1_1_1_1_1_8"/>
  </protectedRanges>
  <conditionalFormatting sqref="C92:C99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Кайлюбаев Ерлан Сейтканулы</dc:creator>
  <cp:lastModifiedBy>Кайлюбаев Ерлан Сейтканулы</cp:lastModifiedBy>
  <cp:lastPrinted>2026-10-13T01:35:31Z</cp:lastPrinted>
  <dcterms:created xsi:type="dcterms:W3CDTF">2015-06-05T18:17:20Z</dcterms:created>
  <dcterms:modified xsi:type="dcterms:W3CDTF">2026-10-19T02:09:30Z</dcterms:modified>
</cp:coreProperties>
</file>