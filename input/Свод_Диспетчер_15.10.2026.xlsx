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true" localSheetId="2" name="_xlnm._FilterDatabase" vbProcedure="false">'Исходные данные'!$A$1:$L$666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<sst xmlns="http://schemas.openxmlformats.org/spreadsheetml/2006/main" count="6231" uniqueCount="1237">
  <si>
    <t xml:space="preserve">Префикс</t>
  </si>
  <si>
    <t xml:space="preserve">Название типа</t>
  </si>
  <si>
    <t xml:space="preserve">План</t>
  </si>
  <si>
    <t xml:space="preserve">Факт</t>
  </si>
  <si>
    <t xml:space="preserve">Откл</t>
  </si>
  <si>
    <t xml:space="preserve">Всего день</t>
  </si>
  <si>
    <t xml:space="preserve">Всего ночь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</si>
  <si>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</si>
  <si>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</si>
  <si>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</si>
  <si>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</si>
  <si>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</si>
  <si>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</si>
  <si>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</si>
  <si>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</si>
  <si>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</si>
  <si>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</si>
  <si>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</si>
  <si>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</si>
  <si>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</si>
  <si>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</si>
  <si>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</si>
  <si>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</si>
  <si>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</si>
  <si>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</si>
  <si>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</si>
  <si>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</si>
  <si>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</si>
  <si>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</si>
  <si>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</si>
  <si>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</si>
  <si>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</si>
  <si>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</si>
  <si>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</si>
  <si>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</si>
  <si>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</si>
  <si>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</si>
  <si>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</si>
  <si>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</si>
  <si>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ПСО</t>
  </si>
  <si>
    <t xml:space="preserve">ЦТТ</t>
  </si>
  <si>
    <t xml:space="preserve">ЧАКУР мед</t>
  </si>
  <si>
    <t xml:space="preserve">СМУ УТТ</t>
  </si>
  <si>
    <t xml:space="preserve">СБ</t>
  </si>
  <si>
    <t xml:space="preserve">УПТОК</t>
  </si>
  <si>
    <t xml:space="preserve">БПО</t>
  </si>
  <si>
    <t xml:space="preserve">ГУ</t>
  </si>
  <si>
    <t xml:space="preserve">МГС</t>
  </si>
  <si>
    <t xml:space="preserve">РМУ</t>
  </si>
  <si>
    <t xml:space="preserve">IR</t>
  </si>
  <si>
    <t xml:space="preserve">ПЧ</t>
  </si>
  <si>
    <t xml:space="preserve">День</t>
  </si>
  <si>
    <t xml:space="preserve">Ночь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</si>
  <si>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</si>
  <si>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</si>
  <si>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</si>
  <si>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</si>
  <si>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</si>
  <si>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</si>
  <si>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</si>
  <si>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</si>
  <si>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</si>
  <si>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</si>
  <si>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</si>
  <si>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</si>
  <si>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</si>
  <si>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</si>
  <si>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</si>
  <si>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</si>
  <si>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</si>
  <si>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</si>
  <si>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</si>
  <si>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</si>
  <si>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</si>
  <si>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</si>
  <si>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</si>
  <si>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</si>
  <si>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</si>
  <si>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</si>
  <si>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</si>
  <si>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</si>
  <si>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</si>
  <si>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</si>
  <si>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</si>
  <si>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</si>
  <si>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53</t>
  </si>
  <si>
    <t xml:space="preserve">Фронт.погрузчик / Komatsu FD30T-17</t>
  </si>
  <si>
    <t xml:space="preserve">11</t>
  </si>
  <si>
    <t xml:space="preserve">Скорая</t>
  </si>
  <si>
    <t xml:space="preserve">44</t>
  </si>
  <si>
    <t xml:space="preserve">Анкерный Ямобур</t>
  </si>
  <si>
    <t xml:space="preserve">38</t>
  </si>
  <si>
    <t xml:space="preserve">АГП</t>
  </si>
  <si>
    <t xml:space="preserve">59</t>
  </si>
  <si>
    <t xml:space="preserve">Сваб (подъемник)</t>
  </si>
  <si>
    <t xml:space="preserve">16</t>
  </si>
  <si>
    <t xml:space="preserve">Бортовой 1,5т</t>
  </si>
  <si>
    <t xml:space="preserve">40</t>
  </si>
  <si>
    <t xml:space="preserve">Мусоровоз</t>
  </si>
  <si>
    <t xml:space="preserve">56</t>
  </si>
  <si>
    <t xml:space="preserve">Грейдер</t>
  </si>
  <si>
    <t xml:space="preserve">42</t>
  </si>
  <si>
    <t xml:space="preserve">Глубинная лебедка</t>
  </si>
  <si>
    <t xml:space="preserve">24</t>
  </si>
  <si>
    <t xml:space="preserve">Платформа с лебедкой</t>
  </si>
  <si>
    <t xml:space="preserve">51</t>
  </si>
  <si>
    <t xml:space="preserve">Ассенизатор</t>
  </si>
  <si>
    <t xml:space="preserve">37</t>
  </si>
  <si>
    <t xml:space="preserve">Бензовоз, масловоз</t>
  </si>
  <si>
    <t xml:space="preserve">10</t>
  </si>
  <si>
    <t xml:space="preserve">Пожарная машина</t>
  </si>
  <si>
    <t xml:space="preserve">46</t>
  </si>
  <si>
    <t xml:space="preserve">Экскаватор</t>
  </si>
  <si>
    <t xml:space="preserve">62</t>
  </si>
  <si>
    <t xml:space="preserve">АРОК</t>
  </si>
  <si>
    <t xml:space="preserve">35.1</t>
  </si>
  <si>
    <t xml:space="preserve">Сед.тягач с прицепом АЦН 30т</t>
  </si>
  <si>
    <t xml:space="preserve">52</t>
  </si>
  <si>
    <t xml:space="preserve">Трубоукладчик</t>
  </si>
  <si>
    <t xml:space="preserve">54</t>
  </si>
  <si>
    <t xml:space="preserve">Автопогрузчик 1,5т</t>
  </si>
  <si>
    <t xml:space="preserve">36</t>
  </si>
  <si>
    <t xml:space="preserve">Питьевая АЦН</t>
  </si>
  <si>
    <t xml:space="preserve">33</t>
  </si>
  <si>
    <t xml:space="preserve">Компрессор</t>
  </si>
  <si>
    <t xml:space="preserve">45</t>
  </si>
  <si>
    <t xml:space="preserve">Ямобур</t>
  </si>
  <si>
    <t xml:space="preserve">48</t>
  </si>
  <si>
    <t xml:space="preserve">Лаборатория</t>
  </si>
  <si>
    <t xml:space="preserve">18</t>
  </si>
  <si>
    <t xml:space="preserve">Камаз, Маз 6-10т</t>
  </si>
  <si>
    <t xml:space="preserve">32</t>
  </si>
  <si>
    <t xml:space="preserve">Самосвал</t>
  </si>
  <si>
    <t xml:space="preserve">60</t>
  </si>
  <si>
    <t xml:space="preserve">Каток</t>
  </si>
  <si>
    <t xml:space="preserve">57</t>
  </si>
  <si>
    <t xml:space="preserve">Трактор колесный</t>
  </si>
  <si>
    <t xml:space="preserve">57.1</t>
  </si>
  <si>
    <t xml:space="preserve">Трактор колесн. с прицепом</t>
  </si>
  <si>
    <t xml:space="preserve">55</t>
  </si>
  <si>
    <t xml:space="preserve">Погрузчик МКСМ-0,5т</t>
  </si>
  <si>
    <t xml:space="preserve">30</t>
  </si>
  <si>
    <t xml:space="preserve">Кран 50т</t>
  </si>
  <si>
    <t xml:space="preserve">35.2</t>
  </si>
  <si>
    <t xml:space="preserve">Сед.тягач без прицепа АЦН 30т</t>
  </si>
  <si>
    <t xml:space="preserve">22.1</t>
  </si>
  <si>
    <t xml:space="preserve">Эвакуатор</t>
  </si>
  <si>
    <t xml:space="preserve">42.1</t>
  </si>
  <si>
    <t xml:space="preserve">АИС для иссл.скв. с приц</t>
  </si>
  <si>
    <t xml:space="preserve">63</t>
  </si>
  <si>
    <t xml:space="preserve">Автокран 100тн</t>
  </si>
  <si>
    <t xml:space="preserve">19</t>
  </si>
  <si>
    <t xml:space="preserve">Микроавтобус</t>
  </si>
  <si>
    <t xml:space="preserve">29</t>
  </si>
  <si>
    <t xml:space="preserve">Кран 30т</t>
  </si>
  <si>
    <t xml:space="preserve">41</t>
  </si>
  <si>
    <t xml:space="preserve">Термобудка</t>
  </si>
  <si>
    <t xml:space="preserve">43</t>
  </si>
  <si>
    <t xml:space="preserve">Траншеекопатель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</si>
  <si>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</si>
  <si>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</si>
  <si>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</si>
  <si>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15.10.2026ж.</t>
  </si>
  <si>
    <t xml:space="preserve">ППУ</t>
  </si>
  <si>
    <t xml:space="preserve">Автокран (прод.)</t>
  </si>
  <si>
    <t xml:space="preserve">Техника</t>
  </si>
  <si>
    <t xml:space="preserve">34-Н2861/12</t>
  </si>
  <si>
    <t xml:space="preserve">28-3141</t>
  </si>
  <si>
    <t xml:space="preserve">34-Н2875/12</t>
  </si>
  <si>
    <t xml:space="preserve">28-3145н</t>
  </si>
  <si>
    <t xml:space="preserve">34-Н3164/12н</t>
  </si>
  <si>
    <t xml:space="preserve">28-3155н</t>
  </si>
  <si>
    <t xml:space="preserve">34-Н347812д</t>
  </si>
  <si>
    <t xml:space="preserve">28-3156</t>
  </si>
  <si>
    <t xml:space="preserve">34-Н2880/12</t>
  </si>
  <si>
    <t xml:space="preserve">28-3165н</t>
  </si>
  <si>
    <t xml:space="preserve">34-Н301112д</t>
  </si>
  <si>
    <t xml:space="preserve">28-3209</t>
  </si>
  <si>
    <t xml:space="preserve">Вакуум уст.</t>
  </si>
  <si>
    <t xml:space="preserve">34-Н3400/12</t>
  </si>
  <si>
    <t xml:space="preserve">28-3421</t>
  </si>
  <si>
    <t xml:space="preserve">34-Н2797/12</t>
  </si>
  <si>
    <t xml:space="preserve">28-H299612н</t>
  </si>
  <si>
    <t xml:space="preserve">Автокран</t>
  </si>
  <si>
    <t xml:space="preserve">34-Н2892/12</t>
  </si>
  <si>
    <t xml:space="preserve">28-H318712д</t>
  </si>
  <si>
    <t xml:space="preserve">34-Н3391/12</t>
  </si>
  <si>
    <t xml:space="preserve">28-H320212н</t>
  </si>
  <si>
    <t xml:space="preserve">ТРАЛ</t>
  </si>
  <si>
    <t xml:space="preserve">34-821АІ/12д/н</t>
  </si>
  <si>
    <t xml:space="preserve">28-H321412д/н</t>
  </si>
  <si>
    <t xml:space="preserve">34-Н0888/12</t>
  </si>
  <si>
    <t xml:space="preserve">28-Н321512д</t>
  </si>
  <si>
    <t xml:space="preserve">АРОК (КМУ)</t>
  </si>
  <si>
    <t xml:space="preserve">34-Н2855/12</t>
  </si>
  <si>
    <t xml:space="preserve">34-Н2869/12н</t>
  </si>
  <si>
    <t xml:space="preserve">34-Н2893/12</t>
  </si>
  <si>
    <t xml:space="preserve">22-H2894/12</t>
  </si>
  <si>
    <t xml:space="preserve">34-Н3160/12н</t>
  </si>
  <si>
    <t xml:space="preserve">22-H2885/12</t>
  </si>
  <si>
    <t xml:space="preserve">34-Н3407/12</t>
  </si>
  <si>
    <t xml:space="preserve">22-H2639/12</t>
  </si>
  <si>
    <t xml:space="preserve">34-H322012д</t>
  </si>
  <si>
    <t xml:space="preserve">22-H3570/12</t>
  </si>
  <si>
    <t xml:space="preserve">34-H341612д</t>
  </si>
  <si>
    <t xml:space="preserve">22-H2883/12</t>
  </si>
  <si>
    <t xml:space="preserve">34-Н284512н</t>
  </si>
  <si>
    <t xml:space="preserve">22-H2682/12</t>
  </si>
  <si>
    <t xml:space="preserve">Погрузчик</t>
  </si>
  <si>
    <t xml:space="preserve">34-Н284612д</t>
  </si>
  <si>
    <t xml:space="preserve">22-H2856/12</t>
  </si>
  <si>
    <t xml:space="preserve">34-Н287012н</t>
  </si>
  <si>
    <t xml:space="preserve">22-H360612</t>
  </si>
  <si>
    <t xml:space="preserve">Техникаға сұраныс</t>
  </si>
  <si>
    <t xml:space="preserve">34-Н301112н</t>
  </si>
  <si>
    <t xml:space="preserve">22-H1942/12</t>
  </si>
  <si>
    <t xml:space="preserve">34-Н340912д</t>
  </si>
  <si>
    <t xml:space="preserve">22-H2651/12</t>
  </si>
  <si>
    <t xml:space="preserve">22-H2653/12</t>
  </si>
  <si>
    <t xml:space="preserve">22-H269312</t>
  </si>
  <si>
    <t xml:space="preserve">47-451</t>
  </si>
  <si>
    <t xml:space="preserve">22-H2862/12</t>
  </si>
  <si>
    <t xml:space="preserve">47-341</t>
  </si>
  <si>
    <t xml:space="preserve">22-H3036/12</t>
  </si>
  <si>
    <t xml:space="preserve">47-216</t>
  </si>
  <si>
    <t xml:space="preserve">22-H3051/12</t>
  </si>
  <si>
    <t xml:space="preserve">47-640</t>
  </si>
  <si>
    <t xml:space="preserve">47-452</t>
  </si>
  <si>
    <t xml:space="preserve">22-H279412н</t>
  </si>
  <si>
    <t xml:space="preserve">47-219</t>
  </si>
  <si>
    <t xml:space="preserve">22-H296812д</t>
  </si>
  <si>
    <t xml:space="preserve">47-221</t>
  </si>
  <si>
    <t xml:space="preserve">22-H302212д</t>
  </si>
  <si>
    <t xml:space="preserve">47-692</t>
  </si>
  <si>
    <t xml:space="preserve">22-H358812н</t>
  </si>
  <si>
    <t xml:space="preserve">47-693</t>
  </si>
  <si>
    <t xml:space="preserve">22-Н304612н</t>
  </si>
  <si>
    <t xml:space="preserve">22-Н363812д</t>
  </si>
  <si>
    <t xml:space="preserve">49-166AG/12н</t>
  </si>
  <si>
    <t xml:space="preserve">49-H3390/12н</t>
  </si>
  <si>
    <t xml:space="preserve">27-3594</t>
  </si>
  <si>
    <t xml:space="preserve">49-H3446/12</t>
  </si>
  <si>
    <t xml:space="preserve">27-H345812д</t>
  </si>
  <si>
    <t xml:space="preserve">49-Н2960/12</t>
  </si>
  <si>
    <t xml:space="preserve">27-3393</t>
  </si>
  <si>
    <t xml:space="preserve">49-Н3177/12</t>
  </si>
  <si>
    <t xml:space="preserve">27-820</t>
  </si>
  <si>
    <t xml:space="preserve">49-Н1800/12</t>
  </si>
  <si>
    <t xml:space="preserve">27-1512</t>
  </si>
  <si>
    <t xml:space="preserve">49-Н194012</t>
  </si>
  <si>
    <t xml:space="preserve">27-0995</t>
  </si>
  <si>
    <t xml:space="preserve">ЦА-320 (прод.)</t>
  </si>
  <si>
    <t xml:space="preserve">АЦН (прод.)</t>
  </si>
  <si>
    <t xml:space="preserve">49-Н2988/12н</t>
  </si>
  <si>
    <t xml:space="preserve">27-3595</t>
  </si>
  <si>
    <t xml:space="preserve">31-H3430/12</t>
  </si>
  <si>
    <t xml:space="preserve">31-Н2997/12н</t>
  </si>
  <si>
    <t xml:space="preserve">35-2705</t>
  </si>
  <si>
    <t xml:space="preserve">35-2713</t>
  </si>
  <si>
    <t xml:space="preserve">35-3196</t>
  </si>
  <si>
    <t xml:space="preserve">49-H3390/12</t>
  </si>
  <si>
    <t xml:space="preserve">27-Н361712д</t>
  </si>
  <si>
    <t xml:space="preserve">31-H3464/12н</t>
  </si>
  <si>
    <t xml:space="preserve">31-Н3134/12</t>
  </si>
  <si>
    <t xml:space="preserve">35-352</t>
  </si>
  <si>
    <t xml:space="preserve">35-3135</t>
  </si>
  <si>
    <t xml:space="preserve">49-Н1507/12</t>
  </si>
  <si>
    <t xml:space="preserve">27-1009н</t>
  </si>
  <si>
    <t xml:space="preserve">31-H3483/12</t>
  </si>
  <si>
    <t xml:space="preserve">31-Н3151/12н</t>
  </si>
  <si>
    <t xml:space="preserve">35-206 d/n</t>
  </si>
  <si>
    <t xml:space="preserve">35-3136</t>
  </si>
  <si>
    <t xml:space="preserve">49-Н1545/12н</t>
  </si>
  <si>
    <t xml:space="preserve">27-1523</t>
  </si>
  <si>
    <t xml:space="preserve">31-Н1107/12н</t>
  </si>
  <si>
    <t xml:space="preserve">31-Н3152/12</t>
  </si>
  <si>
    <t xml:space="preserve">35-215</t>
  </si>
  <si>
    <t xml:space="preserve">35-3153</t>
  </si>
  <si>
    <t xml:space="preserve">50-AKE023R</t>
  </si>
  <si>
    <t xml:space="preserve">49-Н3177/12н</t>
  </si>
  <si>
    <t xml:space="preserve">27-3388д/н</t>
  </si>
  <si>
    <t xml:space="preserve">31-Н1559/12</t>
  </si>
  <si>
    <t xml:space="preserve">31-H296312н</t>
  </si>
  <si>
    <t xml:space="preserve">35-219</t>
  </si>
  <si>
    <t xml:space="preserve">35-3204</t>
  </si>
  <si>
    <t xml:space="preserve">50-AKE024R</t>
  </si>
  <si>
    <t xml:space="preserve">49-Н3192/12</t>
  </si>
  <si>
    <t xml:space="preserve">27-3651н</t>
  </si>
  <si>
    <t xml:space="preserve">31-Н2980/12</t>
  </si>
  <si>
    <t xml:space="preserve">31-H304012д/н</t>
  </si>
  <si>
    <t xml:space="preserve">35-228</t>
  </si>
  <si>
    <t xml:space="preserve">35-337</t>
  </si>
  <si>
    <t xml:space="preserve">49-H304112н</t>
  </si>
  <si>
    <t xml:space="preserve">27-3655</t>
  </si>
  <si>
    <t xml:space="preserve">31-Н2994/12н</t>
  </si>
  <si>
    <t xml:space="preserve">31-H304312д</t>
  </si>
  <si>
    <t xml:space="preserve">35-2291</t>
  </si>
  <si>
    <t xml:space="preserve">35-341</t>
  </si>
  <si>
    <t xml:space="preserve">49-H343912д</t>
  </si>
  <si>
    <t xml:space="preserve">27-Н342812н</t>
  </si>
  <si>
    <t xml:space="preserve">31-Н3002/12</t>
  </si>
  <si>
    <t xml:space="preserve">31-H341412н</t>
  </si>
  <si>
    <t xml:space="preserve">35-2714</t>
  </si>
  <si>
    <t xml:space="preserve">35-3564</t>
  </si>
  <si>
    <t xml:space="preserve">53-R963AKE</t>
  </si>
  <si>
    <t xml:space="preserve">27-Н348112д</t>
  </si>
  <si>
    <t xml:space="preserve">31-Н3006/12</t>
  </si>
  <si>
    <t xml:space="preserve">31-H346012д</t>
  </si>
  <si>
    <t xml:space="preserve">35-2715</t>
  </si>
  <si>
    <t xml:space="preserve">35-827</t>
  </si>
  <si>
    <t xml:space="preserve">53-R969AKE</t>
  </si>
  <si>
    <t xml:space="preserve">27-Н358912д</t>
  </si>
  <si>
    <t xml:space="preserve">31-Н3015/12</t>
  </si>
  <si>
    <t xml:space="preserve">31-Н297912н</t>
  </si>
  <si>
    <t xml:space="preserve">35-2716</t>
  </si>
  <si>
    <t xml:space="preserve">35-968</t>
  </si>
  <si>
    <t xml:space="preserve">53-967</t>
  </si>
  <si>
    <t xml:space="preserve">28-647</t>
  </si>
  <si>
    <t xml:space="preserve">60-27-131AP12</t>
  </si>
  <si>
    <t xml:space="preserve">31-Н3162/12</t>
  </si>
  <si>
    <t xml:space="preserve">31-Н301812д</t>
  </si>
  <si>
    <t xml:space="preserve">35-2939</t>
  </si>
  <si>
    <t xml:space="preserve">35-967AG12д</t>
  </si>
  <si>
    <t xml:space="preserve">53-599</t>
  </si>
  <si>
    <t xml:space="preserve">28-3190</t>
  </si>
  <si>
    <t xml:space="preserve">60-27-635AV12</t>
  </si>
  <si>
    <t xml:space="preserve">31-Н3205/12</t>
  </si>
  <si>
    <t xml:space="preserve">31-Н322412д</t>
  </si>
  <si>
    <t xml:space="preserve">35-3180</t>
  </si>
  <si>
    <t xml:space="preserve">35-987АC12н</t>
  </si>
  <si>
    <t xml:space="preserve">53-961</t>
  </si>
  <si>
    <t xml:space="preserve">28-2889</t>
  </si>
  <si>
    <t xml:space="preserve">31-863AI/12н</t>
  </si>
  <si>
    <t xml:space="preserve">31-Н347512н</t>
  </si>
  <si>
    <t xml:space="preserve">35-3218 d/n</t>
  </si>
  <si>
    <t xml:space="preserve">35-H314912н</t>
  </si>
  <si>
    <t xml:space="preserve">53-970</t>
  </si>
  <si>
    <t xml:space="preserve">28-3167</t>
  </si>
  <si>
    <t xml:space="preserve">31-893AI/12н</t>
  </si>
  <si>
    <t xml:space="preserve">35-349</t>
  </si>
  <si>
    <t xml:space="preserve">35-H316912д</t>
  </si>
  <si>
    <t xml:space="preserve">53-020д/н</t>
  </si>
  <si>
    <t xml:space="preserve">28-1105д</t>
  </si>
  <si>
    <t xml:space="preserve">31-Н0004/12н</t>
  </si>
  <si>
    <t xml:space="preserve">31-H3049/12</t>
  </si>
  <si>
    <t xml:space="preserve">35-847</t>
  </si>
  <si>
    <t xml:space="preserve">35-H317112д</t>
  </si>
  <si>
    <t xml:space="preserve">53-968</t>
  </si>
  <si>
    <t xml:space="preserve">28-2977</t>
  </si>
  <si>
    <t xml:space="preserve">31-Н1560/12</t>
  </si>
  <si>
    <t xml:space="preserve">31-H3049/12н</t>
  </si>
  <si>
    <t xml:space="preserve">35-217</t>
  </si>
  <si>
    <t xml:space="preserve">35-216</t>
  </si>
  <si>
    <t xml:space="preserve">35-H317312д</t>
  </si>
  <si>
    <t xml:space="preserve">53-R964AKE</t>
  </si>
  <si>
    <t xml:space="preserve">28-648</t>
  </si>
  <si>
    <t xml:space="preserve">31-Н318312д</t>
  </si>
  <si>
    <t xml:space="preserve">31-H3445/12</t>
  </si>
  <si>
    <t xml:space="preserve">35-348АS12д</t>
  </si>
  <si>
    <t xml:space="preserve">35-218</t>
  </si>
  <si>
    <t xml:space="preserve">35-H323012н</t>
  </si>
  <si>
    <t xml:space="preserve">53-598</t>
  </si>
  <si>
    <t xml:space="preserve">28-2995</t>
  </si>
  <si>
    <t xml:space="preserve">31-Н3016/12</t>
  </si>
  <si>
    <t xml:space="preserve">31-H3474/12н</t>
  </si>
  <si>
    <t xml:space="preserve">35-3569</t>
  </si>
  <si>
    <t xml:space="preserve">35-H358212н</t>
  </si>
  <si>
    <t xml:space="preserve">53-962</t>
  </si>
  <si>
    <t xml:space="preserve">28-3161</t>
  </si>
  <si>
    <t xml:space="preserve">31-Н3047/12</t>
  </si>
  <si>
    <t xml:space="preserve">31-H3486/12н</t>
  </si>
  <si>
    <t xml:space="preserve">35-857</t>
  </si>
  <si>
    <t xml:space="preserve">35-2706</t>
  </si>
  <si>
    <t xml:space="preserve">35-H361412н</t>
  </si>
  <si>
    <t xml:space="preserve">53-966н</t>
  </si>
  <si>
    <t xml:space="preserve">28-1105н</t>
  </si>
  <si>
    <t xml:space="preserve">31-H3013/12</t>
  </si>
  <si>
    <t xml:space="preserve">31-Н2978/12</t>
  </si>
  <si>
    <t xml:space="preserve">35-903AG12д</t>
  </si>
  <si>
    <t xml:space="preserve">35-2708</t>
  </si>
  <si>
    <t xml:space="preserve">35-Н322812д</t>
  </si>
  <si>
    <t xml:space="preserve">28-3140н</t>
  </si>
  <si>
    <t xml:space="preserve">31-H3039/12</t>
  </si>
  <si>
    <t xml:space="preserve">31-Н2982/12</t>
  </si>
  <si>
    <t xml:space="preserve">35-Н317812д</t>
  </si>
  <si>
    <t xml:space="preserve">35-2710</t>
  </si>
  <si>
    <t xml:space="preserve">35-213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</si>
  <si>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</si>
  <si>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</si>
  <si>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</si>
  <si>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</si>
  <si>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</si>
  <si>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</si>
  <si>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</si>
  <si>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</si>
  <si>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</si>
  <si>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(15.10)</t>
  </si>
  <si>
    <t xml:space="preserve">20-3574</t>
  </si>
  <si>
    <t xml:space="preserve">15.10.2026</t>
  </si>
  <si>
    <t xml:space="preserve">F12</t>
  </si>
  <si>
    <t xml:space="preserve">F13</t>
  </si>
  <si>
    <t xml:space="preserve">серая заливка без буквы → ночь</t>
  </si>
  <si>
    <t xml:space="preserve">H3</t>
  </si>
  <si>
    <t xml:space="preserve">ДТТ</t>
  </si>
  <si>
    <t xml:space="preserve">20-614760</t>
  </si>
  <si>
    <t xml:space="preserve">H4</t>
  </si>
  <si>
    <t xml:space="preserve">20-0592</t>
  </si>
  <si>
    <t xml:space="preserve">H5</t>
  </si>
  <si>
    <t xml:space="preserve">20-3397</t>
  </si>
  <si>
    <t xml:space="preserve">H6</t>
  </si>
  <si>
    <t xml:space="preserve">20-3408</t>
  </si>
  <si>
    <t xml:space="preserve">H7</t>
  </si>
  <si>
    <t xml:space="preserve">20-2652</t>
  </si>
  <si>
    <t xml:space="preserve">H8</t>
  </si>
  <si>
    <t xml:space="preserve">20-2695</t>
  </si>
  <si>
    <t xml:space="preserve">G3</t>
  </si>
  <si>
    <t xml:space="preserve">ИГУ</t>
  </si>
  <si>
    <t xml:space="preserve">20-3593</t>
  </si>
  <si>
    <t xml:space="preserve">D12</t>
  </si>
  <si>
    <t xml:space="preserve">OKC</t>
  </si>
  <si>
    <t xml:space="preserve">D13</t>
  </si>
  <si>
    <t xml:space="preserve">D14</t>
  </si>
  <si>
    <t xml:space="preserve">D15</t>
  </si>
  <si>
    <t xml:space="preserve">35.1-2673</t>
  </si>
  <si>
    <t xml:space="preserve">B16</t>
  </si>
  <si>
    <t xml:space="preserve">отд кадр</t>
  </si>
  <si>
    <t xml:space="preserve">20-178</t>
  </si>
  <si>
    <t xml:space="preserve">B9</t>
  </si>
  <si>
    <t xml:space="preserve">РСУ</t>
  </si>
  <si>
    <t xml:space="preserve">20-2689</t>
  </si>
  <si>
    <t xml:space="preserve">A14</t>
  </si>
  <si>
    <t xml:space="preserve">20-2672</t>
  </si>
  <si>
    <t xml:space="preserve">A3</t>
  </si>
  <si>
    <t xml:space="preserve">ЦДН 1</t>
  </si>
  <si>
    <t xml:space="preserve">20-233</t>
  </si>
  <si>
    <t xml:space="preserve">A4</t>
  </si>
  <si>
    <t xml:space="preserve">20-2675</t>
  </si>
  <si>
    <t xml:space="preserve">A5</t>
  </si>
  <si>
    <t xml:space="preserve">35.1-2678</t>
  </si>
  <si>
    <t xml:space="preserve">A6</t>
  </si>
  <si>
    <t xml:space="preserve">A7</t>
  </si>
  <si>
    <t xml:space="preserve">A8</t>
  </si>
  <si>
    <t xml:space="preserve">B3</t>
  </si>
  <si>
    <t xml:space="preserve">ЦДН 2</t>
  </si>
  <si>
    <t xml:space="preserve">B4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</si>
  <si>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</si>
  <si>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</si>
  <si>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</si>
  <si>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</si>
  <si>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</si>
  <si>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</si>
  <si>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</si>
  <si>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</si>
  <si>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</si>
  <si>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</si>
  <si>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</si>
  <si>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</si>
  <si>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</si>
  <si>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</si>
  <si>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E3</t>
  </si>
  <si>
    <t xml:space="preserve">ТМС</t>
  </si>
  <si>
    <t xml:space="preserve">35.2-3025</t>
  </si>
  <si>
    <t xml:space="preserve">F3</t>
  </si>
  <si>
    <t xml:space="preserve">20-149</t>
  </si>
  <si>
    <t xml:space="preserve">E4</t>
  </si>
  <si>
    <t xml:space="preserve">35.2-2984</t>
  </si>
  <si>
    <t xml:space="preserve">F4</t>
  </si>
  <si>
    <t xml:space="preserve">20-175</t>
  </si>
  <si>
    <t xml:space="preserve">E5</t>
  </si>
  <si>
    <t xml:space="preserve">35.2-2952</t>
  </si>
  <si>
    <t xml:space="preserve">F5</t>
  </si>
  <si>
    <t xml:space="preserve">20-181</t>
  </si>
  <si>
    <t xml:space="preserve">E6</t>
  </si>
  <si>
    <t xml:space="preserve">35.2-2972</t>
  </si>
  <si>
    <t xml:space="preserve">F6</t>
  </si>
  <si>
    <t xml:space="preserve">20-2649</t>
  </si>
  <si>
    <t xml:space="preserve">E7</t>
  </si>
  <si>
    <t xml:space="preserve">F7</t>
  </si>
  <si>
    <t xml:space="preserve">20-2694</t>
  </si>
  <si>
    <t xml:space="preserve">E8</t>
  </si>
  <si>
    <t xml:space="preserve">F8</t>
  </si>
  <si>
    <t xml:space="preserve">20-2641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</si>
  <si>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</si>
  <si>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</si>
  <si>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</si>
  <si>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</si>
  <si>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</si>
  <si>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</si>
  <si>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</si>
  <si>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</si>
  <si>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</si>
  <si>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</si>
  <si>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</si>
  <si>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F17</t>
  </si>
  <si>
    <t xml:space="preserve">УТТ КРС</t>
  </si>
  <si>
    <t xml:space="preserve">20-173</t>
  </si>
  <si>
    <t xml:space="preserve">B12</t>
  </si>
  <si>
    <t xml:space="preserve">20-614805</t>
  </si>
  <si>
    <t xml:space="preserve">G6</t>
  </si>
  <si>
    <t xml:space="preserve">ППД</t>
  </si>
  <si>
    <t xml:space="preserve">20-250</t>
  </si>
  <si>
    <t xml:space="preserve">G7</t>
  </si>
  <si>
    <t xml:space="preserve">20-587</t>
  </si>
  <si>
    <t xml:space="preserve">G8</t>
  </si>
  <si>
    <t xml:space="preserve">20-177</t>
  </si>
  <si>
    <t xml:space="preserve">D3</t>
  </si>
  <si>
    <t xml:space="preserve">Эл   цех</t>
  </si>
  <si>
    <t xml:space="preserve">20-262</t>
  </si>
  <si>
    <t xml:space="preserve">D4</t>
  </si>
  <si>
    <t xml:space="preserve">20-194</t>
  </si>
  <si>
    <t xml:space="preserve">D5</t>
  </si>
  <si>
    <t xml:space="preserve">20-198</t>
  </si>
  <si>
    <t xml:space="preserve">I3</t>
  </si>
  <si>
    <t xml:space="preserve">Диспетчер №3 (15.10)</t>
  </si>
  <si>
    <t xml:space="preserve">I5</t>
  </si>
  <si>
    <t xml:space="preserve">I7</t>
  </si>
  <si>
    <t xml:space="preserve">K3</t>
  </si>
  <si>
    <t xml:space="preserve">ГАРАЖ-1</t>
  </si>
  <si>
    <t xml:space="preserve">23-H3578/12</t>
  </si>
  <si>
    <t xml:space="preserve">52-786AKE</t>
  </si>
  <si>
    <t xml:space="preserve">52-AKD677R</t>
  </si>
  <si>
    <t xml:space="preserve">I20</t>
  </si>
  <si>
    <t xml:space="preserve">57-R788AKE</t>
  </si>
  <si>
    <t xml:space="preserve">I21</t>
  </si>
  <si>
    <t xml:space="preserve">23-Н3608</t>
  </si>
  <si>
    <t xml:space="preserve">A9</t>
  </si>
  <si>
    <t xml:space="preserve">A20</t>
  </si>
  <si>
    <t xml:space="preserve">A21</t>
  </si>
  <si>
    <t xml:space="preserve">A22</t>
  </si>
  <si>
    <t xml:space="preserve">A23</t>
  </si>
  <si>
    <t xml:space="preserve">B20</t>
  </si>
  <si>
    <t xml:space="preserve">C16</t>
  </si>
  <si>
    <t xml:space="preserve">C17</t>
  </si>
  <si>
    <t xml:space="preserve">C20</t>
  </si>
  <si>
    <t xml:space="preserve">C22</t>
  </si>
  <si>
    <t xml:space="preserve">C23</t>
  </si>
  <si>
    <t xml:space="preserve">C24</t>
  </si>
  <si>
    <t xml:space="preserve">H13</t>
  </si>
  <si>
    <t xml:space="preserve">H15</t>
  </si>
  <si>
    <t xml:space="preserve">23-Н3568</t>
  </si>
  <si>
    <t xml:space="preserve">ПКРС</t>
  </si>
  <si>
    <t xml:space="preserve">F9</t>
  </si>
  <si>
    <t xml:space="preserve">F15</t>
  </si>
  <si>
    <t xml:space="preserve">F19</t>
  </si>
  <si>
    <t xml:space="preserve">24-Н3634</t>
  </si>
  <si>
    <t xml:space="preserve">F20</t>
  </si>
  <si>
    <t xml:space="preserve">24-Н3649</t>
  </si>
  <si>
    <t xml:space="preserve">F21</t>
  </si>
  <si>
    <t xml:space="preserve">24-Н3598н</t>
  </si>
  <si>
    <t xml:space="preserve">F22</t>
  </si>
  <si>
    <t xml:space="preserve">24-Н3575н</t>
  </si>
  <si>
    <t xml:space="preserve">F23</t>
  </si>
  <si>
    <t xml:space="preserve">44-H3647/12</t>
  </si>
  <si>
    <t xml:space="preserve">F24</t>
  </si>
  <si>
    <t xml:space="preserve">44-H2290/12д/н</t>
  </si>
  <si>
    <t xml:space="preserve">F26</t>
  </si>
  <si>
    <t xml:space="preserve">44-H3561/12н</t>
  </si>
  <si>
    <t xml:space="preserve">F28</t>
  </si>
  <si>
    <t xml:space="preserve">F29</t>
  </si>
  <si>
    <t xml:space="preserve">F30</t>
  </si>
  <si>
    <t xml:space="preserve">F31</t>
  </si>
  <si>
    <t xml:space="preserve">F33</t>
  </si>
  <si>
    <t xml:space="preserve">ПКРС-2</t>
  </si>
  <si>
    <t xml:space="preserve">24-Н3625н</t>
  </si>
  <si>
    <t xml:space="preserve">F34</t>
  </si>
  <si>
    <t xml:space="preserve">24-Н3603</t>
  </si>
  <si>
    <t xml:space="preserve">L4</t>
  </si>
  <si>
    <t xml:space="preserve">ЦПС</t>
  </si>
  <si>
    <t xml:space="preserve">Эл Цех</t>
  </si>
  <si>
    <t xml:space="preserve">45-H3604/12</t>
  </si>
  <si>
    <t xml:space="preserve">D7</t>
  </si>
  <si>
    <t xml:space="preserve">48-H1378/12</t>
  </si>
  <si>
    <t xml:space="preserve">H10</t>
  </si>
  <si>
    <t xml:space="preserve">Диспетчер №7 (ПКРС/ТМС/УТТ, 15.10)</t>
  </si>
  <si>
    <t xml:space="preserve">32-Н270712д</t>
  </si>
  <si>
    <t xml:space="preserve">УТТ</t>
  </si>
  <si>
    <t xml:space="preserve">37-Н319312д</t>
  </si>
  <si>
    <t xml:space="preserve">A2</t>
  </si>
  <si>
    <t xml:space="preserve">B2</t>
  </si>
  <si>
    <t xml:space="preserve">C2</t>
  </si>
  <si>
    <t xml:space="preserve">62-Н360112д</t>
  </si>
  <si>
    <t xml:space="preserve">F2</t>
  </si>
  <si>
    <t xml:space="preserve">ДБ и ПКРС(ТМС)</t>
  </si>
  <si>
    <t xml:space="preserve">32-Н270912д</t>
  </si>
  <si>
    <t xml:space="preserve">F10</t>
  </si>
  <si>
    <t xml:space="preserve">ПКРС (УТТ)</t>
  </si>
  <si>
    <t xml:space="preserve">F14</t>
  </si>
  <si>
    <t xml:space="preserve">F16</t>
  </si>
  <si>
    <t xml:space="preserve">F25</t>
  </si>
  <si>
    <t xml:space="preserve">F27</t>
  </si>
  <si>
    <t xml:space="preserve">F32</t>
  </si>
  <si>
    <t xml:space="preserve">F36</t>
  </si>
  <si>
    <t xml:space="preserve">F37</t>
  </si>
  <si>
    <t xml:space="preserve">F38</t>
  </si>
  <si>
    <t xml:space="preserve">F39</t>
  </si>
  <si>
    <t xml:space="preserve">F40</t>
  </si>
  <si>
    <t xml:space="preserve">F41</t>
  </si>
  <si>
    <t xml:space="preserve">F42</t>
  </si>
  <si>
    <t xml:space="preserve">F43</t>
  </si>
  <si>
    <t xml:space="preserve">F44</t>
  </si>
  <si>
    <t xml:space="preserve">F45</t>
  </si>
  <si>
    <t xml:space="preserve">F47</t>
  </si>
  <si>
    <t xml:space="preserve">44-Н365612н</t>
  </si>
  <si>
    <t xml:space="preserve">F48</t>
  </si>
  <si>
    <t xml:space="preserve">44-Н363712д</t>
  </si>
  <si>
    <t xml:space="preserve">F49</t>
  </si>
  <si>
    <t xml:space="preserve">62-Н359212д</t>
  </si>
  <si>
    <t xml:space="preserve">F50</t>
  </si>
  <si>
    <t xml:space="preserve">F51</t>
  </si>
  <si>
    <t xml:space="preserve">F52</t>
  </si>
  <si>
    <t xml:space="preserve">F53</t>
  </si>
  <si>
    <t xml:space="preserve">F54</t>
  </si>
  <si>
    <t xml:space="preserve">F55</t>
  </si>
  <si>
    <t xml:space="preserve">F57</t>
  </si>
  <si>
    <t xml:space="preserve">F58</t>
  </si>
  <si>
    <t xml:space="preserve">H2</t>
  </si>
  <si>
    <t xml:space="preserve">К-8 (месячный файл, лист 8)</t>
  </si>
  <si>
    <t xml:space="preserve">13-Н2827</t>
  </si>
  <si>
    <t xml:space="preserve">13-Н2826н</t>
  </si>
  <si>
    <t xml:space="preserve">20-Н341312</t>
  </si>
  <si>
    <t xml:space="preserve">G18</t>
  </si>
  <si>
    <t xml:space="preserve">ЭКОЛОГИЯ</t>
  </si>
  <si>
    <t xml:space="preserve">46-465AKD</t>
  </si>
  <si>
    <t xml:space="preserve">G2</t>
  </si>
  <si>
    <t xml:space="preserve">20-152AG12</t>
  </si>
  <si>
    <t xml:space="preserve">С 13-Н2798</t>
  </si>
  <si>
    <t xml:space="preserve">I2</t>
  </si>
  <si>
    <t xml:space="preserve">ОБ и ПКРС</t>
  </si>
  <si>
    <t xml:space="preserve">13-Н2829</t>
  </si>
  <si>
    <t xml:space="preserve">H9</t>
  </si>
  <si>
    <t xml:space="preserve">С13-Н2884</t>
  </si>
  <si>
    <t xml:space="preserve">H18</t>
  </si>
  <si>
    <t xml:space="preserve">56-493ADD</t>
  </si>
  <si>
    <t xml:space="preserve">H19</t>
  </si>
  <si>
    <t xml:space="preserve">56-396ARE</t>
  </si>
  <si>
    <t xml:space="preserve">H20</t>
  </si>
  <si>
    <t xml:space="preserve">56-395ARE</t>
  </si>
  <si>
    <t xml:space="preserve">H21</t>
  </si>
  <si>
    <t xml:space="preserve">46-966ABD</t>
  </si>
  <si>
    <t xml:space="preserve">H22</t>
  </si>
  <si>
    <t xml:space="preserve">H23</t>
  </si>
  <si>
    <t xml:space="preserve">46-967ABD</t>
  </si>
  <si>
    <t xml:space="preserve">G5</t>
  </si>
  <si>
    <t xml:space="preserve">20-176AG12</t>
  </si>
  <si>
    <t xml:space="preserve">D9</t>
  </si>
  <si>
    <t xml:space="preserve">С 13-Н2828н</t>
  </si>
  <si>
    <t xml:space="preserve">K2</t>
  </si>
  <si>
    <t xml:space="preserve">55-R044AKF</t>
  </si>
  <si>
    <t xml:space="preserve">C 13-Н2645</t>
  </si>
  <si>
    <t xml:space="preserve">С 13-Н2851н</t>
  </si>
  <si>
    <t xml:space="preserve">С 13-812АН12</t>
  </si>
  <si>
    <t xml:space="preserve">СМУ / УТТ</t>
  </si>
  <si>
    <t xml:space="preserve">21-Н2987</t>
  </si>
  <si>
    <t xml:space="preserve">21-H2629</t>
  </si>
  <si>
    <t xml:space="preserve">21-H3042</t>
  </si>
  <si>
    <t xml:space="preserve">21-Н2954</t>
  </si>
  <si>
    <t xml:space="preserve">ЦДН № 1</t>
  </si>
  <si>
    <t xml:space="preserve">13-Н2852</t>
  </si>
  <si>
    <t xml:space="preserve">13-Н2850н</t>
  </si>
  <si>
    <t xml:space="preserve">13-Н2833</t>
  </si>
  <si>
    <t xml:space="preserve">ЦДН № 2</t>
  </si>
  <si>
    <t xml:space="preserve">13-Н2879н</t>
  </si>
  <si>
    <t xml:space="preserve">13-Н2890н</t>
  </si>
  <si>
    <t xml:space="preserve">С 13-Н2831</t>
  </si>
  <si>
    <t xml:space="preserve">B6</t>
  </si>
  <si>
    <t xml:space="preserve">20-Н267412</t>
  </si>
  <si>
    <t xml:space="preserve">13-779BUн</t>
  </si>
  <si>
    <t xml:space="preserve">13-Н2859</t>
  </si>
  <si>
    <t xml:space="preserve">20-179AG12</t>
  </si>
  <si>
    <t xml:space="preserve">20-174AG12</t>
  </si>
  <si>
    <t xml:space="preserve">13-Н2842</t>
  </si>
  <si>
    <t xml:space="preserve">20-H356312</t>
  </si>
  <si>
    <t xml:space="preserve">I18</t>
  </si>
  <si>
    <t xml:space="preserve">ПКРС/ТМС</t>
  </si>
  <si>
    <t xml:space="preserve">ПКРС / УТТ</t>
  </si>
  <si>
    <t xml:space="preserve">13-Н2841</t>
  </si>
  <si>
    <t xml:space="preserve">B10</t>
  </si>
  <si>
    <t xml:space="preserve">13-Н2843</t>
  </si>
  <si>
    <t xml:space="preserve">B11</t>
  </si>
  <si>
    <t xml:space="preserve">13-Н2849н</t>
  </si>
  <si>
    <t xml:space="preserve">13-Н2848д/н</t>
  </si>
  <si>
    <t xml:space="preserve">B13</t>
  </si>
  <si>
    <t xml:space="preserve">13-096AO12н</t>
  </si>
  <si>
    <t xml:space="preserve">B15</t>
  </si>
  <si>
    <t xml:space="preserve">20-Н269712</t>
  </si>
  <si>
    <t xml:space="preserve">D2</t>
  </si>
  <si>
    <t xml:space="preserve">ЦПП-МПГУ</t>
  </si>
  <si>
    <t xml:space="preserve">13-Н2847д/н</t>
  </si>
  <si>
    <t xml:space="preserve">20-124AG12</t>
  </si>
  <si>
    <t xml:space="preserve">D6</t>
  </si>
  <si>
    <t xml:space="preserve">20-586AI12</t>
  </si>
  <si>
    <t xml:space="preserve">J2</t>
  </si>
  <si>
    <t xml:space="preserve">13-Н2836</t>
  </si>
  <si>
    <t xml:space="preserve">J3</t>
  </si>
  <si>
    <t xml:space="preserve">13-Н2837</t>
  </si>
  <si>
    <t xml:space="preserve">20-H361512</t>
  </si>
  <si>
    <t xml:space="preserve">С 13-Н2882</t>
  </si>
  <si>
    <t xml:space="preserve">A10</t>
  </si>
  <si>
    <t xml:space="preserve">С 13-Н2888</t>
  </si>
  <si>
    <t xml:space="preserve">A11</t>
  </si>
  <si>
    <t xml:space="preserve">С 13-H359912</t>
  </si>
  <si>
    <t xml:space="preserve">A12</t>
  </si>
  <si>
    <t xml:space="preserve">С 13-759BUд/н</t>
  </si>
  <si>
    <t xml:space="preserve">A13</t>
  </si>
  <si>
    <t xml:space="preserve">20-Н343512</t>
  </si>
  <si>
    <t xml:space="preserve">20-Н348212</t>
  </si>
  <si>
    <t xml:space="preserve">A15</t>
  </si>
  <si>
    <t xml:space="preserve">20-247AG12н</t>
  </si>
  <si>
    <t xml:space="preserve">E2</t>
  </si>
  <si>
    <t xml:space="preserve">Электро           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</si>
  <si>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</si>
  <si>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</si>
  <si>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</si>
  <si>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</si>
  <si>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</si>
  <si>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</si>
  <si>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</si>
  <si>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</si>
  <si>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</si>
  <si>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</si>
  <si>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P3</t>
  </si>
  <si>
    <t xml:space="preserve">Мобил Сервис (60-…)</t>
  </si>
  <si>
    <t xml:space="preserve">60-13-096YX12</t>
  </si>
  <si>
    <t xml:space="preserve">Эколог</t>
  </si>
  <si>
    <t xml:space="preserve">60-13-536BA12</t>
  </si>
  <si>
    <t xml:space="preserve">B18</t>
  </si>
  <si>
    <t xml:space="preserve">60-40-093AS12</t>
  </si>
  <si>
    <t xml:space="preserve">B19</t>
  </si>
  <si>
    <t xml:space="preserve">60-40-754AEX12</t>
  </si>
  <si>
    <t xml:space="preserve">60-40-136AT12</t>
  </si>
  <si>
    <t xml:space="preserve">B21</t>
  </si>
  <si>
    <t xml:space="preserve">60-40-383AAY12</t>
  </si>
  <si>
    <t xml:space="preserve">Газ.цех</t>
  </si>
  <si>
    <t xml:space="preserve">60-13-983АS12</t>
  </si>
  <si>
    <t xml:space="preserve">60-13-754AY12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</si>
  <si>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</si>
  <si>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</si>
  <si>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</si>
  <si>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</si>
  <si>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</si>
  <si>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60-13-148AN12</t>
  </si>
  <si>
    <t xml:space="preserve">H14</t>
  </si>
  <si>
    <t xml:space="preserve">60-13-839AKX12</t>
  </si>
  <si>
    <t xml:space="preserve">60-13-956AR12</t>
  </si>
  <si>
    <t xml:space="preserve">60-13-607BD12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</si>
  <si>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</si>
  <si>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</si>
  <si>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</si>
  <si>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</si>
  <si>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</si>
  <si>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</si>
  <si>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</si>
  <si>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</si>
  <si>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60-13-779ALC12</t>
  </si>
  <si>
    <t xml:space="preserve">Q27</t>
  </si>
  <si>
    <t xml:space="preserve">60-13-097YS12</t>
  </si>
  <si>
    <t xml:space="preserve">ИГУ ОТР</t>
  </si>
  <si>
    <t xml:space="preserve">60-13-925AUA12</t>
  </si>
  <si>
    <t xml:space="preserve">M3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</si>
  <si>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</si>
  <si>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</si>
  <si>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</si>
  <si>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</si>
  <si>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</si>
  <si>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M6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</si>
  <si>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</si>
  <si>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</si>
  <si>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</si>
  <si>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</si>
  <si>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</si>
  <si>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</si>
  <si>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</si>
  <si>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</si>
  <si>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</si>
  <si>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J9</t>
  </si>
  <si>
    <t xml:space="preserve">60-13-816AKU12</t>
  </si>
  <si>
    <t xml:space="preserve">J10</t>
  </si>
  <si>
    <t xml:space="preserve">60-13-258AL12д/н</t>
  </si>
  <si>
    <t xml:space="preserve">J11</t>
  </si>
  <si>
    <t xml:space="preserve">60-13-625AKG12</t>
  </si>
  <si>
    <t xml:space="preserve">L3</t>
  </si>
  <si>
    <t xml:space="preserve">60-13-091MA12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</si>
  <si>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</si>
  <si>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</si>
  <si>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</si>
  <si>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</si>
  <si>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</si>
  <si>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</si>
  <si>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</si>
  <si>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</si>
  <si>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</si>
  <si>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</si>
  <si>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</si>
  <si>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</si>
  <si>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</si>
  <si>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</si>
  <si>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</si>
  <si>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</si>
  <si>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</si>
  <si>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</si>
  <si>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</si>
  <si>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</si>
  <si>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</si>
  <si>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</si>
  <si>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</si>
  <si>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</si>
  <si>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</si>
  <si>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</si>
  <si>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</si>
  <si>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B24</t>
  </si>
  <si>
    <t xml:space="preserve">60-13-258AY12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</si>
  <si>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</si>
  <si>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</si>
  <si>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</si>
  <si>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</si>
  <si>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</si>
  <si>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</si>
  <si>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</si>
  <si>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</si>
  <si>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</si>
  <si>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</si>
  <si>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</si>
  <si>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</si>
  <si>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B5</t>
  </si>
  <si>
    <t xml:space="preserve">60-13-540AР12</t>
  </si>
  <si>
    <t xml:space="preserve">60-13-070ZER12</t>
  </si>
  <si>
    <t xml:space="preserve">B7</t>
  </si>
  <si>
    <t xml:space="preserve">60-13-598BD12</t>
  </si>
  <si>
    <t xml:space="preserve">R23</t>
  </si>
  <si>
    <t xml:space="preserve">60-13-649ВE12</t>
  </si>
  <si>
    <t xml:space="preserve">R24</t>
  </si>
  <si>
    <t xml:space="preserve">60-20-948BH12</t>
  </si>
  <si>
    <t xml:space="preserve">R3</t>
  </si>
  <si>
    <t xml:space="preserve">60-13-896АR12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</si>
  <si>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</si>
  <si>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</si>
  <si>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</si>
  <si>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</si>
  <si>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</si>
  <si>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</si>
  <si>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</si>
  <si>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</si>
  <si>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</si>
  <si>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</si>
  <si>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</si>
  <si>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</si>
  <si>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</si>
  <si>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</si>
  <si>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</si>
  <si>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</si>
  <si>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</si>
  <si>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</si>
  <si>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</si>
  <si>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</t>
  </si>
  <si>
    <t xml:space="preserve">60-13-729AP12</t>
  </si>
  <si>
    <t xml:space="preserve">60-13-209AT12</t>
  </si>
  <si>
    <t xml:space="preserve">60-13-975АR12</t>
  </si>
  <si>
    <t xml:space="preserve">C34</t>
  </si>
  <si>
    <t xml:space="preserve">60-13-877AR12</t>
  </si>
  <si>
    <t xml:space="preserve">C37</t>
  </si>
  <si>
    <t xml:space="preserve">60-20-830AQ12</t>
  </si>
  <si>
    <t xml:space="preserve">60-13-989BC12</t>
  </si>
  <si>
    <t xml:space="preserve">60-20-751AY12</t>
  </si>
  <si>
    <t xml:space="preserve">60-13-825AKY12</t>
  </si>
  <si>
    <t xml:space="preserve">60-20-719BJ12</t>
  </si>
  <si>
    <t xml:space="preserve">60-13-051AT12</t>
  </si>
  <si>
    <t xml:space="preserve">60-20-824ВС12</t>
  </si>
  <si>
    <t xml:space="preserve">60-13-734AP12</t>
  </si>
  <si>
    <t xml:space="preserve">60-13-043AZ12</t>
  </si>
  <si>
    <t xml:space="preserve">D8</t>
  </si>
  <si>
    <t xml:space="preserve">60-13-856AKO12</t>
  </si>
  <si>
    <t xml:space="preserve">60-13-497AY12</t>
  </si>
  <si>
    <t xml:space="preserve">D10</t>
  </si>
  <si>
    <t xml:space="preserve">60-13-688АIS12</t>
  </si>
  <si>
    <t xml:space="preserve">D11</t>
  </si>
  <si>
    <t xml:space="preserve">60-13-087ALB12</t>
  </si>
  <si>
    <t xml:space="preserve">60-13-178AV12</t>
  </si>
  <si>
    <t xml:space="preserve">60-13-021AU12</t>
  </si>
  <si>
    <t xml:space="preserve">60-13-530BD12</t>
  </si>
  <si>
    <t xml:space="preserve">ЦДН № 3</t>
  </si>
  <si>
    <t xml:space="preserve">60-13-938BC12</t>
  </si>
  <si>
    <t xml:space="preserve">60-13-014AU12</t>
  </si>
  <si>
    <t xml:space="preserve">60-13-476BH12</t>
  </si>
  <si>
    <t xml:space="preserve">60-13-233AT12</t>
  </si>
  <si>
    <t xml:space="preserve">60-13-941BC12</t>
  </si>
  <si>
    <t xml:space="preserve">60-13-331AT12</t>
  </si>
  <si>
    <t xml:space="preserve">60-13-963АR12</t>
  </si>
  <si>
    <t xml:space="preserve">60-13-233АКZ12</t>
  </si>
  <si>
    <t xml:space="preserve">60-13-763BC12</t>
  </si>
  <si>
    <t xml:space="preserve">60-13-740BC12</t>
  </si>
  <si>
    <t xml:space="preserve">60-13-170BKO02</t>
  </si>
  <si>
    <t xml:space="preserve">60-13-256AKW12</t>
  </si>
  <si>
    <t xml:space="preserve">60-13-094YS12</t>
  </si>
  <si>
    <t xml:space="preserve">60-13-764BC12</t>
  </si>
  <si>
    <t xml:space="preserve">60-13-967АR12</t>
  </si>
  <si>
    <t xml:space="preserve">F18</t>
  </si>
  <si>
    <t xml:space="preserve">60-13-472АКМ12</t>
  </si>
  <si>
    <t xml:space="preserve">60-13-759ALN12</t>
  </si>
  <si>
    <t xml:space="preserve">60-13-452BD12</t>
  </si>
  <si>
    <t xml:space="preserve">60-20-821BH12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</si>
  <si>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</si>
  <si>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</si>
  <si>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</si>
  <si>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</si>
  <si>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I9</t>
  </si>
  <si>
    <t xml:space="preserve">60-13-618AYC01</t>
  </si>
  <si>
    <t xml:space="preserve">L20</t>
  </si>
  <si>
    <t xml:space="preserve">60-13-792ВС12</t>
  </si>
  <si>
    <t xml:space="preserve">L21</t>
  </si>
  <si>
    <t xml:space="preserve">60-13-187AV12</t>
  </si>
  <si>
    <t xml:space="preserve">L22</t>
  </si>
  <si>
    <t xml:space="preserve">60-13-736AY12</t>
  </si>
  <si>
    <t xml:space="preserve">L23</t>
  </si>
  <si>
    <t xml:space="preserve">60-13-907AS12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</si>
  <si>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</si>
  <si>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</si>
  <si>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</si>
  <si>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</si>
  <si>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</si>
  <si>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</si>
  <si>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</si>
  <si>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</si>
  <si>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</si>
  <si>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N4</t>
  </si>
  <si>
    <t xml:space="preserve">60-13-015YX12</t>
  </si>
  <si>
    <t xml:space="preserve">N5</t>
  </si>
  <si>
    <t xml:space="preserve">60-13-988BC12</t>
  </si>
  <si>
    <t xml:space="preserve">N6</t>
  </si>
  <si>
    <t xml:space="preserve">60-13-192AL12</t>
  </si>
  <si>
    <t xml:space="preserve">N7</t>
  </si>
  <si>
    <t xml:space="preserve">60-13-045AT12</t>
  </si>
  <si>
    <t xml:space="preserve">N8</t>
  </si>
  <si>
    <t xml:space="preserve">60-13-453BD12</t>
  </si>
  <si>
    <t xml:space="preserve">N9</t>
  </si>
  <si>
    <t xml:space="preserve">60-13-230AKU12</t>
  </si>
  <si>
    <t xml:space="preserve">N10</t>
  </si>
  <si>
    <t xml:space="preserve">60-13-431АY12</t>
  </si>
  <si>
    <t xml:space="preserve">N11</t>
  </si>
  <si>
    <t xml:space="preserve">60-13-311AT12</t>
  </si>
  <si>
    <t xml:space="preserve">N12</t>
  </si>
  <si>
    <t xml:space="preserve">60-13-096YS12</t>
  </si>
  <si>
    <t xml:space="preserve">N13</t>
  </si>
  <si>
    <t xml:space="preserve">60-13-974АR12</t>
  </si>
  <si>
    <t xml:space="preserve">N14</t>
  </si>
  <si>
    <t xml:space="preserve">60-13-092MA12</t>
  </si>
  <si>
    <t xml:space="preserve">N15</t>
  </si>
  <si>
    <t xml:space="preserve">60-13-459BD12</t>
  </si>
  <si>
    <t xml:space="preserve">N16</t>
  </si>
  <si>
    <t xml:space="preserve">60-13-692BO</t>
  </si>
  <si>
    <t xml:space="preserve">N17</t>
  </si>
  <si>
    <t xml:space="preserve">60-13-187AW12д/н</t>
  </si>
  <si>
    <t xml:space="preserve">N18</t>
  </si>
  <si>
    <t xml:space="preserve">60-13-074YX12</t>
  </si>
  <si>
    <t xml:space="preserve">N19</t>
  </si>
  <si>
    <t xml:space="preserve">60-13-231AT12</t>
  </si>
  <si>
    <t xml:space="preserve">N22</t>
  </si>
  <si>
    <t xml:space="preserve">60-16-665AО12</t>
  </si>
  <si>
    <t xml:space="preserve">N23</t>
  </si>
  <si>
    <t xml:space="preserve">60-16-390AL12</t>
  </si>
  <si>
    <t xml:space="preserve">N24</t>
  </si>
  <si>
    <t xml:space="preserve">60-16-544АР12</t>
  </si>
  <si>
    <t xml:space="preserve">N25</t>
  </si>
  <si>
    <t xml:space="preserve">60-16-637AP12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</si>
  <si>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</si>
  <si>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</si>
  <si>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</si>
  <si>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</si>
  <si>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</si>
  <si>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</si>
  <si>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</si>
  <si>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</si>
  <si>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</si>
  <si>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</si>
  <si>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</si>
  <si>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</si>
  <si>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</t>
  </si>
  <si>
    <t xml:space="preserve">Q4</t>
  </si>
  <si>
    <t xml:space="preserve">60-13-987AR12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</si>
  <si>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</si>
  <si>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</si>
  <si>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</si>
  <si>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</si>
  <si>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</si>
  <si>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</si>
  <si>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</si>
  <si>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</si>
  <si>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</si>
  <si>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60-13-803BJ12</t>
  </si>
  <si>
    <t xml:space="preserve">Q17</t>
  </si>
  <si>
    <t xml:space="preserve">МПГУ-8</t>
  </si>
  <si>
    <t xml:space="preserve">60-20-320ВЕ12</t>
  </si>
  <si>
    <t xml:space="preserve">Q18</t>
  </si>
  <si>
    <t xml:space="preserve">60-20-904BС12</t>
  </si>
  <si>
    <t xml:space="preserve">Q19</t>
  </si>
  <si>
    <t xml:space="preserve">60-20-383BE12</t>
  </si>
  <si>
    <t xml:space="preserve">60-13-791ВС12</t>
  </si>
  <si>
    <t xml:space="preserve">G4</t>
  </si>
  <si>
    <t xml:space="preserve">60-13-183AV12</t>
  </si>
  <si>
    <t xml:space="preserve">60-13-149AV12</t>
  </si>
  <si>
    <t xml:space="preserve">60-13-881AW12</t>
  </si>
  <si>
    <t xml:space="preserve">60-13-899АR12</t>
  </si>
  <si>
    <t xml:space="preserve">60-13-745ВС12</t>
  </si>
  <si>
    <t xml:space="preserve">G9</t>
  </si>
  <si>
    <t xml:space="preserve">60-13-632BJ12</t>
  </si>
  <si>
    <t xml:space="preserve">G10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</si>
  <si>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</si>
  <si>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</si>
  <si>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</si>
  <si>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</si>
  <si>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</si>
  <si>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</si>
  <si>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</t>
  </si>
  <si>
    <t xml:space="preserve">60-13-938BF12</t>
  </si>
  <si>
    <t xml:space="preserve">60-38-635AI12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</si>
  <si>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</si>
  <si>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</si>
  <si>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</si>
  <si>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</si>
  <si>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</si>
  <si>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</si>
  <si>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60-13-091YS12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</si>
  <si>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</si>
  <si>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</si>
  <si>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</si>
  <si>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</si>
  <si>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</si>
  <si>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</si>
  <si>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</si>
  <si>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</si>
  <si>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</si>
  <si>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</si>
  <si>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</si>
  <si>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</si>
  <si>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</si>
  <si>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</si>
  <si>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</si>
  <si>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</si>
  <si>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</si>
  <si>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</si>
  <si>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</si>
  <si>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</si>
  <si>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</si>
  <si>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</si>
  <si>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</si>
  <si>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</si>
  <si>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</si>
  <si>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</si>
  <si>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60-13-731AP12</t>
  </si>
  <si>
    <t xml:space="preserve">I17</t>
  </si>
  <si>
    <t xml:space="preserve">Ақпар 01-31.10 (С13…)</t>
  </si>
  <si>
    <t xml:space="preserve">оппоIR</t>
  </si>
  <si>
    <t xml:space="preserve">С13-Н1074/12</t>
  </si>
  <si>
    <t xml:space="preserve">С13-Н2817/12</t>
  </si>
  <si>
    <t xml:space="preserve">С13-Н3621/12</t>
  </si>
  <si>
    <t xml:space="preserve">С13-Н2832/12</t>
  </si>
  <si>
    <t xml:space="preserve">С13-H098912</t>
  </si>
  <si>
    <t xml:space="preserve">13-H2807/12д</t>
  </si>
  <si>
    <t xml:space="preserve">розовая заливка (одна машина в двух отделах)</t>
  </si>
  <si>
    <t xml:space="preserve">37-H2967/12</t>
  </si>
  <si>
    <t xml:space="preserve">G17</t>
  </si>
  <si>
    <t xml:space="preserve">С13-769ABZ06</t>
  </si>
  <si>
    <t xml:space="preserve">С13-344AGV06</t>
  </si>
  <si>
    <t xml:space="preserve">A17</t>
  </si>
  <si>
    <t xml:space="preserve">13-132AGU/06</t>
  </si>
  <si>
    <t xml:space="preserve">H17</t>
  </si>
  <si>
    <t xml:space="preserve">C13-152IPB/02</t>
  </si>
  <si>
    <t xml:space="preserve">C13-H2663/12</t>
  </si>
  <si>
    <t xml:space="preserve">13-H2821/12н</t>
  </si>
  <si>
    <t xml:space="preserve">С13-Н3558/12</t>
  </si>
  <si>
    <t xml:space="preserve">13-H2807/12н</t>
  </si>
  <si>
    <t xml:space="preserve">13-H287712</t>
  </si>
  <si>
    <t xml:space="preserve">13-Н2838/12</t>
  </si>
  <si>
    <t xml:space="preserve">21-Н3159/12д/н</t>
  </si>
  <si>
    <t xml:space="preserve">22.1-Н364412</t>
  </si>
  <si>
    <t xml:space="preserve">C13-H2806/12</t>
  </si>
  <si>
    <t xml:space="preserve">С12-H110812</t>
  </si>
  <si>
    <t xml:space="preserve">С12-H269212</t>
  </si>
  <si>
    <t xml:space="preserve">С13-766ВU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</si>
  <si>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</si>
  <si>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</si>
  <si>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</si>
  <si>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</si>
  <si>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13-818AHM06</t>
  </si>
  <si>
    <t xml:space="preserve">B17</t>
  </si>
  <si>
    <t xml:space="preserve">13-916ACB/06</t>
  </si>
  <si>
    <t xml:space="preserve">D17</t>
  </si>
  <si>
    <t xml:space="preserve">13-787ATP01</t>
  </si>
  <si>
    <t xml:space="preserve">Одтел кадр</t>
  </si>
  <si>
    <t xml:space="preserve">12-Н798399/12</t>
  </si>
  <si>
    <t xml:space="preserve">E21</t>
  </si>
  <si>
    <t xml:space="preserve">18-Н0875/12</t>
  </si>
  <si>
    <t xml:space="preserve">С13-801BF/06</t>
  </si>
  <si>
    <t xml:space="preserve">С13-Н2818/12</t>
  </si>
  <si>
    <t xml:space="preserve">С13-H0986/12</t>
  </si>
  <si>
    <t xml:space="preserve">С13-Н2801/12</t>
  </si>
  <si>
    <t xml:space="preserve">С13-Н2819/12</t>
  </si>
  <si>
    <t xml:space="preserve">С13-Н2823/12</t>
  </si>
  <si>
    <t xml:space="preserve">С13-Н2824/12</t>
  </si>
  <si>
    <t xml:space="preserve">13-521AFL06</t>
  </si>
  <si>
    <t xml:space="preserve">С13-Н3631/12</t>
  </si>
  <si>
    <t xml:space="preserve">13-H290АН/12</t>
  </si>
  <si>
    <t xml:space="preserve">С13-H2691/12</t>
  </si>
  <si>
    <t xml:space="preserve">С13-H2648/12</t>
  </si>
  <si>
    <t xml:space="preserve">С13-H2642/12</t>
  </si>
  <si>
    <t xml:space="preserve">B8</t>
  </si>
  <si>
    <t xml:space="preserve">С13-796BD06</t>
  </si>
  <si>
    <t xml:space="preserve">С13-648AMY01</t>
  </si>
  <si>
    <t xml:space="preserve">С13-642AMY01</t>
  </si>
  <si>
    <t xml:space="preserve">С13-344OCZ06</t>
  </si>
  <si>
    <t xml:space="preserve">С13-H2698/12н</t>
  </si>
  <si>
    <t xml:space="preserve">C13-H2718/12н</t>
  </si>
  <si>
    <t xml:space="preserve">B14</t>
  </si>
  <si>
    <t xml:space="preserve">13-H2685/12н</t>
  </si>
  <si>
    <t xml:space="preserve">B22</t>
  </si>
  <si>
    <t xml:space="preserve">B23</t>
  </si>
  <si>
    <t xml:space="preserve">13-708АЕХн</t>
  </si>
  <si>
    <t xml:space="preserve">С13-762AMY01</t>
  </si>
  <si>
    <t xml:space="preserve">С13-848AO12</t>
  </si>
  <si>
    <t xml:space="preserve">С13-H2659/12</t>
  </si>
  <si>
    <t xml:space="preserve">С13-H2813/12</t>
  </si>
  <si>
    <t xml:space="preserve">С13-H2815/12</t>
  </si>
  <si>
    <t xml:space="preserve">С13-Н3587/12</t>
  </si>
  <si>
    <t xml:space="preserve">С13-H1293/12</t>
  </si>
  <si>
    <t xml:space="preserve">C21</t>
  </si>
  <si>
    <t xml:space="preserve">13-033ATQ01</t>
  </si>
  <si>
    <t xml:space="preserve">С13-775ВU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</si>
  <si>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</si>
  <si>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</si>
  <si>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</si>
  <si>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</si>
  <si>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С13-H2687/12</t>
  </si>
  <si>
    <t xml:space="preserve">С13-H2800/12</t>
  </si>
  <si>
    <t xml:space="preserve">С13-Н3611/12</t>
  </si>
  <si>
    <t xml:space="preserve">D22</t>
  </si>
  <si>
    <t xml:space="preserve">D23</t>
  </si>
  <si>
    <t xml:space="preserve">D24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</si>
  <si>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</si>
  <si>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</si>
  <si>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</si>
  <si>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</si>
  <si>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</si>
  <si>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36-H3182/12</t>
  </si>
  <si>
    <t xml:space="preserve">36-H3207/12</t>
  </si>
  <si>
    <t xml:space="preserve">36-H3197/12н</t>
  </si>
  <si>
    <t xml:space="preserve">13-802BF/06н</t>
  </si>
  <si>
    <t xml:space="preserve">J4</t>
  </si>
  <si>
    <t xml:space="preserve">12-H1109/12</t>
  </si>
  <si>
    <t xml:space="preserve">J5</t>
  </si>
  <si>
    <t xml:space="preserve">13-H2810/12</t>
  </si>
  <si>
    <t xml:space="preserve">J6</t>
  </si>
  <si>
    <t xml:space="preserve">13-H2822/12</t>
  </si>
  <si>
    <t xml:space="preserve">J7</t>
  </si>
  <si>
    <t xml:space="preserve">13-Н1343/12</t>
  </si>
  <si>
    <t xml:space="preserve">J12</t>
  </si>
  <si>
    <t xml:space="preserve">J13</t>
  </si>
  <si>
    <t xml:space="preserve">J14</t>
  </si>
  <si>
    <t xml:space="preserve">J15</t>
  </si>
  <si>
    <t xml:space="preserve">36-H3206/12</t>
  </si>
  <si>
    <t xml:space="preserve">J16</t>
  </si>
  <si>
    <t xml:space="preserve">37-H3203/12</t>
  </si>
  <si>
    <t xml:space="preserve">13-083ATQ01</t>
  </si>
  <si>
    <t xml:space="preserve">13-Н3641/12</t>
  </si>
  <si>
    <t xml:space="preserve">G21</t>
  </si>
  <si>
    <t xml:space="preserve">51-Н3143/12</t>
  </si>
  <si>
    <t xml:space="preserve">G22</t>
  </si>
  <si>
    <t xml:space="preserve">51-Н3032/12</t>
  </si>
  <si>
    <t xml:space="preserve">G23</t>
  </si>
  <si>
    <t xml:space="preserve">51-Н3585/12</t>
  </si>
  <si>
    <t xml:space="preserve">ЧАКУР  мед</t>
  </si>
  <si>
    <t xml:space="preserve">11-H3201/12</t>
  </si>
  <si>
    <t xml:space="preserve">11-H3406/12 д/н</t>
  </si>
  <si>
    <t xml:space="preserve">11-Н2719/12</t>
  </si>
  <si>
    <t xml:space="preserve">A24</t>
  </si>
  <si>
    <t xml:space="preserve">11-H3181/12</t>
  </si>
  <si>
    <t xml:space="preserve">A25</t>
  </si>
  <si>
    <t xml:space="preserve">11-H3132/12н</t>
  </si>
  <si>
    <t xml:space="preserve">A26</t>
  </si>
  <si>
    <t xml:space="preserve">11-H3467/12</t>
  </si>
  <si>
    <t xml:space="preserve">13-695EAZ/04</t>
  </si>
  <si>
    <t xml:space="preserve">13-H2808/12д</t>
  </si>
  <si>
    <t xml:space="preserve">С13-Н2812/12</t>
  </si>
  <si>
    <t xml:space="preserve">13-Н2811/12</t>
  </si>
  <si>
    <t xml:space="preserve">Сводка от 15.10.2026 (27-…, 28-…)</t>
  </si>
  <si>
    <t xml:space="preserve">54-207</t>
  </si>
  <si>
    <t xml:space="preserve">54-223</t>
  </si>
  <si>
    <t xml:space="preserve">БУР</t>
  </si>
  <si>
    <t xml:space="preserve">I4</t>
  </si>
  <si>
    <t xml:space="preserve">I12</t>
  </si>
  <si>
    <t xml:space="preserve">ЭКОЛ</t>
  </si>
  <si>
    <t xml:space="preserve">54-124д/н</t>
  </si>
  <si>
    <t xml:space="preserve">СМЦ</t>
  </si>
  <si>
    <t xml:space="preserve">21-1435</t>
  </si>
  <si>
    <t xml:space="preserve">21-1439</t>
  </si>
  <si>
    <t xml:space="preserve">21-1437</t>
  </si>
  <si>
    <t xml:space="preserve">21-1443</t>
  </si>
  <si>
    <t xml:space="preserve">21-1446</t>
  </si>
  <si>
    <t xml:space="preserve">21-1547н</t>
  </si>
  <si>
    <t xml:space="preserve">21-1548</t>
  </si>
  <si>
    <t xml:space="preserve">21-1549</t>
  </si>
  <si>
    <t xml:space="preserve">21-1550</t>
  </si>
  <si>
    <t xml:space="preserve">21-1857</t>
  </si>
  <si>
    <t xml:space="preserve">21-1861</t>
  </si>
  <si>
    <t xml:space="preserve">21-1914</t>
  </si>
  <si>
    <t xml:space="preserve">21-1862</t>
  </si>
  <si>
    <t xml:space="preserve">21-1917</t>
  </si>
  <si>
    <t xml:space="preserve">21-1923</t>
  </si>
  <si>
    <t xml:space="preserve">21-2621</t>
  </si>
  <si>
    <t xml:space="preserve">21-1924</t>
  </si>
  <si>
    <t xml:space="preserve">21-2623д/н</t>
  </si>
  <si>
    <t xml:space="preserve">21-2529</t>
  </si>
  <si>
    <t xml:space="preserve">21-2625</t>
  </si>
  <si>
    <t xml:space="preserve">21-2635</t>
  </si>
  <si>
    <t xml:space="preserve">21-2630</t>
  </si>
  <si>
    <t xml:space="preserve">21-2637</t>
  </si>
  <si>
    <t xml:space="preserve">21-2632</t>
  </si>
  <si>
    <t xml:space="preserve">G14</t>
  </si>
  <si>
    <t xml:space="preserve">21-1433</t>
  </si>
  <si>
    <t xml:space="preserve">38-3645н</t>
  </si>
  <si>
    <t xml:space="preserve">38-3643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</si>
  <si>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</si>
  <si>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</si>
  <si>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</si>
  <si>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</si>
  <si>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</si>
  <si>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L12</t>
  </si>
  <si>
    <t xml:space="preserve">цитс</t>
  </si>
  <si>
    <t xml:space="preserve">42-3565</t>
  </si>
  <si>
    <t xml:space="preserve">42-3602</t>
  </si>
  <si>
    <t xml:space="preserve">42-3579</t>
  </si>
  <si>
    <t xml:space="preserve">42-3576н</t>
  </si>
  <si>
    <t xml:space="preserve">H16</t>
  </si>
  <si>
    <t xml:space="preserve">30-2937</t>
  </si>
  <si>
    <t xml:space="preserve">ЭЛ ЦЕХ</t>
  </si>
  <si>
    <t xml:space="preserve">38-3560</t>
  </si>
  <si>
    <t xml:space="preserve">38-3583</t>
  </si>
  <si>
    <t xml:space="preserve">38-0619</t>
  </si>
  <si>
    <t xml:space="preserve">38-588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</si>
</sst>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C0C0C0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95" min="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 t="s">
        <v>8</v>
      </c>
      <c r="K1" s="1"/>
      <c r="L1" s="1" t="s">
        <v>9</v>
      </c>
      <c r="M1" s="1"/>
      <c r="N1" s="1" t="s">
        <v>10</v>
      </c>
      <c r="O1" s="1"/>
      <c r="P1" s="1" t="s">
        <v>11</v>
      </c>
      <c r="Q1" s="1"/>
      <c r="R1" s="1" t="s">
        <v>12</v>
      </c>
      <c r="S1" s="1"/>
      <c r="T1" s="1" t="s">
        <v>13</v>
      </c>
      <c r="U1" s="1"/>
      <c r="V1" s="1" t="s">
        <v>14</v>
      </c>
      <c r="W1" s="1"/>
      <c r="X1" s="1" t="s">
        <v>15</v>
      </c>
      <c r="Y1" s="1"/>
      <c r="Z1" s="1" t="s">
        <v>16</v>
      </c>
      <c r="AA1" s="1"/>
      <c r="AB1" s="1" t="s">
        <v>17</v>
      </c>
      <c r="AC1" s="1"/>
      <c r="AD1" s="1" t="s">
        <v>18</v>
      </c>
      <c r="AE1" s="1"/>
      <c r="AF1" s="1" t="s">
        <v>19</v>
      </c>
      <c r="AG1" s="1"/>
      <c r="AH1" s="1" t="s">
        <v>20</v>
      </c>
      <c r="AI1" s="1"/>
      <c r="AJ1" s="1" t="s">
        <v>21</v>
      </c>
      <c r="AK1" s="1"/>
      <c r="AL1" s="1" t="s">
        <v>22</v>
      </c>
      <c r="AM1" s="1"/>
      <c r="AN1" s="1" t="s">
        <v>23</v>
      </c>
      <c r="AO1" s="1"/>
      <c r="AP1" s="1" t="s">
        <v>24</v>
      </c>
      <c r="AQ1" s="1"/>
      <c r="AR1" s="1" t="s">
        <v>25</v>
      </c>
      <c r="AS1" s="1"/>
      <c r="AT1" s="1" t="s">
        <v>26</v>
      </c>
      <c r="AU1" s="1"/>
      <c r="AV1" s="1" t="s">
        <v>27</v>
      </c>
      <c r="AW1" s="1"/>
      <c r="AX1" s="1" t="s">
        <v>28</v>
      </c>
      <c r="AY1" s="1"/>
      <c r="AZ1" s="1" t="s">
        <v>29</v>
      </c>
      <c r="BA1" s="1"/>
      <c r="BB1" s="1" t="s">
        <v>30</v>
      </c>
      <c r="BC1" s="1"/>
      <c r="BD1" s="1" t="s">
        <v>31</v>
      </c>
      <c r="BE1" s="1"/>
      <c r="BF1" s="1" t="s">
        <v>32</v>
      </c>
      <c r="BG1" s="1"/>
      <c r="BH1" s="1" t="s">
        <v>33</v>
      </c>
      <c r="BI1" s="1"/>
      <c r="BJ1" s="1" t="s">
        <v>34</v>
      </c>
      <c r="BK1" s="1"/>
      <c r="BL1" s="1" t="s">
        <v>35</v>
      </c>
      <c r="BM1" s="1"/>
      <c r="BN1" s="1" t="s">
        <v>36</v>
      </c>
      <c r="BO1" s="1"/>
      <c r="BP1" s="1" t="s">
        <v>37</v>
      </c>
      <c r="BQ1" s="1"/>
      <c r="BR1" s="1" t="s">
        <v>38</v>
      </c>
      <c r="BS1" s="1"/>
      <c r="BT1" s="1" t="s">
        <v>39</v>
      </c>
      <c r="BU1" s="1"/>
      <c r="BV1" s="1" t="s">
        <v>40</v>
      </c>
      <c r="BW1" s="1"/>
      <c r="BX1" s="1" t="s">
        <v>41</v>
      </c>
      <c r="BY1" s="1"/>
      <c r="BZ1" s="1" t="s">
        <v>42</v>
      </c>
      <c r="CA1" s="1"/>
      <c r="CB1" s="1" t="s">
        <v>43</v>
      </c>
      <c r="CC1" s="1"/>
      <c r="CD1" s="1" t="s">
        <v>44</v>
      </c>
      <c r="CE1" s="1"/>
      <c r="CF1" s="1" t="s">
        <v>45</v>
      </c>
      <c r="CG1" s="1"/>
      <c r="CH1" s="1" t="s">
        <v>46</v>
      </c>
      <c r="CI1" s="1"/>
      <c r="CJ1" s="1" t="s">
        <v>47</v>
      </c>
      <c r="CK1" s="1"/>
      <c r="CL1" s="1" t="s">
        <v>48</v>
      </c>
      <c r="CM1" s="1"/>
      <c r="CN1" s="1" t="s">
        <v>49</v>
      </c>
      <c r="CO1" s="1"/>
      <c r="CP1" s="1" t="s">
        <v>50</v>
      </c>
      <c r="CQ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1" t="s">
        <v>51</v>
      </c>
      <c r="I2" s="1" t="s">
        <v>52</v>
      </c>
      <c r="J2" s="1" t="s">
        <v>51</v>
      </c>
      <c r="K2" s="1" t="s">
        <v>52</v>
      </c>
      <c r="L2" s="1" t="s">
        <v>51</v>
      </c>
      <c r="M2" s="1" t="s">
        <v>52</v>
      </c>
      <c r="N2" s="1" t="s">
        <v>51</v>
      </c>
      <c r="O2" s="1" t="s">
        <v>52</v>
      </c>
      <c r="P2" s="1" t="s">
        <v>51</v>
      </c>
      <c r="Q2" s="1" t="s">
        <v>52</v>
      </c>
      <c r="R2" s="1" t="s">
        <v>51</v>
      </c>
      <c r="S2" s="1" t="s">
        <v>52</v>
      </c>
      <c r="T2" s="1" t="s">
        <v>51</v>
      </c>
      <c r="U2" s="1" t="s">
        <v>52</v>
      </c>
      <c r="V2" s="1" t="s">
        <v>51</v>
      </c>
      <c r="W2" s="1" t="s">
        <v>52</v>
      </c>
      <c r="X2" s="1" t="s">
        <v>51</v>
      </c>
      <c r="Y2" s="1" t="s">
        <v>52</v>
      </c>
      <c r="Z2" s="1" t="s">
        <v>51</v>
      </c>
      <c r="AA2" s="1" t="s">
        <v>52</v>
      </c>
      <c r="AB2" s="1" t="s">
        <v>51</v>
      </c>
      <c r="AC2" s="1" t="s">
        <v>52</v>
      </c>
      <c r="AD2" s="1" t="s">
        <v>51</v>
      </c>
      <c r="AE2" s="1" t="s">
        <v>52</v>
      </c>
      <c r="AF2" s="1" t="s">
        <v>51</v>
      </c>
      <c r="AG2" s="1" t="s">
        <v>52</v>
      </c>
      <c r="AH2" s="1" t="s">
        <v>51</v>
      </c>
      <c r="AI2" s="1" t="s">
        <v>52</v>
      </c>
      <c r="AJ2" s="1" t="s">
        <v>51</v>
      </c>
      <c r="AK2" s="1" t="s">
        <v>52</v>
      </c>
      <c r="AL2" s="1" t="s">
        <v>51</v>
      </c>
      <c r="AM2" s="1" t="s">
        <v>52</v>
      </c>
      <c r="AN2" s="1" t="s">
        <v>51</v>
      </c>
      <c r="AO2" s="1" t="s">
        <v>52</v>
      </c>
      <c r="AP2" s="1" t="s">
        <v>51</v>
      </c>
      <c r="AQ2" s="1" t="s">
        <v>52</v>
      </c>
      <c r="AR2" s="1" t="s">
        <v>51</v>
      </c>
      <c r="AS2" s="1" t="s">
        <v>52</v>
      </c>
      <c r="AT2" s="1" t="s">
        <v>51</v>
      </c>
      <c r="AU2" s="1" t="s">
        <v>52</v>
      </c>
      <c r="AV2" s="1" t="s">
        <v>51</v>
      </c>
      <c r="AW2" s="1" t="s">
        <v>52</v>
      </c>
      <c r="AX2" s="1" t="s">
        <v>51</v>
      </c>
      <c r="AY2" s="1" t="s">
        <v>52</v>
      </c>
      <c r="AZ2" s="1" t="s">
        <v>51</v>
      </c>
      <c r="BA2" s="1" t="s">
        <v>52</v>
      </c>
      <c r="BB2" s="1" t="s">
        <v>51</v>
      </c>
      <c r="BC2" s="1" t="s">
        <v>52</v>
      </c>
      <c r="BD2" s="1" t="s">
        <v>51</v>
      </c>
      <c r="BE2" s="1" t="s">
        <v>52</v>
      </c>
      <c r="BF2" s="1" t="s">
        <v>51</v>
      </c>
      <c r="BG2" s="1" t="s">
        <v>52</v>
      </c>
      <c r="BH2" s="1" t="s">
        <v>51</v>
      </c>
      <c r="BI2" s="1" t="s">
        <v>52</v>
      </c>
      <c r="BJ2" s="1" t="s">
        <v>51</v>
      </c>
      <c r="BK2" s="1" t="s">
        <v>52</v>
      </c>
      <c r="BL2" s="1" t="s">
        <v>51</v>
      </c>
      <c r="BM2" s="1" t="s">
        <v>52</v>
      </c>
      <c r="BN2" s="1" t="s">
        <v>51</v>
      </c>
      <c r="BO2" s="1" t="s">
        <v>52</v>
      </c>
      <c r="BP2" s="1" t="s">
        <v>51</v>
      </c>
      <c r="BQ2" s="1" t="s">
        <v>52</v>
      </c>
      <c r="BR2" s="1" t="s">
        <v>51</v>
      </c>
      <c r="BS2" s="1" t="s">
        <v>52</v>
      </c>
      <c r="BT2" s="1" t="s">
        <v>51</v>
      </c>
      <c r="BU2" s="1" t="s">
        <v>52</v>
      </c>
      <c r="BV2" s="1" t="s">
        <v>51</v>
      </c>
      <c r="BW2" s="1" t="s">
        <v>52</v>
      </c>
      <c r="BX2" s="1" t="s">
        <v>51</v>
      </c>
      <c r="BY2" s="1" t="s">
        <v>52</v>
      </c>
      <c r="BZ2" s="1" t="s">
        <v>51</v>
      </c>
      <c r="CA2" s="1" t="s">
        <v>52</v>
      </c>
      <c r="CB2" s="1" t="s">
        <v>51</v>
      </c>
      <c r="CC2" s="1" t="s">
        <v>52</v>
      </c>
      <c r="CD2" s="1" t="s">
        <v>51</v>
      </c>
      <c r="CE2" s="1" t="s">
        <v>52</v>
      </c>
      <c r="CF2" s="1" t="s">
        <v>51</v>
      </c>
      <c r="CG2" s="1" t="s">
        <v>52</v>
      </c>
      <c r="CH2" s="1" t="s">
        <v>51</v>
      </c>
      <c r="CI2" s="1" t="s">
        <v>52</v>
      </c>
      <c r="CJ2" s="1" t="s">
        <v>51</v>
      </c>
      <c r="CK2" s="1" t="s">
        <v>52</v>
      </c>
      <c r="CL2" s="1" t="s">
        <v>51</v>
      </c>
      <c r="CM2" s="1" t="s">
        <v>52</v>
      </c>
      <c r="CN2" s="1" t="s">
        <v>51</v>
      </c>
      <c r="CO2" s="1" t="s">
        <v>52</v>
      </c>
      <c r="CP2" s="1" t="s">
        <v>51</v>
      </c>
      <c r="CQ2" s="1" t="s">
        <v>52</v>
      </c>
    </row>
    <row r="3" customFormat="false" ht="15" hidden="false" customHeight="false" outlineLevel="0" collapsed="false">
      <c r="A3" s="3" t="s">
        <v>53</v>
      </c>
      <c r="B3" s="4" t="s">
        <v>54</v>
      </c>
      <c r="C3" s="5" t="n">
        <v>29</v>
      </c>
      <c r="D3" s="5" t="n">
        <f aca="false">F3+G3</f>
        <v>25</v>
      </c>
      <c r="E3" s="5" t="n">
        <f aca="false">D3-C3</f>
        <v>-4</v>
      </c>
      <c r="F3" s="5" t="n">
        <f aca="false">SUMIFS($H3:$CQ3,$H$2:$CQ$2,"День")</f>
        <v>18</v>
      </c>
      <c r="G3" s="5" t="n">
        <f aca="false">SUMIFS($H3:$CQ3,$H$2:$CQ$2,"Ночь")</f>
        <v>7</v>
      </c>
      <c r="H3" s="4" t="n">
        <f aca="false">SUMIFS('Исходные данные'!$I$2:$I$966,'Исходные данные'!$D$2:$D$966,H$1,'Исходные данные'!$F$2:$F$966,$A3)</f>
        <v>3</v>
      </c>
      <c r="I3" s="4" t="n">
        <f aca="false">SUMIFS('Исходные данные'!$J$2:$J$966,'Исходные данные'!$D$2:$D$966,H$1,'Исходные данные'!$F$2:$F$966,$A3)</f>
        <v>1</v>
      </c>
      <c r="J3" s="4" t="n">
        <f aca="false">SUMIFS('Исходные данные'!$I$2:$I$966,'Исходные данные'!$D$2:$D$966,J$1,'Исходные данные'!$F$2:$F$966,$A3)</f>
        <v>3</v>
      </c>
      <c r="K3" s="4" t="n">
        <f aca="false">SUMIFS('Исходные данные'!$J$2:$J$966,'Исходные данные'!$D$2:$D$966,J$1,'Исходные данные'!$F$2:$F$966,$A3)</f>
        <v>0</v>
      </c>
      <c r="L3" s="4" t="n">
        <f aca="false">SUMIFS('Исходные данные'!$I$2:$I$966,'Исходные данные'!$D$2:$D$966,L$1,'Исходные данные'!$F$2:$F$966,$A3)</f>
        <v>3</v>
      </c>
      <c r="M3" s="4" t="n">
        <f aca="false">SUMIFS('Исходные данные'!$J$2:$J$966,'Исходные данные'!$D$2:$D$966,L$1,'Исходные данные'!$F$2:$F$966,$A3)</f>
        <v>0</v>
      </c>
      <c r="N3" s="4" t="n">
        <f aca="false">SUMIFS('Исходные данные'!$I$2:$I$966,'Исходные данные'!$D$2:$D$966,N$1,'Исходные данные'!$F$2:$F$966,$A3)</f>
        <v>0</v>
      </c>
      <c r="O3" s="4" t="n">
        <f aca="false">SUMIFS('Исходные данные'!$J$2:$J$966,'Исходные данные'!$D$2:$D$966,N$1,'Исходные данные'!$F$2:$F$966,$A3)</f>
        <v>0</v>
      </c>
      <c r="P3" s="4" t="n">
        <f aca="false">SUMIFS('Исходные данные'!$I$2:$I$966,'Исходные данные'!$D$2:$D$966,P$1,'Исходные данные'!$F$2:$F$966,$A3)</f>
        <v>0</v>
      </c>
      <c r="Q3" s="4" t="n">
        <f aca="false">SUMIFS('Исходные данные'!$J$2:$J$966,'Исходные данные'!$D$2:$D$966,P$1,'Исходные данные'!$F$2:$F$966,$A3)</f>
        <v>0</v>
      </c>
      <c r="R3" s="4" t="n">
        <f aca="false">SUMIFS('Исходные данные'!$I$2:$I$966,'Исходные данные'!$D$2:$D$966,R$1,'Исходные данные'!$F$2:$F$966,$A3)</f>
        <v>0</v>
      </c>
      <c r="S3" s="4" t="n">
        <f aca="false">SUMIFS('Исходные данные'!$J$2:$J$966,'Исходные данные'!$D$2:$D$966,R$1,'Исходные данные'!$F$2:$F$966,$A3)</f>
        <v>0</v>
      </c>
      <c r="T3" s="4" t="n">
        <f aca="false">SUMIFS('Исходные данные'!$I$2:$I$966,'Исходные данные'!$D$2:$D$966,T$1,'Исходные данные'!$F$2:$F$966,$A3)</f>
        <v>0</v>
      </c>
      <c r="U3" s="4" t="n">
        <f aca="false">SUMIFS('Исходные данные'!$J$2:$J$966,'Исходные данные'!$D$2:$D$966,T$1,'Исходные данные'!$F$2:$F$966,$A3)</f>
        <v>0</v>
      </c>
      <c r="V3" s="4" t="n">
        <f aca="false">SUMIFS('Исходные данные'!$I$2:$I$966,'Исходные данные'!$D$2:$D$966,V$1,'Исходные данные'!$F$2:$F$966,$A3)</f>
        <v>0</v>
      </c>
      <c r="W3" s="4" t="n">
        <f aca="false">SUMIFS('Исходные данные'!$J$2:$J$966,'Исходные данные'!$D$2:$D$966,V$1,'Исходные данные'!$F$2:$F$966,$A3)</f>
        <v>0</v>
      </c>
      <c r="X3" s="4" t="n">
        <f aca="false">SUMIFS('Исходные данные'!$I$2:$I$966,'Исходные данные'!$D$2:$D$966,X$1,'Исходные данные'!$F$2:$F$966,$A3)</f>
        <v>0</v>
      </c>
      <c r="Y3" s="4" t="n">
        <f aca="false">SUMIFS('Исходные данные'!$J$2:$J$966,'Исходные данные'!$D$2:$D$966,X$1,'Исходные данные'!$F$2:$F$966,$A3)</f>
        <v>0</v>
      </c>
      <c r="Z3" s="4" t="n">
        <f aca="false">SUMIFS('Исходные данные'!$I$2:$I$966,'Исходные данные'!$D$2:$D$966,Z$1,'Исходные данные'!$F$2:$F$966,$A3)</f>
        <v>0</v>
      </c>
      <c r="AA3" s="4" t="n">
        <f aca="false">SUMIFS('Исходные данные'!$J$2:$J$966,'Исходные данные'!$D$2:$D$966,Z$1,'Исходные данные'!$F$2:$F$966,$A3)</f>
        <v>0</v>
      </c>
      <c r="AB3" s="4" t="n">
        <f aca="false">SUMIFS('Исходные данные'!$I$2:$I$966,'Исходные данные'!$D$2:$D$966,AB$1,'Исходные данные'!$F$2:$F$966,$A3)</f>
        <v>0</v>
      </c>
      <c r="AC3" s="4" t="n">
        <f aca="false">SUMIFS('Исходные данные'!$J$2:$J$966,'Исходные данные'!$D$2:$D$966,AB$1,'Исходные данные'!$F$2:$F$966,$A3)</f>
        <v>0</v>
      </c>
      <c r="AD3" s="4" t="n">
        <f aca="false">SUMIFS('Исходные данные'!$I$2:$I$966,'Исходные данные'!$D$2:$D$966,AD$1,'Исходные данные'!$F$2:$F$966,$A3)</f>
        <v>0</v>
      </c>
      <c r="AE3" s="4" t="n">
        <f aca="false">SUMIFS('Исходные данные'!$J$2:$J$966,'Исходные данные'!$D$2:$D$966,AD$1,'Исходные данные'!$F$2:$F$966,$A3)</f>
        <v>0</v>
      </c>
      <c r="AF3" s="4" t="n">
        <f aca="false">SUMIFS('Исходные данные'!$I$2:$I$966,'Исходные данные'!$D$2:$D$966,AF$1,'Исходные данные'!$F$2:$F$966,$A3)</f>
        <v>0</v>
      </c>
      <c r="AG3" s="4" t="n">
        <f aca="false">SUMIFS('Исходные данные'!$J$2:$J$966,'Исходные данные'!$D$2:$D$966,AF$1,'Исходные данные'!$F$2:$F$966,$A3)</f>
        <v>0</v>
      </c>
      <c r="AH3" s="4" t="n">
        <f aca="false">SUMIFS('Исходные данные'!$I$2:$I$966,'Исходные данные'!$D$2:$D$966,AH$1,'Исходные данные'!$F$2:$F$966,$A3)</f>
        <v>5</v>
      </c>
      <c r="AI3" s="4" t="n">
        <f aca="false">SUMIFS('Исходные данные'!$J$2:$J$966,'Исходные данные'!$D$2:$D$966,AH$1,'Исходные данные'!$F$2:$F$966,$A3)</f>
        <v>3</v>
      </c>
      <c r="AJ3" s="4" t="n">
        <f aca="false">SUMIFS('Исходные данные'!$I$2:$I$966,'Исходные данные'!$D$2:$D$966,AJ$1,'Исходные данные'!$F$2:$F$966,$A3)</f>
        <v>4</v>
      </c>
      <c r="AK3" s="4" t="n">
        <f aca="false">SUMIFS('Исходные данные'!$J$2:$J$966,'Исходные данные'!$D$2:$D$966,AJ$1,'Исходные данные'!$F$2:$F$966,$A3)</f>
        <v>3</v>
      </c>
      <c r="AL3" s="4" t="n">
        <f aca="false">SUMIFS('Исходные данные'!$I$2:$I$966,'Исходные данные'!$D$2:$D$966,AL$1,'Исходные данные'!$F$2:$F$966,$A3)</f>
        <v>0</v>
      </c>
      <c r="AM3" s="4" t="n">
        <f aca="false">SUMIFS('Исходные данные'!$J$2:$J$966,'Исходные данные'!$D$2:$D$966,AL$1,'Исходные данные'!$F$2:$F$966,$A3)</f>
        <v>0</v>
      </c>
      <c r="AN3" s="4" t="n">
        <f aca="false">SUMIFS('Исходные данные'!$I$2:$I$966,'Исходные данные'!$D$2:$D$966,AN$1,'Исходные данные'!$F$2:$F$966,$A3)</f>
        <v>0</v>
      </c>
      <c r="AO3" s="4" t="n">
        <f aca="false">SUMIFS('Исходные данные'!$J$2:$J$966,'Исходные данные'!$D$2:$D$966,AN$1,'Исходные данные'!$F$2:$F$966,$A3)</f>
        <v>0</v>
      </c>
      <c r="AP3" s="4" t="n">
        <f aca="false">SUMIFS('Исходные данные'!$I$2:$I$966,'Исходные данные'!$D$2:$D$966,AP$1,'Исходные данные'!$F$2:$F$966,$A3)</f>
        <v>0</v>
      </c>
      <c r="AQ3" s="4" t="n">
        <f aca="false">SUMIFS('Исходные данные'!$J$2:$J$966,'Исходные данные'!$D$2:$D$966,AP$1,'Исходные данные'!$F$2:$F$966,$A3)</f>
        <v>0</v>
      </c>
      <c r="AR3" s="4" t="n">
        <f aca="false">SUMIFS('Исходные данные'!$I$2:$I$966,'Исходные данные'!$D$2:$D$966,AR$1,'Исходные данные'!$F$2:$F$966,$A3)</f>
        <v>0</v>
      </c>
      <c r="AS3" s="4" t="n">
        <f aca="false">SUMIFS('Исходные данные'!$J$2:$J$966,'Исходные данные'!$D$2:$D$966,AR$1,'Исходные данные'!$F$2:$F$966,$A3)</f>
        <v>0</v>
      </c>
      <c r="AT3" s="4" t="n">
        <f aca="false">SUMIFS('Исходные данные'!$I$2:$I$966,'Исходные данные'!$D$2:$D$966,AT$1,'Исходные данные'!$F$2:$F$966,$A3)</f>
        <v>0</v>
      </c>
      <c r="AU3" s="4" t="n">
        <f aca="false">SUMIFS('Исходные данные'!$J$2:$J$966,'Исходные данные'!$D$2:$D$966,AT$1,'Исходные данные'!$F$2:$F$966,$A3)</f>
        <v>0</v>
      </c>
      <c r="AV3" s="4" t="n">
        <f aca="false">SUMIFS('Исходные данные'!$I$2:$I$966,'Исходные данные'!$D$2:$D$966,AV$1,'Исходные данные'!$F$2:$F$966,$A3)</f>
        <v>0</v>
      </c>
      <c r="AW3" s="4" t="n">
        <f aca="false">SUMIFS('Исходные данные'!$J$2:$J$966,'Исходные данные'!$D$2:$D$966,AV$1,'Исходные данные'!$F$2:$F$966,$A3)</f>
        <v>0</v>
      </c>
      <c r="AX3" s="4" t="n">
        <f aca="false">SUMIFS('Исходные данные'!$I$2:$I$966,'Исходные данные'!$D$2:$D$966,AX$1,'Исходные данные'!$F$2:$F$966,$A3)</f>
        <v>0</v>
      </c>
      <c r="AY3" s="4" t="n">
        <f aca="false">SUMIFS('Исходные данные'!$J$2:$J$966,'Исходные данные'!$D$2:$D$966,AX$1,'Исходные данные'!$F$2:$F$966,$A3)</f>
        <v>0</v>
      </c>
      <c r="AZ3" s="4" t="n">
        <f aca="false">SUMIFS('Исходные данные'!$I$2:$I$966,'Исходные данные'!$D$2:$D$966,AZ$1,'Исходные данные'!$F$2:$F$966,$A3)</f>
        <v>0</v>
      </c>
      <c r="BA3" s="4" t="n">
        <f aca="false">SUMIFS('Исходные данные'!$J$2:$J$966,'Исходные данные'!$D$2:$D$966,AZ$1,'Исходные данные'!$F$2:$F$966,$A3)</f>
        <v>0</v>
      </c>
      <c r="BB3" s="4" t="n">
        <f aca="false">SUMIFS('Исходные данные'!$I$2:$I$966,'Исходные данные'!$D$2:$D$966,BB$1,'Исходные данные'!$F$2:$F$966,$A3)</f>
        <v>0</v>
      </c>
      <c r="BC3" s="4" t="n">
        <f aca="false">SUMIFS('Исходные данные'!$J$2:$J$966,'Исходные данные'!$D$2:$D$966,BB$1,'Исходные данные'!$F$2:$F$966,$A3)</f>
        <v>0</v>
      </c>
      <c r="BD3" s="4" t="n">
        <f aca="false">SUMIFS('Исходные данные'!$I$2:$I$966,'Исходные данные'!$D$2:$D$966,BD$1,'Исходные данные'!$F$2:$F$966,$A3)</f>
        <v>0</v>
      </c>
      <c r="BE3" s="4" t="n">
        <f aca="false">SUMIFS('Исходные данные'!$J$2:$J$966,'Исходные данные'!$D$2:$D$966,BD$1,'Исходные данные'!$F$2:$F$966,$A3)</f>
        <v>0</v>
      </c>
      <c r="BF3" s="4" t="n">
        <f aca="false">SUMIFS('Исходные данные'!$I$2:$I$966,'Исходные данные'!$D$2:$D$966,BF$1,'Исходные данные'!$F$2:$F$966,$A3)</f>
        <v>0</v>
      </c>
      <c r="BG3" s="4" t="n">
        <f aca="false">SUMIFS('Исходные данные'!$J$2:$J$966,'Исходные данные'!$D$2:$D$966,BF$1,'Исходные данные'!$F$2:$F$966,$A3)</f>
        <v>0</v>
      </c>
      <c r="BH3" s="4" t="n">
        <f aca="false">SUMIFS('Исходные данные'!$I$2:$I$966,'Исходные данные'!$D$2:$D$966,BH$1,'Исходные данные'!$F$2:$F$966,$A3)</f>
        <v>0</v>
      </c>
      <c r="BI3" s="4" t="n">
        <f aca="false">SUMIFS('Исходные данные'!$J$2:$J$966,'Исходные данные'!$D$2:$D$966,BH$1,'Исходные данные'!$F$2:$F$966,$A3)</f>
        <v>0</v>
      </c>
      <c r="BJ3" s="4" t="n">
        <f aca="false">SUMIFS('Исходные данные'!$I$2:$I$966,'Исходные данные'!$D$2:$D$966,BJ$1,'Исходные данные'!$F$2:$F$966,$A3)</f>
        <v>0</v>
      </c>
      <c r="BK3" s="4" t="n">
        <f aca="false">SUMIFS('Исходные данные'!$J$2:$J$966,'Исходные данные'!$D$2:$D$966,BJ$1,'Исходные данные'!$F$2:$F$966,$A3)</f>
        <v>0</v>
      </c>
      <c r="BL3" s="4" t="n">
        <f aca="false">SUMIFS('Исходные данные'!$I$2:$I$966,'Исходные данные'!$D$2:$D$966,BL$1,'Исходные данные'!$F$2:$F$966,$A3)</f>
        <v>0</v>
      </c>
      <c r="BM3" s="4" t="n">
        <f aca="false">SUMIFS('Исходные данные'!$J$2:$J$966,'Исходные данные'!$D$2:$D$966,BL$1,'Исходные данные'!$F$2:$F$966,$A3)</f>
        <v>0</v>
      </c>
      <c r="BN3" s="4" t="n">
        <f aca="false">SUMIFS('Исходные данные'!$I$2:$I$966,'Исходные данные'!$D$2:$D$966,BN$1,'Исходные данные'!$F$2:$F$966,$A3)</f>
        <v>0</v>
      </c>
      <c r="BO3" s="4" t="n">
        <f aca="false">SUMIFS('Исходные данные'!$J$2:$J$966,'Исходные данные'!$D$2:$D$966,BN$1,'Исходные данные'!$F$2:$F$966,$A3)</f>
        <v>0</v>
      </c>
      <c r="BP3" s="4" t="n">
        <f aca="false">SUMIFS('Исходные данные'!$I$2:$I$966,'Исходные данные'!$D$2:$D$966,BP$1,'Исходные данные'!$F$2:$F$966,$A3)</f>
        <v>0</v>
      </c>
      <c r="BQ3" s="4" t="n">
        <f aca="false">SUMIFS('Исходные данные'!$J$2:$J$966,'Исходные данные'!$D$2:$D$966,BP$1,'Исходные данные'!$F$2:$F$966,$A3)</f>
        <v>0</v>
      </c>
      <c r="BR3" s="4" t="n">
        <f aca="false">SUMIFS('Исходные данные'!$I$2:$I$966,'Исходные данные'!$D$2:$D$966,BR$1,'Исходные данные'!$F$2:$F$966,$A3)</f>
        <v>0</v>
      </c>
      <c r="BS3" s="4" t="n">
        <f aca="false">SUMIFS('Исходные данные'!$J$2:$J$966,'Исходные данные'!$D$2:$D$966,BR$1,'Исходные данные'!$F$2:$F$966,$A3)</f>
        <v>0</v>
      </c>
      <c r="BT3" s="4" t="n">
        <f aca="false">SUMIFS('Исходные данные'!$I$2:$I$966,'Исходные данные'!$D$2:$D$966,BT$1,'Исходные данные'!$F$2:$F$966,$A3)</f>
        <v>0</v>
      </c>
      <c r="BU3" s="4" t="n">
        <f aca="false">SUMIFS('Исходные данные'!$J$2:$J$966,'Исходные данные'!$D$2:$D$966,BT$1,'Исходные данные'!$F$2:$F$966,$A3)</f>
        <v>0</v>
      </c>
      <c r="BV3" s="4" t="n">
        <f aca="false">SUMIFS('Исходные данные'!$I$2:$I$966,'Исходные данные'!$D$2:$D$966,BV$1,'Исходные данные'!$F$2:$F$966,$A3)</f>
        <v>0</v>
      </c>
      <c r="BW3" s="4" t="n">
        <f aca="false">SUMIFS('Исходные данные'!$J$2:$J$966,'Исходные данные'!$D$2:$D$966,BV$1,'Исходные данные'!$F$2:$F$966,$A3)</f>
        <v>0</v>
      </c>
      <c r="BX3" s="4" t="n">
        <f aca="false">SUMIFS('Исходные данные'!$I$2:$I$966,'Исходные данные'!$D$2:$D$966,BX$1,'Исходные данные'!$F$2:$F$966,$A3)</f>
        <v>0</v>
      </c>
      <c r="BY3" s="4" t="n">
        <f aca="false">SUMIFS('Исходные данные'!$J$2:$J$966,'Исходные данные'!$D$2:$D$966,BX$1,'Исходные данные'!$F$2:$F$966,$A3)</f>
        <v>0</v>
      </c>
      <c r="BZ3" s="4" t="n">
        <f aca="false">SUMIFS('Исходные данные'!$I$2:$I$966,'Исходные данные'!$D$2:$D$966,BZ$1,'Исходные данные'!$F$2:$F$966,$A3)</f>
        <v>0</v>
      </c>
      <c r="CA3" s="4" t="n">
        <f aca="false">SUMIFS('Исходные данные'!$J$2:$J$966,'Исходные данные'!$D$2:$D$966,BZ$1,'Исходные данные'!$F$2:$F$966,$A3)</f>
        <v>0</v>
      </c>
      <c r="CB3" s="4" t="n">
        <f aca="false">SUMIFS('Исходные данные'!$I$2:$I$966,'Исходные данные'!$D$2:$D$966,CB$1,'Исходные данные'!$F$2:$F$966,$A3)</f>
        <v>0</v>
      </c>
      <c r="CC3" s="4" t="n">
        <f aca="false">SUMIFS('Исходные данные'!$J$2:$J$966,'Исходные данные'!$D$2:$D$966,CB$1,'Исходные данные'!$F$2:$F$966,$A3)</f>
        <v>0</v>
      </c>
      <c r="CD3" s="4" t="n">
        <f aca="false">SUMIFS('Исходные данные'!$I$2:$I$966,'Исходные данные'!$D$2:$D$966,CD$1,'Исходные данные'!$F$2:$F$966,$A3)</f>
        <v>0</v>
      </c>
      <c r="CE3" s="4" t="n">
        <f aca="false">SUMIFS('Исходные данные'!$J$2:$J$966,'Исходные данные'!$D$2:$D$966,CD$1,'Исходные данные'!$F$2:$F$966,$A3)</f>
        <v>0</v>
      </c>
      <c r="CF3" s="4" t="n">
        <f aca="false">SUMIFS('Исходные данные'!$I$2:$I$966,'Исходные данные'!$D$2:$D$966,CF$1,'Исходные данные'!$F$2:$F$966,$A3)</f>
        <v>0</v>
      </c>
      <c r="CG3" s="4" t="n">
        <f aca="false">SUMIFS('Исходные данные'!$J$2:$J$966,'Исходные данные'!$D$2:$D$966,CF$1,'Исходные данные'!$F$2:$F$966,$A3)</f>
        <v>0</v>
      </c>
      <c r="CH3" s="4" t="n">
        <f aca="false">SUMIFS('Исходные данные'!$I$2:$I$966,'Исходные данные'!$D$2:$D$966,CH$1,'Исходные данные'!$F$2:$F$966,$A3)</f>
        <v>0</v>
      </c>
      <c r="CI3" s="4" t="n">
        <f aca="false">SUMIFS('Исходные данные'!$J$2:$J$966,'Исходные данные'!$D$2:$D$966,CH$1,'Исходные данные'!$F$2:$F$966,$A3)</f>
        <v>0</v>
      </c>
      <c r="CJ3" s="4" t="n">
        <f aca="false">SUMIFS('Исходные данные'!$I$2:$I$966,'Исходные данные'!$D$2:$D$966,CJ$1,'Исходные данные'!$F$2:$F$966,$A3)</f>
        <v>0</v>
      </c>
      <c r="CK3" s="4" t="n">
        <f aca="false">SUMIFS('Исходные данные'!$J$2:$J$966,'Исходные данные'!$D$2:$D$966,CJ$1,'Исходные данные'!$F$2:$F$966,$A3)</f>
        <v>0</v>
      </c>
      <c r="CL3" s="4" t="n">
        <f aca="false">SUMIFS('Исходные данные'!$I$2:$I$966,'Исходные данные'!$D$2:$D$966,CL$1,'Исходные данные'!$F$2:$F$966,$A3)</f>
        <v>0</v>
      </c>
      <c r="CM3" s="4" t="n">
        <f aca="false">SUMIFS('Исходные данные'!$J$2:$J$966,'Исходные данные'!$D$2:$D$966,CL$1,'Исходные данные'!$F$2:$F$966,$A3)</f>
        <v>0</v>
      </c>
      <c r="CN3" s="4" t="n">
        <f aca="false">SUMIFS('Исходные данные'!$I$2:$I$966,'Исходные данные'!$D$2:$D$966,CN$1,'Исходные данные'!$F$2:$F$966,$A3)</f>
        <v>0</v>
      </c>
      <c r="CO3" s="4" t="n">
        <f aca="false">SUMIFS('Исходные данные'!$J$2:$J$966,'Исходные данные'!$D$2:$D$966,CN$1,'Исходные данные'!$F$2:$F$966,$A3)</f>
        <v>0</v>
      </c>
      <c r="CP3" s="4" t="n">
        <f aca="false">SUMIFS('Исходные данные'!$I$2:$I$966,'Исходные данные'!$D$2:$D$966,CP$1,'Исходные данные'!$F$2:$F$966,$A3)</f>
        <v>0</v>
      </c>
      <c r="CQ3" s="4" t="n">
        <f aca="false">SUMIFS('Исходные данные'!$J$2:$J$966,'Исходные данные'!$D$2:$D$966,CP$1,'Исходные данные'!$F$2:$F$966,$A3)</f>
        <v>0</v>
      </c>
    </row>
    <row r="4" customFormat="false" ht="15" hidden="false" customHeight="false" outlineLevel="0" collapsed="false">
      <c r="A4" s="3" t="s">
        <v>55</v>
      </c>
      <c r="B4" s="4" t="s">
        <v>56</v>
      </c>
      <c r="C4" s="5" t="n">
        <v>10</v>
      </c>
      <c r="D4" s="5" t="n">
        <f aca="false">F4+G4</f>
        <v>9</v>
      </c>
      <c r="E4" s="5" t="n">
        <f aca="false">D4-C4</f>
        <v>-1</v>
      </c>
      <c r="F4" s="5" t="n">
        <f aca="false">SUMIFS($H4:$CQ4,$H$2:$CQ$2,"День")</f>
        <v>9</v>
      </c>
      <c r="G4" s="5" t="n">
        <f aca="false">SUMIFS($H4:$CQ4,$H$2:$CQ$2,"Ночь")</f>
        <v>0</v>
      </c>
      <c r="H4" s="4" t="n">
        <f aca="false">SUMIFS('Исходные данные'!$I$2:$I$966,'Исходные данные'!$D$2:$D$966,H$1,'Исходные данные'!$F$2:$F$966,$A4)</f>
        <v>1</v>
      </c>
      <c r="I4" s="4" t="n">
        <f aca="false">SUMIFS('Исходные данные'!$J$2:$J$966,'Исходные данные'!$D$2:$D$966,H$1,'Исходные данные'!$F$2:$F$966,$A4)</f>
        <v>0</v>
      </c>
      <c r="J4" s="4" t="n">
        <f aca="false">SUMIFS('Исходные данные'!$I$2:$I$966,'Исходные данные'!$D$2:$D$966,J$1,'Исходные данные'!$F$2:$F$966,$A4)</f>
        <v>1</v>
      </c>
      <c r="K4" s="4" t="n">
        <f aca="false">SUMIFS('Исходные данные'!$J$2:$J$966,'Исходные данные'!$D$2:$D$966,J$1,'Исходные данные'!$F$2:$F$966,$A4)</f>
        <v>0</v>
      </c>
      <c r="L4" s="4" t="n">
        <f aca="false">SUMIFS('Исходные данные'!$I$2:$I$966,'Исходные данные'!$D$2:$D$966,L$1,'Исходные данные'!$F$2:$F$966,$A4)</f>
        <v>2</v>
      </c>
      <c r="M4" s="4" t="n">
        <f aca="false">SUMIFS('Исходные данные'!$J$2:$J$966,'Исходные данные'!$D$2:$D$966,L$1,'Исходные данные'!$F$2:$F$966,$A4)</f>
        <v>0</v>
      </c>
      <c r="N4" s="4" t="n">
        <f aca="false">SUMIFS('Исходные данные'!$I$2:$I$966,'Исходные данные'!$D$2:$D$966,N$1,'Исходные данные'!$F$2:$F$966,$A4)</f>
        <v>0</v>
      </c>
      <c r="O4" s="4" t="n">
        <f aca="false">SUMIFS('Исходные данные'!$J$2:$J$966,'Исходные данные'!$D$2:$D$966,N$1,'Исходные данные'!$F$2:$F$966,$A4)</f>
        <v>0</v>
      </c>
      <c r="P4" s="4" t="n">
        <f aca="false">SUMIFS('Исходные данные'!$I$2:$I$966,'Исходные данные'!$D$2:$D$966,P$1,'Исходные данные'!$F$2:$F$966,$A4)</f>
        <v>1</v>
      </c>
      <c r="Q4" s="4" t="n">
        <f aca="false">SUMIFS('Исходные данные'!$J$2:$J$966,'Исходные данные'!$D$2:$D$966,P$1,'Исходные данные'!$F$2:$F$966,$A4)</f>
        <v>0</v>
      </c>
      <c r="R4" s="4" t="n">
        <f aca="false">SUMIFS('Исходные данные'!$I$2:$I$966,'Исходные данные'!$D$2:$D$966,R$1,'Исходные данные'!$F$2:$F$966,$A4)</f>
        <v>0</v>
      </c>
      <c r="S4" s="4" t="n">
        <f aca="false">SUMIFS('Исходные данные'!$J$2:$J$966,'Исходные данные'!$D$2:$D$966,R$1,'Исходные данные'!$F$2:$F$966,$A4)</f>
        <v>0</v>
      </c>
      <c r="T4" s="4" t="n">
        <f aca="false">SUMIFS('Исходные данные'!$I$2:$I$966,'Исходные данные'!$D$2:$D$966,T$1,'Исходные данные'!$F$2:$F$966,$A4)</f>
        <v>3</v>
      </c>
      <c r="U4" s="4" t="n">
        <f aca="false">SUMIFS('Исходные данные'!$J$2:$J$966,'Исходные данные'!$D$2:$D$966,T$1,'Исходные данные'!$F$2:$F$966,$A4)</f>
        <v>0</v>
      </c>
      <c r="V4" s="4" t="n">
        <f aca="false">SUMIFS('Исходные данные'!$I$2:$I$966,'Исходные данные'!$D$2:$D$966,V$1,'Исходные данные'!$F$2:$F$966,$A4)</f>
        <v>1</v>
      </c>
      <c r="W4" s="4" t="n">
        <f aca="false">SUMIFS('Исходные данные'!$J$2:$J$966,'Исходные данные'!$D$2:$D$966,V$1,'Исходные данные'!$F$2:$F$966,$A4)</f>
        <v>0</v>
      </c>
      <c r="X4" s="4" t="n">
        <f aca="false">SUMIFS('Исходные данные'!$I$2:$I$966,'Исходные данные'!$D$2:$D$966,X$1,'Исходные данные'!$F$2:$F$966,$A4)</f>
        <v>0</v>
      </c>
      <c r="Y4" s="4" t="n">
        <f aca="false">SUMIFS('Исходные данные'!$J$2:$J$966,'Исходные данные'!$D$2:$D$966,X$1,'Исходные данные'!$F$2:$F$966,$A4)</f>
        <v>0</v>
      </c>
      <c r="Z4" s="4" t="n">
        <f aca="false">SUMIFS('Исходные данные'!$I$2:$I$966,'Исходные данные'!$D$2:$D$966,Z$1,'Исходные данные'!$F$2:$F$966,$A4)</f>
        <v>0</v>
      </c>
      <c r="AA4" s="4" t="n">
        <f aca="false">SUMIFS('Исходные данные'!$J$2:$J$966,'Исходные данные'!$D$2:$D$966,Z$1,'Исходные данные'!$F$2:$F$966,$A4)</f>
        <v>0</v>
      </c>
      <c r="AB4" s="4" t="n">
        <f aca="false">SUMIFS('Исходные данные'!$I$2:$I$966,'Исходные данные'!$D$2:$D$966,AB$1,'Исходные данные'!$F$2:$F$966,$A4)</f>
        <v>0</v>
      </c>
      <c r="AC4" s="4" t="n">
        <f aca="false">SUMIFS('Исходные данные'!$J$2:$J$966,'Исходные данные'!$D$2:$D$966,AB$1,'Исходные данные'!$F$2:$F$966,$A4)</f>
        <v>0</v>
      </c>
      <c r="AD4" s="4" t="n">
        <f aca="false">SUMIFS('Исходные данные'!$I$2:$I$966,'Исходные данные'!$D$2:$D$966,AD$1,'Исходные данные'!$F$2:$F$966,$A4)</f>
        <v>0</v>
      </c>
      <c r="AE4" s="4" t="n">
        <f aca="false">SUMIFS('Исходные данные'!$J$2:$J$966,'Исходные данные'!$D$2:$D$966,AD$1,'Исходные данные'!$F$2:$F$966,$A4)</f>
        <v>0</v>
      </c>
      <c r="AF4" s="4" t="n">
        <f aca="false">SUMIFS('Исходные данные'!$I$2:$I$966,'Исходные данные'!$D$2:$D$966,AF$1,'Исходные данные'!$F$2:$F$966,$A4)</f>
        <v>0</v>
      </c>
      <c r="AG4" s="4" t="n">
        <f aca="false">SUMIFS('Исходные данные'!$J$2:$J$966,'Исходные данные'!$D$2:$D$966,AF$1,'Исходные данные'!$F$2:$F$966,$A4)</f>
        <v>0</v>
      </c>
      <c r="AH4" s="4" t="n">
        <f aca="false">SUMIFS('Исходные данные'!$I$2:$I$966,'Исходные данные'!$D$2:$D$966,AH$1,'Исходные данные'!$F$2:$F$966,$A4)</f>
        <v>0</v>
      </c>
      <c r="AI4" s="4" t="n">
        <f aca="false">SUMIFS('Исходные данные'!$J$2:$J$966,'Исходные данные'!$D$2:$D$966,AH$1,'Исходные данные'!$F$2:$F$966,$A4)</f>
        <v>0</v>
      </c>
      <c r="AJ4" s="4" t="n">
        <f aca="false">SUMIFS('Исходные данные'!$I$2:$I$966,'Исходные данные'!$D$2:$D$966,AJ$1,'Исходные данные'!$F$2:$F$966,$A4)</f>
        <v>0</v>
      </c>
      <c r="AK4" s="4" t="n">
        <f aca="false">SUMIFS('Исходные данные'!$J$2:$J$966,'Исходные данные'!$D$2:$D$966,AJ$1,'Исходные данные'!$F$2:$F$966,$A4)</f>
        <v>0</v>
      </c>
      <c r="AL4" s="4" t="n">
        <f aca="false">SUMIFS('Исходные данные'!$I$2:$I$966,'Исходные данные'!$D$2:$D$966,AL$1,'Исходные данные'!$F$2:$F$966,$A4)</f>
        <v>0</v>
      </c>
      <c r="AM4" s="4" t="n">
        <f aca="false">SUMIFS('Исходные данные'!$J$2:$J$966,'Исходные данные'!$D$2:$D$966,AL$1,'Исходные данные'!$F$2:$F$966,$A4)</f>
        <v>0</v>
      </c>
      <c r="AN4" s="4" t="n">
        <f aca="false">SUMIFS('Исходные данные'!$I$2:$I$966,'Исходные данные'!$D$2:$D$966,AN$1,'Исходные данные'!$F$2:$F$966,$A4)</f>
        <v>0</v>
      </c>
      <c r="AO4" s="4" t="n">
        <f aca="false">SUMIFS('Исходные данные'!$J$2:$J$966,'Исходные данные'!$D$2:$D$966,AN$1,'Исходные данные'!$F$2:$F$966,$A4)</f>
        <v>0</v>
      </c>
      <c r="AP4" s="4" t="n">
        <f aca="false">SUMIFS('Исходные данные'!$I$2:$I$966,'Исходные данные'!$D$2:$D$966,AP$1,'Исходные данные'!$F$2:$F$966,$A4)</f>
        <v>0</v>
      </c>
      <c r="AQ4" s="4" t="n">
        <f aca="false">SUMIFS('Исходные данные'!$J$2:$J$966,'Исходные данные'!$D$2:$D$966,AP$1,'Исходные данные'!$F$2:$F$966,$A4)</f>
        <v>0</v>
      </c>
      <c r="AR4" s="4" t="n">
        <f aca="false">SUMIFS('Исходные данные'!$I$2:$I$966,'Исходные данные'!$D$2:$D$966,AR$1,'Исходные данные'!$F$2:$F$966,$A4)</f>
        <v>0</v>
      </c>
      <c r="AS4" s="4" t="n">
        <f aca="false">SUMIFS('Исходные данные'!$J$2:$J$966,'Исходные данные'!$D$2:$D$966,AR$1,'Исходные данные'!$F$2:$F$966,$A4)</f>
        <v>0</v>
      </c>
      <c r="AT4" s="4" t="n">
        <f aca="false">SUMIFS('Исходные данные'!$I$2:$I$966,'Исходные данные'!$D$2:$D$966,AT$1,'Исходные данные'!$F$2:$F$966,$A4)</f>
        <v>0</v>
      </c>
      <c r="AU4" s="4" t="n">
        <f aca="false">SUMIFS('Исходные данные'!$J$2:$J$966,'Исходные данные'!$D$2:$D$966,AT$1,'Исходные данные'!$F$2:$F$966,$A4)</f>
        <v>0</v>
      </c>
      <c r="AV4" s="4" t="n">
        <f aca="false">SUMIFS('Исходные данные'!$I$2:$I$966,'Исходные данные'!$D$2:$D$966,AV$1,'Исходные данные'!$F$2:$F$966,$A4)</f>
        <v>0</v>
      </c>
      <c r="AW4" s="4" t="n">
        <f aca="false">SUMIFS('Исходные данные'!$J$2:$J$966,'Исходные данные'!$D$2:$D$966,AV$1,'Исходные данные'!$F$2:$F$966,$A4)</f>
        <v>0</v>
      </c>
      <c r="AX4" s="4" t="n">
        <f aca="false">SUMIFS('Исходные данные'!$I$2:$I$966,'Исходные данные'!$D$2:$D$966,AX$1,'Исходные данные'!$F$2:$F$966,$A4)</f>
        <v>0</v>
      </c>
      <c r="AY4" s="4" t="n">
        <f aca="false">SUMIFS('Исходные данные'!$J$2:$J$966,'Исходные данные'!$D$2:$D$966,AX$1,'Исходные данные'!$F$2:$F$966,$A4)</f>
        <v>0</v>
      </c>
      <c r="AZ4" s="4" t="n">
        <f aca="false">SUMIFS('Исходные данные'!$I$2:$I$966,'Исходные данные'!$D$2:$D$966,AZ$1,'Исходные данные'!$F$2:$F$966,$A4)</f>
        <v>0</v>
      </c>
      <c r="BA4" s="4" t="n">
        <f aca="false">SUMIFS('Исходные данные'!$J$2:$J$966,'Исходные данные'!$D$2:$D$966,AZ$1,'Исходные данные'!$F$2:$F$966,$A4)</f>
        <v>0</v>
      </c>
      <c r="BB4" s="4" t="n">
        <f aca="false">SUMIFS('Исходные данные'!$I$2:$I$966,'Исходные данные'!$D$2:$D$966,BB$1,'Исходные данные'!$F$2:$F$966,$A4)</f>
        <v>0</v>
      </c>
      <c r="BC4" s="4" t="n">
        <f aca="false">SUMIFS('Исходные данные'!$J$2:$J$966,'Исходные данные'!$D$2:$D$966,BB$1,'Исходные данные'!$F$2:$F$966,$A4)</f>
        <v>0</v>
      </c>
      <c r="BD4" s="4" t="n">
        <f aca="false">SUMIFS('Исходные данные'!$I$2:$I$966,'Исходные данные'!$D$2:$D$966,BD$1,'Исходные данные'!$F$2:$F$966,$A4)</f>
        <v>0</v>
      </c>
      <c r="BE4" s="4" t="n">
        <f aca="false">SUMIFS('Исходные данные'!$J$2:$J$966,'Исходные данные'!$D$2:$D$966,BD$1,'Исходные данные'!$F$2:$F$966,$A4)</f>
        <v>0</v>
      </c>
      <c r="BF4" s="4" t="n">
        <f aca="false">SUMIFS('Исходные данные'!$I$2:$I$966,'Исходные данные'!$D$2:$D$966,BF$1,'Исходные данные'!$F$2:$F$966,$A4)</f>
        <v>0</v>
      </c>
      <c r="BG4" s="4" t="n">
        <f aca="false">SUMIFS('Исходные данные'!$J$2:$J$966,'Исходные данные'!$D$2:$D$966,BF$1,'Исходные данные'!$F$2:$F$966,$A4)</f>
        <v>0</v>
      </c>
      <c r="BH4" s="4" t="n">
        <f aca="false">SUMIFS('Исходные данные'!$I$2:$I$966,'Исходные данные'!$D$2:$D$966,BH$1,'Исходные данные'!$F$2:$F$966,$A4)</f>
        <v>0</v>
      </c>
      <c r="BI4" s="4" t="n">
        <f aca="false">SUMIFS('Исходные данные'!$J$2:$J$966,'Исходные данные'!$D$2:$D$966,BH$1,'Исходные данные'!$F$2:$F$966,$A4)</f>
        <v>0</v>
      </c>
      <c r="BJ4" s="4" t="n">
        <f aca="false">SUMIFS('Исходные данные'!$I$2:$I$966,'Исходные данные'!$D$2:$D$966,BJ$1,'Исходные данные'!$F$2:$F$966,$A4)</f>
        <v>0</v>
      </c>
      <c r="BK4" s="4" t="n">
        <f aca="false">SUMIFS('Исходные данные'!$J$2:$J$966,'Исходные данные'!$D$2:$D$966,BJ$1,'Исходные данные'!$F$2:$F$966,$A4)</f>
        <v>0</v>
      </c>
      <c r="BL4" s="4" t="n">
        <f aca="false">SUMIFS('Исходные данные'!$I$2:$I$966,'Исходные данные'!$D$2:$D$966,BL$1,'Исходные данные'!$F$2:$F$966,$A4)</f>
        <v>0</v>
      </c>
      <c r="BM4" s="4" t="n">
        <f aca="false">SUMIFS('Исходные данные'!$J$2:$J$966,'Исходные данные'!$D$2:$D$966,BL$1,'Исходные данные'!$F$2:$F$966,$A4)</f>
        <v>0</v>
      </c>
      <c r="BN4" s="4" t="n">
        <f aca="false">SUMIFS('Исходные данные'!$I$2:$I$966,'Исходные данные'!$D$2:$D$966,BN$1,'Исходные данные'!$F$2:$F$966,$A4)</f>
        <v>0</v>
      </c>
      <c r="BO4" s="4" t="n">
        <f aca="false">SUMIFS('Исходные данные'!$J$2:$J$966,'Исходные данные'!$D$2:$D$966,BN$1,'Исходные данные'!$F$2:$F$966,$A4)</f>
        <v>0</v>
      </c>
      <c r="BP4" s="4" t="n">
        <f aca="false">SUMIFS('Исходные данные'!$I$2:$I$966,'Исходные данные'!$D$2:$D$966,BP$1,'Исходные данные'!$F$2:$F$966,$A4)</f>
        <v>0</v>
      </c>
      <c r="BQ4" s="4" t="n">
        <f aca="false">SUMIFS('Исходные данные'!$J$2:$J$966,'Исходные данные'!$D$2:$D$966,BP$1,'Исходные данные'!$F$2:$F$966,$A4)</f>
        <v>0</v>
      </c>
      <c r="BR4" s="4" t="n">
        <f aca="false">SUMIFS('Исходные данные'!$I$2:$I$966,'Исходные данные'!$D$2:$D$966,BR$1,'Исходные данные'!$F$2:$F$966,$A4)</f>
        <v>0</v>
      </c>
      <c r="BS4" s="4" t="n">
        <f aca="false">SUMIFS('Исходные данные'!$J$2:$J$966,'Исходные данные'!$D$2:$D$966,BR$1,'Исходные данные'!$F$2:$F$966,$A4)</f>
        <v>0</v>
      </c>
      <c r="BT4" s="4" t="n">
        <f aca="false">SUMIFS('Исходные данные'!$I$2:$I$966,'Исходные данные'!$D$2:$D$966,BT$1,'Исходные данные'!$F$2:$F$966,$A4)</f>
        <v>0</v>
      </c>
      <c r="BU4" s="4" t="n">
        <f aca="false">SUMIFS('Исходные данные'!$J$2:$J$966,'Исходные данные'!$D$2:$D$966,BT$1,'Исходные данные'!$F$2:$F$966,$A4)</f>
        <v>0</v>
      </c>
      <c r="BV4" s="4" t="n">
        <f aca="false">SUMIFS('Исходные данные'!$I$2:$I$966,'Исходные данные'!$D$2:$D$966,BV$1,'Исходные данные'!$F$2:$F$966,$A4)</f>
        <v>0</v>
      </c>
      <c r="BW4" s="4" t="n">
        <f aca="false">SUMIFS('Исходные данные'!$J$2:$J$966,'Исходные данные'!$D$2:$D$966,BV$1,'Исходные данные'!$F$2:$F$966,$A4)</f>
        <v>0</v>
      </c>
      <c r="BX4" s="4" t="n">
        <f aca="false">SUMIFS('Исходные данные'!$I$2:$I$966,'Исходные данные'!$D$2:$D$966,BX$1,'Исходные данные'!$F$2:$F$966,$A4)</f>
        <v>0</v>
      </c>
      <c r="BY4" s="4" t="n">
        <f aca="false">SUMIFS('Исходные данные'!$J$2:$J$966,'Исходные данные'!$D$2:$D$966,BX$1,'Исходные данные'!$F$2:$F$966,$A4)</f>
        <v>0</v>
      </c>
      <c r="BZ4" s="4" t="n">
        <f aca="false">SUMIFS('Исходные данные'!$I$2:$I$966,'Исходные данные'!$D$2:$D$966,BZ$1,'Исходные данные'!$F$2:$F$966,$A4)</f>
        <v>0</v>
      </c>
      <c r="CA4" s="4" t="n">
        <f aca="false">SUMIFS('Исходные данные'!$J$2:$J$966,'Исходные данные'!$D$2:$D$966,BZ$1,'Исходные данные'!$F$2:$F$966,$A4)</f>
        <v>0</v>
      </c>
      <c r="CB4" s="4" t="n">
        <f aca="false">SUMIFS('Исходные данные'!$I$2:$I$966,'Исходные данные'!$D$2:$D$966,CB$1,'Исходные данные'!$F$2:$F$966,$A4)</f>
        <v>0</v>
      </c>
      <c r="CC4" s="4" t="n">
        <f aca="false">SUMIFS('Исходные данные'!$J$2:$J$966,'Исходные данные'!$D$2:$D$966,CB$1,'Исходные данные'!$F$2:$F$966,$A4)</f>
        <v>0</v>
      </c>
      <c r="CD4" s="4" t="n">
        <f aca="false">SUMIFS('Исходные данные'!$I$2:$I$966,'Исходные данные'!$D$2:$D$966,CD$1,'Исходные данные'!$F$2:$F$966,$A4)</f>
        <v>0</v>
      </c>
      <c r="CE4" s="4" t="n">
        <f aca="false">SUMIFS('Исходные данные'!$J$2:$J$966,'Исходные данные'!$D$2:$D$966,CD$1,'Исходные данные'!$F$2:$F$966,$A4)</f>
        <v>0</v>
      </c>
      <c r="CF4" s="4" t="n">
        <f aca="false">SUMIFS('Исходные данные'!$I$2:$I$966,'Исходные данные'!$D$2:$D$966,CF$1,'Исходные данные'!$F$2:$F$966,$A4)</f>
        <v>0</v>
      </c>
      <c r="CG4" s="4" t="n">
        <f aca="false">SUMIFS('Исходные данные'!$J$2:$J$966,'Исходные данные'!$D$2:$D$966,CF$1,'Исходные данные'!$F$2:$F$966,$A4)</f>
        <v>0</v>
      </c>
      <c r="CH4" s="4" t="n">
        <f aca="false">SUMIFS('Исходные данные'!$I$2:$I$966,'Исходные данные'!$D$2:$D$966,CH$1,'Исходные данные'!$F$2:$F$966,$A4)</f>
        <v>0</v>
      </c>
      <c r="CI4" s="4" t="n">
        <f aca="false">SUMIFS('Исходные данные'!$J$2:$J$966,'Исходные данные'!$D$2:$D$966,CH$1,'Исходные данные'!$F$2:$F$966,$A4)</f>
        <v>0</v>
      </c>
      <c r="CJ4" s="4" t="n">
        <f aca="false">SUMIFS('Исходные данные'!$I$2:$I$966,'Исходные данные'!$D$2:$D$966,CJ$1,'Исходные данные'!$F$2:$F$966,$A4)</f>
        <v>0</v>
      </c>
      <c r="CK4" s="4" t="n">
        <f aca="false">SUMIFS('Исходные данные'!$J$2:$J$966,'Исходные данные'!$D$2:$D$966,CJ$1,'Исходные данные'!$F$2:$F$966,$A4)</f>
        <v>0</v>
      </c>
      <c r="CL4" s="4" t="n">
        <f aca="false">SUMIFS('Исходные данные'!$I$2:$I$966,'Исходные данные'!$D$2:$D$966,CL$1,'Исходные данные'!$F$2:$F$966,$A4)</f>
        <v>0</v>
      </c>
      <c r="CM4" s="4" t="n">
        <f aca="false">SUMIFS('Исходные данные'!$J$2:$J$966,'Исходные данные'!$D$2:$D$966,CL$1,'Исходные данные'!$F$2:$F$966,$A4)</f>
        <v>0</v>
      </c>
      <c r="CN4" s="4" t="n">
        <f aca="false">SUMIFS('Исходные данные'!$I$2:$I$966,'Исходные данные'!$D$2:$D$966,CN$1,'Исходные данные'!$F$2:$F$966,$A4)</f>
        <v>0</v>
      </c>
      <c r="CO4" s="4" t="n">
        <f aca="false">SUMIFS('Исходные данные'!$J$2:$J$966,'Исходные данные'!$D$2:$D$966,CN$1,'Исходные данные'!$F$2:$F$966,$A4)</f>
        <v>0</v>
      </c>
      <c r="CP4" s="4" t="n">
        <f aca="false">SUMIFS('Исходные данные'!$I$2:$I$966,'Исходные данные'!$D$2:$D$966,CP$1,'Исходные данные'!$F$2:$F$966,$A4)</f>
        <v>0</v>
      </c>
      <c r="CQ4" s="4" t="n">
        <f aca="false">SUMIFS('Исходные данные'!$J$2:$J$966,'Исходные данные'!$D$2:$D$966,CP$1,'Исходные данные'!$F$2:$F$966,$A4)</f>
        <v>0</v>
      </c>
    </row>
    <row r="5" customFormat="false" ht="15" hidden="false" customHeight="false" outlineLevel="0" collapsed="false">
      <c r="A5" s="3" t="s">
        <v>57</v>
      </c>
      <c r="B5" s="4" t="s">
        <v>58</v>
      </c>
      <c r="C5" s="5" t="n">
        <v>15</v>
      </c>
      <c r="D5" s="5" t="n">
        <f aca="false">F5+G5</f>
        <v>15</v>
      </c>
      <c r="E5" s="5" t="n">
        <f aca="false">D5-C5</f>
        <v>0</v>
      </c>
      <c r="F5" s="5" t="n">
        <f aca="false">SUMIFS($H5:$CQ5,$H$2:$CQ$2,"День")</f>
        <v>9</v>
      </c>
      <c r="G5" s="5" t="n">
        <f aca="false">SUMIFS($H5:$CQ5,$H$2:$CQ$2,"Ночь")</f>
        <v>6</v>
      </c>
      <c r="H5" s="4" t="n">
        <f aca="false">SUMIFS('Исходные данные'!$I$2:$I$966,'Исходные данные'!$D$2:$D$966,H$1,'Исходные данные'!$F$2:$F$966,$A5)</f>
        <v>2</v>
      </c>
      <c r="I5" s="4" t="n">
        <f aca="false">SUMIFS('Исходные данные'!$J$2:$J$966,'Исходные данные'!$D$2:$D$966,H$1,'Исходные данные'!$F$2:$F$966,$A5)</f>
        <v>2</v>
      </c>
      <c r="J5" s="4" t="n">
        <f aca="false">SUMIFS('Исходные данные'!$I$2:$I$966,'Исходные данные'!$D$2:$D$966,J$1,'Исходные данные'!$F$2:$F$966,$A5)</f>
        <v>1</v>
      </c>
      <c r="K5" s="4" t="n">
        <f aca="false">SUMIFS('Исходные данные'!$J$2:$J$966,'Исходные данные'!$D$2:$D$966,J$1,'Исходные данные'!$F$2:$F$966,$A5)</f>
        <v>0</v>
      </c>
      <c r="L5" s="4" t="n">
        <f aca="false">SUMIFS('Исходные данные'!$I$2:$I$966,'Исходные данные'!$D$2:$D$966,L$1,'Исходные данные'!$F$2:$F$966,$A5)</f>
        <v>2</v>
      </c>
      <c r="M5" s="4" t="n">
        <f aca="false">SUMIFS('Исходные данные'!$J$2:$J$966,'Исходные данные'!$D$2:$D$966,L$1,'Исходные данные'!$F$2:$F$966,$A5)</f>
        <v>1</v>
      </c>
      <c r="N5" s="4" t="n">
        <f aca="false">SUMIFS('Исходные данные'!$I$2:$I$966,'Исходные данные'!$D$2:$D$966,N$1,'Исходные данные'!$F$2:$F$966,$A5)</f>
        <v>1</v>
      </c>
      <c r="O5" s="4" t="n">
        <f aca="false">SUMIFS('Исходные данные'!$J$2:$J$966,'Исходные данные'!$D$2:$D$966,N$1,'Исходные данные'!$F$2:$F$966,$A5)</f>
        <v>0</v>
      </c>
      <c r="P5" s="4" t="n">
        <f aca="false">SUMIFS('Исходные данные'!$I$2:$I$966,'Исходные данные'!$D$2:$D$966,P$1,'Исходные данные'!$F$2:$F$966,$A5)</f>
        <v>0</v>
      </c>
      <c r="Q5" s="4" t="n">
        <f aca="false">SUMIFS('Исходные данные'!$J$2:$J$966,'Исходные данные'!$D$2:$D$966,P$1,'Исходные данные'!$F$2:$F$966,$A5)</f>
        <v>0</v>
      </c>
      <c r="R5" s="4" t="n">
        <f aca="false">SUMIFS('Исходные данные'!$I$2:$I$966,'Исходные данные'!$D$2:$D$966,R$1,'Исходные данные'!$F$2:$F$966,$A5)</f>
        <v>0</v>
      </c>
      <c r="S5" s="4" t="n">
        <f aca="false">SUMIFS('Исходные данные'!$J$2:$J$966,'Исходные данные'!$D$2:$D$966,R$1,'Исходные данные'!$F$2:$F$966,$A5)</f>
        <v>0</v>
      </c>
      <c r="T5" s="4" t="n">
        <f aca="false">SUMIFS('Исходные данные'!$I$2:$I$966,'Исходные данные'!$D$2:$D$966,T$1,'Исходные данные'!$F$2:$F$966,$A5)</f>
        <v>0</v>
      </c>
      <c r="U5" s="4" t="n">
        <f aca="false">SUMIFS('Исходные данные'!$J$2:$J$966,'Исходные данные'!$D$2:$D$966,T$1,'Исходные данные'!$F$2:$F$966,$A5)</f>
        <v>0</v>
      </c>
      <c r="V5" s="4" t="n">
        <f aca="false">SUMIFS('Исходные данные'!$I$2:$I$966,'Исходные данные'!$D$2:$D$966,V$1,'Исходные данные'!$F$2:$F$966,$A5)</f>
        <v>0</v>
      </c>
      <c r="W5" s="4" t="n">
        <f aca="false">SUMIFS('Исходные данные'!$J$2:$J$966,'Исходные данные'!$D$2:$D$966,V$1,'Исходные данные'!$F$2:$F$966,$A5)</f>
        <v>0</v>
      </c>
      <c r="X5" s="4" t="n">
        <f aca="false">SUMIFS('Исходные данные'!$I$2:$I$966,'Исходные данные'!$D$2:$D$966,X$1,'Исходные данные'!$F$2:$F$966,$A5)</f>
        <v>0</v>
      </c>
      <c r="Y5" s="4" t="n">
        <f aca="false">SUMIFS('Исходные данные'!$J$2:$J$966,'Исходные данные'!$D$2:$D$966,X$1,'Исходные данные'!$F$2:$F$966,$A5)</f>
        <v>0</v>
      </c>
      <c r="Z5" s="4" t="n">
        <f aca="false">SUMIFS('Исходные данные'!$I$2:$I$966,'Исходные данные'!$D$2:$D$966,Z$1,'Исходные данные'!$F$2:$F$966,$A5)</f>
        <v>0</v>
      </c>
      <c r="AA5" s="4" t="n">
        <f aca="false">SUMIFS('Исходные данные'!$J$2:$J$966,'Исходные данные'!$D$2:$D$966,Z$1,'Исходные данные'!$F$2:$F$966,$A5)</f>
        <v>0</v>
      </c>
      <c r="AB5" s="4" t="n">
        <f aca="false">SUMIFS('Исходные данные'!$I$2:$I$966,'Исходные данные'!$D$2:$D$966,AB$1,'Исходные данные'!$F$2:$F$966,$A5)</f>
        <v>0</v>
      </c>
      <c r="AC5" s="4" t="n">
        <f aca="false">SUMIFS('Исходные данные'!$J$2:$J$966,'Исходные данные'!$D$2:$D$966,AB$1,'Исходные данные'!$F$2:$F$966,$A5)</f>
        <v>0</v>
      </c>
      <c r="AD5" s="4" t="n">
        <f aca="false">SUMIFS('Исходные данные'!$I$2:$I$966,'Исходные данные'!$D$2:$D$966,AD$1,'Исходные данные'!$F$2:$F$966,$A5)</f>
        <v>0</v>
      </c>
      <c r="AE5" s="4" t="n">
        <f aca="false">SUMIFS('Исходные данные'!$J$2:$J$966,'Исходные данные'!$D$2:$D$966,AD$1,'Исходные данные'!$F$2:$F$966,$A5)</f>
        <v>0</v>
      </c>
      <c r="AF5" s="4" t="n">
        <f aca="false">SUMIFS('Исходные данные'!$I$2:$I$966,'Исходные данные'!$D$2:$D$966,AF$1,'Исходные данные'!$F$2:$F$966,$A5)</f>
        <v>0</v>
      </c>
      <c r="AG5" s="4" t="n">
        <f aca="false">SUMIFS('Исходные данные'!$J$2:$J$966,'Исходные данные'!$D$2:$D$966,AF$1,'Исходные данные'!$F$2:$F$966,$A5)</f>
        <v>0</v>
      </c>
      <c r="AH5" s="4" t="n">
        <f aca="false">SUMIFS('Исходные данные'!$I$2:$I$966,'Исходные данные'!$D$2:$D$966,AH$1,'Исходные данные'!$F$2:$F$966,$A5)</f>
        <v>2</v>
      </c>
      <c r="AI5" s="4" t="n">
        <f aca="false">SUMIFS('Исходные данные'!$J$2:$J$966,'Исходные данные'!$D$2:$D$966,AH$1,'Исходные данные'!$F$2:$F$966,$A5)</f>
        <v>2</v>
      </c>
      <c r="AJ5" s="4" t="n">
        <f aca="false">SUMIFS('Исходные данные'!$I$2:$I$966,'Исходные данные'!$D$2:$D$966,AJ$1,'Исходные данные'!$F$2:$F$966,$A5)</f>
        <v>1</v>
      </c>
      <c r="AK5" s="4" t="n">
        <f aca="false">SUMIFS('Исходные данные'!$J$2:$J$966,'Исходные данные'!$D$2:$D$966,AJ$1,'Исходные данные'!$F$2:$F$966,$A5)</f>
        <v>1</v>
      </c>
      <c r="AL5" s="4" t="n">
        <f aca="false">SUMIFS('Исходные данные'!$I$2:$I$966,'Исходные данные'!$D$2:$D$966,AL$1,'Исходные данные'!$F$2:$F$966,$A5)</f>
        <v>0</v>
      </c>
      <c r="AM5" s="4" t="n">
        <f aca="false">SUMIFS('Исходные данные'!$J$2:$J$966,'Исходные данные'!$D$2:$D$966,AL$1,'Исходные данные'!$F$2:$F$966,$A5)</f>
        <v>0</v>
      </c>
      <c r="AN5" s="4" t="n">
        <f aca="false">SUMIFS('Исходные данные'!$I$2:$I$966,'Исходные данные'!$D$2:$D$966,AN$1,'Исходные данные'!$F$2:$F$966,$A5)</f>
        <v>0</v>
      </c>
      <c r="AO5" s="4" t="n">
        <f aca="false">SUMIFS('Исходные данные'!$J$2:$J$966,'Исходные данные'!$D$2:$D$966,AN$1,'Исходные данные'!$F$2:$F$966,$A5)</f>
        <v>0</v>
      </c>
      <c r="AP5" s="4" t="n">
        <f aca="false">SUMIFS('Исходные данные'!$I$2:$I$966,'Исходные данные'!$D$2:$D$966,AP$1,'Исходные данные'!$F$2:$F$966,$A5)</f>
        <v>0</v>
      </c>
      <c r="AQ5" s="4" t="n">
        <f aca="false">SUMIFS('Исходные данные'!$J$2:$J$966,'Исходные данные'!$D$2:$D$966,AP$1,'Исходные данные'!$F$2:$F$966,$A5)</f>
        <v>0</v>
      </c>
      <c r="AR5" s="4" t="n">
        <f aca="false">SUMIFS('Исходные данные'!$I$2:$I$966,'Исходные данные'!$D$2:$D$966,AR$1,'Исходные данные'!$F$2:$F$966,$A5)</f>
        <v>0</v>
      </c>
      <c r="AS5" s="4" t="n">
        <f aca="false">SUMIFS('Исходные данные'!$J$2:$J$966,'Исходные данные'!$D$2:$D$966,AR$1,'Исходные данные'!$F$2:$F$966,$A5)</f>
        <v>0</v>
      </c>
      <c r="AT5" s="4" t="n">
        <f aca="false">SUMIFS('Исходные данные'!$I$2:$I$966,'Исходные данные'!$D$2:$D$966,AT$1,'Исходные данные'!$F$2:$F$966,$A5)</f>
        <v>0</v>
      </c>
      <c r="AU5" s="4" t="n">
        <f aca="false">SUMIFS('Исходные данные'!$J$2:$J$966,'Исходные данные'!$D$2:$D$966,AT$1,'Исходные данные'!$F$2:$F$966,$A5)</f>
        <v>0</v>
      </c>
      <c r="AV5" s="4" t="n">
        <f aca="false">SUMIFS('Исходные данные'!$I$2:$I$966,'Исходные данные'!$D$2:$D$966,AV$1,'Исходные данные'!$F$2:$F$966,$A5)</f>
        <v>0</v>
      </c>
      <c r="AW5" s="4" t="n">
        <f aca="false">SUMIFS('Исходные данные'!$J$2:$J$966,'Исходные данные'!$D$2:$D$966,AV$1,'Исходные данные'!$F$2:$F$966,$A5)</f>
        <v>0</v>
      </c>
      <c r="AX5" s="4" t="n">
        <f aca="false">SUMIFS('Исходные данные'!$I$2:$I$966,'Исходные данные'!$D$2:$D$966,AX$1,'Исходные данные'!$F$2:$F$966,$A5)</f>
        <v>0</v>
      </c>
      <c r="AY5" s="4" t="n">
        <f aca="false">SUMIFS('Исходные данные'!$J$2:$J$966,'Исходные данные'!$D$2:$D$966,AX$1,'Исходные данные'!$F$2:$F$966,$A5)</f>
        <v>0</v>
      </c>
      <c r="AZ5" s="4" t="n">
        <f aca="false">SUMIFS('Исходные данные'!$I$2:$I$966,'Исходные данные'!$D$2:$D$966,AZ$1,'Исходные данные'!$F$2:$F$966,$A5)</f>
        <v>0</v>
      </c>
      <c r="BA5" s="4" t="n">
        <f aca="false">SUMIFS('Исходные данные'!$J$2:$J$966,'Исходные данные'!$D$2:$D$966,AZ$1,'Исходные данные'!$F$2:$F$966,$A5)</f>
        <v>0</v>
      </c>
      <c r="BB5" s="4" t="n">
        <f aca="false">SUMIFS('Исходные данные'!$I$2:$I$966,'Исходные данные'!$D$2:$D$966,BB$1,'Исходные данные'!$F$2:$F$966,$A5)</f>
        <v>0</v>
      </c>
      <c r="BC5" s="4" t="n">
        <f aca="false">SUMIFS('Исходные данные'!$J$2:$J$966,'Исходные данные'!$D$2:$D$966,BB$1,'Исходные данные'!$F$2:$F$966,$A5)</f>
        <v>0</v>
      </c>
      <c r="BD5" s="4" t="n">
        <f aca="false">SUMIFS('Исходные данные'!$I$2:$I$966,'Исходные данные'!$D$2:$D$966,BD$1,'Исходные данные'!$F$2:$F$966,$A5)</f>
        <v>0</v>
      </c>
      <c r="BE5" s="4" t="n">
        <f aca="false">SUMIFS('Исходные данные'!$J$2:$J$966,'Исходные данные'!$D$2:$D$966,BD$1,'Исходные данные'!$F$2:$F$966,$A5)</f>
        <v>0</v>
      </c>
      <c r="BF5" s="4" t="n">
        <f aca="false">SUMIFS('Исходные данные'!$I$2:$I$966,'Исходные данные'!$D$2:$D$966,BF$1,'Исходные данные'!$F$2:$F$966,$A5)</f>
        <v>0</v>
      </c>
      <c r="BG5" s="4" t="n">
        <f aca="false">SUMIFS('Исходные данные'!$J$2:$J$966,'Исходные данные'!$D$2:$D$966,BF$1,'Исходные данные'!$F$2:$F$966,$A5)</f>
        <v>0</v>
      </c>
      <c r="BH5" s="4" t="n">
        <f aca="false">SUMIFS('Исходные данные'!$I$2:$I$966,'Исходные данные'!$D$2:$D$966,BH$1,'Исходные данные'!$F$2:$F$966,$A5)</f>
        <v>0</v>
      </c>
      <c r="BI5" s="4" t="n">
        <f aca="false">SUMIFS('Исходные данные'!$J$2:$J$966,'Исходные данные'!$D$2:$D$966,BH$1,'Исходные данные'!$F$2:$F$966,$A5)</f>
        <v>0</v>
      </c>
      <c r="BJ5" s="4" t="n">
        <f aca="false">SUMIFS('Исходные данные'!$I$2:$I$966,'Исходные данные'!$D$2:$D$966,BJ$1,'Исходные данные'!$F$2:$F$966,$A5)</f>
        <v>0</v>
      </c>
      <c r="BK5" s="4" t="n">
        <f aca="false">SUMIFS('Исходные данные'!$J$2:$J$966,'Исходные данные'!$D$2:$D$966,BJ$1,'Исходные данные'!$F$2:$F$966,$A5)</f>
        <v>0</v>
      </c>
      <c r="BL5" s="4" t="n">
        <f aca="false">SUMIFS('Исходные данные'!$I$2:$I$966,'Исходные данные'!$D$2:$D$966,BL$1,'Исходные данные'!$F$2:$F$966,$A5)</f>
        <v>0</v>
      </c>
      <c r="BM5" s="4" t="n">
        <f aca="false">SUMIFS('Исходные данные'!$J$2:$J$966,'Исходные данные'!$D$2:$D$966,BL$1,'Исходные данные'!$F$2:$F$966,$A5)</f>
        <v>0</v>
      </c>
      <c r="BN5" s="4" t="n">
        <f aca="false">SUMIFS('Исходные данные'!$I$2:$I$966,'Исходные данные'!$D$2:$D$966,BN$1,'Исходные данные'!$F$2:$F$966,$A5)</f>
        <v>0</v>
      </c>
      <c r="BO5" s="4" t="n">
        <f aca="false">SUMIFS('Исходные данные'!$J$2:$J$966,'Исходные данные'!$D$2:$D$966,BN$1,'Исходные данные'!$F$2:$F$966,$A5)</f>
        <v>0</v>
      </c>
      <c r="BP5" s="4" t="n">
        <f aca="false">SUMIFS('Исходные данные'!$I$2:$I$966,'Исходные данные'!$D$2:$D$966,BP$1,'Исходные данные'!$F$2:$F$966,$A5)</f>
        <v>0</v>
      </c>
      <c r="BQ5" s="4" t="n">
        <f aca="false">SUMIFS('Исходные данные'!$J$2:$J$966,'Исходные данные'!$D$2:$D$966,BP$1,'Исходные данные'!$F$2:$F$966,$A5)</f>
        <v>0</v>
      </c>
      <c r="BR5" s="4" t="n">
        <f aca="false">SUMIFS('Исходные данные'!$I$2:$I$966,'Исходные данные'!$D$2:$D$966,BR$1,'Исходные данные'!$F$2:$F$966,$A5)</f>
        <v>0</v>
      </c>
      <c r="BS5" s="4" t="n">
        <f aca="false">SUMIFS('Исходные данные'!$J$2:$J$966,'Исходные данные'!$D$2:$D$966,BR$1,'Исходные данные'!$F$2:$F$966,$A5)</f>
        <v>0</v>
      </c>
      <c r="BT5" s="4" t="n">
        <f aca="false">SUMIFS('Исходные данные'!$I$2:$I$966,'Исходные данные'!$D$2:$D$966,BT$1,'Исходные данные'!$F$2:$F$966,$A5)</f>
        <v>0</v>
      </c>
      <c r="BU5" s="4" t="n">
        <f aca="false">SUMIFS('Исходные данные'!$J$2:$J$966,'Исходные данные'!$D$2:$D$966,BT$1,'Исходные данные'!$F$2:$F$966,$A5)</f>
        <v>0</v>
      </c>
      <c r="BV5" s="4" t="n">
        <f aca="false">SUMIFS('Исходные данные'!$I$2:$I$966,'Исходные данные'!$D$2:$D$966,BV$1,'Исходные данные'!$F$2:$F$966,$A5)</f>
        <v>0</v>
      </c>
      <c r="BW5" s="4" t="n">
        <f aca="false">SUMIFS('Исходные данные'!$J$2:$J$966,'Исходные данные'!$D$2:$D$966,BV$1,'Исходные данные'!$F$2:$F$966,$A5)</f>
        <v>0</v>
      </c>
      <c r="BX5" s="4" t="n">
        <f aca="false">SUMIFS('Исходные данные'!$I$2:$I$966,'Исходные данные'!$D$2:$D$966,BX$1,'Исходные данные'!$F$2:$F$966,$A5)</f>
        <v>0</v>
      </c>
      <c r="BY5" s="4" t="n">
        <f aca="false">SUMIFS('Исходные данные'!$J$2:$J$966,'Исходные данные'!$D$2:$D$966,BX$1,'Исходные данные'!$F$2:$F$966,$A5)</f>
        <v>0</v>
      </c>
      <c r="BZ5" s="4" t="n">
        <f aca="false">SUMIFS('Исходные данные'!$I$2:$I$966,'Исходные данные'!$D$2:$D$966,BZ$1,'Исходные данные'!$F$2:$F$966,$A5)</f>
        <v>0</v>
      </c>
      <c r="CA5" s="4" t="n">
        <f aca="false">SUMIFS('Исходные данные'!$J$2:$J$966,'Исходные данные'!$D$2:$D$966,BZ$1,'Исходные данные'!$F$2:$F$966,$A5)</f>
        <v>0</v>
      </c>
      <c r="CB5" s="4" t="n">
        <f aca="false">SUMIFS('Исходные данные'!$I$2:$I$966,'Исходные данные'!$D$2:$D$966,CB$1,'Исходные данные'!$F$2:$F$966,$A5)</f>
        <v>0</v>
      </c>
      <c r="CC5" s="4" t="n">
        <f aca="false">SUMIFS('Исходные данные'!$J$2:$J$966,'Исходные данные'!$D$2:$D$966,CB$1,'Исходные данные'!$F$2:$F$966,$A5)</f>
        <v>0</v>
      </c>
      <c r="CD5" s="4" t="n">
        <f aca="false">SUMIFS('Исходные данные'!$I$2:$I$966,'Исходные данные'!$D$2:$D$966,CD$1,'Исходные данные'!$F$2:$F$966,$A5)</f>
        <v>0</v>
      </c>
      <c r="CE5" s="4" t="n">
        <f aca="false">SUMIFS('Исходные данные'!$J$2:$J$966,'Исходные данные'!$D$2:$D$966,CD$1,'Исходные данные'!$F$2:$F$966,$A5)</f>
        <v>0</v>
      </c>
      <c r="CF5" s="4" t="n">
        <f aca="false">SUMIFS('Исходные данные'!$I$2:$I$966,'Исходные данные'!$D$2:$D$966,CF$1,'Исходные данные'!$F$2:$F$966,$A5)</f>
        <v>0</v>
      </c>
      <c r="CG5" s="4" t="n">
        <f aca="false">SUMIFS('Исходные данные'!$J$2:$J$966,'Исходные данные'!$D$2:$D$966,CF$1,'Исходные данные'!$F$2:$F$966,$A5)</f>
        <v>0</v>
      </c>
      <c r="CH5" s="4" t="n">
        <f aca="false">SUMIFS('Исходные данные'!$I$2:$I$966,'Исходные данные'!$D$2:$D$966,CH$1,'Исходные данные'!$F$2:$F$966,$A5)</f>
        <v>0</v>
      </c>
      <c r="CI5" s="4" t="n">
        <f aca="false">SUMIFS('Исходные данные'!$J$2:$J$966,'Исходные данные'!$D$2:$D$966,CH$1,'Исходные данные'!$F$2:$F$966,$A5)</f>
        <v>0</v>
      </c>
      <c r="CJ5" s="4" t="n">
        <f aca="false">SUMIFS('Исходные данные'!$I$2:$I$966,'Исходные данные'!$D$2:$D$966,CJ$1,'Исходные данные'!$F$2:$F$966,$A5)</f>
        <v>0</v>
      </c>
      <c r="CK5" s="4" t="n">
        <f aca="false">SUMIFS('Исходные данные'!$J$2:$J$966,'Исходные данные'!$D$2:$D$966,CJ$1,'Исходные данные'!$F$2:$F$966,$A5)</f>
        <v>0</v>
      </c>
      <c r="CL5" s="4" t="n">
        <f aca="false">SUMIFS('Исходные данные'!$I$2:$I$966,'Исходные данные'!$D$2:$D$966,CL$1,'Исходные данные'!$F$2:$F$966,$A5)</f>
        <v>0</v>
      </c>
      <c r="CM5" s="4" t="n">
        <f aca="false">SUMIFS('Исходные данные'!$J$2:$J$966,'Исходные данные'!$D$2:$D$966,CL$1,'Исходные данные'!$F$2:$F$966,$A5)</f>
        <v>0</v>
      </c>
      <c r="CN5" s="4" t="n">
        <f aca="false">SUMIFS('Исходные данные'!$I$2:$I$966,'Исходные данные'!$D$2:$D$966,CN$1,'Исходные данные'!$F$2:$F$966,$A5)</f>
        <v>0</v>
      </c>
      <c r="CO5" s="4" t="n">
        <f aca="false">SUMIFS('Исходные данные'!$J$2:$J$966,'Исходные данные'!$D$2:$D$966,CN$1,'Исходные данные'!$F$2:$F$966,$A5)</f>
        <v>0</v>
      </c>
      <c r="CP5" s="4" t="n">
        <f aca="false">SUMIFS('Исходные данные'!$I$2:$I$966,'Исходные данные'!$D$2:$D$966,CP$1,'Исходные данные'!$F$2:$F$966,$A5)</f>
        <v>0</v>
      </c>
      <c r="CQ5" s="4" t="n">
        <f aca="false">SUMIFS('Исходные данные'!$J$2:$J$966,'Исходные данные'!$D$2:$D$966,CP$1,'Исходные данные'!$F$2:$F$966,$A5)</f>
        <v>0</v>
      </c>
    </row>
    <row r="6" customFormat="false" ht="15" hidden="false" customHeight="false" outlineLevel="0" collapsed="false">
      <c r="A6" s="3" t="s">
        <v>59</v>
      </c>
      <c r="B6" s="6" t="s">
        <v>60</v>
      </c>
      <c r="C6" s="7" t="n">
        <v>25</v>
      </c>
      <c r="D6" s="7" t="n">
        <f aca="false">F6+G6</f>
        <v>24</v>
      </c>
      <c r="E6" s="7" t="n">
        <f aca="false">D6-C6</f>
        <v>-1</v>
      </c>
      <c r="F6" s="7" t="n">
        <f aca="false">SUMIFS($H6:$CQ6,$H$2:$CQ$2,"День")</f>
        <v>16</v>
      </c>
      <c r="G6" s="7" t="n">
        <f aca="false">SUMIFS($H6:$CQ6,$H$2:$CQ$2,"Ночь")</f>
        <v>8</v>
      </c>
      <c r="H6" s="6" t="n">
        <f aca="false">SUMIFS('Исходные данные'!$I$2:$I$966,'Исходные данные'!$D$2:$D$966,H$1,'Исходные данные'!$F$2:$F$966,$A6)</f>
        <v>1</v>
      </c>
      <c r="I6" s="6" t="n">
        <f aca="false">SUMIFS('Исходные данные'!$J$2:$J$966,'Исходные данные'!$D$2:$D$966,H$1,'Исходные данные'!$F$2:$F$966,$A6)</f>
        <v>0</v>
      </c>
      <c r="J6" s="6" t="n">
        <f aca="false">SUMIFS('Исходные данные'!$I$2:$I$966,'Исходные данные'!$D$2:$D$966,J$1,'Исходные данные'!$F$2:$F$966,$A6)</f>
        <v>1</v>
      </c>
      <c r="K6" s="6" t="n">
        <f aca="false">SUMIFS('Исходные данные'!$J$2:$J$966,'Исходные данные'!$D$2:$D$966,J$1,'Исходные данные'!$F$2:$F$966,$A6)</f>
        <v>0</v>
      </c>
      <c r="L6" s="6" t="n">
        <f aca="false">SUMIFS('Исходные данные'!$I$2:$I$966,'Исходные данные'!$D$2:$D$966,L$1,'Исходные данные'!$F$2:$F$966,$A6)</f>
        <v>2</v>
      </c>
      <c r="M6" s="6" t="n">
        <f aca="false">SUMIFS('Исходные данные'!$J$2:$J$966,'Исходные данные'!$D$2:$D$966,L$1,'Исходные данные'!$F$2:$F$966,$A6)</f>
        <v>0</v>
      </c>
      <c r="N6" s="6" t="n">
        <f aca="false">SUMIFS('Исходные данные'!$I$2:$I$966,'Исходные данные'!$D$2:$D$966,N$1,'Исходные данные'!$F$2:$F$966,$A6)</f>
        <v>0</v>
      </c>
      <c r="O6" s="6" t="n">
        <f aca="false">SUMIFS('Исходные данные'!$J$2:$J$966,'Исходные данные'!$D$2:$D$966,N$1,'Исходные данные'!$F$2:$F$966,$A6)</f>
        <v>0</v>
      </c>
      <c r="P6" s="6" t="n">
        <f aca="false">SUMIFS('Исходные данные'!$I$2:$I$966,'Исходные данные'!$D$2:$D$966,P$1,'Исходные данные'!$F$2:$F$966,$A6)</f>
        <v>0</v>
      </c>
      <c r="Q6" s="6" t="n">
        <f aca="false">SUMIFS('Исходные данные'!$J$2:$J$966,'Исходные данные'!$D$2:$D$966,P$1,'Исходные данные'!$F$2:$F$966,$A6)</f>
        <v>0</v>
      </c>
      <c r="R6" s="6" t="n">
        <f aca="false">SUMIFS('Исходные данные'!$I$2:$I$966,'Исходные данные'!$D$2:$D$966,R$1,'Исходные данные'!$F$2:$F$966,$A6)</f>
        <v>1</v>
      </c>
      <c r="S6" s="6" t="n">
        <f aca="false">SUMIFS('Исходные данные'!$J$2:$J$966,'Исходные данные'!$D$2:$D$966,R$1,'Исходные данные'!$F$2:$F$966,$A6)</f>
        <v>0</v>
      </c>
      <c r="T6" s="6" t="n">
        <f aca="false">SUMIFS('Исходные данные'!$I$2:$I$966,'Исходные данные'!$D$2:$D$966,T$1,'Исходные данные'!$F$2:$F$966,$A6)</f>
        <v>0</v>
      </c>
      <c r="U6" s="6" t="n">
        <f aca="false">SUMIFS('Исходные данные'!$J$2:$J$966,'Исходные данные'!$D$2:$D$966,T$1,'Исходные данные'!$F$2:$F$966,$A6)</f>
        <v>0</v>
      </c>
      <c r="V6" s="6" t="n">
        <f aca="false">SUMIFS('Исходные данные'!$I$2:$I$966,'Исходные данные'!$D$2:$D$966,V$1,'Исходные данные'!$F$2:$F$966,$A6)</f>
        <v>0</v>
      </c>
      <c r="W6" s="6" t="n">
        <f aca="false">SUMIFS('Исходные данные'!$J$2:$J$966,'Исходные данные'!$D$2:$D$966,V$1,'Исходные данные'!$F$2:$F$966,$A6)</f>
        <v>0</v>
      </c>
      <c r="X6" s="6" t="n">
        <f aca="false">SUMIFS('Исходные данные'!$I$2:$I$966,'Исходные данные'!$D$2:$D$966,X$1,'Исходные данные'!$F$2:$F$966,$A6)</f>
        <v>2</v>
      </c>
      <c r="Y6" s="6" t="n">
        <f aca="false">SUMIFS('Исходные данные'!$J$2:$J$966,'Исходные данные'!$D$2:$D$966,X$1,'Исходные данные'!$F$2:$F$966,$A6)</f>
        <v>0</v>
      </c>
      <c r="Z6" s="6" t="n">
        <f aca="false">SUMIFS('Исходные данные'!$I$2:$I$966,'Исходные данные'!$D$2:$D$966,Z$1,'Исходные данные'!$F$2:$F$966,$A6)</f>
        <v>1</v>
      </c>
      <c r="AA6" s="6" t="n">
        <f aca="false">SUMIFS('Исходные данные'!$J$2:$J$966,'Исходные данные'!$D$2:$D$966,Z$1,'Исходные данные'!$F$2:$F$966,$A6)</f>
        <v>0</v>
      </c>
      <c r="AB6" s="6" t="n">
        <f aca="false">SUMIFS('Исходные данные'!$I$2:$I$966,'Исходные данные'!$D$2:$D$966,AB$1,'Исходные данные'!$F$2:$F$966,$A6)</f>
        <v>0</v>
      </c>
      <c r="AC6" s="6" t="n">
        <f aca="false">SUMIFS('Исходные данные'!$J$2:$J$966,'Исходные данные'!$D$2:$D$966,AB$1,'Исходные данные'!$F$2:$F$966,$A6)</f>
        <v>0</v>
      </c>
      <c r="AD6" s="6" t="n">
        <f aca="false">SUMIFS('Исходные данные'!$I$2:$I$966,'Исходные данные'!$D$2:$D$966,AD$1,'Исходные данные'!$F$2:$F$966,$A6)</f>
        <v>0</v>
      </c>
      <c r="AE6" s="6" t="n">
        <f aca="false">SUMIFS('Исходные данные'!$J$2:$J$966,'Исходные данные'!$D$2:$D$966,AD$1,'Исходные данные'!$F$2:$F$966,$A6)</f>
        <v>0</v>
      </c>
      <c r="AF6" s="6" t="n">
        <f aca="false">SUMIFS('Исходные данные'!$I$2:$I$966,'Исходные данные'!$D$2:$D$966,AF$1,'Исходные данные'!$F$2:$F$966,$A6)</f>
        <v>1</v>
      </c>
      <c r="AG6" s="6" t="n">
        <f aca="false">SUMIFS('Исходные данные'!$J$2:$J$966,'Исходные данные'!$D$2:$D$966,AF$1,'Исходные данные'!$F$2:$F$966,$A6)</f>
        <v>0</v>
      </c>
      <c r="AH6" s="6" t="n">
        <f aca="false">SUMIFS('Исходные данные'!$I$2:$I$966,'Исходные данные'!$D$2:$D$966,AH$1,'Исходные данные'!$F$2:$F$966,$A6)</f>
        <v>4</v>
      </c>
      <c r="AI6" s="6" t="n">
        <f aca="false">SUMIFS('Исходные данные'!$J$2:$J$966,'Исходные данные'!$D$2:$D$966,AH$1,'Исходные данные'!$F$2:$F$966,$A6)</f>
        <v>5</v>
      </c>
      <c r="AJ6" s="6" t="n">
        <f aca="false">SUMIFS('Исходные данные'!$I$2:$I$966,'Исходные данные'!$D$2:$D$966,AJ$1,'Исходные данные'!$F$2:$F$966,$A6)</f>
        <v>3</v>
      </c>
      <c r="AK6" s="6" t="n">
        <f aca="false">SUMIFS('Исходные данные'!$J$2:$J$966,'Исходные данные'!$D$2:$D$966,AJ$1,'Исходные данные'!$F$2:$F$966,$A6)</f>
        <v>3</v>
      </c>
      <c r="AL6" s="6" t="n">
        <f aca="false">SUMIFS('Исходные данные'!$I$2:$I$966,'Исходные данные'!$D$2:$D$966,AL$1,'Исходные данные'!$F$2:$F$966,$A6)</f>
        <v>0</v>
      </c>
      <c r="AM6" s="6" t="n">
        <f aca="false">SUMIFS('Исходные данные'!$J$2:$J$966,'Исходные данные'!$D$2:$D$966,AL$1,'Исходные данные'!$F$2:$F$966,$A6)</f>
        <v>0</v>
      </c>
      <c r="AN6" s="6" t="n">
        <f aca="false">SUMIFS('Исходные данные'!$I$2:$I$966,'Исходные данные'!$D$2:$D$966,AN$1,'Исходные данные'!$F$2:$F$966,$A6)</f>
        <v>0</v>
      </c>
      <c r="AO6" s="6" t="n">
        <f aca="false">SUMIFS('Исходные данные'!$J$2:$J$966,'Исходные данные'!$D$2:$D$966,AN$1,'Исходные данные'!$F$2:$F$966,$A6)</f>
        <v>0</v>
      </c>
      <c r="AP6" s="6" t="n">
        <f aca="false">SUMIFS('Исходные данные'!$I$2:$I$966,'Исходные данные'!$D$2:$D$966,AP$1,'Исходные данные'!$F$2:$F$966,$A6)</f>
        <v>0</v>
      </c>
      <c r="AQ6" s="6" t="n">
        <f aca="false">SUMIFS('Исходные данные'!$J$2:$J$966,'Исходные данные'!$D$2:$D$966,AP$1,'Исходные данные'!$F$2:$F$966,$A6)</f>
        <v>0</v>
      </c>
      <c r="AR6" s="6" t="n">
        <f aca="false">SUMIFS('Исходные данные'!$I$2:$I$966,'Исходные данные'!$D$2:$D$966,AR$1,'Исходные данные'!$F$2:$F$966,$A6)</f>
        <v>0</v>
      </c>
      <c r="AS6" s="6" t="n">
        <f aca="false">SUMIFS('Исходные данные'!$J$2:$J$966,'Исходные данные'!$D$2:$D$966,AR$1,'Исходные данные'!$F$2:$F$966,$A6)</f>
        <v>0</v>
      </c>
      <c r="AT6" s="6" t="n">
        <f aca="false">SUMIFS('Исходные данные'!$I$2:$I$966,'Исходные данные'!$D$2:$D$966,AT$1,'Исходные данные'!$F$2:$F$966,$A6)</f>
        <v>0</v>
      </c>
      <c r="AU6" s="6" t="n">
        <f aca="false">SUMIFS('Исходные данные'!$J$2:$J$966,'Исходные данные'!$D$2:$D$966,AT$1,'Исходные данные'!$F$2:$F$966,$A6)</f>
        <v>0</v>
      </c>
      <c r="AV6" s="6" t="n">
        <f aca="false">SUMIFS('Исходные данные'!$I$2:$I$966,'Исходные данные'!$D$2:$D$966,AV$1,'Исходные данные'!$F$2:$F$966,$A6)</f>
        <v>0</v>
      </c>
      <c r="AW6" s="6" t="n">
        <f aca="false">SUMIFS('Исходные данные'!$J$2:$J$966,'Исходные данные'!$D$2:$D$966,AV$1,'Исходные данные'!$F$2:$F$966,$A6)</f>
        <v>0</v>
      </c>
      <c r="AX6" s="6" t="n">
        <f aca="false">SUMIFS('Исходные данные'!$I$2:$I$966,'Исходные данные'!$D$2:$D$966,AX$1,'Исходные данные'!$F$2:$F$966,$A6)</f>
        <v>0</v>
      </c>
      <c r="AY6" s="6" t="n">
        <f aca="false">SUMIFS('Исходные данные'!$J$2:$J$966,'Исходные данные'!$D$2:$D$966,AX$1,'Исходные данные'!$F$2:$F$966,$A6)</f>
        <v>0</v>
      </c>
      <c r="AZ6" s="6" t="n">
        <f aca="false">SUMIFS('Исходные данные'!$I$2:$I$966,'Исходные данные'!$D$2:$D$966,AZ$1,'Исходные данные'!$F$2:$F$966,$A6)</f>
        <v>0</v>
      </c>
      <c r="BA6" s="6" t="n">
        <f aca="false">SUMIFS('Исходные данные'!$J$2:$J$966,'Исходные данные'!$D$2:$D$966,AZ$1,'Исходные данные'!$F$2:$F$966,$A6)</f>
        <v>0</v>
      </c>
      <c r="BB6" s="6" t="n">
        <f aca="false">SUMIFS('Исходные данные'!$I$2:$I$966,'Исходные данные'!$D$2:$D$966,BB$1,'Исходные данные'!$F$2:$F$966,$A6)</f>
        <v>0</v>
      </c>
      <c r="BC6" s="6" t="n">
        <f aca="false">SUMIFS('Исходные данные'!$J$2:$J$966,'Исходные данные'!$D$2:$D$966,BB$1,'Исходные данные'!$F$2:$F$966,$A6)</f>
        <v>0</v>
      </c>
      <c r="BD6" s="6" t="n">
        <f aca="false">SUMIFS('Исходные данные'!$I$2:$I$966,'Исходные данные'!$D$2:$D$966,BD$1,'Исходные данные'!$F$2:$F$966,$A6)</f>
        <v>0</v>
      </c>
      <c r="BE6" s="6" t="n">
        <f aca="false">SUMIFS('Исходные данные'!$J$2:$J$966,'Исходные данные'!$D$2:$D$966,BD$1,'Исходные данные'!$F$2:$F$966,$A6)</f>
        <v>0</v>
      </c>
      <c r="BF6" s="6" t="n">
        <f aca="false">SUMIFS('Исходные данные'!$I$2:$I$966,'Исходные данные'!$D$2:$D$966,BF$1,'Исходные данные'!$F$2:$F$966,$A6)</f>
        <v>0</v>
      </c>
      <c r="BG6" s="6" t="n">
        <f aca="false">SUMIFS('Исходные данные'!$J$2:$J$966,'Исходные данные'!$D$2:$D$966,BF$1,'Исходные данные'!$F$2:$F$966,$A6)</f>
        <v>0</v>
      </c>
      <c r="BH6" s="6" t="n">
        <f aca="false">SUMIFS('Исходные данные'!$I$2:$I$966,'Исходные данные'!$D$2:$D$966,BH$1,'Исходные данные'!$F$2:$F$966,$A6)</f>
        <v>0</v>
      </c>
      <c r="BI6" s="6" t="n">
        <f aca="false">SUMIFS('Исходные данные'!$J$2:$J$966,'Исходные данные'!$D$2:$D$966,BH$1,'Исходные данные'!$F$2:$F$966,$A6)</f>
        <v>0</v>
      </c>
      <c r="BJ6" s="6" t="n">
        <f aca="false">SUMIFS('Исходные данные'!$I$2:$I$966,'Исходные данные'!$D$2:$D$966,BJ$1,'Исходные данные'!$F$2:$F$966,$A6)</f>
        <v>0</v>
      </c>
      <c r="BK6" s="6" t="n">
        <f aca="false">SUMIFS('Исходные данные'!$J$2:$J$966,'Исходные данные'!$D$2:$D$966,BJ$1,'Исходные данные'!$F$2:$F$966,$A6)</f>
        <v>0</v>
      </c>
      <c r="BL6" s="6" t="n">
        <f aca="false">SUMIFS('Исходные данные'!$I$2:$I$966,'Исходные данные'!$D$2:$D$966,BL$1,'Исходные данные'!$F$2:$F$966,$A6)</f>
        <v>0</v>
      </c>
      <c r="BM6" s="6" t="n">
        <f aca="false">SUMIFS('Исходные данные'!$J$2:$J$966,'Исходные данные'!$D$2:$D$966,BL$1,'Исходные данные'!$F$2:$F$966,$A6)</f>
        <v>0</v>
      </c>
      <c r="BN6" s="6" t="n">
        <f aca="false">SUMIFS('Исходные данные'!$I$2:$I$966,'Исходные данные'!$D$2:$D$966,BN$1,'Исходные данные'!$F$2:$F$966,$A6)</f>
        <v>0</v>
      </c>
      <c r="BO6" s="6" t="n">
        <f aca="false">SUMIFS('Исходные данные'!$J$2:$J$966,'Исходные данные'!$D$2:$D$966,BN$1,'Исходные данные'!$F$2:$F$966,$A6)</f>
        <v>0</v>
      </c>
      <c r="BP6" s="6" t="n">
        <f aca="false">SUMIFS('Исходные данные'!$I$2:$I$966,'Исходные данные'!$D$2:$D$966,BP$1,'Исходные данные'!$F$2:$F$966,$A6)</f>
        <v>0</v>
      </c>
      <c r="BQ6" s="6" t="n">
        <f aca="false">SUMIFS('Исходные данные'!$J$2:$J$966,'Исходные данные'!$D$2:$D$966,BP$1,'Исходные данные'!$F$2:$F$966,$A6)</f>
        <v>0</v>
      </c>
      <c r="BR6" s="6" t="n">
        <f aca="false">SUMIFS('Исходные данные'!$I$2:$I$966,'Исходные данные'!$D$2:$D$966,BR$1,'Исходные данные'!$F$2:$F$966,$A6)</f>
        <v>0</v>
      </c>
      <c r="BS6" s="6" t="n">
        <f aca="false">SUMIFS('Исходные данные'!$J$2:$J$966,'Исходные данные'!$D$2:$D$966,BR$1,'Исходные данные'!$F$2:$F$966,$A6)</f>
        <v>0</v>
      </c>
      <c r="BT6" s="6" t="n">
        <f aca="false">SUMIFS('Исходные данные'!$I$2:$I$966,'Исходные данные'!$D$2:$D$966,BT$1,'Исходные данные'!$F$2:$F$966,$A6)</f>
        <v>0</v>
      </c>
      <c r="BU6" s="6" t="n">
        <f aca="false">SUMIFS('Исходные данные'!$J$2:$J$966,'Исходные данные'!$D$2:$D$966,BT$1,'Исходные данные'!$F$2:$F$966,$A6)</f>
        <v>0</v>
      </c>
      <c r="BV6" s="6" t="n">
        <f aca="false">SUMIFS('Исходные данные'!$I$2:$I$966,'Исходные данные'!$D$2:$D$966,BV$1,'Исходные данные'!$F$2:$F$966,$A6)</f>
        <v>0</v>
      </c>
      <c r="BW6" s="6" t="n">
        <f aca="false">SUMIFS('Исходные данные'!$J$2:$J$966,'Исходные данные'!$D$2:$D$966,BV$1,'Исходные данные'!$F$2:$F$966,$A6)</f>
        <v>0</v>
      </c>
      <c r="BX6" s="6" t="n">
        <f aca="false">SUMIFS('Исходные данные'!$I$2:$I$966,'Исходные данные'!$D$2:$D$966,BX$1,'Исходные данные'!$F$2:$F$966,$A6)</f>
        <v>0</v>
      </c>
      <c r="BY6" s="6" t="n">
        <f aca="false">SUMIFS('Исходные данные'!$J$2:$J$966,'Исходные данные'!$D$2:$D$966,BX$1,'Исходные данные'!$F$2:$F$966,$A6)</f>
        <v>0</v>
      </c>
      <c r="BZ6" s="6" t="n">
        <f aca="false">SUMIFS('Исходные данные'!$I$2:$I$966,'Исходные данные'!$D$2:$D$966,BZ$1,'Исходные данные'!$F$2:$F$966,$A6)</f>
        <v>0</v>
      </c>
      <c r="CA6" s="6" t="n">
        <f aca="false">SUMIFS('Исходные данные'!$J$2:$J$966,'Исходные данные'!$D$2:$D$966,BZ$1,'Исходные данные'!$F$2:$F$966,$A6)</f>
        <v>0</v>
      </c>
      <c r="CB6" s="6" t="n">
        <f aca="false">SUMIFS('Исходные данные'!$I$2:$I$966,'Исходные данные'!$D$2:$D$966,CB$1,'Исходные данные'!$F$2:$F$966,$A6)</f>
        <v>0</v>
      </c>
      <c r="CC6" s="6" t="n">
        <f aca="false">SUMIFS('Исходные данные'!$J$2:$J$966,'Исходные данные'!$D$2:$D$966,CB$1,'Исходные данные'!$F$2:$F$966,$A6)</f>
        <v>0</v>
      </c>
      <c r="CD6" s="6" t="n">
        <f aca="false">SUMIFS('Исходные данные'!$I$2:$I$966,'Исходные данные'!$D$2:$D$966,CD$1,'Исходные данные'!$F$2:$F$966,$A6)</f>
        <v>0</v>
      </c>
      <c r="CE6" s="6" t="n">
        <f aca="false">SUMIFS('Исходные данные'!$J$2:$J$966,'Исходные данные'!$D$2:$D$966,CD$1,'Исходные данные'!$F$2:$F$966,$A6)</f>
        <v>0</v>
      </c>
      <c r="CF6" s="6" t="n">
        <f aca="false">SUMIFS('Исходные данные'!$I$2:$I$966,'Исходные данные'!$D$2:$D$966,CF$1,'Исходные данные'!$F$2:$F$966,$A6)</f>
        <v>0</v>
      </c>
      <c r="CG6" s="6" t="n">
        <f aca="false">SUMIFS('Исходные данные'!$J$2:$J$966,'Исходные данные'!$D$2:$D$966,CF$1,'Исходные данные'!$F$2:$F$966,$A6)</f>
        <v>0</v>
      </c>
      <c r="CH6" s="6" t="n">
        <f aca="false">SUMIFS('Исходные данные'!$I$2:$I$966,'Исходные данные'!$D$2:$D$966,CH$1,'Исходные данные'!$F$2:$F$966,$A6)</f>
        <v>0</v>
      </c>
      <c r="CI6" s="6" t="n">
        <f aca="false">SUMIFS('Исходные данные'!$J$2:$J$966,'Исходные данные'!$D$2:$D$966,CH$1,'Исходные данные'!$F$2:$F$966,$A6)</f>
        <v>0</v>
      </c>
      <c r="CJ6" s="6" t="n">
        <f aca="false">SUMIFS('Исходные данные'!$I$2:$I$966,'Исходные данные'!$D$2:$D$966,CJ$1,'Исходные данные'!$F$2:$F$966,$A6)</f>
        <v>0</v>
      </c>
      <c r="CK6" s="6" t="n">
        <f aca="false">SUMIFS('Исходные данные'!$J$2:$J$966,'Исходные данные'!$D$2:$D$966,CJ$1,'Исходные данные'!$F$2:$F$966,$A6)</f>
        <v>0</v>
      </c>
      <c r="CL6" s="6" t="n">
        <f aca="false">SUMIFS('Исходные данные'!$I$2:$I$966,'Исходные данные'!$D$2:$D$966,CL$1,'Исходные данные'!$F$2:$F$966,$A6)</f>
        <v>0</v>
      </c>
      <c r="CM6" s="6" t="n">
        <f aca="false">SUMIFS('Исходные данные'!$J$2:$J$966,'Исходные данные'!$D$2:$D$966,CL$1,'Исходные данные'!$F$2:$F$966,$A6)</f>
        <v>0</v>
      </c>
      <c r="CN6" s="6" t="n">
        <f aca="false">SUMIFS('Исходные данные'!$I$2:$I$966,'Исходные данные'!$D$2:$D$966,CN$1,'Исходные данные'!$F$2:$F$966,$A6)</f>
        <v>0</v>
      </c>
      <c r="CO6" s="6" t="n">
        <f aca="false">SUMIFS('Исходные данные'!$J$2:$J$966,'Исходные данные'!$D$2:$D$966,CN$1,'Исходные данные'!$F$2:$F$966,$A6)</f>
        <v>0</v>
      </c>
      <c r="CP6" s="6" t="n">
        <f aca="false">SUMIFS('Исходные данные'!$I$2:$I$966,'Исходные данные'!$D$2:$D$966,CP$1,'Исходные данные'!$F$2:$F$966,$A6)</f>
        <v>0</v>
      </c>
      <c r="CQ6" s="6" t="n">
        <f aca="false">SUMIFS('Исходные данные'!$J$2:$J$966,'Исходные данные'!$D$2:$D$966,CP$1,'Исходные данные'!$F$2:$F$966,$A6)</f>
        <v>0</v>
      </c>
    </row>
    <row r="7" customFormat="false" ht="15" hidden="false" customHeight="false" outlineLevel="0" collapsed="false">
      <c r="A7" s="3" t="s">
        <v>61</v>
      </c>
      <c r="B7" s="4" t="s">
        <v>62</v>
      </c>
      <c r="C7" s="5" t="n">
        <v>23</v>
      </c>
      <c r="D7" s="5" t="n">
        <f aca="false">F7+G7</f>
        <v>22</v>
      </c>
      <c r="E7" s="5" t="n">
        <f aca="false">D7-C7</f>
        <v>-1</v>
      </c>
      <c r="F7" s="5" t="n">
        <f aca="false">SUMIFS($H7:$CQ7,$H$2:$CQ$2,"День")</f>
        <v>15</v>
      </c>
      <c r="G7" s="5" t="n">
        <f aca="false">SUMIFS($H7:$CQ7,$H$2:$CQ$2,"Ночь")</f>
        <v>7</v>
      </c>
      <c r="H7" s="4" t="n">
        <f aca="false">SUMIFS('Исходные данные'!$I$2:$I$966,'Исходные данные'!$D$2:$D$966,H$1,'Исходные данные'!$F$2:$F$966,$A7)</f>
        <v>1</v>
      </c>
      <c r="I7" s="4" t="n">
        <f aca="false">SUMIFS('Исходные данные'!$J$2:$J$966,'Исходные данные'!$D$2:$D$966,H$1,'Исходные данные'!$F$2:$F$966,$A7)</f>
        <v>0</v>
      </c>
      <c r="J7" s="4" t="n">
        <f aca="false">SUMIFS('Исходные данные'!$I$2:$I$966,'Исходные данные'!$D$2:$D$966,J$1,'Исходные данные'!$F$2:$F$966,$A7)</f>
        <v>1</v>
      </c>
      <c r="K7" s="4" t="n">
        <f aca="false">SUMIFS('Исходные данные'!$J$2:$J$966,'Исходные данные'!$D$2:$D$966,J$1,'Исходные данные'!$F$2:$F$966,$A7)</f>
        <v>0</v>
      </c>
      <c r="L7" s="4" t="n">
        <f aca="false">SUMIFS('Исходные данные'!$I$2:$I$966,'Исходные данные'!$D$2:$D$966,L$1,'Исходные данные'!$F$2:$F$966,$A7)</f>
        <v>1</v>
      </c>
      <c r="M7" s="4" t="n">
        <f aca="false">SUMIFS('Исходные данные'!$J$2:$J$966,'Исходные данные'!$D$2:$D$966,L$1,'Исходные данные'!$F$2:$F$966,$A7)</f>
        <v>0</v>
      </c>
      <c r="N7" s="4" t="n">
        <f aca="false">SUMIFS('Исходные данные'!$I$2:$I$966,'Исходные данные'!$D$2:$D$966,N$1,'Исходные данные'!$F$2:$F$966,$A7)</f>
        <v>0</v>
      </c>
      <c r="O7" s="4" t="n">
        <f aca="false">SUMIFS('Исходные данные'!$J$2:$J$966,'Исходные данные'!$D$2:$D$966,N$1,'Исходные данные'!$F$2:$F$966,$A7)</f>
        <v>0</v>
      </c>
      <c r="P7" s="4" t="n">
        <f aca="false">SUMIFS('Исходные данные'!$I$2:$I$966,'Исходные данные'!$D$2:$D$966,P$1,'Исходные данные'!$F$2:$F$966,$A7)</f>
        <v>0</v>
      </c>
      <c r="Q7" s="4" t="n">
        <f aca="false">SUMIFS('Исходные данные'!$J$2:$J$966,'Исходные данные'!$D$2:$D$966,P$1,'Исходные данные'!$F$2:$F$966,$A7)</f>
        <v>0</v>
      </c>
      <c r="R7" s="4" t="n">
        <f aca="false">SUMIFS('Исходные данные'!$I$2:$I$966,'Исходные данные'!$D$2:$D$966,R$1,'Исходные данные'!$F$2:$F$966,$A7)</f>
        <v>1</v>
      </c>
      <c r="S7" s="4" t="n">
        <f aca="false">SUMIFS('Исходные данные'!$J$2:$J$966,'Исходные данные'!$D$2:$D$966,R$1,'Исходные данные'!$F$2:$F$966,$A7)</f>
        <v>0</v>
      </c>
      <c r="T7" s="4" t="n">
        <f aca="false">SUMIFS('Исходные данные'!$I$2:$I$966,'Исходные данные'!$D$2:$D$966,T$1,'Исходные данные'!$F$2:$F$966,$A7)</f>
        <v>0</v>
      </c>
      <c r="U7" s="4" t="n">
        <f aca="false">SUMIFS('Исходные данные'!$J$2:$J$966,'Исходные данные'!$D$2:$D$966,T$1,'Исходные данные'!$F$2:$F$966,$A7)</f>
        <v>0</v>
      </c>
      <c r="V7" s="4" t="n">
        <f aca="false">SUMIFS('Исходные данные'!$I$2:$I$966,'Исходные данные'!$D$2:$D$966,V$1,'Исходные данные'!$F$2:$F$966,$A7)</f>
        <v>0</v>
      </c>
      <c r="W7" s="4" t="n">
        <f aca="false">SUMIFS('Исходные данные'!$J$2:$J$966,'Исходные данные'!$D$2:$D$966,V$1,'Исходные данные'!$F$2:$F$966,$A7)</f>
        <v>0</v>
      </c>
      <c r="X7" s="4" t="n">
        <f aca="false">SUMIFS('Исходные данные'!$I$2:$I$966,'Исходные данные'!$D$2:$D$966,X$1,'Исходные данные'!$F$2:$F$966,$A7)</f>
        <v>1</v>
      </c>
      <c r="Y7" s="4" t="n">
        <f aca="false">SUMIFS('Исходные данные'!$J$2:$J$966,'Исходные данные'!$D$2:$D$966,X$1,'Исходные данные'!$F$2:$F$966,$A7)</f>
        <v>0</v>
      </c>
      <c r="Z7" s="4" t="n">
        <f aca="false">SUMIFS('Исходные данные'!$I$2:$I$966,'Исходные данные'!$D$2:$D$966,Z$1,'Исходные данные'!$F$2:$F$966,$A7)</f>
        <v>0</v>
      </c>
      <c r="AA7" s="4" t="n">
        <f aca="false">SUMIFS('Исходные данные'!$J$2:$J$966,'Исходные данные'!$D$2:$D$966,Z$1,'Исходные данные'!$F$2:$F$966,$A7)</f>
        <v>0</v>
      </c>
      <c r="AB7" s="4" t="n">
        <f aca="false">SUMIFS('Исходные данные'!$I$2:$I$966,'Исходные данные'!$D$2:$D$966,AB$1,'Исходные данные'!$F$2:$F$966,$A7)</f>
        <v>0</v>
      </c>
      <c r="AC7" s="4" t="n">
        <f aca="false">SUMIFS('Исходные данные'!$J$2:$J$966,'Исходные данные'!$D$2:$D$966,AB$1,'Исходные данные'!$F$2:$F$966,$A7)</f>
        <v>0</v>
      </c>
      <c r="AD7" s="4" t="n">
        <f aca="false">SUMIFS('Исходные данные'!$I$2:$I$966,'Исходные данные'!$D$2:$D$966,AD$1,'Исходные данные'!$F$2:$F$966,$A7)</f>
        <v>0</v>
      </c>
      <c r="AE7" s="4" t="n">
        <f aca="false">SUMIFS('Исходные данные'!$J$2:$J$966,'Исходные данные'!$D$2:$D$966,AD$1,'Исходные данные'!$F$2:$F$966,$A7)</f>
        <v>0</v>
      </c>
      <c r="AF7" s="4" t="n">
        <f aca="false">SUMIFS('Исходные данные'!$I$2:$I$966,'Исходные данные'!$D$2:$D$966,AF$1,'Исходные данные'!$F$2:$F$966,$A7)</f>
        <v>3</v>
      </c>
      <c r="AG7" s="4" t="n">
        <f aca="false">SUMIFS('Исходные данные'!$J$2:$J$966,'Исходные данные'!$D$2:$D$966,AF$1,'Исходные данные'!$F$2:$F$966,$A7)</f>
        <v>0</v>
      </c>
      <c r="AH7" s="4" t="n">
        <f aca="false">SUMIFS('Исходные данные'!$I$2:$I$966,'Исходные данные'!$D$2:$D$966,AH$1,'Исходные данные'!$F$2:$F$966,$A7)</f>
        <v>4</v>
      </c>
      <c r="AI7" s="4" t="n">
        <f aca="false">SUMIFS('Исходные данные'!$J$2:$J$966,'Исходные данные'!$D$2:$D$966,AH$1,'Исходные данные'!$F$2:$F$966,$A7)</f>
        <v>4</v>
      </c>
      <c r="AJ7" s="4" t="n">
        <f aca="false">SUMIFS('Исходные данные'!$I$2:$I$966,'Исходные данные'!$D$2:$D$966,AJ$1,'Исходные данные'!$F$2:$F$966,$A7)</f>
        <v>3</v>
      </c>
      <c r="AK7" s="4" t="n">
        <f aca="false">SUMIFS('Исходные данные'!$J$2:$J$966,'Исходные данные'!$D$2:$D$966,AJ$1,'Исходные данные'!$F$2:$F$966,$A7)</f>
        <v>3</v>
      </c>
      <c r="AL7" s="4" t="n">
        <f aca="false">SUMIFS('Исходные данные'!$I$2:$I$966,'Исходные данные'!$D$2:$D$966,AL$1,'Исходные данные'!$F$2:$F$966,$A7)</f>
        <v>0</v>
      </c>
      <c r="AM7" s="4" t="n">
        <f aca="false">SUMIFS('Исходные данные'!$J$2:$J$966,'Исходные данные'!$D$2:$D$966,AL$1,'Исходные данные'!$F$2:$F$966,$A7)</f>
        <v>0</v>
      </c>
      <c r="AN7" s="4" t="n">
        <f aca="false">SUMIFS('Исходные данные'!$I$2:$I$966,'Исходные данные'!$D$2:$D$966,AN$1,'Исходные данные'!$F$2:$F$966,$A7)</f>
        <v>0</v>
      </c>
      <c r="AO7" s="4" t="n">
        <f aca="false">SUMIFS('Исходные данные'!$J$2:$J$966,'Исходные данные'!$D$2:$D$966,AN$1,'Исходные данные'!$F$2:$F$966,$A7)</f>
        <v>0</v>
      </c>
      <c r="AP7" s="4" t="n">
        <f aca="false">SUMIFS('Исходные данные'!$I$2:$I$966,'Исходные данные'!$D$2:$D$966,AP$1,'Исходные данные'!$F$2:$F$966,$A7)</f>
        <v>0</v>
      </c>
      <c r="AQ7" s="4" t="n">
        <f aca="false">SUMIFS('Исходные данные'!$J$2:$J$966,'Исходные данные'!$D$2:$D$966,AP$1,'Исходные данные'!$F$2:$F$966,$A7)</f>
        <v>0</v>
      </c>
      <c r="AR7" s="4" t="n">
        <f aca="false">SUMIFS('Исходные данные'!$I$2:$I$966,'Исходные данные'!$D$2:$D$966,AR$1,'Исходные данные'!$F$2:$F$966,$A7)</f>
        <v>0</v>
      </c>
      <c r="AS7" s="4" t="n">
        <f aca="false">SUMIFS('Исходные данные'!$J$2:$J$966,'Исходные данные'!$D$2:$D$966,AR$1,'Исходные данные'!$F$2:$F$966,$A7)</f>
        <v>0</v>
      </c>
      <c r="AT7" s="4" t="n">
        <f aca="false">SUMIFS('Исходные данные'!$I$2:$I$966,'Исходные данные'!$D$2:$D$966,AT$1,'Исходные данные'!$F$2:$F$966,$A7)</f>
        <v>0</v>
      </c>
      <c r="AU7" s="4" t="n">
        <f aca="false">SUMIFS('Исходные данные'!$J$2:$J$966,'Исходные данные'!$D$2:$D$966,AT$1,'Исходные данные'!$F$2:$F$966,$A7)</f>
        <v>0</v>
      </c>
      <c r="AV7" s="4" t="n">
        <f aca="false">SUMIFS('Исходные данные'!$I$2:$I$966,'Исходные данные'!$D$2:$D$966,AV$1,'Исходные данные'!$F$2:$F$966,$A7)</f>
        <v>0</v>
      </c>
      <c r="AW7" s="4" t="n">
        <f aca="false">SUMIFS('Исходные данные'!$J$2:$J$966,'Исходные данные'!$D$2:$D$966,AV$1,'Исходные данные'!$F$2:$F$966,$A7)</f>
        <v>0</v>
      </c>
      <c r="AX7" s="4" t="n">
        <f aca="false">SUMIFS('Исходные данные'!$I$2:$I$966,'Исходные данные'!$D$2:$D$966,AX$1,'Исходные данные'!$F$2:$F$966,$A7)</f>
        <v>0</v>
      </c>
      <c r="AY7" s="4" t="n">
        <f aca="false">SUMIFS('Исходные данные'!$J$2:$J$966,'Исходные данные'!$D$2:$D$966,AX$1,'Исходные данные'!$F$2:$F$966,$A7)</f>
        <v>0</v>
      </c>
      <c r="AZ7" s="4" t="n">
        <f aca="false">SUMIFS('Исходные данные'!$I$2:$I$966,'Исходные данные'!$D$2:$D$966,AZ$1,'Исходные данные'!$F$2:$F$966,$A7)</f>
        <v>0</v>
      </c>
      <c r="BA7" s="4" t="n">
        <f aca="false">SUMIFS('Исходные данные'!$J$2:$J$966,'Исходные данные'!$D$2:$D$966,AZ$1,'Исходные данные'!$F$2:$F$966,$A7)</f>
        <v>0</v>
      </c>
      <c r="BB7" s="4" t="n">
        <f aca="false">SUMIFS('Исходные данные'!$I$2:$I$966,'Исходные данные'!$D$2:$D$966,BB$1,'Исходные данные'!$F$2:$F$966,$A7)</f>
        <v>0</v>
      </c>
      <c r="BC7" s="4" t="n">
        <f aca="false">SUMIFS('Исходные данные'!$J$2:$J$966,'Исходные данные'!$D$2:$D$966,BB$1,'Исходные данные'!$F$2:$F$966,$A7)</f>
        <v>0</v>
      </c>
      <c r="BD7" s="4" t="n">
        <f aca="false">SUMIFS('Исходные данные'!$I$2:$I$966,'Исходные данные'!$D$2:$D$966,BD$1,'Исходные данные'!$F$2:$F$966,$A7)</f>
        <v>0</v>
      </c>
      <c r="BE7" s="4" t="n">
        <f aca="false">SUMIFS('Исходные данные'!$J$2:$J$966,'Исходные данные'!$D$2:$D$966,BD$1,'Исходные данные'!$F$2:$F$966,$A7)</f>
        <v>0</v>
      </c>
      <c r="BF7" s="4" t="n">
        <f aca="false">SUMIFS('Исходные данные'!$I$2:$I$966,'Исходные данные'!$D$2:$D$966,BF$1,'Исходные данные'!$F$2:$F$966,$A7)</f>
        <v>0</v>
      </c>
      <c r="BG7" s="4" t="n">
        <f aca="false">SUMIFS('Исходные данные'!$J$2:$J$966,'Исходные данные'!$D$2:$D$966,BF$1,'Исходные данные'!$F$2:$F$966,$A7)</f>
        <v>0</v>
      </c>
      <c r="BH7" s="4" t="n">
        <f aca="false">SUMIFS('Исходные данные'!$I$2:$I$966,'Исходные данные'!$D$2:$D$966,BH$1,'Исходные данные'!$F$2:$F$966,$A7)</f>
        <v>0</v>
      </c>
      <c r="BI7" s="4" t="n">
        <f aca="false">SUMIFS('Исходные данные'!$J$2:$J$966,'Исходные данные'!$D$2:$D$966,BH$1,'Исходные данные'!$F$2:$F$966,$A7)</f>
        <v>0</v>
      </c>
      <c r="BJ7" s="4" t="n">
        <f aca="false">SUMIFS('Исходные данные'!$I$2:$I$966,'Исходные данные'!$D$2:$D$966,BJ$1,'Исходные данные'!$F$2:$F$966,$A7)</f>
        <v>0</v>
      </c>
      <c r="BK7" s="4" t="n">
        <f aca="false">SUMIFS('Исходные данные'!$J$2:$J$966,'Исходные данные'!$D$2:$D$966,BJ$1,'Исходные данные'!$F$2:$F$966,$A7)</f>
        <v>0</v>
      </c>
      <c r="BL7" s="4" t="n">
        <f aca="false">SUMIFS('Исходные данные'!$I$2:$I$966,'Исходные данные'!$D$2:$D$966,BL$1,'Исходные данные'!$F$2:$F$966,$A7)</f>
        <v>0</v>
      </c>
      <c r="BM7" s="4" t="n">
        <f aca="false">SUMIFS('Исходные данные'!$J$2:$J$966,'Исходные данные'!$D$2:$D$966,BL$1,'Исходные данные'!$F$2:$F$966,$A7)</f>
        <v>0</v>
      </c>
      <c r="BN7" s="4" t="n">
        <f aca="false">SUMIFS('Исходные данные'!$I$2:$I$966,'Исходные данные'!$D$2:$D$966,BN$1,'Исходные данные'!$F$2:$F$966,$A7)</f>
        <v>0</v>
      </c>
      <c r="BO7" s="4" t="n">
        <f aca="false">SUMIFS('Исходные данные'!$J$2:$J$966,'Исходные данные'!$D$2:$D$966,BN$1,'Исходные данные'!$F$2:$F$966,$A7)</f>
        <v>0</v>
      </c>
      <c r="BP7" s="4" t="n">
        <f aca="false">SUMIFS('Исходные данные'!$I$2:$I$966,'Исходные данные'!$D$2:$D$966,BP$1,'Исходные данные'!$F$2:$F$966,$A7)</f>
        <v>0</v>
      </c>
      <c r="BQ7" s="4" t="n">
        <f aca="false">SUMIFS('Исходные данные'!$J$2:$J$966,'Исходные данные'!$D$2:$D$966,BP$1,'Исходные данные'!$F$2:$F$966,$A7)</f>
        <v>0</v>
      </c>
      <c r="BR7" s="4" t="n">
        <f aca="false">SUMIFS('Исходные данные'!$I$2:$I$966,'Исходные данные'!$D$2:$D$966,BR$1,'Исходные данные'!$F$2:$F$966,$A7)</f>
        <v>0</v>
      </c>
      <c r="BS7" s="4" t="n">
        <f aca="false">SUMIFS('Исходные данные'!$J$2:$J$966,'Исходные данные'!$D$2:$D$966,BR$1,'Исходные данные'!$F$2:$F$966,$A7)</f>
        <v>0</v>
      </c>
      <c r="BT7" s="4" t="n">
        <f aca="false">SUMIFS('Исходные данные'!$I$2:$I$966,'Исходные данные'!$D$2:$D$966,BT$1,'Исходные данные'!$F$2:$F$966,$A7)</f>
        <v>0</v>
      </c>
      <c r="BU7" s="4" t="n">
        <f aca="false">SUMIFS('Исходные данные'!$J$2:$J$966,'Исходные данные'!$D$2:$D$966,BT$1,'Исходные данные'!$F$2:$F$966,$A7)</f>
        <v>0</v>
      </c>
      <c r="BV7" s="4" t="n">
        <f aca="false">SUMIFS('Исходные данные'!$I$2:$I$966,'Исходные данные'!$D$2:$D$966,BV$1,'Исходные данные'!$F$2:$F$966,$A7)</f>
        <v>0</v>
      </c>
      <c r="BW7" s="4" t="n">
        <f aca="false">SUMIFS('Исходные данные'!$J$2:$J$966,'Исходные данные'!$D$2:$D$966,BV$1,'Исходные данные'!$F$2:$F$966,$A7)</f>
        <v>0</v>
      </c>
      <c r="BX7" s="4" t="n">
        <f aca="false">SUMIFS('Исходные данные'!$I$2:$I$966,'Исходные данные'!$D$2:$D$966,BX$1,'Исходные данные'!$F$2:$F$966,$A7)</f>
        <v>0</v>
      </c>
      <c r="BY7" s="4" t="n">
        <f aca="false">SUMIFS('Исходные данные'!$J$2:$J$966,'Исходные данные'!$D$2:$D$966,BX$1,'Исходные данные'!$F$2:$F$966,$A7)</f>
        <v>0</v>
      </c>
      <c r="BZ7" s="4" t="n">
        <f aca="false">SUMIFS('Исходные данные'!$I$2:$I$966,'Исходные данные'!$D$2:$D$966,BZ$1,'Исходные данные'!$F$2:$F$966,$A7)</f>
        <v>0</v>
      </c>
      <c r="CA7" s="4" t="n">
        <f aca="false">SUMIFS('Исходные данные'!$J$2:$J$966,'Исходные данные'!$D$2:$D$966,BZ$1,'Исходные данные'!$F$2:$F$966,$A7)</f>
        <v>0</v>
      </c>
      <c r="CB7" s="4" t="n">
        <f aca="false">SUMIFS('Исходные данные'!$I$2:$I$966,'Исходные данные'!$D$2:$D$966,CB$1,'Исходные данные'!$F$2:$F$966,$A7)</f>
        <v>0</v>
      </c>
      <c r="CC7" s="4" t="n">
        <f aca="false">SUMIFS('Исходные данные'!$J$2:$J$966,'Исходные данные'!$D$2:$D$966,CB$1,'Исходные данные'!$F$2:$F$966,$A7)</f>
        <v>0</v>
      </c>
      <c r="CD7" s="4" t="n">
        <f aca="false">SUMIFS('Исходные данные'!$I$2:$I$966,'Исходные данные'!$D$2:$D$966,CD$1,'Исходные данные'!$F$2:$F$966,$A7)</f>
        <v>0</v>
      </c>
      <c r="CE7" s="4" t="n">
        <f aca="false">SUMIFS('Исходные данные'!$J$2:$J$966,'Исходные данные'!$D$2:$D$966,CD$1,'Исходные данные'!$F$2:$F$966,$A7)</f>
        <v>0</v>
      </c>
      <c r="CF7" s="4" t="n">
        <f aca="false">SUMIFS('Исходные данные'!$I$2:$I$966,'Исходные данные'!$D$2:$D$966,CF$1,'Исходные данные'!$F$2:$F$966,$A7)</f>
        <v>0</v>
      </c>
      <c r="CG7" s="4" t="n">
        <f aca="false">SUMIFS('Исходные данные'!$J$2:$J$966,'Исходные данные'!$D$2:$D$966,CF$1,'Исходные данные'!$F$2:$F$966,$A7)</f>
        <v>0</v>
      </c>
      <c r="CH7" s="4" t="n">
        <f aca="false">SUMIFS('Исходные данные'!$I$2:$I$966,'Исходные данные'!$D$2:$D$966,CH$1,'Исходные данные'!$F$2:$F$966,$A7)</f>
        <v>0</v>
      </c>
      <c r="CI7" s="4" t="n">
        <f aca="false">SUMIFS('Исходные данные'!$J$2:$J$966,'Исходные данные'!$D$2:$D$966,CH$1,'Исходные данные'!$F$2:$F$966,$A7)</f>
        <v>0</v>
      </c>
      <c r="CJ7" s="4" t="n">
        <f aca="false">SUMIFS('Исходные данные'!$I$2:$I$966,'Исходные данные'!$D$2:$D$966,CJ$1,'Исходные данные'!$F$2:$F$966,$A7)</f>
        <v>0</v>
      </c>
      <c r="CK7" s="4" t="n">
        <f aca="false">SUMIFS('Исходные данные'!$J$2:$J$966,'Исходные данные'!$D$2:$D$966,CJ$1,'Исходные данные'!$F$2:$F$966,$A7)</f>
        <v>0</v>
      </c>
      <c r="CL7" s="4" t="n">
        <f aca="false">SUMIFS('Исходные данные'!$I$2:$I$966,'Исходные данные'!$D$2:$D$966,CL$1,'Исходные данные'!$F$2:$F$966,$A7)</f>
        <v>0</v>
      </c>
      <c r="CM7" s="4" t="n">
        <f aca="false">SUMIFS('Исходные данные'!$J$2:$J$966,'Исходные данные'!$D$2:$D$966,CL$1,'Исходные данные'!$F$2:$F$966,$A7)</f>
        <v>0</v>
      </c>
      <c r="CN7" s="4" t="n">
        <f aca="false">SUMIFS('Исходные данные'!$I$2:$I$966,'Исходные данные'!$D$2:$D$966,CN$1,'Исходные данные'!$F$2:$F$966,$A7)</f>
        <v>0</v>
      </c>
      <c r="CO7" s="4" t="n">
        <f aca="false">SUMIFS('Исходные данные'!$J$2:$J$966,'Исходные данные'!$D$2:$D$966,CN$1,'Исходные данные'!$F$2:$F$966,$A7)</f>
        <v>0</v>
      </c>
      <c r="CP7" s="4" t="n">
        <f aca="false">SUMIFS('Исходные данные'!$I$2:$I$966,'Исходные данные'!$D$2:$D$966,CP$1,'Исходные данные'!$F$2:$F$966,$A7)</f>
        <v>0</v>
      </c>
      <c r="CQ7" s="4" t="n">
        <f aca="false">SUMIFS('Исходные данные'!$J$2:$J$966,'Исходные данные'!$D$2:$D$966,CP$1,'Исходные данные'!$F$2:$F$966,$A7)</f>
        <v>0</v>
      </c>
    </row>
    <row r="8" customFormat="false" ht="15" hidden="false" customHeight="false" outlineLevel="0" collapsed="false">
      <c r="A8" s="3" t="s">
        <v>63</v>
      </c>
      <c r="B8" s="4" t="s">
        <v>64</v>
      </c>
      <c r="C8" s="5" t="n">
        <v>19</v>
      </c>
      <c r="D8" s="5" t="n">
        <f aca="false">F8+G8</f>
        <v>19</v>
      </c>
      <c r="E8" s="5" t="n">
        <f aca="false">D8-C8</f>
        <v>0</v>
      </c>
      <c r="F8" s="5" t="n">
        <f aca="false">SUMIFS($H8:$CQ8,$H$2:$CQ$2,"День")</f>
        <v>14</v>
      </c>
      <c r="G8" s="5" t="n">
        <f aca="false">SUMIFS($H8:$CQ8,$H$2:$CQ$2,"Ночь")</f>
        <v>5</v>
      </c>
      <c r="H8" s="4" t="n">
        <f aca="false">SUMIFS('Исходные данные'!$I$2:$I$966,'Исходные данные'!$D$2:$D$966,H$1,'Исходные данные'!$F$2:$F$966,$A8)</f>
        <v>1</v>
      </c>
      <c r="I8" s="4" t="n">
        <f aca="false">SUMIFS('Исходные данные'!$J$2:$J$966,'Исходные данные'!$D$2:$D$966,H$1,'Исходные данные'!$F$2:$F$966,$A8)</f>
        <v>0</v>
      </c>
      <c r="J8" s="4" t="n">
        <f aca="false">SUMIFS('Исходные данные'!$I$2:$I$966,'Исходные данные'!$D$2:$D$966,J$1,'Исходные данные'!$F$2:$F$966,$A8)</f>
        <v>1</v>
      </c>
      <c r="K8" s="4" t="n">
        <f aca="false">SUMIFS('Исходные данные'!$J$2:$J$966,'Исходные данные'!$D$2:$D$966,J$1,'Исходные данные'!$F$2:$F$966,$A8)</f>
        <v>0</v>
      </c>
      <c r="L8" s="4" t="n">
        <f aca="false">SUMIFS('Исходные данные'!$I$2:$I$966,'Исходные данные'!$D$2:$D$966,L$1,'Исходные данные'!$F$2:$F$966,$A8)</f>
        <v>1</v>
      </c>
      <c r="M8" s="4" t="n">
        <f aca="false">SUMIFS('Исходные данные'!$J$2:$J$966,'Исходные данные'!$D$2:$D$966,L$1,'Исходные данные'!$F$2:$F$966,$A8)</f>
        <v>0</v>
      </c>
      <c r="N8" s="4" t="n">
        <f aca="false">SUMIFS('Исходные данные'!$I$2:$I$966,'Исходные данные'!$D$2:$D$966,N$1,'Исходные данные'!$F$2:$F$966,$A8)</f>
        <v>0</v>
      </c>
      <c r="O8" s="4" t="n">
        <f aca="false">SUMIFS('Исходные данные'!$J$2:$J$966,'Исходные данные'!$D$2:$D$966,N$1,'Исходные данные'!$F$2:$F$966,$A8)</f>
        <v>0</v>
      </c>
      <c r="P8" s="4" t="n">
        <f aca="false">SUMIFS('Исходные данные'!$I$2:$I$966,'Исходные данные'!$D$2:$D$966,P$1,'Исходные данные'!$F$2:$F$966,$A8)</f>
        <v>1</v>
      </c>
      <c r="Q8" s="4" t="n">
        <f aca="false">SUMIFS('Исходные данные'!$J$2:$J$966,'Исходные данные'!$D$2:$D$966,P$1,'Исходные данные'!$F$2:$F$966,$A8)</f>
        <v>0</v>
      </c>
      <c r="R8" s="4" t="n">
        <f aca="false">SUMIFS('Исходные данные'!$I$2:$I$966,'Исходные данные'!$D$2:$D$966,R$1,'Исходные данные'!$F$2:$F$966,$A8)</f>
        <v>1</v>
      </c>
      <c r="S8" s="4" t="n">
        <f aca="false">SUMIFS('Исходные данные'!$J$2:$J$966,'Исходные данные'!$D$2:$D$966,R$1,'Исходные данные'!$F$2:$F$966,$A8)</f>
        <v>0</v>
      </c>
      <c r="T8" s="4" t="n">
        <f aca="false">SUMIFS('Исходные данные'!$I$2:$I$966,'Исходные данные'!$D$2:$D$966,T$1,'Исходные данные'!$F$2:$F$966,$A8)</f>
        <v>0</v>
      </c>
      <c r="U8" s="4" t="n">
        <f aca="false">SUMIFS('Исходные данные'!$J$2:$J$966,'Исходные данные'!$D$2:$D$966,T$1,'Исходные данные'!$F$2:$F$966,$A8)</f>
        <v>0</v>
      </c>
      <c r="V8" s="4" t="n">
        <f aca="false">SUMIFS('Исходные данные'!$I$2:$I$966,'Исходные данные'!$D$2:$D$966,V$1,'Исходные данные'!$F$2:$F$966,$A8)</f>
        <v>1</v>
      </c>
      <c r="W8" s="4" t="n">
        <f aca="false">SUMIFS('Исходные данные'!$J$2:$J$966,'Исходные данные'!$D$2:$D$966,V$1,'Исходные данные'!$F$2:$F$966,$A8)</f>
        <v>0</v>
      </c>
      <c r="X8" s="4" t="n">
        <f aca="false">SUMIFS('Исходные данные'!$I$2:$I$966,'Исходные данные'!$D$2:$D$966,X$1,'Исходные данные'!$F$2:$F$966,$A8)</f>
        <v>0</v>
      </c>
      <c r="Y8" s="4" t="n">
        <f aca="false">SUMIFS('Исходные данные'!$J$2:$J$966,'Исходные данные'!$D$2:$D$966,X$1,'Исходные данные'!$F$2:$F$966,$A8)</f>
        <v>0</v>
      </c>
      <c r="Z8" s="4" t="n">
        <f aca="false">SUMIFS('Исходные данные'!$I$2:$I$966,'Исходные данные'!$D$2:$D$966,Z$1,'Исходные данные'!$F$2:$F$966,$A8)</f>
        <v>1</v>
      </c>
      <c r="AA8" s="4" t="n">
        <f aca="false">SUMIFS('Исходные данные'!$J$2:$J$966,'Исходные данные'!$D$2:$D$966,Z$1,'Исходные данные'!$F$2:$F$966,$A8)</f>
        <v>0</v>
      </c>
      <c r="AB8" s="4" t="n">
        <f aca="false">SUMIFS('Исходные данные'!$I$2:$I$966,'Исходные данные'!$D$2:$D$966,AB$1,'Исходные данные'!$F$2:$F$966,$A8)</f>
        <v>0</v>
      </c>
      <c r="AC8" s="4" t="n">
        <f aca="false">SUMIFS('Исходные данные'!$J$2:$J$966,'Исходные данные'!$D$2:$D$966,AB$1,'Исходные данные'!$F$2:$F$966,$A8)</f>
        <v>0</v>
      </c>
      <c r="AD8" s="4" t="n">
        <f aca="false">SUMIFS('Исходные данные'!$I$2:$I$966,'Исходные данные'!$D$2:$D$966,AD$1,'Исходные данные'!$F$2:$F$966,$A8)</f>
        <v>1</v>
      </c>
      <c r="AE8" s="4" t="n">
        <f aca="false">SUMIFS('Исходные данные'!$J$2:$J$966,'Исходные данные'!$D$2:$D$966,AD$1,'Исходные данные'!$F$2:$F$966,$A8)</f>
        <v>0</v>
      </c>
      <c r="AF8" s="4" t="n">
        <f aca="false">SUMIFS('Исходные данные'!$I$2:$I$966,'Исходные данные'!$D$2:$D$966,AF$1,'Исходные данные'!$F$2:$F$966,$A8)</f>
        <v>0</v>
      </c>
      <c r="AG8" s="4" t="n">
        <f aca="false">SUMIFS('Исходные данные'!$J$2:$J$966,'Исходные данные'!$D$2:$D$966,AF$1,'Исходные данные'!$F$2:$F$966,$A8)</f>
        <v>0</v>
      </c>
      <c r="AH8" s="4" t="n">
        <f aca="false">SUMIFS('Исходные данные'!$I$2:$I$966,'Исходные данные'!$D$2:$D$966,AH$1,'Исходные данные'!$F$2:$F$966,$A8)</f>
        <v>3</v>
      </c>
      <c r="AI8" s="4" t="n">
        <f aca="false">SUMIFS('Исходные данные'!$J$2:$J$966,'Исходные данные'!$D$2:$D$966,AH$1,'Исходные данные'!$F$2:$F$966,$A8)</f>
        <v>3</v>
      </c>
      <c r="AJ8" s="4" t="n">
        <f aca="false">SUMIFS('Исходные данные'!$I$2:$I$966,'Исходные данные'!$D$2:$D$966,AJ$1,'Исходные данные'!$F$2:$F$966,$A8)</f>
        <v>3</v>
      </c>
      <c r="AK8" s="4" t="n">
        <f aca="false">SUMIFS('Исходные данные'!$J$2:$J$966,'Исходные данные'!$D$2:$D$966,AJ$1,'Исходные данные'!$F$2:$F$966,$A8)</f>
        <v>2</v>
      </c>
      <c r="AL8" s="4" t="n">
        <f aca="false">SUMIFS('Исходные данные'!$I$2:$I$966,'Исходные данные'!$D$2:$D$966,AL$1,'Исходные данные'!$F$2:$F$966,$A8)</f>
        <v>0</v>
      </c>
      <c r="AM8" s="4" t="n">
        <f aca="false">SUMIFS('Исходные данные'!$J$2:$J$966,'Исходные данные'!$D$2:$D$966,AL$1,'Исходные данные'!$F$2:$F$966,$A8)</f>
        <v>0</v>
      </c>
      <c r="AN8" s="4" t="n">
        <f aca="false">SUMIFS('Исходные данные'!$I$2:$I$966,'Исходные данные'!$D$2:$D$966,AN$1,'Исходные данные'!$F$2:$F$966,$A8)</f>
        <v>0</v>
      </c>
      <c r="AO8" s="4" t="n">
        <f aca="false">SUMIFS('Исходные данные'!$J$2:$J$966,'Исходные данные'!$D$2:$D$966,AN$1,'Исходные данные'!$F$2:$F$966,$A8)</f>
        <v>0</v>
      </c>
      <c r="AP8" s="4" t="n">
        <f aca="false">SUMIFS('Исходные данные'!$I$2:$I$966,'Исходные данные'!$D$2:$D$966,AP$1,'Исходные данные'!$F$2:$F$966,$A8)</f>
        <v>0</v>
      </c>
      <c r="AQ8" s="4" t="n">
        <f aca="false">SUMIFS('Исходные данные'!$J$2:$J$966,'Исходные данные'!$D$2:$D$966,AP$1,'Исходные данные'!$F$2:$F$966,$A8)</f>
        <v>0</v>
      </c>
      <c r="AR8" s="4" t="n">
        <f aca="false">SUMIFS('Исходные данные'!$I$2:$I$966,'Исходные данные'!$D$2:$D$966,AR$1,'Исходные данные'!$F$2:$F$966,$A8)</f>
        <v>0</v>
      </c>
      <c r="AS8" s="4" t="n">
        <f aca="false">SUMIFS('Исходные данные'!$J$2:$J$966,'Исходные данные'!$D$2:$D$966,AR$1,'Исходные данные'!$F$2:$F$966,$A8)</f>
        <v>0</v>
      </c>
      <c r="AT8" s="4" t="n">
        <f aca="false">SUMIFS('Исходные данные'!$I$2:$I$966,'Исходные данные'!$D$2:$D$966,AT$1,'Исходные данные'!$F$2:$F$966,$A8)</f>
        <v>0</v>
      </c>
      <c r="AU8" s="4" t="n">
        <f aca="false">SUMIFS('Исходные данные'!$J$2:$J$966,'Исходные данные'!$D$2:$D$966,AT$1,'Исходные данные'!$F$2:$F$966,$A8)</f>
        <v>0</v>
      </c>
      <c r="AV8" s="4" t="n">
        <f aca="false">SUMIFS('Исходные данные'!$I$2:$I$966,'Исходные данные'!$D$2:$D$966,AV$1,'Исходные данные'!$F$2:$F$966,$A8)</f>
        <v>0</v>
      </c>
      <c r="AW8" s="4" t="n">
        <f aca="false">SUMIFS('Исходные данные'!$J$2:$J$966,'Исходные данные'!$D$2:$D$966,AV$1,'Исходные данные'!$F$2:$F$966,$A8)</f>
        <v>0</v>
      </c>
      <c r="AX8" s="4" t="n">
        <f aca="false">SUMIFS('Исходные данные'!$I$2:$I$966,'Исходные данные'!$D$2:$D$966,AX$1,'Исходные данные'!$F$2:$F$966,$A8)</f>
        <v>0</v>
      </c>
      <c r="AY8" s="4" t="n">
        <f aca="false">SUMIFS('Исходные данные'!$J$2:$J$966,'Исходные данные'!$D$2:$D$966,AX$1,'Исходные данные'!$F$2:$F$966,$A8)</f>
        <v>0</v>
      </c>
      <c r="AZ8" s="4" t="n">
        <f aca="false">SUMIFS('Исходные данные'!$I$2:$I$966,'Исходные данные'!$D$2:$D$966,AZ$1,'Исходные данные'!$F$2:$F$966,$A8)</f>
        <v>0</v>
      </c>
      <c r="BA8" s="4" t="n">
        <f aca="false">SUMIFS('Исходные данные'!$J$2:$J$966,'Исходные данные'!$D$2:$D$966,AZ$1,'Исходные данные'!$F$2:$F$966,$A8)</f>
        <v>0</v>
      </c>
      <c r="BB8" s="4" t="n">
        <f aca="false">SUMIFS('Исходные данные'!$I$2:$I$966,'Исходные данные'!$D$2:$D$966,BB$1,'Исходные данные'!$F$2:$F$966,$A8)</f>
        <v>0</v>
      </c>
      <c r="BC8" s="4" t="n">
        <f aca="false">SUMIFS('Исходные данные'!$J$2:$J$966,'Исходные данные'!$D$2:$D$966,BB$1,'Исходные данные'!$F$2:$F$966,$A8)</f>
        <v>0</v>
      </c>
      <c r="BD8" s="4" t="n">
        <f aca="false">SUMIFS('Исходные данные'!$I$2:$I$966,'Исходные данные'!$D$2:$D$966,BD$1,'Исходные данные'!$F$2:$F$966,$A8)</f>
        <v>0</v>
      </c>
      <c r="BE8" s="4" t="n">
        <f aca="false">SUMIFS('Исходные данные'!$J$2:$J$966,'Исходные данные'!$D$2:$D$966,BD$1,'Исходные данные'!$F$2:$F$966,$A8)</f>
        <v>0</v>
      </c>
      <c r="BF8" s="4" t="n">
        <f aca="false">SUMIFS('Исходные данные'!$I$2:$I$966,'Исходные данные'!$D$2:$D$966,BF$1,'Исходные данные'!$F$2:$F$966,$A8)</f>
        <v>0</v>
      </c>
      <c r="BG8" s="4" t="n">
        <f aca="false">SUMIFS('Исходные данные'!$J$2:$J$966,'Исходные данные'!$D$2:$D$966,BF$1,'Исходные данные'!$F$2:$F$966,$A8)</f>
        <v>0</v>
      </c>
      <c r="BH8" s="4" t="n">
        <f aca="false">SUMIFS('Исходные данные'!$I$2:$I$966,'Исходные данные'!$D$2:$D$966,BH$1,'Исходные данные'!$F$2:$F$966,$A8)</f>
        <v>0</v>
      </c>
      <c r="BI8" s="4" t="n">
        <f aca="false">SUMIFS('Исходные данные'!$J$2:$J$966,'Исходные данные'!$D$2:$D$966,BH$1,'Исходные данные'!$F$2:$F$966,$A8)</f>
        <v>0</v>
      </c>
      <c r="BJ8" s="4" t="n">
        <f aca="false">SUMIFS('Исходные данные'!$I$2:$I$966,'Исходные данные'!$D$2:$D$966,BJ$1,'Исходные данные'!$F$2:$F$966,$A8)</f>
        <v>0</v>
      </c>
      <c r="BK8" s="4" t="n">
        <f aca="false">SUMIFS('Исходные данные'!$J$2:$J$966,'Исходные данные'!$D$2:$D$966,BJ$1,'Исходные данные'!$F$2:$F$966,$A8)</f>
        <v>0</v>
      </c>
      <c r="BL8" s="4" t="n">
        <f aca="false">SUMIFS('Исходные данные'!$I$2:$I$966,'Исходные данные'!$D$2:$D$966,BL$1,'Исходные данные'!$F$2:$F$966,$A8)</f>
        <v>0</v>
      </c>
      <c r="BM8" s="4" t="n">
        <f aca="false">SUMIFS('Исходные данные'!$J$2:$J$966,'Исходные данные'!$D$2:$D$966,BL$1,'Исходные данные'!$F$2:$F$966,$A8)</f>
        <v>0</v>
      </c>
      <c r="BN8" s="4" t="n">
        <f aca="false">SUMIFS('Исходные данные'!$I$2:$I$966,'Исходные данные'!$D$2:$D$966,BN$1,'Исходные данные'!$F$2:$F$966,$A8)</f>
        <v>0</v>
      </c>
      <c r="BO8" s="4" t="n">
        <f aca="false">SUMIFS('Исходные данные'!$J$2:$J$966,'Исходные данные'!$D$2:$D$966,BN$1,'Исходные данные'!$F$2:$F$966,$A8)</f>
        <v>0</v>
      </c>
      <c r="BP8" s="4" t="n">
        <f aca="false">SUMIFS('Исходные данные'!$I$2:$I$966,'Исходные данные'!$D$2:$D$966,BP$1,'Исходные данные'!$F$2:$F$966,$A8)</f>
        <v>0</v>
      </c>
      <c r="BQ8" s="4" t="n">
        <f aca="false">SUMIFS('Исходные данные'!$J$2:$J$966,'Исходные данные'!$D$2:$D$966,BP$1,'Исходные данные'!$F$2:$F$966,$A8)</f>
        <v>0</v>
      </c>
      <c r="BR8" s="4" t="n">
        <f aca="false">SUMIFS('Исходные данные'!$I$2:$I$966,'Исходные данные'!$D$2:$D$966,BR$1,'Исходные данные'!$F$2:$F$966,$A8)</f>
        <v>0</v>
      </c>
      <c r="BS8" s="4" t="n">
        <f aca="false">SUMIFS('Исходные данные'!$J$2:$J$966,'Исходные данные'!$D$2:$D$966,BR$1,'Исходные данные'!$F$2:$F$966,$A8)</f>
        <v>0</v>
      </c>
      <c r="BT8" s="4" t="n">
        <f aca="false">SUMIFS('Исходные данные'!$I$2:$I$966,'Исходные данные'!$D$2:$D$966,BT$1,'Исходные данные'!$F$2:$F$966,$A8)</f>
        <v>0</v>
      </c>
      <c r="BU8" s="4" t="n">
        <f aca="false">SUMIFS('Исходные данные'!$J$2:$J$966,'Исходные данные'!$D$2:$D$966,BT$1,'Исходные данные'!$F$2:$F$966,$A8)</f>
        <v>0</v>
      </c>
      <c r="BV8" s="4" t="n">
        <f aca="false">SUMIFS('Исходные данные'!$I$2:$I$966,'Исходные данные'!$D$2:$D$966,BV$1,'Исходные данные'!$F$2:$F$966,$A8)</f>
        <v>0</v>
      </c>
      <c r="BW8" s="4" t="n">
        <f aca="false">SUMIFS('Исходные данные'!$J$2:$J$966,'Исходные данные'!$D$2:$D$966,BV$1,'Исходные данные'!$F$2:$F$966,$A8)</f>
        <v>0</v>
      </c>
      <c r="BX8" s="4" t="n">
        <f aca="false">SUMIFS('Исходные данные'!$I$2:$I$966,'Исходные данные'!$D$2:$D$966,BX$1,'Исходные данные'!$F$2:$F$966,$A8)</f>
        <v>0</v>
      </c>
      <c r="BY8" s="4" t="n">
        <f aca="false">SUMIFS('Исходные данные'!$J$2:$J$966,'Исходные данные'!$D$2:$D$966,BX$1,'Исходные данные'!$F$2:$F$966,$A8)</f>
        <v>0</v>
      </c>
      <c r="BZ8" s="4" t="n">
        <f aca="false">SUMIFS('Исходные данные'!$I$2:$I$966,'Исходные данные'!$D$2:$D$966,BZ$1,'Исходные данные'!$F$2:$F$966,$A8)</f>
        <v>0</v>
      </c>
      <c r="CA8" s="4" t="n">
        <f aca="false">SUMIFS('Исходные данные'!$J$2:$J$966,'Исходные данные'!$D$2:$D$966,BZ$1,'Исходные данные'!$F$2:$F$966,$A8)</f>
        <v>0</v>
      </c>
      <c r="CB8" s="4" t="n">
        <f aca="false">SUMIFS('Исходные данные'!$I$2:$I$966,'Исходные данные'!$D$2:$D$966,CB$1,'Исходные данные'!$F$2:$F$966,$A8)</f>
        <v>0</v>
      </c>
      <c r="CC8" s="4" t="n">
        <f aca="false">SUMIFS('Исходные данные'!$J$2:$J$966,'Исходные данные'!$D$2:$D$966,CB$1,'Исходные данные'!$F$2:$F$966,$A8)</f>
        <v>0</v>
      </c>
      <c r="CD8" s="4" t="n">
        <f aca="false">SUMIFS('Исходные данные'!$I$2:$I$966,'Исходные данные'!$D$2:$D$966,CD$1,'Исходные данные'!$F$2:$F$966,$A8)</f>
        <v>0</v>
      </c>
      <c r="CE8" s="4" t="n">
        <f aca="false">SUMIFS('Исходные данные'!$J$2:$J$966,'Исходные данные'!$D$2:$D$966,CD$1,'Исходные данные'!$F$2:$F$966,$A8)</f>
        <v>0</v>
      </c>
      <c r="CF8" s="4" t="n">
        <f aca="false">SUMIFS('Исходные данные'!$I$2:$I$966,'Исходные данные'!$D$2:$D$966,CF$1,'Исходные данные'!$F$2:$F$966,$A8)</f>
        <v>0</v>
      </c>
      <c r="CG8" s="4" t="n">
        <f aca="false">SUMIFS('Исходные данные'!$J$2:$J$966,'Исходные данные'!$D$2:$D$966,CF$1,'Исходные данные'!$F$2:$F$966,$A8)</f>
        <v>0</v>
      </c>
      <c r="CH8" s="4" t="n">
        <f aca="false">SUMIFS('Исходные данные'!$I$2:$I$966,'Исходные данные'!$D$2:$D$966,CH$1,'Исходные данные'!$F$2:$F$966,$A8)</f>
        <v>0</v>
      </c>
      <c r="CI8" s="4" t="n">
        <f aca="false">SUMIFS('Исходные данные'!$J$2:$J$966,'Исходные данные'!$D$2:$D$966,CH$1,'Исходные данные'!$F$2:$F$966,$A8)</f>
        <v>0</v>
      </c>
      <c r="CJ8" s="4" t="n">
        <f aca="false">SUMIFS('Исходные данные'!$I$2:$I$966,'Исходные данные'!$D$2:$D$966,CJ$1,'Исходные данные'!$F$2:$F$966,$A8)</f>
        <v>0</v>
      </c>
      <c r="CK8" s="4" t="n">
        <f aca="false">SUMIFS('Исходные данные'!$J$2:$J$966,'Исходные данные'!$D$2:$D$966,CJ$1,'Исходные данные'!$F$2:$F$966,$A8)</f>
        <v>0</v>
      </c>
      <c r="CL8" s="4" t="n">
        <f aca="false">SUMIFS('Исходные данные'!$I$2:$I$966,'Исходные данные'!$D$2:$D$966,CL$1,'Исходные данные'!$F$2:$F$966,$A8)</f>
        <v>0</v>
      </c>
      <c r="CM8" s="4" t="n">
        <f aca="false">SUMIFS('Исходные данные'!$J$2:$J$966,'Исходные данные'!$D$2:$D$966,CL$1,'Исходные данные'!$F$2:$F$966,$A8)</f>
        <v>0</v>
      </c>
      <c r="CN8" s="4" t="n">
        <f aca="false">SUMIFS('Исходные данные'!$I$2:$I$966,'Исходные данные'!$D$2:$D$966,CN$1,'Исходные данные'!$F$2:$F$966,$A8)</f>
        <v>0</v>
      </c>
      <c r="CO8" s="4" t="n">
        <f aca="false">SUMIFS('Исходные данные'!$J$2:$J$966,'Исходные данные'!$D$2:$D$966,CN$1,'Исходные данные'!$F$2:$F$966,$A8)</f>
        <v>0</v>
      </c>
      <c r="CP8" s="4" t="n">
        <f aca="false">SUMIFS('Исходные данные'!$I$2:$I$966,'Исходные данные'!$D$2:$D$966,CP$1,'Исходные данные'!$F$2:$F$966,$A8)</f>
        <v>0</v>
      </c>
      <c r="CQ8" s="4" t="n">
        <f aca="false">SUMIFS('Исходные данные'!$J$2:$J$966,'Исходные данные'!$D$2:$D$966,CP$1,'Исходные данные'!$F$2:$F$966,$A8)</f>
        <v>0</v>
      </c>
    </row>
    <row r="9" customFormat="false" ht="15" hidden="false" customHeight="false" outlineLevel="0" collapsed="false">
      <c r="A9" s="3" t="s">
        <v>65</v>
      </c>
      <c r="B9" s="4" t="s">
        <v>66</v>
      </c>
      <c r="C9" s="5" t="n">
        <v>43</v>
      </c>
      <c r="D9" s="5" t="n">
        <f aca="false">F9+G9</f>
        <v>42</v>
      </c>
      <c r="E9" s="5" t="n">
        <f aca="false">D9-C9</f>
        <v>-1</v>
      </c>
      <c r="F9" s="5" t="n">
        <f aca="false">SUMIFS($H9:$CQ9,$H$2:$CQ$2,"День")</f>
        <v>26</v>
      </c>
      <c r="G9" s="5" t="n">
        <f aca="false">SUMIFS($H9:$CQ9,$H$2:$CQ$2,"Ночь")</f>
        <v>16</v>
      </c>
      <c r="H9" s="4" t="n">
        <f aca="false">SUMIFS('Исходные данные'!$I$2:$I$966,'Исходные данные'!$D$2:$D$966,H$1,'Исходные данные'!$F$2:$F$966,$A9)</f>
        <v>2</v>
      </c>
      <c r="I9" s="4" t="n">
        <f aca="false">SUMIFS('Исходные данные'!$J$2:$J$966,'Исходные данные'!$D$2:$D$966,H$1,'Исходные данные'!$F$2:$F$966,$A9)</f>
        <v>1</v>
      </c>
      <c r="J9" s="4" t="n">
        <f aca="false">SUMIFS('Исходные данные'!$I$2:$I$966,'Исходные данные'!$D$2:$D$966,J$1,'Исходные данные'!$F$2:$F$966,$A9)</f>
        <v>2</v>
      </c>
      <c r="K9" s="4" t="n">
        <f aca="false">SUMIFS('Исходные данные'!$J$2:$J$966,'Исходные данные'!$D$2:$D$966,J$1,'Исходные данные'!$F$2:$F$966,$A9)</f>
        <v>0</v>
      </c>
      <c r="L9" s="4" t="n">
        <f aca="false">SUMIFS('Исходные данные'!$I$2:$I$966,'Исходные данные'!$D$2:$D$966,L$1,'Исходные данные'!$F$2:$F$966,$A9)</f>
        <v>11</v>
      </c>
      <c r="M9" s="4" t="n">
        <f aca="false">SUMIFS('Исходные данные'!$J$2:$J$966,'Исходные данные'!$D$2:$D$966,L$1,'Исходные данные'!$F$2:$F$966,$A9)</f>
        <v>3</v>
      </c>
      <c r="N9" s="4" t="n">
        <f aca="false">SUMIFS('Исходные данные'!$I$2:$I$966,'Исходные данные'!$D$2:$D$966,N$1,'Исходные данные'!$F$2:$F$966,$A9)</f>
        <v>0</v>
      </c>
      <c r="O9" s="4" t="n">
        <f aca="false">SUMIFS('Исходные данные'!$J$2:$J$966,'Исходные данные'!$D$2:$D$966,N$1,'Исходные данные'!$F$2:$F$966,$A9)</f>
        <v>0</v>
      </c>
      <c r="P9" s="4" t="n">
        <f aca="false">SUMIFS('Исходные данные'!$I$2:$I$966,'Исходные данные'!$D$2:$D$966,P$1,'Исходные данные'!$F$2:$F$966,$A9)</f>
        <v>0</v>
      </c>
      <c r="Q9" s="4" t="n">
        <f aca="false">SUMIFS('Исходные данные'!$J$2:$J$966,'Исходные данные'!$D$2:$D$966,P$1,'Исходные данные'!$F$2:$F$966,$A9)</f>
        <v>0</v>
      </c>
      <c r="R9" s="4" t="n">
        <f aca="false">SUMIFS('Исходные данные'!$I$2:$I$966,'Исходные данные'!$D$2:$D$966,R$1,'Исходные данные'!$F$2:$F$966,$A9)</f>
        <v>0</v>
      </c>
      <c r="S9" s="4" t="n">
        <f aca="false">SUMIFS('Исходные данные'!$J$2:$J$966,'Исходные данные'!$D$2:$D$966,R$1,'Исходные данные'!$F$2:$F$966,$A9)</f>
        <v>0</v>
      </c>
      <c r="T9" s="4" t="n">
        <f aca="false">SUMIFS('Исходные данные'!$I$2:$I$966,'Исходные данные'!$D$2:$D$966,T$1,'Исходные данные'!$F$2:$F$966,$A9)</f>
        <v>0</v>
      </c>
      <c r="U9" s="4" t="n">
        <f aca="false">SUMIFS('Исходные данные'!$J$2:$J$966,'Исходные данные'!$D$2:$D$966,T$1,'Исходные данные'!$F$2:$F$966,$A9)</f>
        <v>0</v>
      </c>
      <c r="V9" s="4" t="n">
        <f aca="false">SUMIFS('Исходные данные'!$I$2:$I$966,'Исходные данные'!$D$2:$D$966,V$1,'Исходные данные'!$F$2:$F$966,$A9)</f>
        <v>0</v>
      </c>
      <c r="W9" s="4" t="n">
        <f aca="false">SUMIFS('Исходные данные'!$J$2:$J$966,'Исходные данные'!$D$2:$D$966,V$1,'Исходные данные'!$F$2:$F$966,$A9)</f>
        <v>0</v>
      </c>
      <c r="X9" s="4" t="n">
        <f aca="false">SUMIFS('Исходные данные'!$I$2:$I$966,'Исходные данные'!$D$2:$D$966,X$1,'Исходные данные'!$F$2:$F$966,$A9)</f>
        <v>0</v>
      </c>
      <c r="Y9" s="4" t="n">
        <f aca="false">SUMIFS('Исходные данные'!$J$2:$J$966,'Исходные данные'!$D$2:$D$966,X$1,'Исходные данные'!$F$2:$F$966,$A9)</f>
        <v>0</v>
      </c>
      <c r="Z9" s="4" t="n">
        <f aca="false">SUMIFS('Исходные данные'!$I$2:$I$966,'Исходные данные'!$D$2:$D$966,Z$1,'Исходные данные'!$F$2:$F$966,$A9)</f>
        <v>0</v>
      </c>
      <c r="AA9" s="4" t="n">
        <f aca="false">SUMIFS('Исходные данные'!$J$2:$J$966,'Исходные данные'!$D$2:$D$966,Z$1,'Исходные данные'!$F$2:$F$966,$A9)</f>
        <v>0</v>
      </c>
      <c r="AB9" s="4" t="n">
        <f aca="false">SUMIFS('Исходные данные'!$I$2:$I$966,'Исходные данные'!$D$2:$D$966,AB$1,'Исходные данные'!$F$2:$F$966,$A9)</f>
        <v>0</v>
      </c>
      <c r="AC9" s="4" t="n">
        <f aca="false">SUMIFS('Исходные данные'!$J$2:$J$966,'Исходные данные'!$D$2:$D$966,AB$1,'Исходные данные'!$F$2:$F$966,$A9)</f>
        <v>0</v>
      </c>
      <c r="AD9" s="4" t="n">
        <f aca="false">SUMIFS('Исходные данные'!$I$2:$I$966,'Исходные данные'!$D$2:$D$966,AD$1,'Исходные данные'!$F$2:$F$966,$A9)</f>
        <v>0</v>
      </c>
      <c r="AE9" s="4" t="n">
        <f aca="false">SUMIFS('Исходные данные'!$J$2:$J$966,'Исходные данные'!$D$2:$D$966,AD$1,'Исходные данные'!$F$2:$F$966,$A9)</f>
        <v>0</v>
      </c>
      <c r="AF9" s="4" t="n">
        <f aca="false">SUMIFS('Исходные данные'!$I$2:$I$966,'Исходные данные'!$D$2:$D$966,AF$1,'Исходные данные'!$F$2:$F$966,$A9)</f>
        <v>0</v>
      </c>
      <c r="AG9" s="4" t="n">
        <f aca="false">SUMIFS('Исходные данные'!$J$2:$J$966,'Исходные данные'!$D$2:$D$966,AF$1,'Исходные данные'!$F$2:$F$966,$A9)</f>
        <v>0</v>
      </c>
      <c r="AH9" s="4" t="n">
        <f aca="false">SUMIFS('Исходные данные'!$I$2:$I$966,'Исходные данные'!$D$2:$D$966,AH$1,'Исходные данные'!$F$2:$F$966,$A9)</f>
        <v>6</v>
      </c>
      <c r="AI9" s="4" t="n">
        <f aca="false">SUMIFS('Исходные данные'!$J$2:$J$966,'Исходные данные'!$D$2:$D$966,AH$1,'Исходные данные'!$F$2:$F$966,$A9)</f>
        <v>7</v>
      </c>
      <c r="AJ9" s="4" t="n">
        <f aca="false">SUMIFS('Исходные данные'!$I$2:$I$966,'Исходные данные'!$D$2:$D$966,AJ$1,'Исходные данные'!$F$2:$F$966,$A9)</f>
        <v>5</v>
      </c>
      <c r="AK9" s="4" t="n">
        <f aca="false">SUMIFS('Исходные данные'!$J$2:$J$966,'Исходные данные'!$D$2:$D$966,AJ$1,'Исходные данные'!$F$2:$F$966,$A9)</f>
        <v>5</v>
      </c>
      <c r="AL9" s="4" t="n">
        <f aca="false">SUMIFS('Исходные данные'!$I$2:$I$966,'Исходные данные'!$D$2:$D$966,AL$1,'Исходные данные'!$F$2:$F$966,$A9)</f>
        <v>0</v>
      </c>
      <c r="AM9" s="4" t="n">
        <f aca="false">SUMIFS('Исходные данные'!$J$2:$J$966,'Исходные данные'!$D$2:$D$966,AL$1,'Исходные данные'!$F$2:$F$966,$A9)</f>
        <v>0</v>
      </c>
      <c r="AN9" s="4" t="n">
        <f aca="false">SUMIFS('Исходные данные'!$I$2:$I$966,'Исходные данные'!$D$2:$D$966,AN$1,'Исходные данные'!$F$2:$F$966,$A9)</f>
        <v>0</v>
      </c>
      <c r="AO9" s="4" t="n">
        <f aca="false">SUMIFS('Исходные данные'!$J$2:$J$966,'Исходные данные'!$D$2:$D$966,AN$1,'Исходные данные'!$F$2:$F$966,$A9)</f>
        <v>0</v>
      </c>
      <c r="AP9" s="4" t="n">
        <f aca="false">SUMIFS('Исходные данные'!$I$2:$I$966,'Исходные данные'!$D$2:$D$966,AP$1,'Исходные данные'!$F$2:$F$966,$A9)</f>
        <v>0</v>
      </c>
      <c r="AQ9" s="4" t="n">
        <f aca="false">SUMIFS('Исходные данные'!$J$2:$J$966,'Исходные данные'!$D$2:$D$966,AP$1,'Исходные данные'!$F$2:$F$966,$A9)</f>
        <v>0</v>
      </c>
      <c r="AR9" s="4" t="n">
        <f aca="false">SUMIFS('Исходные данные'!$I$2:$I$966,'Исходные данные'!$D$2:$D$966,AR$1,'Исходные данные'!$F$2:$F$966,$A9)</f>
        <v>0</v>
      </c>
      <c r="AS9" s="4" t="n">
        <f aca="false">SUMIFS('Исходные данные'!$J$2:$J$966,'Исходные данные'!$D$2:$D$966,AR$1,'Исходные данные'!$F$2:$F$966,$A9)</f>
        <v>0</v>
      </c>
      <c r="AT9" s="4" t="n">
        <f aca="false">SUMIFS('Исходные данные'!$I$2:$I$966,'Исходные данные'!$D$2:$D$966,AT$1,'Исходные данные'!$F$2:$F$966,$A9)</f>
        <v>0</v>
      </c>
      <c r="AU9" s="4" t="n">
        <f aca="false">SUMIFS('Исходные данные'!$J$2:$J$966,'Исходные данные'!$D$2:$D$966,AT$1,'Исходные данные'!$F$2:$F$966,$A9)</f>
        <v>0</v>
      </c>
      <c r="AV9" s="4" t="n">
        <f aca="false">SUMIFS('Исходные данные'!$I$2:$I$966,'Исходные данные'!$D$2:$D$966,AV$1,'Исходные данные'!$F$2:$F$966,$A9)</f>
        <v>0</v>
      </c>
      <c r="AW9" s="4" t="n">
        <f aca="false">SUMIFS('Исходные данные'!$J$2:$J$966,'Исходные данные'!$D$2:$D$966,AV$1,'Исходные данные'!$F$2:$F$966,$A9)</f>
        <v>0</v>
      </c>
      <c r="AX9" s="4" t="n">
        <f aca="false">SUMIFS('Исходные данные'!$I$2:$I$966,'Исходные данные'!$D$2:$D$966,AX$1,'Исходные данные'!$F$2:$F$966,$A9)</f>
        <v>0</v>
      </c>
      <c r="AY9" s="4" t="n">
        <f aca="false">SUMIFS('Исходные данные'!$J$2:$J$966,'Исходные данные'!$D$2:$D$966,AX$1,'Исходные данные'!$F$2:$F$966,$A9)</f>
        <v>0</v>
      </c>
      <c r="AZ9" s="4" t="n">
        <f aca="false">SUMIFS('Исходные данные'!$I$2:$I$966,'Исходные данные'!$D$2:$D$966,AZ$1,'Исходные данные'!$F$2:$F$966,$A9)</f>
        <v>0</v>
      </c>
      <c r="BA9" s="4" t="n">
        <f aca="false">SUMIFS('Исходные данные'!$J$2:$J$966,'Исходные данные'!$D$2:$D$966,AZ$1,'Исходные данные'!$F$2:$F$966,$A9)</f>
        <v>0</v>
      </c>
      <c r="BB9" s="4" t="n">
        <f aca="false">SUMIFS('Исходные данные'!$I$2:$I$966,'Исходные данные'!$D$2:$D$966,BB$1,'Исходные данные'!$F$2:$F$966,$A9)</f>
        <v>0</v>
      </c>
      <c r="BC9" s="4" t="n">
        <f aca="false">SUMIFS('Исходные данные'!$J$2:$J$966,'Исходные данные'!$D$2:$D$966,BB$1,'Исходные данные'!$F$2:$F$966,$A9)</f>
        <v>0</v>
      </c>
      <c r="BD9" s="4" t="n">
        <f aca="false">SUMIFS('Исходные данные'!$I$2:$I$966,'Исходные данные'!$D$2:$D$966,BD$1,'Исходные данные'!$F$2:$F$966,$A9)</f>
        <v>0</v>
      </c>
      <c r="BE9" s="4" t="n">
        <f aca="false">SUMIFS('Исходные данные'!$J$2:$J$966,'Исходные данные'!$D$2:$D$966,BD$1,'Исходные данные'!$F$2:$F$966,$A9)</f>
        <v>0</v>
      </c>
      <c r="BF9" s="4" t="n">
        <f aca="false">SUMIFS('Исходные данные'!$I$2:$I$966,'Исходные данные'!$D$2:$D$966,BF$1,'Исходные данные'!$F$2:$F$966,$A9)</f>
        <v>0</v>
      </c>
      <c r="BG9" s="4" t="n">
        <f aca="false">SUMIFS('Исходные данные'!$J$2:$J$966,'Исходные данные'!$D$2:$D$966,BF$1,'Исходные данные'!$F$2:$F$966,$A9)</f>
        <v>0</v>
      </c>
      <c r="BH9" s="4" t="n">
        <f aca="false">SUMIFS('Исходные данные'!$I$2:$I$966,'Исходные данные'!$D$2:$D$966,BH$1,'Исходные данные'!$F$2:$F$966,$A9)</f>
        <v>0</v>
      </c>
      <c r="BI9" s="4" t="n">
        <f aca="false">SUMIFS('Исходные данные'!$J$2:$J$966,'Исходные данные'!$D$2:$D$966,BH$1,'Исходные данные'!$F$2:$F$966,$A9)</f>
        <v>0</v>
      </c>
      <c r="BJ9" s="4" t="n">
        <f aca="false">SUMIFS('Исходные данные'!$I$2:$I$966,'Исходные данные'!$D$2:$D$966,BJ$1,'Исходные данные'!$F$2:$F$966,$A9)</f>
        <v>0</v>
      </c>
      <c r="BK9" s="4" t="n">
        <f aca="false">SUMIFS('Исходные данные'!$J$2:$J$966,'Исходные данные'!$D$2:$D$966,BJ$1,'Исходные данные'!$F$2:$F$966,$A9)</f>
        <v>0</v>
      </c>
      <c r="BL9" s="4" t="n">
        <f aca="false">SUMIFS('Исходные данные'!$I$2:$I$966,'Исходные данные'!$D$2:$D$966,BL$1,'Исходные данные'!$F$2:$F$966,$A9)</f>
        <v>0</v>
      </c>
      <c r="BM9" s="4" t="n">
        <f aca="false">SUMIFS('Исходные данные'!$J$2:$J$966,'Исходные данные'!$D$2:$D$966,BL$1,'Исходные данные'!$F$2:$F$966,$A9)</f>
        <v>0</v>
      </c>
      <c r="BN9" s="4" t="n">
        <f aca="false">SUMIFS('Исходные данные'!$I$2:$I$966,'Исходные данные'!$D$2:$D$966,BN$1,'Исходные данные'!$F$2:$F$966,$A9)</f>
        <v>0</v>
      </c>
      <c r="BO9" s="4" t="n">
        <f aca="false">SUMIFS('Исходные данные'!$J$2:$J$966,'Исходные данные'!$D$2:$D$966,BN$1,'Исходные данные'!$F$2:$F$966,$A9)</f>
        <v>0</v>
      </c>
      <c r="BP9" s="4" t="n">
        <f aca="false">SUMIFS('Исходные данные'!$I$2:$I$966,'Исходные данные'!$D$2:$D$966,BP$1,'Исходные данные'!$F$2:$F$966,$A9)</f>
        <v>0</v>
      </c>
      <c r="BQ9" s="4" t="n">
        <f aca="false">SUMIFS('Исходные данные'!$J$2:$J$966,'Исходные данные'!$D$2:$D$966,BP$1,'Исходные данные'!$F$2:$F$966,$A9)</f>
        <v>0</v>
      </c>
      <c r="BR9" s="4" t="n">
        <f aca="false">SUMIFS('Исходные данные'!$I$2:$I$966,'Исходные данные'!$D$2:$D$966,BR$1,'Исходные данные'!$F$2:$F$966,$A9)</f>
        <v>0</v>
      </c>
      <c r="BS9" s="4" t="n">
        <f aca="false">SUMIFS('Исходные данные'!$J$2:$J$966,'Исходные данные'!$D$2:$D$966,BR$1,'Исходные данные'!$F$2:$F$966,$A9)</f>
        <v>0</v>
      </c>
      <c r="BT9" s="4" t="n">
        <f aca="false">SUMIFS('Исходные данные'!$I$2:$I$966,'Исходные данные'!$D$2:$D$966,BT$1,'Исходные данные'!$F$2:$F$966,$A9)</f>
        <v>0</v>
      </c>
      <c r="BU9" s="4" t="n">
        <f aca="false">SUMIFS('Исходные данные'!$J$2:$J$966,'Исходные данные'!$D$2:$D$966,BT$1,'Исходные данные'!$F$2:$F$966,$A9)</f>
        <v>0</v>
      </c>
      <c r="BV9" s="4" t="n">
        <f aca="false">SUMIFS('Исходные данные'!$I$2:$I$966,'Исходные данные'!$D$2:$D$966,BV$1,'Исходные данные'!$F$2:$F$966,$A9)</f>
        <v>0</v>
      </c>
      <c r="BW9" s="4" t="n">
        <f aca="false">SUMIFS('Исходные данные'!$J$2:$J$966,'Исходные данные'!$D$2:$D$966,BV$1,'Исходные данные'!$F$2:$F$966,$A9)</f>
        <v>0</v>
      </c>
      <c r="BX9" s="4" t="n">
        <f aca="false">SUMIFS('Исходные данные'!$I$2:$I$966,'Исходные данные'!$D$2:$D$966,BX$1,'Исходные данные'!$F$2:$F$966,$A9)</f>
        <v>0</v>
      </c>
      <c r="BY9" s="4" t="n">
        <f aca="false">SUMIFS('Исходные данные'!$J$2:$J$966,'Исходные данные'!$D$2:$D$966,BX$1,'Исходные данные'!$F$2:$F$966,$A9)</f>
        <v>0</v>
      </c>
      <c r="BZ9" s="4" t="n">
        <f aca="false">SUMIFS('Исходные данные'!$I$2:$I$966,'Исходные данные'!$D$2:$D$966,BZ$1,'Исходные данные'!$F$2:$F$966,$A9)</f>
        <v>0</v>
      </c>
      <c r="CA9" s="4" t="n">
        <f aca="false">SUMIFS('Исходные данные'!$J$2:$J$966,'Исходные данные'!$D$2:$D$966,BZ$1,'Исходные данные'!$F$2:$F$966,$A9)</f>
        <v>0</v>
      </c>
      <c r="CB9" s="4" t="n">
        <f aca="false">SUMIFS('Исходные данные'!$I$2:$I$966,'Исходные данные'!$D$2:$D$966,CB$1,'Исходные данные'!$F$2:$F$966,$A9)</f>
        <v>0</v>
      </c>
      <c r="CC9" s="4" t="n">
        <f aca="false">SUMIFS('Исходные данные'!$J$2:$J$966,'Исходные данные'!$D$2:$D$966,CB$1,'Исходные данные'!$F$2:$F$966,$A9)</f>
        <v>0</v>
      </c>
      <c r="CD9" s="4" t="n">
        <f aca="false">SUMIFS('Исходные данные'!$I$2:$I$966,'Исходные данные'!$D$2:$D$966,CD$1,'Исходные данные'!$F$2:$F$966,$A9)</f>
        <v>0</v>
      </c>
      <c r="CE9" s="4" t="n">
        <f aca="false">SUMIFS('Исходные данные'!$J$2:$J$966,'Исходные данные'!$D$2:$D$966,CD$1,'Исходные данные'!$F$2:$F$966,$A9)</f>
        <v>0</v>
      </c>
      <c r="CF9" s="4" t="n">
        <f aca="false">SUMIFS('Исходные данные'!$I$2:$I$966,'Исходные данные'!$D$2:$D$966,CF$1,'Исходные данные'!$F$2:$F$966,$A9)</f>
        <v>0</v>
      </c>
      <c r="CG9" s="4" t="n">
        <f aca="false">SUMIFS('Исходные данные'!$J$2:$J$966,'Исходные данные'!$D$2:$D$966,CF$1,'Исходные данные'!$F$2:$F$966,$A9)</f>
        <v>0</v>
      </c>
      <c r="CH9" s="4" t="n">
        <f aca="false">SUMIFS('Исходные данные'!$I$2:$I$966,'Исходные данные'!$D$2:$D$966,CH$1,'Исходные данные'!$F$2:$F$966,$A9)</f>
        <v>0</v>
      </c>
      <c r="CI9" s="4" t="n">
        <f aca="false">SUMIFS('Исходные данные'!$J$2:$J$966,'Исходные данные'!$D$2:$D$966,CH$1,'Исходные данные'!$F$2:$F$966,$A9)</f>
        <v>0</v>
      </c>
      <c r="CJ9" s="4" t="n">
        <f aca="false">SUMIFS('Исходные данные'!$I$2:$I$966,'Исходные данные'!$D$2:$D$966,CJ$1,'Исходные данные'!$F$2:$F$966,$A9)</f>
        <v>0</v>
      </c>
      <c r="CK9" s="4" t="n">
        <f aca="false">SUMIFS('Исходные данные'!$J$2:$J$966,'Исходные данные'!$D$2:$D$966,CJ$1,'Исходные данные'!$F$2:$F$966,$A9)</f>
        <v>0</v>
      </c>
      <c r="CL9" s="4" t="n">
        <f aca="false">SUMIFS('Исходные данные'!$I$2:$I$966,'Исходные данные'!$D$2:$D$966,CL$1,'Исходные данные'!$F$2:$F$966,$A9)</f>
        <v>0</v>
      </c>
      <c r="CM9" s="4" t="n">
        <f aca="false">SUMIFS('Исходные данные'!$J$2:$J$966,'Исходные данные'!$D$2:$D$966,CL$1,'Исходные данные'!$F$2:$F$966,$A9)</f>
        <v>0</v>
      </c>
      <c r="CN9" s="4" t="n">
        <f aca="false">SUMIFS('Исходные данные'!$I$2:$I$966,'Исходные данные'!$D$2:$D$966,CN$1,'Исходные данные'!$F$2:$F$966,$A9)</f>
        <v>0</v>
      </c>
      <c r="CO9" s="4" t="n">
        <f aca="false">SUMIFS('Исходные данные'!$J$2:$J$966,'Исходные данные'!$D$2:$D$966,CN$1,'Исходные данные'!$F$2:$F$966,$A9)</f>
        <v>0</v>
      </c>
      <c r="CP9" s="4" t="n">
        <f aca="false">SUMIFS('Исходные данные'!$I$2:$I$966,'Исходные данные'!$D$2:$D$966,CP$1,'Исходные данные'!$F$2:$F$966,$A9)</f>
        <v>0</v>
      </c>
      <c r="CQ9" s="4" t="n">
        <f aca="false">SUMIFS('Исходные данные'!$J$2:$J$966,'Исходные данные'!$D$2:$D$966,CP$1,'Исходные данные'!$F$2:$F$966,$A9)</f>
        <v>0</v>
      </c>
    </row>
    <row r="10" customFormat="false" ht="15" hidden="false" customHeight="false" outlineLevel="0" collapsed="false">
      <c r="A10" s="3" t="s">
        <v>67</v>
      </c>
      <c r="B10" s="4" t="s">
        <v>68</v>
      </c>
      <c r="C10" s="5" t="n">
        <v>52</v>
      </c>
      <c r="D10" s="5" t="n">
        <f aca="false">F10+G10</f>
        <v>51</v>
      </c>
      <c r="E10" s="5" t="n">
        <f aca="false">D10-C10</f>
        <v>-1</v>
      </c>
      <c r="F10" s="5" t="n">
        <f aca="false">SUMIFS($H10:$CQ10,$H$2:$CQ$2,"День")</f>
        <v>32</v>
      </c>
      <c r="G10" s="5" t="n">
        <f aca="false">SUMIFS($H10:$CQ10,$H$2:$CQ$2,"Ночь")</f>
        <v>19</v>
      </c>
      <c r="H10" s="4" t="n">
        <f aca="false">SUMIFS('Исходные данные'!$I$2:$I$966,'Исходные данные'!$D$2:$D$966,H$1,'Исходные данные'!$F$2:$F$966,$A10)</f>
        <v>4</v>
      </c>
      <c r="I10" s="4" t="n">
        <f aca="false">SUMIFS('Исходные данные'!$J$2:$J$966,'Исходные данные'!$D$2:$D$966,H$1,'Исходные данные'!$F$2:$F$966,$A10)</f>
        <v>2</v>
      </c>
      <c r="J10" s="4" t="n">
        <f aca="false">SUMIFS('Исходные данные'!$I$2:$I$966,'Исходные данные'!$D$2:$D$966,J$1,'Исходные данные'!$F$2:$F$966,$A10)</f>
        <v>2</v>
      </c>
      <c r="K10" s="4" t="n">
        <f aca="false">SUMIFS('Исходные данные'!$J$2:$J$966,'Исходные данные'!$D$2:$D$966,J$1,'Исходные данные'!$F$2:$F$966,$A10)</f>
        <v>0</v>
      </c>
      <c r="L10" s="4" t="n">
        <f aca="false">SUMIFS('Исходные данные'!$I$2:$I$966,'Исходные данные'!$D$2:$D$966,L$1,'Исходные данные'!$F$2:$F$966,$A10)</f>
        <v>12</v>
      </c>
      <c r="M10" s="4" t="n">
        <f aca="false">SUMIFS('Исходные данные'!$J$2:$J$966,'Исходные данные'!$D$2:$D$966,L$1,'Исходные данные'!$F$2:$F$966,$A10)</f>
        <v>3</v>
      </c>
      <c r="N10" s="4" t="n">
        <f aca="false">SUMIFS('Исходные данные'!$I$2:$I$966,'Исходные данные'!$D$2:$D$966,N$1,'Исходные данные'!$F$2:$F$966,$A10)</f>
        <v>0</v>
      </c>
      <c r="O10" s="4" t="n">
        <f aca="false">SUMIFS('Исходные данные'!$J$2:$J$966,'Исходные данные'!$D$2:$D$966,N$1,'Исходные данные'!$F$2:$F$966,$A10)</f>
        <v>0</v>
      </c>
      <c r="P10" s="4" t="n">
        <f aca="false">SUMIFS('Исходные данные'!$I$2:$I$966,'Исходные данные'!$D$2:$D$966,P$1,'Исходные данные'!$F$2:$F$966,$A10)</f>
        <v>0</v>
      </c>
      <c r="Q10" s="4" t="n">
        <f aca="false">SUMIFS('Исходные данные'!$J$2:$J$966,'Исходные данные'!$D$2:$D$966,P$1,'Исходные данные'!$F$2:$F$966,$A10)</f>
        <v>0</v>
      </c>
      <c r="R10" s="4" t="n">
        <f aca="false">SUMIFS('Исходные данные'!$I$2:$I$966,'Исходные данные'!$D$2:$D$966,R$1,'Исходные данные'!$F$2:$F$966,$A10)</f>
        <v>0</v>
      </c>
      <c r="S10" s="4" t="n">
        <f aca="false">SUMIFS('Исходные данные'!$J$2:$J$966,'Исходные данные'!$D$2:$D$966,R$1,'Исходные данные'!$F$2:$F$966,$A10)</f>
        <v>0</v>
      </c>
      <c r="T10" s="4" t="n">
        <f aca="false">SUMIFS('Исходные данные'!$I$2:$I$966,'Исходные данные'!$D$2:$D$966,T$1,'Исходные данные'!$F$2:$F$966,$A10)</f>
        <v>2</v>
      </c>
      <c r="U10" s="4" t="n">
        <f aca="false">SUMIFS('Исходные данные'!$J$2:$J$966,'Исходные данные'!$D$2:$D$966,T$1,'Исходные данные'!$F$2:$F$966,$A10)</f>
        <v>1</v>
      </c>
      <c r="V10" s="4" t="n">
        <f aca="false">SUMIFS('Исходные данные'!$I$2:$I$966,'Исходные данные'!$D$2:$D$966,V$1,'Исходные данные'!$F$2:$F$966,$A10)</f>
        <v>0</v>
      </c>
      <c r="W10" s="4" t="n">
        <f aca="false">SUMIFS('Исходные данные'!$J$2:$J$966,'Исходные данные'!$D$2:$D$966,V$1,'Исходные данные'!$F$2:$F$966,$A10)</f>
        <v>0</v>
      </c>
      <c r="X10" s="4" t="n">
        <f aca="false">SUMIFS('Исходные данные'!$I$2:$I$966,'Исходные данные'!$D$2:$D$966,X$1,'Исходные данные'!$F$2:$F$966,$A10)</f>
        <v>0</v>
      </c>
      <c r="Y10" s="4" t="n">
        <f aca="false">SUMIFS('Исходные данные'!$J$2:$J$966,'Исходные данные'!$D$2:$D$966,X$1,'Исходные данные'!$F$2:$F$966,$A10)</f>
        <v>0</v>
      </c>
      <c r="Z10" s="4" t="n">
        <f aca="false">SUMIFS('Исходные данные'!$I$2:$I$966,'Исходные данные'!$D$2:$D$966,Z$1,'Исходные данные'!$F$2:$F$966,$A10)</f>
        <v>0</v>
      </c>
      <c r="AA10" s="4" t="n">
        <f aca="false">SUMIFS('Исходные данные'!$J$2:$J$966,'Исходные данные'!$D$2:$D$966,Z$1,'Исходные данные'!$F$2:$F$966,$A10)</f>
        <v>0</v>
      </c>
      <c r="AB10" s="4" t="n">
        <f aca="false">SUMIFS('Исходные данные'!$I$2:$I$966,'Исходные данные'!$D$2:$D$966,AB$1,'Исходные данные'!$F$2:$F$966,$A10)</f>
        <v>0</v>
      </c>
      <c r="AC10" s="4" t="n">
        <f aca="false">SUMIFS('Исходные данные'!$J$2:$J$966,'Исходные данные'!$D$2:$D$966,AB$1,'Исходные данные'!$F$2:$F$966,$A10)</f>
        <v>0</v>
      </c>
      <c r="AD10" s="4" t="n">
        <f aca="false">SUMIFS('Исходные данные'!$I$2:$I$966,'Исходные данные'!$D$2:$D$966,AD$1,'Исходные данные'!$F$2:$F$966,$A10)</f>
        <v>0</v>
      </c>
      <c r="AE10" s="4" t="n">
        <f aca="false">SUMIFS('Исходные данные'!$J$2:$J$966,'Исходные данные'!$D$2:$D$966,AD$1,'Исходные данные'!$F$2:$F$966,$A10)</f>
        <v>0</v>
      </c>
      <c r="AF10" s="4" t="n">
        <f aca="false">SUMIFS('Исходные данные'!$I$2:$I$966,'Исходные данные'!$D$2:$D$966,AF$1,'Исходные данные'!$F$2:$F$966,$A10)</f>
        <v>0</v>
      </c>
      <c r="AG10" s="4" t="n">
        <f aca="false">SUMIFS('Исходные данные'!$J$2:$J$966,'Исходные данные'!$D$2:$D$966,AF$1,'Исходные данные'!$F$2:$F$966,$A10)</f>
        <v>0</v>
      </c>
      <c r="AH10" s="4" t="n">
        <f aca="false">SUMIFS('Исходные данные'!$I$2:$I$966,'Исходные данные'!$D$2:$D$966,AH$1,'Исходные данные'!$F$2:$F$966,$A10)</f>
        <v>6</v>
      </c>
      <c r="AI10" s="4" t="n">
        <f aca="false">SUMIFS('Исходные данные'!$J$2:$J$966,'Исходные данные'!$D$2:$D$966,AH$1,'Исходные данные'!$F$2:$F$966,$A10)</f>
        <v>7</v>
      </c>
      <c r="AJ10" s="4" t="n">
        <f aca="false">SUMIFS('Исходные данные'!$I$2:$I$966,'Исходные данные'!$D$2:$D$966,AJ$1,'Исходные данные'!$F$2:$F$966,$A10)</f>
        <v>5</v>
      </c>
      <c r="AK10" s="4" t="n">
        <f aca="false">SUMIFS('Исходные данные'!$J$2:$J$966,'Исходные данные'!$D$2:$D$966,AJ$1,'Исходные данные'!$F$2:$F$966,$A10)</f>
        <v>5</v>
      </c>
      <c r="AL10" s="4" t="n">
        <f aca="false">SUMIFS('Исходные данные'!$I$2:$I$966,'Исходные данные'!$D$2:$D$966,AL$1,'Исходные данные'!$F$2:$F$966,$A10)</f>
        <v>0</v>
      </c>
      <c r="AM10" s="4" t="n">
        <f aca="false">SUMIFS('Исходные данные'!$J$2:$J$966,'Исходные данные'!$D$2:$D$966,AL$1,'Исходные данные'!$F$2:$F$966,$A10)</f>
        <v>0</v>
      </c>
      <c r="AN10" s="4" t="n">
        <f aca="false">SUMIFS('Исходные данные'!$I$2:$I$966,'Исходные данные'!$D$2:$D$966,AN$1,'Исходные данные'!$F$2:$F$966,$A10)</f>
        <v>0</v>
      </c>
      <c r="AO10" s="4" t="n">
        <f aca="false">SUMIFS('Исходные данные'!$J$2:$J$966,'Исходные данные'!$D$2:$D$966,AN$1,'Исходные данные'!$F$2:$F$966,$A10)</f>
        <v>0</v>
      </c>
      <c r="AP10" s="4" t="n">
        <f aca="false">SUMIFS('Исходные данные'!$I$2:$I$966,'Исходные данные'!$D$2:$D$966,AP$1,'Исходные данные'!$F$2:$F$966,$A10)</f>
        <v>0</v>
      </c>
      <c r="AQ10" s="4" t="n">
        <f aca="false">SUMIFS('Исходные данные'!$J$2:$J$966,'Исходные данные'!$D$2:$D$966,AP$1,'Исходные данные'!$F$2:$F$966,$A10)</f>
        <v>0</v>
      </c>
      <c r="AR10" s="4" t="n">
        <f aca="false">SUMIFS('Исходные данные'!$I$2:$I$966,'Исходные данные'!$D$2:$D$966,AR$1,'Исходные данные'!$F$2:$F$966,$A10)</f>
        <v>0</v>
      </c>
      <c r="AS10" s="4" t="n">
        <f aca="false">SUMIFS('Исходные данные'!$J$2:$J$966,'Исходные данные'!$D$2:$D$966,AR$1,'Исходные данные'!$F$2:$F$966,$A10)</f>
        <v>0</v>
      </c>
      <c r="AT10" s="4" t="n">
        <f aca="false">SUMIFS('Исходные данные'!$I$2:$I$966,'Исходные данные'!$D$2:$D$966,AT$1,'Исходные данные'!$F$2:$F$966,$A10)</f>
        <v>0</v>
      </c>
      <c r="AU10" s="4" t="n">
        <f aca="false">SUMIFS('Исходные данные'!$J$2:$J$966,'Исходные данные'!$D$2:$D$966,AT$1,'Исходные данные'!$F$2:$F$966,$A10)</f>
        <v>0</v>
      </c>
      <c r="AV10" s="4" t="n">
        <f aca="false">SUMIFS('Исходные данные'!$I$2:$I$966,'Исходные данные'!$D$2:$D$966,AV$1,'Исходные данные'!$F$2:$F$966,$A10)</f>
        <v>1</v>
      </c>
      <c r="AW10" s="4" t="n">
        <f aca="false">SUMIFS('Исходные данные'!$J$2:$J$966,'Исходные данные'!$D$2:$D$966,AV$1,'Исходные данные'!$F$2:$F$966,$A10)</f>
        <v>1</v>
      </c>
      <c r="AX10" s="4" t="n">
        <f aca="false">SUMIFS('Исходные данные'!$I$2:$I$966,'Исходные данные'!$D$2:$D$966,AX$1,'Исходные данные'!$F$2:$F$966,$A10)</f>
        <v>0</v>
      </c>
      <c r="AY10" s="4" t="n">
        <f aca="false">SUMIFS('Исходные данные'!$J$2:$J$966,'Исходные данные'!$D$2:$D$966,AX$1,'Исходные данные'!$F$2:$F$966,$A10)</f>
        <v>0</v>
      </c>
      <c r="AZ10" s="4" t="n">
        <f aca="false">SUMIFS('Исходные данные'!$I$2:$I$966,'Исходные данные'!$D$2:$D$966,AZ$1,'Исходные данные'!$F$2:$F$966,$A10)</f>
        <v>0</v>
      </c>
      <c r="BA10" s="4" t="n">
        <f aca="false">SUMIFS('Исходные данные'!$J$2:$J$966,'Исходные данные'!$D$2:$D$966,AZ$1,'Исходные данные'!$F$2:$F$966,$A10)</f>
        <v>0</v>
      </c>
      <c r="BB10" s="4" t="n">
        <f aca="false">SUMIFS('Исходные данные'!$I$2:$I$966,'Исходные данные'!$D$2:$D$966,BB$1,'Исходные данные'!$F$2:$F$966,$A10)</f>
        <v>0</v>
      </c>
      <c r="BC10" s="4" t="n">
        <f aca="false">SUMIFS('Исходные данные'!$J$2:$J$966,'Исходные данные'!$D$2:$D$966,BB$1,'Исходные данные'!$F$2:$F$966,$A10)</f>
        <v>0</v>
      </c>
      <c r="BD10" s="4" t="n">
        <f aca="false">SUMIFS('Исходные данные'!$I$2:$I$966,'Исходные данные'!$D$2:$D$966,BD$1,'Исходные данные'!$F$2:$F$966,$A10)</f>
        <v>0</v>
      </c>
      <c r="BE10" s="4" t="n">
        <f aca="false">SUMIFS('Исходные данные'!$J$2:$J$966,'Исходные данные'!$D$2:$D$966,BD$1,'Исходные данные'!$F$2:$F$966,$A10)</f>
        <v>0</v>
      </c>
      <c r="BF10" s="4" t="n">
        <f aca="false">SUMIFS('Исходные данные'!$I$2:$I$966,'Исходные данные'!$D$2:$D$966,BF$1,'Исходные данные'!$F$2:$F$966,$A10)</f>
        <v>0</v>
      </c>
      <c r="BG10" s="4" t="n">
        <f aca="false">SUMIFS('Исходные данные'!$J$2:$J$966,'Исходные данные'!$D$2:$D$966,BF$1,'Исходные данные'!$F$2:$F$966,$A10)</f>
        <v>0</v>
      </c>
      <c r="BH10" s="4" t="n">
        <f aca="false">SUMIFS('Исходные данные'!$I$2:$I$966,'Исходные данные'!$D$2:$D$966,BH$1,'Исходные данные'!$F$2:$F$966,$A10)</f>
        <v>0</v>
      </c>
      <c r="BI10" s="4" t="n">
        <f aca="false">SUMIFS('Исходные данные'!$J$2:$J$966,'Исходные данные'!$D$2:$D$966,BH$1,'Исходные данные'!$F$2:$F$966,$A10)</f>
        <v>0</v>
      </c>
      <c r="BJ10" s="4" t="n">
        <f aca="false">SUMIFS('Исходные данные'!$I$2:$I$966,'Исходные данные'!$D$2:$D$966,BJ$1,'Исходные данные'!$F$2:$F$966,$A10)</f>
        <v>0</v>
      </c>
      <c r="BK10" s="4" t="n">
        <f aca="false">SUMIFS('Исходные данные'!$J$2:$J$966,'Исходные данные'!$D$2:$D$966,BJ$1,'Исходные данные'!$F$2:$F$966,$A10)</f>
        <v>0</v>
      </c>
      <c r="BL10" s="4" t="n">
        <f aca="false">SUMIFS('Исходные данные'!$I$2:$I$966,'Исходные данные'!$D$2:$D$966,BL$1,'Исходные данные'!$F$2:$F$966,$A10)</f>
        <v>0</v>
      </c>
      <c r="BM10" s="4" t="n">
        <f aca="false">SUMIFS('Исходные данные'!$J$2:$J$966,'Исходные данные'!$D$2:$D$966,BL$1,'Исходные данные'!$F$2:$F$966,$A10)</f>
        <v>0</v>
      </c>
      <c r="BN10" s="4" t="n">
        <f aca="false">SUMIFS('Исходные данные'!$I$2:$I$966,'Исходные данные'!$D$2:$D$966,BN$1,'Исходные данные'!$F$2:$F$966,$A10)</f>
        <v>0</v>
      </c>
      <c r="BO10" s="4" t="n">
        <f aca="false">SUMIFS('Исходные данные'!$J$2:$J$966,'Исходные данные'!$D$2:$D$966,BN$1,'Исходные данные'!$F$2:$F$966,$A10)</f>
        <v>0</v>
      </c>
      <c r="BP10" s="4" t="n">
        <f aca="false">SUMIFS('Исходные данные'!$I$2:$I$966,'Исходные данные'!$D$2:$D$966,BP$1,'Исходные данные'!$F$2:$F$966,$A10)</f>
        <v>0</v>
      </c>
      <c r="BQ10" s="4" t="n">
        <f aca="false">SUMIFS('Исходные данные'!$J$2:$J$966,'Исходные данные'!$D$2:$D$966,BP$1,'Исходные данные'!$F$2:$F$966,$A10)</f>
        <v>0</v>
      </c>
      <c r="BR10" s="4" t="n">
        <f aca="false">SUMIFS('Исходные данные'!$I$2:$I$966,'Исходные данные'!$D$2:$D$966,BR$1,'Исходные данные'!$F$2:$F$966,$A10)</f>
        <v>0</v>
      </c>
      <c r="BS10" s="4" t="n">
        <f aca="false">SUMIFS('Исходные данные'!$J$2:$J$966,'Исходные данные'!$D$2:$D$966,BR$1,'Исходные данные'!$F$2:$F$966,$A10)</f>
        <v>0</v>
      </c>
      <c r="BT10" s="4" t="n">
        <f aca="false">SUMIFS('Исходные данные'!$I$2:$I$966,'Исходные данные'!$D$2:$D$966,BT$1,'Исходные данные'!$F$2:$F$966,$A10)</f>
        <v>0</v>
      </c>
      <c r="BU10" s="4" t="n">
        <f aca="false">SUMIFS('Исходные данные'!$J$2:$J$966,'Исходные данные'!$D$2:$D$966,BT$1,'Исходные данные'!$F$2:$F$966,$A10)</f>
        <v>0</v>
      </c>
      <c r="BV10" s="4" t="n">
        <f aca="false">SUMIFS('Исходные данные'!$I$2:$I$966,'Исходные данные'!$D$2:$D$966,BV$1,'Исходные данные'!$F$2:$F$966,$A10)</f>
        <v>0</v>
      </c>
      <c r="BW10" s="4" t="n">
        <f aca="false">SUMIFS('Исходные данные'!$J$2:$J$966,'Исходные данные'!$D$2:$D$966,BV$1,'Исходные данные'!$F$2:$F$966,$A10)</f>
        <v>0</v>
      </c>
      <c r="BX10" s="4" t="n">
        <f aca="false">SUMIFS('Исходные данные'!$I$2:$I$966,'Исходные данные'!$D$2:$D$966,BX$1,'Исходные данные'!$F$2:$F$966,$A10)</f>
        <v>0</v>
      </c>
      <c r="BY10" s="4" t="n">
        <f aca="false">SUMIFS('Исходные данные'!$J$2:$J$966,'Исходные данные'!$D$2:$D$966,BX$1,'Исходные данные'!$F$2:$F$966,$A10)</f>
        <v>0</v>
      </c>
      <c r="BZ10" s="4" t="n">
        <f aca="false">SUMIFS('Исходные данные'!$I$2:$I$966,'Исходные данные'!$D$2:$D$966,BZ$1,'Исходные данные'!$F$2:$F$966,$A10)</f>
        <v>0</v>
      </c>
      <c r="CA10" s="4" t="n">
        <f aca="false">SUMIFS('Исходные данные'!$J$2:$J$966,'Исходные данные'!$D$2:$D$966,BZ$1,'Исходные данные'!$F$2:$F$966,$A10)</f>
        <v>0</v>
      </c>
      <c r="CB10" s="4" t="n">
        <f aca="false">SUMIFS('Исходные данные'!$I$2:$I$966,'Исходные данные'!$D$2:$D$966,CB$1,'Исходные данные'!$F$2:$F$966,$A10)</f>
        <v>0</v>
      </c>
      <c r="CC10" s="4" t="n">
        <f aca="false">SUMIFS('Исходные данные'!$J$2:$J$966,'Исходные данные'!$D$2:$D$966,CB$1,'Исходные данные'!$F$2:$F$966,$A10)</f>
        <v>0</v>
      </c>
      <c r="CD10" s="4" t="n">
        <f aca="false">SUMIFS('Исходные данные'!$I$2:$I$966,'Исходные данные'!$D$2:$D$966,CD$1,'Исходные данные'!$F$2:$F$966,$A10)</f>
        <v>0</v>
      </c>
      <c r="CE10" s="4" t="n">
        <f aca="false">SUMIFS('Исходные данные'!$J$2:$J$966,'Исходные данные'!$D$2:$D$966,CD$1,'Исходные данные'!$F$2:$F$966,$A10)</f>
        <v>0</v>
      </c>
      <c r="CF10" s="4" t="n">
        <f aca="false">SUMIFS('Исходные данные'!$I$2:$I$966,'Исходные данные'!$D$2:$D$966,CF$1,'Исходные данные'!$F$2:$F$966,$A10)</f>
        <v>0</v>
      </c>
      <c r="CG10" s="4" t="n">
        <f aca="false">SUMIFS('Исходные данные'!$J$2:$J$966,'Исходные данные'!$D$2:$D$966,CF$1,'Исходные данные'!$F$2:$F$966,$A10)</f>
        <v>0</v>
      </c>
      <c r="CH10" s="4" t="n">
        <f aca="false">SUMIFS('Исходные данные'!$I$2:$I$966,'Исходные данные'!$D$2:$D$966,CH$1,'Исходные данные'!$F$2:$F$966,$A10)</f>
        <v>0</v>
      </c>
      <c r="CI10" s="4" t="n">
        <f aca="false">SUMIFS('Исходные данные'!$J$2:$J$966,'Исходные данные'!$D$2:$D$966,CH$1,'Исходные данные'!$F$2:$F$966,$A10)</f>
        <v>0</v>
      </c>
      <c r="CJ10" s="4" t="n">
        <f aca="false">SUMIFS('Исходные данные'!$I$2:$I$966,'Исходные данные'!$D$2:$D$966,CJ$1,'Исходные данные'!$F$2:$F$966,$A10)</f>
        <v>0</v>
      </c>
      <c r="CK10" s="4" t="n">
        <f aca="false">SUMIFS('Исходные данные'!$J$2:$J$966,'Исходные данные'!$D$2:$D$966,CJ$1,'Исходные данные'!$F$2:$F$966,$A10)</f>
        <v>0</v>
      </c>
      <c r="CL10" s="4" t="n">
        <f aca="false">SUMIFS('Исходные данные'!$I$2:$I$966,'Исходные данные'!$D$2:$D$966,CL$1,'Исходные данные'!$F$2:$F$966,$A10)</f>
        <v>0</v>
      </c>
      <c r="CM10" s="4" t="n">
        <f aca="false">SUMIFS('Исходные данные'!$J$2:$J$966,'Исходные данные'!$D$2:$D$966,CL$1,'Исходные данные'!$F$2:$F$966,$A10)</f>
        <v>0</v>
      </c>
      <c r="CN10" s="4" t="n">
        <f aca="false">SUMIFS('Исходные данные'!$I$2:$I$966,'Исходные данные'!$D$2:$D$966,CN$1,'Исходные данные'!$F$2:$F$966,$A10)</f>
        <v>0</v>
      </c>
      <c r="CO10" s="4" t="n">
        <f aca="false">SUMIFS('Исходные данные'!$J$2:$J$966,'Исходные данные'!$D$2:$D$966,CN$1,'Исходные данные'!$F$2:$F$966,$A10)</f>
        <v>0</v>
      </c>
      <c r="CP10" s="4" t="n">
        <f aca="false">SUMIFS('Исходные данные'!$I$2:$I$966,'Исходные данные'!$D$2:$D$966,CP$1,'Исходные данные'!$F$2:$F$966,$A10)</f>
        <v>0</v>
      </c>
      <c r="CQ10" s="4" t="n">
        <f aca="false">SUMIFS('Исходные данные'!$J$2:$J$966,'Исходные данные'!$D$2:$D$966,CP$1,'Исходные данные'!$F$2:$F$966,$A10)</f>
        <v>0</v>
      </c>
    </row>
    <row r="11" customFormat="false" ht="15" hidden="false" customHeight="false" outlineLevel="0" collapsed="false">
      <c r="A11" s="3" t="s">
        <v>69</v>
      </c>
      <c r="B11" s="4" t="s">
        <v>70</v>
      </c>
      <c r="C11" s="5" t="n">
        <v>4</v>
      </c>
      <c r="D11" s="5" t="n">
        <f aca="false">F11+G11</f>
        <v>2</v>
      </c>
      <c r="E11" s="5" t="n">
        <f aca="false">D11-C11</f>
        <v>-2</v>
      </c>
      <c r="F11" s="5" t="n">
        <f aca="false">SUMIFS($H11:$CQ11,$H$2:$CQ$2,"День")</f>
        <v>2</v>
      </c>
      <c r="G11" s="5" t="n">
        <f aca="false">SUMIFS($H11:$CQ11,$H$2:$CQ$2,"Ночь")</f>
        <v>0</v>
      </c>
      <c r="H11" s="4" t="n">
        <f aca="false">SUMIFS('Исходные данные'!$I$2:$I$966,'Исходные данные'!$D$2:$D$966,H$1,'Исходные данные'!$F$2:$F$966,$A11)</f>
        <v>0</v>
      </c>
      <c r="I11" s="4" t="n">
        <f aca="false">SUMIFS('Исходные данные'!$J$2:$J$966,'Исходные данные'!$D$2:$D$966,H$1,'Исходные данные'!$F$2:$F$966,$A11)</f>
        <v>0</v>
      </c>
      <c r="J11" s="4" t="n">
        <f aca="false">SUMIFS('Исходные данные'!$I$2:$I$966,'Исходные данные'!$D$2:$D$966,J$1,'Исходные данные'!$F$2:$F$966,$A11)</f>
        <v>0</v>
      </c>
      <c r="K11" s="4" t="n">
        <f aca="false">SUMIFS('Исходные данные'!$J$2:$J$966,'Исходные данные'!$D$2:$D$966,J$1,'Исходные данные'!$F$2:$F$966,$A11)</f>
        <v>0</v>
      </c>
      <c r="L11" s="4" t="n">
        <f aca="false">SUMIFS('Исходные данные'!$I$2:$I$966,'Исходные данные'!$D$2:$D$966,L$1,'Исходные данные'!$F$2:$F$966,$A11)</f>
        <v>0</v>
      </c>
      <c r="M11" s="4" t="n">
        <f aca="false">SUMIFS('Исходные данные'!$J$2:$J$966,'Исходные данные'!$D$2:$D$966,L$1,'Исходные данные'!$F$2:$F$966,$A11)</f>
        <v>0</v>
      </c>
      <c r="N11" s="4" t="n">
        <f aca="false">SUMIFS('Исходные данные'!$I$2:$I$966,'Исходные данные'!$D$2:$D$966,N$1,'Исходные данные'!$F$2:$F$966,$A11)</f>
        <v>0</v>
      </c>
      <c r="O11" s="4" t="n">
        <f aca="false">SUMIFS('Исходные данные'!$J$2:$J$966,'Исходные данные'!$D$2:$D$966,N$1,'Исходные данные'!$F$2:$F$966,$A11)</f>
        <v>0</v>
      </c>
      <c r="P11" s="4" t="n">
        <f aca="false">SUMIFS('Исходные данные'!$I$2:$I$966,'Исходные данные'!$D$2:$D$966,P$1,'Исходные данные'!$F$2:$F$966,$A11)</f>
        <v>0</v>
      </c>
      <c r="Q11" s="4" t="n">
        <f aca="false">SUMIFS('Исходные данные'!$J$2:$J$966,'Исходные данные'!$D$2:$D$966,P$1,'Исходные данные'!$F$2:$F$966,$A11)</f>
        <v>0</v>
      </c>
      <c r="R11" s="4" t="n">
        <f aca="false">SUMIFS('Исходные данные'!$I$2:$I$966,'Исходные данные'!$D$2:$D$966,R$1,'Исходные данные'!$F$2:$F$966,$A11)</f>
        <v>0</v>
      </c>
      <c r="S11" s="4" t="n">
        <f aca="false">SUMIFS('Исходные данные'!$J$2:$J$966,'Исходные данные'!$D$2:$D$966,R$1,'Исходные данные'!$F$2:$F$966,$A11)</f>
        <v>0</v>
      </c>
      <c r="T11" s="4" t="n">
        <f aca="false">SUMIFS('Исходные данные'!$I$2:$I$966,'Исходные данные'!$D$2:$D$966,T$1,'Исходные данные'!$F$2:$F$966,$A11)</f>
        <v>2</v>
      </c>
      <c r="U11" s="4" t="n">
        <f aca="false">SUMIFS('Исходные данные'!$J$2:$J$966,'Исходные данные'!$D$2:$D$966,T$1,'Исходные данные'!$F$2:$F$966,$A11)</f>
        <v>0</v>
      </c>
      <c r="V11" s="4" t="n">
        <f aca="false">SUMIFS('Исходные данные'!$I$2:$I$966,'Исходные данные'!$D$2:$D$966,V$1,'Исходные данные'!$F$2:$F$966,$A11)</f>
        <v>0</v>
      </c>
      <c r="W11" s="4" t="n">
        <f aca="false">SUMIFS('Исходные данные'!$J$2:$J$966,'Исходные данные'!$D$2:$D$966,V$1,'Исходные данные'!$F$2:$F$966,$A11)</f>
        <v>0</v>
      </c>
      <c r="X11" s="4" t="n">
        <f aca="false">SUMIFS('Исходные данные'!$I$2:$I$966,'Исходные данные'!$D$2:$D$966,X$1,'Исходные данные'!$F$2:$F$966,$A11)</f>
        <v>0</v>
      </c>
      <c r="Y11" s="4" t="n">
        <f aca="false">SUMIFS('Исходные данные'!$J$2:$J$966,'Исходные данные'!$D$2:$D$966,X$1,'Исходные данные'!$F$2:$F$966,$A11)</f>
        <v>0</v>
      </c>
      <c r="Z11" s="4" t="n">
        <f aca="false">SUMIFS('Исходные данные'!$I$2:$I$966,'Исходные данные'!$D$2:$D$966,Z$1,'Исходные данные'!$F$2:$F$966,$A11)</f>
        <v>0</v>
      </c>
      <c r="AA11" s="4" t="n">
        <f aca="false">SUMIFS('Исходные данные'!$J$2:$J$966,'Исходные данные'!$D$2:$D$966,Z$1,'Исходные данные'!$F$2:$F$966,$A11)</f>
        <v>0</v>
      </c>
      <c r="AB11" s="4" t="n">
        <f aca="false">SUMIFS('Исходные данные'!$I$2:$I$966,'Исходные данные'!$D$2:$D$966,AB$1,'Исходные данные'!$F$2:$F$966,$A11)</f>
        <v>0</v>
      </c>
      <c r="AC11" s="4" t="n">
        <f aca="false">SUMIFS('Исходные данные'!$J$2:$J$966,'Исходные данные'!$D$2:$D$966,AB$1,'Исходные данные'!$F$2:$F$966,$A11)</f>
        <v>0</v>
      </c>
      <c r="AD11" s="4" t="n">
        <f aca="false">SUMIFS('Исходные данные'!$I$2:$I$966,'Исходные данные'!$D$2:$D$966,AD$1,'Исходные данные'!$F$2:$F$966,$A11)</f>
        <v>0</v>
      </c>
      <c r="AE11" s="4" t="n">
        <f aca="false">SUMIFS('Исходные данные'!$J$2:$J$966,'Исходные данные'!$D$2:$D$966,AD$1,'Исходные данные'!$F$2:$F$966,$A11)</f>
        <v>0</v>
      </c>
      <c r="AF11" s="4" t="n">
        <f aca="false">SUMIFS('Исходные данные'!$I$2:$I$966,'Исходные данные'!$D$2:$D$966,AF$1,'Исходные данные'!$F$2:$F$966,$A11)</f>
        <v>0</v>
      </c>
      <c r="AG11" s="4" t="n">
        <f aca="false">SUMIFS('Исходные данные'!$J$2:$J$966,'Исходные данные'!$D$2:$D$966,AF$1,'Исходные данные'!$F$2:$F$966,$A11)</f>
        <v>0</v>
      </c>
      <c r="AH11" s="4" t="n">
        <f aca="false">SUMIFS('Исходные данные'!$I$2:$I$966,'Исходные данные'!$D$2:$D$966,AH$1,'Исходные данные'!$F$2:$F$966,$A11)</f>
        <v>0</v>
      </c>
      <c r="AI11" s="4" t="n">
        <f aca="false">SUMIFS('Исходные данные'!$J$2:$J$966,'Исходные данные'!$D$2:$D$966,AH$1,'Исходные данные'!$F$2:$F$966,$A11)</f>
        <v>0</v>
      </c>
      <c r="AJ11" s="4" t="n">
        <f aca="false">SUMIFS('Исходные данные'!$I$2:$I$966,'Исходные данные'!$D$2:$D$966,AJ$1,'Исходные данные'!$F$2:$F$966,$A11)</f>
        <v>0</v>
      </c>
      <c r="AK11" s="4" t="n">
        <f aca="false">SUMIFS('Исходные данные'!$J$2:$J$966,'Исходные данные'!$D$2:$D$966,AJ$1,'Исходные данные'!$F$2:$F$966,$A11)</f>
        <v>0</v>
      </c>
      <c r="AL11" s="4" t="n">
        <f aca="false">SUMIFS('Исходные данные'!$I$2:$I$966,'Исходные данные'!$D$2:$D$966,AL$1,'Исходные данные'!$F$2:$F$966,$A11)</f>
        <v>0</v>
      </c>
      <c r="AM11" s="4" t="n">
        <f aca="false">SUMIFS('Исходные данные'!$J$2:$J$966,'Исходные данные'!$D$2:$D$966,AL$1,'Исходные данные'!$F$2:$F$966,$A11)</f>
        <v>0</v>
      </c>
      <c r="AN11" s="4" t="n">
        <f aca="false">SUMIFS('Исходные данные'!$I$2:$I$966,'Исходные данные'!$D$2:$D$966,AN$1,'Исходные данные'!$F$2:$F$966,$A11)</f>
        <v>0</v>
      </c>
      <c r="AO11" s="4" t="n">
        <f aca="false">SUMIFS('Исходные данные'!$J$2:$J$966,'Исходные данные'!$D$2:$D$966,AN$1,'Исходные данные'!$F$2:$F$966,$A11)</f>
        <v>0</v>
      </c>
      <c r="AP11" s="4" t="n">
        <f aca="false">SUMIFS('Исходные данные'!$I$2:$I$966,'Исходные данные'!$D$2:$D$966,AP$1,'Исходные данные'!$F$2:$F$966,$A11)</f>
        <v>0</v>
      </c>
      <c r="AQ11" s="4" t="n">
        <f aca="false">SUMIFS('Исходные данные'!$J$2:$J$966,'Исходные данные'!$D$2:$D$966,AP$1,'Исходные данные'!$F$2:$F$966,$A11)</f>
        <v>0</v>
      </c>
      <c r="AR11" s="4" t="n">
        <f aca="false">SUMIFS('Исходные данные'!$I$2:$I$966,'Исходные данные'!$D$2:$D$966,AR$1,'Исходные данные'!$F$2:$F$966,$A11)</f>
        <v>0</v>
      </c>
      <c r="AS11" s="4" t="n">
        <f aca="false">SUMIFS('Исходные данные'!$J$2:$J$966,'Исходные данные'!$D$2:$D$966,AR$1,'Исходные данные'!$F$2:$F$966,$A11)</f>
        <v>0</v>
      </c>
      <c r="AT11" s="4" t="n">
        <f aca="false">SUMIFS('Исходные данные'!$I$2:$I$966,'Исходные данные'!$D$2:$D$966,AT$1,'Исходные данные'!$F$2:$F$966,$A11)</f>
        <v>0</v>
      </c>
      <c r="AU11" s="4" t="n">
        <f aca="false">SUMIFS('Исходные данные'!$J$2:$J$966,'Исходные данные'!$D$2:$D$966,AT$1,'Исходные данные'!$F$2:$F$966,$A11)</f>
        <v>0</v>
      </c>
      <c r="AV11" s="4" t="n">
        <f aca="false">SUMIFS('Исходные данные'!$I$2:$I$966,'Исходные данные'!$D$2:$D$966,AV$1,'Исходные данные'!$F$2:$F$966,$A11)</f>
        <v>0</v>
      </c>
      <c r="AW11" s="4" t="n">
        <f aca="false">SUMIFS('Исходные данные'!$J$2:$J$966,'Исходные данные'!$D$2:$D$966,AV$1,'Исходные данные'!$F$2:$F$966,$A11)</f>
        <v>0</v>
      </c>
      <c r="AX11" s="4" t="n">
        <f aca="false">SUMIFS('Исходные данные'!$I$2:$I$966,'Исходные данные'!$D$2:$D$966,AX$1,'Исходные данные'!$F$2:$F$966,$A11)</f>
        <v>0</v>
      </c>
      <c r="AY11" s="4" t="n">
        <f aca="false">SUMIFS('Исходные данные'!$J$2:$J$966,'Исходные данные'!$D$2:$D$966,AX$1,'Исходные данные'!$F$2:$F$966,$A11)</f>
        <v>0</v>
      </c>
      <c r="AZ11" s="4" t="n">
        <f aca="false">SUMIFS('Исходные данные'!$I$2:$I$966,'Исходные данные'!$D$2:$D$966,AZ$1,'Исходные данные'!$F$2:$F$966,$A11)</f>
        <v>0</v>
      </c>
      <c r="BA11" s="4" t="n">
        <f aca="false">SUMIFS('Исходные данные'!$J$2:$J$966,'Исходные данные'!$D$2:$D$966,AZ$1,'Исходные данные'!$F$2:$F$966,$A11)</f>
        <v>0</v>
      </c>
      <c r="BB11" s="4" t="n">
        <f aca="false">SUMIFS('Исходные данные'!$I$2:$I$966,'Исходные данные'!$D$2:$D$966,BB$1,'Исходные данные'!$F$2:$F$966,$A11)</f>
        <v>0</v>
      </c>
      <c r="BC11" s="4" t="n">
        <f aca="false">SUMIFS('Исходные данные'!$J$2:$J$966,'Исходные данные'!$D$2:$D$966,BB$1,'Исходные данные'!$F$2:$F$966,$A11)</f>
        <v>0</v>
      </c>
      <c r="BD11" s="4" t="n">
        <f aca="false">SUMIFS('Исходные данные'!$I$2:$I$966,'Исходные данные'!$D$2:$D$966,BD$1,'Исходные данные'!$F$2:$F$966,$A11)</f>
        <v>0</v>
      </c>
      <c r="BE11" s="4" t="n">
        <f aca="false">SUMIFS('Исходные данные'!$J$2:$J$966,'Исходные данные'!$D$2:$D$966,BD$1,'Исходные данные'!$F$2:$F$966,$A11)</f>
        <v>0</v>
      </c>
      <c r="BF11" s="4" t="n">
        <f aca="false">SUMIFS('Исходные данные'!$I$2:$I$966,'Исходные данные'!$D$2:$D$966,BF$1,'Исходные данные'!$F$2:$F$966,$A11)</f>
        <v>0</v>
      </c>
      <c r="BG11" s="4" t="n">
        <f aca="false">SUMIFS('Исходные данные'!$J$2:$J$966,'Исходные данные'!$D$2:$D$966,BF$1,'Исходные данные'!$F$2:$F$966,$A11)</f>
        <v>0</v>
      </c>
      <c r="BH11" s="4" t="n">
        <f aca="false">SUMIFS('Исходные данные'!$I$2:$I$966,'Исходные данные'!$D$2:$D$966,BH$1,'Исходные данные'!$F$2:$F$966,$A11)</f>
        <v>0</v>
      </c>
      <c r="BI11" s="4" t="n">
        <f aca="false">SUMIFS('Исходные данные'!$J$2:$J$966,'Исходные данные'!$D$2:$D$966,BH$1,'Исходные данные'!$F$2:$F$966,$A11)</f>
        <v>0</v>
      </c>
      <c r="BJ11" s="4" t="n">
        <f aca="false">SUMIFS('Исходные данные'!$I$2:$I$966,'Исходные данные'!$D$2:$D$966,BJ$1,'Исходные данные'!$F$2:$F$966,$A11)</f>
        <v>0</v>
      </c>
      <c r="BK11" s="4" t="n">
        <f aca="false">SUMIFS('Исходные данные'!$J$2:$J$966,'Исходные данные'!$D$2:$D$966,BJ$1,'Исходные данные'!$F$2:$F$966,$A11)</f>
        <v>0</v>
      </c>
      <c r="BL11" s="4" t="n">
        <f aca="false">SUMIFS('Исходные данные'!$I$2:$I$966,'Исходные данные'!$D$2:$D$966,BL$1,'Исходные данные'!$F$2:$F$966,$A11)</f>
        <v>0</v>
      </c>
      <c r="BM11" s="4" t="n">
        <f aca="false">SUMIFS('Исходные данные'!$J$2:$J$966,'Исходные данные'!$D$2:$D$966,BL$1,'Исходные данные'!$F$2:$F$966,$A11)</f>
        <v>0</v>
      </c>
      <c r="BN11" s="4" t="n">
        <f aca="false">SUMIFS('Исходные данные'!$I$2:$I$966,'Исходные данные'!$D$2:$D$966,BN$1,'Исходные данные'!$F$2:$F$966,$A11)</f>
        <v>0</v>
      </c>
      <c r="BO11" s="4" t="n">
        <f aca="false">SUMIFS('Исходные данные'!$J$2:$J$966,'Исходные данные'!$D$2:$D$966,BN$1,'Исходные данные'!$F$2:$F$966,$A11)</f>
        <v>0</v>
      </c>
      <c r="BP11" s="4" t="n">
        <f aca="false">SUMIFS('Исходные данные'!$I$2:$I$966,'Исходные данные'!$D$2:$D$966,BP$1,'Исходные данные'!$F$2:$F$966,$A11)</f>
        <v>0</v>
      </c>
      <c r="BQ11" s="4" t="n">
        <f aca="false">SUMIFS('Исходные данные'!$J$2:$J$966,'Исходные данные'!$D$2:$D$966,BP$1,'Исходные данные'!$F$2:$F$966,$A11)</f>
        <v>0</v>
      </c>
      <c r="BR11" s="4" t="n">
        <f aca="false">SUMIFS('Исходные данные'!$I$2:$I$966,'Исходные данные'!$D$2:$D$966,BR$1,'Исходные данные'!$F$2:$F$966,$A11)</f>
        <v>0</v>
      </c>
      <c r="BS11" s="4" t="n">
        <f aca="false">SUMIFS('Исходные данные'!$J$2:$J$966,'Исходные данные'!$D$2:$D$966,BR$1,'Исходные данные'!$F$2:$F$966,$A11)</f>
        <v>0</v>
      </c>
      <c r="BT11" s="4" t="n">
        <f aca="false">SUMIFS('Исходные данные'!$I$2:$I$966,'Исходные данные'!$D$2:$D$966,BT$1,'Исходные данные'!$F$2:$F$966,$A11)</f>
        <v>0</v>
      </c>
      <c r="BU11" s="4" t="n">
        <f aca="false">SUMIFS('Исходные данные'!$J$2:$J$966,'Исходные данные'!$D$2:$D$966,BT$1,'Исходные данные'!$F$2:$F$966,$A11)</f>
        <v>0</v>
      </c>
      <c r="BV11" s="4" t="n">
        <f aca="false">SUMIFS('Исходные данные'!$I$2:$I$966,'Исходные данные'!$D$2:$D$966,BV$1,'Исходные данные'!$F$2:$F$966,$A11)</f>
        <v>0</v>
      </c>
      <c r="BW11" s="4" t="n">
        <f aca="false">SUMIFS('Исходные данные'!$J$2:$J$966,'Исходные данные'!$D$2:$D$966,BV$1,'Исходные данные'!$F$2:$F$966,$A11)</f>
        <v>0</v>
      </c>
      <c r="BX11" s="4" t="n">
        <f aca="false">SUMIFS('Исходные данные'!$I$2:$I$966,'Исходные данные'!$D$2:$D$966,BX$1,'Исходные данные'!$F$2:$F$966,$A11)</f>
        <v>0</v>
      </c>
      <c r="BY11" s="4" t="n">
        <f aca="false">SUMIFS('Исходные данные'!$J$2:$J$966,'Исходные данные'!$D$2:$D$966,BX$1,'Исходные данные'!$F$2:$F$966,$A11)</f>
        <v>0</v>
      </c>
      <c r="BZ11" s="4" t="n">
        <f aca="false">SUMIFS('Исходные данные'!$I$2:$I$966,'Исходные данные'!$D$2:$D$966,BZ$1,'Исходные данные'!$F$2:$F$966,$A11)</f>
        <v>0</v>
      </c>
      <c r="CA11" s="4" t="n">
        <f aca="false">SUMIFS('Исходные данные'!$J$2:$J$966,'Исходные данные'!$D$2:$D$966,BZ$1,'Исходные данные'!$F$2:$F$966,$A11)</f>
        <v>0</v>
      </c>
      <c r="CB11" s="4" t="n">
        <f aca="false">SUMIFS('Исходные данные'!$I$2:$I$966,'Исходные данные'!$D$2:$D$966,CB$1,'Исходные данные'!$F$2:$F$966,$A11)</f>
        <v>0</v>
      </c>
      <c r="CC11" s="4" t="n">
        <f aca="false">SUMIFS('Исходные данные'!$J$2:$J$966,'Исходные данные'!$D$2:$D$966,CB$1,'Исходные данные'!$F$2:$F$966,$A11)</f>
        <v>0</v>
      </c>
      <c r="CD11" s="4" t="n">
        <f aca="false">SUMIFS('Исходные данные'!$I$2:$I$966,'Исходные данные'!$D$2:$D$966,CD$1,'Исходные данные'!$F$2:$F$966,$A11)</f>
        <v>0</v>
      </c>
      <c r="CE11" s="4" t="n">
        <f aca="false">SUMIFS('Исходные данные'!$J$2:$J$966,'Исходные данные'!$D$2:$D$966,CD$1,'Исходные данные'!$F$2:$F$966,$A11)</f>
        <v>0</v>
      </c>
      <c r="CF11" s="4" t="n">
        <f aca="false">SUMIFS('Исходные данные'!$I$2:$I$966,'Исходные данные'!$D$2:$D$966,CF$1,'Исходные данные'!$F$2:$F$966,$A11)</f>
        <v>0</v>
      </c>
      <c r="CG11" s="4" t="n">
        <f aca="false">SUMIFS('Исходные данные'!$J$2:$J$966,'Исходные данные'!$D$2:$D$966,CF$1,'Исходные данные'!$F$2:$F$966,$A11)</f>
        <v>0</v>
      </c>
      <c r="CH11" s="4" t="n">
        <f aca="false">SUMIFS('Исходные данные'!$I$2:$I$966,'Исходные данные'!$D$2:$D$966,CH$1,'Исходные данные'!$F$2:$F$966,$A11)</f>
        <v>0</v>
      </c>
      <c r="CI11" s="4" t="n">
        <f aca="false">SUMIFS('Исходные данные'!$J$2:$J$966,'Исходные данные'!$D$2:$D$966,CH$1,'Исходные данные'!$F$2:$F$966,$A11)</f>
        <v>0</v>
      </c>
      <c r="CJ11" s="4" t="n">
        <f aca="false">SUMIFS('Исходные данные'!$I$2:$I$966,'Исходные данные'!$D$2:$D$966,CJ$1,'Исходные данные'!$F$2:$F$966,$A11)</f>
        <v>0</v>
      </c>
      <c r="CK11" s="4" t="n">
        <f aca="false">SUMIFS('Исходные данные'!$J$2:$J$966,'Исходные данные'!$D$2:$D$966,CJ$1,'Исходные данные'!$F$2:$F$966,$A11)</f>
        <v>0</v>
      </c>
      <c r="CL11" s="4" t="n">
        <f aca="false">SUMIFS('Исходные данные'!$I$2:$I$966,'Исходные данные'!$D$2:$D$966,CL$1,'Исходные данные'!$F$2:$F$966,$A11)</f>
        <v>0</v>
      </c>
      <c r="CM11" s="4" t="n">
        <f aca="false">SUMIFS('Исходные данные'!$J$2:$J$966,'Исходные данные'!$D$2:$D$966,CL$1,'Исходные данные'!$F$2:$F$966,$A11)</f>
        <v>0</v>
      </c>
      <c r="CN11" s="4" t="n">
        <f aca="false">SUMIFS('Исходные данные'!$I$2:$I$966,'Исходные данные'!$D$2:$D$966,CN$1,'Исходные данные'!$F$2:$F$966,$A11)</f>
        <v>0</v>
      </c>
      <c r="CO11" s="4" t="n">
        <f aca="false">SUMIFS('Исходные данные'!$J$2:$J$966,'Исходные данные'!$D$2:$D$966,CN$1,'Исходные данные'!$F$2:$F$966,$A11)</f>
        <v>0</v>
      </c>
      <c r="CP11" s="4" t="n">
        <f aca="false">SUMIFS('Исходные данные'!$I$2:$I$966,'Исходные данные'!$D$2:$D$966,CP$1,'Исходные данные'!$F$2:$F$966,$A11)</f>
        <v>0</v>
      </c>
      <c r="CQ11" s="4" t="n">
        <f aca="false">SUMIFS('Исходные данные'!$J$2:$J$966,'Исходные данные'!$D$2:$D$966,CP$1,'Исходные данные'!$F$2:$F$966,$A11)</f>
        <v>0</v>
      </c>
    </row>
    <row r="12" customFormat="false" ht="15" hidden="false" customHeight="false" outlineLevel="0" collapsed="false">
      <c r="A12" s="8" t="s">
        <v>71</v>
      </c>
      <c r="B12" s="9" t="s">
        <v>72</v>
      </c>
      <c r="C12" s="5" t="n">
        <v>3</v>
      </c>
      <c r="D12" s="5" t="n">
        <f aca="false">F12+G12</f>
        <v>3</v>
      </c>
      <c r="E12" s="5" t="n">
        <f aca="false">D12-C12</f>
        <v>0</v>
      </c>
      <c r="F12" s="5" t="n">
        <f aca="false">SUMIFS($H12:$CQ12,$H$2:$CQ$2,"День")</f>
        <v>3</v>
      </c>
      <c r="G12" s="5" t="n">
        <f aca="false">SUMIFS($H12:$CQ12,$H$2:$CQ$2,"Ночь")</f>
        <v>0</v>
      </c>
      <c r="H12" s="9" t="n">
        <f aca="false">SUMIFS('Исходные данные'!$I$2:$I$966,'Исходные данные'!$D$2:$D$966,H$1,'Исходные данные'!$F$2:$F$966,$A12)</f>
        <v>0</v>
      </c>
      <c r="I12" s="9" t="n">
        <f aca="false">SUMIFS('Исходные данные'!$J$2:$J$966,'Исходные данные'!$D$2:$D$966,H$1,'Исходные данные'!$F$2:$F$966,$A12)</f>
        <v>0</v>
      </c>
      <c r="J12" s="9" t="n">
        <f aca="false">SUMIFS('Исходные данные'!$I$2:$I$966,'Исходные данные'!$D$2:$D$966,J$1,'Исходные данные'!$F$2:$F$966,$A12)</f>
        <v>0</v>
      </c>
      <c r="K12" s="9" t="n">
        <f aca="false">SUMIFS('Исходные данные'!$J$2:$J$966,'Исходные данные'!$D$2:$D$966,J$1,'Исходные данные'!$F$2:$F$966,$A12)</f>
        <v>0</v>
      </c>
      <c r="L12" s="9" t="n">
        <f aca="false">SUMIFS('Исходные данные'!$I$2:$I$966,'Исходные данные'!$D$2:$D$966,L$1,'Исходные данные'!$F$2:$F$966,$A12)</f>
        <v>0</v>
      </c>
      <c r="M12" s="9" t="n">
        <f aca="false">SUMIFS('Исходные данные'!$J$2:$J$966,'Исходные данные'!$D$2:$D$966,L$1,'Исходные данные'!$F$2:$F$966,$A12)</f>
        <v>0</v>
      </c>
      <c r="N12" s="9" t="n">
        <f aca="false">SUMIFS('Исходные данные'!$I$2:$I$966,'Исходные данные'!$D$2:$D$966,N$1,'Исходные данные'!$F$2:$F$966,$A12)</f>
        <v>0</v>
      </c>
      <c r="O12" s="9" t="n">
        <f aca="false">SUMIFS('Исходные данные'!$J$2:$J$966,'Исходные данные'!$D$2:$D$966,N$1,'Исходные данные'!$F$2:$F$966,$A12)</f>
        <v>0</v>
      </c>
      <c r="P12" s="9" t="n">
        <f aca="false">SUMIFS('Исходные данные'!$I$2:$I$966,'Исходные данные'!$D$2:$D$966,P$1,'Исходные данные'!$F$2:$F$966,$A12)</f>
        <v>0</v>
      </c>
      <c r="Q12" s="9" t="n">
        <f aca="false">SUMIFS('Исходные данные'!$J$2:$J$966,'Исходные данные'!$D$2:$D$966,P$1,'Исходные данные'!$F$2:$F$966,$A12)</f>
        <v>0</v>
      </c>
      <c r="R12" s="9" t="n">
        <f aca="false">SUMIFS('Исходные данные'!$I$2:$I$966,'Исходные данные'!$D$2:$D$966,R$1,'Исходные данные'!$F$2:$F$966,$A12)</f>
        <v>0</v>
      </c>
      <c r="S12" s="9" t="n">
        <f aca="false">SUMIFS('Исходные данные'!$J$2:$J$966,'Исходные данные'!$D$2:$D$966,R$1,'Исходные данные'!$F$2:$F$966,$A12)</f>
        <v>0</v>
      </c>
      <c r="T12" s="9" t="n">
        <f aca="false">SUMIFS('Исходные данные'!$I$2:$I$966,'Исходные данные'!$D$2:$D$966,T$1,'Исходные данные'!$F$2:$F$966,$A12)</f>
        <v>0</v>
      </c>
      <c r="U12" s="9" t="n">
        <f aca="false">SUMIFS('Исходные данные'!$J$2:$J$966,'Исходные данные'!$D$2:$D$966,T$1,'Исходные данные'!$F$2:$F$966,$A12)</f>
        <v>0</v>
      </c>
      <c r="V12" s="9" t="n">
        <f aca="false">SUMIFS('Исходные данные'!$I$2:$I$966,'Исходные данные'!$D$2:$D$966,V$1,'Исходные данные'!$F$2:$F$966,$A12)</f>
        <v>1</v>
      </c>
      <c r="W12" s="9" t="n">
        <f aca="false">SUMIFS('Исходные данные'!$J$2:$J$966,'Исходные данные'!$D$2:$D$966,V$1,'Исходные данные'!$F$2:$F$966,$A12)</f>
        <v>0</v>
      </c>
      <c r="X12" s="9" t="n">
        <f aca="false">SUMIFS('Исходные данные'!$I$2:$I$966,'Исходные данные'!$D$2:$D$966,X$1,'Исходные данные'!$F$2:$F$966,$A12)</f>
        <v>1</v>
      </c>
      <c r="Y12" s="9" t="n">
        <f aca="false">SUMIFS('Исходные данные'!$J$2:$J$966,'Исходные данные'!$D$2:$D$966,X$1,'Исходные данные'!$F$2:$F$966,$A12)</f>
        <v>0</v>
      </c>
      <c r="Z12" s="9" t="n">
        <f aca="false">SUMIFS('Исходные данные'!$I$2:$I$966,'Исходные данные'!$D$2:$D$966,Z$1,'Исходные данные'!$F$2:$F$966,$A12)</f>
        <v>0</v>
      </c>
      <c r="AA12" s="9" t="n">
        <f aca="false">SUMIFS('Исходные данные'!$J$2:$J$966,'Исходные данные'!$D$2:$D$966,Z$1,'Исходные данные'!$F$2:$F$966,$A12)</f>
        <v>0</v>
      </c>
      <c r="AB12" s="9" t="n">
        <f aca="false">SUMIFS('Исходные данные'!$I$2:$I$966,'Исходные данные'!$D$2:$D$966,AB$1,'Исходные данные'!$F$2:$F$966,$A12)</f>
        <v>0</v>
      </c>
      <c r="AC12" s="9" t="n">
        <f aca="false">SUMIFS('Исходные данные'!$J$2:$J$966,'Исходные данные'!$D$2:$D$966,AB$1,'Исходные данные'!$F$2:$F$966,$A12)</f>
        <v>0</v>
      </c>
      <c r="AD12" s="9" t="n">
        <f aca="false">SUMIFS('Исходные данные'!$I$2:$I$966,'Исходные данные'!$D$2:$D$966,AD$1,'Исходные данные'!$F$2:$F$966,$A12)</f>
        <v>0</v>
      </c>
      <c r="AE12" s="9" t="n">
        <f aca="false">SUMIFS('Исходные данные'!$J$2:$J$966,'Исходные данные'!$D$2:$D$966,AD$1,'Исходные данные'!$F$2:$F$966,$A12)</f>
        <v>0</v>
      </c>
      <c r="AF12" s="9" t="n">
        <f aca="false">SUMIFS('Исходные данные'!$I$2:$I$966,'Исходные данные'!$D$2:$D$966,AF$1,'Исходные данные'!$F$2:$F$966,$A12)</f>
        <v>0</v>
      </c>
      <c r="AG12" s="9" t="n">
        <f aca="false">SUMIFS('Исходные данные'!$J$2:$J$966,'Исходные данные'!$D$2:$D$966,AF$1,'Исходные данные'!$F$2:$F$966,$A12)</f>
        <v>0</v>
      </c>
      <c r="AH12" s="9" t="n">
        <f aca="false">SUMIFS('Исходные данные'!$I$2:$I$966,'Исходные данные'!$D$2:$D$966,AH$1,'Исходные данные'!$F$2:$F$966,$A12)</f>
        <v>0</v>
      </c>
      <c r="AI12" s="9" t="n">
        <f aca="false">SUMIFS('Исходные данные'!$J$2:$J$966,'Исходные данные'!$D$2:$D$966,AH$1,'Исходные данные'!$F$2:$F$966,$A12)</f>
        <v>0</v>
      </c>
      <c r="AJ12" s="9" t="n">
        <f aca="false">SUMIFS('Исходные данные'!$I$2:$I$966,'Исходные данные'!$D$2:$D$966,AJ$1,'Исходные данные'!$F$2:$F$966,$A12)</f>
        <v>0</v>
      </c>
      <c r="AK12" s="9" t="n">
        <f aca="false">SUMIFS('Исходные данные'!$J$2:$J$966,'Исходные данные'!$D$2:$D$966,AJ$1,'Исходные данные'!$F$2:$F$966,$A12)</f>
        <v>0</v>
      </c>
      <c r="AL12" s="9" t="n">
        <f aca="false">SUMIFS('Исходные данные'!$I$2:$I$966,'Исходные данные'!$D$2:$D$966,AL$1,'Исходные данные'!$F$2:$F$966,$A12)</f>
        <v>1</v>
      </c>
      <c r="AM12" s="9" t="n">
        <f aca="false">SUMIFS('Исходные данные'!$J$2:$J$966,'Исходные данные'!$D$2:$D$966,AL$1,'Исходные данные'!$F$2:$F$966,$A12)</f>
        <v>0</v>
      </c>
      <c r="AN12" s="9" t="n">
        <f aca="false">SUMIFS('Исходные данные'!$I$2:$I$966,'Исходные данные'!$D$2:$D$966,AN$1,'Исходные данные'!$F$2:$F$966,$A12)</f>
        <v>0</v>
      </c>
      <c r="AO12" s="9" t="n">
        <f aca="false">SUMIFS('Исходные данные'!$J$2:$J$966,'Исходные данные'!$D$2:$D$966,AN$1,'Исходные данные'!$F$2:$F$966,$A12)</f>
        <v>0</v>
      </c>
      <c r="AP12" s="9" t="n">
        <f aca="false">SUMIFS('Исходные данные'!$I$2:$I$966,'Исходные данные'!$D$2:$D$966,AP$1,'Исходные данные'!$F$2:$F$966,$A12)</f>
        <v>0</v>
      </c>
      <c r="AQ12" s="9" t="n">
        <f aca="false">SUMIFS('Исходные данные'!$J$2:$J$966,'Исходные данные'!$D$2:$D$966,AP$1,'Исходные данные'!$F$2:$F$966,$A12)</f>
        <v>0</v>
      </c>
      <c r="AR12" s="9" t="n">
        <f aca="false">SUMIFS('Исходные данные'!$I$2:$I$966,'Исходные данные'!$D$2:$D$966,AR$1,'Исходные данные'!$F$2:$F$966,$A12)</f>
        <v>0</v>
      </c>
      <c r="AS12" s="9" t="n">
        <f aca="false">SUMIFS('Исходные данные'!$J$2:$J$966,'Исходные данные'!$D$2:$D$966,AR$1,'Исходные данные'!$F$2:$F$966,$A12)</f>
        <v>0</v>
      </c>
      <c r="AT12" s="9" t="n">
        <f aca="false">SUMIFS('Исходные данные'!$I$2:$I$966,'Исходные данные'!$D$2:$D$966,AT$1,'Исходные данные'!$F$2:$F$966,$A12)</f>
        <v>0</v>
      </c>
      <c r="AU12" s="9" t="n">
        <f aca="false">SUMIFS('Исходные данные'!$J$2:$J$966,'Исходные данные'!$D$2:$D$966,AT$1,'Исходные данные'!$F$2:$F$966,$A12)</f>
        <v>0</v>
      </c>
      <c r="AV12" s="9" t="n">
        <f aca="false">SUMIFS('Исходные данные'!$I$2:$I$966,'Исходные данные'!$D$2:$D$966,AV$1,'Исходные данные'!$F$2:$F$966,$A12)</f>
        <v>0</v>
      </c>
      <c r="AW12" s="9" t="n">
        <f aca="false">SUMIFS('Исходные данные'!$J$2:$J$966,'Исходные данные'!$D$2:$D$966,AV$1,'Исходные данные'!$F$2:$F$966,$A12)</f>
        <v>0</v>
      </c>
      <c r="AX12" s="9" t="n">
        <f aca="false">SUMIFS('Исходные данные'!$I$2:$I$966,'Исходные данные'!$D$2:$D$966,AX$1,'Исходные данные'!$F$2:$F$966,$A12)</f>
        <v>0</v>
      </c>
      <c r="AY12" s="9" t="n">
        <f aca="false">SUMIFS('Исходные данные'!$J$2:$J$966,'Исходные данные'!$D$2:$D$966,AX$1,'Исходные данные'!$F$2:$F$966,$A12)</f>
        <v>0</v>
      </c>
      <c r="AZ12" s="9" t="n">
        <f aca="false">SUMIFS('Исходные данные'!$I$2:$I$966,'Исходные данные'!$D$2:$D$966,AZ$1,'Исходные данные'!$F$2:$F$966,$A12)</f>
        <v>0</v>
      </c>
      <c r="BA12" s="9" t="n">
        <f aca="false">SUMIFS('Исходные данные'!$J$2:$J$966,'Исходные данные'!$D$2:$D$966,AZ$1,'Исходные данные'!$F$2:$F$966,$A12)</f>
        <v>0</v>
      </c>
      <c r="BB12" s="9" t="n">
        <f aca="false">SUMIFS('Исходные данные'!$I$2:$I$966,'Исходные данные'!$D$2:$D$966,BB$1,'Исходные данные'!$F$2:$F$966,$A12)</f>
        <v>0</v>
      </c>
      <c r="BC12" s="9" t="n">
        <f aca="false">SUMIFS('Исходные данные'!$J$2:$J$966,'Исходные данные'!$D$2:$D$966,BB$1,'Исходные данные'!$F$2:$F$966,$A12)</f>
        <v>0</v>
      </c>
      <c r="BD12" s="9" t="n">
        <f aca="false">SUMIFS('Исходные данные'!$I$2:$I$966,'Исходные данные'!$D$2:$D$966,BD$1,'Исходные данные'!$F$2:$F$966,$A12)</f>
        <v>0</v>
      </c>
      <c r="BE12" s="9" t="n">
        <f aca="false">SUMIFS('Исходные данные'!$J$2:$J$966,'Исходные данные'!$D$2:$D$966,BD$1,'Исходные данные'!$F$2:$F$966,$A12)</f>
        <v>0</v>
      </c>
      <c r="BF12" s="9" t="n">
        <f aca="false">SUMIFS('Исходные данные'!$I$2:$I$966,'Исходные данные'!$D$2:$D$966,BF$1,'Исходные данные'!$F$2:$F$966,$A12)</f>
        <v>0</v>
      </c>
      <c r="BG12" s="9" t="n">
        <f aca="false">SUMIFS('Исходные данные'!$J$2:$J$966,'Исходные данные'!$D$2:$D$966,BF$1,'Исходные данные'!$F$2:$F$966,$A12)</f>
        <v>0</v>
      </c>
      <c r="BH12" s="9" t="n">
        <f aca="false">SUMIFS('Исходные данные'!$I$2:$I$966,'Исходные данные'!$D$2:$D$966,BH$1,'Исходные данные'!$F$2:$F$966,$A12)</f>
        <v>0</v>
      </c>
      <c r="BI12" s="9" t="n">
        <f aca="false">SUMIFS('Исходные данные'!$J$2:$J$966,'Исходные данные'!$D$2:$D$966,BH$1,'Исходные данные'!$F$2:$F$966,$A12)</f>
        <v>0</v>
      </c>
      <c r="BJ12" s="9" t="n">
        <f aca="false">SUMIFS('Исходные данные'!$I$2:$I$966,'Исходные данные'!$D$2:$D$966,BJ$1,'Исходные данные'!$F$2:$F$966,$A12)</f>
        <v>0</v>
      </c>
      <c r="BK12" s="9" t="n">
        <f aca="false">SUMIFS('Исходные данные'!$J$2:$J$966,'Исходные данные'!$D$2:$D$966,BJ$1,'Исходные данные'!$F$2:$F$966,$A12)</f>
        <v>0</v>
      </c>
      <c r="BL12" s="9" t="n">
        <f aca="false">SUMIFS('Исходные данные'!$I$2:$I$966,'Исходные данные'!$D$2:$D$966,BL$1,'Исходные данные'!$F$2:$F$966,$A12)</f>
        <v>0</v>
      </c>
      <c r="BM12" s="9" t="n">
        <f aca="false">SUMIFS('Исходные данные'!$J$2:$J$966,'Исходные данные'!$D$2:$D$966,BL$1,'Исходные данные'!$F$2:$F$966,$A12)</f>
        <v>0</v>
      </c>
      <c r="BN12" s="9" t="n">
        <f aca="false">SUMIFS('Исходные данные'!$I$2:$I$966,'Исходные данные'!$D$2:$D$966,BN$1,'Исходные данные'!$F$2:$F$966,$A12)</f>
        <v>0</v>
      </c>
      <c r="BO12" s="9" t="n">
        <f aca="false">SUMIFS('Исходные данные'!$J$2:$J$966,'Исходные данные'!$D$2:$D$966,BN$1,'Исходные данные'!$F$2:$F$966,$A12)</f>
        <v>0</v>
      </c>
      <c r="BP12" s="9" t="n">
        <f aca="false">SUMIFS('Исходные данные'!$I$2:$I$966,'Исходные данные'!$D$2:$D$966,BP$1,'Исходные данные'!$F$2:$F$966,$A12)</f>
        <v>0</v>
      </c>
      <c r="BQ12" s="9" t="n">
        <f aca="false">SUMIFS('Исходные данные'!$J$2:$J$966,'Исходные данные'!$D$2:$D$966,BP$1,'Исходные данные'!$F$2:$F$966,$A12)</f>
        <v>0</v>
      </c>
      <c r="BR12" s="9" t="n">
        <f aca="false">SUMIFS('Исходные данные'!$I$2:$I$966,'Исходные данные'!$D$2:$D$966,BR$1,'Исходные данные'!$F$2:$F$966,$A12)</f>
        <v>0</v>
      </c>
      <c r="BS12" s="9" t="n">
        <f aca="false">SUMIFS('Исходные данные'!$J$2:$J$966,'Исходные данные'!$D$2:$D$966,BR$1,'Исходные данные'!$F$2:$F$966,$A12)</f>
        <v>0</v>
      </c>
      <c r="BT12" s="9" t="n">
        <f aca="false">SUMIFS('Исходные данные'!$I$2:$I$966,'Исходные данные'!$D$2:$D$966,BT$1,'Исходные данные'!$F$2:$F$966,$A12)</f>
        <v>0</v>
      </c>
      <c r="BU12" s="9" t="n">
        <f aca="false">SUMIFS('Исходные данные'!$J$2:$J$966,'Исходные данные'!$D$2:$D$966,BT$1,'Исходные данные'!$F$2:$F$966,$A12)</f>
        <v>0</v>
      </c>
      <c r="BV12" s="9" t="n">
        <f aca="false">SUMIFS('Исходные данные'!$I$2:$I$966,'Исходные данные'!$D$2:$D$966,BV$1,'Исходные данные'!$F$2:$F$966,$A12)</f>
        <v>0</v>
      </c>
      <c r="BW12" s="9" t="n">
        <f aca="false">SUMIFS('Исходные данные'!$J$2:$J$966,'Исходные данные'!$D$2:$D$966,BV$1,'Исходные данные'!$F$2:$F$966,$A12)</f>
        <v>0</v>
      </c>
      <c r="BX12" s="9" t="n">
        <f aca="false">SUMIFS('Исходные данные'!$I$2:$I$966,'Исходные данные'!$D$2:$D$966,BX$1,'Исходные данные'!$F$2:$F$966,$A12)</f>
        <v>0</v>
      </c>
      <c r="BY12" s="9" t="n">
        <f aca="false">SUMIFS('Исходные данные'!$J$2:$J$966,'Исходные данные'!$D$2:$D$966,BX$1,'Исходные данные'!$F$2:$F$966,$A12)</f>
        <v>0</v>
      </c>
      <c r="BZ12" s="9" t="n">
        <f aca="false">SUMIFS('Исходные данные'!$I$2:$I$966,'Исходные данные'!$D$2:$D$966,BZ$1,'Исходные данные'!$F$2:$F$966,$A12)</f>
        <v>0</v>
      </c>
      <c r="CA12" s="9" t="n">
        <f aca="false">SUMIFS('Исходные данные'!$J$2:$J$966,'Исходные данные'!$D$2:$D$966,BZ$1,'Исходные данные'!$F$2:$F$966,$A12)</f>
        <v>0</v>
      </c>
      <c r="CB12" s="9" t="n">
        <f aca="false">SUMIFS('Исходные данные'!$I$2:$I$966,'Исходные данные'!$D$2:$D$966,CB$1,'Исходные данные'!$F$2:$F$966,$A12)</f>
        <v>0</v>
      </c>
      <c r="CC12" s="9" t="n">
        <f aca="false">SUMIFS('Исходные данные'!$J$2:$J$966,'Исходные данные'!$D$2:$D$966,CB$1,'Исходные данные'!$F$2:$F$966,$A12)</f>
        <v>0</v>
      </c>
      <c r="CD12" s="9" t="n">
        <f aca="false">SUMIFS('Исходные данные'!$I$2:$I$966,'Исходные данные'!$D$2:$D$966,CD$1,'Исходные данные'!$F$2:$F$966,$A12)</f>
        <v>0</v>
      </c>
      <c r="CE12" s="9" t="n">
        <f aca="false">SUMIFS('Исходные данные'!$J$2:$J$966,'Исходные данные'!$D$2:$D$966,CD$1,'Исходные данные'!$F$2:$F$966,$A12)</f>
        <v>0</v>
      </c>
      <c r="CF12" s="9" t="n">
        <f aca="false">SUMIFS('Исходные данные'!$I$2:$I$966,'Исходные данные'!$D$2:$D$966,CF$1,'Исходные данные'!$F$2:$F$966,$A12)</f>
        <v>0</v>
      </c>
      <c r="CG12" s="9" t="n">
        <f aca="false">SUMIFS('Исходные данные'!$J$2:$J$966,'Исходные данные'!$D$2:$D$966,CF$1,'Исходные данные'!$F$2:$F$966,$A12)</f>
        <v>0</v>
      </c>
      <c r="CH12" s="9" t="n">
        <f aca="false">SUMIFS('Исходные данные'!$I$2:$I$966,'Исходные данные'!$D$2:$D$966,CH$1,'Исходные данные'!$F$2:$F$966,$A12)</f>
        <v>0</v>
      </c>
      <c r="CI12" s="9" t="n">
        <f aca="false">SUMIFS('Исходные данные'!$J$2:$J$966,'Исходные данные'!$D$2:$D$966,CH$1,'Исходные данные'!$F$2:$F$966,$A12)</f>
        <v>0</v>
      </c>
      <c r="CJ12" s="9" t="n">
        <f aca="false">SUMIFS('Исходные данные'!$I$2:$I$966,'Исходные данные'!$D$2:$D$966,CJ$1,'Исходные данные'!$F$2:$F$966,$A12)</f>
        <v>0</v>
      </c>
      <c r="CK12" s="9" t="n">
        <f aca="false">SUMIFS('Исходные данные'!$J$2:$J$966,'Исходные данные'!$D$2:$D$966,CJ$1,'Исходные данные'!$F$2:$F$966,$A12)</f>
        <v>0</v>
      </c>
      <c r="CL12" s="9" t="n">
        <f aca="false">SUMIFS('Исходные данные'!$I$2:$I$966,'Исходные данные'!$D$2:$D$966,CL$1,'Исходные данные'!$F$2:$F$966,$A12)</f>
        <v>0</v>
      </c>
      <c r="CM12" s="9" t="n">
        <f aca="false">SUMIFS('Исходные данные'!$J$2:$J$966,'Исходные данные'!$D$2:$D$966,CL$1,'Исходные данные'!$F$2:$F$966,$A12)</f>
        <v>0</v>
      </c>
      <c r="CN12" s="9" t="n">
        <f aca="false">SUMIFS('Исходные данные'!$I$2:$I$966,'Исходные данные'!$D$2:$D$966,CN$1,'Исходные данные'!$F$2:$F$966,$A12)</f>
        <v>0</v>
      </c>
      <c r="CO12" s="9" t="n">
        <f aca="false">SUMIFS('Исходные данные'!$J$2:$J$966,'Исходные данные'!$D$2:$D$966,CN$1,'Исходные данные'!$F$2:$F$966,$A12)</f>
        <v>0</v>
      </c>
      <c r="CP12" s="9" t="n">
        <f aca="false">SUMIFS('Исходные данные'!$I$2:$I$966,'Исходные данные'!$D$2:$D$966,CP$1,'Исходные данные'!$F$2:$F$966,$A12)</f>
        <v>0</v>
      </c>
      <c r="CQ12" s="9" t="n">
        <f aca="false">SUMIFS('Исходные данные'!$J$2:$J$966,'Исходные данные'!$D$2:$D$966,CP$1,'Исходные данные'!$F$2:$F$966,$A12)</f>
        <v>0</v>
      </c>
    </row>
    <row r="13" customFormat="false" ht="15" hidden="false" customHeight="false" outlineLevel="0" collapsed="false">
      <c r="A13" s="8" t="s">
        <v>73</v>
      </c>
      <c r="B13" s="9" t="s">
        <v>74</v>
      </c>
      <c r="C13" s="5" t="n">
        <v>217</v>
      </c>
      <c r="D13" s="5" t="n">
        <f aca="false">F13+G13</f>
        <v>217</v>
      </c>
      <c r="E13" s="5" t="n">
        <f aca="false">D13-C13</f>
        <v>0</v>
      </c>
      <c r="F13" s="5" t="n">
        <f aca="false">SUMIFS($H13:$CQ13,$H$2:$CQ$2,"День")</f>
        <v>166</v>
      </c>
      <c r="G13" s="5" t="n">
        <f aca="false">SUMIFS($H13:$CQ13,$H$2:$CQ$2,"Ночь")</f>
        <v>51</v>
      </c>
      <c r="H13" s="9" t="n">
        <f aca="false">SUMIFS('Исходные данные'!$I$2:$I$966,'Исходные данные'!$D$2:$D$966,H$1,'Исходные данные'!$F$2:$F$966,$A13)</f>
        <v>12</v>
      </c>
      <c r="I13" s="9" t="n">
        <f aca="false">SUMIFS('Исходные данные'!$J$2:$J$966,'Исходные данные'!$D$2:$D$966,H$1,'Исходные данные'!$F$2:$F$966,$A13)</f>
        <v>6</v>
      </c>
      <c r="J13" s="9" t="n">
        <f aca="false">SUMIFS('Исходные данные'!$I$2:$I$966,'Исходные данные'!$D$2:$D$966,J$1,'Исходные данные'!$F$2:$F$966,$A13)</f>
        <v>9</v>
      </c>
      <c r="K13" s="9" t="n">
        <f aca="false">SUMIFS('Исходные данные'!$J$2:$J$966,'Исходные данные'!$D$2:$D$966,J$1,'Исходные данные'!$F$2:$F$966,$A13)</f>
        <v>6</v>
      </c>
      <c r="L13" s="9" t="n">
        <f aca="false">SUMIFS('Исходные данные'!$I$2:$I$966,'Исходные данные'!$D$2:$D$966,L$1,'Исходные данные'!$F$2:$F$966,$A13)</f>
        <v>14</v>
      </c>
      <c r="M13" s="9" t="n">
        <f aca="false">SUMIFS('Исходные данные'!$J$2:$J$966,'Исходные данные'!$D$2:$D$966,L$1,'Исходные данные'!$F$2:$F$966,$A13)</f>
        <v>7</v>
      </c>
      <c r="N13" s="9" t="n">
        <f aca="false">SUMIFS('Исходные данные'!$I$2:$I$966,'Исходные данные'!$D$2:$D$966,N$1,'Исходные данные'!$F$2:$F$966,$A13)</f>
        <v>1</v>
      </c>
      <c r="O13" s="9" t="n">
        <f aca="false">SUMIFS('Исходные данные'!$J$2:$J$966,'Исходные данные'!$D$2:$D$966,N$1,'Исходные данные'!$F$2:$F$966,$A13)</f>
        <v>0</v>
      </c>
      <c r="P13" s="9" t="n">
        <f aca="false">SUMIFS('Исходные данные'!$I$2:$I$966,'Исходные данные'!$D$2:$D$966,P$1,'Исходные данные'!$F$2:$F$966,$A13)</f>
        <v>13</v>
      </c>
      <c r="Q13" s="9" t="n">
        <f aca="false">SUMIFS('Исходные данные'!$J$2:$J$966,'Исходные данные'!$D$2:$D$966,P$1,'Исходные данные'!$F$2:$F$966,$A13)</f>
        <v>1</v>
      </c>
      <c r="R13" s="9" t="n">
        <f aca="false">SUMIFS('Исходные данные'!$I$2:$I$966,'Исходные данные'!$D$2:$D$966,R$1,'Исходные данные'!$F$2:$F$966,$A13)</f>
        <v>17</v>
      </c>
      <c r="S13" s="9" t="n">
        <f aca="false">SUMIFS('Исходные данные'!$J$2:$J$966,'Исходные данные'!$D$2:$D$966,R$1,'Исходные данные'!$F$2:$F$966,$A13)</f>
        <v>4</v>
      </c>
      <c r="T13" s="9" t="n">
        <f aca="false">SUMIFS('Исходные данные'!$I$2:$I$966,'Исходные данные'!$D$2:$D$966,T$1,'Исходные данные'!$F$2:$F$966,$A13)</f>
        <v>6</v>
      </c>
      <c r="U13" s="9" t="n">
        <f aca="false">SUMIFS('Исходные данные'!$J$2:$J$966,'Исходные данные'!$D$2:$D$966,T$1,'Исходные данные'!$F$2:$F$966,$A13)</f>
        <v>0</v>
      </c>
      <c r="V13" s="9" t="n">
        <f aca="false">SUMIFS('Исходные данные'!$I$2:$I$966,'Исходные данные'!$D$2:$D$966,V$1,'Исходные данные'!$F$2:$F$966,$A13)</f>
        <v>4</v>
      </c>
      <c r="W13" s="9" t="n">
        <f aca="false">SUMIFS('Исходные данные'!$J$2:$J$966,'Исходные данные'!$D$2:$D$966,V$1,'Исходные данные'!$F$2:$F$966,$A13)</f>
        <v>0</v>
      </c>
      <c r="X13" s="9" t="n">
        <f aca="false">SUMIFS('Исходные данные'!$I$2:$I$966,'Исходные данные'!$D$2:$D$966,X$1,'Исходные данные'!$F$2:$F$966,$A13)</f>
        <v>3</v>
      </c>
      <c r="Y13" s="9" t="n">
        <f aca="false">SUMIFS('Исходные данные'!$J$2:$J$966,'Исходные данные'!$D$2:$D$966,X$1,'Исходные данные'!$F$2:$F$966,$A13)</f>
        <v>0</v>
      </c>
      <c r="Z13" s="9" t="n">
        <f aca="false">SUMIFS('Исходные данные'!$I$2:$I$966,'Исходные данные'!$D$2:$D$966,Z$1,'Исходные данные'!$F$2:$F$966,$A13)</f>
        <v>9</v>
      </c>
      <c r="AA13" s="9" t="n">
        <f aca="false">SUMIFS('Исходные данные'!$J$2:$J$966,'Исходные данные'!$D$2:$D$966,Z$1,'Исходные данные'!$F$2:$F$966,$A13)</f>
        <v>0</v>
      </c>
      <c r="AB13" s="9" t="n">
        <f aca="false">SUMIFS('Исходные данные'!$I$2:$I$966,'Исходные данные'!$D$2:$D$966,AB$1,'Исходные данные'!$F$2:$F$966,$A13)</f>
        <v>6</v>
      </c>
      <c r="AC13" s="9" t="n">
        <f aca="false">SUMIFS('Исходные данные'!$J$2:$J$966,'Исходные данные'!$D$2:$D$966,AB$1,'Исходные данные'!$F$2:$F$966,$A13)</f>
        <v>2</v>
      </c>
      <c r="AD13" s="9" t="n">
        <f aca="false">SUMIFS('Исходные данные'!$I$2:$I$966,'Исходные данные'!$D$2:$D$966,AD$1,'Исходные данные'!$F$2:$F$966,$A13)</f>
        <v>7</v>
      </c>
      <c r="AE13" s="9" t="n">
        <f aca="false">SUMIFS('Исходные данные'!$J$2:$J$966,'Исходные данные'!$D$2:$D$966,AD$1,'Исходные данные'!$F$2:$F$966,$A13)</f>
        <v>3</v>
      </c>
      <c r="AF13" s="9" t="n">
        <f aca="false">SUMIFS('Исходные данные'!$I$2:$I$966,'Исходные данные'!$D$2:$D$966,AF$1,'Исходные данные'!$F$2:$F$966,$A13)</f>
        <v>1</v>
      </c>
      <c r="AG13" s="9" t="n">
        <f aca="false">SUMIFS('Исходные данные'!$J$2:$J$966,'Исходные данные'!$D$2:$D$966,AF$1,'Исходные данные'!$F$2:$F$966,$A13)</f>
        <v>0</v>
      </c>
      <c r="AH13" s="9" t="n">
        <f aca="false">SUMIFS('Исходные данные'!$I$2:$I$966,'Исходные данные'!$D$2:$D$966,AH$1,'Исходные данные'!$F$2:$F$966,$A13)</f>
        <v>14</v>
      </c>
      <c r="AI13" s="9" t="n">
        <f aca="false">SUMIFS('Исходные данные'!$J$2:$J$966,'Исходные данные'!$D$2:$D$966,AH$1,'Исходные данные'!$F$2:$F$966,$A13)</f>
        <v>9</v>
      </c>
      <c r="AJ13" s="9" t="n">
        <f aca="false">SUMIFS('Исходные данные'!$I$2:$I$966,'Исходные данные'!$D$2:$D$966,AJ$1,'Исходные данные'!$F$2:$F$966,$A13)</f>
        <v>5</v>
      </c>
      <c r="AK13" s="9" t="n">
        <f aca="false">SUMIFS('Исходные данные'!$J$2:$J$966,'Исходные данные'!$D$2:$D$966,AJ$1,'Исходные данные'!$F$2:$F$966,$A13)</f>
        <v>3</v>
      </c>
      <c r="AL13" s="9" t="n">
        <f aca="false">SUMIFS('Исходные данные'!$I$2:$I$966,'Исходные данные'!$D$2:$D$966,AL$1,'Исходные данные'!$F$2:$F$966,$A13)</f>
        <v>2</v>
      </c>
      <c r="AM13" s="9" t="n">
        <f aca="false">SUMIFS('Исходные данные'!$J$2:$J$966,'Исходные данные'!$D$2:$D$966,AL$1,'Исходные данные'!$F$2:$F$966,$A13)</f>
        <v>1</v>
      </c>
      <c r="AN13" s="9" t="n">
        <f aca="false">SUMIFS('Исходные данные'!$I$2:$I$966,'Исходные данные'!$D$2:$D$966,AN$1,'Исходные данные'!$F$2:$F$966,$A13)</f>
        <v>5</v>
      </c>
      <c r="AO13" s="9" t="n">
        <f aca="false">SUMIFS('Исходные данные'!$J$2:$J$966,'Исходные данные'!$D$2:$D$966,AN$1,'Исходные данные'!$F$2:$F$966,$A13)</f>
        <v>2</v>
      </c>
      <c r="AP13" s="9" t="n">
        <f aca="false">SUMIFS('Исходные данные'!$I$2:$I$966,'Исходные данные'!$D$2:$D$966,AP$1,'Исходные данные'!$F$2:$F$966,$A13)</f>
        <v>6</v>
      </c>
      <c r="AQ13" s="9" t="n">
        <f aca="false">SUMIFS('Исходные данные'!$J$2:$J$966,'Исходные данные'!$D$2:$D$966,AP$1,'Исходные данные'!$F$2:$F$966,$A13)</f>
        <v>4</v>
      </c>
      <c r="AR13" s="9" t="n">
        <f aca="false">SUMIFS('Исходные данные'!$I$2:$I$966,'Исходные данные'!$D$2:$D$966,AR$1,'Исходные данные'!$F$2:$F$966,$A13)</f>
        <v>7</v>
      </c>
      <c r="AS13" s="9" t="n">
        <f aca="false">SUMIFS('Исходные данные'!$J$2:$J$966,'Исходные данные'!$D$2:$D$966,AR$1,'Исходные данные'!$F$2:$F$966,$A13)</f>
        <v>1</v>
      </c>
      <c r="AT13" s="9" t="n">
        <f aca="false">SUMIFS('Исходные данные'!$I$2:$I$966,'Исходные данные'!$D$2:$D$966,AT$1,'Исходные данные'!$F$2:$F$966,$A13)</f>
        <v>2</v>
      </c>
      <c r="AU13" s="9" t="n">
        <f aca="false">SUMIFS('Исходные данные'!$J$2:$J$966,'Исходные данные'!$D$2:$D$966,AT$1,'Исходные данные'!$F$2:$F$966,$A13)</f>
        <v>0</v>
      </c>
      <c r="AV13" s="9" t="n">
        <f aca="false">SUMIFS('Исходные данные'!$I$2:$I$966,'Исходные данные'!$D$2:$D$966,AV$1,'Исходные данные'!$F$2:$F$966,$A13)</f>
        <v>1</v>
      </c>
      <c r="AW13" s="9" t="n">
        <f aca="false">SUMIFS('Исходные данные'!$J$2:$J$966,'Исходные данные'!$D$2:$D$966,AV$1,'Исходные данные'!$F$2:$F$966,$A13)</f>
        <v>0</v>
      </c>
      <c r="AX13" s="9" t="n">
        <f aca="false">SUMIFS('Исходные данные'!$I$2:$I$966,'Исходные данные'!$D$2:$D$966,AX$1,'Исходные данные'!$F$2:$F$966,$A13)</f>
        <v>3</v>
      </c>
      <c r="AY13" s="9" t="n">
        <f aca="false">SUMIFS('Исходные данные'!$J$2:$J$966,'Исходные данные'!$D$2:$D$966,AX$1,'Исходные данные'!$F$2:$F$966,$A13)</f>
        <v>0</v>
      </c>
      <c r="AZ13" s="9" t="n">
        <f aca="false">SUMIFS('Исходные данные'!$I$2:$I$966,'Исходные данные'!$D$2:$D$966,AZ$1,'Исходные данные'!$F$2:$F$966,$A13)</f>
        <v>5</v>
      </c>
      <c r="BA13" s="9" t="n">
        <f aca="false">SUMIFS('Исходные данные'!$J$2:$J$966,'Исходные данные'!$D$2:$D$966,AZ$1,'Исходные данные'!$F$2:$F$966,$A13)</f>
        <v>0</v>
      </c>
      <c r="BB13" s="9" t="n">
        <f aca="false">SUMIFS('Исходные данные'!$I$2:$I$966,'Исходные данные'!$D$2:$D$966,BB$1,'Исходные данные'!$F$2:$F$966,$A13)</f>
        <v>5</v>
      </c>
      <c r="BC13" s="9" t="n">
        <f aca="false">SUMIFS('Исходные данные'!$J$2:$J$966,'Исходные данные'!$D$2:$D$966,BB$1,'Исходные данные'!$F$2:$F$966,$A13)</f>
        <v>1</v>
      </c>
      <c r="BD13" s="9" t="n">
        <f aca="false">SUMIFS('Исходные данные'!$I$2:$I$966,'Исходные данные'!$D$2:$D$966,BD$1,'Исходные данные'!$F$2:$F$966,$A13)</f>
        <v>0</v>
      </c>
      <c r="BE13" s="9" t="n">
        <f aca="false">SUMIFS('Исходные данные'!$J$2:$J$966,'Исходные данные'!$D$2:$D$966,BD$1,'Исходные данные'!$F$2:$F$966,$A13)</f>
        <v>0</v>
      </c>
      <c r="BF13" s="9" t="n">
        <f aca="false">SUMIFS('Исходные данные'!$I$2:$I$966,'Исходные данные'!$D$2:$D$966,BF$1,'Исходные данные'!$F$2:$F$966,$A13)</f>
        <v>2</v>
      </c>
      <c r="BG13" s="9" t="n">
        <f aca="false">SUMIFS('Исходные данные'!$J$2:$J$966,'Исходные данные'!$D$2:$D$966,BF$1,'Исходные данные'!$F$2:$F$966,$A13)</f>
        <v>0</v>
      </c>
      <c r="BH13" s="9" t="n">
        <f aca="false">SUMIFS('Исходные данные'!$I$2:$I$966,'Исходные данные'!$D$2:$D$966,BH$1,'Исходные данные'!$F$2:$F$966,$A13)</f>
        <v>0</v>
      </c>
      <c r="BI13" s="9" t="n">
        <f aca="false">SUMIFS('Исходные данные'!$J$2:$J$966,'Исходные данные'!$D$2:$D$966,BH$1,'Исходные данные'!$F$2:$F$966,$A13)</f>
        <v>0</v>
      </c>
      <c r="BJ13" s="9" t="n">
        <f aca="false">SUMIFS('Исходные данные'!$I$2:$I$966,'Исходные данные'!$D$2:$D$966,BJ$1,'Исходные данные'!$F$2:$F$966,$A13)</f>
        <v>2</v>
      </c>
      <c r="BK13" s="9" t="n">
        <f aca="false">SUMIFS('Исходные данные'!$J$2:$J$966,'Исходные данные'!$D$2:$D$966,BJ$1,'Исходные данные'!$F$2:$F$966,$A13)</f>
        <v>0</v>
      </c>
      <c r="BL13" s="9" t="n">
        <f aca="false">SUMIFS('Исходные данные'!$I$2:$I$966,'Исходные данные'!$D$2:$D$966,BL$1,'Исходные данные'!$F$2:$F$966,$A13)</f>
        <v>0</v>
      </c>
      <c r="BM13" s="9" t="n">
        <f aca="false">SUMIFS('Исходные данные'!$J$2:$J$966,'Исходные данные'!$D$2:$D$966,BL$1,'Исходные данные'!$F$2:$F$966,$A13)</f>
        <v>0</v>
      </c>
      <c r="BN13" s="9" t="n">
        <f aca="false">SUMIFS('Исходные данные'!$I$2:$I$966,'Исходные данные'!$D$2:$D$966,BN$1,'Исходные данные'!$F$2:$F$966,$A13)</f>
        <v>0</v>
      </c>
      <c r="BO13" s="9" t="n">
        <f aca="false">SUMIFS('Исходные данные'!$J$2:$J$966,'Исходные данные'!$D$2:$D$966,BN$1,'Исходные данные'!$F$2:$F$966,$A13)</f>
        <v>0</v>
      </c>
      <c r="BP13" s="9" t="n">
        <f aca="false">SUMIFS('Исходные данные'!$I$2:$I$966,'Исходные данные'!$D$2:$D$966,BP$1,'Исходные данные'!$F$2:$F$966,$A13)</f>
        <v>0</v>
      </c>
      <c r="BQ13" s="9" t="n">
        <f aca="false">SUMIFS('Исходные данные'!$J$2:$J$966,'Исходные данные'!$D$2:$D$966,BP$1,'Исходные данные'!$F$2:$F$966,$A13)</f>
        <v>0</v>
      </c>
      <c r="BR13" s="9" t="n">
        <f aca="false">SUMIFS('Исходные данные'!$I$2:$I$966,'Исходные данные'!$D$2:$D$966,BR$1,'Исходные данные'!$F$2:$F$966,$A13)</f>
        <v>1</v>
      </c>
      <c r="BS13" s="9" t="n">
        <f aca="false">SUMIFS('Исходные данные'!$J$2:$J$966,'Исходные данные'!$D$2:$D$966,BR$1,'Исходные данные'!$F$2:$F$966,$A13)</f>
        <v>0</v>
      </c>
      <c r="BT13" s="9" t="n">
        <f aca="false">SUMIFS('Исходные данные'!$I$2:$I$966,'Исходные данные'!$D$2:$D$966,BT$1,'Исходные данные'!$F$2:$F$966,$A13)</f>
        <v>1</v>
      </c>
      <c r="BU13" s="9" t="n">
        <f aca="false">SUMIFS('Исходные данные'!$J$2:$J$966,'Исходные данные'!$D$2:$D$966,BT$1,'Исходные данные'!$F$2:$F$966,$A13)</f>
        <v>0</v>
      </c>
      <c r="BV13" s="9" t="n">
        <f aca="false">SUMIFS('Исходные данные'!$I$2:$I$966,'Исходные данные'!$D$2:$D$966,BV$1,'Исходные данные'!$F$2:$F$966,$A13)</f>
        <v>0</v>
      </c>
      <c r="BW13" s="9" t="n">
        <f aca="false">SUMIFS('Исходные данные'!$J$2:$J$966,'Исходные данные'!$D$2:$D$966,BV$1,'Исходные данные'!$F$2:$F$966,$A13)</f>
        <v>0</v>
      </c>
      <c r="BX13" s="9" t="n">
        <f aca="false">SUMIFS('Исходные данные'!$I$2:$I$966,'Исходные данные'!$D$2:$D$966,BX$1,'Исходные данные'!$F$2:$F$966,$A13)</f>
        <v>0</v>
      </c>
      <c r="BY13" s="9" t="n">
        <f aca="false">SUMIFS('Исходные данные'!$J$2:$J$966,'Исходные данные'!$D$2:$D$966,BX$1,'Исходные данные'!$F$2:$F$966,$A13)</f>
        <v>0</v>
      </c>
      <c r="BZ13" s="9" t="n">
        <f aca="false">SUMIFS('Исходные данные'!$I$2:$I$966,'Исходные данные'!$D$2:$D$966,BZ$1,'Исходные данные'!$F$2:$F$966,$A13)</f>
        <v>0</v>
      </c>
      <c r="CA13" s="9" t="n">
        <f aca="false">SUMIFS('Исходные данные'!$J$2:$J$966,'Исходные данные'!$D$2:$D$966,BZ$1,'Исходные данные'!$F$2:$F$966,$A13)</f>
        <v>0</v>
      </c>
      <c r="CB13" s="9" t="n">
        <f aca="false">SUMIFS('Исходные данные'!$I$2:$I$966,'Исходные данные'!$D$2:$D$966,CB$1,'Исходные данные'!$F$2:$F$966,$A13)</f>
        <v>0</v>
      </c>
      <c r="CC13" s="9" t="n">
        <f aca="false">SUMIFS('Исходные данные'!$J$2:$J$966,'Исходные данные'!$D$2:$D$966,CB$1,'Исходные данные'!$F$2:$F$966,$A13)</f>
        <v>0</v>
      </c>
      <c r="CD13" s="9" t="n">
        <f aca="false">SUMIFS('Исходные данные'!$I$2:$I$966,'Исходные данные'!$D$2:$D$966,CD$1,'Исходные данные'!$F$2:$F$966,$A13)</f>
        <v>1</v>
      </c>
      <c r="CE13" s="9" t="n">
        <f aca="false">SUMIFS('Исходные данные'!$J$2:$J$966,'Исходные данные'!$D$2:$D$966,CD$1,'Исходные данные'!$F$2:$F$966,$A13)</f>
        <v>0</v>
      </c>
      <c r="CF13" s="9" t="n">
        <f aca="false">SUMIFS('Исходные данные'!$I$2:$I$966,'Исходные данные'!$D$2:$D$966,CF$1,'Исходные данные'!$F$2:$F$966,$A13)</f>
        <v>1</v>
      </c>
      <c r="CG13" s="9" t="n">
        <f aca="false">SUMIFS('Исходные данные'!$J$2:$J$966,'Исходные данные'!$D$2:$D$966,CF$1,'Исходные данные'!$F$2:$F$966,$A13)</f>
        <v>1</v>
      </c>
      <c r="CH13" s="9" t="n">
        <f aca="false">SUMIFS('Исходные данные'!$I$2:$I$966,'Исходные данные'!$D$2:$D$966,CH$1,'Исходные данные'!$F$2:$F$966,$A13)</f>
        <v>0</v>
      </c>
      <c r="CI13" s="9" t="n">
        <f aca="false">SUMIFS('Исходные данные'!$J$2:$J$966,'Исходные данные'!$D$2:$D$966,CH$1,'Исходные данные'!$F$2:$F$966,$A13)</f>
        <v>0</v>
      </c>
      <c r="CJ13" s="9" t="n">
        <f aca="false">SUMIFS('Исходные данные'!$I$2:$I$966,'Исходные данные'!$D$2:$D$966,CJ$1,'Исходные данные'!$F$2:$F$966,$A13)</f>
        <v>0</v>
      </c>
      <c r="CK13" s="9" t="n">
        <f aca="false">SUMIFS('Исходные данные'!$J$2:$J$966,'Исходные данные'!$D$2:$D$966,CJ$1,'Исходные данные'!$F$2:$F$966,$A13)</f>
        <v>0</v>
      </c>
      <c r="CL13" s="9" t="n">
        <f aca="false">SUMIFS('Исходные данные'!$I$2:$I$966,'Исходные данные'!$D$2:$D$966,CL$1,'Исходные данные'!$F$2:$F$966,$A13)</f>
        <v>0</v>
      </c>
      <c r="CM13" s="9" t="n">
        <f aca="false">SUMIFS('Исходные данные'!$J$2:$J$966,'Исходные данные'!$D$2:$D$966,CL$1,'Исходные данные'!$F$2:$F$966,$A13)</f>
        <v>0</v>
      </c>
      <c r="CN13" s="9" t="n">
        <f aca="false">SUMIFS('Исходные данные'!$I$2:$I$966,'Исходные данные'!$D$2:$D$966,CN$1,'Исходные данные'!$F$2:$F$966,$A13)</f>
        <v>0</v>
      </c>
      <c r="CO13" s="9" t="n">
        <f aca="false">SUMIFS('Исходные данные'!$J$2:$J$966,'Исходные данные'!$D$2:$D$966,CN$1,'Исходные данные'!$F$2:$F$966,$A13)</f>
        <v>0</v>
      </c>
      <c r="CP13" s="9" t="n">
        <f aca="false">SUMIFS('Исходные данные'!$I$2:$I$966,'Исходные данные'!$D$2:$D$966,CP$1,'Исходные данные'!$F$2:$F$966,$A13)</f>
        <v>1</v>
      </c>
      <c r="CQ13" s="9" t="n">
        <f aca="false">SUMIFS('Исходные данные'!$J$2:$J$966,'Исходные данные'!$D$2:$D$966,CP$1,'Исходные данные'!$F$2:$F$966,$A13)</f>
        <v>0</v>
      </c>
    </row>
    <row r="14" customFormat="false" ht="15" hidden="false" customHeight="false" outlineLevel="0" collapsed="false">
      <c r="A14" s="8" t="s">
        <v>75</v>
      </c>
      <c r="B14" s="9" t="s">
        <v>76</v>
      </c>
      <c r="C14" s="5" t="n">
        <v>60</v>
      </c>
      <c r="D14" s="5" t="n">
        <f aca="false">F14+G14</f>
        <v>61</v>
      </c>
      <c r="E14" s="5" t="n">
        <f aca="false">D14-C14</f>
        <v>1</v>
      </c>
      <c r="F14" s="5" t="n">
        <f aca="false">SUMIFS($H14:$CQ14,$H$2:$CQ$2,"День")</f>
        <v>55</v>
      </c>
      <c r="G14" s="5" t="n">
        <f aca="false">SUMIFS($H14:$CQ14,$H$2:$CQ$2,"Ночь")</f>
        <v>6</v>
      </c>
      <c r="H14" s="9" t="n">
        <f aca="false">SUMIFS('Исходные данные'!$I$2:$I$966,'Исходные данные'!$D$2:$D$966,H$1,'Исходные данные'!$F$2:$F$966,$A14)</f>
        <v>8</v>
      </c>
      <c r="I14" s="9" t="n">
        <f aca="false">SUMIFS('Исходные данные'!$J$2:$J$966,'Исходные данные'!$D$2:$D$966,H$1,'Исходные данные'!$F$2:$F$966,$A14)</f>
        <v>2</v>
      </c>
      <c r="J14" s="9" t="n">
        <f aca="false">SUMIFS('Исходные данные'!$I$2:$I$966,'Исходные данные'!$D$2:$D$966,J$1,'Исходные данные'!$F$2:$F$966,$A14)</f>
        <v>8</v>
      </c>
      <c r="K14" s="9" t="n">
        <f aca="false">SUMIFS('Исходные данные'!$J$2:$J$966,'Исходные данные'!$D$2:$D$966,J$1,'Исходные данные'!$F$2:$F$966,$A14)</f>
        <v>0</v>
      </c>
      <c r="L14" s="9" t="n">
        <f aca="false">SUMIFS('Исходные данные'!$I$2:$I$966,'Исходные данные'!$D$2:$D$966,L$1,'Исходные данные'!$F$2:$F$966,$A14)</f>
        <v>8</v>
      </c>
      <c r="M14" s="9" t="n">
        <f aca="false">SUMIFS('Исходные данные'!$J$2:$J$966,'Исходные данные'!$D$2:$D$966,L$1,'Исходные данные'!$F$2:$F$966,$A14)</f>
        <v>0</v>
      </c>
      <c r="N14" s="9" t="n">
        <f aca="false">SUMIFS('Исходные данные'!$I$2:$I$966,'Исходные данные'!$D$2:$D$966,N$1,'Исходные данные'!$F$2:$F$966,$A14)</f>
        <v>0</v>
      </c>
      <c r="O14" s="9" t="n">
        <f aca="false">SUMIFS('Исходные данные'!$J$2:$J$966,'Исходные данные'!$D$2:$D$966,N$1,'Исходные данные'!$F$2:$F$966,$A14)</f>
        <v>0</v>
      </c>
      <c r="P14" s="9" t="n">
        <f aca="false">SUMIFS('Исходные данные'!$I$2:$I$966,'Исходные данные'!$D$2:$D$966,P$1,'Исходные данные'!$F$2:$F$966,$A14)</f>
        <v>0</v>
      </c>
      <c r="Q14" s="9" t="n">
        <f aca="false">SUMIFS('Исходные данные'!$J$2:$J$966,'Исходные данные'!$D$2:$D$966,P$1,'Исходные данные'!$F$2:$F$966,$A14)</f>
        <v>0</v>
      </c>
      <c r="R14" s="9" t="n">
        <f aca="false">SUMIFS('Исходные данные'!$I$2:$I$966,'Исходные данные'!$D$2:$D$966,R$1,'Исходные данные'!$F$2:$F$966,$A14)</f>
        <v>1</v>
      </c>
      <c r="S14" s="9" t="n">
        <f aca="false">SUMIFS('Исходные данные'!$J$2:$J$966,'Исходные данные'!$D$2:$D$966,R$1,'Исходные данные'!$F$2:$F$966,$A14)</f>
        <v>0</v>
      </c>
      <c r="T14" s="9" t="n">
        <f aca="false">SUMIFS('Исходные данные'!$I$2:$I$966,'Исходные данные'!$D$2:$D$966,T$1,'Исходные данные'!$F$2:$F$966,$A14)</f>
        <v>1</v>
      </c>
      <c r="U14" s="9" t="n">
        <f aca="false">SUMIFS('Исходные данные'!$J$2:$J$966,'Исходные данные'!$D$2:$D$966,T$1,'Исходные данные'!$F$2:$F$966,$A14)</f>
        <v>0</v>
      </c>
      <c r="V14" s="9" t="n">
        <f aca="false">SUMIFS('Исходные данные'!$I$2:$I$966,'Исходные данные'!$D$2:$D$966,V$1,'Исходные данные'!$F$2:$F$966,$A14)</f>
        <v>2</v>
      </c>
      <c r="W14" s="9" t="n">
        <f aca="false">SUMIFS('Исходные данные'!$J$2:$J$966,'Исходные данные'!$D$2:$D$966,V$1,'Исходные данные'!$F$2:$F$966,$A14)</f>
        <v>0</v>
      </c>
      <c r="X14" s="9" t="n">
        <f aca="false">SUMIFS('Исходные данные'!$I$2:$I$966,'Исходные данные'!$D$2:$D$966,X$1,'Исходные данные'!$F$2:$F$966,$A14)</f>
        <v>0</v>
      </c>
      <c r="Y14" s="9" t="n">
        <f aca="false">SUMIFS('Исходные данные'!$J$2:$J$966,'Исходные данные'!$D$2:$D$966,X$1,'Исходные данные'!$F$2:$F$966,$A14)</f>
        <v>0</v>
      </c>
      <c r="Z14" s="9" t="n">
        <f aca="false">SUMIFS('Исходные данные'!$I$2:$I$966,'Исходные данные'!$D$2:$D$966,Z$1,'Исходные данные'!$F$2:$F$966,$A14)</f>
        <v>0</v>
      </c>
      <c r="AA14" s="9" t="n">
        <f aca="false">SUMIFS('Исходные данные'!$J$2:$J$966,'Исходные данные'!$D$2:$D$966,Z$1,'Исходные данные'!$F$2:$F$966,$A14)</f>
        <v>0</v>
      </c>
      <c r="AB14" s="9" t="n">
        <f aca="false">SUMIFS('Исходные данные'!$I$2:$I$966,'Исходные данные'!$D$2:$D$966,AB$1,'Исходные данные'!$F$2:$F$966,$A14)</f>
        <v>1</v>
      </c>
      <c r="AC14" s="9" t="n">
        <f aca="false">SUMIFS('Исходные данные'!$J$2:$J$966,'Исходные данные'!$D$2:$D$966,AB$1,'Исходные данные'!$F$2:$F$966,$A14)</f>
        <v>0</v>
      </c>
      <c r="AD14" s="9" t="n">
        <f aca="false">SUMIFS('Исходные данные'!$I$2:$I$966,'Исходные данные'!$D$2:$D$966,AD$1,'Исходные данные'!$F$2:$F$966,$A14)</f>
        <v>0</v>
      </c>
      <c r="AE14" s="9" t="n">
        <f aca="false">SUMIFS('Исходные данные'!$J$2:$J$966,'Исходные данные'!$D$2:$D$966,AD$1,'Исходные данные'!$F$2:$F$966,$A14)</f>
        <v>0</v>
      </c>
      <c r="AF14" s="9" t="n">
        <f aca="false">SUMIFS('Исходные данные'!$I$2:$I$966,'Исходные данные'!$D$2:$D$966,AF$1,'Исходные данные'!$F$2:$F$966,$A14)</f>
        <v>1</v>
      </c>
      <c r="AG14" s="9" t="n">
        <f aca="false">SUMIFS('Исходные данные'!$J$2:$J$966,'Исходные данные'!$D$2:$D$966,AF$1,'Исходные данные'!$F$2:$F$966,$A14)</f>
        <v>0</v>
      </c>
      <c r="AH14" s="9" t="n">
        <f aca="false">SUMIFS('Исходные данные'!$I$2:$I$966,'Исходные данные'!$D$2:$D$966,AH$1,'Исходные данные'!$F$2:$F$966,$A14)</f>
        <v>0</v>
      </c>
      <c r="AI14" s="9" t="n">
        <f aca="false">SUMIFS('Исходные данные'!$J$2:$J$966,'Исходные данные'!$D$2:$D$966,AH$1,'Исходные данные'!$F$2:$F$966,$A14)</f>
        <v>0</v>
      </c>
      <c r="AJ14" s="9" t="n">
        <f aca="false">SUMIFS('Исходные данные'!$I$2:$I$966,'Исходные данные'!$D$2:$D$966,AJ$1,'Исходные данные'!$F$2:$F$966,$A14)</f>
        <v>0</v>
      </c>
      <c r="AK14" s="9" t="n">
        <f aca="false">SUMIFS('Исходные данные'!$J$2:$J$966,'Исходные данные'!$D$2:$D$966,AJ$1,'Исходные данные'!$F$2:$F$966,$A14)</f>
        <v>0</v>
      </c>
      <c r="AL14" s="9" t="n">
        <f aca="false">SUMIFS('Исходные данные'!$I$2:$I$966,'Исходные данные'!$D$2:$D$966,AL$1,'Исходные данные'!$F$2:$F$966,$A14)</f>
        <v>6</v>
      </c>
      <c r="AM14" s="9" t="n">
        <f aca="false">SUMIFS('Исходные данные'!$J$2:$J$966,'Исходные данные'!$D$2:$D$966,AL$1,'Исходные данные'!$F$2:$F$966,$A14)</f>
        <v>0</v>
      </c>
      <c r="AN14" s="9" t="n">
        <f aca="false">SUMIFS('Исходные данные'!$I$2:$I$966,'Исходные данные'!$D$2:$D$966,AN$1,'Исходные данные'!$F$2:$F$966,$A14)</f>
        <v>0</v>
      </c>
      <c r="AO14" s="9" t="n">
        <f aca="false">SUMIFS('Исходные данные'!$J$2:$J$966,'Исходные данные'!$D$2:$D$966,AN$1,'Исходные данные'!$F$2:$F$966,$A14)</f>
        <v>0</v>
      </c>
      <c r="AP14" s="9" t="n">
        <f aca="false">SUMIFS('Исходные данные'!$I$2:$I$966,'Исходные данные'!$D$2:$D$966,AP$1,'Исходные данные'!$F$2:$F$966,$A14)</f>
        <v>0</v>
      </c>
      <c r="AQ14" s="9" t="n">
        <f aca="false">SUMIFS('Исходные данные'!$J$2:$J$966,'Исходные данные'!$D$2:$D$966,AP$1,'Исходные данные'!$F$2:$F$966,$A14)</f>
        <v>0</v>
      </c>
      <c r="AR14" s="9" t="n">
        <f aca="false">SUMIFS('Исходные данные'!$I$2:$I$966,'Исходные данные'!$D$2:$D$966,AR$1,'Исходные данные'!$F$2:$F$966,$A14)</f>
        <v>0</v>
      </c>
      <c r="AS14" s="9" t="n">
        <f aca="false">SUMIFS('Исходные данные'!$J$2:$J$966,'Исходные данные'!$D$2:$D$966,AR$1,'Исходные данные'!$F$2:$F$966,$A14)</f>
        <v>0</v>
      </c>
      <c r="AT14" s="9" t="n">
        <f aca="false">SUMIFS('Исходные данные'!$I$2:$I$966,'Исходные данные'!$D$2:$D$966,AT$1,'Исходные данные'!$F$2:$F$966,$A14)</f>
        <v>0</v>
      </c>
      <c r="AU14" s="9" t="n">
        <f aca="false">SUMIFS('Исходные данные'!$J$2:$J$966,'Исходные данные'!$D$2:$D$966,AT$1,'Исходные данные'!$F$2:$F$966,$A14)</f>
        <v>0</v>
      </c>
      <c r="AV14" s="9" t="n">
        <f aca="false">SUMIFS('Исходные данные'!$I$2:$I$966,'Исходные данные'!$D$2:$D$966,AV$1,'Исходные данные'!$F$2:$F$966,$A14)</f>
        <v>1</v>
      </c>
      <c r="AW14" s="9" t="n">
        <f aca="false">SUMIFS('Исходные данные'!$J$2:$J$966,'Исходные данные'!$D$2:$D$966,AV$1,'Исходные данные'!$F$2:$F$966,$A14)</f>
        <v>0</v>
      </c>
      <c r="AX14" s="9" t="n">
        <f aca="false">SUMIFS('Исходные данные'!$I$2:$I$966,'Исходные данные'!$D$2:$D$966,AX$1,'Исходные данные'!$F$2:$F$966,$A14)</f>
        <v>0</v>
      </c>
      <c r="AY14" s="9" t="n">
        <f aca="false">SUMIFS('Исходные данные'!$J$2:$J$966,'Исходные данные'!$D$2:$D$966,AX$1,'Исходные данные'!$F$2:$F$966,$A14)</f>
        <v>0</v>
      </c>
      <c r="AZ14" s="9" t="n">
        <f aca="false">SUMIFS('Исходные данные'!$I$2:$I$966,'Исходные данные'!$D$2:$D$966,AZ$1,'Исходные данные'!$F$2:$F$966,$A14)</f>
        <v>2</v>
      </c>
      <c r="BA14" s="9" t="n">
        <f aca="false">SUMIFS('Исходные данные'!$J$2:$J$966,'Исходные данные'!$D$2:$D$966,AZ$1,'Исходные данные'!$F$2:$F$966,$A14)</f>
        <v>0</v>
      </c>
      <c r="BB14" s="9" t="n">
        <f aca="false">SUMIFS('Исходные данные'!$I$2:$I$966,'Исходные данные'!$D$2:$D$966,BB$1,'Исходные данные'!$F$2:$F$966,$A14)</f>
        <v>0</v>
      </c>
      <c r="BC14" s="9" t="n">
        <f aca="false">SUMIFS('Исходные данные'!$J$2:$J$966,'Исходные данные'!$D$2:$D$966,BB$1,'Исходные данные'!$F$2:$F$966,$A14)</f>
        <v>0</v>
      </c>
      <c r="BD14" s="9" t="n">
        <f aca="false">SUMIFS('Исходные данные'!$I$2:$I$966,'Исходные данные'!$D$2:$D$966,BD$1,'Исходные данные'!$F$2:$F$966,$A14)</f>
        <v>2</v>
      </c>
      <c r="BE14" s="9" t="n">
        <f aca="false">SUMIFS('Исходные данные'!$J$2:$J$966,'Исходные данные'!$D$2:$D$966,BD$1,'Исходные данные'!$F$2:$F$966,$A14)</f>
        <v>1</v>
      </c>
      <c r="BF14" s="9" t="n">
        <f aca="false">SUMIFS('Исходные данные'!$I$2:$I$966,'Исходные данные'!$D$2:$D$966,BF$1,'Исходные данные'!$F$2:$F$966,$A14)</f>
        <v>0</v>
      </c>
      <c r="BG14" s="9" t="n">
        <f aca="false">SUMIFS('Исходные данные'!$J$2:$J$966,'Исходные данные'!$D$2:$D$966,BF$1,'Исходные данные'!$F$2:$F$966,$A14)</f>
        <v>0</v>
      </c>
      <c r="BH14" s="9" t="n">
        <f aca="false">SUMIFS('Исходные данные'!$I$2:$I$966,'Исходные данные'!$D$2:$D$966,BH$1,'Исходные данные'!$F$2:$F$966,$A14)</f>
        <v>2</v>
      </c>
      <c r="BI14" s="9" t="n">
        <f aca="false">SUMIFS('Исходные данные'!$J$2:$J$966,'Исходные данные'!$D$2:$D$966,BH$1,'Исходные данные'!$F$2:$F$966,$A14)</f>
        <v>0</v>
      </c>
      <c r="BJ14" s="9" t="n">
        <f aca="false">SUMIFS('Исходные данные'!$I$2:$I$966,'Исходные данные'!$D$2:$D$966,BJ$1,'Исходные данные'!$F$2:$F$966,$A14)</f>
        <v>0</v>
      </c>
      <c r="BK14" s="9" t="n">
        <f aca="false">SUMIFS('Исходные данные'!$J$2:$J$966,'Исходные данные'!$D$2:$D$966,BJ$1,'Исходные данные'!$F$2:$F$966,$A14)</f>
        <v>0</v>
      </c>
      <c r="BL14" s="9" t="n">
        <f aca="false">SUMIFS('Исходные данные'!$I$2:$I$966,'Исходные данные'!$D$2:$D$966,BL$1,'Исходные данные'!$F$2:$F$966,$A14)</f>
        <v>0</v>
      </c>
      <c r="BM14" s="9" t="n">
        <f aca="false">SUMIFS('Исходные данные'!$J$2:$J$966,'Исходные данные'!$D$2:$D$966,BL$1,'Исходные данные'!$F$2:$F$966,$A14)</f>
        <v>0</v>
      </c>
      <c r="BN14" s="9" t="n">
        <f aca="false">SUMIFS('Исходные данные'!$I$2:$I$966,'Исходные данные'!$D$2:$D$966,BN$1,'Исходные данные'!$F$2:$F$966,$A14)</f>
        <v>2</v>
      </c>
      <c r="BO14" s="9" t="n">
        <f aca="false">SUMIFS('Исходные данные'!$J$2:$J$966,'Исходные данные'!$D$2:$D$966,BN$1,'Исходные данные'!$F$2:$F$966,$A14)</f>
        <v>0</v>
      </c>
      <c r="BP14" s="9" t="n">
        <f aca="false">SUMIFS('Исходные данные'!$I$2:$I$966,'Исходные данные'!$D$2:$D$966,BP$1,'Исходные данные'!$F$2:$F$966,$A14)</f>
        <v>1</v>
      </c>
      <c r="BQ14" s="9" t="n">
        <f aca="false">SUMIFS('Исходные данные'!$J$2:$J$966,'Исходные данные'!$D$2:$D$966,BP$1,'Исходные данные'!$F$2:$F$966,$A14)</f>
        <v>0</v>
      </c>
      <c r="BR14" s="9" t="n">
        <f aca="false">SUMIFS('Исходные данные'!$I$2:$I$966,'Исходные данные'!$D$2:$D$966,BR$1,'Исходные данные'!$F$2:$F$966,$A14)</f>
        <v>0</v>
      </c>
      <c r="BS14" s="9" t="n">
        <f aca="false">SUMIFS('Исходные данные'!$J$2:$J$966,'Исходные данные'!$D$2:$D$966,BR$1,'Исходные данные'!$F$2:$F$966,$A14)</f>
        <v>0</v>
      </c>
      <c r="BT14" s="9" t="n">
        <f aca="false">SUMIFS('Исходные данные'!$I$2:$I$966,'Исходные данные'!$D$2:$D$966,BT$1,'Исходные данные'!$F$2:$F$966,$A14)</f>
        <v>0</v>
      </c>
      <c r="BU14" s="9" t="n">
        <f aca="false">SUMIFS('Исходные данные'!$J$2:$J$966,'Исходные данные'!$D$2:$D$966,BT$1,'Исходные данные'!$F$2:$F$966,$A14)</f>
        <v>0</v>
      </c>
      <c r="BV14" s="9" t="n">
        <f aca="false">SUMIFS('Исходные данные'!$I$2:$I$966,'Исходные данные'!$D$2:$D$966,BV$1,'Исходные данные'!$F$2:$F$966,$A14)</f>
        <v>4</v>
      </c>
      <c r="BW14" s="9" t="n">
        <f aca="false">SUMIFS('Исходные данные'!$J$2:$J$966,'Исходные данные'!$D$2:$D$966,BV$1,'Исходные данные'!$F$2:$F$966,$A14)</f>
        <v>1</v>
      </c>
      <c r="BX14" s="9" t="n">
        <f aca="false">SUMIFS('Исходные данные'!$I$2:$I$966,'Исходные данные'!$D$2:$D$966,BX$1,'Исходные данные'!$F$2:$F$966,$A14)</f>
        <v>0</v>
      </c>
      <c r="BY14" s="9" t="n">
        <f aca="false">SUMIFS('Исходные данные'!$J$2:$J$966,'Исходные данные'!$D$2:$D$966,BX$1,'Исходные данные'!$F$2:$F$966,$A14)</f>
        <v>0</v>
      </c>
      <c r="BZ14" s="9" t="n">
        <f aca="false">SUMIFS('Исходные данные'!$I$2:$I$966,'Исходные данные'!$D$2:$D$966,BZ$1,'Исходные данные'!$F$2:$F$966,$A14)</f>
        <v>0</v>
      </c>
      <c r="CA14" s="9" t="n">
        <f aca="false">SUMIFS('Исходные данные'!$J$2:$J$966,'Исходные данные'!$D$2:$D$966,BZ$1,'Исходные данные'!$F$2:$F$966,$A14)</f>
        <v>0</v>
      </c>
      <c r="CB14" s="9" t="n">
        <f aca="false">SUMIFS('Исходные данные'!$I$2:$I$966,'Исходные данные'!$D$2:$D$966,CB$1,'Исходные данные'!$F$2:$F$966,$A14)</f>
        <v>3</v>
      </c>
      <c r="CC14" s="9" t="n">
        <f aca="false">SUMIFS('Исходные данные'!$J$2:$J$966,'Исходные данные'!$D$2:$D$966,CB$1,'Исходные данные'!$F$2:$F$966,$A14)</f>
        <v>1</v>
      </c>
      <c r="CD14" s="9" t="n">
        <f aca="false">SUMIFS('Исходные данные'!$I$2:$I$966,'Исходные данные'!$D$2:$D$966,CD$1,'Исходные данные'!$F$2:$F$966,$A14)</f>
        <v>0</v>
      </c>
      <c r="CE14" s="9" t="n">
        <f aca="false">SUMIFS('Исходные данные'!$J$2:$J$966,'Исходные данные'!$D$2:$D$966,CD$1,'Исходные данные'!$F$2:$F$966,$A14)</f>
        <v>0</v>
      </c>
      <c r="CF14" s="9" t="n">
        <f aca="false">SUMIFS('Исходные данные'!$I$2:$I$966,'Исходные данные'!$D$2:$D$966,CF$1,'Исходные данные'!$F$2:$F$966,$A14)</f>
        <v>0</v>
      </c>
      <c r="CG14" s="9" t="n">
        <f aca="false">SUMIFS('Исходные данные'!$J$2:$J$966,'Исходные данные'!$D$2:$D$966,CF$1,'Исходные данные'!$F$2:$F$966,$A14)</f>
        <v>0</v>
      </c>
      <c r="CH14" s="9" t="n">
        <f aca="false">SUMIFS('Исходные данные'!$I$2:$I$966,'Исходные данные'!$D$2:$D$966,CH$1,'Исходные данные'!$F$2:$F$966,$A14)</f>
        <v>0</v>
      </c>
      <c r="CI14" s="9" t="n">
        <f aca="false">SUMIFS('Исходные данные'!$J$2:$J$966,'Исходные данные'!$D$2:$D$966,CH$1,'Исходные данные'!$F$2:$F$966,$A14)</f>
        <v>0</v>
      </c>
      <c r="CJ14" s="9" t="n">
        <f aca="false">SUMIFS('Исходные данные'!$I$2:$I$966,'Исходные данные'!$D$2:$D$966,CJ$1,'Исходные данные'!$F$2:$F$966,$A14)</f>
        <v>1</v>
      </c>
      <c r="CK14" s="9" t="n">
        <f aca="false">SUMIFS('Исходные данные'!$J$2:$J$966,'Исходные данные'!$D$2:$D$966,CJ$1,'Исходные данные'!$F$2:$F$966,$A14)</f>
        <v>0</v>
      </c>
      <c r="CL14" s="9" t="n">
        <f aca="false">SUMIFS('Исходные данные'!$I$2:$I$966,'Исходные данные'!$D$2:$D$966,CL$1,'Исходные данные'!$F$2:$F$966,$A14)</f>
        <v>0</v>
      </c>
      <c r="CM14" s="9" t="n">
        <f aca="false">SUMIFS('Исходные данные'!$J$2:$J$966,'Исходные данные'!$D$2:$D$966,CL$1,'Исходные данные'!$F$2:$F$966,$A14)</f>
        <v>1</v>
      </c>
      <c r="CN14" s="9" t="n">
        <f aca="false">SUMIFS('Исходные данные'!$I$2:$I$966,'Исходные данные'!$D$2:$D$966,CN$1,'Исходные данные'!$F$2:$F$966,$A14)</f>
        <v>1</v>
      </c>
      <c r="CO14" s="9" t="n">
        <f aca="false">SUMIFS('Исходные данные'!$J$2:$J$966,'Исходные данные'!$D$2:$D$966,CN$1,'Исходные данные'!$F$2:$F$966,$A14)</f>
        <v>0</v>
      </c>
      <c r="CP14" s="9" t="n">
        <f aca="false">SUMIFS('Исходные данные'!$I$2:$I$966,'Исходные данные'!$D$2:$D$966,CP$1,'Исходные данные'!$F$2:$F$966,$A14)</f>
        <v>0</v>
      </c>
      <c r="CQ14" s="9" t="n">
        <f aca="false">SUMIFS('Исходные данные'!$J$2:$J$966,'Исходные данные'!$D$2:$D$966,CP$1,'Исходные данные'!$F$2:$F$966,$A14)</f>
        <v>0</v>
      </c>
    </row>
    <row r="15" customFormat="false" ht="15" hidden="false" customHeight="false" outlineLevel="0" collapsed="false">
      <c r="A15" s="8" t="s">
        <v>77</v>
      </c>
      <c r="B15" s="9" t="s">
        <v>78</v>
      </c>
      <c r="C15" s="5" t="n">
        <v>5</v>
      </c>
      <c r="D15" s="5" t="n">
        <f aca="false">F15+G15</f>
        <v>6</v>
      </c>
      <c r="E15" s="5" t="n">
        <f aca="false">D15-C15</f>
        <v>1</v>
      </c>
      <c r="F15" s="5" t="n">
        <f aca="false">SUMIFS($H15:$CQ15,$H$2:$CQ$2,"День")</f>
        <v>6</v>
      </c>
      <c r="G15" s="5" t="n">
        <f aca="false">SUMIFS($H15:$CQ15,$H$2:$CQ$2,"Ночь")</f>
        <v>0</v>
      </c>
      <c r="H15" s="9" t="n">
        <f aca="false">SUMIFS('Исходные данные'!$I$2:$I$966,'Исходные данные'!$D$2:$D$966,H$1,'Исходные данные'!$F$2:$F$966,$A15)</f>
        <v>0</v>
      </c>
      <c r="I15" s="9" t="n">
        <f aca="false">SUMIFS('Исходные данные'!$J$2:$J$966,'Исходные данные'!$D$2:$D$966,H$1,'Исходные данные'!$F$2:$F$966,$A15)</f>
        <v>0</v>
      </c>
      <c r="J15" s="9" t="n">
        <f aca="false">SUMIFS('Исходные данные'!$I$2:$I$966,'Исходные данные'!$D$2:$D$966,J$1,'Исходные данные'!$F$2:$F$966,$A15)</f>
        <v>0</v>
      </c>
      <c r="K15" s="9" t="n">
        <f aca="false">SUMIFS('Исходные данные'!$J$2:$J$966,'Исходные данные'!$D$2:$D$966,J$1,'Исходные данные'!$F$2:$F$966,$A15)</f>
        <v>0</v>
      </c>
      <c r="L15" s="9" t="n">
        <f aca="false">SUMIFS('Исходные данные'!$I$2:$I$966,'Исходные данные'!$D$2:$D$966,L$1,'Исходные данные'!$F$2:$F$966,$A15)</f>
        <v>0</v>
      </c>
      <c r="M15" s="9" t="n">
        <f aca="false">SUMIFS('Исходные данные'!$J$2:$J$966,'Исходные данные'!$D$2:$D$966,L$1,'Исходные данные'!$F$2:$F$966,$A15)</f>
        <v>0</v>
      </c>
      <c r="N15" s="9" t="n">
        <f aca="false">SUMIFS('Исходные данные'!$I$2:$I$966,'Исходные данные'!$D$2:$D$966,N$1,'Исходные данные'!$F$2:$F$966,$A15)</f>
        <v>0</v>
      </c>
      <c r="O15" s="9" t="n">
        <f aca="false">SUMIFS('Исходные данные'!$J$2:$J$966,'Исходные данные'!$D$2:$D$966,N$1,'Исходные данные'!$F$2:$F$966,$A15)</f>
        <v>0</v>
      </c>
      <c r="P15" s="9" t="n">
        <f aca="false">SUMIFS('Исходные данные'!$I$2:$I$966,'Исходные данные'!$D$2:$D$966,P$1,'Исходные данные'!$F$2:$F$966,$A15)</f>
        <v>0</v>
      </c>
      <c r="Q15" s="9" t="n">
        <f aca="false">SUMIFS('Исходные данные'!$J$2:$J$966,'Исходные данные'!$D$2:$D$966,P$1,'Исходные данные'!$F$2:$F$966,$A15)</f>
        <v>0</v>
      </c>
      <c r="R15" s="9" t="n">
        <f aca="false">SUMIFS('Исходные данные'!$I$2:$I$966,'Исходные данные'!$D$2:$D$966,R$1,'Исходные данные'!$F$2:$F$966,$A15)</f>
        <v>0</v>
      </c>
      <c r="S15" s="9" t="n">
        <f aca="false">SUMIFS('Исходные данные'!$J$2:$J$966,'Исходные данные'!$D$2:$D$966,R$1,'Исходные данные'!$F$2:$F$966,$A15)</f>
        <v>0</v>
      </c>
      <c r="T15" s="9" t="n">
        <f aca="false">SUMIFS('Исходные данные'!$I$2:$I$966,'Исходные данные'!$D$2:$D$966,T$1,'Исходные данные'!$F$2:$F$966,$A15)</f>
        <v>0</v>
      </c>
      <c r="U15" s="9" t="n">
        <f aca="false">SUMIFS('Исходные данные'!$J$2:$J$966,'Исходные данные'!$D$2:$D$966,T$1,'Исходные данные'!$F$2:$F$966,$A15)</f>
        <v>0</v>
      </c>
      <c r="V15" s="9" t="n">
        <f aca="false">SUMIFS('Исходные данные'!$I$2:$I$966,'Исходные данные'!$D$2:$D$966,V$1,'Исходные данные'!$F$2:$F$966,$A15)</f>
        <v>0</v>
      </c>
      <c r="W15" s="9" t="n">
        <f aca="false">SUMIFS('Исходные данные'!$J$2:$J$966,'Исходные данные'!$D$2:$D$966,V$1,'Исходные данные'!$F$2:$F$966,$A15)</f>
        <v>0</v>
      </c>
      <c r="X15" s="9" t="n">
        <f aca="false">SUMIFS('Исходные данные'!$I$2:$I$966,'Исходные данные'!$D$2:$D$966,X$1,'Исходные данные'!$F$2:$F$966,$A15)</f>
        <v>4</v>
      </c>
      <c r="Y15" s="9" t="n">
        <f aca="false">SUMIFS('Исходные данные'!$J$2:$J$966,'Исходные данные'!$D$2:$D$966,X$1,'Исходные данные'!$F$2:$F$966,$A15)</f>
        <v>0</v>
      </c>
      <c r="Z15" s="9" t="n">
        <f aca="false">SUMIFS('Исходные данные'!$I$2:$I$966,'Исходные данные'!$D$2:$D$966,Z$1,'Исходные данные'!$F$2:$F$966,$A15)</f>
        <v>0</v>
      </c>
      <c r="AA15" s="9" t="n">
        <f aca="false">SUMIFS('Исходные данные'!$J$2:$J$966,'Исходные данные'!$D$2:$D$966,Z$1,'Исходные данные'!$F$2:$F$966,$A15)</f>
        <v>0</v>
      </c>
      <c r="AB15" s="9" t="n">
        <f aca="false">SUMIFS('Исходные данные'!$I$2:$I$966,'Исходные данные'!$D$2:$D$966,AB$1,'Исходные данные'!$F$2:$F$966,$A15)</f>
        <v>0</v>
      </c>
      <c r="AC15" s="9" t="n">
        <f aca="false">SUMIFS('Исходные данные'!$J$2:$J$966,'Исходные данные'!$D$2:$D$966,AB$1,'Исходные данные'!$F$2:$F$966,$A15)</f>
        <v>0</v>
      </c>
      <c r="AD15" s="9" t="n">
        <f aca="false">SUMIFS('Исходные данные'!$I$2:$I$966,'Исходные данные'!$D$2:$D$966,AD$1,'Исходные данные'!$F$2:$F$966,$A15)</f>
        <v>0</v>
      </c>
      <c r="AE15" s="9" t="n">
        <f aca="false">SUMIFS('Исходные данные'!$J$2:$J$966,'Исходные данные'!$D$2:$D$966,AD$1,'Исходные данные'!$F$2:$F$966,$A15)</f>
        <v>0</v>
      </c>
      <c r="AF15" s="9" t="n">
        <f aca="false">SUMIFS('Исходные данные'!$I$2:$I$966,'Исходные данные'!$D$2:$D$966,AF$1,'Исходные данные'!$F$2:$F$966,$A15)</f>
        <v>0</v>
      </c>
      <c r="AG15" s="9" t="n">
        <f aca="false">SUMIFS('Исходные данные'!$J$2:$J$966,'Исходные данные'!$D$2:$D$966,AF$1,'Исходные данные'!$F$2:$F$966,$A15)</f>
        <v>0</v>
      </c>
      <c r="AH15" s="9" t="n">
        <f aca="false">SUMIFS('Исходные данные'!$I$2:$I$966,'Исходные данные'!$D$2:$D$966,AH$1,'Исходные данные'!$F$2:$F$966,$A15)</f>
        <v>1</v>
      </c>
      <c r="AI15" s="9" t="n">
        <f aca="false">SUMIFS('Исходные данные'!$J$2:$J$966,'Исходные данные'!$D$2:$D$966,AH$1,'Исходные данные'!$F$2:$F$966,$A15)</f>
        <v>0</v>
      </c>
      <c r="AJ15" s="9" t="n">
        <f aca="false">SUMIFS('Исходные данные'!$I$2:$I$966,'Исходные данные'!$D$2:$D$966,AJ$1,'Исходные данные'!$F$2:$F$966,$A15)</f>
        <v>0</v>
      </c>
      <c r="AK15" s="9" t="n">
        <f aca="false">SUMIFS('Исходные данные'!$J$2:$J$966,'Исходные данные'!$D$2:$D$966,AJ$1,'Исходные данные'!$F$2:$F$966,$A15)</f>
        <v>0</v>
      </c>
      <c r="AL15" s="9" t="n">
        <f aca="false">SUMIFS('Исходные данные'!$I$2:$I$966,'Исходные данные'!$D$2:$D$966,AL$1,'Исходные данные'!$F$2:$F$966,$A15)</f>
        <v>0</v>
      </c>
      <c r="AM15" s="9" t="n">
        <f aca="false">SUMIFS('Исходные данные'!$J$2:$J$966,'Исходные данные'!$D$2:$D$966,AL$1,'Исходные данные'!$F$2:$F$966,$A15)</f>
        <v>0</v>
      </c>
      <c r="AN15" s="9" t="n">
        <f aca="false">SUMIFS('Исходные данные'!$I$2:$I$966,'Исходные данные'!$D$2:$D$966,AN$1,'Исходные данные'!$F$2:$F$966,$A15)</f>
        <v>0</v>
      </c>
      <c r="AO15" s="9" t="n">
        <f aca="false">SUMIFS('Исходные данные'!$J$2:$J$966,'Исходные данные'!$D$2:$D$966,AN$1,'Исходные данные'!$F$2:$F$966,$A15)</f>
        <v>0</v>
      </c>
      <c r="AP15" s="9" t="n">
        <f aca="false">SUMIFS('Исходные данные'!$I$2:$I$966,'Исходные данные'!$D$2:$D$966,AP$1,'Исходные данные'!$F$2:$F$966,$A15)</f>
        <v>0</v>
      </c>
      <c r="AQ15" s="9" t="n">
        <f aca="false">SUMIFS('Исходные данные'!$J$2:$J$966,'Исходные данные'!$D$2:$D$966,AP$1,'Исходные данные'!$F$2:$F$966,$A15)</f>
        <v>0</v>
      </c>
      <c r="AR15" s="9" t="n">
        <f aca="false">SUMIFS('Исходные данные'!$I$2:$I$966,'Исходные данные'!$D$2:$D$966,AR$1,'Исходные данные'!$F$2:$F$966,$A15)</f>
        <v>0</v>
      </c>
      <c r="AS15" s="9" t="n">
        <f aca="false">SUMIFS('Исходные данные'!$J$2:$J$966,'Исходные данные'!$D$2:$D$966,AR$1,'Исходные данные'!$F$2:$F$966,$A15)</f>
        <v>0</v>
      </c>
      <c r="AT15" s="9" t="n">
        <f aca="false">SUMIFS('Исходные данные'!$I$2:$I$966,'Исходные данные'!$D$2:$D$966,AT$1,'Исходные данные'!$F$2:$F$966,$A15)</f>
        <v>0</v>
      </c>
      <c r="AU15" s="9" t="n">
        <f aca="false">SUMIFS('Исходные данные'!$J$2:$J$966,'Исходные данные'!$D$2:$D$966,AT$1,'Исходные данные'!$F$2:$F$966,$A15)</f>
        <v>0</v>
      </c>
      <c r="AV15" s="9" t="n">
        <f aca="false">SUMIFS('Исходные данные'!$I$2:$I$966,'Исходные данные'!$D$2:$D$966,AV$1,'Исходные данные'!$F$2:$F$966,$A15)</f>
        <v>0</v>
      </c>
      <c r="AW15" s="9" t="n">
        <f aca="false">SUMIFS('Исходные данные'!$J$2:$J$966,'Исходные данные'!$D$2:$D$966,AV$1,'Исходные данные'!$F$2:$F$966,$A15)</f>
        <v>0</v>
      </c>
      <c r="AX15" s="9" t="n">
        <f aca="false">SUMIFS('Исходные данные'!$I$2:$I$966,'Исходные данные'!$D$2:$D$966,AX$1,'Исходные данные'!$F$2:$F$966,$A15)</f>
        <v>0</v>
      </c>
      <c r="AY15" s="9" t="n">
        <f aca="false">SUMIFS('Исходные данные'!$J$2:$J$966,'Исходные данные'!$D$2:$D$966,AX$1,'Исходные данные'!$F$2:$F$966,$A15)</f>
        <v>0</v>
      </c>
      <c r="AZ15" s="9" t="n">
        <f aca="false">SUMIFS('Исходные данные'!$I$2:$I$966,'Исходные данные'!$D$2:$D$966,AZ$1,'Исходные данные'!$F$2:$F$966,$A15)</f>
        <v>0</v>
      </c>
      <c r="BA15" s="9" t="n">
        <f aca="false">SUMIFS('Исходные данные'!$J$2:$J$966,'Исходные данные'!$D$2:$D$966,AZ$1,'Исходные данные'!$F$2:$F$966,$A15)</f>
        <v>0</v>
      </c>
      <c r="BB15" s="9" t="n">
        <f aca="false">SUMIFS('Исходные данные'!$I$2:$I$966,'Исходные данные'!$D$2:$D$966,BB$1,'Исходные данные'!$F$2:$F$966,$A15)</f>
        <v>0</v>
      </c>
      <c r="BC15" s="9" t="n">
        <f aca="false">SUMIFS('Исходные данные'!$J$2:$J$966,'Исходные данные'!$D$2:$D$966,BB$1,'Исходные данные'!$F$2:$F$966,$A15)</f>
        <v>0</v>
      </c>
      <c r="BD15" s="9" t="n">
        <f aca="false">SUMIFS('Исходные данные'!$I$2:$I$966,'Исходные данные'!$D$2:$D$966,BD$1,'Исходные данные'!$F$2:$F$966,$A15)</f>
        <v>0</v>
      </c>
      <c r="BE15" s="9" t="n">
        <f aca="false">SUMIFS('Исходные данные'!$J$2:$J$966,'Исходные данные'!$D$2:$D$966,BD$1,'Исходные данные'!$F$2:$F$966,$A15)</f>
        <v>0</v>
      </c>
      <c r="BF15" s="9" t="n">
        <f aca="false">SUMIFS('Исходные данные'!$I$2:$I$966,'Исходные данные'!$D$2:$D$966,BF$1,'Исходные данные'!$F$2:$F$966,$A15)</f>
        <v>0</v>
      </c>
      <c r="BG15" s="9" t="n">
        <f aca="false">SUMIFS('Исходные данные'!$J$2:$J$966,'Исходные данные'!$D$2:$D$966,BF$1,'Исходные данные'!$F$2:$F$966,$A15)</f>
        <v>0</v>
      </c>
      <c r="BH15" s="9" t="n">
        <f aca="false">SUMIFS('Исходные данные'!$I$2:$I$966,'Исходные данные'!$D$2:$D$966,BH$1,'Исходные данные'!$F$2:$F$966,$A15)</f>
        <v>0</v>
      </c>
      <c r="BI15" s="9" t="n">
        <f aca="false">SUMIFS('Исходные данные'!$J$2:$J$966,'Исходные данные'!$D$2:$D$966,BH$1,'Исходные данные'!$F$2:$F$966,$A15)</f>
        <v>0</v>
      </c>
      <c r="BJ15" s="9" t="n">
        <f aca="false">SUMIFS('Исходные данные'!$I$2:$I$966,'Исходные данные'!$D$2:$D$966,BJ$1,'Исходные данные'!$F$2:$F$966,$A15)</f>
        <v>0</v>
      </c>
      <c r="BK15" s="9" t="n">
        <f aca="false">SUMIFS('Исходные данные'!$J$2:$J$966,'Исходные данные'!$D$2:$D$966,BJ$1,'Исходные данные'!$F$2:$F$966,$A15)</f>
        <v>0</v>
      </c>
      <c r="BL15" s="9" t="n">
        <f aca="false">SUMIFS('Исходные данные'!$I$2:$I$966,'Исходные данные'!$D$2:$D$966,BL$1,'Исходные данные'!$F$2:$F$966,$A15)</f>
        <v>1</v>
      </c>
      <c r="BM15" s="9" t="n">
        <f aca="false">SUMIFS('Исходные данные'!$J$2:$J$966,'Исходные данные'!$D$2:$D$966,BL$1,'Исходные данные'!$F$2:$F$966,$A15)</f>
        <v>0</v>
      </c>
      <c r="BN15" s="9" t="n">
        <f aca="false">SUMIFS('Исходные данные'!$I$2:$I$966,'Исходные данные'!$D$2:$D$966,BN$1,'Исходные данные'!$F$2:$F$966,$A15)</f>
        <v>0</v>
      </c>
      <c r="BO15" s="9" t="n">
        <f aca="false">SUMIFS('Исходные данные'!$J$2:$J$966,'Исходные данные'!$D$2:$D$966,BN$1,'Исходные данные'!$F$2:$F$966,$A15)</f>
        <v>0</v>
      </c>
      <c r="BP15" s="9" t="n">
        <f aca="false">SUMIFS('Исходные данные'!$I$2:$I$966,'Исходные данные'!$D$2:$D$966,BP$1,'Исходные данные'!$F$2:$F$966,$A15)</f>
        <v>0</v>
      </c>
      <c r="BQ15" s="9" t="n">
        <f aca="false">SUMIFS('Исходные данные'!$J$2:$J$966,'Исходные данные'!$D$2:$D$966,BP$1,'Исходные данные'!$F$2:$F$966,$A15)</f>
        <v>0</v>
      </c>
      <c r="BR15" s="9" t="n">
        <f aca="false">SUMIFS('Исходные данные'!$I$2:$I$966,'Исходные данные'!$D$2:$D$966,BR$1,'Исходные данные'!$F$2:$F$966,$A15)</f>
        <v>0</v>
      </c>
      <c r="BS15" s="9" t="n">
        <f aca="false">SUMIFS('Исходные данные'!$J$2:$J$966,'Исходные данные'!$D$2:$D$966,BR$1,'Исходные данные'!$F$2:$F$966,$A15)</f>
        <v>0</v>
      </c>
      <c r="BT15" s="9" t="n">
        <f aca="false">SUMIFS('Исходные данные'!$I$2:$I$966,'Исходные данные'!$D$2:$D$966,BT$1,'Исходные данные'!$F$2:$F$966,$A15)</f>
        <v>0</v>
      </c>
      <c r="BU15" s="9" t="n">
        <f aca="false">SUMIFS('Исходные данные'!$J$2:$J$966,'Исходные данные'!$D$2:$D$966,BT$1,'Исходные данные'!$F$2:$F$966,$A15)</f>
        <v>0</v>
      </c>
      <c r="BV15" s="9" t="n">
        <f aca="false">SUMIFS('Исходные данные'!$I$2:$I$966,'Исходные данные'!$D$2:$D$966,BV$1,'Исходные данные'!$F$2:$F$966,$A15)</f>
        <v>0</v>
      </c>
      <c r="BW15" s="9" t="n">
        <f aca="false">SUMIFS('Исходные данные'!$J$2:$J$966,'Исходные данные'!$D$2:$D$966,BV$1,'Исходные данные'!$F$2:$F$966,$A15)</f>
        <v>0</v>
      </c>
      <c r="BX15" s="9" t="n">
        <f aca="false">SUMIFS('Исходные данные'!$I$2:$I$966,'Исходные данные'!$D$2:$D$966,BX$1,'Исходные данные'!$F$2:$F$966,$A15)</f>
        <v>0</v>
      </c>
      <c r="BY15" s="9" t="n">
        <f aca="false">SUMIFS('Исходные данные'!$J$2:$J$966,'Исходные данные'!$D$2:$D$966,BX$1,'Исходные данные'!$F$2:$F$966,$A15)</f>
        <v>0</v>
      </c>
      <c r="BZ15" s="9" t="n">
        <f aca="false">SUMIFS('Исходные данные'!$I$2:$I$966,'Исходные данные'!$D$2:$D$966,BZ$1,'Исходные данные'!$F$2:$F$966,$A15)</f>
        <v>0</v>
      </c>
      <c r="CA15" s="9" t="n">
        <f aca="false">SUMIFS('Исходные данные'!$J$2:$J$966,'Исходные данные'!$D$2:$D$966,BZ$1,'Исходные данные'!$F$2:$F$966,$A15)</f>
        <v>0</v>
      </c>
      <c r="CB15" s="9" t="n">
        <f aca="false">SUMIFS('Исходные данные'!$I$2:$I$966,'Исходные данные'!$D$2:$D$966,CB$1,'Исходные данные'!$F$2:$F$966,$A15)</f>
        <v>0</v>
      </c>
      <c r="CC15" s="9" t="n">
        <f aca="false">SUMIFS('Исходные данные'!$J$2:$J$966,'Исходные данные'!$D$2:$D$966,CB$1,'Исходные данные'!$F$2:$F$966,$A15)</f>
        <v>0</v>
      </c>
      <c r="CD15" s="9" t="n">
        <f aca="false">SUMIFS('Исходные данные'!$I$2:$I$966,'Исходные данные'!$D$2:$D$966,CD$1,'Исходные данные'!$F$2:$F$966,$A15)</f>
        <v>0</v>
      </c>
      <c r="CE15" s="9" t="n">
        <f aca="false">SUMIFS('Исходные данные'!$J$2:$J$966,'Исходные данные'!$D$2:$D$966,CD$1,'Исходные данные'!$F$2:$F$966,$A15)</f>
        <v>0</v>
      </c>
      <c r="CF15" s="9" t="n">
        <f aca="false">SUMIFS('Исходные данные'!$I$2:$I$966,'Исходные данные'!$D$2:$D$966,CF$1,'Исходные данные'!$F$2:$F$966,$A15)</f>
        <v>0</v>
      </c>
      <c r="CG15" s="9" t="n">
        <f aca="false">SUMIFS('Исходные данные'!$J$2:$J$966,'Исходные данные'!$D$2:$D$966,CF$1,'Исходные данные'!$F$2:$F$966,$A15)</f>
        <v>0</v>
      </c>
      <c r="CH15" s="9" t="n">
        <f aca="false">SUMIFS('Исходные данные'!$I$2:$I$966,'Исходные данные'!$D$2:$D$966,CH$1,'Исходные данные'!$F$2:$F$966,$A15)</f>
        <v>0</v>
      </c>
      <c r="CI15" s="9" t="n">
        <f aca="false">SUMIFS('Исходные данные'!$J$2:$J$966,'Исходные данные'!$D$2:$D$966,CH$1,'Исходные данные'!$F$2:$F$966,$A15)</f>
        <v>0</v>
      </c>
      <c r="CJ15" s="9" t="n">
        <f aca="false">SUMIFS('Исходные данные'!$I$2:$I$966,'Исходные данные'!$D$2:$D$966,CJ$1,'Исходные данные'!$F$2:$F$966,$A15)</f>
        <v>0</v>
      </c>
      <c r="CK15" s="9" t="n">
        <f aca="false">SUMIFS('Исходные данные'!$J$2:$J$966,'Исходные данные'!$D$2:$D$966,CJ$1,'Исходные данные'!$F$2:$F$966,$A15)</f>
        <v>0</v>
      </c>
      <c r="CL15" s="9" t="n">
        <f aca="false">SUMIFS('Исходные данные'!$I$2:$I$966,'Исходные данные'!$D$2:$D$966,CL$1,'Исходные данные'!$F$2:$F$966,$A15)</f>
        <v>0</v>
      </c>
      <c r="CM15" s="9" t="n">
        <f aca="false">SUMIFS('Исходные данные'!$J$2:$J$966,'Исходные данные'!$D$2:$D$966,CL$1,'Исходные данные'!$F$2:$F$966,$A15)</f>
        <v>0</v>
      </c>
      <c r="CN15" s="9" t="n">
        <f aca="false">SUMIFS('Исходные данные'!$I$2:$I$966,'Исходные данные'!$D$2:$D$966,CN$1,'Исходные данные'!$F$2:$F$966,$A15)</f>
        <v>0</v>
      </c>
      <c r="CO15" s="9" t="n">
        <f aca="false">SUMIFS('Исходные данные'!$J$2:$J$966,'Исходные данные'!$D$2:$D$966,CN$1,'Исходные данные'!$F$2:$F$966,$A15)</f>
        <v>0</v>
      </c>
      <c r="CP15" s="9" t="n">
        <f aca="false">SUMIFS('Исходные данные'!$I$2:$I$966,'Исходные данные'!$D$2:$D$966,CP$1,'Исходные данные'!$F$2:$F$966,$A15)</f>
        <v>0</v>
      </c>
      <c r="CQ15" s="9" t="n">
        <f aca="false">SUMIFS('Исходные данные'!$J$2:$J$966,'Исходные данные'!$D$2:$D$966,CP$1,'Исходные данные'!$F$2:$F$966,$A15)</f>
        <v>0</v>
      </c>
    </row>
    <row r="16" customFormat="false" ht="15" hidden="false" customHeight="false" outlineLevel="0" collapsed="false">
      <c r="A16" s="8" t="s">
        <v>79</v>
      </c>
      <c r="B16" s="9" t="s">
        <v>80</v>
      </c>
      <c r="C16" s="5" t="n">
        <v>2</v>
      </c>
      <c r="D16" s="5" t="n">
        <f aca="false">F16+G16</f>
        <v>2</v>
      </c>
      <c r="E16" s="5" t="n">
        <f aca="false">D16-C16</f>
        <v>0</v>
      </c>
      <c r="F16" s="5" t="n">
        <f aca="false">SUMIFS($H16:$CQ16,$H$2:$CQ$2,"День")</f>
        <v>2</v>
      </c>
      <c r="G16" s="5" t="n">
        <f aca="false">SUMIFS($H16:$CQ16,$H$2:$CQ$2,"Ночь")</f>
        <v>0</v>
      </c>
      <c r="H16" s="9" t="n">
        <f aca="false">SUMIFS('Исходные данные'!$I$2:$I$966,'Исходные данные'!$D$2:$D$966,H$1,'Исходные данные'!$F$2:$F$966,$A16)</f>
        <v>0</v>
      </c>
      <c r="I16" s="9" t="n">
        <f aca="false">SUMIFS('Исходные данные'!$J$2:$J$966,'Исходные данные'!$D$2:$D$966,H$1,'Исходные данные'!$F$2:$F$966,$A16)</f>
        <v>0</v>
      </c>
      <c r="J16" s="9" t="n">
        <f aca="false">SUMIFS('Исходные данные'!$I$2:$I$966,'Исходные данные'!$D$2:$D$966,J$1,'Исходные данные'!$F$2:$F$966,$A16)</f>
        <v>0</v>
      </c>
      <c r="K16" s="9" t="n">
        <f aca="false">SUMIFS('Исходные данные'!$J$2:$J$966,'Исходные данные'!$D$2:$D$966,J$1,'Исходные данные'!$F$2:$F$966,$A16)</f>
        <v>0</v>
      </c>
      <c r="L16" s="9" t="n">
        <f aca="false">SUMIFS('Исходные данные'!$I$2:$I$966,'Исходные данные'!$D$2:$D$966,L$1,'Исходные данные'!$F$2:$F$966,$A16)</f>
        <v>0</v>
      </c>
      <c r="M16" s="9" t="n">
        <f aca="false">SUMIFS('Исходные данные'!$J$2:$J$966,'Исходные данные'!$D$2:$D$966,L$1,'Исходные данные'!$F$2:$F$966,$A16)</f>
        <v>0</v>
      </c>
      <c r="N16" s="9" t="n">
        <f aca="false">SUMIFS('Исходные данные'!$I$2:$I$966,'Исходные данные'!$D$2:$D$966,N$1,'Исходные данные'!$F$2:$F$966,$A16)</f>
        <v>0</v>
      </c>
      <c r="O16" s="9" t="n">
        <f aca="false">SUMIFS('Исходные данные'!$J$2:$J$966,'Исходные данные'!$D$2:$D$966,N$1,'Исходные данные'!$F$2:$F$966,$A16)</f>
        <v>0</v>
      </c>
      <c r="P16" s="9" t="n">
        <f aca="false">SUMIFS('Исходные данные'!$I$2:$I$966,'Исходные данные'!$D$2:$D$966,P$1,'Исходные данные'!$F$2:$F$966,$A16)</f>
        <v>0</v>
      </c>
      <c r="Q16" s="9" t="n">
        <f aca="false">SUMIFS('Исходные данные'!$J$2:$J$966,'Исходные данные'!$D$2:$D$966,P$1,'Исходные данные'!$F$2:$F$966,$A16)</f>
        <v>0</v>
      </c>
      <c r="R16" s="9" t="n">
        <f aca="false">SUMIFS('Исходные данные'!$I$2:$I$966,'Исходные данные'!$D$2:$D$966,R$1,'Исходные данные'!$F$2:$F$966,$A16)</f>
        <v>0</v>
      </c>
      <c r="S16" s="9" t="n">
        <f aca="false">SUMIFS('Исходные данные'!$J$2:$J$966,'Исходные данные'!$D$2:$D$966,R$1,'Исходные данные'!$F$2:$F$966,$A16)</f>
        <v>0</v>
      </c>
      <c r="T16" s="9" t="n">
        <f aca="false">SUMIFS('Исходные данные'!$I$2:$I$966,'Исходные данные'!$D$2:$D$966,T$1,'Исходные данные'!$F$2:$F$966,$A16)</f>
        <v>0</v>
      </c>
      <c r="U16" s="9" t="n">
        <f aca="false">SUMIFS('Исходные данные'!$J$2:$J$966,'Исходные данные'!$D$2:$D$966,T$1,'Исходные данные'!$F$2:$F$966,$A16)</f>
        <v>0</v>
      </c>
      <c r="V16" s="9" t="n">
        <f aca="false">SUMIFS('Исходные данные'!$I$2:$I$966,'Исходные данные'!$D$2:$D$966,V$1,'Исходные данные'!$F$2:$F$966,$A16)</f>
        <v>0</v>
      </c>
      <c r="W16" s="9" t="n">
        <f aca="false">SUMIFS('Исходные данные'!$J$2:$J$966,'Исходные данные'!$D$2:$D$966,V$1,'Исходные данные'!$F$2:$F$966,$A16)</f>
        <v>0</v>
      </c>
      <c r="X16" s="9" t="n">
        <f aca="false">SUMIFS('Исходные данные'!$I$2:$I$966,'Исходные данные'!$D$2:$D$966,X$1,'Исходные данные'!$F$2:$F$966,$A16)</f>
        <v>0</v>
      </c>
      <c r="Y16" s="9" t="n">
        <f aca="false">SUMIFS('Исходные данные'!$J$2:$J$966,'Исходные данные'!$D$2:$D$966,X$1,'Исходные данные'!$F$2:$F$966,$A16)</f>
        <v>0</v>
      </c>
      <c r="Z16" s="9" t="n">
        <f aca="false">SUMIFS('Исходные данные'!$I$2:$I$966,'Исходные данные'!$D$2:$D$966,Z$1,'Исходные данные'!$F$2:$F$966,$A16)</f>
        <v>0</v>
      </c>
      <c r="AA16" s="9" t="n">
        <f aca="false">SUMIFS('Исходные данные'!$J$2:$J$966,'Исходные данные'!$D$2:$D$966,Z$1,'Исходные данные'!$F$2:$F$966,$A16)</f>
        <v>0</v>
      </c>
      <c r="AB16" s="9" t="n">
        <f aca="false">SUMIFS('Исходные данные'!$I$2:$I$966,'Исходные данные'!$D$2:$D$966,AB$1,'Исходные данные'!$F$2:$F$966,$A16)</f>
        <v>0</v>
      </c>
      <c r="AC16" s="9" t="n">
        <f aca="false">SUMIFS('Исходные данные'!$J$2:$J$966,'Исходные данные'!$D$2:$D$966,AB$1,'Исходные данные'!$F$2:$F$966,$A16)</f>
        <v>0</v>
      </c>
      <c r="AD16" s="9" t="n">
        <f aca="false">SUMIFS('Исходные данные'!$I$2:$I$966,'Исходные данные'!$D$2:$D$966,AD$1,'Исходные данные'!$F$2:$F$966,$A16)</f>
        <v>0</v>
      </c>
      <c r="AE16" s="9" t="n">
        <f aca="false">SUMIFS('Исходные данные'!$J$2:$J$966,'Исходные данные'!$D$2:$D$966,AD$1,'Исходные данные'!$F$2:$F$966,$A16)</f>
        <v>0</v>
      </c>
      <c r="AF16" s="9" t="n">
        <f aca="false">SUMIFS('Исходные данные'!$I$2:$I$966,'Исходные данные'!$D$2:$D$966,AF$1,'Исходные данные'!$F$2:$F$966,$A16)</f>
        <v>0</v>
      </c>
      <c r="AG16" s="9" t="n">
        <f aca="false">SUMIFS('Исходные данные'!$J$2:$J$966,'Исходные данные'!$D$2:$D$966,AF$1,'Исходные данные'!$F$2:$F$966,$A16)</f>
        <v>0</v>
      </c>
      <c r="AH16" s="9" t="n">
        <f aca="false">SUMIFS('Исходные данные'!$I$2:$I$966,'Исходные данные'!$D$2:$D$966,AH$1,'Исходные данные'!$F$2:$F$966,$A16)</f>
        <v>0</v>
      </c>
      <c r="AI16" s="9" t="n">
        <f aca="false">SUMIFS('Исходные данные'!$J$2:$J$966,'Исходные данные'!$D$2:$D$966,AH$1,'Исходные данные'!$F$2:$F$966,$A16)</f>
        <v>0</v>
      </c>
      <c r="AJ16" s="9" t="n">
        <f aca="false">SUMIFS('Исходные данные'!$I$2:$I$966,'Исходные данные'!$D$2:$D$966,AJ$1,'Исходные данные'!$F$2:$F$966,$A16)</f>
        <v>0</v>
      </c>
      <c r="AK16" s="9" t="n">
        <f aca="false">SUMIFS('Исходные данные'!$J$2:$J$966,'Исходные данные'!$D$2:$D$966,AJ$1,'Исходные данные'!$F$2:$F$966,$A16)</f>
        <v>0</v>
      </c>
      <c r="AL16" s="9" t="n">
        <f aca="false">SUMIFS('Исходные данные'!$I$2:$I$966,'Исходные данные'!$D$2:$D$966,AL$1,'Исходные данные'!$F$2:$F$966,$A16)</f>
        <v>2</v>
      </c>
      <c r="AM16" s="9" t="n">
        <f aca="false">SUMIFS('Исходные данные'!$J$2:$J$966,'Исходные данные'!$D$2:$D$966,AL$1,'Исходные данные'!$F$2:$F$966,$A16)</f>
        <v>0</v>
      </c>
      <c r="AN16" s="9" t="n">
        <f aca="false">SUMIFS('Исходные данные'!$I$2:$I$966,'Исходные данные'!$D$2:$D$966,AN$1,'Исходные данные'!$F$2:$F$966,$A16)</f>
        <v>0</v>
      </c>
      <c r="AO16" s="9" t="n">
        <f aca="false">SUMIFS('Исходные данные'!$J$2:$J$966,'Исходные данные'!$D$2:$D$966,AN$1,'Исходные данные'!$F$2:$F$966,$A16)</f>
        <v>0</v>
      </c>
      <c r="AP16" s="9" t="n">
        <f aca="false">SUMIFS('Исходные данные'!$I$2:$I$966,'Исходные данные'!$D$2:$D$966,AP$1,'Исходные данные'!$F$2:$F$966,$A16)</f>
        <v>0</v>
      </c>
      <c r="AQ16" s="9" t="n">
        <f aca="false">SUMIFS('Исходные данные'!$J$2:$J$966,'Исходные данные'!$D$2:$D$966,AP$1,'Исходные данные'!$F$2:$F$966,$A16)</f>
        <v>0</v>
      </c>
      <c r="AR16" s="9" t="n">
        <f aca="false">SUMIFS('Исходные данные'!$I$2:$I$966,'Исходные данные'!$D$2:$D$966,AR$1,'Исходные данные'!$F$2:$F$966,$A16)</f>
        <v>0</v>
      </c>
      <c r="AS16" s="9" t="n">
        <f aca="false">SUMIFS('Исходные данные'!$J$2:$J$966,'Исходные данные'!$D$2:$D$966,AR$1,'Исходные данные'!$F$2:$F$966,$A16)</f>
        <v>0</v>
      </c>
      <c r="AT16" s="9" t="n">
        <f aca="false">SUMIFS('Исходные данные'!$I$2:$I$966,'Исходные данные'!$D$2:$D$966,AT$1,'Исходные данные'!$F$2:$F$966,$A16)</f>
        <v>0</v>
      </c>
      <c r="AU16" s="9" t="n">
        <f aca="false">SUMIFS('Исходные данные'!$J$2:$J$966,'Исходные данные'!$D$2:$D$966,AT$1,'Исходные данные'!$F$2:$F$966,$A16)</f>
        <v>0</v>
      </c>
      <c r="AV16" s="9" t="n">
        <f aca="false">SUMIFS('Исходные данные'!$I$2:$I$966,'Исходные данные'!$D$2:$D$966,AV$1,'Исходные данные'!$F$2:$F$966,$A16)</f>
        <v>0</v>
      </c>
      <c r="AW16" s="9" t="n">
        <f aca="false">SUMIFS('Исходные данные'!$J$2:$J$966,'Исходные данные'!$D$2:$D$966,AV$1,'Исходные данные'!$F$2:$F$966,$A16)</f>
        <v>0</v>
      </c>
      <c r="AX16" s="9" t="n">
        <f aca="false">SUMIFS('Исходные данные'!$I$2:$I$966,'Исходные данные'!$D$2:$D$966,AX$1,'Исходные данные'!$F$2:$F$966,$A16)</f>
        <v>0</v>
      </c>
      <c r="AY16" s="9" t="n">
        <f aca="false">SUMIFS('Исходные данные'!$J$2:$J$966,'Исходные данные'!$D$2:$D$966,AX$1,'Исходные данные'!$F$2:$F$966,$A16)</f>
        <v>0</v>
      </c>
      <c r="AZ16" s="9" t="n">
        <f aca="false">SUMIFS('Исходные данные'!$I$2:$I$966,'Исходные данные'!$D$2:$D$966,AZ$1,'Исходные данные'!$F$2:$F$966,$A16)</f>
        <v>0</v>
      </c>
      <c r="BA16" s="9" t="n">
        <f aca="false">SUMIFS('Исходные данные'!$J$2:$J$966,'Исходные данные'!$D$2:$D$966,AZ$1,'Исходные данные'!$F$2:$F$966,$A16)</f>
        <v>0</v>
      </c>
      <c r="BB16" s="9" t="n">
        <f aca="false">SUMIFS('Исходные данные'!$I$2:$I$966,'Исходные данные'!$D$2:$D$966,BB$1,'Исходные данные'!$F$2:$F$966,$A16)</f>
        <v>0</v>
      </c>
      <c r="BC16" s="9" t="n">
        <f aca="false">SUMIFS('Исходные данные'!$J$2:$J$966,'Исходные данные'!$D$2:$D$966,BB$1,'Исходные данные'!$F$2:$F$966,$A16)</f>
        <v>0</v>
      </c>
      <c r="BD16" s="9" t="n">
        <f aca="false">SUMIFS('Исходные данные'!$I$2:$I$966,'Исходные данные'!$D$2:$D$966,BD$1,'Исходные данные'!$F$2:$F$966,$A16)</f>
        <v>0</v>
      </c>
      <c r="BE16" s="9" t="n">
        <f aca="false">SUMIFS('Исходные данные'!$J$2:$J$966,'Исходные данные'!$D$2:$D$966,BD$1,'Исходные данные'!$F$2:$F$966,$A16)</f>
        <v>0</v>
      </c>
      <c r="BF16" s="9" t="n">
        <f aca="false">SUMIFS('Исходные данные'!$I$2:$I$966,'Исходные данные'!$D$2:$D$966,BF$1,'Исходные данные'!$F$2:$F$966,$A16)</f>
        <v>0</v>
      </c>
      <c r="BG16" s="9" t="n">
        <f aca="false">SUMIFS('Исходные данные'!$J$2:$J$966,'Исходные данные'!$D$2:$D$966,BF$1,'Исходные данные'!$F$2:$F$966,$A16)</f>
        <v>0</v>
      </c>
      <c r="BH16" s="9" t="n">
        <f aca="false">SUMIFS('Исходные данные'!$I$2:$I$966,'Исходные данные'!$D$2:$D$966,BH$1,'Исходные данные'!$F$2:$F$966,$A16)</f>
        <v>0</v>
      </c>
      <c r="BI16" s="9" t="n">
        <f aca="false">SUMIFS('Исходные данные'!$J$2:$J$966,'Исходные данные'!$D$2:$D$966,BH$1,'Исходные данные'!$F$2:$F$966,$A16)</f>
        <v>0</v>
      </c>
      <c r="BJ16" s="9" t="n">
        <f aca="false">SUMIFS('Исходные данные'!$I$2:$I$966,'Исходные данные'!$D$2:$D$966,BJ$1,'Исходные данные'!$F$2:$F$966,$A16)</f>
        <v>0</v>
      </c>
      <c r="BK16" s="9" t="n">
        <f aca="false">SUMIFS('Исходные данные'!$J$2:$J$966,'Исходные данные'!$D$2:$D$966,BJ$1,'Исходные данные'!$F$2:$F$966,$A16)</f>
        <v>0</v>
      </c>
      <c r="BL16" s="9" t="n">
        <f aca="false">SUMIFS('Исходные данные'!$I$2:$I$966,'Исходные данные'!$D$2:$D$966,BL$1,'Исходные данные'!$F$2:$F$966,$A16)</f>
        <v>0</v>
      </c>
      <c r="BM16" s="9" t="n">
        <f aca="false">SUMIFS('Исходные данные'!$J$2:$J$966,'Исходные данные'!$D$2:$D$966,BL$1,'Исходные данные'!$F$2:$F$966,$A16)</f>
        <v>0</v>
      </c>
      <c r="BN16" s="9" t="n">
        <f aca="false">SUMIFS('Исходные данные'!$I$2:$I$966,'Исходные данные'!$D$2:$D$966,BN$1,'Исходные данные'!$F$2:$F$966,$A16)</f>
        <v>0</v>
      </c>
      <c r="BO16" s="9" t="n">
        <f aca="false">SUMIFS('Исходные данные'!$J$2:$J$966,'Исходные данные'!$D$2:$D$966,BN$1,'Исходные данные'!$F$2:$F$966,$A16)</f>
        <v>0</v>
      </c>
      <c r="BP16" s="9" t="n">
        <f aca="false">SUMIFS('Исходные данные'!$I$2:$I$966,'Исходные данные'!$D$2:$D$966,BP$1,'Исходные данные'!$F$2:$F$966,$A16)</f>
        <v>0</v>
      </c>
      <c r="BQ16" s="9" t="n">
        <f aca="false">SUMIFS('Исходные данные'!$J$2:$J$966,'Исходные данные'!$D$2:$D$966,BP$1,'Исходные данные'!$F$2:$F$966,$A16)</f>
        <v>0</v>
      </c>
      <c r="BR16" s="9" t="n">
        <f aca="false">SUMIFS('Исходные данные'!$I$2:$I$966,'Исходные данные'!$D$2:$D$966,BR$1,'Исходные данные'!$F$2:$F$966,$A16)</f>
        <v>0</v>
      </c>
      <c r="BS16" s="9" t="n">
        <f aca="false">SUMIFS('Исходные данные'!$J$2:$J$966,'Исходные данные'!$D$2:$D$966,BR$1,'Исходные данные'!$F$2:$F$966,$A16)</f>
        <v>0</v>
      </c>
      <c r="BT16" s="9" t="n">
        <f aca="false">SUMIFS('Исходные данные'!$I$2:$I$966,'Исходные данные'!$D$2:$D$966,BT$1,'Исходные данные'!$F$2:$F$966,$A16)</f>
        <v>0</v>
      </c>
      <c r="BU16" s="9" t="n">
        <f aca="false">SUMIFS('Исходные данные'!$J$2:$J$966,'Исходные данные'!$D$2:$D$966,BT$1,'Исходные данные'!$F$2:$F$966,$A16)</f>
        <v>0</v>
      </c>
      <c r="BV16" s="9" t="n">
        <f aca="false">SUMIFS('Исходные данные'!$I$2:$I$966,'Исходные данные'!$D$2:$D$966,BV$1,'Исходные данные'!$F$2:$F$966,$A16)</f>
        <v>0</v>
      </c>
      <c r="BW16" s="9" t="n">
        <f aca="false">SUMIFS('Исходные данные'!$J$2:$J$966,'Исходные данные'!$D$2:$D$966,BV$1,'Исходные данные'!$F$2:$F$966,$A16)</f>
        <v>0</v>
      </c>
      <c r="BX16" s="9" t="n">
        <f aca="false">SUMIFS('Исходные данные'!$I$2:$I$966,'Исходные данные'!$D$2:$D$966,BX$1,'Исходные данные'!$F$2:$F$966,$A16)</f>
        <v>0</v>
      </c>
      <c r="BY16" s="9" t="n">
        <f aca="false">SUMIFS('Исходные данные'!$J$2:$J$966,'Исходные данные'!$D$2:$D$966,BX$1,'Исходные данные'!$F$2:$F$966,$A16)</f>
        <v>0</v>
      </c>
      <c r="BZ16" s="9" t="n">
        <f aca="false">SUMIFS('Исходные данные'!$I$2:$I$966,'Исходные данные'!$D$2:$D$966,BZ$1,'Исходные данные'!$F$2:$F$966,$A16)</f>
        <v>0</v>
      </c>
      <c r="CA16" s="9" t="n">
        <f aca="false">SUMIFS('Исходные данные'!$J$2:$J$966,'Исходные данные'!$D$2:$D$966,BZ$1,'Исходные данные'!$F$2:$F$966,$A16)</f>
        <v>0</v>
      </c>
      <c r="CB16" s="9" t="n">
        <f aca="false">SUMIFS('Исходные данные'!$I$2:$I$966,'Исходные данные'!$D$2:$D$966,CB$1,'Исходные данные'!$F$2:$F$966,$A16)</f>
        <v>0</v>
      </c>
      <c r="CC16" s="9" t="n">
        <f aca="false">SUMIFS('Исходные данные'!$J$2:$J$966,'Исходные данные'!$D$2:$D$966,CB$1,'Исходные данные'!$F$2:$F$966,$A16)</f>
        <v>0</v>
      </c>
      <c r="CD16" s="9" t="n">
        <f aca="false">SUMIFS('Исходные данные'!$I$2:$I$966,'Исходные данные'!$D$2:$D$966,CD$1,'Исходные данные'!$F$2:$F$966,$A16)</f>
        <v>0</v>
      </c>
      <c r="CE16" s="9" t="n">
        <f aca="false">SUMIFS('Исходные данные'!$J$2:$J$966,'Исходные данные'!$D$2:$D$966,CD$1,'Исходные данные'!$F$2:$F$966,$A16)</f>
        <v>0</v>
      </c>
      <c r="CF16" s="9" t="n">
        <f aca="false">SUMIFS('Исходные данные'!$I$2:$I$966,'Исходные данные'!$D$2:$D$966,CF$1,'Исходные данные'!$F$2:$F$966,$A16)</f>
        <v>0</v>
      </c>
      <c r="CG16" s="9" t="n">
        <f aca="false">SUMIFS('Исходные данные'!$J$2:$J$966,'Исходные данные'!$D$2:$D$966,CF$1,'Исходные данные'!$F$2:$F$966,$A16)</f>
        <v>0</v>
      </c>
      <c r="CH16" s="9" t="n">
        <f aca="false">SUMIFS('Исходные данные'!$I$2:$I$966,'Исходные данные'!$D$2:$D$966,CH$1,'Исходные данные'!$F$2:$F$966,$A16)</f>
        <v>0</v>
      </c>
      <c r="CI16" s="9" t="n">
        <f aca="false">SUMIFS('Исходные данные'!$J$2:$J$966,'Исходные данные'!$D$2:$D$966,CH$1,'Исходные данные'!$F$2:$F$966,$A16)</f>
        <v>0</v>
      </c>
      <c r="CJ16" s="9" t="n">
        <f aca="false">SUMIFS('Исходные данные'!$I$2:$I$966,'Исходные данные'!$D$2:$D$966,CJ$1,'Исходные данные'!$F$2:$F$966,$A16)</f>
        <v>0</v>
      </c>
      <c r="CK16" s="9" t="n">
        <f aca="false">SUMIFS('Исходные данные'!$J$2:$J$966,'Исходные данные'!$D$2:$D$966,CJ$1,'Исходные данные'!$F$2:$F$966,$A16)</f>
        <v>0</v>
      </c>
      <c r="CL16" s="9" t="n">
        <f aca="false">SUMIFS('Исходные данные'!$I$2:$I$966,'Исходные данные'!$D$2:$D$966,CL$1,'Исходные данные'!$F$2:$F$966,$A16)</f>
        <v>0</v>
      </c>
      <c r="CM16" s="9" t="n">
        <f aca="false">SUMIFS('Исходные данные'!$J$2:$J$966,'Исходные данные'!$D$2:$D$966,CL$1,'Исходные данные'!$F$2:$F$966,$A16)</f>
        <v>0</v>
      </c>
      <c r="CN16" s="9" t="n">
        <f aca="false">SUMIFS('Исходные данные'!$I$2:$I$966,'Исходные данные'!$D$2:$D$966,CN$1,'Исходные данные'!$F$2:$F$966,$A16)</f>
        <v>0</v>
      </c>
      <c r="CO16" s="9" t="n">
        <f aca="false">SUMIFS('Исходные данные'!$J$2:$J$966,'Исходные данные'!$D$2:$D$966,CN$1,'Исходные данные'!$F$2:$F$966,$A16)</f>
        <v>0</v>
      </c>
      <c r="CP16" s="9" t="n">
        <f aca="false">SUMIFS('Исходные данные'!$I$2:$I$966,'Исходные данные'!$D$2:$D$966,CP$1,'Исходные данные'!$F$2:$F$966,$A16)</f>
        <v>0</v>
      </c>
      <c r="CQ16" s="9" t="n">
        <f aca="false">SUMIFS('Исходные данные'!$J$2:$J$966,'Исходные данные'!$D$2:$D$966,CP$1,'Исходные данные'!$F$2:$F$966,$A16)</f>
        <v>0</v>
      </c>
    </row>
    <row r="17" customFormat="false" ht="15" hidden="false" customHeight="false" outlineLevel="0" collapsed="false">
      <c r="A17" s="8" t="s">
        <v>81</v>
      </c>
      <c r="B17" s="9" t="s">
        <v>82</v>
      </c>
      <c r="C17" s="5" t="n">
        <v>62</v>
      </c>
      <c r="D17" s="5" t="n">
        <f aca="false">F17+G17</f>
        <v>60</v>
      </c>
      <c r="E17" s="5" t="n">
        <f aca="false">D17-C17</f>
        <v>-2</v>
      </c>
      <c r="F17" s="5" t="n">
        <f aca="false">SUMIFS($H17:$CQ17,$H$2:$CQ$2,"День")</f>
        <v>58</v>
      </c>
      <c r="G17" s="5" t="n">
        <f aca="false">SUMIFS($H17:$CQ17,$H$2:$CQ$2,"Ночь")</f>
        <v>2</v>
      </c>
      <c r="H17" s="9" t="n">
        <f aca="false">SUMIFS('Исходные данные'!$I$2:$I$966,'Исходные данные'!$D$2:$D$966,H$1,'Исходные данные'!$F$2:$F$966,$A17)</f>
        <v>3</v>
      </c>
      <c r="I17" s="9" t="n">
        <f aca="false">SUMIFS('Исходные данные'!$J$2:$J$966,'Исходные данные'!$D$2:$D$966,H$1,'Исходные данные'!$F$2:$F$966,$A17)</f>
        <v>0</v>
      </c>
      <c r="J17" s="9" t="n">
        <f aca="false">SUMIFS('Исходные данные'!$I$2:$I$966,'Исходные данные'!$D$2:$D$966,J$1,'Исходные данные'!$F$2:$F$966,$A17)</f>
        <v>4</v>
      </c>
      <c r="K17" s="9" t="n">
        <f aca="false">SUMIFS('Исходные данные'!$J$2:$J$966,'Исходные данные'!$D$2:$D$966,J$1,'Исходные данные'!$F$2:$F$966,$A17)</f>
        <v>0</v>
      </c>
      <c r="L17" s="9" t="n">
        <f aca="false">SUMIFS('Исходные данные'!$I$2:$I$966,'Исходные данные'!$D$2:$D$966,L$1,'Исходные данные'!$F$2:$F$966,$A17)</f>
        <v>4</v>
      </c>
      <c r="M17" s="9" t="n">
        <f aca="false">SUMIFS('Исходные данные'!$J$2:$J$966,'Исходные данные'!$D$2:$D$966,L$1,'Исходные данные'!$F$2:$F$966,$A17)</f>
        <v>0</v>
      </c>
      <c r="N17" s="9" t="n">
        <f aca="false">SUMIFS('Исходные данные'!$I$2:$I$966,'Исходные данные'!$D$2:$D$966,N$1,'Исходные данные'!$F$2:$F$966,$A17)</f>
        <v>1</v>
      </c>
      <c r="O17" s="9" t="n">
        <f aca="false">SUMIFS('Исходные данные'!$J$2:$J$966,'Исходные данные'!$D$2:$D$966,N$1,'Исходные данные'!$F$2:$F$966,$A17)</f>
        <v>0</v>
      </c>
      <c r="P17" s="9" t="n">
        <f aca="false">SUMIFS('Исходные данные'!$I$2:$I$966,'Исходные данные'!$D$2:$D$966,P$1,'Исходные данные'!$F$2:$F$966,$A17)</f>
        <v>3</v>
      </c>
      <c r="Q17" s="9" t="n">
        <f aca="false">SUMIFS('Исходные данные'!$J$2:$J$966,'Исходные данные'!$D$2:$D$966,P$1,'Исходные данные'!$F$2:$F$966,$A17)</f>
        <v>0</v>
      </c>
      <c r="R17" s="9" t="n">
        <f aca="false">SUMIFS('Исходные данные'!$I$2:$I$966,'Исходные данные'!$D$2:$D$966,R$1,'Исходные данные'!$F$2:$F$966,$A17)</f>
        <v>3</v>
      </c>
      <c r="S17" s="9" t="n">
        <f aca="false">SUMIFS('Исходные данные'!$J$2:$J$966,'Исходные данные'!$D$2:$D$966,R$1,'Исходные данные'!$F$2:$F$966,$A17)</f>
        <v>0</v>
      </c>
      <c r="T17" s="9" t="n">
        <f aca="false">SUMIFS('Исходные данные'!$I$2:$I$966,'Исходные данные'!$D$2:$D$966,T$1,'Исходные данные'!$F$2:$F$966,$A17)</f>
        <v>0</v>
      </c>
      <c r="U17" s="9" t="n">
        <f aca="false">SUMIFS('Исходные данные'!$J$2:$J$966,'Исходные данные'!$D$2:$D$966,T$1,'Исходные данные'!$F$2:$F$966,$A17)</f>
        <v>0</v>
      </c>
      <c r="V17" s="9" t="n">
        <f aca="false">SUMIFS('Исходные данные'!$I$2:$I$966,'Исходные данные'!$D$2:$D$966,V$1,'Исходные данные'!$F$2:$F$966,$A17)</f>
        <v>2</v>
      </c>
      <c r="W17" s="9" t="n">
        <f aca="false">SUMIFS('Исходные данные'!$J$2:$J$966,'Исходные данные'!$D$2:$D$966,V$1,'Исходные данные'!$F$2:$F$966,$A17)</f>
        <v>0</v>
      </c>
      <c r="X17" s="9" t="n">
        <f aca="false">SUMIFS('Исходные данные'!$I$2:$I$966,'Исходные данные'!$D$2:$D$966,X$1,'Исходные данные'!$F$2:$F$966,$A17)</f>
        <v>0</v>
      </c>
      <c r="Y17" s="9" t="n">
        <f aca="false">SUMIFS('Исходные данные'!$J$2:$J$966,'Исходные данные'!$D$2:$D$966,X$1,'Исходные данные'!$F$2:$F$966,$A17)</f>
        <v>0</v>
      </c>
      <c r="Z17" s="9" t="n">
        <f aca="false">SUMIFS('Исходные данные'!$I$2:$I$966,'Исходные данные'!$D$2:$D$966,Z$1,'Исходные данные'!$F$2:$F$966,$A17)</f>
        <v>6</v>
      </c>
      <c r="AA17" s="9" t="n">
        <f aca="false">SUMIFS('Исходные данные'!$J$2:$J$966,'Исходные данные'!$D$2:$D$966,Z$1,'Исходные данные'!$F$2:$F$966,$A17)</f>
        <v>0</v>
      </c>
      <c r="AB17" s="9" t="n">
        <f aca="false">SUMIFS('Исходные данные'!$I$2:$I$966,'Исходные данные'!$D$2:$D$966,AB$1,'Исходные данные'!$F$2:$F$966,$A17)</f>
        <v>0</v>
      </c>
      <c r="AC17" s="9" t="n">
        <f aca="false">SUMIFS('Исходные данные'!$J$2:$J$966,'Исходные данные'!$D$2:$D$966,AB$1,'Исходные данные'!$F$2:$F$966,$A17)</f>
        <v>0</v>
      </c>
      <c r="AD17" s="9" t="n">
        <f aca="false">SUMIFS('Исходные данные'!$I$2:$I$966,'Исходные данные'!$D$2:$D$966,AD$1,'Исходные данные'!$F$2:$F$966,$A17)</f>
        <v>6</v>
      </c>
      <c r="AE17" s="9" t="n">
        <f aca="false">SUMIFS('Исходные данные'!$J$2:$J$966,'Исходные данные'!$D$2:$D$966,AD$1,'Исходные данные'!$F$2:$F$966,$A17)</f>
        <v>0</v>
      </c>
      <c r="AF17" s="9" t="n">
        <f aca="false">SUMIFS('Исходные данные'!$I$2:$I$966,'Исходные данные'!$D$2:$D$966,AF$1,'Исходные данные'!$F$2:$F$966,$A17)</f>
        <v>0</v>
      </c>
      <c r="AG17" s="9" t="n">
        <f aca="false">SUMIFS('Исходные данные'!$J$2:$J$966,'Исходные данные'!$D$2:$D$966,AF$1,'Исходные данные'!$F$2:$F$966,$A17)</f>
        <v>0</v>
      </c>
      <c r="AH17" s="9" t="n">
        <f aca="false">SUMIFS('Исходные данные'!$I$2:$I$966,'Исходные данные'!$D$2:$D$966,AH$1,'Исходные данные'!$F$2:$F$966,$A17)</f>
        <v>6</v>
      </c>
      <c r="AI17" s="9" t="n">
        <f aca="false">SUMIFS('Исходные данные'!$J$2:$J$966,'Исходные данные'!$D$2:$D$966,AH$1,'Исходные данные'!$F$2:$F$966,$A17)</f>
        <v>0</v>
      </c>
      <c r="AJ17" s="9" t="n">
        <f aca="false">SUMIFS('Исходные данные'!$I$2:$I$966,'Исходные данные'!$D$2:$D$966,AJ$1,'Исходные данные'!$F$2:$F$966,$A17)</f>
        <v>4</v>
      </c>
      <c r="AK17" s="9" t="n">
        <f aca="false">SUMIFS('Исходные данные'!$J$2:$J$966,'Исходные данные'!$D$2:$D$966,AJ$1,'Исходные данные'!$F$2:$F$966,$A17)</f>
        <v>0</v>
      </c>
      <c r="AL17" s="9" t="n">
        <f aca="false">SUMIFS('Исходные данные'!$I$2:$I$966,'Исходные данные'!$D$2:$D$966,AL$1,'Исходные данные'!$F$2:$F$966,$A17)</f>
        <v>5</v>
      </c>
      <c r="AM17" s="9" t="n">
        <f aca="false">SUMIFS('Исходные данные'!$J$2:$J$966,'Исходные данные'!$D$2:$D$966,AL$1,'Исходные данные'!$F$2:$F$966,$A17)</f>
        <v>1</v>
      </c>
      <c r="AN17" s="9" t="n">
        <f aca="false">SUMIFS('Исходные данные'!$I$2:$I$966,'Исходные данные'!$D$2:$D$966,AN$1,'Исходные данные'!$F$2:$F$966,$A17)</f>
        <v>2</v>
      </c>
      <c r="AO17" s="9" t="n">
        <f aca="false">SUMIFS('Исходные данные'!$J$2:$J$966,'Исходные данные'!$D$2:$D$966,AN$1,'Исходные данные'!$F$2:$F$966,$A17)</f>
        <v>0</v>
      </c>
      <c r="AP17" s="9" t="n">
        <f aca="false">SUMIFS('Исходные данные'!$I$2:$I$966,'Исходные данные'!$D$2:$D$966,AP$1,'Исходные данные'!$F$2:$F$966,$A17)</f>
        <v>0</v>
      </c>
      <c r="AQ17" s="9" t="n">
        <f aca="false">SUMIFS('Исходные данные'!$J$2:$J$966,'Исходные данные'!$D$2:$D$966,AP$1,'Исходные данные'!$F$2:$F$966,$A17)</f>
        <v>0</v>
      </c>
      <c r="AR17" s="9" t="n">
        <f aca="false">SUMIFS('Исходные данные'!$I$2:$I$966,'Исходные данные'!$D$2:$D$966,AR$1,'Исходные данные'!$F$2:$F$966,$A17)</f>
        <v>1</v>
      </c>
      <c r="AS17" s="9" t="n">
        <f aca="false">SUMIFS('Исходные данные'!$J$2:$J$966,'Исходные данные'!$D$2:$D$966,AR$1,'Исходные данные'!$F$2:$F$966,$A17)</f>
        <v>0</v>
      </c>
      <c r="AT17" s="9" t="n">
        <f aca="false">SUMIFS('Исходные данные'!$I$2:$I$966,'Исходные данные'!$D$2:$D$966,AT$1,'Исходные данные'!$F$2:$F$966,$A17)</f>
        <v>0</v>
      </c>
      <c r="AU17" s="9" t="n">
        <f aca="false">SUMIFS('Исходные данные'!$J$2:$J$966,'Исходные данные'!$D$2:$D$966,AT$1,'Исходные данные'!$F$2:$F$966,$A17)</f>
        <v>0</v>
      </c>
      <c r="AV17" s="9" t="n">
        <f aca="false">SUMIFS('Исходные данные'!$I$2:$I$966,'Исходные данные'!$D$2:$D$966,AV$1,'Исходные данные'!$F$2:$F$966,$A17)</f>
        <v>1</v>
      </c>
      <c r="AW17" s="9" t="n">
        <f aca="false">SUMIFS('Исходные данные'!$J$2:$J$966,'Исходные данные'!$D$2:$D$966,AV$1,'Исходные данные'!$F$2:$F$966,$A17)</f>
        <v>0</v>
      </c>
      <c r="AX17" s="9" t="n">
        <f aca="false">SUMIFS('Исходные данные'!$I$2:$I$966,'Исходные данные'!$D$2:$D$966,AX$1,'Исходные данные'!$F$2:$F$966,$A17)</f>
        <v>0</v>
      </c>
      <c r="AY17" s="9" t="n">
        <f aca="false">SUMIFS('Исходные данные'!$J$2:$J$966,'Исходные данные'!$D$2:$D$966,AX$1,'Исходные данные'!$F$2:$F$966,$A17)</f>
        <v>0</v>
      </c>
      <c r="AZ17" s="9" t="n">
        <f aca="false">SUMIFS('Исходные данные'!$I$2:$I$966,'Исходные данные'!$D$2:$D$966,AZ$1,'Исходные данные'!$F$2:$F$966,$A17)</f>
        <v>0</v>
      </c>
      <c r="BA17" s="9" t="n">
        <f aca="false">SUMIFS('Исходные данные'!$J$2:$J$966,'Исходные данные'!$D$2:$D$966,AZ$1,'Исходные данные'!$F$2:$F$966,$A17)</f>
        <v>0</v>
      </c>
      <c r="BB17" s="9" t="n">
        <f aca="false">SUMIFS('Исходные данные'!$I$2:$I$966,'Исходные данные'!$D$2:$D$966,BB$1,'Исходные данные'!$F$2:$F$966,$A17)</f>
        <v>0</v>
      </c>
      <c r="BC17" s="9" t="n">
        <f aca="false">SUMIFS('Исходные данные'!$J$2:$J$966,'Исходные данные'!$D$2:$D$966,BB$1,'Исходные данные'!$F$2:$F$966,$A17)</f>
        <v>0</v>
      </c>
      <c r="BD17" s="9" t="n">
        <f aca="false">SUMIFS('Исходные данные'!$I$2:$I$966,'Исходные данные'!$D$2:$D$966,BD$1,'Исходные данные'!$F$2:$F$966,$A17)</f>
        <v>0</v>
      </c>
      <c r="BE17" s="9" t="n">
        <f aca="false">SUMIFS('Исходные данные'!$J$2:$J$966,'Исходные данные'!$D$2:$D$966,BD$1,'Исходные данные'!$F$2:$F$966,$A17)</f>
        <v>0</v>
      </c>
      <c r="BF17" s="9" t="n">
        <f aca="false">SUMIFS('Исходные данные'!$I$2:$I$966,'Исходные данные'!$D$2:$D$966,BF$1,'Исходные данные'!$F$2:$F$966,$A17)</f>
        <v>1</v>
      </c>
      <c r="BG17" s="9" t="n">
        <f aca="false">SUMIFS('Исходные данные'!$J$2:$J$966,'Исходные данные'!$D$2:$D$966,BF$1,'Исходные данные'!$F$2:$F$966,$A17)</f>
        <v>0</v>
      </c>
      <c r="BH17" s="9" t="n">
        <f aca="false">SUMIFS('Исходные данные'!$I$2:$I$966,'Исходные данные'!$D$2:$D$966,BH$1,'Исходные данные'!$F$2:$F$966,$A17)</f>
        <v>0</v>
      </c>
      <c r="BI17" s="9" t="n">
        <f aca="false">SUMIFS('Исходные данные'!$J$2:$J$966,'Исходные данные'!$D$2:$D$966,BH$1,'Исходные данные'!$F$2:$F$966,$A17)</f>
        <v>0</v>
      </c>
      <c r="BJ17" s="9" t="n">
        <f aca="false">SUMIFS('Исходные данные'!$I$2:$I$966,'Исходные данные'!$D$2:$D$966,BJ$1,'Исходные данные'!$F$2:$F$966,$A17)</f>
        <v>0</v>
      </c>
      <c r="BK17" s="9" t="n">
        <f aca="false">SUMIFS('Исходные данные'!$J$2:$J$966,'Исходные данные'!$D$2:$D$966,BJ$1,'Исходные данные'!$F$2:$F$966,$A17)</f>
        <v>0</v>
      </c>
      <c r="BL17" s="9" t="n">
        <f aca="false">SUMIFS('Исходные данные'!$I$2:$I$966,'Исходные данные'!$D$2:$D$966,BL$1,'Исходные данные'!$F$2:$F$966,$A17)</f>
        <v>1</v>
      </c>
      <c r="BM17" s="9" t="n">
        <f aca="false">SUMIFS('Исходные данные'!$J$2:$J$966,'Исходные данные'!$D$2:$D$966,BL$1,'Исходные данные'!$F$2:$F$966,$A17)</f>
        <v>0</v>
      </c>
      <c r="BN17" s="9" t="n">
        <f aca="false">SUMIFS('Исходные данные'!$I$2:$I$966,'Исходные данные'!$D$2:$D$966,BN$1,'Исходные данные'!$F$2:$F$966,$A17)</f>
        <v>0</v>
      </c>
      <c r="BO17" s="9" t="n">
        <f aca="false">SUMIFS('Исходные данные'!$J$2:$J$966,'Исходные данные'!$D$2:$D$966,BN$1,'Исходные данные'!$F$2:$F$966,$A17)</f>
        <v>0</v>
      </c>
      <c r="BP17" s="9" t="n">
        <f aca="false">SUMIFS('Исходные данные'!$I$2:$I$966,'Исходные данные'!$D$2:$D$966,BP$1,'Исходные данные'!$F$2:$F$966,$A17)</f>
        <v>0</v>
      </c>
      <c r="BQ17" s="9" t="n">
        <f aca="false">SUMIFS('Исходные данные'!$J$2:$J$966,'Исходные данные'!$D$2:$D$966,BP$1,'Исходные данные'!$F$2:$F$966,$A17)</f>
        <v>0</v>
      </c>
      <c r="BR17" s="9" t="n">
        <f aca="false">SUMIFS('Исходные данные'!$I$2:$I$966,'Исходные данные'!$D$2:$D$966,BR$1,'Исходные данные'!$F$2:$F$966,$A17)</f>
        <v>0</v>
      </c>
      <c r="BS17" s="9" t="n">
        <f aca="false">SUMIFS('Исходные данные'!$J$2:$J$966,'Исходные данные'!$D$2:$D$966,BR$1,'Исходные данные'!$F$2:$F$966,$A17)</f>
        <v>0</v>
      </c>
      <c r="BT17" s="9" t="n">
        <f aca="false">SUMIFS('Исходные данные'!$I$2:$I$966,'Исходные данные'!$D$2:$D$966,BT$1,'Исходные данные'!$F$2:$F$966,$A17)</f>
        <v>0</v>
      </c>
      <c r="BU17" s="9" t="n">
        <f aca="false">SUMIFS('Исходные данные'!$J$2:$J$966,'Исходные данные'!$D$2:$D$966,BT$1,'Исходные данные'!$F$2:$F$966,$A17)</f>
        <v>0</v>
      </c>
      <c r="BV17" s="9" t="n">
        <f aca="false">SUMIFS('Исходные данные'!$I$2:$I$966,'Исходные данные'!$D$2:$D$966,BV$1,'Исходные данные'!$F$2:$F$966,$A17)</f>
        <v>2</v>
      </c>
      <c r="BW17" s="9" t="n">
        <f aca="false">SUMIFS('Исходные данные'!$J$2:$J$966,'Исходные данные'!$D$2:$D$966,BV$1,'Исходные данные'!$F$2:$F$966,$A17)</f>
        <v>1</v>
      </c>
      <c r="BX17" s="9" t="n">
        <f aca="false">SUMIFS('Исходные данные'!$I$2:$I$966,'Исходные данные'!$D$2:$D$966,BX$1,'Исходные данные'!$F$2:$F$966,$A17)</f>
        <v>0</v>
      </c>
      <c r="BY17" s="9" t="n">
        <f aca="false">SUMIFS('Исходные данные'!$J$2:$J$966,'Исходные данные'!$D$2:$D$966,BX$1,'Исходные данные'!$F$2:$F$966,$A17)</f>
        <v>0</v>
      </c>
      <c r="BZ17" s="9" t="n">
        <f aca="false">SUMIFS('Исходные данные'!$I$2:$I$966,'Исходные данные'!$D$2:$D$966,BZ$1,'Исходные данные'!$F$2:$F$966,$A17)</f>
        <v>0</v>
      </c>
      <c r="CA17" s="9" t="n">
        <f aca="false">SUMIFS('Исходные данные'!$J$2:$J$966,'Исходные данные'!$D$2:$D$966,BZ$1,'Исходные данные'!$F$2:$F$966,$A17)</f>
        <v>0</v>
      </c>
      <c r="CB17" s="9" t="n">
        <f aca="false">SUMIFS('Исходные данные'!$I$2:$I$966,'Исходные данные'!$D$2:$D$966,CB$1,'Исходные данные'!$F$2:$F$966,$A17)</f>
        <v>0</v>
      </c>
      <c r="CC17" s="9" t="n">
        <f aca="false">SUMIFS('Исходные данные'!$J$2:$J$966,'Исходные данные'!$D$2:$D$966,CB$1,'Исходные данные'!$F$2:$F$966,$A17)</f>
        <v>0</v>
      </c>
      <c r="CD17" s="9" t="n">
        <f aca="false">SUMIFS('Исходные данные'!$I$2:$I$966,'Исходные данные'!$D$2:$D$966,CD$1,'Исходные данные'!$F$2:$F$966,$A17)</f>
        <v>1</v>
      </c>
      <c r="CE17" s="9" t="n">
        <f aca="false">SUMIFS('Исходные данные'!$J$2:$J$966,'Исходные данные'!$D$2:$D$966,CD$1,'Исходные данные'!$F$2:$F$966,$A17)</f>
        <v>0</v>
      </c>
      <c r="CF17" s="9" t="n">
        <f aca="false">SUMIFS('Исходные данные'!$I$2:$I$966,'Исходные данные'!$D$2:$D$966,CF$1,'Исходные данные'!$F$2:$F$966,$A17)</f>
        <v>1</v>
      </c>
      <c r="CG17" s="9" t="n">
        <f aca="false">SUMIFS('Исходные данные'!$J$2:$J$966,'Исходные данные'!$D$2:$D$966,CF$1,'Исходные данные'!$F$2:$F$966,$A17)</f>
        <v>0</v>
      </c>
      <c r="CH17" s="9" t="n">
        <f aca="false">SUMIFS('Исходные данные'!$I$2:$I$966,'Исходные данные'!$D$2:$D$966,CH$1,'Исходные данные'!$F$2:$F$966,$A17)</f>
        <v>1</v>
      </c>
      <c r="CI17" s="9" t="n">
        <f aca="false">SUMIFS('Исходные данные'!$J$2:$J$966,'Исходные данные'!$D$2:$D$966,CH$1,'Исходные данные'!$F$2:$F$966,$A17)</f>
        <v>0</v>
      </c>
      <c r="CJ17" s="9" t="n">
        <f aca="false">SUMIFS('Исходные данные'!$I$2:$I$966,'Исходные данные'!$D$2:$D$966,CJ$1,'Исходные данные'!$F$2:$F$966,$A17)</f>
        <v>0</v>
      </c>
      <c r="CK17" s="9" t="n">
        <f aca="false">SUMIFS('Исходные данные'!$J$2:$J$966,'Исходные данные'!$D$2:$D$966,CJ$1,'Исходные данные'!$F$2:$F$966,$A17)</f>
        <v>0</v>
      </c>
      <c r="CL17" s="9" t="n">
        <f aca="false">SUMIFS('Исходные данные'!$I$2:$I$966,'Исходные данные'!$D$2:$D$966,CL$1,'Исходные данные'!$F$2:$F$966,$A17)</f>
        <v>0</v>
      </c>
      <c r="CM17" s="9" t="n">
        <f aca="false">SUMIFS('Исходные данные'!$J$2:$J$966,'Исходные данные'!$D$2:$D$966,CL$1,'Исходные данные'!$F$2:$F$966,$A17)</f>
        <v>0</v>
      </c>
      <c r="CN17" s="9" t="n">
        <f aca="false">SUMIFS('Исходные данные'!$I$2:$I$966,'Исходные данные'!$D$2:$D$966,CN$1,'Исходные данные'!$F$2:$F$966,$A17)</f>
        <v>0</v>
      </c>
      <c r="CO17" s="9" t="n">
        <f aca="false">SUMIFS('Исходные данные'!$J$2:$J$966,'Исходные данные'!$D$2:$D$966,CN$1,'Исходные данные'!$F$2:$F$966,$A17)</f>
        <v>0</v>
      </c>
      <c r="CP17" s="9" t="n">
        <f aca="false">SUMIFS('Исходные данные'!$I$2:$I$966,'Исходные данные'!$D$2:$D$966,CP$1,'Исходные данные'!$F$2:$F$966,$A17)</f>
        <v>0</v>
      </c>
      <c r="CQ17" s="9" t="n">
        <f aca="false">SUMIFS('Исходные данные'!$J$2:$J$966,'Исходные данные'!$D$2:$D$966,CP$1,'Исходные данные'!$F$2:$F$966,$A17)</f>
        <v>0</v>
      </c>
    </row>
    <row r="18" customFormat="false" ht="15" hidden="false" customHeight="false" outlineLevel="0" collapsed="false">
      <c r="A18" s="8" t="s">
        <v>83</v>
      </c>
      <c r="B18" s="9" t="s">
        <v>84</v>
      </c>
      <c r="C18" s="5" t="n">
        <v>31</v>
      </c>
      <c r="D18" s="5" t="n">
        <f aca="false">F18+G18</f>
        <v>32</v>
      </c>
      <c r="E18" s="5" t="n">
        <f aca="false">D18-C18</f>
        <v>1</v>
      </c>
      <c r="F18" s="5" t="n">
        <f aca="false">SUMIFS($H18:$CQ18,$H$2:$CQ$2,"День")</f>
        <v>29</v>
      </c>
      <c r="G18" s="5" t="n">
        <f aca="false">SUMIFS($H18:$CQ18,$H$2:$CQ$2,"Ночь")</f>
        <v>3</v>
      </c>
      <c r="H18" s="9" t="n">
        <f aca="false">SUMIFS('Исходные данные'!$I$2:$I$966,'Исходные данные'!$D$2:$D$966,H$1,'Исходные данные'!$F$2:$F$966,$A18)</f>
        <v>0</v>
      </c>
      <c r="I18" s="9" t="n">
        <f aca="false">SUMIFS('Исходные данные'!$J$2:$J$966,'Исходные данные'!$D$2:$D$966,H$1,'Исходные данные'!$F$2:$F$966,$A18)</f>
        <v>0</v>
      </c>
      <c r="J18" s="9" t="n">
        <f aca="false">SUMIFS('Исходные данные'!$I$2:$I$966,'Исходные данные'!$D$2:$D$966,J$1,'Исходные данные'!$F$2:$F$966,$A18)</f>
        <v>0</v>
      </c>
      <c r="K18" s="9" t="n">
        <f aca="false">SUMIFS('Исходные данные'!$J$2:$J$966,'Исходные данные'!$D$2:$D$966,J$1,'Исходные данные'!$F$2:$F$966,$A18)</f>
        <v>0</v>
      </c>
      <c r="L18" s="9" t="n">
        <f aca="false">SUMIFS('Исходные данные'!$I$2:$I$966,'Исходные данные'!$D$2:$D$966,L$1,'Исходные данные'!$F$2:$F$966,$A18)</f>
        <v>0</v>
      </c>
      <c r="M18" s="9" t="n">
        <f aca="false">SUMIFS('Исходные данные'!$J$2:$J$966,'Исходные данные'!$D$2:$D$966,L$1,'Исходные данные'!$F$2:$F$966,$A18)</f>
        <v>0</v>
      </c>
      <c r="N18" s="9" t="n">
        <f aca="false">SUMIFS('Исходные данные'!$I$2:$I$966,'Исходные данные'!$D$2:$D$966,N$1,'Исходные данные'!$F$2:$F$966,$A18)</f>
        <v>0</v>
      </c>
      <c r="O18" s="9" t="n">
        <f aca="false">SUMIFS('Исходные данные'!$J$2:$J$966,'Исходные данные'!$D$2:$D$966,N$1,'Исходные данные'!$F$2:$F$966,$A18)</f>
        <v>0</v>
      </c>
      <c r="P18" s="9" t="n">
        <f aca="false">SUMIFS('Исходные данные'!$I$2:$I$966,'Исходные данные'!$D$2:$D$966,P$1,'Исходные данные'!$F$2:$F$966,$A18)</f>
        <v>0</v>
      </c>
      <c r="Q18" s="9" t="n">
        <f aca="false">SUMIFS('Исходные данные'!$J$2:$J$966,'Исходные данные'!$D$2:$D$966,P$1,'Исходные данные'!$F$2:$F$966,$A18)</f>
        <v>0</v>
      </c>
      <c r="R18" s="9" t="n">
        <f aca="false">SUMIFS('Исходные данные'!$I$2:$I$966,'Исходные данные'!$D$2:$D$966,R$1,'Исходные данные'!$F$2:$F$966,$A18)</f>
        <v>0</v>
      </c>
      <c r="S18" s="9" t="n">
        <f aca="false">SUMIFS('Исходные данные'!$J$2:$J$966,'Исходные данные'!$D$2:$D$966,R$1,'Исходные данные'!$F$2:$F$966,$A18)</f>
        <v>0</v>
      </c>
      <c r="T18" s="9" t="n">
        <f aca="false">SUMIFS('Исходные данные'!$I$2:$I$966,'Исходные данные'!$D$2:$D$966,T$1,'Исходные данные'!$F$2:$F$966,$A18)</f>
        <v>0</v>
      </c>
      <c r="U18" s="9" t="n">
        <f aca="false">SUMIFS('Исходные данные'!$J$2:$J$966,'Исходные данные'!$D$2:$D$966,T$1,'Исходные данные'!$F$2:$F$966,$A18)</f>
        <v>0</v>
      </c>
      <c r="V18" s="9" t="n">
        <f aca="false">SUMIFS('Исходные данные'!$I$2:$I$966,'Исходные данные'!$D$2:$D$966,V$1,'Исходные данные'!$F$2:$F$966,$A18)</f>
        <v>0</v>
      </c>
      <c r="W18" s="9" t="n">
        <f aca="false">SUMIFS('Исходные данные'!$J$2:$J$966,'Исходные данные'!$D$2:$D$966,V$1,'Исходные данные'!$F$2:$F$966,$A18)</f>
        <v>0</v>
      </c>
      <c r="X18" s="9" t="n">
        <f aca="false">SUMIFS('Исходные данные'!$I$2:$I$966,'Исходные данные'!$D$2:$D$966,X$1,'Исходные данные'!$F$2:$F$966,$A18)</f>
        <v>0</v>
      </c>
      <c r="Y18" s="9" t="n">
        <f aca="false">SUMIFS('Исходные данные'!$J$2:$J$966,'Исходные данные'!$D$2:$D$966,X$1,'Исходные данные'!$F$2:$F$966,$A18)</f>
        <v>0</v>
      </c>
      <c r="Z18" s="9" t="n">
        <f aca="false">SUMIFS('Исходные данные'!$I$2:$I$966,'Исходные данные'!$D$2:$D$966,Z$1,'Исходные данные'!$F$2:$F$966,$A18)</f>
        <v>24</v>
      </c>
      <c r="AA18" s="9" t="n">
        <f aca="false">SUMIFS('Исходные данные'!$J$2:$J$966,'Исходные данные'!$D$2:$D$966,Z$1,'Исходные данные'!$F$2:$F$966,$A18)</f>
        <v>2</v>
      </c>
      <c r="AB18" s="9" t="n">
        <f aca="false">SUMIFS('Исходные данные'!$I$2:$I$966,'Исходные данные'!$D$2:$D$966,AB$1,'Исходные данные'!$F$2:$F$966,$A18)</f>
        <v>0</v>
      </c>
      <c r="AC18" s="9" t="n">
        <f aca="false">SUMIFS('Исходные данные'!$J$2:$J$966,'Исходные данные'!$D$2:$D$966,AB$1,'Исходные данные'!$F$2:$F$966,$A18)</f>
        <v>0</v>
      </c>
      <c r="AD18" s="9" t="n">
        <f aca="false">SUMIFS('Исходные данные'!$I$2:$I$966,'Исходные данные'!$D$2:$D$966,AD$1,'Исходные данные'!$F$2:$F$966,$A18)</f>
        <v>0</v>
      </c>
      <c r="AE18" s="9" t="n">
        <f aca="false">SUMIFS('Исходные данные'!$J$2:$J$966,'Исходные данные'!$D$2:$D$966,AD$1,'Исходные данные'!$F$2:$F$966,$A18)</f>
        <v>0</v>
      </c>
      <c r="AF18" s="9" t="n">
        <f aca="false">SUMIFS('Исходные данные'!$I$2:$I$966,'Исходные данные'!$D$2:$D$966,AF$1,'Исходные данные'!$F$2:$F$966,$A18)</f>
        <v>0</v>
      </c>
      <c r="AG18" s="9" t="n">
        <f aca="false">SUMIFS('Исходные данные'!$J$2:$J$966,'Исходные данные'!$D$2:$D$966,AF$1,'Исходные данные'!$F$2:$F$966,$A18)</f>
        <v>0</v>
      </c>
      <c r="AH18" s="9" t="n">
        <f aca="false">SUMIFS('Исходные данные'!$I$2:$I$966,'Исходные данные'!$D$2:$D$966,AH$1,'Исходные данные'!$F$2:$F$966,$A18)</f>
        <v>0</v>
      </c>
      <c r="AI18" s="9" t="n">
        <f aca="false">SUMIFS('Исходные данные'!$J$2:$J$966,'Исходные данные'!$D$2:$D$966,AH$1,'Исходные данные'!$F$2:$F$966,$A18)</f>
        <v>0</v>
      </c>
      <c r="AJ18" s="9" t="n">
        <f aca="false">SUMIFS('Исходные данные'!$I$2:$I$966,'Исходные данные'!$D$2:$D$966,AJ$1,'Исходные данные'!$F$2:$F$966,$A18)</f>
        <v>0</v>
      </c>
      <c r="AK18" s="9" t="n">
        <f aca="false">SUMIFS('Исходные данные'!$J$2:$J$966,'Исходные данные'!$D$2:$D$966,AJ$1,'Исходные данные'!$F$2:$F$966,$A18)</f>
        <v>0</v>
      </c>
      <c r="AL18" s="9" t="n">
        <f aca="false">SUMIFS('Исходные данные'!$I$2:$I$966,'Исходные данные'!$D$2:$D$966,AL$1,'Исходные данные'!$F$2:$F$966,$A18)</f>
        <v>1</v>
      </c>
      <c r="AM18" s="9" t="n">
        <f aca="false">SUMIFS('Исходные данные'!$J$2:$J$966,'Исходные данные'!$D$2:$D$966,AL$1,'Исходные данные'!$F$2:$F$966,$A18)</f>
        <v>1</v>
      </c>
      <c r="AN18" s="9" t="n">
        <f aca="false">SUMIFS('Исходные данные'!$I$2:$I$966,'Исходные данные'!$D$2:$D$966,AN$1,'Исходные данные'!$F$2:$F$966,$A18)</f>
        <v>0</v>
      </c>
      <c r="AO18" s="9" t="n">
        <f aca="false">SUMIFS('Исходные данные'!$J$2:$J$966,'Исходные данные'!$D$2:$D$966,AN$1,'Исходные данные'!$F$2:$F$966,$A18)</f>
        <v>0</v>
      </c>
      <c r="AP18" s="9" t="n">
        <f aca="false">SUMIFS('Исходные данные'!$I$2:$I$966,'Исходные данные'!$D$2:$D$966,AP$1,'Исходные данные'!$F$2:$F$966,$A18)</f>
        <v>0</v>
      </c>
      <c r="AQ18" s="9" t="n">
        <f aca="false">SUMIFS('Исходные данные'!$J$2:$J$966,'Исходные данные'!$D$2:$D$966,AP$1,'Исходные данные'!$F$2:$F$966,$A18)</f>
        <v>0</v>
      </c>
      <c r="AR18" s="9" t="n">
        <f aca="false">SUMIFS('Исходные данные'!$I$2:$I$966,'Исходные данные'!$D$2:$D$966,AR$1,'Исходные данные'!$F$2:$F$966,$A18)</f>
        <v>0</v>
      </c>
      <c r="AS18" s="9" t="n">
        <f aca="false">SUMIFS('Исходные данные'!$J$2:$J$966,'Исходные данные'!$D$2:$D$966,AR$1,'Исходные данные'!$F$2:$F$966,$A18)</f>
        <v>0</v>
      </c>
      <c r="AT18" s="9" t="n">
        <f aca="false">SUMIFS('Исходные данные'!$I$2:$I$966,'Исходные данные'!$D$2:$D$966,AT$1,'Исходные данные'!$F$2:$F$966,$A18)</f>
        <v>0</v>
      </c>
      <c r="AU18" s="9" t="n">
        <f aca="false">SUMIFS('Исходные данные'!$J$2:$J$966,'Исходные данные'!$D$2:$D$966,AT$1,'Исходные данные'!$F$2:$F$966,$A18)</f>
        <v>0</v>
      </c>
      <c r="AV18" s="9" t="n">
        <f aca="false">SUMIFS('Исходные данные'!$I$2:$I$966,'Исходные данные'!$D$2:$D$966,AV$1,'Исходные данные'!$F$2:$F$966,$A18)</f>
        <v>0</v>
      </c>
      <c r="AW18" s="9" t="n">
        <f aca="false">SUMIFS('Исходные данные'!$J$2:$J$966,'Исходные данные'!$D$2:$D$966,AV$1,'Исходные данные'!$F$2:$F$966,$A18)</f>
        <v>0</v>
      </c>
      <c r="AX18" s="9" t="n">
        <f aca="false">SUMIFS('Исходные данные'!$I$2:$I$966,'Исходные данные'!$D$2:$D$966,AX$1,'Исходные данные'!$F$2:$F$966,$A18)</f>
        <v>0</v>
      </c>
      <c r="AY18" s="9" t="n">
        <f aca="false">SUMIFS('Исходные данные'!$J$2:$J$966,'Исходные данные'!$D$2:$D$966,AX$1,'Исходные данные'!$F$2:$F$966,$A18)</f>
        <v>0</v>
      </c>
      <c r="AZ18" s="9" t="n">
        <f aca="false">SUMIFS('Исходные данные'!$I$2:$I$966,'Исходные данные'!$D$2:$D$966,AZ$1,'Исходные данные'!$F$2:$F$966,$A18)</f>
        <v>0</v>
      </c>
      <c r="BA18" s="9" t="n">
        <f aca="false">SUMIFS('Исходные данные'!$J$2:$J$966,'Исходные данные'!$D$2:$D$966,AZ$1,'Исходные данные'!$F$2:$F$966,$A18)</f>
        <v>0</v>
      </c>
      <c r="BB18" s="9" t="n">
        <f aca="false">SUMIFS('Исходные данные'!$I$2:$I$966,'Исходные данные'!$D$2:$D$966,BB$1,'Исходные данные'!$F$2:$F$966,$A18)</f>
        <v>0</v>
      </c>
      <c r="BC18" s="9" t="n">
        <f aca="false">SUMIFS('Исходные данные'!$J$2:$J$966,'Исходные данные'!$D$2:$D$966,BB$1,'Исходные данные'!$F$2:$F$966,$A18)</f>
        <v>0</v>
      </c>
      <c r="BD18" s="9" t="n">
        <f aca="false">SUMIFS('Исходные данные'!$I$2:$I$966,'Исходные данные'!$D$2:$D$966,BD$1,'Исходные данные'!$F$2:$F$966,$A18)</f>
        <v>0</v>
      </c>
      <c r="BE18" s="9" t="n">
        <f aca="false">SUMIFS('Исходные данные'!$J$2:$J$966,'Исходные данные'!$D$2:$D$966,BD$1,'Исходные данные'!$F$2:$F$966,$A18)</f>
        <v>0</v>
      </c>
      <c r="BF18" s="9" t="n">
        <f aca="false">SUMIFS('Исходные данные'!$I$2:$I$966,'Исходные данные'!$D$2:$D$966,BF$1,'Исходные данные'!$F$2:$F$966,$A18)</f>
        <v>0</v>
      </c>
      <c r="BG18" s="9" t="n">
        <f aca="false">SUMIFS('Исходные данные'!$J$2:$J$966,'Исходные данные'!$D$2:$D$966,BF$1,'Исходные данные'!$F$2:$F$966,$A18)</f>
        <v>0</v>
      </c>
      <c r="BH18" s="9" t="n">
        <f aca="false">SUMIFS('Исходные данные'!$I$2:$I$966,'Исходные данные'!$D$2:$D$966,BH$1,'Исходные данные'!$F$2:$F$966,$A18)</f>
        <v>0</v>
      </c>
      <c r="BI18" s="9" t="n">
        <f aca="false">SUMIFS('Исходные данные'!$J$2:$J$966,'Исходные данные'!$D$2:$D$966,BH$1,'Исходные данные'!$F$2:$F$966,$A18)</f>
        <v>0</v>
      </c>
      <c r="BJ18" s="9" t="n">
        <f aca="false">SUMIFS('Исходные данные'!$I$2:$I$966,'Исходные данные'!$D$2:$D$966,BJ$1,'Исходные данные'!$F$2:$F$966,$A18)</f>
        <v>0</v>
      </c>
      <c r="BK18" s="9" t="n">
        <f aca="false">SUMIFS('Исходные данные'!$J$2:$J$966,'Исходные данные'!$D$2:$D$966,BJ$1,'Исходные данные'!$F$2:$F$966,$A18)</f>
        <v>0</v>
      </c>
      <c r="BL18" s="9" t="n">
        <f aca="false">SUMIFS('Исходные данные'!$I$2:$I$966,'Исходные данные'!$D$2:$D$966,BL$1,'Исходные данные'!$F$2:$F$966,$A18)</f>
        <v>0</v>
      </c>
      <c r="BM18" s="9" t="n">
        <f aca="false">SUMIFS('Исходные данные'!$J$2:$J$966,'Исходные данные'!$D$2:$D$966,BL$1,'Исходные данные'!$F$2:$F$966,$A18)</f>
        <v>0</v>
      </c>
      <c r="BN18" s="9" t="n">
        <f aca="false">SUMIFS('Исходные данные'!$I$2:$I$966,'Исходные данные'!$D$2:$D$966,BN$1,'Исходные данные'!$F$2:$F$966,$A18)</f>
        <v>0</v>
      </c>
      <c r="BO18" s="9" t="n">
        <f aca="false">SUMIFS('Исходные данные'!$J$2:$J$966,'Исходные данные'!$D$2:$D$966,BN$1,'Исходные данные'!$F$2:$F$966,$A18)</f>
        <v>0</v>
      </c>
      <c r="BP18" s="9" t="n">
        <f aca="false">SUMIFS('Исходные данные'!$I$2:$I$966,'Исходные данные'!$D$2:$D$966,BP$1,'Исходные данные'!$F$2:$F$966,$A18)</f>
        <v>0</v>
      </c>
      <c r="BQ18" s="9" t="n">
        <f aca="false">SUMIFS('Исходные данные'!$J$2:$J$966,'Исходные данные'!$D$2:$D$966,BP$1,'Исходные данные'!$F$2:$F$966,$A18)</f>
        <v>0</v>
      </c>
      <c r="BR18" s="9" t="n">
        <f aca="false">SUMIFS('Исходные данные'!$I$2:$I$966,'Исходные данные'!$D$2:$D$966,BR$1,'Исходные данные'!$F$2:$F$966,$A18)</f>
        <v>0</v>
      </c>
      <c r="BS18" s="9" t="n">
        <f aca="false">SUMIFS('Исходные данные'!$J$2:$J$966,'Исходные данные'!$D$2:$D$966,BR$1,'Исходные данные'!$F$2:$F$966,$A18)</f>
        <v>0</v>
      </c>
      <c r="BT18" s="9" t="n">
        <f aca="false">SUMIFS('Исходные данные'!$I$2:$I$966,'Исходные данные'!$D$2:$D$966,BT$1,'Исходные данные'!$F$2:$F$966,$A18)</f>
        <v>0</v>
      </c>
      <c r="BU18" s="9" t="n">
        <f aca="false">SUMIFS('Исходные данные'!$J$2:$J$966,'Исходные данные'!$D$2:$D$966,BT$1,'Исходные данные'!$F$2:$F$966,$A18)</f>
        <v>0</v>
      </c>
      <c r="BV18" s="9" t="n">
        <f aca="false">SUMIFS('Исходные данные'!$I$2:$I$966,'Исходные данные'!$D$2:$D$966,BV$1,'Исходные данные'!$F$2:$F$966,$A18)</f>
        <v>0</v>
      </c>
      <c r="BW18" s="9" t="n">
        <f aca="false">SUMIFS('Исходные данные'!$J$2:$J$966,'Исходные данные'!$D$2:$D$966,BV$1,'Исходные данные'!$F$2:$F$966,$A18)</f>
        <v>0</v>
      </c>
      <c r="BX18" s="9" t="n">
        <f aca="false">SUMIFS('Исходные данные'!$I$2:$I$966,'Исходные данные'!$D$2:$D$966,BX$1,'Исходные данные'!$F$2:$F$966,$A18)</f>
        <v>0</v>
      </c>
      <c r="BY18" s="9" t="n">
        <f aca="false">SUMIFS('Исходные данные'!$J$2:$J$966,'Исходные данные'!$D$2:$D$966,BX$1,'Исходные данные'!$F$2:$F$966,$A18)</f>
        <v>0</v>
      </c>
      <c r="BZ18" s="9" t="n">
        <f aca="false">SUMIFS('Исходные данные'!$I$2:$I$966,'Исходные данные'!$D$2:$D$966,BZ$1,'Исходные данные'!$F$2:$F$966,$A18)</f>
        <v>4</v>
      </c>
      <c r="CA18" s="9" t="n">
        <f aca="false">SUMIFS('Исходные данные'!$J$2:$J$966,'Исходные данные'!$D$2:$D$966,BZ$1,'Исходные данные'!$F$2:$F$966,$A18)</f>
        <v>0</v>
      </c>
      <c r="CB18" s="9" t="n">
        <f aca="false">SUMIFS('Исходные данные'!$I$2:$I$966,'Исходные данные'!$D$2:$D$966,CB$1,'Исходные данные'!$F$2:$F$966,$A18)</f>
        <v>0</v>
      </c>
      <c r="CC18" s="9" t="n">
        <f aca="false">SUMIFS('Исходные данные'!$J$2:$J$966,'Исходные данные'!$D$2:$D$966,CB$1,'Исходные данные'!$F$2:$F$966,$A18)</f>
        <v>0</v>
      </c>
      <c r="CD18" s="9" t="n">
        <f aca="false">SUMIFS('Исходные данные'!$I$2:$I$966,'Исходные данные'!$D$2:$D$966,CD$1,'Исходные данные'!$F$2:$F$966,$A18)</f>
        <v>0</v>
      </c>
      <c r="CE18" s="9" t="n">
        <f aca="false">SUMIFS('Исходные данные'!$J$2:$J$966,'Исходные данные'!$D$2:$D$966,CD$1,'Исходные данные'!$F$2:$F$966,$A18)</f>
        <v>0</v>
      </c>
      <c r="CF18" s="9" t="n">
        <f aca="false">SUMIFS('Исходные данные'!$I$2:$I$966,'Исходные данные'!$D$2:$D$966,CF$1,'Исходные данные'!$F$2:$F$966,$A18)</f>
        <v>0</v>
      </c>
      <c r="CG18" s="9" t="n">
        <f aca="false">SUMIFS('Исходные данные'!$J$2:$J$966,'Исходные данные'!$D$2:$D$966,CF$1,'Исходные данные'!$F$2:$F$966,$A18)</f>
        <v>0</v>
      </c>
      <c r="CH18" s="9" t="n">
        <f aca="false">SUMIFS('Исходные данные'!$I$2:$I$966,'Исходные данные'!$D$2:$D$966,CH$1,'Исходные данные'!$F$2:$F$966,$A18)</f>
        <v>0</v>
      </c>
      <c r="CI18" s="9" t="n">
        <f aca="false">SUMIFS('Исходные данные'!$J$2:$J$966,'Исходные данные'!$D$2:$D$966,CH$1,'Исходные данные'!$F$2:$F$966,$A18)</f>
        <v>0</v>
      </c>
      <c r="CJ18" s="9" t="n">
        <f aca="false">SUMIFS('Исходные данные'!$I$2:$I$966,'Исходные данные'!$D$2:$D$966,CJ$1,'Исходные данные'!$F$2:$F$966,$A18)</f>
        <v>0</v>
      </c>
      <c r="CK18" s="9" t="n">
        <f aca="false">SUMIFS('Исходные данные'!$J$2:$J$966,'Исходные данные'!$D$2:$D$966,CJ$1,'Исходные данные'!$F$2:$F$966,$A18)</f>
        <v>0</v>
      </c>
      <c r="CL18" s="9" t="n">
        <f aca="false">SUMIFS('Исходные данные'!$I$2:$I$966,'Исходные данные'!$D$2:$D$966,CL$1,'Исходные данные'!$F$2:$F$966,$A18)</f>
        <v>0</v>
      </c>
      <c r="CM18" s="9" t="n">
        <f aca="false">SUMIFS('Исходные данные'!$J$2:$J$966,'Исходные данные'!$D$2:$D$966,CL$1,'Исходные данные'!$F$2:$F$966,$A18)</f>
        <v>0</v>
      </c>
      <c r="CN18" s="9" t="n">
        <f aca="false">SUMIFS('Исходные данные'!$I$2:$I$966,'Исходные данные'!$D$2:$D$966,CN$1,'Исходные данные'!$F$2:$F$966,$A18)</f>
        <v>0</v>
      </c>
      <c r="CO18" s="9" t="n">
        <f aca="false">SUMIFS('Исходные данные'!$J$2:$J$966,'Исходные данные'!$D$2:$D$966,CN$1,'Исходные данные'!$F$2:$F$966,$A18)</f>
        <v>0</v>
      </c>
      <c r="CP18" s="9" t="n">
        <f aca="false">SUMIFS('Исходные данные'!$I$2:$I$966,'Исходные данные'!$D$2:$D$966,CP$1,'Исходные данные'!$F$2:$F$966,$A18)</f>
        <v>0</v>
      </c>
      <c r="CQ18" s="9" t="n">
        <f aca="false">SUMIFS('Исходные данные'!$J$2:$J$966,'Исходные данные'!$D$2:$D$966,CP$1,'Исходные данные'!$F$2:$F$966,$A18)</f>
        <v>0</v>
      </c>
    </row>
    <row r="19" customFormat="false" ht="15" hidden="false" customHeight="false" outlineLevel="0" collapsed="false">
      <c r="A19" s="8" t="s">
        <v>85</v>
      </c>
      <c r="B19" s="9" t="s">
        <v>86</v>
      </c>
      <c r="C19" s="5" t="n">
        <v>13</v>
      </c>
      <c r="D19" s="5" t="n">
        <f aca="false">F19+G19</f>
        <v>13</v>
      </c>
      <c r="E19" s="5" t="n">
        <f aca="false">D19-C19</f>
        <v>0</v>
      </c>
      <c r="F19" s="5" t="n">
        <f aca="false">SUMIFS($H19:$CQ19,$H$2:$CQ$2,"День")</f>
        <v>11</v>
      </c>
      <c r="G19" s="5" t="n">
        <f aca="false">SUMIFS($H19:$CQ19,$H$2:$CQ$2,"Ночь")</f>
        <v>2</v>
      </c>
      <c r="H19" s="9" t="n">
        <f aca="false">SUMIFS('Исходные данные'!$I$2:$I$966,'Исходные данные'!$D$2:$D$966,H$1,'Исходные данные'!$F$2:$F$966,$A19)</f>
        <v>0</v>
      </c>
      <c r="I19" s="9" t="n">
        <f aca="false">SUMIFS('Исходные данные'!$J$2:$J$966,'Исходные данные'!$D$2:$D$966,H$1,'Исходные данные'!$F$2:$F$966,$A19)</f>
        <v>0</v>
      </c>
      <c r="J19" s="9" t="n">
        <f aca="false">SUMIFS('Исходные данные'!$I$2:$I$966,'Исходные данные'!$D$2:$D$966,J$1,'Исходные данные'!$F$2:$F$966,$A19)</f>
        <v>0</v>
      </c>
      <c r="K19" s="9" t="n">
        <f aca="false">SUMIFS('Исходные данные'!$J$2:$J$966,'Исходные данные'!$D$2:$D$966,J$1,'Исходные данные'!$F$2:$F$966,$A19)</f>
        <v>0</v>
      </c>
      <c r="L19" s="9" t="n">
        <f aca="false">SUMIFS('Исходные данные'!$I$2:$I$966,'Исходные данные'!$D$2:$D$966,L$1,'Исходные данные'!$F$2:$F$966,$A19)</f>
        <v>0</v>
      </c>
      <c r="M19" s="9" t="n">
        <f aca="false">SUMIFS('Исходные данные'!$J$2:$J$966,'Исходные данные'!$D$2:$D$966,L$1,'Исходные данные'!$F$2:$F$966,$A19)</f>
        <v>0</v>
      </c>
      <c r="N19" s="9" t="n">
        <f aca="false">SUMIFS('Исходные данные'!$I$2:$I$966,'Исходные данные'!$D$2:$D$966,N$1,'Исходные данные'!$F$2:$F$966,$A19)</f>
        <v>0</v>
      </c>
      <c r="O19" s="9" t="n">
        <f aca="false">SUMIFS('Исходные данные'!$J$2:$J$966,'Исходные данные'!$D$2:$D$966,N$1,'Исходные данные'!$F$2:$F$966,$A19)</f>
        <v>0</v>
      </c>
      <c r="P19" s="9" t="n">
        <f aca="false">SUMIFS('Исходные данные'!$I$2:$I$966,'Исходные данные'!$D$2:$D$966,P$1,'Исходные данные'!$F$2:$F$966,$A19)</f>
        <v>1</v>
      </c>
      <c r="Q19" s="9" t="n">
        <f aca="false">SUMIFS('Исходные данные'!$J$2:$J$966,'Исходные данные'!$D$2:$D$966,P$1,'Исходные данные'!$F$2:$F$966,$A19)</f>
        <v>0</v>
      </c>
      <c r="R19" s="9" t="n">
        <f aca="false">SUMIFS('Исходные данные'!$I$2:$I$966,'Исходные данные'!$D$2:$D$966,R$1,'Исходные данные'!$F$2:$F$966,$A19)</f>
        <v>0</v>
      </c>
      <c r="S19" s="9" t="n">
        <f aca="false">SUMIFS('Исходные данные'!$J$2:$J$966,'Исходные данные'!$D$2:$D$966,R$1,'Исходные данные'!$F$2:$F$966,$A19)</f>
        <v>0</v>
      </c>
      <c r="T19" s="9" t="n">
        <f aca="false">SUMIFS('Исходные данные'!$I$2:$I$966,'Исходные данные'!$D$2:$D$966,T$1,'Исходные данные'!$F$2:$F$966,$A19)</f>
        <v>1</v>
      </c>
      <c r="U19" s="9" t="n">
        <f aca="false">SUMIFS('Исходные данные'!$J$2:$J$966,'Исходные данные'!$D$2:$D$966,T$1,'Исходные данные'!$F$2:$F$966,$A19)</f>
        <v>0</v>
      </c>
      <c r="V19" s="9" t="n">
        <f aca="false">SUMIFS('Исходные данные'!$I$2:$I$966,'Исходные данные'!$D$2:$D$966,V$1,'Исходные данные'!$F$2:$F$966,$A19)</f>
        <v>0</v>
      </c>
      <c r="W19" s="9" t="n">
        <f aca="false">SUMIFS('Исходные данные'!$J$2:$J$966,'Исходные данные'!$D$2:$D$966,V$1,'Исходные данные'!$F$2:$F$966,$A19)</f>
        <v>0</v>
      </c>
      <c r="X19" s="9" t="n">
        <f aca="false">SUMIFS('Исходные данные'!$I$2:$I$966,'Исходные данные'!$D$2:$D$966,X$1,'Исходные данные'!$F$2:$F$966,$A19)</f>
        <v>0</v>
      </c>
      <c r="Y19" s="9" t="n">
        <f aca="false">SUMIFS('Исходные данные'!$J$2:$J$966,'Исходные данные'!$D$2:$D$966,X$1,'Исходные данные'!$F$2:$F$966,$A19)</f>
        <v>0</v>
      </c>
      <c r="Z19" s="9" t="n">
        <f aca="false">SUMIFS('Исходные данные'!$I$2:$I$966,'Исходные данные'!$D$2:$D$966,Z$1,'Исходные данные'!$F$2:$F$966,$A19)</f>
        <v>1</v>
      </c>
      <c r="AA19" s="9" t="n">
        <f aca="false">SUMIFS('Исходные данные'!$J$2:$J$966,'Исходные данные'!$D$2:$D$966,Z$1,'Исходные данные'!$F$2:$F$966,$A19)</f>
        <v>0</v>
      </c>
      <c r="AB19" s="9" t="n">
        <f aca="false">SUMIFS('Исходные данные'!$I$2:$I$966,'Исходные данные'!$D$2:$D$966,AB$1,'Исходные данные'!$F$2:$F$966,$A19)</f>
        <v>0</v>
      </c>
      <c r="AC19" s="9" t="n">
        <f aca="false">SUMIFS('Исходные данные'!$J$2:$J$966,'Исходные данные'!$D$2:$D$966,AB$1,'Исходные данные'!$F$2:$F$966,$A19)</f>
        <v>0</v>
      </c>
      <c r="AD19" s="9" t="n">
        <f aca="false">SUMIFS('Исходные данные'!$I$2:$I$966,'Исходные данные'!$D$2:$D$966,AD$1,'Исходные данные'!$F$2:$F$966,$A19)</f>
        <v>1</v>
      </c>
      <c r="AE19" s="9" t="n">
        <f aca="false">SUMIFS('Исходные данные'!$J$2:$J$966,'Исходные данные'!$D$2:$D$966,AD$1,'Исходные данные'!$F$2:$F$966,$A19)</f>
        <v>0</v>
      </c>
      <c r="AF19" s="9" t="n">
        <f aca="false">SUMIFS('Исходные данные'!$I$2:$I$966,'Исходные данные'!$D$2:$D$966,AF$1,'Исходные данные'!$F$2:$F$966,$A19)</f>
        <v>2</v>
      </c>
      <c r="AG19" s="9" t="n">
        <f aca="false">SUMIFS('Исходные данные'!$J$2:$J$966,'Исходные данные'!$D$2:$D$966,AF$1,'Исходные данные'!$F$2:$F$966,$A19)</f>
        <v>0</v>
      </c>
      <c r="AH19" s="9" t="n">
        <f aca="false">SUMIFS('Исходные данные'!$I$2:$I$966,'Исходные данные'!$D$2:$D$966,AH$1,'Исходные данные'!$F$2:$F$966,$A19)</f>
        <v>3</v>
      </c>
      <c r="AI19" s="9" t="n">
        <f aca="false">SUMIFS('Исходные данные'!$J$2:$J$966,'Исходные данные'!$D$2:$D$966,AH$1,'Исходные данные'!$F$2:$F$966,$A19)</f>
        <v>1</v>
      </c>
      <c r="AJ19" s="9" t="n">
        <f aca="false">SUMIFS('Исходные данные'!$I$2:$I$966,'Исходные данные'!$D$2:$D$966,AJ$1,'Исходные данные'!$F$2:$F$966,$A19)</f>
        <v>0</v>
      </c>
      <c r="AK19" s="9" t="n">
        <f aca="false">SUMIFS('Исходные данные'!$J$2:$J$966,'Исходные данные'!$D$2:$D$966,AJ$1,'Исходные данные'!$F$2:$F$966,$A19)</f>
        <v>0</v>
      </c>
      <c r="AL19" s="9" t="n">
        <f aca="false">SUMIFS('Исходные данные'!$I$2:$I$966,'Исходные данные'!$D$2:$D$966,AL$1,'Исходные данные'!$F$2:$F$966,$A19)</f>
        <v>0</v>
      </c>
      <c r="AM19" s="9" t="n">
        <f aca="false">SUMIFS('Исходные данные'!$J$2:$J$966,'Исходные данные'!$D$2:$D$966,AL$1,'Исходные данные'!$F$2:$F$966,$A19)</f>
        <v>0</v>
      </c>
      <c r="AN19" s="9" t="n">
        <f aca="false">SUMIFS('Исходные данные'!$I$2:$I$966,'Исходные данные'!$D$2:$D$966,AN$1,'Исходные данные'!$F$2:$F$966,$A19)</f>
        <v>0</v>
      </c>
      <c r="AO19" s="9" t="n">
        <f aca="false">SUMIFS('Исходные данные'!$J$2:$J$966,'Исходные данные'!$D$2:$D$966,AN$1,'Исходные данные'!$F$2:$F$966,$A19)</f>
        <v>0</v>
      </c>
      <c r="AP19" s="9" t="n">
        <f aca="false">SUMIFS('Исходные данные'!$I$2:$I$966,'Исходные данные'!$D$2:$D$966,AP$1,'Исходные данные'!$F$2:$F$966,$A19)</f>
        <v>0</v>
      </c>
      <c r="AQ19" s="9" t="n">
        <f aca="false">SUMIFS('Исходные данные'!$J$2:$J$966,'Исходные данные'!$D$2:$D$966,AP$1,'Исходные данные'!$F$2:$F$966,$A19)</f>
        <v>0</v>
      </c>
      <c r="AR19" s="9" t="n">
        <f aca="false">SUMIFS('Исходные данные'!$I$2:$I$966,'Исходные данные'!$D$2:$D$966,AR$1,'Исходные данные'!$F$2:$F$966,$A19)</f>
        <v>0</v>
      </c>
      <c r="AS19" s="9" t="n">
        <f aca="false">SUMIFS('Исходные данные'!$J$2:$J$966,'Исходные данные'!$D$2:$D$966,AR$1,'Исходные данные'!$F$2:$F$966,$A19)</f>
        <v>0</v>
      </c>
      <c r="AT19" s="9" t="n">
        <f aca="false">SUMIFS('Исходные данные'!$I$2:$I$966,'Исходные данные'!$D$2:$D$966,AT$1,'Исходные данные'!$F$2:$F$966,$A19)</f>
        <v>1</v>
      </c>
      <c r="AU19" s="9" t="n">
        <f aca="false">SUMIFS('Исходные данные'!$J$2:$J$966,'Исходные данные'!$D$2:$D$966,AT$1,'Исходные данные'!$F$2:$F$966,$A19)</f>
        <v>0</v>
      </c>
      <c r="AV19" s="9" t="n">
        <f aca="false">SUMIFS('Исходные данные'!$I$2:$I$966,'Исходные данные'!$D$2:$D$966,AV$1,'Исходные данные'!$F$2:$F$966,$A19)</f>
        <v>1</v>
      </c>
      <c r="AW19" s="9" t="n">
        <f aca="false">SUMIFS('Исходные данные'!$J$2:$J$966,'Исходные данные'!$D$2:$D$966,AV$1,'Исходные данные'!$F$2:$F$966,$A19)</f>
        <v>1</v>
      </c>
      <c r="AX19" s="9" t="n">
        <f aca="false">SUMIFS('Исходные данные'!$I$2:$I$966,'Исходные данные'!$D$2:$D$966,AX$1,'Исходные данные'!$F$2:$F$966,$A19)</f>
        <v>0</v>
      </c>
      <c r="AY19" s="9" t="n">
        <f aca="false">SUMIFS('Исходные данные'!$J$2:$J$966,'Исходные данные'!$D$2:$D$966,AX$1,'Исходные данные'!$F$2:$F$966,$A19)</f>
        <v>0</v>
      </c>
      <c r="AZ19" s="9" t="n">
        <f aca="false">SUMIFS('Исходные данные'!$I$2:$I$966,'Исходные данные'!$D$2:$D$966,AZ$1,'Исходные данные'!$F$2:$F$966,$A19)</f>
        <v>0</v>
      </c>
      <c r="BA19" s="9" t="n">
        <f aca="false">SUMIFS('Исходные данные'!$J$2:$J$966,'Исходные данные'!$D$2:$D$966,AZ$1,'Исходные данные'!$F$2:$F$966,$A19)</f>
        <v>0</v>
      </c>
      <c r="BB19" s="9" t="n">
        <f aca="false">SUMIFS('Исходные данные'!$I$2:$I$966,'Исходные данные'!$D$2:$D$966,BB$1,'Исходные данные'!$F$2:$F$966,$A19)</f>
        <v>0</v>
      </c>
      <c r="BC19" s="9" t="n">
        <f aca="false">SUMIFS('Исходные данные'!$J$2:$J$966,'Исходные данные'!$D$2:$D$966,BB$1,'Исходные данные'!$F$2:$F$966,$A19)</f>
        <v>0</v>
      </c>
      <c r="BD19" s="9" t="n">
        <f aca="false">SUMIFS('Исходные данные'!$I$2:$I$966,'Исходные данные'!$D$2:$D$966,BD$1,'Исходные данные'!$F$2:$F$966,$A19)</f>
        <v>0</v>
      </c>
      <c r="BE19" s="9" t="n">
        <f aca="false">SUMIFS('Исходные данные'!$J$2:$J$966,'Исходные данные'!$D$2:$D$966,BD$1,'Исходные данные'!$F$2:$F$966,$A19)</f>
        <v>0</v>
      </c>
      <c r="BF19" s="9" t="n">
        <f aca="false">SUMIFS('Исходные данные'!$I$2:$I$966,'Исходные данные'!$D$2:$D$966,BF$1,'Исходные данные'!$F$2:$F$966,$A19)</f>
        <v>0</v>
      </c>
      <c r="BG19" s="9" t="n">
        <f aca="false">SUMIFS('Исходные данные'!$J$2:$J$966,'Исходные данные'!$D$2:$D$966,BF$1,'Исходные данные'!$F$2:$F$966,$A19)</f>
        <v>0</v>
      </c>
      <c r="BH19" s="9" t="n">
        <f aca="false">SUMIFS('Исходные данные'!$I$2:$I$966,'Исходные данные'!$D$2:$D$966,BH$1,'Исходные данные'!$F$2:$F$966,$A19)</f>
        <v>0</v>
      </c>
      <c r="BI19" s="9" t="n">
        <f aca="false">SUMIFS('Исходные данные'!$J$2:$J$966,'Исходные данные'!$D$2:$D$966,BH$1,'Исходные данные'!$F$2:$F$966,$A19)</f>
        <v>0</v>
      </c>
      <c r="BJ19" s="9" t="n">
        <f aca="false">SUMIFS('Исходные данные'!$I$2:$I$966,'Исходные данные'!$D$2:$D$966,BJ$1,'Исходные данные'!$F$2:$F$966,$A19)</f>
        <v>0</v>
      </c>
      <c r="BK19" s="9" t="n">
        <f aca="false">SUMIFS('Исходные данные'!$J$2:$J$966,'Исходные данные'!$D$2:$D$966,BJ$1,'Исходные данные'!$F$2:$F$966,$A19)</f>
        <v>0</v>
      </c>
      <c r="BL19" s="9" t="n">
        <f aca="false">SUMIFS('Исходные данные'!$I$2:$I$966,'Исходные данные'!$D$2:$D$966,BL$1,'Исходные данные'!$F$2:$F$966,$A19)</f>
        <v>0</v>
      </c>
      <c r="BM19" s="9" t="n">
        <f aca="false">SUMIFS('Исходные данные'!$J$2:$J$966,'Исходные данные'!$D$2:$D$966,BL$1,'Исходные данные'!$F$2:$F$966,$A19)</f>
        <v>0</v>
      </c>
      <c r="BN19" s="9" t="n">
        <f aca="false">SUMIFS('Исходные данные'!$I$2:$I$966,'Исходные данные'!$D$2:$D$966,BN$1,'Исходные данные'!$F$2:$F$966,$A19)</f>
        <v>0</v>
      </c>
      <c r="BO19" s="9" t="n">
        <f aca="false">SUMIFS('Исходные данные'!$J$2:$J$966,'Исходные данные'!$D$2:$D$966,BN$1,'Исходные данные'!$F$2:$F$966,$A19)</f>
        <v>0</v>
      </c>
      <c r="BP19" s="9" t="n">
        <f aca="false">SUMIFS('Исходные данные'!$I$2:$I$966,'Исходные данные'!$D$2:$D$966,BP$1,'Исходные данные'!$F$2:$F$966,$A19)</f>
        <v>0</v>
      </c>
      <c r="BQ19" s="9" t="n">
        <f aca="false">SUMIFS('Исходные данные'!$J$2:$J$966,'Исходные данные'!$D$2:$D$966,BP$1,'Исходные данные'!$F$2:$F$966,$A19)</f>
        <v>0</v>
      </c>
      <c r="BR19" s="9" t="n">
        <f aca="false">SUMIFS('Исходные данные'!$I$2:$I$966,'Исходные данные'!$D$2:$D$966,BR$1,'Исходные данные'!$F$2:$F$966,$A19)</f>
        <v>0</v>
      </c>
      <c r="BS19" s="9" t="n">
        <f aca="false">SUMIFS('Исходные данные'!$J$2:$J$966,'Исходные данные'!$D$2:$D$966,BR$1,'Исходные данные'!$F$2:$F$966,$A19)</f>
        <v>0</v>
      </c>
      <c r="BT19" s="9" t="n">
        <f aca="false">SUMIFS('Исходные данные'!$I$2:$I$966,'Исходные данные'!$D$2:$D$966,BT$1,'Исходные данные'!$F$2:$F$966,$A19)</f>
        <v>0</v>
      </c>
      <c r="BU19" s="9" t="n">
        <f aca="false">SUMIFS('Исходные данные'!$J$2:$J$966,'Исходные данные'!$D$2:$D$966,BT$1,'Исходные данные'!$F$2:$F$966,$A19)</f>
        <v>0</v>
      </c>
      <c r="BV19" s="9" t="n">
        <f aca="false">SUMIFS('Исходные данные'!$I$2:$I$966,'Исходные данные'!$D$2:$D$966,BV$1,'Исходные данные'!$F$2:$F$966,$A19)</f>
        <v>0</v>
      </c>
      <c r="BW19" s="9" t="n">
        <f aca="false">SUMIFS('Исходные данные'!$J$2:$J$966,'Исходные данные'!$D$2:$D$966,BV$1,'Исходные данные'!$F$2:$F$966,$A19)</f>
        <v>0</v>
      </c>
      <c r="BX19" s="9" t="n">
        <f aca="false">SUMIFS('Исходные данные'!$I$2:$I$966,'Исходные данные'!$D$2:$D$966,BX$1,'Исходные данные'!$F$2:$F$966,$A19)</f>
        <v>0</v>
      </c>
      <c r="BY19" s="9" t="n">
        <f aca="false">SUMIFS('Исходные данные'!$J$2:$J$966,'Исходные данные'!$D$2:$D$966,BX$1,'Исходные данные'!$F$2:$F$966,$A19)</f>
        <v>0</v>
      </c>
      <c r="BZ19" s="9" t="n">
        <f aca="false">SUMIFS('Исходные данные'!$I$2:$I$966,'Исходные данные'!$D$2:$D$966,BZ$1,'Исходные данные'!$F$2:$F$966,$A19)</f>
        <v>0</v>
      </c>
      <c r="CA19" s="9" t="n">
        <f aca="false">SUMIFS('Исходные данные'!$J$2:$J$966,'Исходные данные'!$D$2:$D$966,BZ$1,'Исходные данные'!$F$2:$F$966,$A19)</f>
        <v>0</v>
      </c>
      <c r="CB19" s="9" t="n">
        <f aca="false">SUMIFS('Исходные данные'!$I$2:$I$966,'Исходные данные'!$D$2:$D$966,CB$1,'Исходные данные'!$F$2:$F$966,$A19)</f>
        <v>0</v>
      </c>
      <c r="CC19" s="9" t="n">
        <f aca="false">SUMIFS('Исходные данные'!$J$2:$J$966,'Исходные данные'!$D$2:$D$966,CB$1,'Исходные данные'!$F$2:$F$966,$A19)</f>
        <v>0</v>
      </c>
      <c r="CD19" s="9" t="n">
        <f aca="false">SUMIFS('Исходные данные'!$I$2:$I$966,'Исходные данные'!$D$2:$D$966,CD$1,'Исходные данные'!$F$2:$F$966,$A19)</f>
        <v>0</v>
      </c>
      <c r="CE19" s="9" t="n">
        <f aca="false">SUMIFS('Исходные данные'!$J$2:$J$966,'Исходные данные'!$D$2:$D$966,CD$1,'Исходные данные'!$F$2:$F$966,$A19)</f>
        <v>0</v>
      </c>
      <c r="CF19" s="9" t="n">
        <f aca="false">SUMIFS('Исходные данные'!$I$2:$I$966,'Исходные данные'!$D$2:$D$966,CF$1,'Исходные данные'!$F$2:$F$966,$A19)</f>
        <v>0</v>
      </c>
      <c r="CG19" s="9" t="n">
        <f aca="false">SUMIFS('Исходные данные'!$J$2:$J$966,'Исходные данные'!$D$2:$D$966,CF$1,'Исходные данные'!$F$2:$F$966,$A19)</f>
        <v>0</v>
      </c>
      <c r="CH19" s="9" t="n">
        <f aca="false">SUMIFS('Исходные данные'!$I$2:$I$966,'Исходные данные'!$D$2:$D$966,CH$1,'Исходные данные'!$F$2:$F$966,$A19)</f>
        <v>0</v>
      </c>
      <c r="CI19" s="9" t="n">
        <f aca="false">SUMIFS('Исходные данные'!$J$2:$J$966,'Исходные данные'!$D$2:$D$966,CH$1,'Исходные данные'!$F$2:$F$966,$A19)</f>
        <v>0</v>
      </c>
      <c r="CJ19" s="9" t="n">
        <f aca="false">SUMIFS('Исходные данные'!$I$2:$I$966,'Исходные данные'!$D$2:$D$966,CJ$1,'Исходные данные'!$F$2:$F$966,$A19)</f>
        <v>0</v>
      </c>
      <c r="CK19" s="9" t="n">
        <f aca="false">SUMIFS('Исходные данные'!$J$2:$J$966,'Исходные данные'!$D$2:$D$966,CJ$1,'Исходные данные'!$F$2:$F$966,$A19)</f>
        <v>0</v>
      </c>
      <c r="CL19" s="9" t="n">
        <f aca="false">SUMIFS('Исходные данные'!$I$2:$I$966,'Исходные данные'!$D$2:$D$966,CL$1,'Исходные данные'!$F$2:$F$966,$A19)</f>
        <v>0</v>
      </c>
      <c r="CM19" s="9" t="n">
        <f aca="false">SUMIFS('Исходные данные'!$J$2:$J$966,'Исходные данные'!$D$2:$D$966,CL$1,'Исходные данные'!$F$2:$F$966,$A19)</f>
        <v>0</v>
      </c>
      <c r="CN19" s="9" t="n">
        <f aca="false">SUMIFS('Исходные данные'!$I$2:$I$966,'Исходные данные'!$D$2:$D$966,CN$1,'Исходные данные'!$F$2:$F$966,$A19)</f>
        <v>0</v>
      </c>
      <c r="CO19" s="9" t="n">
        <f aca="false">SUMIFS('Исходные данные'!$J$2:$J$966,'Исходные данные'!$D$2:$D$966,CN$1,'Исходные данные'!$F$2:$F$966,$A19)</f>
        <v>0</v>
      </c>
      <c r="CP19" s="9" t="n">
        <f aca="false">SUMIFS('Исходные данные'!$I$2:$I$966,'Исходные данные'!$D$2:$D$966,CP$1,'Исходные данные'!$F$2:$F$966,$A19)</f>
        <v>0</v>
      </c>
      <c r="CQ19" s="9" t="n">
        <f aca="false">SUMIFS('Исходные данные'!$J$2:$J$966,'Исходные данные'!$D$2:$D$966,CP$1,'Исходные данные'!$F$2:$F$966,$A19)</f>
        <v>0</v>
      </c>
    </row>
    <row r="20" customFormat="false" ht="15" hidden="false" customHeight="false" outlineLevel="0" collapsed="false">
      <c r="A20" s="8" t="s">
        <v>87</v>
      </c>
      <c r="B20" s="9" t="s">
        <v>88</v>
      </c>
      <c r="C20" s="5" t="n">
        <v>7</v>
      </c>
      <c r="D20" s="5" t="n">
        <f aca="false">F20+G20</f>
        <v>7</v>
      </c>
      <c r="E20" s="5" t="n">
        <f aca="false">D20-C20</f>
        <v>0</v>
      </c>
      <c r="F20" s="5" t="n">
        <f aca="false">SUMIFS($H20:$CQ20,$H$2:$CQ$2,"День")</f>
        <v>3</v>
      </c>
      <c r="G20" s="5" t="n">
        <f aca="false">SUMIFS($H20:$CQ20,$H$2:$CQ$2,"Ночь")</f>
        <v>4</v>
      </c>
      <c r="H20" s="9" t="n">
        <f aca="false">SUMIFS('Исходные данные'!$I$2:$I$966,'Исходные данные'!$D$2:$D$966,H$1,'Исходные данные'!$F$2:$F$966,$A20)</f>
        <v>0</v>
      </c>
      <c r="I20" s="9" t="n">
        <f aca="false">SUMIFS('Исходные данные'!$J$2:$J$966,'Исходные данные'!$D$2:$D$966,H$1,'Исходные данные'!$F$2:$F$966,$A20)</f>
        <v>0</v>
      </c>
      <c r="J20" s="9" t="n">
        <f aca="false">SUMIFS('Исходные данные'!$I$2:$I$966,'Исходные данные'!$D$2:$D$966,J$1,'Исходные данные'!$F$2:$F$966,$A20)</f>
        <v>0</v>
      </c>
      <c r="K20" s="9" t="n">
        <f aca="false">SUMIFS('Исходные данные'!$J$2:$J$966,'Исходные данные'!$D$2:$D$966,J$1,'Исходные данные'!$F$2:$F$966,$A20)</f>
        <v>0</v>
      </c>
      <c r="L20" s="9" t="n">
        <f aca="false">SUMIFS('Исходные данные'!$I$2:$I$966,'Исходные данные'!$D$2:$D$966,L$1,'Исходные данные'!$F$2:$F$966,$A20)</f>
        <v>0</v>
      </c>
      <c r="M20" s="9" t="n">
        <f aca="false">SUMIFS('Исходные данные'!$J$2:$J$966,'Исходные данные'!$D$2:$D$966,L$1,'Исходные данные'!$F$2:$F$966,$A20)</f>
        <v>0</v>
      </c>
      <c r="N20" s="9" t="n">
        <f aca="false">SUMIFS('Исходные данные'!$I$2:$I$966,'Исходные данные'!$D$2:$D$966,N$1,'Исходные данные'!$F$2:$F$966,$A20)</f>
        <v>0</v>
      </c>
      <c r="O20" s="9" t="n">
        <f aca="false">SUMIFS('Исходные данные'!$J$2:$J$966,'Исходные данные'!$D$2:$D$966,N$1,'Исходные данные'!$F$2:$F$966,$A20)</f>
        <v>0</v>
      </c>
      <c r="P20" s="9" t="n">
        <f aca="false">SUMIFS('Исходные данные'!$I$2:$I$966,'Исходные данные'!$D$2:$D$966,P$1,'Исходные данные'!$F$2:$F$966,$A20)</f>
        <v>0</v>
      </c>
      <c r="Q20" s="9" t="n">
        <f aca="false">SUMIFS('Исходные данные'!$J$2:$J$966,'Исходные данные'!$D$2:$D$966,P$1,'Исходные данные'!$F$2:$F$966,$A20)</f>
        <v>0</v>
      </c>
      <c r="R20" s="9" t="n">
        <f aca="false">SUMIFS('Исходные данные'!$I$2:$I$966,'Исходные данные'!$D$2:$D$966,R$1,'Исходные данные'!$F$2:$F$966,$A20)</f>
        <v>0</v>
      </c>
      <c r="S20" s="9" t="n">
        <f aca="false">SUMIFS('Исходные данные'!$J$2:$J$966,'Исходные данные'!$D$2:$D$966,R$1,'Исходные данные'!$F$2:$F$966,$A20)</f>
        <v>0</v>
      </c>
      <c r="T20" s="9" t="n">
        <f aca="false">SUMIFS('Исходные данные'!$I$2:$I$966,'Исходные данные'!$D$2:$D$966,T$1,'Исходные данные'!$F$2:$F$966,$A20)</f>
        <v>0</v>
      </c>
      <c r="U20" s="9" t="n">
        <f aca="false">SUMIFS('Исходные данные'!$J$2:$J$966,'Исходные данные'!$D$2:$D$966,T$1,'Исходные данные'!$F$2:$F$966,$A20)</f>
        <v>0</v>
      </c>
      <c r="V20" s="9" t="n">
        <f aca="false">SUMIFS('Исходные данные'!$I$2:$I$966,'Исходные данные'!$D$2:$D$966,V$1,'Исходные данные'!$F$2:$F$966,$A20)</f>
        <v>0</v>
      </c>
      <c r="W20" s="9" t="n">
        <f aca="false">SUMIFS('Исходные данные'!$J$2:$J$966,'Исходные данные'!$D$2:$D$966,V$1,'Исходные данные'!$F$2:$F$966,$A20)</f>
        <v>0</v>
      </c>
      <c r="X20" s="9" t="n">
        <f aca="false">SUMIFS('Исходные данные'!$I$2:$I$966,'Исходные данные'!$D$2:$D$966,X$1,'Исходные данные'!$F$2:$F$966,$A20)</f>
        <v>0</v>
      </c>
      <c r="Y20" s="9" t="n">
        <f aca="false">SUMIFS('Исходные данные'!$J$2:$J$966,'Исходные данные'!$D$2:$D$966,X$1,'Исходные данные'!$F$2:$F$966,$A20)</f>
        <v>0</v>
      </c>
      <c r="Z20" s="9" t="n">
        <f aca="false">SUMIFS('Исходные данные'!$I$2:$I$966,'Исходные данные'!$D$2:$D$966,Z$1,'Исходные данные'!$F$2:$F$966,$A20)</f>
        <v>0</v>
      </c>
      <c r="AA20" s="9" t="n">
        <f aca="false">SUMIFS('Исходные данные'!$J$2:$J$966,'Исходные данные'!$D$2:$D$966,Z$1,'Исходные данные'!$F$2:$F$966,$A20)</f>
        <v>0</v>
      </c>
      <c r="AB20" s="9" t="n">
        <f aca="false">SUMIFS('Исходные данные'!$I$2:$I$966,'Исходные данные'!$D$2:$D$966,AB$1,'Исходные данные'!$F$2:$F$966,$A20)</f>
        <v>0</v>
      </c>
      <c r="AC20" s="9" t="n">
        <f aca="false">SUMIFS('Исходные данные'!$J$2:$J$966,'Исходные данные'!$D$2:$D$966,AB$1,'Исходные данные'!$F$2:$F$966,$A20)</f>
        <v>0</v>
      </c>
      <c r="AD20" s="9" t="n">
        <f aca="false">SUMIFS('Исходные данные'!$I$2:$I$966,'Исходные данные'!$D$2:$D$966,AD$1,'Исходные данные'!$F$2:$F$966,$A20)</f>
        <v>0</v>
      </c>
      <c r="AE20" s="9" t="n">
        <f aca="false">SUMIFS('Исходные данные'!$J$2:$J$966,'Исходные данные'!$D$2:$D$966,AD$1,'Исходные данные'!$F$2:$F$966,$A20)</f>
        <v>0</v>
      </c>
      <c r="AF20" s="9" t="n">
        <f aca="false">SUMIFS('Исходные данные'!$I$2:$I$966,'Исходные данные'!$D$2:$D$966,AF$1,'Исходные данные'!$F$2:$F$966,$A20)</f>
        <v>0</v>
      </c>
      <c r="AG20" s="9" t="n">
        <f aca="false">SUMIFS('Исходные данные'!$J$2:$J$966,'Исходные данные'!$D$2:$D$966,AF$1,'Исходные данные'!$F$2:$F$966,$A20)</f>
        <v>0</v>
      </c>
      <c r="AH20" s="9" t="n">
        <f aca="false">SUMIFS('Исходные данные'!$I$2:$I$966,'Исходные данные'!$D$2:$D$966,AH$1,'Исходные данные'!$F$2:$F$966,$A20)</f>
        <v>0</v>
      </c>
      <c r="AI20" s="9" t="n">
        <f aca="false">SUMIFS('Исходные данные'!$J$2:$J$966,'Исходные данные'!$D$2:$D$966,AH$1,'Исходные данные'!$F$2:$F$966,$A20)</f>
        <v>0</v>
      </c>
      <c r="AJ20" s="9" t="n">
        <f aca="false">SUMIFS('Исходные данные'!$I$2:$I$966,'Исходные данные'!$D$2:$D$966,AJ$1,'Исходные данные'!$F$2:$F$966,$A20)</f>
        <v>0</v>
      </c>
      <c r="AK20" s="9" t="n">
        <f aca="false">SUMIFS('Исходные данные'!$J$2:$J$966,'Исходные данные'!$D$2:$D$966,AJ$1,'Исходные данные'!$F$2:$F$966,$A20)</f>
        <v>0</v>
      </c>
      <c r="AL20" s="9" t="n">
        <f aca="false">SUMIFS('Исходные данные'!$I$2:$I$966,'Исходные данные'!$D$2:$D$966,AL$1,'Исходные данные'!$F$2:$F$966,$A20)</f>
        <v>0</v>
      </c>
      <c r="AM20" s="9" t="n">
        <f aca="false">SUMIFS('Исходные данные'!$J$2:$J$966,'Исходные данные'!$D$2:$D$966,AL$1,'Исходные данные'!$F$2:$F$966,$A20)</f>
        <v>0</v>
      </c>
      <c r="AN20" s="9" t="n">
        <f aca="false">SUMIFS('Исходные данные'!$I$2:$I$966,'Исходные данные'!$D$2:$D$966,AN$1,'Исходные данные'!$F$2:$F$966,$A20)</f>
        <v>0</v>
      </c>
      <c r="AO20" s="9" t="n">
        <f aca="false">SUMIFS('Исходные данные'!$J$2:$J$966,'Исходные данные'!$D$2:$D$966,AN$1,'Исходные данные'!$F$2:$F$966,$A20)</f>
        <v>0</v>
      </c>
      <c r="AP20" s="9" t="n">
        <f aca="false">SUMIFS('Исходные данные'!$I$2:$I$966,'Исходные данные'!$D$2:$D$966,AP$1,'Исходные данные'!$F$2:$F$966,$A20)</f>
        <v>0</v>
      </c>
      <c r="AQ20" s="9" t="n">
        <f aca="false">SUMIFS('Исходные данные'!$J$2:$J$966,'Исходные данные'!$D$2:$D$966,AP$1,'Исходные данные'!$F$2:$F$966,$A20)</f>
        <v>0</v>
      </c>
      <c r="AR20" s="9" t="n">
        <f aca="false">SUMIFS('Исходные данные'!$I$2:$I$966,'Исходные данные'!$D$2:$D$966,AR$1,'Исходные данные'!$F$2:$F$966,$A20)</f>
        <v>0</v>
      </c>
      <c r="AS20" s="9" t="n">
        <f aca="false">SUMIFS('Исходные данные'!$J$2:$J$966,'Исходные данные'!$D$2:$D$966,AR$1,'Исходные данные'!$F$2:$F$966,$A20)</f>
        <v>0</v>
      </c>
      <c r="AT20" s="9" t="n">
        <f aca="false">SUMIFS('Исходные данные'!$I$2:$I$966,'Исходные данные'!$D$2:$D$966,AT$1,'Исходные данные'!$F$2:$F$966,$A20)</f>
        <v>0</v>
      </c>
      <c r="AU20" s="9" t="n">
        <f aca="false">SUMIFS('Исходные данные'!$J$2:$J$966,'Исходные данные'!$D$2:$D$966,AT$1,'Исходные данные'!$F$2:$F$966,$A20)</f>
        <v>0</v>
      </c>
      <c r="AV20" s="9" t="n">
        <f aca="false">SUMIFS('Исходные данные'!$I$2:$I$966,'Исходные данные'!$D$2:$D$966,AV$1,'Исходные данные'!$F$2:$F$966,$A20)</f>
        <v>0</v>
      </c>
      <c r="AW20" s="9" t="n">
        <f aca="false">SUMIFS('Исходные данные'!$J$2:$J$966,'Исходные данные'!$D$2:$D$966,AV$1,'Исходные данные'!$F$2:$F$966,$A20)</f>
        <v>0</v>
      </c>
      <c r="AX20" s="9" t="n">
        <f aca="false">SUMIFS('Исходные данные'!$I$2:$I$966,'Исходные данные'!$D$2:$D$966,AX$1,'Исходные данные'!$F$2:$F$966,$A20)</f>
        <v>0</v>
      </c>
      <c r="AY20" s="9" t="n">
        <f aca="false">SUMIFS('Исходные данные'!$J$2:$J$966,'Исходные данные'!$D$2:$D$966,AX$1,'Исходные данные'!$F$2:$F$966,$A20)</f>
        <v>0</v>
      </c>
      <c r="AZ20" s="9" t="n">
        <f aca="false">SUMIFS('Исходные данные'!$I$2:$I$966,'Исходные данные'!$D$2:$D$966,AZ$1,'Исходные данные'!$F$2:$F$966,$A20)</f>
        <v>0</v>
      </c>
      <c r="BA20" s="9" t="n">
        <f aca="false">SUMIFS('Исходные данные'!$J$2:$J$966,'Исходные данные'!$D$2:$D$966,AZ$1,'Исходные данные'!$F$2:$F$966,$A20)</f>
        <v>0</v>
      </c>
      <c r="BB20" s="9" t="n">
        <f aca="false">SUMIFS('Исходные данные'!$I$2:$I$966,'Исходные данные'!$D$2:$D$966,BB$1,'Исходные данные'!$F$2:$F$966,$A20)</f>
        <v>0</v>
      </c>
      <c r="BC20" s="9" t="n">
        <f aca="false">SUMIFS('Исходные данные'!$J$2:$J$966,'Исходные данные'!$D$2:$D$966,BB$1,'Исходные данные'!$F$2:$F$966,$A20)</f>
        <v>0</v>
      </c>
      <c r="BD20" s="9" t="n">
        <f aca="false">SUMIFS('Исходные данные'!$I$2:$I$966,'Исходные данные'!$D$2:$D$966,BD$1,'Исходные данные'!$F$2:$F$966,$A20)</f>
        <v>0</v>
      </c>
      <c r="BE20" s="9" t="n">
        <f aca="false">SUMIFS('Исходные данные'!$J$2:$J$966,'Исходные данные'!$D$2:$D$966,BD$1,'Исходные данные'!$F$2:$F$966,$A20)</f>
        <v>0</v>
      </c>
      <c r="BF20" s="9" t="n">
        <f aca="false">SUMIFS('Исходные данные'!$I$2:$I$966,'Исходные данные'!$D$2:$D$966,BF$1,'Исходные данные'!$F$2:$F$966,$A20)</f>
        <v>0</v>
      </c>
      <c r="BG20" s="9" t="n">
        <f aca="false">SUMIFS('Исходные данные'!$J$2:$J$966,'Исходные данные'!$D$2:$D$966,BF$1,'Исходные данные'!$F$2:$F$966,$A20)</f>
        <v>0</v>
      </c>
      <c r="BH20" s="9" t="n">
        <f aca="false">SUMIFS('Исходные данные'!$I$2:$I$966,'Исходные данные'!$D$2:$D$966,BH$1,'Исходные данные'!$F$2:$F$966,$A20)</f>
        <v>0</v>
      </c>
      <c r="BI20" s="9" t="n">
        <f aca="false">SUMIFS('Исходные данные'!$J$2:$J$966,'Исходные данные'!$D$2:$D$966,BH$1,'Исходные данные'!$F$2:$F$966,$A20)</f>
        <v>0</v>
      </c>
      <c r="BJ20" s="9" t="n">
        <f aca="false">SUMIFS('Исходные данные'!$I$2:$I$966,'Исходные данные'!$D$2:$D$966,BJ$1,'Исходные данные'!$F$2:$F$966,$A20)</f>
        <v>0</v>
      </c>
      <c r="BK20" s="9" t="n">
        <f aca="false">SUMIFS('Исходные данные'!$J$2:$J$966,'Исходные данные'!$D$2:$D$966,BJ$1,'Исходные данные'!$F$2:$F$966,$A20)</f>
        <v>0</v>
      </c>
      <c r="BL20" s="9" t="n">
        <f aca="false">SUMIFS('Исходные данные'!$I$2:$I$966,'Исходные данные'!$D$2:$D$966,BL$1,'Исходные данные'!$F$2:$F$966,$A20)</f>
        <v>0</v>
      </c>
      <c r="BM20" s="9" t="n">
        <f aca="false">SUMIFS('Исходные данные'!$J$2:$J$966,'Исходные данные'!$D$2:$D$966,BL$1,'Исходные данные'!$F$2:$F$966,$A20)</f>
        <v>0</v>
      </c>
      <c r="BN20" s="9" t="n">
        <f aca="false">SUMIFS('Исходные данные'!$I$2:$I$966,'Исходные данные'!$D$2:$D$966,BN$1,'Исходные данные'!$F$2:$F$966,$A20)</f>
        <v>0</v>
      </c>
      <c r="BO20" s="9" t="n">
        <f aca="false">SUMIFS('Исходные данные'!$J$2:$J$966,'Исходные данные'!$D$2:$D$966,BN$1,'Исходные данные'!$F$2:$F$966,$A20)</f>
        <v>0</v>
      </c>
      <c r="BP20" s="9" t="n">
        <f aca="false">SUMIFS('Исходные данные'!$I$2:$I$966,'Исходные данные'!$D$2:$D$966,BP$1,'Исходные данные'!$F$2:$F$966,$A20)</f>
        <v>0</v>
      </c>
      <c r="BQ20" s="9" t="n">
        <f aca="false">SUMIFS('Исходные данные'!$J$2:$J$966,'Исходные данные'!$D$2:$D$966,BP$1,'Исходные данные'!$F$2:$F$966,$A20)</f>
        <v>0</v>
      </c>
      <c r="BR20" s="9" t="n">
        <f aca="false">SUMIFS('Исходные данные'!$I$2:$I$966,'Исходные данные'!$D$2:$D$966,BR$1,'Исходные данные'!$F$2:$F$966,$A20)</f>
        <v>0</v>
      </c>
      <c r="BS20" s="9" t="n">
        <f aca="false">SUMIFS('Исходные данные'!$J$2:$J$966,'Исходные данные'!$D$2:$D$966,BR$1,'Исходные данные'!$F$2:$F$966,$A20)</f>
        <v>0</v>
      </c>
      <c r="BT20" s="9" t="n">
        <f aca="false">SUMIFS('Исходные данные'!$I$2:$I$966,'Исходные данные'!$D$2:$D$966,BT$1,'Исходные данные'!$F$2:$F$966,$A20)</f>
        <v>0</v>
      </c>
      <c r="BU20" s="9" t="n">
        <f aca="false">SUMIFS('Исходные данные'!$J$2:$J$966,'Исходные данные'!$D$2:$D$966,BT$1,'Исходные данные'!$F$2:$F$966,$A20)</f>
        <v>0</v>
      </c>
      <c r="BV20" s="9" t="n">
        <f aca="false">SUMIFS('Исходные данные'!$I$2:$I$966,'Исходные данные'!$D$2:$D$966,BV$1,'Исходные данные'!$F$2:$F$966,$A20)</f>
        <v>0</v>
      </c>
      <c r="BW20" s="9" t="n">
        <f aca="false">SUMIFS('Исходные данные'!$J$2:$J$966,'Исходные данные'!$D$2:$D$966,BV$1,'Исходные данные'!$F$2:$F$966,$A20)</f>
        <v>0</v>
      </c>
      <c r="BX20" s="9" t="n">
        <f aca="false">SUMIFS('Исходные данные'!$I$2:$I$966,'Исходные данные'!$D$2:$D$966,BX$1,'Исходные данные'!$F$2:$F$966,$A20)</f>
        <v>3</v>
      </c>
      <c r="BY20" s="9" t="n">
        <f aca="false">SUMIFS('Исходные данные'!$J$2:$J$966,'Исходные данные'!$D$2:$D$966,BX$1,'Исходные данные'!$F$2:$F$966,$A20)</f>
        <v>4</v>
      </c>
      <c r="BZ20" s="9" t="n">
        <f aca="false">SUMIFS('Исходные данные'!$I$2:$I$966,'Исходные данные'!$D$2:$D$966,BZ$1,'Исходные данные'!$F$2:$F$966,$A20)</f>
        <v>0</v>
      </c>
      <c r="CA20" s="9" t="n">
        <f aca="false">SUMIFS('Исходные данные'!$J$2:$J$966,'Исходные данные'!$D$2:$D$966,BZ$1,'Исходные данные'!$F$2:$F$966,$A20)</f>
        <v>0</v>
      </c>
      <c r="CB20" s="9" t="n">
        <f aca="false">SUMIFS('Исходные данные'!$I$2:$I$966,'Исходные данные'!$D$2:$D$966,CB$1,'Исходные данные'!$F$2:$F$966,$A20)</f>
        <v>0</v>
      </c>
      <c r="CC20" s="9" t="n">
        <f aca="false">SUMIFS('Исходные данные'!$J$2:$J$966,'Исходные данные'!$D$2:$D$966,CB$1,'Исходные данные'!$F$2:$F$966,$A20)</f>
        <v>0</v>
      </c>
      <c r="CD20" s="9" t="n">
        <f aca="false">SUMIFS('Исходные данные'!$I$2:$I$966,'Исходные данные'!$D$2:$D$966,CD$1,'Исходные данные'!$F$2:$F$966,$A20)</f>
        <v>0</v>
      </c>
      <c r="CE20" s="9" t="n">
        <f aca="false">SUMIFS('Исходные данные'!$J$2:$J$966,'Исходные данные'!$D$2:$D$966,CD$1,'Исходные данные'!$F$2:$F$966,$A20)</f>
        <v>0</v>
      </c>
      <c r="CF20" s="9" t="n">
        <f aca="false">SUMIFS('Исходные данные'!$I$2:$I$966,'Исходные данные'!$D$2:$D$966,CF$1,'Исходные данные'!$F$2:$F$966,$A20)</f>
        <v>0</v>
      </c>
      <c r="CG20" s="9" t="n">
        <f aca="false">SUMIFS('Исходные данные'!$J$2:$J$966,'Исходные данные'!$D$2:$D$966,CF$1,'Исходные данные'!$F$2:$F$966,$A20)</f>
        <v>0</v>
      </c>
      <c r="CH20" s="9" t="n">
        <f aca="false">SUMIFS('Исходные данные'!$I$2:$I$966,'Исходные данные'!$D$2:$D$966,CH$1,'Исходные данные'!$F$2:$F$966,$A20)</f>
        <v>0</v>
      </c>
      <c r="CI20" s="9" t="n">
        <f aca="false">SUMIFS('Исходные данные'!$J$2:$J$966,'Исходные данные'!$D$2:$D$966,CH$1,'Исходные данные'!$F$2:$F$966,$A20)</f>
        <v>0</v>
      </c>
      <c r="CJ20" s="9" t="n">
        <f aca="false">SUMIFS('Исходные данные'!$I$2:$I$966,'Исходные данные'!$D$2:$D$966,CJ$1,'Исходные данные'!$F$2:$F$966,$A20)</f>
        <v>0</v>
      </c>
      <c r="CK20" s="9" t="n">
        <f aca="false">SUMIFS('Исходные данные'!$J$2:$J$966,'Исходные данные'!$D$2:$D$966,CJ$1,'Исходные данные'!$F$2:$F$966,$A20)</f>
        <v>0</v>
      </c>
      <c r="CL20" s="9" t="n">
        <f aca="false">SUMIFS('Исходные данные'!$I$2:$I$966,'Исходные данные'!$D$2:$D$966,CL$1,'Исходные данные'!$F$2:$F$966,$A20)</f>
        <v>0</v>
      </c>
      <c r="CM20" s="9" t="n">
        <f aca="false">SUMIFS('Исходные данные'!$J$2:$J$966,'Исходные данные'!$D$2:$D$966,CL$1,'Исходные данные'!$F$2:$F$966,$A20)</f>
        <v>0</v>
      </c>
      <c r="CN20" s="9" t="n">
        <f aca="false">SUMIFS('Исходные данные'!$I$2:$I$966,'Исходные данные'!$D$2:$D$966,CN$1,'Исходные данные'!$F$2:$F$966,$A20)</f>
        <v>0</v>
      </c>
      <c r="CO20" s="9" t="n">
        <f aca="false">SUMIFS('Исходные данные'!$J$2:$J$966,'Исходные данные'!$D$2:$D$966,CN$1,'Исходные данные'!$F$2:$F$966,$A20)</f>
        <v>0</v>
      </c>
      <c r="CP20" s="9" t="n">
        <f aca="false">SUMIFS('Исходные данные'!$I$2:$I$966,'Исходные данные'!$D$2:$D$966,CP$1,'Исходные данные'!$F$2:$F$966,$A20)</f>
        <v>0</v>
      </c>
      <c r="CQ20" s="9" t="n">
        <f aca="false">SUMIFS('Исходные данные'!$J$2:$J$966,'Исходные данные'!$D$2:$D$966,CP$1,'Исходные данные'!$F$2:$F$966,$A20)</f>
        <v>0</v>
      </c>
    </row>
    <row r="21" customFormat="false" ht="15" hidden="false" customHeight="false" outlineLevel="0" collapsed="false">
      <c r="A21" s="8" t="s">
        <v>89</v>
      </c>
      <c r="B21" s="9" t="s">
        <v>90</v>
      </c>
      <c r="C21" s="5" t="n">
        <v>6</v>
      </c>
      <c r="D21" s="5" t="n">
        <f aca="false">F21+G21</f>
        <v>6</v>
      </c>
      <c r="E21" s="5" t="n">
        <f aca="false">D21-C21</f>
        <v>0</v>
      </c>
      <c r="F21" s="5" t="n">
        <f aca="false">SUMIFS($H21:$CQ21,$H$2:$CQ$2,"День")</f>
        <v>3</v>
      </c>
      <c r="G21" s="5" t="n">
        <f aca="false">SUMIFS($H21:$CQ21,$H$2:$CQ$2,"Ночь")</f>
        <v>3</v>
      </c>
      <c r="H21" s="9" t="n">
        <f aca="false">SUMIFS('Исходные данные'!$I$2:$I$966,'Исходные данные'!$D$2:$D$966,H$1,'Исходные данные'!$F$2:$F$966,$A21)</f>
        <v>0</v>
      </c>
      <c r="I21" s="9" t="n">
        <f aca="false">SUMIFS('Исходные данные'!$J$2:$J$966,'Исходные данные'!$D$2:$D$966,H$1,'Исходные данные'!$F$2:$F$966,$A21)</f>
        <v>0</v>
      </c>
      <c r="J21" s="9" t="n">
        <f aca="false">SUMIFS('Исходные данные'!$I$2:$I$966,'Исходные данные'!$D$2:$D$966,J$1,'Исходные данные'!$F$2:$F$966,$A21)</f>
        <v>0</v>
      </c>
      <c r="K21" s="9" t="n">
        <f aca="false">SUMIFS('Исходные данные'!$J$2:$J$966,'Исходные данные'!$D$2:$D$966,J$1,'Исходные данные'!$F$2:$F$966,$A21)</f>
        <v>0</v>
      </c>
      <c r="L21" s="9" t="n">
        <f aca="false">SUMIFS('Исходные данные'!$I$2:$I$966,'Исходные данные'!$D$2:$D$966,L$1,'Исходные данные'!$F$2:$F$966,$A21)</f>
        <v>0</v>
      </c>
      <c r="M21" s="9" t="n">
        <f aca="false">SUMIFS('Исходные данные'!$J$2:$J$966,'Исходные данные'!$D$2:$D$966,L$1,'Исходные данные'!$F$2:$F$966,$A21)</f>
        <v>0</v>
      </c>
      <c r="N21" s="9" t="n">
        <f aca="false">SUMIFS('Исходные данные'!$I$2:$I$966,'Исходные данные'!$D$2:$D$966,N$1,'Исходные данные'!$F$2:$F$966,$A21)</f>
        <v>0</v>
      </c>
      <c r="O21" s="9" t="n">
        <f aca="false">SUMIFS('Исходные данные'!$J$2:$J$966,'Исходные данные'!$D$2:$D$966,N$1,'Исходные данные'!$F$2:$F$966,$A21)</f>
        <v>0</v>
      </c>
      <c r="P21" s="9" t="n">
        <f aca="false">SUMIFS('Исходные данные'!$I$2:$I$966,'Исходные данные'!$D$2:$D$966,P$1,'Исходные данные'!$F$2:$F$966,$A21)</f>
        <v>0</v>
      </c>
      <c r="Q21" s="9" t="n">
        <f aca="false">SUMIFS('Исходные данные'!$J$2:$J$966,'Исходные данные'!$D$2:$D$966,P$1,'Исходные данные'!$F$2:$F$966,$A21)</f>
        <v>0</v>
      </c>
      <c r="R21" s="9" t="n">
        <f aca="false">SUMIFS('Исходные данные'!$I$2:$I$966,'Исходные данные'!$D$2:$D$966,R$1,'Исходные данные'!$F$2:$F$966,$A21)</f>
        <v>0</v>
      </c>
      <c r="S21" s="9" t="n">
        <f aca="false">SUMIFS('Исходные данные'!$J$2:$J$966,'Исходные данные'!$D$2:$D$966,R$1,'Исходные данные'!$F$2:$F$966,$A21)</f>
        <v>0</v>
      </c>
      <c r="T21" s="9" t="n">
        <f aca="false">SUMIFS('Исходные данные'!$I$2:$I$966,'Исходные данные'!$D$2:$D$966,T$1,'Исходные данные'!$F$2:$F$966,$A21)</f>
        <v>0</v>
      </c>
      <c r="U21" s="9" t="n">
        <f aca="false">SUMIFS('Исходные данные'!$J$2:$J$966,'Исходные данные'!$D$2:$D$966,T$1,'Исходные данные'!$F$2:$F$966,$A21)</f>
        <v>0</v>
      </c>
      <c r="V21" s="9" t="n">
        <f aca="false">SUMIFS('Исходные данные'!$I$2:$I$966,'Исходные данные'!$D$2:$D$966,V$1,'Исходные данные'!$F$2:$F$966,$A21)</f>
        <v>0</v>
      </c>
      <c r="W21" s="9" t="n">
        <f aca="false">SUMIFS('Исходные данные'!$J$2:$J$966,'Исходные данные'!$D$2:$D$966,V$1,'Исходные данные'!$F$2:$F$966,$A21)</f>
        <v>0</v>
      </c>
      <c r="X21" s="9" t="n">
        <f aca="false">SUMIFS('Исходные данные'!$I$2:$I$966,'Исходные данные'!$D$2:$D$966,X$1,'Исходные данные'!$F$2:$F$966,$A21)</f>
        <v>0</v>
      </c>
      <c r="Y21" s="9" t="n">
        <f aca="false">SUMIFS('Исходные данные'!$J$2:$J$966,'Исходные данные'!$D$2:$D$966,X$1,'Исходные данные'!$F$2:$F$966,$A21)</f>
        <v>0</v>
      </c>
      <c r="Z21" s="9" t="n">
        <f aca="false">SUMIFS('Исходные данные'!$I$2:$I$966,'Исходные данные'!$D$2:$D$966,Z$1,'Исходные данные'!$F$2:$F$966,$A21)</f>
        <v>0</v>
      </c>
      <c r="AA21" s="9" t="n">
        <f aca="false">SUMIFS('Исходные данные'!$J$2:$J$966,'Исходные данные'!$D$2:$D$966,Z$1,'Исходные данные'!$F$2:$F$966,$A21)</f>
        <v>0</v>
      </c>
      <c r="AB21" s="9" t="n">
        <f aca="false">SUMIFS('Исходные данные'!$I$2:$I$966,'Исходные данные'!$D$2:$D$966,AB$1,'Исходные данные'!$F$2:$F$966,$A21)</f>
        <v>0</v>
      </c>
      <c r="AC21" s="9" t="n">
        <f aca="false">SUMIFS('Исходные данные'!$J$2:$J$966,'Исходные данные'!$D$2:$D$966,AB$1,'Исходные данные'!$F$2:$F$966,$A21)</f>
        <v>0</v>
      </c>
      <c r="AD21" s="9" t="n">
        <f aca="false">SUMIFS('Исходные данные'!$I$2:$I$966,'Исходные данные'!$D$2:$D$966,AD$1,'Исходные данные'!$F$2:$F$966,$A21)</f>
        <v>0</v>
      </c>
      <c r="AE21" s="9" t="n">
        <f aca="false">SUMIFS('Исходные данные'!$J$2:$J$966,'Исходные данные'!$D$2:$D$966,AD$1,'Исходные данные'!$F$2:$F$966,$A21)</f>
        <v>0</v>
      </c>
      <c r="AF21" s="9" t="n">
        <f aca="false">SUMIFS('Исходные данные'!$I$2:$I$966,'Исходные данные'!$D$2:$D$966,AF$1,'Исходные данные'!$F$2:$F$966,$A21)</f>
        <v>0</v>
      </c>
      <c r="AG21" s="9" t="n">
        <f aca="false">SUMIFS('Исходные данные'!$J$2:$J$966,'Исходные данные'!$D$2:$D$966,AF$1,'Исходные данные'!$F$2:$F$966,$A21)</f>
        <v>0</v>
      </c>
      <c r="AH21" s="9" t="n">
        <f aca="false">SUMIFS('Исходные данные'!$I$2:$I$966,'Исходные данные'!$D$2:$D$966,AH$1,'Исходные данные'!$F$2:$F$966,$A21)</f>
        <v>2</v>
      </c>
      <c r="AI21" s="9" t="n">
        <f aca="false">SUMIFS('Исходные данные'!$J$2:$J$966,'Исходные данные'!$D$2:$D$966,AH$1,'Исходные данные'!$F$2:$F$966,$A21)</f>
        <v>2</v>
      </c>
      <c r="AJ21" s="9" t="n">
        <f aca="false">SUMIFS('Исходные данные'!$I$2:$I$966,'Исходные данные'!$D$2:$D$966,AJ$1,'Исходные данные'!$F$2:$F$966,$A21)</f>
        <v>1</v>
      </c>
      <c r="AK21" s="9" t="n">
        <f aca="false">SUMIFS('Исходные данные'!$J$2:$J$966,'Исходные данные'!$D$2:$D$966,AJ$1,'Исходные данные'!$F$2:$F$966,$A21)</f>
        <v>1</v>
      </c>
      <c r="AL21" s="9" t="n">
        <f aca="false">SUMIFS('Исходные данные'!$I$2:$I$966,'Исходные данные'!$D$2:$D$966,AL$1,'Исходные данные'!$F$2:$F$966,$A21)</f>
        <v>0</v>
      </c>
      <c r="AM21" s="9" t="n">
        <f aca="false">SUMIFS('Исходные данные'!$J$2:$J$966,'Исходные данные'!$D$2:$D$966,AL$1,'Исходные данные'!$F$2:$F$966,$A21)</f>
        <v>0</v>
      </c>
      <c r="AN21" s="9" t="n">
        <f aca="false">SUMIFS('Исходные данные'!$I$2:$I$966,'Исходные данные'!$D$2:$D$966,AN$1,'Исходные данные'!$F$2:$F$966,$A21)</f>
        <v>0</v>
      </c>
      <c r="AO21" s="9" t="n">
        <f aca="false">SUMIFS('Исходные данные'!$J$2:$J$966,'Исходные данные'!$D$2:$D$966,AN$1,'Исходные данные'!$F$2:$F$966,$A21)</f>
        <v>0</v>
      </c>
      <c r="AP21" s="9" t="n">
        <f aca="false">SUMIFS('Исходные данные'!$I$2:$I$966,'Исходные данные'!$D$2:$D$966,AP$1,'Исходные данные'!$F$2:$F$966,$A21)</f>
        <v>0</v>
      </c>
      <c r="AQ21" s="9" t="n">
        <f aca="false">SUMIFS('Исходные данные'!$J$2:$J$966,'Исходные данные'!$D$2:$D$966,AP$1,'Исходные данные'!$F$2:$F$966,$A21)</f>
        <v>0</v>
      </c>
      <c r="AR21" s="9" t="n">
        <f aca="false">SUMIFS('Исходные данные'!$I$2:$I$966,'Исходные данные'!$D$2:$D$966,AR$1,'Исходные данные'!$F$2:$F$966,$A21)</f>
        <v>0</v>
      </c>
      <c r="AS21" s="9" t="n">
        <f aca="false">SUMIFS('Исходные данные'!$J$2:$J$966,'Исходные данные'!$D$2:$D$966,AR$1,'Исходные данные'!$F$2:$F$966,$A21)</f>
        <v>0</v>
      </c>
      <c r="AT21" s="9" t="n">
        <f aca="false">SUMIFS('Исходные данные'!$I$2:$I$966,'Исходные данные'!$D$2:$D$966,AT$1,'Исходные данные'!$F$2:$F$966,$A21)</f>
        <v>0</v>
      </c>
      <c r="AU21" s="9" t="n">
        <f aca="false">SUMIFS('Исходные данные'!$J$2:$J$966,'Исходные данные'!$D$2:$D$966,AT$1,'Исходные данные'!$F$2:$F$966,$A21)</f>
        <v>0</v>
      </c>
      <c r="AV21" s="9" t="n">
        <f aca="false">SUMIFS('Исходные данные'!$I$2:$I$966,'Исходные данные'!$D$2:$D$966,AV$1,'Исходные данные'!$F$2:$F$966,$A21)</f>
        <v>0</v>
      </c>
      <c r="AW21" s="9" t="n">
        <f aca="false">SUMIFS('Исходные данные'!$J$2:$J$966,'Исходные данные'!$D$2:$D$966,AV$1,'Исходные данные'!$F$2:$F$966,$A21)</f>
        <v>0</v>
      </c>
      <c r="AX21" s="9" t="n">
        <f aca="false">SUMIFS('Исходные данные'!$I$2:$I$966,'Исходные данные'!$D$2:$D$966,AX$1,'Исходные данные'!$F$2:$F$966,$A21)</f>
        <v>0</v>
      </c>
      <c r="AY21" s="9" t="n">
        <f aca="false">SUMIFS('Исходные данные'!$J$2:$J$966,'Исходные данные'!$D$2:$D$966,AX$1,'Исходные данные'!$F$2:$F$966,$A21)</f>
        <v>0</v>
      </c>
      <c r="AZ21" s="9" t="n">
        <f aca="false">SUMIFS('Исходные данные'!$I$2:$I$966,'Исходные данные'!$D$2:$D$966,AZ$1,'Исходные данные'!$F$2:$F$966,$A21)</f>
        <v>0</v>
      </c>
      <c r="BA21" s="9" t="n">
        <f aca="false">SUMIFS('Исходные данные'!$J$2:$J$966,'Исходные данные'!$D$2:$D$966,AZ$1,'Исходные данные'!$F$2:$F$966,$A21)</f>
        <v>0</v>
      </c>
      <c r="BB21" s="9" t="n">
        <f aca="false">SUMIFS('Исходные данные'!$I$2:$I$966,'Исходные данные'!$D$2:$D$966,BB$1,'Исходные данные'!$F$2:$F$966,$A21)</f>
        <v>0</v>
      </c>
      <c r="BC21" s="9" t="n">
        <f aca="false">SUMIFS('Исходные данные'!$J$2:$J$966,'Исходные данные'!$D$2:$D$966,BB$1,'Исходные данные'!$F$2:$F$966,$A21)</f>
        <v>0</v>
      </c>
      <c r="BD21" s="9" t="n">
        <f aca="false">SUMIFS('Исходные данные'!$I$2:$I$966,'Исходные данные'!$D$2:$D$966,BD$1,'Исходные данные'!$F$2:$F$966,$A21)</f>
        <v>0</v>
      </c>
      <c r="BE21" s="9" t="n">
        <f aca="false">SUMIFS('Исходные данные'!$J$2:$J$966,'Исходные данные'!$D$2:$D$966,BD$1,'Исходные данные'!$F$2:$F$966,$A21)</f>
        <v>0</v>
      </c>
      <c r="BF21" s="9" t="n">
        <f aca="false">SUMIFS('Исходные данные'!$I$2:$I$966,'Исходные данные'!$D$2:$D$966,BF$1,'Исходные данные'!$F$2:$F$966,$A21)</f>
        <v>0</v>
      </c>
      <c r="BG21" s="9" t="n">
        <f aca="false">SUMIFS('Исходные данные'!$J$2:$J$966,'Исходные данные'!$D$2:$D$966,BF$1,'Исходные данные'!$F$2:$F$966,$A21)</f>
        <v>0</v>
      </c>
      <c r="BH21" s="9" t="n">
        <f aca="false">SUMIFS('Исходные данные'!$I$2:$I$966,'Исходные данные'!$D$2:$D$966,BH$1,'Исходные данные'!$F$2:$F$966,$A21)</f>
        <v>0</v>
      </c>
      <c r="BI21" s="9" t="n">
        <f aca="false">SUMIFS('Исходные данные'!$J$2:$J$966,'Исходные данные'!$D$2:$D$966,BH$1,'Исходные данные'!$F$2:$F$966,$A21)</f>
        <v>0</v>
      </c>
      <c r="BJ21" s="9" t="n">
        <f aca="false">SUMIFS('Исходные данные'!$I$2:$I$966,'Исходные данные'!$D$2:$D$966,BJ$1,'Исходные данные'!$F$2:$F$966,$A21)</f>
        <v>0</v>
      </c>
      <c r="BK21" s="9" t="n">
        <f aca="false">SUMIFS('Исходные данные'!$J$2:$J$966,'Исходные данные'!$D$2:$D$966,BJ$1,'Исходные данные'!$F$2:$F$966,$A21)</f>
        <v>0</v>
      </c>
      <c r="BL21" s="9" t="n">
        <f aca="false">SUMIFS('Исходные данные'!$I$2:$I$966,'Исходные данные'!$D$2:$D$966,BL$1,'Исходные данные'!$F$2:$F$966,$A21)</f>
        <v>0</v>
      </c>
      <c r="BM21" s="9" t="n">
        <f aca="false">SUMIFS('Исходные данные'!$J$2:$J$966,'Исходные данные'!$D$2:$D$966,BL$1,'Исходные данные'!$F$2:$F$966,$A21)</f>
        <v>0</v>
      </c>
      <c r="BN21" s="9" t="n">
        <f aca="false">SUMIFS('Исходные данные'!$I$2:$I$966,'Исходные данные'!$D$2:$D$966,BN$1,'Исходные данные'!$F$2:$F$966,$A21)</f>
        <v>0</v>
      </c>
      <c r="BO21" s="9" t="n">
        <f aca="false">SUMIFS('Исходные данные'!$J$2:$J$966,'Исходные данные'!$D$2:$D$966,BN$1,'Исходные данные'!$F$2:$F$966,$A21)</f>
        <v>0</v>
      </c>
      <c r="BP21" s="9" t="n">
        <f aca="false">SUMIFS('Исходные данные'!$I$2:$I$966,'Исходные данные'!$D$2:$D$966,BP$1,'Исходные данные'!$F$2:$F$966,$A21)</f>
        <v>0</v>
      </c>
      <c r="BQ21" s="9" t="n">
        <f aca="false">SUMIFS('Исходные данные'!$J$2:$J$966,'Исходные данные'!$D$2:$D$966,BP$1,'Исходные данные'!$F$2:$F$966,$A21)</f>
        <v>0</v>
      </c>
      <c r="BR21" s="9" t="n">
        <f aca="false">SUMIFS('Исходные данные'!$I$2:$I$966,'Исходные данные'!$D$2:$D$966,BR$1,'Исходные данные'!$F$2:$F$966,$A21)</f>
        <v>0</v>
      </c>
      <c r="BS21" s="9" t="n">
        <f aca="false">SUMIFS('Исходные данные'!$J$2:$J$966,'Исходные данные'!$D$2:$D$966,BR$1,'Исходные данные'!$F$2:$F$966,$A21)</f>
        <v>0</v>
      </c>
      <c r="BT21" s="9" t="n">
        <f aca="false">SUMIFS('Исходные данные'!$I$2:$I$966,'Исходные данные'!$D$2:$D$966,BT$1,'Исходные данные'!$F$2:$F$966,$A21)</f>
        <v>0</v>
      </c>
      <c r="BU21" s="9" t="n">
        <f aca="false">SUMIFS('Исходные данные'!$J$2:$J$966,'Исходные данные'!$D$2:$D$966,BT$1,'Исходные данные'!$F$2:$F$966,$A21)</f>
        <v>0</v>
      </c>
      <c r="BV21" s="9" t="n">
        <f aca="false">SUMIFS('Исходные данные'!$I$2:$I$966,'Исходные данные'!$D$2:$D$966,BV$1,'Исходные данные'!$F$2:$F$966,$A21)</f>
        <v>0</v>
      </c>
      <c r="BW21" s="9" t="n">
        <f aca="false">SUMIFS('Исходные данные'!$J$2:$J$966,'Исходные данные'!$D$2:$D$966,BV$1,'Исходные данные'!$F$2:$F$966,$A21)</f>
        <v>0</v>
      </c>
      <c r="BX21" s="9" t="n">
        <f aca="false">SUMIFS('Исходные данные'!$I$2:$I$966,'Исходные данные'!$D$2:$D$966,BX$1,'Исходные данные'!$F$2:$F$966,$A21)</f>
        <v>0</v>
      </c>
      <c r="BY21" s="9" t="n">
        <f aca="false">SUMIFS('Исходные данные'!$J$2:$J$966,'Исходные данные'!$D$2:$D$966,BX$1,'Исходные данные'!$F$2:$F$966,$A21)</f>
        <v>0</v>
      </c>
      <c r="BZ21" s="9" t="n">
        <f aca="false">SUMIFS('Исходные данные'!$I$2:$I$966,'Исходные данные'!$D$2:$D$966,BZ$1,'Исходные данные'!$F$2:$F$966,$A21)</f>
        <v>0</v>
      </c>
      <c r="CA21" s="9" t="n">
        <f aca="false">SUMIFS('Исходные данные'!$J$2:$J$966,'Исходные данные'!$D$2:$D$966,BZ$1,'Исходные данные'!$F$2:$F$966,$A21)</f>
        <v>0</v>
      </c>
      <c r="CB21" s="9" t="n">
        <f aca="false">SUMIFS('Исходные данные'!$I$2:$I$966,'Исходные данные'!$D$2:$D$966,CB$1,'Исходные данные'!$F$2:$F$966,$A21)</f>
        <v>0</v>
      </c>
      <c r="CC21" s="9" t="n">
        <f aca="false">SUMIFS('Исходные данные'!$J$2:$J$966,'Исходные данные'!$D$2:$D$966,CB$1,'Исходные данные'!$F$2:$F$966,$A21)</f>
        <v>0</v>
      </c>
      <c r="CD21" s="9" t="n">
        <f aca="false">SUMIFS('Исходные данные'!$I$2:$I$966,'Исходные данные'!$D$2:$D$966,CD$1,'Исходные данные'!$F$2:$F$966,$A21)</f>
        <v>0</v>
      </c>
      <c r="CE21" s="9" t="n">
        <f aca="false">SUMIFS('Исходные данные'!$J$2:$J$966,'Исходные данные'!$D$2:$D$966,CD$1,'Исходные данные'!$F$2:$F$966,$A21)</f>
        <v>0</v>
      </c>
      <c r="CF21" s="9" t="n">
        <f aca="false">SUMIFS('Исходные данные'!$I$2:$I$966,'Исходные данные'!$D$2:$D$966,CF$1,'Исходные данные'!$F$2:$F$966,$A21)</f>
        <v>0</v>
      </c>
      <c r="CG21" s="9" t="n">
        <f aca="false">SUMIFS('Исходные данные'!$J$2:$J$966,'Исходные данные'!$D$2:$D$966,CF$1,'Исходные данные'!$F$2:$F$966,$A21)</f>
        <v>0</v>
      </c>
      <c r="CH21" s="9" t="n">
        <f aca="false">SUMIFS('Исходные данные'!$I$2:$I$966,'Исходные данные'!$D$2:$D$966,CH$1,'Исходные данные'!$F$2:$F$966,$A21)</f>
        <v>0</v>
      </c>
      <c r="CI21" s="9" t="n">
        <f aca="false">SUMIFS('Исходные данные'!$J$2:$J$966,'Исходные данные'!$D$2:$D$966,CH$1,'Исходные данные'!$F$2:$F$966,$A21)</f>
        <v>0</v>
      </c>
      <c r="CJ21" s="9" t="n">
        <f aca="false">SUMIFS('Исходные данные'!$I$2:$I$966,'Исходные данные'!$D$2:$D$966,CJ$1,'Исходные данные'!$F$2:$F$966,$A21)</f>
        <v>0</v>
      </c>
      <c r="CK21" s="9" t="n">
        <f aca="false">SUMIFS('Исходные данные'!$J$2:$J$966,'Исходные данные'!$D$2:$D$966,CJ$1,'Исходные данные'!$F$2:$F$966,$A21)</f>
        <v>0</v>
      </c>
      <c r="CL21" s="9" t="n">
        <f aca="false">SUMIFS('Исходные данные'!$I$2:$I$966,'Исходные данные'!$D$2:$D$966,CL$1,'Исходные данные'!$F$2:$F$966,$A21)</f>
        <v>0</v>
      </c>
      <c r="CM21" s="9" t="n">
        <f aca="false">SUMIFS('Исходные данные'!$J$2:$J$966,'Исходные данные'!$D$2:$D$966,CL$1,'Исходные данные'!$F$2:$F$966,$A21)</f>
        <v>0</v>
      </c>
      <c r="CN21" s="9" t="n">
        <f aca="false">SUMIFS('Исходные данные'!$I$2:$I$966,'Исходные данные'!$D$2:$D$966,CN$1,'Исходные данные'!$F$2:$F$966,$A21)</f>
        <v>0</v>
      </c>
      <c r="CO21" s="9" t="n">
        <f aca="false">SUMIFS('Исходные данные'!$J$2:$J$966,'Исходные данные'!$D$2:$D$966,CN$1,'Исходные данные'!$F$2:$F$966,$A21)</f>
        <v>0</v>
      </c>
      <c r="CP21" s="9" t="n">
        <f aca="false">SUMIFS('Исходные данные'!$I$2:$I$966,'Исходные данные'!$D$2:$D$966,CP$1,'Исходные данные'!$F$2:$F$966,$A21)</f>
        <v>0</v>
      </c>
      <c r="CQ21" s="9" t="n">
        <f aca="false">SUMIFS('Исходные данные'!$J$2:$J$966,'Исходные данные'!$D$2:$D$966,CP$1,'Исходные данные'!$F$2:$F$966,$A21)</f>
        <v>0</v>
      </c>
    </row>
    <row r="22" customFormat="false" ht="15" hidden="false" customHeight="false" outlineLevel="0" collapsed="false">
      <c r="A22" s="8" t="s">
        <v>91</v>
      </c>
      <c r="B22" s="9" t="s">
        <v>92</v>
      </c>
      <c r="C22" s="5" t="n">
        <v>7</v>
      </c>
      <c r="D22" s="5" t="n">
        <f aca="false">F22+G22</f>
        <v>7</v>
      </c>
      <c r="E22" s="5" t="n">
        <f aca="false">D22-C22</f>
        <v>0</v>
      </c>
      <c r="F22" s="5" t="n">
        <f aca="false">SUMIFS($H22:$CQ22,$H$2:$CQ$2,"День")</f>
        <v>6</v>
      </c>
      <c r="G22" s="5" t="n">
        <f aca="false">SUMIFS($H22:$CQ22,$H$2:$CQ$2,"Ночь")</f>
        <v>1</v>
      </c>
      <c r="H22" s="9" t="n">
        <f aca="false">SUMIFS('Исходные данные'!$I$2:$I$966,'Исходные данные'!$D$2:$D$966,H$1,'Исходные данные'!$F$2:$F$966,$A22)</f>
        <v>0</v>
      </c>
      <c r="I22" s="9" t="n">
        <f aca="false">SUMIFS('Исходные данные'!$J$2:$J$966,'Исходные данные'!$D$2:$D$966,H$1,'Исходные данные'!$F$2:$F$966,$A22)</f>
        <v>0</v>
      </c>
      <c r="J22" s="9" t="n">
        <f aca="false">SUMIFS('Исходные данные'!$I$2:$I$966,'Исходные данные'!$D$2:$D$966,J$1,'Исходные данные'!$F$2:$F$966,$A22)</f>
        <v>1</v>
      </c>
      <c r="K22" s="9" t="n">
        <f aca="false">SUMIFS('Исходные данные'!$J$2:$J$966,'Исходные данные'!$D$2:$D$966,J$1,'Исходные данные'!$F$2:$F$966,$A22)</f>
        <v>1</v>
      </c>
      <c r="L22" s="9" t="n">
        <f aca="false">SUMIFS('Исходные данные'!$I$2:$I$966,'Исходные данные'!$D$2:$D$966,L$1,'Исходные данные'!$F$2:$F$966,$A22)</f>
        <v>0</v>
      </c>
      <c r="M22" s="9" t="n">
        <f aca="false">SUMIFS('Исходные данные'!$J$2:$J$966,'Исходные данные'!$D$2:$D$966,L$1,'Исходные данные'!$F$2:$F$966,$A22)</f>
        <v>0</v>
      </c>
      <c r="N22" s="9" t="n">
        <f aca="false">SUMIFS('Исходные данные'!$I$2:$I$966,'Исходные данные'!$D$2:$D$966,N$1,'Исходные данные'!$F$2:$F$966,$A22)</f>
        <v>1</v>
      </c>
      <c r="O22" s="9" t="n">
        <f aca="false">SUMIFS('Исходные данные'!$J$2:$J$966,'Исходные данные'!$D$2:$D$966,N$1,'Исходные данные'!$F$2:$F$966,$A22)</f>
        <v>0</v>
      </c>
      <c r="P22" s="9" t="n">
        <f aca="false">SUMIFS('Исходные данные'!$I$2:$I$966,'Исходные данные'!$D$2:$D$966,P$1,'Исходные данные'!$F$2:$F$966,$A22)</f>
        <v>0</v>
      </c>
      <c r="Q22" s="9" t="n">
        <f aca="false">SUMIFS('Исходные данные'!$J$2:$J$966,'Исходные данные'!$D$2:$D$966,P$1,'Исходные данные'!$F$2:$F$966,$A22)</f>
        <v>0</v>
      </c>
      <c r="R22" s="9" t="n">
        <f aca="false">SUMIFS('Исходные данные'!$I$2:$I$966,'Исходные данные'!$D$2:$D$966,R$1,'Исходные данные'!$F$2:$F$966,$A22)</f>
        <v>4</v>
      </c>
      <c r="S22" s="9" t="n">
        <f aca="false">SUMIFS('Исходные данные'!$J$2:$J$966,'Исходные данные'!$D$2:$D$966,R$1,'Исходные данные'!$F$2:$F$966,$A22)</f>
        <v>0</v>
      </c>
      <c r="T22" s="9" t="n">
        <f aca="false">SUMIFS('Исходные данные'!$I$2:$I$966,'Исходные данные'!$D$2:$D$966,T$1,'Исходные данные'!$F$2:$F$966,$A22)</f>
        <v>0</v>
      </c>
      <c r="U22" s="9" t="n">
        <f aca="false">SUMIFS('Исходные данные'!$J$2:$J$966,'Исходные данные'!$D$2:$D$966,T$1,'Исходные данные'!$F$2:$F$966,$A22)</f>
        <v>0</v>
      </c>
      <c r="V22" s="9" t="n">
        <f aca="false">SUMIFS('Исходные данные'!$I$2:$I$966,'Исходные данные'!$D$2:$D$966,V$1,'Исходные данные'!$F$2:$F$966,$A22)</f>
        <v>0</v>
      </c>
      <c r="W22" s="9" t="n">
        <f aca="false">SUMIFS('Исходные данные'!$J$2:$J$966,'Исходные данные'!$D$2:$D$966,V$1,'Исходные данные'!$F$2:$F$966,$A22)</f>
        <v>0</v>
      </c>
      <c r="X22" s="9" t="n">
        <f aca="false">SUMIFS('Исходные данные'!$I$2:$I$966,'Исходные данные'!$D$2:$D$966,X$1,'Исходные данные'!$F$2:$F$966,$A22)</f>
        <v>0</v>
      </c>
      <c r="Y22" s="9" t="n">
        <f aca="false">SUMIFS('Исходные данные'!$J$2:$J$966,'Исходные данные'!$D$2:$D$966,X$1,'Исходные данные'!$F$2:$F$966,$A22)</f>
        <v>0</v>
      </c>
      <c r="Z22" s="9" t="n">
        <f aca="false">SUMIFS('Исходные данные'!$I$2:$I$966,'Исходные данные'!$D$2:$D$966,Z$1,'Исходные данные'!$F$2:$F$966,$A22)</f>
        <v>0</v>
      </c>
      <c r="AA22" s="9" t="n">
        <f aca="false">SUMIFS('Исходные данные'!$J$2:$J$966,'Исходные данные'!$D$2:$D$966,Z$1,'Исходные данные'!$F$2:$F$966,$A22)</f>
        <v>0</v>
      </c>
      <c r="AB22" s="9" t="n">
        <f aca="false">SUMIFS('Исходные данные'!$I$2:$I$966,'Исходные данные'!$D$2:$D$966,AB$1,'Исходные данные'!$F$2:$F$966,$A22)</f>
        <v>0</v>
      </c>
      <c r="AC22" s="9" t="n">
        <f aca="false">SUMIFS('Исходные данные'!$J$2:$J$966,'Исходные данные'!$D$2:$D$966,AB$1,'Исходные данные'!$F$2:$F$966,$A22)</f>
        <v>0</v>
      </c>
      <c r="AD22" s="9" t="n">
        <f aca="false">SUMIFS('Исходные данные'!$I$2:$I$966,'Исходные данные'!$D$2:$D$966,AD$1,'Исходные данные'!$F$2:$F$966,$A22)</f>
        <v>0</v>
      </c>
      <c r="AE22" s="9" t="n">
        <f aca="false">SUMIFS('Исходные данные'!$J$2:$J$966,'Исходные данные'!$D$2:$D$966,AD$1,'Исходные данные'!$F$2:$F$966,$A22)</f>
        <v>0</v>
      </c>
      <c r="AF22" s="9" t="n">
        <f aca="false">SUMIFS('Исходные данные'!$I$2:$I$966,'Исходные данные'!$D$2:$D$966,AF$1,'Исходные данные'!$F$2:$F$966,$A22)</f>
        <v>0</v>
      </c>
      <c r="AG22" s="9" t="n">
        <f aca="false">SUMIFS('Исходные данные'!$J$2:$J$966,'Исходные данные'!$D$2:$D$966,AF$1,'Исходные данные'!$F$2:$F$966,$A22)</f>
        <v>0</v>
      </c>
      <c r="AH22" s="9" t="n">
        <f aca="false">SUMIFS('Исходные данные'!$I$2:$I$966,'Исходные данные'!$D$2:$D$966,AH$1,'Исходные данные'!$F$2:$F$966,$A22)</f>
        <v>0</v>
      </c>
      <c r="AI22" s="9" t="n">
        <f aca="false">SUMIFS('Исходные данные'!$J$2:$J$966,'Исходные данные'!$D$2:$D$966,AH$1,'Исходные данные'!$F$2:$F$966,$A22)</f>
        <v>0</v>
      </c>
      <c r="AJ22" s="9" t="n">
        <f aca="false">SUMIFS('Исходные данные'!$I$2:$I$966,'Исходные данные'!$D$2:$D$966,AJ$1,'Исходные данные'!$F$2:$F$966,$A22)</f>
        <v>0</v>
      </c>
      <c r="AK22" s="9" t="n">
        <f aca="false">SUMIFS('Исходные данные'!$J$2:$J$966,'Исходные данные'!$D$2:$D$966,AJ$1,'Исходные данные'!$F$2:$F$966,$A22)</f>
        <v>0</v>
      </c>
      <c r="AL22" s="9" t="n">
        <f aca="false">SUMIFS('Исходные данные'!$I$2:$I$966,'Исходные данные'!$D$2:$D$966,AL$1,'Исходные данные'!$F$2:$F$966,$A22)</f>
        <v>0</v>
      </c>
      <c r="AM22" s="9" t="n">
        <f aca="false">SUMIFS('Исходные данные'!$J$2:$J$966,'Исходные данные'!$D$2:$D$966,AL$1,'Исходные данные'!$F$2:$F$966,$A22)</f>
        <v>0</v>
      </c>
      <c r="AN22" s="9" t="n">
        <f aca="false">SUMIFS('Исходные данные'!$I$2:$I$966,'Исходные данные'!$D$2:$D$966,AN$1,'Исходные данные'!$F$2:$F$966,$A22)</f>
        <v>0</v>
      </c>
      <c r="AO22" s="9" t="n">
        <f aca="false">SUMIFS('Исходные данные'!$J$2:$J$966,'Исходные данные'!$D$2:$D$966,AN$1,'Исходные данные'!$F$2:$F$966,$A22)</f>
        <v>0</v>
      </c>
      <c r="AP22" s="9" t="n">
        <f aca="false">SUMIFS('Исходные данные'!$I$2:$I$966,'Исходные данные'!$D$2:$D$966,AP$1,'Исходные данные'!$F$2:$F$966,$A22)</f>
        <v>0</v>
      </c>
      <c r="AQ22" s="9" t="n">
        <f aca="false">SUMIFS('Исходные данные'!$J$2:$J$966,'Исходные данные'!$D$2:$D$966,AP$1,'Исходные данные'!$F$2:$F$966,$A22)</f>
        <v>0</v>
      </c>
      <c r="AR22" s="9" t="n">
        <f aca="false">SUMIFS('Исходные данные'!$I$2:$I$966,'Исходные данные'!$D$2:$D$966,AR$1,'Исходные данные'!$F$2:$F$966,$A22)</f>
        <v>0</v>
      </c>
      <c r="AS22" s="9" t="n">
        <f aca="false">SUMIFS('Исходные данные'!$J$2:$J$966,'Исходные данные'!$D$2:$D$966,AR$1,'Исходные данные'!$F$2:$F$966,$A22)</f>
        <v>0</v>
      </c>
      <c r="AT22" s="9" t="n">
        <f aca="false">SUMIFS('Исходные данные'!$I$2:$I$966,'Исходные данные'!$D$2:$D$966,AT$1,'Исходные данные'!$F$2:$F$966,$A22)</f>
        <v>0</v>
      </c>
      <c r="AU22" s="9" t="n">
        <f aca="false">SUMIFS('Исходные данные'!$J$2:$J$966,'Исходные данные'!$D$2:$D$966,AT$1,'Исходные данные'!$F$2:$F$966,$A22)</f>
        <v>0</v>
      </c>
      <c r="AV22" s="9" t="n">
        <f aca="false">SUMIFS('Исходные данные'!$I$2:$I$966,'Исходные данные'!$D$2:$D$966,AV$1,'Исходные данные'!$F$2:$F$966,$A22)</f>
        <v>0</v>
      </c>
      <c r="AW22" s="9" t="n">
        <f aca="false">SUMIFS('Исходные данные'!$J$2:$J$966,'Исходные данные'!$D$2:$D$966,AV$1,'Исходные данные'!$F$2:$F$966,$A22)</f>
        <v>0</v>
      </c>
      <c r="AX22" s="9" t="n">
        <f aca="false">SUMIFS('Исходные данные'!$I$2:$I$966,'Исходные данные'!$D$2:$D$966,AX$1,'Исходные данные'!$F$2:$F$966,$A22)</f>
        <v>0</v>
      </c>
      <c r="AY22" s="9" t="n">
        <f aca="false">SUMIFS('Исходные данные'!$J$2:$J$966,'Исходные данные'!$D$2:$D$966,AX$1,'Исходные данные'!$F$2:$F$966,$A22)</f>
        <v>0</v>
      </c>
      <c r="AZ22" s="9" t="n">
        <f aca="false">SUMIFS('Исходные данные'!$I$2:$I$966,'Исходные данные'!$D$2:$D$966,AZ$1,'Исходные данные'!$F$2:$F$966,$A22)</f>
        <v>0</v>
      </c>
      <c r="BA22" s="9" t="n">
        <f aca="false">SUMIFS('Исходные данные'!$J$2:$J$966,'Исходные данные'!$D$2:$D$966,AZ$1,'Исходные данные'!$F$2:$F$966,$A22)</f>
        <v>0</v>
      </c>
      <c r="BB22" s="9" t="n">
        <f aca="false">SUMIFS('Исходные данные'!$I$2:$I$966,'Исходные данные'!$D$2:$D$966,BB$1,'Исходные данные'!$F$2:$F$966,$A22)</f>
        <v>0</v>
      </c>
      <c r="BC22" s="9" t="n">
        <f aca="false">SUMIFS('Исходные данные'!$J$2:$J$966,'Исходные данные'!$D$2:$D$966,BB$1,'Исходные данные'!$F$2:$F$966,$A22)</f>
        <v>0</v>
      </c>
      <c r="BD22" s="9" t="n">
        <f aca="false">SUMIFS('Исходные данные'!$I$2:$I$966,'Исходные данные'!$D$2:$D$966,BD$1,'Исходные данные'!$F$2:$F$966,$A22)</f>
        <v>0</v>
      </c>
      <c r="BE22" s="9" t="n">
        <f aca="false">SUMIFS('Исходные данные'!$J$2:$J$966,'Исходные данные'!$D$2:$D$966,BD$1,'Исходные данные'!$F$2:$F$966,$A22)</f>
        <v>0</v>
      </c>
      <c r="BF22" s="9" t="n">
        <f aca="false">SUMIFS('Исходные данные'!$I$2:$I$966,'Исходные данные'!$D$2:$D$966,BF$1,'Исходные данные'!$F$2:$F$966,$A22)</f>
        <v>0</v>
      </c>
      <c r="BG22" s="9" t="n">
        <f aca="false">SUMIFS('Исходные данные'!$J$2:$J$966,'Исходные данные'!$D$2:$D$966,BF$1,'Исходные данные'!$F$2:$F$966,$A22)</f>
        <v>0</v>
      </c>
      <c r="BH22" s="9" t="n">
        <f aca="false">SUMIFS('Исходные данные'!$I$2:$I$966,'Исходные данные'!$D$2:$D$966,BH$1,'Исходные данные'!$F$2:$F$966,$A22)</f>
        <v>0</v>
      </c>
      <c r="BI22" s="9" t="n">
        <f aca="false">SUMIFS('Исходные данные'!$J$2:$J$966,'Исходные данные'!$D$2:$D$966,BH$1,'Исходные данные'!$F$2:$F$966,$A22)</f>
        <v>0</v>
      </c>
      <c r="BJ22" s="9" t="n">
        <f aca="false">SUMIFS('Исходные данные'!$I$2:$I$966,'Исходные данные'!$D$2:$D$966,BJ$1,'Исходные данные'!$F$2:$F$966,$A22)</f>
        <v>0</v>
      </c>
      <c r="BK22" s="9" t="n">
        <f aca="false">SUMIFS('Исходные данные'!$J$2:$J$966,'Исходные данные'!$D$2:$D$966,BJ$1,'Исходные данные'!$F$2:$F$966,$A22)</f>
        <v>0</v>
      </c>
      <c r="BL22" s="9" t="n">
        <f aca="false">SUMIFS('Исходные данные'!$I$2:$I$966,'Исходные данные'!$D$2:$D$966,BL$1,'Исходные данные'!$F$2:$F$966,$A22)</f>
        <v>0</v>
      </c>
      <c r="BM22" s="9" t="n">
        <f aca="false">SUMIFS('Исходные данные'!$J$2:$J$966,'Исходные данные'!$D$2:$D$966,BL$1,'Исходные данные'!$F$2:$F$966,$A22)</f>
        <v>0</v>
      </c>
      <c r="BN22" s="9" t="n">
        <f aca="false">SUMIFS('Исходные данные'!$I$2:$I$966,'Исходные данные'!$D$2:$D$966,BN$1,'Исходные данные'!$F$2:$F$966,$A22)</f>
        <v>0</v>
      </c>
      <c r="BO22" s="9" t="n">
        <f aca="false">SUMIFS('Исходные данные'!$J$2:$J$966,'Исходные данные'!$D$2:$D$966,BN$1,'Исходные данные'!$F$2:$F$966,$A22)</f>
        <v>0</v>
      </c>
      <c r="BP22" s="9" t="n">
        <f aca="false">SUMIFS('Исходные данные'!$I$2:$I$966,'Исходные данные'!$D$2:$D$966,BP$1,'Исходные данные'!$F$2:$F$966,$A22)</f>
        <v>0</v>
      </c>
      <c r="BQ22" s="9" t="n">
        <f aca="false">SUMIFS('Исходные данные'!$J$2:$J$966,'Исходные данные'!$D$2:$D$966,BP$1,'Исходные данные'!$F$2:$F$966,$A22)</f>
        <v>0</v>
      </c>
      <c r="BR22" s="9" t="n">
        <f aca="false">SUMIFS('Исходные данные'!$I$2:$I$966,'Исходные данные'!$D$2:$D$966,BR$1,'Исходные данные'!$F$2:$F$966,$A22)</f>
        <v>0</v>
      </c>
      <c r="BS22" s="9" t="n">
        <f aca="false">SUMIFS('Исходные данные'!$J$2:$J$966,'Исходные данные'!$D$2:$D$966,BR$1,'Исходные данные'!$F$2:$F$966,$A22)</f>
        <v>0</v>
      </c>
      <c r="BT22" s="9" t="n">
        <f aca="false">SUMIFS('Исходные данные'!$I$2:$I$966,'Исходные данные'!$D$2:$D$966,BT$1,'Исходные данные'!$F$2:$F$966,$A22)</f>
        <v>0</v>
      </c>
      <c r="BU22" s="9" t="n">
        <f aca="false">SUMIFS('Исходные данные'!$J$2:$J$966,'Исходные данные'!$D$2:$D$966,BT$1,'Исходные данные'!$F$2:$F$966,$A22)</f>
        <v>0</v>
      </c>
      <c r="BV22" s="9" t="n">
        <f aca="false">SUMIFS('Исходные данные'!$I$2:$I$966,'Исходные данные'!$D$2:$D$966,BV$1,'Исходные данные'!$F$2:$F$966,$A22)</f>
        <v>0</v>
      </c>
      <c r="BW22" s="9" t="n">
        <f aca="false">SUMIFS('Исходные данные'!$J$2:$J$966,'Исходные данные'!$D$2:$D$966,BV$1,'Исходные данные'!$F$2:$F$966,$A22)</f>
        <v>0</v>
      </c>
      <c r="BX22" s="9" t="n">
        <f aca="false">SUMIFS('Исходные данные'!$I$2:$I$966,'Исходные данные'!$D$2:$D$966,BX$1,'Исходные данные'!$F$2:$F$966,$A22)</f>
        <v>0</v>
      </c>
      <c r="BY22" s="9" t="n">
        <f aca="false">SUMIFS('Исходные данные'!$J$2:$J$966,'Исходные данные'!$D$2:$D$966,BX$1,'Исходные данные'!$F$2:$F$966,$A22)</f>
        <v>0</v>
      </c>
      <c r="BZ22" s="9" t="n">
        <f aca="false">SUMIFS('Исходные данные'!$I$2:$I$966,'Исходные данные'!$D$2:$D$966,BZ$1,'Исходные данные'!$F$2:$F$966,$A22)</f>
        <v>0</v>
      </c>
      <c r="CA22" s="9" t="n">
        <f aca="false">SUMIFS('Исходные данные'!$J$2:$J$966,'Исходные данные'!$D$2:$D$966,BZ$1,'Исходные данные'!$F$2:$F$966,$A22)</f>
        <v>0</v>
      </c>
      <c r="CB22" s="9" t="n">
        <f aca="false">SUMIFS('Исходные данные'!$I$2:$I$966,'Исходные данные'!$D$2:$D$966,CB$1,'Исходные данные'!$F$2:$F$966,$A22)</f>
        <v>0</v>
      </c>
      <c r="CC22" s="9" t="n">
        <f aca="false">SUMIFS('Исходные данные'!$J$2:$J$966,'Исходные данные'!$D$2:$D$966,CB$1,'Исходные данные'!$F$2:$F$966,$A22)</f>
        <v>0</v>
      </c>
      <c r="CD22" s="9" t="n">
        <f aca="false">SUMIFS('Исходные данные'!$I$2:$I$966,'Исходные данные'!$D$2:$D$966,CD$1,'Исходные данные'!$F$2:$F$966,$A22)</f>
        <v>0</v>
      </c>
      <c r="CE22" s="9" t="n">
        <f aca="false">SUMIFS('Исходные данные'!$J$2:$J$966,'Исходные данные'!$D$2:$D$966,CD$1,'Исходные данные'!$F$2:$F$966,$A22)</f>
        <v>0</v>
      </c>
      <c r="CF22" s="9" t="n">
        <f aca="false">SUMIFS('Исходные данные'!$I$2:$I$966,'Исходные данные'!$D$2:$D$966,CF$1,'Исходные данные'!$F$2:$F$966,$A22)</f>
        <v>0</v>
      </c>
      <c r="CG22" s="9" t="n">
        <f aca="false">SUMIFS('Исходные данные'!$J$2:$J$966,'Исходные данные'!$D$2:$D$966,CF$1,'Исходные данные'!$F$2:$F$966,$A22)</f>
        <v>0</v>
      </c>
      <c r="CH22" s="9" t="n">
        <f aca="false">SUMIFS('Исходные данные'!$I$2:$I$966,'Исходные данные'!$D$2:$D$966,CH$1,'Исходные данные'!$F$2:$F$966,$A22)</f>
        <v>0</v>
      </c>
      <c r="CI22" s="9" t="n">
        <f aca="false">SUMIFS('Исходные данные'!$J$2:$J$966,'Исходные данные'!$D$2:$D$966,CH$1,'Исходные данные'!$F$2:$F$966,$A22)</f>
        <v>0</v>
      </c>
      <c r="CJ22" s="9" t="n">
        <f aca="false">SUMIFS('Исходные данные'!$I$2:$I$966,'Исходные данные'!$D$2:$D$966,CJ$1,'Исходные данные'!$F$2:$F$966,$A22)</f>
        <v>0</v>
      </c>
      <c r="CK22" s="9" t="n">
        <f aca="false">SUMIFS('Исходные данные'!$J$2:$J$966,'Исходные данные'!$D$2:$D$966,CJ$1,'Исходные данные'!$F$2:$F$966,$A22)</f>
        <v>0</v>
      </c>
      <c r="CL22" s="9" t="n">
        <f aca="false">SUMIFS('Исходные данные'!$I$2:$I$966,'Исходные данные'!$D$2:$D$966,CL$1,'Исходные данные'!$F$2:$F$966,$A22)</f>
        <v>0</v>
      </c>
      <c r="CM22" s="9" t="n">
        <f aca="false">SUMIFS('Исходные данные'!$J$2:$J$966,'Исходные данные'!$D$2:$D$966,CL$1,'Исходные данные'!$F$2:$F$966,$A22)</f>
        <v>0</v>
      </c>
      <c r="CN22" s="9" t="n">
        <f aca="false">SUMIFS('Исходные данные'!$I$2:$I$966,'Исходные данные'!$D$2:$D$966,CN$1,'Исходные данные'!$F$2:$F$966,$A22)</f>
        <v>0</v>
      </c>
      <c r="CO22" s="9" t="n">
        <f aca="false">SUMIFS('Исходные данные'!$J$2:$J$966,'Исходные данные'!$D$2:$D$966,CN$1,'Исходные данные'!$F$2:$F$966,$A22)</f>
        <v>0</v>
      </c>
      <c r="CP22" s="9" t="n">
        <f aca="false">SUMIFS('Исходные данные'!$I$2:$I$966,'Исходные данные'!$D$2:$D$966,CP$1,'Исходные данные'!$F$2:$F$966,$A22)</f>
        <v>0</v>
      </c>
      <c r="CQ22" s="9" t="n">
        <f aca="false">SUMIFS('Исходные данные'!$J$2:$J$966,'Исходные данные'!$D$2:$D$966,CP$1,'Исходные данные'!$F$2:$F$966,$A22)</f>
        <v>0</v>
      </c>
    </row>
    <row r="23" customFormat="false" ht="15" hidden="false" customHeight="false" outlineLevel="0" collapsed="false">
      <c r="A23" s="8" t="s">
        <v>93</v>
      </c>
      <c r="B23" s="9" t="s">
        <v>94</v>
      </c>
      <c r="C23" s="5" t="n">
        <v>5</v>
      </c>
      <c r="D23" s="5" t="n">
        <f aca="false">F23+G23</f>
        <v>5</v>
      </c>
      <c r="E23" s="5" t="n">
        <f aca="false">D23-C23</f>
        <v>0</v>
      </c>
      <c r="F23" s="5" t="n">
        <f aca="false">SUMIFS($H23:$CQ23,$H$2:$CQ$2,"День")</f>
        <v>5</v>
      </c>
      <c r="G23" s="5" t="n">
        <f aca="false">SUMIFS($H23:$CQ23,$H$2:$CQ$2,"Ночь")</f>
        <v>0</v>
      </c>
      <c r="H23" s="9" t="n">
        <f aca="false">SUMIFS('Исходные данные'!$I$2:$I$966,'Исходные данные'!$D$2:$D$966,H$1,'Исходные данные'!$F$2:$F$966,$A23)</f>
        <v>0</v>
      </c>
      <c r="I23" s="9" t="n">
        <f aca="false">SUMIFS('Исходные данные'!$J$2:$J$966,'Исходные данные'!$D$2:$D$966,H$1,'Исходные данные'!$F$2:$F$966,$A23)</f>
        <v>0</v>
      </c>
      <c r="J23" s="9" t="n">
        <f aca="false">SUMIFS('Исходные данные'!$I$2:$I$966,'Исходные данные'!$D$2:$D$966,J$1,'Исходные данные'!$F$2:$F$966,$A23)</f>
        <v>5</v>
      </c>
      <c r="K23" s="9" t="n">
        <f aca="false">SUMIFS('Исходные данные'!$J$2:$J$966,'Исходные данные'!$D$2:$D$966,J$1,'Исходные данные'!$F$2:$F$966,$A23)</f>
        <v>0</v>
      </c>
      <c r="L23" s="9" t="n">
        <f aca="false">SUMIFS('Исходные данные'!$I$2:$I$966,'Исходные данные'!$D$2:$D$966,L$1,'Исходные данные'!$F$2:$F$966,$A23)</f>
        <v>0</v>
      </c>
      <c r="M23" s="9" t="n">
        <f aca="false">SUMIFS('Исходные данные'!$J$2:$J$966,'Исходные данные'!$D$2:$D$966,L$1,'Исходные данные'!$F$2:$F$966,$A23)</f>
        <v>0</v>
      </c>
      <c r="N23" s="9" t="n">
        <f aca="false">SUMIFS('Исходные данные'!$I$2:$I$966,'Исходные данные'!$D$2:$D$966,N$1,'Исходные данные'!$F$2:$F$966,$A23)</f>
        <v>0</v>
      </c>
      <c r="O23" s="9" t="n">
        <f aca="false">SUMIFS('Исходные данные'!$J$2:$J$966,'Исходные данные'!$D$2:$D$966,N$1,'Исходные данные'!$F$2:$F$966,$A23)</f>
        <v>0</v>
      </c>
      <c r="P23" s="9" t="n">
        <f aca="false">SUMIFS('Исходные данные'!$I$2:$I$966,'Исходные данные'!$D$2:$D$966,P$1,'Исходные данные'!$F$2:$F$966,$A23)</f>
        <v>0</v>
      </c>
      <c r="Q23" s="9" t="n">
        <f aca="false">SUMIFS('Исходные данные'!$J$2:$J$966,'Исходные данные'!$D$2:$D$966,P$1,'Исходные данные'!$F$2:$F$966,$A23)</f>
        <v>0</v>
      </c>
      <c r="R23" s="9" t="n">
        <f aca="false">SUMIFS('Исходные данные'!$I$2:$I$966,'Исходные данные'!$D$2:$D$966,R$1,'Исходные данные'!$F$2:$F$966,$A23)</f>
        <v>0</v>
      </c>
      <c r="S23" s="9" t="n">
        <f aca="false">SUMIFS('Исходные данные'!$J$2:$J$966,'Исходные данные'!$D$2:$D$966,R$1,'Исходные данные'!$F$2:$F$966,$A23)</f>
        <v>0</v>
      </c>
      <c r="T23" s="9" t="n">
        <f aca="false">SUMIFS('Исходные данные'!$I$2:$I$966,'Исходные данные'!$D$2:$D$966,T$1,'Исходные данные'!$F$2:$F$966,$A23)</f>
        <v>0</v>
      </c>
      <c r="U23" s="9" t="n">
        <f aca="false">SUMIFS('Исходные данные'!$J$2:$J$966,'Исходные данные'!$D$2:$D$966,T$1,'Исходные данные'!$F$2:$F$966,$A23)</f>
        <v>0</v>
      </c>
      <c r="V23" s="9" t="n">
        <f aca="false">SUMIFS('Исходные данные'!$I$2:$I$966,'Исходные данные'!$D$2:$D$966,V$1,'Исходные данные'!$F$2:$F$966,$A23)</f>
        <v>0</v>
      </c>
      <c r="W23" s="9" t="n">
        <f aca="false">SUMIFS('Исходные данные'!$J$2:$J$966,'Исходные данные'!$D$2:$D$966,V$1,'Исходные данные'!$F$2:$F$966,$A23)</f>
        <v>0</v>
      </c>
      <c r="X23" s="9" t="n">
        <f aca="false">SUMIFS('Исходные данные'!$I$2:$I$966,'Исходные данные'!$D$2:$D$966,X$1,'Исходные данные'!$F$2:$F$966,$A23)</f>
        <v>0</v>
      </c>
      <c r="Y23" s="9" t="n">
        <f aca="false">SUMIFS('Исходные данные'!$J$2:$J$966,'Исходные данные'!$D$2:$D$966,X$1,'Исходные данные'!$F$2:$F$966,$A23)</f>
        <v>0</v>
      </c>
      <c r="Z23" s="9" t="n">
        <f aca="false">SUMIFS('Исходные данные'!$I$2:$I$966,'Исходные данные'!$D$2:$D$966,Z$1,'Исходные данные'!$F$2:$F$966,$A23)</f>
        <v>0</v>
      </c>
      <c r="AA23" s="9" t="n">
        <f aca="false">SUMIFS('Исходные данные'!$J$2:$J$966,'Исходные данные'!$D$2:$D$966,Z$1,'Исходные данные'!$F$2:$F$966,$A23)</f>
        <v>0</v>
      </c>
      <c r="AB23" s="9" t="n">
        <f aca="false">SUMIFS('Исходные данные'!$I$2:$I$966,'Исходные данные'!$D$2:$D$966,AB$1,'Исходные данные'!$F$2:$F$966,$A23)</f>
        <v>0</v>
      </c>
      <c r="AC23" s="9" t="n">
        <f aca="false">SUMIFS('Исходные данные'!$J$2:$J$966,'Исходные данные'!$D$2:$D$966,AB$1,'Исходные данные'!$F$2:$F$966,$A23)</f>
        <v>0</v>
      </c>
      <c r="AD23" s="9" t="n">
        <f aca="false">SUMIFS('Исходные данные'!$I$2:$I$966,'Исходные данные'!$D$2:$D$966,AD$1,'Исходные данные'!$F$2:$F$966,$A23)</f>
        <v>0</v>
      </c>
      <c r="AE23" s="9" t="n">
        <f aca="false">SUMIFS('Исходные данные'!$J$2:$J$966,'Исходные данные'!$D$2:$D$966,AD$1,'Исходные данные'!$F$2:$F$966,$A23)</f>
        <v>0</v>
      </c>
      <c r="AF23" s="9" t="n">
        <f aca="false">SUMIFS('Исходные данные'!$I$2:$I$966,'Исходные данные'!$D$2:$D$966,AF$1,'Исходные данные'!$F$2:$F$966,$A23)</f>
        <v>0</v>
      </c>
      <c r="AG23" s="9" t="n">
        <f aca="false">SUMIFS('Исходные данные'!$J$2:$J$966,'Исходные данные'!$D$2:$D$966,AF$1,'Исходные данные'!$F$2:$F$966,$A23)</f>
        <v>0</v>
      </c>
      <c r="AH23" s="9" t="n">
        <f aca="false">SUMIFS('Исходные данные'!$I$2:$I$966,'Исходные данные'!$D$2:$D$966,AH$1,'Исходные данные'!$F$2:$F$966,$A23)</f>
        <v>0</v>
      </c>
      <c r="AI23" s="9" t="n">
        <f aca="false">SUMIFS('Исходные данные'!$J$2:$J$966,'Исходные данные'!$D$2:$D$966,AH$1,'Исходные данные'!$F$2:$F$966,$A23)</f>
        <v>0</v>
      </c>
      <c r="AJ23" s="9" t="n">
        <f aca="false">SUMIFS('Исходные данные'!$I$2:$I$966,'Исходные данные'!$D$2:$D$966,AJ$1,'Исходные данные'!$F$2:$F$966,$A23)</f>
        <v>0</v>
      </c>
      <c r="AK23" s="9" t="n">
        <f aca="false">SUMIFS('Исходные данные'!$J$2:$J$966,'Исходные данные'!$D$2:$D$966,AJ$1,'Исходные данные'!$F$2:$F$966,$A23)</f>
        <v>0</v>
      </c>
      <c r="AL23" s="9" t="n">
        <f aca="false">SUMIFS('Исходные данные'!$I$2:$I$966,'Исходные данные'!$D$2:$D$966,AL$1,'Исходные данные'!$F$2:$F$966,$A23)</f>
        <v>0</v>
      </c>
      <c r="AM23" s="9" t="n">
        <f aca="false">SUMIFS('Исходные данные'!$J$2:$J$966,'Исходные данные'!$D$2:$D$966,AL$1,'Исходные данные'!$F$2:$F$966,$A23)</f>
        <v>0</v>
      </c>
      <c r="AN23" s="9" t="n">
        <f aca="false">SUMIFS('Исходные данные'!$I$2:$I$966,'Исходные данные'!$D$2:$D$966,AN$1,'Исходные данные'!$F$2:$F$966,$A23)</f>
        <v>0</v>
      </c>
      <c r="AO23" s="9" t="n">
        <f aca="false">SUMIFS('Исходные данные'!$J$2:$J$966,'Исходные данные'!$D$2:$D$966,AN$1,'Исходные данные'!$F$2:$F$966,$A23)</f>
        <v>0</v>
      </c>
      <c r="AP23" s="9" t="n">
        <f aca="false">SUMIFS('Исходные данные'!$I$2:$I$966,'Исходные данные'!$D$2:$D$966,AP$1,'Исходные данные'!$F$2:$F$966,$A23)</f>
        <v>0</v>
      </c>
      <c r="AQ23" s="9" t="n">
        <f aca="false">SUMIFS('Исходные данные'!$J$2:$J$966,'Исходные данные'!$D$2:$D$966,AP$1,'Исходные данные'!$F$2:$F$966,$A23)</f>
        <v>0</v>
      </c>
      <c r="AR23" s="9" t="n">
        <f aca="false">SUMIFS('Исходные данные'!$I$2:$I$966,'Исходные данные'!$D$2:$D$966,AR$1,'Исходные данные'!$F$2:$F$966,$A23)</f>
        <v>0</v>
      </c>
      <c r="AS23" s="9" t="n">
        <f aca="false">SUMIFS('Исходные данные'!$J$2:$J$966,'Исходные данные'!$D$2:$D$966,AR$1,'Исходные данные'!$F$2:$F$966,$A23)</f>
        <v>0</v>
      </c>
      <c r="AT23" s="9" t="n">
        <f aca="false">SUMIFS('Исходные данные'!$I$2:$I$966,'Исходные данные'!$D$2:$D$966,AT$1,'Исходные данные'!$F$2:$F$966,$A23)</f>
        <v>0</v>
      </c>
      <c r="AU23" s="9" t="n">
        <f aca="false">SUMIFS('Исходные данные'!$J$2:$J$966,'Исходные данные'!$D$2:$D$966,AT$1,'Исходные данные'!$F$2:$F$966,$A23)</f>
        <v>0</v>
      </c>
      <c r="AV23" s="9" t="n">
        <f aca="false">SUMIFS('Исходные данные'!$I$2:$I$966,'Исходные данные'!$D$2:$D$966,AV$1,'Исходные данные'!$F$2:$F$966,$A23)</f>
        <v>0</v>
      </c>
      <c r="AW23" s="9" t="n">
        <f aca="false">SUMIFS('Исходные данные'!$J$2:$J$966,'Исходные данные'!$D$2:$D$966,AV$1,'Исходные данные'!$F$2:$F$966,$A23)</f>
        <v>0</v>
      </c>
      <c r="AX23" s="9" t="n">
        <f aca="false">SUMIFS('Исходные данные'!$I$2:$I$966,'Исходные данные'!$D$2:$D$966,AX$1,'Исходные данные'!$F$2:$F$966,$A23)</f>
        <v>0</v>
      </c>
      <c r="AY23" s="9" t="n">
        <f aca="false">SUMIFS('Исходные данные'!$J$2:$J$966,'Исходные данные'!$D$2:$D$966,AX$1,'Исходные данные'!$F$2:$F$966,$A23)</f>
        <v>0</v>
      </c>
      <c r="AZ23" s="9" t="n">
        <f aca="false">SUMIFS('Исходные данные'!$I$2:$I$966,'Исходные данные'!$D$2:$D$966,AZ$1,'Исходные данные'!$F$2:$F$966,$A23)</f>
        <v>0</v>
      </c>
      <c r="BA23" s="9" t="n">
        <f aca="false">SUMIFS('Исходные данные'!$J$2:$J$966,'Исходные данные'!$D$2:$D$966,AZ$1,'Исходные данные'!$F$2:$F$966,$A23)</f>
        <v>0</v>
      </c>
      <c r="BB23" s="9" t="n">
        <f aca="false">SUMIFS('Исходные данные'!$I$2:$I$966,'Исходные данные'!$D$2:$D$966,BB$1,'Исходные данные'!$F$2:$F$966,$A23)</f>
        <v>0</v>
      </c>
      <c r="BC23" s="9" t="n">
        <f aca="false">SUMIFS('Исходные данные'!$J$2:$J$966,'Исходные данные'!$D$2:$D$966,BB$1,'Исходные данные'!$F$2:$F$966,$A23)</f>
        <v>0</v>
      </c>
      <c r="BD23" s="9" t="n">
        <f aca="false">SUMIFS('Исходные данные'!$I$2:$I$966,'Исходные данные'!$D$2:$D$966,BD$1,'Исходные данные'!$F$2:$F$966,$A23)</f>
        <v>0</v>
      </c>
      <c r="BE23" s="9" t="n">
        <f aca="false">SUMIFS('Исходные данные'!$J$2:$J$966,'Исходные данные'!$D$2:$D$966,BD$1,'Исходные данные'!$F$2:$F$966,$A23)</f>
        <v>0</v>
      </c>
      <c r="BF23" s="9" t="n">
        <f aca="false">SUMIFS('Исходные данные'!$I$2:$I$966,'Исходные данные'!$D$2:$D$966,BF$1,'Исходные данные'!$F$2:$F$966,$A23)</f>
        <v>0</v>
      </c>
      <c r="BG23" s="9" t="n">
        <f aca="false">SUMIFS('Исходные данные'!$J$2:$J$966,'Исходные данные'!$D$2:$D$966,BF$1,'Исходные данные'!$F$2:$F$966,$A23)</f>
        <v>0</v>
      </c>
      <c r="BH23" s="9" t="n">
        <f aca="false">SUMIFS('Исходные данные'!$I$2:$I$966,'Исходные данные'!$D$2:$D$966,BH$1,'Исходные данные'!$F$2:$F$966,$A23)</f>
        <v>0</v>
      </c>
      <c r="BI23" s="9" t="n">
        <f aca="false">SUMIFS('Исходные данные'!$J$2:$J$966,'Исходные данные'!$D$2:$D$966,BH$1,'Исходные данные'!$F$2:$F$966,$A23)</f>
        <v>0</v>
      </c>
      <c r="BJ23" s="9" t="n">
        <f aca="false">SUMIFS('Исходные данные'!$I$2:$I$966,'Исходные данные'!$D$2:$D$966,BJ$1,'Исходные данные'!$F$2:$F$966,$A23)</f>
        <v>0</v>
      </c>
      <c r="BK23" s="9" t="n">
        <f aca="false">SUMIFS('Исходные данные'!$J$2:$J$966,'Исходные данные'!$D$2:$D$966,BJ$1,'Исходные данные'!$F$2:$F$966,$A23)</f>
        <v>0</v>
      </c>
      <c r="BL23" s="9" t="n">
        <f aca="false">SUMIFS('Исходные данные'!$I$2:$I$966,'Исходные данные'!$D$2:$D$966,BL$1,'Исходные данные'!$F$2:$F$966,$A23)</f>
        <v>0</v>
      </c>
      <c r="BM23" s="9" t="n">
        <f aca="false">SUMIFS('Исходные данные'!$J$2:$J$966,'Исходные данные'!$D$2:$D$966,BL$1,'Исходные данные'!$F$2:$F$966,$A23)</f>
        <v>0</v>
      </c>
      <c r="BN23" s="9" t="n">
        <f aca="false">SUMIFS('Исходные данные'!$I$2:$I$966,'Исходные данные'!$D$2:$D$966,BN$1,'Исходные данные'!$F$2:$F$966,$A23)</f>
        <v>0</v>
      </c>
      <c r="BO23" s="9" t="n">
        <f aca="false">SUMIFS('Исходные данные'!$J$2:$J$966,'Исходные данные'!$D$2:$D$966,BN$1,'Исходные данные'!$F$2:$F$966,$A23)</f>
        <v>0</v>
      </c>
      <c r="BP23" s="9" t="n">
        <f aca="false">SUMIFS('Исходные данные'!$I$2:$I$966,'Исходные данные'!$D$2:$D$966,BP$1,'Исходные данные'!$F$2:$F$966,$A23)</f>
        <v>0</v>
      </c>
      <c r="BQ23" s="9" t="n">
        <f aca="false">SUMIFS('Исходные данные'!$J$2:$J$966,'Исходные данные'!$D$2:$D$966,BP$1,'Исходные данные'!$F$2:$F$966,$A23)</f>
        <v>0</v>
      </c>
      <c r="BR23" s="9" t="n">
        <f aca="false">SUMIFS('Исходные данные'!$I$2:$I$966,'Исходные данные'!$D$2:$D$966,BR$1,'Исходные данные'!$F$2:$F$966,$A23)</f>
        <v>0</v>
      </c>
      <c r="BS23" s="9" t="n">
        <f aca="false">SUMIFS('Исходные данные'!$J$2:$J$966,'Исходные данные'!$D$2:$D$966,BR$1,'Исходные данные'!$F$2:$F$966,$A23)</f>
        <v>0</v>
      </c>
      <c r="BT23" s="9" t="n">
        <f aca="false">SUMIFS('Исходные данные'!$I$2:$I$966,'Исходные данные'!$D$2:$D$966,BT$1,'Исходные данные'!$F$2:$F$966,$A23)</f>
        <v>0</v>
      </c>
      <c r="BU23" s="9" t="n">
        <f aca="false">SUMIFS('Исходные данные'!$J$2:$J$966,'Исходные данные'!$D$2:$D$966,BT$1,'Исходные данные'!$F$2:$F$966,$A23)</f>
        <v>0</v>
      </c>
      <c r="BV23" s="9" t="n">
        <f aca="false">SUMIFS('Исходные данные'!$I$2:$I$966,'Исходные данные'!$D$2:$D$966,BV$1,'Исходные данные'!$F$2:$F$966,$A23)</f>
        <v>0</v>
      </c>
      <c r="BW23" s="9" t="n">
        <f aca="false">SUMIFS('Исходные данные'!$J$2:$J$966,'Исходные данные'!$D$2:$D$966,BV$1,'Исходные данные'!$F$2:$F$966,$A23)</f>
        <v>0</v>
      </c>
      <c r="BX23" s="9" t="n">
        <f aca="false">SUMIFS('Исходные данные'!$I$2:$I$966,'Исходные данные'!$D$2:$D$966,BX$1,'Исходные данные'!$F$2:$F$966,$A23)</f>
        <v>0</v>
      </c>
      <c r="BY23" s="9" t="n">
        <f aca="false">SUMIFS('Исходные данные'!$J$2:$J$966,'Исходные данные'!$D$2:$D$966,BX$1,'Исходные данные'!$F$2:$F$966,$A23)</f>
        <v>0</v>
      </c>
      <c r="BZ23" s="9" t="n">
        <f aca="false">SUMIFS('Исходные данные'!$I$2:$I$966,'Исходные данные'!$D$2:$D$966,BZ$1,'Исходные данные'!$F$2:$F$966,$A23)</f>
        <v>0</v>
      </c>
      <c r="CA23" s="9" t="n">
        <f aca="false">SUMIFS('Исходные данные'!$J$2:$J$966,'Исходные данные'!$D$2:$D$966,BZ$1,'Исходные данные'!$F$2:$F$966,$A23)</f>
        <v>0</v>
      </c>
      <c r="CB23" s="9" t="n">
        <f aca="false">SUMIFS('Исходные данные'!$I$2:$I$966,'Исходные данные'!$D$2:$D$966,CB$1,'Исходные данные'!$F$2:$F$966,$A23)</f>
        <v>0</v>
      </c>
      <c r="CC23" s="9" t="n">
        <f aca="false">SUMIFS('Исходные данные'!$J$2:$J$966,'Исходные данные'!$D$2:$D$966,CB$1,'Исходные данные'!$F$2:$F$966,$A23)</f>
        <v>0</v>
      </c>
      <c r="CD23" s="9" t="n">
        <f aca="false">SUMIFS('Исходные данные'!$I$2:$I$966,'Исходные данные'!$D$2:$D$966,CD$1,'Исходные данные'!$F$2:$F$966,$A23)</f>
        <v>0</v>
      </c>
      <c r="CE23" s="9" t="n">
        <f aca="false">SUMIFS('Исходные данные'!$J$2:$J$966,'Исходные данные'!$D$2:$D$966,CD$1,'Исходные данные'!$F$2:$F$966,$A23)</f>
        <v>0</v>
      </c>
      <c r="CF23" s="9" t="n">
        <f aca="false">SUMIFS('Исходные данные'!$I$2:$I$966,'Исходные данные'!$D$2:$D$966,CF$1,'Исходные данные'!$F$2:$F$966,$A23)</f>
        <v>0</v>
      </c>
      <c r="CG23" s="9" t="n">
        <f aca="false">SUMIFS('Исходные данные'!$J$2:$J$966,'Исходные данные'!$D$2:$D$966,CF$1,'Исходные данные'!$F$2:$F$966,$A23)</f>
        <v>0</v>
      </c>
      <c r="CH23" s="9" t="n">
        <f aca="false">SUMIFS('Исходные данные'!$I$2:$I$966,'Исходные данные'!$D$2:$D$966,CH$1,'Исходные данные'!$F$2:$F$966,$A23)</f>
        <v>0</v>
      </c>
      <c r="CI23" s="9" t="n">
        <f aca="false">SUMIFS('Исходные данные'!$J$2:$J$966,'Исходные данные'!$D$2:$D$966,CH$1,'Исходные данные'!$F$2:$F$966,$A23)</f>
        <v>0</v>
      </c>
      <c r="CJ23" s="9" t="n">
        <f aca="false">SUMIFS('Исходные данные'!$I$2:$I$966,'Исходные данные'!$D$2:$D$966,CJ$1,'Исходные данные'!$F$2:$F$966,$A23)</f>
        <v>0</v>
      </c>
      <c r="CK23" s="9" t="n">
        <f aca="false">SUMIFS('Исходные данные'!$J$2:$J$966,'Исходные данные'!$D$2:$D$966,CJ$1,'Исходные данные'!$F$2:$F$966,$A23)</f>
        <v>0</v>
      </c>
      <c r="CL23" s="9" t="n">
        <f aca="false">SUMIFS('Исходные данные'!$I$2:$I$966,'Исходные данные'!$D$2:$D$966,CL$1,'Исходные данные'!$F$2:$F$966,$A23)</f>
        <v>0</v>
      </c>
      <c r="CM23" s="9" t="n">
        <f aca="false">SUMIFS('Исходные данные'!$J$2:$J$966,'Исходные данные'!$D$2:$D$966,CL$1,'Исходные данные'!$F$2:$F$966,$A23)</f>
        <v>0</v>
      </c>
      <c r="CN23" s="9" t="n">
        <f aca="false">SUMIFS('Исходные данные'!$I$2:$I$966,'Исходные данные'!$D$2:$D$966,CN$1,'Исходные данные'!$F$2:$F$966,$A23)</f>
        <v>0</v>
      </c>
      <c r="CO23" s="9" t="n">
        <f aca="false">SUMIFS('Исходные данные'!$J$2:$J$966,'Исходные данные'!$D$2:$D$966,CN$1,'Исходные данные'!$F$2:$F$966,$A23)</f>
        <v>0</v>
      </c>
      <c r="CP23" s="9" t="n">
        <f aca="false">SUMIFS('Исходные данные'!$I$2:$I$966,'Исходные данные'!$D$2:$D$966,CP$1,'Исходные данные'!$F$2:$F$966,$A23)</f>
        <v>0</v>
      </c>
      <c r="CQ23" s="9" t="n">
        <f aca="false">SUMIFS('Исходные данные'!$J$2:$J$966,'Исходные данные'!$D$2:$D$966,CP$1,'Исходные данные'!$F$2:$F$966,$A23)</f>
        <v>0</v>
      </c>
    </row>
    <row r="24" customFormat="false" ht="15" hidden="false" customHeight="false" outlineLevel="0" collapsed="false">
      <c r="A24" s="8" t="s">
        <v>95</v>
      </c>
      <c r="B24" s="9" t="s">
        <v>96</v>
      </c>
      <c r="C24" s="5" t="n">
        <v>5</v>
      </c>
      <c r="D24" s="5" t="n">
        <f aca="false">F24+G24</f>
        <v>4</v>
      </c>
      <c r="E24" s="5" t="n">
        <f aca="false">D24-C24</f>
        <v>-1</v>
      </c>
      <c r="F24" s="5" t="n">
        <f aca="false">SUMIFS($H24:$CQ24,$H$2:$CQ$2,"День")</f>
        <v>4</v>
      </c>
      <c r="G24" s="5" t="n">
        <f aca="false">SUMIFS($H24:$CQ24,$H$2:$CQ$2,"Ночь")</f>
        <v>0</v>
      </c>
      <c r="H24" s="9" t="n">
        <f aca="false">SUMIFS('Исходные данные'!$I$2:$I$966,'Исходные данные'!$D$2:$D$966,H$1,'Исходные данные'!$F$2:$F$966,$A24)</f>
        <v>0</v>
      </c>
      <c r="I24" s="9" t="n">
        <f aca="false">SUMIFS('Исходные данные'!$J$2:$J$966,'Исходные данные'!$D$2:$D$966,H$1,'Исходные данные'!$F$2:$F$966,$A24)</f>
        <v>0</v>
      </c>
      <c r="J24" s="9" t="n">
        <f aca="false">SUMIFS('Исходные данные'!$I$2:$I$966,'Исходные данные'!$D$2:$D$966,J$1,'Исходные данные'!$F$2:$F$966,$A24)</f>
        <v>0</v>
      </c>
      <c r="K24" s="9" t="n">
        <f aca="false">SUMIFS('Исходные данные'!$J$2:$J$966,'Исходные данные'!$D$2:$D$966,J$1,'Исходные данные'!$F$2:$F$966,$A24)</f>
        <v>0</v>
      </c>
      <c r="L24" s="9" t="n">
        <f aca="false">SUMIFS('Исходные данные'!$I$2:$I$966,'Исходные данные'!$D$2:$D$966,L$1,'Исходные данные'!$F$2:$F$966,$A24)</f>
        <v>0</v>
      </c>
      <c r="M24" s="9" t="n">
        <f aca="false">SUMIFS('Исходные данные'!$J$2:$J$966,'Исходные данные'!$D$2:$D$966,L$1,'Исходные данные'!$F$2:$F$966,$A24)</f>
        <v>0</v>
      </c>
      <c r="N24" s="9" t="n">
        <f aca="false">SUMIFS('Исходные данные'!$I$2:$I$966,'Исходные данные'!$D$2:$D$966,N$1,'Исходные данные'!$F$2:$F$966,$A24)</f>
        <v>0</v>
      </c>
      <c r="O24" s="9" t="n">
        <f aca="false">SUMIFS('Исходные данные'!$J$2:$J$966,'Исходные данные'!$D$2:$D$966,N$1,'Исходные данные'!$F$2:$F$966,$A24)</f>
        <v>0</v>
      </c>
      <c r="P24" s="9" t="n">
        <f aca="false">SUMIFS('Исходные данные'!$I$2:$I$966,'Исходные данные'!$D$2:$D$966,P$1,'Исходные данные'!$F$2:$F$966,$A24)</f>
        <v>0</v>
      </c>
      <c r="Q24" s="9" t="n">
        <f aca="false">SUMIFS('Исходные данные'!$J$2:$J$966,'Исходные данные'!$D$2:$D$966,P$1,'Исходные данные'!$F$2:$F$966,$A24)</f>
        <v>0</v>
      </c>
      <c r="R24" s="9" t="n">
        <f aca="false">SUMIFS('Исходные данные'!$I$2:$I$966,'Исходные данные'!$D$2:$D$966,R$1,'Исходные данные'!$F$2:$F$966,$A24)</f>
        <v>0</v>
      </c>
      <c r="S24" s="9" t="n">
        <f aca="false">SUMIFS('Исходные данные'!$J$2:$J$966,'Исходные данные'!$D$2:$D$966,R$1,'Исходные данные'!$F$2:$F$966,$A24)</f>
        <v>0</v>
      </c>
      <c r="T24" s="9" t="n">
        <f aca="false">SUMIFS('Исходные данные'!$I$2:$I$966,'Исходные данные'!$D$2:$D$966,T$1,'Исходные данные'!$F$2:$F$966,$A24)</f>
        <v>0</v>
      </c>
      <c r="U24" s="9" t="n">
        <f aca="false">SUMIFS('Исходные данные'!$J$2:$J$966,'Исходные данные'!$D$2:$D$966,T$1,'Исходные данные'!$F$2:$F$966,$A24)</f>
        <v>0</v>
      </c>
      <c r="V24" s="9" t="n">
        <f aca="false">SUMIFS('Исходные данные'!$I$2:$I$966,'Исходные данные'!$D$2:$D$966,V$1,'Исходные данные'!$F$2:$F$966,$A24)</f>
        <v>0</v>
      </c>
      <c r="W24" s="9" t="n">
        <f aca="false">SUMIFS('Исходные данные'!$J$2:$J$966,'Исходные данные'!$D$2:$D$966,V$1,'Исходные данные'!$F$2:$F$966,$A24)</f>
        <v>0</v>
      </c>
      <c r="X24" s="9" t="n">
        <f aca="false">SUMIFS('Исходные данные'!$I$2:$I$966,'Исходные данные'!$D$2:$D$966,X$1,'Исходные данные'!$F$2:$F$966,$A24)</f>
        <v>0</v>
      </c>
      <c r="Y24" s="9" t="n">
        <f aca="false">SUMIFS('Исходные данные'!$J$2:$J$966,'Исходные данные'!$D$2:$D$966,X$1,'Исходные данные'!$F$2:$F$966,$A24)</f>
        <v>0</v>
      </c>
      <c r="Z24" s="9" t="n">
        <f aca="false">SUMIFS('Исходные данные'!$I$2:$I$966,'Исходные данные'!$D$2:$D$966,Z$1,'Исходные данные'!$F$2:$F$966,$A24)</f>
        <v>0</v>
      </c>
      <c r="AA24" s="9" t="n">
        <f aca="false">SUMIFS('Исходные данные'!$J$2:$J$966,'Исходные данные'!$D$2:$D$966,Z$1,'Исходные данные'!$F$2:$F$966,$A24)</f>
        <v>0</v>
      </c>
      <c r="AB24" s="9" t="n">
        <f aca="false">SUMIFS('Исходные данные'!$I$2:$I$966,'Исходные данные'!$D$2:$D$966,AB$1,'Исходные данные'!$F$2:$F$966,$A24)</f>
        <v>0</v>
      </c>
      <c r="AC24" s="9" t="n">
        <f aca="false">SUMIFS('Исходные данные'!$J$2:$J$966,'Исходные данные'!$D$2:$D$966,AB$1,'Исходные данные'!$F$2:$F$966,$A24)</f>
        <v>0</v>
      </c>
      <c r="AD24" s="9" t="n">
        <f aca="false">SUMIFS('Исходные данные'!$I$2:$I$966,'Исходные данные'!$D$2:$D$966,AD$1,'Исходные данные'!$F$2:$F$966,$A24)</f>
        <v>0</v>
      </c>
      <c r="AE24" s="9" t="n">
        <f aca="false">SUMIFS('Исходные данные'!$J$2:$J$966,'Исходные данные'!$D$2:$D$966,AD$1,'Исходные данные'!$F$2:$F$966,$A24)</f>
        <v>0</v>
      </c>
      <c r="AF24" s="9" t="n">
        <f aca="false">SUMIFS('Исходные данные'!$I$2:$I$966,'Исходные данные'!$D$2:$D$966,AF$1,'Исходные данные'!$F$2:$F$966,$A24)</f>
        <v>0</v>
      </c>
      <c r="AG24" s="9" t="n">
        <f aca="false">SUMIFS('Исходные данные'!$J$2:$J$966,'Исходные данные'!$D$2:$D$966,AF$1,'Исходные данные'!$F$2:$F$966,$A24)</f>
        <v>0</v>
      </c>
      <c r="AH24" s="9" t="n">
        <f aca="false">SUMIFS('Исходные данные'!$I$2:$I$966,'Исходные данные'!$D$2:$D$966,AH$1,'Исходные данные'!$F$2:$F$966,$A24)</f>
        <v>4</v>
      </c>
      <c r="AI24" s="9" t="n">
        <f aca="false">SUMIFS('Исходные данные'!$J$2:$J$966,'Исходные данные'!$D$2:$D$966,AH$1,'Исходные данные'!$F$2:$F$966,$A24)</f>
        <v>0</v>
      </c>
      <c r="AJ24" s="9" t="n">
        <f aca="false">SUMIFS('Исходные данные'!$I$2:$I$966,'Исходные данные'!$D$2:$D$966,AJ$1,'Исходные данные'!$F$2:$F$966,$A24)</f>
        <v>0</v>
      </c>
      <c r="AK24" s="9" t="n">
        <f aca="false">SUMIFS('Исходные данные'!$J$2:$J$966,'Исходные данные'!$D$2:$D$966,AJ$1,'Исходные данные'!$F$2:$F$966,$A24)</f>
        <v>0</v>
      </c>
      <c r="AL24" s="9" t="n">
        <f aca="false">SUMIFS('Исходные данные'!$I$2:$I$966,'Исходные данные'!$D$2:$D$966,AL$1,'Исходные данные'!$F$2:$F$966,$A24)</f>
        <v>0</v>
      </c>
      <c r="AM24" s="9" t="n">
        <f aca="false">SUMIFS('Исходные данные'!$J$2:$J$966,'Исходные данные'!$D$2:$D$966,AL$1,'Исходные данные'!$F$2:$F$966,$A24)</f>
        <v>0</v>
      </c>
      <c r="AN24" s="9" t="n">
        <f aca="false">SUMIFS('Исходные данные'!$I$2:$I$966,'Исходные данные'!$D$2:$D$966,AN$1,'Исходные данные'!$F$2:$F$966,$A24)</f>
        <v>0</v>
      </c>
      <c r="AO24" s="9" t="n">
        <f aca="false">SUMIFS('Исходные данные'!$J$2:$J$966,'Исходные данные'!$D$2:$D$966,AN$1,'Исходные данные'!$F$2:$F$966,$A24)</f>
        <v>0</v>
      </c>
      <c r="AP24" s="9" t="n">
        <f aca="false">SUMIFS('Исходные данные'!$I$2:$I$966,'Исходные данные'!$D$2:$D$966,AP$1,'Исходные данные'!$F$2:$F$966,$A24)</f>
        <v>0</v>
      </c>
      <c r="AQ24" s="9" t="n">
        <f aca="false">SUMIFS('Исходные данные'!$J$2:$J$966,'Исходные данные'!$D$2:$D$966,AP$1,'Исходные данные'!$F$2:$F$966,$A24)</f>
        <v>0</v>
      </c>
      <c r="AR24" s="9" t="n">
        <f aca="false">SUMIFS('Исходные данные'!$I$2:$I$966,'Исходные данные'!$D$2:$D$966,AR$1,'Исходные данные'!$F$2:$F$966,$A24)</f>
        <v>0</v>
      </c>
      <c r="AS24" s="9" t="n">
        <f aca="false">SUMIFS('Исходные данные'!$J$2:$J$966,'Исходные данные'!$D$2:$D$966,AR$1,'Исходные данные'!$F$2:$F$966,$A24)</f>
        <v>0</v>
      </c>
      <c r="AT24" s="9" t="n">
        <f aca="false">SUMIFS('Исходные данные'!$I$2:$I$966,'Исходные данные'!$D$2:$D$966,AT$1,'Исходные данные'!$F$2:$F$966,$A24)</f>
        <v>0</v>
      </c>
      <c r="AU24" s="9" t="n">
        <f aca="false">SUMIFS('Исходные данные'!$J$2:$J$966,'Исходные данные'!$D$2:$D$966,AT$1,'Исходные данные'!$F$2:$F$966,$A24)</f>
        <v>0</v>
      </c>
      <c r="AV24" s="9" t="n">
        <f aca="false">SUMIFS('Исходные данные'!$I$2:$I$966,'Исходные данные'!$D$2:$D$966,AV$1,'Исходные данные'!$F$2:$F$966,$A24)</f>
        <v>0</v>
      </c>
      <c r="AW24" s="9" t="n">
        <f aca="false">SUMIFS('Исходные данные'!$J$2:$J$966,'Исходные данные'!$D$2:$D$966,AV$1,'Исходные данные'!$F$2:$F$966,$A24)</f>
        <v>0</v>
      </c>
      <c r="AX24" s="9" t="n">
        <f aca="false">SUMIFS('Исходные данные'!$I$2:$I$966,'Исходные данные'!$D$2:$D$966,AX$1,'Исходные данные'!$F$2:$F$966,$A24)</f>
        <v>0</v>
      </c>
      <c r="AY24" s="9" t="n">
        <f aca="false">SUMIFS('Исходные данные'!$J$2:$J$966,'Исходные данные'!$D$2:$D$966,AX$1,'Исходные данные'!$F$2:$F$966,$A24)</f>
        <v>0</v>
      </c>
      <c r="AZ24" s="9" t="n">
        <f aca="false">SUMIFS('Исходные данные'!$I$2:$I$966,'Исходные данные'!$D$2:$D$966,AZ$1,'Исходные данные'!$F$2:$F$966,$A24)</f>
        <v>0</v>
      </c>
      <c r="BA24" s="9" t="n">
        <f aca="false">SUMIFS('Исходные данные'!$J$2:$J$966,'Исходные данные'!$D$2:$D$966,AZ$1,'Исходные данные'!$F$2:$F$966,$A24)</f>
        <v>0</v>
      </c>
      <c r="BB24" s="9" t="n">
        <f aca="false">SUMIFS('Исходные данные'!$I$2:$I$966,'Исходные данные'!$D$2:$D$966,BB$1,'Исходные данные'!$F$2:$F$966,$A24)</f>
        <v>0</v>
      </c>
      <c r="BC24" s="9" t="n">
        <f aca="false">SUMIFS('Исходные данные'!$J$2:$J$966,'Исходные данные'!$D$2:$D$966,BB$1,'Исходные данные'!$F$2:$F$966,$A24)</f>
        <v>0</v>
      </c>
      <c r="BD24" s="9" t="n">
        <f aca="false">SUMIFS('Исходные данные'!$I$2:$I$966,'Исходные данные'!$D$2:$D$966,BD$1,'Исходные данные'!$F$2:$F$966,$A24)</f>
        <v>0</v>
      </c>
      <c r="BE24" s="9" t="n">
        <f aca="false">SUMIFS('Исходные данные'!$J$2:$J$966,'Исходные данные'!$D$2:$D$966,BD$1,'Исходные данные'!$F$2:$F$966,$A24)</f>
        <v>0</v>
      </c>
      <c r="BF24" s="9" t="n">
        <f aca="false">SUMIFS('Исходные данные'!$I$2:$I$966,'Исходные данные'!$D$2:$D$966,BF$1,'Исходные данные'!$F$2:$F$966,$A24)</f>
        <v>0</v>
      </c>
      <c r="BG24" s="9" t="n">
        <f aca="false">SUMIFS('Исходные данные'!$J$2:$J$966,'Исходные данные'!$D$2:$D$966,BF$1,'Исходные данные'!$F$2:$F$966,$A24)</f>
        <v>0</v>
      </c>
      <c r="BH24" s="9" t="n">
        <f aca="false">SUMIFS('Исходные данные'!$I$2:$I$966,'Исходные данные'!$D$2:$D$966,BH$1,'Исходные данные'!$F$2:$F$966,$A24)</f>
        <v>0</v>
      </c>
      <c r="BI24" s="9" t="n">
        <f aca="false">SUMIFS('Исходные данные'!$J$2:$J$966,'Исходные данные'!$D$2:$D$966,BH$1,'Исходные данные'!$F$2:$F$966,$A24)</f>
        <v>0</v>
      </c>
      <c r="BJ24" s="9" t="n">
        <f aca="false">SUMIFS('Исходные данные'!$I$2:$I$966,'Исходные данные'!$D$2:$D$966,BJ$1,'Исходные данные'!$F$2:$F$966,$A24)</f>
        <v>0</v>
      </c>
      <c r="BK24" s="9" t="n">
        <f aca="false">SUMIFS('Исходные данные'!$J$2:$J$966,'Исходные данные'!$D$2:$D$966,BJ$1,'Исходные данные'!$F$2:$F$966,$A24)</f>
        <v>0</v>
      </c>
      <c r="BL24" s="9" t="n">
        <f aca="false">SUMIFS('Исходные данные'!$I$2:$I$966,'Исходные данные'!$D$2:$D$966,BL$1,'Исходные данные'!$F$2:$F$966,$A24)</f>
        <v>0</v>
      </c>
      <c r="BM24" s="9" t="n">
        <f aca="false">SUMIFS('Исходные данные'!$J$2:$J$966,'Исходные данные'!$D$2:$D$966,BL$1,'Исходные данные'!$F$2:$F$966,$A24)</f>
        <v>0</v>
      </c>
      <c r="BN24" s="9" t="n">
        <f aca="false">SUMIFS('Исходные данные'!$I$2:$I$966,'Исходные данные'!$D$2:$D$966,BN$1,'Исходные данные'!$F$2:$F$966,$A24)</f>
        <v>0</v>
      </c>
      <c r="BO24" s="9" t="n">
        <f aca="false">SUMIFS('Исходные данные'!$J$2:$J$966,'Исходные данные'!$D$2:$D$966,BN$1,'Исходные данные'!$F$2:$F$966,$A24)</f>
        <v>0</v>
      </c>
      <c r="BP24" s="9" t="n">
        <f aca="false">SUMIFS('Исходные данные'!$I$2:$I$966,'Исходные данные'!$D$2:$D$966,BP$1,'Исходные данные'!$F$2:$F$966,$A24)</f>
        <v>0</v>
      </c>
      <c r="BQ24" s="9" t="n">
        <f aca="false">SUMIFS('Исходные данные'!$J$2:$J$966,'Исходные данные'!$D$2:$D$966,BP$1,'Исходные данные'!$F$2:$F$966,$A24)</f>
        <v>0</v>
      </c>
      <c r="BR24" s="9" t="n">
        <f aca="false">SUMIFS('Исходные данные'!$I$2:$I$966,'Исходные данные'!$D$2:$D$966,BR$1,'Исходные данные'!$F$2:$F$966,$A24)</f>
        <v>0</v>
      </c>
      <c r="BS24" s="9" t="n">
        <f aca="false">SUMIFS('Исходные данные'!$J$2:$J$966,'Исходные данные'!$D$2:$D$966,BR$1,'Исходные данные'!$F$2:$F$966,$A24)</f>
        <v>0</v>
      </c>
      <c r="BT24" s="9" t="n">
        <f aca="false">SUMIFS('Исходные данные'!$I$2:$I$966,'Исходные данные'!$D$2:$D$966,BT$1,'Исходные данные'!$F$2:$F$966,$A24)</f>
        <v>0</v>
      </c>
      <c r="BU24" s="9" t="n">
        <f aca="false">SUMIFS('Исходные данные'!$J$2:$J$966,'Исходные данные'!$D$2:$D$966,BT$1,'Исходные данные'!$F$2:$F$966,$A24)</f>
        <v>0</v>
      </c>
      <c r="BV24" s="9" t="n">
        <f aca="false">SUMIFS('Исходные данные'!$I$2:$I$966,'Исходные данные'!$D$2:$D$966,BV$1,'Исходные данные'!$F$2:$F$966,$A24)</f>
        <v>0</v>
      </c>
      <c r="BW24" s="9" t="n">
        <f aca="false">SUMIFS('Исходные данные'!$J$2:$J$966,'Исходные данные'!$D$2:$D$966,BV$1,'Исходные данные'!$F$2:$F$966,$A24)</f>
        <v>0</v>
      </c>
      <c r="BX24" s="9" t="n">
        <f aca="false">SUMIFS('Исходные данные'!$I$2:$I$966,'Исходные данные'!$D$2:$D$966,BX$1,'Исходные данные'!$F$2:$F$966,$A24)</f>
        <v>0</v>
      </c>
      <c r="BY24" s="9" t="n">
        <f aca="false">SUMIFS('Исходные данные'!$J$2:$J$966,'Исходные данные'!$D$2:$D$966,BX$1,'Исходные данные'!$F$2:$F$966,$A24)</f>
        <v>0</v>
      </c>
      <c r="BZ24" s="9" t="n">
        <f aca="false">SUMIFS('Исходные данные'!$I$2:$I$966,'Исходные данные'!$D$2:$D$966,BZ$1,'Исходные данные'!$F$2:$F$966,$A24)</f>
        <v>0</v>
      </c>
      <c r="CA24" s="9" t="n">
        <f aca="false">SUMIFS('Исходные данные'!$J$2:$J$966,'Исходные данные'!$D$2:$D$966,BZ$1,'Исходные данные'!$F$2:$F$966,$A24)</f>
        <v>0</v>
      </c>
      <c r="CB24" s="9" t="n">
        <f aca="false">SUMIFS('Исходные данные'!$I$2:$I$966,'Исходные данные'!$D$2:$D$966,CB$1,'Исходные данные'!$F$2:$F$966,$A24)</f>
        <v>0</v>
      </c>
      <c r="CC24" s="9" t="n">
        <f aca="false">SUMIFS('Исходные данные'!$J$2:$J$966,'Исходные данные'!$D$2:$D$966,CB$1,'Исходные данные'!$F$2:$F$966,$A24)</f>
        <v>0</v>
      </c>
      <c r="CD24" s="9" t="n">
        <f aca="false">SUMIFS('Исходные данные'!$I$2:$I$966,'Исходные данные'!$D$2:$D$966,CD$1,'Исходные данные'!$F$2:$F$966,$A24)</f>
        <v>0</v>
      </c>
      <c r="CE24" s="9" t="n">
        <f aca="false">SUMIFS('Исходные данные'!$J$2:$J$966,'Исходные данные'!$D$2:$D$966,CD$1,'Исходные данные'!$F$2:$F$966,$A24)</f>
        <v>0</v>
      </c>
      <c r="CF24" s="9" t="n">
        <f aca="false">SUMIFS('Исходные данные'!$I$2:$I$966,'Исходные данные'!$D$2:$D$966,CF$1,'Исходные данные'!$F$2:$F$966,$A24)</f>
        <v>0</v>
      </c>
      <c r="CG24" s="9" t="n">
        <f aca="false">SUMIFS('Исходные данные'!$J$2:$J$966,'Исходные данные'!$D$2:$D$966,CF$1,'Исходные данные'!$F$2:$F$966,$A24)</f>
        <v>0</v>
      </c>
      <c r="CH24" s="9" t="n">
        <f aca="false">SUMIFS('Исходные данные'!$I$2:$I$966,'Исходные данные'!$D$2:$D$966,CH$1,'Исходные данные'!$F$2:$F$966,$A24)</f>
        <v>0</v>
      </c>
      <c r="CI24" s="9" t="n">
        <f aca="false">SUMIFS('Исходные данные'!$J$2:$J$966,'Исходные данные'!$D$2:$D$966,CH$1,'Исходные данные'!$F$2:$F$966,$A24)</f>
        <v>0</v>
      </c>
      <c r="CJ24" s="9" t="n">
        <f aca="false">SUMIFS('Исходные данные'!$I$2:$I$966,'Исходные данные'!$D$2:$D$966,CJ$1,'Исходные данные'!$F$2:$F$966,$A24)</f>
        <v>0</v>
      </c>
      <c r="CK24" s="9" t="n">
        <f aca="false">SUMIFS('Исходные данные'!$J$2:$J$966,'Исходные данные'!$D$2:$D$966,CJ$1,'Исходные данные'!$F$2:$F$966,$A24)</f>
        <v>0</v>
      </c>
      <c r="CL24" s="9" t="n">
        <f aca="false">SUMIFS('Исходные данные'!$I$2:$I$966,'Исходные данные'!$D$2:$D$966,CL$1,'Исходные данные'!$F$2:$F$966,$A24)</f>
        <v>0</v>
      </c>
      <c r="CM24" s="9" t="n">
        <f aca="false">SUMIFS('Исходные данные'!$J$2:$J$966,'Исходные данные'!$D$2:$D$966,CL$1,'Исходные данные'!$F$2:$F$966,$A24)</f>
        <v>0</v>
      </c>
      <c r="CN24" s="9" t="n">
        <f aca="false">SUMIFS('Исходные данные'!$I$2:$I$966,'Исходные данные'!$D$2:$D$966,CN$1,'Исходные данные'!$F$2:$F$966,$A24)</f>
        <v>0</v>
      </c>
      <c r="CO24" s="9" t="n">
        <f aca="false">SUMIFS('Исходные данные'!$J$2:$J$966,'Исходные данные'!$D$2:$D$966,CN$1,'Исходные данные'!$F$2:$F$966,$A24)</f>
        <v>0</v>
      </c>
      <c r="CP24" s="9" t="n">
        <f aca="false">SUMIFS('Исходные данные'!$I$2:$I$966,'Исходные данные'!$D$2:$D$966,CP$1,'Исходные данные'!$F$2:$F$966,$A24)</f>
        <v>0</v>
      </c>
      <c r="CQ24" s="9" t="n">
        <f aca="false">SUMIFS('Исходные данные'!$J$2:$J$966,'Исходные данные'!$D$2:$D$966,CP$1,'Исходные данные'!$F$2:$F$966,$A24)</f>
        <v>0</v>
      </c>
    </row>
    <row r="25" customFormat="false" ht="15" hidden="false" customHeight="false" outlineLevel="0" collapsed="false">
      <c r="A25" s="8" t="s">
        <v>97</v>
      </c>
      <c r="B25" s="9" t="s">
        <v>98</v>
      </c>
      <c r="C25" s="5" t="n">
        <v>4</v>
      </c>
      <c r="D25" s="5" t="n">
        <f aca="false">F25+G25</f>
        <v>4</v>
      </c>
      <c r="E25" s="5" t="n">
        <f aca="false">D25-C25</f>
        <v>0</v>
      </c>
      <c r="F25" s="5" t="n">
        <f aca="false">SUMIFS($H25:$CQ25,$H$2:$CQ$2,"День")</f>
        <v>4</v>
      </c>
      <c r="G25" s="5" t="n">
        <f aca="false">SUMIFS($H25:$CQ25,$H$2:$CQ$2,"Ночь")</f>
        <v>0</v>
      </c>
      <c r="H25" s="9" t="n">
        <f aca="false">SUMIFS('Исходные данные'!$I$2:$I$966,'Исходные данные'!$D$2:$D$966,H$1,'Исходные данные'!$F$2:$F$966,$A25)</f>
        <v>0</v>
      </c>
      <c r="I25" s="9" t="n">
        <f aca="false">SUMIFS('Исходные данные'!$J$2:$J$966,'Исходные данные'!$D$2:$D$966,H$1,'Исходные данные'!$F$2:$F$966,$A25)</f>
        <v>0</v>
      </c>
      <c r="J25" s="9" t="n">
        <f aca="false">SUMIFS('Исходные данные'!$I$2:$I$966,'Исходные данные'!$D$2:$D$966,J$1,'Исходные данные'!$F$2:$F$966,$A25)</f>
        <v>0</v>
      </c>
      <c r="K25" s="9" t="n">
        <f aca="false">SUMIFS('Исходные данные'!$J$2:$J$966,'Исходные данные'!$D$2:$D$966,J$1,'Исходные данные'!$F$2:$F$966,$A25)</f>
        <v>0</v>
      </c>
      <c r="L25" s="9" t="n">
        <f aca="false">SUMIFS('Исходные данные'!$I$2:$I$966,'Исходные данные'!$D$2:$D$966,L$1,'Исходные данные'!$F$2:$F$966,$A25)</f>
        <v>0</v>
      </c>
      <c r="M25" s="9" t="n">
        <f aca="false">SUMIFS('Исходные данные'!$J$2:$J$966,'Исходные данные'!$D$2:$D$966,L$1,'Исходные данные'!$F$2:$F$966,$A25)</f>
        <v>0</v>
      </c>
      <c r="N25" s="9" t="n">
        <f aca="false">SUMIFS('Исходные данные'!$I$2:$I$966,'Исходные данные'!$D$2:$D$966,N$1,'Исходные данные'!$F$2:$F$966,$A25)</f>
        <v>0</v>
      </c>
      <c r="O25" s="9" t="n">
        <f aca="false">SUMIFS('Исходные данные'!$J$2:$J$966,'Исходные данные'!$D$2:$D$966,N$1,'Исходные данные'!$F$2:$F$966,$A25)</f>
        <v>0</v>
      </c>
      <c r="P25" s="9" t="n">
        <f aca="false">SUMIFS('Исходные данные'!$I$2:$I$966,'Исходные данные'!$D$2:$D$966,P$1,'Исходные данные'!$F$2:$F$966,$A25)</f>
        <v>0</v>
      </c>
      <c r="Q25" s="9" t="n">
        <f aca="false">SUMIFS('Исходные данные'!$J$2:$J$966,'Исходные данные'!$D$2:$D$966,P$1,'Исходные данные'!$F$2:$F$966,$A25)</f>
        <v>0</v>
      </c>
      <c r="R25" s="9" t="n">
        <f aca="false">SUMIFS('Исходные данные'!$I$2:$I$966,'Исходные данные'!$D$2:$D$966,R$1,'Исходные данные'!$F$2:$F$966,$A25)</f>
        <v>0</v>
      </c>
      <c r="S25" s="9" t="n">
        <f aca="false">SUMIFS('Исходные данные'!$J$2:$J$966,'Исходные данные'!$D$2:$D$966,R$1,'Исходные данные'!$F$2:$F$966,$A25)</f>
        <v>0</v>
      </c>
      <c r="T25" s="9" t="n">
        <f aca="false">SUMIFS('Исходные данные'!$I$2:$I$966,'Исходные данные'!$D$2:$D$966,T$1,'Исходные данные'!$F$2:$F$966,$A25)</f>
        <v>0</v>
      </c>
      <c r="U25" s="9" t="n">
        <f aca="false">SUMIFS('Исходные данные'!$J$2:$J$966,'Исходные данные'!$D$2:$D$966,T$1,'Исходные данные'!$F$2:$F$966,$A25)</f>
        <v>0</v>
      </c>
      <c r="V25" s="9" t="n">
        <f aca="false">SUMIFS('Исходные данные'!$I$2:$I$966,'Исходные данные'!$D$2:$D$966,V$1,'Исходные данные'!$F$2:$F$966,$A25)</f>
        <v>0</v>
      </c>
      <c r="W25" s="9" t="n">
        <f aca="false">SUMIFS('Исходные данные'!$J$2:$J$966,'Исходные данные'!$D$2:$D$966,V$1,'Исходные данные'!$F$2:$F$966,$A25)</f>
        <v>0</v>
      </c>
      <c r="X25" s="9" t="n">
        <f aca="false">SUMIFS('Исходные данные'!$I$2:$I$966,'Исходные данные'!$D$2:$D$966,X$1,'Исходные данные'!$F$2:$F$966,$A25)</f>
        <v>0</v>
      </c>
      <c r="Y25" s="9" t="n">
        <f aca="false">SUMIFS('Исходные данные'!$J$2:$J$966,'Исходные данные'!$D$2:$D$966,X$1,'Исходные данные'!$F$2:$F$966,$A25)</f>
        <v>0</v>
      </c>
      <c r="Z25" s="9" t="n">
        <f aca="false">SUMIFS('Исходные данные'!$I$2:$I$966,'Исходные данные'!$D$2:$D$966,Z$1,'Исходные данные'!$F$2:$F$966,$A25)</f>
        <v>0</v>
      </c>
      <c r="AA25" s="9" t="n">
        <f aca="false">SUMIFS('Исходные данные'!$J$2:$J$966,'Исходные данные'!$D$2:$D$966,Z$1,'Исходные данные'!$F$2:$F$966,$A25)</f>
        <v>0</v>
      </c>
      <c r="AB25" s="9" t="n">
        <f aca="false">SUMIFS('Исходные данные'!$I$2:$I$966,'Исходные данные'!$D$2:$D$966,AB$1,'Исходные данные'!$F$2:$F$966,$A25)</f>
        <v>0</v>
      </c>
      <c r="AC25" s="9" t="n">
        <f aca="false">SUMIFS('Исходные данные'!$J$2:$J$966,'Исходные данные'!$D$2:$D$966,AB$1,'Исходные данные'!$F$2:$F$966,$A25)</f>
        <v>0</v>
      </c>
      <c r="AD25" s="9" t="n">
        <f aca="false">SUMIFS('Исходные данные'!$I$2:$I$966,'Исходные данные'!$D$2:$D$966,AD$1,'Исходные данные'!$F$2:$F$966,$A25)</f>
        <v>0</v>
      </c>
      <c r="AE25" s="9" t="n">
        <f aca="false">SUMIFS('Исходные данные'!$J$2:$J$966,'Исходные данные'!$D$2:$D$966,AD$1,'Исходные данные'!$F$2:$F$966,$A25)</f>
        <v>0</v>
      </c>
      <c r="AF25" s="9" t="n">
        <f aca="false">SUMIFS('Исходные данные'!$I$2:$I$966,'Исходные данные'!$D$2:$D$966,AF$1,'Исходные данные'!$F$2:$F$966,$A25)</f>
        <v>0</v>
      </c>
      <c r="AG25" s="9" t="n">
        <f aca="false">SUMIFS('Исходные данные'!$J$2:$J$966,'Исходные данные'!$D$2:$D$966,AF$1,'Исходные данные'!$F$2:$F$966,$A25)</f>
        <v>0</v>
      </c>
      <c r="AH25" s="9" t="n">
        <f aca="false">SUMIFS('Исходные данные'!$I$2:$I$966,'Исходные данные'!$D$2:$D$966,AH$1,'Исходные данные'!$F$2:$F$966,$A25)</f>
        <v>0</v>
      </c>
      <c r="AI25" s="9" t="n">
        <f aca="false">SUMIFS('Исходные данные'!$J$2:$J$966,'Исходные данные'!$D$2:$D$966,AH$1,'Исходные данные'!$F$2:$F$966,$A25)</f>
        <v>0</v>
      </c>
      <c r="AJ25" s="9" t="n">
        <f aca="false">SUMIFS('Исходные данные'!$I$2:$I$966,'Исходные данные'!$D$2:$D$966,AJ$1,'Исходные данные'!$F$2:$F$966,$A25)</f>
        <v>0</v>
      </c>
      <c r="AK25" s="9" t="n">
        <f aca="false">SUMIFS('Исходные данные'!$J$2:$J$966,'Исходные данные'!$D$2:$D$966,AJ$1,'Исходные данные'!$F$2:$F$966,$A25)</f>
        <v>0</v>
      </c>
      <c r="AL25" s="9" t="n">
        <f aca="false">SUMIFS('Исходные данные'!$I$2:$I$966,'Исходные данные'!$D$2:$D$966,AL$1,'Исходные данные'!$F$2:$F$966,$A25)</f>
        <v>0</v>
      </c>
      <c r="AM25" s="9" t="n">
        <f aca="false">SUMIFS('Исходные данные'!$J$2:$J$966,'Исходные данные'!$D$2:$D$966,AL$1,'Исходные данные'!$F$2:$F$966,$A25)</f>
        <v>0</v>
      </c>
      <c r="AN25" s="9" t="n">
        <f aca="false">SUMIFS('Исходные данные'!$I$2:$I$966,'Исходные данные'!$D$2:$D$966,AN$1,'Исходные данные'!$F$2:$F$966,$A25)</f>
        <v>0</v>
      </c>
      <c r="AO25" s="9" t="n">
        <f aca="false">SUMIFS('Исходные данные'!$J$2:$J$966,'Исходные данные'!$D$2:$D$966,AN$1,'Исходные данные'!$F$2:$F$966,$A25)</f>
        <v>0</v>
      </c>
      <c r="AP25" s="9" t="n">
        <f aca="false">SUMIFS('Исходные данные'!$I$2:$I$966,'Исходные данные'!$D$2:$D$966,AP$1,'Исходные данные'!$F$2:$F$966,$A25)</f>
        <v>0</v>
      </c>
      <c r="AQ25" s="9" t="n">
        <f aca="false">SUMIFS('Исходные данные'!$J$2:$J$966,'Исходные данные'!$D$2:$D$966,AP$1,'Исходные данные'!$F$2:$F$966,$A25)</f>
        <v>0</v>
      </c>
      <c r="AR25" s="9" t="n">
        <f aca="false">SUMIFS('Исходные данные'!$I$2:$I$966,'Исходные данные'!$D$2:$D$966,AR$1,'Исходные данные'!$F$2:$F$966,$A25)</f>
        <v>0</v>
      </c>
      <c r="AS25" s="9" t="n">
        <f aca="false">SUMIFS('Исходные данные'!$J$2:$J$966,'Исходные данные'!$D$2:$D$966,AR$1,'Исходные данные'!$F$2:$F$966,$A25)</f>
        <v>0</v>
      </c>
      <c r="AT25" s="9" t="n">
        <f aca="false">SUMIFS('Исходные данные'!$I$2:$I$966,'Исходные данные'!$D$2:$D$966,AT$1,'Исходные данные'!$F$2:$F$966,$A25)</f>
        <v>4</v>
      </c>
      <c r="AU25" s="9" t="n">
        <f aca="false">SUMIFS('Исходные данные'!$J$2:$J$966,'Исходные данные'!$D$2:$D$966,AT$1,'Исходные данные'!$F$2:$F$966,$A25)</f>
        <v>0</v>
      </c>
      <c r="AV25" s="9" t="n">
        <f aca="false">SUMIFS('Исходные данные'!$I$2:$I$966,'Исходные данные'!$D$2:$D$966,AV$1,'Исходные данные'!$F$2:$F$966,$A25)</f>
        <v>0</v>
      </c>
      <c r="AW25" s="9" t="n">
        <f aca="false">SUMIFS('Исходные данные'!$J$2:$J$966,'Исходные данные'!$D$2:$D$966,AV$1,'Исходные данные'!$F$2:$F$966,$A25)</f>
        <v>0</v>
      </c>
      <c r="AX25" s="9" t="n">
        <f aca="false">SUMIFS('Исходные данные'!$I$2:$I$966,'Исходные данные'!$D$2:$D$966,AX$1,'Исходные данные'!$F$2:$F$966,$A25)</f>
        <v>0</v>
      </c>
      <c r="AY25" s="9" t="n">
        <f aca="false">SUMIFS('Исходные данные'!$J$2:$J$966,'Исходные данные'!$D$2:$D$966,AX$1,'Исходные данные'!$F$2:$F$966,$A25)</f>
        <v>0</v>
      </c>
      <c r="AZ25" s="9" t="n">
        <f aca="false">SUMIFS('Исходные данные'!$I$2:$I$966,'Исходные данные'!$D$2:$D$966,AZ$1,'Исходные данные'!$F$2:$F$966,$A25)</f>
        <v>0</v>
      </c>
      <c r="BA25" s="9" t="n">
        <f aca="false">SUMIFS('Исходные данные'!$J$2:$J$966,'Исходные данные'!$D$2:$D$966,AZ$1,'Исходные данные'!$F$2:$F$966,$A25)</f>
        <v>0</v>
      </c>
      <c r="BB25" s="9" t="n">
        <f aca="false">SUMIFS('Исходные данные'!$I$2:$I$966,'Исходные данные'!$D$2:$D$966,BB$1,'Исходные данные'!$F$2:$F$966,$A25)</f>
        <v>0</v>
      </c>
      <c r="BC25" s="9" t="n">
        <f aca="false">SUMIFS('Исходные данные'!$J$2:$J$966,'Исходные данные'!$D$2:$D$966,BB$1,'Исходные данные'!$F$2:$F$966,$A25)</f>
        <v>0</v>
      </c>
      <c r="BD25" s="9" t="n">
        <f aca="false">SUMIFS('Исходные данные'!$I$2:$I$966,'Исходные данные'!$D$2:$D$966,BD$1,'Исходные данные'!$F$2:$F$966,$A25)</f>
        <v>0</v>
      </c>
      <c r="BE25" s="9" t="n">
        <f aca="false">SUMIFS('Исходные данные'!$J$2:$J$966,'Исходные данные'!$D$2:$D$966,BD$1,'Исходные данные'!$F$2:$F$966,$A25)</f>
        <v>0</v>
      </c>
      <c r="BF25" s="9" t="n">
        <f aca="false">SUMIFS('Исходные данные'!$I$2:$I$966,'Исходные данные'!$D$2:$D$966,BF$1,'Исходные данные'!$F$2:$F$966,$A25)</f>
        <v>0</v>
      </c>
      <c r="BG25" s="9" t="n">
        <f aca="false">SUMIFS('Исходные данные'!$J$2:$J$966,'Исходные данные'!$D$2:$D$966,BF$1,'Исходные данные'!$F$2:$F$966,$A25)</f>
        <v>0</v>
      </c>
      <c r="BH25" s="9" t="n">
        <f aca="false">SUMIFS('Исходные данные'!$I$2:$I$966,'Исходные данные'!$D$2:$D$966,BH$1,'Исходные данные'!$F$2:$F$966,$A25)</f>
        <v>0</v>
      </c>
      <c r="BI25" s="9" t="n">
        <f aca="false">SUMIFS('Исходные данные'!$J$2:$J$966,'Исходные данные'!$D$2:$D$966,BH$1,'Исходные данные'!$F$2:$F$966,$A25)</f>
        <v>0</v>
      </c>
      <c r="BJ25" s="9" t="n">
        <f aca="false">SUMIFS('Исходные данные'!$I$2:$I$966,'Исходные данные'!$D$2:$D$966,BJ$1,'Исходные данные'!$F$2:$F$966,$A25)</f>
        <v>0</v>
      </c>
      <c r="BK25" s="9" t="n">
        <f aca="false">SUMIFS('Исходные данные'!$J$2:$J$966,'Исходные данные'!$D$2:$D$966,BJ$1,'Исходные данные'!$F$2:$F$966,$A25)</f>
        <v>0</v>
      </c>
      <c r="BL25" s="9" t="n">
        <f aca="false">SUMIFS('Исходные данные'!$I$2:$I$966,'Исходные данные'!$D$2:$D$966,BL$1,'Исходные данные'!$F$2:$F$966,$A25)</f>
        <v>0</v>
      </c>
      <c r="BM25" s="9" t="n">
        <f aca="false">SUMIFS('Исходные данные'!$J$2:$J$966,'Исходные данные'!$D$2:$D$966,BL$1,'Исходные данные'!$F$2:$F$966,$A25)</f>
        <v>0</v>
      </c>
      <c r="BN25" s="9" t="n">
        <f aca="false">SUMIFS('Исходные данные'!$I$2:$I$966,'Исходные данные'!$D$2:$D$966,BN$1,'Исходные данные'!$F$2:$F$966,$A25)</f>
        <v>0</v>
      </c>
      <c r="BO25" s="9" t="n">
        <f aca="false">SUMIFS('Исходные данные'!$J$2:$J$966,'Исходные данные'!$D$2:$D$966,BN$1,'Исходные данные'!$F$2:$F$966,$A25)</f>
        <v>0</v>
      </c>
      <c r="BP25" s="9" t="n">
        <f aca="false">SUMIFS('Исходные данные'!$I$2:$I$966,'Исходные данные'!$D$2:$D$966,BP$1,'Исходные данные'!$F$2:$F$966,$A25)</f>
        <v>0</v>
      </c>
      <c r="BQ25" s="9" t="n">
        <f aca="false">SUMIFS('Исходные данные'!$J$2:$J$966,'Исходные данные'!$D$2:$D$966,BP$1,'Исходные данные'!$F$2:$F$966,$A25)</f>
        <v>0</v>
      </c>
      <c r="BR25" s="9" t="n">
        <f aca="false">SUMIFS('Исходные данные'!$I$2:$I$966,'Исходные данные'!$D$2:$D$966,BR$1,'Исходные данные'!$F$2:$F$966,$A25)</f>
        <v>0</v>
      </c>
      <c r="BS25" s="9" t="n">
        <f aca="false">SUMIFS('Исходные данные'!$J$2:$J$966,'Исходные данные'!$D$2:$D$966,BR$1,'Исходные данные'!$F$2:$F$966,$A25)</f>
        <v>0</v>
      </c>
      <c r="BT25" s="9" t="n">
        <f aca="false">SUMIFS('Исходные данные'!$I$2:$I$966,'Исходные данные'!$D$2:$D$966,BT$1,'Исходные данные'!$F$2:$F$966,$A25)</f>
        <v>0</v>
      </c>
      <c r="BU25" s="9" t="n">
        <f aca="false">SUMIFS('Исходные данные'!$J$2:$J$966,'Исходные данные'!$D$2:$D$966,BT$1,'Исходные данные'!$F$2:$F$966,$A25)</f>
        <v>0</v>
      </c>
      <c r="BV25" s="9" t="n">
        <f aca="false">SUMIFS('Исходные данные'!$I$2:$I$966,'Исходные данные'!$D$2:$D$966,BV$1,'Исходные данные'!$F$2:$F$966,$A25)</f>
        <v>0</v>
      </c>
      <c r="BW25" s="9" t="n">
        <f aca="false">SUMIFS('Исходные данные'!$J$2:$J$966,'Исходные данные'!$D$2:$D$966,BV$1,'Исходные данные'!$F$2:$F$966,$A25)</f>
        <v>0</v>
      </c>
      <c r="BX25" s="9" t="n">
        <f aca="false">SUMIFS('Исходные данные'!$I$2:$I$966,'Исходные данные'!$D$2:$D$966,BX$1,'Исходные данные'!$F$2:$F$966,$A25)</f>
        <v>0</v>
      </c>
      <c r="BY25" s="9" t="n">
        <f aca="false">SUMIFS('Исходные данные'!$J$2:$J$966,'Исходные данные'!$D$2:$D$966,BX$1,'Исходные данные'!$F$2:$F$966,$A25)</f>
        <v>0</v>
      </c>
      <c r="BZ25" s="9" t="n">
        <f aca="false">SUMIFS('Исходные данные'!$I$2:$I$966,'Исходные данные'!$D$2:$D$966,BZ$1,'Исходные данные'!$F$2:$F$966,$A25)</f>
        <v>0</v>
      </c>
      <c r="CA25" s="9" t="n">
        <f aca="false">SUMIFS('Исходные данные'!$J$2:$J$966,'Исходные данные'!$D$2:$D$966,BZ$1,'Исходные данные'!$F$2:$F$966,$A25)</f>
        <v>0</v>
      </c>
      <c r="CB25" s="9" t="n">
        <f aca="false">SUMIFS('Исходные данные'!$I$2:$I$966,'Исходные данные'!$D$2:$D$966,CB$1,'Исходные данные'!$F$2:$F$966,$A25)</f>
        <v>0</v>
      </c>
      <c r="CC25" s="9" t="n">
        <f aca="false">SUMIFS('Исходные данные'!$J$2:$J$966,'Исходные данные'!$D$2:$D$966,CB$1,'Исходные данные'!$F$2:$F$966,$A25)</f>
        <v>0</v>
      </c>
      <c r="CD25" s="9" t="n">
        <f aca="false">SUMIFS('Исходные данные'!$I$2:$I$966,'Исходные данные'!$D$2:$D$966,CD$1,'Исходные данные'!$F$2:$F$966,$A25)</f>
        <v>0</v>
      </c>
      <c r="CE25" s="9" t="n">
        <f aca="false">SUMIFS('Исходные данные'!$J$2:$J$966,'Исходные данные'!$D$2:$D$966,CD$1,'Исходные данные'!$F$2:$F$966,$A25)</f>
        <v>0</v>
      </c>
      <c r="CF25" s="9" t="n">
        <f aca="false">SUMIFS('Исходные данные'!$I$2:$I$966,'Исходные данные'!$D$2:$D$966,CF$1,'Исходные данные'!$F$2:$F$966,$A25)</f>
        <v>0</v>
      </c>
      <c r="CG25" s="9" t="n">
        <f aca="false">SUMIFS('Исходные данные'!$J$2:$J$966,'Исходные данные'!$D$2:$D$966,CF$1,'Исходные данные'!$F$2:$F$966,$A25)</f>
        <v>0</v>
      </c>
      <c r="CH25" s="9" t="n">
        <f aca="false">SUMIFS('Исходные данные'!$I$2:$I$966,'Исходные данные'!$D$2:$D$966,CH$1,'Исходные данные'!$F$2:$F$966,$A25)</f>
        <v>0</v>
      </c>
      <c r="CI25" s="9" t="n">
        <f aca="false">SUMIFS('Исходные данные'!$J$2:$J$966,'Исходные данные'!$D$2:$D$966,CH$1,'Исходные данные'!$F$2:$F$966,$A25)</f>
        <v>0</v>
      </c>
      <c r="CJ25" s="9" t="n">
        <f aca="false">SUMIFS('Исходные данные'!$I$2:$I$966,'Исходные данные'!$D$2:$D$966,CJ$1,'Исходные данные'!$F$2:$F$966,$A25)</f>
        <v>0</v>
      </c>
      <c r="CK25" s="9" t="n">
        <f aca="false">SUMIFS('Исходные данные'!$J$2:$J$966,'Исходные данные'!$D$2:$D$966,CJ$1,'Исходные данные'!$F$2:$F$966,$A25)</f>
        <v>0</v>
      </c>
      <c r="CL25" s="9" t="n">
        <f aca="false">SUMIFS('Исходные данные'!$I$2:$I$966,'Исходные данные'!$D$2:$D$966,CL$1,'Исходные данные'!$F$2:$F$966,$A25)</f>
        <v>0</v>
      </c>
      <c r="CM25" s="9" t="n">
        <f aca="false">SUMIFS('Исходные данные'!$J$2:$J$966,'Исходные данные'!$D$2:$D$966,CL$1,'Исходные данные'!$F$2:$F$966,$A25)</f>
        <v>0</v>
      </c>
      <c r="CN25" s="9" t="n">
        <f aca="false">SUMIFS('Исходные данные'!$I$2:$I$966,'Исходные данные'!$D$2:$D$966,CN$1,'Исходные данные'!$F$2:$F$966,$A25)</f>
        <v>0</v>
      </c>
      <c r="CO25" s="9" t="n">
        <f aca="false">SUMIFS('Исходные данные'!$J$2:$J$966,'Исходные данные'!$D$2:$D$966,CN$1,'Исходные данные'!$F$2:$F$966,$A25)</f>
        <v>0</v>
      </c>
      <c r="CP25" s="9" t="n">
        <f aca="false">SUMIFS('Исходные данные'!$I$2:$I$966,'Исходные данные'!$D$2:$D$966,CP$1,'Исходные данные'!$F$2:$F$966,$A25)</f>
        <v>0</v>
      </c>
      <c r="CQ25" s="9" t="n">
        <f aca="false">SUMIFS('Исходные данные'!$J$2:$J$966,'Исходные данные'!$D$2:$D$966,CP$1,'Исходные данные'!$F$2:$F$966,$A25)</f>
        <v>0</v>
      </c>
    </row>
    <row r="26" customFormat="false" ht="15" hidden="false" customHeight="false" outlineLevel="0" collapsed="false">
      <c r="A26" s="8" t="s">
        <v>99</v>
      </c>
      <c r="B26" s="9" t="s">
        <v>100</v>
      </c>
      <c r="C26" s="5" t="n">
        <v>4</v>
      </c>
      <c r="D26" s="5" t="n">
        <f aca="false">F26+G26</f>
        <v>3</v>
      </c>
      <c r="E26" s="5" t="n">
        <f aca="false">D26-C26</f>
        <v>-1</v>
      </c>
      <c r="F26" s="5" t="n">
        <f aca="false">SUMIFS($H26:$CQ26,$H$2:$CQ$2,"День")</f>
        <v>3</v>
      </c>
      <c r="G26" s="5" t="n">
        <f aca="false">SUMIFS($H26:$CQ26,$H$2:$CQ$2,"Ночь")</f>
        <v>0</v>
      </c>
      <c r="H26" s="9" t="n">
        <f aca="false">SUMIFS('Исходные данные'!$I$2:$I$966,'Исходные данные'!$D$2:$D$966,H$1,'Исходные данные'!$F$2:$F$966,$A26)</f>
        <v>0</v>
      </c>
      <c r="I26" s="9" t="n">
        <f aca="false">SUMIFS('Исходные данные'!$J$2:$J$966,'Исходные данные'!$D$2:$D$966,H$1,'Исходные данные'!$F$2:$F$966,$A26)</f>
        <v>0</v>
      </c>
      <c r="J26" s="9" t="n">
        <f aca="false">SUMIFS('Исходные данные'!$I$2:$I$966,'Исходные данные'!$D$2:$D$966,J$1,'Исходные данные'!$F$2:$F$966,$A26)</f>
        <v>0</v>
      </c>
      <c r="K26" s="9" t="n">
        <f aca="false">SUMIFS('Исходные данные'!$J$2:$J$966,'Исходные данные'!$D$2:$D$966,J$1,'Исходные данные'!$F$2:$F$966,$A26)</f>
        <v>0</v>
      </c>
      <c r="L26" s="9" t="n">
        <f aca="false">SUMIFS('Исходные данные'!$I$2:$I$966,'Исходные данные'!$D$2:$D$966,L$1,'Исходные данные'!$F$2:$F$966,$A26)</f>
        <v>0</v>
      </c>
      <c r="M26" s="9" t="n">
        <f aca="false">SUMIFS('Исходные данные'!$J$2:$J$966,'Исходные данные'!$D$2:$D$966,L$1,'Исходные данные'!$F$2:$F$966,$A26)</f>
        <v>0</v>
      </c>
      <c r="N26" s="9" t="n">
        <f aca="false">SUMIFS('Исходные данные'!$I$2:$I$966,'Исходные данные'!$D$2:$D$966,N$1,'Исходные данные'!$F$2:$F$966,$A26)</f>
        <v>0</v>
      </c>
      <c r="O26" s="9" t="n">
        <f aca="false">SUMIFS('Исходные данные'!$J$2:$J$966,'Исходные данные'!$D$2:$D$966,N$1,'Исходные данные'!$F$2:$F$966,$A26)</f>
        <v>0</v>
      </c>
      <c r="P26" s="9" t="n">
        <f aca="false">SUMIFS('Исходные данные'!$I$2:$I$966,'Исходные данные'!$D$2:$D$966,P$1,'Исходные данные'!$F$2:$F$966,$A26)</f>
        <v>0</v>
      </c>
      <c r="Q26" s="9" t="n">
        <f aca="false">SUMIFS('Исходные данные'!$J$2:$J$966,'Исходные данные'!$D$2:$D$966,P$1,'Исходные данные'!$F$2:$F$966,$A26)</f>
        <v>0</v>
      </c>
      <c r="R26" s="9" t="n">
        <f aca="false">SUMIFS('Исходные данные'!$I$2:$I$966,'Исходные данные'!$D$2:$D$966,R$1,'Исходные данные'!$F$2:$F$966,$A26)</f>
        <v>0</v>
      </c>
      <c r="S26" s="9" t="n">
        <f aca="false">SUMIFS('Исходные данные'!$J$2:$J$966,'Исходные данные'!$D$2:$D$966,R$1,'Исходные данные'!$F$2:$F$966,$A26)</f>
        <v>0</v>
      </c>
      <c r="T26" s="9" t="n">
        <f aca="false">SUMIFS('Исходные данные'!$I$2:$I$966,'Исходные данные'!$D$2:$D$966,T$1,'Исходные данные'!$F$2:$F$966,$A26)</f>
        <v>3</v>
      </c>
      <c r="U26" s="9" t="n">
        <f aca="false">SUMIFS('Исходные данные'!$J$2:$J$966,'Исходные данные'!$D$2:$D$966,T$1,'Исходные данные'!$F$2:$F$966,$A26)</f>
        <v>0</v>
      </c>
      <c r="V26" s="9" t="n">
        <f aca="false">SUMIFS('Исходные данные'!$I$2:$I$966,'Исходные данные'!$D$2:$D$966,V$1,'Исходные данные'!$F$2:$F$966,$A26)</f>
        <v>0</v>
      </c>
      <c r="W26" s="9" t="n">
        <f aca="false">SUMIFS('Исходные данные'!$J$2:$J$966,'Исходные данные'!$D$2:$D$966,V$1,'Исходные данные'!$F$2:$F$966,$A26)</f>
        <v>0</v>
      </c>
      <c r="X26" s="9" t="n">
        <f aca="false">SUMIFS('Исходные данные'!$I$2:$I$966,'Исходные данные'!$D$2:$D$966,X$1,'Исходные данные'!$F$2:$F$966,$A26)</f>
        <v>0</v>
      </c>
      <c r="Y26" s="9" t="n">
        <f aca="false">SUMIFS('Исходные данные'!$J$2:$J$966,'Исходные данные'!$D$2:$D$966,X$1,'Исходные данные'!$F$2:$F$966,$A26)</f>
        <v>0</v>
      </c>
      <c r="Z26" s="9" t="n">
        <f aca="false">SUMIFS('Исходные данные'!$I$2:$I$966,'Исходные данные'!$D$2:$D$966,Z$1,'Исходные данные'!$F$2:$F$966,$A26)</f>
        <v>0</v>
      </c>
      <c r="AA26" s="9" t="n">
        <f aca="false">SUMIFS('Исходные данные'!$J$2:$J$966,'Исходные данные'!$D$2:$D$966,Z$1,'Исходные данные'!$F$2:$F$966,$A26)</f>
        <v>0</v>
      </c>
      <c r="AB26" s="9" t="n">
        <f aca="false">SUMIFS('Исходные данные'!$I$2:$I$966,'Исходные данные'!$D$2:$D$966,AB$1,'Исходные данные'!$F$2:$F$966,$A26)</f>
        <v>0</v>
      </c>
      <c r="AC26" s="9" t="n">
        <f aca="false">SUMIFS('Исходные данные'!$J$2:$J$966,'Исходные данные'!$D$2:$D$966,AB$1,'Исходные данные'!$F$2:$F$966,$A26)</f>
        <v>0</v>
      </c>
      <c r="AD26" s="9" t="n">
        <f aca="false">SUMIFS('Исходные данные'!$I$2:$I$966,'Исходные данные'!$D$2:$D$966,AD$1,'Исходные данные'!$F$2:$F$966,$A26)</f>
        <v>0</v>
      </c>
      <c r="AE26" s="9" t="n">
        <f aca="false">SUMIFS('Исходные данные'!$J$2:$J$966,'Исходные данные'!$D$2:$D$966,AD$1,'Исходные данные'!$F$2:$F$966,$A26)</f>
        <v>0</v>
      </c>
      <c r="AF26" s="9" t="n">
        <f aca="false">SUMIFS('Исходные данные'!$I$2:$I$966,'Исходные данные'!$D$2:$D$966,AF$1,'Исходные данные'!$F$2:$F$966,$A26)</f>
        <v>0</v>
      </c>
      <c r="AG26" s="9" t="n">
        <f aca="false">SUMIFS('Исходные данные'!$J$2:$J$966,'Исходные данные'!$D$2:$D$966,AF$1,'Исходные данные'!$F$2:$F$966,$A26)</f>
        <v>0</v>
      </c>
      <c r="AH26" s="9" t="n">
        <f aca="false">SUMIFS('Исходные данные'!$I$2:$I$966,'Исходные данные'!$D$2:$D$966,AH$1,'Исходные данные'!$F$2:$F$966,$A26)</f>
        <v>0</v>
      </c>
      <c r="AI26" s="9" t="n">
        <f aca="false">SUMIFS('Исходные данные'!$J$2:$J$966,'Исходные данные'!$D$2:$D$966,AH$1,'Исходные данные'!$F$2:$F$966,$A26)</f>
        <v>0</v>
      </c>
      <c r="AJ26" s="9" t="n">
        <f aca="false">SUMIFS('Исходные данные'!$I$2:$I$966,'Исходные данные'!$D$2:$D$966,AJ$1,'Исходные данные'!$F$2:$F$966,$A26)</f>
        <v>0</v>
      </c>
      <c r="AK26" s="9" t="n">
        <f aca="false">SUMIFS('Исходные данные'!$J$2:$J$966,'Исходные данные'!$D$2:$D$966,AJ$1,'Исходные данные'!$F$2:$F$966,$A26)</f>
        <v>0</v>
      </c>
      <c r="AL26" s="9" t="n">
        <f aca="false">SUMIFS('Исходные данные'!$I$2:$I$966,'Исходные данные'!$D$2:$D$966,AL$1,'Исходные данные'!$F$2:$F$966,$A26)</f>
        <v>0</v>
      </c>
      <c r="AM26" s="9" t="n">
        <f aca="false">SUMIFS('Исходные данные'!$J$2:$J$966,'Исходные данные'!$D$2:$D$966,AL$1,'Исходные данные'!$F$2:$F$966,$A26)</f>
        <v>0</v>
      </c>
      <c r="AN26" s="9" t="n">
        <f aca="false">SUMIFS('Исходные данные'!$I$2:$I$966,'Исходные данные'!$D$2:$D$966,AN$1,'Исходные данные'!$F$2:$F$966,$A26)</f>
        <v>0</v>
      </c>
      <c r="AO26" s="9" t="n">
        <f aca="false">SUMIFS('Исходные данные'!$J$2:$J$966,'Исходные данные'!$D$2:$D$966,AN$1,'Исходные данные'!$F$2:$F$966,$A26)</f>
        <v>0</v>
      </c>
      <c r="AP26" s="9" t="n">
        <f aca="false">SUMIFS('Исходные данные'!$I$2:$I$966,'Исходные данные'!$D$2:$D$966,AP$1,'Исходные данные'!$F$2:$F$966,$A26)</f>
        <v>0</v>
      </c>
      <c r="AQ26" s="9" t="n">
        <f aca="false">SUMIFS('Исходные данные'!$J$2:$J$966,'Исходные данные'!$D$2:$D$966,AP$1,'Исходные данные'!$F$2:$F$966,$A26)</f>
        <v>0</v>
      </c>
      <c r="AR26" s="9" t="n">
        <f aca="false">SUMIFS('Исходные данные'!$I$2:$I$966,'Исходные данные'!$D$2:$D$966,AR$1,'Исходные данные'!$F$2:$F$966,$A26)</f>
        <v>0</v>
      </c>
      <c r="AS26" s="9" t="n">
        <f aca="false">SUMIFS('Исходные данные'!$J$2:$J$966,'Исходные данные'!$D$2:$D$966,AR$1,'Исходные данные'!$F$2:$F$966,$A26)</f>
        <v>0</v>
      </c>
      <c r="AT26" s="9" t="n">
        <f aca="false">SUMIFS('Исходные данные'!$I$2:$I$966,'Исходные данные'!$D$2:$D$966,AT$1,'Исходные данные'!$F$2:$F$966,$A26)</f>
        <v>0</v>
      </c>
      <c r="AU26" s="9" t="n">
        <f aca="false">SUMIFS('Исходные данные'!$J$2:$J$966,'Исходные данные'!$D$2:$D$966,AT$1,'Исходные данные'!$F$2:$F$966,$A26)</f>
        <v>0</v>
      </c>
      <c r="AV26" s="9" t="n">
        <f aca="false">SUMIFS('Исходные данные'!$I$2:$I$966,'Исходные данные'!$D$2:$D$966,AV$1,'Исходные данные'!$F$2:$F$966,$A26)</f>
        <v>0</v>
      </c>
      <c r="AW26" s="9" t="n">
        <f aca="false">SUMIFS('Исходные данные'!$J$2:$J$966,'Исходные данные'!$D$2:$D$966,AV$1,'Исходные данные'!$F$2:$F$966,$A26)</f>
        <v>0</v>
      </c>
      <c r="AX26" s="9" t="n">
        <f aca="false">SUMIFS('Исходные данные'!$I$2:$I$966,'Исходные данные'!$D$2:$D$966,AX$1,'Исходные данные'!$F$2:$F$966,$A26)</f>
        <v>0</v>
      </c>
      <c r="AY26" s="9" t="n">
        <f aca="false">SUMIFS('Исходные данные'!$J$2:$J$966,'Исходные данные'!$D$2:$D$966,AX$1,'Исходные данные'!$F$2:$F$966,$A26)</f>
        <v>0</v>
      </c>
      <c r="AZ26" s="9" t="n">
        <f aca="false">SUMIFS('Исходные данные'!$I$2:$I$966,'Исходные данные'!$D$2:$D$966,AZ$1,'Исходные данные'!$F$2:$F$966,$A26)</f>
        <v>0</v>
      </c>
      <c r="BA26" s="9" t="n">
        <f aca="false">SUMIFS('Исходные данные'!$J$2:$J$966,'Исходные данные'!$D$2:$D$966,AZ$1,'Исходные данные'!$F$2:$F$966,$A26)</f>
        <v>0</v>
      </c>
      <c r="BB26" s="9" t="n">
        <f aca="false">SUMIFS('Исходные данные'!$I$2:$I$966,'Исходные данные'!$D$2:$D$966,BB$1,'Исходные данные'!$F$2:$F$966,$A26)</f>
        <v>0</v>
      </c>
      <c r="BC26" s="9" t="n">
        <f aca="false">SUMIFS('Исходные данные'!$J$2:$J$966,'Исходные данные'!$D$2:$D$966,BB$1,'Исходные данные'!$F$2:$F$966,$A26)</f>
        <v>0</v>
      </c>
      <c r="BD26" s="9" t="n">
        <f aca="false">SUMIFS('Исходные данные'!$I$2:$I$966,'Исходные данные'!$D$2:$D$966,BD$1,'Исходные данные'!$F$2:$F$966,$A26)</f>
        <v>0</v>
      </c>
      <c r="BE26" s="9" t="n">
        <f aca="false">SUMIFS('Исходные данные'!$J$2:$J$966,'Исходные данные'!$D$2:$D$966,BD$1,'Исходные данные'!$F$2:$F$966,$A26)</f>
        <v>0</v>
      </c>
      <c r="BF26" s="9" t="n">
        <f aca="false">SUMIFS('Исходные данные'!$I$2:$I$966,'Исходные данные'!$D$2:$D$966,BF$1,'Исходные данные'!$F$2:$F$966,$A26)</f>
        <v>0</v>
      </c>
      <c r="BG26" s="9" t="n">
        <f aca="false">SUMIFS('Исходные данные'!$J$2:$J$966,'Исходные данные'!$D$2:$D$966,BF$1,'Исходные данные'!$F$2:$F$966,$A26)</f>
        <v>0</v>
      </c>
      <c r="BH26" s="9" t="n">
        <f aca="false">SUMIFS('Исходные данные'!$I$2:$I$966,'Исходные данные'!$D$2:$D$966,BH$1,'Исходные данные'!$F$2:$F$966,$A26)</f>
        <v>0</v>
      </c>
      <c r="BI26" s="9" t="n">
        <f aca="false">SUMIFS('Исходные данные'!$J$2:$J$966,'Исходные данные'!$D$2:$D$966,BH$1,'Исходные данные'!$F$2:$F$966,$A26)</f>
        <v>0</v>
      </c>
      <c r="BJ26" s="9" t="n">
        <f aca="false">SUMIFS('Исходные данные'!$I$2:$I$966,'Исходные данные'!$D$2:$D$966,BJ$1,'Исходные данные'!$F$2:$F$966,$A26)</f>
        <v>0</v>
      </c>
      <c r="BK26" s="9" t="n">
        <f aca="false">SUMIFS('Исходные данные'!$J$2:$J$966,'Исходные данные'!$D$2:$D$966,BJ$1,'Исходные данные'!$F$2:$F$966,$A26)</f>
        <v>0</v>
      </c>
      <c r="BL26" s="9" t="n">
        <f aca="false">SUMIFS('Исходные данные'!$I$2:$I$966,'Исходные данные'!$D$2:$D$966,BL$1,'Исходные данные'!$F$2:$F$966,$A26)</f>
        <v>0</v>
      </c>
      <c r="BM26" s="9" t="n">
        <f aca="false">SUMIFS('Исходные данные'!$J$2:$J$966,'Исходные данные'!$D$2:$D$966,BL$1,'Исходные данные'!$F$2:$F$966,$A26)</f>
        <v>0</v>
      </c>
      <c r="BN26" s="9" t="n">
        <f aca="false">SUMIFS('Исходные данные'!$I$2:$I$966,'Исходные данные'!$D$2:$D$966,BN$1,'Исходные данные'!$F$2:$F$966,$A26)</f>
        <v>0</v>
      </c>
      <c r="BO26" s="9" t="n">
        <f aca="false">SUMIFS('Исходные данные'!$J$2:$J$966,'Исходные данные'!$D$2:$D$966,BN$1,'Исходные данные'!$F$2:$F$966,$A26)</f>
        <v>0</v>
      </c>
      <c r="BP26" s="9" t="n">
        <f aca="false">SUMIFS('Исходные данные'!$I$2:$I$966,'Исходные данные'!$D$2:$D$966,BP$1,'Исходные данные'!$F$2:$F$966,$A26)</f>
        <v>0</v>
      </c>
      <c r="BQ26" s="9" t="n">
        <f aca="false">SUMIFS('Исходные данные'!$J$2:$J$966,'Исходные данные'!$D$2:$D$966,BP$1,'Исходные данные'!$F$2:$F$966,$A26)</f>
        <v>0</v>
      </c>
      <c r="BR26" s="9" t="n">
        <f aca="false">SUMIFS('Исходные данные'!$I$2:$I$966,'Исходные данные'!$D$2:$D$966,BR$1,'Исходные данные'!$F$2:$F$966,$A26)</f>
        <v>0</v>
      </c>
      <c r="BS26" s="9" t="n">
        <f aca="false">SUMIFS('Исходные данные'!$J$2:$J$966,'Исходные данные'!$D$2:$D$966,BR$1,'Исходные данные'!$F$2:$F$966,$A26)</f>
        <v>0</v>
      </c>
      <c r="BT26" s="9" t="n">
        <f aca="false">SUMIFS('Исходные данные'!$I$2:$I$966,'Исходные данные'!$D$2:$D$966,BT$1,'Исходные данные'!$F$2:$F$966,$A26)</f>
        <v>0</v>
      </c>
      <c r="BU26" s="9" t="n">
        <f aca="false">SUMIFS('Исходные данные'!$J$2:$J$966,'Исходные данные'!$D$2:$D$966,BT$1,'Исходные данные'!$F$2:$F$966,$A26)</f>
        <v>0</v>
      </c>
      <c r="BV26" s="9" t="n">
        <f aca="false">SUMIFS('Исходные данные'!$I$2:$I$966,'Исходные данные'!$D$2:$D$966,BV$1,'Исходные данные'!$F$2:$F$966,$A26)</f>
        <v>0</v>
      </c>
      <c r="BW26" s="9" t="n">
        <f aca="false">SUMIFS('Исходные данные'!$J$2:$J$966,'Исходные данные'!$D$2:$D$966,BV$1,'Исходные данные'!$F$2:$F$966,$A26)</f>
        <v>0</v>
      </c>
      <c r="BX26" s="9" t="n">
        <f aca="false">SUMIFS('Исходные данные'!$I$2:$I$966,'Исходные данные'!$D$2:$D$966,BX$1,'Исходные данные'!$F$2:$F$966,$A26)</f>
        <v>0</v>
      </c>
      <c r="BY26" s="9" t="n">
        <f aca="false">SUMIFS('Исходные данные'!$J$2:$J$966,'Исходные данные'!$D$2:$D$966,BX$1,'Исходные данные'!$F$2:$F$966,$A26)</f>
        <v>0</v>
      </c>
      <c r="BZ26" s="9" t="n">
        <f aca="false">SUMIFS('Исходные данные'!$I$2:$I$966,'Исходные данные'!$D$2:$D$966,BZ$1,'Исходные данные'!$F$2:$F$966,$A26)</f>
        <v>0</v>
      </c>
      <c r="CA26" s="9" t="n">
        <f aca="false">SUMIFS('Исходные данные'!$J$2:$J$966,'Исходные данные'!$D$2:$D$966,BZ$1,'Исходные данные'!$F$2:$F$966,$A26)</f>
        <v>0</v>
      </c>
      <c r="CB26" s="9" t="n">
        <f aca="false">SUMIFS('Исходные данные'!$I$2:$I$966,'Исходные данные'!$D$2:$D$966,CB$1,'Исходные данные'!$F$2:$F$966,$A26)</f>
        <v>0</v>
      </c>
      <c r="CC26" s="9" t="n">
        <f aca="false">SUMIFS('Исходные данные'!$J$2:$J$966,'Исходные данные'!$D$2:$D$966,CB$1,'Исходные данные'!$F$2:$F$966,$A26)</f>
        <v>0</v>
      </c>
      <c r="CD26" s="9" t="n">
        <f aca="false">SUMIFS('Исходные данные'!$I$2:$I$966,'Исходные данные'!$D$2:$D$966,CD$1,'Исходные данные'!$F$2:$F$966,$A26)</f>
        <v>0</v>
      </c>
      <c r="CE26" s="9" t="n">
        <f aca="false">SUMIFS('Исходные данные'!$J$2:$J$966,'Исходные данные'!$D$2:$D$966,CD$1,'Исходные данные'!$F$2:$F$966,$A26)</f>
        <v>0</v>
      </c>
      <c r="CF26" s="9" t="n">
        <f aca="false">SUMIFS('Исходные данные'!$I$2:$I$966,'Исходные данные'!$D$2:$D$966,CF$1,'Исходные данные'!$F$2:$F$966,$A26)</f>
        <v>0</v>
      </c>
      <c r="CG26" s="9" t="n">
        <f aca="false">SUMIFS('Исходные данные'!$J$2:$J$966,'Исходные данные'!$D$2:$D$966,CF$1,'Исходные данные'!$F$2:$F$966,$A26)</f>
        <v>0</v>
      </c>
      <c r="CH26" s="9" t="n">
        <f aca="false">SUMIFS('Исходные данные'!$I$2:$I$966,'Исходные данные'!$D$2:$D$966,CH$1,'Исходные данные'!$F$2:$F$966,$A26)</f>
        <v>0</v>
      </c>
      <c r="CI26" s="9" t="n">
        <f aca="false">SUMIFS('Исходные данные'!$J$2:$J$966,'Исходные данные'!$D$2:$D$966,CH$1,'Исходные данные'!$F$2:$F$966,$A26)</f>
        <v>0</v>
      </c>
      <c r="CJ26" s="9" t="n">
        <f aca="false">SUMIFS('Исходные данные'!$I$2:$I$966,'Исходные данные'!$D$2:$D$966,CJ$1,'Исходные данные'!$F$2:$F$966,$A26)</f>
        <v>0</v>
      </c>
      <c r="CK26" s="9" t="n">
        <f aca="false">SUMIFS('Исходные данные'!$J$2:$J$966,'Исходные данные'!$D$2:$D$966,CJ$1,'Исходные данные'!$F$2:$F$966,$A26)</f>
        <v>0</v>
      </c>
      <c r="CL26" s="9" t="n">
        <f aca="false">SUMIFS('Исходные данные'!$I$2:$I$966,'Исходные данные'!$D$2:$D$966,CL$1,'Исходные данные'!$F$2:$F$966,$A26)</f>
        <v>0</v>
      </c>
      <c r="CM26" s="9" t="n">
        <f aca="false">SUMIFS('Исходные данные'!$J$2:$J$966,'Исходные данные'!$D$2:$D$966,CL$1,'Исходные данные'!$F$2:$F$966,$A26)</f>
        <v>0</v>
      </c>
      <c r="CN26" s="9" t="n">
        <f aca="false">SUMIFS('Исходные данные'!$I$2:$I$966,'Исходные данные'!$D$2:$D$966,CN$1,'Исходные данные'!$F$2:$F$966,$A26)</f>
        <v>0</v>
      </c>
      <c r="CO26" s="9" t="n">
        <f aca="false">SUMIFS('Исходные данные'!$J$2:$J$966,'Исходные данные'!$D$2:$D$966,CN$1,'Исходные данные'!$F$2:$F$966,$A26)</f>
        <v>0</v>
      </c>
      <c r="CP26" s="9" t="n">
        <f aca="false">SUMIFS('Исходные данные'!$I$2:$I$966,'Исходные данные'!$D$2:$D$966,CP$1,'Исходные данные'!$F$2:$F$966,$A26)</f>
        <v>0</v>
      </c>
      <c r="CQ26" s="9" t="n">
        <f aca="false">SUMIFS('Исходные данные'!$J$2:$J$966,'Исходные данные'!$D$2:$D$966,CP$1,'Исходные данные'!$F$2:$F$966,$A26)</f>
        <v>0</v>
      </c>
    </row>
    <row r="27" customFormat="false" ht="15" hidden="false" customHeight="false" outlineLevel="0" collapsed="false">
      <c r="A27" s="8" t="s">
        <v>101</v>
      </c>
      <c r="B27" s="9" t="s">
        <v>102</v>
      </c>
      <c r="C27" s="5" t="n">
        <v>2</v>
      </c>
      <c r="D27" s="5" t="n">
        <f aca="false">F27+G27</f>
        <v>4</v>
      </c>
      <c r="E27" s="5" t="n">
        <f aca="false">D27-C27</f>
        <v>2</v>
      </c>
      <c r="F27" s="5" t="n">
        <f aca="false">SUMIFS($H27:$CQ27,$H$2:$CQ$2,"День")</f>
        <v>3</v>
      </c>
      <c r="G27" s="5" t="n">
        <f aca="false">SUMIFS($H27:$CQ27,$H$2:$CQ$2,"Ночь")</f>
        <v>1</v>
      </c>
      <c r="H27" s="9" t="n">
        <f aca="false">SUMIFS('Исходные данные'!$I$2:$I$966,'Исходные данные'!$D$2:$D$966,H$1,'Исходные данные'!$F$2:$F$966,$A27)</f>
        <v>0</v>
      </c>
      <c r="I27" s="9" t="n">
        <f aca="false">SUMIFS('Исходные данные'!$J$2:$J$966,'Исходные данные'!$D$2:$D$966,H$1,'Исходные данные'!$F$2:$F$966,$A27)</f>
        <v>0</v>
      </c>
      <c r="J27" s="9" t="n">
        <f aca="false">SUMIFS('Исходные данные'!$I$2:$I$966,'Исходные данные'!$D$2:$D$966,J$1,'Исходные данные'!$F$2:$F$966,$A27)</f>
        <v>0</v>
      </c>
      <c r="K27" s="9" t="n">
        <f aca="false">SUMIFS('Исходные данные'!$J$2:$J$966,'Исходные данные'!$D$2:$D$966,J$1,'Исходные данные'!$F$2:$F$966,$A27)</f>
        <v>0</v>
      </c>
      <c r="L27" s="9" t="n">
        <f aca="false">SUMIFS('Исходные данные'!$I$2:$I$966,'Исходные данные'!$D$2:$D$966,L$1,'Исходные данные'!$F$2:$F$966,$A27)</f>
        <v>0</v>
      </c>
      <c r="M27" s="9" t="n">
        <f aca="false">SUMIFS('Исходные данные'!$J$2:$J$966,'Исходные данные'!$D$2:$D$966,L$1,'Исходные данные'!$F$2:$F$966,$A27)</f>
        <v>0</v>
      </c>
      <c r="N27" s="9" t="n">
        <f aca="false">SUMIFS('Исходные данные'!$I$2:$I$966,'Исходные данные'!$D$2:$D$966,N$1,'Исходные данные'!$F$2:$F$966,$A27)</f>
        <v>0</v>
      </c>
      <c r="O27" s="9" t="n">
        <f aca="false">SUMIFS('Исходные данные'!$J$2:$J$966,'Исходные данные'!$D$2:$D$966,N$1,'Исходные данные'!$F$2:$F$966,$A27)</f>
        <v>0</v>
      </c>
      <c r="P27" s="9" t="n">
        <f aca="false">SUMIFS('Исходные данные'!$I$2:$I$966,'Исходные данные'!$D$2:$D$966,P$1,'Исходные данные'!$F$2:$F$966,$A27)</f>
        <v>0</v>
      </c>
      <c r="Q27" s="9" t="n">
        <f aca="false">SUMIFS('Исходные данные'!$J$2:$J$966,'Исходные данные'!$D$2:$D$966,P$1,'Исходные данные'!$F$2:$F$966,$A27)</f>
        <v>0</v>
      </c>
      <c r="R27" s="9" t="n">
        <f aca="false">SUMIFS('Исходные данные'!$I$2:$I$966,'Исходные данные'!$D$2:$D$966,R$1,'Исходные данные'!$F$2:$F$966,$A27)</f>
        <v>0</v>
      </c>
      <c r="S27" s="9" t="n">
        <f aca="false">SUMIFS('Исходные данные'!$J$2:$J$966,'Исходные данные'!$D$2:$D$966,R$1,'Исходные данные'!$F$2:$F$966,$A27)</f>
        <v>0</v>
      </c>
      <c r="T27" s="9" t="n">
        <f aca="false">SUMIFS('Исходные данные'!$I$2:$I$966,'Исходные данные'!$D$2:$D$966,T$1,'Исходные данные'!$F$2:$F$966,$A27)</f>
        <v>0</v>
      </c>
      <c r="U27" s="9" t="n">
        <f aca="false">SUMIFS('Исходные данные'!$J$2:$J$966,'Исходные данные'!$D$2:$D$966,T$1,'Исходные данные'!$F$2:$F$966,$A27)</f>
        <v>0</v>
      </c>
      <c r="V27" s="9" t="n">
        <f aca="false">SUMIFS('Исходные данные'!$I$2:$I$966,'Исходные данные'!$D$2:$D$966,V$1,'Исходные данные'!$F$2:$F$966,$A27)</f>
        <v>0</v>
      </c>
      <c r="W27" s="9" t="n">
        <f aca="false">SUMIFS('Исходные данные'!$J$2:$J$966,'Исходные данные'!$D$2:$D$966,V$1,'Исходные данные'!$F$2:$F$966,$A27)</f>
        <v>0</v>
      </c>
      <c r="X27" s="9" t="n">
        <f aca="false">SUMIFS('Исходные данные'!$I$2:$I$966,'Исходные данные'!$D$2:$D$966,X$1,'Исходные данные'!$F$2:$F$966,$A27)</f>
        <v>0</v>
      </c>
      <c r="Y27" s="9" t="n">
        <f aca="false">SUMIFS('Исходные данные'!$J$2:$J$966,'Исходные данные'!$D$2:$D$966,X$1,'Исходные данные'!$F$2:$F$966,$A27)</f>
        <v>0</v>
      </c>
      <c r="Z27" s="9" t="n">
        <f aca="false">SUMIFS('Исходные данные'!$I$2:$I$966,'Исходные данные'!$D$2:$D$966,Z$1,'Исходные данные'!$F$2:$F$966,$A27)</f>
        <v>0</v>
      </c>
      <c r="AA27" s="9" t="n">
        <f aca="false">SUMIFS('Исходные данные'!$J$2:$J$966,'Исходные данные'!$D$2:$D$966,Z$1,'Исходные данные'!$F$2:$F$966,$A27)</f>
        <v>0</v>
      </c>
      <c r="AB27" s="9" t="n">
        <f aca="false">SUMIFS('Исходные данные'!$I$2:$I$966,'Исходные данные'!$D$2:$D$966,AB$1,'Исходные данные'!$F$2:$F$966,$A27)</f>
        <v>0</v>
      </c>
      <c r="AC27" s="9" t="n">
        <f aca="false">SUMIFS('Исходные данные'!$J$2:$J$966,'Исходные данные'!$D$2:$D$966,AB$1,'Исходные данные'!$F$2:$F$966,$A27)</f>
        <v>0</v>
      </c>
      <c r="AD27" s="9" t="n">
        <f aca="false">SUMIFS('Исходные данные'!$I$2:$I$966,'Исходные данные'!$D$2:$D$966,AD$1,'Исходные данные'!$F$2:$F$966,$A27)</f>
        <v>0</v>
      </c>
      <c r="AE27" s="9" t="n">
        <f aca="false">SUMIFS('Исходные данные'!$J$2:$J$966,'Исходные данные'!$D$2:$D$966,AD$1,'Исходные данные'!$F$2:$F$966,$A27)</f>
        <v>0</v>
      </c>
      <c r="AF27" s="9" t="n">
        <f aca="false">SUMIFS('Исходные данные'!$I$2:$I$966,'Исходные данные'!$D$2:$D$966,AF$1,'Исходные данные'!$F$2:$F$966,$A27)</f>
        <v>0</v>
      </c>
      <c r="AG27" s="9" t="n">
        <f aca="false">SUMIFS('Исходные данные'!$J$2:$J$966,'Исходные данные'!$D$2:$D$966,AF$1,'Исходные данные'!$F$2:$F$966,$A27)</f>
        <v>0</v>
      </c>
      <c r="AH27" s="9" t="n">
        <f aca="false">SUMIFS('Исходные данные'!$I$2:$I$966,'Исходные данные'!$D$2:$D$966,AH$1,'Исходные данные'!$F$2:$F$966,$A27)</f>
        <v>0</v>
      </c>
      <c r="AI27" s="9" t="n">
        <f aca="false">SUMIFS('Исходные данные'!$J$2:$J$966,'Исходные данные'!$D$2:$D$966,AH$1,'Исходные данные'!$F$2:$F$966,$A27)</f>
        <v>0</v>
      </c>
      <c r="AJ27" s="9" t="n">
        <f aca="false">SUMIFS('Исходные данные'!$I$2:$I$966,'Исходные данные'!$D$2:$D$966,AJ$1,'Исходные данные'!$F$2:$F$966,$A27)</f>
        <v>0</v>
      </c>
      <c r="AK27" s="9" t="n">
        <f aca="false">SUMIFS('Исходные данные'!$J$2:$J$966,'Исходные данные'!$D$2:$D$966,AJ$1,'Исходные данные'!$F$2:$F$966,$A27)</f>
        <v>0</v>
      </c>
      <c r="AL27" s="9" t="n">
        <f aca="false">SUMIFS('Исходные данные'!$I$2:$I$966,'Исходные данные'!$D$2:$D$966,AL$1,'Исходные данные'!$F$2:$F$966,$A27)</f>
        <v>0</v>
      </c>
      <c r="AM27" s="9" t="n">
        <f aca="false">SUMIFS('Исходные данные'!$J$2:$J$966,'Исходные данные'!$D$2:$D$966,AL$1,'Исходные данные'!$F$2:$F$966,$A27)</f>
        <v>0</v>
      </c>
      <c r="AN27" s="9" t="n">
        <f aca="false">SUMIFS('Исходные данные'!$I$2:$I$966,'Исходные данные'!$D$2:$D$966,AN$1,'Исходные данные'!$F$2:$F$966,$A27)</f>
        <v>3</v>
      </c>
      <c r="AO27" s="9" t="n">
        <f aca="false">SUMIFS('Исходные данные'!$J$2:$J$966,'Исходные данные'!$D$2:$D$966,AN$1,'Исходные данные'!$F$2:$F$966,$A27)</f>
        <v>1</v>
      </c>
      <c r="AP27" s="9" t="n">
        <f aca="false">SUMIFS('Исходные данные'!$I$2:$I$966,'Исходные данные'!$D$2:$D$966,AP$1,'Исходные данные'!$F$2:$F$966,$A27)</f>
        <v>0</v>
      </c>
      <c r="AQ27" s="9" t="n">
        <f aca="false">SUMIFS('Исходные данные'!$J$2:$J$966,'Исходные данные'!$D$2:$D$966,AP$1,'Исходные данные'!$F$2:$F$966,$A27)</f>
        <v>0</v>
      </c>
      <c r="AR27" s="9" t="n">
        <f aca="false">SUMIFS('Исходные данные'!$I$2:$I$966,'Исходные данные'!$D$2:$D$966,AR$1,'Исходные данные'!$F$2:$F$966,$A27)</f>
        <v>0</v>
      </c>
      <c r="AS27" s="9" t="n">
        <f aca="false">SUMIFS('Исходные данные'!$J$2:$J$966,'Исходные данные'!$D$2:$D$966,AR$1,'Исходные данные'!$F$2:$F$966,$A27)</f>
        <v>0</v>
      </c>
      <c r="AT27" s="9" t="n">
        <f aca="false">SUMIFS('Исходные данные'!$I$2:$I$966,'Исходные данные'!$D$2:$D$966,AT$1,'Исходные данные'!$F$2:$F$966,$A27)</f>
        <v>0</v>
      </c>
      <c r="AU27" s="9" t="n">
        <f aca="false">SUMIFS('Исходные данные'!$J$2:$J$966,'Исходные данные'!$D$2:$D$966,AT$1,'Исходные данные'!$F$2:$F$966,$A27)</f>
        <v>0</v>
      </c>
      <c r="AV27" s="9" t="n">
        <f aca="false">SUMIFS('Исходные данные'!$I$2:$I$966,'Исходные данные'!$D$2:$D$966,AV$1,'Исходные данные'!$F$2:$F$966,$A27)</f>
        <v>0</v>
      </c>
      <c r="AW27" s="9" t="n">
        <f aca="false">SUMIFS('Исходные данные'!$J$2:$J$966,'Исходные данные'!$D$2:$D$966,AV$1,'Исходные данные'!$F$2:$F$966,$A27)</f>
        <v>0</v>
      </c>
      <c r="AX27" s="9" t="n">
        <f aca="false">SUMIFS('Исходные данные'!$I$2:$I$966,'Исходные данные'!$D$2:$D$966,AX$1,'Исходные данные'!$F$2:$F$966,$A27)</f>
        <v>0</v>
      </c>
      <c r="AY27" s="9" t="n">
        <f aca="false">SUMIFS('Исходные данные'!$J$2:$J$966,'Исходные данные'!$D$2:$D$966,AX$1,'Исходные данные'!$F$2:$F$966,$A27)</f>
        <v>0</v>
      </c>
      <c r="AZ27" s="9" t="n">
        <f aca="false">SUMIFS('Исходные данные'!$I$2:$I$966,'Исходные данные'!$D$2:$D$966,AZ$1,'Исходные данные'!$F$2:$F$966,$A27)</f>
        <v>0</v>
      </c>
      <c r="BA27" s="9" t="n">
        <f aca="false">SUMIFS('Исходные данные'!$J$2:$J$966,'Исходные данные'!$D$2:$D$966,AZ$1,'Исходные данные'!$F$2:$F$966,$A27)</f>
        <v>0</v>
      </c>
      <c r="BB27" s="9" t="n">
        <f aca="false">SUMIFS('Исходные данные'!$I$2:$I$966,'Исходные данные'!$D$2:$D$966,BB$1,'Исходные данные'!$F$2:$F$966,$A27)</f>
        <v>0</v>
      </c>
      <c r="BC27" s="9" t="n">
        <f aca="false">SUMIFS('Исходные данные'!$J$2:$J$966,'Исходные данные'!$D$2:$D$966,BB$1,'Исходные данные'!$F$2:$F$966,$A27)</f>
        <v>0</v>
      </c>
      <c r="BD27" s="9" t="n">
        <f aca="false">SUMIFS('Исходные данные'!$I$2:$I$966,'Исходные данные'!$D$2:$D$966,BD$1,'Исходные данные'!$F$2:$F$966,$A27)</f>
        <v>0</v>
      </c>
      <c r="BE27" s="9" t="n">
        <f aca="false">SUMIFS('Исходные данные'!$J$2:$J$966,'Исходные данные'!$D$2:$D$966,BD$1,'Исходные данные'!$F$2:$F$966,$A27)</f>
        <v>0</v>
      </c>
      <c r="BF27" s="9" t="n">
        <f aca="false">SUMIFS('Исходные данные'!$I$2:$I$966,'Исходные данные'!$D$2:$D$966,BF$1,'Исходные данные'!$F$2:$F$966,$A27)</f>
        <v>0</v>
      </c>
      <c r="BG27" s="9" t="n">
        <f aca="false">SUMIFS('Исходные данные'!$J$2:$J$966,'Исходные данные'!$D$2:$D$966,BF$1,'Исходные данные'!$F$2:$F$966,$A27)</f>
        <v>0</v>
      </c>
      <c r="BH27" s="9" t="n">
        <f aca="false">SUMIFS('Исходные данные'!$I$2:$I$966,'Исходные данные'!$D$2:$D$966,BH$1,'Исходные данные'!$F$2:$F$966,$A27)</f>
        <v>0</v>
      </c>
      <c r="BI27" s="9" t="n">
        <f aca="false">SUMIFS('Исходные данные'!$J$2:$J$966,'Исходные данные'!$D$2:$D$966,BH$1,'Исходные данные'!$F$2:$F$966,$A27)</f>
        <v>0</v>
      </c>
      <c r="BJ27" s="9" t="n">
        <f aca="false">SUMIFS('Исходные данные'!$I$2:$I$966,'Исходные данные'!$D$2:$D$966,BJ$1,'Исходные данные'!$F$2:$F$966,$A27)</f>
        <v>0</v>
      </c>
      <c r="BK27" s="9" t="n">
        <f aca="false">SUMIFS('Исходные данные'!$J$2:$J$966,'Исходные данные'!$D$2:$D$966,BJ$1,'Исходные данные'!$F$2:$F$966,$A27)</f>
        <v>0</v>
      </c>
      <c r="BL27" s="9" t="n">
        <f aca="false">SUMIFS('Исходные данные'!$I$2:$I$966,'Исходные данные'!$D$2:$D$966,BL$1,'Исходные данные'!$F$2:$F$966,$A27)</f>
        <v>0</v>
      </c>
      <c r="BM27" s="9" t="n">
        <f aca="false">SUMIFS('Исходные данные'!$J$2:$J$966,'Исходные данные'!$D$2:$D$966,BL$1,'Исходные данные'!$F$2:$F$966,$A27)</f>
        <v>0</v>
      </c>
      <c r="BN27" s="9" t="n">
        <f aca="false">SUMIFS('Исходные данные'!$I$2:$I$966,'Исходные данные'!$D$2:$D$966,BN$1,'Исходные данные'!$F$2:$F$966,$A27)</f>
        <v>0</v>
      </c>
      <c r="BO27" s="9" t="n">
        <f aca="false">SUMIFS('Исходные данные'!$J$2:$J$966,'Исходные данные'!$D$2:$D$966,BN$1,'Исходные данные'!$F$2:$F$966,$A27)</f>
        <v>0</v>
      </c>
      <c r="BP27" s="9" t="n">
        <f aca="false">SUMIFS('Исходные данные'!$I$2:$I$966,'Исходные данные'!$D$2:$D$966,BP$1,'Исходные данные'!$F$2:$F$966,$A27)</f>
        <v>0</v>
      </c>
      <c r="BQ27" s="9" t="n">
        <f aca="false">SUMIFS('Исходные данные'!$J$2:$J$966,'Исходные данные'!$D$2:$D$966,BP$1,'Исходные данные'!$F$2:$F$966,$A27)</f>
        <v>0</v>
      </c>
      <c r="BR27" s="9" t="n">
        <f aca="false">SUMIFS('Исходные данные'!$I$2:$I$966,'Исходные данные'!$D$2:$D$966,BR$1,'Исходные данные'!$F$2:$F$966,$A27)</f>
        <v>0</v>
      </c>
      <c r="BS27" s="9" t="n">
        <f aca="false">SUMIFS('Исходные данные'!$J$2:$J$966,'Исходные данные'!$D$2:$D$966,BR$1,'Исходные данные'!$F$2:$F$966,$A27)</f>
        <v>0</v>
      </c>
      <c r="BT27" s="9" t="n">
        <f aca="false">SUMIFS('Исходные данные'!$I$2:$I$966,'Исходные данные'!$D$2:$D$966,BT$1,'Исходные данные'!$F$2:$F$966,$A27)</f>
        <v>0</v>
      </c>
      <c r="BU27" s="9" t="n">
        <f aca="false">SUMIFS('Исходные данные'!$J$2:$J$966,'Исходные данные'!$D$2:$D$966,BT$1,'Исходные данные'!$F$2:$F$966,$A27)</f>
        <v>0</v>
      </c>
      <c r="BV27" s="9" t="n">
        <f aca="false">SUMIFS('Исходные данные'!$I$2:$I$966,'Исходные данные'!$D$2:$D$966,BV$1,'Исходные данные'!$F$2:$F$966,$A27)</f>
        <v>0</v>
      </c>
      <c r="BW27" s="9" t="n">
        <f aca="false">SUMIFS('Исходные данные'!$J$2:$J$966,'Исходные данные'!$D$2:$D$966,BV$1,'Исходные данные'!$F$2:$F$966,$A27)</f>
        <v>0</v>
      </c>
      <c r="BX27" s="9" t="n">
        <f aca="false">SUMIFS('Исходные данные'!$I$2:$I$966,'Исходные данные'!$D$2:$D$966,BX$1,'Исходные данные'!$F$2:$F$966,$A27)</f>
        <v>0</v>
      </c>
      <c r="BY27" s="9" t="n">
        <f aca="false">SUMIFS('Исходные данные'!$J$2:$J$966,'Исходные данные'!$D$2:$D$966,BX$1,'Исходные данные'!$F$2:$F$966,$A27)</f>
        <v>0</v>
      </c>
      <c r="BZ27" s="9" t="n">
        <f aca="false">SUMIFS('Исходные данные'!$I$2:$I$966,'Исходные данные'!$D$2:$D$966,BZ$1,'Исходные данные'!$F$2:$F$966,$A27)</f>
        <v>0</v>
      </c>
      <c r="CA27" s="9" t="n">
        <f aca="false">SUMIFS('Исходные данные'!$J$2:$J$966,'Исходные данные'!$D$2:$D$966,BZ$1,'Исходные данные'!$F$2:$F$966,$A27)</f>
        <v>0</v>
      </c>
      <c r="CB27" s="9" t="n">
        <f aca="false">SUMIFS('Исходные данные'!$I$2:$I$966,'Исходные данные'!$D$2:$D$966,CB$1,'Исходные данные'!$F$2:$F$966,$A27)</f>
        <v>0</v>
      </c>
      <c r="CC27" s="9" t="n">
        <f aca="false">SUMIFS('Исходные данные'!$J$2:$J$966,'Исходные данные'!$D$2:$D$966,CB$1,'Исходные данные'!$F$2:$F$966,$A27)</f>
        <v>0</v>
      </c>
      <c r="CD27" s="9" t="n">
        <f aca="false">SUMIFS('Исходные данные'!$I$2:$I$966,'Исходные данные'!$D$2:$D$966,CD$1,'Исходные данные'!$F$2:$F$966,$A27)</f>
        <v>0</v>
      </c>
      <c r="CE27" s="9" t="n">
        <f aca="false">SUMIFS('Исходные данные'!$J$2:$J$966,'Исходные данные'!$D$2:$D$966,CD$1,'Исходные данные'!$F$2:$F$966,$A27)</f>
        <v>0</v>
      </c>
      <c r="CF27" s="9" t="n">
        <f aca="false">SUMIFS('Исходные данные'!$I$2:$I$966,'Исходные данные'!$D$2:$D$966,CF$1,'Исходные данные'!$F$2:$F$966,$A27)</f>
        <v>0</v>
      </c>
      <c r="CG27" s="9" t="n">
        <f aca="false">SUMIFS('Исходные данные'!$J$2:$J$966,'Исходные данные'!$D$2:$D$966,CF$1,'Исходные данные'!$F$2:$F$966,$A27)</f>
        <v>0</v>
      </c>
      <c r="CH27" s="9" t="n">
        <f aca="false">SUMIFS('Исходные данные'!$I$2:$I$966,'Исходные данные'!$D$2:$D$966,CH$1,'Исходные данные'!$F$2:$F$966,$A27)</f>
        <v>0</v>
      </c>
      <c r="CI27" s="9" t="n">
        <f aca="false">SUMIFS('Исходные данные'!$J$2:$J$966,'Исходные данные'!$D$2:$D$966,CH$1,'Исходные данные'!$F$2:$F$966,$A27)</f>
        <v>0</v>
      </c>
      <c r="CJ27" s="9" t="n">
        <f aca="false">SUMIFS('Исходные данные'!$I$2:$I$966,'Исходные данные'!$D$2:$D$966,CJ$1,'Исходные данные'!$F$2:$F$966,$A27)</f>
        <v>0</v>
      </c>
      <c r="CK27" s="9" t="n">
        <f aca="false">SUMIFS('Исходные данные'!$J$2:$J$966,'Исходные данные'!$D$2:$D$966,CJ$1,'Исходные данные'!$F$2:$F$966,$A27)</f>
        <v>0</v>
      </c>
      <c r="CL27" s="9" t="n">
        <f aca="false">SUMIFS('Исходные данные'!$I$2:$I$966,'Исходные данные'!$D$2:$D$966,CL$1,'Исходные данные'!$F$2:$F$966,$A27)</f>
        <v>0</v>
      </c>
      <c r="CM27" s="9" t="n">
        <f aca="false">SUMIFS('Исходные данные'!$J$2:$J$966,'Исходные данные'!$D$2:$D$966,CL$1,'Исходные данные'!$F$2:$F$966,$A27)</f>
        <v>0</v>
      </c>
      <c r="CN27" s="9" t="n">
        <f aca="false">SUMIFS('Исходные данные'!$I$2:$I$966,'Исходные данные'!$D$2:$D$966,CN$1,'Исходные данные'!$F$2:$F$966,$A27)</f>
        <v>0</v>
      </c>
      <c r="CO27" s="9" t="n">
        <f aca="false">SUMIFS('Исходные данные'!$J$2:$J$966,'Исходные данные'!$D$2:$D$966,CN$1,'Исходные данные'!$F$2:$F$966,$A27)</f>
        <v>0</v>
      </c>
      <c r="CP27" s="9" t="n">
        <f aca="false">SUMIFS('Исходные данные'!$I$2:$I$966,'Исходные данные'!$D$2:$D$966,CP$1,'Исходные данные'!$F$2:$F$966,$A27)</f>
        <v>0</v>
      </c>
      <c r="CQ27" s="9" t="n">
        <f aca="false">SUMIFS('Исходные данные'!$J$2:$J$966,'Исходные данные'!$D$2:$D$966,CP$1,'Исходные данные'!$F$2:$F$966,$A27)</f>
        <v>0</v>
      </c>
    </row>
    <row r="28" customFormat="false" ht="15" hidden="false" customHeight="false" outlineLevel="0" collapsed="false">
      <c r="A28" s="8" t="s">
        <v>103</v>
      </c>
      <c r="B28" s="9" t="s">
        <v>104</v>
      </c>
      <c r="C28" s="5" t="n">
        <v>6</v>
      </c>
      <c r="D28" s="5" t="n">
        <f aca="false">F28+G28</f>
        <v>6</v>
      </c>
      <c r="E28" s="5" t="n">
        <f aca="false">D28-C28</f>
        <v>0</v>
      </c>
      <c r="F28" s="5" t="n">
        <f aca="false">SUMIFS($H28:$CQ28,$H$2:$CQ$2,"День")</f>
        <v>3</v>
      </c>
      <c r="G28" s="5" t="n">
        <f aca="false">SUMIFS($H28:$CQ28,$H$2:$CQ$2,"Ночь")</f>
        <v>3</v>
      </c>
      <c r="H28" s="9" t="n">
        <f aca="false">SUMIFS('Исходные данные'!$I$2:$I$966,'Исходные данные'!$D$2:$D$966,H$1,'Исходные данные'!$F$2:$F$966,$A28)</f>
        <v>0</v>
      </c>
      <c r="I28" s="9" t="n">
        <f aca="false">SUMIFS('Исходные данные'!$J$2:$J$966,'Исходные данные'!$D$2:$D$966,H$1,'Исходные данные'!$F$2:$F$966,$A28)</f>
        <v>0</v>
      </c>
      <c r="J28" s="9" t="n">
        <f aca="false">SUMIFS('Исходные данные'!$I$2:$I$966,'Исходные данные'!$D$2:$D$966,J$1,'Исходные данные'!$F$2:$F$966,$A28)</f>
        <v>0</v>
      </c>
      <c r="K28" s="9" t="n">
        <f aca="false">SUMIFS('Исходные данные'!$J$2:$J$966,'Исходные данные'!$D$2:$D$966,J$1,'Исходные данные'!$F$2:$F$966,$A28)</f>
        <v>0</v>
      </c>
      <c r="L28" s="9" t="n">
        <f aca="false">SUMIFS('Исходные данные'!$I$2:$I$966,'Исходные данные'!$D$2:$D$966,L$1,'Исходные данные'!$F$2:$F$966,$A28)</f>
        <v>0</v>
      </c>
      <c r="M28" s="9" t="n">
        <f aca="false">SUMIFS('Исходные данные'!$J$2:$J$966,'Исходные данные'!$D$2:$D$966,L$1,'Исходные данные'!$F$2:$F$966,$A28)</f>
        <v>0</v>
      </c>
      <c r="N28" s="9" t="n">
        <f aca="false">SUMIFS('Исходные данные'!$I$2:$I$966,'Исходные данные'!$D$2:$D$966,N$1,'Исходные данные'!$F$2:$F$966,$A28)</f>
        <v>0</v>
      </c>
      <c r="O28" s="9" t="n">
        <f aca="false">SUMIFS('Исходные данные'!$J$2:$J$966,'Исходные данные'!$D$2:$D$966,N$1,'Исходные данные'!$F$2:$F$966,$A28)</f>
        <v>0</v>
      </c>
      <c r="P28" s="9" t="n">
        <f aca="false">SUMIFS('Исходные данные'!$I$2:$I$966,'Исходные данные'!$D$2:$D$966,P$1,'Исходные данные'!$F$2:$F$966,$A28)</f>
        <v>0</v>
      </c>
      <c r="Q28" s="9" t="n">
        <f aca="false">SUMIFS('Исходные данные'!$J$2:$J$966,'Исходные данные'!$D$2:$D$966,P$1,'Исходные данные'!$F$2:$F$966,$A28)</f>
        <v>0</v>
      </c>
      <c r="R28" s="9" t="n">
        <f aca="false">SUMIFS('Исходные данные'!$I$2:$I$966,'Исходные данные'!$D$2:$D$966,R$1,'Исходные данные'!$F$2:$F$966,$A28)</f>
        <v>0</v>
      </c>
      <c r="S28" s="9" t="n">
        <f aca="false">SUMIFS('Исходные данные'!$J$2:$J$966,'Исходные данные'!$D$2:$D$966,R$1,'Исходные данные'!$F$2:$F$966,$A28)</f>
        <v>0</v>
      </c>
      <c r="T28" s="9" t="n">
        <f aca="false">SUMIFS('Исходные данные'!$I$2:$I$966,'Исходные данные'!$D$2:$D$966,T$1,'Исходные данные'!$F$2:$F$966,$A28)</f>
        <v>0</v>
      </c>
      <c r="U28" s="9" t="n">
        <f aca="false">SUMIFS('Исходные данные'!$J$2:$J$966,'Исходные данные'!$D$2:$D$966,T$1,'Исходные данные'!$F$2:$F$966,$A28)</f>
        <v>0</v>
      </c>
      <c r="V28" s="9" t="n">
        <f aca="false">SUMIFS('Исходные данные'!$I$2:$I$966,'Исходные данные'!$D$2:$D$966,V$1,'Исходные данные'!$F$2:$F$966,$A28)</f>
        <v>0</v>
      </c>
      <c r="W28" s="9" t="n">
        <f aca="false">SUMIFS('Исходные данные'!$J$2:$J$966,'Исходные данные'!$D$2:$D$966,V$1,'Исходные данные'!$F$2:$F$966,$A28)</f>
        <v>0</v>
      </c>
      <c r="X28" s="9" t="n">
        <f aca="false">SUMIFS('Исходные данные'!$I$2:$I$966,'Исходные данные'!$D$2:$D$966,X$1,'Исходные данные'!$F$2:$F$966,$A28)</f>
        <v>0</v>
      </c>
      <c r="Y28" s="9" t="n">
        <f aca="false">SUMIFS('Исходные данные'!$J$2:$J$966,'Исходные данные'!$D$2:$D$966,X$1,'Исходные данные'!$F$2:$F$966,$A28)</f>
        <v>0</v>
      </c>
      <c r="Z28" s="9" t="n">
        <f aca="false">SUMIFS('Исходные данные'!$I$2:$I$966,'Исходные данные'!$D$2:$D$966,Z$1,'Исходные данные'!$F$2:$F$966,$A28)</f>
        <v>0</v>
      </c>
      <c r="AA28" s="9" t="n">
        <f aca="false">SUMIFS('Исходные данные'!$J$2:$J$966,'Исходные данные'!$D$2:$D$966,Z$1,'Исходные данные'!$F$2:$F$966,$A28)</f>
        <v>0</v>
      </c>
      <c r="AB28" s="9" t="n">
        <f aca="false">SUMIFS('Исходные данные'!$I$2:$I$966,'Исходные данные'!$D$2:$D$966,AB$1,'Исходные данные'!$F$2:$F$966,$A28)</f>
        <v>0</v>
      </c>
      <c r="AC28" s="9" t="n">
        <f aca="false">SUMIFS('Исходные данные'!$J$2:$J$966,'Исходные данные'!$D$2:$D$966,AB$1,'Исходные данные'!$F$2:$F$966,$A28)</f>
        <v>0</v>
      </c>
      <c r="AD28" s="9" t="n">
        <f aca="false">SUMIFS('Исходные данные'!$I$2:$I$966,'Исходные данные'!$D$2:$D$966,AD$1,'Исходные данные'!$F$2:$F$966,$A28)</f>
        <v>0</v>
      </c>
      <c r="AE28" s="9" t="n">
        <f aca="false">SUMIFS('Исходные данные'!$J$2:$J$966,'Исходные данные'!$D$2:$D$966,AD$1,'Исходные данные'!$F$2:$F$966,$A28)</f>
        <v>0</v>
      </c>
      <c r="AF28" s="9" t="n">
        <f aca="false">SUMIFS('Исходные данные'!$I$2:$I$966,'Исходные данные'!$D$2:$D$966,AF$1,'Исходные данные'!$F$2:$F$966,$A28)</f>
        <v>0</v>
      </c>
      <c r="AG28" s="9" t="n">
        <f aca="false">SUMIFS('Исходные данные'!$J$2:$J$966,'Исходные данные'!$D$2:$D$966,AF$1,'Исходные данные'!$F$2:$F$966,$A28)</f>
        <v>0</v>
      </c>
      <c r="AH28" s="9" t="n">
        <f aca="false">SUMIFS('Исходные данные'!$I$2:$I$966,'Исходные данные'!$D$2:$D$966,AH$1,'Исходные данные'!$F$2:$F$966,$A28)</f>
        <v>2</v>
      </c>
      <c r="AI28" s="9" t="n">
        <f aca="false">SUMIFS('Исходные данные'!$J$2:$J$966,'Исходные данные'!$D$2:$D$966,AH$1,'Исходные данные'!$F$2:$F$966,$A28)</f>
        <v>2</v>
      </c>
      <c r="AJ28" s="9" t="n">
        <f aca="false">SUMIFS('Исходные данные'!$I$2:$I$966,'Исходные данные'!$D$2:$D$966,AJ$1,'Исходные данные'!$F$2:$F$966,$A28)</f>
        <v>1</v>
      </c>
      <c r="AK28" s="9" t="n">
        <f aca="false">SUMIFS('Исходные данные'!$J$2:$J$966,'Исходные данные'!$D$2:$D$966,AJ$1,'Исходные данные'!$F$2:$F$966,$A28)</f>
        <v>1</v>
      </c>
      <c r="AL28" s="9" t="n">
        <f aca="false">SUMIFS('Исходные данные'!$I$2:$I$966,'Исходные данные'!$D$2:$D$966,AL$1,'Исходные данные'!$F$2:$F$966,$A28)</f>
        <v>0</v>
      </c>
      <c r="AM28" s="9" t="n">
        <f aca="false">SUMIFS('Исходные данные'!$J$2:$J$966,'Исходные данные'!$D$2:$D$966,AL$1,'Исходные данные'!$F$2:$F$966,$A28)</f>
        <v>0</v>
      </c>
      <c r="AN28" s="9" t="n">
        <f aca="false">SUMIFS('Исходные данные'!$I$2:$I$966,'Исходные данные'!$D$2:$D$966,AN$1,'Исходные данные'!$F$2:$F$966,$A28)</f>
        <v>0</v>
      </c>
      <c r="AO28" s="9" t="n">
        <f aca="false">SUMIFS('Исходные данные'!$J$2:$J$966,'Исходные данные'!$D$2:$D$966,AN$1,'Исходные данные'!$F$2:$F$966,$A28)</f>
        <v>0</v>
      </c>
      <c r="AP28" s="9" t="n">
        <f aca="false">SUMIFS('Исходные данные'!$I$2:$I$966,'Исходные данные'!$D$2:$D$966,AP$1,'Исходные данные'!$F$2:$F$966,$A28)</f>
        <v>0</v>
      </c>
      <c r="AQ28" s="9" t="n">
        <f aca="false">SUMIFS('Исходные данные'!$J$2:$J$966,'Исходные данные'!$D$2:$D$966,AP$1,'Исходные данные'!$F$2:$F$966,$A28)</f>
        <v>0</v>
      </c>
      <c r="AR28" s="9" t="n">
        <f aca="false">SUMIFS('Исходные данные'!$I$2:$I$966,'Исходные данные'!$D$2:$D$966,AR$1,'Исходные данные'!$F$2:$F$966,$A28)</f>
        <v>0</v>
      </c>
      <c r="AS28" s="9" t="n">
        <f aca="false">SUMIFS('Исходные данные'!$J$2:$J$966,'Исходные данные'!$D$2:$D$966,AR$1,'Исходные данные'!$F$2:$F$966,$A28)</f>
        <v>0</v>
      </c>
      <c r="AT28" s="9" t="n">
        <f aca="false">SUMIFS('Исходные данные'!$I$2:$I$966,'Исходные данные'!$D$2:$D$966,AT$1,'Исходные данные'!$F$2:$F$966,$A28)</f>
        <v>0</v>
      </c>
      <c r="AU28" s="9" t="n">
        <f aca="false">SUMIFS('Исходные данные'!$J$2:$J$966,'Исходные данные'!$D$2:$D$966,AT$1,'Исходные данные'!$F$2:$F$966,$A28)</f>
        <v>0</v>
      </c>
      <c r="AV28" s="9" t="n">
        <f aca="false">SUMIFS('Исходные данные'!$I$2:$I$966,'Исходные данные'!$D$2:$D$966,AV$1,'Исходные данные'!$F$2:$F$966,$A28)</f>
        <v>0</v>
      </c>
      <c r="AW28" s="9" t="n">
        <f aca="false">SUMIFS('Исходные данные'!$J$2:$J$966,'Исходные данные'!$D$2:$D$966,AV$1,'Исходные данные'!$F$2:$F$966,$A28)</f>
        <v>0</v>
      </c>
      <c r="AX28" s="9" t="n">
        <f aca="false">SUMIFS('Исходные данные'!$I$2:$I$966,'Исходные данные'!$D$2:$D$966,AX$1,'Исходные данные'!$F$2:$F$966,$A28)</f>
        <v>0</v>
      </c>
      <c r="AY28" s="9" t="n">
        <f aca="false">SUMIFS('Исходные данные'!$J$2:$J$966,'Исходные данные'!$D$2:$D$966,AX$1,'Исходные данные'!$F$2:$F$966,$A28)</f>
        <v>0</v>
      </c>
      <c r="AZ28" s="9" t="n">
        <f aca="false">SUMIFS('Исходные данные'!$I$2:$I$966,'Исходные данные'!$D$2:$D$966,AZ$1,'Исходные данные'!$F$2:$F$966,$A28)</f>
        <v>0</v>
      </c>
      <c r="BA28" s="9" t="n">
        <f aca="false">SUMIFS('Исходные данные'!$J$2:$J$966,'Исходные данные'!$D$2:$D$966,AZ$1,'Исходные данные'!$F$2:$F$966,$A28)</f>
        <v>0</v>
      </c>
      <c r="BB28" s="9" t="n">
        <f aca="false">SUMIFS('Исходные данные'!$I$2:$I$966,'Исходные данные'!$D$2:$D$966,BB$1,'Исходные данные'!$F$2:$F$966,$A28)</f>
        <v>0</v>
      </c>
      <c r="BC28" s="9" t="n">
        <f aca="false">SUMIFS('Исходные данные'!$J$2:$J$966,'Исходные данные'!$D$2:$D$966,BB$1,'Исходные данные'!$F$2:$F$966,$A28)</f>
        <v>0</v>
      </c>
      <c r="BD28" s="9" t="n">
        <f aca="false">SUMIFS('Исходные данные'!$I$2:$I$966,'Исходные данные'!$D$2:$D$966,BD$1,'Исходные данные'!$F$2:$F$966,$A28)</f>
        <v>0</v>
      </c>
      <c r="BE28" s="9" t="n">
        <f aca="false">SUMIFS('Исходные данные'!$J$2:$J$966,'Исходные данные'!$D$2:$D$966,BD$1,'Исходные данные'!$F$2:$F$966,$A28)</f>
        <v>0</v>
      </c>
      <c r="BF28" s="9" t="n">
        <f aca="false">SUMIFS('Исходные данные'!$I$2:$I$966,'Исходные данные'!$D$2:$D$966,BF$1,'Исходные данные'!$F$2:$F$966,$A28)</f>
        <v>0</v>
      </c>
      <c r="BG28" s="9" t="n">
        <f aca="false">SUMIFS('Исходные данные'!$J$2:$J$966,'Исходные данные'!$D$2:$D$966,BF$1,'Исходные данные'!$F$2:$F$966,$A28)</f>
        <v>0</v>
      </c>
      <c r="BH28" s="9" t="n">
        <f aca="false">SUMIFS('Исходные данные'!$I$2:$I$966,'Исходные данные'!$D$2:$D$966,BH$1,'Исходные данные'!$F$2:$F$966,$A28)</f>
        <v>0</v>
      </c>
      <c r="BI28" s="9" t="n">
        <f aca="false">SUMIFS('Исходные данные'!$J$2:$J$966,'Исходные данные'!$D$2:$D$966,BH$1,'Исходные данные'!$F$2:$F$966,$A28)</f>
        <v>0</v>
      </c>
      <c r="BJ28" s="9" t="n">
        <f aca="false">SUMIFS('Исходные данные'!$I$2:$I$966,'Исходные данные'!$D$2:$D$966,BJ$1,'Исходные данные'!$F$2:$F$966,$A28)</f>
        <v>0</v>
      </c>
      <c r="BK28" s="9" t="n">
        <f aca="false">SUMIFS('Исходные данные'!$J$2:$J$966,'Исходные данные'!$D$2:$D$966,BJ$1,'Исходные данные'!$F$2:$F$966,$A28)</f>
        <v>0</v>
      </c>
      <c r="BL28" s="9" t="n">
        <f aca="false">SUMIFS('Исходные данные'!$I$2:$I$966,'Исходные данные'!$D$2:$D$966,BL$1,'Исходные данные'!$F$2:$F$966,$A28)</f>
        <v>0</v>
      </c>
      <c r="BM28" s="9" t="n">
        <f aca="false">SUMIFS('Исходные данные'!$J$2:$J$966,'Исходные данные'!$D$2:$D$966,BL$1,'Исходные данные'!$F$2:$F$966,$A28)</f>
        <v>0</v>
      </c>
      <c r="BN28" s="9" t="n">
        <f aca="false">SUMIFS('Исходные данные'!$I$2:$I$966,'Исходные данные'!$D$2:$D$966,BN$1,'Исходные данные'!$F$2:$F$966,$A28)</f>
        <v>0</v>
      </c>
      <c r="BO28" s="9" t="n">
        <f aca="false">SUMIFS('Исходные данные'!$J$2:$J$966,'Исходные данные'!$D$2:$D$966,BN$1,'Исходные данные'!$F$2:$F$966,$A28)</f>
        <v>0</v>
      </c>
      <c r="BP28" s="9" t="n">
        <f aca="false">SUMIFS('Исходные данные'!$I$2:$I$966,'Исходные данные'!$D$2:$D$966,BP$1,'Исходные данные'!$F$2:$F$966,$A28)</f>
        <v>0</v>
      </c>
      <c r="BQ28" s="9" t="n">
        <f aca="false">SUMIFS('Исходные данные'!$J$2:$J$966,'Исходные данные'!$D$2:$D$966,BP$1,'Исходные данные'!$F$2:$F$966,$A28)</f>
        <v>0</v>
      </c>
      <c r="BR28" s="9" t="n">
        <f aca="false">SUMIFS('Исходные данные'!$I$2:$I$966,'Исходные данные'!$D$2:$D$966,BR$1,'Исходные данные'!$F$2:$F$966,$A28)</f>
        <v>0</v>
      </c>
      <c r="BS28" s="9" t="n">
        <f aca="false">SUMIFS('Исходные данные'!$J$2:$J$966,'Исходные данные'!$D$2:$D$966,BR$1,'Исходные данные'!$F$2:$F$966,$A28)</f>
        <v>0</v>
      </c>
      <c r="BT28" s="9" t="n">
        <f aca="false">SUMIFS('Исходные данные'!$I$2:$I$966,'Исходные данные'!$D$2:$D$966,BT$1,'Исходные данные'!$F$2:$F$966,$A28)</f>
        <v>0</v>
      </c>
      <c r="BU28" s="9" t="n">
        <f aca="false">SUMIFS('Исходные данные'!$J$2:$J$966,'Исходные данные'!$D$2:$D$966,BT$1,'Исходные данные'!$F$2:$F$966,$A28)</f>
        <v>0</v>
      </c>
      <c r="BV28" s="9" t="n">
        <f aca="false">SUMIFS('Исходные данные'!$I$2:$I$966,'Исходные данные'!$D$2:$D$966,BV$1,'Исходные данные'!$F$2:$F$966,$A28)</f>
        <v>0</v>
      </c>
      <c r="BW28" s="9" t="n">
        <f aca="false">SUMIFS('Исходные данные'!$J$2:$J$966,'Исходные данные'!$D$2:$D$966,BV$1,'Исходные данные'!$F$2:$F$966,$A28)</f>
        <v>0</v>
      </c>
      <c r="BX28" s="9" t="n">
        <f aca="false">SUMIFS('Исходные данные'!$I$2:$I$966,'Исходные данные'!$D$2:$D$966,BX$1,'Исходные данные'!$F$2:$F$966,$A28)</f>
        <v>0</v>
      </c>
      <c r="BY28" s="9" t="n">
        <f aca="false">SUMIFS('Исходные данные'!$J$2:$J$966,'Исходные данные'!$D$2:$D$966,BX$1,'Исходные данные'!$F$2:$F$966,$A28)</f>
        <v>0</v>
      </c>
      <c r="BZ28" s="9" t="n">
        <f aca="false">SUMIFS('Исходные данные'!$I$2:$I$966,'Исходные данные'!$D$2:$D$966,BZ$1,'Исходные данные'!$F$2:$F$966,$A28)</f>
        <v>0</v>
      </c>
      <c r="CA28" s="9" t="n">
        <f aca="false">SUMIFS('Исходные данные'!$J$2:$J$966,'Исходные данные'!$D$2:$D$966,BZ$1,'Исходные данные'!$F$2:$F$966,$A28)</f>
        <v>0</v>
      </c>
      <c r="CB28" s="9" t="n">
        <f aca="false">SUMIFS('Исходные данные'!$I$2:$I$966,'Исходные данные'!$D$2:$D$966,CB$1,'Исходные данные'!$F$2:$F$966,$A28)</f>
        <v>0</v>
      </c>
      <c r="CC28" s="9" t="n">
        <f aca="false">SUMIFS('Исходные данные'!$J$2:$J$966,'Исходные данные'!$D$2:$D$966,CB$1,'Исходные данные'!$F$2:$F$966,$A28)</f>
        <v>0</v>
      </c>
      <c r="CD28" s="9" t="n">
        <f aca="false">SUMIFS('Исходные данные'!$I$2:$I$966,'Исходные данные'!$D$2:$D$966,CD$1,'Исходные данные'!$F$2:$F$966,$A28)</f>
        <v>0</v>
      </c>
      <c r="CE28" s="9" t="n">
        <f aca="false">SUMIFS('Исходные данные'!$J$2:$J$966,'Исходные данные'!$D$2:$D$966,CD$1,'Исходные данные'!$F$2:$F$966,$A28)</f>
        <v>0</v>
      </c>
      <c r="CF28" s="9" t="n">
        <f aca="false">SUMIFS('Исходные данные'!$I$2:$I$966,'Исходные данные'!$D$2:$D$966,CF$1,'Исходные данные'!$F$2:$F$966,$A28)</f>
        <v>0</v>
      </c>
      <c r="CG28" s="9" t="n">
        <f aca="false">SUMIFS('Исходные данные'!$J$2:$J$966,'Исходные данные'!$D$2:$D$966,CF$1,'Исходные данные'!$F$2:$F$966,$A28)</f>
        <v>0</v>
      </c>
      <c r="CH28" s="9" t="n">
        <f aca="false">SUMIFS('Исходные данные'!$I$2:$I$966,'Исходные данные'!$D$2:$D$966,CH$1,'Исходные данные'!$F$2:$F$966,$A28)</f>
        <v>0</v>
      </c>
      <c r="CI28" s="9" t="n">
        <f aca="false">SUMIFS('Исходные данные'!$J$2:$J$966,'Исходные данные'!$D$2:$D$966,CH$1,'Исходные данные'!$F$2:$F$966,$A28)</f>
        <v>0</v>
      </c>
      <c r="CJ28" s="9" t="n">
        <f aca="false">SUMIFS('Исходные данные'!$I$2:$I$966,'Исходные данные'!$D$2:$D$966,CJ$1,'Исходные данные'!$F$2:$F$966,$A28)</f>
        <v>0</v>
      </c>
      <c r="CK28" s="9" t="n">
        <f aca="false">SUMIFS('Исходные данные'!$J$2:$J$966,'Исходные данные'!$D$2:$D$966,CJ$1,'Исходные данные'!$F$2:$F$966,$A28)</f>
        <v>0</v>
      </c>
      <c r="CL28" s="9" t="n">
        <f aca="false">SUMIFS('Исходные данные'!$I$2:$I$966,'Исходные данные'!$D$2:$D$966,CL$1,'Исходные данные'!$F$2:$F$966,$A28)</f>
        <v>0</v>
      </c>
      <c r="CM28" s="9" t="n">
        <f aca="false">SUMIFS('Исходные данные'!$J$2:$J$966,'Исходные данные'!$D$2:$D$966,CL$1,'Исходные данные'!$F$2:$F$966,$A28)</f>
        <v>0</v>
      </c>
      <c r="CN28" s="9" t="n">
        <f aca="false">SUMIFS('Исходные данные'!$I$2:$I$966,'Исходные данные'!$D$2:$D$966,CN$1,'Исходные данные'!$F$2:$F$966,$A28)</f>
        <v>0</v>
      </c>
      <c r="CO28" s="9" t="n">
        <f aca="false">SUMIFS('Исходные данные'!$J$2:$J$966,'Исходные данные'!$D$2:$D$966,CN$1,'Исходные данные'!$F$2:$F$966,$A28)</f>
        <v>0</v>
      </c>
      <c r="CP28" s="9" t="n">
        <f aca="false">SUMIFS('Исходные данные'!$I$2:$I$966,'Исходные данные'!$D$2:$D$966,CP$1,'Исходные данные'!$F$2:$F$966,$A28)</f>
        <v>0</v>
      </c>
      <c r="CQ28" s="9" t="n">
        <f aca="false">SUMIFS('Исходные данные'!$J$2:$J$966,'Исходные данные'!$D$2:$D$966,CP$1,'Исходные данные'!$F$2:$F$966,$A28)</f>
        <v>0</v>
      </c>
    </row>
    <row r="29" customFormat="false" ht="15" hidden="false" customHeight="false" outlineLevel="0" collapsed="false">
      <c r="A29" s="8" t="s">
        <v>105</v>
      </c>
      <c r="B29" s="9" t="s">
        <v>106</v>
      </c>
      <c r="C29" s="5" t="n">
        <v>4</v>
      </c>
      <c r="D29" s="5" t="n">
        <f aca="false">F29+G29</f>
        <v>3</v>
      </c>
      <c r="E29" s="5" t="n">
        <f aca="false">D29-C29</f>
        <v>-1</v>
      </c>
      <c r="F29" s="5" t="n">
        <f aca="false">SUMIFS($H29:$CQ29,$H$2:$CQ$2,"День")</f>
        <v>2</v>
      </c>
      <c r="G29" s="5" t="n">
        <f aca="false">SUMIFS($H29:$CQ29,$H$2:$CQ$2,"Ночь")</f>
        <v>1</v>
      </c>
      <c r="H29" s="9" t="n">
        <f aca="false">SUMIFS('Исходные данные'!$I$2:$I$966,'Исходные данные'!$D$2:$D$966,H$1,'Исходные данные'!$F$2:$F$966,$A29)</f>
        <v>0</v>
      </c>
      <c r="I29" s="9" t="n">
        <f aca="false">SUMIFS('Исходные данные'!$J$2:$J$966,'Исходные данные'!$D$2:$D$966,H$1,'Исходные данные'!$F$2:$F$966,$A29)</f>
        <v>0</v>
      </c>
      <c r="J29" s="9" t="n">
        <f aca="false">SUMIFS('Исходные данные'!$I$2:$I$966,'Исходные данные'!$D$2:$D$966,J$1,'Исходные данные'!$F$2:$F$966,$A29)</f>
        <v>0</v>
      </c>
      <c r="K29" s="9" t="n">
        <f aca="false">SUMIFS('Исходные данные'!$J$2:$J$966,'Исходные данные'!$D$2:$D$966,J$1,'Исходные данные'!$F$2:$F$966,$A29)</f>
        <v>0</v>
      </c>
      <c r="L29" s="9" t="n">
        <f aca="false">SUMIFS('Исходные данные'!$I$2:$I$966,'Исходные данные'!$D$2:$D$966,L$1,'Исходные данные'!$F$2:$F$966,$A29)</f>
        <v>0</v>
      </c>
      <c r="M29" s="9" t="n">
        <f aca="false">SUMIFS('Исходные данные'!$J$2:$J$966,'Исходные данные'!$D$2:$D$966,L$1,'Исходные данные'!$F$2:$F$966,$A29)</f>
        <v>0</v>
      </c>
      <c r="N29" s="9" t="n">
        <f aca="false">SUMIFS('Исходные данные'!$I$2:$I$966,'Исходные данные'!$D$2:$D$966,N$1,'Исходные данные'!$F$2:$F$966,$A29)</f>
        <v>0</v>
      </c>
      <c r="O29" s="9" t="n">
        <f aca="false">SUMIFS('Исходные данные'!$J$2:$J$966,'Исходные данные'!$D$2:$D$966,N$1,'Исходные данные'!$F$2:$F$966,$A29)</f>
        <v>0</v>
      </c>
      <c r="P29" s="9" t="n">
        <f aca="false">SUMIFS('Исходные данные'!$I$2:$I$966,'Исходные данные'!$D$2:$D$966,P$1,'Исходные данные'!$F$2:$F$966,$A29)</f>
        <v>0</v>
      </c>
      <c r="Q29" s="9" t="n">
        <f aca="false">SUMIFS('Исходные данные'!$J$2:$J$966,'Исходные данные'!$D$2:$D$966,P$1,'Исходные данные'!$F$2:$F$966,$A29)</f>
        <v>0</v>
      </c>
      <c r="R29" s="9" t="n">
        <f aca="false">SUMIFS('Исходные данные'!$I$2:$I$966,'Исходные данные'!$D$2:$D$966,R$1,'Исходные данные'!$F$2:$F$966,$A29)</f>
        <v>0</v>
      </c>
      <c r="S29" s="9" t="n">
        <f aca="false">SUMIFS('Исходные данные'!$J$2:$J$966,'Исходные данные'!$D$2:$D$966,R$1,'Исходные данные'!$F$2:$F$966,$A29)</f>
        <v>0</v>
      </c>
      <c r="T29" s="9" t="n">
        <f aca="false">SUMIFS('Исходные данные'!$I$2:$I$966,'Исходные данные'!$D$2:$D$966,T$1,'Исходные данные'!$F$2:$F$966,$A29)</f>
        <v>0</v>
      </c>
      <c r="U29" s="9" t="n">
        <f aca="false">SUMIFS('Исходные данные'!$J$2:$J$966,'Исходные данные'!$D$2:$D$966,T$1,'Исходные данные'!$F$2:$F$966,$A29)</f>
        <v>0</v>
      </c>
      <c r="V29" s="9" t="n">
        <f aca="false">SUMIFS('Исходные данные'!$I$2:$I$966,'Исходные данные'!$D$2:$D$966,V$1,'Исходные данные'!$F$2:$F$966,$A29)</f>
        <v>0</v>
      </c>
      <c r="W29" s="9" t="n">
        <f aca="false">SUMIFS('Исходные данные'!$J$2:$J$966,'Исходные данные'!$D$2:$D$966,V$1,'Исходные данные'!$F$2:$F$966,$A29)</f>
        <v>0</v>
      </c>
      <c r="X29" s="9" t="n">
        <f aca="false">SUMIFS('Исходные данные'!$I$2:$I$966,'Исходные данные'!$D$2:$D$966,X$1,'Исходные данные'!$F$2:$F$966,$A29)</f>
        <v>0</v>
      </c>
      <c r="Y29" s="9" t="n">
        <f aca="false">SUMIFS('Исходные данные'!$J$2:$J$966,'Исходные данные'!$D$2:$D$966,X$1,'Исходные данные'!$F$2:$F$966,$A29)</f>
        <v>0</v>
      </c>
      <c r="Z29" s="9" t="n">
        <f aca="false">SUMIFS('Исходные данные'!$I$2:$I$966,'Исходные данные'!$D$2:$D$966,Z$1,'Исходные данные'!$F$2:$F$966,$A29)</f>
        <v>0</v>
      </c>
      <c r="AA29" s="9" t="n">
        <f aca="false">SUMIFS('Исходные данные'!$J$2:$J$966,'Исходные данные'!$D$2:$D$966,Z$1,'Исходные данные'!$F$2:$F$966,$A29)</f>
        <v>0</v>
      </c>
      <c r="AB29" s="9" t="n">
        <f aca="false">SUMIFS('Исходные данные'!$I$2:$I$966,'Исходные данные'!$D$2:$D$966,AB$1,'Исходные данные'!$F$2:$F$966,$A29)</f>
        <v>0</v>
      </c>
      <c r="AC29" s="9" t="n">
        <f aca="false">SUMIFS('Исходные данные'!$J$2:$J$966,'Исходные данные'!$D$2:$D$966,AB$1,'Исходные данные'!$F$2:$F$966,$A29)</f>
        <v>0</v>
      </c>
      <c r="AD29" s="9" t="n">
        <f aca="false">SUMIFS('Исходные данные'!$I$2:$I$966,'Исходные данные'!$D$2:$D$966,AD$1,'Исходные данные'!$F$2:$F$966,$A29)</f>
        <v>0</v>
      </c>
      <c r="AE29" s="9" t="n">
        <f aca="false">SUMIFS('Исходные данные'!$J$2:$J$966,'Исходные данные'!$D$2:$D$966,AD$1,'Исходные данные'!$F$2:$F$966,$A29)</f>
        <v>0</v>
      </c>
      <c r="AF29" s="9" t="n">
        <f aca="false">SUMIFS('Исходные данные'!$I$2:$I$966,'Исходные данные'!$D$2:$D$966,AF$1,'Исходные данные'!$F$2:$F$966,$A29)</f>
        <v>0</v>
      </c>
      <c r="AG29" s="9" t="n">
        <f aca="false">SUMIFS('Исходные данные'!$J$2:$J$966,'Исходные данные'!$D$2:$D$966,AF$1,'Исходные данные'!$F$2:$F$966,$A29)</f>
        <v>0</v>
      </c>
      <c r="AH29" s="9" t="n">
        <f aca="false">SUMIFS('Исходные данные'!$I$2:$I$966,'Исходные данные'!$D$2:$D$966,AH$1,'Исходные данные'!$F$2:$F$966,$A29)</f>
        <v>0</v>
      </c>
      <c r="AI29" s="9" t="n">
        <f aca="false">SUMIFS('Исходные данные'!$J$2:$J$966,'Исходные данные'!$D$2:$D$966,AH$1,'Исходные данные'!$F$2:$F$966,$A29)</f>
        <v>0</v>
      </c>
      <c r="AJ29" s="9" t="n">
        <f aca="false">SUMIFS('Исходные данные'!$I$2:$I$966,'Исходные данные'!$D$2:$D$966,AJ$1,'Исходные данные'!$F$2:$F$966,$A29)</f>
        <v>0</v>
      </c>
      <c r="AK29" s="9" t="n">
        <f aca="false">SUMIFS('Исходные данные'!$J$2:$J$966,'Исходные данные'!$D$2:$D$966,AJ$1,'Исходные данные'!$F$2:$F$966,$A29)</f>
        <v>0</v>
      </c>
      <c r="AL29" s="9" t="n">
        <f aca="false">SUMIFS('Исходные данные'!$I$2:$I$966,'Исходные данные'!$D$2:$D$966,AL$1,'Исходные данные'!$F$2:$F$966,$A29)</f>
        <v>0</v>
      </c>
      <c r="AM29" s="9" t="n">
        <f aca="false">SUMIFS('Исходные данные'!$J$2:$J$966,'Исходные данные'!$D$2:$D$966,AL$1,'Исходные данные'!$F$2:$F$966,$A29)</f>
        <v>0</v>
      </c>
      <c r="AN29" s="9" t="n">
        <f aca="false">SUMIFS('Исходные данные'!$I$2:$I$966,'Исходные данные'!$D$2:$D$966,AN$1,'Исходные данные'!$F$2:$F$966,$A29)</f>
        <v>0</v>
      </c>
      <c r="AO29" s="9" t="n">
        <f aca="false">SUMIFS('Исходные данные'!$J$2:$J$966,'Исходные данные'!$D$2:$D$966,AN$1,'Исходные данные'!$F$2:$F$966,$A29)</f>
        <v>0</v>
      </c>
      <c r="AP29" s="9" t="n">
        <f aca="false">SUMIFS('Исходные данные'!$I$2:$I$966,'Исходные данные'!$D$2:$D$966,AP$1,'Исходные данные'!$F$2:$F$966,$A29)</f>
        <v>0</v>
      </c>
      <c r="AQ29" s="9" t="n">
        <f aca="false">SUMIFS('Исходные данные'!$J$2:$J$966,'Исходные данные'!$D$2:$D$966,AP$1,'Исходные данные'!$F$2:$F$966,$A29)</f>
        <v>0</v>
      </c>
      <c r="AR29" s="9" t="n">
        <f aca="false">SUMIFS('Исходные данные'!$I$2:$I$966,'Исходные данные'!$D$2:$D$966,AR$1,'Исходные данные'!$F$2:$F$966,$A29)</f>
        <v>0</v>
      </c>
      <c r="AS29" s="9" t="n">
        <f aca="false">SUMIFS('Исходные данные'!$J$2:$J$966,'Исходные данные'!$D$2:$D$966,AR$1,'Исходные данные'!$F$2:$F$966,$A29)</f>
        <v>0</v>
      </c>
      <c r="AT29" s="9" t="n">
        <f aca="false">SUMIFS('Исходные данные'!$I$2:$I$966,'Исходные данные'!$D$2:$D$966,AT$1,'Исходные данные'!$F$2:$F$966,$A29)</f>
        <v>0</v>
      </c>
      <c r="AU29" s="9" t="n">
        <f aca="false">SUMIFS('Исходные данные'!$J$2:$J$966,'Исходные данные'!$D$2:$D$966,AT$1,'Исходные данные'!$F$2:$F$966,$A29)</f>
        <v>0</v>
      </c>
      <c r="AV29" s="9" t="n">
        <f aca="false">SUMIFS('Исходные данные'!$I$2:$I$966,'Исходные данные'!$D$2:$D$966,AV$1,'Исходные данные'!$F$2:$F$966,$A29)</f>
        <v>0</v>
      </c>
      <c r="AW29" s="9" t="n">
        <f aca="false">SUMIFS('Исходные данные'!$J$2:$J$966,'Исходные данные'!$D$2:$D$966,AV$1,'Исходные данные'!$F$2:$F$966,$A29)</f>
        <v>0</v>
      </c>
      <c r="AX29" s="9" t="n">
        <f aca="false">SUMIFS('Исходные данные'!$I$2:$I$966,'Исходные данные'!$D$2:$D$966,AX$1,'Исходные данные'!$F$2:$F$966,$A29)</f>
        <v>2</v>
      </c>
      <c r="AY29" s="9" t="n">
        <f aca="false">SUMIFS('Исходные данные'!$J$2:$J$966,'Исходные данные'!$D$2:$D$966,AX$1,'Исходные данные'!$F$2:$F$966,$A29)</f>
        <v>1</v>
      </c>
      <c r="AZ29" s="9" t="n">
        <f aca="false">SUMIFS('Исходные данные'!$I$2:$I$966,'Исходные данные'!$D$2:$D$966,AZ$1,'Исходные данные'!$F$2:$F$966,$A29)</f>
        <v>0</v>
      </c>
      <c r="BA29" s="9" t="n">
        <f aca="false">SUMIFS('Исходные данные'!$J$2:$J$966,'Исходные данные'!$D$2:$D$966,AZ$1,'Исходные данные'!$F$2:$F$966,$A29)</f>
        <v>0</v>
      </c>
      <c r="BB29" s="9" t="n">
        <f aca="false">SUMIFS('Исходные данные'!$I$2:$I$966,'Исходные данные'!$D$2:$D$966,BB$1,'Исходные данные'!$F$2:$F$966,$A29)</f>
        <v>0</v>
      </c>
      <c r="BC29" s="9" t="n">
        <f aca="false">SUMIFS('Исходные данные'!$J$2:$J$966,'Исходные данные'!$D$2:$D$966,BB$1,'Исходные данные'!$F$2:$F$966,$A29)</f>
        <v>0</v>
      </c>
      <c r="BD29" s="9" t="n">
        <f aca="false">SUMIFS('Исходные данные'!$I$2:$I$966,'Исходные данные'!$D$2:$D$966,BD$1,'Исходные данные'!$F$2:$F$966,$A29)</f>
        <v>0</v>
      </c>
      <c r="BE29" s="9" t="n">
        <f aca="false">SUMIFS('Исходные данные'!$J$2:$J$966,'Исходные данные'!$D$2:$D$966,BD$1,'Исходные данные'!$F$2:$F$966,$A29)</f>
        <v>0</v>
      </c>
      <c r="BF29" s="9" t="n">
        <f aca="false">SUMIFS('Исходные данные'!$I$2:$I$966,'Исходные данные'!$D$2:$D$966,BF$1,'Исходные данные'!$F$2:$F$966,$A29)</f>
        <v>0</v>
      </c>
      <c r="BG29" s="9" t="n">
        <f aca="false">SUMIFS('Исходные данные'!$J$2:$J$966,'Исходные данные'!$D$2:$D$966,BF$1,'Исходные данные'!$F$2:$F$966,$A29)</f>
        <v>0</v>
      </c>
      <c r="BH29" s="9" t="n">
        <f aca="false">SUMIFS('Исходные данные'!$I$2:$I$966,'Исходные данные'!$D$2:$D$966,BH$1,'Исходные данные'!$F$2:$F$966,$A29)</f>
        <v>0</v>
      </c>
      <c r="BI29" s="9" t="n">
        <f aca="false">SUMIFS('Исходные данные'!$J$2:$J$966,'Исходные данные'!$D$2:$D$966,BH$1,'Исходные данные'!$F$2:$F$966,$A29)</f>
        <v>0</v>
      </c>
      <c r="BJ29" s="9" t="n">
        <f aca="false">SUMIFS('Исходные данные'!$I$2:$I$966,'Исходные данные'!$D$2:$D$966,BJ$1,'Исходные данные'!$F$2:$F$966,$A29)</f>
        <v>0</v>
      </c>
      <c r="BK29" s="9" t="n">
        <f aca="false">SUMIFS('Исходные данные'!$J$2:$J$966,'Исходные данные'!$D$2:$D$966,BJ$1,'Исходные данные'!$F$2:$F$966,$A29)</f>
        <v>0</v>
      </c>
      <c r="BL29" s="9" t="n">
        <f aca="false">SUMIFS('Исходные данные'!$I$2:$I$966,'Исходные данные'!$D$2:$D$966,BL$1,'Исходные данные'!$F$2:$F$966,$A29)</f>
        <v>0</v>
      </c>
      <c r="BM29" s="9" t="n">
        <f aca="false">SUMIFS('Исходные данные'!$J$2:$J$966,'Исходные данные'!$D$2:$D$966,BL$1,'Исходные данные'!$F$2:$F$966,$A29)</f>
        <v>0</v>
      </c>
      <c r="BN29" s="9" t="n">
        <f aca="false">SUMIFS('Исходные данные'!$I$2:$I$966,'Исходные данные'!$D$2:$D$966,BN$1,'Исходные данные'!$F$2:$F$966,$A29)</f>
        <v>0</v>
      </c>
      <c r="BO29" s="9" t="n">
        <f aca="false">SUMIFS('Исходные данные'!$J$2:$J$966,'Исходные данные'!$D$2:$D$966,BN$1,'Исходные данные'!$F$2:$F$966,$A29)</f>
        <v>0</v>
      </c>
      <c r="BP29" s="9" t="n">
        <f aca="false">SUMIFS('Исходные данные'!$I$2:$I$966,'Исходные данные'!$D$2:$D$966,BP$1,'Исходные данные'!$F$2:$F$966,$A29)</f>
        <v>0</v>
      </c>
      <c r="BQ29" s="9" t="n">
        <f aca="false">SUMIFS('Исходные данные'!$J$2:$J$966,'Исходные данные'!$D$2:$D$966,BP$1,'Исходные данные'!$F$2:$F$966,$A29)</f>
        <v>0</v>
      </c>
      <c r="BR29" s="9" t="n">
        <f aca="false">SUMIFS('Исходные данные'!$I$2:$I$966,'Исходные данные'!$D$2:$D$966,BR$1,'Исходные данные'!$F$2:$F$966,$A29)</f>
        <v>0</v>
      </c>
      <c r="BS29" s="9" t="n">
        <f aca="false">SUMIFS('Исходные данные'!$J$2:$J$966,'Исходные данные'!$D$2:$D$966,BR$1,'Исходные данные'!$F$2:$F$966,$A29)</f>
        <v>0</v>
      </c>
      <c r="BT29" s="9" t="n">
        <f aca="false">SUMIFS('Исходные данные'!$I$2:$I$966,'Исходные данные'!$D$2:$D$966,BT$1,'Исходные данные'!$F$2:$F$966,$A29)</f>
        <v>0</v>
      </c>
      <c r="BU29" s="9" t="n">
        <f aca="false">SUMIFS('Исходные данные'!$J$2:$J$966,'Исходные данные'!$D$2:$D$966,BT$1,'Исходные данные'!$F$2:$F$966,$A29)</f>
        <v>0</v>
      </c>
      <c r="BV29" s="9" t="n">
        <f aca="false">SUMIFS('Исходные данные'!$I$2:$I$966,'Исходные данные'!$D$2:$D$966,BV$1,'Исходные данные'!$F$2:$F$966,$A29)</f>
        <v>0</v>
      </c>
      <c r="BW29" s="9" t="n">
        <f aca="false">SUMIFS('Исходные данные'!$J$2:$J$966,'Исходные данные'!$D$2:$D$966,BV$1,'Исходные данные'!$F$2:$F$966,$A29)</f>
        <v>0</v>
      </c>
      <c r="BX29" s="9" t="n">
        <f aca="false">SUMIFS('Исходные данные'!$I$2:$I$966,'Исходные данные'!$D$2:$D$966,BX$1,'Исходные данные'!$F$2:$F$966,$A29)</f>
        <v>0</v>
      </c>
      <c r="BY29" s="9" t="n">
        <f aca="false">SUMIFS('Исходные данные'!$J$2:$J$966,'Исходные данные'!$D$2:$D$966,BX$1,'Исходные данные'!$F$2:$F$966,$A29)</f>
        <v>0</v>
      </c>
      <c r="BZ29" s="9" t="n">
        <f aca="false">SUMIFS('Исходные данные'!$I$2:$I$966,'Исходные данные'!$D$2:$D$966,BZ$1,'Исходные данные'!$F$2:$F$966,$A29)</f>
        <v>0</v>
      </c>
      <c r="CA29" s="9" t="n">
        <f aca="false">SUMIFS('Исходные данные'!$J$2:$J$966,'Исходные данные'!$D$2:$D$966,BZ$1,'Исходные данные'!$F$2:$F$966,$A29)</f>
        <v>0</v>
      </c>
      <c r="CB29" s="9" t="n">
        <f aca="false">SUMIFS('Исходные данные'!$I$2:$I$966,'Исходные данные'!$D$2:$D$966,CB$1,'Исходные данные'!$F$2:$F$966,$A29)</f>
        <v>0</v>
      </c>
      <c r="CC29" s="9" t="n">
        <f aca="false">SUMIFS('Исходные данные'!$J$2:$J$966,'Исходные данные'!$D$2:$D$966,CB$1,'Исходные данные'!$F$2:$F$966,$A29)</f>
        <v>0</v>
      </c>
      <c r="CD29" s="9" t="n">
        <f aca="false">SUMIFS('Исходные данные'!$I$2:$I$966,'Исходные данные'!$D$2:$D$966,CD$1,'Исходные данные'!$F$2:$F$966,$A29)</f>
        <v>0</v>
      </c>
      <c r="CE29" s="9" t="n">
        <f aca="false">SUMIFS('Исходные данные'!$J$2:$J$966,'Исходные данные'!$D$2:$D$966,CD$1,'Исходные данные'!$F$2:$F$966,$A29)</f>
        <v>0</v>
      </c>
      <c r="CF29" s="9" t="n">
        <f aca="false">SUMIFS('Исходные данные'!$I$2:$I$966,'Исходные данные'!$D$2:$D$966,CF$1,'Исходные данные'!$F$2:$F$966,$A29)</f>
        <v>0</v>
      </c>
      <c r="CG29" s="9" t="n">
        <f aca="false">SUMIFS('Исходные данные'!$J$2:$J$966,'Исходные данные'!$D$2:$D$966,CF$1,'Исходные данные'!$F$2:$F$966,$A29)</f>
        <v>0</v>
      </c>
      <c r="CH29" s="9" t="n">
        <f aca="false">SUMIFS('Исходные данные'!$I$2:$I$966,'Исходные данные'!$D$2:$D$966,CH$1,'Исходные данные'!$F$2:$F$966,$A29)</f>
        <v>0</v>
      </c>
      <c r="CI29" s="9" t="n">
        <f aca="false">SUMIFS('Исходные данные'!$J$2:$J$966,'Исходные данные'!$D$2:$D$966,CH$1,'Исходные данные'!$F$2:$F$966,$A29)</f>
        <v>0</v>
      </c>
      <c r="CJ29" s="9" t="n">
        <f aca="false">SUMIFS('Исходные данные'!$I$2:$I$966,'Исходные данные'!$D$2:$D$966,CJ$1,'Исходные данные'!$F$2:$F$966,$A29)</f>
        <v>0</v>
      </c>
      <c r="CK29" s="9" t="n">
        <f aca="false">SUMIFS('Исходные данные'!$J$2:$J$966,'Исходные данные'!$D$2:$D$966,CJ$1,'Исходные данные'!$F$2:$F$966,$A29)</f>
        <v>0</v>
      </c>
      <c r="CL29" s="9" t="n">
        <f aca="false">SUMIFS('Исходные данные'!$I$2:$I$966,'Исходные данные'!$D$2:$D$966,CL$1,'Исходные данные'!$F$2:$F$966,$A29)</f>
        <v>0</v>
      </c>
      <c r="CM29" s="9" t="n">
        <f aca="false">SUMIFS('Исходные данные'!$J$2:$J$966,'Исходные данные'!$D$2:$D$966,CL$1,'Исходные данные'!$F$2:$F$966,$A29)</f>
        <v>0</v>
      </c>
      <c r="CN29" s="9" t="n">
        <f aca="false">SUMIFS('Исходные данные'!$I$2:$I$966,'Исходные данные'!$D$2:$D$966,CN$1,'Исходные данные'!$F$2:$F$966,$A29)</f>
        <v>0</v>
      </c>
      <c r="CO29" s="9" t="n">
        <f aca="false">SUMIFS('Исходные данные'!$J$2:$J$966,'Исходные данные'!$D$2:$D$966,CN$1,'Исходные данные'!$F$2:$F$966,$A29)</f>
        <v>0</v>
      </c>
      <c r="CP29" s="9" t="n">
        <f aca="false">SUMIFS('Исходные данные'!$I$2:$I$966,'Исходные данные'!$D$2:$D$966,CP$1,'Исходные данные'!$F$2:$F$966,$A29)</f>
        <v>0</v>
      </c>
      <c r="CQ29" s="9" t="n">
        <f aca="false">SUMIFS('Исходные данные'!$J$2:$J$966,'Исходные данные'!$D$2:$D$966,CP$1,'Исходные данные'!$F$2:$F$966,$A29)</f>
        <v>0</v>
      </c>
    </row>
    <row r="30" customFormat="false" ht="15" hidden="false" customHeight="false" outlineLevel="0" collapsed="false">
      <c r="A30" s="8" t="s">
        <v>107</v>
      </c>
      <c r="B30" s="9" t="s">
        <v>108</v>
      </c>
      <c r="C30" s="5" t="n">
        <v>4</v>
      </c>
      <c r="D30" s="5" t="n">
        <f aca="false">F30+G30</f>
        <v>3</v>
      </c>
      <c r="E30" s="5" t="n">
        <f aca="false">D30-C30</f>
        <v>-1</v>
      </c>
      <c r="F30" s="5" t="n">
        <f aca="false">SUMIFS($H30:$CQ30,$H$2:$CQ$2,"День")</f>
        <v>3</v>
      </c>
      <c r="G30" s="5" t="n">
        <f aca="false">SUMIFS($H30:$CQ30,$H$2:$CQ$2,"Ночь")</f>
        <v>0</v>
      </c>
      <c r="H30" s="9" t="n">
        <f aca="false">SUMIFS('Исходные данные'!$I$2:$I$966,'Исходные данные'!$D$2:$D$966,H$1,'Исходные данные'!$F$2:$F$966,$A30)</f>
        <v>0</v>
      </c>
      <c r="I30" s="9" t="n">
        <f aca="false">SUMIFS('Исходные данные'!$J$2:$J$966,'Исходные данные'!$D$2:$D$966,H$1,'Исходные данные'!$F$2:$F$966,$A30)</f>
        <v>0</v>
      </c>
      <c r="J30" s="9" t="n">
        <f aca="false">SUMIFS('Исходные данные'!$I$2:$I$966,'Исходные данные'!$D$2:$D$966,J$1,'Исходные данные'!$F$2:$F$966,$A30)</f>
        <v>0</v>
      </c>
      <c r="K30" s="9" t="n">
        <f aca="false">SUMIFS('Исходные данные'!$J$2:$J$966,'Исходные данные'!$D$2:$D$966,J$1,'Исходные данные'!$F$2:$F$966,$A30)</f>
        <v>0</v>
      </c>
      <c r="L30" s="9" t="n">
        <f aca="false">SUMIFS('Исходные данные'!$I$2:$I$966,'Исходные данные'!$D$2:$D$966,L$1,'Исходные данные'!$F$2:$F$966,$A30)</f>
        <v>0</v>
      </c>
      <c r="M30" s="9" t="n">
        <f aca="false">SUMIFS('Исходные данные'!$J$2:$J$966,'Исходные данные'!$D$2:$D$966,L$1,'Исходные данные'!$F$2:$F$966,$A30)</f>
        <v>0</v>
      </c>
      <c r="N30" s="9" t="n">
        <f aca="false">SUMIFS('Исходные данные'!$I$2:$I$966,'Исходные данные'!$D$2:$D$966,N$1,'Исходные данные'!$F$2:$F$966,$A30)</f>
        <v>0</v>
      </c>
      <c r="O30" s="9" t="n">
        <f aca="false">SUMIFS('Исходные данные'!$J$2:$J$966,'Исходные данные'!$D$2:$D$966,N$1,'Исходные данные'!$F$2:$F$966,$A30)</f>
        <v>0</v>
      </c>
      <c r="P30" s="9" t="n">
        <f aca="false">SUMIFS('Исходные данные'!$I$2:$I$966,'Исходные данные'!$D$2:$D$966,P$1,'Исходные данные'!$F$2:$F$966,$A30)</f>
        <v>0</v>
      </c>
      <c r="Q30" s="9" t="n">
        <f aca="false">SUMIFS('Исходные данные'!$J$2:$J$966,'Исходные данные'!$D$2:$D$966,P$1,'Исходные данные'!$F$2:$F$966,$A30)</f>
        <v>0</v>
      </c>
      <c r="R30" s="9" t="n">
        <f aca="false">SUMIFS('Исходные данные'!$I$2:$I$966,'Исходные данные'!$D$2:$D$966,R$1,'Исходные данные'!$F$2:$F$966,$A30)</f>
        <v>0</v>
      </c>
      <c r="S30" s="9" t="n">
        <f aca="false">SUMIFS('Исходные данные'!$J$2:$J$966,'Исходные данные'!$D$2:$D$966,R$1,'Исходные данные'!$F$2:$F$966,$A30)</f>
        <v>0</v>
      </c>
      <c r="T30" s="9" t="n">
        <f aca="false">SUMIFS('Исходные данные'!$I$2:$I$966,'Исходные данные'!$D$2:$D$966,T$1,'Исходные данные'!$F$2:$F$966,$A30)</f>
        <v>0</v>
      </c>
      <c r="U30" s="9" t="n">
        <f aca="false">SUMIFS('Исходные данные'!$J$2:$J$966,'Исходные данные'!$D$2:$D$966,T$1,'Исходные данные'!$F$2:$F$966,$A30)</f>
        <v>0</v>
      </c>
      <c r="V30" s="9" t="n">
        <f aca="false">SUMIFS('Исходные данные'!$I$2:$I$966,'Исходные данные'!$D$2:$D$966,V$1,'Исходные данные'!$F$2:$F$966,$A30)</f>
        <v>0</v>
      </c>
      <c r="W30" s="9" t="n">
        <f aca="false">SUMIFS('Исходные данные'!$J$2:$J$966,'Исходные данные'!$D$2:$D$966,V$1,'Исходные данные'!$F$2:$F$966,$A30)</f>
        <v>0</v>
      </c>
      <c r="X30" s="9" t="n">
        <f aca="false">SUMIFS('Исходные данные'!$I$2:$I$966,'Исходные данные'!$D$2:$D$966,X$1,'Исходные данные'!$F$2:$F$966,$A30)</f>
        <v>0</v>
      </c>
      <c r="Y30" s="9" t="n">
        <f aca="false">SUMIFS('Исходные данные'!$J$2:$J$966,'Исходные данные'!$D$2:$D$966,X$1,'Исходные данные'!$F$2:$F$966,$A30)</f>
        <v>0</v>
      </c>
      <c r="Z30" s="9" t="n">
        <f aca="false">SUMIFS('Исходные данные'!$I$2:$I$966,'Исходные данные'!$D$2:$D$966,Z$1,'Исходные данные'!$F$2:$F$966,$A30)</f>
        <v>0</v>
      </c>
      <c r="AA30" s="9" t="n">
        <f aca="false">SUMIFS('Исходные данные'!$J$2:$J$966,'Исходные данные'!$D$2:$D$966,Z$1,'Исходные данные'!$F$2:$F$966,$A30)</f>
        <v>0</v>
      </c>
      <c r="AB30" s="9" t="n">
        <f aca="false">SUMIFS('Исходные данные'!$I$2:$I$966,'Исходные данные'!$D$2:$D$966,AB$1,'Исходные данные'!$F$2:$F$966,$A30)</f>
        <v>0</v>
      </c>
      <c r="AC30" s="9" t="n">
        <f aca="false">SUMIFS('Исходные данные'!$J$2:$J$966,'Исходные данные'!$D$2:$D$966,AB$1,'Исходные данные'!$F$2:$F$966,$A30)</f>
        <v>0</v>
      </c>
      <c r="AD30" s="9" t="n">
        <f aca="false">SUMIFS('Исходные данные'!$I$2:$I$966,'Исходные данные'!$D$2:$D$966,AD$1,'Исходные данные'!$F$2:$F$966,$A30)</f>
        <v>0</v>
      </c>
      <c r="AE30" s="9" t="n">
        <f aca="false">SUMIFS('Исходные данные'!$J$2:$J$966,'Исходные данные'!$D$2:$D$966,AD$1,'Исходные данные'!$F$2:$F$966,$A30)</f>
        <v>0</v>
      </c>
      <c r="AF30" s="9" t="n">
        <f aca="false">SUMIFS('Исходные данные'!$I$2:$I$966,'Исходные данные'!$D$2:$D$966,AF$1,'Исходные данные'!$F$2:$F$966,$A30)</f>
        <v>1</v>
      </c>
      <c r="AG30" s="9" t="n">
        <f aca="false">SUMIFS('Исходные данные'!$J$2:$J$966,'Исходные данные'!$D$2:$D$966,AF$1,'Исходные данные'!$F$2:$F$966,$A30)</f>
        <v>0</v>
      </c>
      <c r="AH30" s="9" t="n">
        <f aca="false">SUMIFS('Исходные данные'!$I$2:$I$966,'Исходные данные'!$D$2:$D$966,AH$1,'Исходные данные'!$F$2:$F$966,$A30)</f>
        <v>1</v>
      </c>
      <c r="AI30" s="9" t="n">
        <f aca="false">SUMIFS('Исходные данные'!$J$2:$J$966,'Исходные данные'!$D$2:$D$966,AH$1,'Исходные данные'!$F$2:$F$966,$A30)</f>
        <v>0</v>
      </c>
      <c r="AJ30" s="9" t="n">
        <f aca="false">SUMIFS('Исходные данные'!$I$2:$I$966,'Исходные данные'!$D$2:$D$966,AJ$1,'Исходные данные'!$F$2:$F$966,$A30)</f>
        <v>0</v>
      </c>
      <c r="AK30" s="9" t="n">
        <f aca="false">SUMIFS('Исходные данные'!$J$2:$J$966,'Исходные данные'!$D$2:$D$966,AJ$1,'Исходные данные'!$F$2:$F$966,$A30)</f>
        <v>0</v>
      </c>
      <c r="AL30" s="9" t="n">
        <f aca="false">SUMIFS('Исходные данные'!$I$2:$I$966,'Исходные данные'!$D$2:$D$966,AL$1,'Исходные данные'!$F$2:$F$966,$A30)</f>
        <v>0</v>
      </c>
      <c r="AM30" s="9" t="n">
        <f aca="false">SUMIFS('Исходные данные'!$J$2:$J$966,'Исходные данные'!$D$2:$D$966,AL$1,'Исходные данные'!$F$2:$F$966,$A30)</f>
        <v>0</v>
      </c>
      <c r="AN30" s="9" t="n">
        <f aca="false">SUMIFS('Исходные данные'!$I$2:$I$966,'Исходные данные'!$D$2:$D$966,AN$1,'Исходные данные'!$F$2:$F$966,$A30)</f>
        <v>0</v>
      </c>
      <c r="AO30" s="9" t="n">
        <f aca="false">SUMIFS('Исходные данные'!$J$2:$J$966,'Исходные данные'!$D$2:$D$966,AN$1,'Исходные данные'!$F$2:$F$966,$A30)</f>
        <v>0</v>
      </c>
      <c r="AP30" s="9" t="n">
        <f aca="false">SUMIFS('Исходные данные'!$I$2:$I$966,'Исходные данные'!$D$2:$D$966,AP$1,'Исходные данные'!$F$2:$F$966,$A30)</f>
        <v>0</v>
      </c>
      <c r="AQ30" s="9" t="n">
        <f aca="false">SUMIFS('Исходные данные'!$J$2:$J$966,'Исходные данные'!$D$2:$D$966,AP$1,'Исходные данные'!$F$2:$F$966,$A30)</f>
        <v>0</v>
      </c>
      <c r="AR30" s="9" t="n">
        <f aca="false">SUMIFS('Исходные данные'!$I$2:$I$966,'Исходные данные'!$D$2:$D$966,AR$1,'Исходные данные'!$F$2:$F$966,$A30)</f>
        <v>0</v>
      </c>
      <c r="AS30" s="9" t="n">
        <f aca="false">SUMIFS('Исходные данные'!$J$2:$J$966,'Исходные данные'!$D$2:$D$966,AR$1,'Исходные данные'!$F$2:$F$966,$A30)</f>
        <v>0</v>
      </c>
      <c r="AT30" s="9" t="n">
        <f aca="false">SUMIFS('Исходные данные'!$I$2:$I$966,'Исходные данные'!$D$2:$D$966,AT$1,'Исходные данные'!$F$2:$F$966,$A30)</f>
        <v>0</v>
      </c>
      <c r="AU30" s="9" t="n">
        <f aca="false">SUMIFS('Исходные данные'!$J$2:$J$966,'Исходные данные'!$D$2:$D$966,AT$1,'Исходные данные'!$F$2:$F$966,$A30)</f>
        <v>0</v>
      </c>
      <c r="AV30" s="9" t="n">
        <f aca="false">SUMIFS('Исходные данные'!$I$2:$I$966,'Исходные данные'!$D$2:$D$966,AV$1,'Исходные данные'!$F$2:$F$966,$A30)</f>
        <v>0</v>
      </c>
      <c r="AW30" s="9" t="n">
        <f aca="false">SUMIFS('Исходные данные'!$J$2:$J$966,'Исходные данные'!$D$2:$D$966,AV$1,'Исходные данные'!$F$2:$F$966,$A30)</f>
        <v>0</v>
      </c>
      <c r="AX30" s="9" t="n">
        <f aca="false">SUMIFS('Исходные данные'!$I$2:$I$966,'Исходные данные'!$D$2:$D$966,AX$1,'Исходные данные'!$F$2:$F$966,$A30)</f>
        <v>0</v>
      </c>
      <c r="AY30" s="9" t="n">
        <f aca="false">SUMIFS('Исходные данные'!$J$2:$J$966,'Исходные данные'!$D$2:$D$966,AX$1,'Исходные данные'!$F$2:$F$966,$A30)</f>
        <v>0</v>
      </c>
      <c r="AZ30" s="9" t="n">
        <f aca="false">SUMIFS('Исходные данные'!$I$2:$I$966,'Исходные данные'!$D$2:$D$966,AZ$1,'Исходные данные'!$F$2:$F$966,$A30)</f>
        <v>0</v>
      </c>
      <c r="BA30" s="9" t="n">
        <f aca="false">SUMIFS('Исходные данные'!$J$2:$J$966,'Исходные данные'!$D$2:$D$966,AZ$1,'Исходные данные'!$F$2:$F$966,$A30)</f>
        <v>0</v>
      </c>
      <c r="BB30" s="9" t="n">
        <f aca="false">SUMIFS('Исходные данные'!$I$2:$I$966,'Исходные данные'!$D$2:$D$966,BB$1,'Исходные данные'!$F$2:$F$966,$A30)</f>
        <v>0</v>
      </c>
      <c r="BC30" s="9" t="n">
        <f aca="false">SUMIFS('Исходные данные'!$J$2:$J$966,'Исходные данные'!$D$2:$D$966,BB$1,'Исходные данные'!$F$2:$F$966,$A30)</f>
        <v>0</v>
      </c>
      <c r="BD30" s="9" t="n">
        <f aca="false">SUMIFS('Исходные данные'!$I$2:$I$966,'Исходные данные'!$D$2:$D$966,BD$1,'Исходные данные'!$F$2:$F$966,$A30)</f>
        <v>0</v>
      </c>
      <c r="BE30" s="9" t="n">
        <f aca="false">SUMIFS('Исходные данные'!$J$2:$J$966,'Исходные данные'!$D$2:$D$966,BD$1,'Исходные данные'!$F$2:$F$966,$A30)</f>
        <v>0</v>
      </c>
      <c r="BF30" s="9" t="n">
        <f aca="false">SUMIFS('Исходные данные'!$I$2:$I$966,'Исходные данные'!$D$2:$D$966,BF$1,'Исходные данные'!$F$2:$F$966,$A30)</f>
        <v>0</v>
      </c>
      <c r="BG30" s="9" t="n">
        <f aca="false">SUMIFS('Исходные данные'!$J$2:$J$966,'Исходные данные'!$D$2:$D$966,BF$1,'Исходные данные'!$F$2:$F$966,$A30)</f>
        <v>0</v>
      </c>
      <c r="BH30" s="9" t="n">
        <f aca="false">SUMIFS('Исходные данные'!$I$2:$I$966,'Исходные данные'!$D$2:$D$966,BH$1,'Исходные данные'!$F$2:$F$966,$A30)</f>
        <v>0</v>
      </c>
      <c r="BI30" s="9" t="n">
        <f aca="false">SUMIFS('Исходные данные'!$J$2:$J$966,'Исходные данные'!$D$2:$D$966,BH$1,'Исходные данные'!$F$2:$F$966,$A30)</f>
        <v>0</v>
      </c>
      <c r="BJ30" s="9" t="n">
        <f aca="false">SUMIFS('Исходные данные'!$I$2:$I$966,'Исходные данные'!$D$2:$D$966,BJ$1,'Исходные данные'!$F$2:$F$966,$A30)</f>
        <v>0</v>
      </c>
      <c r="BK30" s="9" t="n">
        <f aca="false">SUMIFS('Исходные данные'!$J$2:$J$966,'Исходные данные'!$D$2:$D$966,BJ$1,'Исходные данные'!$F$2:$F$966,$A30)</f>
        <v>0</v>
      </c>
      <c r="BL30" s="9" t="n">
        <f aca="false">SUMIFS('Исходные данные'!$I$2:$I$966,'Исходные данные'!$D$2:$D$966,BL$1,'Исходные данные'!$F$2:$F$966,$A30)</f>
        <v>0</v>
      </c>
      <c r="BM30" s="9" t="n">
        <f aca="false">SUMIFS('Исходные данные'!$J$2:$J$966,'Исходные данные'!$D$2:$D$966,BL$1,'Исходные данные'!$F$2:$F$966,$A30)</f>
        <v>0</v>
      </c>
      <c r="BN30" s="9" t="n">
        <f aca="false">SUMIFS('Исходные данные'!$I$2:$I$966,'Исходные данные'!$D$2:$D$966,BN$1,'Исходные данные'!$F$2:$F$966,$A30)</f>
        <v>0</v>
      </c>
      <c r="BO30" s="9" t="n">
        <f aca="false">SUMIFS('Исходные данные'!$J$2:$J$966,'Исходные данные'!$D$2:$D$966,BN$1,'Исходные данные'!$F$2:$F$966,$A30)</f>
        <v>0</v>
      </c>
      <c r="BP30" s="9" t="n">
        <f aca="false">SUMIFS('Исходные данные'!$I$2:$I$966,'Исходные данные'!$D$2:$D$966,BP$1,'Исходные данные'!$F$2:$F$966,$A30)</f>
        <v>0</v>
      </c>
      <c r="BQ30" s="9" t="n">
        <f aca="false">SUMIFS('Исходные данные'!$J$2:$J$966,'Исходные данные'!$D$2:$D$966,BP$1,'Исходные данные'!$F$2:$F$966,$A30)</f>
        <v>0</v>
      </c>
      <c r="BR30" s="9" t="n">
        <f aca="false">SUMIFS('Исходные данные'!$I$2:$I$966,'Исходные данные'!$D$2:$D$966,BR$1,'Исходные данные'!$F$2:$F$966,$A30)</f>
        <v>0</v>
      </c>
      <c r="BS30" s="9" t="n">
        <f aca="false">SUMIFS('Исходные данные'!$J$2:$J$966,'Исходные данные'!$D$2:$D$966,BR$1,'Исходные данные'!$F$2:$F$966,$A30)</f>
        <v>0</v>
      </c>
      <c r="BT30" s="9" t="n">
        <f aca="false">SUMIFS('Исходные данные'!$I$2:$I$966,'Исходные данные'!$D$2:$D$966,BT$1,'Исходные данные'!$F$2:$F$966,$A30)</f>
        <v>0</v>
      </c>
      <c r="BU30" s="9" t="n">
        <f aca="false">SUMIFS('Исходные данные'!$J$2:$J$966,'Исходные данные'!$D$2:$D$966,BT$1,'Исходные данные'!$F$2:$F$966,$A30)</f>
        <v>0</v>
      </c>
      <c r="BV30" s="9" t="n">
        <f aca="false">SUMIFS('Исходные данные'!$I$2:$I$966,'Исходные данные'!$D$2:$D$966,BV$1,'Исходные данные'!$F$2:$F$966,$A30)</f>
        <v>0</v>
      </c>
      <c r="BW30" s="9" t="n">
        <f aca="false">SUMIFS('Исходные данные'!$J$2:$J$966,'Исходные данные'!$D$2:$D$966,BV$1,'Исходные данные'!$F$2:$F$966,$A30)</f>
        <v>0</v>
      </c>
      <c r="BX30" s="9" t="n">
        <f aca="false">SUMIFS('Исходные данные'!$I$2:$I$966,'Исходные данные'!$D$2:$D$966,BX$1,'Исходные данные'!$F$2:$F$966,$A30)</f>
        <v>0</v>
      </c>
      <c r="BY30" s="9" t="n">
        <f aca="false">SUMIFS('Исходные данные'!$J$2:$J$966,'Исходные данные'!$D$2:$D$966,BX$1,'Исходные данные'!$F$2:$F$966,$A30)</f>
        <v>0</v>
      </c>
      <c r="BZ30" s="9" t="n">
        <f aca="false">SUMIFS('Исходные данные'!$I$2:$I$966,'Исходные данные'!$D$2:$D$966,BZ$1,'Исходные данные'!$F$2:$F$966,$A30)</f>
        <v>0</v>
      </c>
      <c r="CA30" s="9" t="n">
        <f aca="false">SUMIFS('Исходные данные'!$J$2:$J$966,'Исходные данные'!$D$2:$D$966,BZ$1,'Исходные данные'!$F$2:$F$966,$A30)</f>
        <v>0</v>
      </c>
      <c r="CB30" s="9" t="n">
        <f aca="false">SUMIFS('Исходные данные'!$I$2:$I$966,'Исходные данные'!$D$2:$D$966,CB$1,'Исходные данные'!$F$2:$F$966,$A30)</f>
        <v>0</v>
      </c>
      <c r="CC30" s="9" t="n">
        <f aca="false">SUMIFS('Исходные данные'!$J$2:$J$966,'Исходные данные'!$D$2:$D$966,CB$1,'Исходные данные'!$F$2:$F$966,$A30)</f>
        <v>0</v>
      </c>
      <c r="CD30" s="9" t="n">
        <f aca="false">SUMIFS('Исходные данные'!$I$2:$I$966,'Исходные данные'!$D$2:$D$966,CD$1,'Исходные данные'!$F$2:$F$966,$A30)</f>
        <v>1</v>
      </c>
      <c r="CE30" s="9" t="n">
        <f aca="false">SUMIFS('Исходные данные'!$J$2:$J$966,'Исходные данные'!$D$2:$D$966,CD$1,'Исходные данные'!$F$2:$F$966,$A30)</f>
        <v>0</v>
      </c>
      <c r="CF30" s="9" t="n">
        <f aca="false">SUMIFS('Исходные данные'!$I$2:$I$966,'Исходные данные'!$D$2:$D$966,CF$1,'Исходные данные'!$F$2:$F$966,$A30)</f>
        <v>0</v>
      </c>
      <c r="CG30" s="9" t="n">
        <f aca="false">SUMIFS('Исходные данные'!$J$2:$J$966,'Исходные данные'!$D$2:$D$966,CF$1,'Исходные данные'!$F$2:$F$966,$A30)</f>
        <v>0</v>
      </c>
      <c r="CH30" s="9" t="n">
        <f aca="false">SUMIFS('Исходные данные'!$I$2:$I$966,'Исходные данные'!$D$2:$D$966,CH$1,'Исходные данные'!$F$2:$F$966,$A30)</f>
        <v>0</v>
      </c>
      <c r="CI30" s="9" t="n">
        <f aca="false">SUMIFS('Исходные данные'!$J$2:$J$966,'Исходные данные'!$D$2:$D$966,CH$1,'Исходные данные'!$F$2:$F$966,$A30)</f>
        <v>0</v>
      </c>
      <c r="CJ30" s="9" t="n">
        <f aca="false">SUMIFS('Исходные данные'!$I$2:$I$966,'Исходные данные'!$D$2:$D$966,CJ$1,'Исходные данные'!$F$2:$F$966,$A30)</f>
        <v>0</v>
      </c>
      <c r="CK30" s="9" t="n">
        <f aca="false">SUMIFS('Исходные данные'!$J$2:$J$966,'Исходные данные'!$D$2:$D$966,CJ$1,'Исходные данные'!$F$2:$F$966,$A30)</f>
        <v>0</v>
      </c>
      <c r="CL30" s="9" t="n">
        <f aca="false">SUMIFS('Исходные данные'!$I$2:$I$966,'Исходные данные'!$D$2:$D$966,CL$1,'Исходные данные'!$F$2:$F$966,$A30)</f>
        <v>0</v>
      </c>
      <c r="CM30" s="9" t="n">
        <f aca="false">SUMIFS('Исходные данные'!$J$2:$J$966,'Исходные данные'!$D$2:$D$966,CL$1,'Исходные данные'!$F$2:$F$966,$A30)</f>
        <v>0</v>
      </c>
      <c r="CN30" s="9" t="n">
        <f aca="false">SUMIFS('Исходные данные'!$I$2:$I$966,'Исходные данные'!$D$2:$D$966,CN$1,'Исходные данные'!$F$2:$F$966,$A30)</f>
        <v>0</v>
      </c>
      <c r="CO30" s="9" t="n">
        <f aca="false">SUMIFS('Исходные данные'!$J$2:$J$966,'Исходные данные'!$D$2:$D$966,CN$1,'Исходные данные'!$F$2:$F$966,$A30)</f>
        <v>0</v>
      </c>
      <c r="CP30" s="9" t="n">
        <f aca="false">SUMIFS('Исходные данные'!$I$2:$I$966,'Исходные данные'!$D$2:$D$966,CP$1,'Исходные данные'!$F$2:$F$966,$A30)</f>
        <v>0</v>
      </c>
      <c r="CQ30" s="9" t="n">
        <f aca="false">SUMIFS('Исходные данные'!$J$2:$J$966,'Исходные данные'!$D$2:$D$966,CP$1,'Исходные данные'!$F$2:$F$966,$A30)</f>
        <v>0</v>
      </c>
    </row>
    <row r="31" customFormat="false" ht="15" hidden="false" customHeight="false" outlineLevel="0" collapsed="false">
      <c r="A31" s="8" t="s">
        <v>109</v>
      </c>
      <c r="B31" s="9" t="s">
        <v>110</v>
      </c>
      <c r="C31" s="5" t="n">
        <v>6</v>
      </c>
      <c r="D31" s="5" t="n">
        <f aca="false">F31+G31</f>
        <v>6</v>
      </c>
      <c r="E31" s="5" t="n">
        <f aca="false">D31-C31</f>
        <v>0</v>
      </c>
      <c r="F31" s="5" t="n">
        <f aca="false">SUMIFS($H31:$CQ31,$H$2:$CQ$2,"День")</f>
        <v>3</v>
      </c>
      <c r="G31" s="5" t="n">
        <f aca="false">SUMIFS($H31:$CQ31,$H$2:$CQ$2,"Ночь")</f>
        <v>3</v>
      </c>
      <c r="H31" s="9" t="n">
        <f aca="false">SUMIFS('Исходные данные'!$I$2:$I$966,'Исходные данные'!$D$2:$D$966,H$1,'Исходные данные'!$F$2:$F$966,$A31)</f>
        <v>0</v>
      </c>
      <c r="I31" s="9" t="n">
        <f aca="false">SUMIFS('Исходные данные'!$J$2:$J$966,'Исходные данные'!$D$2:$D$966,H$1,'Исходные данные'!$F$2:$F$966,$A31)</f>
        <v>0</v>
      </c>
      <c r="J31" s="9" t="n">
        <f aca="false">SUMIFS('Исходные данные'!$I$2:$I$966,'Исходные данные'!$D$2:$D$966,J$1,'Исходные данные'!$F$2:$F$966,$A31)</f>
        <v>0</v>
      </c>
      <c r="K31" s="9" t="n">
        <f aca="false">SUMIFS('Исходные данные'!$J$2:$J$966,'Исходные данные'!$D$2:$D$966,J$1,'Исходные данные'!$F$2:$F$966,$A31)</f>
        <v>0</v>
      </c>
      <c r="L31" s="9" t="n">
        <f aca="false">SUMIFS('Исходные данные'!$I$2:$I$966,'Исходные данные'!$D$2:$D$966,L$1,'Исходные данные'!$F$2:$F$966,$A31)</f>
        <v>0</v>
      </c>
      <c r="M31" s="9" t="n">
        <f aca="false">SUMIFS('Исходные данные'!$J$2:$J$966,'Исходные данные'!$D$2:$D$966,L$1,'Исходные данные'!$F$2:$F$966,$A31)</f>
        <v>0</v>
      </c>
      <c r="N31" s="9" t="n">
        <f aca="false">SUMIFS('Исходные данные'!$I$2:$I$966,'Исходные данные'!$D$2:$D$966,N$1,'Исходные данные'!$F$2:$F$966,$A31)</f>
        <v>0</v>
      </c>
      <c r="O31" s="9" t="n">
        <f aca="false">SUMIFS('Исходные данные'!$J$2:$J$966,'Исходные данные'!$D$2:$D$966,N$1,'Исходные данные'!$F$2:$F$966,$A31)</f>
        <v>0</v>
      </c>
      <c r="P31" s="9" t="n">
        <f aca="false">SUMIFS('Исходные данные'!$I$2:$I$966,'Исходные данные'!$D$2:$D$966,P$1,'Исходные данные'!$F$2:$F$966,$A31)</f>
        <v>0</v>
      </c>
      <c r="Q31" s="9" t="n">
        <f aca="false">SUMIFS('Исходные данные'!$J$2:$J$966,'Исходные данные'!$D$2:$D$966,P$1,'Исходные данные'!$F$2:$F$966,$A31)</f>
        <v>0</v>
      </c>
      <c r="R31" s="9" t="n">
        <f aca="false">SUMIFS('Исходные данные'!$I$2:$I$966,'Исходные данные'!$D$2:$D$966,R$1,'Исходные данные'!$F$2:$F$966,$A31)</f>
        <v>0</v>
      </c>
      <c r="S31" s="9" t="n">
        <f aca="false">SUMIFS('Исходные данные'!$J$2:$J$966,'Исходные данные'!$D$2:$D$966,R$1,'Исходные данные'!$F$2:$F$966,$A31)</f>
        <v>0</v>
      </c>
      <c r="T31" s="9" t="n">
        <f aca="false">SUMIFS('Исходные данные'!$I$2:$I$966,'Исходные данные'!$D$2:$D$966,T$1,'Исходные данные'!$F$2:$F$966,$A31)</f>
        <v>0</v>
      </c>
      <c r="U31" s="9" t="n">
        <f aca="false">SUMIFS('Исходные данные'!$J$2:$J$966,'Исходные данные'!$D$2:$D$966,T$1,'Исходные данные'!$F$2:$F$966,$A31)</f>
        <v>0</v>
      </c>
      <c r="V31" s="9" t="n">
        <f aca="false">SUMIFS('Исходные данные'!$I$2:$I$966,'Исходные данные'!$D$2:$D$966,V$1,'Исходные данные'!$F$2:$F$966,$A31)</f>
        <v>0</v>
      </c>
      <c r="W31" s="9" t="n">
        <f aca="false">SUMIFS('Исходные данные'!$J$2:$J$966,'Исходные данные'!$D$2:$D$966,V$1,'Исходные данные'!$F$2:$F$966,$A31)</f>
        <v>0</v>
      </c>
      <c r="X31" s="9" t="n">
        <f aca="false">SUMIFS('Исходные данные'!$I$2:$I$966,'Исходные данные'!$D$2:$D$966,X$1,'Исходные данные'!$F$2:$F$966,$A31)</f>
        <v>0</v>
      </c>
      <c r="Y31" s="9" t="n">
        <f aca="false">SUMIFS('Исходные данные'!$J$2:$J$966,'Исходные данные'!$D$2:$D$966,X$1,'Исходные данные'!$F$2:$F$966,$A31)</f>
        <v>0</v>
      </c>
      <c r="Z31" s="9" t="n">
        <f aca="false">SUMIFS('Исходные данные'!$I$2:$I$966,'Исходные данные'!$D$2:$D$966,Z$1,'Исходные данные'!$F$2:$F$966,$A31)</f>
        <v>0</v>
      </c>
      <c r="AA31" s="9" t="n">
        <f aca="false">SUMIFS('Исходные данные'!$J$2:$J$966,'Исходные данные'!$D$2:$D$966,Z$1,'Исходные данные'!$F$2:$F$966,$A31)</f>
        <v>0</v>
      </c>
      <c r="AB31" s="9" t="n">
        <f aca="false">SUMIFS('Исходные данные'!$I$2:$I$966,'Исходные данные'!$D$2:$D$966,AB$1,'Исходные данные'!$F$2:$F$966,$A31)</f>
        <v>0</v>
      </c>
      <c r="AC31" s="9" t="n">
        <f aca="false">SUMIFS('Исходные данные'!$J$2:$J$966,'Исходные данные'!$D$2:$D$966,AB$1,'Исходные данные'!$F$2:$F$966,$A31)</f>
        <v>0</v>
      </c>
      <c r="AD31" s="9" t="n">
        <f aca="false">SUMIFS('Исходные данные'!$I$2:$I$966,'Исходные данные'!$D$2:$D$966,AD$1,'Исходные данные'!$F$2:$F$966,$A31)</f>
        <v>0</v>
      </c>
      <c r="AE31" s="9" t="n">
        <f aca="false">SUMIFS('Исходные данные'!$J$2:$J$966,'Исходные данные'!$D$2:$D$966,AD$1,'Исходные данные'!$F$2:$F$966,$A31)</f>
        <v>0</v>
      </c>
      <c r="AF31" s="9" t="n">
        <f aca="false">SUMIFS('Исходные данные'!$I$2:$I$966,'Исходные данные'!$D$2:$D$966,AF$1,'Исходные данные'!$F$2:$F$966,$A31)</f>
        <v>0</v>
      </c>
      <c r="AG31" s="9" t="n">
        <f aca="false">SUMIFS('Исходные данные'!$J$2:$J$966,'Исходные данные'!$D$2:$D$966,AF$1,'Исходные данные'!$F$2:$F$966,$A31)</f>
        <v>0</v>
      </c>
      <c r="AH31" s="9" t="n">
        <f aca="false">SUMIFS('Исходные данные'!$I$2:$I$966,'Исходные данные'!$D$2:$D$966,AH$1,'Исходные данные'!$F$2:$F$966,$A31)</f>
        <v>0</v>
      </c>
      <c r="AI31" s="9" t="n">
        <f aca="false">SUMIFS('Исходные данные'!$J$2:$J$966,'Исходные данные'!$D$2:$D$966,AH$1,'Исходные данные'!$F$2:$F$966,$A31)</f>
        <v>0</v>
      </c>
      <c r="AJ31" s="9" t="n">
        <f aca="false">SUMIFS('Исходные данные'!$I$2:$I$966,'Исходные данные'!$D$2:$D$966,AJ$1,'Исходные данные'!$F$2:$F$966,$A31)</f>
        <v>0</v>
      </c>
      <c r="AK31" s="9" t="n">
        <f aca="false">SUMIFS('Исходные данные'!$J$2:$J$966,'Исходные данные'!$D$2:$D$966,AJ$1,'Исходные данные'!$F$2:$F$966,$A31)</f>
        <v>0</v>
      </c>
      <c r="AL31" s="9" t="n">
        <f aca="false">SUMIFS('Исходные данные'!$I$2:$I$966,'Исходные данные'!$D$2:$D$966,AL$1,'Исходные данные'!$F$2:$F$966,$A31)</f>
        <v>0</v>
      </c>
      <c r="AM31" s="9" t="n">
        <f aca="false">SUMIFS('Исходные данные'!$J$2:$J$966,'Исходные данные'!$D$2:$D$966,AL$1,'Исходные данные'!$F$2:$F$966,$A31)</f>
        <v>0</v>
      </c>
      <c r="AN31" s="9" t="n">
        <f aca="false">SUMIFS('Исходные данные'!$I$2:$I$966,'Исходные данные'!$D$2:$D$966,AN$1,'Исходные данные'!$F$2:$F$966,$A31)</f>
        <v>0</v>
      </c>
      <c r="AO31" s="9" t="n">
        <f aca="false">SUMIFS('Исходные данные'!$J$2:$J$966,'Исходные данные'!$D$2:$D$966,AN$1,'Исходные данные'!$F$2:$F$966,$A31)</f>
        <v>0</v>
      </c>
      <c r="AP31" s="9" t="n">
        <f aca="false">SUMIFS('Исходные данные'!$I$2:$I$966,'Исходные данные'!$D$2:$D$966,AP$1,'Исходные данные'!$F$2:$F$966,$A31)</f>
        <v>0</v>
      </c>
      <c r="AQ31" s="9" t="n">
        <f aca="false">SUMIFS('Исходные данные'!$J$2:$J$966,'Исходные данные'!$D$2:$D$966,AP$1,'Исходные данные'!$F$2:$F$966,$A31)</f>
        <v>0</v>
      </c>
      <c r="AR31" s="9" t="n">
        <f aca="false">SUMIFS('Исходные данные'!$I$2:$I$966,'Исходные данные'!$D$2:$D$966,AR$1,'Исходные данные'!$F$2:$F$966,$A31)</f>
        <v>0</v>
      </c>
      <c r="AS31" s="9" t="n">
        <f aca="false">SUMIFS('Исходные данные'!$J$2:$J$966,'Исходные данные'!$D$2:$D$966,AR$1,'Исходные данные'!$F$2:$F$966,$A31)</f>
        <v>0</v>
      </c>
      <c r="AT31" s="9" t="n">
        <f aca="false">SUMIFS('Исходные данные'!$I$2:$I$966,'Исходные данные'!$D$2:$D$966,AT$1,'Исходные данные'!$F$2:$F$966,$A31)</f>
        <v>0</v>
      </c>
      <c r="AU31" s="9" t="n">
        <f aca="false">SUMIFS('Исходные данные'!$J$2:$J$966,'Исходные данные'!$D$2:$D$966,AT$1,'Исходные данные'!$F$2:$F$966,$A31)</f>
        <v>0</v>
      </c>
      <c r="AV31" s="9" t="n">
        <f aca="false">SUMIFS('Исходные данные'!$I$2:$I$966,'Исходные данные'!$D$2:$D$966,AV$1,'Исходные данные'!$F$2:$F$966,$A31)</f>
        <v>0</v>
      </c>
      <c r="AW31" s="9" t="n">
        <f aca="false">SUMIFS('Исходные данные'!$J$2:$J$966,'Исходные данные'!$D$2:$D$966,AV$1,'Исходные данные'!$F$2:$F$966,$A31)</f>
        <v>0</v>
      </c>
      <c r="AX31" s="9" t="n">
        <f aca="false">SUMIFS('Исходные данные'!$I$2:$I$966,'Исходные данные'!$D$2:$D$966,AX$1,'Исходные данные'!$F$2:$F$966,$A31)</f>
        <v>0</v>
      </c>
      <c r="AY31" s="9" t="n">
        <f aca="false">SUMIFS('Исходные данные'!$J$2:$J$966,'Исходные данные'!$D$2:$D$966,AX$1,'Исходные данные'!$F$2:$F$966,$A31)</f>
        <v>0</v>
      </c>
      <c r="AZ31" s="9" t="n">
        <f aca="false">SUMIFS('Исходные данные'!$I$2:$I$966,'Исходные данные'!$D$2:$D$966,AZ$1,'Исходные данные'!$F$2:$F$966,$A31)</f>
        <v>0</v>
      </c>
      <c r="BA31" s="9" t="n">
        <f aca="false">SUMIFS('Исходные данные'!$J$2:$J$966,'Исходные данные'!$D$2:$D$966,AZ$1,'Исходные данные'!$F$2:$F$966,$A31)</f>
        <v>0</v>
      </c>
      <c r="BB31" s="9" t="n">
        <f aca="false">SUMIFS('Исходные данные'!$I$2:$I$966,'Исходные данные'!$D$2:$D$966,BB$1,'Исходные данные'!$F$2:$F$966,$A31)</f>
        <v>0</v>
      </c>
      <c r="BC31" s="9" t="n">
        <f aca="false">SUMIFS('Исходные данные'!$J$2:$J$966,'Исходные данные'!$D$2:$D$966,BB$1,'Исходные данные'!$F$2:$F$966,$A31)</f>
        <v>0</v>
      </c>
      <c r="BD31" s="9" t="n">
        <f aca="false">SUMIFS('Исходные данные'!$I$2:$I$966,'Исходные данные'!$D$2:$D$966,BD$1,'Исходные данные'!$F$2:$F$966,$A31)</f>
        <v>0</v>
      </c>
      <c r="BE31" s="9" t="n">
        <f aca="false">SUMIFS('Исходные данные'!$J$2:$J$966,'Исходные данные'!$D$2:$D$966,BD$1,'Исходные данные'!$F$2:$F$966,$A31)</f>
        <v>0</v>
      </c>
      <c r="BF31" s="9" t="n">
        <f aca="false">SUMIFS('Исходные данные'!$I$2:$I$966,'Исходные данные'!$D$2:$D$966,BF$1,'Исходные данные'!$F$2:$F$966,$A31)</f>
        <v>0</v>
      </c>
      <c r="BG31" s="9" t="n">
        <f aca="false">SUMIFS('Исходные данные'!$J$2:$J$966,'Исходные данные'!$D$2:$D$966,BF$1,'Исходные данные'!$F$2:$F$966,$A31)</f>
        <v>0</v>
      </c>
      <c r="BH31" s="9" t="n">
        <f aca="false">SUMIFS('Исходные данные'!$I$2:$I$966,'Исходные данные'!$D$2:$D$966,BH$1,'Исходные данные'!$F$2:$F$966,$A31)</f>
        <v>0</v>
      </c>
      <c r="BI31" s="9" t="n">
        <f aca="false">SUMIFS('Исходные данные'!$J$2:$J$966,'Исходные данные'!$D$2:$D$966,BH$1,'Исходные данные'!$F$2:$F$966,$A31)</f>
        <v>0</v>
      </c>
      <c r="BJ31" s="9" t="n">
        <f aca="false">SUMIFS('Исходные данные'!$I$2:$I$966,'Исходные данные'!$D$2:$D$966,BJ$1,'Исходные данные'!$F$2:$F$966,$A31)</f>
        <v>0</v>
      </c>
      <c r="BK31" s="9" t="n">
        <f aca="false">SUMIFS('Исходные данные'!$J$2:$J$966,'Исходные данные'!$D$2:$D$966,BJ$1,'Исходные данные'!$F$2:$F$966,$A31)</f>
        <v>0</v>
      </c>
      <c r="BL31" s="9" t="n">
        <f aca="false">SUMIFS('Исходные данные'!$I$2:$I$966,'Исходные данные'!$D$2:$D$966,BL$1,'Исходные данные'!$F$2:$F$966,$A31)</f>
        <v>0</v>
      </c>
      <c r="BM31" s="9" t="n">
        <f aca="false">SUMIFS('Исходные данные'!$J$2:$J$966,'Исходные данные'!$D$2:$D$966,BL$1,'Исходные данные'!$F$2:$F$966,$A31)</f>
        <v>0</v>
      </c>
      <c r="BN31" s="9" t="n">
        <f aca="false">SUMIFS('Исходные данные'!$I$2:$I$966,'Исходные данные'!$D$2:$D$966,BN$1,'Исходные данные'!$F$2:$F$966,$A31)</f>
        <v>0</v>
      </c>
      <c r="BO31" s="9" t="n">
        <f aca="false">SUMIFS('Исходные данные'!$J$2:$J$966,'Исходные данные'!$D$2:$D$966,BN$1,'Исходные данные'!$F$2:$F$966,$A31)</f>
        <v>0</v>
      </c>
      <c r="BP31" s="9" t="n">
        <f aca="false">SUMIFS('Исходные данные'!$I$2:$I$966,'Исходные данные'!$D$2:$D$966,BP$1,'Исходные данные'!$F$2:$F$966,$A31)</f>
        <v>0</v>
      </c>
      <c r="BQ31" s="9" t="n">
        <f aca="false">SUMIFS('Исходные данные'!$J$2:$J$966,'Исходные данные'!$D$2:$D$966,BP$1,'Исходные данные'!$F$2:$F$966,$A31)</f>
        <v>0</v>
      </c>
      <c r="BR31" s="9" t="n">
        <f aca="false">SUMIFS('Исходные данные'!$I$2:$I$966,'Исходные данные'!$D$2:$D$966,BR$1,'Исходные данные'!$F$2:$F$966,$A31)</f>
        <v>0</v>
      </c>
      <c r="BS31" s="9" t="n">
        <f aca="false">SUMIFS('Исходные данные'!$J$2:$J$966,'Исходные данные'!$D$2:$D$966,BR$1,'Исходные данные'!$F$2:$F$966,$A31)</f>
        <v>0</v>
      </c>
      <c r="BT31" s="9" t="n">
        <f aca="false">SUMIFS('Исходные данные'!$I$2:$I$966,'Исходные данные'!$D$2:$D$966,BT$1,'Исходные данные'!$F$2:$F$966,$A31)</f>
        <v>0</v>
      </c>
      <c r="BU31" s="9" t="n">
        <f aca="false">SUMIFS('Исходные данные'!$J$2:$J$966,'Исходные данные'!$D$2:$D$966,BT$1,'Исходные данные'!$F$2:$F$966,$A31)</f>
        <v>0</v>
      </c>
      <c r="BV31" s="9" t="n">
        <f aca="false">SUMIFS('Исходные данные'!$I$2:$I$966,'Исходные данные'!$D$2:$D$966,BV$1,'Исходные данные'!$F$2:$F$966,$A31)</f>
        <v>0</v>
      </c>
      <c r="BW31" s="9" t="n">
        <f aca="false">SUMIFS('Исходные данные'!$J$2:$J$966,'Исходные данные'!$D$2:$D$966,BV$1,'Исходные данные'!$F$2:$F$966,$A31)</f>
        <v>0</v>
      </c>
      <c r="BX31" s="9" t="n">
        <f aca="false">SUMIFS('Исходные данные'!$I$2:$I$966,'Исходные данные'!$D$2:$D$966,BX$1,'Исходные данные'!$F$2:$F$966,$A31)</f>
        <v>0</v>
      </c>
      <c r="BY31" s="9" t="n">
        <f aca="false">SUMIFS('Исходные данные'!$J$2:$J$966,'Исходные данные'!$D$2:$D$966,BX$1,'Исходные данные'!$F$2:$F$966,$A31)</f>
        <v>0</v>
      </c>
      <c r="BZ31" s="9" t="n">
        <f aca="false">SUMIFS('Исходные данные'!$I$2:$I$966,'Исходные данные'!$D$2:$D$966,BZ$1,'Исходные данные'!$F$2:$F$966,$A31)</f>
        <v>0</v>
      </c>
      <c r="CA31" s="9" t="n">
        <f aca="false">SUMIFS('Исходные данные'!$J$2:$J$966,'Исходные данные'!$D$2:$D$966,BZ$1,'Исходные данные'!$F$2:$F$966,$A31)</f>
        <v>0</v>
      </c>
      <c r="CB31" s="9" t="n">
        <f aca="false">SUMIFS('Исходные данные'!$I$2:$I$966,'Исходные данные'!$D$2:$D$966,CB$1,'Исходные данные'!$F$2:$F$966,$A31)</f>
        <v>0</v>
      </c>
      <c r="CC31" s="9" t="n">
        <f aca="false">SUMIFS('Исходные данные'!$J$2:$J$966,'Исходные данные'!$D$2:$D$966,CB$1,'Исходные данные'!$F$2:$F$966,$A31)</f>
        <v>0</v>
      </c>
      <c r="CD31" s="9" t="n">
        <f aca="false">SUMIFS('Исходные данные'!$I$2:$I$966,'Исходные данные'!$D$2:$D$966,CD$1,'Исходные данные'!$F$2:$F$966,$A31)</f>
        <v>0</v>
      </c>
      <c r="CE31" s="9" t="n">
        <f aca="false">SUMIFS('Исходные данные'!$J$2:$J$966,'Исходные данные'!$D$2:$D$966,CD$1,'Исходные данные'!$F$2:$F$966,$A31)</f>
        <v>0</v>
      </c>
      <c r="CF31" s="9" t="n">
        <f aca="false">SUMIFS('Исходные данные'!$I$2:$I$966,'Исходные данные'!$D$2:$D$966,CF$1,'Исходные данные'!$F$2:$F$966,$A31)</f>
        <v>0</v>
      </c>
      <c r="CG31" s="9" t="n">
        <f aca="false">SUMIFS('Исходные данные'!$J$2:$J$966,'Исходные данные'!$D$2:$D$966,CF$1,'Исходные данные'!$F$2:$F$966,$A31)</f>
        <v>0</v>
      </c>
      <c r="CH31" s="9" t="n">
        <f aca="false">SUMIFS('Исходные данные'!$I$2:$I$966,'Исходные данные'!$D$2:$D$966,CH$1,'Исходные данные'!$F$2:$F$966,$A31)</f>
        <v>0</v>
      </c>
      <c r="CI31" s="9" t="n">
        <f aca="false">SUMIFS('Исходные данные'!$J$2:$J$966,'Исходные данные'!$D$2:$D$966,CH$1,'Исходные данные'!$F$2:$F$966,$A31)</f>
        <v>0</v>
      </c>
      <c r="CJ31" s="9" t="n">
        <f aca="false">SUMIFS('Исходные данные'!$I$2:$I$966,'Исходные данные'!$D$2:$D$966,CJ$1,'Исходные данные'!$F$2:$F$966,$A31)</f>
        <v>0</v>
      </c>
      <c r="CK31" s="9" t="n">
        <f aca="false">SUMIFS('Исходные данные'!$J$2:$J$966,'Исходные данные'!$D$2:$D$966,CJ$1,'Исходные данные'!$F$2:$F$966,$A31)</f>
        <v>0</v>
      </c>
      <c r="CL31" s="9" t="n">
        <f aca="false">SUMIFS('Исходные данные'!$I$2:$I$966,'Исходные данные'!$D$2:$D$966,CL$1,'Исходные данные'!$F$2:$F$966,$A31)</f>
        <v>0</v>
      </c>
      <c r="CM31" s="9" t="n">
        <f aca="false">SUMIFS('Исходные данные'!$J$2:$J$966,'Исходные данные'!$D$2:$D$966,CL$1,'Исходные данные'!$F$2:$F$966,$A31)</f>
        <v>0</v>
      </c>
      <c r="CN31" s="9" t="n">
        <f aca="false">SUMIFS('Исходные данные'!$I$2:$I$966,'Исходные данные'!$D$2:$D$966,CN$1,'Исходные данные'!$F$2:$F$966,$A31)</f>
        <v>0</v>
      </c>
      <c r="CO31" s="9" t="n">
        <f aca="false">SUMIFS('Исходные данные'!$J$2:$J$966,'Исходные данные'!$D$2:$D$966,CN$1,'Исходные данные'!$F$2:$F$966,$A31)</f>
        <v>0</v>
      </c>
      <c r="CP31" s="9" t="n">
        <f aca="false">SUMIFS('Исходные данные'!$I$2:$I$966,'Исходные данные'!$D$2:$D$966,CP$1,'Исходные данные'!$F$2:$F$966,$A31)</f>
        <v>3</v>
      </c>
      <c r="CQ31" s="9" t="n">
        <f aca="false">SUMIFS('Исходные данные'!$J$2:$J$966,'Исходные данные'!$D$2:$D$966,CP$1,'Исходные данные'!$F$2:$F$966,$A31)</f>
        <v>3</v>
      </c>
    </row>
    <row r="32" customFormat="false" ht="15" hidden="false" customHeight="false" outlineLevel="0" collapsed="false">
      <c r="A32" s="8" t="s">
        <v>111</v>
      </c>
      <c r="B32" s="9" t="s">
        <v>112</v>
      </c>
      <c r="C32" s="5" t="n">
        <v>3</v>
      </c>
      <c r="D32" s="5" t="n">
        <f aca="false">F32+G32</f>
        <v>3</v>
      </c>
      <c r="E32" s="5" t="n">
        <f aca="false">D32-C32</f>
        <v>0</v>
      </c>
      <c r="F32" s="5" t="n">
        <f aca="false">SUMIFS($H32:$CQ32,$H$2:$CQ$2,"День")</f>
        <v>3</v>
      </c>
      <c r="G32" s="5" t="n">
        <f aca="false">SUMIFS($H32:$CQ32,$H$2:$CQ$2,"Ночь")</f>
        <v>0</v>
      </c>
      <c r="H32" s="9" t="n">
        <f aca="false">SUMIFS('Исходные данные'!$I$2:$I$966,'Исходные данные'!$D$2:$D$966,H$1,'Исходные данные'!$F$2:$F$966,$A32)</f>
        <v>0</v>
      </c>
      <c r="I32" s="9" t="n">
        <f aca="false">SUMIFS('Исходные данные'!$J$2:$J$966,'Исходные данные'!$D$2:$D$966,H$1,'Исходные данные'!$F$2:$F$966,$A32)</f>
        <v>0</v>
      </c>
      <c r="J32" s="9" t="n">
        <f aca="false">SUMIFS('Исходные данные'!$I$2:$I$966,'Исходные данные'!$D$2:$D$966,J$1,'Исходные данные'!$F$2:$F$966,$A32)</f>
        <v>0</v>
      </c>
      <c r="K32" s="9" t="n">
        <f aca="false">SUMIFS('Исходные данные'!$J$2:$J$966,'Исходные данные'!$D$2:$D$966,J$1,'Исходные данные'!$F$2:$F$966,$A32)</f>
        <v>0</v>
      </c>
      <c r="L32" s="9" t="n">
        <f aca="false">SUMIFS('Исходные данные'!$I$2:$I$966,'Исходные данные'!$D$2:$D$966,L$1,'Исходные данные'!$F$2:$F$966,$A32)</f>
        <v>0</v>
      </c>
      <c r="M32" s="9" t="n">
        <f aca="false">SUMIFS('Исходные данные'!$J$2:$J$966,'Исходные данные'!$D$2:$D$966,L$1,'Исходные данные'!$F$2:$F$966,$A32)</f>
        <v>0</v>
      </c>
      <c r="N32" s="9" t="n">
        <f aca="false">SUMIFS('Исходные данные'!$I$2:$I$966,'Исходные данные'!$D$2:$D$966,N$1,'Исходные данные'!$F$2:$F$966,$A32)</f>
        <v>0</v>
      </c>
      <c r="O32" s="9" t="n">
        <f aca="false">SUMIFS('Исходные данные'!$J$2:$J$966,'Исходные данные'!$D$2:$D$966,N$1,'Исходные данные'!$F$2:$F$966,$A32)</f>
        <v>0</v>
      </c>
      <c r="P32" s="9" t="n">
        <f aca="false">SUMIFS('Исходные данные'!$I$2:$I$966,'Исходные данные'!$D$2:$D$966,P$1,'Исходные данные'!$F$2:$F$966,$A32)</f>
        <v>0</v>
      </c>
      <c r="Q32" s="9" t="n">
        <f aca="false">SUMIFS('Исходные данные'!$J$2:$J$966,'Исходные данные'!$D$2:$D$966,P$1,'Исходные данные'!$F$2:$F$966,$A32)</f>
        <v>0</v>
      </c>
      <c r="R32" s="9" t="n">
        <f aca="false">SUMIFS('Исходные данные'!$I$2:$I$966,'Исходные данные'!$D$2:$D$966,R$1,'Исходные данные'!$F$2:$F$966,$A32)</f>
        <v>0</v>
      </c>
      <c r="S32" s="9" t="n">
        <f aca="false">SUMIFS('Исходные данные'!$J$2:$J$966,'Исходные данные'!$D$2:$D$966,R$1,'Исходные данные'!$F$2:$F$966,$A32)</f>
        <v>0</v>
      </c>
      <c r="T32" s="9" t="n">
        <f aca="false">SUMIFS('Исходные данные'!$I$2:$I$966,'Исходные данные'!$D$2:$D$966,T$1,'Исходные данные'!$F$2:$F$966,$A32)</f>
        <v>2</v>
      </c>
      <c r="U32" s="9" t="n">
        <f aca="false">SUMIFS('Исходные данные'!$J$2:$J$966,'Исходные данные'!$D$2:$D$966,T$1,'Исходные данные'!$F$2:$F$966,$A32)</f>
        <v>0</v>
      </c>
      <c r="V32" s="9" t="n">
        <f aca="false">SUMIFS('Исходные данные'!$I$2:$I$966,'Исходные данные'!$D$2:$D$966,V$1,'Исходные данные'!$F$2:$F$966,$A32)</f>
        <v>0</v>
      </c>
      <c r="W32" s="9" t="n">
        <f aca="false">SUMIFS('Исходные данные'!$J$2:$J$966,'Исходные данные'!$D$2:$D$966,V$1,'Исходные данные'!$F$2:$F$966,$A32)</f>
        <v>0</v>
      </c>
      <c r="X32" s="9" t="n">
        <f aca="false">SUMIFS('Исходные данные'!$I$2:$I$966,'Исходные данные'!$D$2:$D$966,X$1,'Исходные данные'!$F$2:$F$966,$A32)</f>
        <v>0</v>
      </c>
      <c r="Y32" s="9" t="n">
        <f aca="false">SUMIFS('Исходные данные'!$J$2:$J$966,'Исходные данные'!$D$2:$D$966,X$1,'Исходные данные'!$F$2:$F$966,$A32)</f>
        <v>0</v>
      </c>
      <c r="Z32" s="9" t="n">
        <f aca="false">SUMIFS('Исходные данные'!$I$2:$I$966,'Исходные данные'!$D$2:$D$966,Z$1,'Исходные данные'!$F$2:$F$966,$A32)</f>
        <v>0</v>
      </c>
      <c r="AA32" s="9" t="n">
        <f aca="false">SUMIFS('Исходные данные'!$J$2:$J$966,'Исходные данные'!$D$2:$D$966,Z$1,'Исходные данные'!$F$2:$F$966,$A32)</f>
        <v>0</v>
      </c>
      <c r="AB32" s="9" t="n">
        <f aca="false">SUMIFS('Исходные данные'!$I$2:$I$966,'Исходные данные'!$D$2:$D$966,AB$1,'Исходные данные'!$F$2:$F$966,$A32)</f>
        <v>0</v>
      </c>
      <c r="AC32" s="9" t="n">
        <f aca="false">SUMIFS('Исходные данные'!$J$2:$J$966,'Исходные данные'!$D$2:$D$966,AB$1,'Исходные данные'!$F$2:$F$966,$A32)</f>
        <v>0</v>
      </c>
      <c r="AD32" s="9" t="n">
        <f aca="false">SUMIFS('Исходные данные'!$I$2:$I$966,'Исходные данные'!$D$2:$D$966,AD$1,'Исходные данные'!$F$2:$F$966,$A32)</f>
        <v>0</v>
      </c>
      <c r="AE32" s="9" t="n">
        <f aca="false">SUMIFS('Исходные данные'!$J$2:$J$966,'Исходные данные'!$D$2:$D$966,AD$1,'Исходные данные'!$F$2:$F$966,$A32)</f>
        <v>0</v>
      </c>
      <c r="AF32" s="9" t="n">
        <f aca="false">SUMIFS('Исходные данные'!$I$2:$I$966,'Исходные данные'!$D$2:$D$966,AF$1,'Исходные данные'!$F$2:$F$966,$A32)</f>
        <v>0</v>
      </c>
      <c r="AG32" s="9" t="n">
        <f aca="false">SUMIFS('Исходные данные'!$J$2:$J$966,'Исходные данные'!$D$2:$D$966,AF$1,'Исходные данные'!$F$2:$F$966,$A32)</f>
        <v>0</v>
      </c>
      <c r="AH32" s="9" t="n">
        <f aca="false">SUMIFS('Исходные данные'!$I$2:$I$966,'Исходные данные'!$D$2:$D$966,AH$1,'Исходные данные'!$F$2:$F$966,$A32)</f>
        <v>0</v>
      </c>
      <c r="AI32" s="9" t="n">
        <f aca="false">SUMIFS('Исходные данные'!$J$2:$J$966,'Исходные данные'!$D$2:$D$966,AH$1,'Исходные данные'!$F$2:$F$966,$A32)</f>
        <v>0</v>
      </c>
      <c r="AJ32" s="9" t="n">
        <f aca="false">SUMIFS('Исходные данные'!$I$2:$I$966,'Исходные данные'!$D$2:$D$966,AJ$1,'Исходные данные'!$F$2:$F$966,$A32)</f>
        <v>0</v>
      </c>
      <c r="AK32" s="9" t="n">
        <f aca="false">SUMIFS('Исходные данные'!$J$2:$J$966,'Исходные данные'!$D$2:$D$966,AJ$1,'Исходные данные'!$F$2:$F$966,$A32)</f>
        <v>0</v>
      </c>
      <c r="AL32" s="9" t="n">
        <f aca="false">SUMIFS('Исходные данные'!$I$2:$I$966,'Исходные данные'!$D$2:$D$966,AL$1,'Исходные данные'!$F$2:$F$966,$A32)</f>
        <v>0</v>
      </c>
      <c r="AM32" s="9" t="n">
        <f aca="false">SUMIFS('Исходные данные'!$J$2:$J$966,'Исходные данные'!$D$2:$D$966,AL$1,'Исходные данные'!$F$2:$F$966,$A32)</f>
        <v>0</v>
      </c>
      <c r="AN32" s="9" t="n">
        <f aca="false">SUMIFS('Исходные данные'!$I$2:$I$966,'Исходные данные'!$D$2:$D$966,AN$1,'Исходные данные'!$F$2:$F$966,$A32)</f>
        <v>0</v>
      </c>
      <c r="AO32" s="9" t="n">
        <f aca="false">SUMIFS('Исходные данные'!$J$2:$J$966,'Исходные данные'!$D$2:$D$966,AN$1,'Исходные данные'!$F$2:$F$966,$A32)</f>
        <v>0</v>
      </c>
      <c r="AP32" s="9" t="n">
        <f aca="false">SUMIFS('Исходные данные'!$I$2:$I$966,'Исходные данные'!$D$2:$D$966,AP$1,'Исходные данные'!$F$2:$F$966,$A32)</f>
        <v>0</v>
      </c>
      <c r="AQ32" s="9" t="n">
        <f aca="false">SUMIFS('Исходные данные'!$J$2:$J$966,'Исходные данные'!$D$2:$D$966,AP$1,'Исходные данные'!$F$2:$F$966,$A32)</f>
        <v>0</v>
      </c>
      <c r="AR32" s="9" t="n">
        <f aca="false">SUMIFS('Исходные данные'!$I$2:$I$966,'Исходные данные'!$D$2:$D$966,AR$1,'Исходные данные'!$F$2:$F$966,$A32)</f>
        <v>0</v>
      </c>
      <c r="AS32" s="9" t="n">
        <f aca="false">SUMIFS('Исходные данные'!$J$2:$J$966,'Исходные данные'!$D$2:$D$966,AR$1,'Исходные данные'!$F$2:$F$966,$A32)</f>
        <v>0</v>
      </c>
      <c r="AT32" s="9" t="n">
        <f aca="false">SUMIFS('Исходные данные'!$I$2:$I$966,'Исходные данные'!$D$2:$D$966,AT$1,'Исходные данные'!$F$2:$F$966,$A32)</f>
        <v>1</v>
      </c>
      <c r="AU32" s="9" t="n">
        <f aca="false">SUMIFS('Исходные данные'!$J$2:$J$966,'Исходные данные'!$D$2:$D$966,AT$1,'Исходные данные'!$F$2:$F$966,$A32)</f>
        <v>0</v>
      </c>
      <c r="AV32" s="9" t="n">
        <f aca="false">SUMIFS('Исходные данные'!$I$2:$I$966,'Исходные данные'!$D$2:$D$966,AV$1,'Исходные данные'!$F$2:$F$966,$A32)</f>
        <v>0</v>
      </c>
      <c r="AW32" s="9" t="n">
        <f aca="false">SUMIFS('Исходные данные'!$J$2:$J$966,'Исходные данные'!$D$2:$D$966,AV$1,'Исходные данные'!$F$2:$F$966,$A32)</f>
        <v>0</v>
      </c>
      <c r="AX32" s="9" t="n">
        <f aca="false">SUMIFS('Исходные данные'!$I$2:$I$966,'Исходные данные'!$D$2:$D$966,AX$1,'Исходные данные'!$F$2:$F$966,$A32)</f>
        <v>0</v>
      </c>
      <c r="AY32" s="9" t="n">
        <f aca="false">SUMIFS('Исходные данные'!$J$2:$J$966,'Исходные данные'!$D$2:$D$966,AX$1,'Исходные данные'!$F$2:$F$966,$A32)</f>
        <v>0</v>
      </c>
      <c r="AZ32" s="9" t="n">
        <f aca="false">SUMIFS('Исходные данные'!$I$2:$I$966,'Исходные данные'!$D$2:$D$966,AZ$1,'Исходные данные'!$F$2:$F$966,$A32)</f>
        <v>0</v>
      </c>
      <c r="BA32" s="9" t="n">
        <f aca="false">SUMIFS('Исходные данные'!$J$2:$J$966,'Исходные данные'!$D$2:$D$966,AZ$1,'Исходные данные'!$F$2:$F$966,$A32)</f>
        <v>0</v>
      </c>
      <c r="BB32" s="9" t="n">
        <f aca="false">SUMIFS('Исходные данные'!$I$2:$I$966,'Исходные данные'!$D$2:$D$966,BB$1,'Исходные данные'!$F$2:$F$966,$A32)</f>
        <v>0</v>
      </c>
      <c r="BC32" s="9" t="n">
        <f aca="false">SUMIFS('Исходные данные'!$J$2:$J$966,'Исходные данные'!$D$2:$D$966,BB$1,'Исходные данные'!$F$2:$F$966,$A32)</f>
        <v>0</v>
      </c>
      <c r="BD32" s="9" t="n">
        <f aca="false">SUMIFS('Исходные данные'!$I$2:$I$966,'Исходные данные'!$D$2:$D$966,BD$1,'Исходные данные'!$F$2:$F$966,$A32)</f>
        <v>0</v>
      </c>
      <c r="BE32" s="9" t="n">
        <f aca="false">SUMIFS('Исходные данные'!$J$2:$J$966,'Исходные данные'!$D$2:$D$966,BD$1,'Исходные данные'!$F$2:$F$966,$A32)</f>
        <v>0</v>
      </c>
      <c r="BF32" s="9" t="n">
        <f aca="false">SUMIFS('Исходные данные'!$I$2:$I$966,'Исходные данные'!$D$2:$D$966,BF$1,'Исходные данные'!$F$2:$F$966,$A32)</f>
        <v>0</v>
      </c>
      <c r="BG32" s="9" t="n">
        <f aca="false">SUMIFS('Исходные данные'!$J$2:$J$966,'Исходные данные'!$D$2:$D$966,BF$1,'Исходные данные'!$F$2:$F$966,$A32)</f>
        <v>0</v>
      </c>
      <c r="BH32" s="9" t="n">
        <f aca="false">SUMIFS('Исходные данные'!$I$2:$I$966,'Исходные данные'!$D$2:$D$966,BH$1,'Исходные данные'!$F$2:$F$966,$A32)</f>
        <v>0</v>
      </c>
      <c r="BI32" s="9" t="n">
        <f aca="false">SUMIFS('Исходные данные'!$J$2:$J$966,'Исходные данные'!$D$2:$D$966,BH$1,'Исходные данные'!$F$2:$F$966,$A32)</f>
        <v>0</v>
      </c>
      <c r="BJ32" s="9" t="n">
        <f aca="false">SUMIFS('Исходные данные'!$I$2:$I$966,'Исходные данные'!$D$2:$D$966,BJ$1,'Исходные данные'!$F$2:$F$966,$A32)</f>
        <v>0</v>
      </c>
      <c r="BK32" s="9" t="n">
        <f aca="false">SUMIFS('Исходные данные'!$J$2:$J$966,'Исходные данные'!$D$2:$D$966,BJ$1,'Исходные данные'!$F$2:$F$966,$A32)</f>
        <v>0</v>
      </c>
      <c r="BL32" s="9" t="n">
        <f aca="false">SUMIFS('Исходные данные'!$I$2:$I$966,'Исходные данные'!$D$2:$D$966,BL$1,'Исходные данные'!$F$2:$F$966,$A32)</f>
        <v>0</v>
      </c>
      <c r="BM32" s="9" t="n">
        <f aca="false">SUMIFS('Исходные данные'!$J$2:$J$966,'Исходные данные'!$D$2:$D$966,BL$1,'Исходные данные'!$F$2:$F$966,$A32)</f>
        <v>0</v>
      </c>
      <c r="BN32" s="9" t="n">
        <f aca="false">SUMIFS('Исходные данные'!$I$2:$I$966,'Исходные данные'!$D$2:$D$966,BN$1,'Исходные данные'!$F$2:$F$966,$A32)</f>
        <v>0</v>
      </c>
      <c r="BO32" s="9" t="n">
        <f aca="false">SUMIFS('Исходные данные'!$J$2:$J$966,'Исходные данные'!$D$2:$D$966,BN$1,'Исходные данные'!$F$2:$F$966,$A32)</f>
        <v>0</v>
      </c>
      <c r="BP32" s="9" t="n">
        <f aca="false">SUMIFS('Исходные данные'!$I$2:$I$966,'Исходные данные'!$D$2:$D$966,BP$1,'Исходные данные'!$F$2:$F$966,$A32)</f>
        <v>0</v>
      </c>
      <c r="BQ32" s="9" t="n">
        <f aca="false">SUMIFS('Исходные данные'!$J$2:$J$966,'Исходные данные'!$D$2:$D$966,BP$1,'Исходные данные'!$F$2:$F$966,$A32)</f>
        <v>0</v>
      </c>
      <c r="BR32" s="9" t="n">
        <f aca="false">SUMIFS('Исходные данные'!$I$2:$I$966,'Исходные данные'!$D$2:$D$966,BR$1,'Исходные данные'!$F$2:$F$966,$A32)</f>
        <v>0</v>
      </c>
      <c r="BS32" s="9" t="n">
        <f aca="false">SUMIFS('Исходные данные'!$J$2:$J$966,'Исходные данные'!$D$2:$D$966,BR$1,'Исходные данные'!$F$2:$F$966,$A32)</f>
        <v>0</v>
      </c>
      <c r="BT32" s="9" t="n">
        <f aca="false">SUMIFS('Исходные данные'!$I$2:$I$966,'Исходные данные'!$D$2:$D$966,BT$1,'Исходные данные'!$F$2:$F$966,$A32)</f>
        <v>0</v>
      </c>
      <c r="BU32" s="9" t="n">
        <f aca="false">SUMIFS('Исходные данные'!$J$2:$J$966,'Исходные данные'!$D$2:$D$966,BT$1,'Исходные данные'!$F$2:$F$966,$A32)</f>
        <v>0</v>
      </c>
      <c r="BV32" s="9" t="n">
        <f aca="false">SUMIFS('Исходные данные'!$I$2:$I$966,'Исходные данные'!$D$2:$D$966,BV$1,'Исходные данные'!$F$2:$F$966,$A32)</f>
        <v>0</v>
      </c>
      <c r="BW32" s="9" t="n">
        <f aca="false">SUMIFS('Исходные данные'!$J$2:$J$966,'Исходные данные'!$D$2:$D$966,BV$1,'Исходные данные'!$F$2:$F$966,$A32)</f>
        <v>0</v>
      </c>
      <c r="BX32" s="9" t="n">
        <f aca="false">SUMIFS('Исходные данные'!$I$2:$I$966,'Исходные данные'!$D$2:$D$966,BX$1,'Исходные данные'!$F$2:$F$966,$A32)</f>
        <v>0</v>
      </c>
      <c r="BY32" s="9" t="n">
        <f aca="false">SUMIFS('Исходные данные'!$J$2:$J$966,'Исходные данные'!$D$2:$D$966,BX$1,'Исходные данные'!$F$2:$F$966,$A32)</f>
        <v>0</v>
      </c>
      <c r="BZ32" s="9" t="n">
        <f aca="false">SUMIFS('Исходные данные'!$I$2:$I$966,'Исходные данные'!$D$2:$D$966,BZ$1,'Исходные данные'!$F$2:$F$966,$A32)</f>
        <v>0</v>
      </c>
      <c r="CA32" s="9" t="n">
        <f aca="false">SUMIFS('Исходные данные'!$J$2:$J$966,'Исходные данные'!$D$2:$D$966,BZ$1,'Исходные данные'!$F$2:$F$966,$A32)</f>
        <v>0</v>
      </c>
      <c r="CB32" s="9" t="n">
        <f aca="false">SUMIFS('Исходные данные'!$I$2:$I$966,'Исходные данные'!$D$2:$D$966,CB$1,'Исходные данные'!$F$2:$F$966,$A32)</f>
        <v>0</v>
      </c>
      <c r="CC32" s="9" t="n">
        <f aca="false">SUMIFS('Исходные данные'!$J$2:$J$966,'Исходные данные'!$D$2:$D$966,CB$1,'Исходные данные'!$F$2:$F$966,$A32)</f>
        <v>0</v>
      </c>
      <c r="CD32" s="9" t="n">
        <f aca="false">SUMIFS('Исходные данные'!$I$2:$I$966,'Исходные данные'!$D$2:$D$966,CD$1,'Исходные данные'!$F$2:$F$966,$A32)</f>
        <v>0</v>
      </c>
      <c r="CE32" s="9" t="n">
        <f aca="false">SUMIFS('Исходные данные'!$J$2:$J$966,'Исходные данные'!$D$2:$D$966,CD$1,'Исходные данные'!$F$2:$F$966,$A32)</f>
        <v>0</v>
      </c>
      <c r="CF32" s="9" t="n">
        <f aca="false">SUMIFS('Исходные данные'!$I$2:$I$966,'Исходные данные'!$D$2:$D$966,CF$1,'Исходные данные'!$F$2:$F$966,$A32)</f>
        <v>0</v>
      </c>
      <c r="CG32" s="9" t="n">
        <f aca="false">SUMIFS('Исходные данные'!$J$2:$J$966,'Исходные данные'!$D$2:$D$966,CF$1,'Исходные данные'!$F$2:$F$966,$A32)</f>
        <v>0</v>
      </c>
      <c r="CH32" s="9" t="n">
        <f aca="false">SUMIFS('Исходные данные'!$I$2:$I$966,'Исходные данные'!$D$2:$D$966,CH$1,'Исходные данные'!$F$2:$F$966,$A32)</f>
        <v>0</v>
      </c>
      <c r="CI32" s="9" t="n">
        <f aca="false">SUMIFS('Исходные данные'!$J$2:$J$966,'Исходные данные'!$D$2:$D$966,CH$1,'Исходные данные'!$F$2:$F$966,$A32)</f>
        <v>0</v>
      </c>
      <c r="CJ32" s="9" t="n">
        <f aca="false">SUMIFS('Исходные данные'!$I$2:$I$966,'Исходные данные'!$D$2:$D$966,CJ$1,'Исходные данные'!$F$2:$F$966,$A32)</f>
        <v>0</v>
      </c>
      <c r="CK32" s="9" t="n">
        <f aca="false">SUMIFS('Исходные данные'!$J$2:$J$966,'Исходные данные'!$D$2:$D$966,CJ$1,'Исходные данные'!$F$2:$F$966,$A32)</f>
        <v>0</v>
      </c>
      <c r="CL32" s="9" t="n">
        <f aca="false">SUMIFS('Исходные данные'!$I$2:$I$966,'Исходные данные'!$D$2:$D$966,CL$1,'Исходные данные'!$F$2:$F$966,$A32)</f>
        <v>0</v>
      </c>
      <c r="CM32" s="9" t="n">
        <f aca="false">SUMIFS('Исходные данные'!$J$2:$J$966,'Исходные данные'!$D$2:$D$966,CL$1,'Исходные данные'!$F$2:$F$966,$A32)</f>
        <v>0</v>
      </c>
      <c r="CN32" s="9" t="n">
        <f aca="false">SUMIFS('Исходные данные'!$I$2:$I$966,'Исходные данные'!$D$2:$D$966,CN$1,'Исходные данные'!$F$2:$F$966,$A32)</f>
        <v>0</v>
      </c>
      <c r="CO32" s="9" t="n">
        <f aca="false">SUMIFS('Исходные данные'!$J$2:$J$966,'Исходные данные'!$D$2:$D$966,CN$1,'Исходные данные'!$F$2:$F$966,$A32)</f>
        <v>0</v>
      </c>
      <c r="CP32" s="9" t="n">
        <f aca="false">SUMIFS('Исходные данные'!$I$2:$I$966,'Исходные данные'!$D$2:$D$966,CP$1,'Исходные данные'!$F$2:$F$966,$A32)</f>
        <v>0</v>
      </c>
      <c r="CQ32" s="9" t="n">
        <f aca="false">SUMIFS('Исходные данные'!$J$2:$J$966,'Исходные данные'!$D$2:$D$966,CP$1,'Исходные данные'!$F$2:$F$966,$A32)</f>
        <v>0</v>
      </c>
    </row>
    <row r="33" customFormat="false" ht="15" hidden="false" customHeight="false" outlineLevel="0" collapsed="false">
      <c r="A33" s="8" t="s">
        <v>113</v>
      </c>
      <c r="B33" s="9" t="s">
        <v>114</v>
      </c>
      <c r="C33" s="5" t="n">
        <v>3</v>
      </c>
      <c r="D33" s="5" t="n">
        <f aca="false">F33+G33</f>
        <v>2</v>
      </c>
      <c r="E33" s="5" t="n">
        <f aca="false">D33-C33</f>
        <v>-1</v>
      </c>
      <c r="F33" s="5" t="n">
        <f aca="false">SUMIFS($H33:$CQ33,$H$2:$CQ$2,"День")</f>
        <v>2</v>
      </c>
      <c r="G33" s="5" t="n">
        <f aca="false">SUMIFS($H33:$CQ33,$H$2:$CQ$2,"Ночь")</f>
        <v>0</v>
      </c>
      <c r="H33" s="9" t="n">
        <f aca="false">SUMIFS('Исходные данные'!$I$2:$I$966,'Исходные данные'!$D$2:$D$966,H$1,'Исходные данные'!$F$2:$F$966,$A33)</f>
        <v>0</v>
      </c>
      <c r="I33" s="9" t="n">
        <f aca="false">SUMIFS('Исходные данные'!$J$2:$J$966,'Исходные данные'!$D$2:$D$966,H$1,'Исходные данные'!$F$2:$F$966,$A33)</f>
        <v>0</v>
      </c>
      <c r="J33" s="9" t="n">
        <f aca="false">SUMIFS('Исходные данные'!$I$2:$I$966,'Исходные данные'!$D$2:$D$966,J$1,'Исходные данные'!$F$2:$F$966,$A33)</f>
        <v>0</v>
      </c>
      <c r="K33" s="9" t="n">
        <f aca="false">SUMIFS('Исходные данные'!$J$2:$J$966,'Исходные данные'!$D$2:$D$966,J$1,'Исходные данные'!$F$2:$F$966,$A33)</f>
        <v>0</v>
      </c>
      <c r="L33" s="9" t="n">
        <f aca="false">SUMIFS('Исходные данные'!$I$2:$I$966,'Исходные данные'!$D$2:$D$966,L$1,'Исходные данные'!$F$2:$F$966,$A33)</f>
        <v>1</v>
      </c>
      <c r="M33" s="9" t="n">
        <f aca="false">SUMIFS('Исходные данные'!$J$2:$J$966,'Исходные данные'!$D$2:$D$966,L$1,'Исходные данные'!$F$2:$F$966,$A33)</f>
        <v>0</v>
      </c>
      <c r="N33" s="9" t="n">
        <f aca="false">SUMIFS('Исходные данные'!$I$2:$I$966,'Исходные данные'!$D$2:$D$966,N$1,'Исходные данные'!$F$2:$F$966,$A33)</f>
        <v>0</v>
      </c>
      <c r="O33" s="9" t="n">
        <f aca="false">SUMIFS('Исходные данные'!$J$2:$J$966,'Исходные данные'!$D$2:$D$966,N$1,'Исходные данные'!$F$2:$F$966,$A33)</f>
        <v>0</v>
      </c>
      <c r="P33" s="9" t="n">
        <f aca="false">SUMIFS('Исходные данные'!$I$2:$I$966,'Исходные данные'!$D$2:$D$966,P$1,'Исходные данные'!$F$2:$F$966,$A33)</f>
        <v>0</v>
      </c>
      <c r="Q33" s="9" t="n">
        <f aca="false">SUMIFS('Исходные данные'!$J$2:$J$966,'Исходные данные'!$D$2:$D$966,P$1,'Исходные данные'!$F$2:$F$966,$A33)</f>
        <v>0</v>
      </c>
      <c r="R33" s="9" t="n">
        <f aca="false">SUMIFS('Исходные данные'!$I$2:$I$966,'Исходные данные'!$D$2:$D$966,R$1,'Исходные данные'!$F$2:$F$966,$A33)</f>
        <v>0</v>
      </c>
      <c r="S33" s="9" t="n">
        <f aca="false">SUMIFS('Исходные данные'!$J$2:$J$966,'Исходные данные'!$D$2:$D$966,R$1,'Исходные данные'!$F$2:$F$966,$A33)</f>
        <v>0</v>
      </c>
      <c r="T33" s="9" t="n">
        <f aca="false">SUMIFS('Исходные данные'!$I$2:$I$966,'Исходные данные'!$D$2:$D$966,T$1,'Исходные данные'!$F$2:$F$966,$A33)</f>
        <v>0</v>
      </c>
      <c r="U33" s="9" t="n">
        <f aca="false">SUMIFS('Исходные данные'!$J$2:$J$966,'Исходные данные'!$D$2:$D$966,T$1,'Исходные данные'!$F$2:$F$966,$A33)</f>
        <v>0</v>
      </c>
      <c r="V33" s="9" t="n">
        <f aca="false">SUMIFS('Исходные данные'!$I$2:$I$966,'Исходные данные'!$D$2:$D$966,V$1,'Исходные данные'!$F$2:$F$966,$A33)</f>
        <v>0</v>
      </c>
      <c r="W33" s="9" t="n">
        <f aca="false">SUMIFS('Исходные данные'!$J$2:$J$966,'Исходные данные'!$D$2:$D$966,V$1,'Исходные данные'!$F$2:$F$966,$A33)</f>
        <v>0</v>
      </c>
      <c r="X33" s="9" t="n">
        <f aca="false">SUMIFS('Исходные данные'!$I$2:$I$966,'Исходные данные'!$D$2:$D$966,X$1,'Исходные данные'!$F$2:$F$966,$A33)</f>
        <v>0</v>
      </c>
      <c r="Y33" s="9" t="n">
        <f aca="false">SUMIFS('Исходные данные'!$J$2:$J$966,'Исходные данные'!$D$2:$D$966,X$1,'Исходные данные'!$F$2:$F$966,$A33)</f>
        <v>0</v>
      </c>
      <c r="Z33" s="9" t="n">
        <f aca="false">SUMIFS('Исходные данные'!$I$2:$I$966,'Исходные данные'!$D$2:$D$966,Z$1,'Исходные данные'!$F$2:$F$966,$A33)</f>
        <v>0</v>
      </c>
      <c r="AA33" s="9" t="n">
        <f aca="false">SUMIFS('Исходные данные'!$J$2:$J$966,'Исходные данные'!$D$2:$D$966,Z$1,'Исходные данные'!$F$2:$F$966,$A33)</f>
        <v>0</v>
      </c>
      <c r="AB33" s="9" t="n">
        <f aca="false">SUMIFS('Исходные данные'!$I$2:$I$966,'Исходные данные'!$D$2:$D$966,AB$1,'Исходные данные'!$F$2:$F$966,$A33)</f>
        <v>0</v>
      </c>
      <c r="AC33" s="9" t="n">
        <f aca="false">SUMIFS('Исходные данные'!$J$2:$J$966,'Исходные данные'!$D$2:$D$966,AB$1,'Исходные данные'!$F$2:$F$966,$A33)</f>
        <v>0</v>
      </c>
      <c r="AD33" s="9" t="n">
        <f aca="false">SUMIFS('Исходные данные'!$I$2:$I$966,'Исходные данные'!$D$2:$D$966,AD$1,'Исходные данные'!$F$2:$F$966,$A33)</f>
        <v>0</v>
      </c>
      <c r="AE33" s="9" t="n">
        <f aca="false">SUMIFS('Исходные данные'!$J$2:$J$966,'Исходные данные'!$D$2:$D$966,AD$1,'Исходные данные'!$F$2:$F$966,$A33)</f>
        <v>0</v>
      </c>
      <c r="AF33" s="9" t="n">
        <f aca="false">SUMIFS('Исходные данные'!$I$2:$I$966,'Исходные данные'!$D$2:$D$966,AF$1,'Исходные данные'!$F$2:$F$966,$A33)</f>
        <v>0</v>
      </c>
      <c r="AG33" s="9" t="n">
        <f aca="false">SUMIFS('Исходные данные'!$J$2:$J$966,'Исходные данные'!$D$2:$D$966,AF$1,'Исходные данные'!$F$2:$F$966,$A33)</f>
        <v>0</v>
      </c>
      <c r="AH33" s="9" t="n">
        <f aca="false">SUMIFS('Исходные данные'!$I$2:$I$966,'Исходные данные'!$D$2:$D$966,AH$1,'Исходные данные'!$F$2:$F$966,$A33)</f>
        <v>0</v>
      </c>
      <c r="AI33" s="9" t="n">
        <f aca="false">SUMIFS('Исходные данные'!$J$2:$J$966,'Исходные данные'!$D$2:$D$966,AH$1,'Исходные данные'!$F$2:$F$966,$A33)</f>
        <v>0</v>
      </c>
      <c r="AJ33" s="9" t="n">
        <f aca="false">SUMIFS('Исходные данные'!$I$2:$I$966,'Исходные данные'!$D$2:$D$966,AJ$1,'Исходные данные'!$F$2:$F$966,$A33)</f>
        <v>1</v>
      </c>
      <c r="AK33" s="9" t="n">
        <f aca="false">SUMIFS('Исходные данные'!$J$2:$J$966,'Исходные данные'!$D$2:$D$966,AJ$1,'Исходные данные'!$F$2:$F$966,$A33)</f>
        <v>0</v>
      </c>
      <c r="AL33" s="9" t="n">
        <f aca="false">SUMIFS('Исходные данные'!$I$2:$I$966,'Исходные данные'!$D$2:$D$966,AL$1,'Исходные данные'!$F$2:$F$966,$A33)</f>
        <v>0</v>
      </c>
      <c r="AM33" s="9" t="n">
        <f aca="false">SUMIFS('Исходные данные'!$J$2:$J$966,'Исходные данные'!$D$2:$D$966,AL$1,'Исходные данные'!$F$2:$F$966,$A33)</f>
        <v>0</v>
      </c>
      <c r="AN33" s="9" t="n">
        <f aca="false">SUMIFS('Исходные данные'!$I$2:$I$966,'Исходные данные'!$D$2:$D$966,AN$1,'Исходные данные'!$F$2:$F$966,$A33)</f>
        <v>0</v>
      </c>
      <c r="AO33" s="9" t="n">
        <f aca="false">SUMIFS('Исходные данные'!$J$2:$J$966,'Исходные данные'!$D$2:$D$966,AN$1,'Исходные данные'!$F$2:$F$966,$A33)</f>
        <v>0</v>
      </c>
      <c r="AP33" s="9" t="n">
        <f aca="false">SUMIFS('Исходные данные'!$I$2:$I$966,'Исходные данные'!$D$2:$D$966,AP$1,'Исходные данные'!$F$2:$F$966,$A33)</f>
        <v>0</v>
      </c>
      <c r="AQ33" s="9" t="n">
        <f aca="false">SUMIFS('Исходные данные'!$J$2:$J$966,'Исходные данные'!$D$2:$D$966,AP$1,'Исходные данные'!$F$2:$F$966,$A33)</f>
        <v>0</v>
      </c>
      <c r="AR33" s="9" t="n">
        <f aca="false">SUMIFS('Исходные данные'!$I$2:$I$966,'Исходные данные'!$D$2:$D$966,AR$1,'Исходные данные'!$F$2:$F$966,$A33)</f>
        <v>0</v>
      </c>
      <c r="AS33" s="9" t="n">
        <f aca="false">SUMIFS('Исходные данные'!$J$2:$J$966,'Исходные данные'!$D$2:$D$966,AR$1,'Исходные данные'!$F$2:$F$966,$A33)</f>
        <v>0</v>
      </c>
      <c r="AT33" s="9" t="n">
        <f aca="false">SUMIFS('Исходные данные'!$I$2:$I$966,'Исходные данные'!$D$2:$D$966,AT$1,'Исходные данные'!$F$2:$F$966,$A33)</f>
        <v>0</v>
      </c>
      <c r="AU33" s="9" t="n">
        <f aca="false">SUMIFS('Исходные данные'!$J$2:$J$966,'Исходные данные'!$D$2:$D$966,AT$1,'Исходные данные'!$F$2:$F$966,$A33)</f>
        <v>0</v>
      </c>
      <c r="AV33" s="9" t="n">
        <f aca="false">SUMIFS('Исходные данные'!$I$2:$I$966,'Исходные данные'!$D$2:$D$966,AV$1,'Исходные данные'!$F$2:$F$966,$A33)</f>
        <v>0</v>
      </c>
      <c r="AW33" s="9" t="n">
        <f aca="false">SUMIFS('Исходные данные'!$J$2:$J$966,'Исходные данные'!$D$2:$D$966,AV$1,'Исходные данные'!$F$2:$F$966,$A33)</f>
        <v>0</v>
      </c>
      <c r="AX33" s="9" t="n">
        <f aca="false">SUMIFS('Исходные данные'!$I$2:$I$966,'Исходные данные'!$D$2:$D$966,AX$1,'Исходные данные'!$F$2:$F$966,$A33)</f>
        <v>0</v>
      </c>
      <c r="AY33" s="9" t="n">
        <f aca="false">SUMIFS('Исходные данные'!$J$2:$J$966,'Исходные данные'!$D$2:$D$966,AX$1,'Исходные данные'!$F$2:$F$966,$A33)</f>
        <v>0</v>
      </c>
      <c r="AZ33" s="9" t="n">
        <f aca="false">SUMIFS('Исходные данные'!$I$2:$I$966,'Исходные данные'!$D$2:$D$966,AZ$1,'Исходные данные'!$F$2:$F$966,$A33)</f>
        <v>0</v>
      </c>
      <c r="BA33" s="9" t="n">
        <f aca="false">SUMIFS('Исходные данные'!$J$2:$J$966,'Исходные данные'!$D$2:$D$966,AZ$1,'Исходные данные'!$F$2:$F$966,$A33)</f>
        <v>0</v>
      </c>
      <c r="BB33" s="9" t="n">
        <f aca="false">SUMIFS('Исходные данные'!$I$2:$I$966,'Исходные данные'!$D$2:$D$966,BB$1,'Исходные данные'!$F$2:$F$966,$A33)</f>
        <v>0</v>
      </c>
      <c r="BC33" s="9" t="n">
        <f aca="false">SUMIFS('Исходные данные'!$J$2:$J$966,'Исходные данные'!$D$2:$D$966,BB$1,'Исходные данные'!$F$2:$F$966,$A33)</f>
        <v>0</v>
      </c>
      <c r="BD33" s="9" t="n">
        <f aca="false">SUMIFS('Исходные данные'!$I$2:$I$966,'Исходные данные'!$D$2:$D$966,BD$1,'Исходные данные'!$F$2:$F$966,$A33)</f>
        <v>0</v>
      </c>
      <c r="BE33" s="9" t="n">
        <f aca="false">SUMIFS('Исходные данные'!$J$2:$J$966,'Исходные данные'!$D$2:$D$966,BD$1,'Исходные данные'!$F$2:$F$966,$A33)</f>
        <v>0</v>
      </c>
      <c r="BF33" s="9" t="n">
        <f aca="false">SUMIFS('Исходные данные'!$I$2:$I$966,'Исходные данные'!$D$2:$D$966,BF$1,'Исходные данные'!$F$2:$F$966,$A33)</f>
        <v>0</v>
      </c>
      <c r="BG33" s="9" t="n">
        <f aca="false">SUMIFS('Исходные данные'!$J$2:$J$966,'Исходные данные'!$D$2:$D$966,BF$1,'Исходные данные'!$F$2:$F$966,$A33)</f>
        <v>0</v>
      </c>
      <c r="BH33" s="9" t="n">
        <f aca="false">SUMIFS('Исходные данные'!$I$2:$I$966,'Исходные данные'!$D$2:$D$966,BH$1,'Исходные данные'!$F$2:$F$966,$A33)</f>
        <v>0</v>
      </c>
      <c r="BI33" s="9" t="n">
        <f aca="false">SUMIFS('Исходные данные'!$J$2:$J$966,'Исходные данные'!$D$2:$D$966,BH$1,'Исходные данные'!$F$2:$F$966,$A33)</f>
        <v>0</v>
      </c>
      <c r="BJ33" s="9" t="n">
        <f aca="false">SUMIFS('Исходные данные'!$I$2:$I$966,'Исходные данные'!$D$2:$D$966,BJ$1,'Исходные данные'!$F$2:$F$966,$A33)</f>
        <v>0</v>
      </c>
      <c r="BK33" s="9" t="n">
        <f aca="false">SUMIFS('Исходные данные'!$J$2:$J$966,'Исходные данные'!$D$2:$D$966,BJ$1,'Исходные данные'!$F$2:$F$966,$A33)</f>
        <v>0</v>
      </c>
      <c r="BL33" s="9" t="n">
        <f aca="false">SUMIFS('Исходные данные'!$I$2:$I$966,'Исходные данные'!$D$2:$D$966,BL$1,'Исходные данные'!$F$2:$F$966,$A33)</f>
        <v>0</v>
      </c>
      <c r="BM33" s="9" t="n">
        <f aca="false">SUMIFS('Исходные данные'!$J$2:$J$966,'Исходные данные'!$D$2:$D$966,BL$1,'Исходные данные'!$F$2:$F$966,$A33)</f>
        <v>0</v>
      </c>
      <c r="BN33" s="9" t="n">
        <f aca="false">SUMIFS('Исходные данные'!$I$2:$I$966,'Исходные данные'!$D$2:$D$966,BN$1,'Исходные данные'!$F$2:$F$966,$A33)</f>
        <v>0</v>
      </c>
      <c r="BO33" s="9" t="n">
        <f aca="false">SUMIFS('Исходные данные'!$J$2:$J$966,'Исходные данные'!$D$2:$D$966,BN$1,'Исходные данные'!$F$2:$F$966,$A33)</f>
        <v>0</v>
      </c>
      <c r="BP33" s="9" t="n">
        <f aca="false">SUMIFS('Исходные данные'!$I$2:$I$966,'Исходные данные'!$D$2:$D$966,BP$1,'Исходные данные'!$F$2:$F$966,$A33)</f>
        <v>0</v>
      </c>
      <c r="BQ33" s="9" t="n">
        <f aca="false">SUMIFS('Исходные данные'!$J$2:$J$966,'Исходные данные'!$D$2:$D$966,BP$1,'Исходные данные'!$F$2:$F$966,$A33)</f>
        <v>0</v>
      </c>
      <c r="BR33" s="9" t="n">
        <f aca="false">SUMIFS('Исходные данные'!$I$2:$I$966,'Исходные данные'!$D$2:$D$966,BR$1,'Исходные данные'!$F$2:$F$966,$A33)</f>
        <v>0</v>
      </c>
      <c r="BS33" s="9" t="n">
        <f aca="false">SUMIFS('Исходные данные'!$J$2:$J$966,'Исходные данные'!$D$2:$D$966,BR$1,'Исходные данные'!$F$2:$F$966,$A33)</f>
        <v>0</v>
      </c>
      <c r="BT33" s="9" t="n">
        <f aca="false">SUMIFS('Исходные данные'!$I$2:$I$966,'Исходные данные'!$D$2:$D$966,BT$1,'Исходные данные'!$F$2:$F$966,$A33)</f>
        <v>0</v>
      </c>
      <c r="BU33" s="9" t="n">
        <f aca="false">SUMIFS('Исходные данные'!$J$2:$J$966,'Исходные данные'!$D$2:$D$966,BT$1,'Исходные данные'!$F$2:$F$966,$A33)</f>
        <v>0</v>
      </c>
      <c r="BV33" s="9" t="n">
        <f aca="false">SUMIFS('Исходные данные'!$I$2:$I$966,'Исходные данные'!$D$2:$D$966,BV$1,'Исходные данные'!$F$2:$F$966,$A33)</f>
        <v>0</v>
      </c>
      <c r="BW33" s="9" t="n">
        <f aca="false">SUMIFS('Исходные данные'!$J$2:$J$966,'Исходные данные'!$D$2:$D$966,BV$1,'Исходные данные'!$F$2:$F$966,$A33)</f>
        <v>0</v>
      </c>
      <c r="BX33" s="9" t="n">
        <f aca="false">SUMIFS('Исходные данные'!$I$2:$I$966,'Исходные данные'!$D$2:$D$966,BX$1,'Исходные данные'!$F$2:$F$966,$A33)</f>
        <v>0</v>
      </c>
      <c r="BY33" s="9" t="n">
        <f aca="false">SUMIFS('Исходные данные'!$J$2:$J$966,'Исходные данные'!$D$2:$D$966,BX$1,'Исходные данные'!$F$2:$F$966,$A33)</f>
        <v>0</v>
      </c>
      <c r="BZ33" s="9" t="n">
        <f aca="false">SUMIFS('Исходные данные'!$I$2:$I$966,'Исходные данные'!$D$2:$D$966,BZ$1,'Исходные данные'!$F$2:$F$966,$A33)</f>
        <v>0</v>
      </c>
      <c r="CA33" s="9" t="n">
        <f aca="false">SUMIFS('Исходные данные'!$J$2:$J$966,'Исходные данные'!$D$2:$D$966,BZ$1,'Исходные данные'!$F$2:$F$966,$A33)</f>
        <v>0</v>
      </c>
      <c r="CB33" s="9" t="n">
        <f aca="false">SUMIFS('Исходные данные'!$I$2:$I$966,'Исходные данные'!$D$2:$D$966,CB$1,'Исходные данные'!$F$2:$F$966,$A33)</f>
        <v>0</v>
      </c>
      <c r="CC33" s="9" t="n">
        <f aca="false">SUMIFS('Исходные данные'!$J$2:$J$966,'Исходные данные'!$D$2:$D$966,CB$1,'Исходные данные'!$F$2:$F$966,$A33)</f>
        <v>0</v>
      </c>
      <c r="CD33" s="9" t="n">
        <f aca="false">SUMIFS('Исходные данные'!$I$2:$I$966,'Исходные данные'!$D$2:$D$966,CD$1,'Исходные данные'!$F$2:$F$966,$A33)</f>
        <v>0</v>
      </c>
      <c r="CE33" s="9" t="n">
        <f aca="false">SUMIFS('Исходные данные'!$J$2:$J$966,'Исходные данные'!$D$2:$D$966,CD$1,'Исходные данные'!$F$2:$F$966,$A33)</f>
        <v>0</v>
      </c>
      <c r="CF33" s="9" t="n">
        <f aca="false">SUMIFS('Исходные данные'!$I$2:$I$966,'Исходные данные'!$D$2:$D$966,CF$1,'Исходные данные'!$F$2:$F$966,$A33)</f>
        <v>0</v>
      </c>
      <c r="CG33" s="9" t="n">
        <f aca="false">SUMIFS('Исходные данные'!$J$2:$J$966,'Исходные данные'!$D$2:$D$966,CF$1,'Исходные данные'!$F$2:$F$966,$A33)</f>
        <v>0</v>
      </c>
      <c r="CH33" s="9" t="n">
        <f aca="false">SUMIFS('Исходные данные'!$I$2:$I$966,'Исходные данные'!$D$2:$D$966,CH$1,'Исходные данные'!$F$2:$F$966,$A33)</f>
        <v>0</v>
      </c>
      <c r="CI33" s="9" t="n">
        <f aca="false">SUMIFS('Исходные данные'!$J$2:$J$966,'Исходные данные'!$D$2:$D$966,CH$1,'Исходные данные'!$F$2:$F$966,$A33)</f>
        <v>0</v>
      </c>
      <c r="CJ33" s="9" t="n">
        <f aca="false">SUMIFS('Исходные данные'!$I$2:$I$966,'Исходные данные'!$D$2:$D$966,CJ$1,'Исходные данные'!$F$2:$F$966,$A33)</f>
        <v>0</v>
      </c>
      <c r="CK33" s="9" t="n">
        <f aca="false">SUMIFS('Исходные данные'!$J$2:$J$966,'Исходные данные'!$D$2:$D$966,CJ$1,'Исходные данные'!$F$2:$F$966,$A33)</f>
        <v>0</v>
      </c>
      <c r="CL33" s="9" t="n">
        <f aca="false">SUMIFS('Исходные данные'!$I$2:$I$966,'Исходные данные'!$D$2:$D$966,CL$1,'Исходные данные'!$F$2:$F$966,$A33)</f>
        <v>0</v>
      </c>
      <c r="CM33" s="9" t="n">
        <f aca="false">SUMIFS('Исходные данные'!$J$2:$J$966,'Исходные данные'!$D$2:$D$966,CL$1,'Исходные данные'!$F$2:$F$966,$A33)</f>
        <v>0</v>
      </c>
      <c r="CN33" s="9" t="n">
        <f aca="false">SUMIFS('Исходные данные'!$I$2:$I$966,'Исходные данные'!$D$2:$D$966,CN$1,'Исходные данные'!$F$2:$F$966,$A33)</f>
        <v>0</v>
      </c>
      <c r="CO33" s="9" t="n">
        <f aca="false">SUMIFS('Исходные данные'!$J$2:$J$966,'Исходные данные'!$D$2:$D$966,CN$1,'Исходные данные'!$F$2:$F$966,$A33)</f>
        <v>0</v>
      </c>
      <c r="CP33" s="9" t="n">
        <f aca="false">SUMIFS('Исходные данные'!$I$2:$I$966,'Исходные данные'!$D$2:$D$966,CP$1,'Исходные данные'!$F$2:$F$966,$A33)</f>
        <v>0</v>
      </c>
      <c r="CQ33" s="9" t="n">
        <f aca="false">SUMIFS('Исходные данные'!$J$2:$J$966,'Исходные данные'!$D$2:$D$966,CP$1,'Исходные данные'!$F$2:$F$966,$A33)</f>
        <v>0</v>
      </c>
    </row>
    <row r="34" customFormat="false" ht="15" hidden="false" customHeight="false" outlineLevel="0" collapsed="false">
      <c r="A34" s="8" t="s">
        <v>115</v>
      </c>
      <c r="B34" s="9" t="s">
        <v>116</v>
      </c>
      <c r="C34" s="5" t="n">
        <v>2</v>
      </c>
      <c r="D34" s="5" t="n">
        <f aca="false">F34+G34</f>
        <v>2</v>
      </c>
      <c r="E34" s="5" t="n">
        <f aca="false">D34-C34</f>
        <v>0</v>
      </c>
      <c r="F34" s="5" t="n">
        <f aca="false">SUMIFS($H34:$CQ34,$H$2:$CQ$2,"День")</f>
        <v>1</v>
      </c>
      <c r="G34" s="5" t="n">
        <f aca="false">SUMIFS($H34:$CQ34,$H$2:$CQ$2,"Ночь")</f>
        <v>1</v>
      </c>
      <c r="H34" s="9" t="n">
        <f aca="false">SUMIFS('Исходные данные'!$I$2:$I$966,'Исходные данные'!$D$2:$D$966,H$1,'Исходные данные'!$F$2:$F$966,$A34)</f>
        <v>1</v>
      </c>
      <c r="I34" s="9" t="n">
        <f aca="false">SUMIFS('Исходные данные'!$J$2:$J$966,'Исходные данные'!$D$2:$D$966,H$1,'Исходные данные'!$F$2:$F$966,$A34)</f>
        <v>0</v>
      </c>
      <c r="J34" s="9" t="n">
        <f aca="false">SUMIFS('Исходные данные'!$I$2:$I$966,'Исходные данные'!$D$2:$D$966,J$1,'Исходные данные'!$F$2:$F$966,$A34)</f>
        <v>0</v>
      </c>
      <c r="K34" s="9" t="n">
        <f aca="false">SUMIFS('Исходные данные'!$J$2:$J$966,'Исходные данные'!$D$2:$D$966,J$1,'Исходные данные'!$F$2:$F$966,$A34)</f>
        <v>0</v>
      </c>
      <c r="L34" s="9" t="n">
        <f aca="false">SUMIFS('Исходные данные'!$I$2:$I$966,'Исходные данные'!$D$2:$D$966,L$1,'Исходные данные'!$F$2:$F$966,$A34)</f>
        <v>0</v>
      </c>
      <c r="M34" s="9" t="n">
        <f aca="false">SUMIFS('Исходные данные'!$J$2:$J$966,'Исходные данные'!$D$2:$D$966,L$1,'Исходные данные'!$F$2:$F$966,$A34)</f>
        <v>0</v>
      </c>
      <c r="N34" s="9" t="n">
        <f aca="false">SUMIFS('Исходные данные'!$I$2:$I$966,'Исходные данные'!$D$2:$D$966,N$1,'Исходные данные'!$F$2:$F$966,$A34)</f>
        <v>0</v>
      </c>
      <c r="O34" s="9" t="n">
        <f aca="false">SUMIFS('Исходные данные'!$J$2:$J$966,'Исходные данные'!$D$2:$D$966,N$1,'Исходные данные'!$F$2:$F$966,$A34)</f>
        <v>0</v>
      </c>
      <c r="P34" s="9" t="n">
        <f aca="false">SUMIFS('Исходные данные'!$I$2:$I$966,'Исходные данные'!$D$2:$D$966,P$1,'Исходные данные'!$F$2:$F$966,$A34)</f>
        <v>0</v>
      </c>
      <c r="Q34" s="9" t="n">
        <f aca="false">SUMIFS('Исходные данные'!$J$2:$J$966,'Исходные данные'!$D$2:$D$966,P$1,'Исходные данные'!$F$2:$F$966,$A34)</f>
        <v>0</v>
      </c>
      <c r="R34" s="9" t="n">
        <f aca="false">SUMIFS('Исходные данные'!$I$2:$I$966,'Исходные данные'!$D$2:$D$966,R$1,'Исходные данные'!$F$2:$F$966,$A34)</f>
        <v>0</v>
      </c>
      <c r="S34" s="9" t="n">
        <f aca="false">SUMIFS('Исходные данные'!$J$2:$J$966,'Исходные данные'!$D$2:$D$966,R$1,'Исходные данные'!$F$2:$F$966,$A34)</f>
        <v>0</v>
      </c>
      <c r="T34" s="9" t="n">
        <f aca="false">SUMIFS('Исходные данные'!$I$2:$I$966,'Исходные данные'!$D$2:$D$966,T$1,'Исходные данные'!$F$2:$F$966,$A34)</f>
        <v>0</v>
      </c>
      <c r="U34" s="9" t="n">
        <f aca="false">SUMIFS('Исходные данные'!$J$2:$J$966,'Исходные данные'!$D$2:$D$966,T$1,'Исходные данные'!$F$2:$F$966,$A34)</f>
        <v>1</v>
      </c>
      <c r="V34" s="9" t="n">
        <f aca="false">SUMIFS('Исходные данные'!$I$2:$I$966,'Исходные данные'!$D$2:$D$966,V$1,'Исходные данные'!$F$2:$F$966,$A34)</f>
        <v>0</v>
      </c>
      <c r="W34" s="9" t="n">
        <f aca="false">SUMIFS('Исходные данные'!$J$2:$J$966,'Исходные данные'!$D$2:$D$966,V$1,'Исходные данные'!$F$2:$F$966,$A34)</f>
        <v>0</v>
      </c>
      <c r="X34" s="9" t="n">
        <f aca="false">SUMIFS('Исходные данные'!$I$2:$I$966,'Исходные данные'!$D$2:$D$966,X$1,'Исходные данные'!$F$2:$F$966,$A34)</f>
        <v>0</v>
      </c>
      <c r="Y34" s="9" t="n">
        <f aca="false">SUMIFS('Исходные данные'!$J$2:$J$966,'Исходные данные'!$D$2:$D$966,X$1,'Исходные данные'!$F$2:$F$966,$A34)</f>
        <v>0</v>
      </c>
      <c r="Z34" s="9" t="n">
        <f aca="false">SUMIFS('Исходные данные'!$I$2:$I$966,'Исходные данные'!$D$2:$D$966,Z$1,'Исходные данные'!$F$2:$F$966,$A34)</f>
        <v>0</v>
      </c>
      <c r="AA34" s="9" t="n">
        <f aca="false">SUMIFS('Исходные данные'!$J$2:$J$966,'Исходные данные'!$D$2:$D$966,Z$1,'Исходные данные'!$F$2:$F$966,$A34)</f>
        <v>0</v>
      </c>
      <c r="AB34" s="9" t="n">
        <f aca="false">SUMIFS('Исходные данные'!$I$2:$I$966,'Исходные данные'!$D$2:$D$966,AB$1,'Исходные данные'!$F$2:$F$966,$A34)</f>
        <v>0</v>
      </c>
      <c r="AC34" s="9" t="n">
        <f aca="false">SUMIFS('Исходные данные'!$J$2:$J$966,'Исходные данные'!$D$2:$D$966,AB$1,'Исходные данные'!$F$2:$F$966,$A34)</f>
        <v>0</v>
      </c>
      <c r="AD34" s="9" t="n">
        <f aca="false">SUMIFS('Исходные данные'!$I$2:$I$966,'Исходные данные'!$D$2:$D$966,AD$1,'Исходные данные'!$F$2:$F$966,$A34)</f>
        <v>0</v>
      </c>
      <c r="AE34" s="9" t="n">
        <f aca="false">SUMIFS('Исходные данные'!$J$2:$J$966,'Исходные данные'!$D$2:$D$966,AD$1,'Исходные данные'!$F$2:$F$966,$A34)</f>
        <v>0</v>
      </c>
      <c r="AF34" s="9" t="n">
        <f aca="false">SUMIFS('Исходные данные'!$I$2:$I$966,'Исходные данные'!$D$2:$D$966,AF$1,'Исходные данные'!$F$2:$F$966,$A34)</f>
        <v>0</v>
      </c>
      <c r="AG34" s="9" t="n">
        <f aca="false">SUMIFS('Исходные данные'!$J$2:$J$966,'Исходные данные'!$D$2:$D$966,AF$1,'Исходные данные'!$F$2:$F$966,$A34)</f>
        <v>0</v>
      </c>
      <c r="AH34" s="9" t="n">
        <f aca="false">SUMIFS('Исходные данные'!$I$2:$I$966,'Исходные данные'!$D$2:$D$966,AH$1,'Исходные данные'!$F$2:$F$966,$A34)</f>
        <v>0</v>
      </c>
      <c r="AI34" s="9" t="n">
        <f aca="false">SUMIFS('Исходные данные'!$J$2:$J$966,'Исходные данные'!$D$2:$D$966,AH$1,'Исходные данные'!$F$2:$F$966,$A34)</f>
        <v>0</v>
      </c>
      <c r="AJ34" s="9" t="n">
        <f aca="false">SUMIFS('Исходные данные'!$I$2:$I$966,'Исходные данные'!$D$2:$D$966,AJ$1,'Исходные данные'!$F$2:$F$966,$A34)</f>
        <v>0</v>
      </c>
      <c r="AK34" s="9" t="n">
        <f aca="false">SUMIFS('Исходные данные'!$J$2:$J$966,'Исходные данные'!$D$2:$D$966,AJ$1,'Исходные данные'!$F$2:$F$966,$A34)</f>
        <v>0</v>
      </c>
      <c r="AL34" s="9" t="n">
        <f aca="false">SUMIFS('Исходные данные'!$I$2:$I$966,'Исходные данные'!$D$2:$D$966,AL$1,'Исходные данные'!$F$2:$F$966,$A34)</f>
        <v>0</v>
      </c>
      <c r="AM34" s="9" t="n">
        <f aca="false">SUMIFS('Исходные данные'!$J$2:$J$966,'Исходные данные'!$D$2:$D$966,AL$1,'Исходные данные'!$F$2:$F$966,$A34)</f>
        <v>0</v>
      </c>
      <c r="AN34" s="9" t="n">
        <f aca="false">SUMIFS('Исходные данные'!$I$2:$I$966,'Исходные данные'!$D$2:$D$966,AN$1,'Исходные данные'!$F$2:$F$966,$A34)</f>
        <v>0</v>
      </c>
      <c r="AO34" s="9" t="n">
        <f aca="false">SUMIFS('Исходные данные'!$J$2:$J$966,'Исходные данные'!$D$2:$D$966,AN$1,'Исходные данные'!$F$2:$F$966,$A34)</f>
        <v>0</v>
      </c>
      <c r="AP34" s="9" t="n">
        <f aca="false">SUMIFS('Исходные данные'!$I$2:$I$966,'Исходные данные'!$D$2:$D$966,AP$1,'Исходные данные'!$F$2:$F$966,$A34)</f>
        <v>0</v>
      </c>
      <c r="AQ34" s="9" t="n">
        <f aca="false">SUMIFS('Исходные данные'!$J$2:$J$966,'Исходные данные'!$D$2:$D$966,AP$1,'Исходные данные'!$F$2:$F$966,$A34)</f>
        <v>0</v>
      </c>
      <c r="AR34" s="9" t="n">
        <f aca="false">SUMIFS('Исходные данные'!$I$2:$I$966,'Исходные данные'!$D$2:$D$966,AR$1,'Исходные данные'!$F$2:$F$966,$A34)</f>
        <v>0</v>
      </c>
      <c r="AS34" s="9" t="n">
        <f aca="false">SUMIFS('Исходные данные'!$J$2:$J$966,'Исходные данные'!$D$2:$D$966,AR$1,'Исходные данные'!$F$2:$F$966,$A34)</f>
        <v>0</v>
      </c>
      <c r="AT34" s="9" t="n">
        <f aca="false">SUMIFS('Исходные данные'!$I$2:$I$966,'Исходные данные'!$D$2:$D$966,AT$1,'Исходные данные'!$F$2:$F$966,$A34)</f>
        <v>0</v>
      </c>
      <c r="AU34" s="9" t="n">
        <f aca="false">SUMIFS('Исходные данные'!$J$2:$J$966,'Исходные данные'!$D$2:$D$966,AT$1,'Исходные данные'!$F$2:$F$966,$A34)</f>
        <v>0</v>
      </c>
      <c r="AV34" s="9" t="n">
        <f aca="false">SUMIFS('Исходные данные'!$I$2:$I$966,'Исходные данные'!$D$2:$D$966,AV$1,'Исходные данные'!$F$2:$F$966,$A34)</f>
        <v>0</v>
      </c>
      <c r="AW34" s="9" t="n">
        <f aca="false">SUMIFS('Исходные данные'!$J$2:$J$966,'Исходные данные'!$D$2:$D$966,AV$1,'Исходные данные'!$F$2:$F$966,$A34)</f>
        <v>0</v>
      </c>
      <c r="AX34" s="9" t="n">
        <f aca="false">SUMIFS('Исходные данные'!$I$2:$I$966,'Исходные данные'!$D$2:$D$966,AX$1,'Исходные данные'!$F$2:$F$966,$A34)</f>
        <v>0</v>
      </c>
      <c r="AY34" s="9" t="n">
        <f aca="false">SUMIFS('Исходные данные'!$J$2:$J$966,'Исходные данные'!$D$2:$D$966,AX$1,'Исходные данные'!$F$2:$F$966,$A34)</f>
        <v>0</v>
      </c>
      <c r="AZ34" s="9" t="n">
        <f aca="false">SUMIFS('Исходные данные'!$I$2:$I$966,'Исходные данные'!$D$2:$D$966,AZ$1,'Исходные данные'!$F$2:$F$966,$A34)</f>
        <v>0</v>
      </c>
      <c r="BA34" s="9" t="n">
        <f aca="false">SUMIFS('Исходные данные'!$J$2:$J$966,'Исходные данные'!$D$2:$D$966,AZ$1,'Исходные данные'!$F$2:$F$966,$A34)</f>
        <v>0</v>
      </c>
      <c r="BB34" s="9" t="n">
        <f aca="false">SUMIFS('Исходные данные'!$I$2:$I$966,'Исходные данные'!$D$2:$D$966,BB$1,'Исходные данные'!$F$2:$F$966,$A34)</f>
        <v>0</v>
      </c>
      <c r="BC34" s="9" t="n">
        <f aca="false">SUMIFS('Исходные данные'!$J$2:$J$966,'Исходные данные'!$D$2:$D$966,BB$1,'Исходные данные'!$F$2:$F$966,$A34)</f>
        <v>0</v>
      </c>
      <c r="BD34" s="9" t="n">
        <f aca="false">SUMIFS('Исходные данные'!$I$2:$I$966,'Исходные данные'!$D$2:$D$966,BD$1,'Исходные данные'!$F$2:$F$966,$A34)</f>
        <v>0</v>
      </c>
      <c r="BE34" s="9" t="n">
        <f aca="false">SUMIFS('Исходные данные'!$J$2:$J$966,'Исходные данные'!$D$2:$D$966,BD$1,'Исходные данные'!$F$2:$F$966,$A34)</f>
        <v>0</v>
      </c>
      <c r="BF34" s="9" t="n">
        <f aca="false">SUMIFS('Исходные данные'!$I$2:$I$966,'Исходные данные'!$D$2:$D$966,BF$1,'Исходные данные'!$F$2:$F$966,$A34)</f>
        <v>0</v>
      </c>
      <c r="BG34" s="9" t="n">
        <f aca="false">SUMIFS('Исходные данные'!$J$2:$J$966,'Исходные данные'!$D$2:$D$966,BF$1,'Исходные данные'!$F$2:$F$966,$A34)</f>
        <v>0</v>
      </c>
      <c r="BH34" s="9" t="n">
        <f aca="false">SUMIFS('Исходные данные'!$I$2:$I$966,'Исходные данные'!$D$2:$D$966,BH$1,'Исходные данные'!$F$2:$F$966,$A34)</f>
        <v>0</v>
      </c>
      <c r="BI34" s="9" t="n">
        <f aca="false">SUMIFS('Исходные данные'!$J$2:$J$966,'Исходные данные'!$D$2:$D$966,BH$1,'Исходные данные'!$F$2:$F$966,$A34)</f>
        <v>0</v>
      </c>
      <c r="BJ34" s="9" t="n">
        <f aca="false">SUMIFS('Исходные данные'!$I$2:$I$966,'Исходные данные'!$D$2:$D$966,BJ$1,'Исходные данные'!$F$2:$F$966,$A34)</f>
        <v>0</v>
      </c>
      <c r="BK34" s="9" t="n">
        <f aca="false">SUMIFS('Исходные данные'!$J$2:$J$966,'Исходные данные'!$D$2:$D$966,BJ$1,'Исходные данные'!$F$2:$F$966,$A34)</f>
        <v>0</v>
      </c>
      <c r="BL34" s="9" t="n">
        <f aca="false">SUMIFS('Исходные данные'!$I$2:$I$966,'Исходные данные'!$D$2:$D$966,BL$1,'Исходные данные'!$F$2:$F$966,$A34)</f>
        <v>0</v>
      </c>
      <c r="BM34" s="9" t="n">
        <f aca="false">SUMIFS('Исходные данные'!$J$2:$J$966,'Исходные данные'!$D$2:$D$966,BL$1,'Исходные данные'!$F$2:$F$966,$A34)</f>
        <v>0</v>
      </c>
      <c r="BN34" s="9" t="n">
        <f aca="false">SUMIFS('Исходные данные'!$I$2:$I$966,'Исходные данные'!$D$2:$D$966,BN$1,'Исходные данные'!$F$2:$F$966,$A34)</f>
        <v>0</v>
      </c>
      <c r="BO34" s="9" t="n">
        <f aca="false">SUMIFS('Исходные данные'!$J$2:$J$966,'Исходные данные'!$D$2:$D$966,BN$1,'Исходные данные'!$F$2:$F$966,$A34)</f>
        <v>0</v>
      </c>
      <c r="BP34" s="9" t="n">
        <f aca="false">SUMIFS('Исходные данные'!$I$2:$I$966,'Исходные данные'!$D$2:$D$966,BP$1,'Исходные данные'!$F$2:$F$966,$A34)</f>
        <v>0</v>
      </c>
      <c r="BQ34" s="9" t="n">
        <f aca="false">SUMIFS('Исходные данные'!$J$2:$J$966,'Исходные данные'!$D$2:$D$966,BP$1,'Исходные данные'!$F$2:$F$966,$A34)</f>
        <v>0</v>
      </c>
      <c r="BR34" s="9" t="n">
        <f aca="false">SUMIFS('Исходные данные'!$I$2:$I$966,'Исходные данные'!$D$2:$D$966,BR$1,'Исходные данные'!$F$2:$F$966,$A34)</f>
        <v>0</v>
      </c>
      <c r="BS34" s="9" t="n">
        <f aca="false">SUMIFS('Исходные данные'!$J$2:$J$966,'Исходные данные'!$D$2:$D$966,BR$1,'Исходные данные'!$F$2:$F$966,$A34)</f>
        <v>0</v>
      </c>
      <c r="BT34" s="9" t="n">
        <f aca="false">SUMIFS('Исходные данные'!$I$2:$I$966,'Исходные данные'!$D$2:$D$966,BT$1,'Исходные данные'!$F$2:$F$966,$A34)</f>
        <v>0</v>
      </c>
      <c r="BU34" s="9" t="n">
        <f aca="false">SUMIFS('Исходные данные'!$J$2:$J$966,'Исходные данные'!$D$2:$D$966,BT$1,'Исходные данные'!$F$2:$F$966,$A34)</f>
        <v>0</v>
      </c>
      <c r="BV34" s="9" t="n">
        <f aca="false">SUMIFS('Исходные данные'!$I$2:$I$966,'Исходные данные'!$D$2:$D$966,BV$1,'Исходные данные'!$F$2:$F$966,$A34)</f>
        <v>0</v>
      </c>
      <c r="BW34" s="9" t="n">
        <f aca="false">SUMIFS('Исходные данные'!$J$2:$J$966,'Исходные данные'!$D$2:$D$966,BV$1,'Исходные данные'!$F$2:$F$966,$A34)</f>
        <v>0</v>
      </c>
      <c r="BX34" s="9" t="n">
        <f aca="false">SUMIFS('Исходные данные'!$I$2:$I$966,'Исходные данные'!$D$2:$D$966,BX$1,'Исходные данные'!$F$2:$F$966,$A34)</f>
        <v>0</v>
      </c>
      <c r="BY34" s="9" t="n">
        <f aca="false">SUMIFS('Исходные данные'!$J$2:$J$966,'Исходные данные'!$D$2:$D$966,BX$1,'Исходные данные'!$F$2:$F$966,$A34)</f>
        <v>0</v>
      </c>
      <c r="BZ34" s="9" t="n">
        <f aca="false">SUMIFS('Исходные данные'!$I$2:$I$966,'Исходные данные'!$D$2:$D$966,BZ$1,'Исходные данные'!$F$2:$F$966,$A34)</f>
        <v>0</v>
      </c>
      <c r="CA34" s="9" t="n">
        <f aca="false">SUMIFS('Исходные данные'!$J$2:$J$966,'Исходные данные'!$D$2:$D$966,BZ$1,'Исходные данные'!$F$2:$F$966,$A34)</f>
        <v>0</v>
      </c>
      <c r="CB34" s="9" t="n">
        <f aca="false">SUMIFS('Исходные данные'!$I$2:$I$966,'Исходные данные'!$D$2:$D$966,CB$1,'Исходные данные'!$F$2:$F$966,$A34)</f>
        <v>0</v>
      </c>
      <c r="CC34" s="9" t="n">
        <f aca="false">SUMIFS('Исходные данные'!$J$2:$J$966,'Исходные данные'!$D$2:$D$966,CB$1,'Исходные данные'!$F$2:$F$966,$A34)</f>
        <v>0</v>
      </c>
      <c r="CD34" s="9" t="n">
        <f aca="false">SUMIFS('Исходные данные'!$I$2:$I$966,'Исходные данные'!$D$2:$D$966,CD$1,'Исходные данные'!$F$2:$F$966,$A34)</f>
        <v>0</v>
      </c>
      <c r="CE34" s="9" t="n">
        <f aca="false">SUMIFS('Исходные данные'!$J$2:$J$966,'Исходные данные'!$D$2:$D$966,CD$1,'Исходные данные'!$F$2:$F$966,$A34)</f>
        <v>0</v>
      </c>
      <c r="CF34" s="9" t="n">
        <f aca="false">SUMIFS('Исходные данные'!$I$2:$I$966,'Исходные данные'!$D$2:$D$966,CF$1,'Исходные данные'!$F$2:$F$966,$A34)</f>
        <v>0</v>
      </c>
      <c r="CG34" s="9" t="n">
        <f aca="false">SUMIFS('Исходные данные'!$J$2:$J$966,'Исходные данные'!$D$2:$D$966,CF$1,'Исходные данные'!$F$2:$F$966,$A34)</f>
        <v>0</v>
      </c>
      <c r="CH34" s="9" t="n">
        <f aca="false">SUMIFS('Исходные данные'!$I$2:$I$966,'Исходные данные'!$D$2:$D$966,CH$1,'Исходные данные'!$F$2:$F$966,$A34)</f>
        <v>0</v>
      </c>
      <c r="CI34" s="9" t="n">
        <f aca="false">SUMIFS('Исходные данные'!$J$2:$J$966,'Исходные данные'!$D$2:$D$966,CH$1,'Исходные данные'!$F$2:$F$966,$A34)</f>
        <v>0</v>
      </c>
      <c r="CJ34" s="9" t="n">
        <f aca="false">SUMIFS('Исходные данные'!$I$2:$I$966,'Исходные данные'!$D$2:$D$966,CJ$1,'Исходные данные'!$F$2:$F$966,$A34)</f>
        <v>0</v>
      </c>
      <c r="CK34" s="9" t="n">
        <f aca="false">SUMIFS('Исходные данные'!$J$2:$J$966,'Исходные данные'!$D$2:$D$966,CJ$1,'Исходные данные'!$F$2:$F$966,$A34)</f>
        <v>0</v>
      </c>
      <c r="CL34" s="9" t="n">
        <f aca="false">SUMIFS('Исходные данные'!$I$2:$I$966,'Исходные данные'!$D$2:$D$966,CL$1,'Исходные данные'!$F$2:$F$966,$A34)</f>
        <v>0</v>
      </c>
      <c r="CM34" s="9" t="n">
        <f aca="false">SUMIFS('Исходные данные'!$J$2:$J$966,'Исходные данные'!$D$2:$D$966,CL$1,'Исходные данные'!$F$2:$F$966,$A34)</f>
        <v>0</v>
      </c>
      <c r="CN34" s="9" t="n">
        <f aca="false">SUMIFS('Исходные данные'!$I$2:$I$966,'Исходные данные'!$D$2:$D$966,CN$1,'Исходные данные'!$F$2:$F$966,$A34)</f>
        <v>0</v>
      </c>
      <c r="CO34" s="9" t="n">
        <f aca="false">SUMIFS('Исходные данные'!$J$2:$J$966,'Исходные данные'!$D$2:$D$966,CN$1,'Исходные данные'!$F$2:$F$966,$A34)</f>
        <v>0</v>
      </c>
      <c r="CP34" s="9" t="n">
        <f aca="false">SUMIFS('Исходные данные'!$I$2:$I$966,'Исходные данные'!$D$2:$D$966,CP$1,'Исходные данные'!$F$2:$F$966,$A34)</f>
        <v>0</v>
      </c>
      <c r="CQ34" s="9" t="n">
        <f aca="false">SUMIFS('Исходные данные'!$J$2:$J$966,'Исходные данные'!$D$2:$D$966,CP$1,'Исходные данные'!$F$2:$F$966,$A34)</f>
        <v>0</v>
      </c>
    </row>
    <row r="35" customFormat="false" ht="15" hidden="false" customHeight="false" outlineLevel="0" collapsed="false">
      <c r="A35" s="8" t="s">
        <v>117</v>
      </c>
      <c r="B35" s="9" t="s">
        <v>118</v>
      </c>
      <c r="C35" s="5" t="n">
        <v>2</v>
      </c>
      <c r="D35" s="5" t="n">
        <f aca="false">F35+G35</f>
        <v>2</v>
      </c>
      <c r="E35" s="5" t="n">
        <f aca="false">D35-C35</f>
        <v>0</v>
      </c>
      <c r="F35" s="5" t="n">
        <f aca="false">SUMIFS($H35:$CQ35,$H$2:$CQ$2,"День")</f>
        <v>2</v>
      </c>
      <c r="G35" s="5" t="n">
        <f aca="false">SUMIFS($H35:$CQ35,$H$2:$CQ$2,"Ночь")</f>
        <v>0</v>
      </c>
      <c r="H35" s="9" t="n">
        <f aca="false">SUMIFS('Исходные данные'!$I$2:$I$966,'Исходные данные'!$D$2:$D$966,H$1,'Исходные данные'!$F$2:$F$966,$A35)</f>
        <v>0</v>
      </c>
      <c r="I35" s="9" t="n">
        <f aca="false">SUMIFS('Исходные данные'!$J$2:$J$966,'Исходные данные'!$D$2:$D$966,H$1,'Исходные данные'!$F$2:$F$966,$A35)</f>
        <v>0</v>
      </c>
      <c r="J35" s="9" t="n">
        <f aca="false">SUMIFS('Исходные данные'!$I$2:$I$966,'Исходные данные'!$D$2:$D$966,J$1,'Исходные данные'!$F$2:$F$966,$A35)</f>
        <v>0</v>
      </c>
      <c r="K35" s="9" t="n">
        <f aca="false">SUMIFS('Исходные данные'!$J$2:$J$966,'Исходные данные'!$D$2:$D$966,J$1,'Исходные данные'!$F$2:$F$966,$A35)</f>
        <v>0</v>
      </c>
      <c r="L35" s="9" t="n">
        <f aca="false">SUMIFS('Исходные данные'!$I$2:$I$966,'Исходные данные'!$D$2:$D$966,L$1,'Исходные данные'!$F$2:$F$966,$A35)</f>
        <v>0</v>
      </c>
      <c r="M35" s="9" t="n">
        <f aca="false">SUMIFS('Исходные данные'!$J$2:$J$966,'Исходные данные'!$D$2:$D$966,L$1,'Исходные данные'!$F$2:$F$966,$A35)</f>
        <v>0</v>
      </c>
      <c r="N35" s="9" t="n">
        <f aca="false">SUMIFS('Исходные данные'!$I$2:$I$966,'Исходные данные'!$D$2:$D$966,N$1,'Исходные данные'!$F$2:$F$966,$A35)</f>
        <v>0</v>
      </c>
      <c r="O35" s="9" t="n">
        <f aca="false">SUMIFS('Исходные данные'!$J$2:$J$966,'Исходные данные'!$D$2:$D$966,N$1,'Исходные данные'!$F$2:$F$966,$A35)</f>
        <v>0</v>
      </c>
      <c r="P35" s="9" t="n">
        <f aca="false">SUMIFS('Исходные данные'!$I$2:$I$966,'Исходные данные'!$D$2:$D$966,P$1,'Исходные данные'!$F$2:$F$966,$A35)</f>
        <v>0</v>
      </c>
      <c r="Q35" s="9" t="n">
        <f aca="false">SUMIFS('Исходные данные'!$J$2:$J$966,'Исходные данные'!$D$2:$D$966,P$1,'Исходные данные'!$F$2:$F$966,$A35)</f>
        <v>0</v>
      </c>
      <c r="R35" s="9" t="n">
        <f aca="false">SUMIFS('Исходные данные'!$I$2:$I$966,'Исходные данные'!$D$2:$D$966,R$1,'Исходные данные'!$F$2:$F$966,$A35)</f>
        <v>0</v>
      </c>
      <c r="S35" s="9" t="n">
        <f aca="false">SUMIFS('Исходные данные'!$J$2:$J$966,'Исходные данные'!$D$2:$D$966,R$1,'Исходные данные'!$F$2:$F$966,$A35)</f>
        <v>0</v>
      </c>
      <c r="T35" s="9" t="n">
        <f aca="false">SUMIFS('Исходные данные'!$I$2:$I$966,'Исходные данные'!$D$2:$D$966,T$1,'Исходные данные'!$F$2:$F$966,$A35)</f>
        <v>2</v>
      </c>
      <c r="U35" s="9" t="n">
        <f aca="false">SUMIFS('Исходные данные'!$J$2:$J$966,'Исходные данные'!$D$2:$D$966,T$1,'Исходные данные'!$F$2:$F$966,$A35)</f>
        <v>0</v>
      </c>
      <c r="V35" s="9" t="n">
        <f aca="false">SUMIFS('Исходные данные'!$I$2:$I$966,'Исходные данные'!$D$2:$D$966,V$1,'Исходные данные'!$F$2:$F$966,$A35)</f>
        <v>0</v>
      </c>
      <c r="W35" s="9" t="n">
        <f aca="false">SUMIFS('Исходные данные'!$J$2:$J$966,'Исходные данные'!$D$2:$D$966,V$1,'Исходные данные'!$F$2:$F$966,$A35)</f>
        <v>0</v>
      </c>
      <c r="X35" s="9" t="n">
        <f aca="false">SUMIFS('Исходные данные'!$I$2:$I$966,'Исходные данные'!$D$2:$D$966,X$1,'Исходные данные'!$F$2:$F$966,$A35)</f>
        <v>0</v>
      </c>
      <c r="Y35" s="9" t="n">
        <f aca="false">SUMIFS('Исходные данные'!$J$2:$J$966,'Исходные данные'!$D$2:$D$966,X$1,'Исходные данные'!$F$2:$F$966,$A35)</f>
        <v>0</v>
      </c>
      <c r="Z35" s="9" t="n">
        <f aca="false">SUMIFS('Исходные данные'!$I$2:$I$966,'Исходные данные'!$D$2:$D$966,Z$1,'Исходные данные'!$F$2:$F$966,$A35)</f>
        <v>0</v>
      </c>
      <c r="AA35" s="9" t="n">
        <f aca="false">SUMIFS('Исходные данные'!$J$2:$J$966,'Исходные данные'!$D$2:$D$966,Z$1,'Исходные данные'!$F$2:$F$966,$A35)</f>
        <v>0</v>
      </c>
      <c r="AB35" s="9" t="n">
        <f aca="false">SUMIFS('Исходные данные'!$I$2:$I$966,'Исходные данные'!$D$2:$D$966,AB$1,'Исходные данные'!$F$2:$F$966,$A35)</f>
        <v>0</v>
      </c>
      <c r="AC35" s="9" t="n">
        <f aca="false">SUMIFS('Исходные данные'!$J$2:$J$966,'Исходные данные'!$D$2:$D$966,AB$1,'Исходные данные'!$F$2:$F$966,$A35)</f>
        <v>0</v>
      </c>
      <c r="AD35" s="9" t="n">
        <f aca="false">SUMIFS('Исходные данные'!$I$2:$I$966,'Исходные данные'!$D$2:$D$966,AD$1,'Исходные данные'!$F$2:$F$966,$A35)</f>
        <v>0</v>
      </c>
      <c r="AE35" s="9" t="n">
        <f aca="false">SUMIFS('Исходные данные'!$J$2:$J$966,'Исходные данные'!$D$2:$D$966,AD$1,'Исходные данные'!$F$2:$F$966,$A35)</f>
        <v>0</v>
      </c>
      <c r="AF35" s="9" t="n">
        <f aca="false">SUMIFS('Исходные данные'!$I$2:$I$966,'Исходные данные'!$D$2:$D$966,AF$1,'Исходные данные'!$F$2:$F$966,$A35)</f>
        <v>0</v>
      </c>
      <c r="AG35" s="9" t="n">
        <f aca="false">SUMIFS('Исходные данные'!$J$2:$J$966,'Исходные данные'!$D$2:$D$966,AF$1,'Исходные данные'!$F$2:$F$966,$A35)</f>
        <v>0</v>
      </c>
      <c r="AH35" s="9" t="n">
        <f aca="false">SUMIFS('Исходные данные'!$I$2:$I$966,'Исходные данные'!$D$2:$D$966,AH$1,'Исходные данные'!$F$2:$F$966,$A35)</f>
        <v>0</v>
      </c>
      <c r="AI35" s="9" t="n">
        <f aca="false">SUMIFS('Исходные данные'!$J$2:$J$966,'Исходные данные'!$D$2:$D$966,AH$1,'Исходные данные'!$F$2:$F$966,$A35)</f>
        <v>0</v>
      </c>
      <c r="AJ35" s="9" t="n">
        <f aca="false">SUMIFS('Исходные данные'!$I$2:$I$966,'Исходные данные'!$D$2:$D$966,AJ$1,'Исходные данные'!$F$2:$F$966,$A35)</f>
        <v>0</v>
      </c>
      <c r="AK35" s="9" t="n">
        <f aca="false">SUMIFS('Исходные данные'!$J$2:$J$966,'Исходные данные'!$D$2:$D$966,AJ$1,'Исходные данные'!$F$2:$F$966,$A35)</f>
        <v>0</v>
      </c>
      <c r="AL35" s="9" t="n">
        <f aca="false">SUMIFS('Исходные данные'!$I$2:$I$966,'Исходные данные'!$D$2:$D$966,AL$1,'Исходные данные'!$F$2:$F$966,$A35)</f>
        <v>0</v>
      </c>
      <c r="AM35" s="9" t="n">
        <f aca="false">SUMIFS('Исходные данные'!$J$2:$J$966,'Исходные данные'!$D$2:$D$966,AL$1,'Исходные данные'!$F$2:$F$966,$A35)</f>
        <v>0</v>
      </c>
      <c r="AN35" s="9" t="n">
        <f aca="false">SUMIFS('Исходные данные'!$I$2:$I$966,'Исходные данные'!$D$2:$D$966,AN$1,'Исходные данные'!$F$2:$F$966,$A35)</f>
        <v>0</v>
      </c>
      <c r="AO35" s="9" t="n">
        <f aca="false">SUMIFS('Исходные данные'!$J$2:$J$966,'Исходные данные'!$D$2:$D$966,AN$1,'Исходные данные'!$F$2:$F$966,$A35)</f>
        <v>0</v>
      </c>
      <c r="AP35" s="9" t="n">
        <f aca="false">SUMIFS('Исходные данные'!$I$2:$I$966,'Исходные данные'!$D$2:$D$966,AP$1,'Исходные данные'!$F$2:$F$966,$A35)</f>
        <v>0</v>
      </c>
      <c r="AQ35" s="9" t="n">
        <f aca="false">SUMIFS('Исходные данные'!$J$2:$J$966,'Исходные данные'!$D$2:$D$966,AP$1,'Исходные данные'!$F$2:$F$966,$A35)</f>
        <v>0</v>
      </c>
      <c r="AR35" s="9" t="n">
        <f aca="false">SUMIFS('Исходные данные'!$I$2:$I$966,'Исходные данные'!$D$2:$D$966,AR$1,'Исходные данные'!$F$2:$F$966,$A35)</f>
        <v>0</v>
      </c>
      <c r="AS35" s="9" t="n">
        <f aca="false">SUMIFS('Исходные данные'!$J$2:$J$966,'Исходные данные'!$D$2:$D$966,AR$1,'Исходные данные'!$F$2:$F$966,$A35)</f>
        <v>0</v>
      </c>
      <c r="AT35" s="9" t="n">
        <f aca="false">SUMIFS('Исходные данные'!$I$2:$I$966,'Исходные данные'!$D$2:$D$966,AT$1,'Исходные данные'!$F$2:$F$966,$A35)</f>
        <v>0</v>
      </c>
      <c r="AU35" s="9" t="n">
        <f aca="false">SUMIFS('Исходные данные'!$J$2:$J$966,'Исходные данные'!$D$2:$D$966,AT$1,'Исходные данные'!$F$2:$F$966,$A35)</f>
        <v>0</v>
      </c>
      <c r="AV35" s="9" t="n">
        <f aca="false">SUMIFS('Исходные данные'!$I$2:$I$966,'Исходные данные'!$D$2:$D$966,AV$1,'Исходные данные'!$F$2:$F$966,$A35)</f>
        <v>0</v>
      </c>
      <c r="AW35" s="9" t="n">
        <f aca="false">SUMIFS('Исходные данные'!$J$2:$J$966,'Исходные данные'!$D$2:$D$966,AV$1,'Исходные данные'!$F$2:$F$966,$A35)</f>
        <v>0</v>
      </c>
      <c r="AX35" s="9" t="n">
        <f aca="false">SUMIFS('Исходные данные'!$I$2:$I$966,'Исходные данные'!$D$2:$D$966,AX$1,'Исходные данные'!$F$2:$F$966,$A35)</f>
        <v>0</v>
      </c>
      <c r="AY35" s="9" t="n">
        <f aca="false">SUMIFS('Исходные данные'!$J$2:$J$966,'Исходные данные'!$D$2:$D$966,AX$1,'Исходные данные'!$F$2:$F$966,$A35)</f>
        <v>0</v>
      </c>
      <c r="AZ35" s="9" t="n">
        <f aca="false">SUMIFS('Исходные данные'!$I$2:$I$966,'Исходные данные'!$D$2:$D$966,AZ$1,'Исходные данные'!$F$2:$F$966,$A35)</f>
        <v>0</v>
      </c>
      <c r="BA35" s="9" t="n">
        <f aca="false">SUMIFS('Исходные данные'!$J$2:$J$966,'Исходные данные'!$D$2:$D$966,AZ$1,'Исходные данные'!$F$2:$F$966,$A35)</f>
        <v>0</v>
      </c>
      <c r="BB35" s="9" t="n">
        <f aca="false">SUMIFS('Исходные данные'!$I$2:$I$966,'Исходные данные'!$D$2:$D$966,BB$1,'Исходные данные'!$F$2:$F$966,$A35)</f>
        <v>0</v>
      </c>
      <c r="BC35" s="9" t="n">
        <f aca="false">SUMIFS('Исходные данные'!$J$2:$J$966,'Исходные данные'!$D$2:$D$966,BB$1,'Исходные данные'!$F$2:$F$966,$A35)</f>
        <v>0</v>
      </c>
      <c r="BD35" s="9" t="n">
        <f aca="false">SUMIFS('Исходные данные'!$I$2:$I$966,'Исходные данные'!$D$2:$D$966,BD$1,'Исходные данные'!$F$2:$F$966,$A35)</f>
        <v>0</v>
      </c>
      <c r="BE35" s="9" t="n">
        <f aca="false">SUMIFS('Исходные данные'!$J$2:$J$966,'Исходные данные'!$D$2:$D$966,BD$1,'Исходные данные'!$F$2:$F$966,$A35)</f>
        <v>0</v>
      </c>
      <c r="BF35" s="9" t="n">
        <f aca="false">SUMIFS('Исходные данные'!$I$2:$I$966,'Исходные данные'!$D$2:$D$966,BF$1,'Исходные данные'!$F$2:$F$966,$A35)</f>
        <v>0</v>
      </c>
      <c r="BG35" s="9" t="n">
        <f aca="false">SUMIFS('Исходные данные'!$J$2:$J$966,'Исходные данные'!$D$2:$D$966,BF$1,'Исходные данные'!$F$2:$F$966,$A35)</f>
        <v>0</v>
      </c>
      <c r="BH35" s="9" t="n">
        <f aca="false">SUMIFS('Исходные данные'!$I$2:$I$966,'Исходные данные'!$D$2:$D$966,BH$1,'Исходные данные'!$F$2:$F$966,$A35)</f>
        <v>0</v>
      </c>
      <c r="BI35" s="9" t="n">
        <f aca="false">SUMIFS('Исходные данные'!$J$2:$J$966,'Исходные данные'!$D$2:$D$966,BH$1,'Исходные данные'!$F$2:$F$966,$A35)</f>
        <v>0</v>
      </c>
      <c r="BJ35" s="9" t="n">
        <f aca="false">SUMIFS('Исходные данные'!$I$2:$I$966,'Исходные данные'!$D$2:$D$966,BJ$1,'Исходные данные'!$F$2:$F$966,$A35)</f>
        <v>0</v>
      </c>
      <c r="BK35" s="9" t="n">
        <f aca="false">SUMIFS('Исходные данные'!$J$2:$J$966,'Исходные данные'!$D$2:$D$966,BJ$1,'Исходные данные'!$F$2:$F$966,$A35)</f>
        <v>0</v>
      </c>
      <c r="BL35" s="9" t="n">
        <f aca="false">SUMIFS('Исходные данные'!$I$2:$I$966,'Исходные данные'!$D$2:$D$966,BL$1,'Исходные данные'!$F$2:$F$966,$A35)</f>
        <v>0</v>
      </c>
      <c r="BM35" s="9" t="n">
        <f aca="false">SUMIFS('Исходные данные'!$J$2:$J$966,'Исходные данные'!$D$2:$D$966,BL$1,'Исходные данные'!$F$2:$F$966,$A35)</f>
        <v>0</v>
      </c>
      <c r="BN35" s="9" t="n">
        <f aca="false">SUMIFS('Исходные данные'!$I$2:$I$966,'Исходные данные'!$D$2:$D$966,BN$1,'Исходные данные'!$F$2:$F$966,$A35)</f>
        <v>0</v>
      </c>
      <c r="BO35" s="9" t="n">
        <f aca="false">SUMIFS('Исходные данные'!$J$2:$J$966,'Исходные данные'!$D$2:$D$966,BN$1,'Исходные данные'!$F$2:$F$966,$A35)</f>
        <v>0</v>
      </c>
      <c r="BP35" s="9" t="n">
        <f aca="false">SUMIFS('Исходные данные'!$I$2:$I$966,'Исходные данные'!$D$2:$D$966,BP$1,'Исходные данные'!$F$2:$F$966,$A35)</f>
        <v>0</v>
      </c>
      <c r="BQ35" s="9" t="n">
        <f aca="false">SUMIFS('Исходные данные'!$J$2:$J$966,'Исходные данные'!$D$2:$D$966,BP$1,'Исходные данные'!$F$2:$F$966,$A35)</f>
        <v>0</v>
      </c>
      <c r="BR35" s="9" t="n">
        <f aca="false">SUMIFS('Исходные данные'!$I$2:$I$966,'Исходные данные'!$D$2:$D$966,BR$1,'Исходные данные'!$F$2:$F$966,$A35)</f>
        <v>0</v>
      </c>
      <c r="BS35" s="9" t="n">
        <f aca="false">SUMIFS('Исходные данные'!$J$2:$J$966,'Исходные данные'!$D$2:$D$966,BR$1,'Исходные данные'!$F$2:$F$966,$A35)</f>
        <v>0</v>
      </c>
      <c r="BT35" s="9" t="n">
        <f aca="false">SUMIFS('Исходные данные'!$I$2:$I$966,'Исходные данные'!$D$2:$D$966,BT$1,'Исходные данные'!$F$2:$F$966,$A35)</f>
        <v>0</v>
      </c>
      <c r="BU35" s="9" t="n">
        <f aca="false">SUMIFS('Исходные данные'!$J$2:$J$966,'Исходные данные'!$D$2:$D$966,BT$1,'Исходные данные'!$F$2:$F$966,$A35)</f>
        <v>0</v>
      </c>
      <c r="BV35" s="9" t="n">
        <f aca="false">SUMIFS('Исходные данные'!$I$2:$I$966,'Исходные данные'!$D$2:$D$966,BV$1,'Исходные данные'!$F$2:$F$966,$A35)</f>
        <v>0</v>
      </c>
      <c r="BW35" s="9" t="n">
        <f aca="false">SUMIFS('Исходные данные'!$J$2:$J$966,'Исходные данные'!$D$2:$D$966,BV$1,'Исходные данные'!$F$2:$F$966,$A35)</f>
        <v>0</v>
      </c>
      <c r="BX35" s="9" t="n">
        <f aca="false">SUMIFS('Исходные данные'!$I$2:$I$966,'Исходные данные'!$D$2:$D$966,BX$1,'Исходные данные'!$F$2:$F$966,$A35)</f>
        <v>0</v>
      </c>
      <c r="BY35" s="9" t="n">
        <f aca="false">SUMIFS('Исходные данные'!$J$2:$J$966,'Исходные данные'!$D$2:$D$966,BX$1,'Исходные данные'!$F$2:$F$966,$A35)</f>
        <v>0</v>
      </c>
      <c r="BZ35" s="9" t="n">
        <f aca="false">SUMIFS('Исходные данные'!$I$2:$I$966,'Исходные данные'!$D$2:$D$966,BZ$1,'Исходные данные'!$F$2:$F$966,$A35)</f>
        <v>0</v>
      </c>
      <c r="CA35" s="9" t="n">
        <f aca="false">SUMIFS('Исходные данные'!$J$2:$J$966,'Исходные данные'!$D$2:$D$966,BZ$1,'Исходные данные'!$F$2:$F$966,$A35)</f>
        <v>0</v>
      </c>
      <c r="CB35" s="9" t="n">
        <f aca="false">SUMIFS('Исходные данные'!$I$2:$I$966,'Исходные данные'!$D$2:$D$966,CB$1,'Исходные данные'!$F$2:$F$966,$A35)</f>
        <v>0</v>
      </c>
      <c r="CC35" s="9" t="n">
        <f aca="false">SUMIFS('Исходные данные'!$J$2:$J$966,'Исходные данные'!$D$2:$D$966,CB$1,'Исходные данные'!$F$2:$F$966,$A35)</f>
        <v>0</v>
      </c>
      <c r="CD35" s="9" t="n">
        <f aca="false">SUMIFS('Исходные данные'!$I$2:$I$966,'Исходные данные'!$D$2:$D$966,CD$1,'Исходные данные'!$F$2:$F$966,$A35)</f>
        <v>0</v>
      </c>
      <c r="CE35" s="9" t="n">
        <f aca="false">SUMIFS('Исходные данные'!$J$2:$J$966,'Исходные данные'!$D$2:$D$966,CD$1,'Исходные данные'!$F$2:$F$966,$A35)</f>
        <v>0</v>
      </c>
      <c r="CF35" s="9" t="n">
        <f aca="false">SUMIFS('Исходные данные'!$I$2:$I$966,'Исходные данные'!$D$2:$D$966,CF$1,'Исходные данные'!$F$2:$F$966,$A35)</f>
        <v>0</v>
      </c>
      <c r="CG35" s="9" t="n">
        <f aca="false">SUMIFS('Исходные данные'!$J$2:$J$966,'Исходные данные'!$D$2:$D$966,CF$1,'Исходные данные'!$F$2:$F$966,$A35)</f>
        <v>0</v>
      </c>
      <c r="CH35" s="9" t="n">
        <f aca="false">SUMIFS('Исходные данные'!$I$2:$I$966,'Исходные данные'!$D$2:$D$966,CH$1,'Исходные данные'!$F$2:$F$966,$A35)</f>
        <v>0</v>
      </c>
      <c r="CI35" s="9" t="n">
        <f aca="false">SUMIFS('Исходные данные'!$J$2:$J$966,'Исходные данные'!$D$2:$D$966,CH$1,'Исходные данные'!$F$2:$F$966,$A35)</f>
        <v>0</v>
      </c>
      <c r="CJ35" s="9" t="n">
        <f aca="false">SUMIFS('Исходные данные'!$I$2:$I$966,'Исходные данные'!$D$2:$D$966,CJ$1,'Исходные данные'!$F$2:$F$966,$A35)</f>
        <v>0</v>
      </c>
      <c r="CK35" s="9" t="n">
        <f aca="false">SUMIFS('Исходные данные'!$J$2:$J$966,'Исходные данные'!$D$2:$D$966,CJ$1,'Исходные данные'!$F$2:$F$966,$A35)</f>
        <v>0</v>
      </c>
      <c r="CL35" s="9" t="n">
        <f aca="false">SUMIFS('Исходные данные'!$I$2:$I$966,'Исходные данные'!$D$2:$D$966,CL$1,'Исходные данные'!$F$2:$F$966,$A35)</f>
        <v>0</v>
      </c>
      <c r="CM35" s="9" t="n">
        <f aca="false">SUMIFS('Исходные данные'!$J$2:$J$966,'Исходные данные'!$D$2:$D$966,CL$1,'Исходные данные'!$F$2:$F$966,$A35)</f>
        <v>0</v>
      </c>
      <c r="CN35" s="9" t="n">
        <f aca="false">SUMIFS('Исходные данные'!$I$2:$I$966,'Исходные данные'!$D$2:$D$966,CN$1,'Исходные данные'!$F$2:$F$966,$A35)</f>
        <v>0</v>
      </c>
      <c r="CO35" s="9" t="n">
        <f aca="false">SUMIFS('Исходные данные'!$J$2:$J$966,'Исходные данные'!$D$2:$D$966,CN$1,'Исходные данные'!$F$2:$F$966,$A35)</f>
        <v>0</v>
      </c>
      <c r="CP35" s="9" t="n">
        <f aca="false">SUMIFS('Исходные данные'!$I$2:$I$966,'Исходные данные'!$D$2:$D$966,CP$1,'Исходные данные'!$F$2:$F$966,$A35)</f>
        <v>0</v>
      </c>
      <c r="CQ35" s="9" t="n">
        <f aca="false">SUMIFS('Исходные данные'!$J$2:$J$966,'Исходные данные'!$D$2:$D$966,CP$1,'Исходные данные'!$F$2:$F$966,$A35)</f>
        <v>0</v>
      </c>
    </row>
    <row r="36" customFormat="false" ht="15" hidden="false" customHeight="false" outlineLevel="0" collapsed="false">
      <c r="A36" s="8" t="s">
        <v>119</v>
      </c>
      <c r="B36" s="9" t="s">
        <v>120</v>
      </c>
      <c r="C36" s="5" t="n">
        <v>5</v>
      </c>
      <c r="D36" s="5" t="n">
        <f aca="false">F36+G36</f>
        <v>4</v>
      </c>
      <c r="E36" s="5" t="n">
        <f aca="false">D36-C36</f>
        <v>-1</v>
      </c>
      <c r="F36" s="5" t="n">
        <f aca="false">SUMIFS($H36:$CQ36,$H$2:$CQ$2,"День")</f>
        <v>3</v>
      </c>
      <c r="G36" s="5" t="n">
        <f aca="false">SUMIFS($H36:$CQ36,$H$2:$CQ$2,"Ночь")</f>
        <v>1</v>
      </c>
      <c r="H36" s="9" t="n">
        <f aca="false">SUMIFS('Исходные данные'!$I$2:$I$966,'Исходные данные'!$D$2:$D$966,H$1,'Исходные данные'!$F$2:$F$966,$A36)</f>
        <v>0</v>
      </c>
      <c r="I36" s="9" t="n">
        <f aca="false">SUMIFS('Исходные данные'!$J$2:$J$966,'Исходные данные'!$D$2:$D$966,H$1,'Исходные данные'!$F$2:$F$966,$A36)</f>
        <v>0</v>
      </c>
      <c r="J36" s="9" t="n">
        <f aca="false">SUMIFS('Исходные данные'!$I$2:$I$966,'Исходные данные'!$D$2:$D$966,J$1,'Исходные данные'!$F$2:$F$966,$A36)</f>
        <v>0</v>
      </c>
      <c r="K36" s="9" t="n">
        <f aca="false">SUMIFS('Исходные данные'!$J$2:$J$966,'Исходные данные'!$D$2:$D$966,J$1,'Исходные данные'!$F$2:$F$966,$A36)</f>
        <v>0</v>
      </c>
      <c r="L36" s="9" t="n">
        <f aca="false">SUMIFS('Исходные данные'!$I$2:$I$966,'Исходные данные'!$D$2:$D$966,L$1,'Исходные данные'!$F$2:$F$966,$A36)</f>
        <v>0</v>
      </c>
      <c r="M36" s="9" t="n">
        <f aca="false">SUMIFS('Исходные данные'!$J$2:$J$966,'Исходные данные'!$D$2:$D$966,L$1,'Исходные данные'!$F$2:$F$966,$A36)</f>
        <v>0</v>
      </c>
      <c r="N36" s="9" t="n">
        <f aca="false">SUMIFS('Исходные данные'!$I$2:$I$966,'Исходные данные'!$D$2:$D$966,N$1,'Исходные данные'!$F$2:$F$966,$A36)</f>
        <v>0</v>
      </c>
      <c r="O36" s="9" t="n">
        <f aca="false">SUMIFS('Исходные данные'!$J$2:$J$966,'Исходные данные'!$D$2:$D$966,N$1,'Исходные данные'!$F$2:$F$966,$A36)</f>
        <v>0</v>
      </c>
      <c r="P36" s="9" t="n">
        <f aca="false">SUMIFS('Исходные данные'!$I$2:$I$966,'Исходные данные'!$D$2:$D$966,P$1,'Исходные данные'!$F$2:$F$966,$A36)</f>
        <v>0</v>
      </c>
      <c r="Q36" s="9" t="n">
        <f aca="false">SUMIFS('Исходные данные'!$J$2:$J$966,'Исходные данные'!$D$2:$D$966,P$1,'Исходные данные'!$F$2:$F$966,$A36)</f>
        <v>0</v>
      </c>
      <c r="R36" s="9" t="n">
        <f aca="false">SUMIFS('Исходные данные'!$I$2:$I$966,'Исходные данные'!$D$2:$D$966,R$1,'Исходные данные'!$F$2:$F$966,$A36)</f>
        <v>0</v>
      </c>
      <c r="S36" s="9" t="n">
        <f aca="false">SUMIFS('Исходные данные'!$J$2:$J$966,'Исходные данные'!$D$2:$D$966,R$1,'Исходные данные'!$F$2:$F$966,$A36)</f>
        <v>0</v>
      </c>
      <c r="T36" s="9" t="n">
        <f aca="false">SUMIFS('Исходные данные'!$I$2:$I$966,'Исходные данные'!$D$2:$D$966,T$1,'Исходные данные'!$F$2:$F$966,$A36)</f>
        <v>0</v>
      </c>
      <c r="U36" s="9" t="n">
        <f aca="false">SUMIFS('Исходные данные'!$J$2:$J$966,'Исходные данные'!$D$2:$D$966,T$1,'Исходные данные'!$F$2:$F$966,$A36)</f>
        <v>0</v>
      </c>
      <c r="V36" s="9" t="n">
        <f aca="false">SUMIFS('Исходные данные'!$I$2:$I$966,'Исходные данные'!$D$2:$D$966,V$1,'Исходные данные'!$F$2:$F$966,$A36)</f>
        <v>0</v>
      </c>
      <c r="W36" s="9" t="n">
        <f aca="false">SUMIFS('Исходные данные'!$J$2:$J$966,'Исходные данные'!$D$2:$D$966,V$1,'Исходные данные'!$F$2:$F$966,$A36)</f>
        <v>0</v>
      </c>
      <c r="X36" s="9" t="n">
        <f aca="false">SUMIFS('Исходные данные'!$I$2:$I$966,'Исходные данные'!$D$2:$D$966,X$1,'Исходные данные'!$F$2:$F$966,$A36)</f>
        <v>0</v>
      </c>
      <c r="Y36" s="9" t="n">
        <f aca="false">SUMIFS('Исходные данные'!$J$2:$J$966,'Исходные данные'!$D$2:$D$966,X$1,'Исходные данные'!$F$2:$F$966,$A36)</f>
        <v>0</v>
      </c>
      <c r="Z36" s="9" t="n">
        <f aca="false">SUMIFS('Исходные данные'!$I$2:$I$966,'Исходные данные'!$D$2:$D$966,Z$1,'Исходные данные'!$F$2:$F$966,$A36)</f>
        <v>0</v>
      </c>
      <c r="AA36" s="9" t="n">
        <f aca="false">SUMIFS('Исходные данные'!$J$2:$J$966,'Исходные данные'!$D$2:$D$966,Z$1,'Исходные данные'!$F$2:$F$966,$A36)</f>
        <v>0</v>
      </c>
      <c r="AB36" s="9" t="n">
        <f aca="false">SUMIFS('Исходные данные'!$I$2:$I$966,'Исходные данные'!$D$2:$D$966,AB$1,'Исходные данные'!$F$2:$F$966,$A36)</f>
        <v>0</v>
      </c>
      <c r="AC36" s="9" t="n">
        <f aca="false">SUMIFS('Исходные данные'!$J$2:$J$966,'Исходные данные'!$D$2:$D$966,AB$1,'Исходные данные'!$F$2:$F$966,$A36)</f>
        <v>0</v>
      </c>
      <c r="AD36" s="9" t="n">
        <f aca="false">SUMIFS('Исходные данные'!$I$2:$I$966,'Исходные данные'!$D$2:$D$966,AD$1,'Исходные данные'!$F$2:$F$966,$A36)</f>
        <v>0</v>
      </c>
      <c r="AE36" s="9" t="n">
        <f aca="false">SUMIFS('Исходные данные'!$J$2:$J$966,'Исходные данные'!$D$2:$D$966,AD$1,'Исходные данные'!$F$2:$F$966,$A36)</f>
        <v>0</v>
      </c>
      <c r="AF36" s="9" t="n">
        <f aca="false">SUMIFS('Исходные данные'!$I$2:$I$966,'Исходные данные'!$D$2:$D$966,AF$1,'Исходные данные'!$F$2:$F$966,$A36)</f>
        <v>2</v>
      </c>
      <c r="AG36" s="9" t="n">
        <f aca="false">SUMIFS('Исходные данные'!$J$2:$J$966,'Исходные данные'!$D$2:$D$966,AF$1,'Исходные данные'!$F$2:$F$966,$A36)</f>
        <v>0</v>
      </c>
      <c r="AH36" s="9" t="n">
        <f aca="false">SUMIFS('Исходные данные'!$I$2:$I$966,'Исходные данные'!$D$2:$D$966,AH$1,'Исходные данные'!$F$2:$F$966,$A36)</f>
        <v>0</v>
      </c>
      <c r="AI36" s="9" t="n">
        <f aca="false">SUMIFS('Исходные данные'!$J$2:$J$966,'Исходные данные'!$D$2:$D$966,AH$1,'Исходные данные'!$F$2:$F$966,$A36)</f>
        <v>0</v>
      </c>
      <c r="AJ36" s="9" t="n">
        <f aca="false">SUMIFS('Исходные данные'!$I$2:$I$966,'Исходные данные'!$D$2:$D$966,AJ$1,'Исходные данные'!$F$2:$F$966,$A36)</f>
        <v>0</v>
      </c>
      <c r="AK36" s="9" t="n">
        <f aca="false">SUMIFS('Исходные данные'!$J$2:$J$966,'Исходные данные'!$D$2:$D$966,AJ$1,'Исходные данные'!$F$2:$F$966,$A36)</f>
        <v>0</v>
      </c>
      <c r="AL36" s="9" t="n">
        <f aca="false">SUMIFS('Исходные данные'!$I$2:$I$966,'Исходные данные'!$D$2:$D$966,AL$1,'Исходные данные'!$F$2:$F$966,$A36)</f>
        <v>1</v>
      </c>
      <c r="AM36" s="9" t="n">
        <f aca="false">SUMIFS('Исходные данные'!$J$2:$J$966,'Исходные данные'!$D$2:$D$966,AL$1,'Исходные данные'!$F$2:$F$966,$A36)</f>
        <v>1</v>
      </c>
      <c r="AN36" s="9" t="n">
        <f aca="false">SUMIFS('Исходные данные'!$I$2:$I$966,'Исходные данные'!$D$2:$D$966,AN$1,'Исходные данные'!$F$2:$F$966,$A36)</f>
        <v>0</v>
      </c>
      <c r="AO36" s="9" t="n">
        <f aca="false">SUMIFS('Исходные данные'!$J$2:$J$966,'Исходные данные'!$D$2:$D$966,AN$1,'Исходные данные'!$F$2:$F$966,$A36)</f>
        <v>0</v>
      </c>
      <c r="AP36" s="9" t="n">
        <f aca="false">SUMIFS('Исходные данные'!$I$2:$I$966,'Исходные данные'!$D$2:$D$966,AP$1,'Исходные данные'!$F$2:$F$966,$A36)</f>
        <v>0</v>
      </c>
      <c r="AQ36" s="9" t="n">
        <f aca="false">SUMIFS('Исходные данные'!$J$2:$J$966,'Исходные данные'!$D$2:$D$966,AP$1,'Исходные данные'!$F$2:$F$966,$A36)</f>
        <v>0</v>
      </c>
      <c r="AR36" s="9" t="n">
        <f aca="false">SUMIFS('Исходные данные'!$I$2:$I$966,'Исходные данные'!$D$2:$D$966,AR$1,'Исходные данные'!$F$2:$F$966,$A36)</f>
        <v>0</v>
      </c>
      <c r="AS36" s="9" t="n">
        <f aca="false">SUMIFS('Исходные данные'!$J$2:$J$966,'Исходные данные'!$D$2:$D$966,AR$1,'Исходные данные'!$F$2:$F$966,$A36)</f>
        <v>0</v>
      </c>
      <c r="AT36" s="9" t="n">
        <f aca="false">SUMIFS('Исходные данные'!$I$2:$I$966,'Исходные данные'!$D$2:$D$966,AT$1,'Исходные данные'!$F$2:$F$966,$A36)</f>
        <v>0</v>
      </c>
      <c r="AU36" s="9" t="n">
        <f aca="false">SUMIFS('Исходные данные'!$J$2:$J$966,'Исходные данные'!$D$2:$D$966,AT$1,'Исходные данные'!$F$2:$F$966,$A36)</f>
        <v>0</v>
      </c>
      <c r="AV36" s="9" t="n">
        <f aca="false">SUMIFS('Исходные данные'!$I$2:$I$966,'Исходные данные'!$D$2:$D$966,AV$1,'Исходные данные'!$F$2:$F$966,$A36)</f>
        <v>0</v>
      </c>
      <c r="AW36" s="9" t="n">
        <f aca="false">SUMIFS('Исходные данные'!$J$2:$J$966,'Исходные данные'!$D$2:$D$966,AV$1,'Исходные данные'!$F$2:$F$966,$A36)</f>
        <v>0</v>
      </c>
      <c r="AX36" s="9" t="n">
        <f aca="false">SUMIFS('Исходные данные'!$I$2:$I$966,'Исходные данные'!$D$2:$D$966,AX$1,'Исходные данные'!$F$2:$F$966,$A36)</f>
        <v>0</v>
      </c>
      <c r="AY36" s="9" t="n">
        <f aca="false">SUMIFS('Исходные данные'!$J$2:$J$966,'Исходные данные'!$D$2:$D$966,AX$1,'Исходные данные'!$F$2:$F$966,$A36)</f>
        <v>0</v>
      </c>
      <c r="AZ36" s="9" t="n">
        <f aca="false">SUMIFS('Исходные данные'!$I$2:$I$966,'Исходные данные'!$D$2:$D$966,AZ$1,'Исходные данные'!$F$2:$F$966,$A36)</f>
        <v>0</v>
      </c>
      <c r="BA36" s="9" t="n">
        <f aca="false">SUMIFS('Исходные данные'!$J$2:$J$966,'Исходные данные'!$D$2:$D$966,AZ$1,'Исходные данные'!$F$2:$F$966,$A36)</f>
        <v>0</v>
      </c>
      <c r="BB36" s="9" t="n">
        <f aca="false">SUMIFS('Исходные данные'!$I$2:$I$966,'Исходные данные'!$D$2:$D$966,BB$1,'Исходные данные'!$F$2:$F$966,$A36)</f>
        <v>0</v>
      </c>
      <c r="BC36" s="9" t="n">
        <f aca="false">SUMIFS('Исходные данные'!$J$2:$J$966,'Исходные данные'!$D$2:$D$966,BB$1,'Исходные данные'!$F$2:$F$966,$A36)</f>
        <v>0</v>
      </c>
      <c r="BD36" s="9" t="n">
        <f aca="false">SUMIFS('Исходные данные'!$I$2:$I$966,'Исходные данные'!$D$2:$D$966,BD$1,'Исходные данные'!$F$2:$F$966,$A36)</f>
        <v>0</v>
      </c>
      <c r="BE36" s="9" t="n">
        <f aca="false">SUMIFS('Исходные данные'!$J$2:$J$966,'Исходные данные'!$D$2:$D$966,BD$1,'Исходные данные'!$F$2:$F$966,$A36)</f>
        <v>0</v>
      </c>
      <c r="BF36" s="9" t="n">
        <f aca="false">SUMIFS('Исходные данные'!$I$2:$I$966,'Исходные данные'!$D$2:$D$966,BF$1,'Исходные данные'!$F$2:$F$966,$A36)</f>
        <v>0</v>
      </c>
      <c r="BG36" s="9" t="n">
        <f aca="false">SUMIFS('Исходные данные'!$J$2:$J$966,'Исходные данные'!$D$2:$D$966,BF$1,'Исходные данные'!$F$2:$F$966,$A36)</f>
        <v>0</v>
      </c>
      <c r="BH36" s="9" t="n">
        <f aca="false">SUMIFS('Исходные данные'!$I$2:$I$966,'Исходные данные'!$D$2:$D$966,BH$1,'Исходные данные'!$F$2:$F$966,$A36)</f>
        <v>0</v>
      </c>
      <c r="BI36" s="9" t="n">
        <f aca="false">SUMIFS('Исходные данные'!$J$2:$J$966,'Исходные данные'!$D$2:$D$966,BH$1,'Исходные данные'!$F$2:$F$966,$A36)</f>
        <v>0</v>
      </c>
      <c r="BJ36" s="9" t="n">
        <f aca="false">SUMIFS('Исходные данные'!$I$2:$I$966,'Исходные данные'!$D$2:$D$966,BJ$1,'Исходные данные'!$F$2:$F$966,$A36)</f>
        <v>0</v>
      </c>
      <c r="BK36" s="9" t="n">
        <f aca="false">SUMIFS('Исходные данные'!$J$2:$J$966,'Исходные данные'!$D$2:$D$966,BJ$1,'Исходные данные'!$F$2:$F$966,$A36)</f>
        <v>0</v>
      </c>
      <c r="BL36" s="9" t="n">
        <f aca="false">SUMIFS('Исходные данные'!$I$2:$I$966,'Исходные данные'!$D$2:$D$966,BL$1,'Исходные данные'!$F$2:$F$966,$A36)</f>
        <v>0</v>
      </c>
      <c r="BM36" s="9" t="n">
        <f aca="false">SUMIFS('Исходные данные'!$J$2:$J$966,'Исходные данные'!$D$2:$D$966,BL$1,'Исходные данные'!$F$2:$F$966,$A36)</f>
        <v>0</v>
      </c>
      <c r="BN36" s="9" t="n">
        <f aca="false">SUMIFS('Исходные данные'!$I$2:$I$966,'Исходные данные'!$D$2:$D$966,BN$1,'Исходные данные'!$F$2:$F$966,$A36)</f>
        <v>0</v>
      </c>
      <c r="BO36" s="9" t="n">
        <f aca="false">SUMIFS('Исходные данные'!$J$2:$J$966,'Исходные данные'!$D$2:$D$966,BN$1,'Исходные данные'!$F$2:$F$966,$A36)</f>
        <v>0</v>
      </c>
      <c r="BP36" s="9" t="n">
        <f aca="false">SUMIFS('Исходные данные'!$I$2:$I$966,'Исходные данные'!$D$2:$D$966,BP$1,'Исходные данные'!$F$2:$F$966,$A36)</f>
        <v>0</v>
      </c>
      <c r="BQ36" s="9" t="n">
        <f aca="false">SUMIFS('Исходные данные'!$J$2:$J$966,'Исходные данные'!$D$2:$D$966,BP$1,'Исходные данные'!$F$2:$F$966,$A36)</f>
        <v>0</v>
      </c>
      <c r="BR36" s="9" t="n">
        <f aca="false">SUMIFS('Исходные данные'!$I$2:$I$966,'Исходные данные'!$D$2:$D$966,BR$1,'Исходные данные'!$F$2:$F$966,$A36)</f>
        <v>0</v>
      </c>
      <c r="BS36" s="9" t="n">
        <f aca="false">SUMIFS('Исходные данные'!$J$2:$J$966,'Исходные данные'!$D$2:$D$966,BR$1,'Исходные данные'!$F$2:$F$966,$A36)</f>
        <v>0</v>
      </c>
      <c r="BT36" s="9" t="n">
        <f aca="false">SUMIFS('Исходные данные'!$I$2:$I$966,'Исходные данные'!$D$2:$D$966,BT$1,'Исходные данные'!$F$2:$F$966,$A36)</f>
        <v>0</v>
      </c>
      <c r="BU36" s="9" t="n">
        <f aca="false">SUMIFS('Исходные данные'!$J$2:$J$966,'Исходные данные'!$D$2:$D$966,BT$1,'Исходные данные'!$F$2:$F$966,$A36)</f>
        <v>0</v>
      </c>
      <c r="BV36" s="9" t="n">
        <f aca="false">SUMIFS('Исходные данные'!$I$2:$I$966,'Исходные данные'!$D$2:$D$966,BV$1,'Исходные данные'!$F$2:$F$966,$A36)</f>
        <v>0</v>
      </c>
      <c r="BW36" s="9" t="n">
        <f aca="false">SUMIFS('Исходные данные'!$J$2:$J$966,'Исходные данные'!$D$2:$D$966,BV$1,'Исходные данные'!$F$2:$F$966,$A36)</f>
        <v>0</v>
      </c>
      <c r="BX36" s="9" t="n">
        <f aca="false">SUMIFS('Исходные данные'!$I$2:$I$966,'Исходные данные'!$D$2:$D$966,BX$1,'Исходные данные'!$F$2:$F$966,$A36)</f>
        <v>0</v>
      </c>
      <c r="BY36" s="9" t="n">
        <f aca="false">SUMIFS('Исходные данные'!$J$2:$J$966,'Исходные данные'!$D$2:$D$966,BX$1,'Исходные данные'!$F$2:$F$966,$A36)</f>
        <v>0</v>
      </c>
      <c r="BZ36" s="9" t="n">
        <f aca="false">SUMIFS('Исходные данные'!$I$2:$I$966,'Исходные данные'!$D$2:$D$966,BZ$1,'Исходные данные'!$F$2:$F$966,$A36)</f>
        <v>0</v>
      </c>
      <c r="CA36" s="9" t="n">
        <f aca="false">SUMIFS('Исходные данные'!$J$2:$J$966,'Исходные данные'!$D$2:$D$966,BZ$1,'Исходные данные'!$F$2:$F$966,$A36)</f>
        <v>0</v>
      </c>
      <c r="CB36" s="9" t="n">
        <f aca="false">SUMIFS('Исходные данные'!$I$2:$I$966,'Исходные данные'!$D$2:$D$966,CB$1,'Исходные данные'!$F$2:$F$966,$A36)</f>
        <v>0</v>
      </c>
      <c r="CC36" s="9" t="n">
        <f aca="false">SUMIFS('Исходные данные'!$J$2:$J$966,'Исходные данные'!$D$2:$D$966,CB$1,'Исходные данные'!$F$2:$F$966,$A36)</f>
        <v>0</v>
      </c>
      <c r="CD36" s="9" t="n">
        <f aca="false">SUMIFS('Исходные данные'!$I$2:$I$966,'Исходные данные'!$D$2:$D$966,CD$1,'Исходные данные'!$F$2:$F$966,$A36)</f>
        <v>0</v>
      </c>
      <c r="CE36" s="9" t="n">
        <f aca="false">SUMIFS('Исходные данные'!$J$2:$J$966,'Исходные данные'!$D$2:$D$966,CD$1,'Исходные данные'!$F$2:$F$966,$A36)</f>
        <v>0</v>
      </c>
      <c r="CF36" s="9" t="n">
        <f aca="false">SUMIFS('Исходные данные'!$I$2:$I$966,'Исходные данные'!$D$2:$D$966,CF$1,'Исходные данные'!$F$2:$F$966,$A36)</f>
        <v>0</v>
      </c>
      <c r="CG36" s="9" t="n">
        <f aca="false">SUMIFS('Исходные данные'!$J$2:$J$966,'Исходные данные'!$D$2:$D$966,CF$1,'Исходные данные'!$F$2:$F$966,$A36)</f>
        <v>0</v>
      </c>
      <c r="CH36" s="9" t="n">
        <f aca="false">SUMIFS('Исходные данные'!$I$2:$I$966,'Исходные данные'!$D$2:$D$966,CH$1,'Исходные данные'!$F$2:$F$966,$A36)</f>
        <v>0</v>
      </c>
      <c r="CI36" s="9" t="n">
        <f aca="false">SUMIFS('Исходные данные'!$J$2:$J$966,'Исходные данные'!$D$2:$D$966,CH$1,'Исходные данные'!$F$2:$F$966,$A36)</f>
        <v>0</v>
      </c>
      <c r="CJ36" s="9" t="n">
        <f aca="false">SUMIFS('Исходные данные'!$I$2:$I$966,'Исходные данные'!$D$2:$D$966,CJ$1,'Исходные данные'!$F$2:$F$966,$A36)</f>
        <v>0</v>
      </c>
      <c r="CK36" s="9" t="n">
        <f aca="false">SUMIFS('Исходные данные'!$J$2:$J$966,'Исходные данные'!$D$2:$D$966,CJ$1,'Исходные данные'!$F$2:$F$966,$A36)</f>
        <v>0</v>
      </c>
      <c r="CL36" s="9" t="n">
        <f aca="false">SUMIFS('Исходные данные'!$I$2:$I$966,'Исходные данные'!$D$2:$D$966,CL$1,'Исходные данные'!$F$2:$F$966,$A36)</f>
        <v>0</v>
      </c>
      <c r="CM36" s="9" t="n">
        <f aca="false">SUMIFS('Исходные данные'!$J$2:$J$966,'Исходные данные'!$D$2:$D$966,CL$1,'Исходные данные'!$F$2:$F$966,$A36)</f>
        <v>0</v>
      </c>
      <c r="CN36" s="9" t="n">
        <f aca="false">SUMIFS('Исходные данные'!$I$2:$I$966,'Исходные данные'!$D$2:$D$966,CN$1,'Исходные данные'!$F$2:$F$966,$A36)</f>
        <v>0</v>
      </c>
      <c r="CO36" s="9" t="n">
        <f aca="false">SUMIFS('Исходные данные'!$J$2:$J$966,'Исходные данные'!$D$2:$D$966,CN$1,'Исходные данные'!$F$2:$F$966,$A36)</f>
        <v>0</v>
      </c>
      <c r="CP36" s="9" t="n">
        <f aca="false">SUMIFS('Исходные данные'!$I$2:$I$966,'Исходные данные'!$D$2:$D$966,CP$1,'Исходные данные'!$F$2:$F$966,$A36)</f>
        <v>0</v>
      </c>
      <c r="CQ36" s="9" t="n">
        <f aca="false">SUMIFS('Исходные данные'!$J$2:$J$966,'Исходные данные'!$D$2:$D$966,CP$1,'Исходные данные'!$F$2:$F$966,$A36)</f>
        <v>0</v>
      </c>
    </row>
    <row r="37" customFormat="false" ht="15" hidden="false" customHeight="false" outlineLevel="0" collapsed="false">
      <c r="A37" s="8" t="s">
        <v>121</v>
      </c>
      <c r="B37" s="9" t="s">
        <v>122</v>
      </c>
      <c r="C37" s="5" t="n">
        <v>4</v>
      </c>
      <c r="D37" s="5" t="n">
        <f aca="false">F37+G37</f>
        <v>4</v>
      </c>
      <c r="E37" s="5" t="n">
        <f aca="false">D37-C37</f>
        <v>0</v>
      </c>
      <c r="F37" s="5" t="n">
        <f aca="false">SUMIFS($H37:$CQ37,$H$2:$CQ$2,"День")</f>
        <v>3</v>
      </c>
      <c r="G37" s="5" t="n">
        <f aca="false">SUMIFS($H37:$CQ37,$H$2:$CQ$2,"Ночь")</f>
        <v>1</v>
      </c>
      <c r="H37" s="9" t="n">
        <f aca="false">SUMIFS('Исходные данные'!$I$2:$I$966,'Исходные данные'!$D$2:$D$966,H$1,'Исходные данные'!$F$2:$F$966,$A37)</f>
        <v>0</v>
      </c>
      <c r="I37" s="9" t="n">
        <f aca="false">SUMIFS('Исходные данные'!$J$2:$J$966,'Исходные данные'!$D$2:$D$966,H$1,'Исходные данные'!$F$2:$F$966,$A37)</f>
        <v>0</v>
      </c>
      <c r="J37" s="9" t="n">
        <f aca="false">SUMIFS('Исходные данные'!$I$2:$I$966,'Исходные данные'!$D$2:$D$966,J$1,'Исходные данные'!$F$2:$F$966,$A37)</f>
        <v>0</v>
      </c>
      <c r="K37" s="9" t="n">
        <f aca="false">SUMIFS('Исходные данные'!$J$2:$J$966,'Исходные данные'!$D$2:$D$966,J$1,'Исходные данные'!$F$2:$F$966,$A37)</f>
        <v>0</v>
      </c>
      <c r="L37" s="9" t="n">
        <f aca="false">SUMIFS('Исходные данные'!$I$2:$I$966,'Исходные данные'!$D$2:$D$966,L$1,'Исходные данные'!$F$2:$F$966,$A37)</f>
        <v>0</v>
      </c>
      <c r="M37" s="9" t="n">
        <f aca="false">SUMIFS('Исходные данные'!$J$2:$J$966,'Исходные данные'!$D$2:$D$966,L$1,'Исходные данные'!$F$2:$F$966,$A37)</f>
        <v>0</v>
      </c>
      <c r="N37" s="9" t="n">
        <f aca="false">SUMIFS('Исходные данные'!$I$2:$I$966,'Исходные данные'!$D$2:$D$966,N$1,'Исходные данные'!$F$2:$F$966,$A37)</f>
        <v>0</v>
      </c>
      <c r="O37" s="9" t="n">
        <f aca="false">SUMIFS('Исходные данные'!$J$2:$J$966,'Исходные данные'!$D$2:$D$966,N$1,'Исходные данные'!$F$2:$F$966,$A37)</f>
        <v>0</v>
      </c>
      <c r="P37" s="9" t="n">
        <f aca="false">SUMIFS('Исходные данные'!$I$2:$I$966,'Исходные данные'!$D$2:$D$966,P$1,'Исходные данные'!$F$2:$F$966,$A37)</f>
        <v>0</v>
      </c>
      <c r="Q37" s="9" t="n">
        <f aca="false">SUMIFS('Исходные данные'!$J$2:$J$966,'Исходные данные'!$D$2:$D$966,P$1,'Исходные данные'!$F$2:$F$966,$A37)</f>
        <v>0</v>
      </c>
      <c r="R37" s="9" t="n">
        <f aca="false">SUMIFS('Исходные данные'!$I$2:$I$966,'Исходные данные'!$D$2:$D$966,R$1,'Исходные данные'!$F$2:$F$966,$A37)</f>
        <v>0</v>
      </c>
      <c r="S37" s="9" t="n">
        <f aca="false">SUMIFS('Исходные данные'!$J$2:$J$966,'Исходные данные'!$D$2:$D$966,R$1,'Исходные данные'!$F$2:$F$966,$A37)</f>
        <v>0</v>
      </c>
      <c r="T37" s="9" t="n">
        <f aca="false">SUMIFS('Исходные данные'!$I$2:$I$966,'Исходные данные'!$D$2:$D$966,T$1,'Исходные данные'!$F$2:$F$966,$A37)</f>
        <v>0</v>
      </c>
      <c r="U37" s="9" t="n">
        <f aca="false">SUMIFS('Исходные данные'!$J$2:$J$966,'Исходные данные'!$D$2:$D$966,T$1,'Исходные данные'!$F$2:$F$966,$A37)</f>
        <v>0</v>
      </c>
      <c r="V37" s="9" t="n">
        <f aca="false">SUMIFS('Исходные данные'!$I$2:$I$966,'Исходные данные'!$D$2:$D$966,V$1,'Исходные данные'!$F$2:$F$966,$A37)</f>
        <v>0</v>
      </c>
      <c r="W37" s="9" t="n">
        <f aca="false">SUMIFS('Исходные данные'!$J$2:$J$966,'Исходные данные'!$D$2:$D$966,V$1,'Исходные данные'!$F$2:$F$966,$A37)</f>
        <v>0</v>
      </c>
      <c r="X37" s="9" t="n">
        <f aca="false">SUMIFS('Исходные данные'!$I$2:$I$966,'Исходные данные'!$D$2:$D$966,X$1,'Исходные данные'!$F$2:$F$966,$A37)</f>
        <v>2</v>
      </c>
      <c r="Y37" s="9" t="n">
        <f aca="false">SUMIFS('Исходные данные'!$J$2:$J$966,'Исходные данные'!$D$2:$D$966,X$1,'Исходные данные'!$F$2:$F$966,$A37)</f>
        <v>1</v>
      </c>
      <c r="Z37" s="9" t="n">
        <f aca="false">SUMIFS('Исходные данные'!$I$2:$I$966,'Исходные данные'!$D$2:$D$966,Z$1,'Исходные данные'!$F$2:$F$966,$A37)</f>
        <v>0</v>
      </c>
      <c r="AA37" s="9" t="n">
        <f aca="false">SUMIFS('Исходные данные'!$J$2:$J$966,'Исходные данные'!$D$2:$D$966,Z$1,'Исходные данные'!$F$2:$F$966,$A37)</f>
        <v>0</v>
      </c>
      <c r="AB37" s="9" t="n">
        <f aca="false">SUMIFS('Исходные данные'!$I$2:$I$966,'Исходные данные'!$D$2:$D$966,AB$1,'Исходные данные'!$F$2:$F$966,$A37)</f>
        <v>0</v>
      </c>
      <c r="AC37" s="9" t="n">
        <f aca="false">SUMIFS('Исходные данные'!$J$2:$J$966,'Исходные данные'!$D$2:$D$966,AB$1,'Исходные данные'!$F$2:$F$966,$A37)</f>
        <v>0</v>
      </c>
      <c r="AD37" s="9" t="n">
        <f aca="false">SUMIFS('Исходные данные'!$I$2:$I$966,'Исходные данные'!$D$2:$D$966,AD$1,'Исходные данные'!$F$2:$F$966,$A37)</f>
        <v>0</v>
      </c>
      <c r="AE37" s="9" t="n">
        <f aca="false">SUMIFS('Исходные данные'!$J$2:$J$966,'Исходные данные'!$D$2:$D$966,AD$1,'Исходные данные'!$F$2:$F$966,$A37)</f>
        <v>0</v>
      </c>
      <c r="AF37" s="9" t="n">
        <f aca="false">SUMIFS('Исходные данные'!$I$2:$I$966,'Исходные данные'!$D$2:$D$966,AF$1,'Исходные данные'!$F$2:$F$966,$A37)</f>
        <v>0</v>
      </c>
      <c r="AG37" s="9" t="n">
        <f aca="false">SUMIFS('Исходные данные'!$J$2:$J$966,'Исходные данные'!$D$2:$D$966,AF$1,'Исходные данные'!$F$2:$F$966,$A37)</f>
        <v>0</v>
      </c>
      <c r="AH37" s="9" t="n">
        <f aca="false">SUMIFS('Исходные данные'!$I$2:$I$966,'Исходные данные'!$D$2:$D$966,AH$1,'Исходные данные'!$F$2:$F$966,$A37)</f>
        <v>1</v>
      </c>
      <c r="AI37" s="9" t="n">
        <f aca="false">SUMIFS('Исходные данные'!$J$2:$J$966,'Исходные данные'!$D$2:$D$966,AH$1,'Исходные данные'!$F$2:$F$966,$A37)</f>
        <v>0</v>
      </c>
      <c r="AJ37" s="9" t="n">
        <f aca="false">SUMIFS('Исходные данные'!$I$2:$I$966,'Исходные данные'!$D$2:$D$966,AJ$1,'Исходные данные'!$F$2:$F$966,$A37)</f>
        <v>0</v>
      </c>
      <c r="AK37" s="9" t="n">
        <f aca="false">SUMIFS('Исходные данные'!$J$2:$J$966,'Исходные данные'!$D$2:$D$966,AJ$1,'Исходные данные'!$F$2:$F$966,$A37)</f>
        <v>0</v>
      </c>
      <c r="AL37" s="9" t="n">
        <f aca="false">SUMIFS('Исходные данные'!$I$2:$I$966,'Исходные данные'!$D$2:$D$966,AL$1,'Исходные данные'!$F$2:$F$966,$A37)</f>
        <v>0</v>
      </c>
      <c r="AM37" s="9" t="n">
        <f aca="false">SUMIFS('Исходные данные'!$J$2:$J$966,'Исходные данные'!$D$2:$D$966,AL$1,'Исходные данные'!$F$2:$F$966,$A37)</f>
        <v>0</v>
      </c>
      <c r="AN37" s="9" t="n">
        <f aca="false">SUMIFS('Исходные данные'!$I$2:$I$966,'Исходные данные'!$D$2:$D$966,AN$1,'Исходные данные'!$F$2:$F$966,$A37)</f>
        <v>0</v>
      </c>
      <c r="AO37" s="9" t="n">
        <f aca="false">SUMIFS('Исходные данные'!$J$2:$J$966,'Исходные данные'!$D$2:$D$966,AN$1,'Исходные данные'!$F$2:$F$966,$A37)</f>
        <v>0</v>
      </c>
      <c r="AP37" s="9" t="n">
        <f aca="false">SUMIFS('Исходные данные'!$I$2:$I$966,'Исходные данные'!$D$2:$D$966,AP$1,'Исходные данные'!$F$2:$F$966,$A37)</f>
        <v>0</v>
      </c>
      <c r="AQ37" s="9" t="n">
        <f aca="false">SUMIFS('Исходные данные'!$J$2:$J$966,'Исходные данные'!$D$2:$D$966,AP$1,'Исходные данные'!$F$2:$F$966,$A37)</f>
        <v>0</v>
      </c>
      <c r="AR37" s="9" t="n">
        <f aca="false">SUMIFS('Исходные данные'!$I$2:$I$966,'Исходные данные'!$D$2:$D$966,AR$1,'Исходные данные'!$F$2:$F$966,$A37)</f>
        <v>0</v>
      </c>
      <c r="AS37" s="9" t="n">
        <f aca="false">SUMIFS('Исходные данные'!$J$2:$J$966,'Исходные данные'!$D$2:$D$966,AR$1,'Исходные данные'!$F$2:$F$966,$A37)</f>
        <v>0</v>
      </c>
      <c r="AT37" s="9" t="n">
        <f aca="false">SUMIFS('Исходные данные'!$I$2:$I$966,'Исходные данные'!$D$2:$D$966,AT$1,'Исходные данные'!$F$2:$F$966,$A37)</f>
        <v>0</v>
      </c>
      <c r="AU37" s="9" t="n">
        <f aca="false">SUMIFS('Исходные данные'!$J$2:$J$966,'Исходные данные'!$D$2:$D$966,AT$1,'Исходные данные'!$F$2:$F$966,$A37)</f>
        <v>0</v>
      </c>
      <c r="AV37" s="9" t="n">
        <f aca="false">SUMIFS('Исходные данные'!$I$2:$I$966,'Исходные данные'!$D$2:$D$966,AV$1,'Исходные данные'!$F$2:$F$966,$A37)</f>
        <v>0</v>
      </c>
      <c r="AW37" s="9" t="n">
        <f aca="false">SUMIFS('Исходные данные'!$J$2:$J$966,'Исходные данные'!$D$2:$D$966,AV$1,'Исходные данные'!$F$2:$F$966,$A37)</f>
        <v>0</v>
      </c>
      <c r="AX37" s="9" t="n">
        <f aca="false">SUMIFS('Исходные данные'!$I$2:$I$966,'Исходные данные'!$D$2:$D$966,AX$1,'Исходные данные'!$F$2:$F$966,$A37)</f>
        <v>0</v>
      </c>
      <c r="AY37" s="9" t="n">
        <f aca="false">SUMIFS('Исходные данные'!$J$2:$J$966,'Исходные данные'!$D$2:$D$966,AX$1,'Исходные данные'!$F$2:$F$966,$A37)</f>
        <v>0</v>
      </c>
      <c r="AZ37" s="9" t="n">
        <f aca="false">SUMIFS('Исходные данные'!$I$2:$I$966,'Исходные данные'!$D$2:$D$966,AZ$1,'Исходные данные'!$F$2:$F$966,$A37)</f>
        <v>0</v>
      </c>
      <c r="BA37" s="9" t="n">
        <f aca="false">SUMIFS('Исходные данные'!$J$2:$J$966,'Исходные данные'!$D$2:$D$966,AZ$1,'Исходные данные'!$F$2:$F$966,$A37)</f>
        <v>0</v>
      </c>
      <c r="BB37" s="9" t="n">
        <f aca="false">SUMIFS('Исходные данные'!$I$2:$I$966,'Исходные данные'!$D$2:$D$966,BB$1,'Исходные данные'!$F$2:$F$966,$A37)</f>
        <v>0</v>
      </c>
      <c r="BC37" s="9" t="n">
        <f aca="false">SUMIFS('Исходные данные'!$J$2:$J$966,'Исходные данные'!$D$2:$D$966,BB$1,'Исходные данные'!$F$2:$F$966,$A37)</f>
        <v>0</v>
      </c>
      <c r="BD37" s="9" t="n">
        <f aca="false">SUMIFS('Исходные данные'!$I$2:$I$966,'Исходные данные'!$D$2:$D$966,BD$1,'Исходные данные'!$F$2:$F$966,$A37)</f>
        <v>0</v>
      </c>
      <c r="BE37" s="9" t="n">
        <f aca="false">SUMIFS('Исходные данные'!$J$2:$J$966,'Исходные данные'!$D$2:$D$966,BD$1,'Исходные данные'!$F$2:$F$966,$A37)</f>
        <v>0</v>
      </c>
      <c r="BF37" s="9" t="n">
        <f aca="false">SUMIFS('Исходные данные'!$I$2:$I$966,'Исходные данные'!$D$2:$D$966,BF$1,'Исходные данные'!$F$2:$F$966,$A37)</f>
        <v>0</v>
      </c>
      <c r="BG37" s="9" t="n">
        <f aca="false">SUMIFS('Исходные данные'!$J$2:$J$966,'Исходные данные'!$D$2:$D$966,BF$1,'Исходные данные'!$F$2:$F$966,$A37)</f>
        <v>0</v>
      </c>
      <c r="BH37" s="9" t="n">
        <f aca="false">SUMIFS('Исходные данные'!$I$2:$I$966,'Исходные данные'!$D$2:$D$966,BH$1,'Исходные данные'!$F$2:$F$966,$A37)</f>
        <v>0</v>
      </c>
      <c r="BI37" s="9" t="n">
        <f aca="false">SUMIFS('Исходные данные'!$J$2:$J$966,'Исходные данные'!$D$2:$D$966,BH$1,'Исходные данные'!$F$2:$F$966,$A37)</f>
        <v>0</v>
      </c>
      <c r="BJ37" s="9" t="n">
        <f aca="false">SUMIFS('Исходные данные'!$I$2:$I$966,'Исходные данные'!$D$2:$D$966,BJ$1,'Исходные данные'!$F$2:$F$966,$A37)</f>
        <v>0</v>
      </c>
      <c r="BK37" s="9" t="n">
        <f aca="false">SUMIFS('Исходные данные'!$J$2:$J$966,'Исходные данные'!$D$2:$D$966,BJ$1,'Исходные данные'!$F$2:$F$966,$A37)</f>
        <v>0</v>
      </c>
      <c r="BL37" s="9" t="n">
        <f aca="false">SUMIFS('Исходные данные'!$I$2:$I$966,'Исходные данные'!$D$2:$D$966,BL$1,'Исходные данные'!$F$2:$F$966,$A37)</f>
        <v>0</v>
      </c>
      <c r="BM37" s="9" t="n">
        <f aca="false">SUMIFS('Исходные данные'!$J$2:$J$966,'Исходные данные'!$D$2:$D$966,BL$1,'Исходные данные'!$F$2:$F$966,$A37)</f>
        <v>0</v>
      </c>
      <c r="BN37" s="9" t="n">
        <f aca="false">SUMIFS('Исходные данные'!$I$2:$I$966,'Исходные данные'!$D$2:$D$966,BN$1,'Исходные данные'!$F$2:$F$966,$A37)</f>
        <v>0</v>
      </c>
      <c r="BO37" s="9" t="n">
        <f aca="false">SUMIFS('Исходные данные'!$J$2:$J$966,'Исходные данные'!$D$2:$D$966,BN$1,'Исходные данные'!$F$2:$F$966,$A37)</f>
        <v>0</v>
      </c>
      <c r="BP37" s="9" t="n">
        <f aca="false">SUMIFS('Исходные данные'!$I$2:$I$966,'Исходные данные'!$D$2:$D$966,BP$1,'Исходные данные'!$F$2:$F$966,$A37)</f>
        <v>0</v>
      </c>
      <c r="BQ37" s="9" t="n">
        <f aca="false">SUMIFS('Исходные данные'!$J$2:$J$966,'Исходные данные'!$D$2:$D$966,BP$1,'Исходные данные'!$F$2:$F$966,$A37)</f>
        <v>0</v>
      </c>
      <c r="BR37" s="9" t="n">
        <f aca="false">SUMIFS('Исходные данные'!$I$2:$I$966,'Исходные данные'!$D$2:$D$966,BR$1,'Исходные данные'!$F$2:$F$966,$A37)</f>
        <v>0</v>
      </c>
      <c r="BS37" s="9" t="n">
        <f aca="false">SUMIFS('Исходные данные'!$J$2:$J$966,'Исходные данные'!$D$2:$D$966,BR$1,'Исходные данные'!$F$2:$F$966,$A37)</f>
        <v>0</v>
      </c>
      <c r="BT37" s="9" t="n">
        <f aca="false">SUMIFS('Исходные данные'!$I$2:$I$966,'Исходные данные'!$D$2:$D$966,BT$1,'Исходные данные'!$F$2:$F$966,$A37)</f>
        <v>0</v>
      </c>
      <c r="BU37" s="9" t="n">
        <f aca="false">SUMIFS('Исходные данные'!$J$2:$J$966,'Исходные данные'!$D$2:$D$966,BT$1,'Исходные данные'!$F$2:$F$966,$A37)</f>
        <v>0</v>
      </c>
      <c r="BV37" s="9" t="n">
        <f aca="false">SUMIFS('Исходные данные'!$I$2:$I$966,'Исходные данные'!$D$2:$D$966,BV$1,'Исходные данные'!$F$2:$F$966,$A37)</f>
        <v>0</v>
      </c>
      <c r="BW37" s="9" t="n">
        <f aca="false">SUMIFS('Исходные данные'!$J$2:$J$966,'Исходные данные'!$D$2:$D$966,BV$1,'Исходные данные'!$F$2:$F$966,$A37)</f>
        <v>0</v>
      </c>
      <c r="BX37" s="9" t="n">
        <f aca="false">SUMIFS('Исходные данные'!$I$2:$I$966,'Исходные данные'!$D$2:$D$966,BX$1,'Исходные данные'!$F$2:$F$966,$A37)</f>
        <v>0</v>
      </c>
      <c r="BY37" s="9" t="n">
        <f aca="false">SUMIFS('Исходные данные'!$J$2:$J$966,'Исходные данные'!$D$2:$D$966,BX$1,'Исходные данные'!$F$2:$F$966,$A37)</f>
        <v>0</v>
      </c>
      <c r="BZ37" s="9" t="n">
        <f aca="false">SUMIFS('Исходные данные'!$I$2:$I$966,'Исходные данные'!$D$2:$D$966,BZ$1,'Исходные данные'!$F$2:$F$966,$A37)</f>
        <v>0</v>
      </c>
      <c r="CA37" s="9" t="n">
        <f aca="false">SUMIFS('Исходные данные'!$J$2:$J$966,'Исходные данные'!$D$2:$D$966,BZ$1,'Исходные данные'!$F$2:$F$966,$A37)</f>
        <v>0</v>
      </c>
      <c r="CB37" s="9" t="n">
        <f aca="false">SUMIFS('Исходные данные'!$I$2:$I$966,'Исходные данные'!$D$2:$D$966,CB$1,'Исходные данные'!$F$2:$F$966,$A37)</f>
        <v>0</v>
      </c>
      <c r="CC37" s="9" t="n">
        <f aca="false">SUMIFS('Исходные данные'!$J$2:$J$966,'Исходные данные'!$D$2:$D$966,CB$1,'Исходные данные'!$F$2:$F$966,$A37)</f>
        <v>0</v>
      </c>
      <c r="CD37" s="9" t="n">
        <f aca="false">SUMIFS('Исходные данные'!$I$2:$I$966,'Исходные данные'!$D$2:$D$966,CD$1,'Исходные данные'!$F$2:$F$966,$A37)</f>
        <v>0</v>
      </c>
      <c r="CE37" s="9" t="n">
        <f aca="false">SUMIFS('Исходные данные'!$J$2:$J$966,'Исходные данные'!$D$2:$D$966,CD$1,'Исходные данные'!$F$2:$F$966,$A37)</f>
        <v>0</v>
      </c>
      <c r="CF37" s="9" t="n">
        <f aca="false">SUMIFS('Исходные данные'!$I$2:$I$966,'Исходные данные'!$D$2:$D$966,CF$1,'Исходные данные'!$F$2:$F$966,$A37)</f>
        <v>0</v>
      </c>
      <c r="CG37" s="9" t="n">
        <f aca="false">SUMIFS('Исходные данные'!$J$2:$J$966,'Исходные данные'!$D$2:$D$966,CF$1,'Исходные данные'!$F$2:$F$966,$A37)</f>
        <v>0</v>
      </c>
      <c r="CH37" s="9" t="n">
        <f aca="false">SUMIFS('Исходные данные'!$I$2:$I$966,'Исходные данные'!$D$2:$D$966,CH$1,'Исходные данные'!$F$2:$F$966,$A37)</f>
        <v>0</v>
      </c>
      <c r="CI37" s="9" t="n">
        <f aca="false">SUMIFS('Исходные данные'!$J$2:$J$966,'Исходные данные'!$D$2:$D$966,CH$1,'Исходные данные'!$F$2:$F$966,$A37)</f>
        <v>0</v>
      </c>
      <c r="CJ37" s="9" t="n">
        <f aca="false">SUMIFS('Исходные данные'!$I$2:$I$966,'Исходные данные'!$D$2:$D$966,CJ$1,'Исходные данные'!$F$2:$F$966,$A37)</f>
        <v>0</v>
      </c>
      <c r="CK37" s="9" t="n">
        <f aca="false">SUMIFS('Исходные данные'!$J$2:$J$966,'Исходные данные'!$D$2:$D$966,CJ$1,'Исходные данные'!$F$2:$F$966,$A37)</f>
        <v>0</v>
      </c>
      <c r="CL37" s="9" t="n">
        <f aca="false">SUMIFS('Исходные данные'!$I$2:$I$966,'Исходные данные'!$D$2:$D$966,CL$1,'Исходные данные'!$F$2:$F$966,$A37)</f>
        <v>0</v>
      </c>
      <c r="CM37" s="9" t="n">
        <f aca="false">SUMIFS('Исходные данные'!$J$2:$J$966,'Исходные данные'!$D$2:$D$966,CL$1,'Исходные данные'!$F$2:$F$966,$A37)</f>
        <v>0</v>
      </c>
      <c r="CN37" s="9" t="n">
        <f aca="false">SUMIFS('Исходные данные'!$I$2:$I$966,'Исходные данные'!$D$2:$D$966,CN$1,'Исходные данные'!$F$2:$F$966,$A37)</f>
        <v>0</v>
      </c>
      <c r="CO37" s="9" t="n">
        <f aca="false">SUMIFS('Исходные данные'!$J$2:$J$966,'Исходные данные'!$D$2:$D$966,CN$1,'Исходные данные'!$F$2:$F$966,$A37)</f>
        <v>0</v>
      </c>
      <c r="CP37" s="9" t="n">
        <f aca="false">SUMIFS('Исходные данные'!$I$2:$I$966,'Исходные данные'!$D$2:$D$966,CP$1,'Исходные данные'!$F$2:$F$966,$A37)</f>
        <v>0</v>
      </c>
      <c r="CQ37" s="9" t="n">
        <f aca="false">SUMIFS('Исходные данные'!$J$2:$J$966,'Исходные данные'!$D$2:$D$966,CP$1,'Исходные данные'!$F$2:$F$966,$A37)</f>
        <v>0</v>
      </c>
    </row>
    <row r="38" customFormat="false" ht="15" hidden="false" customHeight="false" outlineLevel="0" collapsed="false">
      <c r="A38" s="8" t="s">
        <v>123</v>
      </c>
      <c r="B38" s="9" t="s">
        <v>124</v>
      </c>
      <c r="C38" s="5" t="n">
        <v>2</v>
      </c>
      <c r="D38" s="5" t="n">
        <f aca="false">F38+G38</f>
        <v>0</v>
      </c>
      <c r="E38" s="5" t="n">
        <f aca="false">D38-C38</f>
        <v>-2</v>
      </c>
      <c r="F38" s="5" t="n">
        <f aca="false">SUMIFS($H38:$CQ38,$H$2:$CQ$2,"День")</f>
        <v>0</v>
      </c>
      <c r="G38" s="5" t="n">
        <f aca="false">SUMIFS($H38:$CQ38,$H$2:$CQ$2,"Ночь")</f>
        <v>0</v>
      </c>
      <c r="H38" s="9" t="n">
        <f aca="false">SUMIFS('Исходные данные'!$I$2:$I$966,'Исходные данные'!$D$2:$D$966,H$1,'Исходные данные'!$F$2:$F$966,$A38)</f>
        <v>0</v>
      </c>
      <c r="I38" s="9" t="n">
        <f aca="false">SUMIFS('Исходные данные'!$J$2:$J$966,'Исходные данные'!$D$2:$D$966,H$1,'Исходные данные'!$F$2:$F$966,$A38)</f>
        <v>0</v>
      </c>
      <c r="J38" s="9" t="n">
        <f aca="false">SUMIFS('Исходные данные'!$I$2:$I$966,'Исходные данные'!$D$2:$D$966,J$1,'Исходные данные'!$F$2:$F$966,$A38)</f>
        <v>0</v>
      </c>
      <c r="K38" s="9" t="n">
        <f aca="false">SUMIFS('Исходные данные'!$J$2:$J$966,'Исходные данные'!$D$2:$D$966,J$1,'Исходные данные'!$F$2:$F$966,$A38)</f>
        <v>0</v>
      </c>
      <c r="L38" s="9" t="n">
        <f aca="false">SUMIFS('Исходные данные'!$I$2:$I$966,'Исходные данные'!$D$2:$D$966,L$1,'Исходные данные'!$F$2:$F$966,$A38)</f>
        <v>0</v>
      </c>
      <c r="M38" s="9" t="n">
        <f aca="false">SUMIFS('Исходные данные'!$J$2:$J$966,'Исходные данные'!$D$2:$D$966,L$1,'Исходные данные'!$F$2:$F$966,$A38)</f>
        <v>0</v>
      </c>
      <c r="N38" s="9" t="n">
        <f aca="false">SUMIFS('Исходные данные'!$I$2:$I$966,'Исходные данные'!$D$2:$D$966,N$1,'Исходные данные'!$F$2:$F$966,$A38)</f>
        <v>0</v>
      </c>
      <c r="O38" s="9" t="n">
        <f aca="false">SUMIFS('Исходные данные'!$J$2:$J$966,'Исходные данные'!$D$2:$D$966,N$1,'Исходные данные'!$F$2:$F$966,$A38)</f>
        <v>0</v>
      </c>
      <c r="P38" s="9" t="n">
        <f aca="false">SUMIFS('Исходные данные'!$I$2:$I$966,'Исходные данные'!$D$2:$D$966,P$1,'Исходные данные'!$F$2:$F$966,$A38)</f>
        <v>0</v>
      </c>
      <c r="Q38" s="9" t="n">
        <f aca="false">SUMIFS('Исходные данные'!$J$2:$J$966,'Исходные данные'!$D$2:$D$966,P$1,'Исходные данные'!$F$2:$F$966,$A38)</f>
        <v>0</v>
      </c>
      <c r="R38" s="9" t="n">
        <f aca="false">SUMIFS('Исходные данные'!$I$2:$I$966,'Исходные данные'!$D$2:$D$966,R$1,'Исходные данные'!$F$2:$F$966,$A38)</f>
        <v>0</v>
      </c>
      <c r="S38" s="9" t="n">
        <f aca="false">SUMIFS('Исходные данные'!$J$2:$J$966,'Исходные данные'!$D$2:$D$966,R$1,'Исходные данные'!$F$2:$F$966,$A38)</f>
        <v>0</v>
      </c>
      <c r="T38" s="9" t="n">
        <f aca="false">SUMIFS('Исходные данные'!$I$2:$I$966,'Исходные данные'!$D$2:$D$966,T$1,'Исходные данные'!$F$2:$F$966,$A38)</f>
        <v>0</v>
      </c>
      <c r="U38" s="9" t="n">
        <f aca="false">SUMIFS('Исходные данные'!$J$2:$J$966,'Исходные данные'!$D$2:$D$966,T$1,'Исходные данные'!$F$2:$F$966,$A38)</f>
        <v>0</v>
      </c>
      <c r="V38" s="9" t="n">
        <f aca="false">SUMIFS('Исходные данные'!$I$2:$I$966,'Исходные данные'!$D$2:$D$966,V$1,'Исходные данные'!$F$2:$F$966,$A38)</f>
        <v>0</v>
      </c>
      <c r="W38" s="9" t="n">
        <f aca="false">SUMIFS('Исходные данные'!$J$2:$J$966,'Исходные данные'!$D$2:$D$966,V$1,'Исходные данные'!$F$2:$F$966,$A38)</f>
        <v>0</v>
      </c>
      <c r="X38" s="9" t="n">
        <f aca="false">SUMIFS('Исходные данные'!$I$2:$I$966,'Исходные данные'!$D$2:$D$966,X$1,'Исходные данные'!$F$2:$F$966,$A38)</f>
        <v>0</v>
      </c>
      <c r="Y38" s="9" t="n">
        <f aca="false">SUMIFS('Исходные данные'!$J$2:$J$966,'Исходные данные'!$D$2:$D$966,X$1,'Исходные данные'!$F$2:$F$966,$A38)</f>
        <v>0</v>
      </c>
      <c r="Z38" s="9" t="n">
        <f aca="false">SUMIFS('Исходные данные'!$I$2:$I$966,'Исходные данные'!$D$2:$D$966,Z$1,'Исходные данные'!$F$2:$F$966,$A38)</f>
        <v>0</v>
      </c>
      <c r="AA38" s="9" t="n">
        <f aca="false">SUMIFS('Исходные данные'!$J$2:$J$966,'Исходные данные'!$D$2:$D$966,Z$1,'Исходные данные'!$F$2:$F$966,$A38)</f>
        <v>0</v>
      </c>
      <c r="AB38" s="9" t="n">
        <f aca="false">SUMIFS('Исходные данные'!$I$2:$I$966,'Исходные данные'!$D$2:$D$966,AB$1,'Исходные данные'!$F$2:$F$966,$A38)</f>
        <v>0</v>
      </c>
      <c r="AC38" s="9" t="n">
        <f aca="false">SUMIFS('Исходные данные'!$J$2:$J$966,'Исходные данные'!$D$2:$D$966,AB$1,'Исходные данные'!$F$2:$F$966,$A38)</f>
        <v>0</v>
      </c>
      <c r="AD38" s="9" t="n">
        <f aca="false">SUMIFS('Исходные данные'!$I$2:$I$966,'Исходные данные'!$D$2:$D$966,AD$1,'Исходные данные'!$F$2:$F$966,$A38)</f>
        <v>0</v>
      </c>
      <c r="AE38" s="9" t="n">
        <f aca="false">SUMIFS('Исходные данные'!$J$2:$J$966,'Исходные данные'!$D$2:$D$966,AD$1,'Исходные данные'!$F$2:$F$966,$A38)</f>
        <v>0</v>
      </c>
      <c r="AF38" s="9" t="n">
        <f aca="false">SUMIFS('Исходные данные'!$I$2:$I$966,'Исходные данные'!$D$2:$D$966,AF$1,'Исходные данные'!$F$2:$F$966,$A38)</f>
        <v>0</v>
      </c>
      <c r="AG38" s="9" t="n">
        <f aca="false">SUMIFS('Исходные данные'!$J$2:$J$966,'Исходные данные'!$D$2:$D$966,AF$1,'Исходные данные'!$F$2:$F$966,$A38)</f>
        <v>0</v>
      </c>
      <c r="AH38" s="9" t="n">
        <f aca="false">SUMIFS('Исходные данные'!$I$2:$I$966,'Исходные данные'!$D$2:$D$966,AH$1,'Исходные данные'!$F$2:$F$966,$A38)</f>
        <v>0</v>
      </c>
      <c r="AI38" s="9" t="n">
        <f aca="false">SUMIFS('Исходные данные'!$J$2:$J$966,'Исходные данные'!$D$2:$D$966,AH$1,'Исходные данные'!$F$2:$F$966,$A38)</f>
        <v>0</v>
      </c>
      <c r="AJ38" s="9" t="n">
        <f aca="false">SUMIFS('Исходные данные'!$I$2:$I$966,'Исходные данные'!$D$2:$D$966,AJ$1,'Исходные данные'!$F$2:$F$966,$A38)</f>
        <v>0</v>
      </c>
      <c r="AK38" s="9" t="n">
        <f aca="false">SUMIFS('Исходные данные'!$J$2:$J$966,'Исходные данные'!$D$2:$D$966,AJ$1,'Исходные данные'!$F$2:$F$966,$A38)</f>
        <v>0</v>
      </c>
      <c r="AL38" s="9" t="n">
        <f aca="false">SUMIFS('Исходные данные'!$I$2:$I$966,'Исходные данные'!$D$2:$D$966,AL$1,'Исходные данные'!$F$2:$F$966,$A38)</f>
        <v>0</v>
      </c>
      <c r="AM38" s="9" t="n">
        <f aca="false">SUMIFS('Исходные данные'!$J$2:$J$966,'Исходные данные'!$D$2:$D$966,AL$1,'Исходные данные'!$F$2:$F$966,$A38)</f>
        <v>0</v>
      </c>
      <c r="AN38" s="9" t="n">
        <f aca="false">SUMIFS('Исходные данные'!$I$2:$I$966,'Исходные данные'!$D$2:$D$966,AN$1,'Исходные данные'!$F$2:$F$966,$A38)</f>
        <v>0</v>
      </c>
      <c r="AO38" s="9" t="n">
        <f aca="false">SUMIFS('Исходные данные'!$J$2:$J$966,'Исходные данные'!$D$2:$D$966,AN$1,'Исходные данные'!$F$2:$F$966,$A38)</f>
        <v>0</v>
      </c>
      <c r="AP38" s="9" t="n">
        <f aca="false">SUMIFS('Исходные данные'!$I$2:$I$966,'Исходные данные'!$D$2:$D$966,AP$1,'Исходные данные'!$F$2:$F$966,$A38)</f>
        <v>0</v>
      </c>
      <c r="AQ38" s="9" t="n">
        <f aca="false">SUMIFS('Исходные данные'!$J$2:$J$966,'Исходные данные'!$D$2:$D$966,AP$1,'Исходные данные'!$F$2:$F$966,$A38)</f>
        <v>0</v>
      </c>
      <c r="AR38" s="9" t="n">
        <f aca="false">SUMIFS('Исходные данные'!$I$2:$I$966,'Исходные данные'!$D$2:$D$966,AR$1,'Исходные данные'!$F$2:$F$966,$A38)</f>
        <v>0</v>
      </c>
      <c r="AS38" s="9" t="n">
        <f aca="false">SUMIFS('Исходные данные'!$J$2:$J$966,'Исходные данные'!$D$2:$D$966,AR$1,'Исходные данные'!$F$2:$F$966,$A38)</f>
        <v>0</v>
      </c>
      <c r="AT38" s="9" t="n">
        <f aca="false">SUMIFS('Исходные данные'!$I$2:$I$966,'Исходные данные'!$D$2:$D$966,AT$1,'Исходные данные'!$F$2:$F$966,$A38)</f>
        <v>0</v>
      </c>
      <c r="AU38" s="9" t="n">
        <f aca="false">SUMIFS('Исходные данные'!$J$2:$J$966,'Исходные данные'!$D$2:$D$966,AT$1,'Исходные данные'!$F$2:$F$966,$A38)</f>
        <v>0</v>
      </c>
      <c r="AV38" s="9" t="n">
        <f aca="false">SUMIFS('Исходные данные'!$I$2:$I$966,'Исходные данные'!$D$2:$D$966,AV$1,'Исходные данные'!$F$2:$F$966,$A38)</f>
        <v>0</v>
      </c>
      <c r="AW38" s="9" t="n">
        <f aca="false">SUMIFS('Исходные данные'!$J$2:$J$966,'Исходные данные'!$D$2:$D$966,AV$1,'Исходные данные'!$F$2:$F$966,$A38)</f>
        <v>0</v>
      </c>
      <c r="AX38" s="9" t="n">
        <f aca="false">SUMIFS('Исходные данные'!$I$2:$I$966,'Исходные данные'!$D$2:$D$966,AX$1,'Исходные данные'!$F$2:$F$966,$A38)</f>
        <v>0</v>
      </c>
      <c r="AY38" s="9" t="n">
        <f aca="false">SUMIFS('Исходные данные'!$J$2:$J$966,'Исходные данные'!$D$2:$D$966,AX$1,'Исходные данные'!$F$2:$F$966,$A38)</f>
        <v>0</v>
      </c>
      <c r="AZ38" s="9" t="n">
        <f aca="false">SUMIFS('Исходные данные'!$I$2:$I$966,'Исходные данные'!$D$2:$D$966,AZ$1,'Исходные данные'!$F$2:$F$966,$A38)</f>
        <v>0</v>
      </c>
      <c r="BA38" s="9" t="n">
        <f aca="false">SUMIFS('Исходные данные'!$J$2:$J$966,'Исходные данные'!$D$2:$D$966,AZ$1,'Исходные данные'!$F$2:$F$966,$A38)</f>
        <v>0</v>
      </c>
      <c r="BB38" s="9" t="n">
        <f aca="false">SUMIFS('Исходные данные'!$I$2:$I$966,'Исходные данные'!$D$2:$D$966,BB$1,'Исходные данные'!$F$2:$F$966,$A38)</f>
        <v>0</v>
      </c>
      <c r="BC38" s="9" t="n">
        <f aca="false">SUMIFS('Исходные данные'!$J$2:$J$966,'Исходные данные'!$D$2:$D$966,BB$1,'Исходные данные'!$F$2:$F$966,$A38)</f>
        <v>0</v>
      </c>
      <c r="BD38" s="9" t="n">
        <f aca="false">SUMIFS('Исходные данные'!$I$2:$I$966,'Исходные данные'!$D$2:$D$966,BD$1,'Исходные данные'!$F$2:$F$966,$A38)</f>
        <v>0</v>
      </c>
      <c r="BE38" s="9" t="n">
        <f aca="false">SUMIFS('Исходные данные'!$J$2:$J$966,'Исходные данные'!$D$2:$D$966,BD$1,'Исходные данные'!$F$2:$F$966,$A38)</f>
        <v>0</v>
      </c>
      <c r="BF38" s="9" t="n">
        <f aca="false">SUMIFS('Исходные данные'!$I$2:$I$966,'Исходные данные'!$D$2:$D$966,BF$1,'Исходные данные'!$F$2:$F$966,$A38)</f>
        <v>0</v>
      </c>
      <c r="BG38" s="9" t="n">
        <f aca="false">SUMIFS('Исходные данные'!$J$2:$J$966,'Исходные данные'!$D$2:$D$966,BF$1,'Исходные данные'!$F$2:$F$966,$A38)</f>
        <v>0</v>
      </c>
      <c r="BH38" s="9" t="n">
        <f aca="false">SUMIFS('Исходные данные'!$I$2:$I$966,'Исходные данные'!$D$2:$D$966,BH$1,'Исходные данные'!$F$2:$F$966,$A38)</f>
        <v>0</v>
      </c>
      <c r="BI38" s="9" t="n">
        <f aca="false">SUMIFS('Исходные данные'!$J$2:$J$966,'Исходные данные'!$D$2:$D$966,BH$1,'Исходные данные'!$F$2:$F$966,$A38)</f>
        <v>0</v>
      </c>
      <c r="BJ38" s="9" t="n">
        <f aca="false">SUMIFS('Исходные данные'!$I$2:$I$966,'Исходные данные'!$D$2:$D$966,BJ$1,'Исходные данные'!$F$2:$F$966,$A38)</f>
        <v>0</v>
      </c>
      <c r="BK38" s="9" t="n">
        <f aca="false">SUMIFS('Исходные данные'!$J$2:$J$966,'Исходные данные'!$D$2:$D$966,BJ$1,'Исходные данные'!$F$2:$F$966,$A38)</f>
        <v>0</v>
      </c>
      <c r="BL38" s="9" t="n">
        <f aca="false">SUMIFS('Исходные данные'!$I$2:$I$966,'Исходные данные'!$D$2:$D$966,BL$1,'Исходные данные'!$F$2:$F$966,$A38)</f>
        <v>0</v>
      </c>
      <c r="BM38" s="9" t="n">
        <f aca="false">SUMIFS('Исходные данные'!$J$2:$J$966,'Исходные данные'!$D$2:$D$966,BL$1,'Исходные данные'!$F$2:$F$966,$A38)</f>
        <v>0</v>
      </c>
      <c r="BN38" s="9" t="n">
        <f aca="false">SUMIFS('Исходные данные'!$I$2:$I$966,'Исходные данные'!$D$2:$D$966,BN$1,'Исходные данные'!$F$2:$F$966,$A38)</f>
        <v>0</v>
      </c>
      <c r="BO38" s="9" t="n">
        <f aca="false">SUMIFS('Исходные данные'!$J$2:$J$966,'Исходные данные'!$D$2:$D$966,BN$1,'Исходные данные'!$F$2:$F$966,$A38)</f>
        <v>0</v>
      </c>
      <c r="BP38" s="9" t="n">
        <f aca="false">SUMIFS('Исходные данные'!$I$2:$I$966,'Исходные данные'!$D$2:$D$966,BP$1,'Исходные данные'!$F$2:$F$966,$A38)</f>
        <v>0</v>
      </c>
      <c r="BQ38" s="9" t="n">
        <f aca="false">SUMIFS('Исходные данные'!$J$2:$J$966,'Исходные данные'!$D$2:$D$966,BP$1,'Исходные данные'!$F$2:$F$966,$A38)</f>
        <v>0</v>
      </c>
      <c r="BR38" s="9" t="n">
        <f aca="false">SUMIFS('Исходные данные'!$I$2:$I$966,'Исходные данные'!$D$2:$D$966,BR$1,'Исходные данные'!$F$2:$F$966,$A38)</f>
        <v>0</v>
      </c>
      <c r="BS38" s="9" t="n">
        <f aca="false">SUMIFS('Исходные данные'!$J$2:$J$966,'Исходные данные'!$D$2:$D$966,BR$1,'Исходные данные'!$F$2:$F$966,$A38)</f>
        <v>0</v>
      </c>
      <c r="BT38" s="9" t="n">
        <f aca="false">SUMIFS('Исходные данные'!$I$2:$I$966,'Исходные данные'!$D$2:$D$966,BT$1,'Исходные данные'!$F$2:$F$966,$A38)</f>
        <v>0</v>
      </c>
      <c r="BU38" s="9" t="n">
        <f aca="false">SUMIFS('Исходные данные'!$J$2:$J$966,'Исходные данные'!$D$2:$D$966,BT$1,'Исходные данные'!$F$2:$F$966,$A38)</f>
        <v>0</v>
      </c>
      <c r="BV38" s="9" t="n">
        <f aca="false">SUMIFS('Исходные данные'!$I$2:$I$966,'Исходные данные'!$D$2:$D$966,BV$1,'Исходные данные'!$F$2:$F$966,$A38)</f>
        <v>0</v>
      </c>
      <c r="BW38" s="9" t="n">
        <f aca="false">SUMIFS('Исходные данные'!$J$2:$J$966,'Исходные данные'!$D$2:$D$966,BV$1,'Исходные данные'!$F$2:$F$966,$A38)</f>
        <v>0</v>
      </c>
      <c r="BX38" s="9" t="n">
        <f aca="false">SUMIFS('Исходные данные'!$I$2:$I$966,'Исходные данные'!$D$2:$D$966,BX$1,'Исходные данные'!$F$2:$F$966,$A38)</f>
        <v>0</v>
      </c>
      <c r="BY38" s="9" t="n">
        <f aca="false">SUMIFS('Исходные данные'!$J$2:$J$966,'Исходные данные'!$D$2:$D$966,BX$1,'Исходные данные'!$F$2:$F$966,$A38)</f>
        <v>0</v>
      </c>
      <c r="BZ38" s="9" t="n">
        <f aca="false">SUMIFS('Исходные данные'!$I$2:$I$966,'Исходные данные'!$D$2:$D$966,BZ$1,'Исходные данные'!$F$2:$F$966,$A38)</f>
        <v>0</v>
      </c>
      <c r="CA38" s="9" t="n">
        <f aca="false">SUMIFS('Исходные данные'!$J$2:$J$966,'Исходные данные'!$D$2:$D$966,BZ$1,'Исходные данные'!$F$2:$F$966,$A38)</f>
        <v>0</v>
      </c>
      <c r="CB38" s="9" t="n">
        <f aca="false">SUMIFS('Исходные данные'!$I$2:$I$966,'Исходные данные'!$D$2:$D$966,CB$1,'Исходные данные'!$F$2:$F$966,$A38)</f>
        <v>0</v>
      </c>
      <c r="CC38" s="9" t="n">
        <f aca="false">SUMIFS('Исходные данные'!$J$2:$J$966,'Исходные данные'!$D$2:$D$966,CB$1,'Исходные данные'!$F$2:$F$966,$A38)</f>
        <v>0</v>
      </c>
      <c r="CD38" s="9" t="n">
        <f aca="false">SUMIFS('Исходные данные'!$I$2:$I$966,'Исходные данные'!$D$2:$D$966,CD$1,'Исходные данные'!$F$2:$F$966,$A38)</f>
        <v>0</v>
      </c>
      <c r="CE38" s="9" t="n">
        <f aca="false">SUMIFS('Исходные данные'!$J$2:$J$966,'Исходные данные'!$D$2:$D$966,CD$1,'Исходные данные'!$F$2:$F$966,$A38)</f>
        <v>0</v>
      </c>
      <c r="CF38" s="9" t="n">
        <f aca="false">SUMIFS('Исходные данные'!$I$2:$I$966,'Исходные данные'!$D$2:$D$966,CF$1,'Исходные данные'!$F$2:$F$966,$A38)</f>
        <v>0</v>
      </c>
      <c r="CG38" s="9" t="n">
        <f aca="false">SUMIFS('Исходные данные'!$J$2:$J$966,'Исходные данные'!$D$2:$D$966,CF$1,'Исходные данные'!$F$2:$F$966,$A38)</f>
        <v>0</v>
      </c>
      <c r="CH38" s="9" t="n">
        <f aca="false">SUMIFS('Исходные данные'!$I$2:$I$966,'Исходные данные'!$D$2:$D$966,CH$1,'Исходные данные'!$F$2:$F$966,$A38)</f>
        <v>0</v>
      </c>
      <c r="CI38" s="9" t="n">
        <f aca="false">SUMIFS('Исходные данные'!$J$2:$J$966,'Исходные данные'!$D$2:$D$966,CH$1,'Исходные данные'!$F$2:$F$966,$A38)</f>
        <v>0</v>
      </c>
      <c r="CJ38" s="9" t="n">
        <f aca="false">SUMIFS('Исходные данные'!$I$2:$I$966,'Исходные данные'!$D$2:$D$966,CJ$1,'Исходные данные'!$F$2:$F$966,$A38)</f>
        <v>0</v>
      </c>
      <c r="CK38" s="9" t="n">
        <f aca="false">SUMIFS('Исходные данные'!$J$2:$J$966,'Исходные данные'!$D$2:$D$966,CJ$1,'Исходные данные'!$F$2:$F$966,$A38)</f>
        <v>0</v>
      </c>
      <c r="CL38" s="9" t="n">
        <f aca="false">SUMIFS('Исходные данные'!$I$2:$I$966,'Исходные данные'!$D$2:$D$966,CL$1,'Исходные данные'!$F$2:$F$966,$A38)</f>
        <v>0</v>
      </c>
      <c r="CM38" s="9" t="n">
        <f aca="false">SUMIFS('Исходные данные'!$J$2:$J$966,'Исходные данные'!$D$2:$D$966,CL$1,'Исходные данные'!$F$2:$F$966,$A38)</f>
        <v>0</v>
      </c>
      <c r="CN38" s="9" t="n">
        <f aca="false">SUMIFS('Исходные данные'!$I$2:$I$966,'Исходные данные'!$D$2:$D$966,CN$1,'Исходные данные'!$F$2:$F$966,$A38)</f>
        <v>0</v>
      </c>
      <c r="CO38" s="9" t="n">
        <f aca="false">SUMIFS('Исходные данные'!$J$2:$J$966,'Исходные данные'!$D$2:$D$966,CN$1,'Исходные данные'!$F$2:$F$966,$A38)</f>
        <v>0</v>
      </c>
      <c r="CP38" s="9" t="n">
        <f aca="false">SUMIFS('Исходные данные'!$I$2:$I$966,'Исходные данные'!$D$2:$D$966,CP$1,'Исходные данные'!$F$2:$F$966,$A38)</f>
        <v>0</v>
      </c>
      <c r="CQ38" s="9" t="n">
        <f aca="false">SUMIFS('Исходные данные'!$J$2:$J$966,'Исходные данные'!$D$2:$D$966,CP$1,'Исходные данные'!$F$2:$F$966,$A38)</f>
        <v>0</v>
      </c>
    </row>
    <row r="39" customFormat="false" ht="15" hidden="false" customHeight="false" outlineLevel="0" collapsed="false">
      <c r="A39" s="8" t="s">
        <v>125</v>
      </c>
      <c r="B39" s="9" t="s">
        <v>126</v>
      </c>
      <c r="C39" s="5" t="n">
        <v>1</v>
      </c>
      <c r="D39" s="5" t="n">
        <f aca="false">F39+G39</f>
        <v>1</v>
      </c>
      <c r="E39" s="5" t="n">
        <f aca="false">D39-C39</f>
        <v>0</v>
      </c>
      <c r="F39" s="5" t="n">
        <f aca="false">SUMIFS($H39:$CQ39,$H$2:$CQ$2,"День")</f>
        <v>1</v>
      </c>
      <c r="G39" s="5" t="n">
        <f aca="false">SUMIFS($H39:$CQ39,$H$2:$CQ$2,"Ночь")</f>
        <v>0</v>
      </c>
      <c r="H39" s="9" t="n">
        <f aca="false">SUMIFS('Исходные данные'!$I$2:$I$966,'Исходные данные'!$D$2:$D$966,H$1,'Исходные данные'!$F$2:$F$966,$A39)</f>
        <v>0</v>
      </c>
      <c r="I39" s="9" t="n">
        <f aca="false">SUMIFS('Исходные данные'!$J$2:$J$966,'Исходные данные'!$D$2:$D$966,H$1,'Исходные данные'!$F$2:$F$966,$A39)</f>
        <v>0</v>
      </c>
      <c r="J39" s="9" t="n">
        <f aca="false">SUMIFS('Исходные данные'!$I$2:$I$966,'Исходные данные'!$D$2:$D$966,J$1,'Исходные данные'!$F$2:$F$966,$A39)</f>
        <v>0</v>
      </c>
      <c r="K39" s="9" t="n">
        <f aca="false">SUMIFS('Исходные данные'!$J$2:$J$966,'Исходные данные'!$D$2:$D$966,J$1,'Исходные данные'!$F$2:$F$966,$A39)</f>
        <v>0</v>
      </c>
      <c r="L39" s="9" t="n">
        <f aca="false">SUMIFS('Исходные данные'!$I$2:$I$966,'Исходные данные'!$D$2:$D$966,L$1,'Исходные данные'!$F$2:$F$966,$A39)</f>
        <v>0</v>
      </c>
      <c r="M39" s="9" t="n">
        <f aca="false">SUMIFS('Исходные данные'!$J$2:$J$966,'Исходные данные'!$D$2:$D$966,L$1,'Исходные данные'!$F$2:$F$966,$A39)</f>
        <v>0</v>
      </c>
      <c r="N39" s="9" t="n">
        <f aca="false">SUMIFS('Исходные данные'!$I$2:$I$966,'Исходные данные'!$D$2:$D$966,N$1,'Исходные данные'!$F$2:$F$966,$A39)</f>
        <v>0</v>
      </c>
      <c r="O39" s="9" t="n">
        <f aca="false">SUMIFS('Исходные данные'!$J$2:$J$966,'Исходные данные'!$D$2:$D$966,N$1,'Исходные данные'!$F$2:$F$966,$A39)</f>
        <v>0</v>
      </c>
      <c r="P39" s="9" t="n">
        <f aca="false">SUMIFS('Исходные данные'!$I$2:$I$966,'Исходные данные'!$D$2:$D$966,P$1,'Исходные данные'!$F$2:$F$966,$A39)</f>
        <v>0</v>
      </c>
      <c r="Q39" s="9" t="n">
        <f aca="false">SUMIFS('Исходные данные'!$J$2:$J$966,'Исходные данные'!$D$2:$D$966,P$1,'Исходные данные'!$F$2:$F$966,$A39)</f>
        <v>0</v>
      </c>
      <c r="R39" s="9" t="n">
        <f aca="false">SUMIFS('Исходные данные'!$I$2:$I$966,'Исходные данные'!$D$2:$D$966,R$1,'Исходные данные'!$F$2:$F$966,$A39)</f>
        <v>1</v>
      </c>
      <c r="S39" s="9" t="n">
        <f aca="false">SUMIFS('Исходные данные'!$J$2:$J$966,'Исходные данные'!$D$2:$D$966,R$1,'Исходные данные'!$F$2:$F$966,$A39)</f>
        <v>0</v>
      </c>
      <c r="T39" s="9" t="n">
        <f aca="false">SUMIFS('Исходные данные'!$I$2:$I$966,'Исходные данные'!$D$2:$D$966,T$1,'Исходные данные'!$F$2:$F$966,$A39)</f>
        <v>0</v>
      </c>
      <c r="U39" s="9" t="n">
        <f aca="false">SUMIFS('Исходные данные'!$J$2:$J$966,'Исходные данные'!$D$2:$D$966,T$1,'Исходные данные'!$F$2:$F$966,$A39)</f>
        <v>0</v>
      </c>
      <c r="V39" s="9" t="n">
        <f aca="false">SUMIFS('Исходные данные'!$I$2:$I$966,'Исходные данные'!$D$2:$D$966,V$1,'Исходные данные'!$F$2:$F$966,$A39)</f>
        <v>0</v>
      </c>
      <c r="W39" s="9" t="n">
        <f aca="false">SUMIFS('Исходные данные'!$J$2:$J$966,'Исходные данные'!$D$2:$D$966,V$1,'Исходные данные'!$F$2:$F$966,$A39)</f>
        <v>0</v>
      </c>
      <c r="X39" s="9" t="n">
        <f aca="false">SUMIFS('Исходные данные'!$I$2:$I$966,'Исходные данные'!$D$2:$D$966,X$1,'Исходные данные'!$F$2:$F$966,$A39)</f>
        <v>0</v>
      </c>
      <c r="Y39" s="9" t="n">
        <f aca="false">SUMIFS('Исходные данные'!$J$2:$J$966,'Исходные данные'!$D$2:$D$966,X$1,'Исходные данные'!$F$2:$F$966,$A39)</f>
        <v>0</v>
      </c>
      <c r="Z39" s="9" t="n">
        <f aca="false">SUMIFS('Исходные данные'!$I$2:$I$966,'Исходные данные'!$D$2:$D$966,Z$1,'Исходные данные'!$F$2:$F$966,$A39)</f>
        <v>0</v>
      </c>
      <c r="AA39" s="9" t="n">
        <f aca="false">SUMIFS('Исходные данные'!$J$2:$J$966,'Исходные данные'!$D$2:$D$966,Z$1,'Исходные данные'!$F$2:$F$966,$A39)</f>
        <v>0</v>
      </c>
      <c r="AB39" s="9" t="n">
        <f aca="false">SUMIFS('Исходные данные'!$I$2:$I$966,'Исходные данные'!$D$2:$D$966,AB$1,'Исходные данные'!$F$2:$F$966,$A39)</f>
        <v>0</v>
      </c>
      <c r="AC39" s="9" t="n">
        <f aca="false">SUMIFS('Исходные данные'!$J$2:$J$966,'Исходные данные'!$D$2:$D$966,AB$1,'Исходные данные'!$F$2:$F$966,$A39)</f>
        <v>0</v>
      </c>
      <c r="AD39" s="9" t="n">
        <f aca="false">SUMIFS('Исходные данные'!$I$2:$I$966,'Исходные данные'!$D$2:$D$966,AD$1,'Исходные данные'!$F$2:$F$966,$A39)</f>
        <v>0</v>
      </c>
      <c r="AE39" s="9" t="n">
        <f aca="false">SUMIFS('Исходные данные'!$J$2:$J$966,'Исходные данные'!$D$2:$D$966,AD$1,'Исходные данные'!$F$2:$F$966,$A39)</f>
        <v>0</v>
      </c>
      <c r="AF39" s="9" t="n">
        <f aca="false">SUMIFS('Исходные данные'!$I$2:$I$966,'Исходные данные'!$D$2:$D$966,AF$1,'Исходные данные'!$F$2:$F$966,$A39)</f>
        <v>0</v>
      </c>
      <c r="AG39" s="9" t="n">
        <f aca="false">SUMIFS('Исходные данные'!$J$2:$J$966,'Исходные данные'!$D$2:$D$966,AF$1,'Исходные данные'!$F$2:$F$966,$A39)</f>
        <v>0</v>
      </c>
      <c r="AH39" s="9" t="n">
        <f aca="false">SUMIFS('Исходные данные'!$I$2:$I$966,'Исходные данные'!$D$2:$D$966,AH$1,'Исходные данные'!$F$2:$F$966,$A39)</f>
        <v>0</v>
      </c>
      <c r="AI39" s="9" t="n">
        <f aca="false">SUMIFS('Исходные данные'!$J$2:$J$966,'Исходные данные'!$D$2:$D$966,AH$1,'Исходные данные'!$F$2:$F$966,$A39)</f>
        <v>0</v>
      </c>
      <c r="AJ39" s="9" t="n">
        <f aca="false">SUMIFS('Исходные данные'!$I$2:$I$966,'Исходные данные'!$D$2:$D$966,AJ$1,'Исходные данные'!$F$2:$F$966,$A39)</f>
        <v>0</v>
      </c>
      <c r="AK39" s="9" t="n">
        <f aca="false">SUMIFS('Исходные данные'!$J$2:$J$966,'Исходные данные'!$D$2:$D$966,AJ$1,'Исходные данные'!$F$2:$F$966,$A39)</f>
        <v>0</v>
      </c>
      <c r="AL39" s="9" t="n">
        <f aca="false">SUMIFS('Исходные данные'!$I$2:$I$966,'Исходные данные'!$D$2:$D$966,AL$1,'Исходные данные'!$F$2:$F$966,$A39)</f>
        <v>0</v>
      </c>
      <c r="AM39" s="9" t="n">
        <f aca="false">SUMIFS('Исходные данные'!$J$2:$J$966,'Исходные данные'!$D$2:$D$966,AL$1,'Исходные данные'!$F$2:$F$966,$A39)</f>
        <v>0</v>
      </c>
      <c r="AN39" s="9" t="n">
        <f aca="false">SUMIFS('Исходные данные'!$I$2:$I$966,'Исходные данные'!$D$2:$D$966,AN$1,'Исходные данные'!$F$2:$F$966,$A39)</f>
        <v>0</v>
      </c>
      <c r="AO39" s="9" t="n">
        <f aca="false">SUMIFS('Исходные данные'!$J$2:$J$966,'Исходные данные'!$D$2:$D$966,AN$1,'Исходные данные'!$F$2:$F$966,$A39)</f>
        <v>0</v>
      </c>
      <c r="AP39" s="9" t="n">
        <f aca="false">SUMIFS('Исходные данные'!$I$2:$I$966,'Исходные данные'!$D$2:$D$966,AP$1,'Исходные данные'!$F$2:$F$966,$A39)</f>
        <v>0</v>
      </c>
      <c r="AQ39" s="9" t="n">
        <f aca="false">SUMIFS('Исходные данные'!$J$2:$J$966,'Исходные данные'!$D$2:$D$966,AP$1,'Исходные данные'!$F$2:$F$966,$A39)</f>
        <v>0</v>
      </c>
      <c r="AR39" s="9" t="n">
        <f aca="false">SUMIFS('Исходные данные'!$I$2:$I$966,'Исходные данные'!$D$2:$D$966,AR$1,'Исходные данные'!$F$2:$F$966,$A39)</f>
        <v>0</v>
      </c>
      <c r="AS39" s="9" t="n">
        <f aca="false">SUMIFS('Исходные данные'!$J$2:$J$966,'Исходные данные'!$D$2:$D$966,AR$1,'Исходные данные'!$F$2:$F$966,$A39)</f>
        <v>0</v>
      </c>
      <c r="AT39" s="9" t="n">
        <f aca="false">SUMIFS('Исходные данные'!$I$2:$I$966,'Исходные данные'!$D$2:$D$966,AT$1,'Исходные данные'!$F$2:$F$966,$A39)</f>
        <v>0</v>
      </c>
      <c r="AU39" s="9" t="n">
        <f aca="false">SUMIFS('Исходные данные'!$J$2:$J$966,'Исходные данные'!$D$2:$D$966,AT$1,'Исходные данные'!$F$2:$F$966,$A39)</f>
        <v>0</v>
      </c>
      <c r="AV39" s="9" t="n">
        <f aca="false">SUMIFS('Исходные данные'!$I$2:$I$966,'Исходные данные'!$D$2:$D$966,AV$1,'Исходные данные'!$F$2:$F$966,$A39)</f>
        <v>0</v>
      </c>
      <c r="AW39" s="9" t="n">
        <f aca="false">SUMIFS('Исходные данные'!$J$2:$J$966,'Исходные данные'!$D$2:$D$966,AV$1,'Исходные данные'!$F$2:$F$966,$A39)</f>
        <v>0</v>
      </c>
      <c r="AX39" s="9" t="n">
        <f aca="false">SUMIFS('Исходные данные'!$I$2:$I$966,'Исходные данные'!$D$2:$D$966,AX$1,'Исходные данные'!$F$2:$F$966,$A39)</f>
        <v>0</v>
      </c>
      <c r="AY39" s="9" t="n">
        <f aca="false">SUMIFS('Исходные данные'!$J$2:$J$966,'Исходные данные'!$D$2:$D$966,AX$1,'Исходные данные'!$F$2:$F$966,$A39)</f>
        <v>0</v>
      </c>
      <c r="AZ39" s="9" t="n">
        <f aca="false">SUMIFS('Исходные данные'!$I$2:$I$966,'Исходные данные'!$D$2:$D$966,AZ$1,'Исходные данные'!$F$2:$F$966,$A39)</f>
        <v>0</v>
      </c>
      <c r="BA39" s="9" t="n">
        <f aca="false">SUMIFS('Исходные данные'!$J$2:$J$966,'Исходные данные'!$D$2:$D$966,AZ$1,'Исходные данные'!$F$2:$F$966,$A39)</f>
        <v>0</v>
      </c>
      <c r="BB39" s="9" t="n">
        <f aca="false">SUMIFS('Исходные данные'!$I$2:$I$966,'Исходные данные'!$D$2:$D$966,BB$1,'Исходные данные'!$F$2:$F$966,$A39)</f>
        <v>0</v>
      </c>
      <c r="BC39" s="9" t="n">
        <f aca="false">SUMIFS('Исходные данные'!$J$2:$J$966,'Исходные данные'!$D$2:$D$966,BB$1,'Исходные данные'!$F$2:$F$966,$A39)</f>
        <v>0</v>
      </c>
      <c r="BD39" s="9" t="n">
        <f aca="false">SUMIFS('Исходные данные'!$I$2:$I$966,'Исходные данные'!$D$2:$D$966,BD$1,'Исходные данные'!$F$2:$F$966,$A39)</f>
        <v>0</v>
      </c>
      <c r="BE39" s="9" t="n">
        <f aca="false">SUMIFS('Исходные данные'!$J$2:$J$966,'Исходные данные'!$D$2:$D$966,BD$1,'Исходные данные'!$F$2:$F$966,$A39)</f>
        <v>0</v>
      </c>
      <c r="BF39" s="9" t="n">
        <f aca="false">SUMIFS('Исходные данные'!$I$2:$I$966,'Исходные данные'!$D$2:$D$966,BF$1,'Исходные данные'!$F$2:$F$966,$A39)</f>
        <v>0</v>
      </c>
      <c r="BG39" s="9" t="n">
        <f aca="false">SUMIFS('Исходные данные'!$J$2:$J$966,'Исходные данные'!$D$2:$D$966,BF$1,'Исходные данные'!$F$2:$F$966,$A39)</f>
        <v>0</v>
      </c>
      <c r="BH39" s="9" t="n">
        <f aca="false">SUMIFS('Исходные данные'!$I$2:$I$966,'Исходные данные'!$D$2:$D$966,BH$1,'Исходные данные'!$F$2:$F$966,$A39)</f>
        <v>0</v>
      </c>
      <c r="BI39" s="9" t="n">
        <f aca="false">SUMIFS('Исходные данные'!$J$2:$J$966,'Исходные данные'!$D$2:$D$966,BH$1,'Исходные данные'!$F$2:$F$966,$A39)</f>
        <v>0</v>
      </c>
      <c r="BJ39" s="9" t="n">
        <f aca="false">SUMIFS('Исходные данные'!$I$2:$I$966,'Исходные данные'!$D$2:$D$966,BJ$1,'Исходные данные'!$F$2:$F$966,$A39)</f>
        <v>0</v>
      </c>
      <c r="BK39" s="9" t="n">
        <f aca="false">SUMIFS('Исходные данные'!$J$2:$J$966,'Исходные данные'!$D$2:$D$966,BJ$1,'Исходные данные'!$F$2:$F$966,$A39)</f>
        <v>0</v>
      </c>
      <c r="BL39" s="9" t="n">
        <f aca="false">SUMIFS('Исходные данные'!$I$2:$I$966,'Исходные данные'!$D$2:$D$966,BL$1,'Исходные данные'!$F$2:$F$966,$A39)</f>
        <v>0</v>
      </c>
      <c r="BM39" s="9" t="n">
        <f aca="false">SUMIFS('Исходные данные'!$J$2:$J$966,'Исходные данные'!$D$2:$D$966,BL$1,'Исходные данные'!$F$2:$F$966,$A39)</f>
        <v>0</v>
      </c>
      <c r="BN39" s="9" t="n">
        <f aca="false">SUMIFS('Исходные данные'!$I$2:$I$966,'Исходные данные'!$D$2:$D$966,BN$1,'Исходные данные'!$F$2:$F$966,$A39)</f>
        <v>0</v>
      </c>
      <c r="BO39" s="9" t="n">
        <f aca="false">SUMIFS('Исходные данные'!$J$2:$J$966,'Исходные данные'!$D$2:$D$966,BN$1,'Исходные данные'!$F$2:$F$966,$A39)</f>
        <v>0</v>
      </c>
      <c r="BP39" s="9" t="n">
        <f aca="false">SUMIFS('Исходные данные'!$I$2:$I$966,'Исходные данные'!$D$2:$D$966,BP$1,'Исходные данные'!$F$2:$F$966,$A39)</f>
        <v>0</v>
      </c>
      <c r="BQ39" s="9" t="n">
        <f aca="false">SUMIFS('Исходные данные'!$J$2:$J$966,'Исходные данные'!$D$2:$D$966,BP$1,'Исходные данные'!$F$2:$F$966,$A39)</f>
        <v>0</v>
      </c>
      <c r="BR39" s="9" t="n">
        <f aca="false">SUMIFS('Исходные данные'!$I$2:$I$966,'Исходные данные'!$D$2:$D$966,BR$1,'Исходные данные'!$F$2:$F$966,$A39)</f>
        <v>0</v>
      </c>
      <c r="BS39" s="9" t="n">
        <f aca="false">SUMIFS('Исходные данные'!$J$2:$J$966,'Исходные данные'!$D$2:$D$966,BR$1,'Исходные данные'!$F$2:$F$966,$A39)</f>
        <v>0</v>
      </c>
      <c r="BT39" s="9" t="n">
        <f aca="false">SUMIFS('Исходные данные'!$I$2:$I$966,'Исходные данные'!$D$2:$D$966,BT$1,'Исходные данные'!$F$2:$F$966,$A39)</f>
        <v>0</v>
      </c>
      <c r="BU39" s="9" t="n">
        <f aca="false">SUMIFS('Исходные данные'!$J$2:$J$966,'Исходные данные'!$D$2:$D$966,BT$1,'Исходные данные'!$F$2:$F$966,$A39)</f>
        <v>0</v>
      </c>
      <c r="BV39" s="9" t="n">
        <f aca="false">SUMIFS('Исходные данные'!$I$2:$I$966,'Исходные данные'!$D$2:$D$966,BV$1,'Исходные данные'!$F$2:$F$966,$A39)</f>
        <v>0</v>
      </c>
      <c r="BW39" s="9" t="n">
        <f aca="false">SUMIFS('Исходные данные'!$J$2:$J$966,'Исходные данные'!$D$2:$D$966,BV$1,'Исходные данные'!$F$2:$F$966,$A39)</f>
        <v>0</v>
      </c>
      <c r="BX39" s="9" t="n">
        <f aca="false">SUMIFS('Исходные данные'!$I$2:$I$966,'Исходные данные'!$D$2:$D$966,BX$1,'Исходные данные'!$F$2:$F$966,$A39)</f>
        <v>0</v>
      </c>
      <c r="BY39" s="9" t="n">
        <f aca="false">SUMIFS('Исходные данные'!$J$2:$J$966,'Исходные данные'!$D$2:$D$966,BX$1,'Исходные данные'!$F$2:$F$966,$A39)</f>
        <v>0</v>
      </c>
      <c r="BZ39" s="9" t="n">
        <f aca="false">SUMIFS('Исходные данные'!$I$2:$I$966,'Исходные данные'!$D$2:$D$966,BZ$1,'Исходные данные'!$F$2:$F$966,$A39)</f>
        <v>0</v>
      </c>
      <c r="CA39" s="9" t="n">
        <f aca="false">SUMIFS('Исходные данные'!$J$2:$J$966,'Исходные данные'!$D$2:$D$966,BZ$1,'Исходные данные'!$F$2:$F$966,$A39)</f>
        <v>0</v>
      </c>
      <c r="CB39" s="9" t="n">
        <f aca="false">SUMIFS('Исходные данные'!$I$2:$I$966,'Исходные данные'!$D$2:$D$966,CB$1,'Исходные данные'!$F$2:$F$966,$A39)</f>
        <v>0</v>
      </c>
      <c r="CC39" s="9" t="n">
        <f aca="false">SUMIFS('Исходные данные'!$J$2:$J$966,'Исходные данные'!$D$2:$D$966,CB$1,'Исходные данные'!$F$2:$F$966,$A39)</f>
        <v>0</v>
      </c>
      <c r="CD39" s="9" t="n">
        <f aca="false">SUMIFS('Исходные данные'!$I$2:$I$966,'Исходные данные'!$D$2:$D$966,CD$1,'Исходные данные'!$F$2:$F$966,$A39)</f>
        <v>0</v>
      </c>
      <c r="CE39" s="9" t="n">
        <f aca="false">SUMIFS('Исходные данные'!$J$2:$J$966,'Исходные данные'!$D$2:$D$966,CD$1,'Исходные данные'!$F$2:$F$966,$A39)</f>
        <v>0</v>
      </c>
      <c r="CF39" s="9" t="n">
        <f aca="false">SUMIFS('Исходные данные'!$I$2:$I$966,'Исходные данные'!$D$2:$D$966,CF$1,'Исходные данные'!$F$2:$F$966,$A39)</f>
        <v>0</v>
      </c>
      <c r="CG39" s="9" t="n">
        <f aca="false">SUMIFS('Исходные данные'!$J$2:$J$966,'Исходные данные'!$D$2:$D$966,CF$1,'Исходные данные'!$F$2:$F$966,$A39)</f>
        <v>0</v>
      </c>
      <c r="CH39" s="9" t="n">
        <f aca="false">SUMIFS('Исходные данные'!$I$2:$I$966,'Исходные данные'!$D$2:$D$966,CH$1,'Исходные данные'!$F$2:$F$966,$A39)</f>
        <v>0</v>
      </c>
      <c r="CI39" s="9" t="n">
        <f aca="false">SUMIFS('Исходные данные'!$J$2:$J$966,'Исходные данные'!$D$2:$D$966,CH$1,'Исходные данные'!$F$2:$F$966,$A39)</f>
        <v>0</v>
      </c>
      <c r="CJ39" s="9" t="n">
        <f aca="false">SUMIFS('Исходные данные'!$I$2:$I$966,'Исходные данные'!$D$2:$D$966,CJ$1,'Исходные данные'!$F$2:$F$966,$A39)</f>
        <v>0</v>
      </c>
      <c r="CK39" s="9" t="n">
        <f aca="false">SUMIFS('Исходные данные'!$J$2:$J$966,'Исходные данные'!$D$2:$D$966,CJ$1,'Исходные данные'!$F$2:$F$966,$A39)</f>
        <v>0</v>
      </c>
      <c r="CL39" s="9" t="n">
        <f aca="false">SUMIFS('Исходные данные'!$I$2:$I$966,'Исходные данные'!$D$2:$D$966,CL$1,'Исходные данные'!$F$2:$F$966,$A39)</f>
        <v>0</v>
      </c>
      <c r="CM39" s="9" t="n">
        <f aca="false">SUMIFS('Исходные данные'!$J$2:$J$966,'Исходные данные'!$D$2:$D$966,CL$1,'Исходные данные'!$F$2:$F$966,$A39)</f>
        <v>0</v>
      </c>
      <c r="CN39" s="9" t="n">
        <f aca="false">SUMIFS('Исходные данные'!$I$2:$I$966,'Исходные данные'!$D$2:$D$966,CN$1,'Исходные данные'!$F$2:$F$966,$A39)</f>
        <v>0</v>
      </c>
      <c r="CO39" s="9" t="n">
        <f aca="false">SUMIFS('Исходные данные'!$J$2:$J$966,'Исходные данные'!$D$2:$D$966,CN$1,'Исходные данные'!$F$2:$F$966,$A39)</f>
        <v>0</v>
      </c>
      <c r="CP39" s="9" t="n">
        <f aca="false">SUMIFS('Исходные данные'!$I$2:$I$966,'Исходные данные'!$D$2:$D$966,CP$1,'Исходные данные'!$F$2:$F$966,$A39)</f>
        <v>0</v>
      </c>
      <c r="CQ39" s="9" t="n">
        <f aca="false">SUMIFS('Исходные данные'!$J$2:$J$966,'Исходные данные'!$D$2:$D$966,CP$1,'Исходные данные'!$F$2:$F$966,$A39)</f>
        <v>0</v>
      </c>
    </row>
    <row r="40" customFormat="false" ht="15" hidden="false" customHeight="false" outlineLevel="0" collapsed="false">
      <c r="A40" s="8" t="s">
        <v>127</v>
      </c>
      <c r="B40" s="9" t="s">
        <v>128</v>
      </c>
      <c r="C40" s="5" t="n">
        <v>1</v>
      </c>
      <c r="D40" s="5" t="n">
        <f aca="false">F40+G40</f>
        <v>1</v>
      </c>
      <c r="E40" s="5" t="n">
        <f aca="false">D40-C40</f>
        <v>0</v>
      </c>
      <c r="F40" s="5" t="n">
        <f aca="false">SUMIFS($H40:$CQ40,$H$2:$CQ$2,"День")</f>
        <v>1</v>
      </c>
      <c r="G40" s="5" t="n">
        <f aca="false">SUMIFS($H40:$CQ40,$H$2:$CQ$2,"Ночь")</f>
        <v>0</v>
      </c>
      <c r="H40" s="9" t="n">
        <f aca="false">SUMIFS('Исходные данные'!$I$2:$I$966,'Исходные данные'!$D$2:$D$966,H$1,'Исходные данные'!$F$2:$F$966,$A40)</f>
        <v>0</v>
      </c>
      <c r="I40" s="9" t="n">
        <f aca="false">SUMIFS('Исходные данные'!$J$2:$J$966,'Исходные данные'!$D$2:$D$966,H$1,'Исходные данные'!$F$2:$F$966,$A40)</f>
        <v>0</v>
      </c>
      <c r="J40" s="9" t="n">
        <f aca="false">SUMIFS('Исходные данные'!$I$2:$I$966,'Исходные данные'!$D$2:$D$966,J$1,'Исходные данные'!$F$2:$F$966,$A40)</f>
        <v>0</v>
      </c>
      <c r="K40" s="9" t="n">
        <f aca="false">SUMIFS('Исходные данные'!$J$2:$J$966,'Исходные данные'!$D$2:$D$966,J$1,'Исходные данные'!$F$2:$F$966,$A40)</f>
        <v>0</v>
      </c>
      <c r="L40" s="9" t="n">
        <f aca="false">SUMIFS('Исходные данные'!$I$2:$I$966,'Исходные данные'!$D$2:$D$966,L$1,'Исходные данные'!$F$2:$F$966,$A40)</f>
        <v>0</v>
      </c>
      <c r="M40" s="9" t="n">
        <f aca="false">SUMIFS('Исходные данные'!$J$2:$J$966,'Исходные данные'!$D$2:$D$966,L$1,'Исходные данные'!$F$2:$F$966,$A40)</f>
        <v>0</v>
      </c>
      <c r="N40" s="9" t="n">
        <f aca="false">SUMIFS('Исходные данные'!$I$2:$I$966,'Исходные данные'!$D$2:$D$966,N$1,'Исходные данные'!$F$2:$F$966,$A40)</f>
        <v>0</v>
      </c>
      <c r="O40" s="9" t="n">
        <f aca="false">SUMIFS('Исходные данные'!$J$2:$J$966,'Исходные данные'!$D$2:$D$966,N$1,'Исходные данные'!$F$2:$F$966,$A40)</f>
        <v>0</v>
      </c>
      <c r="P40" s="9" t="n">
        <f aca="false">SUMIFS('Исходные данные'!$I$2:$I$966,'Исходные данные'!$D$2:$D$966,P$1,'Исходные данные'!$F$2:$F$966,$A40)</f>
        <v>0</v>
      </c>
      <c r="Q40" s="9" t="n">
        <f aca="false">SUMIFS('Исходные данные'!$J$2:$J$966,'Исходные данные'!$D$2:$D$966,P$1,'Исходные данные'!$F$2:$F$966,$A40)</f>
        <v>0</v>
      </c>
      <c r="R40" s="9" t="n">
        <f aca="false">SUMIFS('Исходные данные'!$I$2:$I$966,'Исходные данные'!$D$2:$D$966,R$1,'Исходные данные'!$F$2:$F$966,$A40)</f>
        <v>1</v>
      </c>
      <c r="S40" s="9" t="n">
        <f aca="false">SUMIFS('Исходные данные'!$J$2:$J$966,'Исходные данные'!$D$2:$D$966,R$1,'Исходные данные'!$F$2:$F$966,$A40)</f>
        <v>0</v>
      </c>
      <c r="T40" s="9" t="n">
        <f aca="false">SUMIFS('Исходные данные'!$I$2:$I$966,'Исходные данные'!$D$2:$D$966,T$1,'Исходные данные'!$F$2:$F$966,$A40)</f>
        <v>0</v>
      </c>
      <c r="U40" s="9" t="n">
        <f aca="false">SUMIFS('Исходные данные'!$J$2:$J$966,'Исходные данные'!$D$2:$D$966,T$1,'Исходные данные'!$F$2:$F$966,$A40)</f>
        <v>0</v>
      </c>
      <c r="V40" s="9" t="n">
        <f aca="false">SUMIFS('Исходные данные'!$I$2:$I$966,'Исходные данные'!$D$2:$D$966,V$1,'Исходные данные'!$F$2:$F$966,$A40)</f>
        <v>0</v>
      </c>
      <c r="W40" s="9" t="n">
        <f aca="false">SUMIFS('Исходные данные'!$J$2:$J$966,'Исходные данные'!$D$2:$D$966,V$1,'Исходные данные'!$F$2:$F$966,$A40)</f>
        <v>0</v>
      </c>
      <c r="X40" s="9" t="n">
        <f aca="false">SUMIFS('Исходные данные'!$I$2:$I$966,'Исходные данные'!$D$2:$D$966,X$1,'Исходные данные'!$F$2:$F$966,$A40)</f>
        <v>0</v>
      </c>
      <c r="Y40" s="9" t="n">
        <f aca="false">SUMIFS('Исходные данные'!$J$2:$J$966,'Исходные данные'!$D$2:$D$966,X$1,'Исходные данные'!$F$2:$F$966,$A40)</f>
        <v>0</v>
      </c>
      <c r="Z40" s="9" t="n">
        <f aca="false">SUMIFS('Исходные данные'!$I$2:$I$966,'Исходные данные'!$D$2:$D$966,Z$1,'Исходные данные'!$F$2:$F$966,$A40)</f>
        <v>0</v>
      </c>
      <c r="AA40" s="9" t="n">
        <f aca="false">SUMIFS('Исходные данные'!$J$2:$J$966,'Исходные данные'!$D$2:$D$966,Z$1,'Исходные данные'!$F$2:$F$966,$A40)</f>
        <v>0</v>
      </c>
      <c r="AB40" s="9" t="n">
        <f aca="false">SUMIFS('Исходные данные'!$I$2:$I$966,'Исходные данные'!$D$2:$D$966,AB$1,'Исходные данные'!$F$2:$F$966,$A40)</f>
        <v>0</v>
      </c>
      <c r="AC40" s="9" t="n">
        <f aca="false">SUMIFS('Исходные данные'!$J$2:$J$966,'Исходные данные'!$D$2:$D$966,AB$1,'Исходные данные'!$F$2:$F$966,$A40)</f>
        <v>0</v>
      </c>
      <c r="AD40" s="9" t="n">
        <f aca="false">SUMIFS('Исходные данные'!$I$2:$I$966,'Исходные данные'!$D$2:$D$966,AD$1,'Исходные данные'!$F$2:$F$966,$A40)</f>
        <v>0</v>
      </c>
      <c r="AE40" s="9" t="n">
        <f aca="false">SUMIFS('Исходные данные'!$J$2:$J$966,'Исходные данные'!$D$2:$D$966,AD$1,'Исходные данные'!$F$2:$F$966,$A40)</f>
        <v>0</v>
      </c>
      <c r="AF40" s="9" t="n">
        <f aca="false">SUMIFS('Исходные данные'!$I$2:$I$966,'Исходные данные'!$D$2:$D$966,AF$1,'Исходные данные'!$F$2:$F$966,$A40)</f>
        <v>0</v>
      </c>
      <c r="AG40" s="9" t="n">
        <f aca="false">SUMIFS('Исходные данные'!$J$2:$J$966,'Исходные данные'!$D$2:$D$966,AF$1,'Исходные данные'!$F$2:$F$966,$A40)</f>
        <v>0</v>
      </c>
      <c r="AH40" s="9" t="n">
        <f aca="false">SUMIFS('Исходные данные'!$I$2:$I$966,'Исходные данные'!$D$2:$D$966,AH$1,'Исходные данные'!$F$2:$F$966,$A40)</f>
        <v>0</v>
      </c>
      <c r="AI40" s="9" t="n">
        <f aca="false">SUMIFS('Исходные данные'!$J$2:$J$966,'Исходные данные'!$D$2:$D$966,AH$1,'Исходные данные'!$F$2:$F$966,$A40)</f>
        <v>0</v>
      </c>
      <c r="AJ40" s="9" t="n">
        <f aca="false">SUMIFS('Исходные данные'!$I$2:$I$966,'Исходные данные'!$D$2:$D$966,AJ$1,'Исходные данные'!$F$2:$F$966,$A40)</f>
        <v>0</v>
      </c>
      <c r="AK40" s="9" t="n">
        <f aca="false">SUMIFS('Исходные данные'!$J$2:$J$966,'Исходные данные'!$D$2:$D$966,AJ$1,'Исходные данные'!$F$2:$F$966,$A40)</f>
        <v>0</v>
      </c>
      <c r="AL40" s="9" t="n">
        <f aca="false">SUMIFS('Исходные данные'!$I$2:$I$966,'Исходные данные'!$D$2:$D$966,AL$1,'Исходные данные'!$F$2:$F$966,$A40)</f>
        <v>0</v>
      </c>
      <c r="AM40" s="9" t="n">
        <f aca="false">SUMIFS('Исходные данные'!$J$2:$J$966,'Исходные данные'!$D$2:$D$966,AL$1,'Исходные данные'!$F$2:$F$966,$A40)</f>
        <v>0</v>
      </c>
      <c r="AN40" s="9" t="n">
        <f aca="false">SUMIFS('Исходные данные'!$I$2:$I$966,'Исходные данные'!$D$2:$D$966,AN$1,'Исходные данные'!$F$2:$F$966,$A40)</f>
        <v>0</v>
      </c>
      <c r="AO40" s="9" t="n">
        <f aca="false">SUMIFS('Исходные данные'!$J$2:$J$966,'Исходные данные'!$D$2:$D$966,AN$1,'Исходные данные'!$F$2:$F$966,$A40)</f>
        <v>0</v>
      </c>
      <c r="AP40" s="9" t="n">
        <f aca="false">SUMIFS('Исходные данные'!$I$2:$I$966,'Исходные данные'!$D$2:$D$966,AP$1,'Исходные данные'!$F$2:$F$966,$A40)</f>
        <v>0</v>
      </c>
      <c r="AQ40" s="9" t="n">
        <f aca="false">SUMIFS('Исходные данные'!$J$2:$J$966,'Исходные данные'!$D$2:$D$966,AP$1,'Исходные данные'!$F$2:$F$966,$A40)</f>
        <v>0</v>
      </c>
      <c r="AR40" s="9" t="n">
        <f aca="false">SUMIFS('Исходные данные'!$I$2:$I$966,'Исходные данные'!$D$2:$D$966,AR$1,'Исходные данные'!$F$2:$F$966,$A40)</f>
        <v>0</v>
      </c>
      <c r="AS40" s="9" t="n">
        <f aca="false">SUMIFS('Исходные данные'!$J$2:$J$966,'Исходные данные'!$D$2:$D$966,AR$1,'Исходные данные'!$F$2:$F$966,$A40)</f>
        <v>0</v>
      </c>
      <c r="AT40" s="9" t="n">
        <f aca="false">SUMIFS('Исходные данные'!$I$2:$I$966,'Исходные данные'!$D$2:$D$966,AT$1,'Исходные данные'!$F$2:$F$966,$A40)</f>
        <v>0</v>
      </c>
      <c r="AU40" s="9" t="n">
        <f aca="false">SUMIFS('Исходные данные'!$J$2:$J$966,'Исходные данные'!$D$2:$D$966,AT$1,'Исходные данные'!$F$2:$F$966,$A40)</f>
        <v>0</v>
      </c>
      <c r="AV40" s="9" t="n">
        <f aca="false">SUMIFS('Исходные данные'!$I$2:$I$966,'Исходные данные'!$D$2:$D$966,AV$1,'Исходные данные'!$F$2:$F$966,$A40)</f>
        <v>0</v>
      </c>
      <c r="AW40" s="9" t="n">
        <f aca="false">SUMIFS('Исходные данные'!$J$2:$J$966,'Исходные данные'!$D$2:$D$966,AV$1,'Исходные данные'!$F$2:$F$966,$A40)</f>
        <v>0</v>
      </c>
      <c r="AX40" s="9" t="n">
        <f aca="false">SUMIFS('Исходные данные'!$I$2:$I$966,'Исходные данные'!$D$2:$D$966,AX$1,'Исходные данные'!$F$2:$F$966,$A40)</f>
        <v>0</v>
      </c>
      <c r="AY40" s="9" t="n">
        <f aca="false">SUMIFS('Исходные данные'!$J$2:$J$966,'Исходные данные'!$D$2:$D$966,AX$1,'Исходные данные'!$F$2:$F$966,$A40)</f>
        <v>0</v>
      </c>
      <c r="AZ40" s="9" t="n">
        <f aca="false">SUMIFS('Исходные данные'!$I$2:$I$966,'Исходные данные'!$D$2:$D$966,AZ$1,'Исходные данные'!$F$2:$F$966,$A40)</f>
        <v>0</v>
      </c>
      <c r="BA40" s="9" t="n">
        <f aca="false">SUMIFS('Исходные данные'!$J$2:$J$966,'Исходные данные'!$D$2:$D$966,AZ$1,'Исходные данные'!$F$2:$F$966,$A40)</f>
        <v>0</v>
      </c>
      <c r="BB40" s="9" t="n">
        <f aca="false">SUMIFS('Исходные данные'!$I$2:$I$966,'Исходные данные'!$D$2:$D$966,BB$1,'Исходные данные'!$F$2:$F$966,$A40)</f>
        <v>0</v>
      </c>
      <c r="BC40" s="9" t="n">
        <f aca="false">SUMIFS('Исходные данные'!$J$2:$J$966,'Исходные данные'!$D$2:$D$966,BB$1,'Исходные данные'!$F$2:$F$966,$A40)</f>
        <v>0</v>
      </c>
      <c r="BD40" s="9" t="n">
        <f aca="false">SUMIFS('Исходные данные'!$I$2:$I$966,'Исходные данные'!$D$2:$D$966,BD$1,'Исходные данные'!$F$2:$F$966,$A40)</f>
        <v>0</v>
      </c>
      <c r="BE40" s="9" t="n">
        <f aca="false">SUMIFS('Исходные данные'!$J$2:$J$966,'Исходные данные'!$D$2:$D$966,BD$1,'Исходные данные'!$F$2:$F$966,$A40)</f>
        <v>0</v>
      </c>
      <c r="BF40" s="9" t="n">
        <f aca="false">SUMIFS('Исходные данные'!$I$2:$I$966,'Исходные данные'!$D$2:$D$966,BF$1,'Исходные данные'!$F$2:$F$966,$A40)</f>
        <v>0</v>
      </c>
      <c r="BG40" s="9" t="n">
        <f aca="false">SUMIFS('Исходные данные'!$J$2:$J$966,'Исходные данные'!$D$2:$D$966,BF$1,'Исходные данные'!$F$2:$F$966,$A40)</f>
        <v>0</v>
      </c>
      <c r="BH40" s="9" t="n">
        <f aca="false">SUMIFS('Исходные данные'!$I$2:$I$966,'Исходные данные'!$D$2:$D$966,BH$1,'Исходные данные'!$F$2:$F$966,$A40)</f>
        <v>0</v>
      </c>
      <c r="BI40" s="9" t="n">
        <f aca="false">SUMIFS('Исходные данные'!$J$2:$J$966,'Исходные данные'!$D$2:$D$966,BH$1,'Исходные данные'!$F$2:$F$966,$A40)</f>
        <v>0</v>
      </c>
      <c r="BJ40" s="9" t="n">
        <f aca="false">SUMIFS('Исходные данные'!$I$2:$I$966,'Исходные данные'!$D$2:$D$966,BJ$1,'Исходные данные'!$F$2:$F$966,$A40)</f>
        <v>0</v>
      </c>
      <c r="BK40" s="9" t="n">
        <f aca="false">SUMIFS('Исходные данные'!$J$2:$J$966,'Исходные данные'!$D$2:$D$966,BJ$1,'Исходные данные'!$F$2:$F$966,$A40)</f>
        <v>0</v>
      </c>
      <c r="BL40" s="9" t="n">
        <f aca="false">SUMIFS('Исходные данные'!$I$2:$I$966,'Исходные данные'!$D$2:$D$966,BL$1,'Исходные данные'!$F$2:$F$966,$A40)</f>
        <v>0</v>
      </c>
      <c r="BM40" s="9" t="n">
        <f aca="false">SUMIFS('Исходные данные'!$J$2:$J$966,'Исходные данные'!$D$2:$D$966,BL$1,'Исходные данные'!$F$2:$F$966,$A40)</f>
        <v>0</v>
      </c>
      <c r="BN40" s="9" t="n">
        <f aca="false">SUMIFS('Исходные данные'!$I$2:$I$966,'Исходные данные'!$D$2:$D$966,BN$1,'Исходные данные'!$F$2:$F$966,$A40)</f>
        <v>0</v>
      </c>
      <c r="BO40" s="9" t="n">
        <f aca="false">SUMIFS('Исходные данные'!$J$2:$J$966,'Исходные данные'!$D$2:$D$966,BN$1,'Исходные данные'!$F$2:$F$966,$A40)</f>
        <v>0</v>
      </c>
      <c r="BP40" s="9" t="n">
        <f aca="false">SUMIFS('Исходные данные'!$I$2:$I$966,'Исходные данные'!$D$2:$D$966,BP$1,'Исходные данные'!$F$2:$F$966,$A40)</f>
        <v>0</v>
      </c>
      <c r="BQ40" s="9" t="n">
        <f aca="false">SUMIFS('Исходные данные'!$J$2:$J$966,'Исходные данные'!$D$2:$D$966,BP$1,'Исходные данные'!$F$2:$F$966,$A40)</f>
        <v>0</v>
      </c>
      <c r="BR40" s="9" t="n">
        <f aca="false">SUMIFS('Исходные данные'!$I$2:$I$966,'Исходные данные'!$D$2:$D$966,BR$1,'Исходные данные'!$F$2:$F$966,$A40)</f>
        <v>0</v>
      </c>
      <c r="BS40" s="9" t="n">
        <f aca="false">SUMIFS('Исходные данные'!$J$2:$J$966,'Исходные данные'!$D$2:$D$966,BR$1,'Исходные данные'!$F$2:$F$966,$A40)</f>
        <v>0</v>
      </c>
      <c r="BT40" s="9" t="n">
        <f aca="false">SUMIFS('Исходные данные'!$I$2:$I$966,'Исходные данные'!$D$2:$D$966,BT$1,'Исходные данные'!$F$2:$F$966,$A40)</f>
        <v>0</v>
      </c>
      <c r="BU40" s="9" t="n">
        <f aca="false">SUMIFS('Исходные данные'!$J$2:$J$966,'Исходные данные'!$D$2:$D$966,BT$1,'Исходные данные'!$F$2:$F$966,$A40)</f>
        <v>0</v>
      </c>
      <c r="BV40" s="9" t="n">
        <f aca="false">SUMIFS('Исходные данные'!$I$2:$I$966,'Исходные данные'!$D$2:$D$966,BV$1,'Исходные данные'!$F$2:$F$966,$A40)</f>
        <v>0</v>
      </c>
      <c r="BW40" s="9" t="n">
        <f aca="false">SUMIFS('Исходные данные'!$J$2:$J$966,'Исходные данные'!$D$2:$D$966,BV$1,'Исходные данные'!$F$2:$F$966,$A40)</f>
        <v>0</v>
      </c>
      <c r="BX40" s="9" t="n">
        <f aca="false">SUMIFS('Исходные данные'!$I$2:$I$966,'Исходные данные'!$D$2:$D$966,BX$1,'Исходные данные'!$F$2:$F$966,$A40)</f>
        <v>0</v>
      </c>
      <c r="BY40" s="9" t="n">
        <f aca="false">SUMIFS('Исходные данные'!$J$2:$J$966,'Исходные данные'!$D$2:$D$966,BX$1,'Исходные данные'!$F$2:$F$966,$A40)</f>
        <v>0</v>
      </c>
      <c r="BZ40" s="9" t="n">
        <f aca="false">SUMIFS('Исходные данные'!$I$2:$I$966,'Исходные данные'!$D$2:$D$966,BZ$1,'Исходные данные'!$F$2:$F$966,$A40)</f>
        <v>0</v>
      </c>
      <c r="CA40" s="9" t="n">
        <f aca="false">SUMIFS('Исходные данные'!$J$2:$J$966,'Исходные данные'!$D$2:$D$966,BZ$1,'Исходные данные'!$F$2:$F$966,$A40)</f>
        <v>0</v>
      </c>
      <c r="CB40" s="9" t="n">
        <f aca="false">SUMIFS('Исходные данные'!$I$2:$I$966,'Исходные данные'!$D$2:$D$966,CB$1,'Исходные данные'!$F$2:$F$966,$A40)</f>
        <v>0</v>
      </c>
      <c r="CC40" s="9" t="n">
        <f aca="false">SUMIFS('Исходные данные'!$J$2:$J$966,'Исходные данные'!$D$2:$D$966,CB$1,'Исходные данные'!$F$2:$F$966,$A40)</f>
        <v>0</v>
      </c>
      <c r="CD40" s="9" t="n">
        <f aca="false">SUMIFS('Исходные данные'!$I$2:$I$966,'Исходные данные'!$D$2:$D$966,CD$1,'Исходные данные'!$F$2:$F$966,$A40)</f>
        <v>0</v>
      </c>
      <c r="CE40" s="9" t="n">
        <f aca="false">SUMIFS('Исходные данные'!$J$2:$J$966,'Исходные данные'!$D$2:$D$966,CD$1,'Исходные данные'!$F$2:$F$966,$A40)</f>
        <v>0</v>
      </c>
      <c r="CF40" s="9" t="n">
        <f aca="false">SUMIFS('Исходные данные'!$I$2:$I$966,'Исходные данные'!$D$2:$D$966,CF$1,'Исходные данные'!$F$2:$F$966,$A40)</f>
        <v>0</v>
      </c>
      <c r="CG40" s="9" t="n">
        <f aca="false">SUMIFS('Исходные данные'!$J$2:$J$966,'Исходные данные'!$D$2:$D$966,CF$1,'Исходные данные'!$F$2:$F$966,$A40)</f>
        <v>0</v>
      </c>
      <c r="CH40" s="9" t="n">
        <f aca="false">SUMIFS('Исходные данные'!$I$2:$I$966,'Исходные данные'!$D$2:$D$966,CH$1,'Исходные данные'!$F$2:$F$966,$A40)</f>
        <v>0</v>
      </c>
      <c r="CI40" s="9" t="n">
        <f aca="false">SUMIFS('Исходные данные'!$J$2:$J$966,'Исходные данные'!$D$2:$D$966,CH$1,'Исходные данные'!$F$2:$F$966,$A40)</f>
        <v>0</v>
      </c>
      <c r="CJ40" s="9" t="n">
        <f aca="false">SUMIFS('Исходные данные'!$I$2:$I$966,'Исходные данные'!$D$2:$D$966,CJ$1,'Исходные данные'!$F$2:$F$966,$A40)</f>
        <v>0</v>
      </c>
      <c r="CK40" s="9" t="n">
        <f aca="false">SUMIFS('Исходные данные'!$J$2:$J$966,'Исходные данные'!$D$2:$D$966,CJ$1,'Исходные данные'!$F$2:$F$966,$A40)</f>
        <v>0</v>
      </c>
      <c r="CL40" s="9" t="n">
        <f aca="false">SUMIFS('Исходные данные'!$I$2:$I$966,'Исходные данные'!$D$2:$D$966,CL$1,'Исходные данные'!$F$2:$F$966,$A40)</f>
        <v>0</v>
      </c>
      <c r="CM40" s="9" t="n">
        <f aca="false">SUMIFS('Исходные данные'!$J$2:$J$966,'Исходные данные'!$D$2:$D$966,CL$1,'Исходные данные'!$F$2:$F$966,$A40)</f>
        <v>0</v>
      </c>
      <c r="CN40" s="9" t="n">
        <f aca="false">SUMIFS('Исходные данные'!$I$2:$I$966,'Исходные данные'!$D$2:$D$966,CN$1,'Исходные данные'!$F$2:$F$966,$A40)</f>
        <v>0</v>
      </c>
      <c r="CO40" s="9" t="n">
        <f aca="false">SUMIFS('Исходные данные'!$J$2:$J$966,'Исходные данные'!$D$2:$D$966,CN$1,'Исходные данные'!$F$2:$F$966,$A40)</f>
        <v>0</v>
      </c>
      <c r="CP40" s="9" t="n">
        <f aca="false">SUMIFS('Исходные данные'!$I$2:$I$966,'Исходные данные'!$D$2:$D$966,CP$1,'Исходные данные'!$F$2:$F$966,$A40)</f>
        <v>0</v>
      </c>
      <c r="CQ40" s="9" t="n">
        <f aca="false">SUMIFS('Исходные данные'!$J$2:$J$966,'Исходные данные'!$D$2:$D$966,CP$1,'Исходные данные'!$F$2:$F$966,$A40)</f>
        <v>0</v>
      </c>
    </row>
    <row r="41" customFormat="false" ht="15" hidden="false" customHeight="false" outlineLevel="0" collapsed="false">
      <c r="A41" s="8" t="s">
        <v>129</v>
      </c>
      <c r="B41" s="9" t="s">
        <v>130</v>
      </c>
      <c r="C41" s="5" t="n">
        <v>1</v>
      </c>
      <c r="D41" s="5" t="n">
        <f aca="false">F41+G41</f>
        <v>1</v>
      </c>
      <c r="E41" s="5" t="n">
        <f aca="false">D41-C41</f>
        <v>0</v>
      </c>
      <c r="F41" s="5" t="n">
        <f aca="false">SUMIFS($H41:$CQ41,$H$2:$CQ$2,"День")</f>
        <v>1</v>
      </c>
      <c r="G41" s="5" t="n">
        <f aca="false">SUMIFS($H41:$CQ41,$H$2:$CQ$2,"Ночь")</f>
        <v>0</v>
      </c>
      <c r="H41" s="9" t="n">
        <f aca="false">SUMIFS('Исходные данные'!$I$2:$I$966,'Исходные данные'!$D$2:$D$966,H$1,'Исходные данные'!$F$2:$F$966,$A41)</f>
        <v>0</v>
      </c>
      <c r="I41" s="9" t="n">
        <f aca="false">SUMIFS('Исходные данные'!$J$2:$J$966,'Исходные данные'!$D$2:$D$966,H$1,'Исходные данные'!$F$2:$F$966,$A41)</f>
        <v>0</v>
      </c>
      <c r="J41" s="9" t="n">
        <f aca="false">SUMIFS('Исходные данные'!$I$2:$I$966,'Исходные данные'!$D$2:$D$966,J$1,'Исходные данные'!$F$2:$F$966,$A41)</f>
        <v>0</v>
      </c>
      <c r="K41" s="9" t="n">
        <f aca="false">SUMIFS('Исходные данные'!$J$2:$J$966,'Исходные данные'!$D$2:$D$966,J$1,'Исходные данные'!$F$2:$F$966,$A41)</f>
        <v>0</v>
      </c>
      <c r="L41" s="9" t="n">
        <f aca="false">SUMIFS('Исходные данные'!$I$2:$I$966,'Исходные данные'!$D$2:$D$966,L$1,'Исходные данные'!$F$2:$F$966,$A41)</f>
        <v>0</v>
      </c>
      <c r="M41" s="9" t="n">
        <f aca="false">SUMIFS('Исходные данные'!$J$2:$J$966,'Исходные данные'!$D$2:$D$966,L$1,'Исходные данные'!$F$2:$F$966,$A41)</f>
        <v>0</v>
      </c>
      <c r="N41" s="9" t="n">
        <f aca="false">SUMIFS('Исходные данные'!$I$2:$I$966,'Исходные данные'!$D$2:$D$966,N$1,'Исходные данные'!$F$2:$F$966,$A41)</f>
        <v>0</v>
      </c>
      <c r="O41" s="9" t="n">
        <f aca="false">SUMIFS('Исходные данные'!$J$2:$J$966,'Исходные данные'!$D$2:$D$966,N$1,'Исходные данные'!$F$2:$F$966,$A41)</f>
        <v>0</v>
      </c>
      <c r="P41" s="9" t="n">
        <f aca="false">SUMIFS('Исходные данные'!$I$2:$I$966,'Исходные данные'!$D$2:$D$966,P$1,'Исходные данные'!$F$2:$F$966,$A41)</f>
        <v>0</v>
      </c>
      <c r="Q41" s="9" t="n">
        <f aca="false">SUMIFS('Исходные данные'!$J$2:$J$966,'Исходные данные'!$D$2:$D$966,P$1,'Исходные данные'!$F$2:$F$966,$A41)</f>
        <v>0</v>
      </c>
      <c r="R41" s="9" t="n">
        <f aca="false">SUMIFS('Исходные данные'!$I$2:$I$966,'Исходные данные'!$D$2:$D$966,R$1,'Исходные данные'!$F$2:$F$966,$A41)</f>
        <v>0</v>
      </c>
      <c r="S41" s="9" t="n">
        <f aca="false">SUMIFS('Исходные данные'!$J$2:$J$966,'Исходные данные'!$D$2:$D$966,R$1,'Исходные данные'!$F$2:$F$966,$A41)</f>
        <v>0</v>
      </c>
      <c r="T41" s="9" t="n">
        <f aca="false">SUMIFS('Исходные данные'!$I$2:$I$966,'Исходные данные'!$D$2:$D$966,T$1,'Исходные данные'!$F$2:$F$966,$A41)</f>
        <v>0</v>
      </c>
      <c r="U41" s="9" t="n">
        <f aca="false">SUMIFS('Исходные данные'!$J$2:$J$966,'Исходные данные'!$D$2:$D$966,T$1,'Исходные данные'!$F$2:$F$966,$A41)</f>
        <v>0</v>
      </c>
      <c r="V41" s="9" t="n">
        <f aca="false">SUMIFS('Исходные данные'!$I$2:$I$966,'Исходные данные'!$D$2:$D$966,V$1,'Исходные данные'!$F$2:$F$966,$A41)</f>
        <v>0</v>
      </c>
      <c r="W41" s="9" t="n">
        <f aca="false">SUMIFS('Исходные данные'!$J$2:$J$966,'Исходные данные'!$D$2:$D$966,V$1,'Исходные данные'!$F$2:$F$966,$A41)</f>
        <v>0</v>
      </c>
      <c r="X41" s="9" t="n">
        <f aca="false">SUMIFS('Исходные данные'!$I$2:$I$966,'Исходные данные'!$D$2:$D$966,X$1,'Исходные данные'!$F$2:$F$966,$A41)</f>
        <v>0</v>
      </c>
      <c r="Y41" s="9" t="n">
        <f aca="false">SUMIFS('Исходные данные'!$J$2:$J$966,'Исходные данные'!$D$2:$D$966,X$1,'Исходные данные'!$F$2:$F$966,$A41)</f>
        <v>0</v>
      </c>
      <c r="Z41" s="9" t="n">
        <f aca="false">SUMIFS('Исходные данные'!$I$2:$I$966,'Исходные данные'!$D$2:$D$966,Z$1,'Исходные данные'!$F$2:$F$966,$A41)</f>
        <v>1</v>
      </c>
      <c r="AA41" s="9" t="n">
        <f aca="false">SUMIFS('Исходные данные'!$J$2:$J$966,'Исходные данные'!$D$2:$D$966,Z$1,'Исходные данные'!$F$2:$F$966,$A41)</f>
        <v>0</v>
      </c>
      <c r="AB41" s="9" t="n">
        <f aca="false">SUMIFS('Исходные данные'!$I$2:$I$966,'Исходные данные'!$D$2:$D$966,AB$1,'Исходные данные'!$F$2:$F$966,$A41)</f>
        <v>0</v>
      </c>
      <c r="AC41" s="9" t="n">
        <f aca="false">SUMIFS('Исходные данные'!$J$2:$J$966,'Исходные данные'!$D$2:$D$966,AB$1,'Исходные данные'!$F$2:$F$966,$A41)</f>
        <v>0</v>
      </c>
      <c r="AD41" s="9" t="n">
        <f aca="false">SUMIFS('Исходные данные'!$I$2:$I$966,'Исходные данные'!$D$2:$D$966,AD$1,'Исходные данные'!$F$2:$F$966,$A41)</f>
        <v>0</v>
      </c>
      <c r="AE41" s="9" t="n">
        <f aca="false">SUMIFS('Исходные данные'!$J$2:$J$966,'Исходные данные'!$D$2:$D$966,AD$1,'Исходные данные'!$F$2:$F$966,$A41)</f>
        <v>0</v>
      </c>
      <c r="AF41" s="9" t="n">
        <f aca="false">SUMIFS('Исходные данные'!$I$2:$I$966,'Исходные данные'!$D$2:$D$966,AF$1,'Исходные данные'!$F$2:$F$966,$A41)</f>
        <v>0</v>
      </c>
      <c r="AG41" s="9" t="n">
        <f aca="false">SUMIFS('Исходные данные'!$J$2:$J$966,'Исходные данные'!$D$2:$D$966,AF$1,'Исходные данные'!$F$2:$F$966,$A41)</f>
        <v>0</v>
      </c>
      <c r="AH41" s="9" t="n">
        <f aca="false">SUMIFS('Исходные данные'!$I$2:$I$966,'Исходные данные'!$D$2:$D$966,AH$1,'Исходные данные'!$F$2:$F$966,$A41)</f>
        <v>0</v>
      </c>
      <c r="AI41" s="9" t="n">
        <f aca="false">SUMIFS('Исходные данные'!$J$2:$J$966,'Исходные данные'!$D$2:$D$966,AH$1,'Исходные данные'!$F$2:$F$966,$A41)</f>
        <v>0</v>
      </c>
      <c r="AJ41" s="9" t="n">
        <f aca="false">SUMIFS('Исходные данные'!$I$2:$I$966,'Исходные данные'!$D$2:$D$966,AJ$1,'Исходные данные'!$F$2:$F$966,$A41)</f>
        <v>0</v>
      </c>
      <c r="AK41" s="9" t="n">
        <f aca="false">SUMIFS('Исходные данные'!$J$2:$J$966,'Исходные данные'!$D$2:$D$966,AJ$1,'Исходные данные'!$F$2:$F$966,$A41)</f>
        <v>0</v>
      </c>
      <c r="AL41" s="9" t="n">
        <f aca="false">SUMIFS('Исходные данные'!$I$2:$I$966,'Исходные данные'!$D$2:$D$966,AL$1,'Исходные данные'!$F$2:$F$966,$A41)</f>
        <v>0</v>
      </c>
      <c r="AM41" s="9" t="n">
        <f aca="false">SUMIFS('Исходные данные'!$J$2:$J$966,'Исходные данные'!$D$2:$D$966,AL$1,'Исходные данные'!$F$2:$F$966,$A41)</f>
        <v>0</v>
      </c>
      <c r="AN41" s="9" t="n">
        <f aca="false">SUMIFS('Исходные данные'!$I$2:$I$966,'Исходные данные'!$D$2:$D$966,AN$1,'Исходные данные'!$F$2:$F$966,$A41)</f>
        <v>0</v>
      </c>
      <c r="AO41" s="9" t="n">
        <f aca="false">SUMIFS('Исходные данные'!$J$2:$J$966,'Исходные данные'!$D$2:$D$966,AN$1,'Исходные данные'!$F$2:$F$966,$A41)</f>
        <v>0</v>
      </c>
      <c r="AP41" s="9" t="n">
        <f aca="false">SUMIFS('Исходные данные'!$I$2:$I$966,'Исходные данные'!$D$2:$D$966,AP$1,'Исходные данные'!$F$2:$F$966,$A41)</f>
        <v>0</v>
      </c>
      <c r="AQ41" s="9" t="n">
        <f aca="false">SUMIFS('Исходные данные'!$J$2:$J$966,'Исходные данные'!$D$2:$D$966,AP$1,'Исходные данные'!$F$2:$F$966,$A41)</f>
        <v>0</v>
      </c>
      <c r="AR41" s="9" t="n">
        <f aca="false">SUMIFS('Исходные данные'!$I$2:$I$966,'Исходные данные'!$D$2:$D$966,AR$1,'Исходные данные'!$F$2:$F$966,$A41)</f>
        <v>0</v>
      </c>
      <c r="AS41" s="9" t="n">
        <f aca="false">SUMIFS('Исходные данные'!$J$2:$J$966,'Исходные данные'!$D$2:$D$966,AR$1,'Исходные данные'!$F$2:$F$966,$A41)</f>
        <v>0</v>
      </c>
      <c r="AT41" s="9" t="n">
        <f aca="false">SUMIFS('Исходные данные'!$I$2:$I$966,'Исходные данные'!$D$2:$D$966,AT$1,'Исходные данные'!$F$2:$F$966,$A41)</f>
        <v>0</v>
      </c>
      <c r="AU41" s="9" t="n">
        <f aca="false">SUMIFS('Исходные данные'!$J$2:$J$966,'Исходные данные'!$D$2:$D$966,AT$1,'Исходные данные'!$F$2:$F$966,$A41)</f>
        <v>0</v>
      </c>
      <c r="AV41" s="9" t="n">
        <f aca="false">SUMIFS('Исходные данные'!$I$2:$I$966,'Исходные данные'!$D$2:$D$966,AV$1,'Исходные данные'!$F$2:$F$966,$A41)</f>
        <v>0</v>
      </c>
      <c r="AW41" s="9" t="n">
        <f aca="false">SUMIFS('Исходные данные'!$J$2:$J$966,'Исходные данные'!$D$2:$D$966,AV$1,'Исходные данные'!$F$2:$F$966,$A41)</f>
        <v>0</v>
      </c>
      <c r="AX41" s="9" t="n">
        <f aca="false">SUMIFS('Исходные данные'!$I$2:$I$966,'Исходные данные'!$D$2:$D$966,AX$1,'Исходные данные'!$F$2:$F$966,$A41)</f>
        <v>0</v>
      </c>
      <c r="AY41" s="9" t="n">
        <f aca="false">SUMIFS('Исходные данные'!$J$2:$J$966,'Исходные данные'!$D$2:$D$966,AX$1,'Исходные данные'!$F$2:$F$966,$A41)</f>
        <v>0</v>
      </c>
      <c r="AZ41" s="9" t="n">
        <f aca="false">SUMIFS('Исходные данные'!$I$2:$I$966,'Исходные данные'!$D$2:$D$966,AZ$1,'Исходные данные'!$F$2:$F$966,$A41)</f>
        <v>0</v>
      </c>
      <c r="BA41" s="9" t="n">
        <f aca="false">SUMIFS('Исходные данные'!$J$2:$J$966,'Исходные данные'!$D$2:$D$966,AZ$1,'Исходные данные'!$F$2:$F$966,$A41)</f>
        <v>0</v>
      </c>
      <c r="BB41" s="9" t="n">
        <f aca="false">SUMIFS('Исходные данные'!$I$2:$I$966,'Исходные данные'!$D$2:$D$966,BB$1,'Исходные данные'!$F$2:$F$966,$A41)</f>
        <v>0</v>
      </c>
      <c r="BC41" s="9" t="n">
        <f aca="false">SUMIFS('Исходные данные'!$J$2:$J$966,'Исходные данные'!$D$2:$D$966,BB$1,'Исходные данные'!$F$2:$F$966,$A41)</f>
        <v>0</v>
      </c>
      <c r="BD41" s="9" t="n">
        <f aca="false">SUMIFS('Исходные данные'!$I$2:$I$966,'Исходные данные'!$D$2:$D$966,BD$1,'Исходные данные'!$F$2:$F$966,$A41)</f>
        <v>0</v>
      </c>
      <c r="BE41" s="9" t="n">
        <f aca="false">SUMIFS('Исходные данные'!$J$2:$J$966,'Исходные данные'!$D$2:$D$966,BD$1,'Исходные данные'!$F$2:$F$966,$A41)</f>
        <v>0</v>
      </c>
      <c r="BF41" s="9" t="n">
        <f aca="false">SUMIFS('Исходные данные'!$I$2:$I$966,'Исходные данные'!$D$2:$D$966,BF$1,'Исходные данные'!$F$2:$F$966,$A41)</f>
        <v>0</v>
      </c>
      <c r="BG41" s="9" t="n">
        <f aca="false">SUMIFS('Исходные данные'!$J$2:$J$966,'Исходные данные'!$D$2:$D$966,BF$1,'Исходные данные'!$F$2:$F$966,$A41)</f>
        <v>0</v>
      </c>
      <c r="BH41" s="9" t="n">
        <f aca="false">SUMIFS('Исходные данные'!$I$2:$I$966,'Исходные данные'!$D$2:$D$966,BH$1,'Исходные данные'!$F$2:$F$966,$A41)</f>
        <v>0</v>
      </c>
      <c r="BI41" s="9" t="n">
        <f aca="false">SUMIFS('Исходные данные'!$J$2:$J$966,'Исходные данные'!$D$2:$D$966,BH$1,'Исходные данные'!$F$2:$F$966,$A41)</f>
        <v>0</v>
      </c>
      <c r="BJ41" s="9" t="n">
        <f aca="false">SUMIFS('Исходные данные'!$I$2:$I$966,'Исходные данные'!$D$2:$D$966,BJ$1,'Исходные данные'!$F$2:$F$966,$A41)</f>
        <v>0</v>
      </c>
      <c r="BK41" s="9" t="n">
        <f aca="false">SUMIFS('Исходные данные'!$J$2:$J$966,'Исходные данные'!$D$2:$D$966,BJ$1,'Исходные данные'!$F$2:$F$966,$A41)</f>
        <v>0</v>
      </c>
      <c r="BL41" s="9" t="n">
        <f aca="false">SUMIFS('Исходные данные'!$I$2:$I$966,'Исходные данные'!$D$2:$D$966,BL$1,'Исходные данные'!$F$2:$F$966,$A41)</f>
        <v>0</v>
      </c>
      <c r="BM41" s="9" t="n">
        <f aca="false">SUMIFS('Исходные данные'!$J$2:$J$966,'Исходные данные'!$D$2:$D$966,BL$1,'Исходные данные'!$F$2:$F$966,$A41)</f>
        <v>0</v>
      </c>
      <c r="BN41" s="9" t="n">
        <f aca="false">SUMIFS('Исходные данные'!$I$2:$I$966,'Исходные данные'!$D$2:$D$966,BN$1,'Исходные данные'!$F$2:$F$966,$A41)</f>
        <v>0</v>
      </c>
      <c r="BO41" s="9" t="n">
        <f aca="false">SUMIFS('Исходные данные'!$J$2:$J$966,'Исходные данные'!$D$2:$D$966,BN$1,'Исходные данные'!$F$2:$F$966,$A41)</f>
        <v>0</v>
      </c>
      <c r="BP41" s="9" t="n">
        <f aca="false">SUMIFS('Исходные данные'!$I$2:$I$966,'Исходные данные'!$D$2:$D$966,BP$1,'Исходные данные'!$F$2:$F$966,$A41)</f>
        <v>0</v>
      </c>
      <c r="BQ41" s="9" t="n">
        <f aca="false">SUMIFS('Исходные данные'!$J$2:$J$966,'Исходные данные'!$D$2:$D$966,BP$1,'Исходные данные'!$F$2:$F$966,$A41)</f>
        <v>0</v>
      </c>
      <c r="BR41" s="9" t="n">
        <f aca="false">SUMIFS('Исходные данные'!$I$2:$I$966,'Исходные данные'!$D$2:$D$966,BR$1,'Исходные данные'!$F$2:$F$966,$A41)</f>
        <v>0</v>
      </c>
      <c r="BS41" s="9" t="n">
        <f aca="false">SUMIFS('Исходные данные'!$J$2:$J$966,'Исходные данные'!$D$2:$D$966,BR$1,'Исходные данные'!$F$2:$F$966,$A41)</f>
        <v>0</v>
      </c>
      <c r="BT41" s="9" t="n">
        <f aca="false">SUMIFS('Исходные данные'!$I$2:$I$966,'Исходные данные'!$D$2:$D$966,BT$1,'Исходные данные'!$F$2:$F$966,$A41)</f>
        <v>0</v>
      </c>
      <c r="BU41" s="9" t="n">
        <f aca="false">SUMIFS('Исходные данные'!$J$2:$J$966,'Исходные данные'!$D$2:$D$966,BT$1,'Исходные данные'!$F$2:$F$966,$A41)</f>
        <v>0</v>
      </c>
      <c r="BV41" s="9" t="n">
        <f aca="false">SUMIFS('Исходные данные'!$I$2:$I$966,'Исходные данные'!$D$2:$D$966,BV$1,'Исходные данные'!$F$2:$F$966,$A41)</f>
        <v>0</v>
      </c>
      <c r="BW41" s="9" t="n">
        <f aca="false">SUMIFS('Исходные данные'!$J$2:$J$966,'Исходные данные'!$D$2:$D$966,BV$1,'Исходные данные'!$F$2:$F$966,$A41)</f>
        <v>0</v>
      </c>
      <c r="BX41" s="9" t="n">
        <f aca="false">SUMIFS('Исходные данные'!$I$2:$I$966,'Исходные данные'!$D$2:$D$966,BX$1,'Исходные данные'!$F$2:$F$966,$A41)</f>
        <v>0</v>
      </c>
      <c r="BY41" s="9" t="n">
        <f aca="false">SUMIFS('Исходные данные'!$J$2:$J$966,'Исходные данные'!$D$2:$D$966,BX$1,'Исходные данные'!$F$2:$F$966,$A41)</f>
        <v>0</v>
      </c>
      <c r="BZ41" s="9" t="n">
        <f aca="false">SUMIFS('Исходные данные'!$I$2:$I$966,'Исходные данные'!$D$2:$D$966,BZ$1,'Исходные данные'!$F$2:$F$966,$A41)</f>
        <v>0</v>
      </c>
      <c r="CA41" s="9" t="n">
        <f aca="false">SUMIFS('Исходные данные'!$J$2:$J$966,'Исходные данные'!$D$2:$D$966,BZ$1,'Исходные данные'!$F$2:$F$966,$A41)</f>
        <v>0</v>
      </c>
      <c r="CB41" s="9" t="n">
        <f aca="false">SUMIFS('Исходные данные'!$I$2:$I$966,'Исходные данные'!$D$2:$D$966,CB$1,'Исходные данные'!$F$2:$F$966,$A41)</f>
        <v>0</v>
      </c>
      <c r="CC41" s="9" t="n">
        <f aca="false">SUMIFS('Исходные данные'!$J$2:$J$966,'Исходные данные'!$D$2:$D$966,CB$1,'Исходные данные'!$F$2:$F$966,$A41)</f>
        <v>0</v>
      </c>
      <c r="CD41" s="9" t="n">
        <f aca="false">SUMIFS('Исходные данные'!$I$2:$I$966,'Исходные данные'!$D$2:$D$966,CD$1,'Исходные данные'!$F$2:$F$966,$A41)</f>
        <v>0</v>
      </c>
      <c r="CE41" s="9" t="n">
        <f aca="false">SUMIFS('Исходные данные'!$J$2:$J$966,'Исходные данные'!$D$2:$D$966,CD$1,'Исходные данные'!$F$2:$F$966,$A41)</f>
        <v>0</v>
      </c>
      <c r="CF41" s="9" t="n">
        <f aca="false">SUMIFS('Исходные данные'!$I$2:$I$966,'Исходные данные'!$D$2:$D$966,CF$1,'Исходные данные'!$F$2:$F$966,$A41)</f>
        <v>0</v>
      </c>
      <c r="CG41" s="9" t="n">
        <f aca="false">SUMIFS('Исходные данные'!$J$2:$J$966,'Исходные данные'!$D$2:$D$966,CF$1,'Исходные данные'!$F$2:$F$966,$A41)</f>
        <v>0</v>
      </c>
      <c r="CH41" s="9" t="n">
        <f aca="false">SUMIFS('Исходные данные'!$I$2:$I$966,'Исходные данные'!$D$2:$D$966,CH$1,'Исходные данные'!$F$2:$F$966,$A41)</f>
        <v>0</v>
      </c>
      <c r="CI41" s="9" t="n">
        <f aca="false">SUMIFS('Исходные данные'!$J$2:$J$966,'Исходные данные'!$D$2:$D$966,CH$1,'Исходные данные'!$F$2:$F$966,$A41)</f>
        <v>0</v>
      </c>
      <c r="CJ41" s="9" t="n">
        <f aca="false">SUMIFS('Исходные данные'!$I$2:$I$966,'Исходные данные'!$D$2:$D$966,CJ$1,'Исходные данные'!$F$2:$F$966,$A41)</f>
        <v>0</v>
      </c>
      <c r="CK41" s="9" t="n">
        <f aca="false">SUMIFS('Исходные данные'!$J$2:$J$966,'Исходные данные'!$D$2:$D$966,CJ$1,'Исходные данные'!$F$2:$F$966,$A41)</f>
        <v>0</v>
      </c>
      <c r="CL41" s="9" t="n">
        <f aca="false">SUMIFS('Исходные данные'!$I$2:$I$966,'Исходные данные'!$D$2:$D$966,CL$1,'Исходные данные'!$F$2:$F$966,$A41)</f>
        <v>0</v>
      </c>
      <c r="CM41" s="9" t="n">
        <f aca="false">SUMIFS('Исходные данные'!$J$2:$J$966,'Исходные данные'!$D$2:$D$966,CL$1,'Исходные данные'!$F$2:$F$966,$A41)</f>
        <v>0</v>
      </c>
      <c r="CN41" s="9" t="n">
        <f aca="false">SUMIFS('Исходные данные'!$I$2:$I$966,'Исходные данные'!$D$2:$D$966,CN$1,'Исходные данные'!$F$2:$F$966,$A41)</f>
        <v>0</v>
      </c>
      <c r="CO41" s="9" t="n">
        <f aca="false">SUMIFS('Исходные данные'!$J$2:$J$966,'Исходные данные'!$D$2:$D$966,CN$1,'Исходные данные'!$F$2:$F$966,$A41)</f>
        <v>0</v>
      </c>
      <c r="CP41" s="9" t="n">
        <f aca="false">SUMIFS('Исходные данные'!$I$2:$I$966,'Исходные данные'!$D$2:$D$966,CP$1,'Исходные данные'!$F$2:$F$966,$A41)</f>
        <v>0</v>
      </c>
      <c r="CQ41" s="9" t="n">
        <f aca="false">SUMIFS('Исходные данные'!$J$2:$J$966,'Исходные данные'!$D$2:$D$966,CP$1,'Исходные данные'!$F$2:$F$966,$A41)</f>
        <v>0</v>
      </c>
    </row>
    <row r="42" customFormat="false" ht="15" hidden="false" customHeight="false" outlineLevel="0" collapsed="false">
      <c r="A42" s="8" t="s">
        <v>131</v>
      </c>
      <c r="B42" s="9" t="s">
        <v>132</v>
      </c>
      <c r="C42" s="5" t="n">
        <v>2</v>
      </c>
      <c r="D42" s="5" t="n">
        <f aca="false">F42+G42</f>
        <v>2</v>
      </c>
      <c r="E42" s="5" t="n">
        <f aca="false">D42-C42</f>
        <v>0</v>
      </c>
      <c r="F42" s="5" t="n">
        <f aca="false">SUMIFS($H42:$CQ42,$H$2:$CQ$2,"День")</f>
        <v>2</v>
      </c>
      <c r="G42" s="5" t="n">
        <f aca="false">SUMIFS($H42:$CQ42,$H$2:$CQ$2,"Ночь")</f>
        <v>0</v>
      </c>
      <c r="H42" s="9" t="n">
        <f aca="false">SUMIFS('Исходные данные'!$I$2:$I$966,'Исходные данные'!$D$2:$D$966,H$1,'Исходные данные'!$F$2:$F$966,$A42)</f>
        <v>0</v>
      </c>
      <c r="I42" s="9" t="n">
        <f aca="false">SUMIFS('Исходные данные'!$J$2:$J$966,'Исходные данные'!$D$2:$D$966,H$1,'Исходные данные'!$F$2:$F$966,$A42)</f>
        <v>0</v>
      </c>
      <c r="J42" s="9" t="n">
        <f aca="false">SUMIFS('Исходные данные'!$I$2:$I$966,'Исходные данные'!$D$2:$D$966,J$1,'Исходные данные'!$F$2:$F$966,$A42)</f>
        <v>0</v>
      </c>
      <c r="K42" s="9" t="n">
        <f aca="false">SUMIFS('Исходные данные'!$J$2:$J$966,'Исходные данные'!$D$2:$D$966,J$1,'Исходные данные'!$F$2:$F$966,$A42)</f>
        <v>0</v>
      </c>
      <c r="L42" s="9" t="n">
        <f aca="false">SUMIFS('Исходные данные'!$I$2:$I$966,'Исходные данные'!$D$2:$D$966,L$1,'Исходные данные'!$F$2:$F$966,$A42)</f>
        <v>0</v>
      </c>
      <c r="M42" s="9" t="n">
        <f aca="false">SUMIFS('Исходные данные'!$J$2:$J$966,'Исходные данные'!$D$2:$D$966,L$1,'Исходные данные'!$F$2:$F$966,$A42)</f>
        <v>0</v>
      </c>
      <c r="N42" s="9" t="n">
        <f aca="false">SUMIFS('Исходные данные'!$I$2:$I$966,'Исходные данные'!$D$2:$D$966,N$1,'Исходные данные'!$F$2:$F$966,$A42)</f>
        <v>0</v>
      </c>
      <c r="O42" s="9" t="n">
        <f aca="false">SUMIFS('Исходные данные'!$J$2:$J$966,'Исходные данные'!$D$2:$D$966,N$1,'Исходные данные'!$F$2:$F$966,$A42)</f>
        <v>0</v>
      </c>
      <c r="P42" s="9" t="n">
        <f aca="false">SUMIFS('Исходные данные'!$I$2:$I$966,'Исходные данные'!$D$2:$D$966,P$1,'Исходные данные'!$F$2:$F$966,$A42)</f>
        <v>0</v>
      </c>
      <c r="Q42" s="9" t="n">
        <f aca="false">SUMIFS('Исходные данные'!$J$2:$J$966,'Исходные данные'!$D$2:$D$966,P$1,'Исходные данные'!$F$2:$F$966,$A42)</f>
        <v>0</v>
      </c>
      <c r="R42" s="9" t="n">
        <f aca="false">SUMIFS('Исходные данные'!$I$2:$I$966,'Исходные данные'!$D$2:$D$966,R$1,'Исходные данные'!$F$2:$F$966,$A42)</f>
        <v>0</v>
      </c>
      <c r="S42" s="9" t="n">
        <f aca="false">SUMIFS('Исходные данные'!$J$2:$J$966,'Исходные данные'!$D$2:$D$966,R$1,'Исходные данные'!$F$2:$F$966,$A42)</f>
        <v>0</v>
      </c>
      <c r="T42" s="9" t="n">
        <f aca="false">SUMIFS('Исходные данные'!$I$2:$I$966,'Исходные данные'!$D$2:$D$966,T$1,'Исходные данные'!$F$2:$F$966,$A42)</f>
        <v>1</v>
      </c>
      <c r="U42" s="9" t="n">
        <f aca="false">SUMIFS('Исходные данные'!$J$2:$J$966,'Исходные данные'!$D$2:$D$966,T$1,'Исходные данные'!$F$2:$F$966,$A42)</f>
        <v>0</v>
      </c>
      <c r="V42" s="9" t="n">
        <f aca="false">SUMIFS('Исходные данные'!$I$2:$I$966,'Исходные данные'!$D$2:$D$966,V$1,'Исходные данные'!$F$2:$F$966,$A42)</f>
        <v>0</v>
      </c>
      <c r="W42" s="9" t="n">
        <f aca="false">SUMIFS('Исходные данные'!$J$2:$J$966,'Исходные данные'!$D$2:$D$966,V$1,'Исходные данные'!$F$2:$F$966,$A42)</f>
        <v>0</v>
      </c>
      <c r="X42" s="9" t="n">
        <f aca="false">SUMIFS('Исходные данные'!$I$2:$I$966,'Исходные данные'!$D$2:$D$966,X$1,'Исходные данные'!$F$2:$F$966,$A42)</f>
        <v>0</v>
      </c>
      <c r="Y42" s="9" t="n">
        <f aca="false">SUMIFS('Исходные данные'!$J$2:$J$966,'Исходные данные'!$D$2:$D$966,X$1,'Исходные данные'!$F$2:$F$966,$A42)</f>
        <v>0</v>
      </c>
      <c r="Z42" s="9" t="n">
        <f aca="false">SUMIFS('Исходные данные'!$I$2:$I$966,'Исходные данные'!$D$2:$D$966,Z$1,'Исходные данные'!$F$2:$F$966,$A42)</f>
        <v>0</v>
      </c>
      <c r="AA42" s="9" t="n">
        <f aca="false">SUMIFS('Исходные данные'!$J$2:$J$966,'Исходные данные'!$D$2:$D$966,Z$1,'Исходные данные'!$F$2:$F$966,$A42)</f>
        <v>0</v>
      </c>
      <c r="AB42" s="9" t="n">
        <f aca="false">SUMIFS('Исходные данные'!$I$2:$I$966,'Исходные данные'!$D$2:$D$966,AB$1,'Исходные данные'!$F$2:$F$966,$A42)</f>
        <v>0</v>
      </c>
      <c r="AC42" s="9" t="n">
        <f aca="false">SUMIFS('Исходные данные'!$J$2:$J$966,'Исходные данные'!$D$2:$D$966,AB$1,'Исходные данные'!$F$2:$F$966,$A42)</f>
        <v>0</v>
      </c>
      <c r="AD42" s="9" t="n">
        <f aca="false">SUMIFS('Исходные данные'!$I$2:$I$966,'Исходные данные'!$D$2:$D$966,AD$1,'Исходные данные'!$F$2:$F$966,$A42)</f>
        <v>0</v>
      </c>
      <c r="AE42" s="9" t="n">
        <f aca="false">SUMIFS('Исходные данные'!$J$2:$J$966,'Исходные данные'!$D$2:$D$966,AD$1,'Исходные данные'!$F$2:$F$966,$A42)</f>
        <v>0</v>
      </c>
      <c r="AF42" s="9" t="n">
        <f aca="false">SUMIFS('Исходные данные'!$I$2:$I$966,'Исходные данные'!$D$2:$D$966,AF$1,'Исходные данные'!$F$2:$F$966,$A42)</f>
        <v>0</v>
      </c>
      <c r="AG42" s="9" t="n">
        <f aca="false">SUMIFS('Исходные данные'!$J$2:$J$966,'Исходные данные'!$D$2:$D$966,AF$1,'Исходные данные'!$F$2:$F$966,$A42)</f>
        <v>0</v>
      </c>
      <c r="AH42" s="9" t="n">
        <f aca="false">SUMIFS('Исходные данные'!$I$2:$I$966,'Исходные данные'!$D$2:$D$966,AH$1,'Исходные данные'!$F$2:$F$966,$A42)</f>
        <v>1</v>
      </c>
      <c r="AI42" s="9" t="n">
        <f aca="false">SUMIFS('Исходные данные'!$J$2:$J$966,'Исходные данные'!$D$2:$D$966,AH$1,'Исходные данные'!$F$2:$F$966,$A42)</f>
        <v>0</v>
      </c>
      <c r="AJ42" s="9" t="n">
        <f aca="false">SUMIFS('Исходные данные'!$I$2:$I$966,'Исходные данные'!$D$2:$D$966,AJ$1,'Исходные данные'!$F$2:$F$966,$A42)</f>
        <v>0</v>
      </c>
      <c r="AK42" s="9" t="n">
        <f aca="false">SUMIFS('Исходные данные'!$J$2:$J$966,'Исходные данные'!$D$2:$D$966,AJ$1,'Исходные данные'!$F$2:$F$966,$A42)</f>
        <v>0</v>
      </c>
      <c r="AL42" s="9" t="n">
        <f aca="false">SUMIFS('Исходные данные'!$I$2:$I$966,'Исходные данные'!$D$2:$D$966,AL$1,'Исходные данные'!$F$2:$F$966,$A42)</f>
        <v>0</v>
      </c>
      <c r="AM42" s="9" t="n">
        <f aca="false">SUMIFS('Исходные данные'!$J$2:$J$966,'Исходные данные'!$D$2:$D$966,AL$1,'Исходные данные'!$F$2:$F$966,$A42)</f>
        <v>0</v>
      </c>
      <c r="AN42" s="9" t="n">
        <f aca="false">SUMIFS('Исходные данные'!$I$2:$I$966,'Исходные данные'!$D$2:$D$966,AN$1,'Исходные данные'!$F$2:$F$966,$A42)</f>
        <v>0</v>
      </c>
      <c r="AO42" s="9" t="n">
        <f aca="false">SUMIFS('Исходные данные'!$J$2:$J$966,'Исходные данные'!$D$2:$D$966,AN$1,'Исходные данные'!$F$2:$F$966,$A42)</f>
        <v>0</v>
      </c>
      <c r="AP42" s="9" t="n">
        <f aca="false">SUMIFS('Исходные данные'!$I$2:$I$966,'Исходные данные'!$D$2:$D$966,AP$1,'Исходные данные'!$F$2:$F$966,$A42)</f>
        <v>0</v>
      </c>
      <c r="AQ42" s="9" t="n">
        <f aca="false">SUMIFS('Исходные данные'!$J$2:$J$966,'Исходные данные'!$D$2:$D$966,AP$1,'Исходные данные'!$F$2:$F$966,$A42)</f>
        <v>0</v>
      </c>
      <c r="AR42" s="9" t="n">
        <f aca="false">SUMIFS('Исходные данные'!$I$2:$I$966,'Исходные данные'!$D$2:$D$966,AR$1,'Исходные данные'!$F$2:$F$966,$A42)</f>
        <v>0</v>
      </c>
      <c r="AS42" s="9" t="n">
        <f aca="false">SUMIFS('Исходные данные'!$J$2:$J$966,'Исходные данные'!$D$2:$D$966,AR$1,'Исходные данные'!$F$2:$F$966,$A42)</f>
        <v>0</v>
      </c>
      <c r="AT42" s="9" t="n">
        <f aca="false">SUMIFS('Исходные данные'!$I$2:$I$966,'Исходные данные'!$D$2:$D$966,AT$1,'Исходные данные'!$F$2:$F$966,$A42)</f>
        <v>0</v>
      </c>
      <c r="AU42" s="9" t="n">
        <f aca="false">SUMIFS('Исходные данные'!$J$2:$J$966,'Исходные данные'!$D$2:$D$966,AT$1,'Исходные данные'!$F$2:$F$966,$A42)</f>
        <v>0</v>
      </c>
      <c r="AV42" s="9" t="n">
        <f aca="false">SUMIFS('Исходные данные'!$I$2:$I$966,'Исходные данные'!$D$2:$D$966,AV$1,'Исходные данные'!$F$2:$F$966,$A42)</f>
        <v>0</v>
      </c>
      <c r="AW42" s="9" t="n">
        <f aca="false">SUMIFS('Исходные данные'!$J$2:$J$966,'Исходные данные'!$D$2:$D$966,AV$1,'Исходные данные'!$F$2:$F$966,$A42)</f>
        <v>0</v>
      </c>
      <c r="AX42" s="9" t="n">
        <f aca="false">SUMIFS('Исходные данные'!$I$2:$I$966,'Исходные данные'!$D$2:$D$966,AX$1,'Исходные данные'!$F$2:$F$966,$A42)</f>
        <v>0</v>
      </c>
      <c r="AY42" s="9" t="n">
        <f aca="false">SUMIFS('Исходные данные'!$J$2:$J$966,'Исходные данные'!$D$2:$D$966,AX$1,'Исходные данные'!$F$2:$F$966,$A42)</f>
        <v>0</v>
      </c>
      <c r="AZ42" s="9" t="n">
        <f aca="false">SUMIFS('Исходные данные'!$I$2:$I$966,'Исходные данные'!$D$2:$D$966,AZ$1,'Исходные данные'!$F$2:$F$966,$A42)</f>
        <v>0</v>
      </c>
      <c r="BA42" s="9" t="n">
        <f aca="false">SUMIFS('Исходные данные'!$J$2:$J$966,'Исходные данные'!$D$2:$D$966,AZ$1,'Исходные данные'!$F$2:$F$966,$A42)</f>
        <v>0</v>
      </c>
      <c r="BB42" s="9" t="n">
        <f aca="false">SUMIFS('Исходные данные'!$I$2:$I$966,'Исходные данные'!$D$2:$D$966,BB$1,'Исходные данные'!$F$2:$F$966,$A42)</f>
        <v>0</v>
      </c>
      <c r="BC42" s="9" t="n">
        <f aca="false">SUMIFS('Исходные данные'!$J$2:$J$966,'Исходные данные'!$D$2:$D$966,BB$1,'Исходные данные'!$F$2:$F$966,$A42)</f>
        <v>0</v>
      </c>
      <c r="BD42" s="9" t="n">
        <f aca="false">SUMIFS('Исходные данные'!$I$2:$I$966,'Исходные данные'!$D$2:$D$966,BD$1,'Исходные данные'!$F$2:$F$966,$A42)</f>
        <v>0</v>
      </c>
      <c r="BE42" s="9" t="n">
        <f aca="false">SUMIFS('Исходные данные'!$J$2:$J$966,'Исходные данные'!$D$2:$D$966,BD$1,'Исходные данные'!$F$2:$F$966,$A42)</f>
        <v>0</v>
      </c>
      <c r="BF42" s="9" t="n">
        <f aca="false">SUMIFS('Исходные данные'!$I$2:$I$966,'Исходные данные'!$D$2:$D$966,BF$1,'Исходные данные'!$F$2:$F$966,$A42)</f>
        <v>0</v>
      </c>
      <c r="BG42" s="9" t="n">
        <f aca="false">SUMIFS('Исходные данные'!$J$2:$J$966,'Исходные данные'!$D$2:$D$966,BF$1,'Исходные данные'!$F$2:$F$966,$A42)</f>
        <v>0</v>
      </c>
      <c r="BH42" s="9" t="n">
        <f aca="false">SUMIFS('Исходные данные'!$I$2:$I$966,'Исходные данные'!$D$2:$D$966,BH$1,'Исходные данные'!$F$2:$F$966,$A42)</f>
        <v>0</v>
      </c>
      <c r="BI42" s="9" t="n">
        <f aca="false">SUMIFS('Исходные данные'!$J$2:$J$966,'Исходные данные'!$D$2:$D$966,BH$1,'Исходные данные'!$F$2:$F$966,$A42)</f>
        <v>0</v>
      </c>
      <c r="BJ42" s="9" t="n">
        <f aca="false">SUMIFS('Исходные данные'!$I$2:$I$966,'Исходные данные'!$D$2:$D$966,BJ$1,'Исходные данные'!$F$2:$F$966,$A42)</f>
        <v>0</v>
      </c>
      <c r="BK42" s="9" t="n">
        <f aca="false">SUMIFS('Исходные данные'!$J$2:$J$966,'Исходные данные'!$D$2:$D$966,BJ$1,'Исходные данные'!$F$2:$F$966,$A42)</f>
        <v>0</v>
      </c>
      <c r="BL42" s="9" t="n">
        <f aca="false">SUMIFS('Исходные данные'!$I$2:$I$966,'Исходные данные'!$D$2:$D$966,BL$1,'Исходные данные'!$F$2:$F$966,$A42)</f>
        <v>0</v>
      </c>
      <c r="BM42" s="9" t="n">
        <f aca="false">SUMIFS('Исходные данные'!$J$2:$J$966,'Исходные данные'!$D$2:$D$966,BL$1,'Исходные данные'!$F$2:$F$966,$A42)</f>
        <v>0</v>
      </c>
      <c r="BN42" s="9" t="n">
        <f aca="false">SUMIFS('Исходные данные'!$I$2:$I$966,'Исходные данные'!$D$2:$D$966,BN$1,'Исходные данные'!$F$2:$F$966,$A42)</f>
        <v>0</v>
      </c>
      <c r="BO42" s="9" t="n">
        <f aca="false">SUMIFS('Исходные данные'!$J$2:$J$966,'Исходные данные'!$D$2:$D$966,BN$1,'Исходные данные'!$F$2:$F$966,$A42)</f>
        <v>0</v>
      </c>
      <c r="BP42" s="9" t="n">
        <f aca="false">SUMIFS('Исходные данные'!$I$2:$I$966,'Исходные данные'!$D$2:$D$966,BP$1,'Исходные данные'!$F$2:$F$966,$A42)</f>
        <v>0</v>
      </c>
      <c r="BQ42" s="9" t="n">
        <f aca="false">SUMIFS('Исходные данные'!$J$2:$J$966,'Исходные данные'!$D$2:$D$966,BP$1,'Исходные данные'!$F$2:$F$966,$A42)</f>
        <v>0</v>
      </c>
      <c r="BR42" s="9" t="n">
        <f aca="false">SUMIFS('Исходные данные'!$I$2:$I$966,'Исходные данные'!$D$2:$D$966,BR$1,'Исходные данные'!$F$2:$F$966,$A42)</f>
        <v>0</v>
      </c>
      <c r="BS42" s="9" t="n">
        <f aca="false">SUMIFS('Исходные данные'!$J$2:$J$966,'Исходные данные'!$D$2:$D$966,BR$1,'Исходные данные'!$F$2:$F$966,$A42)</f>
        <v>0</v>
      </c>
      <c r="BT42" s="9" t="n">
        <f aca="false">SUMIFS('Исходные данные'!$I$2:$I$966,'Исходные данные'!$D$2:$D$966,BT$1,'Исходные данные'!$F$2:$F$966,$A42)</f>
        <v>0</v>
      </c>
      <c r="BU42" s="9" t="n">
        <f aca="false">SUMIFS('Исходные данные'!$J$2:$J$966,'Исходные данные'!$D$2:$D$966,BT$1,'Исходные данные'!$F$2:$F$966,$A42)</f>
        <v>0</v>
      </c>
      <c r="BV42" s="9" t="n">
        <f aca="false">SUMIFS('Исходные данные'!$I$2:$I$966,'Исходные данные'!$D$2:$D$966,BV$1,'Исходные данные'!$F$2:$F$966,$A42)</f>
        <v>0</v>
      </c>
      <c r="BW42" s="9" t="n">
        <f aca="false">SUMIFS('Исходные данные'!$J$2:$J$966,'Исходные данные'!$D$2:$D$966,BV$1,'Исходные данные'!$F$2:$F$966,$A42)</f>
        <v>0</v>
      </c>
      <c r="BX42" s="9" t="n">
        <f aca="false">SUMIFS('Исходные данные'!$I$2:$I$966,'Исходные данные'!$D$2:$D$966,BX$1,'Исходные данные'!$F$2:$F$966,$A42)</f>
        <v>0</v>
      </c>
      <c r="BY42" s="9" t="n">
        <f aca="false">SUMIFS('Исходные данные'!$J$2:$J$966,'Исходные данные'!$D$2:$D$966,BX$1,'Исходные данные'!$F$2:$F$966,$A42)</f>
        <v>0</v>
      </c>
      <c r="BZ42" s="9" t="n">
        <f aca="false">SUMIFS('Исходные данные'!$I$2:$I$966,'Исходные данные'!$D$2:$D$966,BZ$1,'Исходные данные'!$F$2:$F$966,$A42)</f>
        <v>0</v>
      </c>
      <c r="CA42" s="9" t="n">
        <f aca="false">SUMIFS('Исходные данные'!$J$2:$J$966,'Исходные данные'!$D$2:$D$966,BZ$1,'Исходные данные'!$F$2:$F$966,$A42)</f>
        <v>0</v>
      </c>
      <c r="CB42" s="9" t="n">
        <f aca="false">SUMIFS('Исходные данные'!$I$2:$I$966,'Исходные данные'!$D$2:$D$966,CB$1,'Исходные данные'!$F$2:$F$966,$A42)</f>
        <v>0</v>
      </c>
      <c r="CC42" s="9" t="n">
        <f aca="false">SUMIFS('Исходные данные'!$J$2:$J$966,'Исходные данные'!$D$2:$D$966,CB$1,'Исходные данные'!$F$2:$F$966,$A42)</f>
        <v>0</v>
      </c>
      <c r="CD42" s="9" t="n">
        <f aca="false">SUMIFS('Исходные данные'!$I$2:$I$966,'Исходные данные'!$D$2:$D$966,CD$1,'Исходные данные'!$F$2:$F$966,$A42)</f>
        <v>0</v>
      </c>
      <c r="CE42" s="9" t="n">
        <f aca="false">SUMIFS('Исходные данные'!$J$2:$J$966,'Исходные данные'!$D$2:$D$966,CD$1,'Исходные данные'!$F$2:$F$966,$A42)</f>
        <v>0</v>
      </c>
      <c r="CF42" s="9" t="n">
        <f aca="false">SUMIFS('Исходные данные'!$I$2:$I$966,'Исходные данные'!$D$2:$D$966,CF$1,'Исходные данные'!$F$2:$F$966,$A42)</f>
        <v>0</v>
      </c>
      <c r="CG42" s="9" t="n">
        <f aca="false">SUMIFS('Исходные данные'!$J$2:$J$966,'Исходные данные'!$D$2:$D$966,CF$1,'Исходные данные'!$F$2:$F$966,$A42)</f>
        <v>0</v>
      </c>
      <c r="CH42" s="9" t="n">
        <f aca="false">SUMIFS('Исходные данные'!$I$2:$I$966,'Исходные данные'!$D$2:$D$966,CH$1,'Исходные данные'!$F$2:$F$966,$A42)</f>
        <v>0</v>
      </c>
      <c r="CI42" s="9" t="n">
        <f aca="false">SUMIFS('Исходные данные'!$J$2:$J$966,'Исходные данные'!$D$2:$D$966,CH$1,'Исходные данные'!$F$2:$F$966,$A42)</f>
        <v>0</v>
      </c>
      <c r="CJ42" s="9" t="n">
        <f aca="false">SUMIFS('Исходные данные'!$I$2:$I$966,'Исходные данные'!$D$2:$D$966,CJ$1,'Исходные данные'!$F$2:$F$966,$A42)</f>
        <v>0</v>
      </c>
      <c r="CK42" s="9" t="n">
        <f aca="false">SUMIFS('Исходные данные'!$J$2:$J$966,'Исходные данные'!$D$2:$D$966,CJ$1,'Исходные данные'!$F$2:$F$966,$A42)</f>
        <v>0</v>
      </c>
      <c r="CL42" s="9" t="n">
        <f aca="false">SUMIFS('Исходные данные'!$I$2:$I$966,'Исходные данные'!$D$2:$D$966,CL$1,'Исходные данные'!$F$2:$F$966,$A42)</f>
        <v>0</v>
      </c>
      <c r="CM42" s="9" t="n">
        <f aca="false">SUMIFS('Исходные данные'!$J$2:$J$966,'Исходные данные'!$D$2:$D$966,CL$1,'Исходные данные'!$F$2:$F$966,$A42)</f>
        <v>0</v>
      </c>
      <c r="CN42" s="9" t="n">
        <f aca="false">SUMIFS('Исходные данные'!$I$2:$I$966,'Исходные данные'!$D$2:$D$966,CN$1,'Исходные данные'!$F$2:$F$966,$A42)</f>
        <v>0</v>
      </c>
      <c r="CO42" s="9" t="n">
        <f aca="false">SUMIFS('Исходные данные'!$J$2:$J$966,'Исходные данные'!$D$2:$D$966,CN$1,'Исходные данные'!$F$2:$F$966,$A42)</f>
        <v>0</v>
      </c>
      <c r="CP42" s="9" t="n">
        <f aca="false">SUMIFS('Исходные данные'!$I$2:$I$966,'Исходные данные'!$D$2:$D$966,CP$1,'Исходные данные'!$F$2:$F$966,$A42)</f>
        <v>0</v>
      </c>
      <c r="CQ42" s="9" t="n">
        <f aca="false">SUMIFS('Исходные данные'!$J$2:$J$966,'Исходные данные'!$D$2:$D$966,CP$1,'Исходные данные'!$F$2:$F$966,$A42)</f>
        <v>0</v>
      </c>
    </row>
    <row r="43" customFormat="false" ht="15" hidden="false" customHeight="false" outlineLevel="0" collapsed="false">
      <c r="A43" s="8" t="s">
        <v>133</v>
      </c>
      <c r="B43" s="9" t="s">
        <v>134</v>
      </c>
      <c r="C43" s="5" t="n">
        <v>0</v>
      </c>
      <c r="D43" s="5" t="n">
        <f aca="false">F43+G43</f>
        <v>0</v>
      </c>
      <c r="E43" s="5" t="n">
        <f aca="false">D43-C43</f>
        <v>0</v>
      </c>
      <c r="F43" s="5" t="n">
        <f aca="false">SUMIFS($H43:$CQ43,$H$2:$CQ$2,"День")</f>
        <v>0</v>
      </c>
      <c r="G43" s="5" t="n">
        <f aca="false">SUMIFS($H43:$CQ43,$H$2:$CQ$2,"Ночь")</f>
        <v>0</v>
      </c>
      <c r="H43" s="9" t="n">
        <f aca="false">SUMIFS('Исходные данные'!$I$2:$I$966,'Исходные данные'!$D$2:$D$966,H$1,'Исходные данные'!$F$2:$F$966,$A43)</f>
        <v>0</v>
      </c>
      <c r="I43" s="9" t="n">
        <f aca="false">SUMIFS('Исходные данные'!$J$2:$J$966,'Исходные данные'!$D$2:$D$966,H$1,'Исходные данные'!$F$2:$F$966,$A43)</f>
        <v>0</v>
      </c>
      <c r="J43" s="9" t="n">
        <f aca="false">SUMIFS('Исходные данные'!$I$2:$I$966,'Исходные данные'!$D$2:$D$966,J$1,'Исходные данные'!$F$2:$F$966,$A43)</f>
        <v>0</v>
      </c>
      <c r="K43" s="9" t="n">
        <f aca="false">SUMIFS('Исходные данные'!$J$2:$J$966,'Исходные данные'!$D$2:$D$966,J$1,'Исходные данные'!$F$2:$F$966,$A43)</f>
        <v>0</v>
      </c>
      <c r="L43" s="9" t="n">
        <f aca="false">SUMIFS('Исходные данные'!$I$2:$I$966,'Исходные данные'!$D$2:$D$966,L$1,'Исходные данные'!$F$2:$F$966,$A43)</f>
        <v>0</v>
      </c>
      <c r="M43" s="9" t="n">
        <f aca="false">SUMIFS('Исходные данные'!$J$2:$J$966,'Исходные данные'!$D$2:$D$966,L$1,'Исходные данные'!$F$2:$F$966,$A43)</f>
        <v>0</v>
      </c>
      <c r="N43" s="9" t="n">
        <f aca="false">SUMIFS('Исходные данные'!$I$2:$I$966,'Исходные данные'!$D$2:$D$966,N$1,'Исходные данные'!$F$2:$F$966,$A43)</f>
        <v>0</v>
      </c>
      <c r="O43" s="9" t="n">
        <f aca="false">SUMIFS('Исходные данные'!$J$2:$J$966,'Исходные данные'!$D$2:$D$966,N$1,'Исходные данные'!$F$2:$F$966,$A43)</f>
        <v>0</v>
      </c>
      <c r="P43" s="9" t="n">
        <f aca="false">SUMIFS('Исходные данные'!$I$2:$I$966,'Исходные данные'!$D$2:$D$966,P$1,'Исходные данные'!$F$2:$F$966,$A43)</f>
        <v>0</v>
      </c>
      <c r="Q43" s="9" t="n">
        <f aca="false">SUMIFS('Исходные данные'!$J$2:$J$966,'Исходные данные'!$D$2:$D$966,P$1,'Исходные данные'!$F$2:$F$966,$A43)</f>
        <v>0</v>
      </c>
      <c r="R43" s="9" t="n">
        <f aca="false">SUMIFS('Исходные данные'!$I$2:$I$966,'Исходные данные'!$D$2:$D$966,R$1,'Исходные данные'!$F$2:$F$966,$A43)</f>
        <v>0</v>
      </c>
      <c r="S43" s="9" t="n">
        <f aca="false">SUMIFS('Исходные данные'!$J$2:$J$966,'Исходные данные'!$D$2:$D$966,R$1,'Исходные данные'!$F$2:$F$966,$A43)</f>
        <v>0</v>
      </c>
      <c r="T43" s="9" t="n">
        <f aca="false">SUMIFS('Исходные данные'!$I$2:$I$966,'Исходные данные'!$D$2:$D$966,T$1,'Исходные данные'!$F$2:$F$966,$A43)</f>
        <v>0</v>
      </c>
      <c r="U43" s="9" t="n">
        <f aca="false">SUMIFS('Исходные данные'!$J$2:$J$966,'Исходные данные'!$D$2:$D$966,T$1,'Исходные данные'!$F$2:$F$966,$A43)</f>
        <v>0</v>
      </c>
      <c r="V43" s="9" t="n">
        <f aca="false">SUMIFS('Исходные данные'!$I$2:$I$966,'Исходные данные'!$D$2:$D$966,V$1,'Исходные данные'!$F$2:$F$966,$A43)</f>
        <v>0</v>
      </c>
      <c r="W43" s="9" t="n">
        <f aca="false">SUMIFS('Исходные данные'!$J$2:$J$966,'Исходные данные'!$D$2:$D$966,V$1,'Исходные данные'!$F$2:$F$966,$A43)</f>
        <v>0</v>
      </c>
      <c r="X43" s="9" t="n">
        <f aca="false">SUMIFS('Исходные данные'!$I$2:$I$966,'Исходные данные'!$D$2:$D$966,X$1,'Исходные данные'!$F$2:$F$966,$A43)</f>
        <v>0</v>
      </c>
      <c r="Y43" s="9" t="n">
        <f aca="false">SUMIFS('Исходные данные'!$J$2:$J$966,'Исходные данные'!$D$2:$D$966,X$1,'Исходные данные'!$F$2:$F$966,$A43)</f>
        <v>0</v>
      </c>
      <c r="Z43" s="9" t="n">
        <f aca="false">SUMIFS('Исходные данные'!$I$2:$I$966,'Исходные данные'!$D$2:$D$966,Z$1,'Исходные данные'!$F$2:$F$966,$A43)</f>
        <v>0</v>
      </c>
      <c r="AA43" s="9" t="n">
        <f aca="false">SUMIFS('Исходные данные'!$J$2:$J$966,'Исходные данные'!$D$2:$D$966,Z$1,'Исходные данные'!$F$2:$F$966,$A43)</f>
        <v>0</v>
      </c>
      <c r="AB43" s="9" t="n">
        <f aca="false">SUMIFS('Исходные данные'!$I$2:$I$966,'Исходные данные'!$D$2:$D$966,AB$1,'Исходные данные'!$F$2:$F$966,$A43)</f>
        <v>0</v>
      </c>
      <c r="AC43" s="9" t="n">
        <f aca="false">SUMIFS('Исходные данные'!$J$2:$J$966,'Исходные данные'!$D$2:$D$966,AB$1,'Исходные данные'!$F$2:$F$966,$A43)</f>
        <v>0</v>
      </c>
      <c r="AD43" s="9" t="n">
        <f aca="false">SUMIFS('Исходные данные'!$I$2:$I$966,'Исходные данные'!$D$2:$D$966,AD$1,'Исходные данные'!$F$2:$F$966,$A43)</f>
        <v>0</v>
      </c>
      <c r="AE43" s="9" t="n">
        <f aca="false">SUMIFS('Исходные данные'!$J$2:$J$966,'Исходные данные'!$D$2:$D$966,AD$1,'Исходные данные'!$F$2:$F$966,$A43)</f>
        <v>0</v>
      </c>
      <c r="AF43" s="9" t="n">
        <f aca="false">SUMIFS('Исходные данные'!$I$2:$I$966,'Исходные данные'!$D$2:$D$966,AF$1,'Исходные данные'!$F$2:$F$966,$A43)</f>
        <v>0</v>
      </c>
      <c r="AG43" s="9" t="n">
        <f aca="false">SUMIFS('Исходные данные'!$J$2:$J$966,'Исходные данные'!$D$2:$D$966,AF$1,'Исходные данные'!$F$2:$F$966,$A43)</f>
        <v>0</v>
      </c>
      <c r="AH43" s="9" t="n">
        <f aca="false">SUMIFS('Исходные данные'!$I$2:$I$966,'Исходные данные'!$D$2:$D$966,AH$1,'Исходные данные'!$F$2:$F$966,$A43)</f>
        <v>0</v>
      </c>
      <c r="AI43" s="9" t="n">
        <f aca="false">SUMIFS('Исходные данные'!$J$2:$J$966,'Исходные данные'!$D$2:$D$966,AH$1,'Исходные данные'!$F$2:$F$966,$A43)</f>
        <v>0</v>
      </c>
      <c r="AJ43" s="9" t="n">
        <f aca="false">SUMIFS('Исходные данные'!$I$2:$I$966,'Исходные данные'!$D$2:$D$966,AJ$1,'Исходные данные'!$F$2:$F$966,$A43)</f>
        <v>0</v>
      </c>
      <c r="AK43" s="9" t="n">
        <f aca="false">SUMIFS('Исходные данные'!$J$2:$J$966,'Исходные данные'!$D$2:$D$966,AJ$1,'Исходные данные'!$F$2:$F$966,$A43)</f>
        <v>0</v>
      </c>
      <c r="AL43" s="9" t="n">
        <f aca="false">SUMIFS('Исходные данные'!$I$2:$I$966,'Исходные данные'!$D$2:$D$966,AL$1,'Исходные данные'!$F$2:$F$966,$A43)</f>
        <v>0</v>
      </c>
      <c r="AM43" s="9" t="n">
        <f aca="false">SUMIFS('Исходные данные'!$J$2:$J$966,'Исходные данные'!$D$2:$D$966,AL$1,'Исходные данные'!$F$2:$F$966,$A43)</f>
        <v>0</v>
      </c>
      <c r="AN43" s="9" t="n">
        <f aca="false">SUMIFS('Исходные данные'!$I$2:$I$966,'Исходные данные'!$D$2:$D$966,AN$1,'Исходные данные'!$F$2:$F$966,$A43)</f>
        <v>0</v>
      </c>
      <c r="AO43" s="9" t="n">
        <f aca="false">SUMIFS('Исходные данные'!$J$2:$J$966,'Исходные данные'!$D$2:$D$966,AN$1,'Исходные данные'!$F$2:$F$966,$A43)</f>
        <v>0</v>
      </c>
      <c r="AP43" s="9" t="n">
        <f aca="false">SUMIFS('Исходные данные'!$I$2:$I$966,'Исходные данные'!$D$2:$D$966,AP$1,'Исходные данные'!$F$2:$F$966,$A43)</f>
        <v>0</v>
      </c>
      <c r="AQ43" s="9" t="n">
        <f aca="false">SUMIFS('Исходные данные'!$J$2:$J$966,'Исходные данные'!$D$2:$D$966,AP$1,'Исходные данные'!$F$2:$F$966,$A43)</f>
        <v>0</v>
      </c>
      <c r="AR43" s="9" t="n">
        <f aca="false">SUMIFS('Исходные данные'!$I$2:$I$966,'Исходные данные'!$D$2:$D$966,AR$1,'Исходные данные'!$F$2:$F$966,$A43)</f>
        <v>0</v>
      </c>
      <c r="AS43" s="9" t="n">
        <f aca="false">SUMIFS('Исходные данные'!$J$2:$J$966,'Исходные данные'!$D$2:$D$966,AR$1,'Исходные данные'!$F$2:$F$966,$A43)</f>
        <v>0</v>
      </c>
      <c r="AT43" s="9" t="n">
        <f aca="false">SUMIFS('Исходные данные'!$I$2:$I$966,'Исходные данные'!$D$2:$D$966,AT$1,'Исходные данные'!$F$2:$F$966,$A43)</f>
        <v>0</v>
      </c>
      <c r="AU43" s="9" t="n">
        <f aca="false">SUMIFS('Исходные данные'!$J$2:$J$966,'Исходные данные'!$D$2:$D$966,AT$1,'Исходные данные'!$F$2:$F$966,$A43)</f>
        <v>0</v>
      </c>
      <c r="AV43" s="9" t="n">
        <f aca="false">SUMIFS('Исходные данные'!$I$2:$I$966,'Исходные данные'!$D$2:$D$966,AV$1,'Исходные данные'!$F$2:$F$966,$A43)</f>
        <v>0</v>
      </c>
      <c r="AW43" s="9" t="n">
        <f aca="false">SUMIFS('Исходные данные'!$J$2:$J$966,'Исходные данные'!$D$2:$D$966,AV$1,'Исходные данные'!$F$2:$F$966,$A43)</f>
        <v>0</v>
      </c>
      <c r="AX43" s="9" t="n">
        <f aca="false">SUMIFS('Исходные данные'!$I$2:$I$966,'Исходные данные'!$D$2:$D$966,AX$1,'Исходные данные'!$F$2:$F$966,$A43)</f>
        <v>0</v>
      </c>
      <c r="AY43" s="9" t="n">
        <f aca="false">SUMIFS('Исходные данные'!$J$2:$J$966,'Исходные данные'!$D$2:$D$966,AX$1,'Исходные данные'!$F$2:$F$966,$A43)</f>
        <v>0</v>
      </c>
      <c r="AZ43" s="9" t="n">
        <f aca="false">SUMIFS('Исходные данные'!$I$2:$I$966,'Исходные данные'!$D$2:$D$966,AZ$1,'Исходные данные'!$F$2:$F$966,$A43)</f>
        <v>0</v>
      </c>
      <c r="BA43" s="9" t="n">
        <f aca="false">SUMIFS('Исходные данные'!$J$2:$J$966,'Исходные данные'!$D$2:$D$966,AZ$1,'Исходные данные'!$F$2:$F$966,$A43)</f>
        <v>0</v>
      </c>
      <c r="BB43" s="9" t="n">
        <f aca="false">SUMIFS('Исходные данные'!$I$2:$I$966,'Исходные данные'!$D$2:$D$966,BB$1,'Исходные данные'!$F$2:$F$966,$A43)</f>
        <v>0</v>
      </c>
      <c r="BC43" s="9" t="n">
        <f aca="false">SUMIFS('Исходные данные'!$J$2:$J$966,'Исходные данные'!$D$2:$D$966,BB$1,'Исходные данные'!$F$2:$F$966,$A43)</f>
        <v>0</v>
      </c>
      <c r="BD43" s="9" t="n">
        <f aca="false">SUMIFS('Исходные данные'!$I$2:$I$966,'Исходные данные'!$D$2:$D$966,BD$1,'Исходные данные'!$F$2:$F$966,$A43)</f>
        <v>0</v>
      </c>
      <c r="BE43" s="9" t="n">
        <f aca="false">SUMIFS('Исходные данные'!$J$2:$J$966,'Исходные данные'!$D$2:$D$966,BD$1,'Исходные данные'!$F$2:$F$966,$A43)</f>
        <v>0</v>
      </c>
      <c r="BF43" s="9" t="n">
        <f aca="false">SUMIFS('Исходные данные'!$I$2:$I$966,'Исходные данные'!$D$2:$D$966,BF$1,'Исходные данные'!$F$2:$F$966,$A43)</f>
        <v>0</v>
      </c>
      <c r="BG43" s="9" t="n">
        <f aca="false">SUMIFS('Исходные данные'!$J$2:$J$966,'Исходные данные'!$D$2:$D$966,BF$1,'Исходные данные'!$F$2:$F$966,$A43)</f>
        <v>0</v>
      </c>
      <c r="BH43" s="9" t="n">
        <f aca="false">SUMIFS('Исходные данные'!$I$2:$I$966,'Исходные данные'!$D$2:$D$966,BH$1,'Исходные данные'!$F$2:$F$966,$A43)</f>
        <v>0</v>
      </c>
      <c r="BI43" s="9" t="n">
        <f aca="false">SUMIFS('Исходные данные'!$J$2:$J$966,'Исходные данные'!$D$2:$D$966,BH$1,'Исходные данные'!$F$2:$F$966,$A43)</f>
        <v>0</v>
      </c>
      <c r="BJ43" s="9" t="n">
        <f aca="false">SUMIFS('Исходные данные'!$I$2:$I$966,'Исходные данные'!$D$2:$D$966,BJ$1,'Исходные данные'!$F$2:$F$966,$A43)</f>
        <v>0</v>
      </c>
      <c r="BK43" s="9" t="n">
        <f aca="false">SUMIFS('Исходные данные'!$J$2:$J$966,'Исходные данные'!$D$2:$D$966,BJ$1,'Исходные данные'!$F$2:$F$966,$A43)</f>
        <v>0</v>
      </c>
      <c r="BL43" s="9" t="n">
        <f aca="false">SUMIFS('Исходные данные'!$I$2:$I$966,'Исходные данные'!$D$2:$D$966,BL$1,'Исходные данные'!$F$2:$F$966,$A43)</f>
        <v>0</v>
      </c>
      <c r="BM43" s="9" t="n">
        <f aca="false">SUMIFS('Исходные данные'!$J$2:$J$966,'Исходные данные'!$D$2:$D$966,BL$1,'Исходные данные'!$F$2:$F$966,$A43)</f>
        <v>0</v>
      </c>
      <c r="BN43" s="9" t="n">
        <f aca="false">SUMIFS('Исходные данные'!$I$2:$I$966,'Исходные данные'!$D$2:$D$966,BN$1,'Исходные данные'!$F$2:$F$966,$A43)</f>
        <v>0</v>
      </c>
      <c r="BO43" s="9" t="n">
        <f aca="false">SUMIFS('Исходные данные'!$J$2:$J$966,'Исходные данные'!$D$2:$D$966,BN$1,'Исходные данные'!$F$2:$F$966,$A43)</f>
        <v>0</v>
      </c>
      <c r="BP43" s="9" t="n">
        <f aca="false">SUMIFS('Исходные данные'!$I$2:$I$966,'Исходные данные'!$D$2:$D$966,BP$1,'Исходные данные'!$F$2:$F$966,$A43)</f>
        <v>0</v>
      </c>
      <c r="BQ43" s="9" t="n">
        <f aca="false">SUMIFS('Исходные данные'!$J$2:$J$966,'Исходные данные'!$D$2:$D$966,BP$1,'Исходные данные'!$F$2:$F$966,$A43)</f>
        <v>0</v>
      </c>
      <c r="BR43" s="9" t="n">
        <f aca="false">SUMIFS('Исходные данные'!$I$2:$I$966,'Исходные данные'!$D$2:$D$966,BR$1,'Исходные данные'!$F$2:$F$966,$A43)</f>
        <v>0</v>
      </c>
      <c r="BS43" s="9" t="n">
        <f aca="false">SUMIFS('Исходные данные'!$J$2:$J$966,'Исходные данные'!$D$2:$D$966,BR$1,'Исходные данные'!$F$2:$F$966,$A43)</f>
        <v>0</v>
      </c>
      <c r="BT43" s="9" t="n">
        <f aca="false">SUMIFS('Исходные данные'!$I$2:$I$966,'Исходные данные'!$D$2:$D$966,BT$1,'Исходные данные'!$F$2:$F$966,$A43)</f>
        <v>0</v>
      </c>
      <c r="BU43" s="9" t="n">
        <f aca="false">SUMIFS('Исходные данные'!$J$2:$J$966,'Исходные данные'!$D$2:$D$966,BT$1,'Исходные данные'!$F$2:$F$966,$A43)</f>
        <v>0</v>
      </c>
      <c r="BV43" s="9" t="n">
        <f aca="false">SUMIFS('Исходные данные'!$I$2:$I$966,'Исходные данные'!$D$2:$D$966,BV$1,'Исходные данные'!$F$2:$F$966,$A43)</f>
        <v>0</v>
      </c>
      <c r="BW43" s="9" t="n">
        <f aca="false">SUMIFS('Исходные данные'!$J$2:$J$966,'Исходные данные'!$D$2:$D$966,BV$1,'Исходные данные'!$F$2:$F$966,$A43)</f>
        <v>0</v>
      </c>
      <c r="BX43" s="9" t="n">
        <f aca="false">SUMIFS('Исходные данные'!$I$2:$I$966,'Исходные данные'!$D$2:$D$966,BX$1,'Исходные данные'!$F$2:$F$966,$A43)</f>
        <v>0</v>
      </c>
      <c r="BY43" s="9" t="n">
        <f aca="false">SUMIFS('Исходные данные'!$J$2:$J$966,'Исходные данные'!$D$2:$D$966,BX$1,'Исходные данные'!$F$2:$F$966,$A43)</f>
        <v>0</v>
      </c>
      <c r="BZ43" s="9" t="n">
        <f aca="false">SUMIFS('Исходные данные'!$I$2:$I$966,'Исходные данные'!$D$2:$D$966,BZ$1,'Исходные данные'!$F$2:$F$966,$A43)</f>
        <v>0</v>
      </c>
      <c r="CA43" s="9" t="n">
        <f aca="false">SUMIFS('Исходные данные'!$J$2:$J$966,'Исходные данные'!$D$2:$D$966,BZ$1,'Исходные данные'!$F$2:$F$966,$A43)</f>
        <v>0</v>
      </c>
      <c r="CB43" s="9" t="n">
        <f aca="false">SUMIFS('Исходные данные'!$I$2:$I$966,'Исходные данные'!$D$2:$D$966,CB$1,'Исходные данные'!$F$2:$F$966,$A43)</f>
        <v>0</v>
      </c>
      <c r="CC43" s="9" t="n">
        <f aca="false">SUMIFS('Исходные данные'!$J$2:$J$966,'Исходные данные'!$D$2:$D$966,CB$1,'Исходные данные'!$F$2:$F$966,$A43)</f>
        <v>0</v>
      </c>
      <c r="CD43" s="9" t="n">
        <f aca="false">SUMIFS('Исходные данные'!$I$2:$I$966,'Исходные данные'!$D$2:$D$966,CD$1,'Исходные данные'!$F$2:$F$966,$A43)</f>
        <v>0</v>
      </c>
      <c r="CE43" s="9" t="n">
        <f aca="false">SUMIFS('Исходные данные'!$J$2:$J$966,'Исходные данные'!$D$2:$D$966,CD$1,'Исходные данные'!$F$2:$F$966,$A43)</f>
        <v>0</v>
      </c>
      <c r="CF43" s="9" t="n">
        <f aca="false">SUMIFS('Исходные данные'!$I$2:$I$966,'Исходные данные'!$D$2:$D$966,CF$1,'Исходные данные'!$F$2:$F$966,$A43)</f>
        <v>0</v>
      </c>
      <c r="CG43" s="9" t="n">
        <f aca="false">SUMIFS('Исходные данные'!$J$2:$J$966,'Исходные данные'!$D$2:$D$966,CF$1,'Исходные данные'!$F$2:$F$966,$A43)</f>
        <v>0</v>
      </c>
      <c r="CH43" s="9" t="n">
        <f aca="false">SUMIFS('Исходные данные'!$I$2:$I$966,'Исходные данные'!$D$2:$D$966,CH$1,'Исходные данные'!$F$2:$F$966,$A43)</f>
        <v>0</v>
      </c>
      <c r="CI43" s="9" t="n">
        <f aca="false">SUMIFS('Исходные данные'!$J$2:$J$966,'Исходные данные'!$D$2:$D$966,CH$1,'Исходные данные'!$F$2:$F$966,$A43)</f>
        <v>0</v>
      </c>
      <c r="CJ43" s="9" t="n">
        <f aca="false">SUMIFS('Исходные данные'!$I$2:$I$966,'Исходные данные'!$D$2:$D$966,CJ$1,'Исходные данные'!$F$2:$F$966,$A43)</f>
        <v>0</v>
      </c>
      <c r="CK43" s="9" t="n">
        <f aca="false">SUMIFS('Исходные данные'!$J$2:$J$966,'Исходные данные'!$D$2:$D$966,CJ$1,'Исходные данные'!$F$2:$F$966,$A43)</f>
        <v>0</v>
      </c>
      <c r="CL43" s="9" t="n">
        <f aca="false">SUMIFS('Исходные данные'!$I$2:$I$966,'Исходные данные'!$D$2:$D$966,CL$1,'Исходные данные'!$F$2:$F$966,$A43)</f>
        <v>0</v>
      </c>
      <c r="CM43" s="9" t="n">
        <f aca="false">SUMIFS('Исходные данные'!$J$2:$J$966,'Исходные данные'!$D$2:$D$966,CL$1,'Исходные данные'!$F$2:$F$966,$A43)</f>
        <v>0</v>
      </c>
      <c r="CN43" s="9" t="n">
        <f aca="false">SUMIFS('Исходные данные'!$I$2:$I$966,'Исходные данные'!$D$2:$D$966,CN$1,'Исходные данные'!$F$2:$F$966,$A43)</f>
        <v>0</v>
      </c>
      <c r="CO43" s="9" t="n">
        <f aca="false">SUMIFS('Исходные данные'!$J$2:$J$966,'Исходные данные'!$D$2:$D$966,CN$1,'Исходные данные'!$F$2:$F$966,$A43)</f>
        <v>0</v>
      </c>
      <c r="CP43" s="9" t="n">
        <f aca="false">SUMIFS('Исходные данные'!$I$2:$I$966,'Исходные данные'!$D$2:$D$966,CP$1,'Исходные данные'!$F$2:$F$966,$A43)</f>
        <v>0</v>
      </c>
      <c r="CQ43" s="9" t="n">
        <f aca="false">SUMIFS('Исходные данные'!$J$2:$J$966,'Исходные данные'!$D$2:$D$966,CP$1,'Исходные данные'!$F$2:$F$966,$A43)</f>
        <v>0</v>
      </c>
    </row>
    <row r="44" customFormat="false" ht="15" hidden="false" customHeight="false" outlineLevel="0" collapsed="false">
      <c r="A44" s="8" t="s">
        <v>135</v>
      </c>
      <c r="B44" s="9" t="s">
        <v>136</v>
      </c>
      <c r="C44" s="5" t="n">
        <v>1</v>
      </c>
      <c r="D44" s="5" t="n">
        <f aca="false">F44+G44</f>
        <v>1</v>
      </c>
      <c r="E44" s="5" t="n">
        <f aca="false">D44-C44</f>
        <v>0</v>
      </c>
      <c r="F44" s="5" t="n">
        <f aca="false">SUMIFS($H44:$CQ44,$H$2:$CQ$2,"День")</f>
        <v>1</v>
      </c>
      <c r="G44" s="5" t="n">
        <f aca="false">SUMIFS($H44:$CQ44,$H$2:$CQ$2,"Ночь")</f>
        <v>0</v>
      </c>
      <c r="H44" s="9" t="n">
        <f aca="false">SUMIFS('Исходные данные'!$I$2:$I$966,'Исходные данные'!$D$2:$D$966,H$1,'Исходные данные'!$F$2:$F$966,$A44)</f>
        <v>0</v>
      </c>
      <c r="I44" s="9" t="n">
        <f aca="false">SUMIFS('Исходные данные'!$J$2:$J$966,'Исходные данные'!$D$2:$D$966,H$1,'Исходные данные'!$F$2:$F$966,$A44)</f>
        <v>0</v>
      </c>
      <c r="J44" s="9" t="n">
        <f aca="false">SUMIFS('Исходные данные'!$I$2:$I$966,'Исходные данные'!$D$2:$D$966,J$1,'Исходные данные'!$F$2:$F$966,$A44)</f>
        <v>0</v>
      </c>
      <c r="K44" s="9" t="n">
        <f aca="false">SUMIFS('Исходные данные'!$J$2:$J$966,'Исходные данные'!$D$2:$D$966,J$1,'Исходные данные'!$F$2:$F$966,$A44)</f>
        <v>0</v>
      </c>
      <c r="L44" s="9" t="n">
        <f aca="false">SUMIFS('Исходные данные'!$I$2:$I$966,'Исходные данные'!$D$2:$D$966,L$1,'Исходные данные'!$F$2:$F$966,$A44)</f>
        <v>0</v>
      </c>
      <c r="M44" s="9" t="n">
        <f aca="false">SUMIFS('Исходные данные'!$J$2:$J$966,'Исходные данные'!$D$2:$D$966,L$1,'Исходные данные'!$F$2:$F$966,$A44)</f>
        <v>0</v>
      </c>
      <c r="N44" s="9" t="n">
        <f aca="false">SUMIFS('Исходные данные'!$I$2:$I$966,'Исходные данные'!$D$2:$D$966,N$1,'Исходные данные'!$F$2:$F$966,$A44)</f>
        <v>0</v>
      </c>
      <c r="O44" s="9" t="n">
        <f aca="false">SUMIFS('Исходные данные'!$J$2:$J$966,'Исходные данные'!$D$2:$D$966,N$1,'Исходные данные'!$F$2:$F$966,$A44)</f>
        <v>0</v>
      </c>
      <c r="P44" s="9" t="n">
        <f aca="false">SUMIFS('Исходные данные'!$I$2:$I$966,'Исходные данные'!$D$2:$D$966,P$1,'Исходные данные'!$F$2:$F$966,$A44)</f>
        <v>0</v>
      </c>
      <c r="Q44" s="9" t="n">
        <f aca="false">SUMIFS('Исходные данные'!$J$2:$J$966,'Исходные данные'!$D$2:$D$966,P$1,'Исходные данные'!$F$2:$F$966,$A44)</f>
        <v>0</v>
      </c>
      <c r="R44" s="9" t="n">
        <f aca="false">SUMIFS('Исходные данные'!$I$2:$I$966,'Исходные данные'!$D$2:$D$966,R$1,'Исходные данные'!$F$2:$F$966,$A44)</f>
        <v>0</v>
      </c>
      <c r="S44" s="9" t="n">
        <f aca="false">SUMIFS('Исходные данные'!$J$2:$J$966,'Исходные данные'!$D$2:$D$966,R$1,'Исходные данные'!$F$2:$F$966,$A44)</f>
        <v>0</v>
      </c>
      <c r="T44" s="9" t="n">
        <f aca="false">SUMIFS('Исходные данные'!$I$2:$I$966,'Исходные данные'!$D$2:$D$966,T$1,'Исходные данные'!$F$2:$F$966,$A44)</f>
        <v>0</v>
      </c>
      <c r="U44" s="9" t="n">
        <f aca="false">SUMIFS('Исходные данные'!$J$2:$J$966,'Исходные данные'!$D$2:$D$966,T$1,'Исходные данные'!$F$2:$F$966,$A44)</f>
        <v>0</v>
      </c>
      <c r="V44" s="9" t="n">
        <f aca="false">SUMIFS('Исходные данные'!$I$2:$I$966,'Исходные данные'!$D$2:$D$966,V$1,'Исходные данные'!$F$2:$F$966,$A44)</f>
        <v>1</v>
      </c>
      <c r="W44" s="9" t="n">
        <f aca="false">SUMIFS('Исходные данные'!$J$2:$J$966,'Исходные данные'!$D$2:$D$966,V$1,'Исходные данные'!$F$2:$F$966,$A44)</f>
        <v>0</v>
      </c>
      <c r="X44" s="9" t="n">
        <f aca="false">SUMIFS('Исходные данные'!$I$2:$I$966,'Исходные данные'!$D$2:$D$966,X$1,'Исходные данные'!$F$2:$F$966,$A44)</f>
        <v>0</v>
      </c>
      <c r="Y44" s="9" t="n">
        <f aca="false">SUMIFS('Исходные данные'!$J$2:$J$966,'Исходные данные'!$D$2:$D$966,X$1,'Исходные данные'!$F$2:$F$966,$A44)</f>
        <v>0</v>
      </c>
      <c r="Z44" s="9" t="n">
        <f aca="false">SUMIFS('Исходные данные'!$I$2:$I$966,'Исходные данные'!$D$2:$D$966,Z$1,'Исходные данные'!$F$2:$F$966,$A44)</f>
        <v>0</v>
      </c>
      <c r="AA44" s="9" t="n">
        <f aca="false">SUMIFS('Исходные данные'!$J$2:$J$966,'Исходные данные'!$D$2:$D$966,Z$1,'Исходные данные'!$F$2:$F$966,$A44)</f>
        <v>0</v>
      </c>
      <c r="AB44" s="9" t="n">
        <f aca="false">SUMIFS('Исходные данные'!$I$2:$I$966,'Исходные данные'!$D$2:$D$966,AB$1,'Исходные данные'!$F$2:$F$966,$A44)</f>
        <v>0</v>
      </c>
      <c r="AC44" s="9" t="n">
        <f aca="false">SUMIFS('Исходные данные'!$J$2:$J$966,'Исходные данные'!$D$2:$D$966,AB$1,'Исходные данные'!$F$2:$F$966,$A44)</f>
        <v>0</v>
      </c>
      <c r="AD44" s="9" t="n">
        <f aca="false">SUMIFS('Исходные данные'!$I$2:$I$966,'Исходные данные'!$D$2:$D$966,AD$1,'Исходные данные'!$F$2:$F$966,$A44)</f>
        <v>0</v>
      </c>
      <c r="AE44" s="9" t="n">
        <f aca="false">SUMIFS('Исходные данные'!$J$2:$J$966,'Исходные данные'!$D$2:$D$966,AD$1,'Исходные данные'!$F$2:$F$966,$A44)</f>
        <v>0</v>
      </c>
      <c r="AF44" s="9" t="n">
        <f aca="false">SUMIFS('Исходные данные'!$I$2:$I$966,'Исходные данные'!$D$2:$D$966,AF$1,'Исходные данные'!$F$2:$F$966,$A44)</f>
        <v>0</v>
      </c>
      <c r="AG44" s="9" t="n">
        <f aca="false">SUMIFS('Исходные данные'!$J$2:$J$966,'Исходные данные'!$D$2:$D$966,AF$1,'Исходные данные'!$F$2:$F$966,$A44)</f>
        <v>0</v>
      </c>
      <c r="AH44" s="9" t="n">
        <f aca="false">SUMIFS('Исходные данные'!$I$2:$I$966,'Исходные данные'!$D$2:$D$966,AH$1,'Исходные данные'!$F$2:$F$966,$A44)</f>
        <v>0</v>
      </c>
      <c r="AI44" s="9" t="n">
        <f aca="false">SUMIFS('Исходные данные'!$J$2:$J$966,'Исходные данные'!$D$2:$D$966,AH$1,'Исходные данные'!$F$2:$F$966,$A44)</f>
        <v>0</v>
      </c>
      <c r="AJ44" s="9" t="n">
        <f aca="false">SUMIFS('Исходные данные'!$I$2:$I$966,'Исходные данные'!$D$2:$D$966,AJ$1,'Исходные данные'!$F$2:$F$966,$A44)</f>
        <v>0</v>
      </c>
      <c r="AK44" s="9" t="n">
        <f aca="false">SUMIFS('Исходные данные'!$J$2:$J$966,'Исходные данные'!$D$2:$D$966,AJ$1,'Исходные данные'!$F$2:$F$966,$A44)</f>
        <v>0</v>
      </c>
      <c r="AL44" s="9" t="n">
        <f aca="false">SUMIFS('Исходные данные'!$I$2:$I$966,'Исходные данные'!$D$2:$D$966,AL$1,'Исходные данные'!$F$2:$F$966,$A44)</f>
        <v>0</v>
      </c>
      <c r="AM44" s="9" t="n">
        <f aca="false">SUMIFS('Исходные данные'!$J$2:$J$966,'Исходные данные'!$D$2:$D$966,AL$1,'Исходные данные'!$F$2:$F$966,$A44)</f>
        <v>0</v>
      </c>
      <c r="AN44" s="9" t="n">
        <f aca="false">SUMIFS('Исходные данные'!$I$2:$I$966,'Исходные данные'!$D$2:$D$966,AN$1,'Исходные данные'!$F$2:$F$966,$A44)</f>
        <v>0</v>
      </c>
      <c r="AO44" s="9" t="n">
        <f aca="false">SUMIFS('Исходные данные'!$J$2:$J$966,'Исходные данные'!$D$2:$D$966,AN$1,'Исходные данные'!$F$2:$F$966,$A44)</f>
        <v>0</v>
      </c>
      <c r="AP44" s="9" t="n">
        <f aca="false">SUMIFS('Исходные данные'!$I$2:$I$966,'Исходные данные'!$D$2:$D$966,AP$1,'Исходные данные'!$F$2:$F$966,$A44)</f>
        <v>0</v>
      </c>
      <c r="AQ44" s="9" t="n">
        <f aca="false">SUMIFS('Исходные данные'!$J$2:$J$966,'Исходные данные'!$D$2:$D$966,AP$1,'Исходные данные'!$F$2:$F$966,$A44)</f>
        <v>0</v>
      </c>
      <c r="AR44" s="9" t="n">
        <f aca="false">SUMIFS('Исходные данные'!$I$2:$I$966,'Исходные данные'!$D$2:$D$966,AR$1,'Исходные данные'!$F$2:$F$966,$A44)</f>
        <v>0</v>
      </c>
      <c r="AS44" s="9" t="n">
        <f aca="false">SUMIFS('Исходные данные'!$J$2:$J$966,'Исходные данные'!$D$2:$D$966,AR$1,'Исходные данные'!$F$2:$F$966,$A44)</f>
        <v>0</v>
      </c>
      <c r="AT44" s="9" t="n">
        <f aca="false">SUMIFS('Исходные данные'!$I$2:$I$966,'Исходные данные'!$D$2:$D$966,AT$1,'Исходные данные'!$F$2:$F$966,$A44)</f>
        <v>0</v>
      </c>
      <c r="AU44" s="9" t="n">
        <f aca="false">SUMIFS('Исходные данные'!$J$2:$J$966,'Исходные данные'!$D$2:$D$966,AT$1,'Исходные данные'!$F$2:$F$966,$A44)</f>
        <v>0</v>
      </c>
      <c r="AV44" s="9" t="n">
        <f aca="false">SUMIFS('Исходные данные'!$I$2:$I$966,'Исходные данные'!$D$2:$D$966,AV$1,'Исходные данные'!$F$2:$F$966,$A44)</f>
        <v>0</v>
      </c>
      <c r="AW44" s="9" t="n">
        <f aca="false">SUMIFS('Исходные данные'!$J$2:$J$966,'Исходные данные'!$D$2:$D$966,AV$1,'Исходные данные'!$F$2:$F$966,$A44)</f>
        <v>0</v>
      </c>
      <c r="AX44" s="9" t="n">
        <f aca="false">SUMIFS('Исходные данные'!$I$2:$I$966,'Исходные данные'!$D$2:$D$966,AX$1,'Исходные данные'!$F$2:$F$966,$A44)</f>
        <v>0</v>
      </c>
      <c r="AY44" s="9" t="n">
        <f aca="false">SUMIFS('Исходные данные'!$J$2:$J$966,'Исходные данные'!$D$2:$D$966,AX$1,'Исходные данные'!$F$2:$F$966,$A44)</f>
        <v>0</v>
      </c>
      <c r="AZ44" s="9" t="n">
        <f aca="false">SUMIFS('Исходные данные'!$I$2:$I$966,'Исходные данные'!$D$2:$D$966,AZ$1,'Исходные данные'!$F$2:$F$966,$A44)</f>
        <v>0</v>
      </c>
      <c r="BA44" s="9" t="n">
        <f aca="false">SUMIFS('Исходные данные'!$J$2:$J$966,'Исходные данные'!$D$2:$D$966,AZ$1,'Исходные данные'!$F$2:$F$966,$A44)</f>
        <v>0</v>
      </c>
      <c r="BB44" s="9" t="n">
        <f aca="false">SUMIFS('Исходные данные'!$I$2:$I$966,'Исходные данные'!$D$2:$D$966,BB$1,'Исходные данные'!$F$2:$F$966,$A44)</f>
        <v>0</v>
      </c>
      <c r="BC44" s="9" t="n">
        <f aca="false">SUMIFS('Исходные данные'!$J$2:$J$966,'Исходные данные'!$D$2:$D$966,BB$1,'Исходные данные'!$F$2:$F$966,$A44)</f>
        <v>0</v>
      </c>
      <c r="BD44" s="9" t="n">
        <f aca="false">SUMIFS('Исходные данные'!$I$2:$I$966,'Исходные данные'!$D$2:$D$966,BD$1,'Исходные данные'!$F$2:$F$966,$A44)</f>
        <v>0</v>
      </c>
      <c r="BE44" s="9" t="n">
        <f aca="false">SUMIFS('Исходные данные'!$J$2:$J$966,'Исходные данные'!$D$2:$D$966,BD$1,'Исходные данные'!$F$2:$F$966,$A44)</f>
        <v>0</v>
      </c>
      <c r="BF44" s="9" t="n">
        <f aca="false">SUMIFS('Исходные данные'!$I$2:$I$966,'Исходные данные'!$D$2:$D$966,BF$1,'Исходные данные'!$F$2:$F$966,$A44)</f>
        <v>0</v>
      </c>
      <c r="BG44" s="9" t="n">
        <f aca="false">SUMIFS('Исходные данные'!$J$2:$J$966,'Исходные данные'!$D$2:$D$966,BF$1,'Исходные данные'!$F$2:$F$966,$A44)</f>
        <v>0</v>
      </c>
      <c r="BH44" s="9" t="n">
        <f aca="false">SUMIFS('Исходные данные'!$I$2:$I$966,'Исходные данные'!$D$2:$D$966,BH$1,'Исходные данные'!$F$2:$F$966,$A44)</f>
        <v>0</v>
      </c>
      <c r="BI44" s="9" t="n">
        <f aca="false">SUMIFS('Исходные данные'!$J$2:$J$966,'Исходные данные'!$D$2:$D$966,BH$1,'Исходные данные'!$F$2:$F$966,$A44)</f>
        <v>0</v>
      </c>
      <c r="BJ44" s="9" t="n">
        <f aca="false">SUMIFS('Исходные данные'!$I$2:$I$966,'Исходные данные'!$D$2:$D$966,BJ$1,'Исходные данные'!$F$2:$F$966,$A44)</f>
        <v>0</v>
      </c>
      <c r="BK44" s="9" t="n">
        <f aca="false">SUMIFS('Исходные данные'!$J$2:$J$966,'Исходные данные'!$D$2:$D$966,BJ$1,'Исходные данные'!$F$2:$F$966,$A44)</f>
        <v>0</v>
      </c>
      <c r="BL44" s="9" t="n">
        <f aca="false">SUMIFS('Исходные данные'!$I$2:$I$966,'Исходные данные'!$D$2:$D$966,BL$1,'Исходные данные'!$F$2:$F$966,$A44)</f>
        <v>0</v>
      </c>
      <c r="BM44" s="9" t="n">
        <f aca="false">SUMIFS('Исходные данные'!$J$2:$J$966,'Исходные данные'!$D$2:$D$966,BL$1,'Исходные данные'!$F$2:$F$966,$A44)</f>
        <v>0</v>
      </c>
      <c r="BN44" s="9" t="n">
        <f aca="false">SUMIFS('Исходные данные'!$I$2:$I$966,'Исходные данные'!$D$2:$D$966,BN$1,'Исходные данные'!$F$2:$F$966,$A44)</f>
        <v>0</v>
      </c>
      <c r="BO44" s="9" t="n">
        <f aca="false">SUMIFS('Исходные данные'!$J$2:$J$966,'Исходные данные'!$D$2:$D$966,BN$1,'Исходные данные'!$F$2:$F$966,$A44)</f>
        <v>0</v>
      </c>
      <c r="BP44" s="9" t="n">
        <f aca="false">SUMIFS('Исходные данные'!$I$2:$I$966,'Исходные данные'!$D$2:$D$966,BP$1,'Исходные данные'!$F$2:$F$966,$A44)</f>
        <v>0</v>
      </c>
      <c r="BQ44" s="9" t="n">
        <f aca="false">SUMIFS('Исходные данные'!$J$2:$J$966,'Исходные данные'!$D$2:$D$966,BP$1,'Исходные данные'!$F$2:$F$966,$A44)</f>
        <v>0</v>
      </c>
      <c r="BR44" s="9" t="n">
        <f aca="false">SUMIFS('Исходные данные'!$I$2:$I$966,'Исходные данные'!$D$2:$D$966,BR$1,'Исходные данные'!$F$2:$F$966,$A44)</f>
        <v>0</v>
      </c>
      <c r="BS44" s="9" t="n">
        <f aca="false">SUMIFS('Исходные данные'!$J$2:$J$966,'Исходные данные'!$D$2:$D$966,BR$1,'Исходные данные'!$F$2:$F$966,$A44)</f>
        <v>0</v>
      </c>
      <c r="BT44" s="9" t="n">
        <f aca="false">SUMIFS('Исходные данные'!$I$2:$I$966,'Исходные данные'!$D$2:$D$966,BT$1,'Исходные данные'!$F$2:$F$966,$A44)</f>
        <v>0</v>
      </c>
      <c r="BU44" s="9" t="n">
        <f aca="false">SUMIFS('Исходные данные'!$J$2:$J$966,'Исходные данные'!$D$2:$D$966,BT$1,'Исходные данные'!$F$2:$F$966,$A44)</f>
        <v>0</v>
      </c>
      <c r="BV44" s="9" t="n">
        <f aca="false">SUMIFS('Исходные данные'!$I$2:$I$966,'Исходные данные'!$D$2:$D$966,BV$1,'Исходные данные'!$F$2:$F$966,$A44)</f>
        <v>0</v>
      </c>
      <c r="BW44" s="9" t="n">
        <f aca="false">SUMIFS('Исходные данные'!$J$2:$J$966,'Исходные данные'!$D$2:$D$966,BV$1,'Исходные данные'!$F$2:$F$966,$A44)</f>
        <v>0</v>
      </c>
      <c r="BX44" s="9" t="n">
        <f aca="false">SUMIFS('Исходные данные'!$I$2:$I$966,'Исходные данные'!$D$2:$D$966,BX$1,'Исходные данные'!$F$2:$F$966,$A44)</f>
        <v>0</v>
      </c>
      <c r="BY44" s="9" t="n">
        <f aca="false">SUMIFS('Исходные данные'!$J$2:$J$966,'Исходные данные'!$D$2:$D$966,BX$1,'Исходные данные'!$F$2:$F$966,$A44)</f>
        <v>0</v>
      </c>
      <c r="BZ44" s="9" t="n">
        <f aca="false">SUMIFS('Исходные данные'!$I$2:$I$966,'Исходные данные'!$D$2:$D$966,BZ$1,'Исходные данные'!$F$2:$F$966,$A44)</f>
        <v>0</v>
      </c>
      <c r="CA44" s="9" t="n">
        <f aca="false">SUMIFS('Исходные данные'!$J$2:$J$966,'Исходные данные'!$D$2:$D$966,BZ$1,'Исходные данные'!$F$2:$F$966,$A44)</f>
        <v>0</v>
      </c>
      <c r="CB44" s="9" t="n">
        <f aca="false">SUMIFS('Исходные данные'!$I$2:$I$966,'Исходные данные'!$D$2:$D$966,CB$1,'Исходные данные'!$F$2:$F$966,$A44)</f>
        <v>0</v>
      </c>
      <c r="CC44" s="9" t="n">
        <f aca="false">SUMIFS('Исходные данные'!$J$2:$J$966,'Исходные данные'!$D$2:$D$966,CB$1,'Исходные данные'!$F$2:$F$966,$A44)</f>
        <v>0</v>
      </c>
      <c r="CD44" s="9" t="n">
        <f aca="false">SUMIFS('Исходные данные'!$I$2:$I$966,'Исходные данные'!$D$2:$D$966,CD$1,'Исходные данные'!$F$2:$F$966,$A44)</f>
        <v>0</v>
      </c>
      <c r="CE44" s="9" t="n">
        <f aca="false">SUMIFS('Исходные данные'!$J$2:$J$966,'Исходные данные'!$D$2:$D$966,CD$1,'Исходные данные'!$F$2:$F$966,$A44)</f>
        <v>0</v>
      </c>
      <c r="CF44" s="9" t="n">
        <f aca="false">SUMIFS('Исходные данные'!$I$2:$I$966,'Исходные данные'!$D$2:$D$966,CF$1,'Исходные данные'!$F$2:$F$966,$A44)</f>
        <v>0</v>
      </c>
      <c r="CG44" s="9" t="n">
        <f aca="false">SUMIFS('Исходные данные'!$J$2:$J$966,'Исходные данные'!$D$2:$D$966,CF$1,'Исходные данные'!$F$2:$F$966,$A44)</f>
        <v>0</v>
      </c>
      <c r="CH44" s="9" t="n">
        <f aca="false">SUMIFS('Исходные данные'!$I$2:$I$966,'Исходные данные'!$D$2:$D$966,CH$1,'Исходные данные'!$F$2:$F$966,$A44)</f>
        <v>0</v>
      </c>
      <c r="CI44" s="9" t="n">
        <f aca="false">SUMIFS('Исходные данные'!$J$2:$J$966,'Исходные данные'!$D$2:$D$966,CH$1,'Исходные данные'!$F$2:$F$966,$A44)</f>
        <v>0</v>
      </c>
      <c r="CJ44" s="9" t="n">
        <f aca="false">SUMIFS('Исходные данные'!$I$2:$I$966,'Исходные данные'!$D$2:$D$966,CJ$1,'Исходные данные'!$F$2:$F$966,$A44)</f>
        <v>0</v>
      </c>
      <c r="CK44" s="9" t="n">
        <f aca="false">SUMIFS('Исходные данные'!$J$2:$J$966,'Исходные данные'!$D$2:$D$966,CJ$1,'Исходные данные'!$F$2:$F$966,$A44)</f>
        <v>0</v>
      </c>
      <c r="CL44" s="9" t="n">
        <f aca="false">SUMIFS('Исходные данные'!$I$2:$I$966,'Исходные данные'!$D$2:$D$966,CL$1,'Исходные данные'!$F$2:$F$966,$A44)</f>
        <v>0</v>
      </c>
      <c r="CM44" s="9" t="n">
        <f aca="false">SUMIFS('Исходные данные'!$J$2:$J$966,'Исходные данные'!$D$2:$D$966,CL$1,'Исходные данные'!$F$2:$F$966,$A44)</f>
        <v>0</v>
      </c>
      <c r="CN44" s="9" t="n">
        <f aca="false">SUMIFS('Исходные данные'!$I$2:$I$966,'Исходные данные'!$D$2:$D$966,CN$1,'Исходные данные'!$F$2:$F$966,$A44)</f>
        <v>0</v>
      </c>
      <c r="CO44" s="9" t="n">
        <f aca="false">SUMIFS('Исходные данные'!$J$2:$J$966,'Исходные данные'!$D$2:$D$966,CN$1,'Исходные данные'!$F$2:$F$966,$A44)</f>
        <v>0</v>
      </c>
      <c r="CP44" s="9" t="n">
        <f aca="false">SUMIFS('Исходные данные'!$I$2:$I$966,'Исходные данные'!$D$2:$D$966,CP$1,'Исходные данные'!$F$2:$F$966,$A44)</f>
        <v>0</v>
      </c>
      <c r="CQ44" s="9" t="n">
        <f aca="false">SUMIFS('Исходные данные'!$J$2:$J$966,'Исходные данные'!$D$2:$D$966,CP$1,'Исходные данные'!$F$2:$F$966,$A44)</f>
        <v>0</v>
      </c>
    </row>
    <row r="45" customFormat="false" ht="15" hidden="false" customHeight="false" outlineLevel="0" collapsed="false">
      <c r="A45" s="8" t="s">
        <v>137</v>
      </c>
      <c r="B45" s="9" t="s">
        <v>138</v>
      </c>
      <c r="C45" s="5" t="n">
        <v>1</v>
      </c>
      <c r="D45" s="5" t="n">
        <f aca="false">F45+G45</f>
        <v>0</v>
      </c>
      <c r="E45" s="5" t="n">
        <f aca="false">D45-C45</f>
        <v>-1</v>
      </c>
      <c r="F45" s="5" t="n">
        <f aca="false">SUMIFS($H45:$CQ45,$H$2:$CQ$2,"День")</f>
        <v>0</v>
      </c>
      <c r="G45" s="5" t="n">
        <f aca="false">SUMIFS($H45:$CQ45,$H$2:$CQ$2,"Ночь")</f>
        <v>0</v>
      </c>
      <c r="H45" s="9" t="n">
        <f aca="false">SUMIFS('Исходные данные'!$I$2:$I$966,'Исходные данные'!$D$2:$D$966,H$1,'Исходные данные'!$F$2:$F$966,$A45)</f>
        <v>0</v>
      </c>
      <c r="I45" s="9" t="n">
        <f aca="false">SUMIFS('Исходные данные'!$J$2:$J$966,'Исходные данные'!$D$2:$D$966,H$1,'Исходные данные'!$F$2:$F$966,$A45)</f>
        <v>0</v>
      </c>
      <c r="J45" s="9" t="n">
        <f aca="false">SUMIFS('Исходные данные'!$I$2:$I$966,'Исходные данные'!$D$2:$D$966,J$1,'Исходные данные'!$F$2:$F$966,$A45)</f>
        <v>0</v>
      </c>
      <c r="K45" s="9" t="n">
        <f aca="false">SUMIFS('Исходные данные'!$J$2:$J$966,'Исходные данные'!$D$2:$D$966,J$1,'Исходные данные'!$F$2:$F$966,$A45)</f>
        <v>0</v>
      </c>
      <c r="L45" s="9" t="n">
        <f aca="false">SUMIFS('Исходные данные'!$I$2:$I$966,'Исходные данные'!$D$2:$D$966,L$1,'Исходные данные'!$F$2:$F$966,$A45)</f>
        <v>0</v>
      </c>
      <c r="M45" s="9" t="n">
        <f aca="false">SUMIFS('Исходные данные'!$J$2:$J$966,'Исходные данные'!$D$2:$D$966,L$1,'Исходные данные'!$F$2:$F$966,$A45)</f>
        <v>0</v>
      </c>
      <c r="N45" s="9" t="n">
        <f aca="false">SUMIFS('Исходные данные'!$I$2:$I$966,'Исходные данные'!$D$2:$D$966,N$1,'Исходные данные'!$F$2:$F$966,$A45)</f>
        <v>0</v>
      </c>
      <c r="O45" s="9" t="n">
        <f aca="false">SUMIFS('Исходные данные'!$J$2:$J$966,'Исходные данные'!$D$2:$D$966,N$1,'Исходные данные'!$F$2:$F$966,$A45)</f>
        <v>0</v>
      </c>
      <c r="P45" s="9" t="n">
        <f aca="false">SUMIFS('Исходные данные'!$I$2:$I$966,'Исходные данные'!$D$2:$D$966,P$1,'Исходные данные'!$F$2:$F$966,$A45)</f>
        <v>0</v>
      </c>
      <c r="Q45" s="9" t="n">
        <f aca="false">SUMIFS('Исходные данные'!$J$2:$J$966,'Исходные данные'!$D$2:$D$966,P$1,'Исходные данные'!$F$2:$F$966,$A45)</f>
        <v>0</v>
      </c>
      <c r="R45" s="9" t="n">
        <f aca="false">SUMIFS('Исходные данные'!$I$2:$I$966,'Исходные данные'!$D$2:$D$966,R$1,'Исходные данные'!$F$2:$F$966,$A45)</f>
        <v>0</v>
      </c>
      <c r="S45" s="9" t="n">
        <f aca="false">SUMIFS('Исходные данные'!$J$2:$J$966,'Исходные данные'!$D$2:$D$966,R$1,'Исходные данные'!$F$2:$F$966,$A45)</f>
        <v>0</v>
      </c>
      <c r="T45" s="9" t="n">
        <f aca="false">SUMIFS('Исходные данные'!$I$2:$I$966,'Исходные данные'!$D$2:$D$966,T$1,'Исходные данные'!$F$2:$F$966,$A45)</f>
        <v>0</v>
      </c>
      <c r="U45" s="9" t="n">
        <f aca="false">SUMIFS('Исходные данные'!$J$2:$J$966,'Исходные данные'!$D$2:$D$966,T$1,'Исходные данные'!$F$2:$F$966,$A45)</f>
        <v>0</v>
      </c>
      <c r="V45" s="9" t="n">
        <f aca="false">SUMIFS('Исходные данные'!$I$2:$I$966,'Исходные данные'!$D$2:$D$966,V$1,'Исходные данные'!$F$2:$F$966,$A45)</f>
        <v>0</v>
      </c>
      <c r="W45" s="9" t="n">
        <f aca="false">SUMIFS('Исходные данные'!$J$2:$J$966,'Исходные данные'!$D$2:$D$966,V$1,'Исходные данные'!$F$2:$F$966,$A45)</f>
        <v>0</v>
      </c>
      <c r="X45" s="9" t="n">
        <f aca="false">SUMIFS('Исходные данные'!$I$2:$I$966,'Исходные данные'!$D$2:$D$966,X$1,'Исходные данные'!$F$2:$F$966,$A45)</f>
        <v>0</v>
      </c>
      <c r="Y45" s="9" t="n">
        <f aca="false">SUMIFS('Исходные данные'!$J$2:$J$966,'Исходные данные'!$D$2:$D$966,X$1,'Исходные данные'!$F$2:$F$966,$A45)</f>
        <v>0</v>
      </c>
      <c r="Z45" s="9" t="n">
        <f aca="false">SUMIFS('Исходные данные'!$I$2:$I$966,'Исходные данные'!$D$2:$D$966,Z$1,'Исходные данные'!$F$2:$F$966,$A45)</f>
        <v>0</v>
      </c>
      <c r="AA45" s="9" t="n">
        <f aca="false">SUMIFS('Исходные данные'!$J$2:$J$966,'Исходные данные'!$D$2:$D$966,Z$1,'Исходные данные'!$F$2:$F$966,$A45)</f>
        <v>0</v>
      </c>
      <c r="AB45" s="9" t="n">
        <f aca="false">SUMIFS('Исходные данные'!$I$2:$I$966,'Исходные данные'!$D$2:$D$966,AB$1,'Исходные данные'!$F$2:$F$966,$A45)</f>
        <v>0</v>
      </c>
      <c r="AC45" s="9" t="n">
        <f aca="false">SUMIFS('Исходные данные'!$J$2:$J$966,'Исходные данные'!$D$2:$D$966,AB$1,'Исходные данные'!$F$2:$F$966,$A45)</f>
        <v>0</v>
      </c>
      <c r="AD45" s="9" t="n">
        <f aca="false">SUMIFS('Исходные данные'!$I$2:$I$966,'Исходные данные'!$D$2:$D$966,AD$1,'Исходные данные'!$F$2:$F$966,$A45)</f>
        <v>0</v>
      </c>
      <c r="AE45" s="9" t="n">
        <f aca="false">SUMIFS('Исходные данные'!$J$2:$J$966,'Исходные данные'!$D$2:$D$966,AD$1,'Исходные данные'!$F$2:$F$966,$A45)</f>
        <v>0</v>
      </c>
      <c r="AF45" s="9" t="n">
        <f aca="false">SUMIFS('Исходные данные'!$I$2:$I$966,'Исходные данные'!$D$2:$D$966,AF$1,'Исходные данные'!$F$2:$F$966,$A45)</f>
        <v>0</v>
      </c>
      <c r="AG45" s="9" t="n">
        <f aca="false">SUMIFS('Исходные данные'!$J$2:$J$966,'Исходные данные'!$D$2:$D$966,AF$1,'Исходные данные'!$F$2:$F$966,$A45)</f>
        <v>0</v>
      </c>
      <c r="AH45" s="9" t="n">
        <f aca="false">SUMIFS('Исходные данные'!$I$2:$I$966,'Исходные данные'!$D$2:$D$966,AH$1,'Исходные данные'!$F$2:$F$966,$A45)</f>
        <v>0</v>
      </c>
      <c r="AI45" s="9" t="n">
        <f aca="false">SUMIFS('Исходные данные'!$J$2:$J$966,'Исходные данные'!$D$2:$D$966,AH$1,'Исходные данные'!$F$2:$F$966,$A45)</f>
        <v>0</v>
      </c>
      <c r="AJ45" s="9" t="n">
        <f aca="false">SUMIFS('Исходные данные'!$I$2:$I$966,'Исходные данные'!$D$2:$D$966,AJ$1,'Исходные данные'!$F$2:$F$966,$A45)</f>
        <v>0</v>
      </c>
      <c r="AK45" s="9" t="n">
        <f aca="false">SUMIFS('Исходные данные'!$J$2:$J$966,'Исходные данные'!$D$2:$D$966,AJ$1,'Исходные данные'!$F$2:$F$966,$A45)</f>
        <v>0</v>
      </c>
      <c r="AL45" s="9" t="n">
        <f aca="false">SUMIFS('Исходные данные'!$I$2:$I$966,'Исходные данные'!$D$2:$D$966,AL$1,'Исходные данные'!$F$2:$F$966,$A45)</f>
        <v>0</v>
      </c>
      <c r="AM45" s="9" t="n">
        <f aca="false">SUMIFS('Исходные данные'!$J$2:$J$966,'Исходные данные'!$D$2:$D$966,AL$1,'Исходные данные'!$F$2:$F$966,$A45)</f>
        <v>0</v>
      </c>
      <c r="AN45" s="9" t="n">
        <f aca="false">SUMIFS('Исходные данные'!$I$2:$I$966,'Исходные данные'!$D$2:$D$966,AN$1,'Исходные данные'!$F$2:$F$966,$A45)</f>
        <v>0</v>
      </c>
      <c r="AO45" s="9" t="n">
        <f aca="false">SUMIFS('Исходные данные'!$J$2:$J$966,'Исходные данные'!$D$2:$D$966,AN$1,'Исходные данные'!$F$2:$F$966,$A45)</f>
        <v>0</v>
      </c>
      <c r="AP45" s="9" t="n">
        <f aca="false">SUMIFS('Исходные данные'!$I$2:$I$966,'Исходные данные'!$D$2:$D$966,AP$1,'Исходные данные'!$F$2:$F$966,$A45)</f>
        <v>0</v>
      </c>
      <c r="AQ45" s="9" t="n">
        <f aca="false">SUMIFS('Исходные данные'!$J$2:$J$966,'Исходные данные'!$D$2:$D$966,AP$1,'Исходные данные'!$F$2:$F$966,$A45)</f>
        <v>0</v>
      </c>
      <c r="AR45" s="9" t="n">
        <f aca="false">SUMIFS('Исходные данные'!$I$2:$I$966,'Исходные данные'!$D$2:$D$966,AR$1,'Исходные данные'!$F$2:$F$966,$A45)</f>
        <v>0</v>
      </c>
      <c r="AS45" s="9" t="n">
        <f aca="false">SUMIFS('Исходные данные'!$J$2:$J$966,'Исходные данные'!$D$2:$D$966,AR$1,'Исходные данные'!$F$2:$F$966,$A45)</f>
        <v>0</v>
      </c>
      <c r="AT45" s="9" t="n">
        <f aca="false">SUMIFS('Исходные данные'!$I$2:$I$966,'Исходные данные'!$D$2:$D$966,AT$1,'Исходные данные'!$F$2:$F$966,$A45)</f>
        <v>0</v>
      </c>
      <c r="AU45" s="9" t="n">
        <f aca="false">SUMIFS('Исходные данные'!$J$2:$J$966,'Исходные данные'!$D$2:$D$966,AT$1,'Исходные данные'!$F$2:$F$966,$A45)</f>
        <v>0</v>
      </c>
      <c r="AV45" s="9" t="n">
        <f aca="false">SUMIFS('Исходные данные'!$I$2:$I$966,'Исходные данные'!$D$2:$D$966,AV$1,'Исходные данные'!$F$2:$F$966,$A45)</f>
        <v>0</v>
      </c>
      <c r="AW45" s="9" t="n">
        <f aca="false">SUMIFS('Исходные данные'!$J$2:$J$966,'Исходные данные'!$D$2:$D$966,AV$1,'Исходные данные'!$F$2:$F$966,$A45)</f>
        <v>0</v>
      </c>
      <c r="AX45" s="9" t="n">
        <f aca="false">SUMIFS('Исходные данные'!$I$2:$I$966,'Исходные данные'!$D$2:$D$966,AX$1,'Исходные данные'!$F$2:$F$966,$A45)</f>
        <v>0</v>
      </c>
      <c r="AY45" s="9" t="n">
        <f aca="false">SUMIFS('Исходные данные'!$J$2:$J$966,'Исходные данные'!$D$2:$D$966,AX$1,'Исходные данные'!$F$2:$F$966,$A45)</f>
        <v>0</v>
      </c>
      <c r="AZ45" s="9" t="n">
        <f aca="false">SUMIFS('Исходные данные'!$I$2:$I$966,'Исходные данные'!$D$2:$D$966,AZ$1,'Исходные данные'!$F$2:$F$966,$A45)</f>
        <v>0</v>
      </c>
      <c r="BA45" s="9" t="n">
        <f aca="false">SUMIFS('Исходные данные'!$J$2:$J$966,'Исходные данные'!$D$2:$D$966,AZ$1,'Исходные данные'!$F$2:$F$966,$A45)</f>
        <v>0</v>
      </c>
      <c r="BB45" s="9" t="n">
        <f aca="false">SUMIFS('Исходные данные'!$I$2:$I$966,'Исходные данные'!$D$2:$D$966,BB$1,'Исходные данные'!$F$2:$F$966,$A45)</f>
        <v>0</v>
      </c>
      <c r="BC45" s="9" t="n">
        <f aca="false">SUMIFS('Исходные данные'!$J$2:$J$966,'Исходные данные'!$D$2:$D$966,BB$1,'Исходные данные'!$F$2:$F$966,$A45)</f>
        <v>0</v>
      </c>
      <c r="BD45" s="9" t="n">
        <f aca="false">SUMIFS('Исходные данные'!$I$2:$I$966,'Исходные данные'!$D$2:$D$966,BD$1,'Исходные данные'!$F$2:$F$966,$A45)</f>
        <v>0</v>
      </c>
      <c r="BE45" s="9" t="n">
        <f aca="false">SUMIFS('Исходные данные'!$J$2:$J$966,'Исходные данные'!$D$2:$D$966,BD$1,'Исходные данные'!$F$2:$F$966,$A45)</f>
        <v>0</v>
      </c>
      <c r="BF45" s="9" t="n">
        <f aca="false">SUMIFS('Исходные данные'!$I$2:$I$966,'Исходные данные'!$D$2:$D$966,BF$1,'Исходные данные'!$F$2:$F$966,$A45)</f>
        <v>0</v>
      </c>
      <c r="BG45" s="9" t="n">
        <f aca="false">SUMIFS('Исходные данные'!$J$2:$J$966,'Исходные данные'!$D$2:$D$966,BF$1,'Исходные данные'!$F$2:$F$966,$A45)</f>
        <v>0</v>
      </c>
      <c r="BH45" s="9" t="n">
        <f aca="false">SUMIFS('Исходные данные'!$I$2:$I$966,'Исходные данные'!$D$2:$D$966,BH$1,'Исходные данные'!$F$2:$F$966,$A45)</f>
        <v>0</v>
      </c>
      <c r="BI45" s="9" t="n">
        <f aca="false">SUMIFS('Исходные данные'!$J$2:$J$966,'Исходные данные'!$D$2:$D$966,BH$1,'Исходные данные'!$F$2:$F$966,$A45)</f>
        <v>0</v>
      </c>
      <c r="BJ45" s="9" t="n">
        <f aca="false">SUMIFS('Исходные данные'!$I$2:$I$966,'Исходные данные'!$D$2:$D$966,BJ$1,'Исходные данные'!$F$2:$F$966,$A45)</f>
        <v>0</v>
      </c>
      <c r="BK45" s="9" t="n">
        <f aca="false">SUMIFS('Исходные данные'!$J$2:$J$966,'Исходные данные'!$D$2:$D$966,BJ$1,'Исходные данные'!$F$2:$F$966,$A45)</f>
        <v>0</v>
      </c>
      <c r="BL45" s="9" t="n">
        <f aca="false">SUMIFS('Исходные данные'!$I$2:$I$966,'Исходные данные'!$D$2:$D$966,BL$1,'Исходные данные'!$F$2:$F$966,$A45)</f>
        <v>0</v>
      </c>
      <c r="BM45" s="9" t="n">
        <f aca="false">SUMIFS('Исходные данные'!$J$2:$J$966,'Исходные данные'!$D$2:$D$966,BL$1,'Исходные данные'!$F$2:$F$966,$A45)</f>
        <v>0</v>
      </c>
      <c r="BN45" s="9" t="n">
        <f aca="false">SUMIFS('Исходные данные'!$I$2:$I$966,'Исходные данные'!$D$2:$D$966,BN$1,'Исходные данные'!$F$2:$F$966,$A45)</f>
        <v>0</v>
      </c>
      <c r="BO45" s="9" t="n">
        <f aca="false">SUMIFS('Исходные данные'!$J$2:$J$966,'Исходные данные'!$D$2:$D$966,BN$1,'Исходные данные'!$F$2:$F$966,$A45)</f>
        <v>0</v>
      </c>
      <c r="BP45" s="9" t="n">
        <f aca="false">SUMIFS('Исходные данные'!$I$2:$I$966,'Исходные данные'!$D$2:$D$966,BP$1,'Исходные данные'!$F$2:$F$966,$A45)</f>
        <v>0</v>
      </c>
      <c r="BQ45" s="9" t="n">
        <f aca="false">SUMIFS('Исходные данные'!$J$2:$J$966,'Исходные данные'!$D$2:$D$966,BP$1,'Исходные данные'!$F$2:$F$966,$A45)</f>
        <v>0</v>
      </c>
      <c r="BR45" s="9" t="n">
        <f aca="false">SUMIFS('Исходные данные'!$I$2:$I$966,'Исходные данные'!$D$2:$D$966,BR$1,'Исходные данные'!$F$2:$F$966,$A45)</f>
        <v>0</v>
      </c>
      <c r="BS45" s="9" t="n">
        <f aca="false">SUMIFS('Исходные данные'!$J$2:$J$966,'Исходные данные'!$D$2:$D$966,BR$1,'Исходные данные'!$F$2:$F$966,$A45)</f>
        <v>0</v>
      </c>
      <c r="BT45" s="9" t="n">
        <f aca="false">SUMIFS('Исходные данные'!$I$2:$I$966,'Исходные данные'!$D$2:$D$966,BT$1,'Исходные данные'!$F$2:$F$966,$A45)</f>
        <v>0</v>
      </c>
      <c r="BU45" s="9" t="n">
        <f aca="false">SUMIFS('Исходные данные'!$J$2:$J$966,'Исходные данные'!$D$2:$D$966,BT$1,'Исходные данные'!$F$2:$F$966,$A45)</f>
        <v>0</v>
      </c>
      <c r="BV45" s="9" t="n">
        <f aca="false">SUMIFS('Исходные данные'!$I$2:$I$966,'Исходные данные'!$D$2:$D$966,BV$1,'Исходные данные'!$F$2:$F$966,$A45)</f>
        <v>0</v>
      </c>
      <c r="BW45" s="9" t="n">
        <f aca="false">SUMIFS('Исходные данные'!$J$2:$J$966,'Исходные данные'!$D$2:$D$966,BV$1,'Исходные данные'!$F$2:$F$966,$A45)</f>
        <v>0</v>
      </c>
      <c r="BX45" s="9" t="n">
        <f aca="false">SUMIFS('Исходные данные'!$I$2:$I$966,'Исходные данные'!$D$2:$D$966,BX$1,'Исходные данные'!$F$2:$F$966,$A45)</f>
        <v>0</v>
      </c>
      <c r="BY45" s="9" t="n">
        <f aca="false">SUMIFS('Исходные данные'!$J$2:$J$966,'Исходные данные'!$D$2:$D$966,BX$1,'Исходные данные'!$F$2:$F$966,$A45)</f>
        <v>0</v>
      </c>
      <c r="BZ45" s="9" t="n">
        <f aca="false">SUMIFS('Исходные данные'!$I$2:$I$966,'Исходные данные'!$D$2:$D$966,BZ$1,'Исходные данные'!$F$2:$F$966,$A45)</f>
        <v>0</v>
      </c>
      <c r="CA45" s="9" t="n">
        <f aca="false">SUMIFS('Исходные данные'!$J$2:$J$966,'Исходные данные'!$D$2:$D$966,BZ$1,'Исходные данные'!$F$2:$F$966,$A45)</f>
        <v>0</v>
      </c>
      <c r="CB45" s="9" t="n">
        <f aca="false">SUMIFS('Исходные данные'!$I$2:$I$966,'Исходные данные'!$D$2:$D$966,CB$1,'Исходные данные'!$F$2:$F$966,$A45)</f>
        <v>0</v>
      </c>
      <c r="CC45" s="9" t="n">
        <f aca="false">SUMIFS('Исходные данные'!$J$2:$J$966,'Исходные данные'!$D$2:$D$966,CB$1,'Исходные данные'!$F$2:$F$966,$A45)</f>
        <v>0</v>
      </c>
      <c r="CD45" s="9" t="n">
        <f aca="false">SUMIFS('Исходные данные'!$I$2:$I$966,'Исходные данные'!$D$2:$D$966,CD$1,'Исходные данные'!$F$2:$F$966,$A45)</f>
        <v>0</v>
      </c>
      <c r="CE45" s="9" t="n">
        <f aca="false">SUMIFS('Исходные данные'!$J$2:$J$966,'Исходные данные'!$D$2:$D$966,CD$1,'Исходные данные'!$F$2:$F$966,$A45)</f>
        <v>0</v>
      </c>
      <c r="CF45" s="9" t="n">
        <f aca="false">SUMIFS('Исходные данные'!$I$2:$I$966,'Исходные данные'!$D$2:$D$966,CF$1,'Исходные данные'!$F$2:$F$966,$A45)</f>
        <v>0</v>
      </c>
      <c r="CG45" s="9" t="n">
        <f aca="false">SUMIFS('Исходные данные'!$J$2:$J$966,'Исходные данные'!$D$2:$D$966,CF$1,'Исходные данные'!$F$2:$F$966,$A45)</f>
        <v>0</v>
      </c>
      <c r="CH45" s="9" t="n">
        <f aca="false">SUMIFS('Исходные данные'!$I$2:$I$966,'Исходные данные'!$D$2:$D$966,CH$1,'Исходные данные'!$F$2:$F$966,$A45)</f>
        <v>0</v>
      </c>
      <c r="CI45" s="9" t="n">
        <f aca="false">SUMIFS('Исходные данные'!$J$2:$J$966,'Исходные данные'!$D$2:$D$966,CH$1,'Исходные данные'!$F$2:$F$966,$A45)</f>
        <v>0</v>
      </c>
      <c r="CJ45" s="9" t="n">
        <f aca="false">SUMIFS('Исходные данные'!$I$2:$I$966,'Исходные данные'!$D$2:$D$966,CJ$1,'Исходные данные'!$F$2:$F$966,$A45)</f>
        <v>0</v>
      </c>
      <c r="CK45" s="9" t="n">
        <f aca="false">SUMIFS('Исходные данные'!$J$2:$J$966,'Исходные данные'!$D$2:$D$966,CJ$1,'Исходные данные'!$F$2:$F$966,$A45)</f>
        <v>0</v>
      </c>
      <c r="CL45" s="9" t="n">
        <f aca="false">SUMIFS('Исходные данные'!$I$2:$I$966,'Исходные данные'!$D$2:$D$966,CL$1,'Исходные данные'!$F$2:$F$966,$A45)</f>
        <v>0</v>
      </c>
      <c r="CM45" s="9" t="n">
        <f aca="false">SUMIFS('Исходные данные'!$J$2:$J$966,'Исходные данные'!$D$2:$D$966,CL$1,'Исходные данные'!$F$2:$F$966,$A45)</f>
        <v>0</v>
      </c>
      <c r="CN45" s="9" t="n">
        <f aca="false">SUMIFS('Исходные данные'!$I$2:$I$966,'Исходные данные'!$D$2:$D$966,CN$1,'Исходные данные'!$F$2:$F$966,$A45)</f>
        <v>0</v>
      </c>
      <c r="CO45" s="9" t="n">
        <f aca="false">SUMIFS('Исходные данные'!$J$2:$J$966,'Исходные данные'!$D$2:$D$966,CN$1,'Исходные данные'!$F$2:$F$966,$A45)</f>
        <v>0</v>
      </c>
      <c r="CP45" s="9" t="n">
        <f aca="false">SUMIFS('Исходные данные'!$I$2:$I$966,'Исходные данные'!$D$2:$D$966,CP$1,'Исходные данные'!$F$2:$F$966,$A45)</f>
        <v>0</v>
      </c>
      <c r="CQ45" s="9" t="n">
        <f aca="false">SUMIFS('Исходные данные'!$J$2:$J$966,'Исходные данные'!$D$2:$D$966,CP$1,'Исходные данные'!$F$2:$F$966,$A45)</f>
        <v>0</v>
      </c>
    </row>
    <row r="46" customFormat="false" ht="15" hidden="false" customHeight="false" outlineLevel="0" collapsed="false">
      <c r="A46" s="8" t="s">
        <v>139</v>
      </c>
      <c r="B46" s="9" t="s">
        <v>140</v>
      </c>
      <c r="C46" s="5" t="n">
        <v>1</v>
      </c>
      <c r="D46" s="5" t="n">
        <f aca="false">F46+G46</f>
        <v>1</v>
      </c>
      <c r="E46" s="5" t="n">
        <f aca="false">D46-C46</f>
        <v>0</v>
      </c>
      <c r="F46" s="5" t="n">
        <f aca="false">SUMIFS($H46:$CQ46,$H$2:$CQ$2,"День")</f>
        <v>1</v>
      </c>
      <c r="G46" s="5" t="n">
        <f aca="false">SUMIFS($H46:$CQ46,$H$2:$CQ$2,"Ночь")</f>
        <v>0</v>
      </c>
      <c r="H46" s="9" t="n">
        <f aca="false">SUMIFS('Исходные данные'!$I$2:$I$966,'Исходные данные'!$D$2:$D$966,H$1,'Исходные данные'!$F$2:$F$966,$A46)</f>
        <v>0</v>
      </c>
      <c r="I46" s="9" t="n">
        <f aca="false">SUMIFS('Исходные данные'!$J$2:$J$966,'Исходные данные'!$D$2:$D$966,H$1,'Исходные данные'!$F$2:$F$966,$A46)</f>
        <v>0</v>
      </c>
      <c r="J46" s="9" t="n">
        <f aca="false">SUMIFS('Исходные данные'!$I$2:$I$966,'Исходные данные'!$D$2:$D$966,J$1,'Исходные данные'!$F$2:$F$966,$A46)</f>
        <v>0</v>
      </c>
      <c r="K46" s="9" t="n">
        <f aca="false">SUMIFS('Исходные данные'!$J$2:$J$966,'Исходные данные'!$D$2:$D$966,J$1,'Исходные данные'!$F$2:$F$966,$A46)</f>
        <v>0</v>
      </c>
      <c r="L46" s="9" t="n">
        <f aca="false">SUMIFS('Исходные данные'!$I$2:$I$966,'Исходные данные'!$D$2:$D$966,L$1,'Исходные данные'!$F$2:$F$966,$A46)</f>
        <v>0</v>
      </c>
      <c r="M46" s="9" t="n">
        <f aca="false">SUMIFS('Исходные данные'!$J$2:$J$966,'Исходные данные'!$D$2:$D$966,L$1,'Исходные данные'!$F$2:$F$966,$A46)</f>
        <v>0</v>
      </c>
      <c r="N46" s="9" t="n">
        <f aca="false">SUMIFS('Исходные данные'!$I$2:$I$966,'Исходные данные'!$D$2:$D$966,N$1,'Исходные данные'!$F$2:$F$966,$A46)</f>
        <v>0</v>
      </c>
      <c r="O46" s="9" t="n">
        <f aca="false">SUMIFS('Исходные данные'!$J$2:$J$966,'Исходные данные'!$D$2:$D$966,N$1,'Исходные данные'!$F$2:$F$966,$A46)</f>
        <v>0</v>
      </c>
      <c r="P46" s="9" t="n">
        <f aca="false">SUMIFS('Исходные данные'!$I$2:$I$966,'Исходные данные'!$D$2:$D$966,P$1,'Исходные данные'!$F$2:$F$966,$A46)</f>
        <v>0</v>
      </c>
      <c r="Q46" s="9" t="n">
        <f aca="false">SUMIFS('Исходные данные'!$J$2:$J$966,'Исходные данные'!$D$2:$D$966,P$1,'Исходные данные'!$F$2:$F$966,$A46)</f>
        <v>0</v>
      </c>
      <c r="R46" s="9" t="n">
        <f aca="false">SUMIFS('Исходные данные'!$I$2:$I$966,'Исходные данные'!$D$2:$D$966,R$1,'Исходные данные'!$F$2:$F$966,$A46)</f>
        <v>0</v>
      </c>
      <c r="S46" s="9" t="n">
        <f aca="false">SUMIFS('Исходные данные'!$J$2:$J$966,'Исходные данные'!$D$2:$D$966,R$1,'Исходные данные'!$F$2:$F$966,$A46)</f>
        <v>0</v>
      </c>
      <c r="T46" s="9" t="n">
        <f aca="false">SUMIFS('Исходные данные'!$I$2:$I$966,'Исходные данные'!$D$2:$D$966,T$1,'Исходные данные'!$F$2:$F$966,$A46)</f>
        <v>0</v>
      </c>
      <c r="U46" s="9" t="n">
        <f aca="false">SUMIFS('Исходные данные'!$J$2:$J$966,'Исходные данные'!$D$2:$D$966,T$1,'Исходные данные'!$F$2:$F$966,$A46)</f>
        <v>0</v>
      </c>
      <c r="V46" s="9" t="n">
        <f aca="false">SUMIFS('Исходные данные'!$I$2:$I$966,'Исходные данные'!$D$2:$D$966,V$1,'Исходные данные'!$F$2:$F$966,$A46)</f>
        <v>1</v>
      </c>
      <c r="W46" s="9" t="n">
        <f aca="false">SUMIFS('Исходные данные'!$J$2:$J$966,'Исходные данные'!$D$2:$D$966,V$1,'Исходные данные'!$F$2:$F$966,$A46)</f>
        <v>0</v>
      </c>
      <c r="X46" s="9" t="n">
        <f aca="false">SUMIFS('Исходные данные'!$I$2:$I$966,'Исходные данные'!$D$2:$D$966,X$1,'Исходные данные'!$F$2:$F$966,$A46)</f>
        <v>0</v>
      </c>
      <c r="Y46" s="9" t="n">
        <f aca="false">SUMIFS('Исходные данные'!$J$2:$J$966,'Исходные данные'!$D$2:$D$966,X$1,'Исходные данные'!$F$2:$F$966,$A46)</f>
        <v>0</v>
      </c>
      <c r="Z46" s="9" t="n">
        <f aca="false">SUMIFS('Исходные данные'!$I$2:$I$966,'Исходные данные'!$D$2:$D$966,Z$1,'Исходные данные'!$F$2:$F$966,$A46)</f>
        <v>0</v>
      </c>
      <c r="AA46" s="9" t="n">
        <f aca="false">SUMIFS('Исходные данные'!$J$2:$J$966,'Исходные данные'!$D$2:$D$966,Z$1,'Исходные данные'!$F$2:$F$966,$A46)</f>
        <v>0</v>
      </c>
      <c r="AB46" s="9" t="n">
        <f aca="false">SUMIFS('Исходные данные'!$I$2:$I$966,'Исходные данные'!$D$2:$D$966,AB$1,'Исходные данные'!$F$2:$F$966,$A46)</f>
        <v>0</v>
      </c>
      <c r="AC46" s="9" t="n">
        <f aca="false">SUMIFS('Исходные данные'!$J$2:$J$966,'Исходные данные'!$D$2:$D$966,AB$1,'Исходные данные'!$F$2:$F$966,$A46)</f>
        <v>0</v>
      </c>
      <c r="AD46" s="9" t="n">
        <f aca="false">SUMIFS('Исходные данные'!$I$2:$I$966,'Исходные данные'!$D$2:$D$966,AD$1,'Исходные данные'!$F$2:$F$966,$A46)</f>
        <v>0</v>
      </c>
      <c r="AE46" s="9" t="n">
        <f aca="false">SUMIFS('Исходные данные'!$J$2:$J$966,'Исходные данные'!$D$2:$D$966,AD$1,'Исходные данные'!$F$2:$F$966,$A46)</f>
        <v>0</v>
      </c>
      <c r="AF46" s="9" t="n">
        <f aca="false">SUMIFS('Исходные данные'!$I$2:$I$966,'Исходные данные'!$D$2:$D$966,AF$1,'Исходные данные'!$F$2:$F$966,$A46)</f>
        <v>0</v>
      </c>
      <c r="AG46" s="9" t="n">
        <f aca="false">SUMIFS('Исходные данные'!$J$2:$J$966,'Исходные данные'!$D$2:$D$966,AF$1,'Исходные данные'!$F$2:$F$966,$A46)</f>
        <v>0</v>
      </c>
      <c r="AH46" s="9" t="n">
        <f aca="false">SUMIFS('Исходные данные'!$I$2:$I$966,'Исходные данные'!$D$2:$D$966,AH$1,'Исходные данные'!$F$2:$F$966,$A46)</f>
        <v>0</v>
      </c>
      <c r="AI46" s="9" t="n">
        <f aca="false">SUMIFS('Исходные данные'!$J$2:$J$966,'Исходные данные'!$D$2:$D$966,AH$1,'Исходные данные'!$F$2:$F$966,$A46)</f>
        <v>0</v>
      </c>
      <c r="AJ46" s="9" t="n">
        <f aca="false">SUMIFS('Исходные данные'!$I$2:$I$966,'Исходные данные'!$D$2:$D$966,AJ$1,'Исходные данные'!$F$2:$F$966,$A46)</f>
        <v>0</v>
      </c>
      <c r="AK46" s="9" t="n">
        <f aca="false">SUMIFS('Исходные данные'!$J$2:$J$966,'Исходные данные'!$D$2:$D$966,AJ$1,'Исходные данные'!$F$2:$F$966,$A46)</f>
        <v>0</v>
      </c>
      <c r="AL46" s="9" t="n">
        <f aca="false">SUMIFS('Исходные данные'!$I$2:$I$966,'Исходные данные'!$D$2:$D$966,AL$1,'Исходные данные'!$F$2:$F$966,$A46)</f>
        <v>0</v>
      </c>
      <c r="AM46" s="9" t="n">
        <f aca="false">SUMIFS('Исходные данные'!$J$2:$J$966,'Исходные данные'!$D$2:$D$966,AL$1,'Исходные данные'!$F$2:$F$966,$A46)</f>
        <v>0</v>
      </c>
      <c r="AN46" s="9" t="n">
        <f aca="false">SUMIFS('Исходные данные'!$I$2:$I$966,'Исходные данные'!$D$2:$D$966,AN$1,'Исходные данные'!$F$2:$F$966,$A46)</f>
        <v>0</v>
      </c>
      <c r="AO46" s="9" t="n">
        <f aca="false">SUMIFS('Исходные данные'!$J$2:$J$966,'Исходные данные'!$D$2:$D$966,AN$1,'Исходные данные'!$F$2:$F$966,$A46)</f>
        <v>0</v>
      </c>
      <c r="AP46" s="9" t="n">
        <f aca="false">SUMIFS('Исходные данные'!$I$2:$I$966,'Исходные данные'!$D$2:$D$966,AP$1,'Исходные данные'!$F$2:$F$966,$A46)</f>
        <v>0</v>
      </c>
      <c r="AQ46" s="9" t="n">
        <f aca="false">SUMIFS('Исходные данные'!$J$2:$J$966,'Исходные данные'!$D$2:$D$966,AP$1,'Исходные данные'!$F$2:$F$966,$A46)</f>
        <v>0</v>
      </c>
      <c r="AR46" s="9" t="n">
        <f aca="false">SUMIFS('Исходные данные'!$I$2:$I$966,'Исходные данные'!$D$2:$D$966,AR$1,'Исходные данные'!$F$2:$F$966,$A46)</f>
        <v>0</v>
      </c>
      <c r="AS46" s="9" t="n">
        <f aca="false">SUMIFS('Исходные данные'!$J$2:$J$966,'Исходные данные'!$D$2:$D$966,AR$1,'Исходные данные'!$F$2:$F$966,$A46)</f>
        <v>0</v>
      </c>
      <c r="AT46" s="9" t="n">
        <f aca="false">SUMIFS('Исходные данные'!$I$2:$I$966,'Исходные данные'!$D$2:$D$966,AT$1,'Исходные данные'!$F$2:$F$966,$A46)</f>
        <v>0</v>
      </c>
      <c r="AU46" s="9" t="n">
        <f aca="false">SUMIFS('Исходные данные'!$J$2:$J$966,'Исходные данные'!$D$2:$D$966,AT$1,'Исходные данные'!$F$2:$F$966,$A46)</f>
        <v>0</v>
      </c>
      <c r="AV46" s="9" t="n">
        <f aca="false">SUMIFS('Исходные данные'!$I$2:$I$966,'Исходные данные'!$D$2:$D$966,AV$1,'Исходные данные'!$F$2:$F$966,$A46)</f>
        <v>0</v>
      </c>
      <c r="AW46" s="9" t="n">
        <f aca="false">SUMIFS('Исходные данные'!$J$2:$J$966,'Исходные данные'!$D$2:$D$966,AV$1,'Исходные данные'!$F$2:$F$966,$A46)</f>
        <v>0</v>
      </c>
      <c r="AX46" s="9" t="n">
        <f aca="false">SUMIFS('Исходные данные'!$I$2:$I$966,'Исходные данные'!$D$2:$D$966,AX$1,'Исходные данные'!$F$2:$F$966,$A46)</f>
        <v>0</v>
      </c>
      <c r="AY46" s="9" t="n">
        <f aca="false">SUMIFS('Исходные данные'!$J$2:$J$966,'Исходные данные'!$D$2:$D$966,AX$1,'Исходные данные'!$F$2:$F$966,$A46)</f>
        <v>0</v>
      </c>
      <c r="AZ46" s="9" t="n">
        <f aca="false">SUMIFS('Исходные данные'!$I$2:$I$966,'Исходные данные'!$D$2:$D$966,AZ$1,'Исходные данные'!$F$2:$F$966,$A46)</f>
        <v>0</v>
      </c>
      <c r="BA46" s="9" t="n">
        <f aca="false">SUMIFS('Исходные данные'!$J$2:$J$966,'Исходные данные'!$D$2:$D$966,AZ$1,'Исходные данные'!$F$2:$F$966,$A46)</f>
        <v>0</v>
      </c>
      <c r="BB46" s="9" t="n">
        <f aca="false">SUMIFS('Исходные данные'!$I$2:$I$966,'Исходные данные'!$D$2:$D$966,BB$1,'Исходные данные'!$F$2:$F$966,$A46)</f>
        <v>0</v>
      </c>
      <c r="BC46" s="9" t="n">
        <f aca="false">SUMIFS('Исходные данные'!$J$2:$J$966,'Исходные данные'!$D$2:$D$966,BB$1,'Исходные данные'!$F$2:$F$966,$A46)</f>
        <v>0</v>
      </c>
      <c r="BD46" s="9" t="n">
        <f aca="false">SUMIFS('Исходные данные'!$I$2:$I$966,'Исходные данные'!$D$2:$D$966,BD$1,'Исходные данные'!$F$2:$F$966,$A46)</f>
        <v>0</v>
      </c>
      <c r="BE46" s="9" t="n">
        <f aca="false">SUMIFS('Исходные данные'!$J$2:$J$966,'Исходные данные'!$D$2:$D$966,BD$1,'Исходные данные'!$F$2:$F$966,$A46)</f>
        <v>0</v>
      </c>
      <c r="BF46" s="9" t="n">
        <f aca="false">SUMIFS('Исходные данные'!$I$2:$I$966,'Исходные данные'!$D$2:$D$966,BF$1,'Исходные данные'!$F$2:$F$966,$A46)</f>
        <v>0</v>
      </c>
      <c r="BG46" s="9" t="n">
        <f aca="false">SUMIFS('Исходные данные'!$J$2:$J$966,'Исходные данные'!$D$2:$D$966,BF$1,'Исходные данные'!$F$2:$F$966,$A46)</f>
        <v>0</v>
      </c>
      <c r="BH46" s="9" t="n">
        <f aca="false">SUMIFS('Исходные данные'!$I$2:$I$966,'Исходные данные'!$D$2:$D$966,BH$1,'Исходные данные'!$F$2:$F$966,$A46)</f>
        <v>0</v>
      </c>
      <c r="BI46" s="9" t="n">
        <f aca="false">SUMIFS('Исходные данные'!$J$2:$J$966,'Исходные данные'!$D$2:$D$966,BH$1,'Исходные данные'!$F$2:$F$966,$A46)</f>
        <v>0</v>
      </c>
      <c r="BJ46" s="9" t="n">
        <f aca="false">SUMIFS('Исходные данные'!$I$2:$I$966,'Исходные данные'!$D$2:$D$966,BJ$1,'Исходные данные'!$F$2:$F$966,$A46)</f>
        <v>0</v>
      </c>
      <c r="BK46" s="9" t="n">
        <f aca="false">SUMIFS('Исходные данные'!$J$2:$J$966,'Исходные данные'!$D$2:$D$966,BJ$1,'Исходные данные'!$F$2:$F$966,$A46)</f>
        <v>0</v>
      </c>
      <c r="BL46" s="9" t="n">
        <f aca="false">SUMIFS('Исходные данные'!$I$2:$I$966,'Исходные данные'!$D$2:$D$966,BL$1,'Исходные данные'!$F$2:$F$966,$A46)</f>
        <v>0</v>
      </c>
      <c r="BM46" s="9" t="n">
        <f aca="false">SUMIFS('Исходные данные'!$J$2:$J$966,'Исходные данные'!$D$2:$D$966,BL$1,'Исходные данные'!$F$2:$F$966,$A46)</f>
        <v>0</v>
      </c>
      <c r="BN46" s="9" t="n">
        <f aca="false">SUMIFS('Исходные данные'!$I$2:$I$966,'Исходные данные'!$D$2:$D$966,BN$1,'Исходные данные'!$F$2:$F$966,$A46)</f>
        <v>0</v>
      </c>
      <c r="BO46" s="9" t="n">
        <f aca="false">SUMIFS('Исходные данные'!$J$2:$J$966,'Исходные данные'!$D$2:$D$966,BN$1,'Исходные данные'!$F$2:$F$966,$A46)</f>
        <v>0</v>
      </c>
      <c r="BP46" s="9" t="n">
        <f aca="false">SUMIFS('Исходные данные'!$I$2:$I$966,'Исходные данные'!$D$2:$D$966,BP$1,'Исходные данные'!$F$2:$F$966,$A46)</f>
        <v>0</v>
      </c>
      <c r="BQ46" s="9" t="n">
        <f aca="false">SUMIFS('Исходные данные'!$J$2:$J$966,'Исходные данные'!$D$2:$D$966,BP$1,'Исходные данные'!$F$2:$F$966,$A46)</f>
        <v>0</v>
      </c>
      <c r="BR46" s="9" t="n">
        <f aca="false">SUMIFS('Исходные данные'!$I$2:$I$966,'Исходные данные'!$D$2:$D$966,BR$1,'Исходные данные'!$F$2:$F$966,$A46)</f>
        <v>0</v>
      </c>
      <c r="BS46" s="9" t="n">
        <f aca="false">SUMIFS('Исходные данные'!$J$2:$J$966,'Исходные данные'!$D$2:$D$966,BR$1,'Исходные данные'!$F$2:$F$966,$A46)</f>
        <v>0</v>
      </c>
      <c r="BT46" s="9" t="n">
        <f aca="false">SUMIFS('Исходные данные'!$I$2:$I$966,'Исходные данные'!$D$2:$D$966,BT$1,'Исходные данные'!$F$2:$F$966,$A46)</f>
        <v>0</v>
      </c>
      <c r="BU46" s="9" t="n">
        <f aca="false">SUMIFS('Исходные данные'!$J$2:$J$966,'Исходные данные'!$D$2:$D$966,BT$1,'Исходные данные'!$F$2:$F$966,$A46)</f>
        <v>0</v>
      </c>
      <c r="BV46" s="9" t="n">
        <f aca="false">SUMIFS('Исходные данные'!$I$2:$I$966,'Исходные данные'!$D$2:$D$966,BV$1,'Исходные данные'!$F$2:$F$966,$A46)</f>
        <v>0</v>
      </c>
      <c r="BW46" s="9" t="n">
        <f aca="false">SUMIFS('Исходные данные'!$J$2:$J$966,'Исходные данные'!$D$2:$D$966,BV$1,'Исходные данные'!$F$2:$F$966,$A46)</f>
        <v>0</v>
      </c>
      <c r="BX46" s="9" t="n">
        <f aca="false">SUMIFS('Исходные данные'!$I$2:$I$966,'Исходные данные'!$D$2:$D$966,BX$1,'Исходные данные'!$F$2:$F$966,$A46)</f>
        <v>0</v>
      </c>
      <c r="BY46" s="9" t="n">
        <f aca="false">SUMIFS('Исходные данные'!$J$2:$J$966,'Исходные данные'!$D$2:$D$966,BX$1,'Исходные данные'!$F$2:$F$966,$A46)</f>
        <v>0</v>
      </c>
      <c r="BZ46" s="9" t="n">
        <f aca="false">SUMIFS('Исходные данные'!$I$2:$I$966,'Исходные данные'!$D$2:$D$966,BZ$1,'Исходные данные'!$F$2:$F$966,$A46)</f>
        <v>0</v>
      </c>
      <c r="CA46" s="9" t="n">
        <f aca="false">SUMIFS('Исходные данные'!$J$2:$J$966,'Исходные данные'!$D$2:$D$966,BZ$1,'Исходные данные'!$F$2:$F$966,$A46)</f>
        <v>0</v>
      </c>
      <c r="CB46" s="9" t="n">
        <f aca="false">SUMIFS('Исходные данные'!$I$2:$I$966,'Исходные данные'!$D$2:$D$966,CB$1,'Исходные данные'!$F$2:$F$966,$A46)</f>
        <v>0</v>
      </c>
      <c r="CC46" s="9" t="n">
        <f aca="false">SUMIFS('Исходные данные'!$J$2:$J$966,'Исходные данные'!$D$2:$D$966,CB$1,'Исходные данные'!$F$2:$F$966,$A46)</f>
        <v>0</v>
      </c>
      <c r="CD46" s="9" t="n">
        <f aca="false">SUMIFS('Исходные данные'!$I$2:$I$966,'Исходные данные'!$D$2:$D$966,CD$1,'Исходные данные'!$F$2:$F$966,$A46)</f>
        <v>0</v>
      </c>
      <c r="CE46" s="9" t="n">
        <f aca="false">SUMIFS('Исходные данные'!$J$2:$J$966,'Исходные данные'!$D$2:$D$966,CD$1,'Исходные данные'!$F$2:$F$966,$A46)</f>
        <v>0</v>
      </c>
      <c r="CF46" s="9" t="n">
        <f aca="false">SUMIFS('Исходные данные'!$I$2:$I$966,'Исходные данные'!$D$2:$D$966,CF$1,'Исходные данные'!$F$2:$F$966,$A46)</f>
        <v>0</v>
      </c>
      <c r="CG46" s="9" t="n">
        <f aca="false">SUMIFS('Исходные данные'!$J$2:$J$966,'Исходные данные'!$D$2:$D$966,CF$1,'Исходные данные'!$F$2:$F$966,$A46)</f>
        <v>0</v>
      </c>
      <c r="CH46" s="9" t="n">
        <f aca="false">SUMIFS('Исходные данные'!$I$2:$I$966,'Исходные данные'!$D$2:$D$966,CH$1,'Исходные данные'!$F$2:$F$966,$A46)</f>
        <v>0</v>
      </c>
      <c r="CI46" s="9" t="n">
        <f aca="false">SUMIFS('Исходные данные'!$J$2:$J$966,'Исходные данные'!$D$2:$D$966,CH$1,'Исходные данные'!$F$2:$F$966,$A46)</f>
        <v>0</v>
      </c>
      <c r="CJ46" s="9" t="n">
        <f aca="false">SUMIFS('Исходные данные'!$I$2:$I$966,'Исходные данные'!$D$2:$D$966,CJ$1,'Исходные данные'!$F$2:$F$966,$A46)</f>
        <v>0</v>
      </c>
      <c r="CK46" s="9" t="n">
        <f aca="false">SUMIFS('Исходные данные'!$J$2:$J$966,'Исходные данные'!$D$2:$D$966,CJ$1,'Исходные данные'!$F$2:$F$966,$A46)</f>
        <v>0</v>
      </c>
      <c r="CL46" s="9" t="n">
        <f aca="false">SUMIFS('Исходные данные'!$I$2:$I$966,'Исходные данные'!$D$2:$D$966,CL$1,'Исходные данные'!$F$2:$F$966,$A46)</f>
        <v>0</v>
      </c>
      <c r="CM46" s="9" t="n">
        <f aca="false">SUMIFS('Исходные данные'!$J$2:$J$966,'Исходные данные'!$D$2:$D$966,CL$1,'Исходные данные'!$F$2:$F$966,$A46)</f>
        <v>0</v>
      </c>
      <c r="CN46" s="9" t="n">
        <f aca="false">SUMIFS('Исходные данные'!$I$2:$I$966,'Исходные данные'!$D$2:$D$966,CN$1,'Исходные данные'!$F$2:$F$966,$A46)</f>
        <v>0</v>
      </c>
      <c r="CO46" s="9" t="n">
        <f aca="false">SUMIFS('Исходные данные'!$J$2:$J$966,'Исходные данные'!$D$2:$D$966,CN$1,'Исходные данные'!$F$2:$F$966,$A46)</f>
        <v>0</v>
      </c>
      <c r="CP46" s="9" t="n">
        <f aca="false">SUMIFS('Исходные данные'!$I$2:$I$966,'Исходные данные'!$D$2:$D$966,CP$1,'Исходные данные'!$F$2:$F$966,$A46)</f>
        <v>0</v>
      </c>
      <c r="CQ46" s="9" t="n">
        <f aca="false">SUMIFS('Исходные данные'!$J$2:$J$966,'Исходные данные'!$D$2:$D$966,CP$1,'Исходные данные'!$F$2:$F$966,$A46)</f>
        <v>0</v>
      </c>
    </row>
    <row r="47" customFormat="false" ht="15" hidden="false" customHeight="false" outlineLevel="0" collapsed="false">
      <c r="A47" s="8" t="s">
        <v>141</v>
      </c>
      <c r="B47" s="9" t="s">
        <v>142</v>
      </c>
      <c r="C47" s="5" t="n">
        <v>1</v>
      </c>
      <c r="D47" s="5" t="n">
        <f aca="false">F47+G47</f>
        <v>1</v>
      </c>
      <c r="E47" s="5" t="n">
        <f aca="false">D47-C47</f>
        <v>0</v>
      </c>
      <c r="F47" s="5" t="n">
        <f aca="false">SUMIFS($H47:$CQ47,$H$2:$CQ$2,"День")</f>
        <v>1</v>
      </c>
      <c r="G47" s="5" t="n">
        <f aca="false">SUMIFS($H47:$CQ47,$H$2:$CQ$2,"Ночь")</f>
        <v>0</v>
      </c>
      <c r="H47" s="9" t="n">
        <f aca="false">SUMIFS('Исходные данные'!$I$2:$I$966,'Исходные данные'!$D$2:$D$966,H$1,'Исходные данные'!$F$2:$F$966,$A47)</f>
        <v>0</v>
      </c>
      <c r="I47" s="9" t="n">
        <f aca="false">SUMIFS('Исходные данные'!$J$2:$J$966,'Исходные данные'!$D$2:$D$966,H$1,'Исходные данные'!$F$2:$F$966,$A47)</f>
        <v>0</v>
      </c>
      <c r="J47" s="9" t="n">
        <f aca="false">SUMIFS('Исходные данные'!$I$2:$I$966,'Исходные данные'!$D$2:$D$966,J$1,'Исходные данные'!$F$2:$F$966,$A47)</f>
        <v>0</v>
      </c>
      <c r="K47" s="9" t="n">
        <f aca="false">SUMIFS('Исходные данные'!$J$2:$J$966,'Исходные данные'!$D$2:$D$966,J$1,'Исходные данные'!$F$2:$F$966,$A47)</f>
        <v>0</v>
      </c>
      <c r="L47" s="9" t="n">
        <f aca="false">SUMIFS('Исходные данные'!$I$2:$I$966,'Исходные данные'!$D$2:$D$966,L$1,'Исходные данные'!$F$2:$F$966,$A47)</f>
        <v>0</v>
      </c>
      <c r="M47" s="9" t="n">
        <f aca="false">SUMIFS('Исходные данные'!$J$2:$J$966,'Исходные данные'!$D$2:$D$966,L$1,'Исходные данные'!$F$2:$F$966,$A47)</f>
        <v>0</v>
      </c>
      <c r="N47" s="9" t="n">
        <f aca="false">SUMIFS('Исходные данные'!$I$2:$I$966,'Исходные данные'!$D$2:$D$966,N$1,'Исходные данные'!$F$2:$F$966,$A47)</f>
        <v>0</v>
      </c>
      <c r="O47" s="9" t="n">
        <f aca="false">SUMIFS('Исходные данные'!$J$2:$J$966,'Исходные данные'!$D$2:$D$966,N$1,'Исходные данные'!$F$2:$F$966,$A47)</f>
        <v>0</v>
      </c>
      <c r="P47" s="9" t="n">
        <f aca="false">SUMIFS('Исходные данные'!$I$2:$I$966,'Исходные данные'!$D$2:$D$966,P$1,'Исходные данные'!$F$2:$F$966,$A47)</f>
        <v>0</v>
      </c>
      <c r="Q47" s="9" t="n">
        <f aca="false">SUMIFS('Исходные данные'!$J$2:$J$966,'Исходные данные'!$D$2:$D$966,P$1,'Исходные данные'!$F$2:$F$966,$A47)</f>
        <v>0</v>
      </c>
      <c r="R47" s="9" t="n">
        <f aca="false">SUMIFS('Исходные данные'!$I$2:$I$966,'Исходные данные'!$D$2:$D$966,R$1,'Исходные данные'!$F$2:$F$966,$A47)</f>
        <v>0</v>
      </c>
      <c r="S47" s="9" t="n">
        <f aca="false">SUMIFS('Исходные данные'!$J$2:$J$966,'Исходные данные'!$D$2:$D$966,R$1,'Исходные данные'!$F$2:$F$966,$A47)</f>
        <v>0</v>
      </c>
      <c r="T47" s="9" t="n">
        <f aca="false">SUMIFS('Исходные данные'!$I$2:$I$966,'Исходные данные'!$D$2:$D$966,T$1,'Исходные данные'!$F$2:$F$966,$A47)</f>
        <v>0</v>
      </c>
      <c r="U47" s="9" t="n">
        <f aca="false">SUMIFS('Исходные данные'!$J$2:$J$966,'Исходные данные'!$D$2:$D$966,T$1,'Исходные данные'!$F$2:$F$966,$A47)</f>
        <v>0</v>
      </c>
      <c r="V47" s="9" t="n">
        <f aca="false">SUMIFS('Исходные данные'!$I$2:$I$966,'Исходные данные'!$D$2:$D$966,V$1,'Исходные данные'!$F$2:$F$966,$A47)</f>
        <v>0</v>
      </c>
      <c r="W47" s="9" t="n">
        <f aca="false">SUMIFS('Исходные данные'!$J$2:$J$966,'Исходные данные'!$D$2:$D$966,V$1,'Исходные данные'!$F$2:$F$966,$A47)</f>
        <v>0</v>
      </c>
      <c r="X47" s="9" t="n">
        <f aca="false">SUMIFS('Исходные данные'!$I$2:$I$966,'Исходные данные'!$D$2:$D$966,X$1,'Исходные данные'!$F$2:$F$966,$A47)</f>
        <v>0</v>
      </c>
      <c r="Y47" s="9" t="n">
        <f aca="false">SUMIFS('Исходные данные'!$J$2:$J$966,'Исходные данные'!$D$2:$D$966,X$1,'Исходные данные'!$F$2:$F$966,$A47)</f>
        <v>0</v>
      </c>
      <c r="Z47" s="9" t="n">
        <f aca="false">SUMIFS('Исходные данные'!$I$2:$I$966,'Исходные данные'!$D$2:$D$966,Z$1,'Исходные данные'!$F$2:$F$966,$A47)</f>
        <v>0</v>
      </c>
      <c r="AA47" s="9" t="n">
        <f aca="false">SUMIFS('Исходные данные'!$J$2:$J$966,'Исходные данные'!$D$2:$D$966,Z$1,'Исходные данные'!$F$2:$F$966,$A47)</f>
        <v>0</v>
      </c>
      <c r="AB47" s="9" t="n">
        <f aca="false">SUMIFS('Исходные данные'!$I$2:$I$966,'Исходные данные'!$D$2:$D$966,AB$1,'Исходные данные'!$F$2:$F$966,$A47)</f>
        <v>0</v>
      </c>
      <c r="AC47" s="9" t="n">
        <f aca="false">SUMIFS('Исходные данные'!$J$2:$J$966,'Исходные данные'!$D$2:$D$966,AB$1,'Исходные данные'!$F$2:$F$966,$A47)</f>
        <v>0</v>
      </c>
      <c r="AD47" s="9" t="n">
        <f aca="false">SUMIFS('Исходные данные'!$I$2:$I$966,'Исходные данные'!$D$2:$D$966,AD$1,'Исходные данные'!$F$2:$F$966,$A47)</f>
        <v>1</v>
      </c>
      <c r="AE47" s="9" t="n">
        <f aca="false">SUMIFS('Исходные данные'!$J$2:$J$966,'Исходные данные'!$D$2:$D$966,AD$1,'Исходные данные'!$F$2:$F$966,$A47)</f>
        <v>0</v>
      </c>
      <c r="AF47" s="9" t="n">
        <f aca="false">SUMIFS('Исходные данные'!$I$2:$I$966,'Исходные данные'!$D$2:$D$966,AF$1,'Исходные данные'!$F$2:$F$966,$A47)</f>
        <v>0</v>
      </c>
      <c r="AG47" s="9" t="n">
        <f aca="false">SUMIFS('Исходные данные'!$J$2:$J$966,'Исходные данные'!$D$2:$D$966,AF$1,'Исходные данные'!$F$2:$F$966,$A47)</f>
        <v>0</v>
      </c>
      <c r="AH47" s="9" t="n">
        <f aca="false">SUMIFS('Исходные данные'!$I$2:$I$966,'Исходные данные'!$D$2:$D$966,AH$1,'Исходные данные'!$F$2:$F$966,$A47)</f>
        <v>0</v>
      </c>
      <c r="AI47" s="9" t="n">
        <f aca="false">SUMIFS('Исходные данные'!$J$2:$J$966,'Исходные данные'!$D$2:$D$966,AH$1,'Исходные данные'!$F$2:$F$966,$A47)</f>
        <v>0</v>
      </c>
      <c r="AJ47" s="9" t="n">
        <f aca="false">SUMIFS('Исходные данные'!$I$2:$I$966,'Исходные данные'!$D$2:$D$966,AJ$1,'Исходные данные'!$F$2:$F$966,$A47)</f>
        <v>0</v>
      </c>
      <c r="AK47" s="9" t="n">
        <f aca="false">SUMIFS('Исходные данные'!$J$2:$J$966,'Исходные данные'!$D$2:$D$966,AJ$1,'Исходные данные'!$F$2:$F$966,$A47)</f>
        <v>0</v>
      </c>
      <c r="AL47" s="9" t="n">
        <f aca="false">SUMIFS('Исходные данные'!$I$2:$I$966,'Исходные данные'!$D$2:$D$966,AL$1,'Исходные данные'!$F$2:$F$966,$A47)</f>
        <v>0</v>
      </c>
      <c r="AM47" s="9" t="n">
        <f aca="false">SUMIFS('Исходные данные'!$J$2:$J$966,'Исходные данные'!$D$2:$D$966,AL$1,'Исходные данные'!$F$2:$F$966,$A47)</f>
        <v>0</v>
      </c>
      <c r="AN47" s="9" t="n">
        <f aca="false">SUMIFS('Исходные данные'!$I$2:$I$966,'Исходные данные'!$D$2:$D$966,AN$1,'Исходные данные'!$F$2:$F$966,$A47)</f>
        <v>0</v>
      </c>
      <c r="AO47" s="9" t="n">
        <f aca="false">SUMIFS('Исходные данные'!$J$2:$J$966,'Исходные данные'!$D$2:$D$966,AN$1,'Исходные данные'!$F$2:$F$966,$A47)</f>
        <v>0</v>
      </c>
      <c r="AP47" s="9" t="n">
        <f aca="false">SUMIFS('Исходные данные'!$I$2:$I$966,'Исходные данные'!$D$2:$D$966,AP$1,'Исходные данные'!$F$2:$F$966,$A47)</f>
        <v>0</v>
      </c>
      <c r="AQ47" s="9" t="n">
        <f aca="false">SUMIFS('Исходные данные'!$J$2:$J$966,'Исходные данные'!$D$2:$D$966,AP$1,'Исходные данные'!$F$2:$F$966,$A47)</f>
        <v>0</v>
      </c>
      <c r="AR47" s="9" t="n">
        <f aca="false">SUMIFS('Исходные данные'!$I$2:$I$966,'Исходные данные'!$D$2:$D$966,AR$1,'Исходные данные'!$F$2:$F$966,$A47)</f>
        <v>0</v>
      </c>
      <c r="AS47" s="9" t="n">
        <f aca="false">SUMIFS('Исходные данные'!$J$2:$J$966,'Исходные данные'!$D$2:$D$966,AR$1,'Исходные данные'!$F$2:$F$966,$A47)</f>
        <v>0</v>
      </c>
      <c r="AT47" s="9" t="n">
        <f aca="false">SUMIFS('Исходные данные'!$I$2:$I$966,'Исходные данные'!$D$2:$D$966,AT$1,'Исходные данные'!$F$2:$F$966,$A47)</f>
        <v>0</v>
      </c>
      <c r="AU47" s="9" t="n">
        <f aca="false">SUMIFS('Исходные данные'!$J$2:$J$966,'Исходные данные'!$D$2:$D$966,AT$1,'Исходные данные'!$F$2:$F$966,$A47)</f>
        <v>0</v>
      </c>
      <c r="AV47" s="9" t="n">
        <f aca="false">SUMIFS('Исходные данные'!$I$2:$I$966,'Исходные данные'!$D$2:$D$966,AV$1,'Исходные данные'!$F$2:$F$966,$A47)</f>
        <v>0</v>
      </c>
      <c r="AW47" s="9" t="n">
        <f aca="false">SUMIFS('Исходные данные'!$J$2:$J$966,'Исходные данные'!$D$2:$D$966,AV$1,'Исходные данные'!$F$2:$F$966,$A47)</f>
        <v>0</v>
      </c>
      <c r="AX47" s="9" t="n">
        <f aca="false">SUMIFS('Исходные данные'!$I$2:$I$966,'Исходные данные'!$D$2:$D$966,AX$1,'Исходные данные'!$F$2:$F$966,$A47)</f>
        <v>0</v>
      </c>
      <c r="AY47" s="9" t="n">
        <f aca="false">SUMIFS('Исходные данные'!$J$2:$J$966,'Исходные данные'!$D$2:$D$966,AX$1,'Исходные данные'!$F$2:$F$966,$A47)</f>
        <v>0</v>
      </c>
      <c r="AZ47" s="9" t="n">
        <f aca="false">SUMIFS('Исходные данные'!$I$2:$I$966,'Исходные данные'!$D$2:$D$966,AZ$1,'Исходные данные'!$F$2:$F$966,$A47)</f>
        <v>0</v>
      </c>
      <c r="BA47" s="9" t="n">
        <f aca="false">SUMIFS('Исходные данные'!$J$2:$J$966,'Исходные данные'!$D$2:$D$966,AZ$1,'Исходные данные'!$F$2:$F$966,$A47)</f>
        <v>0</v>
      </c>
      <c r="BB47" s="9" t="n">
        <f aca="false">SUMIFS('Исходные данные'!$I$2:$I$966,'Исходные данные'!$D$2:$D$966,BB$1,'Исходные данные'!$F$2:$F$966,$A47)</f>
        <v>0</v>
      </c>
      <c r="BC47" s="9" t="n">
        <f aca="false">SUMIFS('Исходные данные'!$J$2:$J$966,'Исходные данные'!$D$2:$D$966,BB$1,'Исходные данные'!$F$2:$F$966,$A47)</f>
        <v>0</v>
      </c>
      <c r="BD47" s="9" t="n">
        <f aca="false">SUMIFS('Исходные данные'!$I$2:$I$966,'Исходные данные'!$D$2:$D$966,BD$1,'Исходные данные'!$F$2:$F$966,$A47)</f>
        <v>0</v>
      </c>
      <c r="BE47" s="9" t="n">
        <f aca="false">SUMIFS('Исходные данные'!$J$2:$J$966,'Исходные данные'!$D$2:$D$966,BD$1,'Исходные данные'!$F$2:$F$966,$A47)</f>
        <v>0</v>
      </c>
      <c r="BF47" s="9" t="n">
        <f aca="false">SUMIFS('Исходные данные'!$I$2:$I$966,'Исходные данные'!$D$2:$D$966,BF$1,'Исходные данные'!$F$2:$F$966,$A47)</f>
        <v>0</v>
      </c>
      <c r="BG47" s="9" t="n">
        <f aca="false">SUMIFS('Исходные данные'!$J$2:$J$966,'Исходные данные'!$D$2:$D$966,BF$1,'Исходные данные'!$F$2:$F$966,$A47)</f>
        <v>0</v>
      </c>
      <c r="BH47" s="9" t="n">
        <f aca="false">SUMIFS('Исходные данные'!$I$2:$I$966,'Исходные данные'!$D$2:$D$966,BH$1,'Исходные данные'!$F$2:$F$966,$A47)</f>
        <v>0</v>
      </c>
      <c r="BI47" s="9" t="n">
        <f aca="false">SUMIFS('Исходные данные'!$J$2:$J$966,'Исходные данные'!$D$2:$D$966,BH$1,'Исходные данные'!$F$2:$F$966,$A47)</f>
        <v>0</v>
      </c>
      <c r="BJ47" s="9" t="n">
        <f aca="false">SUMIFS('Исходные данные'!$I$2:$I$966,'Исходные данные'!$D$2:$D$966,BJ$1,'Исходные данные'!$F$2:$F$966,$A47)</f>
        <v>0</v>
      </c>
      <c r="BK47" s="9" t="n">
        <f aca="false">SUMIFS('Исходные данные'!$J$2:$J$966,'Исходные данные'!$D$2:$D$966,BJ$1,'Исходные данные'!$F$2:$F$966,$A47)</f>
        <v>0</v>
      </c>
      <c r="BL47" s="9" t="n">
        <f aca="false">SUMIFS('Исходные данные'!$I$2:$I$966,'Исходные данные'!$D$2:$D$966,BL$1,'Исходные данные'!$F$2:$F$966,$A47)</f>
        <v>0</v>
      </c>
      <c r="BM47" s="9" t="n">
        <f aca="false">SUMIFS('Исходные данные'!$J$2:$J$966,'Исходные данные'!$D$2:$D$966,BL$1,'Исходные данные'!$F$2:$F$966,$A47)</f>
        <v>0</v>
      </c>
      <c r="BN47" s="9" t="n">
        <f aca="false">SUMIFS('Исходные данные'!$I$2:$I$966,'Исходные данные'!$D$2:$D$966,BN$1,'Исходные данные'!$F$2:$F$966,$A47)</f>
        <v>0</v>
      </c>
      <c r="BO47" s="9" t="n">
        <f aca="false">SUMIFS('Исходные данные'!$J$2:$J$966,'Исходные данные'!$D$2:$D$966,BN$1,'Исходные данные'!$F$2:$F$966,$A47)</f>
        <v>0</v>
      </c>
      <c r="BP47" s="9" t="n">
        <f aca="false">SUMIFS('Исходные данные'!$I$2:$I$966,'Исходные данные'!$D$2:$D$966,BP$1,'Исходные данные'!$F$2:$F$966,$A47)</f>
        <v>0</v>
      </c>
      <c r="BQ47" s="9" t="n">
        <f aca="false">SUMIFS('Исходные данные'!$J$2:$J$966,'Исходные данные'!$D$2:$D$966,BP$1,'Исходные данные'!$F$2:$F$966,$A47)</f>
        <v>0</v>
      </c>
      <c r="BR47" s="9" t="n">
        <f aca="false">SUMIFS('Исходные данные'!$I$2:$I$966,'Исходные данные'!$D$2:$D$966,BR$1,'Исходные данные'!$F$2:$F$966,$A47)</f>
        <v>0</v>
      </c>
      <c r="BS47" s="9" t="n">
        <f aca="false">SUMIFS('Исходные данные'!$J$2:$J$966,'Исходные данные'!$D$2:$D$966,BR$1,'Исходные данные'!$F$2:$F$966,$A47)</f>
        <v>0</v>
      </c>
      <c r="BT47" s="9" t="n">
        <f aca="false">SUMIFS('Исходные данные'!$I$2:$I$966,'Исходные данные'!$D$2:$D$966,BT$1,'Исходные данные'!$F$2:$F$966,$A47)</f>
        <v>0</v>
      </c>
      <c r="BU47" s="9" t="n">
        <f aca="false">SUMIFS('Исходные данные'!$J$2:$J$966,'Исходные данные'!$D$2:$D$966,BT$1,'Исходные данные'!$F$2:$F$966,$A47)</f>
        <v>0</v>
      </c>
      <c r="BV47" s="9" t="n">
        <f aca="false">SUMIFS('Исходные данные'!$I$2:$I$966,'Исходные данные'!$D$2:$D$966,BV$1,'Исходные данные'!$F$2:$F$966,$A47)</f>
        <v>0</v>
      </c>
      <c r="BW47" s="9" t="n">
        <f aca="false">SUMIFS('Исходные данные'!$J$2:$J$966,'Исходные данные'!$D$2:$D$966,BV$1,'Исходные данные'!$F$2:$F$966,$A47)</f>
        <v>0</v>
      </c>
      <c r="BX47" s="9" t="n">
        <f aca="false">SUMIFS('Исходные данные'!$I$2:$I$966,'Исходные данные'!$D$2:$D$966,BX$1,'Исходные данные'!$F$2:$F$966,$A47)</f>
        <v>0</v>
      </c>
      <c r="BY47" s="9" t="n">
        <f aca="false">SUMIFS('Исходные данные'!$J$2:$J$966,'Исходные данные'!$D$2:$D$966,BX$1,'Исходные данные'!$F$2:$F$966,$A47)</f>
        <v>0</v>
      </c>
      <c r="BZ47" s="9" t="n">
        <f aca="false">SUMIFS('Исходные данные'!$I$2:$I$966,'Исходные данные'!$D$2:$D$966,BZ$1,'Исходные данные'!$F$2:$F$966,$A47)</f>
        <v>0</v>
      </c>
      <c r="CA47" s="9" t="n">
        <f aca="false">SUMIFS('Исходные данные'!$J$2:$J$966,'Исходные данные'!$D$2:$D$966,BZ$1,'Исходные данные'!$F$2:$F$966,$A47)</f>
        <v>0</v>
      </c>
      <c r="CB47" s="9" t="n">
        <f aca="false">SUMIFS('Исходные данные'!$I$2:$I$966,'Исходные данные'!$D$2:$D$966,CB$1,'Исходные данные'!$F$2:$F$966,$A47)</f>
        <v>0</v>
      </c>
      <c r="CC47" s="9" t="n">
        <f aca="false">SUMIFS('Исходные данные'!$J$2:$J$966,'Исходные данные'!$D$2:$D$966,CB$1,'Исходные данные'!$F$2:$F$966,$A47)</f>
        <v>0</v>
      </c>
      <c r="CD47" s="9" t="n">
        <f aca="false">SUMIFS('Исходные данные'!$I$2:$I$966,'Исходные данные'!$D$2:$D$966,CD$1,'Исходные данные'!$F$2:$F$966,$A47)</f>
        <v>0</v>
      </c>
      <c r="CE47" s="9" t="n">
        <f aca="false">SUMIFS('Исходные данные'!$J$2:$J$966,'Исходные данные'!$D$2:$D$966,CD$1,'Исходные данные'!$F$2:$F$966,$A47)</f>
        <v>0</v>
      </c>
      <c r="CF47" s="9" t="n">
        <f aca="false">SUMIFS('Исходные данные'!$I$2:$I$966,'Исходные данные'!$D$2:$D$966,CF$1,'Исходные данные'!$F$2:$F$966,$A47)</f>
        <v>0</v>
      </c>
      <c r="CG47" s="9" t="n">
        <f aca="false">SUMIFS('Исходные данные'!$J$2:$J$966,'Исходные данные'!$D$2:$D$966,CF$1,'Исходные данные'!$F$2:$F$966,$A47)</f>
        <v>0</v>
      </c>
      <c r="CH47" s="9" t="n">
        <f aca="false">SUMIFS('Исходные данные'!$I$2:$I$966,'Исходные данные'!$D$2:$D$966,CH$1,'Исходные данные'!$F$2:$F$966,$A47)</f>
        <v>0</v>
      </c>
      <c r="CI47" s="9" t="n">
        <f aca="false">SUMIFS('Исходные данные'!$J$2:$J$966,'Исходные данные'!$D$2:$D$966,CH$1,'Исходные данные'!$F$2:$F$966,$A47)</f>
        <v>0</v>
      </c>
      <c r="CJ47" s="9" t="n">
        <f aca="false">SUMIFS('Исходные данные'!$I$2:$I$966,'Исходные данные'!$D$2:$D$966,CJ$1,'Исходные данные'!$F$2:$F$966,$A47)</f>
        <v>0</v>
      </c>
      <c r="CK47" s="9" t="n">
        <f aca="false">SUMIFS('Исходные данные'!$J$2:$J$966,'Исходные данные'!$D$2:$D$966,CJ$1,'Исходные данные'!$F$2:$F$966,$A47)</f>
        <v>0</v>
      </c>
      <c r="CL47" s="9" t="n">
        <f aca="false">SUMIFS('Исходные данные'!$I$2:$I$966,'Исходные данные'!$D$2:$D$966,CL$1,'Исходные данные'!$F$2:$F$966,$A47)</f>
        <v>0</v>
      </c>
      <c r="CM47" s="9" t="n">
        <f aca="false">SUMIFS('Исходные данные'!$J$2:$J$966,'Исходные данные'!$D$2:$D$966,CL$1,'Исходные данные'!$F$2:$F$966,$A47)</f>
        <v>0</v>
      </c>
      <c r="CN47" s="9" t="n">
        <f aca="false">SUMIFS('Исходные данные'!$I$2:$I$966,'Исходные данные'!$D$2:$D$966,CN$1,'Исходные данные'!$F$2:$F$966,$A47)</f>
        <v>0</v>
      </c>
      <c r="CO47" s="9" t="n">
        <f aca="false">SUMIFS('Исходные данные'!$J$2:$J$966,'Исходные данные'!$D$2:$D$966,CN$1,'Исходные данные'!$F$2:$F$966,$A47)</f>
        <v>0</v>
      </c>
      <c r="CP47" s="9" t="n">
        <f aca="false">SUMIFS('Исходные данные'!$I$2:$I$966,'Исходные данные'!$D$2:$D$966,CP$1,'Исходные данные'!$F$2:$F$966,$A47)</f>
        <v>0</v>
      </c>
      <c r="CQ47" s="9" t="n">
        <f aca="false">SUMIFS('Исходные данные'!$J$2:$J$966,'Исходные данные'!$D$2:$D$966,CP$1,'Исходные данные'!$F$2:$F$966,$A47)</f>
        <v>0</v>
      </c>
    </row>
    <row r="48" customFormat="false" ht="15" hidden="false" customHeight="false" outlineLevel="0" collapsed="false">
      <c r="A48" s="8" t="s">
        <v>143</v>
      </c>
      <c r="B48" s="9" t="s">
        <v>144</v>
      </c>
      <c r="C48" s="5" t="n">
        <v>4</v>
      </c>
      <c r="D48" s="5" t="n">
        <f aca="false">F48+G48</f>
        <v>4</v>
      </c>
      <c r="E48" s="5" t="n">
        <f aca="false">D48-C48</f>
        <v>0</v>
      </c>
      <c r="F48" s="5" t="n">
        <f aca="false">SUMIFS($H48:$CQ48,$H$2:$CQ$2,"День")</f>
        <v>2</v>
      </c>
      <c r="G48" s="5" t="n">
        <f aca="false">SUMIFS($H48:$CQ48,$H$2:$CQ$2,"Ночь")</f>
        <v>2</v>
      </c>
      <c r="H48" s="9" t="n">
        <f aca="false">SUMIFS('Исходные данные'!$I$2:$I$966,'Исходные данные'!$D$2:$D$966,H$1,'Исходные данные'!$F$2:$F$966,$A48)</f>
        <v>0</v>
      </c>
      <c r="I48" s="9" t="n">
        <f aca="false">SUMIFS('Исходные данные'!$J$2:$J$966,'Исходные данные'!$D$2:$D$966,H$1,'Исходные данные'!$F$2:$F$966,$A48)</f>
        <v>0</v>
      </c>
      <c r="J48" s="9" t="n">
        <f aca="false">SUMIFS('Исходные данные'!$I$2:$I$966,'Исходные данные'!$D$2:$D$966,J$1,'Исходные данные'!$F$2:$F$966,$A48)</f>
        <v>0</v>
      </c>
      <c r="K48" s="9" t="n">
        <f aca="false">SUMIFS('Исходные данные'!$J$2:$J$966,'Исходные данные'!$D$2:$D$966,J$1,'Исходные данные'!$F$2:$F$966,$A48)</f>
        <v>0</v>
      </c>
      <c r="L48" s="9" t="n">
        <f aca="false">SUMIFS('Исходные данные'!$I$2:$I$966,'Исходные данные'!$D$2:$D$966,L$1,'Исходные данные'!$F$2:$F$966,$A48)</f>
        <v>0</v>
      </c>
      <c r="M48" s="9" t="n">
        <f aca="false">SUMIFS('Исходные данные'!$J$2:$J$966,'Исходные данные'!$D$2:$D$966,L$1,'Исходные данные'!$F$2:$F$966,$A48)</f>
        <v>0</v>
      </c>
      <c r="N48" s="9" t="n">
        <f aca="false">SUMIFS('Исходные данные'!$I$2:$I$966,'Исходные данные'!$D$2:$D$966,N$1,'Исходные данные'!$F$2:$F$966,$A48)</f>
        <v>0</v>
      </c>
      <c r="O48" s="9" t="n">
        <f aca="false">SUMIFS('Исходные данные'!$J$2:$J$966,'Исходные данные'!$D$2:$D$966,N$1,'Исходные данные'!$F$2:$F$966,$A48)</f>
        <v>0</v>
      </c>
      <c r="P48" s="9" t="n">
        <f aca="false">SUMIFS('Исходные данные'!$I$2:$I$966,'Исходные данные'!$D$2:$D$966,P$1,'Исходные данные'!$F$2:$F$966,$A48)</f>
        <v>0</v>
      </c>
      <c r="Q48" s="9" t="n">
        <f aca="false">SUMIFS('Исходные данные'!$J$2:$J$966,'Исходные данные'!$D$2:$D$966,P$1,'Исходные данные'!$F$2:$F$966,$A48)</f>
        <v>0</v>
      </c>
      <c r="R48" s="9" t="n">
        <f aca="false">SUMIFS('Исходные данные'!$I$2:$I$966,'Исходные данные'!$D$2:$D$966,R$1,'Исходные данные'!$F$2:$F$966,$A48)</f>
        <v>0</v>
      </c>
      <c r="S48" s="9" t="n">
        <f aca="false">SUMIFS('Исходные данные'!$J$2:$J$966,'Исходные данные'!$D$2:$D$966,R$1,'Исходные данные'!$F$2:$F$966,$A48)</f>
        <v>0</v>
      </c>
      <c r="T48" s="9" t="n">
        <f aca="false">SUMIFS('Исходные данные'!$I$2:$I$966,'Исходные данные'!$D$2:$D$966,T$1,'Исходные данные'!$F$2:$F$966,$A48)</f>
        <v>0</v>
      </c>
      <c r="U48" s="9" t="n">
        <f aca="false">SUMIFS('Исходные данные'!$J$2:$J$966,'Исходные данные'!$D$2:$D$966,T$1,'Исходные данные'!$F$2:$F$966,$A48)</f>
        <v>0</v>
      </c>
      <c r="V48" s="9" t="n">
        <f aca="false">SUMIFS('Исходные данные'!$I$2:$I$966,'Исходные данные'!$D$2:$D$966,V$1,'Исходные данные'!$F$2:$F$966,$A48)</f>
        <v>0</v>
      </c>
      <c r="W48" s="9" t="n">
        <f aca="false">SUMIFS('Исходные данные'!$J$2:$J$966,'Исходные данные'!$D$2:$D$966,V$1,'Исходные данные'!$F$2:$F$966,$A48)</f>
        <v>0</v>
      </c>
      <c r="X48" s="9" t="n">
        <f aca="false">SUMIFS('Исходные данные'!$I$2:$I$966,'Исходные данные'!$D$2:$D$966,X$1,'Исходные данные'!$F$2:$F$966,$A48)</f>
        <v>0</v>
      </c>
      <c r="Y48" s="9" t="n">
        <f aca="false">SUMIFS('Исходные данные'!$J$2:$J$966,'Исходные данные'!$D$2:$D$966,X$1,'Исходные данные'!$F$2:$F$966,$A48)</f>
        <v>0</v>
      </c>
      <c r="Z48" s="9" t="n">
        <f aca="false">SUMIFS('Исходные данные'!$I$2:$I$966,'Исходные данные'!$D$2:$D$966,Z$1,'Исходные данные'!$F$2:$F$966,$A48)</f>
        <v>0</v>
      </c>
      <c r="AA48" s="9" t="n">
        <f aca="false">SUMIFS('Исходные данные'!$J$2:$J$966,'Исходные данные'!$D$2:$D$966,Z$1,'Исходные данные'!$F$2:$F$966,$A48)</f>
        <v>0</v>
      </c>
      <c r="AB48" s="9" t="n">
        <f aca="false">SUMIFS('Исходные данные'!$I$2:$I$966,'Исходные данные'!$D$2:$D$966,AB$1,'Исходные данные'!$F$2:$F$966,$A48)</f>
        <v>0</v>
      </c>
      <c r="AC48" s="9" t="n">
        <f aca="false">SUMIFS('Исходные данные'!$J$2:$J$966,'Исходные данные'!$D$2:$D$966,AB$1,'Исходные данные'!$F$2:$F$966,$A48)</f>
        <v>0</v>
      </c>
      <c r="AD48" s="9" t="n">
        <f aca="false">SUMIFS('Исходные данные'!$I$2:$I$966,'Исходные данные'!$D$2:$D$966,AD$1,'Исходные данные'!$F$2:$F$966,$A48)</f>
        <v>0</v>
      </c>
      <c r="AE48" s="9" t="n">
        <f aca="false">SUMIFS('Исходные данные'!$J$2:$J$966,'Исходные данные'!$D$2:$D$966,AD$1,'Исходные данные'!$F$2:$F$966,$A48)</f>
        <v>0</v>
      </c>
      <c r="AF48" s="9" t="n">
        <f aca="false">SUMIFS('Исходные данные'!$I$2:$I$966,'Исходные данные'!$D$2:$D$966,AF$1,'Исходные данные'!$F$2:$F$966,$A48)</f>
        <v>0</v>
      </c>
      <c r="AG48" s="9" t="n">
        <f aca="false">SUMIFS('Исходные данные'!$J$2:$J$966,'Исходные данные'!$D$2:$D$966,AF$1,'Исходные данные'!$F$2:$F$966,$A48)</f>
        <v>0</v>
      </c>
      <c r="AH48" s="9" t="n">
        <f aca="false">SUMIFS('Исходные данные'!$I$2:$I$966,'Исходные данные'!$D$2:$D$966,AH$1,'Исходные данные'!$F$2:$F$966,$A48)</f>
        <v>2</v>
      </c>
      <c r="AI48" s="9" t="n">
        <f aca="false">SUMIFS('Исходные данные'!$J$2:$J$966,'Исходные данные'!$D$2:$D$966,AH$1,'Исходные данные'!$F$2:$F$966,$A48)</f>
        <v>2</v>
      </c>
      <c r="AJ48" s="9" t="n">
        <f aca="false">SUMIFS('Исходные данные'!$I$2:$I$966,'Исходные данные'!$D$2:$D$966,AJ$1,'Исходные данные'!$F$2:$F$966,$A48)</f>
        <v>0</v>
      </c>
      <c r="AK48" s="9" t="n">
        <f aca="false">SUMIFS('Исходные данные'!$J$2:$J$966,'Исходные данные'!$D$2:$D$966,AJ$1,'Исходные данные'!$F$2:$F$966,$A48)</f>
        <v>0</v>
      </c>
      <c r="AL48" s="9" t="n">
        <f aca="false">SUMIFS('Исходные данные'!$I$2:$I$966,'Исходные данные'!$D$2:$D$966,AL$1,'Исходные данные'!$F$2:$F$966,$A48)</f>
        <v>0</v>
      </c>
      <c r="AM48" s="9" t="n">
        <f aca="false">SUMIFS('Исходные данные'!$J$2:$J$966,'Исходные данные'!$D$2:$D$966,AL$1,'Исходные данные'!$F$2:$F$966,$A48)</f>
        <v>0</v>
      </c>
      <c r="AN48" s="9" t="n">
        <f aca="false">SUMIFS('Исходные данные'!$I$2:$I$966,'Исходные данные'!$D$2:$D$966,AN$1,'Исходные данные'!$F$2:$F$966,$A48)</f>
        <v>0</v>
      </c>
      <c r="AO48" s="9" t="n">
        <f aca="false">SUMIFS('Исходные данные'!$J$2:$J$966,'Исходные данные'!$D$2:$D$966,AN$1,'Исходные данные'!$F$2:$F$966,$A48)</f>
        <v>0</v>
      </c>
      <c r="AP48" s="9" t="n">
        <f aca="false">SUMIFS('Исходные данные'!$I$2:$I$966,'Исходные данные'!$D$2:$D$966,AP$1,'Исходные данные'!$F$2:$F$966,$A48)</f>
        <v>0</v>
      </c>
      <c r="AQ48" s="9" t="n">
        <f aca="false">SUMIFS('Исходные данные'!$J$2:$J$966,'Исходные данные'!$D$2:$D$966,AP$1,'Исходные данные'!$F$2:$F$966,$A48)</f>
        <v>0</v>
      </c>
      <c r="AR48" s="9" t="n">
        <f aca="false">SUMIFS('Исходные данные'!$I$2:$I$966,'Исходные данные'!$D$2:$D$966,AR$1,'Исходные данные'!$F$2:$F$966,$A48)</f>
        <v>0</v>
      </c>
      <c r="AS48" s="9" t="n">
        <f aca="false">SUMIFS('Исходные данные'!$J$2:$J$966,'Исходные данные'!$D$2:$D$966,AR$1,'Исходные данные'!$F$2:$F$966,$A48)</f>
        <v>0</v>
      </c>
      <c r="AT48" s="9" t="n">
        <f aca="false">SUMIFS('Исходные данные'!$I$2:$I$966,'Исходные данные'!$D$2:$D$966,AT$1,'Исходные данные'!$F$2:$F$966,$A48)</f>
        <v>0</v>
      </c>
      <c r="AU48" s="9" t="n">
        <f aca="false">SUMIFS('Исходные данные'!$J$2:$J$966,'Исходные данные'!$D$2:$D$966,AT$1,'Исходные данные'!$F$2:$F$966,$A48)</f>
        <v>0</v>
      </c>
      <c r="AV48" s="9" t="n">
        <f aca="false">SUMIFS('Исходные данные'!$I$2:$I$966,'Исходные данные'!$D$2:$D$966,AV$1,'Исходные данные'!$F$2:$F$966,$A48)</f>
        <v>0</v>
      </c>
      <c r="AW48" s="9" t="n">
        <f aca="false">SUMIFS('Исходные данные'!$J$2:$J$966,'Исходные данные'!$D$2:$D$966,AV$1,'Исходные данные'!$F$2:$F$966,$A48)</f>
        <v>0</v>
      </c>
      <c r="AX48" s="9" t="n">
        <f aca="false">SUMIFS('Исходные данные'!$I$2:$I$966,'Исходные данные'!$D$2:$D$966,AX$1,'Исходные данные'!$F$2:$F$966,$A48)</f>
        <v>0</v>
      </c>
      <c r="AY48" s="9" t="n">
        <f aca="false">SUMIFS('Исходные данные'!$J$2:$J$966,'Исходные данные'!$D$2:$D$966,AX$1,'Исходные данные'!$F$2:$F$966,$A48)</f>
        <v>0</v>
      </c>
      <c r="AZ48" s="9" t="n">
        <f aca="false">SUMIFS('Исходные данные'!$I$2:$I$966,'Исходные данные'!$D$2:$D$966,AZ$1,'Исходные данные'!$F$2:$F$966,$A48)</f>
        <v>0</v>
      </c>
      <c r="BA48" s="9" t="n">
        <f aca="false">SUMIFS('Исходные данные'!$J$2:$J$966,'Исходные данные'!$D$2:$D$966,AZ$1,'Исходные данные'!$F$2:$F$966,$A48)</f>
        <v>0</v>
      </c>
      <c r="BB48" s="9" t="n">
        <f aca="false">SUMIFS('Исходные данные'!$I$2:$I$966,'Исходные данные'!$D$2:$D$966,BB$1,'Исходные данные'!$F$2:$F$966,$A48)</f>
        <v>0</v>
      </c>
      <c r="BC48" s="9" t="n">
        <f aca="false">SUMIFS('Исходные данные'!$J$2:$J$966,'Исходные данные'!$D$2:$D$966,BB$1,'Исходные данные'!$F$2:$F$966,$A48)</f>
        <v>0</v>
      </c>
      <c r="BD48" s="9" t="n">
        <f aca="false">SUMIFS('Исходные данные'!$I$2:$I$966,'Исходные данные'!$D$2:$D$966,BD$1,'Исходные данные'!$F$2:$F$966,$A48)</f>
        <v>0</v>
      </c>
      <c r="BE48" s="9" t="n">
        <f aca="false">SUMIFS('Исходные данные'!$J$2:$J$966,'Исходные данные'!$D$2:$D$966,BD$1,'Исходные данные'!$F$2:$F$966,$A48)</f>
        <v>0</v>
      </c>
      <c r="BF48" s="9" t="n">
        <f aca="false">SUMIFS('Исходные данные'!$I$2:$I$966,'Исходные данные'!$D$2:$D$966,BF$1,'Исходные данные'!$F$2:$F$966,$A48)</f>
        <v>0</v>
      </c>
      <c r="BG48" s="9" t="n">
        <f aca="false">SUMIFS('Исходные данные'!$J$2:$J$966,'Исходные данные'!$D$2:$D$966,BF$1,'Исходные данные'!$F$2:$F$966,$A48)</f>
        <v>0</v>
      </c>
      <c r="BH48" s="9" t="n">
        <f aca="false">SUMIFS('Исходные данные'!$I$2:$I$966,'Исходные данные'!$D$2:$D$966,BH$1,'Исходные данные'!$F$2:$F$966,$A48)</f>
        <v>0</v>
      </c>
      <c r="BI48" s="9" t="n">
        <f aca="false">SUMIFS('Исходные данные'!$J$2:$J$966,'Исходные данные'!$D$2:$D$966,BH$1,'Исходные данные'!$F$2:$F$966,$A48)</f>
        <v>0</v>
      </c>
      <c r="BJ48" s="9" t="n">
        <f aca="false">SUMIFS('Исходные данные'!$I$2:$I$966,'Исходные данные'!$D$2:$D$966,BJ$1,'Исходные данные'!$F$2:$F$966,$A48)</f>
        <v>0</v>
      </c>
      <c r="BK48" s="9" t="n">
        <f aca="false">SUMIFS('Исходные данные'!$J$2:$J$966,'Исходные данные'!$D$2:$D$966,BJ$1,'Исходные данные'!$F$2:$F$966,$A48)</f>
        <v>0</v>
      </c>
      <c r="BL48" s="9" t="n">
        <f aca="false">SUMIFS('Исходные данные'!$I$2:$I$966,'Исходные данные'!$D$2:$D$966,BL$1,'Исходные данные'!$F$2:$F$966,$A48)</f>
        <v>0</v>
      </c>
      <c r="BM48" s="9" t="n">
        <f aca="false">SUMIFS('Исходные данные'!$J$2:$J$966,'Исходные данные'!$D$2:$D$966,BL$1,'Исходные данные'!$F$2:$F$966,$A48)</f>
        <v>0</v>
      </c>
      <c r="BN48" s="9" t="n">
        <f aca="false">SUMIFS('Исходные данные'!$I$2:$I$966,'Исходные данные'!$D$2:$D$966,BN$1,'Исходные данные'!$F$2:$F$966,$A48)</f>
        <v>0</v>
      </c>
      <c r="BO48" s="9" t="n">
        <f aca="false">SUMIFS('Исходные данные'!$J$2:$J$966,'Исходные данные'!$D$2:$D$966,BN$1,'Исходные данные'!$F$2:$F$966,$A48)</f>
        <v>0</v>
      </c>
      <c r="BP48" s="9" t="n">
        <f aca="false">SUMIFS('Исходные данные'!$I$2:$I$966,'Исходные данные'!$D$2:$D$966,BP$1,'Исходные данные'!$F$2:$F$966,$A48)</f>
        <v>0</v>
      </c>
      <c r="BQ48" s="9" t="n">
        <f aca="false">SUMIFS('Исходные данные'!$J$2:$J$966,'Исходные данные'!$D$2:$D$966,BP$1,'Исходные данные'!$F$2:$F$966,$A48)</f>
        <v>0</v>
      </c>
      <c r="BR48" s="9" t="n">
        <f aca="false">SUMIFS('Исходные данные'!$I$2:$I$966,'Исходные данные'!$D$2:$D$966,BR$1,'Исходные данные'!$F$2:$F$966,$A48)</f>
        <v>0</v>
      </c>
      <c r="BS48" s="9" t="n">
        <f aca="false">SUMIFS('Исходные данные'!$J$2:$J$966,'Исходные данные'!$D$2:$D$966,BR$1,'Исходные данные'!$F$2:$F$966,$A48)</f>
        <v>0</v>
      </c>
      <c r="BT48" s="9" t="n">
        <f aca="false">SUMIFS('Исходные данные'!$I$2:$I$966,'Исходные данные'!$D$2:$D$966,BT$1,'Исходные данные'!$F$2:$F$966,$A48)</f>
        <v>0</v>
      </c>
      <c r="BU48" s="9" t="n">
        <f aca="false">SUMIFS('Исходные данные'!$J$2:$J$966,'Исходные данные'!$D$2:$D$966,BT$1,'Исходные данные'!$F$2:$F$966,$A48)</f>
        <v>0</v>
      </c>
      <c r="BV48" s="9" t="n">
        <f aca="false">SUMIFS('Исходные данные'!$I$2:$I$966,'Исходные данные'!$D$2:$D$966,BV$1,'Исходные данные'!$F$2:$F$966,$A48)</f>
        <v>0</v>
      </c>
      <c r="BW48" s="9" t="n">
        <f aca="false">SUMIFS('Исходные данные'!$J$2:$J$966,'Исходные данные'!$D$2:$D$966,BV$1,'Исходные данные'!$F$2:$F$966,$A48)</f>
        <v>0</v>
      </c>
      <c r="BX48" s="9" t="n">
        <f aca="false">SUMIFS('Исходные данные'!$I$2:$I$966,'Исходные данные'!$D$2:$D$966,BX$1,'Исходные данные'!$F$2:$F$966,$A48)</f>
        <v>0</v>
      </c>
      <c r="BY48" s="9" t="n">
        <f aca="false">SUMIFS('Исходные данные'!$J$2:$J$966,'Исходные данные'!$D$2:$D$966,BX$1,'Исходные данные'!$F$2:$F$966,$A48)</f>
        <v>0</v>
      </c>
      <c r="BZ48" s="9" t="n">
        <f aca="false">SUMIFS('Исходные данные'!$I$2:$I$966,'Исходные данные'!$D$2:$D$966,BZ$1,'Исходные данные'!$F$2:$F$966,$A48)</f>
        <v>0</v>
      </c>
      <c r="CA48" s="9" t="n">
        <f aca="false">SUMIFS('Исходные данные'!$J$2:$J$966,'Исходные данные'!$D$2:$D$966,BZ$1,'Исходные данные'!$F$2:$F$966,$A48)</f>
        <v>0</v>
      </c>
      <c r="CB48" s="9" t="n">
        <f aca="false">SUMIFS('Исходные данные'!$I$2:$I$966,'Исходные данные'!$D$2:$D$966,CB$1,'Исходные данные'!$F$2:$F$966,$A48)</f>
        <v>0</v>
      </c>
      <c r="CC48" s="9" t="n">
        <f aca="false">SUMIFS('Исходные данные'!$J$2:$J$966,'Исходные данные'!$D$2:$D$966,CB$1,'Исходные данные'!$F$2:$F$966,$A48)</f>
        <v>0</v>
      </c>
      <c r="CD48" s="9" t="n">
        <f aca="false">SUMIFS('Исходные данные'!$I$2:$I$966,'Исходные данные'!$D$2:$D$966,CD$1,'Исходные данные'!$F$2:$F$966,$A48)</f>
        <v>0</v>
      </c>
      <c r="CE48" s="9" t="n">
        <f aca="false">SUMIFS('Исходные данные'!$J$2:$J$966,'Исходные данные'!$D$2:$D$966,CD$1,'Исходные данные'!$F$2:$F$966,$A48)</f>
        <v>0</v>
      </c>
      <c r="CF48" s="9" t="n">
        <f aca="false">SUMIFS('Исходные данные'!$I$2:$I$966,'Исходные данные'!$D$2:$D$966,CF$1,'Исходные данные'!$F$2:$F$966,$A48)</f>
        <v>0</v>
      </c>
      <c r="CG48" s="9" t="n">
        <f aca="false">SUMIFS('Исходные данные'!$J$2:$J$966,'Исходные данные'!$D$2:$D$966,CF$1,'Исходные данные'!$F$2:$F$966,$A48)</f>
        <v>0</v>
      </c>
      <c r="CH48" s="9" t="n">
        <f aca="false">SUMIFS('Исходные данные'!$I$2:$I$966,'Исходные данные'!$D$2:$D$966,CH$1,'Исходные данные'!$F$2:$F$966,$A48)</f>
        <v>0</v>
      </c>
      <c r="CI48" s="9" t="n">
        <f aca="false">SUMIFS('Исходные данные'!$J$2:$J$966,'Исходные данные'!$D$2:$D$966,CH$1,'Исходные данные'!$F$2:$F$966,$A48)</f>
        <v>0</v>
      </c>
      <c r="CJ48" s="9" t="n">
        <f aca="false">SUMIFS('Исходные данные'!$I$2:$I$966,'Исходные данные'!$D$2:$D$966,CJ$1,'Исходные данные'!$F$2:$F$966,$A48)</f>
        <v>0</v>
      </c>
      <c r="CK48" s="9" t="n">
        <f aca="false">SUMIFS('Исходные данные'!$J$2:$J$966,'Исходные данные'!$D$2:$D$966,CJ$1,'Исходные данные'!$F$2:$F$966,$A48)</f>
        <v>0</v>
      </c>
      <c r="CL48" s="9" t="n">
        <f aca="false">SUMIFS('Исходные данные'!$I$2:$I$966,'Исходные данные'!$D$2:$D$966,CL$1,'Исходные данные'!$F$2:$F$966,$A48)</f>
        <v>0</v>
      </c>
      <c r="CM48" s="9" t="n">
        <f aca="false">SUMIFS('Исходные данные'!$J$2:$J$966,'Исходные данные'!$D$2:$D$966,CL$1,'Исходные данные'!$F$2:$F$966,$A48)</f>
        <v>0</v>
      </c>
      <c r="CN48" s="9" t="n">
        <f aca="false">SUMIFS('Исходные данные'!$I$2:$I$966,'Исходные данные'!$D$2:$D$966,CN$1,'Исходные данные'!$F$2:$F$966,$A48)</f>
        <v>0</v>
      </c>
      <c r="CO48" s="9" t="n">
        <f aca="false">SUMIFS('Исходные данные'!$J$2:$J$966,'Исходные данные'!$D$2:$D$966,CN$1,'Исходные данные'!$F$2:$F$966,$A48)</f>
        <v>0</v>
      </c>
      <c r="CP48" s="9" t="n">
        <f aca="false">SUMIFS('Исходные данные'!$I$2:$I$966,'Исходные данные'!$D$2:$D$966,CP$1,'Исходные данные'!$F$2:$F$966,$A48)</f>
        <v>0</v>
      </c>
      <c r="CQ48" s="9" t="n">
        <f aca="false">SUMIFS('Исходные данные'!$J$2:$J$966,'Исходные данные'!$D$2:$D$966,CP$1,'Исходные данные'!$F$2:$F$966,$A48)</f>
        <v>0</v>
      </c>
    </row>
    <row r="49" customFormat="false" ht="15" hidden="false" customHeight="false" outlineLevel="0" collapsed="false">
      <c r="A49" s="8" t="s">
        <v>145</v>
      </c>
      <c r="B49" s="9" t="s">
        <v>146</v>
      </c>
      <c r="C49" s="5" t="n">
        <v>1</v>
      </c>
      <c r="D49" s="5" t="n">
        <f aca="false">F49+G49</f>
        <v>1</v>
      </c>
      <c r="E49" s="5" t="n">
        <f aca="false">D49-C49</f>
        <v>0</v>
      </c>
      <c r="F49" s="5" t="n">
        <f aca="false">SUMIFS($H49:$CQ49,$H$2:$CQ$2,"День")</f>
        <v>1</v>
      </c>
      <c r="G49" s="5" t="n">
        <f aca="false">SUMIFS($H49:$CQ49,$H$2:$CQ$2,"Ночь")</f>
        <v>0</v>
      </c>
      <c r="H49" s="9" t="n">
        <f aca="false">SUMIFS('Исходные данные'!$I$2:$I$966,'Исходные данные'!$D$2:$D$966,H$1,'Исходные данные'!$F$2:$F$966,$A49)</f>
        <v>0</v>
      </c>
      <c r="I49" s="9" t="n">
        <f aca="false">SUMIFS('Исходные данные'!$J$2:$J$966,'Исходные данные'!$D$2:$D$966,H$1,'Исходные данные'!$F$2:$F$966,$A49)</f>
        <v>0</v>
      </c>
      <c r="J49" s="9" t="n">
        <f aca="false">SUMIFS('Исходные данные'!$I$2:$I$966,'Исходные данные'!$D$2:$D$966,J$1,'Исходные данные'!$F$2:$F$966,$A49)</f>
        <v>0</v>
      </c>
      <c r="K49" s="9" t="n">
        <f aca="false">SUMIFS('Исходные данные'!$J$2:$J$966,'Исходные данные'!$D$2:$D$966,J$1,'Исходные данные'!$F$2:$F$966,$A49)</f>
        <v>0</v>
      </c>
      <c r="L49" s="9" t="n">
        <f aca="false">SUMIFS('Исходные данные'!$I$2:$I$966,'Исходные данные'!$D$2:$D$966,L$1,'Исходные данные'!$F$2:$F$966,$A49)</f>
        <v>0</v>
      </c>
      <c r="M49" s="9" t="n">
        <f aca="false">SUMIFS('Исходные данные'!$J$2:$J$966,'Исходные данные'!$D$2:$D$966,L$1,'Исходные данные'!$F$2:$F$966,$A49)</f>
        <v>0</v>
      </c>
      <c r="N49" s="9" t="n">
        <f aca="false">SUMIFS('Исходные данные'!$I$2:$I$966,'Исходные данные'!$D$2:$D$966,N$1,'Исходные данные'!$F$2:$F$966,$A49)</f>
        <v>0</v>
      </c>
      <c r="O49" s="9" t="n">
        <f aca="false">SUMIFS('Исходные данные'!$J$2:$J$966,'Исходные данные'!$D$2:$D$966,N$1,'Исходные данные'!$F$2:$F$966,$A49)</f>
        <v>0</v>
      </c>
      <c r="P49" s="9" t="n">
        <f aca="false">SUMIFS('Исходные данные'!$I$2:$I$966,'Исходные данные'!$D$2:$D$966,P$1,'Исходные данные'!$F$2:$F$966,$A49)</f>
        <v>0</v>
      </c>
      <c r="Q49" s="9" t="n">
        <f aca="false">SUMIFS('Исходные данные'!$J$2:$J$966,'Исходные данные'!$D$2:$D$966,P$1,'Исходные данные'!$F$2:$F$966,$A49)</f>
        <v>0</v>
      </c>
      <c r="R49" s="9" t="n">
        <f aca="false">SUMIFS('Исходные данные'!$I$2:$I$966,'Исходные данные'!$D$2:$D$966,R$1,'Исходные данные'!$F$2:$F$966,$A49)</f>
        <v>0</v>
      </c>
      <c r="S49" s="9" t="n">
        <f aca="false">SUMIFS('Исходные данные'!$J$2:$J$966,'Исходные данные'!$D$2:$D$966,R$1,'Исходные данные'!$F$2:$F$966,$A49)</f>
        <v>0</v>
      </c>
      <c r="T49" s="9" t="n">
        <f aca="false">SUMIFS('Исходные данные'!$I$2:$I$966,'Исходные данные'!$D$2:$D$966,T$1,'Исходные данные'!$F$2:$F$966,$A49)</f>
        <v>0</v>
      </c>
      <c r="U49" s="9" t="n">
        <f aca="false">SUMIFS('Исходные данные'!$J$2:$J$966,'Исходные данные'!$D$2:$D$966,T$1,'Исходные данные'!$F$2:$F$966,$A49)</f>
        <v>0</v>
      </c>
      <c r="V49" s="9" t="n">
        <f aca="false">SUMIFS('Исходные данные'!$I$2:$I$966,'Исходные данные'!$D$2:$D$966,V$1,'Исходные данные'!$F$2:$F$966,$A49)</f>
        <v>0</v>
      </c>
      <c r="W49" s="9" t="n">
        <f aca="false">SUMIFS('Исходные данные'!$J$2:$J$966,'Исходные данные'!$D$2:$D$966,V$1,'Исходные данные'!$F$2:$F$966,$A49)</f>
        <v>0</v>
      </c>
      <c r="X49" s="9" t="n">
        <f aca="false">SUMIFS('Исходные данные'!$I$2:$I$966,'Исходные данные'!$D$2:$D$966,X$1,'Исходные данные'!$F$2:$F$966,$A49)</f>
        <v>0</v>
      </c>
      <c r="Y49" s="9" t="n">
        <f aca="false">SUMIFS('Исходные данные'!$J$2:$J$966,'Исходные данные'!$D$2:$D$966,X$1,'Исходные данные'!$F$2:$F$966,$A49)</f>
        <v>0</v>
      </c>
      <c r="Z49" s="9" t="n">
        <f aca="false">SUMIFS('Исходные данные'!$I$2:$I$966,'Исходные данные'!$D$2:$D$966,Z$1,'Исходные данные'!$F$2:$F$966,$A49)</f>
        <v>0</v>
      </c>
      <c r="AA49" s="9" t="n">
        <f aca="false">SUMIFS('Исходные данные'!$J$2:$J$966,'Исходные данные'!$D$2:$D$966,Z$1,'Исходные данные'!$F$2:$F$966,$A49)</f>
        <v>0</v>
      </c>
      <c r="AB49" s="9" t="n">
        <f aca="false">SUMIFS('Исходные данные'!$I$2:$I$966,'Исходные данные'!$D$2:$D$966,AB$1,'Исходные данные'!$F$2:$F$966,$A49)</f>
        <v>0</v>
      </c>
      <c r="AC49" s="9" t="n">
        <f aca="false">SUMIFS('Исходные данные'!$J$2:$J$966,'Исходные данные'!$D$2:$D$966,AB$1,'Исходные данные'!$F$2:$F$966,$A49)</f>
        <v>0</v>
      </c>
      <c r="AD49" s="9" t="n">
        <f aca="false">SUMIFS('Исходные данные'!$I$2:$I$966,'Исходные данные'!$D$2:$D$966,AD$1,'Исходные данные'!$F$2:$F$966,$A49)</f>
        <v>0</v>
      </c>
      <c r="AE49" s="9" t="n">
        <f aca="false">SUMIFS('Исходные данные'!$J$2:$J$966,'Исходные данные'!$D$2:$D$966,AD$1,'Исходные данные'!$F$2:$F$966,$A49)</f>
        <v>0</v>
      </c>
      <c r="AF49" s="9" t="n">
        <f aca="false">SUMIFS('Исходные данные'!$I$2:$I$966,'Исходные данные'!$D$2:$D$966,AF$1,'Исходные данные'!$F$2:$F$966,$A49)</f>
        <v>0</v>
      </c>
      <c r="AG49" s="9" t="n">
        <f aca="false">SUMIFS('Исходные данные'!$J$2:$J$966,'Исходные данные'!$D$2:$D$966,AF$1,'Исходные данные'!$F$2:$F$966,$A49)</f>
        <v>0</v>
      </c>
      <c r="AH49" s="9" t="n">
        <f aca="false">SUMIFS('Исходные данные'!$I$2:$I$966,'Исходные данные'!$D$2:$D$966,AH$1,'Исходные данные'!$F$2:$F$966,$A49)</f>
        <v>0</v>
      </c>
      <c r="AI49" s="9" t="n">
        <f aca="false">SUMIFS('Исходные данные'!$J$2:$J$966,'Исходные данные'!$D$2:$D$966,AH$1,'Исходные данные'!$F$2:$F$966,$A49)</f>
        <v>0</v>
      </c>
      <c r="AJ49" s="9" t="n">
        <f aca="false">SUMIFS('Исходные данные'!$I$2:$I$966,'Исходные данные'!$D$2:$D$966,AJ$1,'Исходные данные'!$F$2:$F$966,$A49)</f>
        <v>0</v>
      </c>
      <c r="AK49" s="9" t="n">
        <f aca="false">SUMIFS('Исходные данные'!$J$2:$J$966,'Исходные данные'!$D$2:$D$966,AJ$1,'Исходные данные'!$F$2:$F$966,$A49)</f>
        <v>0</v>
      </c>
      <c r="AL49" s="9" t="n">
        <f aca="false">SUMIFS('Исходные данные'!$I$2:$I$966,'Исходные данные'!$D$2:$D$966,AL$1,'Исходные данные'!$F$2:$F$966,$A49)</f>
        <v>1</v>
      </c>
      <c r="AM49" s="9" t="n">
        <f aca="false">SUMIFS('Исходные данные'!$J$2:$J$966,'Исходные данные'!$D$2:$D$966,AL$1,'Исходные данные'!$F$2:$F$966,$A49)</f>
        <v>0</v>
      </c>
      <c r="AN49" s="9" t="n">
        <f aca="false">SUMIFS('Исходные данные'!$I$2:$I$966,'Исходные данные'!$D$2:$D$966,AN$1,'Исходные данные'!$F$2:$F$966,$A49)</f>
        <v>0</v>
      </c>
      <c r="AO49" s="9" t="n">
        <f aca="false">SUMIFS('Исходные данные'!$J$2:$J$966,'Исходные данные'!$D$2:$D$966,AN$1,'Исходные данные'!$F$2:$F$966,$A49)</f>
        <v>0</v>
      </c>
      <c r="AP49" s="9" t="n">
        <f aca="false">SUMIFS('Исходные данные'!$I$2:$I$966,'Исходные данные'!$D$2:$D$966,AP$1,'Исходные данные'!$F$2:$F$966,$A49)</f>
        <v>0</v>
      </c>
      <c r="AQ49" s="9" t="n">
        <f aca="false">SUMIFS('Исходные данные'!$J$2:$J$966,'Исходные данные'!$D$2:$D$966,AP$1,'Исходные данные'!$F$2:$F$966,$A49)</f>
        <v>0</v>
      </c>
      <c r="AR49" s="9" t="n">
        <f aca="false">SUMIFS('Исходные данные'!$I$2:$I$966,'Исходные данные'!$D$2:$D$966,AR$1,'Исходные данные'!$F$2:$F$966,$A49)</f>
        <v>0</v>
      </c>
      <c r="AS49" s="9" t="n">
        <f aca="false">SUMIFS('Исходные данные'!$J$2:$J$966,'Исходные данные'!$D$2:$D$966,AR$1,'Исходные данные'!$F$2:$F$966,$A49)</f>
        <v>0</v>
      </c>
      <c r="AT49" s="9" t="n">
        <f aca="false">SUMIFS('Исходные данные'!$I$2:$I$966,'Исходные данные'!$D$2:$D$966,AT$1,'Исходные данные'!$F$2:$F$966,$A49)</f>
        <v>0</v>
      </c>
      <c r="AU49" s="9" t="n">
        <f aca="false">SUMIFS('Исходные данные'!$J$2:$J$966,'Исходные данные'!$D$2:$D$966,AT$1,'Исходные данные'!$F$2:$F$966,$A49)</f>
        <v>0</v>
      </c>
      <c r="AV49" s="9" t="n">
        <f aca="false">SUMIFS('Исходные данные'!$I$2:$I$966,'Исходные данные'!$D$2:$D$966,AV$1,'Исходные данные'!$F$2:$F$966,$A49)</f>
        <v>0</v>
      </c>
      <c r="AW49" s="9" t="n">
        <f aca="false">SUMIFS('Исходные данные'!$J$2:$J$966,'Исходные данные'!$D$2:$D$966,AV$1,'Исходные данные'!$F$2:$F$966,$A49)</f>
        <v>0</v>
      </c>
      <c r="AX49" s="9" t="n">
        <f aca="false">SUMIFS('Исходные данные'!$I$2:$I$966,'Исходные данные'!$D$2:$D$966,AX$1,'Исходные данные'!$F$2:$F$966,$A49)</f>
        <v>0</v>
      </c>
      <c r="AY49" s="9" t="n">
        <f aca="false">SUMIFS('Исходные данные'!$J$2:$J$966,'Исходные данные'!$D$2:$D$966,AX$1,'Исходные данные'!$F$2:$F$966,$A49)</f>
        <v>0</v>
      </c>
      <c r="AZ49" s="9" t="n">
        <f aca="false">SUMIFS('Исходные данные'!$I$2:$I$966,'Исходные данные'!$D$2:$D$966,AZ$1,'Исходные данные'!$F$2:$F$966,$A49)</f>
        <v>0</v>
      </c>
      <c r="BA49" s="9" t="n">
        <f aca="false">SUMIFS('Исходные данные'!$J$2:$J$966,'Исходные данные'!$D$2:$D$966,AZ$1,'Исходные данные'!$F$2:$F$966,$A49)</f>
        <v>0</v>
      </c>
      <c r="BB49" s="9" t="n">
        <f aca="false">SUMIFS('Исходные данные'!$I$2:$I$966,'Исходные данные'!$D$2:$D$966,BB$1,'Исходные данные'!$F$2:$F$966,$A49)</f>
        <v>0</v>
      </c>
      <c r="BC49" s="9" t="n">
        <f aca="false">SUMIFS('Исходные данные'!$J$2:$J$966,'Исходные данные'!$D$2:$D$966,BB$1,'Исходные данные'!$F$2:$F$966,$A49)</f>
        <v>0</v>
      </c>
      <c r="BD49" s="9" t="n">
        <f aca="false">SUMIFS('Исходные данные'!$I$2:$I$966,'Исходные данные'!$D$2:$D$966,BD$1,'Исходные данные'!$F$2:$F$966,$A49)</f>
        <v>0</v>
      </c>
      <c r="BE49" s="9" t="n">
        <f aca="false">SUMIFS('Исходные данные'!$J$2:$J$966,'Исходные данные'!$D$2:$D$966,BD$1,'Исходные данные'!$F$2:$F$966,$A49)</f>
        <v>0</v>
      </c>
      <c r="BF49" s="9" t="n">
        <f aca="false">SUMIFS('Исходные данные'!$I$2:$I$966,'Исходные данные'!$D$2:$D$966,BF$1,'Исходные данные'!$F$2:$F$966,$A49)</f>
        <v>0</v>
      </c>
      <c r="BG49" s="9" t="n">
        <f aca="false">SUMIFS('Исходные данные'!$J$2:$J$966,'Исходные данные'!$D$2:$D$966,BF$1,'Исходные данные'!$F$2:$F$966,$A49)</f>
        <v>0</v>
      </c>
      <c r="BH49" s="9" t="n">
        <f aca="false">SUMIFS('Исходные данные'!$I$2:$I$966,'Исходные данные'!$D$2:$D$966,BH$1,'Исходные данные'!$F$2:$F$966,$A49)</f>
        <v>0</v>
      </c>
      <c r="BI49" s="9" t="n">
        <f aca="false">SUMIFS('Исходные данные'!$J$2:$J$966,'Исходные данные'!$D$2:$D$966,BH$1,'Исходные данные'!$F$2:$F$966,$A49)</f>
        <v>0</v>
      </c>
      <c r="BJ49" s="9" t="n">
        <f aca="false">SUMIFS('Исходные данные'!$I$2:$I$966,'Исходные данные'!$D$2:$D$966,BJ$1,'Исходные данные'!$F$2:$F$966,$A49)</f>
        <v>0</v>
      </c>
      <c r="BK49" s="9" t="n">
        <f aca="false">SUMIFS('Исходные данные'!$J$2:$J$966,'Исходные данные'!$D$2:$D$966,BJ$1,'Исходные данные'!$F$2:$F$966,$A49)</f>
        <v>0</v>
      </c>
      <c r="BL49" s="9" t="n">
        <f aca="false">SUMIFS('Исходные данные'!$I$2:$I$966,'Исходные данные'!$D$2:$D$966,BL$1,'Исходные данные'!$F$2:$F$966,$A49)</f>
        <v>0</v>
      </c>
      <c r="BM49" s="9" t="n">
        <f aca="false">SUMIFS('Исходные данные'!$J$2:$J$966,'Исходные данные'!$D$2:$D$966,BL$1,'Исходные данные'!$F$2:$F$966,$A49)</f>
        <v>0</v>
      </c>
      <c r="BN49" s="9" t="n">
        <f aca="false">SUMIFS('Исходные данные'!$I$2:$I$966,'Исходные данные'!$D$2:$D$966,BN$1,'Исходные данные'!$F$2:$F$966,$A49)</f>
        <v>0</v>
      </c>
      <c r="BO49" s="9" t="n">
        <f aca="false">SUMIFS('Исходные данные'!$J$2:$J$966,'Исходные данные'!$D$2:$D$966,BN$1,'Исходные данные'!$F$2:$F$966,$A49)</f>
        <v>0</v>
      </c>
      <c r="BP49" s="9" t="n">
        <f aca="false">SUMIFS('Исходные данные'!$I$2:$I$966,'Исходные данные'!$D$2:$D$966,BP$1,'Исходные данные'!$F$2:$F$966,$A49)</f>
        <v>0</v>
      </c>
      <c r="BQ49" s="9" t="n">
        <f aca="false">SUMIFS('Исходные данные'!$J$2:$J$966,'Исходные данные'!$D$2:$D$966,BP$1,'Исходные данные'!$F$2:$F$966,$A49)</f>
        <v>0</v>
      </c>
      <c r="BR49" s="9" t="n">
        <f aca="false">SUMIFS('Исходные данные'!$I$2:$I$966,'Исходные данные'!$D$2:$D$966,BR$1,'Исходные данные'!$F$2:$F$966,$A49)</f>
        <v>0</v>
      </c>
      <c r="BS49" s="9" t="n">
        <f aca="false">SUMIFS('Исходные данные'!$J$2:$J$966,'Исходные данные'!$D$2:$D$966,BR$1,'Исходные данные'!$F$2:$F$966,$A49)</f>
        <v>0</v>
      </c>
      <c r="BT49" s="9" t="n">
        <f aca="false">SUMIFS('Исходные данные'!$I$2:$I$966,'Исходные данные'!$D$2:$D$966,BT$1,'Исходные данные'!$F$2:$F$966,$A49)</f>
        <v>0</v>
      </c>
      <c r="BU49" s="9" t="n">
        <f aca="false">SUMIFS('Исходные данные'!$J$2:$J$966,'Исходные данные'!$D$2:$D$966,BT$1,'Исходные данные'!$F$2:$F$966,$A49)</f>
        <v>0</v>
      </c>
      <c r="BV49" s="9" t="n">
        <f aca="false">SUMIFS('Исходные данные'!$I$2:$I$966,'Исходные данные'!$D$2:$D$966,BV$1,'Исходные данные'!$F$2:$F$966,$A49)</f>
        <v>0</v>
      </c>
      <c r="BW49" s="9" t="n">
        <f aca="false">SUMIFS('Исходные данные'!$J$2:$J$966,'Исходные данные'!$D$2:$D$966,BV$1,'Исходные данные'!$F$2:$F$966,$A49)</f>
        <v>0</v>
      </c>
      <c r="BX49" s="9" t="n">
        <f aca="false">SUMIFS('Исходные данные'!$I$2:$I$966,'Исходные данные'!$D$2:$D$966,BX$1,'Исходные данные'!$F$2:$F$966,$A49)</f>
        <v>0</v>
      </c>
      <c r="BY49" s="9" t="n">
        <f aca="false">SUMIFS('Исходные данные'!$J$2:$J$966,'Исходные данные'!$D$2:$D$966,BX$1,'Исходные данные'!$F$2:$F$966,$A49)</f>
        <v>0</v>
      </c>
      <c r="BZ49" s="9" t="n">
        <f aca="false">SUMIFS('Исходные данные'!$I$2:$I$966,'Исходные данные'!$D$2:$D$966,BZ$1,'Исходные данные'!$F$2:$F$966,$A49)</f>
        <v>0</v>
      </c>
      <c r="CA49" s="9" t="n">
        <f aca="false">SUMIFS('Исходные данные'!$J$2:$J$966,'Исходные данные'!$D$2:$D$966,BZ$1,'Исходные данные'!$F$2:$F$966,$A49)</f>
        <v>0</v>
      </c>
      <c r="CB49" s="9" t="n">
        <f aca="false">SUMIFS('Исходные данные'!$I$2:$I$966,'Исходные данные'!$D$2:$D$966,CB$1,'Исходные данные'!$F$2:$F$966,$A49)</f>
        <v>0</v>
      </c>
      <c r="CC49" s="9" t="n">
        <f aca="false">SUMIFS('Исходные данные'!$J$2:$J$966,'Исходные данные'!$D$2:$D$966,CB$1,'Исходные данные'!$F$2:$F$966,$A49)</f>
        <v>0</v>
      </c>
      <c r="CD49" s="9" t="n">
        <f aca="false">SUMIFS('Исходные данные'!$I$2:$I$966,'Исходные данные'!$D$2:$D$966,CD$1,'Исходные данные'!$F$2:$F$966,$A49)</f>
        <v>0</v>
      </c>
      <c r="CE49" s="9" t="n">
        <f aca="false">SUMIFS('Исходные данные'!$J$2:$J$966,'Исходные данные'!$D$2:$D$966,CD$1,'Исходные данные'!$F$2:$F$966,$A49)</f>
        <v>0</v>
      </c>
      <c r="CF49" s="9" t="n">
        <f aca="false">SUMIFS('Исходные данные'!$I$2:$I$966,'Исходные данные'!$D$2:$D$966,CF$1,'Исходные данные'!$F$2:$F$966,$A49)</f>
        <v>0</v>
      </c>
      <c r="CG49" s="9" t="n">
        <f aca="false">SUMIFS('Исходные данные'!$J$2:$J$966,'Исходные данные'!$D$2:$D$966,CF$1,'Исходные данные'!$F$2:$F$966,$A49)</f>
        <v>0</v>
      </c>
      <c r="CH49" s="9" t="n">
        <f aca="false">SUMIFS('Исходные данные'!$I$2:$I$966,'Исходные данные'!$D$2:$D$966,CH$1,'Исходные данные'!$F$2:$F$966,$A49)</f>
        <v>0</v>
      </c>
      <c r="CI49" s="9" t="n">
        <f aca="false">SUMIFS('Исходные данные'!$J$2:$J$966,'Исходные данные'!$D$2:$D$966,CH$1,'Исходные данные'!$F$2:$F$966,$A49)</f>
        <v>0</v>
      </c>
      <c r="CJ49" s="9" t="n">
        <f aca="false">SUMIFS('Исходные данные'!$I$2:$I$966,'Исходные данные'!$D$2:$D$966,CJ$1,'Исходные данные'!$F$2:$F$966,$A49)</f>
        <v>0</v>
      </c>
      <c r="CK49" s="9" t="n">
        <f aca="false">SUMIFS('Исходные данные'!$J$2:$J$966,'Исходные данные'!$D$2:$D$966,CJ$1,'Исходные данные'!$F$2:$F$966,$A49)</f>
        <v>0</v>
      </c>
      <c r="CL49" s="9" t="n">
        <f aca="false">SUMIFS('Исходные данные'!$I$2:$I$966,'Исходные данные'!$D$2:$D$966,CL$1,'Исходные данные'!$F$2:$F$966,$A49)</f>
        <v>0</v>
      </c>
      <c r="CM49" s="9" t="n">
        <f aca="false">SUMIFS('Исходные данные'!$J$2:$J$966,'Исходные данные'!$D$2:$D$966,CL$1,'Исходные данные'!$F$2:$F$966,$A49)</f>
        <v>0</v>
      </c>
      <c r="CN49" s="9" t="n">
        <f aca="false">SUMIFS('Исходные данные'!$I$2:$I$966,'Исходные данные'!$D$2:$D$966,CN$1,'Исходные данные'!$F$2:$F$966,$A49)</f>
        <v>0</v>
      </c>
      <c r="CO49" s="9" t="n">
        <f aca="false">SUMIFS('Исходные данные'!$J$2:$J$966,'Исходные данные'!$D$2:$D$966,CN$1,'Исходные данные'!$F$2:$F$966,$A49)</f>
        <v>0</v>
      </c>
      <c r="CP49" s="9" t="n">
        <f aca="false">SUMIFS('Исходные данные'!$I$2:$I$966,'Исходные данные'!$D$2:$D$966,CP$1,'Исходные данные'!$F$2:$F$966,$A49)</f>
        <v>0</v>
      </c>
      <c r="CQ49" s="9" t="n">
        <f aca="false">SUMIFS('Исходные данные'!$J$2:$J$966,'Исходные данные'!$D$2:$D$966,CP$1,'Исходные данные'!$F$2:$F$966,$A49)</f>
        <v>0</v>
      </c>
    </row>
    <row r="50" customFormat="false" ht="15" hidden="false" customHeight="false" outlineLevel="0" collapsed="false">
      <c r="A50" s="8" t="s">
        <v>147</v>
      </c>
      <c r="B50" s="9" t="s">
        <v>148</v>
      </c>
      <c r="C50" s="5" t="n">
        <v>2</v>
      </c>
      <c r="D50" s="5" t="n">
        <f aca="false">F50+G50</f>
        <v>0</v>
      </c>
      <c r="E50" s="5" t="n">
        <f aca="false">D50-C50</f>
        <v>-2</v>
      </c>
      <c r="F50" s="5" t="n">
        <f aca="false">SUMIFS($H50:$CQ50,$H$2:$CQ$2,"День")</f>
        <v>0</v>
      </c>
      <c r="G50" s="5" t="n">
        <f aca="false">SUMIFS($H50:$CQ50,$H$2:$CQ$2,"Ночь")</f>
        <v>0</v>
      </c>
      <c r="H50" s="9" t="n">
        <f aca="false">SUMIFS('Исходные данные'!$I$2:$I$966,'Исходные данные'!$D$2:$D$966,H$1,'Исходные данные'!$F$2:$F$966,$A50)</f>
        <v>0</v>
      </c>
      <c r="I50" s="9" t="n">
        <f aca="false">SUMIFS('Исходные данные'!$J$2:$J$966,'Исходные данные'!$D$2:$D$966,H$1,'Исходные данные'!$F$2:$F$966,$A50)</f>
        <v>0</v>
      </c>
      <c r="J50" s="9" t="n">
        <f aca="false">SUMIFS('Исходные данные'!$I$2:$I$966,'Исходные данные'!$D$2:$D$966,J$1,'Исходные данные'!$F$2:$F$966,$A50)</f>
        <v>0</v>
      </c>
      <c r="K50" s="9" t="n">
        <f aca="false">SUMIFS('Исходные данные'!$J$2:$J$966,'Исходные данные'!$D$2:$D$966,J$1,'Исходные данные'!$F$2:$F$966,$A50)</f>
        <v>0</v>
      </c>
      <c r="L50" s="9" t="n">
        <f aca="false">SUMIFS('Исходные данные'!$I$2:$I$966,'Исходные данные'!$D$2:$D$966,L$1,'Исходные данные'!$F$2:$F$966,$A50)</f>
        <v>0</v>
      </c>
      <c r="M50" s="9" t="n">
        <f aca="false">SUMIFS('Исходные данные'!$J$2:$J$966,'Исходные данные'!$D$2:$D$966,L$1,'Исходные данные'!$F$2:$F$966,$A50)</f>
        <v>0</v>
      </c>
      <c r="N50" s="9" t="n">
        <f aca="false">SUMIFS('Исходные данные'!$I$2:$I$966,'Исходные данные'!$D$2:$D$966,N$1,'Исходные данные'!$F$2:$F$966,$A50)</f>
        <v>0</v>
      </c>
      <c r="O50" s="9" t="n">
        <f aca="false">SUMIFS('Исходные данные'!$J$2:$J$966,'Исходные данные'!$D$2:$D$966,N$1,'Исходные данные'!$F$2:$F$966,$A50)</f>
        <v>0</v>
      </c>
      <c r="P50" s="9" t="n">
        <f aca="false">SUMIFS('Исходные данные'!$I$2:$I$966,'Исходные данные'!$D$2:$D$966,P$1,'Исходные данные'!$F$2:$F$966,$A50)</f>
        <v>0</v>
      </c>
      <c r="Q50" s="9" t="n">
        <f aca="false">SUMIFS('Исходные данные'!$J$2:$J$966,'Исходные данные'!$D$2:$D$966,P$1,'Исходные данные'!$F$2:$F$966,$A50)</f>
        <v>0</v>
      </c>
      <c r="R50" s="9" t="n">
        <f aca="false">SUMIFS('Исходные данные'!$I$2:$I$966,'Исходные данные'!$D$2:$D$966,R$1,'Исходные данные'!$F$2:$F$966,$A50)</f>
        <v>0</v>
      </c>
      <c r="S50" s="9" t="n">
        <f aca="false">SUMIFS('Исходные данные'!$J$2:$J$966,'Исходные данные'!$D$2:$D$966,R$1,'Исходные данные'!$F$2:$F$966,$A50)</f>
        <v>0</v>
      </c>
      <c r="T50" s="9" t="n">
        <f aca="false">SUMIFS('Исходные данные'!$I$2:$I$966,'Исходные данные'!$D$2:$D$966,T$1,'Исходные данные'!$F$2:$F$966,$A50)</f>
        <v>0</v>
      </c>
      <c r="U50" s="9" t="n">
        <f aca="false">SUMIFS('Исходные данные'!$J$2:$J$966,'Исходные данные'!$D$2:$D$966,T$1,'Исходные данные'!$F$2:$F$966,$A50)</f>
        <v>0</v>
      </c>
      <c r="V50" s="9" t="n">
        <f aca="false">SUMIFS('Исходные данные'!$I$2:$I$966,'Исходные данные'!$D$2:$D$966,V$1,'Исходные данные'!$F$2:$F$966,$A50)</f>
        <v>0</v>
      </c>
      <c r="W50" s="9" t="n">
        <f aca="false">SUMIFS('Исходные данные'!$J$2:$J$966,'Исходные данные'!$D$2:$D$966,V$1,'Исходные данные'!$F$2:$F$966,$A50)</f>
        <v>0</v>
      </c>
      <c r="X50" s="9" t="n">
        <f aca="false">SUMIFS('Исходные данные'!$I$2:$I$966,'Исходные данные'!$D$2:$D$966,X$1,'Исходные данные'!$F$2:$F$966,$A50)</f>
        <v>0</v>
      </c>
      <c r="Y50" s="9" t="n">
        <f aca="false">SUMIFS('Исходные данные'!$J$2:$J$966,'Исходные данные'!$D$2:$D$966,X$1,'Исходные данные'!$F$2:$F$966,$A50)</f>
        <v>0</v>
      </c>
      <c r="Z50" s="9" t="n">
        <f aca="false">SUMIFS('Исходные данные'!$I$2:$I$966,'Исходные данные'!$D$2:$D$966,Z$1,'Исходные данные'!$F$2:$F$966,$A50)</f>
        <v>0</v>
      </c>
      <c r="AA50" s="9" t="n">
        <f aca="false">SUMIFS('Исходные данные'!$J$2:$J$966,'Исходные данные'!$D$2:$D$966,Z$1,'Исходные данные'!$F$2:$F$966,$A50)</f>
        <v>0</v>
      </c>
      <c r="AB50" s="9" t="n">
        <f aca="false">SUMIFS('Исходные данные'!$I$2:$I$966,'Исходные данные'!$D$2:$D$966,AB$1,'Исходные данные'!$F$2:$F$966,$A50)</f>
        <v>0</v>
      </c>
      <c r="AC50" s="9" t="n">
        <f aca="false">SUMIFS('Исходные данные'!$J$2:$J$966,'Исходные данные'!$D$2:$D$966,AB$1,'Исходные данные'!$F$2:$F$966,$A50)</f>
        <v>0</v>
      </c>
      <c r="AD50" s="9" t="n">
        <f aca="false">SUMIFS('Исходные данные'!$I$2:$I$966,'Исходные данные'!$D$2:$D$966,AD$1,'Исходные данные'!$F$2:$F$966,$A50)</f>
        <v>0</v>
      </c>
      <c r="AE50" s="9" t="n">
        <f aca="false">SUMIFS('Исходные данные'!$J$2:$J$966,'Исходные данные'!$D$2:$D$966,AD$1,'Исходные данные'!$F$2:$F$966,$A50)</f>
        <v>0</v>
      </c>
      <c r="AF50" s="9" t="n">
        <f aca="false">SUMIFS('Исходные данные'!$I$2:$I$966,'Исходные данные'!$D$2:$D$966,AF$1,'Исходные данные'!$F$2:$F$966,$A50)</f>
        <v>0</v>
      </c>
      <c r="AG50" s="9" t="n">
        <f aca="false">SUMIFS('Исходные данные'!$J$2:$J$966,'Исходные данные'!$D$2:$D$966,AF$1,'Исходные данные'!$F$2:$F$966,$A50)</f>
        <v>0</v>
      </c>
      <c r="AH50" s="9" t="n">
        <f aca="false">SUMIFS('Исходные данные'!$I$2:$I$966,'Исходные данные'!$D$2:$D$966,AH$1,'Исходные данные'!$F$2:$F$966,$A50)</f>
        <v>0</v>
      </c>
      <c r="AI50" s="9" t="n">
        <f aca="false">SUMIFS('Исходные данные'!$J$2:$J$966,'Исходные данные'!$D$2:$D$966,AH$1,'Исходные данные'!$F$2:$F$966,$A50)</f>
        <v>0</v>
      </c>
      <c r="AJ50" s="9" t="n">
        <f aca="false">SUMIFS('Исходные данные'!$I$2:$I$966,'Исходные данные'!$D$2:$D$966,AJ$1,'Исходные данные'!$F$2:$F$966,$A50)</f>
        <v>0</v>
      </c>
      <c r="AK50" s="9" t="n">
        <f aca="false">SUMIFS('Исходные данные'!$J$2:$J$966,'Исходные данные'!$D$2:$D$966,AJ$1,'Исходные данные'!$F$2:$F$966,$A50)</f>
        <v>0</v>
      </c>
      <c r="AL50" s="9" t="n">
        <f aca="false">SUMIFS('Исходные данные'!$I$2:$I$966,'Исходные данные'!$D$2:$D$966,AL$1,'Исходные данные'!$F$2:$F$966,$A50)</f>
        <v>0</v>
      </c>
      <c r="AM50" s="9" t="n">
        <f aca="false">SUMIFS('Исходные данные'!$J$2:$J$966,'Исходные данные'!$D$2:$D$966,AL$1,'Исходные данные'!$F$2:$F$966,$A50)</f>
        <v>0</v>
      </c>
      <c r="AN50" s="9" t="n">
        <f aca="false">SUMIFS('Исходные данные'!$I$2:$I$966,'Исходные данные'!$D$2:$D$966,AN$1,'Исходные данные'!$F$2:$F$966,$A50)</f>
        <v>0</v>
      </c>
      <c r="AO50" s="9" t="n">
        <f aca="false">SUMIFS('Исходные данные'!$J$2:$J$966,'Исходные данные'!$D$2:$D$966,AN$1,'Исходные данные'!$F$2:$F$966,$A50)</f>
        <v>0</v>
      </c>
      <c r="AP50" s="9" t="n">
        <f aca="false">SUMIFS('Исходные данные'!$I$2:$I$966,'Исходные данные'!$D$2:$D$966,AP$1,'Исходные данные'!$F$2:$F$966,$A50)</f>
        <v>0</v>
      </c>
      <c r="AQ50" s="9" t="n">
        <f aca="false">SUMIFS('Исходные данные'!$J$2:$J$966,'Исходные данные'!$D$2:$D$966,AP$1,'Исходные данные'!$F$2:$F$966,$A50)</f>
        <v>0</v>
      </c>
      <c r="AR50" s="9" t="n">
        <f aca="false">SUMIFS('Исходные данные'!$I$2:$I$966,'Исходные данные'!$D$2:$D$966,AR$1,'Исходные данные'!$F$2:$F$966,$A50)</f>
        <v>0</v>
      </c>
      <c r="AS50" s="9" t="n">
        <f aca="false">SUMIFS('Исходные данные'!$J$2:$J$966,'Исходные данные'!$D$2:$D$966,AR$1,'Исходные данные'!$F$2:$F$966,$A50)</f>
        <v>0</v>
      </c>
      <c r="AT50" s="9" t="n">
        <f aca="false">SUMIFS('Исходные данные'!$I$2:$I$966,'Исходные данные'!$D$2:$D$966,AT$1,'Исходные данные'!$F$2:$F$966,$A50)</f>
        <v>0</v>
      </c>
      <c r="AU50" s="9" t="n">
        <f aca="false">SUMIFS('Исходные данные'!$J$2:$J$966,'Исходные данные'!$D$2:$D$966,AT$1,'Исходные данные'!$F$2:$F$966,$A50)</f>
        <v>0</v>
      </c>
      <c r="AV50" s="9" t="n">
        <f aca="false">SUMIFS('Исходные данные'!$I$2:$I$966,'Исходные данные'!$D$2:$D$966,AV$1,'Исходные данные'!$F$2:$F$966,$A50)</f>
        <v>0</v>
      </c>
      <c r="AW50" s="9" t="n">
        <f aca="false">SUMIFS('Исходные данные'!$J$2:$J$966,'Исходные данные'!$D$2:$D$966,AV$1,'Исходные данные'!$F$2:$F$966,$A50)</f>
        <v>0</v>
      </c>
      <c r="AX50" s="9" t="n">
        <f aca="false">SUMIFS('Исходные данные'!$I$2:$I$966,'Исходные данные'!$D$2:$D$966,AX$1,'Исходные данные'!$F$2:$F$966,$A50)</f>
        <v>0</v>
      </c>
      <c r="AY50" s="9" t="n">
        <f aca="false">SUMIFS('Исходные данные'!$J$2:$J$966,'Исходные данные'!$D$2:$D$966,AX$1,'Исходные данные'!$F$2:$F$966,$A50)</f>
        <v>0</v>
      </c>
      <c r="AZ50" s="9" t="n">
        <f aca="false">SUMIFS('Исходные данные'!$I$2:$I$966,'Исходные данные'!$D$2:$D$966,AZ$1,'Исходные данные'!$F$2:$F$966,$A50)</f>
        <v>0</v>
      </c>
      <c r="BA50" s="9" t="n">
        <f aca="false">SUMIFS('Исходные данные'!$J$2:$J$966,'Исходные данные'!$D$2:$D$966,AZ$1,'Исходные данные'!$F$2:$F$966,$A50)</f>
        <v>0</v>
      </c>
      <c r="BB50" s="9" t="n">
        <f aca="false">SUMIFS('Исходные данные'!$I$2:$I$966,'Исходные данные'!$D$2:$D$966,BB$1,'Исходные данные'!$F$2:$F$966,$A50)</f>
        <v>0</v>
      </c>
      <c r="BC50" s="9" t="n">
        <f aca="false">SUMIFS('Исходные данные'!$J$2:$J$966,'Исходные данные'!$D$2:$D$966,BB$1,'Исходные данные'!$F$2:$F$966,$A50)</f>
        <v>0</v>
      </c>
      <c r="BD50" s="9" t="n">
        <f aca="false">SUMIFS('Исходные данные'!$I$2:$I$966,'Исходные данные'!$D$2:$D$966,BD$1,'Исходные данные'!$F$2:$F$966,$A50)</f>
        <v>0</v>
      </c>
      <c r="BE50" s="9" t="n">
        <f aca="false">SUMIFS('Исходные данные'!$J$2:$J$966,'Исходные данные'!$D$2:$D$966,BD$1,'Исходные данные'!$F$2:$F$966,$A50)</f>
        <v>0</v>
      </c>
      <c r="BF50" s="9" t="n">
        <f aca="false">SUMIFS('Исходные данные'!$I$2:$I$966,'Исходные данные'!$D$2:$D$966,BF$1,'Исходные данные'!$F$2:$F$966,$A50)</f>
        <v>0</v>
      </c>
      <c r="BG50" s="9" t="n">
        <f aca="false">SUMIFS('Исходные данные'!$J$2:$J$966,'Исходные данные'!$D$2:$D$966,BF$1,'Исходные данные'!$F$2:$F$966,$A50)</f>
        <v>0</v>
      </c>
      <c r="BH50" s="9" t="n">
        <f aca="false">SUMIFS('Исходные данные'!$I$2:$I$966,'Исходные данные'!$D$2:$D$966,BH$1,'Исходные данные'!$F$2:$F$966,$A50)</f>
        <v>0</v>
      </c>
      <c r="BI50" s="9" t="n">
        <f aca="false">SUMIFS('Исходные данные'!$J$2:$J$966,'Исходные данные'!$D$2:$D$966,BH$1,'Исходные данные'!$F$2:$F$966,$A50)</f>
        <v>0</v>
      </c>
      <c r="BJ50" s="9" t="n">
        <f aca="false">SUMIFS('Исходные данные'!$I$2:$I$966,'Исходные данные'!$D$2:$D$966,BJ$1,'Исходные данные'!$F$2:$F$966,$A50)</f>
        <v>0</v>
      </c>
      <c r="BK50" s="9" t="n">
        <f aca="false">SUMIFS('Исходные данные'!$J$2:$J$966,'Исходные данные'!$D$2:$D$966,BJ$1,'Исходные данные'!$F$2:$F$966,$A50)</f>
        <v>0</v>
      </c>
      <c r="BL50" s="9" t="n">
        <f aca="false">SUMIFS('Исходные данные'!$I$2:$I$966,'Исходные данные'!$D$2:$D$966,BL$1,'Исходные данные'!$F$2:$F$966,$A50)</f>
        <v>0</v>
      </c>
      <c r="BM50" s="9" t="n">
        <f aca="false">SUMIFS('Исходные данные'!$J$2:$J$966,'Исходные данные'!$D$2:$D$966,BL$1,'Исходные данные'!$F$2:$F$966,$A50)</f>
        <v>0</v>
      </c>
      <c r="BN50" s="9" t="n">
        <f aca="false">SUMIFS('Исходные данные'!$I$2:$I$966,'Исходные данные'!$D$2:$D$966,BN$1,'Исходные данные'!$F$2:$F$966,$A50)</f>
        <v>0</v>
      </c>
      <c r="BO50" s="9" t="n">
        <f aca="false">SUMIFS('Исходные данные'!$J$2:$J$966,'Исходные данные'!$D$2:$D$966,BN$1,'Исходные данные'!$F$2:$F$966,$A50)</f>
        <v>0</v>
      </c>
      <c r="BP50" s="9" t="n">
        <f aca="false">SUMIFS('Исходные данные'!$I$2:$I$966,'Исходные данные'!$D$2:$D$966,BP$1,'Исходные данные'!$F$2:$F$966,$A50)</f>
        <v>0</v>
      </c>
      <c r="BQ50" s="9" t="n">
        <f aca="false">SUMIFS('Исходные данные'!$J$2:$J$966,'Исходные данные'!$D$2:$D$966,BP$1,'Исходные данные'!$F$2:$F$966,$A50)</f>
        <v>0</v>
      </c>
      <c r="BR50" s="9" t="n">
        <f aca="false">SUMIFS('Исходные данные'!$I$2:$I$966,'Исходные данные'!$D$2:$D$966,BR$1,'Исходные данные'!$F$2:$F$966,$A50)</f>
        <v>0</v>
      </c>
      <c r="BS50" s="9" t="n">
        <f aca="false">SUMIFS('Исходные данные'!$J$2:$J$966,'Исходные данные'!$D$2:$D$966,BR$1,'Исходные данные'!$F$2:$F$966,$A50)</f>
        <v>0</v>
      </c>
      <c r="BT50" s="9" t="n">
        <f aca="false">SUMIFS('Исходные данные'!$I$2:$I$966,'Исходные данные'!$D$2:$D$966,BT$1,'Исходные данные'!$F$2:$F$966,$A50)</f>
        <v>0</v>
      </c>
      <c r="BU50" s="9" t="n">
        <f aca="false">SUMIFS('Исходные данные'!$J$2:$J$966,'Исходные данные'!$D$2:$D$966,BT$1,'Исходные данные'!$F$2:$F$966,$A50)</f>
        <v>0</v>
      </c>
      <c r="BV50" s="9" t="n">
        <f aca="false">SUMIFS('Исходные данные'!$I$2:$I$966,'Исходные данные'!$D$2:$D$966,BV$1,'Исходные данные'!$F$2:$F$966,$A50)</f>
        <v>0</v>
      </c>
      <c r="BW50" s="9" t="n">
        <f aca="false">SUMIFS('Исходные данные'!$J$2:$J$966,'Исходные данные'!$D$2:$D$966,BV$1,'Исходные данные'!$F$2:$F$966,$A50)</f>
        <v>0</v>
      </c>
      <c r="BX50" s="9" t="n">
        <f aca="false">SUMIFS('Исходные данные'!$I$2:$I$966,'Исходные данные'!$D$2:$D$966,BX$1,'Исходные данные'!$F$2:$F$966,$A50)</f>
        <v>0</v>
      </c>
      <c r="BY50" s="9" t="n">
        <f aca="false">SUMIFS('Исходные данные'!$J$2:$J$966,'Исходные данные'!$D$2:$D$966,BX$1,'Исходные данные'!$F$2:$F$966,$A50)</f>
        <v>0</v>
      </c>
      <c r="BZ50" s="9" t="n">
        <f aca="false">SUMIFS('Исходные данные'!$I$2:$I$966,'Исходные данные'!$D$2:$D$966,BZ$1,'Исходные данные'!$F$2:$F$966,$A50)</f>
        <v>0</v>
      </c>
      <c r="CA50" s="9" t="n">
        <f aca="false">SUMIFS('Исходные данные'!$J$2:$J$966,'Исходные данные'!$D$2:$D$966,BZ$1,'Исходные данные'!$F$2:$F$966,$A50)</f>
        <v>0</v>
      </c>
      <c r="CB50" s="9" t="n">
        <f aca="false">SUMIFS('Исходные данные'!$I$2:$I$966,'Исходные данные'!$D$2:$D$966,CB$1,'Исходные данные'!$F$2:$F$966,$A50)</f>
        <v>0</v>
      </c>
      <c r="CC50" s="9" t="n">
        <f aca="false">SUMIFS('Исходные данные'!$J$2:$J$966,'Исходные данные'!$D$2:$D$966,CB$1,'Исходные данные'!$F$2:$F$966,$A50)</f>
        <v>0</v>
      </c>
      <c r="CD50" s="9" t="n">
        <f aca="false">SUMIFS('Исходные данные'!$I$2:$I$966,'Исходные данные'!$D$2:$D$966,CD$1,'Исходные данные'!$F$2:$F$966,$A50)</f>
        <v>0</v>
      </c>
      <c r="CE50" s="9" t="n">
        <f aca="false">SUMIFS('Исходные данные'!$J$2:$J$966,'Исходные данные'!$D$2:$D$966,CD$1,'Исходные данные'!$F$2:$F$966,$A50)</f>
        <v>0</v>
      </c>
      <c r="CF50" s="9" t="n">
        <f aca="false">SUMIFS('Исходные данные'!$I$2:$I$966,'Исходные данные'!$D$2:$D$966,CF$1,'Исходные данные'!$F$2:$F$966,$A50)</f>
        <v>0</v>
      </c>
      <c r="CG50" s="9" t="n">
        <f aca="false">SUMIFS('Исходные данные'!$J$2:$J$966,'Исходные данные'!$D$2:$D$966,CF$1,'Исходные данные'!$F$2:$F$966,$A50)</f>
        <v>0</v>
      </c>
      <c r="CH50" s="9" t="n">
        <f aca="false">SUMIFS('Исходные данные'!$I$2:$I$966,'Исходные данные'!$D$2:$D$966,CH$1,'Исходные данные'!$F$2:$F$966,$A50)</f>
        <v>0</v>
      </c>
      <c r="CI50" s="9" t="n">
        <f aca="false">SUMIFS('Исходные данные'!$J$2:$J$966,'Исходные данные'!$D$2:$D$966,CH$1,'Исходные данные'!$F$2:$F$966,$A50)</f>
        <v>0</v>
      </c>
      <c r="CJ50" s="9" t="n">
        <f aca="false">SUMIFS('Исходные данные'!$I$2:$I$966,'Исходные данные'!$D$2:$D$966,CJ$1,'Исходные данные'!$F$2:$F$966,$A50)</f>
        <v>0</v>
      </c>
      <c r="CK50" s="9" t="n">
        <f aca="false">SUMIFS('Исходные данные'!$J$2:$J$966,'Исходные данные'!$D$2:$D$966,CJ$1,'Исходные данные'!$F$2:$F$966,$A50)</f>
        <v>0</v>
      </c>
      <c r="CL50" s="9" t="n">
        <f aca="false">SUMIFS('Исходные данные'!$I$2:$I$966,'Исходные данные'!$D$2:$D$966,CL$1,'Исходные данные'!$F$2:$F$966,$A50)</f>
        <v>0</v>
      </c>
      <c r="CM50" s="9" t="n">
        <f aca="false">SUMIFS('Исходные данные'!$J$2:$J$966,'Исходные данные'!$D$2:$D$966,CL$1,'Исходные данные'!$F$2:$F$966,$A50)</f>
        <v>0</v>
      </c>
      <c r="CN50" s="9" t="n">
        <f aca="false">SUMIFS('Исходные данные'!$I$2:$I$966,'Исходные данные'!$D$2:$D$966,CN$1,'Исходные данные'!$F$2:$F$966,$A50)</f>
        <v>0</v>
      </c>
      <c r="CO50" s="9" t="n">
        <f aca="false">SUMIFS('Исходные данные'!$J$2:$J$966,'Исходные данные'!$D$2:$D$966,CN$1,'Исходные данные'!$F$2:$F$966,$A50)</f>
        <v>0</v>
      </c>
      <c r="CP50" s="9" t="n">
        <f aca="false">SUMIFS('Исходные данные'!$I$2:$I$966,'Исходные данные'!$D$2:$D$966,CP$1,'Исходные данные'!$F$2:$F$966,$A50)</f>
        <v>0</v>
      </c>
      <c r="CQ50" s="9" t="n">
        <f aca="false">SUMIFS('Исходные данные'!$J$2:$J$966,'Исходные данные'!$D$2:$D$966,CP$1,'Исходные данные'!$F$2:$F$966,$A50)</f>
        <v>0</v>
      </c>
    </row>
    <row r="51" customFormat="false" ht="15" hidden="false" customHeight="false" outlineLevel="0" collapsed="false">
      <c r="A51" s="8" t="s">
        <v>149</v>
      </c>
      <c r="B51" s="9" t="s">
        <v>150</v>
      </c>
      <c r="C51" s="5" t="n">
        <v>1</v>
      </c>
      <c r="D51" s="5" t="n">
        <f aca="false">F51+G51</f>
        <v>0</v>
      </c>
      <c r="E51" s="5" t="n">
        <f aca="false">D51-C51</f>
        <v>-1</v>
      </c>
      <c r="F51" s="5" t="n">
        <f aca="false">SUMIFS($H51:$CQ51,$H$2:$CQ$2,"День")</f>
        <v>0</v>
      </c>
      <c r="G51" s="5" t="n">
        <f aca="false">SUMIFS($H51:$CQ51,$H$2:$CQ$2,"Ночь")</f>
        <v>0</v>
      </c>
      <c r="H51" s="9" t="n">
        <f aca="false">SUMIFS('Исходные данные'!$I$2:$I$966,'Исходные данные'!$D$2:$D$966,H$1,'Исходные данные'!$F$2:$F$966,$A51)</f>
        <v>0</v>
      </c>
      <c r="I51" s="9" t="n">
        <f aca="false">SUMIFS('Исходные данные'!$J$2:$J$966,'Исходные данные'!$D$2:$D$966,H$1,'Исходные данные'!$F$2:$F$966,$A51)</f>
        <v>0</v>
      </c>
      <c r="J51" s="9" t="n">
        <f aca="false">SUMIFS('Исходные данные'!$I$2:$I$966,'Исходные данные'!$D$2:$D$966,J$1,'Исходные данные'!$F$2:$F$966,$A51)</f>
        <v>0</v>
      </c>
      <c r="K51" s="9" t="n">
        <f aca="false">SUMIFS('Исходные данные'!$J$2:$J$966,'Исходные данные'!$D$2:$D$966,J$1,'Исходные данные'!$F$2:$F$966,$A51)</f>
        <v>0</v>
      </c>
      <c r="L51" s="9" t="n">
        <f aca="false">SUMIFS('Исходные данные'!$I$2:$I$966,'Исходные данные'!$D$2:$D$966,L$1,'Исходные данные'!$F$2:$F$966,$A51)</f>
        <v>0</v>
      </c>
      <c r="M51" s="9" t="n">
        <f aca="false">SUMIFS('Исходные данные'!$J$2:$J$966,'Исходные данные'!$D$2:$D$966,L$1,'Исходные данные'!$F$2:$F$966,$A51)</f>
        <v>0</v>
      </c>
      <c r="N51" s="9" t="n">
        <f aca="false">SUMIFS('Исходные данные'!$I$2:$I$966,'Исходные данные'!$D$2:$D$966,N$1,'Исходные данные'!$F$2:$F$966,$A51)</f>
        <v>0</v>
      </c>
      <c r="O51" s="9" t="n">
        <f aca="false">SUMIFS('Исходные данные'!$J$2:$J$966,'Исходные данные'!$D$2:$D$966,N$1,'Исходные данные'!$F$2:$F$966,$A51)</f>
        <v>0</v>
      </c>
      <c r="P51" s="9" t="n">
        <f aca="false">SUMIFS('Исходные данные'!$I$2:$I$966,'Исходные данные'!$D$2:$D$966,P$1,'Исходные данные'!$F$2:$F$966,$A51)</f>
        <v>0</v>
      </c>
      <c r="Q51" s="9" t="n">
        <f aca="false">SUMIFS('Исходные данные'!$J$2:$J$966,'Исходные данные'!$D$2:$D$966,P$1,'Исходные данные'!$F$2:$F$966,$A51)</f>
        <v>0</v>
      </c>
      <c r="R51" s="9" t="n">
        <f aca="false">SUMIFS('Исходные данные'!$I$2:$I$966,'Исходные данные'!$D$2:$D$966,R$1,'Исходные данные'!$F$2:$F$966,$A51)</f>
        <v>0</v>
      </c>
      <c r="S51" s="9" t="n">
        <f aca="false">SUMIFS('Исходные данные'!$J$2:$J$966,'Исходные данные'!$D$2:$D$966,R$1,'Исходные данные'!$F$2:$F$966,$A51)</f>
        <v>0</v>
      </c>
      <c r="T51" s="9" t="n">
        <f aca="false">SUMIFS('Исходные данные'!$I$2:$I$966,'Исходные данные'!$D$2:$D$966,T$1,'Исходные данные'!$F$2:$F$966,$A51)</f>
        <v>0</v>
      </c>
      <c r="U51" s="9" t="n">
        <f aca="false">SUMIFS('Исходные данные'!$J$2:$J$966,'Исходные данные'!$D$2:$D$966,T$1,'Исходные данные'!$F$2:$F$966,$A51)</f>
        <v>0</v>
      </c>
      <c r="V51" s="9" t="n">
        <f aca="false">SUMIFS('Исходные данные'!$I$2:$I$966,'Исходные данные'!$D$2:$D$966,V$1,'Исходные данные'!$F$2:$F$966,$A51)</f>
        <v>0</v>
      </c>
      <c r="W51" s="9" t="n">
        <f aca="false">SUMIFS('Исходные данные'!$J$2:$J$966,'Исходные данные'!$D$2:$D$966,V$1,'Исходные данные'!$F$2:$F$966,$A51)</f>
        <v>0</v>
      </c>
      <c r="X51" s="9" t="n">
        <f aca="false">SUMIFS('Исходные данные'!$I$2:$I$966,'Исходные данные'!$D$2:$D$966,X$1,'Исходные данные'!$F$2:$F$966,$A51)</f>
        <v>0</v>
      </c>
      <c r="Y51" s="9" t="n">
        <f aca="false">SUMIFS('Исходные данные'!$J$2:$J$966,'Исходные данные'!$D$2:$D$966,X$1,'Исходные данные'!$F$2:$F$966,$A51)</f>
        <v>0</v>
      </c>
      <c r="Z51" s="9" t="n">
        <f aca="false">SUMIFS('Исходные данные'!$I$2:$I$966,'Исходные данные'!$D$2:$D$966,Z$1,'Исходные данные'!$F$2:$F$966,$A51)</f>
        <v>0</v>
      </c>
      <c r="AA51" s="9" t="n">
        <f aca="false">SUMIFS('Исходные данные'!$J$2:$J$966,'Исходные данные'!$D$2:$D$966,Z$1,'Исходные данные'!$F$2:$F$966,$A51)</f>
        <v>0</v>
      </c>
      <c r="AB51" s="9" t="n">
        <f aca="false">SUMIFS('Исходные данные'!$I$2:$I$966,'Исходные данные'!$D$2:$D$966,AB$1,'Исходные данные'!$F$2:$F$966,$A51)</f>
        <v>0</v>
      </c>
      <c r="AC51" s="9" t="n">
        <f aca="false">SUMIFS('Исходные данные'!$J$2:$J$966,'Исходные данные'!$D$2:$D$966,AB$1,'Исходные данные'!$F$2:$F$966,$A51)</f>
        <v>0</v>
      </c>
      <c r="AD51" s="9" t="n">
        <f aca="false">SUMIFS('Исходные данные'!$I$2:$I$966,'Исходные данные'!$D$2:$D$966,AD$1,'Исходные данные'!$F$2:$F$966,$A51)</f>
        <v>0</v>
      </c>
      <c r="AE51" s="9" t="n">
        <f aca="false">SUMIFS('Исходные данные'!$J$2:$J$966,'Исходные данные'!$D$2:$D$966,AD$1,'Исходные данные'!$F$2:$F$966,$A51)</f>
        <v>0</v>
      </c>
      <c r="AF51" s="9" t="n">
        <f aca="false">SUMIFS('Исходные данные'!$I$2:$I$966,'Исходные данные'!$D$2:$D$966,AF$1,'Исходные данные'!$F$2:$F$966,$A51)</f>
        <v>0</v>
      </c>
      <c r="AG51" s="9" t="n">
        <f aca="false">SUMIFS('Исходные данные'!$J$2:$J$966,'Исходные данные'!$D$2:$D$966,AF$1,'Исходные данные'!$F$2:$F$966,$A51)</f>
        <v>0</v>
      </c>
      <c r="AH51" s="9" t="n">
        <f aca="false">SUMIFS('Исходные данные'!$I$2:$I$966,'Исходные данные'!$D$2:$D$966,AH$1,'Исходные данные'!$F$2:$F$966,$A51)</f>
        <v>0</v>
      </c>
      <c r="AI51" s="9" t="n">
        <f aca="false">SUMIFS('Исходные данные'!$J$2:$J$966,'Исходные данные'!$D$2:$D$966,AH$1,'Исходные данные'!$F$2:$F$966,$A51)</f>
        <v>0</v>
      </c>
      <c r="AJ51" s="9" t="n">
        <f aca="false">SUMIFS('Исходные данные'!$I$2:$I$966,'Исходные данные'!$D$2:$D$966,AJ$1,'Исходные данные'!$F$2:$F$966,$A51)</f>
        <v>0</v>
      </c>
      <c r="AK51" s="9" t="n">
        <f aca="false">SUMIFS('Исходные данные'!$J$2:$J$966,'Исходные данные'!$D$2:$D$966,AJ$1,'Исходные данные'!$F$2:$F$966,$A51)</f>
        <v>0</v>
      </c>
      <c r="AL51" s="9" t="n">
        <f aca="false">SUMIFS('Исходные данные'!$I$2:$I$966,'Исходные данные'!$D$2:$D$966,AL$1,'Исходные данные'!$F$2:$F$966,$A51)</f>
        <v>0</v>
      </c>
      <c r="AM51" s="9" t="n">
        <f aca="false">SUMIFS('Исходные данные'!$J$2:$J$966,'Исходные данные'!$D$2:$D$966,AL$1,'Исходные данные'!$F$2:$F$966,$A51)</f>
        <v>0</v>
      </c>
      <c r="AN51" s="9" t="n">
        <f aca="false">SUMIFS('Исходные данные'!$I$2:$I$966,'Исходные данные'!$D$2:$D$966,AN$1,'Исходные данные'!$F$2:$F$966,$A51)</f>
        <v>0</v>
      </c>
      <c r="AO51" s="9" t="n">
        <f aca="false">SUMIFS('Исходные данные'!$J$2:$J$966,'Исходные данные'!$D$2:$D$966,AN$1,'Исходные данные'!$F$2:$F$966,$A51)</f>
        <v>0</v>
      </c>
      <c r="AP51" s="9" t="n">
        <f aca="false">SUMIFS('Исходные данные'!$I$2:$I$966,'Исходные данные'!$D$2:$D$966,AP$1,'Исходные данные'!$F$2:$F$966,$A51)</f>
        <v>0</v>
      </c>
      <c r="AQ51" s="9" t="n">
        <f aca="false">SUMIFS('Исходные данные'!$J$2:$J$966,'Исходные данные'!$D$2:$D$966,AP$1,'Исходные данные'!$F$2:$F$966,$A51)</f>
        <v>0</v>
      </c>
      <c r="AR51" s="9" t="n">
        <f aca="false">SUMIFS('Исходные данные'!$I$2:$I$966,'Исходные данные'!$D$2:$D$966,AR$1,'Исходные данные'!$F$2:$F$966,$A51)</f>
        <v>0</v>
      </c>
      <c r="AS51" s="9" t="n">
        <f aca="false">SUMIFS('Исходные данные'!$J$2:$J$966,'Исходные данные'!$D$2:$D$966,AR$1,'Исходные данные'!$F$2:$F$966,$A51)</f>
        <v>0</v>
      </c>
      <c r="AT51" s="9" t="n">
        <f aca="false">SUMIFS('Исходные данные'!$I$2:$I$966,'Исходные данные'!$D$2:$D$966,AT$1,'Исходные данные'!$F$2:$F$966,$A51)</f>
        <v>0</v>
      </c>
      <c r="AU51" s="9" t="n">
        <f aca="false">SUMIFS('Исходные данные'!$J$2:$J$966,'Исходные данные'!$D$2:$D$966,AT$1,'Исходные данные'!$F$2:$F$966,$A51)</f>
        <v>0</v>
      </c>
      <c r="AV51" s="9" t="n">
        <f aca="false">SUMIFS('Исходные данные'!$I$2:$I$966,'Исходные данные'!$D$2:$D$966,AV$1,'Исходные данные'!$F$2:$F$966,$A51)</f>
        <v>0</v>
      </c>
      <c r="AW51" s="9" t="n">
        <f aca="false">SUMIFS('Исходные данные'!$J$2:$J$966,'Исходные данные'!$D$2:$D$966,AV$1,'Исходные данные'!$F$2:$F$966,$A51)</f>
        <v>0</v>
      </c>
      <c r="AX51" s="9" t="n">
        <f aca="false">SUMIFS('Исходные данные'!$I$2:$I$966,'Исходные данные'!$D$2:$D$966,AX$1,'Исходные данные'!$F$2:$F$966,$A51)</f>
        <v>0</v>
      </c>
      <c r="AY51" s="9" t="n">
        <f aca="false">SUMIFS('Исходные данные'!$J$2:$J$966,'Исходные данные'!$D$2:$D$966,AX$1,'Исходные данные'!$F$2:$F$966,$A51)</f>
        <v>0</v>
      </c>
      <c r="AZ51" s="9" t="n">
        <f aca="false">SUMIFS('Исходные данные'!$I$2:$I$966,'Исходные данные'!$D$2:$D$966,AZ$1,'Исходные данные'!$F$2:$F$966,$A51)</f>
        <v>0</v>
      </c>
      <c r="BA51" s="9" t="n">
        <f aca="false">SUMIFS('Исходные данные'!$J$2:$J$966,'Исходные данные'!$D$2:$D$966,AZ$1,'Исходные данные'!$F$2:$F$966,$A51)</f>
        <v>0</v>
      </c>
      <c r="BB51" s="9" t="n">
        <f aca="false">SUMIFS('Исходные данные'!$I$2:$I$966,'Исходные данные'!$D$2:$D$966,BB$1,'Исходные данные'!$F$2:$F$966,$A51)</f>
        <v>0</v>
      </c>
      <c r="BC51" s="9" t="n">
        <f aca="false">SUMIFS('Исходные данные'!$J$2:$J$966,'Исходные данные'!$D$2:$D$966,BB$1,'Исходные данные'!$F$2:$F$966,$A51)</f>
        <v>0</v>
      </c>
      <c r="BD51" s="9" t="n">
        <f aca="false">SUMIFS('Исходные данные'!$I$2:$I$966,'Исходные данные'!$D$2:$D$966,BD$1,'Исходные данные'!$F$2:$F$966,$A51)</f>
        <v>0</v>
      </c>
      <c r="BE51" s="9" t="n">
        <f aca="false">SUMIFS('Исходные данные'!$J$2:$J$966,'Исходные данные'!$D$2:$D$966,BD$1,'Исходные данные'!$F$2:$F$966,$A51)</f>
        <v>0</v>
      </c>
      <c r="BF51" s="9" t="n">
        <f aca="false">SUMIFS('Исходные данные'!$I$2:$I$966,'Исходные данные'!$D$2:$D$966,BF$1,'Исходные данные'!$F$2:$F$966,$A51)</f>
        <v>0</v>
      </c>
      <c r="BG51" s="9" t="n">
        <f aca="false">SUMIFS('Исходные данные'!$J$2:$J$966,'Исходные данные'!$D$2:$D$966,BF$1,'Исходные данные'!$F$2:$F$966,$A51)</f>
        <v>0</v>
      </c>
      <c r="BH51" s="9" t="n">
        <f aca="false">SUMIFS('Исходные данные'!$I$2:$I$966,'Исходные данные'!$D$2:$D$966,BH$1,'Исходные данные'!$F$2:$F$966,$A51)</f>
        <v>0</v>
      </c>
      <c r="BI51" s="9" t="n">
        <f aca="false">SUMIFS('Исходные данные'!$J$2:$J$966,'Исходные данные'!$D$2:$D$966,BH$1,'Исходные данные'!$F$2:$F$966,$A51)</f>
        <v>0</v>
      </c>
      <c r="BJ51" s="9" t="n">
        <f aca="false">SUMIFS('Исходные данные'!$I$2:$I$966,'Исходные данные'!$D$2:$D$966,BJ$1,'Исходные данные'!$F$2:$F$966,$A51)</f>
        <v>0</v>
      </c>
      <c r="BK51" s="9" t="n">
        <f aca="false">SUMIFS('Исходные данные'!$J$2:$J$966,'Исходные данные'!$D$2:$D$966,BJ$1,'Исходные данные'!$F$2:$F$966,$A51)</f>
        <v>0</v>
      </c>
      <c r="BL51" s="9" t="n">
        <f aca="false">SUMIFS('Исходные данные'!$I$2:$I$966,'Исходные данные'!$D$2:$D$966,BL$1,'Исходные данные'!$F$2:$F$966,$A51)</f>
        <v>0</v>
      </c>
      <c r="BM51" s="9" t="n">
        <f aca="false">SUMIFS('Исходные данные'!$J$2:$J$966,'Исходные данные'!$D$2:$D$966,BL$1,'Исходные данные'!$F$2:$F$966,$A51)</f>
        <v>0</v>
      </c>
      <c r="BN51" s="9" t="n">
        <f aca="false">SUMIFS('Исходные данные'!$I$2:$I$966,'Исходные данные'!$D$2:$D$966,BN$1,'Исходные данные'!$F$2:$F$966,$A51)</f>
        <v>0</v>
      </c>
      <c r="BO51" s="9" t="n">
        <f aca="false">SUMIFS('Исходные данные'!$J$2:$J$966,'Исходные данные'!$D$2:$D$966,BN$1,'Исходные данные'!$F$2:$F$966,$A51)</f>
        <v>0</v>
      </c>
      <c r="BP51" s="9" t="n">
        <f aca="false">SUMIFS('Исходные данные'!$I$2:$I$966,'Исходные данные'!$D$2:$D$966,BP$1,'Исходные данные'!$F$2:$F$966,$A51)</f>
        <v>0</v>
      </c>
      <c r="BQ51" s="9" t="n">
        <f aca="false">SUMIFS('Исходные данные'!$J$2:$J$966,'Исходные данные'!$D$2:$D$966,BP$1,'Исходные данные'!$F$2:$F$966,$A51)</f>
        <v>0</v>
      </c>
      <c r="BR51" s="9" t="n">
        <f aca="false">SUMIFS('Исходные данные'!$I$2:$I$966,'Исходные данные'!$D$2:$D$966,BR$1,'Исходные данные'!$F$2:$F$966,$A51)</f>
        <v>0</v>
      </c>
      <c r="BS51" s="9" t="n">
        <f aca="false">SUMIFS('Исходные данные'!$J$2:$J$966,'Исходные данные'!$D$2:$D$966,BR$1,'Исходные данные'!$F$2:$F$966,$A51)</f>
        <v>0</v>
      </c>
      <c r="BT51" s="9" t="n">
        <f aca="false">SUMIFS('Исходные данные'!$I$2:$I$966,'Исходные данные'!$D$2:$D$966,BT$1,'Исходные данные'!$F$2:$F$966,$A51)</f>
        <v>0</v>
      </c>
      <c r="BU51" s="9" t="n">
        <f aca="false">SUMIFS('Исходные данные'!$J$2:$J$966,'Исходные данные'!$D$2:$D$966,BT$1,'Исходные данные'!$F$2:$F$966,$A51)</f>
        <v>0</v>
      </c>
      <c r="BV51" s="9" t="n">
        <f aca="false">SUMIFS('Исходные данные'!$I$2:$I$966,'Исходные данные'!$D$2:$D$966,BV$1,'Исходные данные'!$F$2:$F$966,$A51)</f>
        <v>0</v>
      </c>
      <c r="BW51" s="9" t="n">
        <f aca="false">SUMIFS('Исходные данные'!$J$2:$J$966,'Исходные данные'!$D$2:$D$966,BV$1,'Исходные данные'!$F$2:$F$966,$A51)</f>
        <v>0</v>
      </c>
      <c r="BX51" s="9" t="n">
        <f aca="false">SUMIFS('Исходные данные'!$I$2:$I$966,'Исходные данные'!$D$2:$D$966,BX$1,'Исходные данные'!$F$2:$F$966,$A51)</f>
        <v>0</v>
      </c>
      <c r="BY51" s="9" t="n">
        <f aca="false">SUMIFS('Исходные данные'!$J$2:$J$966,'Исходные данные'!$D$2:$D$966,BX$1,'Исходные данные'!$F$2:$F$966,$A51)</f>
        <v>0</v>
      </c>
      <c r="BZ51" s="9" t="n">
        <f aca="false">SUMIFS('Исходные данные'!$I$2:$I$966,'Исходные данные'!$D$2:$D$966,BZ$1,'Исходные данные'!$F$2:$F$966,$A51)</f>
        <v>0</v>
      </c>
      <c r="CA51" s="9" t="n">
        <f aca="false">SUMIFS('Исходные данные'!$J$2:$J$966,'Исходные данные'!$D$2:$D$966,BZ$1,'Исходные данные'!$F$2:$F$966,$A51)</f>
        <v>0</v>
      </c>
      <c r="CB51" s="9" t="n">
        <f aca="false">SUMIFS('Исходные данные'!$I$2:$I$966,'Исходные данные'!$D$2:$D$966,CB$1,'Исходные данные'!$F$2:$F$966,$A51)</f>
        <v>0</v>
      </c>
      <c r="CC51" s="9" t="n">
        <f aca="false">SUMIFS('Исходные данные'!$J$2:$J$966,'Исходные данные'!$D$2:$D$966,CB$1,'Исходные данные'!$F$2:$F$966,$A51)</f>
        <v>0</v>
      </c>
      <c r="CD51" s="9" t="n">
        <f aca="false">SUMIFS('Исходные данные'!$I$2:$I$966,'Исходные данные'!$D$2:$D$966,CD$1,'Исходные данные'!$F$2:$F$966,$A51)</f>
        <v>0</v>
      </c>
      <c r="CE51" s="9" t="n">
        <f aca="false">SUMIFS('Исходные данные'!$J$2:$J$966,'Исходные данные'!$D$2:$D$966,CD$1,'Исходные данные'!$F$2:$F$966,$A51)</f>
        <v>0</v>
      </c>
      <c r="CF51" s="9" t="n">
        <f aca="false">SUMIFS('Исходные данные'!$I$2:$I$966,'Исходные данные'!$D$2:$D$966,CF$1,'Исходные данные'!$F$2:$F$966,$A51)</f>
        <v>0</v>
      </c>
      <c r="CG51" s="9" t="n">
        <f aca="false">SUMIFS('Исходные данные'!$J$2:$J$966,'Исходные данные'!$D$2:$D$966,CF$1,'Исходные данные'!$F$2:$F$966,$A51)</f>
        <v>0</v>
      </c>
      <c r="CH51" s="9" t="n">
        <f aca="false">SUMIFS('Исходные данные'!$I$2:$I$966,'Исходные данные'!$D$2:$D$966,CH$1,'Исходные данные'!$F$2:$F$966,$A51)</f>
        <v>0</v>
      </c>
      <c r="CI51" s="9" t="n">
        <f aca="false">SUMIFS('Исходные данные'!$J$2:$J$966,'Исходные данные'!$D$2:$D$966,CH$1,'Исходные данные'!$F$2:$F$966,$A51)</f>
        <v>0</v>
      </c>
      <c r="CJ51" s="9" t="n">
        <f aca="false">SUMIFS('Исходные данные'!$I$2:$I$966,'Исходные данные'!$D$2:$D$966,CJ$1,'Исходные данные'!$F$2:$F$966,$A51)</f>
        <v>0</v>
      </c>
      <c r="CK51" s="9" t="n">
        <f aca="false">SUMIFS('Исходные данные'!$J$2:$J$966,'Исходные данные'!$D$2:$D$966,CJ$1,'Исходные данные'!$F$2:$F$966,$A51)</f>
        <v>0</v>
      </c>
      <c r="CL51" s="9" t="n">
        <f aca="false">SUMIFS('Исходные данные'!$I$2:$I$966,'Исходные данные'!$D$2:$D$966,CL$1,'Исходные данные'!$F$2:$F$966,$A51)</f>
        <v>0</v>
      </c>
      <c r="CM51" s="9" t="n">
        <f aca="false">SUMIFS('Исходные данные'!$J$2:$J$966,'Исходные данные'!$D$2:$D$966,CL$1,'Исходные данные'!$F$2:$F$966,$A51)</f>
        <v>0</v>
      </c>
      <c r="CN51" s="9" t="n">
        <f aca="false">SUMIFS('Исходные данные'!$I$2:$I$966,'Исходные данные'!$D$2:$D$966,CN$1,'Исходные данные'!$F$2:$F$966,$A51)</f>
        <v>0</v>
      </c>
      <c r="CO51" s="9" t="n">
        <f aca="false">SUMIFS('Исходные данные'!$J$2:$J$966,'Исходные данные'!$D$2:$D$966,CN$1,'Исходные данные'!$F$2:$F$966,$A51)</f>
        <v>0</v>
      </c>
      <c r="CP51" s="9" t="n">
        <f aca="false">SUMIFS('Исходные данные'!$I$2:$I$966,'Исходные данные'!$D$2:$D$966,CP$1,'Исходные данные'!$F$2:$F$966,$A51)</f>
        <v>0</v>
      </c>
      <c r="CQ51" s="9" t="n">
        <f aca="false">SUMIFS('Исходные данные'!$J$2:$J$966,'Исходные данные'!$D$2:$D$966,CP$1,'Исходные данные'!$F$2:$F$966,$A51)</f>
        <v>0</v>
      </c>
    </row>
    <row r="52" customFormat="false" ht="15" hidden="false" customHeight="false" outlineLevel="0" collapsed="false">
      <c r="A52" s="8" t="s">
        <v>151</v>
      </c>
      <c r="B52" s="9" t="s">
        <v>152</v>
      </c>
      <c r="C52" s="5" t="n">
        <v>0</v>
      </c>
      <c r="D52" s="5" t="n">
        <f aca="false">F52+G52</f>
        <v>0</v>
      </c>
      <c r="E52" s="5" t="n">
        <f aca="false">D52-C52</f>
        <v>0</v>
      </c>
      <c r="F52" s="5" t="n">
        <f aca="false">SUMIFS($H52:$CQ52,$H$2:$CQ$2,"День")</f>
        <v>0</v>
      </c>
      <c r="G52" s="5" t="n">
        <f aca="false">SUMIFS($H52:$CQ52,$H$2:$CQ$2,"Ночь")</f>
        <v>0</v>
      </c>
      <c r="H52" s="9" t="n">
        <f aca="false">SUMIFS('Исходные данные'!$I$2:$I$966,'Исходные данные'!$D$2:$D$966,H$1,'Исходные данные'!$F$2:$F$966,$A52)</f>
        <v>0</v>
      </c>
      <c r="I52" s="9" t="n">
        <f aca="false">SUMIFS('Исходные данные'!$J$2:$J$966,'Исходные данные'!$D$2:$D$966,H$1,'Исходные данные'!$F$2:$F$966,$A52)</f>
        <v>0</v>
      </c>
      <c r="J52" s="9" t="n">
        <f aca="false">SUMIFS('Исходные данные'!$I$2:$I$966,'Исходные данные'!$D$2:$D$966,J$1,'Исходные данные'!$F$2:$F$966,$A52)</f>
        <v>0</v>
      </c>
      <c r="K52" s="9" t="n">
        <f aca="false">SUMIFS('Исходные данные'!$J$2:$J$966,'Исходные данные'!$D$2:$D$966,J$1,'Исходные данные'!$F$2:$F$966,$A52)</f>
        <v>0</v>
      </c>
      <c r="L52" s="9" t="n">
        <f aca="false">SUMIFS('Исходные данные'!$I$2:$I$966,'Исходные данные'!$D$2:$D$966,L$1,'Исходные данные'!$F$2:$F$966,$A52)</f>
        <v>0</v>
      </c>
      <c r="M52" s="9" t="n">
        <f aca="false">SUMIFS('Исходные данные'!$J$2:$J$966,'Исходные данные'!$D$2:$D$966,L$1,'Исходные данные'!$F$2:$F$966,$A52)</f>
        <v>0</v>
      </c>
      <c r="N52" s="9" t="n">
        <f aca="false">SUMIFS('Исходные данные'!$I$2:$I$966,'Исходные данные'!$D$2:$D$966,N$1,'Исходные данные'!$F$2:$F$966,$A52)</f>
        <v>0</v>
      </c>
      <c r="O52" s="9" t="n">
        <f aca="false">SUMIFS('Исходные данные'!$J$2:$J$966,'Исходные данные'!$D$2:$D$966,N$1,'Исходные данные'!$F$2:$F$966,$A52)</f>
        <v>0</v>
      </c>
      <c r="P52" s="9" t="n">
        <f aca="false">SUMIFS('Исходные данные'!$I$2:$I$966,'Исходные данные'!$D$2:$D$966,P$1,'Исходные данные'!$F$2:$F$966,$A52)</f>
        <v>0</v>
      </c>
      <c r="Q52" s="9" t="n">
        <f aca="false">SUMIFS('Исходные данные'!$J$2:$J$966,'Исходные данные'!$D$2:$D$966,P$1,'Исходные данные'!$F$2:$F$966,$A52)</f>
        <v>0</v>
      </c>
      <c r="R52" s="9" t="n">
        <f aca="false">SUMIFS('Исходные данные'!$I$2:$I$966,'Исходные данные'!$D$2:$D$966,R$1,'Исходные данные'!$F$2:$F$966,$A52)</f>
        <v>0</v>
      </c>
      <c r="S52" s="9" t="n">
        <f aca="false">SUMIFS('Исходные данные'!$J$2:$J$966,'Исходные данные'!$D$2:$D$966,R$1,'Исходные данные'!$F$2:$F$966,$A52)</f>
        <v>0</v>
      </c>
      <c r="T52" s="9" t="n">
        <f aca="false">SUMIFS('Исходные данные'!$I$2:$I$966,'Исходные данные'!$D$2:$D$966,T$1,'Исходные данные'!$F$2:$F$966,$A52)</f>
        <v>0</v>
      </c>
      <c r="U52" s="9" t="n">
        <f aca="false">SUMIFS('Исходные данные'!$J$2:$J$966,'Исходные данные'!$D$2:$D$966,T$1,'Исходные данные'!$F$2:$F$966,$A52)</f>
        <v>0</v>
      </c>
      <c r="V52" s="9" t="n">
        <f aca="false">SUMIFS('Исходные данные'!$I$2:$I$966,'Исходные данные'!$D$2:$D$966,V$1,'Исходные данные'!$F$2:$F$966,$A52)</f>
        <v>0</v>
      </c>
      <c r="W52" s="9" t="n">
        <f aca="false">SUMIFS('Исходные данные'!$J$2:$J$966,'Исходные данные'!$D$2:$D$966,V$1,'Исходные данные'!$F$2:$F$966,$A52)</f>
        <v>0</v>
      </c>
      <c r="X52" s="9" t="n">
        <f aca="false">SUMIFS('Исходные данные'!$I$2:$I$966,'Исходные данные'!$D$2:$D$966,X$1,'Исходные данные'!$F$2:$F$966,$A52)</f>
        <v>0</v>
      </c>
      <c r="Y52" s="9" t="n">
        <f aca="false">SUMIFS('Исходные данные'!$J$2:$J$966,'Исходные данные'!$D$2:$D$966,X$1,'Исходные данные'!$F$2:$F$966,$A52)</f>
        <v>0</v>
      </c>
      <c r="Z52" s="9" t="n">
        <f aca="false">SUMIFS('Исходные данные'!$I$2:$I$966,'Исходные данные'!$D$2:$D$966,Z$1,'Исходные данные'!$F$2:$F$966,$A52)</f>
        <v>0</v>
      </c>
      <c r="AA52" s="9" t="n">
        <f aca="false">SUMIFS('Исходные данные'!$J$2:$J$966,'Исходные данные'!$D$2:$D$966,Z$1,'Исходные данные'!$F$2:$F$966,$A52)</f>
        <v>0</v>
      </c>
      <c r="AB52" s="9" t="n">
        <f aca="false">SUMIFS('Исходные данные'!$I$2:$I$966,'Исходные данные'!$D$2:$D$966,AB$1,'Исходные данные'!$F$2:$F$966,$A52)</f>
        <v>0</v>
      </c>
      <c r="AC52" s="9" t="n">
        <f aca="false">SUMIFS('Исходные данные'!$J$2:$J$966,'Исходные данные'!$D$2:$D$966,AB$1,'Исходные данные'!$F$2:$F$966,$A52)</f>
        <v>0</v>
      </c>
      <c r="AD52" s="9" t="n">
        <f aca="false">SUMIFS('Исходные данные'!$I$2:$I$966,'Исходные данные'!$D$2:$D$966,AD$1,'Исходные данные'!$F$2:$F$966,$A52)</f>
        <v>0</v>
      </c>
      <c r="AE52" s="9" t="n">
        <f aca="false">SUMIFS('Исходные данные'!$J$2:$J$966,'Исходные данные'!$D$2:$D$966,AD$1,'Исходные данные'!$F$2:$F$966,$A52)</f>
        <v>0</v>
      </c>
      <c r="AF52" s="9" t="n">
        <f aca="false">SUMIFS('Исходные данные'!$I$2:$I$966,'Исходные данные'!$D$2:$D$966,AF$1,'Исходные данные'!$F$2:$F$966,$A52)</f>
        <v>0</v>
      </c>
      <c r="AG52" s="9" t="n">
        <f aca="false">SUMIFS('Исходные данные'!$J$2:$J$966,'Исходные данные'!$D$2:$D$966,AF$1,'Исходные данные'!$F$2:$F$966,$A52)</f>
        <v>0</v>
      </c>
      <c r="AH52" s="9" t="n">
        <f aca="false">SUMIFS('Исходные данные'!$I$2:$I$966,'Исходные данные'!$D$2:$D$966,AH$1,'Исходные данные'!$F$2:$F$966,$A52)</f>
        <v>0</v>
      </c>
      <c r="AI52" s="9" t="n">
        <f aca="false">SUMIFS('Исходные данные'!$J$2:$J$966,'Исходные данные'!$D$2:$D$966,AH$1,'Исходные данные'!$F$2:$F$966,$A52)</f>
        <v>0</v>
      </c>
      <c r="AJ52" s="9" t="n">
        <f aca="false">SUMIFS('Исходные данные'!$I$2:$I$966,'Исходные данные'!$D$2:$D$966,AJ$1,'Исходные данные'!$F$2:$F$966,$A52)</f>
        <v>0</v>
      </c>
      <c r="AK52" s="9" t="n">
        <f aca="false">SUMIFS('Исходные данные'!$J$2:$J$966,'Исходные данные'!$D$2:$D$966,AJ$1,'Исходные данные'!$F$2:$F$966,$A52)</f>
        <v>0</v>
      </c>
      <c r="AL52" s="9" t="n">
        <f aca="false">SUMIFS('Исходные данные'!$I$2:$I$966,'Исходные данные'!$D$2:$D$966,AL$1,'Исходные данные'!$F$2:$F$966,$A52)</f>
        <v>0</v>
      </c>
      <c r="AM52" s="9" t="n">
        <f aca="false">SUMIFS('Исходные данные'!$J$2:$J$966,'Исходные данные'!$D$2:$D$966,AL$1,'Исходные данные'!$F$2:$F$966,$A52)</f>
        <v>0</v>
      </c>
      <c r="AN52" s="9" t="n">
        <f aca="false">SUMIFS('Исходные данные'!$I$2:$I$966,'Исходные данные'!$D$2:$D$966,AN$1,'Исходные данные'!$F$2:$F$966,$A52)</f>
        <v>0</v>
      </c>
      <c r="AO52" s="9" t="n">
        <f aca="false">SUMIFS('Исходные данные'!$J$2:$J$966,'Исходные данные'!$D$2:$D$966,AN$1,'Исходные данные'!$F$2:$F$966,$A52)</f>
        <v>0</v>
      </c>
      <c r="AP52" s="9" t="n">
        <f aca="false">SUMIFS('Исходные данные'!$I$2:$I$966,'Исходные данные'!$D$2:$D$966,AP$1,'Исходные данные'!$F$2:$F$966,$A52)</f>
        <v>0</v>
      </c>
      <c r="AQ52" s="9" t="n">
        <f aca="false">SUMIFS('Исходные данные'!$J$2:$J$966,'Исходные данные'!$D$2:$D$966,AP$1,'Исходные данные'!$F$2:$F$966,$A52)</f>
        <v>0</v>
      </c>
      <c r="AR52" s="9" t="n">
        <f aca="false">SUMIFS('Исходные данные'!$I$2:$I$966,'Исходные данные'!$D$2:$D$966,AR$1,'Исходные данные'!$F$2:$F$966,$A52)</f>
        <v>0</v>
      </c>
      <c r="AS52" s="9" t="n">
        <f aca="false">SUMIFS('Исходные данные'!$J$2:$J$966,'Исходные данные'!$D$2:$D$966,AR$1,'Исходные данные'!$F$2:$F$966,$A52)</f>
        <v>0</v>
      </c>
      <c r="AT52" s="9" t="n">
        <f aca="false">SUMIFS('Исходные данные'!$I$2:$I$966,'Исходные данные'!$D$2:$D$966,AT$1,'Исходные данные'!$F$2:$F$966,$A52)</f>
        <v>0</v>
      </c>
      <c r="AU52" s="9" t="n">
        <f aca="false">SUMIFS('Исходные данные'!$J$2:$J$966,'Исходные данные'!$D$2:$D$966,AT$1,'Исходные данные'!$F$2:$F$966,$A52)</f>
        <v>0</v>
      </c>
      <c r="AV52" s="9" t="n">
        <f aca="false">SUMIFS('Исходные данные'!$I$2:$I$966,'Исходные данные'!$D$2:$D$966,AV$1,'Исходные данные'!$F$2:$F$966,$A52)</f>
        <v>0</v>
      </c>
      <c r="AW52" s="9" t="n">
        <f aca="false">SUMIFS('Исходные данные'!$J$2:$J$966,'Исходные данные'!$D$2:$D$966,AV$1,'Исходные данные'!$F$2:$F$966,$A52)</f>
        <v>0</v>
      </c>
      <c r="AX52" s="9" t="n">
        <f aca="false">SUMIFS('Исходные данные'!$I$2:$I$966,'Исходные данные'!$D$2:$D$966,AX$1,'Исходные данные'!$F$2:$F$966,$A52)</f>
        <v>0</v>
      </c>
      <c r="AY52" s="9" t="n">
        <f aca="false">SUMIFS('Исходные данные'!$J$2:$J$966,'Исходные данные'!$D$2:$D$966,AX$1,'Исходные данные'!$F$2:$F$966,$A52)</f>
        <v>0</v>
      </c>
      <c r="AZ52" s="9" t="n">
        <f aca="false">SUMIFS('Исходные данные'!$I$2:$I$966,'Исходные данные'!$D$2:$D$966,AZ$1,'Исходные данные'!$F$2:$F$966,$A52)</f>
        <v>0</v>
      </c>
      <c r="BA52" s="9" t="n">
        <f aca="false">SUMIFS('Исходные данные'!$J$2:$J$966,'Исходные данные'!$D$2:$D$966,AZ$1,'Исходные данные'!$F$2:$F$966,$A52)</f>
        <v>0</v>
      </c>
      <c r="BB52" s="9" t="n">
        <f aca="false">SUMIFS('Исходные данные'!$I$2:$I$966,'Исходные данные'!$D$2:$D$966,BB$1,'Исходные данные'!$F$2:$F$966,$A52)</f>
        <v>0</v>
      </c>
      <c r="BC52" s="9" t="n">
        <f aca="false">SUMIFS('Исходные данные'!$J$2:$J$966,'Исходные данные'!$D$2:$D$966,BB$1,'Исходные данные'!$F$2:$F$966,$A52)</f>
        <v>0</v>
      </c>
      <c r="BD52" s="9" t="n">
        <f aca="false">SUMIFS('Исходные данные'!$I$2:$I$966,'Исходные данные'!$D$2:$D$966,BD$1,'Исходные данные'!$F$2:$F$966,$A52)</f>
        <v>0</v>
      </c>
      <c r="BE52" s="9" t="n">
        <f aca="false">SUMIFS('Исходные данные'!$J$2:$J$966,'Исходные данные'!$D$2:$D$966,BD$1,'Исходные данные'!$F$2:$F$966,$A52)</f>
        <v>0</v>
      </c>
      <c r="BF52" s="9" t="n">
        <f aca="false">SUMIFS('Исходные данные'!$I$2:$I$966,'Исходные данные'!$D$2:$D$966,BF$1,'Исходные данные'!$F$2:$F$966,$A52)</f>
        <v>0</v>
      </c>
      <c r="BG52" s="9" t="n">
        <f aca="false">SUMIFS('Исходные данные'!$J$2:$J$966,'Исходные данные'!$D$2:$D$966,BF$1,'Исходные данные'!$F$2:$F$966,$A52)</f>
        <v>0</v>
      </c>
      <c r="BH52" s="9" t="n">
        <f aca="false">SUMIFS('Исходные данные'!$I$2:$I$966,'Исходные данные'!$D$2:$D$966,BH$1,'Исходные данные'!$F$2:$F$966,$A52)</f>
        <v>0</v>
      </c>
      <c r="BI52" s="9" t="n">
        <f aca="false">SUMIFS('Исходные данные'!$J$2:$J$966,'Исходные данные'!$D$2:$D$966,BH$1,'Исходные данные'!$F$2:$F$966,$A52)</f>
        <v>0</v>
      </c>
      <c r="BJ52" s="9" t="n">
        <f aca="false">SUMIFS('Исходные данные'!$I$2:$I$966,'Исходные данные'!$D$2:$D$966,BJ$1,'Исходные данные'!$F$2:$F$966,$A52)</f>
        <v>0</v>
      </c>
      <c r="BK52" s="9" t="n">
        <f aca="false">SUMIFS('Исходные данные'!$J$2:$J$966,'Исходные данные'!$D$2:$D$966,BJ$1,'Исходные данные'!$F$2:$F$966,$A52)</f>
        <v>0</v>
      </c>
      <c r="BL52" s="9" t="n">
        <f aca="false">SUMIFS('Исходные данные'!$I$2:$I$966,'Исходные данные'!$D$2:$D$966,BL$1,'Исходные данные'!$F$2:$F$966,$A52)</f>
        <v>0</v>
      </c>
      <c r="BM52" s="9" t="n">
        <f aca="false">SUMIFS('Исходные данные'!$J$2:$J$966,'Исходные данные'!$D$2:$D$966,BL$1,'Исходные данные'!$F$2:$F$966,$A52)</f>
        <v>0</v>
      </c>
      <c r="BN52" s="9" t="n">
        <f aca="false">SUMIFS('Исходные данные'!$I$2:$I$966,'Исходные данные'!$D$2:$D$966,BN$1,'Исходные данные'!$F$2:$F$966,$A52)</f>
        <v>0</v>
      </c>
      <c r="BO52" s="9" t="n">
        <f aca="false">SUMIFS('Исходные данные'!$J$2:$J$966,'Исходные данные'!$D$2:$D$966,BN$1,'Исходные данные'!$F$2:$F$966,$A52)</f>
        <v>0</v>
      </c>
      <c r="BP52" s="9" t="n">
        <f aca="false">SUMIFS('Исходные данные'!$I$2:$I$966,'Исходные данные'!$D$2:$D$966,BP$1,'Исходные данные'!$F$2:$F$966,$A52)</f>
        <v>0</v>
      </c>
      <c r="BQ52" s="9" t="n">
        <f aca="false">SUMIFS('Исходные данные'!$J$2:$J$966,'Исходные данные'!$D$2:$D$966,BP$1,'Исходные данные'!$F$2:$F$966,$A52)</f>
        <v>0</v>
      </c>
      <c r="BR52" s="9" t="n">
        <f aca="false">SUMIFS('Исходные данные'!$I$2:$I$966,'Исходные данные'!$D$2:$D$966,BR$1,'Исходные данные'!$F$2:$F$966,$A52)</f>
        <v>0</v>
      </c>
      <c r="BS52" s="9" t="n">
        <f aca="false">SUMIFS('Исходные данные'!$J$2:$J$966,'Исходные данные'!$D$2:$D$966,BR$1,'Исходные данные'!$F$2:$F$966,$A52)</f>
        <v>0</v>
      </c>
      <c r="BT52" s="9" t="n">
        <f aca="false">SUMIFS('Исходные данные'!$I$2:$I$966,'Исходные данные'!$D$2:$D$966,BT$1,'Исходные данные'!$F$2:$F$966,$A52)</f>
        <v>0</v>
      </c>
      <c r="BU52" s="9" t="n">
        <f aca="false">SUMIFS('Исходные данные'!$J$2:$J$966,'Исходные данные'!$D$2:$D$966,BT$1,'Исходные данные'!$F$2:$F$966,$A52)</f>
        <v>0</v>
      </c>
      <c r="BV52" s="9" t="n">
        <f aca="false">SUMIFS('Исходные данные'!$I$2:$I$966,'Исходные данные'!$D$2:$D$966,BV$1,'Исходные данные'!$F$2:$F$966,$A52)</f>
        <v>0</v>
      </c>
      <c r="BW52" s="9" t="n">
        <f aca="false">SUMIFS('Исходные данные'!$J$2:$J$966,'Исходные данные'!$D$2:$D$966,BV$1,'Исходные данные'!$F$2:$F$966,$A52)</f>
        <v>0</v>
      </c>
      <c r="BX52" s="9" t="n">
        <f aca="false">SUMIFS('Исходные данные'!$I$2:$I$966,'Исходные данные'!$D$2:$D$966,BX$1,'Исходные данные'!$F$2:$F$966,$A52)</f>
        <v>0</v>
      </c>
      <c r="BY52" s="9" t="n">
        <f aca="false">SUMIFS('Исходные данные'!$J$2:$J$966,'Исходные данные'!$D$2:$D$966,BX$1,'Исходные данные'!$F$2:$F$966,$A52)</f>
        <v>0</v>
      </c>
      <c r="BZ52" s="9" t="n">
        <f aca="false">SUMIFS('Исходные данные'!$I$2:$I$966,'Исходные данные'!$D$2:$D$966,BZ$1,'Исходные данные'!$F$2:$F$966,$A52)</f>
        <v>0</v>
      </c>
      <c r="CA52" s="9" t="n">
        <f aca="false">SUMIFS('Исходные данные'!$J$2:$J$966,'Исходные данные'!$D$2:$D$966,BZ$1,'Исходные данные'!$F$2:$F$966,$A52)</f>
        <v>0</v>
      </c>
      <c r="CB52" s="9" t="n">
        <f aca="false">SUMIFS('Исходные данные'!$I$2:$I$966,'Исходные данные'!$D$2:$D$966,CB$1,'Исходные данные'!$F$2:$F$966,$A52)</f>
        <v>0</v>
      </c>
      <c r="CC52" s="9" t="n">
        <f aca="false">SUMIFS('Исходные данные'!$J$2:$J$966,'Исходные данные'!$D$2:$D$966,CB$1,'Исходные данные'!$F$2:$F$966,$A52)</f>
        <v>0</v>
      </c>
      <c r="CD52" s="9" t="n">
        <f aca="false">SUMIFS('Исходные данные'!$I$2:$I$966,'Исходные данные'!$D$2:$D$966,CD$1,'Исходные данные'!$F$2:$F$966,$A52)</f>
        <v>0</v>
      </c>
      <c r="CE52" s="9" t="n">
        <f aca="false">SUMIFS('Исходные данные'!$J$2:$J$966,'Исходные данные'!$D$2:$D$966,CD$1,'Исходные данные'!$F$2:$F$966,$A52)</f>
        <v>0</v>
      </c>
      <c r="CF52" s="9" t="n">
        <f aca="false">SUMIFS('Исходные данные'!$I$2:$I$966,'Исходные данные'!$D$2:$D$966,CF$1,'Исходные данные'!$F$2:$F$966,$A52)</f>
        <v>0</v>
      </c>
      <c r="CG52" s="9" t="n">
        <f aca="false">SUMIFS('Исходные данные'!$J$2:$J$966,'Исходные данные'!$D$2:$D$966,CF$1,'Исходные данные'!$F$2:$F$966,$A52)</f>
        <v>0</v>
      </c>
      <c r="CH52" s="9" t="n">
        <f aca="false">SUMIFS('Исходные данные'!$I$2:$I$966,'Исходные данные'!$D$2:$D$966,CH$1,'Исходные данные'!$F$2:$F$966,$A52)</f>
        <v>0</v>
      </c>
      <c r="CI52" s="9" t="n">
        <f aca="false">SUMIFS('Исходные данные'!$J$2:$J$966,'Исходные данные'!$D$2:$D$966,CH$1,'Исходные данные'!$F$2:$F$966,$A52)</f>
        <v>0</v>
      </c>
      <c r="CJ52" s="9" t="n">
        <f aca="false">SUMIFS('Исходные данные'!$I$2:$I$966,'Исходные данные'!$D$2:$D$966,CJ$1,'Исходные данные'!$F$2:$F$966,$A52)</f>
        <v>0</v>
      </c>
      <c r="CK52" s="9" t="n">
        <f aca="false">SUMIFS('Исходные данные'!$J$2:$J$966,'Исходные данные'!$D$2:$D$966,CJ$1,'Исходные данные'!$F$2:$F$966,$A52)</f>
        <v>0</v>
      </c>
      <c r="CL52" s="9" t="n">
        <f aca="false">SUMIFS('Исходные данные'!$I$2:$I$966,'Исходные данные'!$D$2:$D$966,CL$1,'Исходные данные'!$F$2:$F$966,$A52)</f>
        <v>0</v>
      </c>
      <c r="CM52" s="9" t="n">
        <f aca="false">SUMIFS('Исходные данные'!$J$2:$J$966,'Исходные данные'!$D$2:$D$966,CL$1,'Исходные данные'!$F$2:$F$966,$A52)</f>
        <v>0</v>
      </c>
      <c r="CN52" s="9" t="n">
        <f aca="false">SUMIFS('Исходные данные'!$I$2:$I$966,'Исходные данные'!$D$2:$D$966,CN$1,'Исходные данные'!$F$2:$F$966,$A52)</f>
        <v>0</v>
      </c>
      <c r="CO52" s="9" t="n">
        <f aca="false">SUMIFS('Исходные данные'!$J$2:$J$966,'Исходные данные'!$D$2:$D$966,CN$1,'Исходные данные'!$F$2:$F$966,$A52)</f>
        <v>0</v>
      </c>
      <c r="CP52" s="9" t="n">
        <f aca="false">SUMIFS('Исходные данные'!$I$2:$I$966,'Исходные данные'!$D$2:$D$966,CP$1,'Исходные данные'!$F$2:$F$966,$A52)</f>
        <v>0</v>
      </c>
      <c r="CQ52" s="9" t="n">
        <f aca="false">SUMIFS('Исходные данные'!$J$2:$J$966,'Исходные данные'!$D$2:$D$966,CP$1,'Исходные данные'!$F$2:$F$966,$A52)</f>
        <v>0</v>
      </c>
    </row>
    <row r="53" customFormat="false" ht="15" hidden="false" customHeight="false" outlineLevel="0" collapsed="false">
      <c r="A53" s="8" t="s">
        <v>153</v>
      </c>
      <c r="B53" s="9" t="s">
        <v>154</v>
      </c>
      <c r="C53" s="5" t="n">
        <v>0</v>
      </c>
      <c r="D53" s="5" t="n">
        <f aca="false">F53+G53</f>
        <v>0</v>
      </c>
      <c r="E53" s="5" t="n">
        <f aca="false">D53-C53</f>
        <v>0</v>
      </c>
      <c r="F53" s="5" t="n">
        <f aca="false">SUMIFS($H53:$CQ53,$H$2:$CQ$2,"День")</f>
        <v>0</v>
      </c>
      <c r="G53" s="5" t="n">
        <f aca="false">SUMIFS($H53:$CQ53,$H$2:$CQ$2,"Ночь")</f>
        <v>0</v>
      </c>
      <c r="H53" s="9" t="n">
        <f aca="false">SUMIFS('Исходные данные'!$I$2:$I$966,'Исходные данные'!$D$2:$D$966,H$1,'Исходные данные'!$F$2:$F$966,$A53)</f>
        <v>0</v>
      </c>
      <c r="I53" s="9" t="n">
        <f aca="false">SUMIFS('Исходные данные'!$J$2:$J$966,'Исходные данные'!$D$2:$D$966,H$1,'Исходные данные'!$F$2:$F$966,$A53)</f>
        <v>0</v>
      </c>
      <c r="J53" s="9" t="n">
        <f aca="false">SUMIFS('Исходные данные'!$I$2:$I$966,'Исходные данные'!$D$2:$D$966,J$1,'Исходные данные'!$F$2:$F$966,$A53)</f>
        <v>0</v>
      </c>
      <c r="K53" s="9" t="n">
        <f aca="false">SUMIFS('Исходные данные'!$J$2:$J$966,'Исходные данные'!$D$2:$D$966,J$1,'Исходные данные'!$F$2:$F$966,$A53)</f>
        <v>0</v>
      </c>
      <c r="L53" s="9" t="n">
        <f aca="false">SUMIFS('Исходные данные'!$I$2:$I$966,'Исходные данные'!$D$2:$D$966,L$1,'Исходные данные'!$F$2:$F$966,$A53)</f>
        <v>0</v>
      </c>
      <c r="M53" s="9" t="n">
        <f aca="false">SUMIFS('Исходные данные'!$J$2:$J$966,'Исходные данные'!$D$2:$D$966,L$1,'Исходные данные'!$F$2:$F$966,$A53)</f>
        <v>0</v>
      </c>
      <c r="N53" s="9" t="n">
        <f aca="false">SUMIFS('Исходные данные'!$I$2:$I$966,'Исходные данные'!$D$2:$D$966,N$1,'Исходные данные'!$F$2:$F$966,$A53)</f>
        <v>0</v>
      </c>
      <c r="O53" s="9" t="n">
        <f aca="false">SUMIFS('Исходные данные'!$J$2:$J$966,'Исходные данные'!$D$2:$D$966,N$1,'Исходные данные'!$F$2:$F$966,$A53)</f>
        <v>0</v>
      </c>
      <c r="P53" s="9" t="n">
        <f aca="false">SUMIFS('Исходные данные'!$I$2:$I$966,'Исходные данные'!$D$2:$D$966,P$1,'Исходные данные'!$F$2:$F$966,$A53)</f>
        <v>0</v>
      </c>
      <c r="Q53" s="9" t="n">
        <f aca="false">SUMIFS('Исходные данные'!$J$2:$J$966,'Исходные данные'!$D$2:$D$966,P$1,'Исходные данные'!$F$2:$F$966,$A53)</f>
        <v>0</v>
      </c>
      <c r="R53" s="9" t="n">
        <f aca="false">SUMIFS('Исходные данные'!$I$2:$I$966,'Исходные данные'!$D$2:$D$966,R$1,'Исходные данные'!$F$2:$F$966,$A53)</f>
        <v>0</v>
      </c>
      <c r="S53" s="9" t="n">
        <f aca="false">SUMIFS('Исходные данные'!$J$2:$J$966,'Исходные данные'!$D$2:$D$966,R$1,'Исходные данные'!$F$2:$F$966,$A53)</f>
        <v>0</v>
      </c>
      <c r="T53" s="9" t="n">
        <f aca="false">SUMIFS('Исходные данные'!$I$2:$I$966,'Исходные данные'!$D$2:$D$966,T$1,'Исходные данные'!$F$2:$F$966,$A53)</f>
        <v>0</v>
      </c>
      <c r="U53" s="9" t="n">
        <f aca="false">SUMIFS('Исходные данные'!$J$2:$J$966,'Исходные данные'!$D$2:$D$966,T$1,'Исходные данные'!$F$2:$F$966,$A53)</f>
        <v>0</v>
      </c>
      <c r="V53" s="9" t="n">
        <f aca="false">SUMIFS('Исходные данные'!$I$2:$I$966,'Исходные данные'!$D$2:$D$966,V$1,'Исходные данные'!$F$2:$F$966,$A53)</f>
        <v>0</v>
      </c>
      <c r="W53" s="9" t="n">
        <f aca="false">SUMIFS('Исходные данные'!$J$2:$J$966,'Исходные данные'!$D$2:$D$966,V$1,'Исходные данные'!$F$2:$F$966,$A53)</f>
        <v>0</v>
      </c>
      <c r="X53" s="9" t="n">
        <f aca="false">SUMIFS('Исходные данные'!$I$2:$I$966,'Исходные данные'!$D$2:$D$966,X$1,'Исходные данные'!$F$2:$F$966,$A53)</f>
        <v>0</v>
      </c>
      <c r="Y53" s="9" t="n">
        <f aca="false">SUMIFS('Исходные данные'!$J$2:$J$966,'Исходные данные'!$D$2:$D$966,X$1,'Исходные данные'!$F$2:$F$966,$A53)</f>
        <v>0</v>
      </c>
      <c r="Z53" s="9" t="n">
        <f aca="false">SUMIFS('Исходные данные'!$I$2:$I$966,'Исходные данные'!$D$2:$D$966,Z$1,'Исходные данные'!$F$2:$F$966,$A53)</f>
        <v>0</v>
      </c>
      <c r="AA53" s="9" t="n">
        <f aca="false">SUMIFS('Исходные данные'!$J$2:$J$966,'Исходные данные'!$D$2:$D$966,Z$1,'Исходные данные'!$F$2:$F$966,$A53)</f>
        <v>0</v>
      </c>
      <c r="AB53" s="9" t="n">
        <f aca="false">SUMIFS('Исходные данные'!$I$2:$I$966,'Исходные данные'!$D$2:$D$966,AB$1,'Исходные данные'!$F$2:$F$966,$A53)</f>
        <v>0</v>
      </c>
      <c r="AC53" s="9" t="n">
        <f aca="false">SUMIFS('Исходные данные'!$J$2:$J$966,'Исходные данные'!$D$2:$D$966,AB$1,'Исходные данные'!$F$2:$F$966,$A53)</f>
        <v>0</v>
      </c>
      <c r="AD53" s="9" t="n">
        <f aca="false">SUMIFS('Исходные данные'!$I$2:$I$966,'Исходные данные'!$D$2:$D$966,AD$1,'Исходные данные'!$F$2:$F$966,$A53)</f>
        <v>0</v>
      </c>
      <c r="AE53" s="9" t="n">
        <f aca="false">SUMIFS('Исходные данные'!$J$2:$J$966,'Исходные данные'!$D$2:$D$966,AD$1,'Исходные данные'!$F$2:$F$966,$A53)</f>
        <v>0</v>
      </c>
      <c r="AF53" s="9" t="n">
        <f aca="false">SUMIFS('Исходные данные'!$I$2:$I$966,'Исходные данные'!$D$2:$D$966,AF$1,'Исходные данные'!$F$2:$F$966,$A53)</f>
        <v>0</v>
      </c>
      <c r="AG53" s="9" t="n">
        <f aca="false">SUMIFS('Исходные данные'!$J$2:$J$966,'Исходные данные'!$D$2:$D$966,AF$1,'Исходные данные'!$F$2:$F$966,$A53)</f>
        <v>0</v>
      </c>
      <c r="AH53" s="9" t="n">
        <f aca="false">SUMIFS('Исходные данные'!$I$2:$I$966,'Исходные данные'!$D$2:$D$966,AH$1,'Исходные данные'!$F$2:$F$966,$A53)</f>
        <v>0</v>
      </c>
      <c r="AI53" s="9" t="n">
        <f aca="false">SUMIFS('Исходные данные'!$J$2:$J$966,'Исходные данные'!$D$2:$D$966,AH$1,'Исходные данные'!$F$2:$F$966,$A53)</f>
        <v>0</v>
      </c>
      <c r="AJ53" s="9" t="n">
        <f aca="false">SUMIFS('Исходные данные'!$I$2:$I$966,'Исходные данные'!$D$2:$D$966,AJ$1,'Исходные данные'!$F$2:$F$966,$A53)</f>
        <v>0</v>
      </c>
      <c r="AK53" s="9" t="n">
        <f aca="false">SUMIFS('Исходные данные'!$J$2:$J$966,'Исходные данные'!$D$2:$D$966,AJ$1,'Исходные данные'!$F$2:$F$966,$A53)</f>
        <v>0</v>
      </c>
      <c r="AL53" s="9" t="n">
        <f aca="false">SUMIFS('Исходные данные'!$I$2:$I$966,'Исходные данные'!$D$2:$D$966,AL$1,'Исходные данные'!$F$2:$F$966,$A53)</f>
        <v>0</v>
      </c>
      <c r="AM53" s="9" t="n">
        <f aca="false">SUMIFS('Исходные данные'!$J$2:$J$966,'Исходные данные'!$D$2:$D$966,AL$1,'Исходные данные'!$F$2:$F$966,$A53)</f>
        <v>0</v>
      </c>
      <c r="AN53" s="9" t="n">
        <f aca="false">SUMIFS('Исходные данные'!$I$2:$I$966,'Исходные данные'!$D$2:$D$966,AN$1,'Исходные данные'!$F$2:$F$966,$A53)</f>
        <v>0</v>
      </c>
      <c r="AO53" s="9" t="n">
        <f aca="false">SUMIFS('Исходные данные'!$J$2:$J$966,'Исходные данные'!$D$2:$D$966,AN$1,'Исходные данные'!$F$2:$F$966,$A53)</f>
        <v>0</v>
      </c>
      <c r="AP53" s="9" t="n">
        <f aca="false">SUMIFS('Исходные данные'!$I$2:$I$966,'Исходные данные'!$D$2:$D$966,AP$1,'Исходные данные'!$F$2:$F$966,$A53)</f>
        <v>0</v>
      </c>
      <c r="AQ53" s="9" t="n">
        <f aca="false">SUMIFS('Исходные данные'!$J$2:$J$966,'Исходные данные'!$D$2:$D$966,AP$1,'Исходные данные'!$F$2:$F$966,$A53)</f>
        <v>0</v>
      </c>
      <c r="AR53" s="9" t="n">
        <f aca="false">SUMIFS('Исходные данные'!$I$2:$I$966,'Исходные данные'!$D$2:$D$966,AR$1,'Исходные данные'!$F$2:$F$966,$A53)</f>
        <v>0</v>
      </c>
      <c r="AS53" s="9" t="n">
        <f aca="false">SUMIFS('Исходные данные'!$J$2:$J$966,'Исходные данные'!$D$2:$D$966,AR$1,'Исходные данные'!$F$2:$F$966,$A53)</f>
        <v>0</v>
      </c>
      <c r="AT53" s="9" t="n">
        <f aca="false">SUMIFS('Исходные данные'!$I$2:$I$966,'Исходные данные'!$D$2:$D$966,AT$1,'Исходные данные'!$F$2:$F$966,$A53)</f>
        <v>0</v>
      </c>
      <c r="AU53" s="9" t="n">
        <f aca="false">SUMIFS('Исходные данные'!$J$2:$J$966,'Исходные данные'!$D$2:$D$966,AT$1,'Исходные данные'!$F$2:$F$966,$A53)</f>
        <v>0</v>
      </c>
      <c r="AV53" s="9" t="n">
        <f aca="false">SUMIFS('Исходные данные'!$I$2:$I$966,'Исходные данные'!$D$2:$D$966,AV$1,'Исходные данные'!$F$2:$F$966,$A53)</f>
        <v>0</v>
      </c>
      <c r="AW53" s="9" t="n">
        <f aca="false">SUMIFS('Исходные данные'!$J$2:$J$966,'Исходные данные'!$D$2:$D$966,AV$1,'Исходные данные'!$F$2:$F$966,$A53)</f>
        <v>0</v>
      </c>
      <c r="AX53" s="9" t="n">
        <f aca="false">SUMIFS('Исходные данные'!$I$2:$I$966,'Исходные данные'!$D$2:$D$966,AX$1,'Исходные данные'!$F$2:$F$966,$A53)</f>
        <v>0</v>
      </c>
      <c r="AY53" s="9" t="n">
        <f aca="false">SUMIFS('Исходные данные'!$J$2:$J$966,'Исходные данные'!$D$2:$D$966,AX$1,'Исходные данные'!$F$2:$F$966,$A53)</f>
        <v>0</v>
      </c>
      <c r="AZ53" s="9" t="n">
        <f aca="false">SUMIFS('Исходные данные'!$I$2:$I$966,'Исходные данные'!$D$2:$D$966,AZ$1,'Исходные данные'!$F$2:$F$966,$A53)</f>
        <v>0</v>
      </c>
      <c r="BA53" s="9" t="n">
        <f aca="false">SUMIFS('Исходные данные'!$J$2:$J$966,'Исходные данные'!$D$2:$D$966,AZ$1,'Исходные данные'!$F$2:$F$966,$A53)</f>
        <v>0</v>
      </c>
      <c r="BB53" s="9" t="n">
        <f aca="false">SUMIFS('Исходные данные'!$I$2:$I$966,'Исходные данные'!$D$2:$D$966,BB$1,'Исходные данные'!$F$2:$F$966,$A53)</f>
        <v>0</v>
      </c>
      <c r="BC53" s="9" t="n">
        <f aca="false">SUMIFS('Исходные данные'!$J$2:$J$966,'Исходные данные'!$D$2:$D$966,BB$1,'Исходные данные'!$F$2:$F$966,$A53)</f>
        <v>0</v>
      </c>
      <c r="BD53" s="9" t="n">
        <f aca="false">SUMIFS('Исходные данные'!$I$2:$I$966,'Исходные данные'!$D$2:$D$966,BD$1,'Исходные данные'!$F$2:$F$966,$A53)</f>
        <v>0</v>
      </c>
      <c r="BE53" s="9" t="n">
        <f aca="false">SUMIFS('Исходные данные'!$J$2:$J$966,'Исходные данные'!$D$2:$D$966,BD$1,'Исходные данные'!$F$2:$F$966,$A53)</f>
        <v>0</v>
      </c>
      <c r="BF53" s="9" t="n">
        <f aca="false">SUMIFS('Исходные данные'!$I$2:$I$966,'Исходные данные'!$D$2:$D$966,BF$1,'Исходные данные'!$F$2:$F$966,$A53)</f>
        <v>0</v>
      </c>
      <c r="BG53" s="9" t="n">
        <f aca="false">SUMIFS('Исходные данные'!$J$2:$J$966,'Исходные данные'!$D$2:$D$966,BF$1,'Исходные данные'!$F$2:$F$966,$A53)</f>
        <v>0</v>
      </c>
      <c r="BH53" s="9" t="n">
        <f aca="false">SUMIFS('Исходные данные'!$I$2:$I$966,'Исходные данные'!$D$2:$D$966,BH$1,'Исходные данные'!$F$2:$F$966,$A53)</f>
        <v>0</v>
      </c>
      <c r="BI53" s="9" t="n">
        <f aca="false">SUMIFS('Исходные данные'!$J$2:$J$966,'Исходные данные'!$D$2:$D$966,BH$1,'Исходные данные'!$F$2:$F$966,$A53)</f>
        <v>0</v>
      </c>
      <c r="BJ53" s="9" t="n">
        <f aca="false">SUMIFS('Исходные данные'!$I$2:$I$966,'Исходные данные'!$D$2:$D$966,BJ$1,'Исходные данные'!$F$2:$F$966,$A53)</f>
        <v>0</v>
      </c>
      <c r="BK53" s="9" t="n">
        <f aca="false">SUMIFS('Исходные данные'!$J$2:$J$966,'Исходные данные'!$D$2:$D$966,BJ$1,'Исходные данные'!$F$2:$F$966,$A53)</f>
        <v>0</v>
      </c>
      <c r="BL53" s="9" t="n">
        <f aca="false">SUMIFS('Исходные данные'!$I$2:$I$966,'Исходные данные'!$D$2:$D$966,BL$1,'Исходные данные'!$F$2:$F$966,$A53)</f>
        <v>0</v>
      </c>
      <c r="BM53" s="9" t="n">
        <f aca="false">SUMIFS('Исходные данные'!$J$2:$J$966,'Исходные данные'!$D$2:$D$966,BL$1,'Исходные данные'!$F$2:$F$966,$A53)</f>
        <v>0</v>
      </c>
      <c r="BN53" s="9" t="n">
        <f aca="false">SUMIFS('Исходные данные'!$I$2:$I$966,'Исходные данные'!$D$2:$D$966,BN$1,'Исходные данные'!$F$2:$F$966,$A53)</f>
        <v>0</v>
      </c>
      <c r="BO53" s="9" t="n">
        <f aca="false">SUMIFS('Исходные данные'!$J$2:$J$966,'Исходные данные'!$D$2:$D$966,BN$1,'Исходные данные'!$F$2:$F$966,$A53)</f>
        <v>0</v>
      </c>
      <c r="BP53" s="9" t="n">
        <f aca="false">SUMIFS('Исходные данные'!$I$2:$I$966,'Исходные данные'!$D$2:$D$966,BP$1,'Исходные данные'!$F$2:$F$966,$A53)</f>
        <v>0</v>
      </c>
      <c r="BQ53" s="9" t="n">
        <f aca="false">SUMIFS('Исходные данные'!$J$2:$J$966,'Исходные данные'!$D$2:$D$966,BP$1,'Исходные данные'!$F$2:$F$966,$A53)</f>
        <v>0</v>
      </c>
      <c r="BR53" s="9" t="n">
        <f aca="false">SUMIFS('Исходные данные'!$I$2:$I$966,'Исходные данные'!$D$2:$D$966,BR$1,'Исходные данные'!$F$2:$F$966,$A53)</f>
        <v>0</v>
      </c>
      <c r="BS53" s="9" t="n">
        <f aca="false">SUMIFS('Исходные данные'!$J$2:$J$966,'Исходные данные'!$D$2:$D$966,BR$1,'Исходные данные'!$F$2:$F$966,$A53)</f>
        <v>0</v>
      </c>
      <c r="BT53" s="9" t="n">
        <f aca="false">SUMIFS('Исходные данные'!$I$2:$I$966,'Исходные данные'!$D$2:$D$966,BT$1,'Исходные данные'!$F$2:$F$966,$A53)</f>
        <v>0</v>
      </c>
      <c r="BU53" s="9" t="n">
        <f aca="false">SUMIFS('Исходные данные'!$J$2:$J$966,'Исходные данные'!$D$2:$D$966,BT$1,'Исходные данные'!$F$2:$F$966,$A53)</f>
        <v>0</v>
      </c>
      <c r="BV53" s="9" t="n">
        <f aca="false">SUMIFS('Исходные данные'!$I$2:$I$966,'Исходные данные'!$D$2:$D$966,BV$1,'Исходные данные'!$F$2:$F$966,$A53)</f>
        <v>0</v>
      </c>
      <c r="BW53" s="9" t="n">
        <f aca="false">SUMIFS('Исходные данные'!$J$2:$J$966,'Исходные данные'!$D$2:$D$966,BV$1,'Исходные данные'!$F$2:$F$966,$A53)</f>
        <v>0</v>
      </c>
      <c r="BX53" s="9" t="n">
        <f aca="false">SUMIFS('Исходные данные'!$I$2:$I$966,'Исходные данные'!$D$2:$D$966,BX$1,'Исходные данные'!$F$2:$F$966,$A53)</f>
        <v>0</v>
      </c>
      <c r="BY53" s="9" t="n">
        <f aca="false">SUMIFS('Исходные данные'!$J$2:$J$966,'Исходные данные'!$D$2:$D$966,BX$1,'Исходные данные'!$F$2:$F$966,$A53)</f>
        <v>0</v>
      </c>
      <c r="BZ53" s="9" t="n">
        <f aca="false">SUMIFS('Исходные данные'!$I$2:$I$966,'Исходные данные'!$D$2:$D$966,BZ$1,'Исходные данные'!$F$2:$F$966,$A53)</f>
        <v>0</v>
      </c>
      <c r="CA53" s="9" t="n">
        <f aca="false">SUMIFS('Исходные данные'!$J$2:$J$966,'Исходные данные'!$D$2:$D$966,BZ$1,'Исходные данные'!$F$2:$F$966,$A53)</f>
        <v>0</v>
      </c>
      <c r="CB53" s="9" t="n">
        <f aca="false">SUMIFS('Исходные данные'!$I$2:$I$966,'Исходные данные'!$D$2:$D$966,CB$1,'Исходные данные'!$F$2:$F$966,$A53)</f>
        <v>0</v>
      </c>
      <c r="CC53" s="9" t="n">
        <f aca="false">SUMIFS('Исходные данные'!$J$2:$J$966,'Исходные данные'!$D$2:$D$966,CB$1,'Исходные данные'!$F$2:$F$966,$A53)</f>
        <v>0</v>
      </c>
      <c r="CD53" s="9" t="n">
        <f aca="false">SUMIFS('Исходные данные'!$I$2:$I$966,'Исходные данные'!$D$2:$D$966,CD$1,'Исходные данные'!$F$2:$F$966,$A53)</f>
        <v>0</v>
      </c>
      <c r="CE53" s="9" t="n">
        <f aca="false">SUMIFS('Исходные данные'!$J$2:$J$966,'Исходные данные'!$D$2:$D$966,CD$1,'Исходные данные'!$F$2:$F$966,$A53)</f>
        <v>0</v>
      </c>
      <c r="CF53" s="9" t="n">
        <f aca="false">SUMIFS('Исходные данные'!$I$2:$I$966,'Исходные данные'!$D$2:$D$966,CF$1,'Исходные данные'!$F$2:$F$966,$A53)</f>
        <v>0</v>
      </c>
      <c r="CG53" s="9" t="n">
        <f aca="false">SUMIFS('Исходные данные'!$J$2:$J$966,'Исходные данные'!$D$2:$D$966,CF$1,'Исходные данные'!$F$2:$F$966,$A53)</f>
        <v>0</v>
      </c>
      <c r="CH53" s="9" t="n">
        <f aca="false">SUMIFS('Исходные данные'!$I$2:$I$966,'Исходные данные'!$D$2:$D$966,CH$1,'Исходные данные'!$F$2:$F$966,$A53)</f>
        <v>0</v>
      </c>
      <c r="CI53" s="9" t="n">
        <f aca="false">SUMIFS('Исходные данные'!$J$2:$J$966,'Исходные данные'!$D$2:$D$966,CH$1,'Исходные данные'!$F$2:$F$966,$A53)</f>
        <v>0</v>
      </c>
      <c r="CJ53" s="9" t="n">
        <f aca="false">SUMIFS('Исходные данные'!$I$2:$I$966,'Исходные данные'!$D$2:$D$966,CJ$1,'Исходные данные'!$F$2:$F$966,$A53)</f>
        <v>0</v>
      </c>
      <c r="CK53" s="9" t="n">
        <f aca="false">SUMIFS('Исходные данные'!$J$2:$J$966,'Исходные данные'!$D$2:$D$966,CJ$1,'Исходные данные'!$F$2:$F$966,$A53)</f>
        <v>0</v>
      </c>
      <c r="CL53" s="9" t="n">
        <f aca="false">SUMIFS('Исходные данные'!$I$2:$I$966,'Исходные данные'!$D$2:$D$966,CL$1,'Исходные данные'!$F$2:$F$966,$A53)</f>
        <v>0</v>
      </c>
      <c r="CM53" s="9" t="n">
        <f aca="false">SUMIFS('Исходные данные'!$J$2:$J$966,'Исходные данные'!$D$2:$D$966,CL$1,'Исходные данные'!$F$2:$F$966,$A53)</f>
        <v>0</v>
      </c>
      <c r="CN53" s="9" t="n">
        <f aca="false">SUMIFS('Исходные данные'!$I$2:$I$966,'Исходные данные'!$D$2:$D$966,CN$1,'Исходные данные'!$F$2:$F$966,$A53)</f>
        <v>0</v>
      </c>
      <c r="CO53" s="9" t="n">
        <f aca="false">SUMIFS('Исходные данные'!$J$2:$J$966,'Исходные данные'!$D$2:$D$966,CN$1,'Исходные данные'!$F$2:$F$966,$A53)</f>
        <v>0</v>
      </c>
      <c r="CP53" s="9" t="n">
        <f aca="false">SUMIFS('Исходные данные'!$I$2:$I$966,'Исходные данные'!$D$2:$D$966,CP$1,'Исходные данные'!$F$2:$F$966,$A53)</f>
        <v>0</v>
      </c>
      <c r="CQ53" s="9" t="n">
        <f aca="false">SUMIFS('Исходные данные'!$J$2:$J$966,'Исходные данные'!$D$2:$D$966,CP$1,'Исходные данные'!$F$2:$F$966,$A53)</f>
        <v>0</v>
      </c>
    </row>
    <row r="54" customFormat="false" ht="15" hidden="false" customHeight="false" outlineLevel="0" collapsed="false">
      <c r="A54" s="8" t="s">
        <v>155</v>
      </c>
      <c r="B54" s="9" t="s">
        <v>156</v>
      </c>
      <c r="C54" s="5" t="n">
        <v>0</v>
      </c>
      <c r="D54" s="5" t="n">
        <f aca="false">F54+G54</f>
        <v>0</v>
      </c>
      <c r="E54" s="5" t="n">
        <f aca="false">D54-C54</f>
        <v>0</v>
      </c>
      <c r="F54" s="5" t="n">
        <f aca="false">SUMIFS($H54:$CQ54,$H$2:$CQ$2,"День")</f>
        <v>0</v>
      </c>
      <c r="G54" s="5" t="n">
        <f aca="false">SUMIFS($H54:$CQ54,$H$2:$CQ$2,"Ночь")</f>
        <v>0</v>
      </c>
      <c r="H54" s="9" t="n">
        <f aca="false">SUMIFS('Исходные данные'!$I$2:$I$966,'Исходные данные'!$D$2:$D$966,H$1,'Исходные данные'!$F$2:$F$966,$A54)</f>
        <v>0</v>
      </c>
      <c r="I54" s="9" t="n">
        <f aca="false">SUMIFS('Исходные данные'!$J$2:$J$966,'Исходные данные'!$D$2:$D$966,H$1,'Исходные данные'!$F$2:$F$966,$A54)</f>
        <v>0</v>
      </c>
      <c r="J54" s="9" t="n">
        <f aca="false">SUMIFS('Исходные данные'!$I$2:$I$966,'Исходные данные'!$D$2:$D$966,J$1,'Исходные данные'!$F$2:$F$966,$A54)</f>
        <v>0</v>
      </c>
      <c r="K54" s="9" t="n">
        <f aca="false">SUMIFS('Исходные данные'!$J$2:$J$966,'Исходные данные'!$D$2:$D$966,J$1,'Исходные данные'!$F$2:$F$966,$A54)</f>
        <v>0</v>
      </c>
      <c r="L54" s="9" t="n">
        <f aca="false">SUMIFS('Исходные данные'!$I$2:$I$966,'Исходные данные'!$D$2:$D$966,L$1,'Исходные данные'!$F$2:$F$966,$A54)</f>
        <v>0</v>
      </c>
      <c r="M54" s="9" t="n">
        <f aca="false">SUMIFS('Исходные данные'!$J$2:$J$966,'Исходные данные'!$D$2:$D$966,L$1,'Исходные данные'!$F$2:$F$966,$A54)</f>
        <v>0</v>
      </c>
      <c r="N54" s="9" t="n">
        <f aca="false">SUMIFS('Исходные данные'!$I$2:$I$966,'Исходные данные'!$D$2:$D$966,N$1,'Исходные данные'!$F$2:$F$966,$A54)</f>
        <v>0</v>
      </c>
      <c r="O54" s="9" t="n">
        <f aca="false">SUMIFS('Исходные данные'!$J$2:$J$966,'Исходные данные'!$D$2:$D$966,N$1,'Исходные данные'!$F$2:$F$966,$A54)</f>
        <v>0</v>
      </c>
      <c r="P54" s="9" t="n">
        <f aca="false">SUMIFS('Исходные данные'!$I$2:$I$966,'Исходные данные'!$D$2:$D$966,P$1,'Исходные данные'!$F$2:$F$966,$A54)</f>
        <v>0</v>
      </c>
      <c r="Q54" s="9" t="n">
        <f aca="false">SUMIFS('Исходные данные'!$J$2:$J$966,'Исходные данные'!$D$2:$D$966,P$1,'Исходные данные'!$F$2:$F$966,$A54)</f>
        <v>0</v>
      </c>
      <c r="R54" s="9" t="n">
        <f aca="false">SUMIFS('Исходные данные'!$I$2:$I$966,'Исходные данные'!$D$2:$D$966,R$1,'Исходные данные'!$F$2:$F$966,$A54)</f>
        <v>0</v>
      </c>
      <c r="S54" s="9" t="n">
        <f aca="false">SUMIFS('Исходные данные'!$J$2:$J$966,'Исходные данные'!$D$2:$D$966,R$1,'Исходные данные'!$F$2:$F$966,$A54)</f>
        <v>0</v>
      </c>
      <c r="T54" s="9" t="n">
        <f aca="false">SUMIFS('Исходные данные'!$I$2:$I$966,'Исходные данные'!$D$2:$D$966,T$1,'Исходные данные'!$F$2:$F$966,$A54)</f>
        <v>0</v>
      </c>
      <c r="U54" s="9" t="n">
        <f aca="false">SUMIFS('Исходные данные'!$J$2:$J$966,'Исходные данные'!$D$2:$D$966,T$1,'Исходные данные'!$F$2:$F$966,$A54)</f>
        <v>0</v>
      </c>
      <c r="V54" s="9" t="n">
        <f aca="false">SUMIFS('Исходные данные'!$I$2:$I$966,'Исходные данные'!$D$2:$D$966,V$1,'Исходные данные'!$F$2:$F$966,$A54)</f>
        <v>0</v>
      </c>
      <c r="W54" s="9" t="n">
        <f aca="false">SUMIFS('Исходные данные'!$J$2:$J$966,'Исходные данные'!$D$2:$D$966,V$1,'Исходные данные'!$F$2:$F$966,$A54)</f>
        <v>0</v>
      </c>
      <c r="X54" s="9" t="n">
        <f aca="false">SUMIFS('Исходные данные'!$I$2:$I$966,'Исходные данные'!$D$2:$D$966,X$1,'Исходные данные'!$F$2:$F$966,$A54)</f>
        <v>0</v>
      </c>
      <c r="Y54" s="9" t="n">
        <f aca="false">SUMIFS('Исходные данные'!$J$2:$J$966,'Исходные данные'!$D$2:$D$966,X$1,'Исходные данные'!$F$2:$F$966,$A54)</f>
        <v>0</v>
      </c>
      <c r="Z54" s="9" t="n">
        <f aca="false">SUMIFS('Исходные данные'!$I$2:$I$966,'Исходные данные'!$D$2:$D$966,Z$1,'Исходные данные'!$F$2:$F$966,$A54)</f>
        <v>0</v>
      </c>
      <c r="AA54" s="9" t="n">
        <f aca="false">SUMIFS('Исходные данные'!$J$2:$J$966,'Исходные данные'!$D$2:$D$966,Z$1,'Исходные данные'!$F$2:$F$966,$A54)</f>
        <v>0</v>
      </c>
      <c r="AB54" s="9" t="n">
        <f aca="false">SUMIFS('Исходные данные'!$I$2:$I$966,'Исходные данные'!$D$2:$D$966,AB$1,'Исходные данные'!$F$2:$F$966,$A54)</f>
        <v>0</v>
      </c>
      <c r="AC54" s="9" t="n">
        <f aca="false">SUMIFS('Исходные данные'!$J$2:$J$966,'Исходные данные'!$D$2:$D$966,AB$1,'Исходные данные'!$F$2:$F$966,$A54)</f>
        <v>0</v>
      </c>
      <c r="AD54" s="9" t="n">
        <f aca="false">SUMIFS('Исходные данные'!$I$2:$I$966,'Исходные данные'!$D$2:$D$966,AD$1,'Исходные данные'!$F$2:$F$966,$A54)</f>
        <v>0</v>
      </c>
      <c r="AE54" s="9" t="n">
        <f aca="false">SUMIFS('Исходные данные'!$J$2:$J$966,'Исходные данные'!$D$2:$D$966,AD$1,'Исходные данные'!$F$2:$F$966,$A54)</f>
        <v>0</v>
      </c>
      <c r="AF54" s="9" t="n">
        <f aca="false">SUMIFS('Исходные данные'!$I$2:$I$966,'Исходные данные'!$D$2:$D$966,AF$1,'Исходные данные'!$F$2:$F$966,$A54)</f>
        <v>0</v>
      </c>
      <c r="AG54" s="9" t="n">
        <f aca="false">SUMIFS('Исходные данные'!$J$2:$J$966,'Исходные данные'!$D$2:$D$966,AF$1,'Исходные данные'!$F$2:$F$966,$A54)</f>
        <v>0</v>
      </c>
      <c r="AH54" s="9" t="n">
        <f aca="false">SUMIFS('Исходные данные'!$I$2:$I$966,'Исходные данные'!$D$2:$D$966,AH$1,'Исходные данные'!$F$2:$F$966,$A54)</f>
        <v>0</v>
      </c>
      <c r="AI54" s="9" t="n">
        <f aca="false">SUMIFS('Исходные данные'!$J$2:$J$966,'Исходные данные'!$D$2:$D$966,AH$1,'Исходные данные'!$F$2:$F$966,$A54)</f>
        <v>0</v>
      </c>
      <c r="AJ54" s="9" t="n">
        <f aca="false">SUMIFS('Исходные данные'!$I$2:$I$966,'Исходные данные'!$D$2:$D$966,AJ$1,'Исходные данные'!$F$2:$F$966,$A54)</f>
        <v>0</v>
      </c>
      <c r="AK54" s="9" t="n">
        <f aca="false">SUMIFS('Исходные данные'!$J$2:$J$966,'Исходные данные'!$D$2:$D$966,AJ$1,'Исходные данные'!$F$2:$F$966,$A54)</f>
        <v>0</v>
      </c>
      <c r="AL54" s="9" t="n">
        <f aca="false">SUMIFS('Исходные данные'!$I$2:$I$966,'Исходные данные'!$D$2:$D$966,AL$1,'Исходные данные'!$F$2:$F$966,$A54)</f>
        <v>0</v>
      </c>
      <c r="AM54" s="9" t="n">
        <f aca="false">SUMIFS('Исходные данные'!$J$2:$J$966,'Исходные данные'!$D$2:$D$966,AL$1,'Исходные данные'!$F$2:$F$966,$A54)</f>
        <v>0</v>
      </c>
      <c r="AN54" s="9" t="n">
        <f aca="false">SUMIFS('Исходные данные'!$I$2:$I$966,'Исходные данные'!$D$2:$D$966,AN$1,'Исходные данные'!$F$2:$F$966,$A54)</f>
        <v>0</v>
      </c>
      <c r="AO54" s="9" t="n">
        <f aca="false">SUMIFS('Исходные данные'!$J$2:$J$966,'Исходные данные'!$D$2:$D$966,AN$1,'Исходные данные'!$F$2:$F$966,$A54)</f>
        <v>0</v>
      </c>
      <c r="AP54" s="9" t="n">
        <f aca="false">SUMIFS('Исходные данные'!$I$2:$I$966,'Исходные данные'!$D$2:$D$966,AP$1,'Исходные данные'!$F$2:$F$966,$A54)</f>
        <v>0</v>
      </c>
      <c r="AQ54" s="9" t="n">
        <f aca="false">SUMIFS('Исходные данные'!$J$2:$J$966,'Исходные данные'!$D$2:$D$966,AP$1,'Исходные данные'!$F$2:$F$966,$A54)</f>
        <v>0</v>
      </c>
      <c r="AR54" s="9" t="n">
        <f aca="false">SUMIFS('Исходные данные'!$I$2:$I$966,'Исходные данные'!$D$2:$D$966,AR$1,'Исходные данные'!$F$2:$F$966,$A54)</f>
        <v>0</v>
      </c>
      <c r="AS54" s="9" t="n">
        <f aca="false">SUMIFS('Исходные данные'!$J$2:$J$966,'Исходные данные'!$D$2:$D$966,AR$1,'Исходные данные'!$F$2:$F$966,$A54)</f>
        <v>0</v>
      </c>
      <c r="AT54" s="9" t="n">
        <f aca="false">SUMIFS('Исходные данные'!$I$2:$I$966,'Исходные данные'!$D$2:$D$966,AT$1,'Исходные данные'!$F$2:$F$966,$A54)</f>
        <v>0</v>
      </c>
      <c r="AU54" s="9" t="n">
        <f aca="false">SUMIFS('Исходные данные'!$J$2:$J$966,'Исходные данные'!$D$2:$D$966,AT$1,'Исходные данные'!$F$2:$F$966,$A54)</f>
        <v>0</v>
      </c>
      <c r="AV54" s="9" t="n">
        <f aca="false">SUMIFS('Исходные данные'!$I$2:$I$966,'Исходные данные'!$D$2:$D$966,AV$1,'Исходные данные'!$F$2:$F$966,$A54)</f>
        <v>0</v>
      </c>
      <c r="AW54" s="9" t="n">
        <f aca="false">SUMIFS('Исходные данные'!$J$2:$J$966,'Исходные данные'!$D$2:$D$966,AV$1,'Исходные данные'!$F$2:$F$966,$A54)</f>
        <v>0</v>
      </c>
      <c r="AX54" s="9" t="n">
        <f aca="false">SUMIFS('Исходные данные'!$I$2:$I$966,'Исходные данные'!$D$2:$D$966,AX$1,'Исходные данные'!$F$2:$F$966,$A54)</f>
        <v>0</v>
      </c>
      <c r="AY54" s="9" t="n">
        <f aca="false">SUMIFS('Исходные данные'!$J$2:$J$966,'Исходные данные'!$D$2:$D$966,AX$1,'Исходные данные'!$F$2:$F$966,$A54)</f>
        <v>0</v>
      </c>
      <c r="AZ54" s="9" t="n">
        <f aca="false">SUMIFS('Исходные данные'!$I$2:$I$966,'Исходные данные'!$D$2:$D$966,AZ$1,'Исходные данные'!$F$2:$F$966,$A54)</f>
        <v>0</v>
      </c>
      <c r="BA54" s="9" t="n">
        <f aca="false">SUMIFS('Исходные данные'!$J$2:$J$966,'Исходные данные'!$D$2:$D$966,AZ$1,'Исходные данные'!$F$2:$F$966,$A54)</f>
        <v>0</v>
      </c>
      <c r="BB54" s="9" t="n">
        <f aca="false">SUMIFS('Исходные данные'!$I$2:$I$966,'Исходные данные'!$D$2:$D$966,BB$1,'Исходные данные'!$F$2:$F$966,$A54)</f>
        <v>0</v>
      </c>
      <c r="BC54" s="9" t="n">
        <f aca="false">SUMIFS('Исходные данные'!$J$2:$J$966,'Исходные данные'!$D$2:$D$966,BB$1,'Исходные данные'!$F$2:$F$966,$A54)</f>
        <v>0</v>
      </c>
      <c r="BD54" s="9" t="n">
        <f aca="false">SUMIFS('Исходные данные'!$I$2:$I$966,'Исходные данные'!$D$2:$D$966,BD$1,'Исходные данные'!$F$2:$F$966,$A54)</f>
        <v>0</v>
      </c>
      <c r="BE54" s="9" t="n">
        <f aca="false">SUMIFS('Исходные данные'!$J$2:$J$966,'Исходные данные'!$D$2:$D$966,BD$1,'Исходные данные'!$F$2:$F$966,$A54)</f>
        <v>0</v>
      </c>
      <c r="BF54" s="9" t="n">
        <f aca="false">SUMIFS('Исходные данные'!$I$2:$I$966,'Исходные данные'!$D$2:$D$966,BF$1,'Исходные данные'!$F$2:$F$966,$A54)</f>
        <v>0</v>
      </c>
      <c r="BG54" s="9" t="n">
        <f aca="false">SUMIFS('Исходные данные'!$J$2:$J$966,'Исходные данные'!$D$2:$D$966,BF$1,'Исходные данные'!$F$2:$F$966,$A54)</f>
        <v>0</v>
      </c>
      <c r="BH54" s="9" t="n">
        <f aca="false">SUMIFS('Исходные данные'!$I$2:$I$966,'Исходные данные'!$D$2:$D$966,BH$1,'Исходные данные'!$F$2:$F$966,$A54)</f>
        <v>0</v>
      </c>
      <c r="BI54" s="9" t="n">
        <f aca="false">SUMIFS('Исходные данные'!$J$2:$J$966,'Исходные данные'!$D$2:$D$966,BH$1,'Исходные данные'!$F$2:$F$966,$A54)</f>
        <v>0</v>
      </c>
      <c r="BJ54" s="9" t="n">
        <f aca="false">SUMIFS('Исходные данные'!$I$2:$I$966,'Исходные данные'!$D$2:$D$966,BJ$1,'Исходные данные'!$F$2:$F$966,$A54)</f>
        <v>0</v>
      </c>
      <c r="BK54" s="9" t="n">
        <f aca="false">SUMIFS('Исходные данные'!$J$2:$J$966,'Исходные данные'!$D$2:$D$966,BJ$1,'Исходные данные'!$F$2:$F$966,$A54)</f>
        <v>0</v>
      </c>
      <c r="BL54" s="9" t="n">
        <f aca="false">SUMIFS('Исходные данные'!$I$2:$I$966,'Исходные данные'!$D$2:$D$966,BL$1,'Исходные данные'!$F$2:$F$966,$A54)</f>
        <v>0</v>
      </c>
      <c r="BM54" s="9" t="n">
        <f aca="false">SUMIFS('Исходные данные'!$J$2:$J$966,'Исходные данные'!$D$2:$D$966,BL$1,'Исходные данные'!$F$2:$F$966,$A54)</f>
        <v>0</v>
      </c>
      <c r="BN54" s="9" t="n">
        <f aca="false">SUMIFS('Исходные данные'!$I$2:$I$966,'Исходные данные'!$D$2:$D$966,BN$1,'Исходные данные'!$F$2:$F$966,$A54)</f>
        <v>0</v>
      </c>
      <c r="BO54" s="9" t="n">
        <f aca="false">SUMIFS('Исходные данные'!$J$2:$J$966,'Исходные данные'!$D$2:$D$966,BN$1,'Исходные данные'!$F$2:$F$966,$A54)</f>
        <v>0</v>
      </c>
      <c r="BP54" s="9" t="n">
        <f aca="false">SUMIFS('Исходные данные'!$I$2:$I$966,'Исходные данные'!$D$2:$D$966,BP$1,'Исходные данные'!$F$2:$F$966,$A54)</f>
        <v>0</v>
      </c>
      <c r="BQ54" s="9" t="n">
        <f aca="false">SUMIFS('Исходные данные'!$J$2:$J$966,'Исходные данные'!$D$2:$D$966,BP$1,'Исходные данные'!$F$2:$F$966,$A54)</f>
        <v>0</v>
      </c>
      <c r="BR54" s="9" t="n">
        <f aca="false">SUMIFS('Исходные данные'!$I$2:$I$966,'Исходные данные'!$D$2:$D$966,BR$1,'Исходные данные'!$F$2:$F$966,$A54)</f>
        <v>0</v>
      </c>
      <c r="BS54" s="9" t="n">
        <f aca="false">SUMIFS('Исходные данные'!$J$2:$J$966,'Исходные данные'!$D$2:$D$966,BR$1,'Исходные данные'!$F$2:$F$966,$A54)</f>
        <v>0</v>
      </c>
      <c r="BT54" s="9" t="n">
        <f aca="false">SUMIFS('Исходные данные'!$I$2:$I$966,'Исходные данные'!$D$2:$D$966,BT$1,'Исходные данные'!$F$2:$F$966,$A54)</f>
        <v>0</v>
      </c>
      <c r="BU54" s="9" t="n">
        <f aca="false">SUMIFS('Исходные данные'!$J$2:$J$966,'Исходные данные'!$D$2:$D$966,BT$1,'Исходные данные'!$F$2:$F$966,$A54)</f>
        <v>0</v>
      </c>
      <c r="BV54" s="9" t="n">
        <f aca="false">SUMIFS('Исходные данные'!$I$2:$I$966,'Исходные данные'!$D$2:$D$966,BV$1,'Исходные данные'!$F$2:$F$966,$A54)</f>
        <v>0</v>
      </c>
      <c r="BW54" s="9" t="n">
        <f aca="false">SUMIFS('Исходные данные'!$J$2:$J$966,'Исходные данные'!$D$2:$D$966,BV$1,'Исходные данные'!$F$2:$F$966,$A54)</f>
        <v>0</v>
      </c>
      <c r="BX54" s="9" t="n">
        <f aca="false">SUMIFS('Исходные данные'!$I$2:$I$966,'Исходные данные'!$D$2:$D$966,BX$1,'Исходные данные'!$F$2:$F$966,$A54)</f>
        <v>0</v>
      </c>
      <c r="BY54" s="9" t="n">
        <f aca="false">SUMIFS('Исходные данные'!$J$2:$J$966,'Исходные данные'!$D$2:$D$966,BX$1,'Исходные данные'!$F$2:$F$966,$A54)</f>
        <v>0</v>
      </c>
      <c r="BZ54" s="9" t="n">
        <f aca="false">SUMIFS('Исходные данные'!$I$2:$I$966,'Исходные данные'!$D$2:$D$966,BZ$1,'Исходные данные'!$F$2:$F$966,$A54)</f>
        <v>0</v>
      </c>
      <c r="CA54" s="9" t="n">
        <f aca="false">SUMIFS('Исходные данные'!$J$2:$J$966,'Исходные данные'!$D$2:$D$966,BZ$1,'Исходные данные'!$F$2:$F$966,$A54)</f>
        <v>0</v>
      </c>
      <c r="CB54" s="9" t="n">
        <f aca="false">SUMIFS('Исходные данные'!$I$2:$I$966,'Исходные данные'!$D$2:$D$966,CB$1,'Исходные данные'!$F$2:$F$966,$A54)</f>
        <v>0</v>
      </c>
      <c r="CC54" s="9" t="n">
        <f aca="false">SUMIFS('Исходные данные'!$J$2:$J$966,'Исходные данные'!$D$2:$D$966,CB$1,'Исходные данные'!$F$2:$F$966,$A54)</f>
        <v>0</v>
      </c>
      <c r="CD54" s="9" t="n">
        <f aca="false">SUMIFS('Исходные данные'!$I$2:$I$966,'Исходные данные'!$D$2:$D$966,CD$1,'Исходные данные'!$F$2:$F$966,$A54)</f>
        <v>0</v>
      </c>
      <c r="CE54" s="9" t="n">
        <f aca="false">SUMIFS('Исходные данные'!$J$2:$J$966,'Исходные данные'!$D$2:$D$966,CD$1,'Исходные данные'!$F$2:$F$966,$A54)</f>
        <v>0</v>
      </c>
      <c r="CF54" s="9" t="n">
        <f aca="false">SUMIFS('Исходные данные'!$I$2:$I$966,'Исходные данные'!$D$2:$D$966,CF$1,'Исходные данные'!$F$2:$F$966,$A54)</f>
        <v>0</v>
      </c>
      <c r="CG54" s="9" t="n">
        <f aca="false">SUMIFS('Исходные данные'!$J$2:$J$966,'Исходные данные'!$D$2:$D$966,CF$1,'Исходные данные'!$F$2:$F$966,$A54)</f>
        <v>0</v>
      </c>
      <c r="CH54" s="9" t="n">
        <f aca="false">SUMIFS('Исходные данные'!$I$2:$I$966,'Исходные данные'!$D$2:$D$966,CH$1,'Исходные данные'!$F$2:$F$966,$A54)</f>
        <v>0</v>
      </c>
      <c r="CI54" s="9" t="n">
        <f aca="false">SUMIFS('Исходные данные'!$J$2:$J$966,'Исходные данные'!$D$2:$D$966,CH$1,'Исходные данные'!$F$2:$F$966,$A54)</f>
        <v>0</v>
      </c>
      <c r="CJ54" s="9" t="n">
        <f aca="false">SUMIFS('Исходные данные'!$I$2:$I$966,'Исходные данные'!$D$2:$D$966,CJ$1,'Исходные данные'!$F$2:$F$966,$A54)</f>
        <v>0</v>
      </c>
      <c r="CK54" s="9" t="n">
        <f aca="false">SUMIFS('Исходные данные'!$J$2:$J$966,'Исходные данные'!$D$2:$D$966,CJ$1,'Исходные данные'!$F$2:$F$966,$A54)</f>
        <v>0</v>
      </c>
      <c r="CL54" s="9" t="n">
        <f aca="false">SUMIFS('Исходные данные'!$I$2:$I$966,'Исходные данные'!$D$2:$D$966,CL$1,'Исходные данные'!$F$2:$F$966,$A54)</f>
        <v>0</v>
      </c>
      <c r="CM54" s="9" t="n">
        <f aca="false">SUMIFS('Исходные данные'!$J$2:$J$966,'Исходные данные'!$D$2:$D$966,CL$1,'Исходные данные'!$F$2:$F$966,$A54)</f>
        <v>0</v>
      </c>
      <c r="CN54" s="9" t="n">
        <f aca="false">SUMIFS('Исходные данные'!$I$2:$I$966,'Исходные данные'!$D$2:$D$966,CN$1,'Исходные данные'!$F$2:$F$966,$A54)</f>
        <v>0</v>
      </c>
      <c r="CO54" s="9" t="n">
        <f aca="false">SUMIFS('Исходные данные'!$J$2:$J$966,'Исходные данные'!$D$2:$D$966,CN$1,'Исходные данные'!$F$2:$F$966,$A54)</f>
        <v>0</v>
      </c>
      <c r="CP54" s="9" t="n">
        <f aca="false">SUMIFS('Исходные данные'!$I$2:$I$966,'Исходные данные'!$D$2:$D$966,CP$1,'Исходные данные'!$F$2:$F$966,$A54)</f>
        <v>0</v>
      </c>
      <c r="CQ54" s="9" t="n">
        <f aca="false">SUMIFS('Исходные данные'!$J$2:$J$966,'Исходные данные'!$D$2:$D$966,CP$1,'Исходные данные'!$F$2:$F$966,$A54)</f>
        <v>0</v>
      </c>
    </row>
    <row r="55" customFormat="false" ht="15" hidden="false" customHeight="false" outlineLevel="0" collapsed="false">
      <c r="A55" s="8" t="s">
        <v>157</v>
      </c>
      <c r="B55" s="9" t="s">
        <v>158</v>
      </c>
      <c r="C55" s="5" t="n">
        <v>0</v>
      </c>
      <c r="D55" s="5" t="n">
        <f aca="false">F55+G55</f>
        <v>0</v>
      </c>
      <c r="E55" s="5" t="n">
        <f aca="false">D55-C55</f>
        <v>0</v>
      </c>
      <c r="F55" s="5" t="n">
        <f aca="false">SUMIFS($H55:$CQ55,$H$2:$CQ$2,"День")</f>
        <v>0</v>
      </c>
      <c r="G55" s="5" t="n">
        <f aca="false">SUMIFS($H55:$CQ55,$H$2:$CQ$2,"Ночь")</f>
        <v>0</v>
      </c>
      <c r="H55" s="9" t="n">
        <f aca="false">SUMIFS('Исходные данные'!$I$2:$I$966,'Исходные данные'!$D$2:$D$966,H$1,'Исходные данные'!$F$2:$F$966,$A55)</f>
        <v>0</v>
      </c>
      <c r="I55" s="9" t="n">
        <f aca="false">SUMIFS('Исходные данные'!$J$2:$J$966,'Исходные данные'!$D$2:$D$966,H$1,'Исходные данные'!$F$2:$F$966,$A55)</f>
        <v>0</v>
      </c>
      <c r="J55" s="9" t="n">
        <f aca="false">SUMIFS('Исходные данные'!$I$2:$I$966,'Исходные данные'!$D$2:$D$966,J$1,'Исходные данные'!$F$2:$F$966,$A55)</f>
        <v>0</v>
      </c>
      <c r="K55" s="9" t="n">
        <f aca="false">SUMIFS('Исходные данные'!$J$2:$J$966,'Исходные данные'!$D$2:$D$966,J$1,'Исходные данные'!$F$2:$F$966,$A55)</f>
        <v>0</v>
      </c>
      <c r="L55" s="9" t="n">
        <f aca="false">SUMIFS('Исходные данные'!$I$2:$I$966,'Исходные данные'!$D$2:$D$966,L$1,'Исходные данные'!$F$2:$F$966,$A55)</f>
        <v>0</v>
      </c>
      <c r="M55" s="9" t="n">
        <f aca="false">SUMIFS('Исходные данные'!$J$2:$J$966,'Исходные данные'!$D$2:$D$966,L$1,'Исходные данные'!$F$2:$F$966,$A55)</f>
        <v>0</v>
      </c>
      <c r="N55" s="9" t="n">
        <f aca="false">SUMIFS('Исходные данные'!$I$2:$I$966,'Исходные данные'!$D$2:$D$966,N$1,'Исходные данные'!$F$2:$F$966,$A55)</f>
        <v>0</v>
      </c>
      <c r="O55" s="9" t="n">
        <f aca="false">SUMIFS('Исходные данные'!$J$2:$J$966,'Исходные данные'!$D$2:$D$966,N$1,'Исходные данные'!$F$2:$F$966,$A55)</f>
        <v>0</v>
      </c>
      <c r="P55" s="9" t="n">
        <f aca="false">SUMIFS('Исходные данные'!$I$2:$I$966,'Исходные данные'!$D$2:$D$966,P$1,'Исходные данные'!$F$2:$F$966,$A55)</f>
        <v>0</v>
      </c>
      <c r="Q55" s="9" t="n">
        <f aca="false">SUMIFS('Исходные данные'!$J$2:$J$966,'Исходные данные'!$D$2:$D$966,P$1,'Исходные данные'!$F$2:$F$966,$A55)</f>
        <v>0</v>
      </c>
      <c r="R55" s="9" t="n">
        <f aca="false">SUMIFS('Исходные данные'!$I$2:$I$966,'Исходные данные'!$D$2:$D$966,R$1,'Исходные данные'!$F$2:$F$966,$A55)</f>
        <v>0</v>
      </c>
      <c r="S55" s="9" t="n">
        <f aca="false">SUMIFS('Исходные данные'!$J$2:$J$966,'Исходные данные'!$D$2:$D$966,R$1,'Исходные данные'!$F$2:$F$966,$A55)</f>
        <v>0</v>
      </c>
      <c r="T55" s="9" t="n">
        <f aca="false">SUMIFS('Исходные данные'!$I$2:$I$966,'Исходные данные'!$D$2:$D$966,T$1,'Исходные данные'!$F$2:$F$966,$A55)</f>
        <v>0</v>
      </c>
      <c r="U55" s="9" t="n">
        <f aca="false">SUMIFS('Исходные данные'!$J$2:$J$966,'Исходные данные'!$D$2:$D$966,T$1,'Исходные данные'!$F$2:$F$966,$A55)</f>
        <v>0</v>
      </c>
      <c r="V55" s="9" t="n">
        <f aca="false">SUMIFS('Исходные данные'!$I$2:$I$966,'Исходные данные'!$D$2:$D$966,V$1,'Исходные данные'!$F$2:$F$966,$A55)</f>
        <v>0</v>
      </c>
      <c r="W55" s="9" t="n">
        <f aca="false">SUMIFS('Исходные данные'!$J$2:$J$966,'Исходные данные'!$D$2:$D$966,V$1,'Исходные данные'!$F$2:$F$966,$A55)</f>
        <v>0</v>
      </c>
      <c r="X55" s="9" t="n">
        <f aca="false">SUMIFS('Исходные данные'!$I$2:$I$966,'Исходные данные'!$D$2:$D$966,X$1,'Исходные данные'!$F$2:$F$966,$A55)</f>
        <v>0</v>
      </c>
      <c r="Y55" s="9" t="n">
        <f aca="false">SUMIFS('Исходные данные'!$J$2:$J$966,'Исходные данные'!$D$2:$D$966,X$1,'Исходные данные'!$F$2:$F$966,$A55)</f>
        <v>0</v>
      </c>
      <c r="Z55" s="9" t="n">
        <f aca="false">SUMIFS('Исходные данные'!$I$2:$I$966,'Исходные данные'!$D$2:$D$966,Z$1,'Исходные данные'!$F$2:$F$966,$A55)</f>
        <v>0</v>
      </c>
      <c r="AA55" s="9" t="n">
        <f aca="false">SUMIFS('Исходные данные'!$J$2:$J$966,'Исходные данные'!$D$2:$D$966,Z$1,'Исходные данные'!$F$2:$F$966,$A55)</f>
        <v>0</v>
      </c>
      <c r="AB55" s="9" t="n">
        <f aca="false">SUMIFS('Исходные данные'!$I$2:$I$966,'Исходные данные'!$D$2:$D$966,AB$1,'Исходные данные'!$F$2:$F$966,$A55)</f>
        <v>0</v>
      </c>
      <c r="AC55" s="9" t="n">
        <f aca="false">SUMIFS('Исходные данные'!$J$2:$J$966,'Исходные данные'!$D$2:$D$966,AB$1,'Исходные данные'!$F$2:$F$966,$A55)</f>
        <v>0</v>
      </c>
      <c r="AD55" s="9" t="n">
        <f aca="false">SUMIFS('Исходные данные'!$I$2:$I$966,'Исходные данные'!$D$2:$D$966,AD$1,'Исходные данные'!$F$2:$F$966,$A55)</f>
        <v>0</v>
      </c>
      <c r="AE55" s="9" t="n">
        <f aca="false">SUMIFS('Исходные данные'!$J$2:$J$966,'Исходные данные'!$D$2:$D$966,AD$1,'Исходные данные'!$F$2:$F$966,$A55)</f>
        <v>0</v>
      </c>
      <c r="AF55" s="9" t="n">
        <f aca="false">SUMIFS('Исходные данные'!$I$2:$I$966,'Исходные данные'!$D$2:$D$966,AF$1,'Исходные данные'!$F$2:$F$966,$A55)</f>
        <v>0</v>
      </c>
      <c r="AG55" s="9" t="n">
        <f aca="false">SUMIFS('Исходные данные'!$J$2:$J$966,'Исходные данные'!$D$2:$D$966,AF$1,'Исходные данные'!$F$2:$F$966,$A55)</f>
        <v>0</v>
      </c>
      <c r="AH55" s="9" t="n">
        <f aca="false">SUMIFS('Исходные данные'!$I$2:$I$966,'Исходные данные'!$D$2:$D$966,AH$1,'Исходные данные'!$F$2:$F$966,$A55)</f>
        <v>0</v>
      </c>
      <c r="AI55" s="9" t="n">
        <f aca="false">SUMIFS('Исходные данные'!$J$2:$J$966,'Исходные данные'!$D$2:$D$966,AH$1,'Исходные данные'!$F$2:$F$966,$A55)</f>
        <v>0</v>
      </c>
      <c r="AJ55" s="9" t="n">
        <f aca="false">SUMIFS('Исходные данные'!$I$2:$I$966,'Исходные данные'!$D$2:$D$966,AJ$1,'Исходные данные'!$F$2:$F$966,$A55)</f>
        <v>0</v>
      </c>
      <c r="AK55" s="9" t="n">
        <f aca="false">SUMIFS('Исходные данные'!$J$2:$J$966,'Исходные данные'!$D$2:$D$966,AJ$1,'Исходные данные'!$F$2:$F$966,$A55)</f>
        <v>0</v>
      </c>
      <c r="AL55" s="9" t="n">
        <f aca="false">SUMIFS('Исходные данные'!$I$2:$I$966,'Исходные данные'!$D$2:$D$966,AL$1,'Исходные данные'!$F$2:$F$966,$A55)</f>
        <v>0</v>
      </c>
      <c r="AM55" s="9" t="n">
        <f aca="false">SUMIFS('Исходные данные'!$J$2:$J$966,'Исходные данные'!$D$2:$D$966,AL$1,'Исходные данные'!$F$2:$F$966,$A55)</f>
        <v>0</v>
      </c>
      <c r="AN55" s="9" t="n">
        <f aca="false">SUMIFS('Исходные данные'!$I$2:$I$966,'Исходные данные'!$D$2:$D$966,AN$1,'Исходные данные'!$F$2:$F$966,$A55)</f>
        <v>0</v>
      </c>
      <c r="AO55" s="9" t="n">
        <f aca="false">SUMIFS('Исходные данные'!$J$2:$J$966,'Исходные данные'!$D$2:$D$966,AN$1,'Исходные данные'!$F$2:$F$966,$A55)</f>
        <v>0</v>
      </c>
      <c r="AP55" s="9" t="n">
        <f aca="false">SUMIFS('Исходные данные'!$I$2:$I$966,'Исходные данные'!$D$2:$D$966,AP$1,'Исходные данные'!$F$2:$F$966,$A55)</f>
        <v>0</v>
      </c>
      <c r="AQ55" s="9" t="n">
        <f aca="false">SUMIFS('Исходные данные'!$J$2:$J$966,'Исходные данные'!$D$2:$D$966,AP$1,'Исходные данные'!$F$2:$F$966,$A55)</f>
        <v>0</v>
      </c>
      <c r="AR55" s="9" t="n">
        <f aca="false">SUMIFS('Исходные данные'!$I$2:$I$966,'Исходные данные'!$D$2:$D$966,AR$1,'Исходные данные'!$F$2:$F$966,$A55)</f>
        <v>0</v>
      </c>
      <c r="AS55" s="9" t="n">
        <f aca="false">SUMIFS('Исходные данные'!$J$2:$J$966,'Исходные данные'!$D$2:$D$966,AR$1,'Исходные данные'!$F$2:$F$966,$A55)</f>
        <v>0</v>
      </c>
      <c r="AT55" s="9" t="n">
        <f aca="false">SUMIFS('Исходные данные'!$I$2:$I$966,'Исходные данные'!$D$2:$D$966,AT$1,'Исходные данные'!$F$2:$F$966,$A55)</f>
        <v>0</v>
      </c>
      <c r="AU55" s="9" t="n">
        <f aca="false">SUMIFS('Исходные данные'!$J$2:$J$966,'Исходные данные'!$D$2:$D$966,AT$1,'Исходные данные'!$F$2:$F$966,$A55)</f>
        <v>0</v>
      </c>
      <c r="AV55" s="9" t="n">
        <f aca="false">SUMIFS('Исходные данные'!$I$2:$I$966,'Исходные данные'!$D$2:$D$966,AV$1,'Исходные данные'!$F$2:$F$966,$A55)</f>
        <v>0</v>
      </c>
      <c r="AW55" s="9" t="n">
        <f aca="false">SUMIFS('Исходные данные'!$J$2:$J$966,'Исходные данные'!$D$2:$D$966,AV$1,'Исходные данные'!$F$2:$F$966,$A55)</f>
        <v>0</v>
      </c>
      <c r="AX55" s="9" t="n">
        <f aca="false">SUMIFS('Исходные данные'!$I$2:$I$966,'Исходные данные'!$D$2:$D$966,AX$1,'Исходные данные'!$F$2:$F$966,$A55)</f>
        <v>0</v>
      </c>
      <c r="AY55" s="9" t="n">
        <f aca="false">SUMIFS('Исходные данные'!$J$2:$J$966,'Исходные данные'!$D$2:$D$966,AX$1,'Исходные данные'!$F$2:$F$966,$A55)</f>
        <v>0</v>
      </c>
      <c r="AZ55" s="9" t="n">
        <f aca="false">SUMIFS('Исходные данные'!$I$2:$I$966,'Исходные данные'!$D$2:$D$966,AZ$1,'Исходные данные'!$F$2:$F$966,$A55)</f>
        <v>0</v>
      </c>
      <c r="BA55" s="9" t="n">
        <f aca="false">SUMIFS('Исходные данные'!$J$2:$J$966,'Исходные данные'!$D$2:$D$966,AZ$1,'Исходные данные'!$F$2:$F$966,$A55)</f>
        <v>0</v>
      </c>
      <c r="BB55" s="9" t="n">
        <f aca="false">SUMIFS('Исходные данные'!$I$2:$I$966,'Исходные данные'!$D$2:$D$966,BB$1,'Исходные данные'!$F$2:$F$966,$A55)</f>
        <v>0</v>
      </c>
      <c r="BC55" s="9" t="n">
        <f aca="false">SUMIFS('Исходные данные'!$J$2:$J$966,'Исходные данные'!$D$2:$D$966,BB$1,'Исходные данные'!$F$2:$F$966,$A55)</f>
        <v>0</v>
      </c>
      <c r="BD55" s="9" t="n">
        <f aca="false">SUMIFS('Исходные данные'!$I$2:$I$966,'Исходные данные'!$D$2:$D$966,BD$1,'Исходные данные'!$F$2:$F$966,$A55)</f>
        <v>0</v>
      </c>
      <c r="BE55" s="9" t="n">
        <f aca="false">SUMIFS('Исходные данные'!$J$2:$J$966,'Исходные данные'!$D$2:$D$966,BD$1,'Исходные данные'!$F$2:$F$966,$A55)</f>
        <v>0</v>
      </c>
      <c r="BF55" s="9" t="n">
        <f aca="false">SUMIFS('Исходные данные'!$I$2:$I$966,'Исходные данные'!$D$2:$D$966,BF$1,'Исходные данные'!$F$2:$F$966,$A55)</f>
        <v>0</v>
      </c>
      <c r="BG55" s="9" t="n">
        <f aca="false">SUMIFS('Исходные данные'!$J$2:$J$966,'Исходные данные'!$D$2:$D$966,BF$1,'Исходные данные'!$F$2:$F$966,$A55)</f>
        <v>0</v>
      </c>
      <c r="BH55" s="9" t="n">
        <f aca="false">SUMIFS('Исходные данные'!$I$2:$I$966,'Исходные данные'!$D$2:$D$966,BH$1,'Исходные данные'!$F$2:$F$966,$A55)</f>
        <v>0</v>
      </c>
      <c r="BI55" s="9" t="n">
        <f aca="false">SUMIFS('Исходные данные'!$J$2:$J$966,'Исходные данные'!$D$2:$D$966,BH$1,'Исходные данные'!$F$2:$F$966,$A55)</f>
        <v>0</v>
      </c>
      <c r="BJ55" s="9" t="n">
        <f aca="false">SUMIFS('Исходные данные'!$I$2:$I$966,'Исходные данные'!$D$2:$D$966,BJ$1,'Исходные данные'!$F$2:$F$966,$A55)</f>
        <v>0</v>
      </c>
      <c r="BK55" s="9" t="n">
        <f aca="false">SUMIFS('Исходные данные'!$J$2:$J$966,'Исходные данные'!$D$2:$D$966,BJ$1,'Исходные данные'!$F$2:$F$966,$A55)</f>
        <v>0</v>
      </c>
      <c r="BL55" s="9" t="n">
        <f aca="false">SUMIFS('Исходные данные'!$I$2:$I$966,'Исходные данные'!$D$2:$D$966,BL$1,'Исходные данные'!$F$2:$F$966,$A55)</f>
        <v>0</v>
      </c>
      <c r="BM55" s="9" t="n">
        <f aca="false">SUMIFS('Исходные данные'!$J$2:$J$966,'Исходные данные'!$D$2:$D$966,BL$1,'Исходные данные'!$F$2:$F$966,$A55)</f>
        <v>0</v>
      </c>
      <c r="BN55" s="9" t="n">
        <f aca="false">SUMIFS('Исходные данные'!$I$2:$I$966,'Исходные данные'!$D$2:$D$966,BN$1,'Исходные данные'!$F$2:$F$966,$A55)</f>
        <v>0</v>
      </c>
      <c r="BO55" s="9" t="n">
        <f aca="false">SUMIFS('Исходные данные'!$J$2:$J$966,'Исходные данные'!$D$2:$D$966,BN$1,'Исходные данные'!$F$2:$F$966,$A55)</f>
        <v>0</v>
      </c>
      <c r="BP55" s="9" t="n">
        <f aca="false">SUMIFS('Исходные данные'!$I$2:$I$966,'Исходные данные'!$D$2:$D$966,BP$1,'Исходные данные'!$F$2:$F$966,$A55)</f>
        <v>0</v>
      </c>
      <c r="BQ55" s="9" t="n">
        <f aca="false">SUMIFS('Исходные данные'!$J$2:$J$966,'Исходные данные'!$D$2:$D$966,BP$1,'Исходные данные'!$F$2:$F$966,$A55)</f>
        <v>0</v>
      </c>
      <c r="BR55" s="9" t="n">
        <f aca="false">SUMIFS('Исходные данные'!$I$2:$I$966,'Исходные данные'!$D$2:$D$966,BR$1,'Исходные данные'!$F$2:$F$966,$A55)</f>
        <v>0</v>
      </c>
      <c r="BS55" s="9" t="n">
        <f aca="false">SUMIFS('Исходные данные'!$J$2:$J$966,'Исходные данные'!$D$2:$D$966,BR$1,'Исходные данные'!$F$2:$F$966,$A55)</f>
        <v>0</v>
      </c>
      <c r="BT55" s="9" t="n">
        <f aca="false">SUMIFS('Исходные данные'!$I$2:$I$966,'Исходные данные'!$D$2:$D$966,BT$1,'Исходные данные'!$F$2:$F$966,$A55)</f>
        <v>0</v>
      </c>
      <c r="BU55" s="9" t="n">
        <f aca="false">SUMIFS('Исходные данные'!$J$2:$J$966,'Исходные данные'!$D$2:$D$966,BT$1,'Исходные данные'!$F$2:$F$966,$A55)</f>
        <v>0</v>
      </c>
      <c r="BV55" s="9" t="n">
        <f aca="false">SUMIFS('Исходные данные'!$I$2:$I$966,'Исходные данные'!$D$2:$D$966,BV$1,'Исходные данные'!$F$2:$F$966,$A55)</f>
        <v>0</v>
      </c>
      <c r="BW55" s="9" t="n">
        <f aca="false">SUMIFS('Исходные данные'!$J$2:$J$966,'Исходные данные'!$D$2:$D$966,BV$1,'Исходные данные'!$F$2:$F$966,$A55)</f>
        <v>0</v>
      </c>
      <c r="BX55" s="9" t="n">
        <f aca="false">SUMIFS('Исходные данные'!$I$2:$I$966,'Исходные данные'!$D$2:$D$966,BX$1,'Исходные данные'!$F$2:$F$966,$A55)</f>
        <v>0</v>
      </c>
      <c r="BY55" s="9" t="n">
        <f aca="false">SUMIFS('Исходные данные'!$J$2:$J$966,'Исходные данные'!$D$2:$D$966,BX$1,'Исходные данные'!$F$2:$F$966,$A55)</f>
        <v>0</v>
      </c>
      <c r="BZ55" s="9" t="n">
        <f aca="false">SUMIFS('Исходные данные'!$I$2:$I$966,'Исходные данные'!$D$2:$D$966,BZ$1,'Исходные данные'!$F$2:$F$966,$A55)</f>
        <v>0</v>
      </c>
      <c r="CA55" s="9" t="n">
        <f aca="false">SUMIFS('Исходные данные'!$J$2:$J$966,'Исходные данные'!$D$2:$D$966,BZ$1,'Исходные данные'!$F$2:$F$966,$A55)</f>
        <v>0</v>
      </c>
      <c r="CB55" s="9" t="n">
        <f aca="false">SUMIFS('Исходные данные'!$I$2:$I$966,'Исходные данные'!$D$2:$D$966,CB$1,'Исходные данные'!$F$2:$F$966,$A55)</f>
        <v>0</v>
      </c>
      <c r="CC55" s="9" t="n">
        <f aca="false">SUMIFS('Исходные данные'!$J$2:$J$966,'Исходные данные'!$D$2:$D$966,CB$1,'Исходные данные'!$F$2:$F$966,$A55)</f>
        <v>0</v>
      </c>
      <c r="CD55" s="9" t="n">
        <f aca="false">SUMIFS('Исходные данные'!$I$2:$I$966,'Исходные данные'!$D$2:$D$966,CD$1,'Исходные данные'!$F$2:$F$966,$A55)</f>
        <v>0</v>
      </c>
      <c r="CE55" s="9" t="n">
        <f aca="false">SUMIFS('Исходные данные'!$J$2:$J$966,'Исходные данные'!$D$2:$D$966,CD$1,'Исходные данные'!$F$2:$F$966,$A55)</f>
        <v>0</v>
      </c>
      <c r="CF55" s="9" t="n">
        <f aca="false">SUMIFS('Исходные данные'!$I$2:$I$966,'Исходные данные'!$D$2:$D$966,CF$1,'Исходные данные'!$F$2:$F$966,$A55)</f>
        <v>0</v>
      </c>
      <c r="CG55" s="9" t="n">
        <f aca="false">SUMIFS('Исходные данные'!$J$2:$J$966,'Исходные данные'!$D$2:$D$966,CF$1,'Исходные данные'!$F$2:$F$966,$A55)</f>
        <v>0</v>
      </c>
      <c r="CH55" s="9" t="n">
        <f aca="false">SUMIFS('Исходные данные'!$I$2:$I$966,'Исходные данные'!$D$2:$D$966,CH$1,'Исходные данные'!$F$2:$F$966,$A55)</f>
        <v>0</v>
      </c>
      <c r="CI55" s="9" t="n">
        <f aca="false">SUMIFS('Исходные данные'!$J$2:$J$966,'Исходные данные'!$D$2:$D$966,CH$1,'Исходные данные'!$F$2:$F$966,$A55)</f>
        <v>0</v>
      </c>
      <c r="CJ55" s="9" t="n">
        <f aca="false">SUMIFS('Исходные данные'!$I$2:$I$966,'Исходные данные'!$D$2:$D$966,CJ$1,'Исходные данные'!$F$2:$F$966,$A55)</f>
        <v>0</v>
      </c>
      <c r="CK55" s="9" t="n">
        <f aca="false">SUMIFS('Исходные данные'!$J$2:$J$966,'Исходные данные'!$D$2:$D$966,CJ$1,'Исходные данные'!$F$2:$F$966,$A55)</f>
        <v>0</v>
      </c>
      <c r="CL55" s="9" t="n">
        <f aca="false">SUMIFS('Исходные данные'!$I$2:$I$966,'Исходные данные'!$D$2:$D$966,CL$1,'Исходные данные'!$F$2:$F$966,$A55)</f>
        <v>0</v>
      </c>
      <c r="CM55" s="9" t="n">
        <f aca="false">SUMIFS('Исходные данные'!$J$2:$J$966,'Исходные данные'!$D$2:$D$966,CL$1,'Исходные данные'!$F$2:$F$966,$A55)</f>
        <v>0</v>
      </c>
      <c r="CN55" s="9" t="n">
        <f aca="false">SUMIFS('Исходные данные'!$I$2:$I$966,'Исходные данные'!$D$2:$D$966,CN$1,'Исходные данные'!$F$2:$F$966,$A55)</f>
        <v>0</v>
      </c>
      <c r="CO55" s="9" t="n">
        <f aca="false">SUMIFS('Исходные данные'!$J$2:$J$966,'Исходные данные'!$D$2:$D$966,CN$1,'Исходные данные'!$F$2:$F$966,$A55)</f>
        <v>0</v>
      </c>
      <c r="CP55" s="9" t="n">
        <f aca="false">SUMIFS('Исходные данные'!$I$2:$I$966,'Исходные данные'!$D$2:$D$966,CP$1,'Исходные данные'!$F$2:$F$966,$A55)</f>
        <v>0</v>
      </c>
      <c r="CQ55" s="9" t="n">
        <f aca="false">SUMIFS('Исходные данные'!$J$2:$J$966,'Исходные данные'!$D$2:$D$966,CP$1,'Исходные данные'!$F$2:$F$966,$A55)</f>
        <v>0</v>
      </c>
    </row>
    <row r="56" customFormat="false" ht="15" hidden="false" customHeight="false" outlineLevel="0" collapsed="false">
      <c r="A56" s="10"/>
      <c r="B56" s="10" t="s">
        <v>159</v>
      </c>
      <c r="C56" s="7" t="n">
        <f aca="false">SUM(C3:C55)</f>
        <v>711</v>
      </c>
      <c r="D56" s="7" t="n">
        <f aca="false">SUM(D3:D55)</f>
        <v>691</v>
      </c>
      <c r="E56" s="7" t="n">
        <f aca="false">SUM(E3:E55)</f>
        <v>-20</v>
      </c>
      <c r="F56" s="7" t="n">
        <f aca="false">SUM(F3:F55)</f>
        <v>538</v>
      </c>
      <c r="G56" s="7" t="n">
        <f aca="false">SUM(G3:G55)</f>
        <v>153</v>
      </c>
      <c r="H56" s="10" t="n">
        <f aca="false">SUM(H3:H55)</f>
        <v>39</v>
      </c>
      <c r="I56" s="10" t="n">
        <f aca="false">SUM(I3:I55)</f>
        <v>14</v>
      </c>
      <c r="J56" s="10" t="n">
        <f aca="false">SUM(J3:J55)</f>
        <v>39</v>
      </c>
      <c r="K56" s="10" t="n">
        <f aca="false">SUM(K3:K55)</f>
        <v>7</v>
      </c>
      <c r="L56" s="10" t="n">
        <f aca="false">SUM(L3:L55)</f>
        <v>61</v>
      </c>
      <c r="M56" s="10" t="n">
        <f aca="false">SUM(M3:M55)</f>
        <v>14</v>
      </c>
      <c r="N56" s="10" t="n">
        <f aca="false">SUM(N3:N55)</f>
        <v>4</v>
      </c>
      <c r="O56" s="10" t="n">
        <f aca="false">SUM(O3:O55)</f>
        <v>0</v>
      </c>
      <c r="P56" s="10" t="n">
        <f aca="false">SUM(P3:P55)</f>
        <v>19</v>
      </c>
      <c r="Q56" s="10" t="n">
        <f aca="false">SUM(Q3:Q55)</f>
        <v>1</v>
      </c>
      <c r="R56" s="10" t="n">
        <f aca="false">SUM(R3:R55)</f>
        <v>30</v>
      </c>
      <c r="S56" s="10" t="n">
        <f aca="false">SUM(S3:S55)</f>
        <v>4</v>
      </c>
      <c r="T56" s="10" t="n">
        <f aca="false">SUM(T3:T55)</f>
        <v>23</v>
      </c>
      <c r="U56" s="10" t="n">
        <f aca="false">SUM(U3:U55)</f>
        <v>2</v>
      </c>
      <c r="V56" s="10" t="n">
        <f aca="false">SUM(V3:V55)</f>
        <v>13</v>
      </c>
      <c r="W56" s="10" t="n">
        <f aca="false">SUM(W3:W55)</f>
        <v>0</v>
      </c>
      <c r="X56" s="10" t="n">
        <f aca="false">SUM(X3:X55)</f>
        <v>13</v>
      </c>
      <c r="Y56" s="10" t="n">
        <f aca="false">SUM(Y3:Y55)</f>
        <v>1</v>
      </c>
      <c r="Z56" s="10" t="n">
        <f aca="false">SUM(Z3:Z55)</f>
        <v>43</v>
      </c>
      <c r="AA56" s="10" t="n">
        <f aca="false">SUM(AA3:AA55)</f>
        <v>2</v>
      </c>
      <c r="AB56" s="10" t="n">
        <f aca="false">SUM(AB3:AB55)</f>
        <v>7</v>
      </c>
      <c r="AC56" s="10" t="n">
        <f aca="false">SUM(AC3:AC55)</f>
        <v>2</v>
      </c>
      <c r="AD56" s="10" t="n">
        <f aca="false">SUM(AD3:AD55)</f>
        <v>16</v>
      </c>
      <c r="AE56" s="10" t="n">
        <f aca="false">SUM(AE3:AE55)</f>
        <v>3</v>
      </c>
      <c r="AF56" s="10" t="n">
        <f aca="false">SUM(AF3:AF55)</f>
        <v>11</v>
      </c>
      <c r="AG56" s="10" t="n">
        <f aca="false">SUM(AG3:AG55)</f>
        <v>0</v>
      </c>
      <c r="AH56" s="10" t="n">
        <f aca="false">SUM(AH3:AH55)</f>
        <v>67</v>
      </c>
      <c r="AI56" s="10" t="n">
        <f aca="false">SUM(AI3:AI55)</f>
        <v>47</v>
      </c>
      <c r="AJ56" s="10" t="n">
        <f aca="false">SUM(AJ3:AJ55)</f>
        <v>36</v>
      </c>
      <c r="AK56" s="10" t="n">
        <f aca="false">SUM(AK3:AK55)</f>
        <v>27</v>
      </c>
      <c r="AL56" s="10" t="n">
        <f aca="false">SUM(AL3:AL55)</f>
        <v>19</v>
      </c>
      <c r="AM56" s="10" t="n">
        <f aca="false">SUM(AM3:AM55)</f>
        <v>4</v>
      </c>
      <c r="AN56" s="10" t="n">
        <f aca="false">SUM(AN3:AN55)</f>
        <v>10</v>
      </c>
      <c r="AO56" s="10" t="n">
        <f aca="false">SUM(AO3:AO55)</f>
        <v>3</v>
      </c>
      <c r="AP56" s="10" t="n">
        <f aca="false">SUM(AP3:AP55)</f>
        <v>6</v>
      </c>
      <c r="AQ56" s="10" t="n">
        <f aca="false">SUM(AQ3:AQ55)</f>
        <v>4</v>
      </c>
      <c r="AR56" s="10" t="n">
        <f aca="false">SUM(AR3:AR55)</f>
        <v>8</v>
      </c>
      <c r="AS56" s="10" t="n">
        <f aca="false">SUM(AS3:AS55)</f>
        <v>1</v>
      </c>
      <c r="AT56" s="10" t="n">
        <f aca="false">SUM(AT3:AT55)</f>
        <v>8</v>
      </c>
      <c r="AU56" s="10" t="n">
        <f aca="false">SUM(AU3:AU55)</f>
        <v>0</v>
      </c>
      <c r="AV56" s="10" t="n">
        <f aca="false">SUM(AV3:AV55)</f>
        <v>5</v>
      </c>
      <c r="AW56" s="10" t="n">
        <f aca="false">SUM(AW3:AW55)</f>
        <v>2</v>
      </c>
      <c r="AX56" s="10" t="n">
        <f aca="false">SUM(AX3:AX55)</f>
        <v>5</v>
      </c>
      <c r="AY56" s="10" t="n">
        <f aca="false">SUM(AY3:AY55)</f>
        <v>1</v>
      </c>
      <c r="AZ56" s="10" t="n">
        <f aca="false">SUM(AZ3:AZ55)</f>
        <v>7</v>
      </c>
      <c r="BA56" s="10" t="n">
        <f aca="false">SUM(BA3:BA55)</f>
        <v>0</v>
      </c>
      <c r="BB56" s="10" t="n">
        <f aca="false">SUM(BB3:BB55)</f>
        <v>5</v>
      </c>
      <c r="BC56" s="10" t="n">
        <f aca="false">SUM(BC3:BC55)</f>
        <v>1</v>
      </c>
      <c r="BD56" s="10" t="n">
        <f aca="false">SUM(BD3:BD55)</f>
        <v>2</v>
      </c>
      <c r="BE56" s="10" t="n">
        <f aca="false">SUM(BE3:BE55)</f>
        <v>1</v>
      </c>
      <c r="BF56" s="10" t="n">
        <f aca="false">SUM(BF3:BF55)</f>
        <v>3</v>
      </c>
      <c r="BG56" s="10" t="n">
        <f aca="false">SUM(BG3:BG55)</f>
        <v>0</v>
      </c>
      <c r="BH56" s="10" t="n">
        <f aca="false">SUM(BH3:BH55)</f>
        <v>2</v>
      </c>
      <c r="BI56" s="10" t="n">
        <f aca="false">SUM(BI3:BI55)</f>
        <v>0</v>
      </c>
      <c r="BJ56" s="10" t="n">
        <f aca="false">SUM(BJ3:BJ55)</f>
        <v>2</v>
      </c>
      <c r="BK56" s="10" t="n">
        <f aca="false">SUM(BK3:BK55)</f>
        <v>0</v>
      </c>
      <c r="BL56" s="10" t="n">
        <f aca="false">SUM(BL3:BL55)</f>
        <v>2</v>
      </c>
      <c r="BM56" s="10" t="n">
        <f aca="false">SUM(BM3:BM55)</f>
        <v>0</v>
      </c>
      <c r="BN56" s="10" t="n">
        <f aca="false">SUM(BN3:BN55)</f>
        <v>2</v>
      </c>
      <c r="BO56" s="10" t="n">
        <f aca="false">SUM(BO3:BO55)</f>
        <v>0</v>
      </c>
      <c r="BP56" s="10" t="n">
        <f aca="false">SUM(BP3:BP55)</f>
        <v>1</v>
      </c>
      <c r="BQ56" s="10" t="n">
        <f aca="false">SUM(BQ3:BQ55)</f>
        <v>0</v>
      </c>
      <c r="BR56" s="10" t="n">
        <f aca="false">SUM(BR3:BR55)</f>
        <v>1</v>
      </c>
      <c r="BS56" s="10" t="n">
        <f aca="false">SUM(BS3:BS55)</f>
        <v>0</v>
      </c>
      <c r="BT56" s="10" t="n">
        <f aca="false">SUM(BT3:BT55)</f>
        <v>1</v>
      </c>
      <c r="BU56" s="10" t="n">
        <f aca="false">SUM(BU3:BU55)</f>
        <v>0</v>
      </c>
      <c r="BV56" s="10" t="n">
        <f aca="false">SUM(BV3:BV55)</f>
        <v>6</v>
      </c>
      <c r="BW56" s="10" t="n">
        <f aca="false">SUM(BW3:BW55)</f>
        <v>2</v>
      </c>
      <c r="BX56" s="10" t="n">
        <f aca="false">SUM(BX3:BX55)</f>
        <v>3</v>
      </c>
      <c r="BY56" s="10" t="n">
        <f aca="false">SUM(BY3:BY55)</f>
        <v>4</v>
      </c>
      <c r="BZ56" s="10" t="n">
        <f aca="false">SUM(BZ3:BZ55)</f>
        <v>4</v>
      </c>
      <c r="CA56" s="10" t="n">
        <f aca="false">SUM(CA3:CA55)</f>
        <v>0</v>
      </c>
      <c r="CB56" s="10" t="n">
        <f aca="false">SUM(CB3:CB55)</f>
        <v>3</v>
      </c>
      <c r="CC56" s="10" t="n">
        <f aca="false">SUM(CC3:CC55)</f>
        <v>1</v>
      </c>
      <c r="CD56" s="10" t="n">
        <f aca="false">SUM(CD3:CD55)</f>
        <v>3</v>
      </c>
      <c r="CE56" s="10" t="n">
        <f aca="false">SUM(CE3:CE55)</f>
        <v>0</v>
      </c>
      <c r="CF56" s="10" t="n">
        <f aca="false">SUM(CF3:CF55)</f>
        <v>2</v>
      </c>
      <c r="CG56" s="10" t="n">
        <f aca="false">SUM(CG3:CG55)</f>
        <v>1</v>
      </c>
      <c r="CH56" s="10" t="n">
        <f aca="false">SUM(CH3:CH55)</f>
        <v>1</v>
      </c>
      <c r="CI56" s="10" t="n">
        <f aca="false">SUM(CI3:CI55)</f>
        <v>0</v>
      </c>
      <c r="CJ56" s="10" t="n">
        <f aca="false">SUM(CJ3:CJ55)</f>
        <v>1</v>
      </c>
      <c r="CK56" s="10" t="n">
        <f aca="false">SUM(CK3:CK55)</f>
        <v>0</v>
      </c>
      <c r="CL56" s="10" t="n">
        <f aca="false">SUM(CL3:CL55)</f>
        <v>0</v>
      </c>
      <c r="CM56" s="10" t="n">
        <f aca="false">SUM(CM3:CM55)</f>
        <v>1</v>
      </c>
      <c r="CN56" s="10" t="n">
        <f aca="false">SUM(CN3:CN55)</f>
        <v>1</v>
      </c>
      <c r="CO56" s="10" t="n">
        <f aca="false">SUM(CO3:CO55)</f>
        <v>0</v>
      </c>
      <c r="CP56" s="10" t="n">
        <f aca="false">SUM(CP3:CP55)</f>
        <v>4</v>
      </c>
      <c r="CQ56" s="10" t="n">
        <f aca="false">SUM(CQ3:CQ55)</f>
        <v>3</v>
      </c>
    </row>
    <row r="57" customFormat="false" ht="15" hidden="false" customHeight="false" outlineLevel="0" collapsed="false">
      <c r="A57" s="10"/>
      <c r="B57" s="10" t="s">
        <v>160</v>
      </c>
      <c r="C57" s="7"/>
      <c r="D57" s="7" t="n">
        <f aca="false">D56</f>
        <v>691</v>
      </c>
      <c r="E57" s="7"/>
      <c r="F57" s="7"/>
      <c r="G57" s="7"/>
      <c r="H57" s="11" t="n">
        <f aca="false">H56+I56</f>
        <v>53</v>
      </c>
      <c r="I57" s="11"/>
      <c r="J57" s="11" t="n">
        <f aca="false">J56+K56</f>
        <v>46</v>
      </c>
      <c r="K57" s="11"/>
      <c r="L57" s="11" t="n">
        <f aca="false">L56+M56</f>
        <v>75</v>
      </c>
      <c r="M57" s="11"/>
      <c r="N57" s="11" t="n">
        <f aca="false">N56+O56</f>
        <v>4</v>
      </c>
      <c r="O57" s="11"/>
      <c r="P57" s="11" t="n">
        <f aca="false">P56+Q56</f>
        <v>20</v>
      </c>
      <c r="Q57" s="11"/>
      <c r="R57" s="11" t="n">
        <f aca="false">R56+S56</f>
        <v>34</v>
      </c>
      <c r="S57" s="11"/>
      <c r="T57" s="11" t="n">
        <f aca="false">T56+U56</f>
        <v>25</v>
      </c>
      <c r="U57" s="11"/>
      <c r="V57" s="11" t="n">
        <f aca="false">V56+W56</f>
        <v>13</v>
      </c>
      <c r="W57" s="11"/>
      <c r="X57" s="11" t="n">
        <f aca="false">X56+Y56</f>
        <v>14</v>
      </c>
      <c r="Y57" s="11"/>
      <c r="Z57" s="11" t="n">
        <f aca="false">Z56+AA56</f>
        <v>45</v>
      </c>
      <c r="AA57" s="11"/>
      <c r="AB57" s="11" t="n">
        <f aca="false">AB56+AC56</f>
        <v>9</v>
      </c>
      <c r="AC57" s="11"/>
      <c r="AD57" s="11" t="n">
        <f aca="false">AD56+AE56</f>
        <v>19</v>
      </c>
      <c r="AE57" s="11"/>
      <c r="AF57" s="11" t="n">
        <f aca="false">AF56+AG56</f>
        <v>11</v>
      </c>
      <c r="AG57" s="11"/>
      <c r="AH57" s="11" t="n">
        <f aca="false">AH56+AI56</f>
        <v>114</v>
      </c>
      <c r="AI57" s="11"/>
      <c r="AJ57" s="11" t="n">
        <f aca="false">AJ56+AK56</f>
        <v>63</v>
      </c>
      <c r="AK57" s="11"/>
      <c r="AL57" s="11" t="n">
        <f aca="false">AL56+AM56</f>
        <v>23</v>
      </c>
      <c r="AM57" s="11"/>
      <c r="AN57" s="11" t="n">
        <f aca="false">AN56+AO56</f>
        <v>13</v>
      </c>
      <c r="AO57" s="11"/>
      <c r="AP57" s="11" t="n">
        <f aca="false">AP56+AQ56</f>
        <v>10</v>
      </c>
      <c r="AQ57" s="11"/>
      <c r="AR57" s="11" t="n">
        <f aca="false">AR56+AS56</f>
        <v>9</v>
      </c>
      <c r="AS57" s="11"/>
      <c r="AT57" s="11" t="n">
        <f aca="false">AT56+AU56</f>
        <v>8</v>
      </c>
      <c r="AU57" s="11"/>
      <c r="AV57" s="11" t="n">
        <f aca="false">AV56+AW56</f>
        <v>7</v>
      </c>
      <c r="AW57" s="11"/>
      <c r="AX57" s="11" t="n">
        <f aca="false">AX56+AY56</f>
        <v>6</v>
      </c>
      <c r="AY57" s="11"/>
      <c r="AZ57" s="11" t="n">
        <f aca="false">AZ56+BA56</f>
        <v>7</v>
      </c>
      <c r="BA57" s="11"/>
      <c r="BB57" s="11" t="n">
        <f aca="false">BB56+BC56</f>
        <v>6</v>
      </c>
      <c r="BC57" s="11"/>
      <c r="BD57" s="11" t="n">
        <f aca="false">BD56+BE56</f>
        <v>3</v>
      </c>
      <c r="BE57" s="11"/>
      <c r="BF57" s="11" t="n">
        <f aca="false">BF56+BG56</f>
        <v>3</v>
      </c>
      <c r="BG57" s="11"/>
      <c r="BH57" s="11" t="n">
        <f aca="false">BH56+BI56</f>
        <v>2</v>
      </c>
      <c r="BI57" s="11"/>
      <c r="BJ57" s="11" t="n">
        <f aca="false">BJ56+BK56</f>
        <v>2</v>
      </c>
      <c r="BK57" s="11"/>
      <c r="BL57" s="11" t="n">
        <f aca="false">BL56+BM56</f>
        <v>2</v>
      </c>
      <c r="BM57" s="11"/>
      <c r="BN57" s="11" t="n">
        <f aca="false">BN56+BO56</f>
        <v>2</v>
      </c>
      <c r="BO57" s="11"/>
      <c r="BP57" s="11" t="n">
        <f aca="false">BP56+BQ56</f>
        <v>1</v>
      </c>
      <c r="BQ57" s="11"/>
      <c r="BR57" s="11" t="n">
        <f aca="false">BR56+BS56</f>
        <v>1</v>
      </c>
      <c r="BS57" s="11"/>
      <c r="BT57" s="11" t="n">
        <f aca="false">BT56+BU56</f>
        <v>1</v>
      </c>
      <c r="BU57" s="11"/>
      <c r="BV57" s="11" t="n">
        <f aca="false">BV56+BW56</f>
        <v>8</v>
      </c>
      <c r="BW57" s="11"/>
      <c r="BX57" s="11" t="n">
        <f aca="false">BX56+BY56</f>
        <v>7</v>
      </c>
      <c r="BY57" s="11"/>
      <c r="BZ57" s="11" t="n">
        <f aca="false">BZ56+CA56</f>
        <v>4</v>
      </c>
      <c r="CA57" s="11"/>
      <c r="CB57" s="11" t="n">
        <f aca="false">CB56+CC56</f>
        <v>4</v>
      </c>
      <c r="CC57" s="11"/>
      <c r="CD57" s="11" t="n">
        <f aca="false">CD56+CE56</f>
        <v>3</v>
      </c>
      <c r="CE57" s="11"/>
      <c r="CF57" s="11" t="n">
        <f aca="false">CF56+CG56</f>
        <v>3</v>
      </c>
      <c r="CG57" s="11"/>
      <c r="CH57" s="11" t="n">
        <f aca="false">CH56+CI56</f>
        <v>1</v>
      </c>
      <c r="CI57" s="11"/>
      <c r="CJ57" s="11" t="n">
        <f aca="false">CJ56+CK56</f>
        <v>1</v>
      </c>
      <c r="CK57" s="11"/>
      <c r="CL57" s="11" t="n">
        <f aca="false">CL56+CM56</f>
        <v>1</v>
      </c>
      <c r="CM57" s="11"/>
      <c r="CN57" s="11" t="n">
        <f aca="false">CN56+CO56</f>
        <v>1</v>
      </c>
      <c r="CO57" s="11"/>
      <c r="CP57" s="11" t="n">
        <f aca="false">CP56+CQ56</f>
        <v>7</v>
      </c>
      <c r="CQ57" s="11"/>
    </row>
  </sheetData>
  <mergeCells count="95">
    <mergeCell ref="A1:A2"/>
    <mergeCell ref="B1:B2"/>
    <mergeCell ref="C1:C2"/>
    <mergeCell ref="D1:D2"/>
    <mergeCell ref="E1:E2"/>
    <mergeCell ref="F1:F2"/>
    <mergeCell ref="G1:G2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2"/>
    <col collapsed="false" customWidth="true" hidden="false" outlineLevel="0" max="9" min="9" style="0" width="21.43"/>
    <col collapsed="false" customWidth="true" hidden="false" outlineLevel="0" max="30" min="15" style="0" width="16.71"/>
  </cols>
  <sheetData>
    <row r="1" customFormat="false" ht="13.5" hidden="false" customHeight="true" outlineLevel="0" collapsed="false">
      <c r="A1" s="12" t="s">
        <v>161</v>
      </c>
      <c r="B1" s="12"/>
      <c r="C1" s="12"/>
      <c r="D1" s="12"/>
      <c r="E1" s="12"/>
      <c r="F1" s="12"/>
      <c r="G1" s="12"/>
      <c r="H1" s="13" t="s">
        <v>162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customFormat="false" ht="9" hidden="false" customHeight="true" outlineLevel="0" collapsed="false">
      <c r="A2" s="12"/>
      <c r="B2" s="12"/>
      <c r="C2" s="12"/>
      <c r="D2" s="12"/>
      <c r="E2" s="12"/>
      <c r="F2" s="12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customFormat="false" ht="25.5" hidden="false" customHeight="true" outlineLevel="0" collapsed="false">
      <c r="A3" s="14" t="n">
        <v>1</v>
      </c>
      <c r="B3" s="15" t="s">
        <v>163</v>
      </c>
      <c r="C3" s="16"/>
      <c r="D3" s="17"/>
      <c r="E3" s="16" t="s">
        <v>164</v>
      </c>
      <c r="F3" s="16"/>
      <c r="G3" s="18"/>
      <c r="H3" s="19"/>
      <c r="I3" s="20" t="s">
        <v>165</v>
      </c>
      <c r="J3" s="21" t="s">
        <v>2</v>
      </c>
      <c r="K3" s="22" t="s">
        <v>3</v>
      </c>
      <c r="L3" s="23" t="s">
        <v>4</v>
      </c>
      <c r="M3" s="24" t="s">
        <v>51</v>
      </c>
      <c r="N3" s="24" t="s">
        <v>52</v>
      </c>
      <c r="O3" s="25" t="s">
        <v>7</v>
      </c>
      <c r="P3" s="20" t="s">
        <v>8</v>
      </c>
      <c r="Q3" s="25" t="s">
        <v>9</v>
      </c>
      <c r="R3" s="20" t="s">
        <v>10</v>
      </c>
      <c r="S3" s="25" t="s">
        <v>11</v>
      </c>
      <c r="T3" s="20" t="s">
        <v>12</v>
      </c>
      <c r="U3" s="26" t="s">
        <v>13</v>
      </c>
      <c r="V3" s="20" t="s">
        <v>14</v>
      </c>
      <c r="W3" s="20" t="s">
        <v>18</v>
      </c>
      <c r="X3" s="25" t="s">
        <v>15</v>
      </c>
      <c r="Y3" s="20" t="s">
        <v>16</v>
      </c>
      <c r="Z3" s="25" t="s">
        <v>17</v>
      </c>
      <c r="AA3" s="20" t="s">
        <v>19</v>
      </c>
      <c r="AB3" s="20" t="s">
        <v>27</v>
      </c>
      <c r="AC3" s="25" t="s">
        <v>20</v>
      </c>
      <c r="AD3" s="20" t="s">
        <v>21</v>
      </c>
    </row>
    <row r="4" customFormat="false" ht="25.5" hidden="false" customHeight="true" outlineLevel="0" collapsed="false">
      <c r="A4" s="27" t="n">
        <v>2</v>
      </c>
      <c r="B4" s="28" t="s">
        <v>166</v>
      </c>
      <c r="C4" s="29" t="s">
        <v>7</v>
      </c>
      <c r="D4" s="30"/>
      <c r="E4" s="30" t="s">
        <v>167</v>
      </c>
      <c r="F4" s="30" t="s">
        <v>20</v>
      </c>
      <c r="G4" s="31"/>
      <c r="H4" s="32"/>
      <c r="I4" s="33"/>
      <c r="J4" s="34"/>
      <c r="K4" s="35"/>
      <c r="L4" s="36"/>
      <c r="M4" s="37"/>
      <c r="N4" s="37"/>
      <c r="O4" s="38" t="str">
        <f aca="false">IF(SUMIFS('Исходные данные'!$I$2:$I$966,'Исходные данные'!$D$2:$D$966,O$3,'Исходные данные'!$F$2:$F$966,$H5&amp;"",'Исходные данные'!$L$2:$L$966,"УТТ")+SUMIFS('Исходные данные'!$J$2:$J$966,'Исходные данные'!$D$2:$D$966,O$3,'Исходные данные'!$F$2:$F$966,$H5&amp;"",'Исходные данные'!$L$2:$L$966,"УТТ")=0,"","утт-"&amp;(SUMIFS('Исходные данные'!$I$2:$I$966,'Исходные данные'!$D$2:$D$966,O$3,'Исходные данные'!$F$2:$F$966,$H5&amp;"",'Исходные данные'!$L$2:$L$966,"УТТ")+SUMIFS('Исходные данные'!$J$2:$J$966,'Исходные данные'!$D$2:$D$966,O$3,'Исходные данные'!$F$2:$F$966,$H5&amp;"",'Исходные данные'!$L$2:$L$966,"УТТ")))</f>
        <v>утт-1</v>
      </c>
      <c r="P4" s="39" t="str">
        <f aca="false">IF(SUMIFS('Исходные данные'!$I$2:$I$966,'Исходные данные'!$D$2:$D$966,P$3,'Исходные данные'!$F$2:$F$966,$H5&amp;"",'Исходные данные'!$L$2:$L$966,"УТТ")+SUMIFS('Исходные данные'!$J$2:$J$966,'Исходные данные'!$D$2:$D$966,P$3,'Исходные данные'!$F$2:$F$966,$H5&amp;"",'Исходные данные'!$L$2:$L$966,"УТТ")=0,"","утт-"&amp;(SUMIFS('Исходные данные'!$I$2:$I$966,'Исходные данные'!$D$2:$D$966,P$3,'Исходные данные'!$F$2:$F$966,$H5&amp;"",'Исходные данные'!$L$2:$L$966,"УТТ")+SUMIFS('Исходные данные'!$J$2:$J$966,'Исходные данные'!$D$2:$D$966,P$3,'Исходные данные'!$F$2:$F$966,$H5&amp;"",'Исходные данные'!$L$2:$L$966,"УТТ")))</f>
        <v>утт-1</v>
      </c>
      <c r="Q4" s="38" t="str">
        <f aca="false">IF(SUMIFS('Исходные данные'!$I$2:$I$966,'Исходные данные'!$D$2:$D$966,Q$3,'Исходные данные'!$F$2:$F$966,$H5&amp;"",'Исходные данные'!$L$2:$L$966,"УТТ")+SUMIFS('Исходные данные'!$J$2:$J$966,'Исходные данные'!$D$2:$D$966,Q$3,'Исходные данные'!$F$2:$F$966,$H5&amp;"",'Исходные данные'!$L$2:$L$966,"УТТ")=0,"","утт-"&amp;(SUMIFS('Исходные данные'!$I$2:$I$966,'Исходные данные'!$D$2:$D$966,Q$3,'Исходные данные'!$F$2:$F$966,$H5&amp;"",'Исходные данные'!$L$2:$L$966,"УТТ")+SUMIFS('Исходные данные'!$J$2:$J$966,'Исходные данные'!$D$2:$D$966,Q$3,'Исходные данные'!$F$2:$F$966,$H5&amp;"",'Исходные данные'!$L$2:$L$966,"УТТ")))</f>
        <v/>
      </c>
      <c r="R4" s="40" t="str">
        <f aca="false">IF(SUMIFS('Исходные данные'!$I$2:$I$966,'Исходные данные'!$D$2:$D$966,R$3,'Исходные данные'!$F$2:$F$966,$H5&amp;"",'Исходные данные'!$L$2:$L$966,"УТТ")+SUMIFS('Исходные данные'!$J$2:$J$966,'Исходные данные'!$D$2:$D$966,R$3,'Исходные данные'!$F$2:$F$966,$H5&amp;"",'Исходные данные'!$L$2:$L$966,"УТТ")=0,"","утт-"&amp;(SUMIFS('Исходные данные'!$I$2:$I$966,'Исходные данные'!$D$2:$D$966,R$3,'Исходные данные'!$F$2:$F$966,$H5&amp;"",'Исходные данные'!$L$2:$L$966,"УТТ")+SUMIFS('Исходные данные'!$J$2:$J$966,'Исходные данные'!$D$2:$D$966,R$3,'Исходные данные'!$F$2:$F$966,$H5&amp;"",'Исходные данные'!$L$2:$L$966,"УТТ")))</f>
        <v/>
      </c>
      <c r="S4" s="41" t="str">
        <f aca="false">IF(SUMIFS('Исходные данные'!$I$2:$I$966,'Исходные данные'!$D$2:$D$966,S$3,'Исходные данные'!$F$2:$F$966,$H5&amp;"",'Исходные данные'!$L$2:$L$966,"УТТ")+SUMIFS('Исходные данные'!$J$2:$J$966,'Исходные данные'!$D$2:$D$966,S$3,'Исходные данные'!$F$2:$F$966,$H5&amp;"",'Исходные данные'!$L$2:$L$966,"УТТ")=0,"","утт-"&amp;(SUMIFS('Исходные данные'!$I$2:$I$966,'Исходные данные'!$D$2:$D$966,S$3,'Исходные данные'!$F$2:$F$966,$H5&amp;"",'Исходные данные'!$L$2:$L$966,"УТТ")+SUMIFS('Исходные данные'!$J$2:$J$966,'Исходные данные'!$D$2:$D$966,S$3,'Исходные данные'!$F$2:$F$966,$H5&amp;"",'Исходные данные'!$L$2:$L$966,"УТТ")))</f>
        <v/>
      </c>
      <c r="T4" s="38" t="str">
        <f aca="false">IF(SUMIFS('Исходные данные'!$I$2:$I$966,'Исходные данные'!$D$2:$D$966,T$3,'Исходные данные'!$F$2:$F$966,$H5&amp;"",'Исходные данные'!$L$2:$L$966,"УТТ")+SUMIFS('Исходные данные'!$J$2:$J$966,'Исходные данные'!$D$2:$D$966,T$3,'Исходные данные'!$F$2:$F$966,$H5&amp;"",'Исходные данные'!$L$2:$L$966,"УТТ")=0,"","утт-"&amp;(SUMIFS('Исходные данные'!$I$2:$I$966,'Исходные данные'!$D$2:$D$966,T$3,'Исходные данные'!$F$2:$F$966,$H5&amp;"",'Исходные данные'!$L$2:$L$966,"УТТ")+SUMIFS('Исходные данные'!$J$2:$J$966,'Исходные данные'!$D$2:$D$966,T$3,'Исходные данные'!$F$2:$F$966,$H5&amp;"",'Исходные данные'!$L$2:$L$966,"УТТ")))</f>
        <v/>
      </c>
      <c r="U4" s="41" t="str">
        <f aca="false">IF(SUMIFS('Исходные данные'!$I$2:$I$966,'Исходные данные'!$D$2:$D$966,U$3,'Исходные данные'!$F$2:$F$966,$H5&amp;"",'Исходные данные'!$L$2:$L$966,"УТТ")+SUMIFS('Исходные данные'!$J$2:$J$966,'Исходные данные'!$D$2:$D$966,U$3,'Исходные данные'!$F$2:$F$966,$H5&amp;"",'Исходные данные'!$L$2:$L$966,"УТТ")=0,"","утт-"&amp;(SUMIFS('Исходные данные'!$I$2:$I$966,'Исходные данные'!$D$2:$D$966,U$3,'Исходные данные'!$F$2:$F$966,$H5&amp;"",'Исходные данные'!$L$2:$L$966,"УТТ")+SUMIFS('Исходные данные'!$J$2:$J$966,'Исходные данные'!$D$2:$D$966,U$3,'Исходные данные'!$F$2:$F$966,$H5&amp;"",'Исходные данные'!$L$2:$L$966,"УТТ")))</f>
        <v/>
      </c>
      <c r="V4" s="38" t="str">
        <f aca="false">IF(SUMIFS('Исходные данные'!$I$2:$I$966,'Исходные данные'!$D$2:$D$966,V$3,'Исходные данные'!$F$2:$F$966,$H5&amp;"",'Исходные данные'!$L$2:$L$966,"УТТ")+SUMIFS('Исходные данные'!$J$2:$J$966,'Исходные данные'!$D$2:$D$966,V$3,'Исходные данные'!$F$2:$F$966,$H5&amp;"",'Исходные данные'!$L$2:$L$966,"УТТ")=0,"","утт-"&amp;(SUMIFS('Исходные данные'!$I$2:$I$966,'Исходные данные'!$D$2:$D$966,V$3,'Исходные данные'!$F$2:$F$966,$H5&amp;"",'Исходные данные'!$L$2:$L$966,"УТТ")+SUMIFS('Исходные данные'!$J$2:$J$966,'Исходные данные'!$D$2:$D$966,V$3,'Исходные данные'!$F$2:$F$966,$H5&amp;"",'Исходные данные'!$L$2:$L$966,"УТТ")))</f>
        <v/>
      </c>
      <c r="W4" s="41" t="str">
        <f aca="false">IF(SUMIFS('Исходные данные'!$I$2:$I$966,'Исходные данные'!$D$2:$D$966,W$3,'Исходные данные'!$F$2:$F$966,$H5&amp;"",'Исходные данные'!$L$2:$L$966,"УТТ")+SUMIFS('Исходные данные'!$J$2:$J$966,'Исходные данные'!$D$2:$D$966,W$3,'Исходные данные'!$F$2:$F$966,$H5&amp;"",'Исходные данные'!$L$2:$L$966,"УТТ")=0,"","утт-"&amp;(SUMIFS('Исходные данные'!$I$2:$I$966,'Исходные данные'!$D$2:$D$966,W$3,'Исходные данные'!$F$2:$F$966,$H5&amp;"",'Исходные данные'!$L$2:$L$966,"УТТ")+SUMIFS('Исходные данные'!$J$2:$J$966,'Исходные данные'!$D$2:$D$966,W$3,'Исходные данные'!$F$2:$F$966,$H5&amp;"",'Исходные данные'!$L$2:$L$966,"УТТ")))</f>
        <v/>
      </c>
      <c r="X4" s="41" t="str">
        <f aca="false">IF(SUMIFS('Исходные данные'!$I$2:$I$966,'Исходные данные'!$D$2:$D$966,X$3,'Исходные данные'!$F$2:$F$966,$H5&amp;"",'Исходные данные'!$L$2:$L$966,"УТТ")+SUMIFS('Исходные данные'!$J$2:$J$966,'Исходные данные'!$D$2:$D$966,X$3,'Исходные данные'!$F$2:$F$966,$H5&amp;"",'Исходные данные'!$L$2:$L$966,"УТТ")=0,"","утт-"&amp;(SUMIFS('Исходные данные'!$I$2:$I$966,'Исходные данные'!$D$2:$D$966,X$3,'Исходные данные'!$F$2:$F$966,$H5&amp;"",'Исходные данные'!$L$2:$L$966,"УТТ")+SUMIFS('Исходные данные'!$J$2:$J$966,'Исходные данные'!$D$2:$D$966,X$3,'Исходные данные'!$F$2:$F$966,$H5&amp;"",'Исходные данные'!$L$2:$L$966,"УТТ")))</f>
        <v/>
      </c>
      <c r="Y4" s="42" t="str">
        <f aca="false">IF(SUMIFS('Исходные данные'!$I$2:$I$966,'Исходные данные'!$D$2:$D$966,Y$3,'Исходные данные'!$F$2:$F$966,$H5&amp;"",'Исходные данные'!$L$2:$L$966,"УТТ")+SUMIFS('Исходные данные'!$J$2:$J$966,'Исходные данные'!$D$2:$D$966,Y$3,'Исходные данные'!$F$2:$F$966,$H5&amp;"",'Исходные данные'!$L$2:$L$966,"УТТ")=0,"","утт-"&amp;(SUMIFS('Исходные данные'!$I$2:$I$966,'Исходные данные'!$D$2:$D$966,Y$3,'Исходные данные'!$F$2:$F$966,$H5&amp;"",'Исходные данные'!$L$2:$L$966,"УТТ")+SUMIFS('Исходные данные'!$J$2:$J$966,'Исходные данные'!$D$2:$D$966,Y$3,'Исходные данные'!$F$2:$F$966,$H5&amp;"",'Исходные данные'!$L$2:$L$966,"УТТ")))</f>
        <v/>
      </c>
      <c r="Z4" s="38" t="str">
        <f aca="false">IF(SUMIFS('Исходные данные'!$I$2:$I$966,'Исходные данные'!$D$2:$D$966,Z$3,'Исходные данные'!$F$2:$F$966,$H5&amp;"",'Исходные данные'!$L$2:$L$966,"УТТ")+SUMIFS('Исходные данные'!$J$2:$J$966,'Исходные данные'!$D$2:$D$966,Z$3,'Исходные данные'!$F$2:$F$966,$H5&amp;"",'Исходные данные'!$L$2:$L$966,"УТТ")=0,"","утт-"&amp;(SUMIFS('Исходные данные'!$I$2:$I$966,'Исходные данные'!$D$2:$D$966,Z$3,'Исходные данные'!$F$2:$F$966,$H5&amp;"",'Исходные данные'!$L$2:$L$966,"УТТ")+SUMIFS('Исходные данные'!$J$2:$J$966,'Исходные данные'!$D$2:$D$966,Z$3,'Исходные данные'!$F$2:$F$966,$H5&amp;"",'Исходные данные'!$L$2:$L$966,"УТТ")))</f>
        <v/>
      </c>
      <c r="AA4" s="39" t="str">
        <f aca="false">IF(SUMIFS('Исходные данные'!$I$2:$I$966,'Исходные данные'!$D$2:$D$966,AA$3,'Исходные данные'!$F$2:$F$966,$H5&amp;"",'Исходные данные'!$L$2:$L$966,"УТТ")+SUMIFS('Исходные данные'!$J$2:$J$966,'Исходные данные'!$D$2:$D$966,AA$3,'Исходные данные'!$F$2:$F$966,$H5&amp;"",'Исходные данные'!$L$2:$L$966,"УТТ")=0,"","утт-"&amp;(SUMIFS('Исходные данные'!$I$2:$I$966,'Исходные данные'!$D$2:$D$966,AA$3,'Исходные данные'!$F$2:$F$966,$H5&amp;"",'Исходные данные'!$L$2:$L$966,"УТТ")+SUMIFS('Исходные данные'!$J$2:$J$966,'Исходные данные'!$D$2:$D$966,AA$3,'Исходные данные'!$F$2:$F$966,$H5&amp;"",'Исходные данные'!$L$2:$L$966,"УТТ")))</f>
        <v/>
      </c>
      <c r="AB4" s="39" t="str">
        <f aca="false">IF(SUMIFS('Исходные данные'!$I$2:$I$966,'Исходные данные'!$D$2:$D$966,AB$3,'Исходные данные'!$F$2:$F$966,$H5&amp;"",'Исходные данные'!$L$2:$L$966,"УТТ")+SUMIFS('Исходные данные'!$J$2:$J$966,'Исходные данные'!$D$2:$D$966,AB$3,'Исходные данные'!$F$2:$F$966,$H5&amp;"",'Исходные данные'!$L$2:$L$966,"УТТ")=0,"","утт-"&amp;(SUMIFS('Исходные данные'!$I$2:$I$966,'Исходные данные'!$D$2:$D$966,AB$3,'Исходные данные'!$F$2:$F$966,$H5&amp;"",'Исходные данные'!$L$2:$L$966,"УТТ")+SUMIFS('Исходные данные'!$J$2:$J$966,'Исходные данные'!$D$2:$D$966,AB$3,'Исходные данные'!$F$2:$F$966,$H5&amp;"",'Исходные данные'!$L$2:$L$966,"УТТ")))</f>
        <v/>
      </c>
      <c r="AC4" s="38" t="str">
        <f aca="false">IF(SUMIFS('Исходные данные'!$I$2:$I$966,'Исходные данные'!$D$2:$D$966,AC$3,'Исходные данные'!$F$2:$F$966,$H5&amp;"",'Исходные данные'!$L$2:$L$966,"УТТ")+SUMIFS('Исходные данные'!$J$2:$J$966,'Исходные данные'!$D$2:$D$966,AC$3,'Исходные данные'!$F$2:$F$966,$H5&amp;"",'Исходные данные'!$L$2:$L$966,"УТТ")=0,"","утт-"&amp;(SUMIFS('Исходные данные'!$I$2:$I$966,'Исходные данные'!$D$2:$D$966,AC$3,'Исходные данные'!$F$2:$F$966,$H5&amp;"",'Исходные данные'!$L$2:$L$966,"УТТ")+SUMIFS('Исходные данные'!$J$2:$J$966,'Исходные данные'!$D$2:$D$966,AC$3,'Исходные данные'!$F$2:$F$966,$H5&amp;"",'Исходные данные'!$L$2:$L$966,"УТТ")))</f>
        <v/>
      </c>
      <c r="AD4" s="39" t="str">
        <f aca="false">IF(SUMIFS('Исходные данные'!$I$2:$I$966,'Исходные данные'!$D$2:$D$966,AD$3,'Исходные данные'!$F$2:$F$966,$H5&amp;"",'Исходные данные'!$L$2:$L$966,"УТТ")+SUMIFS('Исходные данные'!$J$2:$J$966,'Исходные данные'!$D$2:$D$966,AD$3,'Исходные данные'!$F$2:$F$966,$H5&amp;"",'Исходные данные'!$L$2:$L$966,"УТТ")=0,"","утт-"&amp;(SUMIFS('Исходные данные'!$I$2:$I$966,'Исходные данные'!$D$2:$D$966,AD$3,'Исходные данные'!$F$2:$F$966,$H5&amp;"",'Исходные данные'!$L$2:$L$966,"УТТ")+SUMIFS('Исходные данные'!$J$2:$J$966,'Исходные данные'!$D$2:$D$966,AD$3,'Исходные данные'!$F$2:$F$966,$H5&amp;"",'Исходные данные'!$L$2:$L$966,"УТТ")))</f>
        <v>утт-7</v>
      </c>
    </row>
    <row r="5" customFormat="false" ht="25.5" hidden="false" customHeight="true" outlineLevel="0" collapsed="false">
      <c r="A5" s="43" t="n">
        <v>3</v>
      </c>
      <c r="B5" s="28" t="s">
        <v>168</v>
      </c>
      <c r="C5" s="29" t="s">
        <v>7</v>
      </c>
      <c r="D5" s="30"/>
      <c r="E5" s="30" t="s">
        <v>169</v>
      </c>
      <c r="F5" s="30" t="s">
        <v>20</v>
      </c>
      <c r="G5" s="31"/>
      <c r="H5" s="32" t="n">
        <v>34</v>
      </c>
      <c r="I5" s="44" t="s">
        <v>163</v>
      </c>
      <c r="J5" s="45" t="n">
        <f aca="false">IFERROR(INDEX('Выход ТС'!$C:$C,MATCH($H5&amp;"",'Выход ТС'!$A:$A,0)),"")</f>
        <v>29</v>
      </c>
      <c r="K5" s="46" t="n">
        <f aca="false">IFERROR(INDEX('Выход ТС'!$D:$D,MATCH($H5&amp;"",'Выход ТС'!$A:$A,0)),"")</f>
        <v>25</v>
      </c>
      <c r="L5" s="47" t="n">
        <f aca="false">IFERROR(INDEX('Выход ТС'!$E:$E,MATCH($H5&amp;"",'Выход ТС'!$A:$A,0)),"")</f>
        <v>-4</v>
      </c>
      <c r="M5" s="48" t="n">
        <f aca="false">IFERROR(IF(INDEX('Выход ТС'!$F:$F,MATCH($H5&amp;"",'Выход ТС'!$A:$A,0))=0,"",INDEX('Выход ТС'!$F:$F,MATCH($H5&amp;"",'Выход ТС'!$A:$A,0))),"")</f>
        <v>18</v>
      </c>
      <c r="N5" s="48" t="n">
        <f aca="false">IFERROR(IF(INDEX('Выход ТС'!$G:$G,MATCH($H5&amp;"",'Выход ТС'!$A:$A,0))=0,"",INDEX('Выход ТС'!$G:$G,MATCH($H5&amp;"",'Выход ТС'!$A:$A,0))),"")</f>
        <v>7</v>
      </c>
      <c r="O5" s="49" t="str">
        <f aca="false">IF(SUMIFS('Исходные данные'!$I$2:$I$966,'Исходные данные'!$D$2:$D$966,O$3,'Исходные данные'!$F$2:$F$966,$H5&amp;"")+SUMIFS('Исходные данные'!$J$2:$J$966,'Исходные данные'!$D$2:$D$966,O$3,'Исходные данные'!$F$2:$F$966,$H5&amp;"")=0,"",IF(SUMIFS('Исходные данные'!$J$2:$J$966,'Исходные данные'!$D$2:$D$966,O$3,'Исходные данные'!$F$2:$F$966,$H5&amp;"")=0,SUMIFS('Исходные данные'!$I$2:$I$966,'Исходные данные'!$D$2:$D$966,O$3,'Исходные данные'!$F$2:$F$966,$H5&amp;""),IF(SUMIFS('Исходные данные'!$I$2:$I$966,'Исходные данные'!$D$2:$D$966,O$3,'Исходные данные'!$F$2:$F$966,$H5&amp;"")=0,"0+"&amp;SUMIFS('Исходные данные'!$J$2:$J$966,'Исходные данные'!$D$2:$D$966,O$3,'Исходные данные'!$F$2:$F$966,$H5&amp;"")&amp;"="&amp;SUMIFS('Исходные данные'!$J$2:$J$966,'Исходные данные'!$D$2:$D$966,O$3,'Исходные данные'!$F$2:$F$966,$H5&amp;""),SUMIFS('Исходные данные'!$I$2:$I$966,'Исходные данные'!$D$2:$D$966,O$3,'Исходные данные'!$F$2:$F$966,$H5&amp;"")&amp;"+"&amp;SUMIFS('Исходные данные'!$J$2:$J$966,'Исходные данные'!$D$2:$D$966,O$3,'Исходные данные'!$F$2:$F$966,$H5&amp;"")&amp;"="&amp;(SUMIFS('Исходные данные'!$I$2:$I$966,'Исходные данные'!$D$2:$D$966,O$3,'Исходные данные'!$F$2:$F$966,$H5&amp;"")+SUMIFS('Исходные данные'!$J$2:$J$966,'Исходные данные'!$D$2:$D$966,O$3,'Исходные данные'!$F$2:$F$966,$H5&amp;"")))))</f>
        <v>3+1=4</v>
      </c>
      <c r="P5" s="50" t="n">
        <f aca="false">IF(SUMIFS('Исходные данные'!$I$2:$I$966,'Исходные данные'!$D$2:$D$966,P$3,'Исходные данные'!$F$2:$F$966,$H5&amp;"")+SUMIFS('Исходные данные'!$J$2:$J$966,'Исходные данные'!$D$2:$D$966,P$3,'Исходные данные'!$F$2:$F$966,$H5&amp;"")=0,"",IF(SUMIFS('Исходные данные'!$J$2:$J$966,'Исходные данные'!$D$2:$D$966,P$3,'Исходные данные'!$F$2:$F$966,$H5&amp;"")=0,SUMIFS('Исходные данные'!$I$2:$I$966,'Исходные данные'!$D$2:$D$966,P$3,'Исходные данные'!$F$2:$F$966,$H5&amp;""),IF(SUMIFS('Исходные данные'!$I$2:$I$966,'Исходные данные'!$D$2:$D$966,P$3,'Исходные данные'!$F$2:$F$966,$H5&amp;"")=0,"0+"&amp;SUMIFS('Исходные данные'!$J$2:$J$966,'Исходные данные'!$D$2:$D$966,P$3,'Исходные данные'!$F$2:$F$966,$H5&amp;"")&amp;"="&amp;SUMIFS('Исходные данные'!$J$2:$J$966,'Исходные данные'!$D$2:$D$966,P$3,'Исходные данные'!$F$2:$F$966,$H5&amp;""),SUMIFS('Исходные данные'!$I$2:$I$966,'Исходные данные'!$D$2:$D$966,P$3,'Исходные данные'!$F$2:$F$966,$H5&amp;"")&amp;"+"&amp;SUMIFS('Исходные данные'!$J$2:$J$966,'Исходные данные'!$D$2:$D$966,P$3,'Исходные данные'!$F$2:$F$966,$H5&amp;"")&amp;"="&amp;(SUMIFS('Исходные данные'!$I$2:$I$966,'Исходные данные'!$D$2:$D$966,P$3,'Исходные данные'!$F$2:$F$966,$H5&amp;"")+SUMIFS('Исходные данные'!$J$2:$J$966,'Исходные данные'!$D$2:$D$966,P$3,'Исходные данные'!$F$2:$F$966,$H5&amp;"")))))</f>
        <v>3</v>
      </c>
      <c r="Q5" s="49" t="n">
        <f aca="false">IF(SUMIFS('Исходные данные'!$I$2:$I$966,'Исходные данные'!$D$2:$D$966,Q$3,'Исходные данные'!$F$2:$F$966,$H5&amp;"")+SUMIFS('Исходные данные'!$J$2:$J$966,'Исходные данные'!$D$2:$D$966,Q$3,'Исходные данные'!$F$2:$F$966,$H5&amp;"")=0,"",IF(SUMIFS('Исходные данные'!$J$2:$J$966,'Исходные данные'!$D$2:$D$966,Q$3,'Исходные данные'!$F$2:$F$966,$H5&amp;"")=0,SUMIFS('Исходные данные'!$I$2:$I$966,'Исходные данные'!$D$2:$D$966,Q$3,'Исходные данные'!$F$2:$F$966,$H5&amp;""),IF(SUMIFS('Исходные данные'!$I$2:$I$966,'Исходные данные'!$D$2:$D$966,Q$3,'Исходные данные'!$F$2:$F$966,$H5&amp;"")=0,"0+"&amp;SUMIFS('Исходные данные'!$J$2:$J$966,'Исходные данные'!$D$2:$D$966,Q$3,'Исходные данные'!$F$2:$F$966,$H5&amp;"")&amp;"="&amp;SUMIFS('Исходные данные'!$J$2:$J$966,'Исходные данные'!$D$2:$D$966,Q$3,'Исходные данные'!$F$2:$F$966,$H5&amp;""),SUMIFS('Исходные данные'!$I$2:$I$966,'Исходные данные'!$D$2:$D$966,Q$3,'Исходные данные'!$F$2:$F$966,$H5&amp;"")&amp;"+"&amp;SUMIFS('Исходные данные'!$J$2:$J$966,'Исходные данные'!$D$2:$D$966,Q$3,'Исходные данные'!$F$2:$F$966,$H5&amp;"")&amp;"="&amp;(SUMIFS('Исходные данные'!$I$2:$I$966,'Исходные данные'!$D$2:$D$966,Q$3,'Исходные данные'!$F$2:$F$966,$H5&amp;"")+SUMIFS('Исходные данные'!$J$2:$J$966,'Исходные данные'!$D$2:$D$966,Q$3,'Исходные данные'!$F$2:$F$966,$H5&amp;"")))))</f>
        <v>3</v>
      </c>
      <c r="R5" s="51" t="str">
        <f aca="false">IF(SUMIFS('Исходные данные'!$I$2:$I$966,'Исходные данные'!$D$2:$D$966,R$3,'Исходные данные'!$F$2:$F$966,$H5&amp;"")+SUMIFS('Исходные данные'!$J$2:$J$966,'Исходные данные'!$D$2:$D$966,R$3,'Исходные данные'!$F$2:$F$966,$H5&amp;"")=0,"",IF(SUMIFS('Исходные данные'!$J$2:$J$966,'Исходные данные'!$D$2:$D$966,R$3,'Исходные данные'!$F$2:$F$966,$H5&amp;"")=0,SUMIFS('Исходные данные'!$I$2:$I$966,'Исходные данные'!$D$2:$D$966,R$3,'Исходные данные'!$F$2:$F$966,$H5&amp;""),IF(SUMIFS('Исходные данные'!$I$2:$I$966,'Исходные данные'!$D$2:$D$966,R$3,'Исходные данные'!$F$2:$F$966,$H5&amp;"")=0,"0+"&amp;SUMIFS('Исходные данные'!$J$2:$J$966,'Исходные данные'!$D$2:$D$966,R$3,'Исходные данные'!$F$2:$F$966,$H5&amp;"")&amp;"="&amp;SUMIFS('Исходные данные'!$J$2:$J$966,'Исходные данные'!$D$2:$D$966,R$3,'Исходные данные'!$F$2:$F$966,$H5&amp;""),SUMIFS('Исходные данные'!$I$2:$I$966,'Исходные данные'!$D$2:$D$966,R$3,'Исходные данные'!$F$2:$F$966,$H5&amp;"")&amp;"+"&amp;SUMIFS('Исходные данные'!$J$2:$J$966,'Исходные данные'!$D$2:$D$966,R$3,'Исходные данные'!$F$2:$F$966,$H5&amp;"")&amp;"="&amp;(SUMIFS('Исходные данные'!$I$2:$I$966,'Исходные данные'!$D$2:$D$966,R$3,'Исходные данные'!$F$2:$F$966,$H5&amp;"")+SUMIFS('Исходные данные'!$J$2:$J$966,'Исходные данные'!$D$2:$D$966,R$3,'Исходные данные'!$F$2:$F$966,$H5&amp;"")))))</f>
        <v/>
      </c>
      <c r="S5" s="50" t="str">
        <f aca="false">IF(SUMIFS('Исходные данные'!$I$2:$I$966,'Исходные данные'!$D$2:$D$966,S$3,'Исходные данные'!$F$2:$F$966,$H5&amp;"")+SUMIFS('Исходные данные'!$J$2:$J$966,'Исходные данные'!$D$2:$D$966,S$3,'Исходные данные'!$F$2:$F$966,$H5&amp;"")=0,"",IF(SUMIFS('Исходные данные'!$J$2:$J$966,'Исходные данные'!$D$2:$D$966,S$3,'Исходные данные'!$F$2:$F$966,$H5&amp;"")=0,SUMIFS('Исходные данные'!$I$2:$I$966,'Исходные данные'!$D$2:$D$966,S$3,'Исходные данные'!$F$2:$F$966,$H5&amp;""),IF(SUMIFS('Исходные данные'!$I$2:$I$966,'Исходные данные'!$D$2:$D$966,S$3,'Исходные данные'!$F$2:$F$966,$H5&amp;"")=0,"0+"&amp;SUMIFS('Исходные данные'!$J$2:$J$966,'Исходные данные'!$D$2:$D$966,S$3,'Исходные данные'!$F$2:$F$966,$H5&amp;"")&amp;"="&amp;SUMIFS('Исходные данные'!$J$2:$J$966,'Исходные данные'!$D$2:$D$966,S$3,'Исходные данные'!$F$2:$F$966,$H5&amp;""),SUMIFS('Исходные данные'!$I$2:$I$966,'Исходные данные'!$D$2:$D$966,S$3,'Исходные данные'!$F$2:$F$966,$H5&amp;"")&amp;"+"&amp;SUMIFS('Исходные данные'!$J$2:$J$966,'Исходные данные'!$D$2:$D$966,S$3,'Исходные данные'!$F$2:$F$966,$H5&amp;"")&amp;"="&amp;(SUMIFS('Исходные данные'!$I$2:$I$966,'Исходные данные'!$D$2:$D$966,S$3,'Исходные данные'!$F$2:$F$966,$H5&amp;"")+SUMIFS('Исходные данные'!$J$2:$J$966,'Исходные данные'!$D$2:$D$966,S$3,'Исходные данные'!$F$2:$F$966,$H5&amp;"")))))</f>
        <v/>
      </c>
      <c r="T5" s="49" t="str">
        <f aca="false">IF(SUMIFS('Исходные данные'!$I$2:$I$966,'Исходные данные'!$D$2:$D$966,T$3,'Исходные данные'!$F$2:$F$966,$H5&amp;"")+SUMIFS('Исходные данные'!$J$2:$J$966,'Исходные данные'!$D$2:$D$966,T$3,'Исходные данные'!$F$2:$F$966,$H5&amp;"")=0,"",IF(SUMIFS('Исходные данные'!$J$2:$J$966,'Исходные данные'!$D$2:$D$966,T$3,'Исходные данные'!$F$2:$F$966,$H5&amp;"")=0,SUMIFS('Исходные данные'!$I$2:$I$966,'Исходные данные'!$D$2:$D$966,T$3,'Исходные данные'!$F$2:$F$966,$H5&amp;""),IF(SUMIFS('Исходные данные'!$I$2:$I$966,'Исходные данные'!$D$2:$D$966,T$3,'Исходные данные'!$F$2:$F$966,$H5&amp;"")=0,"0+"&amp;SUMIFS('Исходные данные'!$J$2:$J$966,'Исходные данные'!$D$2:$D$966,T$3,'Исходные данные'!$F$2:$F$966,$H5&amp;"")&amp;"="&amp;SUMIFS('Исходные данные'!$J$2:$J$966,'Исходные данные'!$D$2:$D$966,T$3,'Исходные данные'!$F$2:$F$966,$H5&amp;""),SUMIFS('Исходные данные'!$I$2:$I$966,'Исходные данные'!$D$2:$D$966,T$3,'Исходные данные'!$F$2:$F$966,$H5&amp;"")&amp;"+"&amp;SUMIFS('Исходные данные'!$J$2:$J$966,'Исходные данные'!$D$2:$D$966,T$3,'Исходные данные'!$F$2:$F$966,$H5&amp;"")&amp;"="&amp;(SUMIFS('Исходные данные'!$I$2:$I$966,'Исходные данные'!$D$2:$D$966,T$3,'Исходные данные'!$F$2:$F$966,$H5&amp;"")+SUMIFS('Исходные данные'!$J$2:$J$966,'Исходные данные'!$D$2:$D$966,T$3,'Исходные данные'!$F$2:$F$966,$H5&amp;"")))))</f>
        <v/>
      </c>
      <c r="U5" s="50" t="str">
        <f aca="false">IF(SUMIFS('Исходные данные'!$I$2:$I$966,'Исходные данные'!$D$2:$D$966,U$3,'Исходные данные'!$F$2:$F$966,$H5&amp;"")+SUMIFS('Исходные данные'!$J$2:$J$966,'Исходные данные'!$D$2:$D$966,U$3,'Исходные данные'!$F$2:$F$966,$H5&amp;"")=0,"",IF(SUMIFS('Исходные данные'!$J$2:$J$966,'Исходные данные'!$D$2:$D$966,U$3,'Исходные данные'!$F$2:$F$966,$H5&amp;"")=0,SUMIFS('Исходные данные'!$I$2:$I$966,'Исходные данные'!$D$2:$D$966,U$3,'Исходные данные'!$F$2:$F$966,$H5&amp;""),IF(SUMIFS('Исходные данные'!$I$2:$I$966,'Исходные данные'!$D$2:$D$966,U$3,'Исходные данные'!$F$2:$F$966,$H5&amp;"")=0,"0+"&amp;SUMIFS('Исходные данные'!$J$2:$J$966,'Исходные данные'!$D$2:$D$966,U$3,'Исходные данные'!$F$2:$F$966,$H5&amp;"")&amp;"="&amp;SUMIFS('Исходные данные'!$J$2:$J$966,'Исходные данные'!$D$2:$D$966,U$3,'Исходные данные'!$F$2:$F$966,$H5&amp;""),SUMIFS('Исходные данные'!$I$2:$I$966,'Исходные данные'!$D$2:$D$966,U$3,'Исходные данные'!$F$2:$F$966,$H5&amp;"")&amp;"+"&amp;SUMIFS('Исходные данные'!$J$2:$J$966,'Исходные данные'!$D$2:$D$966,U$3,'Исходные данные'!$F$2:$F$966,$H5&amp;"")&amp;"="&amp;(SUMIFS('Исходные данные'!$I$2:$I$966,'Исходные данные'!$D$2:$D$966,U$3,'Исходные данные'!$F$2:$F$966,$H5&amp;"")+SUMIFS('Исходные данные'!$J$2:$J$966,'Исходные данные'!$D$2:$D$966,U$3,'Исходные данные'!$F$2:$F$966,$H5&amp;"")))))</f>
        <v/>
      </c>
      <c r="V5" s="49" t="str">
        <f aca="false">IF(SUMIFS('Исходные данные'!$I$2:$I$966,'Исходные данные'!$D$2:$D$966,V$3,'Исходные данные'!$F$2:$F$966,$H5&amp;"")+SUMIFS('Исходные данные'!$J$2:$J$966,'Исходные данные'!$D$2:$D$966,V$3,'Исходные данные'!$F$2:$F$966,$H5&amp;"")=0,"",IF(SUMIFS('Исходные данные'!$J$2:$J$966,'Исходные данные'!$D$2:$D$966,V$3,'Исходные данные'!$F$2:$F$966,$H5&amp;"")=0,SUMIFS('Исходные данные'!$I$2:$I$966,'Исходные данные'!$D$2:$D$966,V$3,'Исходные данные'!$F$2:$F$966,$H5&amp;""),IF(SUMIFS('Исходные данные'!$I$2:$I$966,'Исходные данные'!$D$2:$D$966,V$3,'Исходные данные'!$F$2:$F$966,$H5&amp;"")=0,"0+"&amp;SUMIFS('Исходные данные'!$J$2:$J$966,'Исходные данные'!$D$2:$D$966,V$3,'Исходные данные'!$F$2:$F$966,$H5&amp;"")&amp;"="&amp;SUMIFS('Исходные данные'!$J$2:$J$966,'Исходные данные'!$D$2:$D$966,V$3,'Исходные данные'!$F$2:$F$966,$H5&amp;""),SUMIFS('Исходные данные'!$I$2:$I$966,'Исходные данные'!$D$2:$D$966,V$3,'Исходные данные'!$F$2:$F$966,$H5&amp;"")&amp;"+"&amp;SUMIFS('Исходные данные'!$J$2:$J$966,'Исходные данные'!$D$2:$D$966,V$3,'Исходные данные'!$F$2:$F$966,$H5&amp;"")&amp;"="&amp;(SUMIFS('Исходные данные'!$I$2:$I$966,'Исходные данные'!$D$2:$D$966,V$3,'Исходные данные'!$F$2:$F$966,$H5&amp;"")+SUMIFS('Исходные данные'!$J$2:$J$966,'Исходные данные'!$D$2:$D$966,V$3,'Исходные данные'!$F$2:$F$966,$H5&amp;"")))))</f>
        <v/>
      </c>
      <c r="W5" s="50" t="str">
        <f aca="false">IF(SUMIFS('Исходные данные'!$I$2:$I$966,'Исходные данные'!$D$2:$D$966,W$3,'Исходные данные'!$F$2:$F$966,$H5&amp;"")+SUMIFS('Исходные данные'!$J$2:$J$966,'Исходные данные'!$D$2:$D$966,W$3,'Исходные данные'!$F$2:$F$966,$H5&amp;"")=0,"",IF(SUMIFS('Исходные данные'!$J$2:$J$966,'Исходные данные'!$D$2:$D$966,W$3,'Исходные данные'!$F$2:$F$966,$H5&amp;"")=0,SUMIFS('Исходные данные'!$I$2:$I$966,'Исходные данные'!$D$2:$D$966,W$3,'Исходные данные'!$F$2:$F$966,$H5&amp;""),IF(SUMIFS('Исходные данные'!$I$2:$I$966,'Исходные данные'!$D$2:$D$966,W$3,'Исходные данные'!$F$2:$F$966,$H5&amp;"")=0,"0+"&amp;SUMIFS('Исходные данные'!$J$2:$J$966,'Исходные данные'!$D$2:$D$966,W$3,'Исходные данные'!$F$2:$F$966,$H5&amp;"")&amp;"="&amp;SUMIFS('Исходные данные'!$J$2:$J$966,'Исходные данные'!$D$2:$D$966,W$3,'Исходные данные'!$F$2:$F$966,$H5&amp;""),SUMIFS('Исходные данные'!$I$2:$I$966,'Исходные данные'!$D$2:$D$966,W$3,'Исходные данные'!$F$2:$F$966,$H5&amp;"")&amp;"+"&amp;SUMIFS('Исходные данные'!$J$2:$J$966,'Исходные данные'!$D$2:$D$966,W$3,'Исходные данные'!$F$2:$F$966,$H5&amp;"")&amp;"="&amp;(SUMIFS('Исходные данные'!$I$2:$I$966,'Исходные данные'!$D$2:$D$966,W$3,'Исходные данные'!$F$2:$F$966,$H5&amp;"")+SUMIFS('Исходные данные'!$J$2:$J$966,'Исходные данные'!$D$2:$D$966,W$3,'Исходные данные'!$F$2:$F$966,$H5&amp;"")))))</f>
        <v/>
      </c>
      <c r="X5" s="50" t="str">
        <f aca="false">IF(SUMIFS('Исходные данные'!$I$2:$I$966,'Исходные данные'!$D$2:$D$966,X$3,'Исходные данные'!$F$2:$F$966,$H5&amp;"")+SUMIFS('Исходные данные'!$J$2:$J$966,'Исходные данные'!$D$2:$D$966,X$3,'Исходные данные'!$F$2:$F$966,$H5&amp;"")=0,"",IF(SUMIFS('Исходные данные'!$J$2:$J$966,'Исходные данные'!$D$2:$D$966,X$3,'Исходные данные'!$F$2:$F$966,$H5&amp;"")=0,SUMIFS('Исходные данные'!$I$2:$I$966,'Исходные данные'!$D$2:$D$966,X$3,'Исходные данные'!$F$2:$F$966,$H5&amp;""),IF(SUMIFS('Исходные данные'!$I$2:$I$966,'Исходные данные'!$D$2:$D$966,X$3,'Исходные данные'!$F$2:$F$966,$H5&amp;"")=0,"0+"&amp;SUMIFS('Исходные данные'!$J$2:$J$966,'Исходные данные'!$D$2:$D$966,X$3,'Исходные данные'!$F$2:$F$966,$H5&amp;"")&amp;"="&amp;SUMIFS('Исходные данные'!$J$2:$J$966,'Исходные данные'!$D$2:$D$966,X$3,'Исходные данные'!$F$2:$F$966,$H5&amp;""),SUMIFS('Исходные данные'!$I$2:$I$966,'Исходные данные'!$D$2:$D$966,X$3,'Исходные данные'!$F$2:$F$966,$H5&amp;"")&amp;"+"&amp;SUMIFS('Исходные данные'!$J$2:$J$966,'Исходные данные'!$D$2:$D$966,X$3,'Исходные данные'!$F$2:$F$966,$H5&amp;"")&amp;"="&amp;(SUMIFS('Исходные данные'!$I$2:$I$966,'Исходные данные'!$D$2:$D$966,X$3,'Исходные данные'!$F$2:$F$966,$H5&amp;"")+SUMIFS('Исходные данные'!$J$2:$J$966,'Исходные данные'!$D$2:$D$966,X$3,'Исходные данные'!$F$2:$F$966,$H5&amp;"")))))</f>
        <v/>
      </c>
      <c r="Y5" s="52" t="str">
        <f aca="false">IF(SUMIFS('Исходные данные'!$I$2:$I$966,'Исходные данные'!$D$2:$D$966,Y$3,'Исходные данные'!$F$2:$F$966,$H5&amp;"")+SUMIFS('Исходные данные'!$J$2:$J$966,'Исходные данные'!$D$2:$D$966,Y$3,'Исходные данные'!$F$2:$F$966,$H5&amp;"")=0,"",IF(SUMIFS('Исходные данные'!$J$2:$J$966,'Исходные данные'!$D$2:$D$966,Y$3,'Исходные данные'!$F$2:$F$966,$H5&amp;"")=0,SUMIFS('Исходные данные'!$I$2:$I$966,'Исходные данные'!$D$2:$D$966,Y$3,'Исходные данные'!$F$2:$F$966,$H5&amp;""),IF(SUMIFS('Исходные данные'!$I$2:$I$966,'Исходные данные'!$D$2:$D$966,Y$3,'Исходные данные'!$F$2:$F$966,$H5&amp;"")=0,"0+"&amp;SUMIFS('Исходные данные'!$J$2:$J$966,'Исходные данные'!$D$2:$D$966,Y$3,'Исходные данные'!$F$2:$F$966,$H5&amp;"")&amp;"="&amp;SUMIFS('Исходные данные'!$J$2:$J$966,'Исходные данные'!$D$2:$D$966,Y$3,'Исходные данные'!$F$2:$F$966,$H5&amp;""),SUMIFS('Исходные данные'!$I$2:$I$966,'Исходные данные'!$D$2:$D$966,Y$3,'Исходные данные'!$F$2:$F$966,$H5&amp;"")&amp;"+"&amp;SUMIFS('Исходные данные'!$J$2:$J$966,'Исходные данные'!$D$2:$D$966,Y$3,'Исходные данные'!$F$2:$F$966,$H5&amp;"")&amp;"="&amp;(SUMIFS('Исходные данные'!$I$2:$I$966,'Исходные данные'!$D$2:$D$966,Y$3,'Исходные данные'!$F$2:$F$966,$H5&amp;"")+SUMIFS('Исходные данные'!$J$2:$J$966,'Исходные данные'!$D$2:$D$966,Y$3,'Исходные данные'!$F$2:$F$966,$H5&amp;"")))))</f>
        <v/>
      </c>
      <c r="Z5" s="49" t="str">
        <f aca="false">IF(SUMIFS('Исходные данные'!$I$2:$I$966,'Исходные данные'!$D$2:$D$966,Z$3,'Исходные данные'!$F$2:$F$966,$H5&amp;"")+SUMIFS('Исходные данные'!$J$2:$J$966,'Исходные данные'!$D$2:$D$966,Z$3,'Исходные данные'!$F$2:$F$966,$H5&amp;"")=0,"",IF(SUMIFS('Исходные данные'!$J$2:$J$966,'Исходные данные'!$D$2:$D$966,Z$3,'Исходные данные'!$F$2:$F$966,$H5&amp;"")=0,SUMIFS('Исходные данные'!$I$2:$I$966,'Исходные данные'!$D$2:$D$966,Z$3,'Исходные данные'!$F$2:$F$966,$H5&amp;""),IF(SUMIFS('Исходные данные'!$I$2:$I$966,'Исходные данные'!$D$2:$D$966,Z$3,'Исходные данные'!$F$2:$F$966,$H5&amp;"")=0,"0+"&amp;SUMIFS('Исходные данные'!$J$2:$J$966,'Исходные данные'!$D$2:$D$966,Z$3,'Исходные данные'!$F$2:$F$966,$H5&amp;"")&amp;"="&amp;SUMIFS('Исходные данные'!$J$2:$J$966,'Исходные данные'!$D$2:$D$966,Z$3,'Исходные данные'!$F$2:$F$966,$H5&amp;""),SUMIFS('Исходные данные'!$I$2:$I$966,'Исходные данные'!$D$2:$D$966,Z$3,'Исходные данные'!$F$2:$F$966,$H5&amp;"")&amp;"+"&amp;SUMIFS('Исходные данные'!$J$2:$J$966,'Исходные данные'!$D$2:$D$966,Z$3,'Исходные данные'!$F$2:$F$966,$H5&amp;"")&amp;"="&amp;(SUMIFS('Исходные данные'!$I$2:$I$966,'Исходные данные'!$D$2:$D$966,Z$3,'Исходные данные'!$F$2:$F$966,$H5&amp;"")+SUMIFS('Исходные данные'!$J$2:$J$966,'Исходные данные'!$D$2:$D$966,Z$3,'Исходные данные'!$F$2:$F$966,$H5&amp;"")))))</f>
        <v/>
      </c>
      <c r="AA5" s="50" t="str">
        <f aca="false">IF(SUMIFS('Исходные данные'!$I$2:$I$966,'Исходные данные'!$D$2:$D$966,AA$3,'Исходные данные'!$F$2:$F$966,$H5&amp;"")+SUMIFS('Исходные данные'!$J$2:$J$966,'Исходные данные'!$D$2:$D$966,AA$3,'Исходные данные'!$F$2:$F$966,$H5&amp;"")=0,"",IF(SUMIFS('Исходные данные'!$J$2:$J$966,'Исходные данные'!$D$2:$D$966,AA$3,'Исходные данные'!$F$2:$F$966,$H5&amp;"")=0,SUMIFS('Исходные данные'!$I$2:$I$966,'Исходные данные'!$D$2:$D$966,AA$3,'Исходные данные'!$F$2:$F$966,$H5&amp;""),IF(SUMIFS('Исходные данные'!$I$2:$I$966,'Исходные данные'!$D$2:$D$966,AA$3,'Исходные данные'!$F$2:$F$966,$H5&amp;"")=0,"0+"&amp;SUMIFS('Исходные данные'!$J$2:$J$966,'Исходные данные'!$D$2:$D$966,AA$3,'Исходные данные'!$F$2:$F$966,$H5&amp;"")&amp;"="&amp;SUMIFS('Исходные данные'!$J$2:$J$966,'Исходные данные'!$D$2:$D$966,AA$3,'Исходные данные'!$F$2:$F$966,$H5&amp;""),SUMIFS('Исходные данные'!$I$2:$I$966,'Исходные данные'!$D$2:$D$966,AA$3,'Исходные данные'!$F$2:$F$966,$H5&amp;"")&amp;"+"&amp;SUMIFS('Исходные данные'!$J$2:$J$966,'Исходные данные'!$D$2:$D$966,AA$3,'Исходные данные'!$F$2:$F$966,$H5&amp;"")&amp;"="&amp;(SUMIFS('Исходные данные'!$I$2:$I$966,'Исходные данные'!$D$2:$D$966,AA$3,'Исходные данные'!$F$2:$F$966,$H5&amp;"")+SUMIFS('Исходные данные'!$J$2:$J$966,'Исходные данные'!$D$2:$D$966,AA$3,'Исходные данные'!$F$2:$F$966,$H5&amp;"")))))</f>
        <v/>
      </c>
      <c r="AB5" s="50" t="str">
        <f aca="false">IF(SUMIFS('Исходные данные'!$I$2:$I$966,'Исходные данные'!$D$2:$D$966,AB$3,'Исходные данные'!$F$2:$F$966,$H5&amp;"")+SUMIFS('Исходные данные'!$J$2:$J$966,'Исходные данные'!$D$2:$D$966,AB$3,'Исходные данные'!$F$2:$F$966,$H5&amp;"")=0,"",IF(SUMIFS('Исходные данные'!$J$2:$J$966,'Исходные данные'!$D$2:$D$966,AB$3,'Исходные данные'!$F$2:$F$966,$H5&amp;"")=0,SUMIFS('Исходные данные'!$I$2:$I$966,'Исходные данные'!$D$2:$D$966,AB$3,'Исходные данные'!$F$2:$F$966,$H5&amp;""),IF(SUMIFS('Исходные данные'!$I$2:$I$966,'Исходные данные'!$D$2:$D$966,AB$3,'Исходные данные'!$F$2:$F$966,$H5&amp;"")=0,"0+"&amp;SUMIFS('Исходные данные'!$J$2:$J$966,'Исходные данные'!$D$2:$D$966,AB$3,'Исходные данные'!$F$2:$F$966,$H5&amp;"")&amp;"="&amp;SUMIFS('Исходные данные'!$J$2:$J$966,'Исходные данные'!$D$2:$D$966,AB$3,'Исходные данные'!$F$2:$F$966,$H5&amp;""),SUMIFS('Исходные данные'!$I$2:$I$966,'Исходные данные'!$D$2:$D$966,AB$3,'Исходные данные'!$F$2:$F$966,$H5&amp;"")&amp;"+"&amp;SUMIFS('Исходные данные'!$J$2:$J$966,'Исходные данные'!$D$2:$D$966,AB$3,'Исходные данные'!$F$2:$F$966,$H5&amp;"")&amp;"="&amp;(SUMIFS('Исходные данные'!$I$2:$I$966,'Исходные данные'!$D$2:$D$966,AB$3,'Исходные данные'!$F$2:$F$966,$H5&amp;"")+SUMIFS('Исходные данные'!$J$2:$J$966,'Исходные данные'!$D$2:$D$966,AB$3,'Исходные данные'!$F$2:$F$966,$H5&amp;"")))))</f>
        <v/>
      </c>
      <c r="AC5" s="52" t="str">
        <f aca="false">IF(SUMIFS('Исходные данные'!$I$2:$I$966,'Исходные данные'!$D$2:$D$966,AC$3,'Исходные данные'!$F$2:$F$966,$H5&amp;"")+SUMIFS('Исходные данные'!$J$2:$J$966,'Исходные данные'!$D$2:$D$966,AC$3,'Исходные данные'!$F$2:$F$966,$H5&amp;"")=0,"",IF(SUMIFS('Исходные данные'!$J$2:$J$966,'Исходные данные'!$D$2:$D$966,AC$3,'Исходные данные'!$F$2:$F$966,$H5&amp;"")=0,SUMIFS('Исходные данные'!$I$2:$I$966,'Исходные данные'!$D$2:$D$966,AC$3,'Исходные данные'!$F$2:$F$966,$H5&amp;""),IF(SUMIFS('Исходные данные'!$I$2:$I$966,'Исходные данные'!$D$2:$D$966,AC$3,'Исходные данные'!$F$2:$F$966,$H5&amp;"")=0,"0+"&amp;SUMIFS('Исходные данные'!$J$2:$J$966,'Исходные данные'!$D$2:$D$966,AC$3,'Исходные данные'!$F$2:$F$966,$H5&amp;"")&amp;"="&amp;SUMIFS('Исходные данные'!$J$2:$J$966,'Исходные данные'!$D$2:$D$966,AC$3,'Исходные данные'!$F$2:$F$966,$H5&amp;""),SUMIFS('Исходные данные'!$I$2:$I$966,'Исходные данные'!$D$2:$D$966,AC$3,'Исходные данные'!$F$2:$F$966,$H5&amp;"")&amp;"+"&amp;SUMIFS('Исходные данные'!$J$2:$J$966,'Исходные данные'!$D$2:$D$966,AC$3,'Исходные данные'!$F$2:$F$966,$H5&amp;"")&amp;"="&amp;(SUMIFS('Исходные данные'!$I$2:$I$966,'Исходные данные'!$D$2:$D$966,AC$3,'Исходные данные'!$F$2:$F$966,$H5&amp;"")+SUMIFS('Исходные данные'!$J$2:$J$966,'Исходные данные'!$D$2:$D$966,AC$3,'Исходные данные'!$F$2:$F$966,$H5&amp;"")))))</f>
        <v>5+3=8</v>
      </c>
      <c r="AD5" s="50" t="str">
        <f aca="false">IF(SUMIFS('Исходные данные'!$I$2:$I$966,'Исходные данные'!$D$2:$D$966,AD$3,'Исходные данные'!$F$2:$F$966,$H5&amp;"")+SUMIFS('Исходные данные'!$J$2:$J$966,'Исходные данные'!$D$2:$D$966,AD$3,'Исходные данные'!$F$2:$F$966,$H5&amp;"")=0,"",IF(SUMIFS('Исходные данные'!$J$2:$J$966,'Исходные данные'!$D$2:$D$966,AD$3,'Исходные данные'!$F$2:$F$966,$H5&amp;"")=0,SUMIFS('Исходные данные'!$I$2:$I$966,'Исходные данные'!$D$2:$D$966,AD$3,'Исходные данные'!$F$2:$F$966,$H5&amp;""),IF(SUMIFS('Исходные данные'!$I$2:$I$966,'Исходные данные'!$D$2:$D$966,AD$3,'Исходные данные'!$F$2:$F$966,$H5&amp;"")=0,"0+"&amp;SUMIFS('Исходные данные'!$J$2:$J$966,'Исходные данные'!$D$2:$D$966,AD$3,'Исходные данные'!$F$2:$F$966,$H5&amp;"")&amp;"="&amp;SUMIFS('Исходные данные'!$J$2:$J$966,'Исходные данные'!$D$2:$D$966,AD$3,'Исходные данные'!$F$2:$F$966,$H5&amp;""),SUMIFS('Исходные данные'!$I$2:$I$966,'Исходные данные'!$D$2:$D$966,AD$3,'Исходные данные'!$F$2:$F$966,$H5&amp;"")&amp;"+"&amp;SUMIFS('Исходные данные'!$J$2:$J$966,'Исходные данные'!$D$2:$D$966,AD$3,'Исходные данные'!$F$2:$F$966,$H5&amp;"")&amp;"="&amp;(SUMIFS('Исходные данные'!$I$2:$I$966,'Исходные данные'!$D$2:$D$966,AD$3,'Исходные данные'!$F$2:$F$966,$H5&amp;"")+SUMIFS('Исходные данные'!$J$2:$J$966,'Исходные данные'!$D$2:$D$966,AD$3,'Исходные данные'!$F$2:$F$966,$H5&amp;"")))))</f>
        <v>4+3=7</v>
      </c>
    </row>
    <row r="6" customFormat="false" ht="25.5" hidden="false" customHeight="true" outlineLevel="0" collapsed="false">
      <c r="A6" s="53" t="n">
        <v>4</v>
      </c>
      <c r="B6" s="28" t="s">
        <v>170</v>
      </c>
      <c r="C6" s="29" t="s">
        <v>7</v>
      </c>
      <c r="D6" s="54"/>
      <c r="E6" s="30" t="s">
        <v>171</v>
      </c>
      <c r="F6" s="30" t="s">
        <v>20</v>
      </c>
      <c r="G6" s="31"/>
      <c r="H6" s="32"/>
      <c r="I6" s="55"/>
      <c r="J6" s="56"/>
      <c r="K6" s="57"/>
      <c r="L6" s="58"/>
      <c r="M6" s="59"/>
      <c r="N6" s="59"/>
      <c r="O6" s="60" t="str">
        <f aca="false">IF(SUMIFS('Исходные данные'!$I$2:$I$966,'Исходные данные'!$D$2:$D$966,O$3,'Исходные данные'!$F$2:$F$966,$H7&amp;"",'Исходные данные'!$L$2:$L$966,"УТТ")+SUMIFS('Исходные данные'!$J$2:$J$966,'Исходные данные'!$D$2:$D$966,O$3,'Исходные данные'!$F$2:$F$966,$H7&amp;"",'Исходные данные'!$L$2:$L$966,"УТТ")=0,"","утт-"&amp;(SUMIFS('Исходные данные'!$I$2:$I$966,'Исходные данные'!$D$2:$D$966,O$3,'Исходные данные'!$F$2:$F$966,$H7&amp;"",'Исходные данные'!$L$2:$L$966,"УТТ")+SUMIFS('Исходные данные'!$J$2:$J$966,'Исходные данные'!$D$2:$D$966,O$3,'Исходные данные'!$F$2:$F$966,$H7&amp;"",'Исходные данные'!$L$2:$L$966,"УТТ")))</f>
        <v/>
      </c>
      <c r="P6" s="61" t="str">
        <f aca="false">IF(SUMIFS('Исходные данные'!$I$2:$I$966,'Исходные данные'!$D$2:$D$966,P$3,'Исходные данные'!$F$2:$F$966,$H7&amp;"",'Исходные данные'!$L$2:$L$966,"УТТ")+SUMIFS('Исходные данные'!$J$2:$J$966,'Исходные данные'!$D$2:$D$966,P$3,'Исходные данные'!$F$2:$F$966,$H7&amp;"",'Исходные данные'!$L$2:$L$966,"УТТ")=0,"","утт-"&amp;(SUMIFS('Исходные данные'!$I$2:$I$966,'Исходные данные'!$D$2:$D$966,P$3,'Исходные данные'!$F$2:$F$966,$H7&amp;"",'Исходные данные'!$L$2:$L$966,"УТТ")+SUMIFS('Исходные данные'!$J$2:$J$966,'Исходные данные'!$D$2:$D$966,P$3,'Исходные данные'!$F$2:$F$966,$H7&amp;"",'Исходные данные'!$L$2:$L$966,"УТТ")))</f>
        <v/>
      </c>
      <c r="Q6" s="60" t="str">
        <f aca="false">IF(SUMIFS('Исходные данные'!$I$2:$I$966,'Исходные данные'!$D$2:$D$966,Q$3,'Исходные данные'!$F$2:$F$966,$H7&amp;"",'Исходные данные'!$L$2:$L$966,"УТТ")+SUMIFS('Исходные данные'!$J$2:$J$966,'Исходные данные'!$D$2:$D$966,Q$3,'Исходные данные'!$F$2:$F$966,$H7&amp;"",'Исходные данные'!$L$2:$L$966,"УТТ")=0,"","утт-"&amp;(SUMIFS('Исходные данные'!$I$2:$I$966,'Исходные данные'!$D$2:$D$966,Q$3,'Исходные данные'!$F$2:$F$966,$H7&amp;"",'Исходные данные'!$L$2:$L$966,"УТТ")+SUMIFS('Исходные данные'!$J$2:$J$966,'Исходные данные'!$D$2:$D$966,Q$3,'Исходные данные'!$F$2:$F$966,$H7&amp;"",'Исходные данные'!$L$2:$L$966,"УТТ")))</f>
        <v/>
      </c>
      <c r="R6" s="62" t="str">
        <f aca="false">IF(SUMIFS('Исходные данные'!$I$2:$I$966,'Исходные данные'!$D$2:$D$966,R$3,'Исходные данные'!$F$2:$F$966,$H7&amp;"",'Исходные данные'!$L$2:$L$966,"УТТ")+SUMIFS('Исходные данные'!$J$2:$J$966,'Исходные данные'!$D$2:$D$966,R$3,'Исходные данные'!$F$2:$F$966,$H7&amp;"",'Исходные данные'!$L$2:$L$966,"УТТ")=0,"","утт-"&amp;(SUMIFS('Исходные данные'!$I$2:$I$966,'Исходные данные'!$D$2:$D$966,R$3,'Исходные данные'!$F$2:$F$966,$H7&amp;"",'Исходные данные'!$L$2:$L$966,"УТТ")+SUMIFS('Исходные данные'!$J$2:$J$966,'Исходные данные'!$D$2:$D$966,R$3,'Исходные данные'!$F$2:$F$966,$H7&amp;"",'Исходные данные'!$L$2:$L$966,"УТТ")))</f>
        <v/>
      </c>
      <c r="S6" s="61" t="str">
        <f aca="false">IF(SUMIFS('Исходные данные'!$I$2:$I$966,'Исходные данные'!$D$2:$D$966,S$3,'Исходные данные'!$F$2:$F$966,$H7&amp;"",'Исходные данные'!$L$2:$L$966,"УТТ")+SUMIFS('Исходные данные'!$J$2:$J$966,'Исходные данные'!$D$2:$D$966,S$3,'Исходные данные'!$F$2:$F$966,$H7&amp;"",'Исходные данные'!$L$2:$L$966,"УТТ")=0,"","утт-"&amp;(SUMIFS('Исходные данные'!$I$2:$I$966,'Исходные данные'!$D$2:$D$966,S$3,'Исходные данные'!$F$2:$F$966,$H7&amp;"",'Исходные данные'!$L$2:$L$966,"УТТ")+SUMIFS('Исходные данные'!$J$2:$J$966,'Исходные данные'!$D$2:$D$966,S$3,'Исходные данные'!$F$2:$F$966,$H7&amp;"",'Исходные данные'!$L$2:$L$966,"УТТ")))</f>
        <v/>
      </c>
      <c r="T6" s="60" t="str">
        <f aca="false">IF(SUMIFS('Исходные данные'!$I$2:$I$966,'Исходные данные'!$D$2:$D$966,T$3,'Исходные данные'!$F$2:$F$966,$H7&amp;"",'Исходные данные'!$L$2:$L$966,"УТТ")+SUMIFS('Исходные данные'!$J$2:$J$966,'Исходные данные'!$D$2:$D$966,T$3,'Исходные данные'!$F$2:$F$966,$H7&amp;"",'Исходные данные'!$L$2:$L$966,"УТТ")=0,"","утт-"&amp;(SUMIFS('Исходные данные'!$I$2:$I$966,'Исходные данные'!$D$2:$D$966,T$3,'Исходные данные'!$F$2:$F$966,$H7&amp;"",'Исходные данные'!$L$2:$L$966,"УТТ")+SUMIFS('Исходные данные'!$J$2:$J$966,'Исходные данные'!$D$2:$D$966,T$3,'Исходные данные'!$F$2:$F$966,$H7&amp;"",'Исходные данные'!$L$2:$L$966,"УТТ")))</f>
        <v/>
      </c>
      <c r="U6" s="61" t="str">
        <f aca="false">IF(SUMIFS('Исходные данные'!$I$2:$I$966,'Исходные данные'!$D$2:$D$966,U$3,'Исходные данные'!$F$2:$F$966,$H7&amp;"",'Исходные данные'!$L$2:$L$966,"УТТ")+SUMIFS('Исходные данные'!$J$2:$J$966,'Исходные данные'!$D$2:$D$966,U$3,'Исходные данные'!$F$2:$F$966,$H7&amp;"",'Исходные данные'!$L$2:$L$966,"УТТ")=0,"","утт-"&amp;(SUMIFS('Исходные данные'!$I$2:$I$966,'Исходные данные'!$D$2:$D$966,U$3,'Исходные данные'!$F$2:$F$966,$H7&amp;"",'Исходные данные'!$L$2:$L$966,"УТТ")+SUMIFS('Исходные данные'!$J$2:$J$966,'Исходные данные'!$D$2:$D$966,U$3,'Исходные данные'!$F$2:$F$966,$H7&amp;"",'Исходные данные'!$L$2:$L$966,"УТТ")))</f>
        <v/>
      </c>
      <c r="V6" s="60" t="str">
        <f aca="false">IF(SUMIFS('Исходные данные'!$I$2:$I$966,'Исходные данные'!$D$2:$D$966,V$3,'Исходные данные'!$F$2:$F$966,$H7&amp;"",'Исходные данные'!$L$2:$L$966,"УТТ")+SUMIFS('Исходные данные'!$J$2:$J$966,'Исходные данные'!$D$2:$D$966,V$3,'Исходные данные'!$F$2:$F$966,$H7&amp;"",'Исходные данные'!$L$2:$L$966,"УТТ")=0,"","утт-"&amp;(SUMIFS('Исходные данные'!$I$2:$I$966,'Исходные данные'!$D$2:$D$966,V$3,'Исходные данные'!$F$2:$F$966,$H7&amp;"",'Исходные данные'!$L$2:$L$966,"УТТ")+SUMIFS('Исходные данные'!$J$2:$J$966,'Исходные данные'!$D$2:$D$966,V$3,'Исходные данные'!$F$2:$F$966,$H7&amp;"",'Исходные данные'!$L$2:$L$966,"УТТ")))</f>
        <v/>
      </c>
      <c r="W6" s="61" t="str">
        <f aca="false">IF(SUMIFS('Исходные данные'!$I$2:$I$966,'Исходные данные'!$D$2:$D$966,W$3,'Исходные данные'!$F$2:$F$966,$H7&amp;"",'Исходные данные'!$L$2:$L$966,"УТТ")+SUMIFS('Исходные данные'!$J$2:$J$966,'Исходные данные'!$D$2:$D$966,W$3,'Исходные данные'!$F$2:$F$966,$H7&amp;"",'Исходные данные'!$L$2:$L$966,"УТТ")=0,"","утт-"&amp;(SUMIFS('Исходные данные'!$I$2:$I$966,'Исходные данные'!$D$2:$D$966,W$3,'Исходные данные'!$F$2:$F$966,$H7&amp;"",'Исходные данные'!$L$2:$L$966,"УТТ")+SUMIFS('Исходные данные'!$J$2:$J$966,'Исходные данные'!$D$2:$D$966,W$3,'Исходные данные'!$F$2:$F$966,$H7&amp;"",'Исходные данные'!$L$2:$L$966,"УТТ")))</f>
        <v/>
      </c>
      <c r="X6" s="61" t="str">
        <f aca="false">IF(SUMIFS('Исходные данные'!$I$2:$I$966,'Исходные данные'!$D$2:$D$966,X$3,'Исходные данные'!$F$2:$F$966,$H7&amp;"",'Исходные данные'!$L$2:$L$966,"УТТ")+SUMIFS('Исходные данные'!$J$2:$J$966,'Исходные данные'!$D$2:$D$966,X$3,'Исходные данные'!$F$2:$F$966,$H7&amp;"",'Исходные данные'!$L$2:$L$966,"УТТ")=0,"","утт-"&amp;(SUMIFS('Исходные данные'!$I$2:$I$966,'Исходные данные'!$D$2:$D$966,X$3,'Исходные данные'!$F$2:$F$966,$H7&amp;"",'Исходные данные'!$L$2:$L$966,"УТТ")+SUMIFS('Исходные данные'!$J$2:$J$966,'Исходные данные'!$D$2:$D$966,X$3,'Исходные данные'!$F$2:$F$966,$H7&amp;"",'Исходные данные'!$L$2:$L$966,"УТТ")))</f>
        <v/>
      </c>
      <c r="Y6" s="63" t="str">
        <f aca="false">IF(SUMIFS('Исходные данные'!$I$2:$I$966,'Исходные данные'!$D$2:$D$966,Y$3,'Исходные данные'!$F$2:$F$966,$H7&amp;"",'Исходные данные'!$L$2:$L$966,"УТТ")+SUMIFS('Исходные данные'!$J$2:$J$966,'Исходные данные'!$D$2:$D$966,Y$3,'Исходные данные'!$F$2:$F$966,$H7&amp;"",'Исходные данные'!$L$2:$L$966,"УТТ")=0,"","утт-"&amp;(SUMIFS('Исходные данные'!$I$2:$I$966,'Исходные данные'!$D$2:$D$966,Y$3,'Исходные данные'!$F$2:$F$966,$H7&amp;"",'Исходные данные'!$L$2:$L$966,"УТТ")+SUMIFS('Исходные данные'!$J$2:$J$966,'Исходные данные'!$D$2:$D$966,Y$3,'Исходные данные'!$F$2:$F$966,$H7&amp;"",'Исходные данные'!$L$2:$L$966,"УТТ")))</f>
        <v/>
      </c>
      <c r="Z6" s="60" t="str">
        <f aca="false">IF(SUMIFS('Исходные данные'!$I$2:$I$966,'Исходные данные'!$D$2:$D$966,Z$3,'Исходные данные'!$F$2:$F$966,$H7&amp;"",'Исходные данные'!$L$2:$L$966,"УТТ")+SUMIFS('Исходные данные'!$J$2:$J$966,'Исходные данные'!$D$2:$D$966,Z$3,'Исходные данные'!$F$2:$F$966,$H7&amp;"",'Исходные данные'!$L$2:$L$966,"УТТ")=0,"","утт-"&amp;(SUMIFS('Исходные данные'!$I$2:$I$966,'Исходные данные'!$D$2:$D$966,Z$3,'Исходные данные'!$F$2:$F$966,$H7&amp;"",'Исходные данные'!$L$2:$L$966,"УТТ")+SUMIFS('Исходные данные'!$J$2:$J$966,'Исходные данные'!$D$2:$D$966,Z$3,'Исходные данные'!$F$2:$F$966,$H7&amp;"",'Исходные данные'!$L$2:$L$966,"УТТ")))</f>
        <v/>
      </c>
      <c r="AA6" s="61" t="str">
        <f aca="false">IF(SUMIFS('Исходные данные'!$I$2:$I$966,'Исходные данные'!$D$2:$D$966,AA$3,'Исходные данные'!$F$2:$F$966,$H7&amp;"",'Исходные данные'!$L$2:$L$966,"УТТ")+SUMIFS('Исходные данные'!$J$2:$J$966,'Исходные данные'!$D$2:$D$966,AA$3,'Исходные данные'!$F$2:$F$966,$H7&amp;"",'Исходные данные'!$L$2:$L$966,"УТТ")=0,"","утт-"&amp;(SUMIFS('Исходные данные'!$I$2:$I$966,'Исходные данные'!$D$2:$D$966,AA$3,'Исходные данные'!$F$2:$F$966,$H7&amp;"",'Исходные данные'!$L$2:$L$966,"УТТ")+SUMIFS('Исходные данные'!$J$2:$J$966,'Исходные данные'!$D$2:$D$966,AA$3,'Исходные данные'!$F$2:$F$966,$H7&amp;"",'Исходные данные'!$L$2:$L$966,"УТТ")))</f>
        <v/>
      </c>
      <c r="AB6" s="61" t="str">
        <f aca="false">IF(SUMIFS('Исходные данные'!$I$2:$I$966,'Исходные данные'!$D$2:$D$966,AB$3,'Исходные данные'!$F$2:$F$966,$H7&amp;"",'Исходные данные'!$L$2:$L$966,"УТТ")+SUMIFS('Исходные данные'!$J$2:$J$966,'Исходные данные'!$D$2:$D$966,AB$3,'Исходные данные'!$F$2:$F$966,$H7&amp;"",'Исходные данные'!$L$2:$L$966,"УТТ")=0,"","утт-"&amp;(SUMIFS('Исходные данные'!$I$2:$I$966,'Исходные данные'!$D$2:$D$966,AB$3,'Исходные данные'!$F$2:$F$966,$H7&amp;"",'Исходные данные'!$L$2:$L$966,"УТТ")+SUMIFS('Исходные данные'!$J$2:$J$966,'Исходные данные'!$D$2:$D$966,AB$3,'Исходные данные'!$F$2:$F$966,$H7&amp;"",'Исходные данные'!$L$2:$L$966,"УТТ")))</f>
        <v/>
      </c>
      <c r="AC6" s="60" t="str">
        <f aca="false">IF(SUMIFS('Исходные данные'!$I$2:$I$966,'Исходные данные'!$D$2:$D$966,AC$3,'Исходные данные'!$F$2:$F$966,$H7&amp;"",'Исходные данные'!$L$2:$L$966,"УТТ")+SUMIFS('Исходные данные'!$J$2:$J$966,'Исходные данные'!$D$2:$D$966,AC$3,'Исходные данные'!$F$2:$F$966,$H7&amp;"",'Исходные данные'!$L$2:$L$966,"УТТ")=0,"","утт-"&amp;(SUMIFS('Исходные данные'!$I$2:$I$966,'Исходные данные'!$D$2:$D$966,AC$3,'Исходные данные'!$F$2:$F$966,$H7&amp;"",'Исходные данные'!$L$2:$L$966,"УТТ")+SUMIFS('Исходные данные'!$J$2:$J$966,'Исходные данные'!$D$2:$D$966,AC$3,'Исходные данные'!$F$2:$F$966,$H7&amp;"",'Исходные данные'!$L$2:$L$966,"УТТ")))</f>
        <v/>
      </c>
      <c r="AD6" s="61" t="str">
        <f aca="false">IF(SUMIFS('Исходные данные'!$I$2:$I$966,'Исходные данные'!$D$2:$D$966,AD$3,'Исходные данные'!$F$2:$F$966,$H7&amp;"",'Исходные данные'!$L$2:$L$966,"УТТ")+SUMIFS('Исходные данные'!$J$2:$J$966,'Исходные данные'!$D$2:$D$966,AD$3,'Исходные данные'!$F$2:$F$966,$H7&amp;"",'Исходные данные'!$L$2:$L$966,"УТТ")=0,"","утт-"&amp;(SUMIFS('Исходные данные'!$I$2:$I$966,'Исходные данные'!$D$2:$D$966,AD$3,'Исходные данные'!$F$2:$F$966,$H7&amp;"",'Исходные данные'!$L$2:$L$966,"УТТ")+SUMIFS('Исходные данные'!$J$2:$J$966,'Исходные данные'!$D$2:$D$966,AD$3,'Исходные данные'!$F$2:$F$966,$H7&amp;"",'Исходные данные'!$L$2:$L$966,"УТТ")))</f>
        <v/>
      </c>
    </row>
    <row r="7" customFormat="false" ht="25.5" hidden="false" customHeight="true" outlineLevel="0" collapsed="false">
      <c r="A7" s="27" t="n">
        <v>5</v>
      </c>
      <c r="B7" s="28" t="s">
        <v>172</v>
      </c>
      <c r="C7" s="29" t="s">
        <v>7</v>
      </c>
      <c r="D7" s="30"/>
      <c r="E7" s="30" t="s">
        <v>173</v>
      </c>
      <c r="F7" s="30" t="s">
        <v>20</v>
      </c>
      <c r="G7" s="64"/>
      <c r="H7" s="32" t="n">
        <v>47</v>
      </c>
      <c r="I7" s="44" t="s">
        <v>112</v>
      </c>
      <c r="J7" s="45" t="n">
        <f aca="false">IFERROR(INDEX('Выход ТС'!$C:$C,MATCH($H7&amp;"",'Выход ТС'!$A:$A,0)),"")</f>
        <v>10</v>
      </c>
      <c r="K7" s="46" t="n">
        <f aca="false">IFERROR(INDEX('Выход ТС'!$D:$D,MATCH($H7&amp;"",'Выход ТС'!$A:$A,0)),"")</f>
        <v>9</v>
      </c>
      <c r="L7" s="47" t="n">
        <f aca="false">IFERROR(INDEX('Выход ТС'!$E:$E,MATCH($H7&amp;"",'Выход ТС'!$A:$A,0)),"")</f>
        <v>-1</v>
      </c>
      <c r="M7" s="48" t="n">
        <f aca="false">IFERROR(IF(INDEX('Выход ТС'!$F:$F,MATCH($H7&amp;"",'Выход ТС'!$A:$A,0))=0,"",INDEX('Выход ТС'!$F:$F,MATCH($H7&amp;"",'Выход ТС'!$A:$A,0))),"")</f>
        <v>9</v>
      </c>
      <c r="N7" s="59" t="str">
        <f aca="false">IFERROR(IF(INDEX('Выход ТС'!$G:$G,MATCH($H7&amp;"",'Выход ТС'!$A:$A,0))=0,"",INDEX('Выход ТС'!$G:$G,MATCH($H7&amp;"",'Выход ТС'!$A:$A,0))),"")</f>
        <v/>
      </c>
      <c r="O7" s="49" t="n">
        <f aca="false">IF(SUMIFS('Исходные данные'!$I$2:$I$966,'Исходные данные'!$D$2:$D$966,O$3,'Исходные данные'!$F$2:$F$966,$H7&amp;"")+SUMIFS('Исходные данные'!$J$2:$J$966,'Исходные данные'!$D$2:$D$966,O$3,'Исходные данные'!$F$2:$F$966,$H7&amp;"")=0,"",IF(SUMIFS('Исходные данные'!$J$2:$J$966,'Исходные данные'!$D$2:$D$966,O$3,'Исходные данные'!$F$2:$F$966,$H7&amp;"")=0,SUMIFS('Исходные данные'!$I$2:$I$966,'Исходные данные'!$D$2:$D$966,O$3,'Исходные данные'!$F$2:$F$966,$H7&amp;""),IF(SUMIFS('Исходные данные'!$I$2:$I$966,'Исходные данные'!$D$2:$D$966,O$3,'Исходные данные'!$F$2:$F$966,$H7&amp;"")=0,"0+"&amp;SUMIFS('Исходные данные'!$J$2:$J$966,'Исходные данные'!$D$2:$D$966,O$3,'Исходные данные'!$F$2:$F$966,$H7&amp;"")&amp;"="&amp;SUMIFS('Исходные данные'!$J$2:$J$966,'Исходные данные'!$D$2:$D$966,O$3,'Исходные данные'!$F$2:$F$966,$H7&amp;""),SUMIFS('Исходные данные'!$I$2:$I$966,'Исходные данные'!$D$2:$D$966,O$3,'Исходные данные'!$F$2:$F$966,$H7&amp;"")&amp;"+"&amp;SUMIFS('Исходные данные'!$J$2:$J$966,'Исходные данные'!$D$2:$D$966,O$3,'Исходные данные'!$F$2:$F$966,$H7&amp;"")&amp;"="&amp;(SUMIFS('Исходные данные'!$I$2:$I$966,'Исходные данные'!$D$2:$D$966,O$3,'Исходные данные'!$F$2:$F$966,$H7&amp;"")+SUMIFS('Исходные данные'!$J$2:$J$966,'Исходные данные'!$D$2:$D$966,O$3,'Исходные данные'!$F$2:$F$966,$H7&amp;"")))))</f>
        <v>1</v>
      </c>
      <c r="P7" s="50" t="n">
        <f aca="false">IF(SUMIFS('Исходные данные'!$I$2:$I$966,'Исходные данные'!$D$2:$D$966,P$3,'Исходные данные'!$F$2:$F$966,$H7&amp;"")+SUMIFS('Исходные данные'!$J$2:$J$966,'Исходные данные'!$D$2:$D$966,P$3,'Исходные данные'!$F$2:$F$966,$H7&amp;"")=0,"",IF(SUMIFS('Исходные данные'!$J$2:$J$966,'Исходные данные'!$D$2:$D$966,P$3,'Исходные данные'!$F$2:$F$966,$H7&amp;"")=0,SUMIFS('Исходные данные'!$I$2:$I$966,'Исходные данные'!$D$2:$D$966,P$3,'Исходные данные'!$F$2:$F$966,$H7&amp;""),IF(SUMIFS('Исходные данные'!$I$2:$I$966,'Исходные данные'!$D$2:$D$966,P$3,'Исходные данные'!$F$2:$F$966,$H7&amp;"")=0,"0+"&amp;SUMIFS('Исходные данные'!$J$2:$J$966,'Исходные данные'!$D$2:$D$966,P$3,'Исходные данные'!$F$2:$F$966,$H7&amp;"")&amp;"="&amp;SUMIFS('Исходные данные'!$J$2:$J$966,'Исходные данные'!$D$2:$D$966,P$3,'Исходные данные'!$F$2:$F$966,$H7&amp;""),SUMIFS('Исходные данные'!$I$2:$I$966,'Исходные данные'!$D$2:$D$966,P$3,'Исходные данные'!$F$2:$F$966,$H7&amp;"")&amp;"+"&amp;SUMIFS('Исходные данные'!$J$2:$J$966,'Исходные данные'!$D$2:$D$966,P$3,'Исходные данные'!$F$2:$F$966,$H7&amp;"")&amp;"="&amp;(SUMIFS('Исходные данные'!$I$2:$I$966,'Исходные данные'!$D$2:$D$966,P$3,'Исходные данные'!$F$2:$F$966,$H7&amp;"")+SUMIFS('Исходные данные'!$J$2:$J$966,'Исходные данные'!$D$2:$D$966,P$3,'Исходные данные'!$F$2:$F$966,$H7&amp;"")))))</f>
        <v>1</v>
      </c>
      <c r="Q7" s="49" t="n">
        <f aca="false">IF(SUMIFS('Исходные данные'!$I$2:$I$966,'Исходные данные'!$D$2:$D$966,Q$3,'Исходные данные'!$F$2:$F$966,$H7&amp;"")+SUMIFS('Исходные данные'!$J$2:$J$966,'Исходные данные'!$D$2:$D$966,Q$3,'Исходные данные'!$F$2:$F$966,$H7&amp;"")=0,"",IF(SUMIFS('Исходные данные'!$J$2:$J$966,'Исходные данные'!$D$2:$D$966,Q$3,'Исходные данные'!$F$2:$F$966,$H7&amp;"")=0,SUMIFS('Исходные данные'!$I$2:$I$966,'Исходные данные'!$D$2:$D$966,Q$3,'Исходные данные'!$F$2:$F$966,$H7&amp;""),IF(SUMIFS('Исходные данные'!$I$2:$I$966,'Исходные данные'!$D$2:$D$966,Q$3,'Исходные данные'!$F$2:$F$966,$H7&amp;"")=0,"0+"&amp;SUMIFS('Исходные данные'!$J$2:$J$966,'Исходные данные'!$D$2:$D$966,Q$3,'Исходные данные'!$F$2:$F$966,$H7&amp;"")&amp;"="&amp;SUMIFS('Исходные данные'!$J$2:$J$966,'Исходные данные'!$D$2:$D$966,Q$3,'Исходные данные'!$F$2:$F$966,$H7&amp;""),SUMIFS('Исходные данные'!$I$2:$I$966,'Исходные данные'!$D$2:$D$966,Q$3,'Исходные данные'!$F$2:$F$966,$H7&amp;"")&amp;"+"&amp;SUMIFS('Исходные данные'!$J$2:$J$966,'Исходные данные'!$D$2:$D$966,Q$3,'Исходные данные'!$F$2:$F$966,$H7&amp;"")&amp;"="&amp;(SUMIFS('Исходные данные'!$I$2:$I$966,'Исходные данные'!$D$2:$D$966,Q$3,'Исходные данные'!$F$2:$F$966,$H7&amp;"")+SUMIFS('Исходные данные'!$J$2:$J$966,'Исходные данные'!$D$2:$D$966,Q$3,'Исходные данные'!$F$2:$F$966,$H7&amp;"")))))</f>
        <v>2</v>
      </c>
      <c r="R7" s="51" t="str">
        <f aca="false">IF(SUMIFS('Исходные данные'!$I$2:$I$966,'Исходные данные'!$D$2:$D$966,R$3,'Исходные данные'!$F$2:$F$966,$H7&amp;"")+SUMIFS('Исходные данные'!$J$2:$J$966,'Исходные данные'!$D$2:$D$966,R$3,'Исходные данные'!$F$2:$F$966,$H7&amp;"")=0,"",IF(SUMIFS('Исходные данные'!$J$2:$J$966,'Исходные данные'!$D$2:$D$966,R$3,'Исходные данные'!$F$2:$F$966,$H7&amp;"")=0,SUMIFS('Исходные данные'!$I$2:$I$966,'Исходные данные'!$D$2:$D$966,R$3,'Исходные данные'!$F$2:$F$966,$H7&amp;""),IF(SUMIFS('Исходные данные'!$I$2:$I$966,'Исходные данные'!$D$2:$D$966,R$3,'Исходные данные'!$F$2:$F$966,$H7&amp;"")=0,"0+"&amp;SUMIFS('Исходные данные'!$J$2:$J$966,'Исходные данные'!$D$2:$D$966,R$3,'Исходные данные'!$F$2:$F$966,$H7&amp;"")&amp;"="&amp;SUMIFS('Исходные данные'!$J$2:$J$966,'Исходные данные'!$D$2:$D$966,R$3,'Исходные данные'!$F$2:$F$966,$H7&amp;""),SUMIFS('Исходные данные'!$I$2:$I$966,'Исходные данные'!$D$2:$D$966,R$3,'Исходные данные'!$F$2:$F$966,$H7&amp;"")&amp;"+"&amp;SUMIFS('Исходные данные'!$J$2:$J$966,'Исходные данные'!$D$2:$D$966,R$3,'Исходные данные'!$F$2:$F$966,$H7&amp;"")&amp;"="&amp;(SUMIFS('Исходные данные'!$I$2:$I$966,'Исходные данные'!$D$2:$D$966,R$3,'Исходные данные'!$F$2:$F$966,$H7&amp;"")+SUMIFS('Исходные данные'!$J$2:$J$966,'Исходные данные'!$D$2:$D$966,R$3,'Исходные данные'!$F$2:$F$966,$H7&amp;"")))))</f>
        <v/>
      </c>
      <c r="S7" s="50" t="n">
        <f aca="false">IF(SUMIFS('Исходные данные'!$I$2:$I$966,'Исходные данные'!$D$2:$D$966,S$3,'Исходные данные'!$F$2:$F$966,$H7&amp;"")+SUMIFS('Исходные данные'!$J$2:$J$966,'Исходные данные'!$D$2:$D$966,S$3,'Исходные данные'!$F$2:$F$966,$H7&amp;"")=0,"",IF(SUMIFS('Исходные данные'!$J$2:$J$966,'Исходные данные'!$D$2:$D$966,S$3,'Исходные данные'!$F$2:$F$966,$H7&amp;"")=0,SUMIFS('Исходные данные'!$I$2:$I$966,'Исходные данные'!$D$2:$D$966,S$3,'Исходные данные'!$F$2:$F$966,$H7&amp;""),IF(SUMIFS('Исходные данные'!$I$2:$I$966,'Исходные данные'!$D$2:$D$966,S$3,'Исходные данные'!$F$2:$F$966,$H7&amp;"")=0,"0+"&amp;SUMIFS('Исходные данные'!$J$2:$J$966,'Исходные данные'!$D$2:$D$966,S$3,'Исходные данные'!$F$2:$F$966,$H7&amp;"")&amp;"="&amp;SUMIFS('Исходные данные'!$J$2:$J$966,'Исходные данные'!$D$2:$D$966,S$3,'Исходные данные'!$F$2:$F$966,$H7&amp;""),SUMIFS('Исходные данные'!$I$2:$I$966,'Исходные данные'!$D$2:$D$966,S$3,'Исходные данные'!$F$2:$F$966,$H7&amp;"")&amp;"+"&amp;SUMIFS('Исходные данные'!$J$2:$J$966,'Исходные данные'!$D$2:$D$966,S$3,'Исходные данные'!$F$2:$F$966,$H7&amp;"")&amp;"="&amp;(SUMIFS('Исходные данные'!$I$2:$I$966,'Исходные данные'!$D$2:$D$966,S$3,'Исходные данные'!$F$2:$F$966,$H7&amp;"")+SUMIFS('Исходные данные'!$J$2:$J$966,'Исходные данные'!$D$2:$D$966,S$3,'Исходные данные'!$F$2:$F$966,$H7&amp;"")))))</f>
        <v>1</v>
      </c>
      <c r="T7" s="49" t="str">
        <f aca="false">IF(SUMIFS('Исходные данные'!$I$2:$I$966,'Исходные данные'!$D$2:$D$966,T$3,'Исходные данные'!$F$2:$F$966,$H7&amp;"")+SUMIFS('Исходные данные'!$J$2:$J$966,'Исходные данные'!$D$2:$D$966,T$3,'Исходные данные'!$F$2:$F$966,$H7&amp;"")=0,"",IF(SUMIFS('Исходные данные'!$J$2:$J$966,'Исходные данные'!$D$2:$D$966,T$3,'Исходные данные'!$F$2:$F$966,$H7&amp;"")=0,SUMIFS('Исходные данные'!$I$2:$I$966,'Исходные данные'!$D$2:$D$966,T$3,'Исходные данные'!$F$2:$F$966,$H7&amp;""),IF(SUMIFS('Исходные данные'!$I$2:$I$966,'Исходные данные'!$D$2:$D$966,T$3,'Исходные данные'!$F$2:$F$966,$H7&amp;"")=0,"0+"&amp;SUMIFS('Исходные данные'!$J$2:$J$966,'Исходные данные'!$D$2:$D$966,T$3,'Исходные данные'!$F$2:$F$966,$H7&amp;"")&amp;"="&amp;SUMIFS('Исходные данные'!$J$2:$J$966,'Исходные данные'!$D$2:$D$966,T$3,'Исходные данные'!$F$2:$F$966,$H7&amp;""),SUMIFS('Исходные данные'!$I$2:$I$966,'Исходные данные'!$D$2:$D$966,T$3,'Исходные данные'!$F$2:$F$966,$H7&amp;"")&amp;"+"&amp;SUMIFS('Исходные данные'!$J$2:$J$966,'Исходные данные'!$D$2:$D$966,T$3,'Исходные данные'!$F$2:$F$966,$H7&amp;"")&amp;"="&amp;(SUMIFS('Исходные данные'!$I$2:$I$966,'Исходные данные'!$D$2:$D$966,T$3,'Исходные данные'!$F$2:$F$966,$H7&amp;"")+SUMIFS('Исходные данные'!$J$2:$J$966,'Исходные данные'!$D$2:$D$966,T$3,'Исходные данные'!$F$2:$F$966,$H7&amp;"")))))</f>
        <v/>
      </c>
      <c r="U7" s="50" t="n">
        <f aca="false">IF(SUMIFS('Исходные данные'!$I$2:$I$966,'Исходные данные'!$D$2:$D$966,U$3,'Исходные данные'!$F$2:$F$966,$H7&amp;"")+SUMIFS('Исходные данные'!$J$2:$J$966,'Исходные данные'!$D$2:$D$966,U$3,'Исходные данные'!$F$2:$F$966,$H7&amp;"")=0,"",IF(SUMIFS('Исходные данные'!$J$2:$J$966,'Исходные данные'!$D$2:$D$966,U$3,'Исходные данные'!$F$2:$F$966,$H7&amp;"")=0,SUMIFS('Исходные данные'!$I$2:$I$966,'Исходные данные'!$D$2:$D$966,U$3,'Исходные данные'!$F$2:$F$966,$H7&amp;""),IF(SUMIFS('Исходные данные'!$I$2:$I$966,'Исходные данные'!$D$2:$D$966,U$3,'Исходные данные'!$F$2:$F$966,$H7&amp;"")=0,"0+"&amp;SUMIFS('Исходные данные'!$J$2:$J$966,'Исходные данные'!$D$2:$D$966,U$3,'Исходные данные'!$F$2:$F$966,$H7&amp;"")&amp;"="&amp;SUMIFS('Исходные данные'!$J$2:$J$966,'Исходные данные'!$D$2:$D$966,U$3,'Исходные данные'!$F$2:$F$966,$H7&amp;""),SUMIFS('Исходные данные'!$I$2:$I$966,'Исходные данные'!$D$2:$D$966,U$3,'Исходные данные'!$F$2:$F$966,$H7&amp;"")&amp;"+"&amp;SUMIFS('Исходные данные'!$J$2:$J$966,'Исходные данные'!$D$2:$D$966,U$3,'Исходные данные'!$F$2:$F$966,$H7&amp;"")&amp;"="&amp;(SUMIFS('Исходные данные'!$I$2:$I$966,'Исходные данные'!$D$2:$D$966,U$3,'Исходные данные'!$F$2:$F$966,$H7&amp;"")+SUMIFS('Исходные данные'!$J$2:$J$966,'Исходные данные'!$D$2:$D$966,U$3,'Исходные данные'!$F$2:$F$966,$H7&amp;"")))))</f>
        <v>3</v>
      </c>
      <c r="V7" s="49" t="n">
        <f aca="false">IF(SUMIFS('Исходные данные'!$I$2:$I$966,'Исходные данные'!$D$2:$D$966,V$3,'Исходные данные'!$F$2:$F$966,$H7&amp;"")+SUMIFS('Исходные данные'!$J$2:$J$966,'Исходные данные'!$D$2:$D$966,V$3,'Исходные данные'!$F$2:$F$966,$H7&amp;"")=0,"",IF(SUMIFS('Исходные данные'!$J$2:$J$966,'Исходные данные'!$D$2:$D$966,V$3,'Исходные данные'!$F$2:$F$966,$H7&amp;"")=0,SUMIFS('Исходные данные'!$I$2:$I$966,'Исходные данные'!$D$2:$D$966,V$3,'Исходные данные'!$F$2:$F$966,$H7&amp;""),IF(SUMIFS('Исходные данные'!$I$2:$I$966,'Исходные данные'!$D$2:$D$966,V$3,'Исходные данные'!$F$2:$F$966,$H7&amp;"")=0,"0+"&amp;SUMIFS('Исходные данные'!$J$2:$J$966,'Исходные данные'!$D$2:$D$966,V$3,'Исходные данные'!$F$2:$F$966,$H7&amp;"")&amp;"="&amp;SUMIFS('Исходные данные'!$J$2:$J$966,'Исходные данные'!$D$2:$D$966,V$3,'Исходные данные'!$F$2:$F$966,$H7&amp;""),SUMIFS('Исходные данные'!$I$2:$I$966,'Исходные данные'!$D$2:$D$966,V$3,'Исходные данные'!$F$2:$F$966,$H7&amp;"")&amp;"+"&amp;SUMIFS('Исходные данные'!$J$2:$J$966,'Исходные данные'!$D$2:$D$966,V$3,'Исходные данные'!$F$2:$F$966,$H7&amp;"")&amp;"="&amp;(SUMIFS('Исходные данные'!$I$2:$I$966,'Исходные данные'!$D$2:$D$966,V$3,'Исходные данные'!$F$2:$F$966,$H7&amp;"")+SUMIFS('Исходные данные'!$J$2:$J$966,'Исходные данные'!$D$2:$D$966,V$3,'Исходные данные'!$F$2:$F$966,$H7&amp;"")))))</f>
        <v>1</v>
      </c>
      <c r="W7" s="50" t="str">
        <f aca="false">IF(SUMIFS('Исходные данные'!$I$2:$I$966,'Исходные данные'!$D$2:$D$966,W$3,'Исходные данные'!$F$2:$F$966,$H7&amp;"")+SUMIFS('Исходные данные'!$J$2:$J$966,'Исходные данные'!$D$2:$D$966,W$3,'Исходные данные'!$F$2:$F$966,$H7&amp;"")=0,"",IF(SUMIFS('Исходные данные'!$J$2:$J$966,'Исходные данные'!$D$2:$D$966,W$3,'Исходные данные'!$F$2:$F$966,$H7&amp;"")=0,SUMIFS('Исходные данные'!$I$2:$I$966,'Исходные данные'!$D$2:$D$966,W$3,'Исходные данные'!$F$2:$F$966,$H7&amp;""),IF(SUMIFS('Исходные данные'!$I$2:$I$966,'Исходные данные'!$D$2:$D$966,W$3,'Исходные данные'!$F$2:$F$966,$H7&amp;"")=0,"0+"&amp;SUMIFS('Исходные данные'!$J$2:$J$966,'Исходные данные'!$D$2:$D$966,W$3,'Исходные данные'!$F$2:$F$966,$H7&amp;"")&amp;"="&amp;SUMIFS('Исходные данные'!$J$2:$J$966,'Исходные данные'!$D$2:$D$966,W$3,'Исходные данные'!$F$2:$F$966,$H7&amp;""),SUMIFS('Исходные данные'!$I$2:$I$966,'Исходные данные'!$D$2:$D$966,W$3,'Исходные данные'!$F$2:$F$966,$H7&amp;"")&amp;"+"&amp;SUMIFS('Исходные данные'!$J$2:$J$966,'Исходные данные'!$D$2:$D$966,W$3,'Исходные данные'!$F$2:$F$966,$H7&amp;"")&amp;"="&amp;(SUMIFS('Исходные данные'!$I$2:$I$966,'Исходные данные'!$D$2:$D$966,W$3,'Исходные данные'!$F$2:$F$966,$H7&amp;"")+SUMIFS('Исходные данные'!$J$2:$J$966,'Исходные данные'!$D$2:$D$966,W$3,'Исходные данные'!$F$2:$F$966,$H7&amp;"")))))</f>
        <v/>
      </c>
      <c r="X7" s="50" t="str">
        <f aca="false">IF(SUMIFS('Исходные данные'!$I$2:$I$966,'Исходные данные'!$D$2:$D$966,X$3,'Исходные данные'!$F$2:$F$966,$H7&amp;"")+SUMIFS('Исходные данные'!$J$2:$J$966,'Исходные данные'!$D$2:$D$966,X$3,'Исходные данные'!$F$2:$F$966,$H7&amp;"")=0,"",IF(SUMIFS('Исходные данные'!$J$2:$J$966,'Исходные данные'!$D$2:$D$966,X$3,'Исходные данные'!$F$2:$F$966,$H7&amp;"")=0,SUMIFS('Исходные данные'!$I$2:$I$966,'Исходные данные'!$D$2:$D$966,X$3,'Исходные данные'!$F$2:$F$966,$H7&amp;""),IF(SUMIFS('Исходные данные'!$I$2:$I$966,'Исходные данные'!$D$2:$D$966,X$3,'Исходные данные'!$F$2:$F$966,$H7&amp;"")=0,"0+"&amp;SUMIFS('Исходные данные'!$J$2:$J$966,'Исходные данные'!$D$2:$D$966,X$3,'Исходные данные'!$F$2:$F$966,$H7&amp;"")&amp;"="&amp;SUMIFS('Исходные данные'!$J$2:$J$966,'Исходные данные'!$D$2:$D$966,X$3,'Исходные данные'!$F$2:$F$966,$H7&amp;""),SUMIFS('Исходные данные'!$I$2:$I$966,'Исходные данные'!$D$2:$D$966,X$3,'Исходные данные'!$F$2:$F$966,$H7&amp;"")&amp;"+"&amp;SUMIFS('Исходные данные'!$J$2:$J$966,'Исходные данные'!$D$2:$D$966,X$3,'Исходные данные'!$F$2:$F$966,$H7&amp;"")&amp;"="&amp;(SUMIFS('Исходные данные'!$I$2:$I$966,'Исходные данные'!$D$2:$D$966,X$3,'Исходные данные'!$F$2:$F$966,$H7&amp;"")+SUMIFS('Исходные данные'!$J$2:$J$966,'Исходные данные'!$D$2:$D$966,X$3,'Исходные данные'!$F$2:$F$966,$H7&amp;"")))))</f>
        <v/>
      </c>
      <c r="Y7" s="52" t="str">
        <f aca="false">IF(SUMIFS('Исходные данные'!$I$2:$I$966,'Исходные данные'!$D$2:$D$966,Y$3,'Исходные данные'!$F$2:$F$966,$H7&amp;"")+SUMIFS('Исходные данные'!$J$2:$J$966,'Исходные данные'!$D$2:$D$966,Y$3,'Исходные данные'!$F$2:$F$966,$H7&amp;"")=0,"",IF(SUMIFS('Исходные данные'!$J$2:$J$966,'Исходные данные'!$D$2:$D$966,Y$3,'Исходные данные'!$F$2:$F$966,$H7&amp;"")=0,SUMIFS('Исходные данные'!$I$2:$I$966,'Исходные данные'!$D$2:$D$966,Y$3,'Исходные данные'!$F$2:$F$966,$H7&amp;""),IF(SUMIFS('Исходные данные'!$I$2:$I$966,'Исходные данные'!$D$2:$D$966,Y$3,'Исходные данные'!$F$2:$F$966,$H7&amp;"")=0,"0+"&amp;SUMIFS('Исходные данные'!$J$2:$J$966,'Исходные данные'!$D$2:$D$966,Y$3,'Исходные данные'!$F$2:$F$966,$H7&amp;"")&amp;"="&amp;SUMIFS('Исходные данные'!$J$2:$J$966,'Исходные данные'!$D$2:$D$966,Y$3,'Исходные данные'!$F$2:$F$966,$H7&amp;""),SUMIFS('Исходные данные'!$I$2:$I$966,'Исходные данные'!$D$2:$D$966,Y$3,'Исходные данные'!$F$2:$F$966,$H7&amp;"")&amp;"+"&amp;SUMIFS('Исходные данные'!$J$2:$J$966,'Исходные данные'!$D$2:$D$966,Y$3,'Исходные данные'!$F$2:$F$966,$H7&amp;"")&amp;"="&amp;(SUMIFS('Исходные данные'!$I$2:$I$966,'Исходные данные'!$D$2:$D$966,Y$3,'Исходные данные'!$F$2:$F$966,$H7&amp;"")+SUMIFS('Исходные данные'!$J$2:$J$966,'Исходные данные'!$D$2:$D$966,Y$3,'Исходные данные'!$F$2:$F$966,$H7&amp;"")))))</f>
        <v/>
      </c>
      <c r="Z7" s="49" t="str">
        <f aca="false">IF(SUMIFS('Исходные данные'!$I$2:$I$966,'Исходные данные'!$D$2:$D$966,Z$3,'Исходные данные'!$F$2:$F$966,$H7&amp;"")+SUMIFS('Исходные данные'!$J$2:$J$966,'Исходные данные'!$D$2:$D$966,Z$3,'Исходные данные'!$F$2:$F$966,$H7&amp;"")=0,"",IF(SUMIFS('Исходные данные'!$J$2:$J$966,'Исходные данные'!$D$2:$D$966,Z$3,'Исходные данные'!$F$2:$F$966,$H7&amp;"")=0,SUMIFS('Исходные данные'!$I$2:$I$966,'Исходные данные'!$D$2:$D$966,Z$3,'Исходные данные'!$F$2:$F$966,$H7&amp;""),IF(SUMIFS('Исходные данные'!$I$2:$I$966,'Исходные данные'!$D$2:$D$966,Z$3,'Исходные данные'!$F$2:$F$966,$H7&amp;"")=0,"0+"&amp;SUMIFS('Исходные данные'!$J$2:$J$966,'Исходные данные'!$D$2:$D$966,Z$3,'Исходные данные'!$F$2:$F$966,$H7&amp;"")&amp;"="&amp;SUMIFS('Исходные данные'!$J$2:$J$966,'Исходные данные'!$D$2:$D$966,Z$3,'Исходные данные'!$F$2:$F$966,$H7&amp;""),SUMIFS('Исходные данные'!$I$2:$I$966,'Исходные данные'!$D$2:$D$966,Z$3,'Исходные данные'!$F$2:$F$966,$H7&amp;"")&amp;"+"&amp;SUMIFS('Исходные данные'!$J$2:$J$966,'Исходные данные'!$D$2:$D$966,Z$3,'Исходные данные'!$F$2:$F$966,$H7&amp;"")&amp;"="&amp;(SUMIFS('Исходные данные'!$I$2:$I$966,'Исходные данные'!$D$2:$D$966,Z$3,'Исходные данные'!$F$2:$F$966,$H7&amp;"")+SUMIFS('Исходные данные'!$J$2:$J$966,'Исходные данные'!$D$2:$D$966,Z$3,'Исходные данные'!$F$2:$F$966,$H7&amp;"")))))</f>
        <v/>
      </c>
      <c r="AA7" s="50" t="str">
        <f aca="false">IF(SUMIFS('Исходные данные'!$I$2:$I$966,'Исходные данные'!$D$2:$D$966,AA$3,'Исходные данные'!$F$2:$F$966,$H7&amp;"")+SUMIFS('Исходные данные'!$J$2:$J$966,'Исходные данные'!$D$2:$D$966,AA$3,'Исходные данные'!$F$2:$F$966,$H7&amp;"")=0,"",IF(SUMIFS('Исходные данные'!$J$2:$J$966,'Исходные данные'!$D$2:$D$966,AA$3,'Исходные данные'!$F$2:$F$966,$H7&amp;"")=0,SUMIFS('Исходные данные'!$I$2:$I$966,'Исходные данные'!$D$2:$D$966,AA$3,'Исходные данные'!$F$2:$F$966,$H7&amp;""),IF(SUMIFS('Исходные данные'!$I$2:$I$966,'Исходные данные'!$D$2:$D$966,AA$3,'Исходные данные'!$F$2:$F$966,$H7&amp;"")=0,"0+"&amp;SUMIFS('Исходные данные'!$J$2:$J$966,'Исходные данные'!$D$2:$D$966,AA$3,'Исходные данные'!$F$2:$F$966,$H7&amp;"")&amp;"="&amp;SUMIFS('Исходные данные'!$J$2:$J$966,'Исходные данные'!$D$2:$D$966,AA$3,'Исходные данные'!$F$2:$F$966,$H7&amp;""),SUMIFS('Исходные данные'!$I$2:$I$966,'Исходные данные'!$D$2:$D$966,AA$3,'Исходные данные'!$F$2:$F$966,$H7&amp;"")&amp;"+"&amp;SUMIFS('Исходные данные'!$J$2:$J$966,'Исходные данные'!$D$2:$D$966,AA$3,'Исходные данные'!$F$2:$F$966,$H7&amp;"")&amp;"="&amp;(SUMIFS('Исходные данные'!$I$2:$I$966,'Исходные данные'!$D$2:$D$966,AA$3,'Исходные данные'!$F$2:$F$966,$H7&amp;"")+SUMIFS('Исходные данные'!$J$2:$J$966,'Исходные данные'!$D$2:$D$966,AA$3,'Исходные данные'!$F$2:$F$966,$H7&amp;"")))))</f>
        <v/>
      </c>
      <c r="AB7" s="50" t="str">
        <f aca="false">IF(SUMIFS('Исходные данные'!$I$2:$I$966,'Исходные данные'!$D$2:$D$966,AB$3,'Исходные данные'!$F$2:$F$966,$H7&amp;"")+SUMIFS('Исходные данные'!$J$2:$J$966,'Исходные данные'!$D$2:$D$966,AB$3,'Исходные данные'!$F$2:$F$966,$H7&amp;"")=0,"",IF(SUMIFS('Исходные данные'!$J$2:$J$966,'Исходные данные'!$D$2:$D$966,AB$3,'Исходные данные'!$F$2:$F$966,$H7&amp;"")=0,SUMIFS('Исходные данные'!$I$2:$I$966,'Исходные данные'!$D$2:$D$966,AB$3,'Исходные данные'!$F$2:$F$966,$H7&amp;""),IF(SUMIFS('Исходные данные'!$I$2:$I$966,'Исходные данные'!$D$2:$D$966,AB$3,'Исходные данные'!$F$2:$F$966,$H7&amp;"")=0,"0+"&amp;SUMIFS('Исходные данные'!$J$2:$J$966,'Исходные данные'!$D$2:$D$966,AB$3,'Исходные данные'!$F$2:$F$966,$H7&amp;"")&amp;"="&amp;SUMIFS('Исходные данные'!$J$2:$J$966,'Исходные данные'!$D$2:$D$966,AB$3,'Исходные данные'!$F$2:$F$966,$H7&amp;""),SUMIFS('Исходные данные'!$I$2:$I$966,'Исходные данные'!$D$2:$D$966,AB$3,'Исходные данные'!$F$2:$F$966,$H7&amp;"")&amp;"+"&amp;SUMIFS('Исходные данные'!$J$2:$J$966,'Исходные данные'!$D$2:$D$966,AB$3,'Исходные данные'!$F$2:$F$966,$H7&amp;"")&amp;"="&amp;(SUMIFS('Исходные данные'!$I$2:$I$966,'Исходные данные'!$D$2:$D$966,AB$3,'Исходные данные'!$F$2:$F$966,$H7&amp;"")+SUMIFS('Исходные данные'!$J$2:$J$966,'Исходные данные'!$D$2:$D$966,AB$3,'Исходные данные'!$F$2:$F$966,$H7&amp;"")))))</f>
        <v/>
      </c>
      <c r="AC7" s="49" t="str">
        <f aca="false">IF(SUMIFS('Исходные данные'!$I$2:$I$966,'Исходные данные'!$D$2:$D$966,AC$3,'Исходные данные'!$F$2:$F$966,$H7&amp;"")+SUMIFS('Исходные данные'!$J$2:$J$966,'Исходные данные'!$D$2:$D$966,AC$3,'Исходные данные'!$F$2:$F$966,$H7&amp;"")=0,"",IF(SUMIFS('Исходные данные'!$J$2:$J$966,'Исходные данные'!$D$2:$D$966,AC$3,'Исходные данные'!$F$2:$F$966,$H7&amp;"")=0,SUMIFS('Исходные данные'!$I$2:$I$966,'Исходные данные'!$D$2:$D$966,AC$3,'Исходные данные'!$F$2:$F$966,$H7&amp;""),IF(SUMIFS('Исходные данные'!$I$2:$I$966,'Исходные данные'!$D$2:$D$966,AC$3,'Исходные данные'!$F$2:$F$966,$H7&amp;"")=0,"0+"&amp;SUMIFS('Исходные данные'!$J$2:$J$966,'Исходные данные'!$D$2:$D$966,AC$3,'Исходные данные'!$F$2:$F$966,$H7&amp;"")&amp;"="&amp;SUMIFS('Исходные данные'!$J$2:$J$966,'Исходные данные'!$D$2:$D$966,AC$3,'Исходные данные'!$F$2:$F$966,$H7&amp;""),SUMIFS('Исходные данные'!$I$2:$I$966,'Исходные данные'!$D$2:$D$966,AC$3,'Исходные данные'!$F$2:$F$966,$H7&amp;"")&amp;"+"&amp;SUMIFS('Исходные данные'!$J$2:$J$966,'Исходные данные'!$D$2:$D$966,AC$3,'Исходные данные'!$F$2:$F$966,$H7&amp;"")&amp;"="&amp;(SUMIFS('Исходные данные'!$I$2:$I$966,'Исходные данные'!$D$2:$D$966,AC$3,'Исходные данные'!$F$2:$F$966,$H7&amp;"")+SUMIFS('Исходные данные'!$J$2:$J$966,'Исходные данные'!$D$2:$D$966,AC$3,'Исходные данные'!$F$2:$F$966,$H7&amp;"")))))</f>
        <v/>
      </c>
      <c r="AD7" s="50" t="str">
        <f aca="false">IF(SUMIFS('Исходные данные'!$I$2:$I$966,'Исходные данные'!$D$2:$D$966,AD$3,'Исходные данные'!$F$2:$F$966,$H7&amp;"")+SUMIFS('Исходные данные'!$J$2:$J$966,'Исходные данные'!$D$2:$D$966,AD$3,'Исходные данные'!$F$2:$F$966,$H7&amp;"")=0,"",IF(SUMIFS('Исходные данные'!$J$2:$J$966,'Исходные данные'!$D$2:$D$966,AD$3,'Исходные данные'!$F$2:$F$966,$H7&amp;"")=0,SUMIFS('Исходные данные'!$I$2:$I$966,'Исходные данные'!$D$2:$D$966,AD$3,'Исходные данные'!$F$2:$F$966,$H7&amp;""),IF(SUMIFS('Исходные данные'!$I$2:$I$966,'Исходные данные'!$D$2:$D$966,AD$3,'Исходные данные'!$F$2:$F$966,$H7&amp;"")=0,"0+"&amp;SUMIFS('Исходные данные'!$J$2:$J$966,'Исходные данные'!$D$2:$D$966,AD$3,'Исходные данные'!$F$2:$F$966,$H7&amp;"")&amp;"="&amp;SUMIFS('Исходные данные'!$J$2:$J$966,'Исходные данные'!$D$2:$D$966,AD$3,'Исходные данные'!$F$2:$F$966,$H7&amp;""),SUMIFS('Исходные данные'!$I$2:$I$966,'Исходные данные'!$D$2:$D$966,AD$3,'Исходные данные'!$F$2:$F$966,$H7&amp;"")&amp;"+"&amp;SUMIFS('Исходные данные'!$J$2:$J$966,'Исходные данные'!$D$2:$D$966,AD$3,'Исходные данные'!$F$2:$F$966,$H7&amp;"")&amp;"="&amp;(SUMIFS('Исходные данные'!$I$2:$I$966,'Исходные данные'!$D$2:$D$966,AD$3,'Исходные данные'!$F$2:$F$966,$H7&amp;"")+SUMIFS('Исходные данные'!$J$2:$J$966,'Исходные данные'!$D$2:$D$966,AD$3,'Исходные данные'!$F$2:$F$966,$H7&amp;"")))))</f>
        <v/>
      </c>
    </row>
    <row r="8" customFormat="false" ht="25.5" hidden="false" customHeight="true" outlineLevel="0" collapsed="false">
      <c r="A8" s="43" t="n">
        <v>6</v>
      </c>
      <c r="B8" s="28" t="s">
        <v>174</v>
      </c>
      <c r="C8" s="29" t="s">
        <v>8</v>
      </c>
      <c r="D8" s="30"/>
      <c r="E8" s="30" t="s">
        <v>175</v>
      </c>
      <c r="F8" s="30" t="s">
        <v>20</v>
      </c>
      <c r="G8" s="64"/>
      <c r="H8" s="32"/>
      <c r="I8" s="55"/>
      <c r="J8" s="56"/>
      <c r="K8" s="57"/>
      <c r="L8" s="58"/>
      <c r="M8" s="59"/>
      <c r="N8" s="59"/>
      <c r="O8" s="60" t="str">
        <f aca="false">IF(SUMIFS('Исходные данные'!$I$2:$I$966,'Исходные данные'!$D$2:$D$966,O$3,'Исходные данные'!$F$2:$F$966,$H9&amp;"",'Исходные данные'!$L$2:$L$966,"УТТ")+SUMIFS('Исходные данные'!$J$2:$J$966,'Исходные данные'!$D$2:$D$966,O$3,'Исходные данные'!$F$2:$F$966,$H9&amp;"",'Исходные данные'!$L$2:$L$966,"УТТ")=0,"","утт-"&amp;(SUMIFS('Исходные данные'!$I$2:$I$966,'Исходные данные'!$D$2:$D$966,O$3,'Исходные данные'!$F$2:$F$966,$H9&amp;"",'Исходные данные'!$L$2:$L$966,"УТТ")+SUMIFS('Исходные данные'!$J$2:$J$966,'Исходные данные'!$D$2:$D$966,O$3,'Исходные данные'!$F$2:$F$966,$H9&amp;"",'Исходные данные'!$L$2:$L$966,"УТТ")))</f>
        <v/>
      </c>
      <c r="P8" s="61" t="str">
        <f aca="false">IF(SUMIFS('Исходные данные'!$I$2:$I$966,'Исходные данные'!$D$2:$D$966,P$3,'Исходные данные'!$F$2:$F$966,$H9&amp;"",'Исходные данные'!$L$2:$L$966,"УТТ")+SUMIFS('Исходные данные'!$J$2:$J$966,'Исходные данные'!$D$2:$D$966,P$3,'Исходные данные'!$F$2:$F$966,$H9&amp;"",'Исходные данные'!$L$2:$L$966,"УТТ")=0,"","утт-"&amp;(SUMIFS('Исходные данные'!$I$2:$I$966,'Исходные данные'!$D$2:$D$966,P$3,'Исходные данные'!$F$2:$F$966,$H9&amp;"",'Исходные данные'!$L$2:$L$966,"УТТ")+SUMIFS('Исходные данные'!$J$2:$J$966,'Исходные данные'!$D$2:$D$966,P$3,'Исходные данные'!$F$2:$F$966,$H9&amp;"",'Исходные данные'!$L$2:$L$966,"УТТ")))</f>
        <v/>
      </c>
      <c r="Q8" s="60" t="str">
        <f aca="false">IF(SUMIFS('Исходные данные'!$I$2:$I$966,'Исходные данные'!$D$2:$D$966,Q$3,'Исходные данные'!$F$2:$F$966,$H9&amp;"",'Исходные данные'!$L$2:$L$966,"УТТ")+SUMIFS('Исходные данные'!$J$2:$J$966,'Исходные данные'!$D$2:$D$966,Q$3,'Исходные данные'!$F$2:$F$966,$H9&amp;"",'Исходные данные'!$L$2:$L$966,"УТТ")=0,"","утт-"&amp;(SUMIFS('Исходные данные'!$I$2:$I$966,'Исходные данные'!$D$2:$D$966,Q$3,'Исходные данные'!$F$2:$F$966,$H9&amp;"",'Исходные данные'!$L$2:$L$966,"УТТ")+SUMIFS('Исходные данные'!$J$2:$J$966,'Исходные данные'!$D$2:$D$966,Q$3,'Исходные данные'!$F$2:$F$966,$H9&amp;"",'Исходные данные'!$L$2:$L$966,"УТТ")))</f>
        <v/>
      </c>
      <c r="R8" s="62" t="str">
        <f aca="false">IF(SUMIFS('Исходные данные'!$I$2:$I$966,'Исходные данные'!$D$2:$D$966,R$3,'Исходные данные'!$F$2:$F$966,$H9&amp;"",'Исходные данные'!$L$2:$L$966,"УТТ")+SUMIFS('Исходные данные'!$J$2:$J$966,'Исходные данные'!$D$2:$D$966,R$3,'Исходные данные'!$F$2:$F$966,$H9&amp;"",'Исходные данные'!$L$2:$L$966,"УТТ")=0,"","утт-"&amp;(SUMIFS('Исходные данные'!$I$2:$I$966,'Исходные данные'!$D$2:$D$966,R$3,'Исходные данные'!$F$2:$F$966,$H9&amp;"",'Исходные данные'!$L$2:$L$966,"УТТ")+SUMIFS('Исходные данные'!$J$2:$J$966,'Исходные данные'!$D$2:$D$966,R$3,'Исходные данные'!$F$2:$F$966,$H9&amp;"",'Исходные данные'!$L$2:$L$966,"УТТ")))</f>
        <v/>
      </c>
      <c r="S8" s="61" t="str">
        <f aca="false">IF(SUMIFS('Исходные данные'!$I$2:$I$966,'Исходные данные'!$D$2:$D$966,S$3,'Исходные данные'!$F$2:$F$966,$H9&amp;"",'Исходные данные'!$L$2:$L$966,"УТТ")+SUMIFS('Исходные данные'!$J$2:$J$966,'Исходные данные'!$D$2:$D$966,S$3,'Исходные данные'!$F$2:$F$966,$H9&amp;"",'Исходные данные'!$L$2:$L$966,"УТТ")=0,"","утт-"&amp;(SUMIFS('Исходные данные'!$I$2:$I$966,'Исходные данные'!$D$2:$D$966,S$3,'Исходные данные'!$F$2:$F$966,$H9&amp;"",'Исходные данные'!$L$2:$L$966,"УТТ")+SUMIFS('Исходные данные'!$J$2:$J$966,'Исходные данные'!$D$2:$D$966,S$3,'Исходные данные'!$F$2:$F$966,$H9&amp;"",'Исходные данные'!$L$2:$L$966,"УТТ")))</f>
        <v/>
      </c>
      <c r="T8" s="60" t="str">
        <f aca="false">IF(SUMIFS('Исходные данные'!$I$2:$I$966,'Исходные данные'!$D$2:$D$966,T$3,'Исходные данные'!$F$2:$F$966,$H9&amp;"",'Исходные данные'!$L$2:$L$966,"УТТ")+SUMIFS('Исходные данные'!$J$2:$J$966,'Исходные данные'!$D$2:$D$966,T$3,'Исходные данные'!$F$2:$F$966,$H9&amp;"",'Исходные данные'!$L$2:$L$966,"УТТ")=0,"","утт-"&amp;(SUMIFS('Исходные данные'!$I$2:$I$966,'Исходные данные'!$D$2:$D$966,T$3,'Исходные данные'!$F$2:$F$966,$H9&amp;"",'Исходные данные'!$L$2:$L$966,"УТТ")+SUMIFS('Исходные данные'!$J$2:$J$966,'Исходные данные'!$D$2:$D$966,T$3,'Исходные данные'!$F$2:$F$966,$H9&amp;"",'Исходные данные'!$L$2:$L$966,"УТТ")))</f>
        <v/>
      </c>
      <c r="U8" s="61" t="str">
        <f aca="false">IF(SUMIFS('Исходные данные'!$I$2:$I$966,'Исходные данные'!$D$2:$D$966,U$3,'Исходные данные'!$F$2:$F$966,$H9&amp;"",'Исходные данные'!$L$2:$L$966,"УТТ")+SUMIFS('Исходные данные'!$J$2:$J$966,'Исходные данные'!$D$2:$D$966,U$3,'Исходные данные'!$F$2:$F$966,$H9&amp;"",'Исходные данные'!$L$2:$L$966,"УТТ")=0,"","утт-"&amp;(SUMIFS('Исходные данные'!$I$2:$I$966,'Исходные данные'!$D$2:$D$966,U$3,'Исходные данные'!$F$2:$F$966,$H9&amp;"",'Исходные данные'!$L$2:$L$966,"УТТ")+SUMIFS('Исходные данные'!$J$2:$J$966,'Исходные данные'!$D$2:$D$966,U$3,'Исходные данные'!$F$2:$F$966,$H9&amp;"",'Исходные данные'!$L$2:$L$966,"УТТ")))</f>
        <v/>
      </c>
      <c r="V8" s="60" t="str">
        <f aca="false">IF(SUMIFS('Исходные данные'!$I$2:$I$966,'Исходные данные'!$D$2:$D$966,V$3,'Исходные данные'!$F$2:$F$966,$H9&amp;"",'Исходные данные'!$L$2:$L$966,"УТТ")+SUMIFS('Исходные данные'!$J$2:$J$966,'Исходные данные'!$D$2:$D$966,V$3,'Исходные данные'!$F$2:$F$966,$H9&amp;"",'Исходные данные'!$L$2:$L$966,"УТТ")=0,"","утт-"&amp;(SUMIFS('Исходные данные'!$I$2:$I$966,'Исходные данные'!$D$2:$D$966,V$3,'Исходные данные'!$F$2:$F$966,$H9&amp;"",'Исходные данные'!$L$2:$L$966,"УТТ")+SUMIFS('Исходные данные'!$J$2:$J$966,'Исходные данные'!$D$2:$D$966,V$3,'Исходные данные'!$F$2:$F$966,$H9&amp;"",'Исходные данные'!$L$2:$L$966,"УТТ")))</f>
        <v/>
      </c>
      <c r="W8" s="61" t="str">
        <f aca="false">IF(SUMIFS('Исходные данные'!$I$2:$I$966,'Исходные данные'!$D$2:$D$966,W$3,'Исходные данные'!$F$2:$F$966,$H9&amp;"",'Исходные данные'!$L$2:$L$966,"УТТ")+SUMIFS('Исходные данные'!$J$2:$J$966,'Исходные данные'!$D$2:$D$966,W$3,'Исходные данные'!$F$2:$F$966,$H9&amp;"",'Исходные данные'!$L$2:$L$966,"УТТ")=0,"","утт-"&amp;(SUMIFS('Исходные данные'!$I$2:$I$966,'Исходные данные'!$D$2:$D$966,W$3,'Исходные данные'!$F$2:$F$966,$H9&amp;"",'Исходные данные'!$L$2:$L$966,"УТТ")+SUMIFS('Исходные данные'!$J$2:$J$966,'Исходные данные'!$D$2:$D$966,W$3,'Исходные данные'!$F$2:$F$966,$H9&amp;"",'Исходные данные'!$L$2:$L$966,"УТТ")))</f>
        <v/>
      </c>
      <c r="X8" s="61" t="str">
        <f aca="false">IF(SUMIFS('Исходные данные'!$I$2:$I$966,'Исходные данные'!$D$2:$D$966,X$3,'Исходные данные'!$F$2:$F$966,$H9&amp;"",'Исходные данные'!$L$2:$L$966,"УТТ")+SUMIFS('Исходные данные'!$J$2:$J$966,'Исходные данные'!$D$2:$D$966,X$3,'Исходные данные'!$F$2:$F$966,$H9&amp;"",'Исходные данные'!$L$2:$L$966,"УТТ")=0,"","утт-"&amp;(SUMIFS('Исходные данные'!$I$2:$I$966,'Исходные данные'!$D$2:$D$966,X$3,'Исходные данные'!$F$2:$F$966,$H9&amp;"",'Исходные данные'!$L$2:$L$966,"УТТ")+SUMIFS('Исходные данные'!$J$2:$J$966,'Исходные данные'!$D$2:$D$966,X$3,'Исходные данные'!$F$2:$F$966,$H9&amp;"",'Исходные данные'!$L$2:$L$966,"УТТ")))</f>
        <v/>
      </c>
      <c r="Y8" s="63" t="str">
        <f aca="false">IF(SUMIFS('Исходные данные'!$I$2:$I$966,'Исходные данные'!$D$2:$D$966,Y$3,'Исходные данные'!$F$2:$F$966,$H9&amp;"",'Исходные данные'!$L$2:$L$966,"УТТ")+SUMIFS('Исходные данные'!$J$2:$J$966,'Исходные данные'!$D$2:$D$966,Y$3,'Исходные данные'!$F$2:$F$966,$H9&amp;"",'Исходные данные'!$L$2:$L$966,"УТТ")=0,"","утт-"&amp;(SUMIFS('Исходные данные'!$I$2:$I$966,'Исходные данные'!$D$2:$D$966,Y$3,'Исходные данные'!$F$2:$F$966,$H9&amp;"",'Исходные данные'!$L$2:$L$966,"УТТ")+SUMIFS('Исходные данные'!$J$2:$J$966,'Исходные данные'!$D$2:$D$966,Y$3,'Исходные данные'!$F$2:$F$966,$H9&amp;"",'Исходные данные'!$L$2:$L$966,"УТТ")))</f>
        <v/>
      </c>
      <c r="Z8" s="60" t="str">
        <f aca="false">IF(SUMIFS('Исходные данные'!$I$2:$I$966,'Исходные данные'!$D$2:$D$966,Z$3,'Исходные данные'!$F$2:$F$966,$H9&amp;"",'Исходные данные'!$L$2:$L$966,"УТТ")+SUMIFS('Исходные данные'!$J$2:$J$966,'Исходные данные'!$D$2:$D$966,Z$3,'Исходные данные'!$F$2:$F$966,$H9&amp;"",'Исходные данные'!$L$2:$L$966,"УТТ")=0,"","утт-"&amp;(SUMIFS('Исходные данные'!$I$2:$I$966,'Исходные данные'!$D$2:$D$966,Z$3,'Исходные данные'!$F$2:$F$966,$H9&amp;"",'Исходные данные'!$L$2:$L$966,"УТТ")+SUMIFS('Исходные данные'!$J$2:$J$966,'Исходные данные'!$D$2:$D$966,Z$3,'Исходные данные'!$F$2:$F$966,$H9&amp;"",'Исходные данные'!$L$2:$L$966,"УТТ")))</f>
        <v/>
      </c>
      <c r="AA8" s="61" t="str">
        <f aca="false">IF(SUMIFS('Исходные данные'!$I$2:$I$966,'Исходные данные'!$D$2:$D$966,AA$3,'Исходные данные'!$F$2:$F$966,$H9&amp;"",'Исходные данные'!$L$2:$L$966,"УТТ")+SUMIFS('Исходные данные'!$J$2:$J$966,'Исходные данные'!$D$2:$D$966,AA$3,'Исходные данные'!$F$2:$F$966,$H9&amp;"",'Исходные данные'!$L$2:$L$966,"УТТ")=0,"","утт-"&amp;(SUMIFS('Исходные данные'!$I$2:$I$966,'Исходные данные'!$D$2:$D$966,AA$3,'Исходные данные'!$F$2:$F$966,$H9&amp;"",'Исходные данные'!$L$2:$L$966,"УТТ")+SUMIFS('Исходные данные'!$J$2:$J$966,'Исходные данные'!$D$2:$D$966,AA$3,'Исходные данные'!$F$2:$F$966,$H9&amp;"",'Исходные данные'!$L$2:$L$966,"УТТ")))</f>
        <v/>
      </c>
      <c r="AB8" s="61" t="str">
        <f aca="false">IF(SUMIFS('Исходные данные'!$I$2:$I$966,'Исходные данные'!$D$2:$D$966,AB$3,'Исходные данные'!$F$2:$F$966,$H9&amp;"",'Исходные данные'!$L$2:$L$966,"УТТ")+SUMIFS('Исходные данные'!$J$2:$J$966,'Исходные данные'!$D$2:$D$966,AB$3,'Исходные данные'!$F$2:$F$966,$H9&amp;"",'Исходные данные'!$L$2:$L$966,"УТТ")=0,"","утт-"&amp;(SUMIFS('Исходные данные'!$I$2:$I$966,'Исходные данные'!$D$2:$D$966,AB$3,'Исходные данные'!$F$2:$F$966,$H9&amp;"",'Исходные данные'!$L$2:$L$966,"УТТ")+SUMIFS('Исходные данные'!$J$2:$J$966,'Исходные данные'!$D$2:$D$966,AB$3,'Исходные данные'!$F$2:$F$966,$H9&amp;"",'Исходные данные'!$L$2:$L$966,"УТТ")))</f>
        <v/>
      </c>
      <c r="AC8" s="60" t="str">
        <f aca="false">IF(SUMIFS('Исходные данные'!$I$2:$I$966,'Исходные данные'!$D$2:$D$966,AC$3,'Исходные данные'!$F$2:$F$966,$H9&amp;"",'Исходные данные'!$L$2:$L$966,"УТТ")+SUMIFS('Исходные данные'!$J$2:$J$966,'Исходные данные'!$D$2:$D$966,AC$3,'Исходные данные'!$F$2:$F$966,$H9&amp;"",'Исходные данные'!$L$2:$L$966,"УТТ")=0,"","утт-"&amp;(SUMIFS('Исходные данные'!$I$2:$I$966,'Исходные данные'!$D$2:$D$966,AC$3,'Исходные данные'!$F$2:$F$966,$H9&amp;"",'Исходные данные'!$L$2:$L$966,"УТТ")+SUMIFS('Исходные данные'!$J$2:$J$966,'Исходные данные'!$D$2:$D$966,AC$3,'Исходные данные'!$F$2:$F$966,$H9&amp;"",'Исходные данные'!$L$2:$L$966,"УТТ")))</f>
        <v/>
      </c>
      <c r="AD8" s="61" t="str">
        <f aca="false">IF(SUMIFS('Исходные данные'!$I$2:$I$966,'Исходные данные'!$D$2:$D$966,AD$3,'Исходные данные'!$F$2:$F$966,$H9&amp;"",'Исходные данные'!$L$2:$L$966,"УТТ")+SUMIFS('Исходные данные'!$J$2:$J$966,'Исходные данные'!$D$2:$D$966,AD$3,'Исходные данные'!$F$2:$F$966,$H9&amp;"",'Исходные данные'!$L$2:$L$966,"УТТ")=0,"","утт-"&amp;(SUMIFS('Исходные данные'!$I$2:$I$966,'Исходные данные'!$D$2:$D$966,AD$3,'Исходные данные'!$F$2:$F$966,$H9&amp;"",'Исходные данные'!$L$2:$L$966,"УТТ")+SUMIFS('Исходные данные'!$J$2:$J$966,'Исходные данные'!$D$2:$D$966,AD$3,'Исходные данные'!$F$2:$F$966,$H9&amp;"",'Исходные данные'!$L$2:$L$966,"УТТ")))</f>
        <v>утт-2</v>
      </c>
    </row>
    <row r="9" customFormat="false" ht="25.5" hidden="false" customHeight="true" outlineLevel="0" collapsed="false">
      <c r="A9" s="27" t="n">
        <v>7</v>
      </c>
      <c r="B9" s="28" t="s">
        <v>176</v>
      </c>
      <c r="C9" s="29" t="s">
        <v>8</v>
      </c>
      <c r="D9" s="30"/>
      <c r="E9" s="30" t="s">
        <v>177</v>
      </c>
      <c r="F9" s="30" t="s">
        <v>20</v>
      </c>
      <c r="G9" s="64"/>
      <c r="H9" s="32" t="n">
        <v>49</v>
      </c>
      <c r="I9" s="44" t="s">
        <v>178</v>
      </c>
      <c r="J9" s="45" t="n">
        <f aca="false">IFERROR(INDEX('Выход ТС'!$C:$C,MATCH($H9&amp;"",'Выход ТС'!$A:$A,0)),"")</f>
        <v>15</v>
      </c>
      <c r="K9" s="46" t="n">
        <f aca="false">IFERROR(INDEX('Выход ТС'!$D:$D,MATCH($H9&amp;"",'Выход ТС'!$A:$A,0)),"")</f>
        <v>15</v>
      </c>
      <c r="L9" s="47" t="n">
        <f aca="false">IFERROR(INDEX('Выход ТС'!$E:$E,MATCH($H9&amp;"",'Выход ТС'!$A:$A,0)),"")</f>
        <v>0</v>
      </c>
      <c r="M9" s="48" t="n">
        <f aca="false">IFERROR(IF(INDEX('Выход ТС'!$F:$F,MATCH($H9&amp;"",'Выход ТС'!$A:$A,0))=0,"",INDEX('Выход ТС'!$F:$F,MATCH($H9&amp;"",'Выход ТС'!$A:$A,0))),"")</f>
        <v>9</v>
      </c>
      <c r="N9" s="48" t="n">
        <f aca="false">IFERROR(IF(INDEX('Выход ТС'!$G:$G,MATCH($H9&amp;"",'Выход ТС'!$A:$A,0))=0,"",INDEX('Выход ТС'!$G:$G,MATCH($H9&amp;"",'Выход ТС'!$A:$A,0))),"")</f>
        <v>6</v>
      </c>
      <c r="O9" s="52" t="str">
        <f aca="false">IF(SUMIFS('Исходные данные'!$I$2:$I$966,'Исходные данные'!$D$2:$D$966,O$3,'Исходные данные'!$F$2:$F$966,$H9&amp;"")+SUMIFS('Исходные данные'!$J$2:$J$966,'Исходные данные'!$D$2:$D$966,O$3,'Исходные данные'!$F$2:$F$966,$H9&amp;"")=0,"",IF(SUMIFS('Исходные данные'!$J$2:$J$966,'Исходные данные'!$D$2:$D$966,O$3,'Исходные данные'!$F$2:$F$966,$H9&amp;"")=0,SUMIFS('Исходные данные'!$I$2:$I$966,'Исходные данные'!$D$2:$D$966,O$3,'Исходные данные'!$F$2:$F$966,$H9&amp;""),IF(SUMIFS('Исходные данные'!$I$2:$I$966,'Исходные данные'!$D$2:$D$966,O$3,'Исходные данные'!$F$2:$F$966,$H9&amp;"")=0,"0+"&amp;SUMIFS('Исходные данные'!$J$2:$J$966,'Исходные данные'!$D$2:$D$966,O$3,'Исходные данные'!$F$2:$F$966,$H9&amp;"")&amp;"="&amp;SUMIFS('Исходные данные'!$J$2:$J$966,'Исходные данные'!$D$2:$D$966,O$3,'Исходные данные'!$F$2:$F$966,$H9&amp;""),SUMIFS('Исходные данные'!$I$2:$I$966,'Исходные данные'!$D$2:$D$966,O$3,'Исходные данные'!$F$2:$F$966,$H9&amp;"")&amp;"+"&amp;SUMIFS('Исходные данные'!$J$2:$J$966,'Исходные данные'!$D$2:$D$966,O$3,'Исходные данные'!$F$2:$F$966,$H9&amp;"")&amp;"="&amp;(SUMIFS('Исходные данные'!$I$2:$I$966,'Исходные данные'!$D$2:$D$966,O$3,'Исходные данные'!$F$2:$F$966,$H9&amp;"")+SUMIFS('Исходные данные'!$J$2:$J$966,'Исходные данные'!$D$2:$D$966,O$3,'Исходные данные'!$F$2:$F$966,$H9&amp;"")))))</f>
        <v>2+2=4</v>
      </c>
      <c r="P9" s="50" t="n">
        <f aca="false">IF(SUMIFS('Исходные данные'!$I$2:$I$966,'Исходные данные'!$D$2:$D$966,P$3,'Исходные данные'!$F$2:$F$966,$H9&amp;"")+SUMIFS('Исходные данные'!$J$2:$J$966,'Исходные данные'!$D$2:$D$966,P$3,'Исходные данные'!$F$2:$F$966,$H9&amp;"")=0,"",IF(SUMIFS('Исходные данные'!$J$2:$J$966,'Исходные данные'!$D$2:$D$966,P$3,'Исходные данные'!$F$2:$F$966,$H9&amp;"")=0,SUMIFS('Исходные данные'!$I$2:$I$966,'Исходные данные'!$D$2:$D$966,P$3,'Исходные данные'!$F$2:$F$966,$H9&amp;""),IF(SUMIFS('Исходные данные'!$I$2:$I$966,'Исходные данные'!$D$2:$D$966,P$3,'Исходные данные'!$F$2:$F$966,$H9&amp;"")=0,"0+"&amp;SUMIFS('Исходные данные'!$J$2:$J$966,'Исходные данные'!$D$2:$D$966,P$3,'Исходные данные'!$F$2:$F$966,$H9&amp;"")&amp;"="&amp;SUMIFS('Исходные данные'!$J$2:$J$966,'Исходные данные'!$D$2:$D$966,P$3,'Исходные данные'!$F$2:$F$966,$H9&amp;""),SUMIFS('Исходные данные'!$I$2:$I$966,'Исходные данные'!$D$2:$D$966,P$3,'Исходные данные'!$F$2:$F$966,$H9&amp;"")&amp;"+"&amp;SUMIFS('Исходные данные'!$J$2:$J$966,'Исходные данные'!$D$2:$D$966,P$3,'Исходные данные'!$F$2:$F$966,$H9&amp;"")&amp;"="&amp;(SUMIFS('Исходные данные'!$I$2:$I$966,'Исходные данные'!$D$2:$D$966,P$3,'Исходные данные'!$F$2:$F$966,$H9&amp;"")+SUMIFS('Исходные данные'!$J$2:$J$966,'Исходные данные'!$D$2:$D$966,P$3,'Исходные данные'!$F$2:$F$966,$H9&amp;"")))))</f>
        <v>1</v>
      </c>
      <c r="Q9" s="50" t="str">
        <f aca="false">IF(SUMIFS('Исходные данные'!$I$2:$I$966,'Исходные данные'!$D$2:$D$966,Q$3,'Исходные данные'!$F$2:$F$966,$H9&amp;"")+SUMIFS('Исходные данные'!$J$2:$J$966,'Исходные данные'!$D$2:$D$966,Q$3,'Исходные данные'!$F$2:$F$966,$H9&amp;"")=0,"",IF(SUMIFS('Исходные данные'!$J$2:$J$966,'Исходные данные'!$D$2:$D$966,Q$3,'Исходные данные'!$F$2:$F$966,$H9&amp;"")=0,SUMIFS('Исходные данные'!$I$2:$I$966,'Исходные данные'!$D$2:$D$966,Q$3,'Исходные данные'!$F$2:$F$966,$H9&amp;""),IF(SUMIFS('Исходные данные'!$I$2:$I$966,'Исходные данные'!$D$2:$D$966,Q$3,'Исходные данные'!$F$2:$F$966,$H9&amp;"")=0,"0+"&amp;SUMIFS('Исходные данные'!$J$2:$J$966,'Исходные данные'!$D$2:$D$966,Q$3,'Исходные данные'!$F$2:$F$966,$H9&amp;"")&amp;"="&amp;SUMIFS('Исходные данные'!$J$2:$J$966,'Исходные данные'!$D$2:$D$966,Q$3,'Исходные данные'!$F$2:$F$966,$H9&amp;""),SUMIFS('Исходные данные'!$I$2:$I$966,'Исходные данные'!$D$2:$D$966,Q$3,'Исходные данные'!$F$2:$F$966,$H9&amp;"")&amp;"+"&amp;SUMIFS('Исходные данные'!$J$2:$J$966,'Исходные данные'!$D$2:$D$966,Q$3,'Исходные данные'!$F$2:$F$966,$H9&amp;"")&amp;"="&amp;(SUMIFS('Исходные данные'!$I$2:$I$966,'Исходные данные'!$D$2:$D$966,Q$3,'Исходные данные'!$F$2:$F$966,$H9&amp;"")+SUMIFS('Исходные данные'!$J$2:$J$966,'Исходные данные'!$D$2:$D$966,Q$3,'Исходные данные'!$F$2:$F$966,$H9&amp;"")))))</f>
        <v>2+1=3</v>
      </c>
      <c r="R9" s="51" t="n">
        <f aca="false">IF(SUMIFS('Исходные данные'!$I$2:$I$966,'Исходные данные'!$D$2:$D$966,R$3,'Исходные данные'!$F$2:$F$966,$H9&amp;"")+SUMIFS('Исходные данные'!$J$2:$J$966,'Исходные данные'!$D$2:$D$966,R$3,'Исходные данные'!$F$2:$F$966,$H9&amp;"")=0,"",IF(SUMIFS('Исходные данные'!$J$2:$J$966,'Исходные данные'!$D$2:$D$966,R$3,'Исходные данные'!$F$2:$F$966,$H9&amp;"")=0,SUMIFS('Исходные данные'!$I$2:$I$966,'Исходные данные'!$D$2:$D$966,R$3,'Исходные данные'!$F$2:$F$966,$H9&amp;""),IF(SUMIFS('Исходные данные'!$I$2:$I$966,'Исходные данные'!$D$2:$D$966,R$3,'Исходные данные'!$F$2:$F$966,$H9&amp;"")=0,"0+"&amp;SUMIFS('Исходные данные'!$J$2:$J$966,'Исходные данные'!$D$2:$D$966,R$3,'Исходные данные'!$F$2:$F$966,$H9&amp;"")&amp;"="&amp;SUMIFS('Исходные данные'!$J$2:$J$966,'Исходные данные'!$D$2:$D$966,R$3,'Исходные данные'!$F$2:$F$966,$H9&amp;""),SUMIFS('Исходные данные'!$I$2:$I$966,'Исходные данные'!$D$2:$D$966,R$3,'Исходные данные'!$F$2:$F$966,$H9&amp;"")&amp;"+"&amp;SUMIFS('Исходные данные'!$J$2:$J$966,'Исходные данные'!$D$2:$D$966,R$3,'Исходные данные'!$F$2:$F$966,$H9&amp;"")&amp;"="&amp;(SUMIFS('Исходные данные'!$I$2:$I$966,'Исходные данные'!$D$2:$D$966,R$3,'Исходные данные'!$F$2:$F$966,$H9&amp;"")+SUMIFS('Исходные данные'!$J$2:$J$966,'Исходные данные'!$D$2:$D$966,R$3,'Исходные данные'!$F$2:$F$966,$H9&amp;"")))))</f>
        <v>1</v>
      </c>
      <c r="S9" s="50" t="str">
        <f aca="false">IF(SUMIFS('Исходные данные'!$I$2:$I$966,'Исходные данные'!$D$2:$D$966,S$3,'Исходные данные'!$F$2:$F$966,$H9&amp;"")+SUMIFS('Исходные данные'!$J$2:$J$966,'Исходные данные'!$D$2:$D$966,S$3,'Исходные данные'!$F$2:$F$966,$H9&amp;"")=0,"",IF(SUMIFS('Исходные данные'!$J$2:$J$966,'Исходные данные'!$D$2:$D$966,S$3,'Исходные данные'!$F$2:$F$966,$H9&amp;"")=0,SUMIFS('Исходные данные'!$I$2:$I$966,'Исходные данные'!$D$2:$D$966,S$3,'Исходные данные'!$F$2:$F$966,$H9&amp;""),IF(SUMIFS('Исходные данные'!$I$2:$I$966,'Исходные данные'!$D$2:$D$966,S$3,'Исходные данные'!$F$2:$F$966,$H9&amp;"")=0,"0+"&amp;SUMIFS('Исходные данные'!$J$2:$J$966,'Исходные данные'!$D$2:$D$966,S$3,'Исходные данные'!$F$2:$F$966,$H9&amp;"")&amp;"="&amp;SUMIFS('Исходные данные'!$J$2:$J$966,'Исходные данные'!$D$2:$D$966,S$3,'Исходные данные'!$F$2:$F$966,$H9&amp;""),SUMIFS('Исходные данные'!$I$2:$I$966,'Исходные данные'!$D$2:$D$966,S$3,'Исходные данные'!$F$2:$F$966,$H9&amp;"")&amp;"+"&amp;SUMIFS('Исходные данные'!$J$2:$J$966,'Исходные данные'!$D$2:$D$966,S$3,'Исходные данные'!$F$2:$F$966,$H9&amp;"")&amp;"="&amp;(SUMIFS('Исходные данные'!$I$2:$I$966,'Исходные данные'!$D$2:$D$966,S$3,'Исходные данные'!$F$2:$F$966,$H9&amp;"")+SUMIFS('Исходные данные'!$J$2:$J$966,'Исходные данные'!$D$2:$D$966,S$3,'Исходные данные'!$F$2:$F$966,$H9&amp;"")))))</f>
        <v/>
      </c>
      <c r="T9" s="49" t="str">
        <f aca="false">IF(SUMIFS('Исходные данные'!$I$2:$I$966,'Исходные данные'!$D$2:$D$966,T$3,'Исходные данные'!$F$2:$F$966,$H9&amp;"")+SUMIFS('Исходные данные'!$J$2:$J$966,'Исходные данные'!$D$2:$D$966,T$3,'Исходные данные'!$F$2:$F$966,$H9&amp;"")=0,"",IF(SUMIFS('Исходные данные'!$J$2:$J$966,'Исходные данные'!$D$2:$D$966,T$3,'Исходные данные'!$F$2:$F$966,$H9&amp;"")=0,SUMIFS('Исходные данные'!$I$2:$I$966,'Исходные данные'!$D$2:$D$966,T$3,'Исходные данные'!$F$2:$F$966,$H9&amp;""),IF(SUMIFS('Исходные данные'!$I$2:$I$966,'Исходные данные'!$D$2:$D$966,T$3,'Исходные данные'!$F$2:$F$966,$H9&amp;"")=0,"0+"&amp;SUMIFS('Исходные данные'!$J$2:$J$966,'Исходные данные'!$D$2:$D$966,T$3,'Исходные данные'!$F$2:$F$966,$H9&amp;"")&amp;"="&amp;SUMIFS('Исходные данные'!$J$2:$J$966,'Исходные данные'!$D$2:$D$966,T$3,'Исходные данные'!$F$2:$F$966,$H9&amp;""),SUMIFS('Исходные данные'!$I$2:$I$966,'Исходные данные'!$D$2:$D$966,T$3,'Исходные данные'!$F$2:$F$966,$H9&amp;"")&amp;"+"&amp;SUMIFS('Исходные данные'!$J$2:$J$966,'Исходные данные'!$D$2:$D$966,T$3,'Исходные данные'!$F$2:$F$966,$H9&amp;"")&amp;"="&amp;(SUMIFS('Исходные данные'!$I$2:$I$966,'Исходные данные'!$D$2:$D$966,T$3,'Исходные данные'!$F$2:$F$966,$H9&amp;"")+SUMIFS('Исходные данные'!$J$2:$J$966,'Исходные данные'!$D$2:$D$966,T$3,'Исходные данные'!$F$2:$F$966,$H9&amp;"")))))</f>
        <v/>
      </c>
      <c r="U9" s="50" t="str">
        <f aca="false">IF(SUMIFS('Исходные данные'!$I$2:$I$966,'Исходные данные'!$D$2:$D$966,U$3,'Исходные данные'!$F$2:$F$966,$H9&amp;"")+SUMIFS('Исходные данные'!$J$2:$J$966,'Исходные данные'!$D$2:$D$966,U$3,'Исходные данные'!$F$2:$F$966,$H9&amp;"")=0,"",IF(SUMIFS('Исходные данные'!$J$2:$J$966,'Исходные данные'!$D$2:$D$966,U$3,'Исходные данные'!$F$2:$F$966,$H9&amp;"")=0,SUMIFS('Исходные данные'!$I$2:$I$966,'Исходные данные'!$D$2:$D$966,U$3,'Исходные данные'!$F$2:$F$966,$H9&amp;""),IF(SUMIFS('Исходные данные'!$I$2:$I$966,'Исходные данные'!$D$2:$D$966,U$3,'Исходные данные'!$F$2:$F$966,$H9&amp;"")=0,"0+"&amp;SUMIFS('Исходные данные'!$J$2:$J$966,'Исходные данные'!$D$2:$D$966,U$3,'Исходные данные'!$F$2:$F$966,$H9&amp;"")&amp;"="&amp;SUMIFS('Исходные данные'!$J$2:$J$966,'Исходные данные'!$D$2:$D$966,U$3,'Исходные данные'!$F$2:$F$966,$H9&amp;""),SUMIFS('Исходные данные'!$I$2:$I$966,'Исходные данные'!$D$2:$D$966,U$3,'Исходные данные'!$F$2:$F$966,$H9&amp;"")&amp;"+"&amp;SUMIFS('Исходные данные'!$J$2:$J$966,'Исходные данные'!$D$2:$D$966,U$3,'Исходные данные'!$F$2:$F$966,$H9&amp;"")&amp;"="&amp;(SUMIFS('Исходные данные'!$I$2:$I$966,'Исходные данные'!$D$2:$D$966,U$3,'Исходные данные'!$F$2:$F$966,$H9&amp;"")+SUMIFS('Исходные данные'!$J$2:$J$966,'Исходные данные'!$D$2:$D$966,U$3,'Исходные данные'!$F$2:$F$966,$H9&amp;"")))))</f>
        <v/>
      </c>
      <c r="V9" s="49" t="str">
        <f aca="false">IF(SUMIFS('Исходные данные'!$I$2:$I$966,'Исходные данные'!$D$2:$D$966,V$3,'Исходные данные'!$F$2:$F$966,$H9&amp;"")+SUMIFS('Исходные данные'!$J$2:$J$966,'Исходные данные'!$D$2:$D$966,V$3,'Исходные данные'!$F$2:$F$966,$H9&amp;"")=0,"",IF(SUMIFS('Исходные данные'!$J$2:$J$966,'Исходные данные'!$D$2:$D$966,V$3,'Исходные данные'!$F$2:$F$966,$H9&amp;"")=0,SUMIFS('Исходные данные'!$I$2:$I$966,'Исходные данные'!$D$2:$D$966,V$3,'Исходные данные'!$F$2:$F$966,$H9&amp;""),IF(SUMIFS('Исходные данные'!$I$2:$I$966,'Исходные данные'!$D$2:$D$966,V$3,'Исходные данные'!$F$2:$F$966,$H9&amp;"")=0,"0+"&amp;SUMIFS('Исходные данные'!$J$2:$J$966,'Исходные данные'!$D$2:$D$966,V$3,'Исходные данные'!$F$2:$F$966,$H9&amp;"")&amp;"="&amp;SUMIFS('Исходные данные'!$J$2:$J$966,'Исходные данные'!$D$2:$D$966,V$3,'Исходные данные'!$F$2:$F$966,$H9&amp;""),SUMIFS('Исходные данные'!$I$2:$I$966,'Исходные данные'!$D$2:$D$966,V$3,'Исходные данные'!$F$2:$F$966,$H9&amp;"")&amp;"+"&amp;SUMIFS('Исходные данные'!$J$2:$J$966,'Исходные данные'!$D$2:$D$966,V$3,'Исходные данные'!$F$2:$F$966,$H9&amp;"")&amp;"="&amp;(SUMIFS('Исходные данные'!$I$2:$I$966,'Исходные данные'!$D$2:$D$966,V$3,'Исходные данные'!$F$2:$F$966,$H9&amp;"")+SUMIFS('Исходные данные'!$J$2:$J$966,'Исходные данные'!$D$2:$D$966,V$3,'Исходные данные'!$F$2:$F$966,$H9&amp;"")))))</f>
        <v/>
      </c>
      <c r="W9" s="50" t="str">
        <f aca="false">IF(SUMIFS('Исходные данные'!$I$2:$I$966,'Исходные данные'!$D$2:$D$966,W$3,'Исходные данные'!$F$2:$F$966,$H9&amp;"")+SUMIFS('Исходные данные'!$J$2:$J$966,'Исходные данные'!$D$2:$D$966,W$3,'Исходные данные'!$F$2:$F$966,$H9&amp;"")=0,"",IF(SUMIFS('Исходные данные'!$J$2:$J$966,'Исходные данные'!$D$2:$D$966,W$3,'Исходные данные'!$F$2:$F$966,$H9&amp;"")=0,SUMIFS('Исходные данные'!$I$2:$I$966,'Исходные данные'!$D$2:$D$966,W$3,'Исходные данные'!$F$2:$F$966,$H9&amp;""),IF(SUMIFS('Исходные данные'!$I$2:$I$966,'Исходные данные'!$D$2:$D$966,W$3,'Исходные данные'!$F$2:$F$966,$H9&amp;"")=0,"0+"&amp;SUMIFS('Исходные данные'!$J$2:$J$966,'Исходные данные'!$D$2:$D$966,W$3,'Исходные данные'!$F$2:$F$966,$H9&amp;"")&amp;"="&amp;SUMIFS('Исходные данные'!$J$2:$J$966,'Исходные данные'!$D$2:$D$966,W$3,'Исходные данные'!$F$2:$F$966,$H9&amp;""),SUMIFS('Исходные данные'!$I$2:$I$966,'Исходные данные'!$D$2:$D$966,W$3,'Исходные данные'!$F$2:$F$966,$H9&amp;"")&amp;"+"&amp;SUMIFS('Исходные данные'!$J$2:$J$966,'Исходные данные'!$D$2:$D$966,W$3,'Исходные данные'!$F$2:$F$966,$H9&amp;"")&amp;"="&amp;(SUMIFS('Исходные данные'!$I$2:$I$966,'Исходные данные'!$D$2:$D$966,W$3,'Исходные данные'!$F$2:$F$966,$H9&amp;"")+SUMIFS('Исходные данные'!$J$2:$J$966,'Исходные данные'!$D$2:$D$966,W$3,'Исходные данные'!$F$2:$F$966,$H9&amp;"")))))</f>
        <v/>
      </c>
      <c r="X9" s="50" t="str">
        <f aca="false">IF(SUMIFS('Исходные данные'!$I$2:$I$966,'Исходные данные'!$D$2:$D$966,X$3,'Исходные данные'!$F$2:$F$966,$H9&amp;"")+SUMIFS('Исходные данные'!$J$2:$J$966,'Исходные данные'!$D$2:$D$966,X$3,'Исходные данные'!$F$2:$F$966,$H9&amp;"")=0,"",IF(SUMIFS('Исходные данные'!$J$2:$J$966,'Исходные данные'!$D$2:$D$966,X$3,'Исходные данные'!$F$2:$F$966,$H9&amp;"")=0,SUMIFS('Исходные данные'!$I$2:$I$966,'Исходные данные'!$D$2:$D$966,X$3,'Исходные данные'!$F$2:$F$966,$H9&amp;""),IF(SUMIFS('Исходные данные'!$I$2:$I$966,'Исходные данные'!$D$2:$D$966,X$3,'Исходные данные'!$F$2:$F$966,$H9&amp;"")=0,"0+"&amp;SUMIFS('Исходные данные'!$J$2:$J$966,'Исходные данные'!$D$2:$D$966,X$3,'Исходные данные'!$F$2:$F$966,$H9&amp;"")&amp;"="&amp;SUMIFS('Исходные данные'!$J$2:$J$966,'Исходные данные'!$D$2:$D$966,X$3,'Исходные данные'!$F$2:$F$966,$H9&amp;""),SUMIFS('Исходные данные'!$I$2:$I$966,'Исходные данные'!$D$2:$D$966,X$3,'Исходные данные'!$F$2:$F$966,$H9&amp;"")&amp;"+"&amp;SUMIFS('Исходные данные'!$J$2:$J$966,'Исходные данные'!$D$2:$D$966,X$3,'Исходные данные'!$F$2:$F$966,$H9&amp;"")&amp;"="&amp;(SUMIFS('Исходные данные'!$I$2:$I$966,'Исходные данные'!$D$2:$D$966,X$3,'Исходные данные'!$F$2:$F$966,$H9&amp;"")+SUMIFS('Исходные данные'!$J$2:$J$966,'Исходные данные'!$D$2:$D$966,X$3,'Исходные данные'!$F$2:$F$966,$H9&amp;"")))))</f>
        <v/>
      </c>
      <c r="Y9" s="52" t="str">
        <f aca="false">IF(SUMIFS('Исходные данные'!$I$2:$I$966,'Исходные данные'!$D$2:$D$966,Y$3,'Исходные данные'!$F$2:$F$966,$H9&amp;"")+SUMIFS('Исходные данные'!$J$2:$J$966,'Исходные данные'!$D$2:$D$966,Y$3,'Исходные данные'!$F$2:$F$966,$H9&amp;"")=0,"",IF(SUMIFS('Исходные данные'!$J$2:$J$966,'Исходные данные'!$D$2:$D$966,Y$3,'Исходные данные'!$F$2:$F$966,$H9&amp;"")=0,SUMIFS('Исходные данные'!$I$2:$I$966,'Исходные данные'!$D$2:$D$966,Y$3,'Исходные данные'!$F$2:$F$966,$H9&amp;""),IF(SUMIFS('Исходные данные'!$I$2:$I$966,'Исходные данные'!$D$2:$D$966,Y$3,'Исходные данные'!$F$2:$F$966,$H9&amp;"")=0,"0+"&amp;SUMIFS('Исходные данные'!$J$2:$J$966,'Исходные данные'!$D$2:$D$966,Y$3,'Исходные данные'!$F$2:$F$966,$H9&amp;"")&amp;"="&amp;SUMIFS('Исходные данные'!$J$2:$J$966,'Исходные данные'!$D$2:$D$966,Y$3,'Исходные данные'!$F$2:$F$966,$H9&amp;""),SUMIFS('Исходные данные'!$I$2:$I$966,'Исходные данные'!$D$2:$D$966,Y$3,'Исходные данные'!$F$2:$F$966,$H9&amp;"")&amp;"+"&amp;SUMIFS('Исходные данные'!$J$2:$J$966,'Исходные данные'!$D$2:$D$966,Y$3,'Исходные данные'!$F$2:$F$966,$H9&amp;"")&amp;"="&amp;(SUMIFS('Исходные данные'!$I$2:$I$966,'Исходные данные'!$D$2:$D$966,Y$3,'Исходные данные'!$F$2:$F$966,$H9&amp;"")+SUMIFS('Исходные данные'!$J$2:$J$966,'Исходные данные'!$D$2:$D$966,Y$3,'Исходные данные'!$F$2:$F$966,$H9&amp;"")))))</f>
        <v/>
      </c>
      <c r="Z9" s="49" t="str">
        <f aca="false">IF(SUMIFS('Исходные данные'!$I$2:$I$966,'Исходные данные'!$D$2:$D$966,Z$3,'Исходные данные'!$F$2:$F$966,$H9&amp;"")+SUMIFS('Исходные данные'!$J$2:$J$966,'Исходные данные'!$D$2:$D$966,Z$3,'Исходные данные'!$F$2:$F$966,$H9&amp;"")=0,"",IF(SUMIFS('Исходные данные'!$J$2:$J$966,'Исходные данные'!$D$2:$D$966,Z$3,'Исходные данные'!$F$2:$F$966,$H9&amp;"")=0,SUMIFS('Исходные данные'!$I$2:$I$966,'Исходные данные'!$D$2:$D$966,Z$3,'Исходные данные'!$F$2:$F$966,$H9&amp;""),IF(SUMIFS('Исходные данные'!$I$2:$I$966,'Исходные данные'!$D$2:$D$966,Z$3,'Исходные данные'!$F$2:$F$966,$H9&amp;"")=0,"0+"&amp;SUMIFS('Исходные данные'!$J$2:$J$966,'Исходные данные'!$D$2:$D$966,Z$3,'Исходные данные'!$F$2:$F$966,$H9&amp;"")&amp;"="&amp;SUMIFS('Исходные данные'!$J$2:$J$966,'Исходные данные'!$D$2:$D$966,Z$3,'Исходные данные'!$F$2:$F$966,$H9&amp;""),SUMIFS('Исходные данные'!$I$2:$I$966,'Исходные данные'!$D$2:$D$966,Z$3,'Исходные данные'!$F$2:$F$966,$H9&amp;"")&amp;"+"&amp;SUMIFS('Исходные данные'!$J$2:$J$966,'Исходные данные'!$D$2:$D$966,Z$3,'Исходные данные'!$F$2:$F$966,$H9&amp;"")&amp;"="&amp;(SUMIFS('Исходные данные'!$I$2:$I$966,'Исходные данные'!$D$2:$D$966,Z$3,'Исходные данные'!$F$2:$F$966,$H9&amp;"")+SUMIFS('Исходные данные'!$J$2:$J$966,'Исходные данные'!$D$2:$D$966,Z$3,'Исходные данные'!$F$2:$F$966,$H9&amp;"")))))</f>
        <v/>
      </c>
      <c r="AA9" s="50" t="str">
        <f aca="false">IF(SUMIFS('Исходные данные'!$I$2:$I$966,'Исходные данные'!$D$2:$D$966,AA$3,'Исходные данные'!$F$2:$F$966,$H9&amp;"")+SUMIFS('Исходные данные'!$J$2:$J$966,'Исходные данные'!$D$2:$D$966,AA$3,'Исходные данные'!$F$2:$F$966,$H9&amp;"")=0,"",IF(SUMIFS('Исходные данные'!$J$2:$J$966,'Исходные данные'!$D$2:$D$966,AA$3,'Исходные данные'!$F$2:$F$966,$H9&amp;"")=0,SUMIFS('Исходные данные'!$I$2:$I$966,'Исходные данные'!$D$2:$D$966,AA$3,'Исходные данные'!$F$2:$F$966,$H9&amp;""),IF(SUMIFS('Исходные данные'!$I$2:$I$966,'Исходные данные'!$D$2:$D$966,AA$3,'Исходные данные'!$F$2:$F$966,$H9&amp;"")=0,"0+"&amp;SUMIFS('Исходные данные'!$J$2:$J$966,'Исходные данные'!$D$2:$D$966,AA$3,'Исходные данные'!$F$2:$F$966,$H9&amp;"")&amp;"="&amp;SUMIFS('Исходные данные'!$J$2:$J$966,'Исходные данные'!$D$2:$D$966,AA$3,'Исходные данные'!$F$2:$F$966,$H9&amp;""),SUMIFS('Исходные данные'!$I$2:$I$966,'Исходные данные'!$D$2:$D$966,AA$3,'Исходные данные'!$F$2:$F$966,$H9&amp;"")&amp;"+"&amp;SUMIFS('Исходные данные'!$J$2:$J$966,'Исходные данные'!$D$2:$D$966,AA$3,'Исходные данные'!$F$2:$F$966,$H9&amp;"")&amp;"="&amp;(SUMIFS('Исходные данные'!$I$2:$I$966,'Исходные данные'!$D$2:$D$966,AA$3,'Исходные данные'!$F$2:$F$966,$H9&amp;"")+SUMIFS('Исходные данные'!$J$2:$J$966,'Исходные данные'!$D$2:$D$966,AA$3,'Исходные данные'!$F$2:$F$966,$H9&amp;"")))))</f>
        <v/>
      </c>
      <c r="AB9" s="50" t="str">
        <f aca="false">IF(SUMIFS('Исходные данные'!$I$2:$I$966,'Исходные данные'!$D$2:$D$966,AB$3,'Исходные данные'!$F$2:$F$966,$H9&amp;"")+SUMIFS('Исходные данные'!$J$2:$J$966,'Исходные данные'!$D$2:$D$966,AB$3,'Исходные данные'!$F$2:$F$966,$H9&amp;"")=0,"",IF(SUMIFS('Исходные данные'!$J$2:$J$966,'Исходные данные'!$D$2:$D$966,AB$3,'Исходные данные'!$F$2:$F$966,$H9&amp;"")=0,SUMIFS('Исходные данные'!$I$2:$I$966,'Исходные данные'!$D$2:$D$966,AB$3,'Исходные данные'!$F$2:$F$966,$H9&amp;""),IF(SUMIFS('Исходные данные'!$I$2:$I$966,'Исходные данные'!$D$2:$D$966,AB$3,'Исходные данные'!$F$2:$F$966,$H9&amp;"")=0,"0+"&amp;SUMIFS('Исходные данные'!$J$2:$J$966,'Исходные данные'!$D$2:$D$966,AB$3,'Исходные данные'!$F$2:$F$966,$H9&amp;"")&amp;"="&amp;SUMIFS('Исходные данные'!$J$2:$J$966,'Исходные данные'!$D$2:$D$966,AB$3,'Исходные данные'!$F$2:$F$966,$H9&amp;""),SUMIFS('Исходные данные'!$I$2:$I$966,'Исходные данные'!$D$2:$D$966,AB$3,'Исходные данные'!$F$2:$F$966,$H9&amp;"")&amp;"+"&amp;SUMIFS('Исходные данные'!$J$2:$J$966,'Исходные данные'!$D$2:$D$966,AB$3,'Исходные данные'!$F$2:$F$966,$H9&amp;"")&amp;"="&amp;(SUMIFS('Исходные данные'!$I$2:$I$966,'Исходные данные'!$D$2:$D$966,AB$3,'Исходные данные'!$F$2:$F$966,$H9&amp;"")+SUMIFS('Исходные данные'!$J$2:$J$966,'Исходные данные'!$D$2:$D$966,AB$3,'Исходные данные'!$F$2:$F$966,$H9&amp;"")))))</f>
        <v/>
      </c>
      <c r="AC9" s="52" t="str">
        <f aca="false">IF(SUMIFS('Исходные данные'!$I$2:$I$966,'Исходные данные'!$D$2:$D$966,AC$3,'Исходные данные'!$F$2:$F$966,$H9&amp;"")+SUMIFS('Исходные данные'!$J$2:$J$966,'Исходные данные'!$D$2:$D$966,AC$3,'Исходные данные'!$F$2:$F$966,$H9&amp;"")=0,"",IF(SUMIFS('Исходные данные'!$J$2:$J$966,'Исходные данные'!$D$2:$D$966,AC$3,'Исходные данные'!$F$2:$F$966,$H9&amp;"")=0,SUMIFS('Исходные данные'!$I$2:$I$966,'Исходные данные'!$D$2:$D$966,AC$3,'Исходные данные'!$F$2:$F$966,$H9&amp;""),IF(SUMIFS('Исходные данные'!$I$2:$I$966,'Исходные данные'!$D$2:$D$966,AC$3,'Исходные данные'!$F$2:$F$966,$H9&amp;"")=0,"0+"&amp;SUMIFS('Исходные данные'!$J$2:$J$966,'Исходные данные'!$D$2:$D$966,AC$3,'Исходные данные'!$F$2:$F$966,$H9&amp;"")&amp;"="&amp;SUMIFS('Исходные данные'!$J$2:$J$966,'Исходные данные'!$D$2:$D$966,AC$3,'Исходные данные'!$F$2:$F$966,$H9&amp;""),SUMIFS('Исходные данные'!$I$2:$I$966,'Исходные данные'!$D$2:$D$966,AC$3,'Исходные данные'!$F$2:$F$966,$H9&amp;"")&amp;"+"&amp;SUMIFS('Исходные данные'!$J$2:$J$966,'Исходные данные'!$D$2:$D$966,AC$3,'Исходные данные'!$F$2:$F$966,$H9&amp;"")&amp;"="&amp;(SUMIFS('Исходные данные'!$I$2:$I$966,'Исходные данные'!$D$2:$D$966,AC$3,'Исходные данные'!$F$2:$F$966,$H9&amp;"")+SUMIFS('Исходные данные'!$J$2:$J$966,'Исходные данные'!$D$2:$D$966,AC$3,'Исходные данные'!$F$2:$F$966,$H9&amp;"")))))</f>
        <v>2+2=4</v>
      </c>
      <c r="AD9" s="50" t="str">
        <f aca="false">IF(SUMIFS('Исходные данные'!$I$2:$I$966,'Исходные данные'!$D$2:$D$966,AD$3,'Исходные данные'!$F$2:$F$966,$H9&amp;"")+SUMIFS('Исходные данные'!$J$2:$J$966,'Исходные данные'!$D$2:$D$966,AD$3,'Исходные данные'!$F$2:$F$966,$H9&amp;"")=0,"",IF(SUMIFS('Исходные данные'!$J$2:$J$966,'Исходные данные'!$D$2:$D$966,AD$3,'Исходные данные'!$F$2:$F$966,$H9&amp;"")=0,SUMIFS('Исходные данные'!$I$2:$I$966,'Исходные данные'!$D$2:$D$966,AD$3,'Исходные данные'!$F$2:$F$966,$H9&amp;""),IF(SUMIFS('Исходные данные'!$I$2:$I$966,'Исходные данные'!$D$2:$D$966,AD$3,'Исходные данные'!$F$2:$F$966,$H9&amp;"")=0,"0+"&amp;SUMIFS('Исходные данные'!$J$2:$J$966,'Исходные данные'!$D$2:$D$966,AD$3,'Исходные данные'!$F$2:$F$966,$H9&amp;"")&amp;"="&amp;SUMIFS('Исходные данные'!$J$2:$J$966,'Исходные данные'!$D$2:$D$966,AD$3,'Исходные данные'!$F$2:$F$966,$H9&amp;""),SUMIFS('Исходные данные'!$I$2:$I$966,'Исходные данные'!$D$2:$D$966,AD$3,'Исходные данные'!$F$2:$F$966,$H9&amp;"")&amp;"+"&amp;SUMIFS('Исходные данные'!$J$2:$J$966,'Исходные данные'!$D$2:$D$966,AD$3,'Исходные данные'!$F$2:$F$966,$H9&amp;"")&amp;"="&amp;(SUMIFS('Исходные данные'!$I$2:$I$966,'Исходные данные'!$D$2:$D$966,AD$3,'Исходные данные'!$F$2:$F$966,$H9&amp;"")+SUMIFS('Исходные данные'!$J$2:$J$966,'Исходные данные'!$D$2:$D$966,AD$3,'Исходные данные'!$F$2:$F$966,$H9&amp;"")))))</f>
        <v>1+1=2</v>
      </c>
    </row>
    <row r="10" customFormat="false" ht="25.5" hidden="false" customHeight="true" outlineLevel="0" collapsed="false">
      <c r="A10" s="27" t="n">
        <v>8</v>
      </c>
      <c r="B10" s="28" t="s">
        <v>179</v>
      </c>
      <c r="C10" s="29" t="s">
        <v>8</v>
      </c>
      <c r="D10" s="30"/>
      <c r="E10" s="30" t="s">
        <v>180</v>
      </c>
      <c r="F10" s="30" t="s">
        <v>20</v>
      </c>
      <c r="G10" s="64"/>
      <c r="H10" s="32"/>
      <c r="I10" s="55"/>
      <c r="J10" s="56"/>
      <c r="K10" s="57"/>
      <c r="L10" s="58"/>
      <c r="M10" s="59"/>
      <c r="N10" s="59"/>
      <c r="O10" s="60" t="str">
        <f aca="false">IF(SUMIFS('Исходные данные'!$I$2:$I$966,'Исходные данные'!$D$2:$D$966,O$3,'Исходные данные'!$F$2:$F$966,$H11&amp;"",'Исходные данные'!$L$2:$L$966,"УТТ")+SUMIFS('Исходные данные'!$J$2:$J$966,'Исходные данные'!$D$2:$D$966,O$3,'Исходные данные'!$F$2:$F$966,$H11&amp;"",'Исходные данные'!$L$2:$L$966,"УТТ")=0,"","утт-"&amp;(SUMIFS('Исходные данные'!$I$2:$I$966,'Исходные данные'!$D$2:$D$966,O$3,'Исходные данные'!$F$2:$F$966,$H11&amp;"",'Исходные данные'!$L$2:$L$966,"УТТ")+SUMIFS('Исходные данные'!$J$2:$J$966,'Исходные данные'!$D$2:$D$966,O$3,'Исходные данные'!$F$2:$F$966,$H11&amp;"",'Исходные данные'!$L$2:$L$966,"УТТ")))</f>
        <v/>
      </c>
      <c r="P10" s="61" t="str">
        <f aca="false">IF(SUMIFS('Исходные данные'!$I$2:$I$966,'Исходные данные'!$D$2:$D$966,P$3,'Исходные данные'!$F$2:$F$966,$H11&amp;"",'Исходные данные'!$L$2:$L$966,"УТТ")+SUMIFS('Исходные данные'!$J$2:$J$966,'Исходные данные'!$D$2:$D$966,P$3,'Исходные данные'!$F$2:$F$966,$H11&amp;"",'Исходные данные'!$L$2:$L$966,"УТТ")=0,"","утт-"&amp;(SUMIFS('Исходные данные'!$I$2:$I$966,'Исходные данные'!$D$2:$D$966,P$3,'Исходные данные'!$F$2:$F$966,$H11&amp;"",'Исходные данные'!$L$2:$L$966,"УТТ")+SUMIFS('Исходные данные'!$J$2:$J$966,'Исходные данные'!$D$2:$D$966,P$3,'Исходные данные'!$F$2:$F$966,$H11&amp;"",'Исходные данные'!$L$2:$L$966,"УТТ")))</f>
        <v/>
      </c>
      <c r="Q10" s="60" t="str">
        <f aca="false">IF(SUMIFS('Исходные данные'!$I$2:$I$966,'Исходные данные'!$D$2:$D$966,Q$3,'Исходные данные'!$F$2:$F$966,$H11&amp;"",'Исходные данные'!$L$2:$L$966,"УТТ")+SUMIFS('Исходные данные'!$J$2:$J$966,'Исходные данные'!$D$2:$D$966,Q$3,'Исходные данные'!$F$2:$F$966,$H11&amp;"",'Исходные данные'!$L$2:$L$966,"УТТ")=0,"","утт-"&amp;(SUMIFS('Исходные данные'!$I$2:$I$966,'Исходные данные'!$D$2:$D$966,Q$3,'Исходные данные'!$F$2:$F$966,$H11&amp;"",'Исходные данные'!$L$2:$L$966,"УТТ")+SUMIFS('Исходные данные'!$J$2:$J$966,'Исходные данные'!$D$2:$D$966,Q$3,'Исходные данные'!$F$2:$F$966,$H11&amp;"",'Исходные данные'!$L$2:$L$966,"УТТ")))</f>
        <v/>
      </c>
      <c r="R10" s="62" t="str">
        <f aca="false">IF(SUMIFS('Исходные данные'!$I$2:$I$966,'Исходные данные'!$D$2:$D$966,R$3,'Исходные данные'!$F$2:$F$966,$H11&amp;"",'Исходные данные'!$L$2:$L$966,"УТТ")+SUMIFS('Исходные данные'!$J$2:$J$966,'Исходные данные'!$D$2:$D$966,R$3,'Исходные данные'!$F$2:$F$966,$H11&amp;"",'Исходные данные'!$L$2:$L$966,"УТТ")=0,"","утт-"&amp;(SUMIFS('Исходные данные'!$I$2:$I$966,'Исходные данные'!$D$2:$D$966,R$3,'Исходные данные'!$F$2:$F$966,$H11&amp;"",'Исходные данные'!$L$2:$L$966,"УТТ")+SUMIFS('Исходные данные'!$J$2:$J$966,'Исходные данные'!$D$2:$D$966,R$3,'Исходные данные'!$F$2:$F$966,$H11&amp;"",'Исходные данные'!$L$2:$L$966,"УТТ")))</f>
        <v/>
      </c>
      <c r="S10" s="61" t="str">
        <f aca="false">IF(SUMIFS('Исходные данные'!$I$2:$I$966,'Исходные данные'!$D$2:$D$966,S$3,'Исходные данные'!$F$2:$F$966,$H11&amp;"",'Исходные данные'!$L$2:$L$966,"УТТ")+SUMIFS('Исходные данные'!$J$2:$J$966,'Исходные данные'!$D$2:$D$966,S$3,'Исходные данные'!$F$2:$F$966,$H11&amp;"",'Исходные данные'!$L$2:$L$966,"УТТ")=0,"","утт-"&amp;(SUMIFS('Исходные данные'!$I$2:$I$966,'Исходные данные'!$D$2:$D$966,S$3,'Исходные данные'!$F$2:$F$966,$H11&amp;"",'Исходные данные'!$L$2:$L$966,"УТТ")+SUMIFS('Исходные данные'!$J$2:$J$966,'Исходные данные'!$D$2:$D$966,S$3,'Исходные данные'!$F$2:$F$966,$H11&amp;"",'Исходные данные'!$L$2:$L$966,"УТТ")))</f>
        <v/>
      </c>
      <c r="T10" s="60" t="str">
        <f aca="false">IF(SUMIFS('Исходные данные'!$I$2:$I$966,'Исходные данные'!$D$2:$D$966,T$3,'Исходные данные'!$F$2:$F$966,$H11&amp;"",'Исходные данные'!$L$2:$L$966,"УТТ")+SUMIFS('Исходные данные'!$J$2:$J$966,'Исходные данные'!$D$2:$D$966,T$3,'Исходные данные'!$F$2:$F$966,$H11&amp;"",'Исходные данные'!$L$2:$L$966,"УТТ")=0,"","утт-"&amp;(SUMIFS('Исходные данные'!$I$2:$I$966,'Исходные данные'!$D$2:$D$966,T$3,'Исходные данные'!$F$2:$F$966,$H11&amp;"",'Исходные данные'!$L$2:$L$966,"УТТ")+SUMIFS('Исходные данные'!$J$2:$J$966,'Исходные данные'!$D$2:$D$966,T$3,'Исходные данные'!$F$2:$F$966,$H11&amp;"",'Исходные данные'!$L$2:$L$966,"УТТ")))</f>
        <v/>
      </c>
      <c r="U10" s="61" t="str">
        <f aca="false">IF(SUMIFS('Исходные данные'!$I$2:$I$966,'Исходные данные'!$D$2:$D$966,U$3,'Исходные данные'!$F$2:$F$966,$H11&amp;"",'Исходные данные'!$L$2:$L$966,"УТТ")+SUMIFS('Исходные данные'!$J$2:$J$966,'Исходные данные'!$D$2:$D$966,U$3,'Исходные данные'!$F$2:$F$966,$H11&amp;"",'Исходные данные'!$L$2:$L$966,"УТТ")=0,"","утт-"&amp;(SUMIFS('Исходные данные'!$I$2:$I$966,'Исходные данные'!$D$2:$D$966,U$3,'Исходные данные'!$F$2:$F$966,$H11&amp;"",'Исходные данные'!$L$2:$L$966,"УТТ")+SUMIFS('Исходные данные'!$J$2:$J$966,'Исходные данные'!$D$2:$D$966,U$3,'Исходные данные'!$F$2:$F$966,$H11&amp;"",'Исходные данные'!$L$2:$L$966,"УТТ")))</f>
        <v/>
      </c>
      <c r="V10" s="60" t="str">
        <f aca="false">IF(SUMIFS('Исходные данные'!$I$2:$I$966,'Исходные данные'!$D$2:$D$966,V$3,'Исходные данные'!$F$2:$F$966,$H11&amp;"",'Исходные данные'!$L$2:$L$966,"УТТ")+SUMIFS('Исходные данные'!$J$2:$J$966,'Исходные данные'!$D$2:$D$966,V$3,'Исходные данные'!$F$2:$F$966,$H11&amp;"",'Исходные данные'!$L$2:$L$966,"УТТ")=0,"","утт-"&amp;(SUMIFS('Исходные данные'!$I$2:$I$966,'Исходные данные'!$D$2:$D$966,V$3,'Исходные данные'!$F$2:$F$966,$H11&amp;"",'Исходные данные'!$L$2:$L$966,"УТТ")+SUMIFS('Исходные данные'!$J$2:$J$966,'Исходные данные'!$D$2:$D$966,V$3,'Исходные данные'!$F$2:$F$966,$H11&amp;"",'Исходные данные'!$L$2:$L$966,"УТТ")))</f>
        <v/>
      </c>
      <c r="W10" s="61" t="str">
        <f aca="false">IF(SUMIFS('Исходные данные'!$I$2:$I$966,'Исходные данные'!$D$2:$D$966,W$3,'Исходные данные'!$F$2:$F$966,$H11&amp;"",'Исходные данные'!$L$2:$L$966,"УТТ")+SUMIFS('Исходные данные'!$J$2:$J$966,'Исходные данные'!$D$2:$D$966,W$3,'Исходные данные'!$F$2:$F$966,$H11&amp;"",'Исходные данные'!$L$2:$L$966,"УТТ")=0,"","утт-"&amp;(SUMIFS('Исходные данные'!$I$2:$I$966,'Исходные данные'!$D$2:$D$966,W$3,'Исходные данные'!$F$2:$F$966,$H11&amp;"",'Исходные данные'!$L$2:$L$966,"УТТ")+SUMIFS('Исходные данные'!$J$2:$J$966,'Исходные данные'!$D$2:$D$966,W$3,'Исходные данные'!$F$2:$F$966,$H11&amp;"",'Исходные данные'!$L$2:$L$966,"УТТ")))</f>
        <v/>
      </c>
      <c r="X10" s="61" t="str">
        <f aca="false">IF(SUMIFS('Исходные данные'!$I$2:$I$966,'Исходные данные'!$D$2:$D$966,X$3,'Исходные данные'!$F$2:$F$966,$H11&amp;"",'Исходные данные'!$L$2:$L$966,"УТТ")+SUMIFS('Исходные данные'!$J$2:$J$966,'Исходные данные'!$D$2:$D$966,X$3,'Исходные данные'!$F$2:$F$966,$H11&amp;"",'Исходные данные'!$L$2:$L$966,"УТТ")=0,"","утт-"&amp;(SUMIFS('Исходные данные'!$I$2:$I$966,'Исходные данные'!$D$2:$D$966,X$3,'Исходные данные'!$F$2:$F$966,$H11&amp;"",'Исходные данные'!$L$2:$L$966,"УТТ")+SUMIFS('Исходные данные'!$J$2:$J$966,'Исходные данные'!$D$2:$D$966,X$3,'Исходные данные'!$F$2:$F$966,$H11&amp;"",'Исходные данные'!$L$2:$L$966,"УТТ")))</f>
        <v/>
      </c>
      <c r="Y10" s="63" t="str">
        <f aca="false">IF(SUMIFS('Исходные данные'!$I$2:$I$966,'Исходные данные'!$D$2:$D$966,Y$3,'Исходные данные'!$F$2:$F$966,$H11&amp;"",'Исходные данные'!$L$2:$L$966,"УТТ")+SUMIFS('Исходные данные'!$J$2:$J$966,'Исходные данные'!$D$2:$D$966,Y$3,'Исходные данные'!$F$2:$F$966,$H11&amp;"",'Исходные данные'!$L$2:$L$966,"УТТ")=0,"","утт-"&amp;(SUMIFS('Исходные данные'!$I$2:$I$966,'Исходные данные'!$D$2:$D$966,Y$3,'Исходные данные'!$F$2:$F$966,$H11&amp;"",'Исходные данные'!$L$2:$L$966,"УТТ")+SUMIFS('Исходные данные'!$J$2:$J$966,'Исходные данные'!$D$2:$D$966,Y$3,'Исходные данные'!$F$2:$F$966,$H11&amp;"",'Исходные данные'!$L$2:$L$966,"УТТ")))</f>
        <v/>
      </c>
      <c r="Z10" s="60" t="str">
        <f aca="false">IF(SUMIFS('Исходные данные'!$I$2:$I$966,'Исходные данные'!$D$2:$D$966,Z$3,'Исходные данные'!$F$2:$F$966,$H11&amp;"",'Исходные данные'!$L$2:$L$966,"УТТ")+SUMIFS('Исходные данные'!$J$2:$J$966,'Исходные данные'!$D$2:$D$966,Z$3,'Исходные данные'!$F$2:$F$966,$H11&amp;"",'Исходные данные'!$L$2:$L$966,"УТТ")=0,"","утт-"&amp;(SUMIFS('Исходные данные'!$I$2:$I$966,'Исходные данные'!$D$2:$D$966,Z$3,'Исходные данные'!$F$2:$F$966,$H11&amp;"",'Исходные данные'!$L$2:$L$966,"УТТ")+SUMIFS('Исходные данные'!$J$2:$J$966,'Исходные данные'!$D$2:$D$966,Z$3,'Исходные данные'!$F$2:$F$966,$H11&amp;"",'Исходные данные'!$L$2:$L$966,"УТТ")))</f>
        <v/>
      </c>
      <c r="AA10" s="61" t="str">
        <f aca="false">IF(SUMIFS('Исходные данные'!$I$2:$I$966,'Исходные данные'!$D$2:$D$966,AA$3,'Исходные данные'!$F$2:$F$966,$H11&amp;"",'Исходные данные'!$L$2:$L$966,"УТТ")+SUMIFS('Исходные данные'!$J$2:$J$966,'Исходные данные'!$D$2:$D$966,AA$3,'Исходные данные'!$F$2:$F$966,$H11&amp;"",'Исходные данные'!$L$2:$L$966,"УТТ")=0,"","утт-"&amp;(SUMIFS('Исходные данные'!$I$2:$I$966,'Исходные данные'!$D$2:$D$966,AA$3,'Исходные данные'!$F$2:$F$966,$H11&amp;"",'Исходные данные'!$L$2:$L$966,"УТТ")+SUMIFS('Исходные данные'!$J$2:$J$966,'Исходные данные'!$D$2:$D$966,AA$3,'Исходные данные'!$F$2:$F$966,$H11&amp;"",'Исходные данные'!$L$2:$L$966,"УТТ")))</f>
        <v/>
      </c>
      <c r="AB10" s="61" t="str">
        <f aca="false">IF(SUMIFS('Исходные данные'!$I$2:$I$966,'Исходные данные'!$D$2:$D$966,AB$3,'Исходные данные'!$F$2:$F$966,$H11&amp;"",'Исходные данные'!$L$2:$L$966,"УТТ")+SUMIFS('Исходные данные'!$J$2:$J$966,'Исходные данные'!$D$2:$D$966,AB$3,'Исходные данные'!$F$2:$F$966,$H11&amp;"",'Исходные данные'!$L$2:$L$966,"УТТ")=0,"","утт-"&amp;(SUMIFS('Исходные данные'!$I$2:$I$966,'Исходные данные'!$D$2:$D$966,AB$3,'Исходные данные'!$F$2:$F$966,$H11&amp;"",'Исходные данные'!$L$2:$L$966,"УТТ")+SUMIFS('Исходные данные'!$J$2:$J$966,'Исходные данные'!$D$2:$D$966,AB$3,'Исходные данные'!$F$2:$F$966,$H11&amp;"",'Исходные данные'!$L$2:$L$966,"УТТ")))</f>
        <v/>
      </c>
      <c r="AC10" s="60" t="str">
        <f aca="false">IF(SUMIFS('Исходные данные'!$I$2:$I$966,'Исходные данные'!$D$2:$D$966,AC$3,'Исходные данные'!$F$2:$F$966,$H11&amp;"",'Исходные данные'!$L$2:$L$966,"УТТ")+SUMIFS('Исходные данные'!$J$2:$J$966,'Исходные данные'!$D$2:$D$966,AC$3,'Исходные данные'!$F$2:$F$966,$H11&amp;"",'Исходные данные'!$L$2:$L$966,"УТТ")=0,"","утт-"&amp;(SUMIFS('Исходные данные'!$I$2:$I$966,'Исходные данные'!$D$2:$D$966,AC$3,'Исходные данные'!$F$2:$F$966,$H11&amp;"",'Исходные данные'!$L$2:$L$966,"УТТ")+SUMIFS('Исходные данные'!$J$2:$J$966,'Исходные данные'!$D$2:$D$966,AC$3,'Исходные данные'!$F$2:$F$966,$H11&amp;"",'Исходные данные'!$L$2:$L$966,"УТТ")))</f>
        <v/>
      </c>
      <c r="AD10" s="61" t="str">
        <f aca="false">IF(SUMIFS('Исходные данные'!$I$2:$I$966,'Исходные данные'!$D$2:$D$966,AD$3,'Исходные данные'!$F$2:$F$966,$H11&amp;"",'Исходные данные'!$L$2:$L$966,"УТТ")+SUMIFS('Исходные данные'!$J$2:$J$966,'Исходные данные'!$D$2:$D$966,AD$3,'Исходные данные'!$F$2:$F$966,$H11&amp;"",'Исходные данные'!$L$2:$L$966,"УТТ")=0,"","утт-"&amp;(SUMIFS('Исходные данные'!$I$2:$I$966,'Исходные данные'!$D$2:$D$966,AD$3,'Исходные данные'!$F$2:$F$966,$H11&amp;"",'Исходные данные'!$L$2:$L$966,"УТТ")+SUMIFS('Исходные данные'!$J$2:$J$966,'Исходные данные'!$D$2:$D$966,AD$3,'Исходные данные'!$F$2:$F$966,$H11&amp;"",'Исходные данные'!$L$2:$L$966,"УТТ")))</f>
        <v>утт-6</v>
      </c>
    </row>
    <row r="11" customFormat="false" ht="25.5" hidden="false" customHeight="true" outlineLevel="0" collapsed="false">
      <c r="A11" s="43" t="n">
        <v>9</v>
      </c>
      <c r="B11" s="28" t="s">
        <v>181</v>
      </c>
      <c r="C11" s="29" t="s">
        <v>9</v>
      </c>
      <c r="D11" s="30"/>
      <c r="E11" s="30" t="s">
        <v>182</v>
      </c>
      <c r="F11" s="30" t="s">
        <v>21</v>
      </c>
      <c r="G11" s="64"/>
      <c r="H11" s="32" t="n">
        <v>28</v>
      </c>
      <c r="I11" s="44" t="s">
        <v>183</v>
      </c>
      <c r="J11" s="45" t="n">
        <f aca="false">IFERROR(INDEX('Выход ТС'!$C:$C,MATCH($H11&amp;"",'Выход ТС'!$A:$A,0)),"")</f>
        <v>25</v>
      </c>
      <c r="K11" s="46" t="n">
        <f aca="false">IFERROR(INDEX('Выход ТС'!$D:$D,MATCH($H11&amp;"",'Выход ТС'!$A:$A,0)),"")</f>
        <v>24</v>
      </c>
      <c r="L11" s="47" t="n">
        <f aca="false">IFERROR(INDEX('Выход ТС'!$E:$E,MATCH($H11&amp;"",'Выход ТС'!$A:$A,0)),"")</f>
        <v>-1</v>
      </c>
      <c r="M11" s="48" t="n">
        <f aca="false">IFERROR(IF(INDEX('Выход ТС'!$F:$F,MATCH($H11&amp;"",'Выход ТС'!$A:$A,0))=0,"",INDEX('Выход ТС'!$F:$F,MATCH($H11&amp;"",'Выход ТС'!$A:$A,0))),"")</f>
        <v>16</v>
      </c>
      <c r="N11" s="48" t="n">
        <f aca="false">IFERROR(IF(INDEX('Выход ТС'!$G:$G,MATCH($H11&amp;"",'Выход ТС'!$A:$A,0))=0,"",INDEX('Выход ТС'!$G:$G,MATCH($H11&amp;"",'Выход ТС'!$A:$A,0))),"")</f>
        <v>8</v>
      </c>
      <c r="O11" s="49" t="n">
        <f aca="false">IF(SUMIFS('Исходные данные'!$I$2:$I$966,'Исходные данные'!$D$2:$D$966,O$3,'Исходные данные'!$F$2:$F$966,$H11&amp;"")+SUMIFS('Исходные данные'!$J$2:$J$966,'Исходные данные'!$D$2:$D$966,O$3,'Исходные данные'!$F$2:$F$966,$H11&amp;"")=0,"",IF(SUMIFS('Исходные данные'!$J$2:$J$966,'Исходные данные'!$D$2:$D$966,O$3,'Исходные данные'!$F$2:$F$966,$H11&amp;"")=0,SUMIFS('Исходные данные'!$I$2:$I$966,'Исходные данные'!$D$2:$D$966,O$3,'Исходные данные'!$F$2:$F$966,$H11&amp;""),IF(SUMIFS('Исходные данные'!$I$2:$I$966,'Исходные данные'!$D$2:$D$966,O$3,'Исходные данные'!$F$2:$F$966,$H11&amp;"")=0,"0+"&amp;SUMIFS('Исходные данные'!$J$2:$J$966,'Исходные данные'!$D$2:$D$966,O$3,'Исходные данные'!$F$2:$F$966,$H11&amp;"")&amp;"="&amp;SUMIFS('Исходные данные'!$J$2:$J$966,'Исходные данные'!$D$2:$D$966,O$3,'Исходные данные'!$F$2:$F$966,$H11&amp;""),SUMIFS('Исходные данные'!$I$2:$I$966,'Исходные данные'!$D$2:$D$966,O$3,'Исходные данные'!$F$2:$F$966,$H11&amp;"")&amp;"+"&amp;SUMIFS('Исходные данные'!$J$2:$J$966,'Исходные данные'!$D$2:$D$966,O$3,'Исходные данные'!$F$2:$F$966,$H11&amp;"")&amp;"="&amp;(SUMIFS('Исходные данные'!$I$2:$I$966,'Исходные данные'!$D$2:$D$966,O$3,'Исходные данные'!$F$2:$F$966,$H11&amp;"")+SUMIFS('Исходные данные'!$J$2:$J$966,'Исходные данные'!$D$2:$D$966,O$3,'Исходные данные'!$F$2:$F$966,$H11&amp;"")))))</f>
        <v>1</v>
      </c>
      <c r="P11" s="50" t="n">
        <f aca="false">IF(SUMIFS('Исходные данные'!$I$2:$I$966,'Исходные данные'!$D$2:$D$966,P$3,'Исходные данные'!$F$2:$F$966,$H11&amp;"")+SUMIFS('Исходные данные'!$J$2:$J$966,'Исходные данные'!$D$2:$D$966,P$3,'Исходные данные'!$F$2:$F$966,$H11&amp;"")=0,"",IF(SUMIFS('Исходные данные'!$J$2:$J$966,'Исходные данные'!$D$2:$D$966,P$3,'Исходные данные'!$F$2:$F$966,$H11&amp;"")=0,SUMIFS('Исходные данные'!$I$2:$I$966,'Исходные данные'!$D$2:$D$966,P$3,'Исходные данные'!$F$2:$F$966,$H11&amp;""),IF(SUMIFS('Исходные данные'!$I$2:$I$966,'Исходные данные'!$D$2:$D$966,P$3,'Исходные данные'!$F$2:$F$966,$H11&amp;"")=0,"0+"&amp;SUMIFS('Исходные данные'!$J$2:$J$966,'Исходные данные'!$D$2:$D$966,P$3,'Исходные данные'!$F$2:$F$966,$H11&amp;"")&amp;"="&amp;SUMIFS('Исходные данные'!$J$2:$J$966,'Исходные данные'!$D$2:$D$966,P$3,'Исходные данные'!$F$2:$F$966,$H11&amp;""),SUMIFS('Исходные данные'!$I$2:$I$966,'Исходные данные'!$D$2:$D$966,P$3,'Исходные данные'!$F$2:$F$966,$H11&amp;"")&amp;"+"&amp;SUMIFS('Исходные данные'!$J$2:$J$966,'Исходные данные'!$D$2:$D$966,P$3,'Исходные данные'!$F$2:$F$966,$H11&amp;"")&amp;"="&amp;(SUMIFS('Исходные данные'!$I$2:$I$966,'Исходные данные'!$D$2:$D$966,P$3,'Исходные данные'!$F$2:$F$966,$H11&amp;"")+SUMIFS('Исходные данные'!$J$2:$J$966,'Исходные данные'!$D$2:$D$966,P$3,'Исходные данные'!$F$2:$F$966,$H11&amp;"")))))</f>
        <v>1</v>
      </c>
      <c r="Q11" s="49" t="n">
        <f aca="false">IF(SUMIFS('Исходные данные'!$I$2:$I$966,'Исходные данные'!$D$2:$D$966,Q$3,'Исходные данные'!$F$2:$F$966,$H11&amp;"")+SUMIFS('Исходные данные'!$J$2:$J$966,'Исходные данные'!$D$2:$D$966,Q$3,'Исходные данные'!$F$2:$F$966,$H11&amp;"")=0,"",IF(SUMIFS('Исходные данные'!$J$2:$J$966,'Исходные данные'!$D$2:$D$966,Q$3,'Исходные данные'!$F$2:$F$966,$H11&amp;"")=0,SUMIFS('Исходные данные'!$I$2:$I$966,'Исходные данные'!$D$2:$D$966,Q$3,'Исходные данные'!$F$2:$F$966,$H11&amp;""),IF(SUMIFS('Исходные данные'!$I$2:$I$966,'Исходные данные'!$D$2:$D$966,Q$3,'Исходные данные'!$F$2:$F$966,$H11&amp;"")=0,"0+"&amp;SUMIFS('Исходные данные'!$J$2:$J$966,'Исходные данные'!$D$2:$D$966,Q$3,'Исходные данные'!$F$2:$F$966,$H11&amp;"")&amp;"="&amp;SUMIFS('Исходные данные'!$J$2:$J$966,'Исходные данные'!$D$2:$D$966,Q$3,'Исходные данные'!$F$2:$F$966,$H11&amp;""),SUMIFS('Исходные данные'!$I$2:$I$966,'Исходные данные'!$D$2:$D$966,Q$3,'Исходные данные'!$F$2:$F$966,$H11&amp;"")&amp;"+"&amp;SUMIFS('Исходные данные'!$J$2:$J$966,'Исходные данные'!$D$2:$D$966,Q$3,'Исходные данные'!$F$2:$F$966,$H11&amp;"")&amp;"="&amp;(SUMIFS('Исходные данные'!$I$2:$I$966,'Исходные данные'!$D$2:$D$966,Q$3,'Исходные данные'!$F$2:$F$966,$H11&amp;"")+SUMIFS('Исходные данные'!$J$2:$J$966,'Исходные данные'!$D$2:$D$966,Q$3,'Исходные данные'!$F$2:$F$966,$H11&amp;"")))))</f>
        <v>2</v>
      </c>
      <c r="R11" s="51" t="str">
        <f aca="false">IF(SUMIFS('Исходные данные'!$I$2:$I$966,'Исходные данные'!$D$2:$D$966,R$3,'Исходные данные'!$F$2:$F$966,$H11&amp;"")+SUMIFS('Исходные данные'!$J$2:$J$966,'Исходные данные'!$D$2:$D$966,R$3,'Исходные данные'!$F$2:$F$966,$H11&amp;"")=0,"",IF(SUMIFS('Исходные данные'!$J$2:$J$966,'Исходные данные'!$D$2:$D$966,R$3,'Исходные данные'!$F$2:$F$966,$H11&amp;"")=0,SUMIFS('Исходные данные'!$I$2:$I$966,'Исходные данные'!$D$2:$D$966,R$3,'Исходные данные'!$F$2:$F$966,$H11&amp;""),IF(SUMIFS('Исходные данные'!$I$2:$I$966,'Исходные данные'!$D$2:$D$966,R$3,'Исходные данные'!$F$2:$F$966,$H11&amp;"")=0,"0+"&amp;SUMIFS('Исходные данные'!$J$2:$J$966,'Исходные данные'!$D$2:$D$966,R$3,'Исходные данные'!$F$2:$F$966,$H11&amp;"")&amp;"="&amp;SUMIFS('Исходные данные'!$J$2:$J$966,'Исходные данные'!$D$2:$D$966,R$3,'Исходные данные'!$F$2:$F$966,$H11&amp;""),SUMIFS('Исходные данные'!$I$2:$I$966,'Исходные данные'!$D$2:$D$966,R$3,'Исходные данные'!$F$2:$F$966,$H11&amp;"")&amp;"+"&amp;SUMIFS('Исходные данные'!$J$2:$J$966,'Исходные данные'!$D$2:$D$966,R$3,'Исходные данные'!$F$2:$F$966,$H11&amp;"")&amp;"="&amp;(SUMIFS('Исходные данные'!$I$2:$I$966,'Исходные данные'!$D$2:$D$966,R$3,'Исходные данные'!$F$2:$F$966,$H11&amp;"")+SUMIFS('Исходные данные'!$J$2:$J$966,'Исходные данные'!$D$2:$D$966,R$3,'Исходные данные'!$F$2:$F$966,$H11&amp;"")))))</f>
        <v/>
      </c>
      <c r="S11" s="50" t="str">
        <f aca="false">IF(SUMIFS('Исходные данные'!$I$2:$I$966,'Исходные данные'!$D$2:$D$966,S$3,'Исходные данные'!$F$2:$F$966,$H11&amp;"")+SUMIFS('Исходные данные'!$J$2:$J$966,'Исходные данные'!$D$2:$D$966,S$3,'Исходные данные'!$F$2:$F$966,$H11&amp;"")=0,"",IF(SUMIFS('Исходные данные'!$J$2:$J$966,'Исходные данные'!$D$2:$D$966,S$3,'Исходные данные'!$F$2:$F$966,$H11&amp;"")=0,SUMIFS('Исходные данные'!$I$2:$I$966,'Исходные данные'!$D$2:$D$966,S$3,'Исходные данные'!$F$2:$F$966,$H11&amp;""),IF(SUMIFS('Исходные данные'!$I$2:$I$966,'Исходные данные'!$D$2:$D$966,S$3,'Исходные данные'!$F$2:$F$966,$H11&amp;"")=0,"0+"&amp;SUMIFS('Исходные данные'!$J$2:$J$966,'Исходные данные'!$D$2:$D$966,S$3,'Исходные данные'!$F$2:$F$966,$H11&amp;"")&amp;"="&amp;SUMIFS('Исходные данные'!$J$2:$J$966,'Исходные данные'!$D$2:$D$966,S$3,'Исходные данные'!$F$2:$F$966,$H11&amp;""),SUMIFS('Исходные данные'!$I$2:$I$966,'Исходные данные'!$D$2:$D$966,S$3,'Исходные данные'!$F$2:$F$966,$H11&amp;"")&amp;"+"&amp;SUMIFS('Исходные данные'!$J$2:$J$966,'Исходные данные'!$D$2:$D$966,S$3,'Исходные данные'!$F$2:$F$966,$H11&amp;"")&amp;"="&amp;(SUMIFS('Исходные данные'!$I$2:$I$966,'Исходные данные'!$D$2:$D$966,S$3,'Исходные данные'!$F$2:$F$966,$H11&amp;"")+SUMIFS('Исходные данные'!$J$2:$J$966,'Исходные данные'!$D$2:$D$966,S$3,'Исходные данные'!$F$2:$F$966,$H11&amp;"")))))</f>
        <v/>
      </c>
      <c r="T11" s="49" t="n">
        <f aca="false">IF(SUMIFS('Исходные данные'!$I$2:$I$966,'Исходные данные'!$D$2:$D$966,T$3,'Исходные данные'!$F$2:$F$966,$H11&amp;"")+SUMIFS('Исходные данные'!$J$2:$J$966,'Исходные данные'!$D$2:$D$966,T$3,'Исходные данные'!$F$2:$F$966,$H11&amp;"")=0,"",IF(SUMIFS('Исходные данные'!$J$2:$J$966,'Исходные данные'!$D$2:$D$966,T$3,'Исходные данные'!$F$2:$F$966,$H11&amp;"")=0,SUMIFS('Исходные данные'!$I$2:$I$966,'Исходные данные'!$D$2:$D$966,T$3,'Исходные данные'!$F$2:$F$966,$H11&amp;""),IF(SUMIFS('Исходные данные'!$I$2:$I$966,'Исходные данные'!$D$2:$D$966,T$3,'Исходные данные'!$F$2:$F$966,$H11&amp;"")=0,"0+"&amp;SUMIFS('Исходные данные'!$J$2:$J$966,'Исходные данные'!$D$2:$D$966,T$3,'Исходные данные'!$F$2:$F$966,$H11&amp;"")&amp;"="&amp;SUMIFS('Исходные данные'!$J$2:$J$966,'Исходные данные'!$D$2:$D$966,T$3,'Исходные данные'!$F$2:$F$966,$H11&amp;""),SUMIFS('Исходные данные'!$I$2:$I$966,'Исходные данные'!$D$2:$D$966,T$3,'Исходные данные'!$F$2:$F$966,$H11&amp;"")&amp;"+"&amp;SUMIFS('Исходные данные'!$J$2:$J$966,'Исходные данные'!$D$2:$D$966,T$3,'Исходные данные'!$F$2:$F$966,$H11&amp;"")&amp;"="&amp;(SUMIFS('Исходные данные'!$I$2:$I$966,'Исходные данные'!$D$2:$D$966,T$3,'Исходные данные'!$F$2:$F$966,$H11&amp;"")+SUMIFS('Исходные данные'!$J$2:$J$966,'Исходные данные'!$D$2:$D$966,T$3,'Исходные данные'!$F$2:$F$966,$H11&amp;"")))))</f>
        <v>1</v>
      </c>
      <c r="U11" s="50" t="str">
        <f aca="false">IF(SUMIFS('Исходные данные'!$I$2:$I$966,'Исходные данные'!$D$2:$D$966,U$3,'Исходные данные'!$F$2:$F$966,$H11&amp;"")+SUMIFS('Исходные данные'!$J$2:$J$966,'Исходные данные'!$D$2:$D$966,U$3,'Исходные данные'!$F$2:$F$966,$H11&amp;"")=0,"",IF(SUMIFS('Исходные данные'!$J$2:$J$966,'Исходные данные'!$D$2:$D$966,U$3,'Исходные данные'!$F$2:$F$966,$H11&amp;"")=0,SUMIFS('Исходные данные'!$I$2:$I$966,'Исходные данные'!$D$2:$D$966,U$3,'Исходные данные'!$F$2:$F$966,$H11&amp;""),IF(SUMIFS('Исходные данные'!$I$2:$I$966,'Исходные данные'!$D$2:$D$966,U$3,'Исходные данные'!$F$2:$F$966,$H11&amp;"")=0,"0+"&amp;SUMIFS('Исходные данные'!$J$2:$J$966,'Исходные данные'!$D$2:$D$966,U$3,'Исходные данные'!$F$2:$F$966,$H11&amp;"")&amp;"="&amp;SUMIFS('Исходные данные'!$J$2:$J$966,'Исходные данные'!$D$2:$D$966,U$3,'Исходные данные'!$F$2:$F$966,$H11&amp;""),SUMIFS('Исходные данные'!$I$2:$I$966,'Исходные данные'!$D$2:$D$966,U$3,'Исходные данные'!$F$2:$F$966,$H11&amp;"")&amp;"+"&amp;SUMIFS('Исходные данные'!$J$2:$J$966,'Исходные данные'!$D$2:$D$966,U$3,'Исходные данные'!$F$2:$F$966,$H11&amp;"")&amp;"="&amp;(SUMIFS('Исходные данные'!$I$2:$I$966,'Исходные данные'!$D$2:$D$966,U$3,'Исходные данные'!$F$2:$F$966,$H11&amp;"")+SUMIFS('Исходные данные'!$J$2:$J$966,'Исходные данные'!$D$2:$D$966,U$3,'Исходные данные'!$F$2:$F$966,$H11&amp;"")))))</f>
        <v/>
      </c>
      <c r="V11" s="49" t="str">
        <f aca="false">IF(SUMIFS('Исходные данные'!$I$2:$I$966,'Исходные данные'!$D$2:$D$966,V$3,'Исходные данные'!$F$2:$F$966,$H11&amp;"")+SUMIFS('Исходные данные'!$J$2:$J$966,'Исходные данные'!$D$2:$D$966,V$3,'Исходные данные'!$F$2:$F$966,$H11&amp;"")=0,"",IF(SUMIFS('Исходные данные'!$J$2:$J$966,'Исходные данные'!$D$2:$D$966,V$3,'Исходные данные'!$F$2:$F$966,$H11&amp;"")=0,SUMIFS('Исходные данные'!$I$2:$I$966,'Исходные данные'!$D$2:$D$966,V$3,'Исходные данные'!$F$2:$F$966,$H11&amp;""),IF(SUMIFS('Исходные данные'!$I$2:$I$966,'Исходные данные'!$D$2:$D$966,V$3,'Исходные данные'!$F$2:$F$966,$H11&amp;"")=0,"0+"&amp;SUMIFS('Исходные данные'!$J$2:$J$966,'Исходные данные'!$D$2:$D$966,V$3,'Исходные данные'!$F$2:$F$966,$H11&amp;"")&amp;"="&amp;SUMIFS('Исходные данные'!$J$2:$J$966,'Исходные данные'!$D$2:$D$966,V$3,'Исходные данные'!$F$2:$F$966,$H11&amp;""),SUMIFS('Исходные данные'!$I$2:$I$966,'Исходные данные'!$D$2:$D$966,V$3,'Исходные данные'!$F$2:$F$966,$H11&amp;"")&amp;"+"&amp;SUMIFS('Исходные данные'!$J$2:$J$966,'Исходные данные'!$D$2:$D$966,V$3,'Исходные данные'!$F$2:$F$966,$H11&amp;"")&amp;"="&amp;(SUMIFS('Исходные данные'!$I$2:$I$966,'Исходные данные'!$D$2:$D$966,V$3,'Исходные данные'!$F$2:$F$966,$H11&amp;"")+SUMIFS('Исходные данные'!$J$2:$J$966,'Исходные данные'!$D$2:$D$966,V$3,'Исходные данные'!$F$2:$F$966,$H11&amp;"")))))</f>
        <v/>
      </c>
      <c r="W11" s="50" t="str">
        <f aca="false">IF(SUMIFS('Исходные данные'!$I$2:$I$966,'Исходные данные'!$D$2:$D$966,W$3,'Исходные данные'!$F$2:$F$966,$H11&amp;"")+SUMIFS('Исходные данные'!$J$2:$J$966,'Исходные данные'!$D$2:$D$966,W$3,'Исходные данные'!$F$2:$F$966,$H11&amp;"")=0,"",IF(SUMIFS('Исходные данные'!$J$2:$J$966,'Исходные данные'!$D$2:$D$966,W$3,'Исходные данные'!$F$2:$F$966,$H11&amp;"")=0,SUMIFS('Исходные данные'!$I$2:$I$966,'Исходные данные'!$D$2:$D$966,W$3,'Исходные данные'!$F$2:$F$966,$H11&amp;""),IF(SUMIFS('Исходные данные'!$I$2:$I$966,'Исходные данные'!$D$2:$D$966,W$3,'Исходные данные'!$F$2:$F$966,$H11&amp;"")=0,"0+"&amp;SUMIFS('Исходные данные'!$J$2:$J$966,'Исходные данные'!$D$2:$D$966,W$3,'Исходные данные'!$F$2:$F$966,$H11&amp;"")&amp;"="&amp;SUMIFS('Исходные данные'!$J$2:$J$966,'Исходные данные'!$D$2:$D$966,W$3,'Исходные данные'!$F$2:$F$966,$H11&amp;""),SUMIFS('Исходные данные'!$I$2:$I$966,'Исходные данные'!$D$2:$D$966,W$3,'Исходные данные'!$F$2:$F$966,$H11&amp;"")&amp;"+"&amp;SUMIFS('Исходные данные'!$J$2:$J$966,'Исходные данные'!$D$2:$D$966,W$3,'Исходные данные'!$F$2:$F$966,$H11&amp;"")&amp;"="&amp;(SUMIFS('Исходные данные'!$I$2:$I$966,'Исходные данные'!$D$2:$D$966,W$3,'Исходные данные'!$F$2:$F$966,$H11&amp;"")+SUMIFS('Исходные данные'!$J$2:$J$966,'Исходные данные'!$D$2:$D$966,W$3,'Исходные данные'!$F$2:$F$966,$H11&amp;"")))))</f>
        <v/>
      </c>
      <c r="X11" s="50" t="n">
        <f aca="false">IF(SUMIFS('Исходные данные'!$I$2:$I$966,'Исходные данные'!$D$2:$D$966,X$3,'Исходные данные'!$F$2:$F$966,$H11&amp;"")+SUMIFS('Исходные данные'!$J$2:$J$966,'Исходные данные'!$D$2:$D$966,X$3,'Исходные данные'!$F$2:$F$966,$H11&amp;"")=0,"",IF(SUMIFS('Исходные данные'!$J$2:$J$966,'Исходные данные'!$D$2:$D$966,X$3,'Исходные данные'!$F$2:$F$966,$H11&amp;"")=0,SUMIFS('Исходные данные'!$I$2:$I$966,'Исходные данные'!$D$2:$D$966,X$3,'Исходные данные'!$F$2:$F$966,$H11&amp;""),IF(SUMIFS('Исходные данные'!$I$2:$I$966,'Исходные данные'!$D$2:$D$966,X$3,'Исходные данные'!$F$2:$F$966,$H11&amp;"")=0,"0+"&amp;SUMIFS('Исходные данные'!$J$2:$J$966,'Исходные данные'!$D$2:$D$966,X$3,'Исходные данные'!$F$2:$F$966,$H11&amp;"")&amp;"="&amp;SUMIFS('Исходные данные'!$J$2:$J$966,'Исходные данные'!$D$2:$D$966,X$3,'Исходные данные'!$F$2:$F$966,$H11&amp;""),SUMIFS('Исходные данные'!$I$2:$I$966,'Исходные данные'!$D$2:$D$966,X$3,'Исходные данные'!$F$2:$F$966,$H11&amp;"")&amp;"+"&amp;SUMIFS('Исходные данные'!$J$2:$J$966,'Исходные данные'!$D$2:$D$966,X$3,'Исходные данные'!$F$2:$F$966,$H11&amp;"")&amp;"="&amp;(SUMIFS('Исходные данные'!$I$2:$I$966,'Исходные данные'!$D$2:$D$966,X$3,'Исходные данные'!$F$2:$F$966,$H11&amp;"")+SUMIFS('Исходные данные'!$J$2:$J$966,'Исходные данные'!$D$2:$D$966,X$3,'Исходные данные'!$F$2:$F$966,$H11&amp;"")))))</f>
        <v>2</v>
      </c>
      <c r="Y11" s="52" t="n">
        <f aca="false">IF(SUMIFS('Исходные данные'!$I$2:$I$966,'Исходные данные'!$D$2:$D$966,Y$3,'Исходные данные'!$F$2:$F$966,$H11&amp;"")+SUMIFS('Исходные данные'!$J$2:$J$966,'Исходные данные'!$D$2:$D$966,Y$3,'Исходные данные'!$F$2:$F$966,$H11&amp;"")=0,"",IF(SUMIFS('Исходные данные'!$J$2:$J$966,'Исходные данные'!$D$2:$D$966,Y$3,'Исходные данные'!$F$2:$F$966,$H11&amp;"")=0,SUMIFS('Исходные данные'!$I$2:$I$966,'Исходные данные'!$D$2:$D$966,Y$3,'Исходные данные'!$F$2:$F$966,$H11&amp;""),IF(SUMIFS('Исходные данные'!$I$2:$I$966,'Исходные данные'!$D$2:$D$966,Y$3,'Исходные данные'!$F$2:$F$966,$H11&amp;"")=0,"0+"&amp;SUMIFS('Исходные данные'!$J$2:$J$966,'Исходные данные'!$D$2:$D$966,Y$3,'Исходные данные'!$F$2:$F$966,$H11&amp;"")&amp;"="&amp;SUMIFS('Исходные данные'!$J$2:$J$966,'Исходные данные'!$D$2:$D$966,Y$3,'Исходные данные'!$F$2:$F$966,$H11&amp;""),SUMIFS('Исходные данные'!$I$2:$I$966,'Исходные данные'!$D$2:$D$966,Y$3,'Исходные данные'!$F$2:$F$966,$H11&amp;"")&amp;"+"&amp;SUMIFS('Исходные данные'!$J$2:$J$966,'Исходные данные'!$D$2:$D$966,Y$3,'Исходные данные'!$F$2:$F$966,$H11&amp;"")&amp;"="&amp;(SUMIFS('Исходные данные'!$I$2:$I$966,'Исходные данные'!$D$2:$D$966,Y$3,'Исходные данные'!$F$2:$F$966,$H11&amp;"")+SUMIFS('Исходные данные'!$J$2:$J$966,'Исходные данные'!$D$2:$D$966,Y$3,'Исходные данные'!$F$2:$F$966,$H11&amp;"")))))</f>
        <v>1</v>
      </c>
      <c r="Z11" s="49" t="str">
        <f aca="false">IF(SUMIFS('Исходные данные'!$I$2:$I$966,'Исходные данные'!$D$2:$D$966,Z$3,'Исходные данные'!$F$2:$F$966,$H11&amp;"")+SUMIFS('Исходные данные'!$J$2:$J$966,'Исходные данные'!$D$2:$D$966,Z$3,'Исходные данные'!$F$2:$F$966,$H11&amp;"")=0,"",IF(SUMIFS('Исходные данные'!$J$2:$J$966,'Исходные данные'!$D$2:$D$966,Z$3,'Исходные данные'!$F$2:$F$966,$H11&amp;"")=0,SUMIFS('Исходные данные'!$I$2:$I$966,'Исходные данные'!$D$2:$D$966,Z$3,'Исходные данные'!$F$2:$F$966,$H11&amp;""),IF(SUMIFS('Исходные данные'!$I$2:$I$966,'Исходные данные'!$D$2:$D$966,Z$3,'Исходные данные'!$F$2:$F$966,$H11&amp;"")=0,"0+"&amp;SUMIFS('Исходные данные'!$J$2:$J$966,'Исходные данные'!$D$2:$D$966,Z$3,'Исходные данные'!$F$2:$F$966,$H11&amp;"")&amp;"="&amp;SUMIFS('Исходные данные'!$J$2:$J$966,'Исходные данные'!$D$2:$D$966,Z$3,'Исходные данные'!$F$2:$F$966,$H11&amp;""),SUMIFS('Исходные данные'!$I$2:$I$966,'Исходные данные'!$D$2:$D$966,Z$3,'Исходные данные'!$F$2:$F$966,$H11&amp;"")&amp;"+"&amp;SUMIFS('Исходные данные'!$J$2:$J$966,'Исходные данные'!$D$2:$D$966,Z$3,'Исходные данные'!$F$2:$F$966,$H11&amp;"")&amp;"="&amp;(SUMIFS('Исходные данные'!$I$2:$I$966,'Исходные данные'!$D$2:$D$966,Z$3,'Исходные данные'!$F$2:$F$966,$H11&amp;"")+SUMIFS('Исходные данные'!$J$2:$J$966,'Исходные данные'!$D$2:$D$966,Z$3,'Исходные данные'!$F$2:$F$966,$H11&amp;"")))))</f>
        <v/>
      </c>
      <c r="AA11" s="50" t="n">
        <f aca="false">IF(SUMIFS('Исходные данные'!$I$2:$I$966,'Исходные данные'!$D$2:$D$966,AA$3,'Исходные данные'!$F$2:$F$966,$H11&amp;"")+SUMIFS('Исходные данные'!$J$2:$J$966,'Исходные данные'!$D$2:$D$966,AA$3,'Исходные данные'!$F$2:$F$966,$H11&amp;"")=0,"",IF(SUMIFS('Исходные данные'!$J$2:$J$966,'Исходные данные'!$D$2:$D$966,AA$3,'Исходные данные'!$F$2:$F$966,$H11&amp;"")=0,SUMIFS('Исходные данные'!$I$2:$I$966,'Исходные данные'!$D$2:$D$966,AA$3,'Исходные данные'!$F$2:$F$966,$H11&amp;""),IF(SUMIFS('Исходные данные'!$I$2:$I$966,'Исходные данные'!$D$2:$D$966,AA$3,'Исходные данные'!$F$2:$F$966,$H11&amp;"")=0,"0+"&amp;SUMIFS('Исходные данные'!$J$2:$J$966,'Исходные данные'!$D$2:$D$966,AA$3,'Исходные данные'!$F$2:$F$966,$H11&amp;"")&amp;"="&amp;SUMIFS('Исходные данные'!$J$2:$J$966,'Исходные данные'!$D$2:$D$966,AA$3,'Исходные данные'!$F$2:$F$966,$H11&amp;""),SUMIFS('Исходные данные'!$I$2:$I$966,'Исходные данные'!$D$2:$D$966,AA$3,'Исходные данные'!$F$2:$F$966,$H11&amp;"")&amp;"+"&amp;SUMIFS('Исходные данные'!$J$2:$J$966,'Исходные данные'!$D$2:$D$966,AA$3,'Исходные данные'!$F$2:$F$966,$H11&amp;"")&amp;"="&amp;(SUMIFS('Исходные данные'!$I$2:$I$966,'Исходные данные'!$D$2:$D$966,AA$3,'Исходные данные'!$F$2:$F$966,$H11&amp;"")+SUMIFS('Исходные данные'!$J$2:$J$966,'Исходные данные'!$D$2:$D$966,AA$3,'Исходные данные'!$F$2:$F$966,$H11&amp;"")))))</f>
        <v>1</v>
      </c>
      <c r="AB11" s="50" t="str">
        <f aca="false">IF(SUMIFS('Исходные данные'!$I$2:$I$966,'Исходные данные'!$D$2:$D$966,AB$3,'Исходные данные'!$F$2:$F$966,$H11&amp;"")+SUMIFS('Исходные данные'!$J$2:$J$966,'Исходные данные'!$D$2:$D$966,AB$3,'Исходные данные'!$F$2:$F$966,$H11&amp;"")=0,"",IF(SUMIFS('Исходные данные'!$J$2:$J$966,'Исходные данные'!$D$2:$D$966,AB$3,'Исходные данные'!$F$2:$F$966,$H11&amp;"")=0,SUMIFS('Исходные данные'!$I$2:$I$966,'Исходные данные'!$D$2:$D$966,AB$3,'Исходные данные'!$F$2:$F$966,$H11&amp;""),IF(SUMIFS('Исходные данные'!$I$2:$I$966,'Исходные данные'!$D$2:$D$966,AB$3,'Исходные данные'!$F$2:$F$966,$H11&amp;"")=0,"0+"&amp;SUMIFS('Исходные данные'!$J$2:$J$966,'Исходные данные'!$D$2:$D$966,AB$3,'Исходные данные'!$F$2:$F$966,$H11&amp;"")&amp;"="&amp;SUMIFS('Исходные данные'!$J$2:$J$966,'Исходные данные'!$D$2:$D$966,AB$3,'Исходные данные'!$F$2:$F$966,$H11&amp;""),SUMIFS('Исходные данные'!$I$2:$I$966,'Исходные данные'!$D$2:$D$966,AB$3,'Исходные данные'!$F$2:$F$966,$H11&amp;"")&amp;"+"&amp;SUMIFS('Исходные данные'!$J$2:$J$966,'Исходные данные'!$D$2:$D$966,AB$3,'Исходные данные'!$F$2:$F$966,$H11&amp;"")&amp;"="&amp;(SUMIFS('Исходные данные'!$I$2:$I$966,'Исходные данные'!$D$2:$D$966,AB$3,'Исходные данные'!$F$2:$F$966,$H11&amp;"")+SUMIFS('Исходные данные'!$J$2:$J$966,'Исходные данные'!$D$2:$D$966,AB$3,'Исходные данные'!$F$2:$F$966,$H11&amp;"")))))</f>
        <v/>
      </c>
      <c r="AC11" s="52" t="str">
        <f aca="false">IF(SUMIFS('Исходные данные'!$I$2:$I$966,'Исходные данные'!$D$2:$D$966,AC$3,'Исходные данные'!$F$2:$F$966,$H11&amp;"")+SUMIFS('Исходные данные'!$J$2:$J$966,'Исходные данные'!$D$2:$D$966,AC$3,'Исходные данные'!$F$2:$F$966,$H11&amp;"")=0,"",IF(SUMIFS('Исходные данные'!$J$2:$J$966,'Исходные данные'!$D$2:$D$966,AC$3,'Исходные данные'!$F$2:$F$966,$H11&amp;"")=0,SUMIFS('Исходные данные'!$I$2:$I$966,'Исходные данные'!$D$2:$D$966,AC$3,'Исходные данные'!$F$2:$F$966,$H11&amp;""),IF(SUMIFS('Исходные данные'!$I$2:$I$966,'Исходные данные'!$D$2:$D$966,AC$3,'Исходные данные'!$F$2:$F$966,$H11&amp;"")=0,"0+"&amp;SUMIFS('Исходные данные'!$J$2:$J$966,'Исходные данные'!$D$2:$D$966,AC$3,'Исходные данные'!$F$2:$F$966,$H11&amp;"")&amp;"="&amp;SUMIFS('Исходные данные'!$J$2:$J$966,'Исходные данные'!$D$2:$D$966,AC$3,'Исходные данные'!$F$2:$F$966,$H11&amp;""),SUMIFS('Исходные данные'!$I$2:$I$966,'Исходные данные'!$D$2:$D$966,AC$3,'Исходные данные'!$F$2:$F$966,$H11&amp;"")&amp;"+"&amp;SUMIFS('Исходные данные'!$J$2:$J$966,'Исходные данные'!$D$2:$D$966,AC$3,'Исходные данные'!$F$2:$F$966,$H11&amp;"")&amp;"="&amp;(SUMIFS('Исходные данные'!$I$2:$I$966,'Исходные данные'!$D$2:$D$966,AC$3,'Исходные данные'!$F$2:$F$966,$H11&amp;"")+SUMIFS('Исходные данные'!$J$2:$J$966,'Исходные данные'!$D$2:$D$966,AC$3,'Исходные данные'!$F$2:$F$966,$H11&amp;"")))))</f>
        <v>4+5=9</v>
      </c>
      <c r="AD11" s="50" t="str">
        <f aca="false">IF(SUMIFS('Исходные данные'!$I$2:$I$966,'Исходные данные'!$D$2:$D$966,AD$3,'Исходные данные'!$F$2:$F$966,$H11&amp;"")+SUMIFS('Исходные данные'!$J$2:$J$966,'Исходные данные'!$D$2:$D$966,AD$3,'Исходные данные'!$F$2:$F$966,$H11&amp;"")=0,"",IF(SUMIFS('Исходные данные'!$J$2:$J$966,'Исходные данные'!$D$2:$D$966,AD$3,'Исходные данные'!$F$2:$F$966,$H11&amp;"")=0,SUMIFS('Исходные данные'!$I$2:$I$966,'Исходные данные'!$D$2:$D$966,AD$3,'Исходные данные'!$F$2:$F$966,$H11&amp;""),IF(SUMIFS('Исходные данные'!$I$2:$I$966,'Исходные данные'!$D$2:$D$966,AD$3,'Исходные данные'!$F$2:$F$966,$H11&amp;"")=0,"0+"&amp;SUMIFS('Исходные данные'!$J$2:$J$966,'Исходные данные'!$D$2:$D$966,AD$3,'Исходные данные'!$F$2:$F$966,$H11&amp;"")&amp;"="&amp;SUMIFS('Исходные данные'!$J$2:$J$966,'Исходные данные'!$D$2:$D$966,AD$3,'Исходные данные'!$F$2:$F$966,$H11&amp;""),SUMIFS('Исходные данные'!$I$2:$I$966,'Исходные данные'!$D$2:$D$966,AD$3,'Исходные данные'!$F$2:$F$966,$H11&amp;"")&amp;"+"&amp;SUMIFS('Исходные данные'!$J$2:$J$966,'Исходные данные'!$D$2:$D$966,AD$3,'Исходные данные'!$F$2:$F$966,$H11&amp;"")&amp;"="&amp;(SUMIFS('Исходные данные'!$I$2:$I$966,'Исходные данные'!$D$2:$D$966,AD$3,'Исходные данные'!$F$2:$F$966,$H11&amp;"")+SUMIFS('Исходные данные'!$J$2:$J$966,'Исходные данные'!$D$2:$D$966,AD$3,'Исходные данные'!$F$2:$F$966,$H11&amp;"")))))</f>
        <v>3+3=6</v>
      </c>
    </row>
    <row r="12" customFormat="false" ht="25.5" hidden="false" customHeight="true" outlineLevel="0" collapsed="false">
      <c r="A12" s="27" t="n">
        <v>10</v>
      </c>
      <c r="B12" s="28" t="s">
        <v>184</v>
      </c>
      <c r="C12" s="29" t="s">
        <v>9</v>
      </c>
      <c r="D12" s="30"/>
      <c r="E12" s="30" t="s">
        <v>185</v>
      </c>
      <c r="F12" s="30" t="s">
        <v>21</v>
      </c>
      <c r="G12" s="64"/>
      <c r="H12" s="32"/>
      <c r="I12" s="55"/>
      <c r="J12" s="56"/>
      <c r="K12" s="57"/>
      <c r="L12" s="58"/>
      <c r="M12" s="59"/>
      <c r="N12" s="59"/>
      <c r="O12" s="60" t="str">
        <f aca="false">IF(SUMIFS('Исходные данные'!$I$2:$I$966,'Исходные данные'!$D$2:$D$966,O$3,'Исходные данные'!$F$2:$F$966,$H13&amp;"",'Исходные данные'!$L$2:$L$966,"УТТ")+SUMIFS('Исходные данные'!$J$2:$J$966,'Исходные данные'!$D$2:$D$966,O$3,'Исходные данные'!$F$2:$F$966,$H13&amp;"",'Исходные данные'!$L$2:$L$966,"УТТ")=0,"","утт-"&amp;(SUMIFS('Исходные данные'!$I$2:$I$966,'Исходные данные'!$D$2:$D$966,O$3,'Исходные данные'!$F$2:$F$966,$H13&amp;"",'Исходные данные'!$L$2:$L$966,"УТТ")+SUMIFS('Исходные данные'!$J$2:$J$966,'Исходные данные'!$D$2:$D$966,O$3,'Исходные данные'!$F$2:$F$966,$H13&amp;"",'Исходные данные'!$L$2:$L$966,"УТТ")))</f>
        <v/>
      </c>
      <c r="P12" s="61" t="str">
        <f aca="false">IF(SUMIFS('Исходные данные'!$I$2:$I$966,'Исходные данные'!$D$2:$D$966,P$3,'Исходные данные'!$F$2:$F$966,$H13&amp;"",'Исходные данные'!$L$2:$L$966,"УТТ")+SUMIFS('Исходные данные'!$J$2:$J$966,'Исходные данные'!$D$2:$D$966,P$3,'Исходные данные'!$F$2:$F$966,$H13&amp;"",'Исходные данные'!$L$2:$L$966,"УТТ")=0,"","утт-"&amp;(SUMIFS('Исходные данные'!$I$2:$I$966,'Исходные данные'!$D$2:$D$966,P$3,'Исходные данные'!$F$2:$F$966,$H13&amp;"",'Исходные данные'!$L$2:$L$966,"УТТ")+SUMIFS('Исходные данные'!$J$2:$J$966,'Исходные данные'!$D$2:$D$966,P$3,'Исходные данные'!$F$2:$F$966,$H13&amp;"",'Исходные данные'!$L$2:$L$966,"УТТ")))</f>
        <v/>
      </c>
      <c r="Q12" s="60" t="str">
        <f aca="false">IF(SUMIFS('Исходные данные'!$I$2:$I$966,'Исходные данные'!$D$2:$D$966,Q$3,'Исходные данные'!$F$2:$F$966,$H13&amp;"",'Исходные данные'!$L$2:$L$966,"УТТ")+SUMIFS('Исходные данные'!$J$2:$J$966,'Исходные данные'!$D$2:$D$966,Q$3,'Исходные данные'!$F$2:$F$966,$H13&amp;"",'Исходные данные'!$L$2:$L$966,"УТТ")=0,"","утт-"&amp;(SUMIFS('Исходные данные'!$I$2:$I$966,'Исходные данные'!$D$2:$D$966,Q$3,'Исходные данные'!$F$2:$F$966,$H13&amp;"",'Исходные данные'!$L$2:$L$966,"УТТ")+SUMIFS('Исходные данные'!$J$2:$J$966,'Исходные данные'!$D$2:$D$966,Q$3,'Исходные данные'!$F$2:$F$966,$H13&amp;"",'Исходные данные'!$L$2:$L$966,"УТТ")))</f>
        <v/>
      </c>
      <c r="R12" s="62" t="str">
        <f aca="false">IF(SUMIFS('Исходные данные'!$I$2:$I$966,'Исходные данные'!$D$2:$D$966,R$3,'Исходные данные'!$F$2:$F$966,$H13&amp;"",'Исходные данные'!$L$2:$L$966,"УТТ")+SUMIFS('Исходные данные'!$J$2:$J$966,'Исходные данные'!$D$2:$D$966,R$3,'Исходные данные'!$F$2:$F$966,$H13&amp;"",'Исходные данные'!$L$2:$L$966,"УТТ")=0,"","утт-"&amp;(SUMIFS('Исходные данные'!$I$2:$I$966,'Исходные данные'!$D$2:$D$966,R$3,'Исходные данные'!$F$2:$F$966,$H13&amp;"",'Исходные данные'!$L$2:$L$966,"УТТ")+SUMIFS('Исходные данные'!$J$2:$J$966,'Исходные данные'!$D$2:$D$966,R$3,'Исходные данные'!$F$2:$F$966,$H13&amp;"",'Исходные данные'!$L$2:$L$966,"УТТ")))</f>
        <v/>
      </c>
      <c r="S12" s="61" t="str">
        <f aca="false">IF(SUMIFS('Исходные данные'!$I$2:$I$966,'Исходные данные'!$D$2:$D$966,S$3,'Исходные данные'!$F$2:$F$966,$H13&amp;"",'Исходные данные'!$L$2:$L$966,"УТТ")+SUMIFS('Исходные данные'!$J$2:$J$966,'Исходные данные'!$D$2:$D$966,S$3,'Исходные данные'!$F$2:$F$966,$H13&amp;"",'Исходные данные'!$L$2:$L$966,"УТТ")=0,"","утт-"&amp;(SUMIFS('Исходные данные'!$I$2:$I$966,'Исходные данные'!$D$2:$D$966,S$3,'Исходные данные'!$F$2:$F$966,$H13&amp;"",'Исходные данные'!$L$2:$L$966,"УТТ")+SUMIFS('Исходные данные'!$J$2:$J$966,'Исходные данные'!$D$2:$D$966,S$3,'Исходные данные'!$F$2:$F$966,$H13&amp;"",'Исходные данные'!$L$2:$L$966,"УТТ")))</f>
        <v/>
      </c>
      <c r="T12" s="60" t="str">
        <f aca="false">IF(SUMIFS('Исходные данные'!$I$2:$I$966,'Исходные данные'!$D$2:$D$966,T$3,'Исходные данные'!$F$2:$F$966,$H13&amp;"",'Исходные данные'!$L$2:$L$966,"УТТ")+SUMIFS('Исходные данные'!$J$2:$J$966,'Исходные данные'!$D$2:$D$966,T$3,'Исходные данные'!$F$2:$F$966,$H13&amp;"",'Исходные данные'!$L$2:$L$966,"УТТ")=0,"","утт-"&amp;(SUMIFS('Исходные данные'!$I$2:$I$966,'Исходные данные'!$D$2:$D$966,T$3,'Исходные данные'!$F$2:$F$966,$H13&amp;"",'Исходные данные'!$L$2:$L$966,"УТТ")+SUMIFS('Исходные данные'!$J$2:$J$966,'Исходные данные'!$D$2:$D$966,T$3,'Исходные данные'!$F$2:$F$966,$H13&amp;"",'Исходные данные'!$L$2:$L$966,"УТТ")))</f>
        <v/>
      </c>
      <c r="U12" s="61" t="str">
        <f aca="false">IF(SUMIFS('Исходные данные'!$I$2:$I$966,'Исходные данные'!$D$2:$D$966,U$3,'Исходные данные'!$F$2:$F$966,$H13&amp;"",'Исходные данные'!$L$2:$L$966,"УТТ")+SUMIFS('Исходные данные'!$J$2:$J$966,'Исходные данные'!$D$2:$D$966,U$3,'Исходные данные'!$F$2:$F$966,$H13&amp;"",'Исходные данные'!$L$2:$L$966,"УТТ")=0,"","утт-"&amp;(SUMIFS('Исходные данные'!$I$2:$I$966,'Исходные данные'!$D$2:$D$966,U$3,'Исходные данные'!$F$2:$F$966,$H13&amp;"",'Исходные данные'!$L$2:$L$966,"УТТ")+SUMIFS('Исходные данные'!$J$2:$J$966,'Исходные данные'!$D$2:$D$966,U$3,'Исходные данные'!$F$2:$F$966,$H13&amp;"",'Исходные данные'!$L$2:$L$966,"УТТ")))</f>
        <v/>
      </c>
      <c r="V12" s="60" t="str">
        <f aca="false">IF(SUMIFS('Исходные данные'!$I$2:$I$966,'Исходные данные'!$D$2:$D$966,V$3,'Исходные данные'!$F$2:$F$966,$H13&amp;"",'Исходные данные'!$L$2:$L$966,"УТТ")+SUMIFS('Исходные данные'!$J$2:$J$966,'Исходные данные'!$D$2:$D$966,V$3,'Исходные данные'!$F$2:$F$966,$H13&amp;"",'Исходные данные'!$L$2:$L$966,"УТТ")=0,"","утт-"&amp;(SUMIFS('Исходные данные'!$I$2:$I$966,'Исходные данные'!$D$2:$D$966,V$3,'Исходные данные'!$F$2:$F$966,$H13&amp;"",'Исходные данные'!$L$2:$L$966,"УТТ")+SUMIFS('Исходные данные'!$J$2:$J$966,'Исходные данные'!$D$2:$D$966,V$3,'Исходные данные'!$F$2:$F$966,$H13&amp;"",'Исходные данные'!$L$2:$L$966,"УТТ")))</f>
        <v/>
      </c>
      <c r="W12" s="61" t="str">
        <f aca="false">IF(SUMIFS('Исходные данные'!$I$2:$I$966,'Исходные данные'!$D$2:$D$966,W$3,'Исходные данные'!$F$2:$F$966,$H13&amp;"",'Исходные данные'!$L$2:$L$966,"УТТ")+SUMIFS('Исходные данные'!$J$2:$J$966,'Исходные данные'!$D$2:$D$966,W$3,'Исходные данные'!$F$2:$F$966,$H13&amp;"",'Исходные данные'!$L$2:$L$966,"УТТ")=0,"","утт-"&amp;(SUMIFS('Исходные данные'!$I$2:$I$966,'Исходные данные'!$D$2:$D$966,W$3,'Исходные данные'!$F$2:$F$966,$H13&amp;"",'Исходные данные'!$L$2:$L$966,"УТТ")+SUMIFS('Исходные данные'!$J$2:$J$966,'Исходные данные'!$D$2:$D$966,W$3,'Исходные данные'!$F$2:$F$966,$H13&amp;"",'Исходные данные'!$L$2:$L$966,"УТТ")))</f>
        <v/>
      </c>
      <c r="X12" s="61" t="str">
        <f aca="false">IF(SUMIFS('Исходные данные'!$I$2:$I$966,'Исходные данные'!$D$2:$D$966,X$3,'Исходные данные'!$F$2:$F$966,$H13&amp;"",'Исходные данные'!$L$2:$L$966,"УТТ")+SUMIFS('Исходные данные'!$J$2:$J$966,'Исходные данные'!$D$2:$D$966,X$3,'Исходные данные'!$F$2:$F$966,$H13&amp;"",'Исходные данные'!$L$2:$L$966,"УТТ")=0,"","утт-"&amp;(SUMIFS('Исходные данные'!$I$2:$I$966,'Исходные данные'!$D$2:$D$966,X$3,'Исходные данные'!$F$2:$F$966,$H13&amp;"",'Исходные данные'!$L$2:$L$966,"УТТ")+SUMIFS('Исходные данные'!$J$2:$J$966,'Исходные данные'!$D$2:$D$966,X$3,'Исходные данные'!$F$2:$F$966,$H13&amp;"",'Исходные данные'!$L$2:$L$966,"УТТ")))</f>
        <v/>
      </c>
      <c r="Y12" s="63" t="str">
        <f aca="false">IF(SUMIFS('Исходные данные'!$I$2:$I$966,'Исходные данные'!$D$2:$D$966,Y$3,'Исходные данные'!$F$2:$F$966,$H13&amp;"",'Исходные данные'!$L$2:$L$966,"УТТ")+SUMIFS('Исходные данные'!$J$2:$J$966,'Исходные данные'!$D$2:$D$966,Y$3,'Исходные данные'!$F$2:$F$966,$H13&amp;"",'Исходные данные'!$L$2:$L$966,"УТТ")=0,"","утт-"&amp;(SUMIFS('Исходные данные'!$I$2:$I$966,'Исходные данные'!$D$2:$D$966,Y$3,'Исходные данные'!$F$2:$F$966,$H13&amp;"",'Исходные данные'!$L$2:$L$966,"УТТ")+SUMIFS('Исходные данные'!$J$2:$J$966,'Исходные данные'!$D$2:$D$966,Y$3,'Исходные данные'!$F$2:$F$966,$H13&amp;"",'Исходные данные'!$L$2:$L$966,"УТТ")))</f>
        <v/>
      </c>
      <c r="Z12" s="60" t="str">
        <f aca="false">IF(SUMIFS('Исходные данные'!$I$2:$I$966,'Исходные данные'!$D$2:$D$966,Z$3,'Исходные данные'!$F$2:$F$966,$H13&amp;"",'Исходные данные'!$L$2:$L$966,"УТТ")+SUMIFS('Исходные данные'!$J$2:$J$966,'Исходные данные'!$D$2:$D$966,Z$3,'Исходные данные'!$F$2:$F$966,$H13&amp;"",'Исходные данные'!$L$2:$L$966,"УТТ")=0,"","утт-"&amp;(SUMIFS('Исходные данные'!$I$2:$I$966,'Исходные данные'!$D$2:$D$966,Z$3,'Исходные данные'!$F$2:$F$966,$H13&amp;"",'Исходные данные'!$L$2:$L$966,"УТТ")+SUMIFS('Исходные данные'!$J$2:$J$966,'Исходные данные'!$D$2:$D$966,Z$3,'Исходные данные'!$F$2:$F$966,$H13&amp;"",'Исходные данные'!$L$2:$L$966,"УТТ")))</f>
        <v/>
      </c>
      <c r="AA12" s="61" t="str">
        <f aca="false">IF(SUMIFS('Исходные данные'!$I$2:$I$966,'Исходные данные'!$D$2:$D$966,AA$3,'Исходные данные'!$F$2:$F$966,$H13&amp;"",'Исходные данные'!$L$2:$L$966,"УТТ")+SUMIFS('Исходные данные'!$J$2:$J$966,'Исходные данные'!$D$2:$D$966,AA$3,'Исходные данные'!$F$2:$F$966,$H13&amp;"",'Исходные данные'!$L$2:$L$966,"УТТ")=0,"","утт-"&amp;(SUMIFS('Исходные данные'!$I$2:$I$966,'Исходные данные'!$D$2:$D$966,AA$3,'Исходные данные'!$F$2:$F$966,$H13&amp;"",'Исходные данные'!$L$2:$L$966,"УТТ")+SUMIFS('Исходные данные'!$J$2:$J$966,'Исходные данные'!$D$2:$D$966,AA$3,'Исходные данные'!$F$2:$F$966,$H13&amp;"",'Исходные данные'!$L$2:$L$966,"УТТ")))</f>
        <v/>
      </c>
      <c r="AB12" s="61" t="str">
        <f aca="false">IF(SUMIFS('Исходные данные'!$I$2:$I$966,'Исходные данные'!$D$2:$D$966,AB$3,'Исходные данные'!$F$2:$F$966,$H13&amp;"",'Исходные данные'!$L$2:$L$966,"УТТ")+SUMIFS('Исходные данные'!$J$2:$J$966,'Исходные данные'!$D$2:$D$966,AB$3,'Исходные данные'!$F$2:$F$966,$H13&amp;"",'Исходные данные'!$L$2:$L$966,"УТТ")=0,"","утт-"&amp;(SUMIFS('Исходные данные'!$I$2:$I$966,'Исходные данные'!$D$2:$D$966,AB$3,'Исходные данные'!$F$2:$F$966,$H13&amp;"",'Исходные данные'!$L$2:$L$966,"УТТ")+SUMIFS('Исходные данные'!$J$2:$J$966,'Исходные данные'!$D$2:$D$966,AB$3,'Исходные данные'!$F$2:$F$966,$H13&amp;"",'Исходные данные'!$L$2:$L$966,"УТТ")))</f>
        <v/>
      </c>
      <c r="AC12" s="60" t="str">
        <f aca="false">IF(SUMIFS('Исходные данные'!$I$2:$I$966,'Исходные данные'!$D$2:$D$966,AC$3,'Исходные данные'!$F$2:$F$966,$H13&amp;"",'Исходные данные'!$L$2:$L$966,"УТТ")+SUMIFS('Исходные данные'!$J$2:$J$966,'Исходные данные'!$D$2:$D$966,AC$3,'Исходные данные'!$F$2:$F$966,$H13&amp;"",'Исходные данные'!$L$2:$L$966,"УТТ")=0,"","утт-"&amp;(SUMIFS('Исходные данные'!$I$2:$I$966,'Исходные данные'!$D$2:$D$966,AC$3,'Исходные данные'!$F$2:$F$966,$H13&amp;"",'Исходные данные'!$L$2:$L$966,"УТТ")+SUMIFS('Исходные данные'!$J$2:$J$966,'Исходные данные'!$D$2:$D$966,AC$3,'Исходные данные'!$F$2:$F$966,$H13&amp;"",'Исходные данные'!$L$2:$L$966,"УТТ")))</f>
        <v/>
      </c>
      <c r="AD12" s="61" t="str">
        <f aca="false">IF(SUMIFS('Исходные данные'!$I$2:$I$966,'Исходные данные'!$D$2:$D$966,AD$3,'Исходные данные'!$F$2:$F$966,$H13&amp;"",'Исходные данные'!$L$2:$L$966,"УТТ")+SUMIFS('Исходные данные'!$J$2:$J$966,'Исходные данные'!$D$2:$D$966,AD$3,'Исходные данные'!$F$2:$F$966,$H13&amp;"",'Исходные данные'!$L$2:$L$966,"УТТ")=0,"","утт-"&amp;(SUMIFS('Исходные данные'!$I$2:$I$966,'Исходные данные'!$D$2:$D$966,AD$3,'Исходные данные'!$F$2:$F$966,$H13&amp;"",'Исходные данные'!$L$2:$L$966,"УТТ")+SUMIFS('Исходные данные'!$J$2:$J$966,'Исходные данные'!$D$2:$D$966,AD$3,'Исходные данные'!$F$2:$F$966,$H13&amp;"",'Исходные данные'!$L$2:$L$966,"УТТ")))</f>
        <v>утт-6</v>
      </c>
    </row>
    <row r="13" customFormat="false" ht="25.5" hidden="false" customHeight="true" outlineLevel="0" collapsed="false">
      <c r="A13" s="27" t="n">
        <v>11</v>
      </c>
      <c r="B13" s="28" t="s">
        <v>186</v>
      </c>
      <c r="C13" s="29" t="s">
        <v>9</v>
      </c>
      <c r="D13" s="30"/>
      <c r="E13" s="30" t="s">
        <v>187</v>
      </c>
      <c r="F13" s="30" t="s">
        <v>21</v>
      </c>
      <c r="G13" s="64"/>
      <c r="H13" s="32" t="n">
        <v>22</v>
      </c>
      <c r="I13" s="44" t="s">
        <v>188</v>
      </c>
      <c r="J13" s="45" t="n">
        <f aca="false">IFERROR(INDEX('Выход ТС'!$C:$C,MATCH($H13&amp;"",'Выход ТС'!$A:$A,0)),"")</f>
        <v>23</v>
      </c>
      <c r="K13" s="46" t="n">
        <f aca="false">IFERROR(INDEX('Выход ТС'!$D:$D,MATCH($H13&amp;"",'Выход ТС'!$A:$A,0)),"")</f>
        <v>22</v>
      </c>
      <c r="L13" s="47" t="n">
        <f aca="false">IFERROR(INDEX('Выход ТС'!$E:$E,MATCH($H13&amp;"",'Выход ТС'!$A:$A,0)),"")</f>
        <v>-1</v>
      </c>
      <c r="M13" s="48" t="n">
        <f aca="false">IFERROR(IF(INDEX('Выход ТС'!$F:$F,MATCH($H13&amp;"",'Выход ТС'!$A:$A,0))=0,"",INDEX('Выход ТС'!$F:$F,MATCH($H13&amp;"",'Выход ТС'!$A:$A,0))),"")</f>
        <v>15</v>
      </c>
      <c r="N13" s="48" t="n">
        <f aca="false">IFERROR(IF(INDEX('Выход ТС'!$G:$G,MATCH($H13&amp;"",'Выход ТС'!$A:$A,0))=0,"",INDEX('Выход ТС'!$G:$G,MATCH($H13&amp;"",'Выход ТС'!$A:$A,0))),"")</f>
        <v>7</v>
      </c>
      <c r="O13" s="52" t="n">
        <f aca="false">IF(SUMIFS('Исходные данные'!$I$2:$I$966,'Исходные данные'!$D$2:$D$966,O$3,'Исходные данные'!$F$2:$F$966,$H13&amp;"")+SUMIFS('Исходные данные'!$J$2:$J$966,'Исходные данные'!$D$2:$D$966,O$3,'Исходные данные'!$F$2:$F$966,$H13&amp;"")=0,"",IF(SUMIFS('Исходные данные'!$J$2:$J$966,'Исходные данные'!$D$2:$D$966,O$3,'Исходные данные'!$F$2:$F$966,$H13&amp;"")=0,SUMIFS('Исходные данные'!$I$2:$I$966,'Исходные данные'!$D$2:$D$966,O$3,'Исходные данные'!$F$2:$F$966,$H13&amp;""),IF(SUMIFS('Исходные данные'!$I$2:$I$966,'Исходные данные'!$D$2:$D$966,O$3,'Исходные данные'!$F$2:$F$966,$H13&amp;"")=0,"0+"&amp;SUMIFS('Исходные данные'!$J$2:$J$966,'Исходные данные'!$D$2:$D$966,O$3,'Исходные данные'!$F$2:$F$966,$H13&amp;"")&amp;"="&amp;SUMIFS('Исходные данные'!$J$2:$J$966,'Исходные данные'!$D$2:$D$966,O$3,'Исходные данные'!$F$2:$F$966,$H13&amp;""),SUMIFS('Исходные данные'!$I$2:$I$966,'Исходные данные'!$D$2:$D$966,O$3,'Исходные данные'!$F$2:$F$966,$H13&amp;"")&amp;"+"&amp;SUMIFS('Исходные данные'!$J$2:$J$966,'Исходные данные'!$D$2:$D$966,O$3,'Исходные данные'!$F$2:$F$966,$H13&amp;"")&amp;"="&amp;(SUMIFS('Исходные данные'!$I$2:$I$966,'Исходные данные'!$D$2:$D$966,O$3,'Исходные данные'!$F$2:$F$966,$H13&amp;"")+SUMIFS('Исходные данные'!$J$2:$J$966,'Исходные данные'!$D$2:$D$966,O$3,'Исходные данные'!$F$2:$F$966,$H13&amp;"")))))</f>
        <v>1</v>
      </c>
      <c r="P13" s="50" t="n">
        <f aca="false">IF(SUMIFS('Исходные данные'!$I$2:$I$966,'Исходные данные'!$D$2:$D$966,P$3,'Исходные данные'!$F$2:$F$966,$H13&amp;"")+SUMIFS('Исходные данные'!$J$2:$J$966,'Исходные данные'!$D$2:$D$966,P$3,'Исходные данные'!$F$2:$F$966,$H13&amp;"")=0,"",IF(SUMIFS('Исходные данные'!$J$2:$J$966,'Исходные данные'!$D$2:$D$966,P$3,'Исходные данные'!$F$2:$F$966,$H13&amp;"")=0,SUMIFS('Исходные данные'!$I$2:$I$966,'Исходные данные'!$D$2:$D$966,P$3,'Исходные данные'!$F$2:$F$966,$H13&amp;""),IF(SUMIFS('Исходные данные'!$I$2:$I$966,'Исходные данные'!$D$2:$D$966,P$3,'Исходные данные'!$F$2:$F$966,$H13&amp;"")=0,"0+"&amp;SUMIFS('Исходные данные'!$J$2:$J$966,'Исходные данные'!$D$2:$D$966,P$3,'Исходные данные'!$F$2:$F$966,$H13&amp;"")&amp;"="&amp;SUMIFS('Исходные данные'!$J$2:$J$966,'Исходные данные'!$D$2:$D$966,P$3,'Исходные данные'!$F$2:$F$966,$H13&amp;""),SUMIFS('Исходные данные'!$I$2:$I$966,'Исходные данные'!$D$2:$D$966,P$3,'Исходные данные'!$F$2:$F$966,$H13&amp;"")&amp;"+"&amp;SUMIFS('Исходные данные'!$J$2:$J$966,'Исходные данные'!$D$2:$D$966,P$3,'Исходные данные'!$F$2:$F$966,$H13&amp;"")&amp;"="&amp;(SUMIFS('Исходные данные'!$I$2:$I$966,'Исходные данные'!$D$2:$D$966,P$3,'Исходные данные'!$F$2:$F$966,$H13&amp;"")+SUMIFS('Исходные данные'!$J$2:$J$966,'Исходные данные'!$D$2:$D$966,P$3,'Исходные данные'!$F$2:$F$966,$H13&amp;"")))))</f>
        <v>1</v>
      </c>
      <c r="Q13" s="50" t="n">
        <f aca="false">IF(SUMIFS('Исходные данные'!$I$2:$I$966,'Исходные данные'!$D$2:$D$966,Q$3,'Исходные данные'!$F$2:$F$966,$H13&amp;"")+SUMIFS('Исходные данные'!$J$2:$J$966,'Исходные данные'!$D$2:$D$966,Q$3,'Исходные данные'!$F$2:$F$966,$H13&amp;"")=0,"",IF(SUMIFS('Исходные данные'!$J$2:$J$966,'Исходные данные'!$D$2:$D$966,Q$3,'Исходные данные'!$F$2:$F$966,$H13&amp;"")=0,SUMIFS('Исходные данные'!$I$2:$I$966,'Исходные данные'!$D$2:$D$966,Q$3,'Исходные данные'!$F$2:$F$966,$H13&amp;""),IF(SUMIFS('Исходные данные'!$I$2:$I$966,'Исходные данные'!$D$2:$D$966,Q$3,'Исходные данные'!$F$2:$F$966,$H13&amp;"")=0,"0+"&amp;SUMIFS('Исходные данные'!$J$2:$J$966,'Исходные данные'!$D$2:$D$966,Q$3,'Исходные данные'!$F$2:$F$966,$H13&amp;"")&amp;"="&amp;SUMIFS('Исходные данные'!$J$2:$J$966,'Исходные данные'!$D$2:$D$966,Q$3,'Исходные данные'!$F$2:$F$966,$H13&amp;""),SUMIFS('Исходные данные'!$I$2:$I$966,'Исходные данные'!$D$2:$D$966,Q$3,'Исходные данные'!$F$2:$F$966,$H13&amp;"")&amp;"+"&amp;SUMIFS('Исходные данные'!$J$2:$J$966,'Исходные данные'!$D$2:$D$966,Q$3,'Исходные данные'!$F$2:$F$966,$H13&amp;"")&amp;"="&amp;(SUMIFS('Исходные данные'!$I$2:$I$966,'Исходные данные'!$D$2:$D$966,Q$3,'Исходные данные'!$F$2:$F$966,$H13&amp;"")+SUMIFS('Исходные данные'!$J$2:$J$966,'Исходные данные'!$D$2:$D$966,Q$3,'Исходные данные'!$F$2:$F$966,$H13&amp;"")))))</f>
        <v>1</v>
      </c>
      <c r="R13" s="51" t="str">
        <f aca="false">IF(SUMIFS('Исходные данные'!$I$2:$I$966,'Исходные данные'!$D$2:$D$966,R$3,'Исходные данные'!$F$2:$F$966,$H13&amp;"")+SUMIFS('Исходные данные'!$J$2:$J$966,'Исходные данные'!$D$2:$D$966,R$3,'Исходные данные'!$F$2:$F$966,$H13&amp;"")=0,"",IF(SUMIFS('Исходные данные'!$J$2:$J$966,'Исходные данные'!$D$2:$D$966,R$3,'Исходные данные'!$F$2:$F$966,$H13&amp;"")=0,SUMIFS('Исходные данные'!$I$2:$I$966,'Исходные данные'!$D$2:$D$966,R$3,'Исходные данные'!$F$2:$F$966,$H13&amp;""),IF(SUMIFS('Исходные данные'!$I$2:$I$966,'Исходные данные'!$D$2:$D$966,R$3,'Исходные данные'!$F$2:$F$966,$H13&amp;"")=0,"0+"&amp;SUMIFS('Исходные данные'!$J$2:$J$966,'Исходные данные'!$D$2:$D$966,R$3,'Исходные данные'!$F$2:$F$966,$H13&amp;"")&amp;"="&amp;SUMIFS('Исходные данные'!$J$2:$J$966,'Исходные данные'!$D$2:$D$966,R$3,'Исходные данные'!$F$2:$F$966,$H13&amp;""),SUMIFS('Исходные данные'!$I$2:$I$966,'Исходные данные'!$D$2:$D$966,R$3,'Исходные данные'!$F$2:$F$966,$H13&amp;"")&amp;"+"&amp;SUMIFS('Исходные данные'!$J$2:$J$966,'Исходные данные'!$D$2:$D$966,R$3,'Исходные данные'!$F$2:$F$966,$H13&amp;"")&amp;"="&amp;(SUMIFS('Исходные данные'!$I$2:$I$966,'Исходные данные'!$D$2:$D$966,R$3,'Исходные данные'!$F$2:$F$966,$H13&amp;"")+SUMIFS('Исходные данные'!$J$2:$J$966,'Исходные данные'!$D$2:$D$966,R$3,'Исходные данные'!$F$2:$F$966,$H13&amp;"")))))</f>
        <v/>
      </c>
      <c r="S13" s="50" t="str">
        <f aca="false">IF(SUMIFS('Исходные данные'!$I$2:$I$966,'Исходные данные'!$D$2:$D$966,S$3,'Исходные данные'!$F$2:$F$966,$H13&amp;"")+SUMIFS('Исходные данные'!$J$2:$J$966,'Исходные данные'!$D$2:$D$966,S$3,'Исходные данные'!$F$2:$F$966,$H13&amp;"")=0,"",IF(SUMIFS('Исходные данные'!$J$2:$J$966,'Исходные данные'!$D$2:$D$966,S$3,'Исходные данные'!$F$2:$F$966,$H13&amp;"")=0,SUMIFS('Исходные данные'!$I$2:$I$966,'Исходные данные'!$D$2:$D$966,S$3,'Исходные данные'!$F$2:$F$966,$H13&amp;""),IF(SUMIFS('Исходные данные'!$I$2:$I$966,'Исходные данные'!$D$2:$D$966,S$3,'Исходные данные'!$F$2:$F$966,$H13&amp;"")=0,"0+"&amp;SUMIFS('Исходные данные'!$J$2:$J$966,'Исходные данные'!$D$2:$D$966,S$3,'Исходные данные'!$F$2:$F$966,$H13&amp;"")&amp;"="&amp;SUMIFS('Исходные данные'!$J$2:$J$966,'Исходные данные'!$D$2:$D$966,S$3,'Исходные данные'!$F$2:$F$966,$H13&amp;""),SUMIFS('Исходные данные'!$I$2:$I$966,'Исходные данные'!$D$2:$D$966,S$3,'Исходные данные'!$F$2:$F$966,$H13&amp;"")&amp;"+"&amp;SUMIFS('Исходные данные'!$J$2:$J$966,'Исходные данные'!$D$2:$D$966,S$3,'Исходные данные'!$F$2:$F$966,$H13&amp;"")&amp;"="&amp;(SUMIFS('Исходные данные'!$I$2:$I$966,'Исходные данные'!$D$2:$D$966,S$3,'Исходные данные'!$F$2:$F$966,$H13&amp;"")+SUMIFS('Исходные данные'!$J$2:$J$966,'Исходные данные'!$D$2:$D$966,S$3,'Исходные данные'!$F$2:$F$966,$H13&amp;"")))))</f>
        <v/>
      </c>
      <c r="T13" s="49" t="n">
        <f aca="false">IF(SUMIFS('Исходные данные'!$I$2:$I$966,'Исходные данные'!$D$2:$D$966,T$3,'Исходные данные'!$F$2:$F$966,$H13&amp;"")+SUMIFS('Исходные данные'!$J$2:$J$966,'Исходные данные'!$D$2:$D$966,T$3,'Исходные данные'!$F$2:$F$966,$H13&amp;"")=0,"",IF(SUMIFS('Исходные данные'!$J$2:$J$966,'Исходные данные'!$D$2:$D$966,T$3,'Исходные данные'!$F$2:$F$966,$H13&amp;"")=0,SUMIFS('Исходные данные'!$I$2:$I$966,'Исходные данные'!$D$2:$D$966,T$3,'Исходные данные'!$F$2:$F$966,$H13&amp;""),IF(SUMIFS('Исходные данные'!$I$2:$I$966,'Исходные данные'!$D$2:$D$966,T$3,'Исходные данные'!$F$2:$F$966,$H13&amp;"")=0,"0+"&amp;SUMIFS('Исходные данные'!$J$2:$J$966,'Исходные данные'!$D$2:$D$966,T$3,'Исходные данные'!$F$2:$F$966,$H13&amp;"")&amp;"="&amp;SUMIFS('Исходные данные'!$J$2:$J$966,'Исходные данные'!$D$2:$D$966,T$3,'Исходные данные'!$F$2:$F$966,$H13&amp;""),SUMIFS('Исходные данные'!$I$2:$I$966,'Исходные данные'!$D$2:$D$966,T$3,'Исходные данные'!$F$2:$F$966,$H13&amp;"")&amp;"+"&amp;SUMIFS('Исходные данные'!$J$2:$J$966,'Исходные данные'!$D$2:$D$966,T$3,'Исходные данные'!$F$2:$F$966,$H13&amp;"")&amp;"="&amp;(SUMIFS('Исходные данные'!$I$2:$I$966,'Исходные данные'!$D$2:$D$966,T$3,'Исходные данные'!$F$2:$F$966,$H13&amp;"")+SUMIFS('Исходные данные'!$J$2:$J$966,'Исходные данные'!$D$2:$D$966,T$3,'Исходные данные'!$F$2:$F$966,$H13&amp;"")))))</f>
        <v>1</v>
      </c>
      <c r="U13" s="50" t="str">
        <f aca="false">IF(SUMIFS('Исходные данные'!$I$2:$I$966,'Исходные данные'!$D$2:$D$966,U$3,'Исходные данные'!$F$2:$F$966,$H13&amp;"")+SUMIFS('Исходные данные'!$J$2:$J$966,'Исходные данные'!$D$2:$D$966,U$3,'Исходные данные'!$F$2:$F$966,$H13&amp;"")=0,"",IF(SUMIFS('Исходные данные'!$J$2:$J$966,'Исходные данные'!$D$2:$D$966,U$3,'Исходные данные'!$F$2:$F$966,$H13&amp;"")=0,SUMIFS('Исходные данные'!$I$2:$I$966,'Исходные данные'!$D$2:$D$966,U$3,'Исходные данные'!$F$2:$F$966,$H13&amp;""),IF(SUMIFS('Исходные данные'!$I$2:$I$966,'Исходные данные'!$D$2:$D$966,U$3,'Исходные данные'!$F$2:$F$966,$H13&amp;"")=0,"0+"&amp;SUMIFS('Исходные данные'!$J$2:$J$966,'Исходные данные'!$D$2:$D$966,U$3,'Исходные данные'!$F$2:$F$966,$H13&amp;"")&amp;"="&amp;SUMIFS('Исходные данные'!$J$2:$J$966,'Исходные данные'!$D$2:$D$966,U$3,'Исходные данные'!$F$2:$F$966,$H13&amp;""),SUMIFS('Исходные данные'!$I$2:$I$966,'Исходные данные'!$D$2:$D$966,U$3,'Исходные данные'!$F$2:$F$966,$H13&amp;"")&amp;"+"&amp;SUMIFS('Исходные данные'!$J$2:$J$966,'Исходные данные'!$D$2:$D$966,U$3,'Исходные данные'!$F$2:$F$966,$H13&amp;"")&amp;"="&amp;(SUMIFS('Исходные данные'!$I$2:$I$966,'Исходные данные'!$D$2:$D$966,U$3,'Исходные данные'!$F$2:$F$966,$H13&amp;"")+SUMIFS('Исходные данные'!$J$2:$J$966,'Исходные данные'!$D$2:$D$966,U$3,'Исходные данные'!$F$2:$F$966,$H13&amp;"")))))</f>
        <v/>
      </c>
      <c r="V13" s="49" t="str">
        <f aca="false">IF(SUMIFS('Исходные данные'!$I$2:$I$966,'Исходные данные'!$D$2:$D$966,V$3,'Исходные данные'!$F$2:$F$966,$H13&amp;"")+SUMIFS('Исходные данные'!$J$2:$J$966,'Исходные данные'!$D$2:$D$966,V$3,'Исходные данные'!$F$2:$F$966,$H13&amp;"")=0,"",IF(SUMIFS('Исходные данные'!$J$2:$J$966,'Исходные данные'!$D$2:$D$966,V$3,'Исходные данные'!$F$2:$F$966,$H13&amp;"")=0,SUMIFS('Исходные данные'!$I$2:$I$966,'Исходные данные'!$D$2:$D$966,V$3,'Исходные данные'!$F$2:$F$966,$H13&amp;""),IF(SUMIFS('Исходные данные'!$I$2:$I$966,'Исходные данные'!$D$2:$D$966,V$3,'Исходные данные'!$F$2:$F$966,$H13&amp;"")=0,"0+"&amp;SUMIFS('Исходные данные'!$J$2:$J$966,'Исходные данные'!$D$2:$D$966,V$3,'Исходные данные'!$F$2:$F$966,$H13&amp;"")&amp;"="&amp;SUMIFS('Исходные данные'!$J$2:$J$966,'Исходные данные'!$D$2:$D$966,V$3,'Исходные данные'!$F$2:$F$966,$H13&amp;""),SUMIFS('Исходные данные'!$I$2:$I$966,'Исходные данные'!$D$2:$D$966,V$3,'Исходные данные'!$F$2:$F$966,$H13&amp;"")&amp;"+"&amp;SUMIFS('Исходные данные'!$J$2:$J$966,'Исходные данные'!$D$2:$D$966,V$3,'Исходные данные'!$F$2:$F$966,$H13&amp;"")&amp;"="&amp;(SUMIFS('Исходные данные'!$I$2:$I$966,'Исходные данные'!$D$2:$D$966,V$3,'Исходные данные'!$F$2:$F$966,$H13&amp;"")+SUMIFS('Исходные данные'!$J$2:$J$966,'Исходные данные'!$D$2:$D$966,V$3,'Исходные данные'!$F$2:$F$966,$H13&amp;"")))))</f>
        <v/>
      </c>
      <c r="W13" s="50" t="str">
        <f aca="false">IF(SUMIFS('Исходные данные'!$I$2:$I$966,'Исходные данные'!$D$2:$D$966,W$3,'Исходные данные'!$F$2:$F$966,$H13&amp;"")+SUMIFS('Исходные данные'!$J$2:$J$966,'Исходные данные'!$D$2:$D$966,W$3,'Исходные данные'!$F$2:$F$966,$H13&amp;"")=0,"",IF(SUMIFS('Исходные данные'!$J$2:$J$966,'Исходные данные'!$D$2:$D$966,W$3,'Исходные данные'!$F$2:$F$966,$H13&amp;"")=0,SUMIFS('Исходные данные'!$I$2:$I$966,'Исходные данные'!$D$2:$D$966,W$3,'Исходные данные'!$F$2:$F$966,$H13&amp;""),IF(SUMIFS('Исходные данные'!$I$2:$I$966,'Исходные данные'!$D$2:$D$966,W$3,'Исходные данные'!$F$2:$F$966,$H13&amp;"")=0,"0+"&amp;SUMIFS('Исходные данные'!$J$2:$J$966,'Исходные данные'!$D$2:$D$966,W$3,'Исходные данные'!$F$2:$F$966,$H13&amp;"")&amp;"="&amp;SUMIFS('Исходные данные'!$J$2:$J$966,'Исходные данные'!$D$2:$D$966,W$3,'Исходные данные'!$F$2:$F$966,$H13&amp;""),SUMIFS('Исходные данные'!$I$2:$I$966,'Исходные данные'!$D$2:$D$966,W$3,'Исходные данные'!$F$2:$F$966,$H13&amp;"")&amp;"+"&amp;SUMIFS('Исходные данные'!$J$2:$J$966,'Исходные данные'!$D$2:$D$966,W$3,'Исходные данные'!$F$2:$F$966,$H13&amp;"")&amp;"="&amp;(SUMIFS('Исходные данные'!$I$2:$I$966,'Исходные данные'!$D$2:$D$966,W$3,'Исходные данные'!$F$2:$F$966,$H13&amp;"")+SUMIFS('Исходные данные'!$J$2:$J$966,'Исходные данные'!$D$2:$D$966,W$3,'Исходные данные'!$F$2:$F$966,$H13&amp;"")))))</f>
        <v/>
      </c>
      <c r="X13" s="50" t="n">
        <f aca="false">IF(SUMIFS('Исходные данные'!$I$2:$I$966,'Исходные данные'!$D$2:$D$966,X$3,'Исходные данные'!$F$2:$F$966,$H13&amp;"")+SUMIFS('Исходные данные'!$J$2:$J$966,'Исходные данные'!$D$2:$D$966,X$3,'Исходные данные'!$F$2:$F$966,$H13&amp;"")=0,"",IF(SUMIFS('Исходные данные'!$J$2:$J$966,'Исходные данные'!$D$2:$D$966,X$3,'Исходные данные'!$F$2:$F$966,$H13&amp;"")=0,SUMIFS('Исходные данные'!$I$2:$I$966,'Исходные данные'!$D$2:$D$966,X$3,'Исходные данные'!$F$2:$F$966,$H13&amp;""),IF(SUMIFS('Исходные данные'!$I$2:$I$966,'Исходные данные'!$D$2:$D$966,X$3,'Исходные данные'!$F$2:$F$966,$H13&amp;"")=0,"0+"&amp;SUMIFS('Исходные данные'!$J$2:$J$966,'Исходные данные'!$D$2:$D$966,X$3,'Исходные данные'!$F$2:$F$966,$H13&amp;"")&amp;"="&amp;SUMIFS('Исходные данные'!$J$2:$J$966,'Исходные данные'!$D$2:$D$966,X$3,'Исходные данные'!$F$2:$F$966,$H13&amp;""),SUMIFS('Исходные данные'!$I$2:$I$966,'Исходные данные'!$D$2:$D$966,X$3,'Исходные данные'!$F$2:$F$966,$H13&amp;"")&amp;"+"&amp;SUMIFS('Исходные данные'!$J$2:$J$966,'Исходные данные'!$D$2:$D$966,X$3,'Исходные данные'!$F$2:$F$966,$H13&amp;"")&amp;"="&amp;(SUMIFS('Исходные данные'!$I$2:$I$966,'Исходные данные'!$D$2:$D$966,X$3,'Исходные данные'!$F$2:$F$966,$H13&amp;"")+SUMIFS('Исходные данные'!$J$2:$J$966,'Исходные данные'!$D$2:$D$966,X$3,'Исходные данные'!$F$2:$F$966,$H13&amp;"")))))</f>
        <v>1</v>
      </c>
      <c r="Y13" s="52" t="str">
        <f aca="false">IF(SUMIFS('Исходные данные'!$I$2:$I$966,'Исходные данные'!$D$2:$D$966,Y$3,'Исходные данные'!$F$2:$F$966,$H13&amp;"")+SUMIFS('Исходные данные'!$J$2:$J$966,'Исходные данные'!$D$2:$D$966,Y$3,'Исходные данные'!$F$2:$F$966,$H13&amp;"")=0,"",IF(SUMIFS('Исходные данные'!$J$2:$J$966,'Исходные данные'!$D$2:$D$966,Y$3,'Исходные данные'!$F$2:$F$966,$H13&amp;"")=0,SUMIFS('Исходные данные'!$I$2:$I$966,'Исходные данные'!$D$2:$D$966,Y$3,'Исходные данные'!$F$2:$F$966,$H13&amp;""),IF(SUMIFS('Исходные данные'!$I$2:$I$966,'Исходные данные'!$D$2:$D$966,Y$3,'Исходные данные'!$F$2:$F$966,$H13&amp;"")=0,"0+"&amp;SUMIFS('Исходные данные'!$J$2:$J$966,'Исходные данные'!$D$2:$D$966,Y$3,'Исходные данные'!$F$2:$F$966,$H13&amp;"")&amp;"="&amp;SUMIFS('Исходные данные'!$J$2:$J$966,'Исходные данные'!$D$2:$D$966,Y$3,'Исходные данные'!$F$2:$F$966,$H13&amp;""),SUMIFS('Исходные данные'!$I$2:$I$966,'Исходные данные'!$D$2:$D$966,Y$3,'Исходные данные'!$F$2:$F$966,$H13&amp;"")&amp;"+"&amp;SUMIFS('Исходные данные'!$J$2:$J$966,'Исходные данные'!$D$2:$D$966,Y$3,'Исходные данные'!$F$2:$F$966,$H13&amp;"")&amp;"="&amp;(SUMIFS('Исходные данные'!$I$2:$I$966,'Исходные данные'!$D$2:$D$966,Y$3,'Исходные данные'!$F$2:$F$966,$H13&amp;"")+SUMIFS('Исходные данные'!$J$2:$J$966,'Исходные данные'!$D$2:$D$966,Y$3,'Исходные данные'!$F$2:$F$966,$H13&amp;"")))))</f>
        <v/>
      </c>
      <c r="Z13" s="49" t="str">
        <f aca="false">IF(SUMIFS('Исходные данные'!$I$2:$I$966,'Исходные данные'!$D$2:$D$966,Z$3,'Исходные данные'!$F$2:$F$966,$H13&amp;"")+SUMIFS('Исходные данные'!$J$2:$J$966,'Исходные данные'!$D$2:$D$966,Z$3,'Исходные данные'!$F$2:$F$966,$H13&amp;"")=0,"",IF(SUMIFS('Исходные данные'!$J$2:$J$966,'Исходные данные'!$D$2:$D$966,Z$3,'Исходные данные'!$F$2:$F$966,$H13&amp;"")=0,SUMIFS('Исходные данные'!$I$2:$I$966,'Исходные данные'!$D$2:$D$966,Z$3,'Исходные данные'!$F$2:$F$966,$H13&amp;""),IF(SUMIFS('Исходные данные'!$I$2:$I$966,'Исходные данные'!$D$2:$D$966,Z$3,'Исходные данные'!$F$2:$F$966,$H13&amp;"")=0,"0+"&amp;SUMIFS('Исходные данные'!$J$2:$J$966,'Исходные данные'!$D$2:$D$966,Z$3,'Исходные данные'!$F$2:$F$966,$H13&amp;"")&amp;"="&amp;SUMIFS('Исходные данные'!$J$2:$J$966,'Исходные данные'!$D$2:$D$966,Z$3,'Исходные данные'!$F$2:$F$966,$H13&amp;""),SUMIFS('Исходные данные'!$I$2:$I$966,'Исходные данные'!$D$2:$D$966,Z$3,'Исходные данные'!$F$2:$F$966,$H13&amp;"")&amp;"+"&amp;SUMIFS('Исходные данные'!$J$2:$J$966,'Исходные данные'!$D$2:$D$966,Z$3,'Исходные данные'!$F$2:$F$966,$H13&amp;"")&amp;"="&amp;(SUMIFS('Исходные данные'!$I$2:$I$966,'Исходные данные'!$D$2:$D$966,Z$3,'Исходные данные'!$F$2:$F$966,$H13&amp;"")+SUMIFS('Исходные данные'!$J$2:$J$966,'Исходные данные'!$D$2:$D$966,Z$3,'Исходные данные'!$F$2:$F$966,$H13&amp;"")))))</f>
        <v/>
      </c>
      <c r="AA13" s="50" t="n">
        <f aca="false">IF(SUMIFS('Исходные данные'!$I$2:$I$966,'Исходные данные'!$D$2:$D$966,AA$3,'Исходные данные'!$F$2:$F$966,$H13&amp;"")+SUMIFS('Исходные данные'!$J$2:$J$966,'Исходные данные'!$D$2:$D$966,AA$3,'Исходные данные'!$F$2:$F$966,$H13&amp;"")=0,"",IF(SUMIFS('Исходные данные'!$J$2:$J$966,'Исходные данные'!$D$2:$D$966,AA$3,'Исходные данные'!$F$2:$F$966,$H13&amp;"")=0,SUMIFS('Исходные данные'!$I$2:$I$966,'Исходные данные'!$D$2:$D$966,AA$3,'Исходные данные'!$F$2:$F$966,$H13&amp;""),IF(SUMIFS('Исходные данные'!$I$2:$I$966,'Исходные данные'!$D$2:$D$966,AA$3,'Исходные данные'!$F$2:$F$966,$H13&amp;"")=0,"0+"&amp;SUMIFS('Исходные данные'!$J$2:$J$966,'Исходные данные'!$D$2:$D$966,AA$3,'Исходные данные'!$F$2:$F$966,$H13&amp;"")&amp;"="&amp;SUMIFS('Исходные данные'!$J$2:$J$966,'Исходные данные'!$D$2:$D$966,AA$3,'Исходные данные'!$F$2:$F$966,$H13&amp;""),SUMIFS('Исходные данные'!$I$2:$I$966,'Исходные данные'!$D$2:$D$966,AA$3,'Исходные данные'!$F$2:$F$966,$H13&amp;"")&amp;"+"&amp;SUMIFS('Исходные данные'!$J$2:$J$966,'Исходные данные'!$D$2:$D$966,AA$3,'Исходные данные'!$F$2:$F$966,$H13&amp;"")&amp;"="&amp;(SUMIFS('Исходные данные'!$I$2:$I$966,'Исходные данные'!$D$2:$D$966,AA$3,'Исходные данные'!$F$2:$F$966,$H13&amp;"")+SUMIFS('Исходные данные'!$J$2:$J$966,'Исходные данные'!$D$2:$D$966,AA$3,'Исходные данные'!$F$2:$F$966,$H13&amp;"")))))</f>
        <v>3</v>
      </c>
      <c r="AB13" s="50" t="str">
        <f aca="false">IF(SUMIFS('Исходные данные'!$I$2:$I$966,'Исходные данные'!$D$2:$D$966,AB$3,'Исходные данные'!$F$2:$F$966,$H13&amp;"")+SUMIFS('Исходные данные'!$J$2:$J$966,'Исходные данные'!$D$2:$D$966,AB$3,'Исходные данные'!$F$2:$F$966,$H13&amp;"")=0,"",IF(SUMIFS('Исходные данные'!$J$2:$J$966,'Исходные данные'!$D$2:$D$966,AB$3,'Исходные данные'!$F$2:$F$966,$H13&amp;"")=0,SUMIFS('Исходные данные'!$I$2:$I$966,'Исходные данные'!$D$2:$D$966,AB$3,'Исходные данные'!$F$2:$F$966,$H13&amp;""),IF(SUMIFS('Исходные данные'!$I$2:$I$966,'Исходные данные'!$D$2:$D$966,AB$3,'Исходные данные'!$F$2:$F$966,$H13&amp;"")=0,"0+"&amp;SUMIFS('Исходные данные'!$J$2:$J$966,'Исходные данные'!$D$2:$D$966,AB$3,'Исходные данные'!$F$2:$F$966,$H13&amp;"")&amp;"="&amp;SUMIFS('Исходные данные'!$J$2:$J$966,'Исходные данные'!$D$2:$D$966,AB$3,'Исходные данные'!$F$2:$F$966,$H13&amp;""),SUMIFS('Исходные данные'!$I$2:$I$966,'Исходные данные'!$D$2:$D$966,AB$3,'Исходные данные'!$F$2:$F$966,$H13&amp;"")&amp;"+"&amp;SUMIFS('Исходные данные'!$J$2:$J$966,'Исходные данные'!$D$2:$D$966,AB$3,'Исходные данные'!$F$2:$F$966,$H13&amp;"")&amp;"="&amp;(SUMIFS('Исходные данные'!$I$2:$I$966,'Исходные данные'!$D$2:$D$966,AB$3,'Исходные данные'!$F$2:$F$966,$H13&amp;"")+SUMIFS('Исходные данные'!$J$2:$J$966,'Исходные данные'!$D$2:$D$966,AB$3,'Исходные данные'!$F$2:$F$966,$H13&amp;"")))))</f>
        <v/>
      </c>
      <c r="AC13" s="52" t="str">
        <f aca="false">IF(SUMIFS('Исходные данные'!$I$2:$I$966,'Исходные данные'!$D$2:$D$966,AC$3,'Исходные данные'!$F$2:$F$966,$H13&amp;"")+SUMIFS('Исходные данные'!$J$2:$J$966,'Исходные данные'!$D$2:$D$966,AC$3,'Исходные данные'!$F$2:$F$966,$H13&amp;"")=0,"",IF(SUMIFS('Исходные данные'!$J$2:$J$966,'Исходные данные'!$D$2:$D$966,AC$3,'Исходные данные'!$F$2:$F$966,$H13&amp;"")=0,SUMIFS('Исходные данные'!$I$2:$I$966,'Исходные данные'!$D$2:$D$966,AC$3,'Исходные данные'!$F$2:$F$966,$H13&amp;""),IF(SUMIFS('Исходные данные'!$I$2:$I$966,'Исходные данные'!$D$2:$D$966,AC$3,'Исходные данные'!$F$2:$F$966,$H13&amp;"")=0,"0+"&amp;SUMIFS('Исходные данные'!$J$2:$J$966,'Исходные данные'!$D$2:$D$966,AC$3,'Исходные данные'!$F$2:$F$966,$H13&amp;"")&amp;"="&amp;SUMIFS('Исходные данные'!$J$2:$J$966,'Исходные данные'!$D$2:$D$966,AC$3,'Исходные данные'!$F$2:$F$966,$H13&amp;""),SUMIFS('Исходные данные'!$I$2:$I$966,'Исходные данные'!$D$2:$D$966,AC$3,'Исходные данные'!$F$2:$F$966,$H13&amp;"")&amp;"+"&amp;SUMIFS('Исходные данные'!$J$2:$J$966,'Исходные данные'!$D$2:$D$966,AC$3,'Исходные данные'!$F$2:$F$966,$H13&amp;"")&amp;"="&amp;(SUMIFS('Исходные данные'!$I$2:$I$966,'Исходные данные'!$D$2:$D$966,AC$3,'Исходные данные'!$F$2:$F$966,$H13&amp;"")+SUMIFS('Исходные данные'!$J$2:$J$966,'Исходные данные'!$D$2:$D$966,AC$3,'Исходные данные'!$F$2:$F$966,$H13&amp;"")))))</f>
        <v>4+4=8</v>
      </c>
      <c r="AD13" s="50" t="str">
        <f aca="false">IF(SUMIFS('Исходные данные'!$I$2:$I$966,'Исходные данные'!$D$2:$D$966,AD$3,'Исходные данные'!$F$2:$F$966,$H13&amp;"")+SUMIFS('Исходные данные'!$J$2:$J$966,'Исходные данные'!$D$2:$D$966,AD$3,'Исходные данные'!$F$2:$F$966,$H13&amp;"")=0,"",IF(SUMIFS('Исходные данные'!$J$2:$J$966,'Исходные данные'!$D$2:$D$966,AD$3,'Исходные данные'!$F$2:$F$966,$H13&amp;"")=0,SUMIFS('Исходные данные'!$I$2:$I$966,'Исходные данные'!$D$2:$D$966,AD$3,'Исходные данные'!$F$2:$F$966,$H13&amp;""),IF(SUMIFS('Исходные данные'!$I$2:$I$966,'Исходные данные'!$D$2:$D$966,AD$3,'Исходные данные'!$F$2:$F$966,$H13&amp;"")=0,"0+"&amp;SUMIFS('Исходные данные'!$J$2:$J$966,'Исходные данные'!$D$2:$D$966,AD$3,'Исходные данные'!$F$2:$F$966,$H13&amp;"")&amp;"="&amp;SUMIFS('Исходные данные'!$J$2:$J$966,'Исходные данные'!$D$2:$D$966,AD$3,'Исходные данные'!$F$2:$F$966,$H13&amp;""),SUMIFS('Исходные данные'!$I$2:$I$966,'Исходные данные'!$D$2:$D$966,AD$3,'Исходные данные'!$F$2:$F$966,$H13&amp;"")&amp;"+"&amp;SUMIFS('Исходные данные'!$J$2:$J$966,'Исходные данные'!$D$2:$D$966,AD$3,'Исходные данные'!$F$2:$F$966,$H13&amp;"")&amp;"="&amp;(SUMIFS('Исходные данные'!$I$2:$I$966,'Исходные данные'!$D$2:$D$966,AD$3,'Исходные данные'!$F$2:$F$966,$H13&amp;"")+SUMIFS('Исходные данные'!$J$2:$J$966,'Исходные данные'!$D$2:$D$966,AD$3,'Исходные данные'!$F$2:$F$966,$H13&amp;"")))))</f>
        <v>3+3=6</v>
      </c>
    </row>
    <row r="14" customFormat="false" ht="25.5" hidden="false" customHeight="true" outlineLevel="0" collapsed="false">
      <c r="A14" s="43" t="n">
        <v>12</v>
      </c>
      <c r="B14" s="28" t="s">
        <v>189</v>
      </c>
      <c r="C14" s="29" t="s">
        <v>20</v>
      </c>
      <c r="D14" s="30"/>
      <c r="E14" s="30" t="s">
        <v>190</v>
      </c>
      <c r="F14" s="30" t="s">
        <v>21</v>
      </c>
      <c r="G14" s="64"/>
      <c r="H14" s="32"/>
      <c r="I14" s="55"/>
      <c r="J14" s="56"/>
      <c r="K14" s="57"/>
      <c r="L14" s="58"/>
      <c r="M14" s="59"/>
      <c r="N14" s="59"/>
      <c r="O14" s="60" t="str">
        <f aca="false">IF(SUMIFS('Исходные данные'!$I$2:$I$966,'Исходные данные'!$D$2:$D$966,O$3,'Исходные данные'!$F$2:$F$966,$H15&amp;"",'Исходные данные'!$L$2:$L$966,"УТТ")+SUMIFS('Исходные данные'!$J$2:$J$966,'Исходные данные'!$D$2:$D$966,O$3,'Исходные данные'!$F$2:$F$966,$H15&amp;"",'Исходные данные'!$L$2:$L$966,"УТТ")=0,"","утт-"&amp;(SUMIFS('Исходные данные'!$I$2:$I$966,'Исходные данные'!$D$2:$D$966,O$3,'Исходные данные'!$F$2:$F$966,$H15&amp;"",'Исходные данные'!$L$2:$L$966,"УТТ")+SUMIFS('Исходные данные'!$J$2:$J$966,'Исходные данные'!$D$2:$D$966,O$3,'Исходные данные'!$F$2:$F$966,$H15&amp;"",'Исходные данные'!$L$2:$L$966,"УТТ")))</f>
        <v/>
      </c>
      <c r="P14" s="61" t="str">
        <f aca="false">IF(SUMIFS('Исходные данные'!$I$2:$I$966,'Исходные данные'!$D$2:$D$966,P$3,'Исходные данные'!$F$2:$F$966,$H15&amp;"",'Исходные данные'!$L$2:$L$966,"УТТ")+SUMIFS('Исходные данные'!$J$2:$J$966,'Исходные данные'!$D$2:$D$966,P$3,'Исходные данные'!$F$2:$F$966,$H15&amp;"",'Исходные данные'!$L$2:$L$966,"УТТ")=0,"","утт-"&amp;(SUMIFS('Исходные данные'!$I$2:$I$966,'Исходные данные'!$D$2:$D$966,P$3,'Исходные данные'!$F$2:$F$966,$H15&amp;"",'Исходные данные'!$L$2:$L$966,"УТТ")+SUMIFS('Исходные данные'!$J$2:$J$966,'Исходные данные'!$D$2:$D$966,P$3,'Исходные данные'!$F$2:$F$966,$H15&amp;"",'Исходные данные'!$L$2:$L$966,"УТТ")))</f>
        <v>утт-1</v>
      </c>
      <c r="Q14" s="60" t="str">
        <f aca="false">IF(SUMIFS('Исходные данные'!$I$2:$I$966,'Исходные данные'!$D$2:$D$966,Q$3,'Исходные данные'!$F$2:$F$966,$H15&amp;"",'Исходные данные'!$L$2:$L$966,"УТТ")+SUMIFS('Исходные данные'!$J$2:$J$966,'Исходные данные'!$D$2:$D$966,Q$3,'Исходные данные'!$F$2:$F$966,$H15&amp;"",'Исходные данные'!$L$2:$L$966,"УТТ")=0,"","утт-"&amp;(SUMIFS('Исходные данные'!$I$2:$I$966,'Исходные данные'!$D$2:$D$966,Q$3,'Исходные данные'!$F$2:$F$966,$H15&amp;"",'Исходные данные'!$L$2:$L$966,"УТТ")+SUMIFS('Исходные данные'!$J$2:$J$966,'Исходные данные'!$D$2:$D$966,Q$3,'Исходные данные'!$F$2:$F$966,$H15&amp;"",'Исходные данные'!$L$2:$L$966,"УТТ")))</f>
        <v/>
      </c>
      <c r="R14" s="62" t="str">
        <f aca="false">IF(SUMIFS('Исходные данные'!$I$2:$I$966,'Исходные данные'!$D$2:$D$966,R$3,'Исходные данные'!$F$2:$F$966,$H15&amp;"",'Исходные данные'!$L$2:$L$966,"УТТ")+SUMIFS('Исходные данные'!$J$2:$J$966,'Исходные данные'!$D$2:$D$966,R$3,'Исходные данные'!$F$2:$F$966,$H15&amp;"",'Исходные данные'!$L$2:$L$966,"УТТ")=0,"","утт-"&amp;(SUMIFS('Исходные данные'!$I$2:$I$966,'Исходные данные'!$D$2:$D$966,R$3,'Исходные данные'!$F$2:$F$966,$H15&amp;"",'Исходные данные'!$L$2:$L$966,"УТТ")+SUMIFS('Исходные данные'!$J$2:$J$966,'Исходные данные'!$D$2:$D$966,R$3,'Исходные данные'!$F$2:$F$966,$H15&amp;"",'Исходные данные'!$L$2:$L$966,"УТТ")))</f>
        <v/>
      </c>
      <c r="S14" s="61" t="str">
        <f aca="false">IF(SUMIFS('Исходные данные'!$I$2:$I$966,'Исходные данные'!$D$2:$D$966,S$3,'Исходные данные'!$F$2:$F$966,$H15&amp;"",'Исходные данные'!$L$2:$L$966,"УТТ")+SUMIFS('Исходные данные'!$J$2:$J$966,'Исходные данные'!$D$2:$D$966,S$3,'Исходные данные'!$F$2:$F$966,$H15&amp;"",'Исходные данные'!$L$2:$L$966,"УТТ")=0,"","утт-"&amp;(SUMIFS('Исходные данные'!$I$2:$I$966,'Исходные данные'!$D$2:$D$966,S$3,'Исходные данные'!$F$2:$F$966,$H15&amp;"",'Исходные данные'!$L$2:$L$966,"УТТ")+SUMIFS('Исходные данные'!$J$2:$J$966,'Исходные данные'!$D$2:$D$966,S$3,'Исходные данные'!$F$2:$F$966,$H15&amp;"",'Исходные данные'!$L$2:$L$966,"УТТ")))</f>
        <v/>
      </c>
      <c r="T14" s="60" t="str">
        <f aca="false">IF(SUMIFS('Исходные данные'!$I$2:$I$966,'Исходные данные'!$D$2:$D$966,T$3,'Исходные данные'!$F$2:$F$966,$H15&amp;"",'Исходные данные'!$L$2:$L$966,"УТТ")+SUMIFS('Исходные данные'!$J$2:$J$966,'Исходные данные'!$D$2:$D$966,T$3,'Исходные данные'!$F$2:$F$966,$H15&amp;"",'Исходные данные'!$L$2:$L$966,"УТТ")=0,"","утт-"&amp;(SUMIFS('Исходные данные'!$I$2:$I$966,'Исходные данные'!$D$2:$D$966,T$3,'Исходные данные'!$F$2:$F$966,$H15&amp;"",'Исходные данные'!$L$2:$L$966,"УТТ")+SUMIFS('Исходные данные'!$J$2:$J$966,'Исходные данные'!$D$2:$D$966,T$3,'Исходные данные'!$F$2:$F$966,$H15&amp;"",'Исходные данные'!$L$2:$L$966,"УТТ")))</f>
        <v/>
      </c>
      <c r="U14" s="61" t="str">
        <f aca="false">IF(SUMIFS('Исходные данные'!$I$2:$I$966,'Исходные данные'!$D$2:$D$966,U$3,'Исходные данные'!$F$2:$F$966,$H15&amp;"",'Исходные данные'!$L$2:$L$966,"УТТ")+SUMIFS('Исходные данные'!$J$2:$J$966,'Исходные данные'!$D$2:$D$966,U$3,'Исходные данные'!$F$2:$F$966,$H15&amp;"",'Исходные данные'!$L$2:$L$966,"УТТ")=0,"","утт-"&amp;(SUMIFS('Исходные данные'!$I$2:$I$966,'Исходные данные'!$D$2:$D$966,U$3,'Исходные данные'!$F$2:$F$966,$H15&amp;"",'Исходные данные'!$L$2:$L$966,"УТТ")+SUMIFS('Исходные данные'!$J$2:$J$966,'Исходные данные'!$D$2:$D$966,U$3,'Исходные данные'!$F$2:$F$966,$H15&amp;"",'Исходные данные'!$L$2:$L$966,"УТТ")))</f>
        <v/>
      </c>
      <c r="V14" s="60" t="str">
        <f aca="false">IF(SUMIFS('Исходные данные'!$I$2:$I$966,'Исходные данные'!$D$2:$D$966,V$3,'Исходные данные'!$F$2:$F$966,$H15&amp;"",'Исходные данные'!$L$2:$L$966,"УТТ")+SUMIFS('Исходные данные'!$J$2:$J$966,'Исходные данные'!$D$2:$D$966,V$3,'Исходные данные'!$F$2:$F$966,$H15&amp;"",'Исходные данные'!$L$2:$L$966,"УТТ")=0,"","утт-"&amp;(SUMIFS('Исходные данные'!$I$2:$I$966,'Исходные данные'!$D$2:$D$966,V$3,'Исходные данные'!$F$2:$F$966,$H15&amp;"",'Исходные данные'!$L$2:$L$966,"УТТ")+SUMIFS('Исходные данные'!$J$2:$J$966,'Исходные данные'!$D$2:$D$966,V$3,'Исходные данные'!$F$2:$F$966,$H15&amp;"",'Исходные данные'!$L$2:$L$966,"УТТ")))</f>
        <v/>
      </c>
      <c r="W14" s="61" t="str">
        <f aca="false">IF(SUMIFS('Исходные данные'!$I$2:$I$966,'Исходные данные'!$D$2:$D$966,W$3,'Исходные данные'!$F$2:$F$966,$H15&amp;"",'Исходные данные'!$L$2:$L$966,"УТТ")+SUMIFS('Исходные данные'!$J$2:$J$966,'Исходные данные'!$D$2:$D$966,W$3,'Исходные данные'!$F$2:$F$966,$H15&amp;"",'Исходные данные'!$L$2:$L$966,"УТТ")=0,"","утт-"&amp;(SUMIFS('Исходные данные'!$I$2:$I$966,'Исходные данные'!$D$2:$D$966,W$3,'Исходные данные'!$F$2:$F$966,$H15&amp;"",'Исходные данные'!$L$2:$L$966,"УТТ")+SUMIFS('Исходные данные'!$J$2:$J$966,'Исходные данные'!$D$2:$D$966,W$3,'Исходные данные'!$F$2:$F$966,$H15&amp;"",'Исходные данные'!$L$2:$L$966,"УТТ")))</f>
        <v>утт-1</v>
      </c>
      <c r="X14" s="61" t="str">
        <f aca="false">IF(SUMIFS('Исходные данные'!$I$2:$I$966,'Исходные данные'!$D$2:$D$966,X$3,'Исходные данные'!$F$2:$F$966,$H15&amp;"",'Исходные данные'!$L$2:$L$966,"УТТ")+SUMIFS('Исходные данные'!$J$2:$J$966,'Исходные данные'!$D$2:$D$966,X$3,'Исходные данные'!$F$2:$F$966,$H15&amp;"",'Исходные данные'!$L$2:$L$966,"УТТ")=0,"","утт-"&amp;(SUMIFS('Исходные данные'!$I$2:$I$966,'Исходные данные'!$D$2:$D$966,X$3,'Исходные данные'!$F$2:$F$966,$H15&amp;"",'Исходные данные'!$L$2:$L$966,"УТТ")+SUMIFS('Исходные данные'!$J$2:$J$966,'Исходные данные'!$D$2:$D$966,X$3,'Исходные данные'!$F$2:$F$966,$H15&amp;"",'Исходные данные'!$L$2:$L$966,"УТТ")))</f>
        <v/>
      </c>
      <c r="Y14" s="63" t="str">
        <f aca="false">IF(SUMIFS('Исходные данные'!$I$2:$I$966,'Исходные данные'!$D$2:$D$966,Y$3,'Исходные данные'!$F$2:$F$966,$H15&amp;"",'Исходные данные'!$L$2:$L$966,"УТТ")+SUMIFS('Исходные данные'!$J$2:$J$966,'Исходные данные'!$D$2:$D$966,Y$3,'Исходные данные'!$F$2:$F$966,$H15&amp;"",'Исходные данные'!$L$2:$L$966,"УТТ")=0,"","утт-"&amp;(SUMIFS('Исходные данные'!$I$2:$I$966,'Исходные данные'!$D$2:$D$966,Y$3,'Исходные данные'!$F$2:$F$966,$H15&amp;"",'Исходные данные'!$L$2:$L$966,"УТТ")+SUMIFS('Исходные данные'!$J$2:$J$966,'Исходные данные'!$D$2:$D$966,Y$3,'Исходные данные'!$F$2:$F$966,$H15&amp;"",'Исходные данные'!$L$2:$L$966,"УТТ")))</f>
        <v/>
      </c>
      <c r="Z14" s="60" t="str">
        <f aca="false">IF(SUMIFS('Исходные данные'!$I$2:$I$966,'Исходные данные'!$D$2:$D$966,Z$3,'Исходные данные'!$F$2:$F$966,$H15&amp;"",'Исходные данные'!$L$2:$L$966,"УТТ")+SUMIFS('Исходные данные'!$J$2:$J$966,'Исходные данные'!$D$2:$D$966,Z$3,'Исходные данные'!$F$2:$F$966,$H15&amp;"",'Исходные данные'!$L$2:$L$966,"УТТ")=0,"","утт-"&amp;(SUMIFS('Исходные данные'!$I$2:$I$966,'Исходные данные'!$D$2:$D$966,Z$3,'Исходные данные'!$F$2:$F$966,$H15&amp;"",'Исходные данные'!$L$2:$L$966,"УТТ")+SUMIFS('Исходные данные'!$J$2:$J$966,'Исходные данные'!$D$2:$D$966,Z$3,'Исходные данные'!$F$2:$F$966,$H15&amp;"",'Исходные данные'!$L$2:$L$966,"УТТ")))</f>
        <v/>
      </c>
      <c r="AA14" s="61" t="str">
        <f aca="false">IF(SUMIFS('Исходные данные'!$I$2:$I$966,'Исходные данные'!$D$2:$D$966,AA$3,'Исходные данные'!$F$2:$F$966,$H15&amp;"",'Исходные данные'!$L$2:$L$966,"УТТ")+SUMIFS('Исходные данные'!$J$2:$J$966,'Исходные данные'!$D$2:$D$966,AA$3,'Исходные данные'!$F$2:$F$966,$H15&amp;"",'Исходные данные'!$L$2:$L$966,"УТТ")=0,"","утт-"&amp;(SUMIFS('Исходные данные'!$I$2:$I$966,'Исходные данные'!$D$2:$D$966,AA$3,'Исходные данные'!$F$2:$F$966,$H15&amp;"",'Исходные данные'!$L$2:$L$966,"УТТ")+SUMIFS('Исходные данные'!$J$2:$J$966,'Исходные данные'!$D$2:$D$966,AA$3,'Исходные данные'!$F$2:$F$966,$H15&amp;"",'Исходные данные'!$L$2:$L$966,"УТТ")))</f>
        <v/>
      </c>
      <c r="AB14" s="61" t="str">
        <f aca="false">IF(SUMIFS('Исходные данные'!$I$2:$I$966,'Исходные данные'!$D$2:$D$966,AB$3,'Исходные данные'!$F$2:$F$966,$H15&amp;"",'Исходные данные'!$L$2:$L$966,"УТТ")+SUMIFS('Исходные данные'!$J$2:$J$966,'Исходные данные'!$D$2:$D$966,AB$3,'Исходные данные'!$F$2:$F$966,$H15&amp;"",'Исходные данные'!$L$2:$L$966,"УТТ")=0,"","утт-"&amp;(SUMIFS('Исходные данные'!$I$2:$I$966,'Исходные данные'!$D$2:$D$966,AB$3,'Исходные данные'!$F$2:$F$966,$H15&amp;"",'Исходные данные'!$L$2:$L$966,"УТТ")+SUMIFS('Исходные данные'!$J$2:$J$966,'Исходные данные'!$D$2:$D$966,AB$3,'Исходные данные'!$F$2:$F$966,$H15&amp;"",'Исходные данные'!$L$2:$L$966,"УТТ")))</f>
        <v/>
      </c>
      <c r="AC14" s="60" t="str">
        <f aca="false">IF(SUMIFS('Исходные данные'!$I$2:$I$966,'Исходные данные'!$D$2:$D$966,AC$3,'Исходные данные'!$F$2:$F$966,$H15&amp;"",'Исходные данные'!$L$2:$L$966,"УТТ")+SUMIFS('Исходные данные'!$J$2:$J$966,'Исходные данные'!$D$2:$D$966,AC$3,'Исходные данные'!$F$2:$F$966,$H15&amp;"",'Исходные данные'!$L$2:$L$966,"УТТ")=0,"","утт-"&amp;(SUMIFS('Исходные данные'!$I$2:$I$966,'Исходные данные'!$D$2:$D$966,AC$3,'Исходные данные'!$F$2:$F$966,$H15&amp;"",'Исходные данные'!$L$2:$L$966,"УТТ")+SUMIFS('Исходные данные'!$J$2:$J$966,'Исходные данные'!$D$2:$D$966,AC$3,'Исходные данные'!$F$2:$F$966,$H15&amp;"",'Исходные данные'!$L$2:$L$966,"УТТ")))</f>
        <v/>
      </c>
      <c r="AD14" s="61" t="str">
        <f aca="false">IF(SUMIFS('Исходные данные'!$I$2:$I$966,'Исходные данные'!$D$2:$D$966,AD$3,'Исходные данные'!$F$2:$F$966,$H15&amp;"",'Исходные данные'!$L$2:$L$966,"УТТ")+SUMIFS('Исходные данные'!$J$2:$J$966,'Исходные данные'!$D$2:$D$966,AD$3,'Исходные данные'!$F$2:$F$966,$H15&amp;"",'Исходные данные'!$L$2:$L$966,"УТТ")=0,"","утт-"&amp;(SUMIFS('Исходные данные'!$I$2:$I$966,'Исходные данные'!$D$2:$D$966,AD$3,'Исходные данные'!$F$2:$F$966,$H15&amp;"",'Исходные данные'!$L$2:$L$966,"УТТ")+SUMIFS('Исходные данные'!$J$2:$J$966,'Исходные данные'!$D$2:$D$966,AD$3,'Исходные данные'!$F$2:$F$966,$H15&amp;"",'Исходные данные'!$L$2:$L$966,"УТТ")))</f>
        <v>утт-3</v>
      </c>
    </row>
    <row r="15" customFormat="false" ht="25.5" hidden="false" customHeight="true" outlineLevel="0" collapsed="false">
      <c r="A15" s="27" t="n">
        <v>13</v>
      </c>
      <c r="B15" s="28" t="s">
        <v>191</v>
      </c>
      <c r="C15" s="29" t="s">
        <v>20</v>
      </c>
      <c r="D15" s="30"/>
      <c r="E15" s="30" t="s">
        <v>192</v>
      </c>
      <c r="F15" s="30" t="s">
        <v>21</v>
      </c>
      <c r="G15" s="64"/>
      <c r="H15" s="32" t="n">
        <v>27</v>
      </c>
      <c r="I15" s="44" t="s">
        <v>193</v>
      </c>
      <c r="J15" s="45" t="n">
        <f aca="false">IFERROR(INDEX('Выход ТС'!$C:$C,MATCH($H15&amp;"",'Выход ТС'!$A:$A,0)),"")</f>
        <v>19</v>
      </c>
      <c r="K15" s="46" t="n">
        <f aca="false">IFERROR(INDEX('Выход ТС'!$D:$D,MATCH($H15&amp;"",'Выход ТС'!$A:$A,0)),"")</f>
        <v>19</v>
      </c>
      <c r="L15" s="47" t="n">
        <f aca="false">IFERROR(INDEX('Выход ТС'!$E:$E,MATCH($H15&amp;"",'Выход ТС'!$A:$A,0)),"")</f>
        <v>0</v>
      </c>
      <c r="M15" s="48" t="n">
        <f aca="false">IFERROR(IF(INDEX('Выход ТС'!$F:$F,MATCH($H15&amp;"",'Выход ТС'!$A:$A,0))=0,"",INDEX('Выход ТС'!$F:$F,MATCH($H15&amp;"",'Выход ТС'!$A:$A,0))),"")</f>
        <v>14</v>
      </c>
      <c r="N15" s="48" t="n">
        <f aca="false">IFERROR(IF(INDEX('Выход ТС'!$G:$G,MATCH($H15&amp;"",'Выход ТС'!$A:$A,0))=0,"",INDEX('Выход ТС'!$G:$G,MATCH($H15&amp;"",'Выход ТС'!$A:$A,0))),"")</f>
        <v>5</v>
      </c>
      <c r="O15" s="52" t="n">
        <f aca="false">IF(SUMIFS('Исходные данные'!$I$2:$I$966,'Исходные данные'!$D$2:$D$966,O$3,'Исходные данные'!$F$2:$F$966,$H15&amp;"")+SUMIFS('Исходные данные'!$J$2:$J$966,'Исходные данные'!$D$2:$D$966,O$3,'Исходные данные'!$F$2:$F$966,$H15&amp;"")=0,"",IF(SUMIFS('Исходные данные'!$J$2:$J$966,'Исходные данные'!$D$2:$D$966,O$3,'Исходные данные'!$F$2:$F$966,$H15&amp;"")=0,SUMIFS('Исходные данные'!$I$2:$I$966,'Исходные данные'!$D$2:$D$966,O$3,'Исходные данные'!$F$2:$F$966,$H15&amp;""),IF(SUMIFS('Исходные данные'!$I$2:$I$966,'Исходные данные'!$D$2:$D$966,O$3,'Исходные данные'!$F$2:$F$966,$H15&amp;"")=0,"0+"&amp;SUMIFS('Исходные данные'!$J$2:$J$966,'Исходные данные'!$D$2:$D$966,O$3,'Исходные данные'!$F$2:$F$966,$H15&amp;"")&amp;"="&amp;SUMIFS('Исходные данные'!$J$2:$J$966,'Исходные данные'!$D$2:$D$966,O$3,'Исходные данные'!$F$2:$F$966,$H15&amp;""),SUMIFS('Исходные данные'!$I$2:$I$966,'Исходные данные'!$D$2:$D$966,O$3,'Исходные данные'!$F$2:$F$966,$H15&amp;"")&amp;"+"&amp;SUMIFS('Исходные данные'!$J$2:$J$966,'Исходные данные'!$D$2:$D$966,O$3,'Исходные данные'!$F$2:$F$966,$H15&amp;"")&amp;"="&amp;(SUMIFS('Исходные данные'!$I$2:$I$966,'Исходные данные'!$D$2:$D$966,O$3,'Исходные данные'!$F$2:$F$966,$H15&amp;"")+SUMIFS('Исходные данные'!$J$2:$J$966,'Исходные данные'!$D$2:$D$966,O$3,'Исходные данные'!$F$2:$F$966,$H15&amp;"")))))</f>
        <v>1</v>
      </c>
      <c r="P15" s="50" t="n">
        <f aca="false">IF(SUMIFS('Исходные данные'!$I$2:$I$966,'Исходные данные'!$D$2:$D$966,P$3,'Исходные данные'!$F$2:$F$966,$H15&amp;"")+SUMIFS('Исходные данные'!$J$2:$J$966,'Исходные данные'!$D$2:$D$966,P$3,'Исходные данные'!$F$2:$F$966,$H15&amp;"")=0,"",IF(SUMIFS('Исходные данные'!$J$2:$J$966,'Исходные данные'!$D$2:$D$966,P$3,'Исходные данные'!$F$2:$F$966,$H15&amp;"")=0,SUMIFS('Исходные данные'!$I$2:$I$966,'Исходные данные'!$D$2:$D$966,P$3,'Исходные данные'!$F$2:$F$966,$H15&amp;""),IF(SUMIFS('Исходные данные'!$I$2:$I$966,'Исходные данные'!$D$2:$D$966,P$3,'Исходные данные'!$F$2:$F$966,$H15&amp;"")=0,"0+"&amp;SUMIFS('Исходные данные'!$J$2:$J$966,'Исходные данные'!$D$2:$D$966,P$3,'Исходные данные'!$F$2:$F$966,$H15&amp;"")&amp;"="&amp;SUMIFS('Исходные данные'!$J$2:$J$966,'Исходные данные'!$D$2:$D$966,P$3,'Исходные данные'!$F$2:$F$966,$H15&amp;""),SUMIFS('Исходные данные'!$I$2:$I$966,'Исходные данные'!$D$2:$D$966,P$3,'Исходные данные'!$F$2:$F$966,$H15&amp;"")&amp;"+"&amp;SUMIFS('Исходные данные'!$J$2:$J$966,'Исходные данные'!$D$2:$D$966,P$3,'Исходные данные'!$F$2:$F$966,$H15&amp;"")&amp;"="&amp;(SUMIFS('Исходные данные'!$I$2:$I$966,'Исходные данные'!$D$2:$D$966,P$3,'Исходные данные'!$F$2:$F$966,$H15&amp;"")+SUMIFS('Исходные данные'!$J$2:$J$966,'Исходные данные'!$D$2:$D$966,P$3,'Исходные данные'!$F$2:$F$966,$H15&amp;"")))))</f>
        <v>1</v>
      </c>
      <c r="Q15" s="49" t="n">
        <f aca="false">IF(SUMIFS('Исходные данные'!$I$2:$I$966,'Исходные данные'!$D$2:$D$966,Q$3,'Исходные данные'!$F$2:$F$966,$H15&amp;"")+SUMIFS('Исходные данные'!$J$2:$J$966,'Исходные данные'!$D$2:$D$966,Q$3,'Исходные данные'!$F$2:$F$966,$H15&amp;"")=0,"",IF(SUMIFS('Исходные данные'!$J$2:$J$966,'Исходные данные'!$D$2:$D$966,Q$3,'Исходные данные'!$F$2:$F$966,$H15&amp;"")=0,SUMIFS('Исходные данные'!$I$2:$I$966,'Исходные данные'!$D$2:$D$966,Q$3,'Исходные данные'!$F$2:$F$966,$H15&amp;""),IF(SUMIFS('Исходные данные'!$I$2:$I$966,'Исходные данные'!$D$2:$D$966,Q$3,'Исходные данные'!$F$2:$F$966,$H15&amp;"")=0,"0+"&amp;SUMIFS('Исходные данные'!$J$2:$J$966,'Исходные данные'!$D$2:$D$966,Q$3,'Исходные данные'!$F$2:$F$966,$H15&amp;"")&amp;"="&amp;SUMIFS('Исходные данные'!$J$2:$J$966,'Исходные данные'!$D$2:$D$966,Q$3,'Исходные данные'!$F$2:$F$966,$H15&amp;""),SUMIFS('Исходные данные'!$I$2:$I$966,'Исходные данные'!$D$2:$D$966,Q$3,'Исходные данные'!$F$2:$F$966,$H15&amp;"")&amp;"+"&amp;SUMIFS('Исходные данные'!$J$2:$J$966,'Исходные данные'!$D$2:$D$966,Q$3,'Исходные данные'!$F$2:$F$966,$H15&amp;"")&amp;"="&amp;(SUMIFS('Исходные данные'!$I$2:$I$966,'Исходные данные'!$D$2:$D$966,Q$3,'Исходные данные'!$F$2:$F$966,$H15&amp;"")+SUMIFS('Исходные данные'!$J$2:$J$966,'Исходные данные'!$D$2:$D$966,Q$3,'Исходные данные'!$F$2:$F$966,$H15&amp;"")))))</f>
        <v>1</v>
      </c>
      <c r="R15" s="51" t="str">
        <f aca="false">IF(SUMIFS('Исходные данные'!$I$2:$I$966,'Исходные данные'!$D$2:$D$966,R$3,'Исходные данные'!$F$2:$F$966,$H15&amp;"")+SUMIFS('Исходные данные'!$J$2:$J$966,'Исходные данные'!$D$2:$D$966,R$3,'Исходные данные'!$F$2:$F$966,$H15&amp;"")=0,"",IF(SUMIFS('Исходные данные'!$J$2:$J$966,'Исходные данные'!$D$2:$D$966,R$3,'Исходные данные'!$F$2:$F$966,$H15&amp;"")=0,SUMIFS('Исходные данные'!$I$2:$I$966,'Исходные данные'!$D$2:$D$966,R$3,'Исходные данные'!$F$2:$F$966,$H15&amp;""),IF(SUMIFS('Исходные данные'!$I$2:$I$966,'Исходные данные'!$D$2:$D$966,R$3,'Исходные данные'!$F$2:$F$966,$H15&amp;"")=0,"0+"&amp;SUMIFS('Исходные данные'!$J$2:$J$966,'Исходные данные'!$D$2:$D$966,R$3,'Исходные данные'!$F$2:$F$966,$H15&amp;"")&amp;"="&amp;SUMIFS('Исходные данные'!$J$2:$J$966,'Исходные данные'!$D$2:$D$966,R$3,'Исходные данные'!$F$2:$F$966,$H15&amp;""),SUMIFS('Исходные данные'!$I$2:$I$966,'Исходные данные'!$D$2:$D$966,R$3,'Исходные данные'!$F$2:$F$966,$H15&amp;"")&amp;"+"&amp;SUMIFS('Исходные данные'!$J$2:$J$966,'Исходные данные'!$D$2:$D$966,R$3,'Исходные данные'!$F$2:$F$966,$H15&amp;"")&amp;"="&amp;(SUMIFS('Исходные данные'!$I$2:$I$966,'Исходные данные'!$D$2:$D$966,R$3,'Исходные данные'!$F$2:$F$966,$H15&amp;"")+SUMIFS('Исходные данные'!$J$2:$J$966,'Исходные данные'!$D$2:$D$966,R$3,'Исходные данные'!$F$2:$F$966,$H15&amp;"")))))</f>
        <v/>
      </c>
      <c r="S15" s="50" t="n">
        <f aca="false">IF(SUMIFS('Исходные данные'!$I$2:$I$966,'Исходные данные'!$D$2:$D$966,S$3,'Исходные данные'!$F$2:$F$966,$H15&amp;"")+SUMIFS('Исходные данные'!$J$2:$J$966,'Исходные данные'!$D$2:$D$966,S$3,'Исходные данные'!$F$2:$F$966,$H15&amp;"")=0,"",IF(SUMIFS('Исходные данные'!$J$2:$J$966,'Исходные данные'!$D$2:$D$966,S$3,'Исходные данные'!$F$2:$F$966,$H15&amp;"")=0,SUMIFS('Исходные данные'!$I$2:$I$966,'Исходные данные'!$D$2:$D$966,S$3,'Исходные данные'!$F$2:$F$966,$H15&amp;""),IF(SUMIFS('Исходные данные'!$I$2:$I$966,'Исходные данные'!$D$2:$D$966,S$3,'Исходные данные'!$F$2:$F$966,$H15&amp;"")=0,"0+"&amp;SUMIFS('Исходные данные'!$J$2:$J$966,'Исходные данные'!$D$2:$D$966,S$3,'Исходные данные'!$F$2:$F$966,$H15&amp;"")&amp;"="&amp;SUMIFS('Исходные данные'!$J$2:$J$966,'Исходные данные'!$D$2:$D$966,S$3,'Исходные данные'!$F$2:$F$966,$H15&amp;""),SUMIFS('Исходные данные'!$I$2:$I$966,'Исходные данные'!$D$2:$D$966,S$3,'Исходные данные'!$F$2:$F$966,$H15&amp;"")&amp;"+"&amp;SUMIFS('Исходные данные'!$J$2:$J$966,'Исходные данные'!$D$2:$D$966,S$3,'Исходные данные'!$F$2:$F$966,$H15&amp;"")&amp;"="&amp;(SUMIFS('Исходные данные'!$I$2:$I$966,'Исходные данные'!$D$2:$D$966,S$3,'Исходные данные'!$F$2:$F$966,$H15&amp;"")+SUMIFS('Исходные данные'!$J$2:$J$966,'Исходные данные'!$D$2:$D$966,S$3,'Исходные данные'!$F$2:$F$966,$H15&amp;"")))))</f>
        <v>1</v>
      </c>
      <c r="T15" s="49" t="n">
        <f aca="false">IF(SUMIFS('Исходные данные'!$I$2:$I$966,'Исходные данные'!$D$2:$D$966,T$3,'Исходные данные'!$F$2:$F$966,$H15&amp;"")+SUMIFS('Исходные данные'!$J$2:$J$966,'Исходные данные'!$D$2:$D$966,T$3,'Исходные данные'!$F$2:$F$966,$H15&amp;"")=0,"",IF(SUMIFS('Исходные данные'!$J$2:$J$966,'Исходные данные'!$D$2:$D$966,T$3,'Исходные данные'!$F$2:$F$966,$H15&amp;"")=0,SUMIFS('Исходные данные'!$I$2:$I$966,'Исходные данные'!$D$2:$D$966,T$3,'Исходные данные'!$F$2:$F$966,$H15&amp;""),IF(SUMIFS('Исходные данные'!$I$2:$I$966,'Исходные данные'!$D$2:$D$966,T$3,'Исходные данные'!$F$2:$F$966,$H15&amp;"")=0,"0+"&amp;SUMIFS('Исходные данные'!$J$2:$J$966,'Исходные данные'!$D$2:$D$966,T$3,'Исходные данные'!$F$2:$F$966,$H15&amp;"")&amp;"="&amp;SUMIFS('Исходные данные'!$J$2:$J$966,'Исходные данные'!$D$2:$D$966,T$3,'Исходные данные'!$F$2:$F$966,$H15&amp;""),SUMIFS('Исходные данные'!$I$2:$I$966,'Исходные данные'!$D$2:$D$966,T$3,'Исходные данные'!$F$2:$F$966,$H15&amp;"")&amp;"+"&amp;SUMIFS('Исходные данные'!$J$2:$J$966,'Исходные данные'!$D$2:$D$966,T$3,'Исходные данные'!$F$2:$F$966,$H15&amp;"")&amp;"="&amp;(SUMIFS('Исходные данные'!$I$2:$I$966,'Исходные данные'!$D$2:$D$966,T$3,'Исходные данные'!$F$2:$F$966,$H15&amp;"")+SUMIFS('Исходные данные'!$J$2:$J$966,'Исходные данные'!$D$2:$D$966,T$3,'Исходные данные'!$F$2:$F$966,$H15&amp;"")))))</f>
        <v>1</v>
      </c>
      <c r="U15" s="50" t="str">
        <f aca="false">IF(SUMIFS('Исходные данные'!$I$2:$I$966,'Исходные данные'!$D$2:$D$966,U$3,'Исходные данные'!$F$2:$F$966,$H15&amp;"")+SUMIFS('Исходные данные'!$J$2:$J$966,'Исходные данные'!$D$2:$D$966,U$3,'Исходные данные'!$F$2:$F$966,$H15&amp;"")=0,"",IF(SUMIFS('Исходные данные'!$J$2:$J$966,'Исходные данные'!$D$2:$D$966,U$3,'Исходные данные'!$F$2:$F$966,$H15&amp;"")=0,SUMIFS('Исходные данные'!$I$2:$I$966,'Исходные данные'!$D$2:$D$966,U$3,'Исходные данные'!$F$2:$F$966,$H15&amp;""),IF(SUMIFS('Исходные данные'!$I$2:$I$966,'Исходные данные'!$D$2:$D$966,U$3,'Исходные данные'!$F$2:$F$966,$H15&amp;"")=0,"0+"&amp;SUMIFS('Исходные данные'!$J$2:$J$966,'Исходные данные'!$D$2:$D$966,U$3,'Исходные данные'!$F$2:$F$966,$H15&amp;"")&amp;"="&amp;SUMIFS('Исходные данные'!$J$2:$J$966,'Исходные данные'!$D$2:$D$966,U$3,'Исходные данные'!$F$2:$F$966,$H15&amp;""),SUMIFS('Исходные данные'!$I$2:$I$966,'Исходные данные'!$D$2:$D$966,U$3,'Исходные данные'!$F$2:$F$966,$H15&amp;"")&amp;"+"&amp;SUMIFS('Исходные данные'!$J$2:$J$966,'Исходные данные'!$D$2:$D$966,U$3,'Исходные данные'!$F$2:$F$966,$H15&amp;"")&amp;"="&amp;(SUMIFS('Исходные данные'!$I$2:$I$966,'Исходные данные'!$D$2:$D$966,U$3,'Исходные данные'!$F$2:$F$966,$H15&amp;"")+SUMIFS('Исходные данные'!$J$2:$J$966,'Исходные данные'!$D$2:$D$966,U$3,'Исходные данные'!$F$2:$F$966,$H15&amp;"")))))</f>
        <v/>
      </c>
      <c r="V15" s="49" t="n">
        <f aca="false">IF(SUMIFS('Исходные данные'!$I$2:$I$966,'Исходные данные'!$D$2:$D$966,V$3,'Исходные данные'!$F$2:$F$966,$H15&amp;"")+SUMIFS('Исходные данные'!$J$2:$J$966,'Исходные данные'!$D$2:$D$966,V$3,'Исходные данные'!$F$2:$F$966,$H15&amp;"")=0,"",IF(SUMIFS('Исходные данные'!$J$2:$J$966,'Исходные данные'!$D$2:$D$966,V$3,'Исходные данные'!$F$2:$F$966,$H15&amp;"")=0,SUMIFS('Исходные данные'!$I$2:$I$966,'Исходные данные'!$D$2:$D$966,V$3,'Исходные данные'!$F$2:$F$966,$H15&amp;""),IF(SUMIFS('Исходные данные'!$I$2:$I$966,'Исходные данные'!$D$2:$D$966,V$3,'Исходные данные'!$F$2:$F$966,$H15&amp;"")=0,"0+"&amp;SUMIFS('Исходные данные'!$J$2:$J$966,'Исходные данные'!$D$2:$D$966,V$3,'Исходные данные'!$F$2:$F$966,$H15&amp;"")&amp;"="&amp;SUMIFS('Исходные данные'!$J$2:$J$966,'Исходные данные'!$D$2:$D$966,V$3,'Исходные данные'!$F$2:$F$966,$H15&amp;""),SUMIFS('Исходные данные'!$I$2:$I$966,'Исходные данные'!$D$2:$D$966,V$3,'Исходные данные'!$F$2:$F$966,$H15&amp;"")&amp;"+"&amp;SUMIFS('Исходные данные'!$J$2:$J$966,'Исходные данные'!$D$2:$D$966,V$3,'Исходные данные'!$F$2:$F$966,$H15&amp;"")&amp;"="&amp;(SUMIFS('Исходные данные'!$I$2:$I$966,'Исходные данные'!$D$2:$D$966,V$3,'Исходные данные'!$F$2:$F$966,$H15&amp;"")+SUMIFS('Исходные данные'!$J$2:$J$966,'Исходные данные'!$D$2:$D$966,V$3,'Исходные данные'!$F$2:$F$966,$H15&amp;"")))))</f>
        <v>1</v>
      </c>
      <c r="W15" s="50" t="n">
        <f aca="false">IF(SUMIFS('Исходные данные'!$I$2:$I$966,'Исходные данные'!$D$2:$D$966,W$3,'Исходные данные'!$F$2:$F$966,$H15&amp;"")+SUMIFS('Исходные данные'!$J$2:$J$966,'Исходные данные'!$D$2:$D$966,W$3,'Исходные данные'!$F$2:$F$966,$H15&amp;"")=0,"",IF(SUMIFS('Исходные данные'!$J$2:$J$966,'Исходные данные'!$D$2:$D$966,W$3,'Исходные данные'!$F$2:$F$966,$H15&amp;"")=0,SUMIFS('Исходные данные'!$I$2:$I$966,'Исходные данные'!$D$2:$D$966,W$3,'Исходные данные'!$F$2:$F$966,$H15&amp;""),IF(SUMIFS('Исходные данные'!$I$2:$I$966,'Исходные данные'!$D$2:$D$966,W$3,'Исходные данные'!$F$2:$F$966,$H15&amp;"")=0,"0+"&amp;SUMIFS('Исходные данные'!$J$2:$J$966,'Исходные данные'!$D$2:$D$966,W$3,'Исходные данные'!$F$2:$F$966,$H15&amp;"")&amp;"="&amp;SUMIFS('Исходные данные'!$J$2:$J$966,'Исходные данные'!$D$2:$D$966,W$3,'Исходные данные'!$F$2:$F$966,$H15&amp;""),SUMIFS('Исходные данные'!$I$2:$I$966,'Исходные данные'!$D$2:$D$966,W$3,'Исходные данные'!$F$2:$F$966,$H15&amp;"")&amp;"+"&amp;SUMIFS('Исходные данные'!$J$2:$J$966,'Исходные данные'!$D$2:$D$966,W$3,'Исходные данные'!$F$2:$F$966,$H15&amp;"")&amp;"="&amp;(SUMIFS('Исходные данные'!$I$2:$I$966,'Исходные данные'!$D$2:$D$966,W$3,'Исходные данные'!$F$2:$F$966,$H15&amp;"")+SUMIFS('Исходные данные'!$J$2:$J$966,'Исходные данные'!$D$2:$D$966,W$3,'Исходные данные'!$F$2:$F$966,$H15&amp;"")))))</f>
        <v>1</v>
      </c>
      <c r="X15" s="50" t="str">
        <f aca="false">IF(SUMIFS('Исходные данные'!$I$2:$I$966,'Исходные данные'!$D$2:$D$966,X$3,'Исходные данные'!$F$2:$F$966,$H15&amp;"")+SUMIFS('Исходные данные'!$J$2:$J$966,'Исходные данные'!$D$2:$D$966,X$3,'Исходные данные'!$F$2:$F$966,$H15&amp;"")=0,"",IF(SUMIFS('Исходные данные'!$J$2:$J$966,'Исходные данные'!$D$2:$D$966,X$3,'Исходные данные'!$F$2:$F$966,$H15&amp;"")=0,SUMIFS('Исходные данные'!$I$2:$I$966,'Исходные данные'!$D$2:$D$966,X$3,'Исходные данные'!$F$2:$F$966,$H15&amp;""),IF(SUMIFS('Исходные данные'!$I$2:$I$966,'Исходные данные'!$D$2:$D$966,X$3,'Исходные данные'!$F$2:$F$966,$H15&amp;"")=0,"0+"&amp;SUMIFS('Исходные данные'!$J$2:$J$966,'Исходные данные'!$D$2:$D$966,X$3,'Исходные данные'!$F$2:$F$966,$H15&amp;"")&amp;"="&amp;SUMIFS('Исходные данные'!$J$2:$J$966,'Исходные данные'!$D$2:$D$966,X$3,'Исходные данные'!$F$2:$F$966,$H15&amp;""),SUMIFS('Исходные данные'!$I$2:$I$966,'Исходные данные'!$D$2:$D$966,X$3,'Исходные данные'!$F$2:$F$966,$H15&amp;"")&amp;"+"&amp;SUMIFS('Исходные данные'!$J$2:$J$966,'Исходные данные'!$D$2:$D$966,X$3,'Исходные данные'!$F$2:$F$966,$H15&amp;"")&amp;"="&amp;(SUMIFS('Исходные данные'!$I$2:$I$966,'Исходные данные'!$D$2:$D$966,X$3,'Исходные данные'!$F$2:$F$966,$H15&amp;"")+SUMIFS('Исходные данные'!$J$2:$J$966,'Исходные данные'!$D$2:$D$966,X$3,'Исходные данные'!$F$2:$F$966,$H15&amp;"")))))</f>
        <v/>
      </c>
      <c r="Y15" s="52" t="n">
        <f aca="false">IF(SUMIFS('Исходные данные'!$I$2:$I$966,'Исходные данные'!$D$2:$D$966,Y$3,'Исходные данные'!$F$2:$F$966,$H15&amp;"")+SUMIFS('Исходные данные'!$J$2:$J$966,'Исходные данные'!$D$2:$D$966,Y$3,'Исходные данные'!$F$2:$F$966,$H15&amp;"")=0,"",IF(SUMIFS('Исходные данные'!$J$2:$J$966,'Исходные данные'!$D$2:$D$966,Y$3,'Исходные данные'!$F$2:$F$966,$H15&amp;"")=0,SUMIFS('Исходные данные'!$I$2:$I$966,'Исходные данные'!$D$2:$D$966,Y$3,'Исходные данные'!$F$2:$F$966,$H15&amp;""),IF(SUMIFS('Исходные данные'!$I$2:$I$966,'Исходные данные'!$D$2:$D$966,Y$3,'Исходные данные'!$F$2:$F$966,$H15&amp;"")=0,"0+"&amp;SUMIFS('Исходные данные'!$J$2:$J$966,'Исходные данные'!$D$2:$D$966,Y$3,'Исходные данные'!$F$2:$F$966,$H15&amp;"")&amp;"="&amp;SUMIFS('Исходные данные'!$J$2:$J$966,'Исходные данные'!$D$2:$D$966,Y$3,'Исходные данные'!$F$2:$F$966,$H15&amp;""),SUMIFS('Исходные данные'!$I$2:$I$966,'Исходные данные'!$D$2:$D$966,Y$3,'Исходные данные'!$F$2:$F$966,$H15&amp;"")&amp;"+"&amp;SUMIFS('Исходные данные'!$J$2:$J$966,'Исходные данные'!$D$2:$D$966,Y$3,'Исходные данные'!$F$2:$F$966,$H15&amp;"")&amp;"="&amp;(SUMIFS('Исходные данные'!$I$2:$I$966,'Исходные данные'!$D$2:$D$966,Y$3,'Исходные данные'!$F$2:$F$966,$H15&amp;"")+SUMIFS('Исходные данные'!$J$2:$J$966,'Исходные данные'!$D$2:$D$966,Y$3,'Исходные данные'!$F$2:$F$966,$H15&amp;"")))))</f>
        <v>1</v>
      </c>
      <c r="Z15" s="49" t="str">
        <f aca="false">IF(SUMIFS('Исходные данные'!$I$2:$I$966,'Исходные данные'!$D$2:$D$966,Z$3,'Исходные данные'!$F$2:$F$966,$H15&amp;"")+SUMIFS('Исходные данные'!$J$2:$J$966,'Исходные данные'!$D$2:$D$966,Z$3,'Исходные данные'!$F$2:$F$966,$H15&amp;"")=0,"",IF(SUMIFS('Исходные данные'!$J$2:$J$966,'Исходные данные'!$D$2:$D$966,Z$3,'Исходные данные'!$F$2:$F$966,$H15&amp;"")=0,SUMIFS('Исходные данные'!$I$2:$I$966,'Исходные данные'!$D$2:$D$966,Z$3,'Исходные данные'!$F$2:$F$966,$H15&amp;""),IF(SUMIFS('Исходные данные'!$I$2:$I$966,'Исходные данные'!$D$2:$D$966,Z$3,'Исходные данные'!$F$2:$F$966,$H15&amp;"")=0,"0+"&amp;SUMIFS('Исходные данные'!$J$2:$J$966,'Исходные данные'!$D$2:$D$966,Z$3,'Исходные данные'!$F$2:$F$966,$H15&amp;"")&amp;"="&amp;SUMIFS('Исходные данные'!$J$2:$J$966,'Исходные данные'!$D$2:$D$966,Z$3,'Исходные данные'!$F$2:$F$966,$H15&amp;""),SUMIFS('Исходные данные'!$I$2:$I$966,'Исходные данные'!$D$2:$D$966,Z$3,'Исходные данные'!$F$2:$F$966,$H15&amp;"")&amp;"+"&amp;SUMIFS('Исходные данные'!$J$2:$J$966,'Исходные данные'!$D$2:$D$966,Z$3,'Исходные данные'!$F$2:$F$966,$H15&amp;"")&amp;"="&amp;(SUMIFS('Исходные данные'!$I$2:$I$966,'Исходные данные'!$D$2:$D$966,Z$3,'Исходные данные'!$F$2:$F$966,$H15&amp;"")+SUMIFS('Исходные данные'!$J$2:$J$966,'Исходные данные'!$D$2:$D$966,Z$3,'Исходные данные'!$F$2:$F$966,$H15&amp;"")))))</f>
        <v/>
      </c>
      <c r="AA15" s="50" t="str">
        <f aca="false">IF(SUMIFS('Исходные данные'!$I$2:$I$966,'Исходные данные'!$D$2:$D$966,AA$3,'Исходные данные'!$F$2:$F$966,$H15&amp;"")+SUMIFS('Исходные данные'!$J$2:$J$966,'Исходные данные'!$D$2:$D$966,AA$3,'Исходные данные'!$F$2:$F$966,$H15&amp;"")=0,"",IF(SUMIFS('Исходные данные'!$J$2:$J$966,'Исходные данные'!$D$2:$D$966,AA$3,'Исходные данные'!$F$2:$F$966,$H15&amp;"")=0,SUMIFS('Исходные данные'!$I$2:$I$966,'Исходные данные'!$D$2:$D$966,AA$3,'Исходные данные'!$F$2:$F$966,$H15&amp;""),IF(SUMIFS('Исходные данные'!$I$2:$I$966,'Исходные данные'!$D$2:$D$966,AA$3,'Исходные данные'!$F$2:$F$966,$H15&amp;"")=0,"0+"&amp;SUMIFS('Исходные данные'!$J$2:$J$966,'Исходные данные'!$D$2:$D$966,AA$3,'Исходные данные'!$F$2:$F$966,$H15&amp;"")&amp;"="&amp;SUMIFS('Исходные данные'!$J$2:$J$966,'Исходные данные'!$D$2:$D$966,AA$3,'Исходные данные'!$F$2:$F$966,$H15&amp;""),SUMIFS('Исходные данные'!$I$2:$I$966,'Исходные данные'!$D$2:$D$966,AA$3,'Исходные данные'!$F$2:$F$966,$H15&amp;"")&amp;"+"&amp;SUMIFS('Исходные данные'!$J$2:$J$966,'Исходные данные'!$D$2:$D$966,AA$3,'Исходные данные'!$F$2:$F$966,$H15&amp;"")&amp;"="&amp;(SUMIFS('Исходные данные'!$I$2:$I$966,'Исходные данные'!$D$2:$D$966,AA$3,'Исходные данные'!$F$2:$F$966,$H15&amp;"")+SUMIFS('Исходные данные'!$J$2:$J$966,'Исходные данные'!$D$2:$D$966,AA$3,'Исходные данные'!$F$2:$F$966,$H15&amp;"")))))</f>
        <v/>
      </c>
      <c r="AB15" s="50" t="str">
        <f aca="false">IF(SUMIFS('Исходные данные'!$I$2:$I$966,'Исходные данные'!$D$2:$D$966,AB$3,'Исходные данные'!$F$2:$F$966,$H15&amp;"")+SUMIFS('Исходные данные'!$J$2:$J$966,'Исходные данные'!$D$2:$D$966,AB$3,'Исходные данные'!$F$2:$F$966,$H15&amp;"")=0,"",IF(SUMIFS('Исходные данные'!$J$2:$J$966,'Исходные данные'!$D$2:$D$966,AB$3,'Исходные данные'!$F$2:$F$966,$H15&amp;"")=0,SUMIFS('Исходные данные'!$I$2:$I$966,'Исходные данные'!$D$2:$D$966,AB$3,'Исходные данные'!$F$2:$F$966,$H15&amp;""),IF(SUMIFS('Исходные данные'!$I$2:$I$966,'Исходные данные'!$D$2:$D$966,AB$3,'Исходные данные'!$F$2:$F$966,$H15&amp;"")=0,"0+"&amp;SUMIFS('Исходные данные'!$J$2:$J$966,'Исходные данные'!$D$2:$D$966,AB$3,'Исходные данные'!$F$2:$F$966,$H15&amp;"")&amp;"="&amp;SUMIFS('Исходные данные'!$J$2:$J$966,'Исходные данные'!$D$2:$D$966,AB$3,'Исходные данные'!$F$2:$F$966,$H15&amp;""),SUMIFS('Исходные данные'!$I$2:$I$966,'Исходные данные'!$D$2:$D$966,AB$3,'Исходные данные'!$F$2:$F$966,$H15&amp;"")&amp;"+"&amp;SUMIFS('Исходные данные'!$J$2:$J$966,'Исходные данные'!$D$2:$D$966,AB$3,'Исходные данные'!$F$2:$F$966,$H15&amp;"")&amp;"="&amp;(SUMIFS('Исходные данные'!$I$2:$I$966,'Исходные данные'!$D$2:$D$966,AB$3,'Исходные данные'!$F$2:$F$966,$H15&amp;"")+SUMIFS('Исходные данные'!$J$2:$J$966,'Исходные данные'!$D$2:$D$966,AB$3,'Исходные данные'!$F$2:$F$966,$H15&amp;"")))))</f>
        <v/>
      </c>
      <c r="AC15" s="52" t="str">
        <f aca="false">IF(SUMIFS('Исходные данные'!$I$2:$I$966,'Исходные данные'!$D$2:$D$966,AC$3,'Исходные данные'!$F$2:$F$966,$H15&amp;"")+SUMIFS('Исходные данные'!$J$2:$J$966,'Исходные данные'!$D$2:$D$966,AC$3,'Исходные данные'!$F$2:$F$966,$H15&amp;"")=0,"",IF(SUMIFS('Исходные данные'!$J$2:$J$966,'Исходные данные'!$D$2:$D$966,AC$3,'Исходные данные'!$F$2:$F$966,$H15&amp;"")=0,SUMIFS('Исходные данные'!$I$2:$I$966,'Исходные данные'!$D$2:$D$966,AC$3,'Исходные данные'!$F$2:$F$966,$H15&amp;""),IF(SUMIFS('Исходные данные'!$I$2:$I$966,'Исходные данные'!$D$2:$D$966,AC$3,'Исходные данные'!$F$2:$F$966,$H15&amp;"")=0,"0+"&amp;SUMIFS('Исходные данные'!$J$2:$J$966,'Исходные данные'!$D$2:$D$966,AC$3,'Исходные данные'!$F$2:$F$966,$H15&amp;"")&amp;"="&amp;SUMIFS('Исходные данные'!$J$2:$J$966,'Исходные данные'!$D$2:$D$966,AC$3,'Исходные данные'!$F$2:$F$966,$H15&amp;""),SUMIFS('Исходные данные'!$I$2:$I$966,'Исходные данные'!$D$2:$D$966,AC$3,'Исходные данные'!$F$2:$F$966,$H15&amp;"")&amp;"+"&amp;SUMIFS('Исходные данные'!$J$2:$J$966,'Исходные данные'!$D$2:$D$966,AC$3,'Исходные данные'!$F$2:$F$966,$H15&amp;"")&amp;"="&amp;(SUMIFS('Исходные данные'!$I$2:$I$966,'Исходные данные'!$D$2:$D$966,AC$3,'Исходные данные'!$F$2:$F$966,$H15&amp;"")+SUMIFS('Исходные данные'!$J$2:$J$966,'Исходные данные'!$D$2:$D$966,AC$3,'Исходные данные'!$F$2:$F$966,$H15&amp;"")))))</f>
        <v>3+3=6</v>
      </c>
      <c r="AD15" s="50" t="str">
        <f aca="false">IF(SUMIFS('Исходные данные'!$I$2:$I$966,'Исходные данные'!$D$2:$D$966,AD$3,'Исходные данные'!$F$2:$F$966,$H15&amp;"")+SUMIFS('Исходные данные'!$J$2:$J$966,'Исходные данные'!$D$2:$D$966,AD$3,'Исходные данные'!$F$2:$F$966,$H15&amp;"")=0,"",IF(SUMIFS('Исходные данные'!$J$2:$J$966,'Исходные данные'!$D$2:$D$966,AD$3,'Исходные данные'!$F$2:$F$966,$H15&amp;"")=0,SUMIFS('Исходные данные'!$I$2:$I$966,'Исходные данные'!$D$2:$D$966,AD$3,'Исходные данные'!$F$2:$F$966,$H15&amp;""),IF(SUMIFS('Исходные данные'!$I$2:$I$966,'Исходные данные'!$D$2:$D$966,AD$3,'Исходные данные'!$F$2:$F$966,$H15&amp;"")=0,"0+"&amp;SUMIFS('Исходные данные'!$J$2:$J$966,'Исходные данные'!$D$2:$D$966,AD$3,'Исходные данные'!$F$2:$F$966,$H15&amp;"")&amp;"="&amp;SUMIFS('Исходные данные'!$J$2:$J$966,'Исходные данные'!$D$2:$D$966,AD$3,'Исходные данные'!$F$2:$F$966,$H15&amp;""),SUMIFS('Исходные данные'!$I$2:$I$966,'Исходные данные'!$D$2:$D$966,AD$3,'Исходные данные'!$F$2:$F$966,$H15&amp;"")&amp;"+"&amp;SUMIFS('Исходные данные'!$J$2:$J$966,'Исходные данные'!$D$2:$D$966,AD$3,'Исходные данные'!$F$2:$F$966,$H15&amp;"")&amp;"="&amp;(SUMIFS('Исходные данные'!$I$2:$I$966,'Исходные данные'!$D$2:$D$966,AD$3,'Исходные данные'!$F$2:$F$966,$H15&amp;"")+SUMIFS('Исходные данные'!$J$2:$J$966,'Исходные данные'!$D$2:$D$966,AD$3,'Исходные данные'!$F$2:$F$966,$H15&amp;"")))))</f>
        <v>3+2=5</v>
      </c>
    </row>
    <row r="16" customFormat="false" ht="25.5" hidden="false" customHeight="true" outlineLevel="0" collapsed="false">
      <c r="A16" s="27" t="n">
        <v>14</v>
      </c>
      <c r="B16" s="28" t="s">
        <v>194</v>
      </c>
      <c r="C16" s="29" t="s">
        <v>20</v>
      </c>
      <c r="D16" s="30"/>
      <c r="E16" s="30"/>
      <c r="F16" s="30"/>
      <c r="G16" s="64"/>
      <c r="H16" s="32"/>
      <c r="I16" s="55"/>
      <c r="J16" s="56"/>
      <c r="K16" s="57"/>
      <c r="L16" s="58"/>
      <c r="M16" s="59"/>
      <c r="N16" s="59"/>
      <c r="O16" s="60" t="str">
        <f aca="false">IF(SUMIFS('Исходные данные'!$I$2:$I$966,'Исходные данные'!$D$2:$D$966,O$3,'Исходные данные'!$F$2:$F$966,$H17&amp;"",'Исходные данные'!$L$2:$L$966,"УТТ")+SUMIFS('Исходные данные'!$J$2:$J$966,'Исходные данные'!$D$2:$D$966,O$3,'Исходные данные'!$F$2:$F$966,$H17&amp;"",'Исходные данные'!$L$2:$L$966,"УТТ")=0,"","утт-"&amp;(SUMIFS('Исходные данные'!$I$2:$I$966,'Исходные данные'!$D$2:$D$966,O$3,'Исходные данные'!$F$2:$F$966,$H17&amp;"",'Исходные данные'!$L$2:$L$966,"УТТ")+SUMIFS('Исходные данные'!$J$2:$J$966,'Исходные данные'!$D$2:$D$966,O$3,'Исходные данные'!$F$2:$F$966,$H17&amp;"",'Исходные данные'!$L$2:$L$966,"УТТ")))</f>
        <v>утт-1</v>
      </c>
      <c r="P16" s="61" t="str">
        <f aca="false">IF(SUMIFS('Исходные данные'!$I$2:$I$966,'Исходные данные'!$D$2:$D$966,P$3,'Исходные данные'!$F$2:$F$966,$H17&amp;"",'Исходные данные'!$L$2:$L$966,"УТТ")+SUMIFS('Исходные данные'!$J$2:$J$966,'Исходные данные'!$D$2:$D$966,P$3,'Исходные данные'!$F$2:$F$966,$H17&amp;"",'Исходные данные'!$L$2:$L$966,"УТТ")=0,"","утт-"&amp;(SUMIFS('Исходные данные'!$I$2:$I$966,'Исходные данные'!$D$2:$D$966,P$3,'Исходные данные'!$F$2:$F$966,$H17&amp;"",'Исходные данные'!$L$2:$L$966,"УТТ")+SUMIFS('Исходные данные'!$J$2:$J$966,'Исходные данные'!$D$2:$D$966,P$3,'Исходные данные'!$F$2:$F$966,$H17&amp;"",'Исходные данные'!$L$2:$L$966,"УТТ")))</f>
        <v/>
      </c>
      <c r="Q16" s="60" t="str">
        <f aca="false">IF(SUMIFS('Исходные данные'!$I$2:$I$966,'Исходные данные'!$D$2:$D$966,Q$3,'Исходные данные'!$F$2:$F$966,$H17&amp;"",'Исходные данные'!$L$2:$L$966,"УТТ")+SUMIFS('Исходные данные'!$J$2:$J$966,'Исходные данные'!$D$2:$D$966,Q$3,'Исходные данные'!$F$2:$F$966,$H17&amp;"",'Исходные данные'!$L$2:$L$966,"УТТ")=0,"","утт-"&amp;(SUMIFS('Исходные данные'!$I$2:$I$966,'Исходные данные'!$D$2:$D$966,Q$3,'Исходные данные'!$F$2:$F$966,$H17&amp;"",'Исходные данные'!$L$2:$L$966,"УТТ")+SUMIFS('Исходные данные'!$J$2:$J$966,'Исходные данные'!$D$2:$D$966,Q$3,'Исходные данные'!$F$2:$F$966,$H17&amp;"",'Исходные данные'!$L$2:$L$966,"УТТ")))</f>
        <v/>
      </c>
      <c r="R16" s="62" t="str">
        <f aca="false">IF(SUMIFS('Исходные данные'!$I$2:$I$966,'Исходные данные'!$D$2:$D$966,R$3,'Исходные данные'!$F$2:$F$966,$H17&amp;"",'Исходные данные'!$L$2:$L$966,"УТТ")+SUMIFS('Исходные данные'!$J$2:$J$966,'Исходные данные'!$D$2:$D$966,R$3,'Исходные данные'!$F$2:$F$966,$H17&amp;"",'Исходные данные'!$L$2:$L$966,"УТТ")=0,"","утт-"&amp;(SUMIFS('Исходные данные'!$I$2:$I$966,'Исходные данные'!$D$2:$D$966,R$3,'Исходные данные'!$F$2:$F$966,$H17&amp;"",'Исходные данные'!$L$2:$L$966,"УТТ")+SUMIFS('Исходные данные'!$J$2:$J$966,'Исходные данные'!$D$2:$D$966,R$3,'Исходные данные'!$F$2:$F$966,$H17&amp;"",'Исходные данные'!$L$2:$L$966,"УТТ")))</f>
        <v/>
      </c>
      <c r="S16" s="61" t="str">
        <f aca="false">IF(SUMIFS('Исходные данные'!$I$2:$I$966,'Исходные данные'!$D$2:$D$966,S$3,'Исходные данные'!$F$2:$F$966,$H17&amp;"",'Исходные данные'!$L$2:$L$966,"УТТ")+SUMIFS('Исходные данные'!$J$2:$J$966,'Исходные данные'!$D$2:$D$966,S$3,'Исходные данные'!$F$2:$F$966,$H17&amp;"",'Исходные данные'!$L$2:$L$966,"УТТ")=0,"","утт-"&amp;(SUMIFS('Исходные данные'!$I$2:$I$966,'Исходные данные'!$D$2:$D$966,S$3,'Исходные данные'!$F$2:$F$966,$H17&amp;"",'Исходные данные'!$L$2:$L$966,"УТТ")+SUMIFS('Исходные данные'!$J$2:$J$966,'Исходные данные'!$D$2:$D$966,S$3,'Исходные данные'!$F$2:$F$966,$H17&amp;"",'Исходные данные'!$L$2:$L$966,"УТТ")))</f>
        <v/>
      </c>
      <c r="T16" s="60" t="str">
        <f aca="false">IF(SUMIFS('Исходные данные'!$I$2:$I$966,'Исходные данные'!$D$2:$D$966,T$3,'Исходные данные'!$F$2:$F$966,$H17&amp;"",'Исходные данные'!$L$2:$L$966,"УТТ")+SUMIFS('Исходные данные'!$J$2:$J$966,'Исходные данные'!$D$2:$D$966,T$3,'Исходные данные'!$F$2:$F$966,$H17&amp;"",'Исходные данные'!$L$2:$L$966,"УТТ")=0,"","утт-"&amp;(SUMIFS('Исходные данные'!$I$2:$I$966,'Исходные данные'!$D$2:$D$966,T$3,'Исходные данные'!$F$2:$F$966,$H17&amp;"",'Исходные данные'!$L$2:$L$966,"УТТ")+SUMIFS('Исходные данные'!$J$2:$J$966,'Исходные данные'!$D$2:$D$966,T$3,'Исходные данные'!$F$2:$F$966,$H17&amp;"",'Исходные данные'!$L$2:$L$966,"УТТ")))</f>
        <v/>
      </c>
      <c r="U16" s="61" t="str">
        <f aca="false">IF(SUMIFS('Исходные данные'!$I$2:$I$966,'Исходные данные'!$D$2:$D$966,U$3,'Исходные данные'!$F$2:$F$966,$H17&amp;"",'Исходные данные'!$L$2:$L$966,"УТТ")+SUMIFS('Исходные данные'!$J$2:$J$966,'Исходные данные'!$D$2:$D$966,U$3,'Исходные данные'!$F$2:$F$966,$H17&amp;"",'Исходные данные'!$L$2:$L$966,"УТТ")=0,"","утт-"&amp;(SUMIFS('Исходные данные'!$I$2:$I$966,'Исходные данные'!$D$2:$D$966,U$3,'Исходные данные'!$F$2:$F$966,$H17&amp;"",'Исходные данные'!$L$2:$L$966,"УТТ")+SUMIFS('Исходные данные'!$J$2:$J$966,'Исходные данные'!$D$2:$D$966,U$3,'Исходные данные'!$F$2:$F$966,$H17&amp;"",'Исходные данные'!$L$2:$L$966,"УТТ")))</f>
        <v/>
      </c>
      <c r="V16" s="60" t="str">
        <f aca="false">IF(SUMIFS('Исходные данные'!$I$2:$I$966,'Исходные данные'!$D$2:$D$966,V$3,'Исходные данные'!$F$2:$F$966,$H17&amp;"",'Исходные данные'!$L$2:$L$966,"УТТ")+SUMIFS('Исходные данные'!$J$2:$J$966,'Исходные данные'!$D$2:$D$966,V$3,'Исходные данные'!$F$2:$F$966,$H17&amp;"",'Исходные данные'!$L$2:$L$966,"УТТ")=0,"","утт-"&amp;(SUMIFS('Исходные данные'!$I$2:$I$966,'Исходные данные'!$D$2:$D$966,V$3,'Исходные данные'!$F$2:$F$966,$H17&amp;"",'Исходные данные'!$L$2:$L$966,"УТТ")+SUMIFS('Исходные данные'!$J$2:$J$966,'Исходные данные'!$D$2:$D$966,V$3,'Исходные данные'!$F$2:$F$966,$H17&amp;"",'Исходные данные'!$L$2:$L$966,"УТТ")))</f>
        <v/>
      </c>
      <c r="W16" s="61" t="str">
        <f aca="false">IF(SUMIFS('Исходные данные'!$I$2:$I$966,'Исходные данные'!$D$2:$D$966,W$3,'Исходные данные'!$F$2:$F$966,$H17&amp;"",'Исходные данные'!$L$2:$L$966,"УТТ")+SUMIFS('Исходные данные'!$J$2:$J$966,'Исходные данные'!$D$2:$D$966,W$3,'Исходные данные'!$F$2:$F$966,$H17&amp;"",'Исходные данные'!$L$2:$L$966,"УТТ")=0,"","утт-"&amp;(SUMIFS('Исходные данные'!$I$2:$I$966,'Исходные данные'!$D$2:$D$966,W$3,'Исходные данные'!$F$2:$F$966,$H17&amp;"",'Исходные данные'!$L$2:$L$966,"УТТ")+SUMIFS('Исходные данные'!$J$2:$J$966,'Исходные данные'!$D$2:$D$966,W$3,'Исходные данные'!$F$2:$F$966,$H17&amp;"",'Исходные данные'!$L$2:$L$966,"УТТ")))</f>
        <v/>
      </c>
      <c r="X16" s="61" t="str">
        <f aca="false">IF(SUMIFS('Исходные данные'!$I$2:$I$966,'Исходные данные'!$D$2:$D$966,X$3,'Исходные данные'!$F$2:$F$966,$H17&amp;"",'Исходные данные'!$L$2:$L$966,"УТТ")+SUMIFS('Исходные данные'!$J$2:$J$966,'Исходные данные'!$D$2:$D$966,X$3,'Исходные данные'!$F$2:$F$966,$H17&amp;"",'Исходные данные'!$L$2:$L$966,"УТТ")=0,"","утт-"&amp;(SUMIFS('Исходные данные'!$I$2:$I$966,'Исходные данные'!$D$2:$D$966,X$3,'Исходные данные'!$F$2:$F$966,$H17&amp;"",'Исходные данные'!$L$2:$L$966,"УТТ")+SUMIFS('Исходные данные'!$J$2:$J$966,'Исходные данные'!$D$2:$D$966,X$3,'Исходные данные'!$F$2:$F$966,$H17&amp;"",'Исходные данные'!$L$2:$L$966,"УТТ")))</f>
        <v/>
      </c>
      <c r="Y16" s="63" t="str">
        <f aca="false">IF(SUMIFS('Исходные данные'!$I$2:$I$966,'Исходные данные'!$D$2:$D$966,Y$3,'Исходные данные'!$F$2:$F$966,$H17&amp;"",'Исходные данные'!$L$2:$L$966,"УТТ")+SUMIFS('Исходные данные'!$J$2:$J$966,'Исходные данные'!$D$2:$D$966,Y$3,'Исходные данные'!$F$2:$F$966,$H17&amp;"",'Исходные данные'!$L$2:$L$966,"УТТ")=0,"","утт-"&amp;(SUMIFS('Исходные данные'!$I$2:$I$966,'Исходные данные'!$D$2:$D$966,Y$3,'Исходные данные'!$F$2:$F$966,$H17&amp;"",'Исходные данные'!$L$2:$L$966,"УТТ")+SUMIFS('Исходные данные'!$J$2:$J$966,'Исходные данные'!$D$2:$D$966,Y$3,'Исходные данные'!$F$2:$F$966,$H17&amp;"",'Исходные данные'!$L$2:$L$966,"УТТ")))</f>
        <v/>
      </c>
      <c r="Z16" s="60" t="str">
        <f aca="false">IF(SUMIFS('Исходные данные'!$I$2:$I$966,'Исходные данные'!$D$2:$D$966,Z$3,'Исходные данные'!$F$2:$F$966,$H17&amp;"",'Исходные данные'!$L$2:$L$966,"УТТ")+SUMIFS('Исходные данные'!$J$2:$J$966,'Исходные данные'!$D$2:$D$966,Z$3,'Исходные данные'!$F$2:$F$966,$H17&amp;"",'Исходные данные'!$L$2:$L$966,"УТТ")=0,"","утт-"&amp;(SUMIFS('Исходные данные'!$I$2:$I$966,'Исходные данные'!$D$2:$D$966,Z$3,'Исходные данные'!$F$2:$F$966,$H17&amp;"",'Исходные данные'!$L$2:$L$966,"УТТ")+SUMIFS('Исходные данные'!$J$2:$J$966,'Исходные данные'!$D$2:$D$966,Z$3,'Исходные данные'!$F$2:$F$966,$H17&amp;"",'Исходные данные'!$L$2:$L$966,"УТТ")))</f>
        <v/>
      </c>
      <c r="AA16" s="61" t="str">
        <f aca="false">IF(SUMIFS('Исходные данные'!$I$2:$I$966,'Исходные данные'!$D$2:$D$966,AA$3,'Исходные данные'!$F$2:$F$966,$H17&amp;"",'Исходные данные'!$L$2:$L$966,"УТТ")+SUMIFS('Исходные данные'!$J$2:$J$966,'Исходные данные'!$D$2:$D$966,AA$3,'Исходные данные'!$F$2:$F$966,$H17&amp;"",'Исходные данные'!$L$2:$L$966,"УТТ")=0,"","утт-"&amp;(SUMIFS('Исходные данные'!$I$2:$I$966,'Исходные данные'!$D$2:$D$966,AA$3,'Исходные данные'!$F$2:$F$966,$H17&amp;"",'Исходные данные'!$L$2:$L$966,"УТТ")+SUMIFS('Исходные данные'!$J$2:$J$966,'Исходные данные'!$D$2:$D$966,AA$3,'Исходные данные'!$F$2:$F$966,$H17&amp;"",'Исходные данные'!$L$2:$L$966,"УТТ")))</f>
        <v/>
      </c>
      <c r="AB16" s="61" t="str">
        <f aca="false">IF(SUMIFS('Исходные данные'!$I$2:$I$966,'Исходные данные'!$D$2:$D$966,AB$3,'Исходные данные'!$F$2:$F$966,$H17&amp;"",'Исходные данные'!$L$2:$L$966,"УТТ")+SUMIFS('Исходные данные'!$J$2:$J$966,'Исходные данные'!$D$2:$D$966,AB$3,'Исходные данные'!$F$2:$F$966,$H17&amp;"",'Исходные данные'!$L$2:$L$966,"УТТ")=0,"","утт-"&amp;(SUMIFS('Исходные данные'!$I$2:$I$966,'Исходные данные'!$D$2:$D$966,AB$3,'Исходные данные'!$F$2:$F$966,$H17&amp;"",'Исходные данные'!$L$2:$L$966,"УТТ")+SUMIFS('Исходные данные'!$J$2:$J$966,'Исходные данные'!$D$2:$D$966,AB$3,'Исходные данные'!$F$2:$F$966,$H17&amp;"",'Исходные данные'!$L$2:$L$966,"УТТ")))</f>
        <v/>
      </c>
      <c r="AC16" s="60" t="str">
        <f aca="false">IF(SUMIFS('Исходные данные'!$I$2:$I$966,'Исходные данные'!$D$2:$D$966,AC$3,'Исходные данные'!$F$2:$F$966,$H17&amp;"",'Исходные данные'!$L$2:$L$966,"УТТ")+SUMIFS('Исходные данные'!$J$2:$J$966,'Исходные данные'!$D$2:$D$966,AC$3,'Исходные данные'!$F$2:$F$966,$H17&amp;"",'Исходные данные'!$L$2:$L$966,"УТТ")=0,"","утт-"&amp;(SUMIFS('Исходные данные'!$I$2:$I$966,'Исходные данные'!$D$2:$D$966,AC$3,'Исходные данные'!$F$2:$F$966,$H17&amp;"",'Исходные данные'!$L$2:$L$966,"УТТ")+SUMIFS('Исходные данные'!$J$2:$J$966,'Исходные данные'!$D$2:$D$966,AC$3,'Исходные данные'!$F$2:$F$966,$H17&amp;"",'Исходные данные'!$L$2:$L$966,"УТТ")))</f>
        <v/>
      </c>
      <c r="AD16" s="61" t="str">
        <f aca="false">IF(SUMIFS('Исходные данные'!$I$2:$I$966,'Исходные данные'!$D$2:$D$966,AD$3,'Исходные данные'!$F$2:$F$966,$H17&amp;"",'Исходные данные'!$L$2:$L$966,"УТТ")+SUMIFS('Исходные данные'!$J$2:$J$966,'Исходные данные'!$D$2:$D$966,AD$3,'Исходные данные'!$F$2:$F$966,$H17&amp;"",'Исходные данные'!$L$2:$L$966,"УТТ")=0,"","утт-"&amp;(SUMIFS('Исходные данные'!$I$2:$I$966,'Исходные данные'!$D$2:$D$966,AD$3,'Исходные данные'!$F$2:$F$966,$H17&amp;"",'Исходные данные'!$L$2:$L$966,"УТТ")+SUMIFS('Исходные данные'!$J$2:$J$966,'Исходные данные'!$D$2:$D$966,AD$3,'Исходные данные'!$F$2:$F$966,$H17&amp;"",'Исходные данные'!$L$2:$L$966,"УТТ")))</f>
        <v>утт-10</v>
      </c>
    </row>
    <row r="17" customFormat="false" ht="25.5" hidden="false" customHeight="true" outlineLevel="0" collapsed="false">
      <c r="A17" s="43" t="n">
        <v>15</v>
      </c>
      <c r="B17" s="28" t="s">
        <v>195</v>
      </c>
      <c r="C17" s="29" t="s">
        <v>20</v>
      </c>
      <c r="D17" s="30"/>
      <c r="E17" s="65" t="s">
        <v>188</v>
      </c>
      <c r="F17" s="65"/>
      <c r="G17" s="64"/>
      <c r="H17" s="32" t="n">
        <v>31</v>
      </c>
      <c r="I17" s="44" t="s">
        <v>66</v>
      </c>
      <c r="J17" s="45" t="n">
        <f aca="false">IFERROR(INDEX('Выход ТС'!$C:$C,MATCH($H17&amp;"",'Выход ТС'!$A:$A,0)),"")</f>
        <v>43</v>
      </c>
      <c r="K17" s="46" t="n">
        <f aca="false">IFERROR(INDEX('Выход ТС'!$D:$D,MATCH($H17&amp;"",'Выход ТС'!$A:$A,0)),"")</f>
        <v>42</v>
      </c>
      <c r="L17" s="47" t="n">
        <f aca="false">IFERROR(INDEX('Выход ТС'!$E:$E,MATCH($H17&amp;"",'Выход ТС'!$A:$A,0)),"")</f>
        <v>-1</v>
      </c>
      <c r="M17" s="48" t="n">
        <f aca="false">IFERROR(IF(INDEX('Выход ТС'!$F:$F,MATCH($H17&amp;"",'Выход ТС'!$A:$A,0))=0,"",INDEX('Выход ТС'!$F:$F,MATCH($H17&amp;"",'Выход ТС'!$A:$A,0))),"")</f>
        <v>26</v>
      </c>
      <c r="N17" s="48" t="n">
        <f aca="false">IFERROR(IF(INDEX('Выход ТС'!$G:$G,MATCH($H17&amp;"",'Выход ТС'!$A:$A,0))=0,"",INDEX('Выход ТС'!$G:$G,MATCH($H17&amp;"",'Выход ТС'!$A:$A,0))),"")</f>
        <v>16</v>
      </c>
      <c r="O17" s="52" t="str">
        <f aca="false">IF(SUMIFS('Исходные данные'!$I$2:$I$966,'Исходные данные'!$D$2:$D$966,O$3,'Исходные данные'!$F$2:$F$966,$H17&amp;"")+SUMIFS('Исходные данные'!$J$2:$J$966,'Исходные данные'!$D$2:$D$966,O$3,'Исходные данные'!$F$2:$F$966,$H17&amp;"")=0,"",IF(SUMIFS('Исходные данные'!$J$2:$J$966,'Исходные данные'!$D$2:$D$966,O$3,'Исходные данные'!$F$2:$F$966,$H17&amp;"")=0,SUMIFS('Исходные данные'!$I$2:$I$966,'Исходные данные'!$D$2:$D$966,O$3,'Исходные данные'!$F$2:$F$966,$H17&amp;""),IF(SUMIFS('Исходные данные'!$I$2:$I$966,'Исходные данные'!$D$2:$D$966,O$3,'Исходные данные'!$F$2:$F$966,$H17&amp;"")=0,"0+"&amp;SUMIFS('Исходные данные'!$J$2:$J$966,'Исходные данные'!$D$2:$D$966,O$3,'Исходные данные'!$F$2:$F$966,$H17&amp;"")&amp;"="&amp;SUMIFS('Исходные данные'!$J$2:$J$966,'Исходные данные'!$D$2:$D$966,O$3,'Исходные данные'!$F$2:$F$966,$H17&amp;""),SUMIFS('Исходные данные'!$I$2:$I$966,'Исходные данные'!$D$2:$D$966,O$3,'Исходные данные'!$F$2:$F$966,$H17&amp;"")&amp;"+"&amp;SUMIFS('Исходные данные'!$J$2:$J$966,'Исходные данные'!$D$2:$D$966,O$3,'Исходные данные'!$F$2:$F$966,$H17&amp;"")&amp;"="&amp;(SUMIFS('Исходные данные'!$I$2:$I$966,'Исходные данные'!$D$2:$D$966,O$3,'Исходные данные'!$F$2:$F$966,$H17&amp;"")+SUMIFS('Исходные данные'!$J$2:$J$966,'Исходные данные'!$D$2:$D$966,O$3,'Исходные данные'!$F$2:$F$966,$H17&amp;"")))))</f>
        <v>2+1=3</v>
      </c>
      <c r="P17" s="50" t="n">
        <f aca="false">IF(SUMIFS('Исходные данные'!$I$2:$I$966,'Исходные данные'!$D$2:$D$966,P$3,'Исходные данные'!$F$2:$F$966,$H17&amp;"")+SUMIFS('Исходные данные'!$J$2:$J$966,'Исходные данные'!$D$2:$D$966,P$3,'Исходные данные'!$F$2:$F$966,$H17&amp;"")=0,"",IF(SUMIFS('Исходные данные'!$J$2:$J$966,'Исходные данные'!$D$2:$D$966,P$3,'Исходные данные'!$F$2:$F$966,$H17&amp;"")=0,SUMIFS('Исходные данные'!$I$2:$I$966,'Исходные данные'!$D$2:$D$966,P$3,'Исходные данные'!$F$2:$F$966,$H17&amp;""),IF(SUMIFS('Исходные данные'!$I$2:$I$966,'Исходные данные'!$D$2:$D$966,P$3,'Исходные данные'!$F$2:$F$966,$H17&amp;"")=0,"0+"&amp;SUMIFS('Исходные данные'!$J$2:$J$966,'Исходные данные'!$D$2:$D$966,P$3,'Исходные данные'!$F$2:$F$966,$H17&amp;"")&amp;"="&amp;SUMIFS('Исходные данные'!$J$2:$J$966,'Исходные данные'!$D$2:$D$966,P$3,'Исходные данные'!$F$2:$F$966,$H17&amp;""),SUMIFS('Исходные данные'!$I$2:$I$966,'Исходные данные'!$D$2:$D$966,P$3,'Исходные данные'!$F$2:$F$966,$H17&amp;"")&amp;"+"&amp;SUMIFS('Исходные данные'!$J$2:$J$966,'Исходные данные'!$D$2:$D$966,P$3,'Исходные данные'!$F$2:$F$966,$H17&amp;"")&amp;"="&amp;(SUMIFS('Исходные данные'!$I$2:$I$966,'Исходные данные'!$D$2:$D$966,P$3,'Исходные данные'!$F$2:$F$966,$H17&amp;"")+SUMIFS('Исходные данные'!$J$2:$J$966,'Исходные данные'!$D$2:$D$966,P$3,'Исходные данные'!$F$2:$F$966,$H17&amp;"")))))</f>
        <v>2</v>
      </c>
      <c r="Q17" s="50" t="str">
        <f aca="false">IF(SUMIFS('Исходные данные'!$I$2:$I$966,'Исходные данные'!$D$2:$D$966,Q$3,'Исходные данные'!$F$2:$F$966,$H17&amp;"")+SUMIFS('Исходные данные'!$J$2:$J$966,'Исходные данные'!$D$2:$D$966,Q$3,'Исходные данные'!$F$2:$F$966,$H17&amp;"")=0,"",IF(SUMIFS('Исходные данные'!$J$2:$J$966,'Исходные данные'!$D$2:$D$966,Q$3,'Исходные данные'!$F$2:$F$966,$H17&amp;"")=0,SUMIFS('Исходные данные'!$I$2:$I$966,'Исходные данные'!$D$2:$D$966,Q$3,'Исходные данные'!$F$2:$F$966,$H17&amp;""),IF(SUMIFS('Исходные данные'!$I$2:$I$966,'Исходные данные'!$D$2:$D$966,Q$3,'Исходные данные'!$F$2:$F$966,$H17&amp;"")=0,"0+"&amp;SUMIFS('Исходные данные'!$J$2:$J$966,'Исходные данные'!$D$2:$D$966,Q$3,'Исходные данные'!$F$2:$F$966,$H17&amp;"")&amp;"="&amp;SUMIFS('Исходные данные'!$J$2:$J$966,'Исходные данные'!$D$2:$D$966,Q$3,'Исходные данные'!$F$2:$F$966,$H17&amp;""),SUMIFS('Исходные данные'!$I$2:$I$966,'Исходные данные'!$D$2:$D$966,Q$3,'Исходные данные'!$F$2:$F$966,$H17&amp;"")&amp;"+"&amp;SUMIFS('Исходные данные'!$J$2:$J$966,'Исходные данные'!$D$2:$D$966,Q$3,'Исходные данные'!$F$2:$F$966,$H17&amp;"")&amp;"="&amp;(SUMIFS('Исходные данные'!$I$2:$I$966,'Исходные данные'!$D$2:$D$966,Q$3,'Исходные данные'!$F$2:$F$966,$H17&amp;"")+SUMIFS('Исходные данные'!$J$2:$J$966,'Исходные данные'!$D$2:$D$966,Q$3,'Исходные данные'!$F$2:$F$966,$H17&amp;"")))))</f>
        <v>11+3=14</v>
      </c>
      <c r="R17" s="51" t="str">
        <f aca="false">IF(SUMIFS('Исходные данные'!$I$2:$I$966,'Исходные данные'!$D$2:$D$966,R$3,'Исходные данные'!$F$2:$F$966,$H17&amp;"")+SUMIFS('Исходные данные'!$J$2:$J$966,'Исходные данные'!$D$2:$D$966,R$3,'Исходные данные'!$F$2:$F$966,$H17&amp;"")=0,"",IF(SUMIFS('Исходные данные'!$J$2:$J$966,'Исходные данные'!$D$2:$D$966,R$3,'Исходные данные'!$F$2:$F$966,$H17&amp;"")=0,SUMIFS('Исходные данные'!$I$2:$I$966,'Исходные данные'!$D$2:$D$966,R$3,'Исходные данные'!$F$2:$F$966,$H17&amp;""),IF(SUMIFS('Исходные данные'!$I$2:$I$966,'Исходные данные'!$D$2:$D$966,R$3,'Исходные данные'!$F$2:$F$966,$H17&amp;"")=0,"0+"&amp;SUMIFS('Исходные данные'!$J$2:$J$966,'Исходные данные'!$D$2:$D$966,R$3,'Исходные данные'!$F$2:$F$966,$H17&amp;"")&amp;"="&amp;SUMIFS('Исходные данные'!$J$2:$J$966,'Исходные данные'!$D$2:$D$966,R$3,'Исходные данные'!$F$2:$F$966,$H17&amp;""),SUMIFS('Исходные данные'!$I$2:$I$966,'Исходные данные'!$D$2:$D$966,R$3,'Исходные данные'!$F$2:$F$966,$H17&amp;"")&amp;"+"&amp;SUMIFS('Исходные данные'!$J$2:$J$966,'Исходные данные'!$D$2:$D$966,R$3,'Исходные данные'!$F$2:$F$966,$H17&amp;"")&amp;"="&amp;(SUMIFS('Исходные данные'!$I$2:$I$966,'Исходные данные'!$D$2:$D$966,R$3,'Исходные данные'!$F$2:$F$966,$H17&amp;"")+SUMIFS('Исходные данные'!$J$2:$J$966,'Исходные данные'!$D$2:$D$966,R$3,'Исходные данные'!$F$2:$F$966,$H17&amp;"")))))</f>
        <v/>
      </c>
      <c r="S17" s="50" t="str">
        <f aca="false">IF(SUMIFS('Исходные данные'!$I$2:$I$966,'Исходные данные'!$D$2:$D$966,S$3,'Исходные данные'!$F$2:$F$966,$H17&amp;"")+SUMIFS('Исходные данные'!$J$2:$J$966,'Исходные данные'!$D$2:$D$966,S$3,'Исходные данные'!$F$2:$F$966,$H17&amp;"")=0,"",IF(SUMIFS('Исходные данные'!$J$2:$J$966,'Исходные данные'!$D$2:$D$966,S$3,'Исходные данные'!$F$2:$F$966,$H17&amp;"")=0,SUMIFS('Исходные данные'!$I$2:$I$966,'Исходные данные'!$D$2:$D$966,S$3,'Исходные данные'!$F$2:$F$966,$H17&amp;""),IF(SUMIFS('Исходные данные'!$I$2:$I$966,'Исходные данные'!$D$2:$D$966,S$3,'Исходные данные'!$F$2:$F$966,$H17&amp;"")=0,"0+"&amp;SUMIFS('Исходные данные'!$J$2:$J$966,'Исходные данные'!$D$2:$D$966,S$3,'Исходные данные'!$F$2:$F$966,$H17&amp;"")&amp;"="&amp;SUMIFS('Исходные данные'!$J$2:$J$966,'Исходные данные'!$D$2:$D$966,S$3,'Исходные данные'!$F$2:$F$966,$H17&amp;""),SUMIFS('Исходные данные'!$I$2:$I$966,'Исходные данные'!$D$2:$D$966,S$3,'Исходные данные'!$F$2:$F$966,$H17&amp;"")&amp;"+"&amp;SUMIFS('Исходные данные'!$J$2:$J$966,'Исходные данные'!$D$2:$D$966,S$3,'Исходные данные'!$F$2:$F$966,$H17&amp;"")&amp;"="&amp;(SUMIFS('Исходные данные'!$I$2:$I$966,'Исходные данные'!$D$2:$D$966,S$3,'Исходные данные'!$F$2:$F$966,$H17&amp;"")+SUMIFS('Исходные данные'!$J$2:$J$966,'Исходные данные'!$D$2:$D$966,S$3,'Исходные данные'!$F$2:$F$966,$H17&amp;"")))))</f>
        <v/>
      </c>
      <c r="T17" s="49" t="str">
        <f aca="false">IF(SUMIFS('Исходные данные'!$I$2:$I$966,'Исходные данные'!$D$2:$D$966,T$3,'Исходные данные'!$F$2:$F$966,$H17&amp;"")+SUMIFS('Исходные данные'!$J$2:$J$966,'Исходные данные'!$D$2:$D$966,T$3,'Исходные данные'!$F$2:$F$966,$H17&amp;"")=0,"",IF(SUMIFS('Исходные данные'!$J$2:$J$966,'Исходные данные'!$D$2:$D$966,T$3,'Исходные данные'!$F$2:$F$966,$H17&amp;"")=0,SUMIFS('Исходные данные'!$I$2:$I$966,'Исходные данные'!$D$2:$D$966,T$3,'Исходные данные'!$F$2:$F$966,$H17&amp;""),IF(SUMIFS('Исходные данные'!$I$2:$I$966,'Исходные данные'!$D$2:$D$966,T$3,'Исходные данные'!$F$2:$F$966,$H17&amp;"")=0,"0+"&amp;SUMIFS('Исходные данные'!$J$2:$J$966,'Исходные данные'!$D$2:$D$966,T$3,'Исходные данные'!$F$2:$F$966,$H17&amp;"")&amp;"="&amp;SUMIFS('Исходные данные'!$J$2:$J$966,'Исходные данные'!$D$2:$D$966,T$3,'Исходные данные'!$F$2:$F$966,$H17&amp;""),SUMIFS('Исходные данные'!$I$2:$I$966,'Исходные данные'!$D$2:$D$966,T$3,'Исходные данные'!$F$2:$F$966,$H17&amp;"")&amp;"+"&amp;SUMIFS('Исходные данные'!$J$2:$J$966,'Исходные данные'!$D$2:$D$966,T$3,'Исходные данные'!$F$2:$F$966,$H17&amp;"")&amp;"="&amp;(SUMIFS('Исходные данные'!$I$2:$I$966,'Исходные данные'!$D$2:$D$966,T$3,'Исходные данные'!$F$2:$F$966,$H17&amp;"")+SUMIFS('Исходные данные'!$J$2:$J$966,'Исходные данные'!$D$2:$D$966,T$3,'Исходные данные'!$F$2:$F$966,$H17&amp;"")))))</f>
        <v/>
      </c>
      <c r="U17" s="50" t="str">
        <f aca="false">IF(SUMIFS('Исходные данные'!$I$2:$I$966,'Исходные данные'!$D$2:$D$966,U$3,'Исходные данные'!$F$2:$F$966,$H17&amp;"")+SUMIFS('Исходные данные'!$J$2:$J$966,'Исходные данные'!$D$2:$D$966,U$3,'Исходные данные'!$F$2:$F$966,$H17&amp;"")=0,"",IF(SUMIFS('Исходные данные'!$J$2:$J$966,'Исходные данные'!$D$2:$D$966,U$3,'Исходные данные'!$F$2:$F$966,$H17&amp;"")=0,SUMIFS('Исходные данные'!$I$2:$I$966,'Исходные данные'!$D$2:$D$966,U$3,'Исходные данные'!$F$2:$F$966,$H17&amp;""),IF(SUMIFS('Исходные данные'!$I$2:$I$966,'Исходные данные'!$D$2:$D$966,U$3,'Исходные данные'!$F$2:$F$966,$H17&amp;"")=0,"0+"&amp;SUMIFS('Исходные данные'!$J$2:$J$966,'Исходные данные'!$D$2:$D$966,U$3,'Исходные данные'!$F$2:$F$966,$H17&amp;"")&amp;"="&amp;SUMIFS('Исходные данные'!$J$2:$J$966,'Исходные данные'!$D$2:$D$966,U$3,'Исходные данные'!$F$2:$F$966,$H17&amp;""),SUMIFS('Исходные данные'!$I$2:$I$966,'Исходные данные'!$D$2:$D$966,U$3,'Исходные данные'!$F$2:$F$966,$H17&amp;"")&amp;"+"&amp;SUMIFS('Исходные данные'!$J$2:$J$966,'Исходные данные'!$D$2:$D$966,U$3,'Исходные данные'!$F$2:$F$966,$H17&amp;"")&amp;"="&amp;(SUMIFS('Исходные данные'!$I$2:$I$966,'Исходные данные'!$D$2:$D$966,U$3,'Исходные данные'!$F$2:$F$966,$H17&amp;"")+SUMIFS('Исходные данные'!$J$2:$J$966,'Исходные данные'!$D$2:$D$966,U$3,'Исходные данные'!$F$2:$F$966,$H17&amp;"")))))</f>
        <v/>
      </c>
      <c r="V17" s="49" t="str">
        <f aca="false">IF(SUMIFS('Исходные данные'!$I$2:$I$966,'Исходные данные'!$D$2:$D$966,V$3,'Исходные данные'!$F$2:$F$966,$H17&amp;"")+SUMIFS('Исходные данные'!$J$2:$J$966,'Исходные данные'!$D$2:$D$966,V$3,'Исходные данные'!$F$2:$F$966,$H17&amp;"")=0,"",IF(SUMIFS('Исходные данные'!$J$2:$J$966,'Исходные данные'!$D$2:$D$966,V$3,'Исходные данные'!$F$2:$F$966,$H17&amp;"")=0,SUMIFS('Исходные данные'!$I$2:$I$966,'Исходные данные'!$D$2:$D$966,V$3,'Исходные данные'!$F$2:$F$966,$H17&amp;""),IF(SUMIFS('Исходные данные'!$I$2:$I$966,'Исходные данные'!$D$2:$D$966,V$3,'Исходные данные'!$F$2:$F$966,$H17&amp;"")=0,"0+"&amp;SUMIFS('Исходные данные'!$J$2:$J$966,'Исходные данные'!$D$2:$D$966,V$3,'Исходные данные'!$F$2:$F$966,$H17&amp;"")&amp;"="&amp;SUMIFS('Исходные данные'!$J$2:$J$966,'Исходные данные'!$D$2:$D$966,V$3,'Исходные данные'!$F$2:$F$966,$H17&amp;""),SUMIFS('Исходные данные'!$I$2:$I$966,'Исходные данные'!$D$2:$D$966,V$3,'Исходные данные'!$F$2:$F$966,$H17&amp;"")&amp;"+"&amp;SUMIFS('Исходные данные'!$J$2:$J$966,'Исходные данные'!$D$2:$D$966,V$3,'Исходные данные'!$F$2:$F$966,$H17&amp;"")&amp;"="&amp;(SUMIFS('Исходные данные'!$I$2:$I$966,'Исходные данные'!$D$2:$D$966,V$3,'Исходные данные'!$F$2:$F$966,$H17&amp;"")+SUMIFS('Исходные данные'!$J$2:$J$966,'Исходные данные'!$D$2:$D$966,V$3,'Исходные данные'!$F$2:$F$966,$H17&amp;"")))))</f>
        <v/>
      </c>
      <c r="W17" s="50" t="str">
        <f aca="false">IF(SUMIFS('Исходные данные'!$I$2:$I$966,'Исходные данные'!$D$2:$D$966,W$3,'Исходные данные'!$F$2:$F$966,$H17&amp;"")+SUMIFS('Исходные данные'!$J$2:$J$966,'Исходные данные'!$D$2:$D$966,W$3,'Исходные данные'!$F$2:$F$966,$H17&amp;"")=0,"",IF(SUMIFS('Исходные данные'!$J$2:$J$966,'Исходные данные'!$D$2:$D$966,W$3,'Исходные данные'!$F$2:$F$966,$H17&amp;"")=0,SUMIFS('Исходные данные'!$I$2:$I$966,'Исходные данные'!$D$2:$D$966,W$3,'Исходные данные'!$F$2:$F$966,$H17&amp;""),IF(SUMIFS('Исходные данные'!$I$2:$I$966,'Исходные данные'!$D$2:$D$966,W$3,'Исходные данные'!$F$2:$F$966,$H17&amp;"")=0,"0+"&amp;SUMIFS('Исходные данные'!$J$2:$J$966,'Исходные данные'!$D$2:$D$966,W$3,'Исходные данные'!$F$2:$F$966,$H17&amp;"")&amp;"="&amp;SUMIFS('Исходные данные'!$J$2:$J$966,'Исходные данные'!$D$2:$D$966,W$3,'Исходные данные'!$F$2:$F$966,$H17&amp;""),SUMIFS('Исходные данные'!$I$2:$I$966,'Исходные данные'!$D$2:$D$966,W$3,'Исходные данные'!$F$2:$F$966,$H17&amp;"")&amp;"+"&amp;SUMIFS('Исходные данные'!$J$2:$J$966,'Исходные данные'!$D$2:$D$966,W$3,'Исходные данные'!$F$2:$F$966,$H17&amp;"")&amp;"="&amp;(SUMIFS('Исходные данные'!$I$2:$I$966,'Исходные данные'!$D$2:$D$966,W$3,'Исходные данные'!$F$2:$F$966,$H17&amp;"")+SUMIFS('Исходные данные'!$J$2:$J$966,'Исходные данные'!$D$2:$D$966,W$3,'Исходные данные'!$F$2:$F$966,$H17&amp;"")))))</f>
        <v/>
      </c>
      <c r="X17" s="50" t="str">
        <f aca="false">IF(SUMIFS('Исходные данные'!$I$2:$I$966,'Исходные данные'!$D$2:$D$966,X$3,'Исходные данные'!$F$2:$F$966,$H17&amp;"")+SUMIFS('Исходные данные'!$J$2:$J$966,'Исходные данные'!$D$2:$D$966,X$3,'Исходные данные'!$F$2:$F$966,$H17&amp;"")=0,"",IF(SUMIFS('Исходные данные'!$J$2:$J$966,'Исходные данные'!$D$2:$D$966,X$3,'Исходные данные'!$F$2:$F$966,$H17&amp;"")=0,SUMIFS('Исходные данные'!$I$2:$I$966,'Исходные данные'!$D$2:$D$966,X$3,'Исходные данные'!$F$2:$F$966,$H17&amp;""),IF(SUMIFS('Исходные данные'!$I$2:$I$966,'Исходные данные'!$D$2:$D$966,X$3,'Исходные данные'!$F$2:$F$966,$H17&amp;"")=0,"0+"&amp;SUMIFS('Исходные данные'!$J$2:$J$966,'Исходные данные'!$D$2:$D$966,X$3,'Исходные данные'!$F$2:$F$966,$H17&amp;"")&amp;"="&amp;SUMIFS('Исходные данные'!$J$2:$J$966,'Исходные данные'!$D$2:$D$966,X$3,'Исходные данные'!$F$2:$F$966,$H17&amp;""),SUMIFS('Исходные данные'!$I$2:$I$966,'Исходные данные'!$D$2:$D$966,X$3,'Исходные данные'!$F$2:$F$966,$H17&amp;"")&amp;"+"&amp;SUMIFS('Исходные данные'!$J$2:$J$966,'Исходные данные'!$D$2:$D$966,X$3,'Исходные данные'!$F$2:$F$966,$H17&amp;"")&amp;"="&amp;(SUMIFS('Исходные данные'!$I$2:$I$966,'Исходные данные'!$D$2:$D$966,X$3,'Исходные данные'!$F$2:$F$966,$H17&amp;"")+SUMIFS('Исходные данные'!$J$2:$J$966,'Исходные данные'!$D$2:$D$966,X$3,'Исходные данные'!$F$2:$F$966,$H17&amp;"")))))</f>
        <v/>
      </c>
      <c r="Y17" s="52" t="str">
        <f aca="false">IF(SUMIFS('Исходные данные'!$I$2:$I$966,'Исходные данные'!$D$2:$D$966,Y$3,'Исходные данные'!$F$2:$F$966,$H17&amp;"")+SUMIFS('Исходные данные'!$J$2:$J$966,'Исходные данные'!$D$2:$D$966,Y$3,'Исходные данные'!$F$2:$F$966,$H17&amp;"")=0,"",IF(SUMIFS('Исходные данные'!$J$2:$J$966,'Исходные данные'!$D$2:$D$966,Y$3,'Исходные данные'!$F$2:$F$966,$H17&amp;"")=0,SUMIFS('Исходные данные'!$I$2:$I$966,'Исходные данные'!$D$2:$D$966,Y$3,'Исходные данные'!$F$2:$F$966,$H17&amp;""),IF(SUMIFS('Исходные данные'!$I$2:$I$966,'Исходные данные'!$D$2:$D$966,Y$3,'Исходные данные'!$F$2:$F$966,$H17&amp;"")=0,"0+"&amp;SUMIFS('Исходные данные'!$J$2:$J$966,'Исходные данные'!$D$2:$D$966,Y$3,'Исходные данные'!$F$2:$F$966,$H17&amp;"")&amp;"="&amp;SUMIFS('Исходные данные'!$J$2:$J$966,'Исходные данные'!$D$2:$D$966,Y$3,'Исходные данные'!$F$2:$F$966,$H17&amp;""),SUMIFS('Исходные данные'!$I$2:$I$966,'Исходные данные'!$D$2:$D$966,Y$3,'Исходные данные'!$F$2:$F$966,$H17&amp;"")&amp;"+"&amp;SUMIFS('Исходные данные'!$J$2:$J$966,'Исходные данные'!$D$2:$D$966,Y$3,'Исходные данные'!$F$2:$F$966,$H17&amp;"")&amp;"="&amp;(SUMIFS('Исходные данные'!$I$2:$I$966,'Исходные данные'!$D$2:$D$966,Y$3,'Исходные данные'!$F$2:$F$966,$H17&amp;"")+SUMIFS('Исходные данные'!$J$2:$J$966,'Исходные данные'!$D$2:$D$966,Y$3,'Исходные данные'!$F$2:$F$966,$H17&amp;"")))))</f>
        <v/>
      </c>
      <c r="Z17" s="49" t="str">
        <f aca="false">IF(SUMIFS('Исходные данные'!$I$2:$I$966,'Исходные данные'!$D$2:$D$966,Z$3,'Исходные данные'!$F$2:$F$966,$H17&amp;"")+SUMIFS('Исходные данные'!$J$2:$J$966,'Исходные данные'!$D$2:$D$966,Z$3,'Исходные данные'!$F$2:$F$966,$H17&amp;"")=0,"",IF(SUMIFS('Исходные данные'!$J$2:$J$966,'Исходные данные'!$D$2:$D$966,Z$3,'Исходные данные'!$F$2:$F$966,$H17&amp;"")=0,SUMIFS('Исходные данные'!$I$2:$I$966,'Исходные данные'!$D$2:$D$966,Z$3,'Исходные данные'!$F$2:$F$966,$H17&amp;""),IF(SUMIFS('Исходные данные'!$I$2:$I$966,'Исходные данные'!$D$2:$D$966,Z$3,'Исходные данные'!$F$2:$F$966,$H17&amp;"")=0,"0+"&amp;SUMIFS('Исходные данные'!$J$2:$J$966,'Исходные данные'!$D$2:$D$966,Z$3,'Исходные данные'!$F$2:$F$966,$H17&amp;"")&amp;"="&amp;SUMIFS('Исходные данные'!$J$2:$J$966,'Исходные данные'!$D$2:$D$966,Z$3,'Исходные данные'!$F$2:$F$966,$H17&amp;""),SUMIFS('Исходные данные'!$I$2:$I$966,'Исходные данные'!$D$2:$D$966,Z$3,'Исходные данные'!$F$2:$F$966,$H17&amp;"")&amp;"+"&amp;SUMIFS('Исходные данные'!$J$2:$J$966,'Исходные данные'!$D$2:$D$966,Z$3,'Исходные данные'!$F$2:$F$966,$H17&amp;"")&amp;"="&amp;(SUMIFS('Исходные данные'!$I$2:$I$966,'Исходные данные'!$D$2:$D$966,Z$3,'Исходные данные'!$F$2:$F$966,$H17&amp;"")+SUMIFS('Исходные данные'!$J$2:$J$966,'Исходные данные'!$D$2:$D$966,Z$3,'Исходные данные'!$F$2:$F$966,$H17&amp;"")))))</f>
        <v/>
      </c>
      <c r="AA17" s="50" t="str">
        <f aca="false">IF(SUMIFS('Исходные данные'!$I$2:$I$966,'Исходные данные'!$D$2:$D$966,AA$3,'Исходные данные'!$F$2:$F$966,$H17&amp;"")+SUMIFS('Исходные данные'!$J$2:$J$966,'Исходные данные'!$D$2:$D$966,AA$3,'Исходные данные'!$F$2:$F$966,$H17&amp;"")=0,"",IF(SUMIFS('Исходные данные'!$J$2:$J$966,'Исходные данные'!$D$2:$D$966,AA$3,'Исходные данные'!$F$2:$F$966,$H17&amp;"")=0,SUMIFS('Исходные данные'!$I$2:$I$966,'Исходные данные'!$D$2:$D$966,AA$3,'Исходные данные'!$F$2:$F$966,$H17&amp;""),IF(SUMIFS('Исходные данные'!$I$2:$I$966,'Исходные данные'!$D$2:$D$966,AA$3,'Исходные данные'!$F$2:$F$966,$H17&amp;"")=0,"0+"&amp;SUMIFS('Исходные данные'!$J$2:$J$966,'Исходные данные'!$D$2:$D$966,AA$3,'Исходные данные'!$F$2:$F$966,$H17&amp;"")&amp;"="&amp;SUMIFS('Исходные данные'!$J$2:$J$966,'Исходные данные'!$D$2:$D$966,AA$3,'Исходные данные'!$F$2:$F$966,$H17&amp;""),SUMIFS('Исходные данные'!$I$2:$I$966,'Исходные данные'!$D$2:$D$966,AA$3,'Исходные данные'!$F$2:$F$966,$H17&amp;"")&amp;"+"&amp;SUMIFS('Исходные данные'!$J$2:$J$966,'Исходные данные'!$D$2:$D$966,AA$3,'Исходные данные'!$F$2:$F$966,$H17&amp;"")&amp;"="&amp;(SUMIFS('Исходные данные'!$I$2:$I$966,'Исходные данные'!$D$2:$D$966,AA$3,'Исходные данные'!$F$2:$F$966,$H17&amp;"")+SUMIFS('Исходные данные'!$J$2:$J$966,'Исходные данные'!$D$2:$D$966,AA$3,'Исходные данные'!$F$2:$F$966,$H17&amp;"")))))</f>
        <v/>
      </c>
      <c r="AB17" s="50" t="str">
        <f aca="false">IF(SUMIFS('Исходные данные'!$I$2:$I$966,'Исходные данные'!$D$2:$D$966,AB$3,'Исходные данные'!$F$2:$F$966,$H17&amp;"")+SUMIFS('Исходные данные'!$J$2:$J$966,'Исходные данные'!$D$2:$D$966,AB$3,'Исходные данные'!$F$2:$F$966,$H17&amp;"")=0,"",IF(SUMIFS('Исходные данные'!$J$2:$J$966,'Исходные данные'!$D$2:$D$966,AB$3,'Исходные данные'!$F$2:$F$966,$H17&amp;"")=0,SUMIFS('Исходные данные'!$I$2:$I$966,'Исходные данные'!$D$2:$D$966,AB$3,'Исходные данные'!$F$2:$F$966,$H17&amp;""),IF(SUMIFS('Исходные данные'!$I$2:$I$966,'Исходные данные'!$D$2:$D$966,AB$3,'Исходные данные'!$F$2:$F$966,$H17&amp;"")=0,"0+"&amp;SUMIFS('Исходные данные'!$J$2:$J$966,'Исходные данные'!$D$2:$D$966,AB$3,'Исходные данные'!$F$2:$F$966,$H17&amp;"")&amp;"="&amp;SUMIFS('Исходные данные'!$J$2:$J$966,'Исходные данные'!$D$2:$D$966,AB$3,'Исходные данные'!$F$2:$F$966,$H17&amp;""),SUMIFS('Исходные данные'!$I$2:$I$966,'Исходные данные'!$D$2:$D$966,AB$3,'Исходные данные'!$F$2:$F$966,$H17&amp;"")&amp;"+"&amp;SUMIFS('Исходные данные'!$J$2:$J$966,'Исходные данные'!$D$2:$D$966,AB$3,'Исходные данные'!$F$2:$F$966,$H17&amp;"")&amp;"="&amp;(SUMIFS('Исходные данные'!$I$2:$I$966,'Исходные данные'!$D$2:$D$966,AB$3,'Исходные данные'!$F$2:$F$966,$H17&amp;"")+SUMIFS('Исходные данные'!$J$2:$J$966,'Исходные данные'!$D$2:$D$966,AB$3,'Исходные данные'!$F$2:$F$966,$H17&amp;"")))))</f>
        <v/>
      </c>
      <c r="AC17" s="52" t="str">
        <f aca="false">IF(SUMIFS('Исходные данные'!$I$2:$I$966,'Исходные данные'!$D$2:$D$966,AC$3,'Исходные данные'!$F$2:$F$966,$H17&amp;"")+SUMIFS('Исходные данные'!$J$2:$J$966,'Исходные данные'!$D$2:$D$966,AC$3,'Исходные данные'!$F$2:$F$966,$H17&amp;"")=0,"",IF(SUMIFS('Исходные данные'!$J$2:$J$966,'Исходные данные'!$D$2:$D$966,AC$3,'Исходные данные'!$F$2:$F$966,$H17&amp;"")=0,SUMIFS('Исходные данные'!$I$2:$I$966,'Исходные данные'!$D$2:$D$966,AC$3,'Исходные данные'!$F$2:$F$966,$H17&amp;""),IF(SUMIFS('Исходные данные'!$I$2:$I$966,'Исходные данные'!$D$2:$D$966,AC$3,'Исходные данные'!$F$2:$F$966,$H17&amp;"")=0,"0+"&amp;SUMIFS('Исходные данные'!$J$2:$J$966,'Исходные данные'!$D$2:$D$966,AC$3,'Исходные данные'!$F$2:$F$966,$H17&amp;"")&amp;"="&amp;SUMIFS('Исходные данные'!$J$2:$J$966,'Исходные данные'!$D$2:$D$966,AC$3,'Исходные данные'!$F$2:$F$966,$H17&amp;""),SUMIFS('Исходные данные'!$I$2:$I$966,'Исходные данные'!$D$2:$D$966,AC$3,'Исходные данные'!$F$2:$F$966,$H17&amp;"")&amp;"+"&amp;SUMIFS('Исходные данные'!$J$2:$J$966,'Исходные данные'!$D$2:$D$966,AC$3,'Исходные данные'!$F$2:$F$966,$H17&amp;"")&amp;"="&amp;(SUMIFS('Исходные данные'!$I$2:$I$966,'Исходные данные'!$D$2:$D$966,AC$3,'Исходные данные'!$F$2:$F$966,$H17&amp;"")+SUMIFS('Исходные данные'!$J$2:$J$966,'Исходные данные'!$D$2:$D$966,AC$3,'Исходные данные'!$F$2:$F$966,$H17&amp;"")))))</f>
        <v>6+7=13</v>
      </c>
      <c r="AD17" s="50" t="str">
        <f aca="false">IF(SUMIFS('Исходные данные'!$I$2:$I$966,'Исходные данные'!$D$2:$D$966,AD$3,'Исходные данные'!$F$2:$F$966,$H17&amp;"")+SUMIFS('Исходные данные'!$J$2:$J$966,'Исходные данные'!$D$2:$D$966,AD$3,'Исходные данные'!$F$2:$F$966,$H17&amp;"")=0,"",IF(SUMIFS('Исходные данные'!$J$2:$J$966,'Исходные данные'!$D$2:$D$966,AD$3,'Исходные данные'!$F$2:$F$966,$H17&amp;"")=0,SUMIFS('Исходные данные'!$I$2:$I$966,'Исходные данные'!$D$2:$D$966,AD$3,'Исходные данные'!$F$2:$F$966,$H17&amp;""),IF(SUMIFS('Исходные данные'!$I$2:$I$966,'Исходные данные'!$D$2:$D$966,AD$3,'Исходные данные'!$F$2:$F$966,$H17&amp;"")=0,"0+"&amp;SUMIFS('Исходные данные'!$J$2:$J$966,'Исходные данные'!$D$2:$D$966,AD$3,'Исходные данные'!$F$2:$F$966,$H17&amp;"")&amp;"="&amp;SUMIFS('Исходные данные'!$J$2:$J$966,'Исходные данные'!$D$2:$D$966,AD$3,'Исходные данные'!$F$2:$F$966,$H17&amp;""),SUMIFS('Исходные данные'!$I$2:$I$966,'Исходные данные'!$D$2:$D$966,AD$3,'Исходные данные'!$F$2:$F$966,$H17&amp;"")&amp;"+"&amp;SUMIFS('Исходные данные'!$J$2:$J$966,'Исходные данные'!$D$2:$D$966,AD$3,'Исходные данные'!$F$2:$F$966,$H17&amp;"")&amp;"="&amp;(SUMIFS('Исходные данные'!$I$2:$I$966,'Исходные данные'!$D$2:$D$966,AD$3,'Исходные данные'!$F$2:$F$966,$H17&amp;"")+SUMIFS('Исходные данные'!$J$2:$J$966,'Исходные данные'!$D$2:$D$966,AD$3,'Исходные данные'!$F$2:$F$966,$H17&amp;"")))))</f>
        <v>5+5=10</v>
      </c>
    </row>
    <row r="18" customFormat="false" ht="25.5" hidden="false" customHeight="true" outlineLevel="0" collapsed="false">
      <c r="A18" s="53" t="n">
        <v>16</v>
      </c>
      <c r="B18" s="28" t="s">
        <v>196</v>
      </c>
      <c r="C18" s="29" t="s">
        <v>20</v>
      </c>
      <c r="D18" s="30"/>
      <c r="E18" s="29" t="s">
        <v>197</v>
      </c>
      <c r="F18" s="29" t="s">
        <v>7</v>
      </c>
      <c r="G18" s="64"/>
      <c r="H18" s="32"/>
      <c r="I18" s="55"/>
      <c r="J18" s="56"/>
      <c r="K18" s="57"/>
      <c r="L18" s="58"/>
      <c r="M18" s="59"/>
      <c r="N18" s="59"/>
      <c r="O18" s="60" t="str">
        <f aca="false">IF(SUMIFS('Исходные данные'!$I$2:$I$966,'Исходные данные'!$D$2:$D$966,O$3,'Исходные данные'!$F$2:$F$966,$H19&amp;"",'Исходные данные'!$L$2:$L$966,"УТТ")+SUMIFS('Исходные данные'!$J$2:$J$966,'Исходные данные'!$D$2:$D$966,O$3,'Исходные данные'!$F$2:$F$966,$H19&amp;"",'Исходные данные'!$L$2:$L$966,"УТТ")=0,"","утт-"&amp;(SUMIFS('Исходные данные'!$I$2:$I$966,'Исходные данные'!$D$2:$D$966,O$3,'Исходные данные'!$F$2:$F$966,$H19&amp;"",'Исходные данные'!$L$2:$L$966,"УТТ")+SUMIFS('Исходные данные'!$J$2:$J$966,'Исходные данные'!$D$2:$D$966,O$3,'Исходные данные'!$F$2:$F$966,$H19&amp;"",'Исходные данные'!$L$2:$L$966,"УТТ")))</f>
        <v>утт-3</v>
      </c>
      <c r="P18" s="61" t="str">
        <f aca="false">IF(SUMIFS('Исходные данные'!$I$2:$I$966,'Исходные данные'!$D$2:$D$966,P$3,'Исходные данные'!$F$2:$F$966,$H19&amp;"",'Исходные данные'!$L$2:$L$966,"УТТ")+SUMIFS('Исходные данные'!$J$2:$J$966,'Исходные данные'!$D$2:$D$966,P$3,'Исходные данные'!$F$2:$F$966,$H19&amp;"",'Исходные данные'!$L$2:$L$966,"УТТ")=0,"","утт-"&amp;(SUMIFS('Исходные данные'!$I$2:$I$966,'Исходные данные'!$D$2:$D$966,P$3,'Исходные данные'!$F$2:$F$966,$H19&amp;"",'Исходные данные'!$L$2:$L$966,"УТТ")+SUMIFS('Исходные данные'!$J$2:$J$966,'Исходные данные'!$D$2:$D$966,P$3,'Исходные данные'!$F$2:$F$966,$H19&amp;"",'Исходные данные'!$L$2:$L$966,"УТТ")))</f>
        <v/>
      </c>
      <c r="Q18" s="60" t="str">
        <f aca="false">IF(SUMIFS('Исходные данные'!$I$2:$I$966,'Исходные данные'!$D$2:$D$966,Q$3,'Исходные данные'!$F$2:$F$966,$H19&amp;"",'Исходные данные'!$L$2:$L$966,"УТТ")+SUMIFS('Исходные данные'!$J$2:$J$966,'Исходные данные'!$D$2:$D$966,Q$3,'Исходные данные'!$F$2:$F$966,$H19&amp;"",'Исходные данные'!$L$2:$L$966,"УТТ")=0,"","утт-"&amp;(SUMIFS('Исходные данные'!$I$2:$I$966,'Исходные данные'!$D$2:$D$966,Q$3,'Исходные данные'!$F$2:$F$966,$H19&amp;"",'Исходные данные'!$L$2:$L$966,"УТТ")+SUMIFS('Исходные данные'!$J$2:$J$966,'Исходные данные'!$D$2:$D$966,Q$3,'Исходные данные'!$F$2:$F$966,$H19&amp;"",'Исходные данные'!$L$2:$L$966,"УТТ")))</f>
        <v/>
      </c>
      <c r="R18" s="62" t="str">
        <f aca="false">IF(SUMIFS('Исходные данные'!$I$2:$I$966,'Исходные данные'!$D$2:$D$966,R$3,'Исходные данные'!$F$2:$F$966,$H19&amp;"",'Исходные данные'!$L$2:$L$966,"УТТ")+SUMIFS('Исходные данные'!$J$2:$J$966,'Исходные данные'!$D$2:$D$966,R$3,'Исходные данные'!$F$2:$F$966,$H19&amp;"",'Исходные данные'!$L$2:$L$966,"УТТ")=0,"","утт-"&amp;(SUMIFS('Исходные данные'!$I$2:$I$966,'Исходные данные'!$D$2:$D$966,R$3,'Исходные данные'!$F$2:$F$966,$H19&amp;"",'Исходные данные'!$L$2:$L$966,"УТТ")+SUMIFS('Исходные данные'!$J$2:$J$966,'Исходные данные'!$D$2:$D$966,R$3,'Исходные данные'!$F$2:$F$966,$H19&amp;"",'Исходные данные'!$L$2:$L$966,"УТТ")))</f>
        <v/>
      </c>
      <c r="S18" s="61" t="str">
        <f aca="false">IF(SUMIFS('Исходные данные'!$I$2:$I$966,'Исходные данные'!$D$2:$D$966,S$3,'Исходные данные'!$F$2:$F$966,$H19&amp;"",'Исходные данные'!$L$2:$L$966,"УТТ")+SUMIFS('Исходные данные'!$J$2:$J$966,'Исходные данные'!$D$2:$D$966,S$3,'Исходные данные'!$F$2:$F$966,$H19&amp;"",'Исходные данные'!$L$2:$L$966,"УТТ")=0,"","утт-"&amp;(SUMIFS('Исходные данные'!$I$2:$I$966,'Исходные данные'!$D$2:$D$966,S$3,'Исходные данные'!$F$2:$F$966,$H19&amp;"",'Исходные данные'!$L$2:$L$966,"УТТ")+SUMIFS('Исходные данные'!$J$2:$J$966,'Исходные данные'!$D$2:$D$966,S$3,'Исходные данные'!$F$2:$F$966,$H19&amp;"",'Исходные данные'!$L$2:$L$966,"УТТ")))</f>
        <v/>
      </c>
      <c r="T18" s="60" t="str">
        <f aca="false">IF(SUMIFS('Исходные данные'!$I$2:$I$966,'Исходные данные'!$D$2:$D$966,T$3,'Исходные данные'!$F$2:$F$966,$H19&amp;"",'Исходные данные'!$L$2:$L$966,"УТТ")+SUMIFS('Исходные данные'!$J$2:$J$966,'Исходные данные'!$D$2:$D$966,T$3,'Исходные данные'!$F$2:$F$966,$H19&amp;"",'Исходные данные'!$L$2:$L$966,"УТТ")=0,"","утт-"&amp;(SUMIFS('Исходные данные'!$I$2:$I$966,'Исходные данные'!$D$2:$D$966,T$3,'Исходные данные'!$F$2:$F$966,$H19&amp;"",'Исходные данные'!$L$2:$L$966,"УТТ")+SUMIFS('Исходные данные'!$J$2:$J$966,'Исходные данные'!$D$2:$D$966,T$3,'Исходные данные'!$F$2:$F$966,$H19&amp;"",'Исходные данные'!$L$2:$L$966,"УТТ")))</f>
        <v/>
      </c>
      <c r="U18" s="61" t="str">
        <f aca="false">IF(SUMIFS('Исходные данные'!$I$2:$I$966,'Исходные данные'!$D$2:$D$966,U$3,'Исходные данные'!$F$2:$F$966,$H19&amp;"",'Исходные данные'!$L$2:$L$966,"УТТ")+SUMIFS('Исходные данные'!$J$2:$J$966,'Исходные данные'!$D$2:$D$966,U$3,'Исходные данные'!$F$2:$F$966,$H19&amp;"",'Исходные данные'!$L$2:$L$966,"УТТ")=0,"","утт-"&amp;(SUMIFS('Исходные данные'!$I$2:$I$966,'Исходные данные'!$D$2:$D$966,U$3,'Исходные данные'!$F$2:$F$966,$H19&amp;"",'Исходные данные'!$L$2:$L$966,"УТТ")+SUMIFS('Исходные данные'!$J$2:$J$966,'Исходные данные'!$D$2:$D$966,U$3,'Исходные данные'!$F$2:$F$966,$H19&amp;"",'Исходные данные'!$L$2:$L$966,"УТТ")))</f>
        <v/>
      </c>
      <c r="V18" s="60" t="str">
        <f aca="false">IF(SUMIFS('Исходные данные'!$I$2:$I$966,'Исходные данные'!$D$2:$D$966,V$3,'Исходные данные'!$F$2:$F$966,$H19&amp;"",'Исходные данные'!$L$2:$L$966,"УТТ")+SUMIFS('Исходные данные'!$J$2:$J$966,'Исходные данные'!$D$2:$D$966,V$3,'Исходные данные'!$F$2:$F$966,$H19&amp;"",'Исходные данные'!$L$2:$L$966,"УТТ")=0,"","утт-"&amp;(SUMIFS('Исходные данные'!$I$2:$I$966,'Исходные данные'!$D$2:$D$966,V$3,'Исходные данные'!$F$2:$F$966,$H19&amp;"",'Исходные данные'!$L$2:$L$966,"УТТ")+SUMIFS('Исходные данные'!$J$2:$J$966,'Исходные данные'!$D$2:$D$966,V$3,'Исходные данные'!$F$2:$F$966,$H19&amp;"",'Исходные данные'!$L$2:$L$966,"УТТ")))</f>
        <v/>
      </c>
      <c r="W18" s="61" t="str">
        <f aca="false">IF(SUMIFS('Исходные данные'!$I$2:$I$966,'Исходные данные'!$D$2:$D$966,W$3,'Исходные данные'!$F$2:$F$966,$H19&amp;"",'Исходные данные'!$L$2:$L$966,"УТТ")+SUMIFS('Исходные данные'!$J$2:$J$966,'Исходные данные'!$D$2:$D$966,W$3,'Исходные данные'!$F$2:$F$966,$H19&amp;"",'Исходные данные'!$L$2:$L$966,"УТТ")=0,"","утт-"&amp;(SUMIFS('Исходные данные'!$I$2:$I$966,'Исходные данные'!$D$2:$D$966,W$3,'Исходные данные'!$F$2:$F$966,$H19&amp;"",'Исходные данные'!$L$2:$L$966,"УТТ")+SUMIFS('Исходные данные'!$J$2:$J$966,'Исходные данные'!$D$2:$D$966,W$3,'Исходные данные'!$F$2:$F$966,$H19&amp;"",'Исходные данные'!$L$2:$L$966,"УТТ")))</f>
        <v/>
      </c>
      <c r="X18" s="61" t="str">
        <f aca="false">IF(SUMIFS('Исходные данные'!$I$2:$I$966,'Исходные данные'!$D$2:$D$966,X$3,'Исходные данные'!$F$2:$F$966,$H19&amp;"",'Исходные данные'!$L$2:$L$966,"УТТ")+SUMIFS('Исходные данные'!$J$2:$J$966,'Исходные данные'!$D$2:$D$966,X$3,'Исходные данные'!$F$2:$F$966,$H19&amp;"",'Исходные данные'!$L$2:$L$966,"УТТ")=0,"","утт-"&amp;(SUMIFS('Исходные данные'!$I$2:$I$966,'Исходные данные'!$D$2:$D$966,X$3,'Исходные данные'!$F$2:$F$966,$H19&amp;"",'Исходные данные'!$L$2:$L$966,"УТТ")+SUMIFS('Исходные данные'!$J$2:$J$966,'Исходные данные'!$D$2:$D$966,X$3,'Исходные данные'!$F$2:$F$966,$H19&amp;"",'Исходные данные'!$L$2:$L$966,"УТТ")))</f>
        <v/>
      </c>
      <c r="Y18" s="63" t="str">
        <f aca="false">IF(SUMIFS('Исходные данные'!$I$2:$I$966,'Исходные данные'!$D$2:$D$966,Y$3,'Исходные данные'!$F$2:$F$966,$H19&amp;"",'Исходные данные'!$L$2:$L$966,"УТТ")+SUMIFS('Исходные данные'!$J$2:$J$966,'Исходные данные'!$D$2:$D$966,Y$3,'Исходные данные'!$F$2:$F$966,$H19&amp;"",'Исходные данные'!$L$2:$L$966,"УТТ")=0,"","утт-"&amp;(SUMIFS('Исходные данные'!$I$2:$I$966,'Исходные данные'!$D$2:$D$966,Y$3,'Исходные данные'!$F$2:$F$966,$H19&amp;"",'Исходные данные'!$L$2:$L$966,"УТТ")+SUMIFS('Исходные данные'!$J$2:$J$966,'Исходные данные'!$D$2:$D$966,Y$3,'Исходные данные'!$F$2:$F$966,$H19&amp;"",'Исходные данные'!$L$2:$L$966,"УТТ")))</f>
        <v/>
      </c>
      <c r="Z18" s="60" t="str">
        <f aca="false">IF(SUMIFS('Исходные данные'!$I$2:$I$966,'Исходные данные'!$D$2:$D$966,Z$3,'Исходные данные'!$F$2:$F$966,$H19&amp;"",'Исходные данные'!$L$2:$L$966,"УТТ")+SUMIFS('Исходные данные'!$J$2:$J$966,'Исходные данные'!$D$2:$D$966,Z$3,'Исходные данные'!$F$2:$F$966,$H19&amp;"",'Исходные данные'!$L$2:$L$966,"УТТ")=0,"","утт-"&amp;(SUMIFS('Исходные данные'!$I$2:$I$966,'Исходные данные'!$D$2:$D$966,Z$3,'Исходные данные'!$F$2:$F$966,$H19&amp;"",'Исходные данные'!$L$2:$L$966,"УТТ")+SUMIFS('Исходные данные'!$J$2:$J$966,'Исходные данные'!$D$2:$D$966,Z$3,'Исходные данные'!$F$2:$F$966,$H19&amp;"",'Исходные данные'!$L$2:$L$966,"УТТ")))</f>
        <v/>
      </c>
      <c r="AA18" s="61" t="str">
        <f aca="false">IF(SUMIFS('Исходные данные'!$I$2:$I$966,'Исходные данные'!$D$2:$D$966,AA$3,'Исходные данные'!$F$2:$F$966,$H19&amp;"",'Исходные данные'!$L$2:$L$966,"УТТ")+SUMIFS('Исходные данные'!$J$2:$J$966,'Исходные данные'!$D$2:$D$966,AA$3,'Исходные данные'!$F$2:$F$966,$H19&amp;"",'Исходные данные'!$L$2:$L$966,"УТТ")=0,"","утт-"&amp;(SUMIFS('Исходные данные'!$I$2:$I$966,'Исходные данные'!$D$2:$D$966,AA$3,'Исходные данные'!$F$2:$F$966,$H19&amp;"",'Исходные данные'!$L$2:$L$966,"УТТ")+SUMIFS('Исходные данные'!$J$2:$J$966,'Исходные данные'!$D$2:$D$966,AA$3,'Исходные данные'!$F$2:$F$966,$H19&amp;"",'Исходные данные'!$L$2:$L$966,"УТТ")))</f>
        <v/>
      </c>
      <c r="AB18" s="61" t="str">
        <f aca="false">IF(SUMIFS('Исходные данные'!$I$2:$I$966,'Исходные данные'!$D$2:$D$966,AB$3,'Исходные данные'!$F$2:$F$966,$H19&amp;"",'Исходные данные'!$L$2:$L$966,"УТТ")+SUMIFS('Исходные данные'!$J$2:$J$966,'Исходные данные'!$D$2:$D$966,AB$3,'Исходные данные'!$F$2:$F$966,$H19&amp;"",'Исходные данные'!$L$2:$L$966,"УТТ")=0,"","утт-"&amp;(SUMIFS('Исходные данные'!$I$2:$I$966,'Исходные данные'!$D$2:$D$966,AB$3,'Исходные данные'!$F$2:$F$966,$H19&amp;"",'Исходные данные'!$L$2:$L$966,"УТТ")+SUMIFS('Исходные данные'!$J$2:$J$966,'Исходные данные'!$D$2:$D$966,AB$3,'Исходные данные'!$F$2:$F$966,$H19&amp;"",'Исходные данные'!$L$2:$L$966,"УТТ")))</f>
        <v/>
      </c>
      <c r="AC18" s="60" t="str">
        <f aca="false">IF(SUMIFS('Исходные данные'!$I$2:$I$966,'Исходные данные'!$D$2:$D$966,AC$3,'Исходные данные'!$F$2:$F$966,$H19&amp;"",'Исходные данные'!$L$2:$L$966,"УТТ")+SUMIFS('Исходные данные'!$J$2:$J$966,'Исходные данные'!$D$2:$D$966,AC$3,'Исходные данные'!$F$2:$F$966,$H19&amp;"",'Исходные данные'!$L$2:$L$966,"УТТ")=0,"","утт-"&amp;(SUMIFS('Исходные данные'!$I$2:$I$966,'Исходные данные'!$D$2:$D$966,AC$3,'Исходные данные'!$F$2:$F$966,$H19&amp;"",'Исходные данные'!$L$2:$L$966,"УТТ")+SUMIFS('Исходные данные'!$J$2:$J$966,'Исходные данные'!$D$2:$D$966,AC$3,'Исходные данные'!$F$2:$F$966,$H19&amp;"",'Исходные данные'!$L$2:$L$966,"УТТ")))</f>
        <v/>
      </c>
      <c r="AD18" s="61" t="str">
        <f aca="false">IF(SUMIFS('Исходные данные'!$I$2:$I$966,'Исходные данные'!$D$2:$D$966,AD$3,'Исходные данные'!$F$2:$F$966,$H19&amp;"",'Исходные данные'!$L$2:$L$966,"УТТ")+SUMIFS('Исходные данные'!$J$2:$J$966,'Исходные данные'!$D$2:$D$966,AD$3,'Исходные данные'!$F$2:$F$966,$H19&amp;"",'Исходные данные'!$L$2:$L$966,"УТТ")=0,"","утт-"&amp;(SUMIFS('Исходные данные'!$I$2:$I$966,'Исходные данные'!$D$2:$D$966,AD$3,'Исходные данные'!$F$2:$F$966,$H19&amp;"",'Исходные данные'!$L$2:$L$966,"УТТ")+SUMIFS('Исходные данные'!$J$2:$J$966,'Исходные данные'!$D$2:$D$966,AD$3,'Исходные данные'!$F$2:$F$966,$H19&amp;"",'Исходные данные'!$L$2:$L$966,"УТТ")))</f>
        <v>утт-10</v>
      </c>
    </row>
    <row r="19" customFormat="false" ht="25.5" hidden="false" customHeight="true" outlineLevel="0" collapsed="false">
      <c r="A19" s="27" t="n">
        <v>17</v>
      </c>
      <c r="B19" s="28" t="s">
        <v>198</v>
      </c>
      <c r="C19" s="29" t="s">
        <v>20</v>
      </c>
      <c r="D19" s="30"/>
      <c r="E19" s="29" t="s">
        <v>199</v>
      </c>
      <c r="F19" s="29" t="s">
        <v>8</v>
      </c>
      <c r="G19" s="64"/>
      <c r="H19" s="32" t="n">
        <v>35</v>
      </c>
      <c r="I19" s="44" t="s">
        <v>68</v>
      </c>
      <c r="J19" s="45" t="n">
        <f aca="false">IFERROR(INDEX('Выход ТС'!$C:$C,MATCH($H19&amp;"",'Выход ТС'!$A:$A,0)),"")</f>
        <v>52</v>
      </c>
      <c r="K19" s="46" t="n">
        <f aca="false">IFERROR(INDEX('Выход ТС'!$D:$D,MATCH($H19&amp;"",'Выход ТС'!$A:$A,0)),"")</f>
        <v>51</v>
      </c>
      <c r="L19" s="47" t="n">
        <f aca="false">IFERROR(INDEX('Выход ТС'!$E:$E,MATCH($H19&amp;"",'Выход ТС'!$A:$A,0)),"")</f>
        <v>-1</v>
      </c>
      <c r="M19" s="48" t="n">
        <f aca="false">IFERROR(IF(INDEX('Выход ТС'!$F:$F,MATCH($H19&amp;"",'Выход ТС'!$A:$A,0))=0,"",INDEX('Выход ТС'!$F:$F,MATCH($H19&amp;"",'Выход ТС'!$A:$A,0))),"")</f>
        <v>32</v>
      </c>
      <c r="N19" s="48" t="n">
        <f aca="false">IFERROR(IF(INDEX('Выход ТС'!$G:$G,MATCH($H19&amp;"",'Выход ТС'!$A:$A,0))=0,"",INDEX('Выход ТС'!$G:$G,MATCH($H19&amp;"",'Выход ТС'!$A:$A,0))),"")</f>
        <v>19</v>
      </c>
      <c r="O19" s="52" t="str">
        <f aca="false">IF(SUMIFS('Исходные данные'!$I$2:$I$966,'Исходные данные'!$D$2:$D$966,O$3,'Исходные данные'!$F$2:$F$966,$H19&amp;"")+SUMIFS('Исходные данные'!$J$2:$J$966,'Исходные данные'!$D$2:$D$966,O$3,'Исходные данные'!$F$2:$F$966,$H19&amp;"")=0,"",IF(SUMIFS('Исходные данные'!$J$2:$J$966,'Исходные данные'!$D$2:$D$966,O$3,'Исходные данные'!$F$2:$F$966,$H19&amp;"")=0,SUMIFS('Исходные данные'!$I$2:$I$966,'Исходные данные'!$D$2:$D$966,O$3,'Исходные данные'!$F$2:$F$966,$H19&amp;""),IF(SUMIFS('Исходные данные'!$I$2:$I$966,'Исходные данные'!$D$2:$D$966,O$3,'Исходные данные'!$F$2:$F$966,$H19&amp;"")=0,"0+"&amp;SUMIFS('Исходные данные'!$J$2:$J$966,'Исходные данные'!$D$2:$D$966,O$3,'Исходные данные'!$F$2:$F$966,$H19&amp;"")&amp;"="&amp;SUMIFS('Исходные данные'!$J$2:$J$966,'Исходные данные'!$D$2:$D$966,O$3,'Исходные данные'!$F$2:$F$966,$H19&amp;""),SUMIFS('Исходные данные'!$I$2:$I$966,'Исходные данные'!$D$2:$D$966,O$3,'Исходные данные'!$F$2:$F$966,$H19&amp;"")&amp;"+"&amp;SUMIFS('Исходные данные'!$J$2:$J$966,'Исходные данные'!$D$2:$D$966,O$3,'Исходные данные'!$F$2:$F$966,$H19&amp;"")&amp;"="&amp;(SUMIFS('Исходные данные'!$I$2:$I$966,'Исходные данные'!$D$2:$D$966,O$3,'Исходные данные'!$F$2:$F$966,$H19&amp;"")+SUMIFS('Исходные данные'!$J$2:$J$966,'Исходные данные'!$D$2:$D$966,O$3,'Исходные данные'!$F$2:$F$966,$H19&amp;"")))))</f>
        <v>4+2=6</v>
      </c>
      <c r="P19" s="50" t="n">
        <f aca="false">IF(SUMIFS('Исходные данные'!$I$2:$I$966,'Исходные данные'!$D$2:$D$966,P$3,'Исходные данные'!$F$2:$F$966,$H19&amp;"")+SUMIFS('Исходные данные'!$J$2:$J$966,'Исходные данные'!$D$2:$D$966,P$3,'Исходные данные'!$F$2:$F$966,$H19&amp;"")=0,"",IF(SUMIFS('Исходные данные'!$J$2:$J$966,'Исходные данные'!$D$2:$D$966,P$3,'Исходные данные'!$F$2:$F$966,$H19&amp;"")=0,SUMIFS('Исходные данные'!$I$2:$I$966,'Исходные данные'!$D$2:$D$966,P$3,'Исходные данные'!$F$2:$F$966,$H19&amp;""),IF(SUMIFS('Исходные данные'!$I$2:$I$966,'Исходные данные'!$D$2:$D$966,P$3,'Исходные данные'!$F$2:$F$966,$H19&amp;"")=0,"0+"&amp;SUMIFS('Исходные данные'!$J$2:$J$966,'Исходные данные'!$D$2:$D$966,P$3,'Исходные данные'!$F$2:$F$966,$H19&amp;"")&amp;"="&amp;SUMIFS('Исходные данные'!$J$2:$J$966,'Исходные данные'!$D$2:$D$966,P$3,'Исходные данные'!$F$2:$F$966,$H19&amp;""),SUMIFS('Исходные данные'!$I$2:$I$966,'Исходные данные'!$D$2:$D$966,P$3,'Исходные данные'!$F$2:$F$966,$H19&amp;"")&amp;"+"&amp;SUMIFS('Исходные данные'!$J$2:$J$966,'Исходные данные'!$D$2:$D$966,P$3,'Исходные данные'!$F$2:$F$966,$H19&amp;"")&amp;"="&amp;(SUMIFS('Исходные данные'!$I$2:$I$966,'Исходные данные'!$D$2:$D$966,P$3,'Исходные данные'!$F$2:$F$966,$H19&amp;"")+SUMIFS('Исходные данные'!$J$2:$J$966,'Исходные данные'!$D$2:$D$966,P$3,'Исходные данные'!$F$2:$F$966,$H19&amp;"")))))</f>
        <v>2</v>
      </c>
      <c r="Q19" s="50" t="str">
        <f aca="false">IF(SUMIFS('Исходные данные'!$I$2:$I$966,'Исходные данные'!$D$2:$D$966,Q$3,'Исходные данные'!$F$2:$F$966,$H19&amp;"")+SUMIFS('Исходные данные'!$J$2:$J$966,'Исходные данные'!$D$2:$D$966,Q$3,'Исходные данные'!$F$2:$F$966,$H19&amp;"")=0,"",IF(SUMIFS('Исходные данные'!$J$2:$J$966,'Исходные данные'!$D$2:$D$966,Q$3,'Исходные данные'!$F$2:$F$966,$H19&amp;"")=0,SUMIFS('Исходные данные'!$I$2:$I$966,'Исходные данные'!$D$2:$D$966,Q$3,'Исходные данные'!$F$2:$F$966,$H19&amp;""),IF(SUMIFS('Исходные данные'!$I$2:$I$966,'Исходные данные'!$D$2:$D$966,Q$3,'Исходные данные'!$F$2:$F$966,$H19&amp;"")=0,"0+"&amp;SUMIFS('Исходные данные'!$J$2:$J$966,'Исходные данные'!$D$2:$D$966,Q$3,'Исходные данные'!$F$2:$F$966,$H19&amp;"")&amp;"="&amp;SUMIFS('Исходные данные'!$J$2:$J$966,'Исходные данные'!$D$2:$D$966,Q$3,'Исходные данные'!$F$2:$F$966,$H19&amp;""),SUMIFS('Исходные данные'!$I$2:$I$966,'Исходные данные'!$D$2:$D$966,Q$3,'Исходные данные'!$F$2:$F$966,$H19&amp;"")&amp;"+"&amp;SUMIFS('Исходные данные'!$J$2:$J$966,'Исходные данные'!$D$2:$D$966,Q$3,'Исходные данные'!$F$2:$F$966,$H19&amp;"")&amp;"="&amp;(SUMIFS('Исходные данные'!$I$2:$I$966,'Исходные данные'!$D$2:$D$966,Q$3,'Исходные данные'!$F$2:$F$966,$H19&amp;"")+SUMIFS('Исходные данные'!$J$2:$J$966,'Исходные данные'!$D$2:$D$966,Q$3,'Исходные данные'!$F$2:$F$966,$H19&amp;"")))))</f>
        <v>12+3=15</v>
      </c>
      <c r="R19" s="51" t="str">
        <f aca="false">IF(SUMIFS('Исходные данные'!$I$2:$I$966,'Исходные данные'!$D$2:$D$966,R$3,'Исходные данные'!$F$2:$F$966,$H19&amp;"")+SUMIFS('Исходные данные'!$J$2:$J$966,'Исходные данные'!$D$2:$D$966,R$3,'Исходные данные'!$F$2:$F$966,$H19&amp;"")=0,"",IF(SUMIFS('Исходные данные'!$J$2:$J$966,'Исходные данные'!$D$2:$D$966,R$3,'Исходные данные'!$F$2:$F$966,$H19&amp;"")=0,SUMIFS('Исходные данные'!$I$2:$I$966,'Исходные данные'!$D$2:$D$966,R$3,'Исходные данные'!$F$2:$F$966,$H19&amp;""),IF(SUMIFS('Исходные данные'!$I$2:$I$966,'Исходные данные'!$D$2:$D$966,R$3,'Исходные данные'!$F$2:$F$966,$H19&amp;"")=0,"0+"&amp;SUMIFS('Исходные данные'!$J$2:$J$966,'Исходные данные'!$D$2:$D$966,R$3,'Исходные данные'!$F$2:$F$966,$H19&amp;"")&amp;"="&amp;SUMIFS('Исходные данные'!$J$2:$J$966,'Исходные данные'!$D$2:$D$966,R$3,'Исходные данные'!$F$2:$F$966,$H19&amp;""),SUMIFS('Исходные данные'!$I$2:$I$966,'Исходные данные'!$D$2:$D$966,R$3,'Исходные данные'!$F$2:$F$966,$H19&amp;"")&amp;"+"&amp;SUMIFS('Исходные данные'!$J$2:$J$966,'Исходные данные'!$D$2:$D$966,R$3,'Исходные данные'!$F$2:$F$966,$H19&amp;"")&amp;"="&amp;(SUMIFS('Исходные данные'!$I$2:$I$966,'Исходные данные'!$D$2:$D$966,R$3,'Исходные данные'!$F$2:$F$966,$H19&amp;"")+SUMIFS('Исходные данные'!$J$2:$J$966,'Исходные данные'!$D$2:$D$966,R$3,'Исходные данные'!$F$2:$F$966,$H19&amp;"")))))</f>
        <v/>
      </c>
      <c r="S19" s="50" t="str">
        <f aca="false">IF(SUMIFS('Исходные данные'!$I$2:$I$966,'Исходные данные'!$D$2:$D$966,S$3,'Исходные данные'!$F$2:$F$966,$H19&amp;"")+SUMIFS('Исходные данные'!$J$2:$J$966,'Исходные данные'!$D$2:$D$966,S$3,'Исходные данные'!$F$2:$F$966,$H19&amp;"")=0,"",IF(SUMIFS('Исходные данные'!$J$2:$J$966,'Исходные данные'!$D$2:$D$966,S$3,'Исходные данные'!$F$2:$F$966,$H19&amp;"")=0,SUMIFS('Исходные данные'!$I$2:$I$966,'Исходные данные'!$D$2:$D$966,S$3,'Исходные данные'!$F$2:$F$966,$H19&amp;""),IF(SUMIFS('Исходные данные'!$I$2:$I$966,'Исходные данные'!$D$2:$D$966,S$3,'Исходные данные'!$F$2:$F$966,$H19&amp;"")=0,"0+"&amp;SUMIFS('Исходные данные'!$J$2:$J$966,'Исходные данные'!$D$2:$D$966,S$3,'Исходные данные'!$F$2:$F$966,$H19&amp;"")&amp;"="&amp;SUMIFS('Исходные данные'!$J$2:$J$966,'Исходные данные'!$D$2:$D$966,S$3,'Исходные данные'!$F$2:$F$966,$H19&amp;""),SUMIFS('Исходные данные'!$I$2:$I$966,'Исходные данные'!$D$2:$D$966,S$3,'Исходные данные'!$F$2:$F$966,$H19&amp;"")&amp;"+"&amp;SUMIFS('Исходные данные'!$J$2:$J$966,'Исходные данные'!$D$2:$D$966,S$3,'Исходные данные'!$F$2:$F$966,$H19&amp;"")&amp;"="&amp;(SUMIFS('Исходные данные'!$I$2:$I$966,'Исходные данные'!$D$2:$D$966,S$3,'Исходные данные'!$F$2:$F$966,$H19&amp;"")+SUMIFS('Исходные данные'!$J$2:$J$966,'Исходные данные'!$D$2:$D$966,S$3,'Исходные данные'!$F$2:$F$966,$H19&amp;"")))))</f>
        <v/>
      </c>
      <c r="T19" s="49" t="str">
        <f aca="false">IF(SUMIFS('Исходные данные'!$I$2:$I$966,'Исходные данные'!$D$2:$D$966,T$3,'Исходные данные'!$F$2:$F$966,$H19&amp;"")+SUMIFS('Исходные данные'!$J$2:$J$966,'Исходные данные'!$D$2:$D$966,T$3,'Исходные данные'!$F$2:$F$966,$H19&amp;"")=0,"",IF(SUMIFS('Исходные данные'!$J$2:$J$966,'Исходные данные'!$D$2:$D$966,T$3,'Исходные данные'!$F$2:$F$966,$H19&amp;"")=0,SUMIFS('Исходные данные'!$I$2:$I$966,'Исходные данные'!$D$2:$D$966,T$3,'Исходные данные'!$F$2:$F$966,$H19&amp;""),IF(SUMIFS('Исходные данные'!$I$2:$I$966,'Исходные данные'!$D$2:$D$966,T$3,'Исходные данные'!$F$2:$F$966,$H19&amp;"")=0,"0+"&amp;SUMIFS('Исходные данные'!$J$2:$J$966,'Исходные данные'!$D$2:$D$966,T$3,'Исходные данные'!$F$2:$F$966,$H19&amp;"")&amp;"="&amp;SUMIFS('Исходные данные'!$J$2:$J$966,'Исходные данные'!$D$2:$D$966,T$3,'Исходные данные'!$F$2:$F$966,$H19&amp;""),SUMIFS('Исходные данные'!$I$2:$I$966,'Исходные данные'!$D$2:$D$966,T$3,'Исходные данные'!$F$2:$F$966,$H19&amp;"")&amp;"+"&amp;SUMIFS('Исходные данные'!$J$2:$J$966,'Исходные данные'!$D$2:$D$966,T$3,'Исходные данные'!$F$2:$F$966,$H19&amp;"")&amp;"="&amp;(SUMIFS('Исходные данные'!$I$2:$I$966,'Исходные данные'!$D$2:$D$966,T$3,'Исходные данные'!$F$2:$F$966,$H19&amp;"")+SUMIFS('Исходные данные'!$J$2:$J$966,'Исходные данные'!$D$2:$D$966,T$3,'Исходные данные'!$F$2:$F$966,$H19&amp;"")))))</f>
        <v/>
      </c>
      <c r="U19" s="50" t="str">
        <f aca="false">IF(SUMIFS('Исходные данные'!$I$2:$I$966,'Исходные данные'!$D$2:$D$966,U$3,'Исходные данные'!$F$2:$F$966,$H19&amp;"")+SUMIFS('Исходные данные'!$J$2:$J$966,'Исходные данные'!$D$2:$D$966,U$3,'Исходные данные'!$F$2:$F$966,$H19&amp;"")=0,"",IF(SUMIFS('Исходные данные'!$J$2:$J$966,'Исходные данные'!$D$2:$D$966,U$3,'Исходные данные'!$F$2:$F$966,$H19&amp;"")=0,SUMIFS('Исходные данные'!$I$2:$I$966,'Исходные данные'!$D$2:$D$966,U$3,'Исходные данные'!$F$2:$F$966,$H19&amp;""),IF(SUMIFS('Исходные данные'!$I$2:$I$966,'Исходные данные'!$D$2:$D$966,U$3,'Исходные данные'!$F$2:$F$966,$H19&amp;"")=0,"0+"&amp;SUMIFS('Исходные данные'!$J$2:$J$966,'Исходные данные'!$D$2:$D$966,U$3,'Исходные данные'!$F$2:$F$966,$H19&amp;"")&amp;"="&amp;SUMIFS('Исходные данные'!$J$2:$J$966,'Исходные данные'!$D$2:$D$966,U$3,'Исходные данные'!$F$2:$F$966,$H19&amp;""),SUMIFS('Исходные данные'!$I$2:$I$966,'Исходные данные'!$D$2:$D$966,U$3,'Исходные данные'!$F$2:$F$966,$H19&amp;"")&amp;"+"&amp;SUMIFS('Исходные данные'!$J$2:$J$966,'Исходные данные'!$D$2:$D$966,U$3,'Исходные данные'!$F$2:$F$966,$H19&amp;"")&amp;"="&amp;(SUMIFS('Исходные данные'!$I$2:$I$966,'Исходные данные'!$D$2:$D$966,U$3,'Исходные данные'!$F$2:$F$966,$H19&amp;"")+SUMIFS('Исходные данные'!$J$2:$J$966,'Исходные данные'!$D$2:$D$966,U$3,'Исходные данные'!$F$2:$F$966,$H19&amp;"")))))</f>
        <v>2+1=3</v>
      </c>
      <c r="V19" s="49" t="str">
        <f aca="false">IF(SUMIFS('Исходные данные'!$I$2:$I$966,'Исходные данные'!$D$2:$D$966,V$3,'Исходные данные'!$F$2:$F$966,$H19&amp;"")+SUMIFS('Исходные данные'!$J$2:$J$966,'Исходные данные'!$D$2:$D$966,V$3,'Исходные данные'!$F$2:$F$966,$H19&amp;"")=0,"",IF(SUMIFS('Исходные данные'!$J$2:$J$966,'Исходные данные'!$D$2:$D$966,V$3,'Исходные данные'!$F$2:$F$966,$H19&amp;"")=0,SUMIFS('Исходные данные'!$I$2:$I$966,'Исходные данные'!$D$2:$D$966,V$3,'Исходные данные'!$F$2:$F$966,$H19&amp;""),IF(SUMIFS('Исходные данные'!$I$2:$I$966,'Исходные данные'!$D$2:$D$966,V$3,'Исходные данные'!$F$2:$F$966,$H19&amp;"")=0,"0+"&amp;SUMIFS('Исходные данные'!$J$2:$J$966,'Исходные данные'!$D$2:$D$966,V$3,'Исходные данные'!$F$2:$F$966,$H19&amp;"")&amp;"="&amp;SUMIFS('Исходные данные'!$J$2:$J$966,'Исходные данные'!$D$2:$D$966,V$3,'Исходные данные'!$F$2:$F$966,$H19&amp;""),SUMIFS('Исходные данные'!$I$2:$I$966,'Исходные данные'!$D$2:$D$966,V$3,'Исходные данные'!$F$2:$F$966,$H19&amp;"")&amp;"+"&amp;SUMIFS('Исходные данные'!$J$2:$J$966,'Исходные данные'!$D$2:$D$966,V$3,'Исходные данные'!$F$2:$F$966,$H19&amp;"")&amp;"="&amp;(SUMIFS('Исходные данные'!$I$2:$I$966,'Исходные данные'!$D$2:$D$966,V$3,'Исходные данные'!$F$2:$F$966,$H19&amp;"")+SUMIFS('Исходные данные'!$J$2:$J$966,'Исходные данные'!$D$2:$D$966,V$3,'Исходные данные'!$F$2:$F$966,$H19&amp;"")))))</f>
        <v/>
      </c>
      <c r="W19" s="50" t="str">
        <f aca="false">IF(SUMIFS('Исходные данные'!$I$2:$I$966,'Исходные данные'!$D$2:$D$966,W$3,'Исходные данные'!$F$2:$F$966,$H19&amp;"")+SUMIFS('Исходные данные'!$J$2:$J$966,'Исходные данные'!$D$2:$D$966,W$3,'Исходные данные'!$F$2:$F$966,$H19&amp;"")=0,"",IF(SUMIFS('Исходные данные'!$J$2:$J$966,'Исходные данные'!$D$2:$D$966,W$3,'Исходные данные'!$F$2:$F$966,$H19&amp;"")=0,SUMIFS('Исходные данные'!$I$2:$I$966,'Исходные данные'!$D$2:$D$966,W$3,'Исходные данные'!$F$2:$F$966,$H19&amp;""),IF(SUMIFS('Исходные данные'!$I$2:$I$966,'Исходные данные'!$D$2:$D$966,W$3,'Исходные данные'!$F$2:$F$966,$H19&amp;"")=0,"0+"&amp;SUMIFS('Исходные данные'!$J$2:$J$966,'Исходные данные'!$D$2:$D$966,W$3,'Исходные данные'!$F$2:$F$966,$H19&amp;"")&amp;"="&amp;SUMIFS('Исходные данные'!$J$2:$J$966,'Исходные данные'!$D$2:$D$966,W$3,'Исходные данные'!$F$2:$F$966,$H19&amp;""),SUMIFS('Исходные данные'!$I$2:$I$966,'Исходные данные'!$D$2:$D$966,W$3,'Исходные данные'!$F$2:$F$966,$H19&amp;"")&amp;"+"&amp;SUMIFS('Исходные данные'!$J$2:$J$966,'Исходные данные'!$D$2:$D$966,W$3,'Исходные данные'!$F$2:$F$966,$H19&amp;"")&amp;"="&amp;(SUMIFS('Исходные данные'!$I$2:$I$966,'Исходные данные'!$D$2:$D$966,W$3,'Исходные данные'!$F$2:$F$966,$H19&amp;"")+SUMIFS('Исходные данные'!$J$2:$J$966,'Исходные данные'!$D$2:$D$966,W$3,'Исходные данные'!$F$2:$F$966,$H19&amp;"")))))</f>
        <v/>
      </c>
      <c r="X19" s="50" t="str">
        <f aca="false">IF(SUMIFS('Исходные данные'!$I$2:$I$966,'Исходные данные'!$D$2:$D$966,X$3,'Исходные данные'!$F$2:$F$966,$H19&amp;"")+SUMIFS('Исходные данные'!$J$2:$J$966,'Исходные данные'!$D$2:$D$966,X$3,'Исходные данные'!$F$2:$F$966,$H19&amp;"")=0,"",IF(SUMIFS('Исходные данные'!$J$2:$J$966,'Исходные данные'!$D$2:$D$966,X$3,'Исходные данные'!$F$2:$F$966,$H19&amp;"")=0,SUMIFS('Исходные данные'!$I$2:$I$966,'Исходные данные'!$D$2:$D$966,X$3,'Исходные данные'!$F$2:$F$966,$H19&amp;""),IF(SUMIFS('Исходные данные'!$I$2:$I$966,'Исходные данные'!$D$2:$D$966,X$3,'Исходные данные'!$F$2:$F$966,$H19&amp;"")=0,"0+"&amp;SUMIFS('Исходные данные'!$J$2:$J$966,'Исходные данные'!$D$2:$D$966,X$3,'Исходные данные'!$F$2:$F$966,$H19&amp;"")&amp;"="&amp;SUMIFS('Исходные данные'!$J$2:$J$966,'Исходные данные'!$D$2:$D$966,X$3,'Исходные данные'!$F$2:$F$966,$H19&amp;""),SUMIFS('Исходные данные'!$I$2:$I$966,'Исходные данные'!$D$2:$D$966,X$3,'Исходные данные'!$F$2:$F$966,$H19&amp;"")&amp;"+"&amp;SUMIFS('Исходные данные'!$J$2:$J$966,'Исходные данные'!$D$2:$D$966,X$3,'Исходные данные'!$F$2:$F$966,$H19&amp;"")&amp;"="&amp;(SUMIFS('Исходные данные'!$I$2:$I$966,'Исходные данные'!$D$2:$D$966,X$3,'Исходные данные'!$F$2:$F$966,$H19&amp;"")+SUMIFS('Исходные данные'!$J$2:$J$966,'Исходные данные'!$D$2:$D$966,X$3,'Исходные данные'!$F$2:$F$966,$H19&amp;"")))))</f>
        <v/>
      </c>
      <c r="Y19" s="52" t="str">
        <f aca="false">IF(SUMIFS('Исходные данные'!$I$2:$I$966,'Исходные данные'!$D$2:$D$966,Y$3,'Исходные данные'!$F$2:$F$966,$H19&amp;"")+SUMIFS('Исходные данные'!$J$2:$J$966,'Исходные данные'!$D$2:$D$966,Y$3,'Исходные данные'!$F$2:$F$966,$H19&amp;"")=0,"",IF(SUMIFS('Исходные данные'!$J$2:$J$966,'Исходные данные'!$D$2:$D$966,Y$3,'Исходные данные'!$F$2:$F$966,$H19&amp;"")=0,SUMIFS('Исходные данные'!$I$2:$I$966,'Исходные данные'!$D$2:$D$966,Y$3,'Исходные данные'!$F$2:$F$966,$H19&amp;""),IF(SUMIFS('Исходные данные'!$I$2:$I$966,'Исходные данные'!$D$2:$D$966,Y$3,'Исходные данные'!$F$2:$F$966,$H19&amp;"")=0,"0+"&amp;SUMIFS('Исходные данные'!$J$2:$J$966,'Исходные данные'!$D$2:$D$966,Y$3,'Исходные данные'!$F$2:$F$966,$H19&amp;"")&amp;"="&amp;SUMIFS('Исходные данные'!$J$2:$J$966,'Исходные данные'!$D$2:$D$966,Y$3,'Исходные данные'!$F$2:$F$966,$H19&amp;""),SUMIFS('Исходные данные'!$I$2:$I$966,'Исходные данные'!$D$2:$D$966,Y$3,'Исходные данные'!$F$2:$F$966,$H19&amp;"")&amp;"+"&amp;SUMIFS('Исходные данные'!$J$2:$J$966,'Исходные данные'!$D$2:$D$966,Y$3,'Исходные данные'!$F$2:$F$966,$H19&amp;"")&amp;"="&amp;(SUMIFS('Исходные данные'!$I$2:$I$966,'Исходные данные'!$D$2:$D$966,Y$3,'Исходные данные'!$F$2:$F$966,$H19&amp;"")+SUMIFS('Исходные данные'!$J$2:$J$966,'Исходные данные'!$D$2:$D$966,Y$3,'Исходные данные'!$F$2:$F$966,$H19&amp;"")))))</f>
        <v/>
      </c>
      <c r="Z19" s="49" t="str">
        <f aca="false">IF(SUMIFS('Исходные данные'!$I$2:$I$966,'Исходные данные'!$D$2:$D$966,Z$3,'Исходные данные'!$F$2:$F$966,$H19&amp;"")+SUMIFS('Исходные данные'!$J$2:$J$966,'Исходные данные'!$D$2:$D$966,Z$3,'Исходные данные'!$F$2:$F$966,$H19&amp;"")=0,"",IF(SUMIFS('Исходные данные'!$J$2:$J$966,'Исходные данные'!$D$2:$D$966,Z$3,'Исходные данные'!$F$2:$F$966,$H19&amp;"")=0,SUMIFS('Исходные данные'!$I$2:$I$966,'Исходные данные'!$D$2:$D$966,Z$3,'Исходные данные'!$F$2:$F$966,$H19&amp;""),IF(SUMIFS('Исходные данные'!$I$2:$I$966,'Исходные данные'!$D$2:$D$966,Z$3,'Исходные данные'!$F$2:$F$966,$H19&amp;"")=0,"0+"&amp;SUMIFS('Исходные данные'!$J$2:$J$966,'Исходные данные'!$D$2:$D$966,Z$3,'Исходные данные'!$F$2:$F$966,$H19&amp;"")&amp;"="&amp;SUMIFS('Исходные данные'!$J$2:$J$966,'Исходные данные'!$D$2:$D$966,Z$3,'Исходные данные'!$F$2:$F$966,$H19&amp;""),SUMIFS('Исходные данные'!$I$2:$I$966,'Исходные данные'!$D$2:$D$966,Z$3,'Исходные данные'!$F$2:$F$966,$H19&amp;"")&amp;"+"&amp;SUMIFS('Исходные данные'!$J$2:$J$966,'Исходные данные'!$D$2:$D$966,Z$3,'Исходные данные'!$F$2:$F$966,$H19&amp;"")&amp;"="&amp;(SUMIFS('Исходные данные'!$I$2:$I$966,'Исходные данные'!$D$2:$D$966,Z$3,'Исходные данные'!$F$2:$F$966,$H19&amp;"")+SUMIFS('Исходные данные'!$J$2:$J$966,'Исходные данные'!$D$2:$D$966,Z$3,'Исходные данные'!$F$2:$F$966,$H19&amp;"")))))</f>
        <v/>
      </c>
      <c r="AA19" s="50" t="str">
        <f aca="false">IF(SUMIFS('Исходные данные'!$I$2:$I$966,'Исходные данные'!$D$2:$D$966,AA$3,'Исходные данные'!$F$2:$F$966,$H19&amp;"")+SUMIFS('Исходные данные'!$J$2:$J$966,'Исходные данные'!$D$2:$D$966,AA$3,'Исходные данные'!$F$2:$F$966,$H19&amp;"")=0,"",IF(SUMIFS('Исходные данные'!$J$2:$J$966,'Исходные данные'!$D$2:$D$966,AA$3,'Исходные данные'!$F$2:$F$966,$H19&amp;"")=0,SUMIFS('Исходные данные'!$I$2:$I$966,'Исходные данные'!$D$2:$D$966,AA$3,'Исходные данные'!$F$2:$F$966,$H19&amp;""),IF(SUMIFS('Исходные данные'!$I$2:$I$966,'Исходные данные'!$D$2:$D$966,AA$3,'Исходные данные'!$F$2:$F$966,$H19&amp;"")=0,"0+"&amp;SUMIFS('Исходные данные'!$J$2:$J$966,'Исходные данные'!$D$2:$D$966,AA$3,'Исходные данные'!$F$2:$F$966,$H19&amp;"")&amp;"="&amp;SUMIFS('Исходные данные'!$J$2:$J$966,'Исходные данные'!$D$2:$D$966,AA$3,'Исходные данные'!$F$2:$F$966,$H19&amp;""),SUMIFS('Исходные данные'!$I$2:$I$966,'Исходные данные'!$D$2:$D$966,AA$3,'Исходные данные'!$F$2:$F$966,$H19&amp;"")&amp;"+"&amp;SUMIFS('Исходные данные'!$J$2:$J$966,'Исходные данные'!$D$2:$D$966,AA$3,'Исходные данные'!$F$2:$F$966,$H19&amp;"")&amp;"="&amp;(SUMIFS('Исходные данные'!$I$2:$I$966,'Исходные данные'!$D$2:$D$966,AA$3,'Исходные данные'!$F$2:$F$966,$H19&amp;"")+SUMIFS('Исходные данные'!$J$2:$J$966,'Исходные данные'!$D$2:$D$966,AA$3,'Исходные данные'!$F$2:$F$966,$H19&amp;"")))))</f>
        <v/>
      </c>
      <c r="AB19" s="50" t="str">
        <f aca="false">IF(SUMIFS('Исходные данные'!$I$2:$I$966,'Исходные данные'!$D$2:$D$966,AB$3,'Исходные данные'!$F$2:$F$966,$H19&amp;"")+SUMIFS('Исходные данные'!$J$2:$J$966,'Исходные данные'!$D$2:$D$966,AB$3,'Исходные данные'!$F$2:$F$966,$H19&amp;"")=0,"",IF(SUMIFS('Исходные данные'!$J$2:$J$966,'Исходные данные'!$D$2:$D$966,AB$3,'Исходные данные'!$F$2:$F$966,$H19&amp;"")=0,SUMIFS('Исходные данные'!$I$2:$I$966,'Исходные данные'!$D$2:$D$966,AB$3,'Исходные данные'!$F$2:$F$966,$H19&amp;""),IF(SUMIFS('Исходные данные'!$I$2:$I$966,'Исходные данные'!$D$2:$D$966,AB$3,'Исходные данные'!$F$2:$F$966,$H19&amp;"")=0,"0+"&amp;SUMIFS('Исходные данные'!$J$2:$J$966,'Исходные данные'!$D$2:$D$966,AB$3,'Исходные данные'!$F$2:$F$966,$H19&amp;"")&amp;"="&amp;SUMIFS('Исходные данные'!$J$2:$J$966,'Исходные данные'!$D$2:$D$966,AB$3,'Исходные данные'!$F$2:$F$966,$H19&amp;""),SUMIFS('Исходные данные'!$I$2:$I$966,'Исходные данные'!$D$2:$D$966,AB$3,'Исходные данные'!$F$2:$F$966,$H19&amp;"")&amp;"+"&amp;SUMIFS('Исходные данные'!$J$2:$J$966,'Исходные данные'!$D$2:$D$966,AB$3,'Исходные данные'!$F$2:$F$966,$H19&amp;"")&amp;"="&amp;(SUMIFS('Исходные данные'!$I$2:$I$966,'Исходные данные'!$D$2:$D$966,AB$3,'Исходные данные'!$F$2:$F$966,$H19&amp;"")+SUMIFS('Исходные данные'!$J$2:$J$966,'Исходные данные'!$D$2:$D$966,AB$3,'Исходные данные'!$F$2:$F$966,$H19&amp;"")))))</f>
        <v>1+1=2</v>
      </c>
      <c r="AC19" s="52" t="str">
        <f aca="false">IF(SUMIFS('Исходные данные'!$I$2:$I$966,'Исходные данные'!$D$2:$D$966,AC$3,'Исходные данные'!$F$2:$F$966,$H19&amp;"")+SUMIFS('Исходные данные'!$J$2:$J$966,'Исходные данные'!$D$2:$D$966,AC$3,'Исходные данные'!$F$2:$F$966,$H19&amp;"")=0,"",IF(SUMIFS('Исходные данные'!$J$2:$J$966,'Исходные данные'!$D$2:$D$966,AC$3,'Исходные данные'!$F$2:$F$966,$H19&amp;"")=0,SUMIFS('Исходные данные'!$I$2:$I$966,'Исходные данные'!$D$2:$D$966,AC$3,'Исходные данные'!$F$2:$F$966,$H19&amp;""),IF(SUMIFS('Исходные данные'!$I$2:$I$966,'Исходные данные'!$D$2:$D$966,AC$3,'Исходные данные'!$F$2:$F$966,$H19&amp;"")=0,"0+"&amp;SUMIFS('Исходные данные'!$J$2:$J$966,'Исходные данные'!$D$2:$D$966,AC$3,'Исходные данные'!$F$2:$F$966,$H19&amp;"")&amp;"="&amp;SUMIFS('Исходные данные'!$J$2:$J$966,'Исходные данные'!$D$2:$D$966,AC$3,'Исходные данные'!$F$2:$F$966,$H19&amp;""),SUMIFS('Исходные данные'!$I$2:$I$966,'Исходные данные'!$D$2:$D$966,AC$3,'Исходные данные'!$F$2:$F$966,$H19&amp;"")&amp;"+"&amp;SUMIFS('Исходные данные'!$J$2:$J$966,'Исходные данные'!$D$2:$D$966,AC$3,'Исходные данные'!$F$2:$F$966,$H19&amp;"")&amp;"="&amp;(SUMIFS('Исходные данные'!$I$2:$I$966,'Исходные данные'!$D$2:$D$966,AC$3,'Исходные данные'!$F$2:$F$966,$H19&amp;"")+SUMIFS('Исходные данные'!$J$2:$J$966,'Исходные данные'!$D$2:$D$966,AC$3,'Исходные данные'!$F$2:$F$966,$H19&amp;"")))))</f>
        <v>6+7=13</v>
      </c>
      <c r="AD19" s="50" t="str">
        <f aca="false">IF(SUMIFS('Исходные данные'!$I$2:$I$966,'Исходные данные'!$D$2:$D$966,AD$3,'Исходные данные'!$F$2:$F$966,$H19&amp;"")+SUMIFS('Исходные данные'!$J$2:$J$966,'Исходные данные'!$D$2:$D$966,AD$3,'Исходные данные'!$F$2:$F$966,$H19&amp;"")=0,"",IF(SUMIFS('Исходные данные'!$J$2:$J$966,'Исходные данные'!$D$2:$D$966,AD$3,'Исходные данные'!$F$2:$F$966,$H19&amp;"")=0,SUMIFS('Исходные данные'!$I$2:$I$966,'Исходные данные'!$D$2:$D$966,AD$3,'Исходные данные'!$F$2:$F$966,$H19&amp;""),IF(SUMIFS('Исходные данные'!$I$2:$I$966,'Исходные данные'!$D$2:$D$966,AD$3,'Исходные данные'!$F$2:$F$966,$H19&amp;"")=0,"0+"&amp;SUMIFS('Исходные данные'!$J$2:$J$966,'Исходные данные'!$D$2:$D$966,AD$3,'Исходные данные'!$F$2:$F$966,$H19&amp;"")&amp;"="&amp;SUMIFS('Исходные данные'!$J$2:$J$966,'Исходные данные'!$D$2:$D$966,AD$3,'Исходные данные'!$F$2:$F$966,$H19&amp;""),SUMIFS('Исходные данные'!$I$2:$I$966,'Исходные данные'!$D$2:$D$966,AD$3,'Исходные данные'!$F$2:$F$966,$H19&amp;"")&amp;"+"&amp;SUMIFS('Исходные данные'!$J$2:$J$966,'Исходные данные'!$D$2:$D$966,AD$3,'Исходные данные'!$F$2:$F$966,$H19&amp;"")&amp;"="&amp;(SUMIFS('Исходные данные'!$I$2:$I$966,'Исходные данные'!$D$2:$D$966,AD$3,'Исходные данные'!$F$2:$F$966,$H19&amp;"")+SUMIFS('Исходные данные'!$J$2:$J$966,'Исходные данные'!$D$2:$D$966,AD$3,'Исходные данные'!$F$2:$F$966,$H19&amp;"")))))</f>
        <v>5+5=10</v>
      </c>
    </row>
    <row r="20" customFormat="false" ht="25.5" hidden="false" customHeight="true" outlineLevel="0" collapsed="false">
      <c r="A20" s="43" t="n">
        <v>18</v>
      </c>
      <c r="B20" s="28" t="s">
        <v>200</v>
      </c>
      <c r="C20" s="29" t="s">
        <v>20</v>
      </c>
      <c r="D20" s="30"/>
      <c r="E20" s="29" t="s">
        <v>201</v>
      </c>
      <c r="F20" s="29" t="s">
        <v>9</v>
      </c>
      <c r="G20" s="64"/>
      <c r="H20" s="32"/>
      <c r="I20" s="55"/>
      <c r="J20" s="56"/>
      <c r="K20" s="57"/>
      <c r="L20" s="58"/>
      <c r="M20" s="59"/>
      <c r="N20" s="59"/>
      <c r="O20" s="60" t="str">
        <f aca="false">IF(SUMIFS('Исходные данные'!$I$2:$I$966,'Исходные данные'!$D$2:$D$966,O$3,'Исходные данные'!$F$2:$F$966,$H21&amp;"",'Исходные данные'!$L$2:$L$966,"УТТ")+SUMIFS('Исходные данные'!$J$2:$J$966,'Исходные данные'!$D$2:$D$966,O$3,'Исходные данные'!$F$2:$F$966,$H21&amp;"",'Исходные данные'!$L$2:$L$966,"УТТ")=0,"","утт-"&amp;(SUMIFS('Исходные данные'!$I$2:$I$966,'Исходные данные'!$D$2:$D$966,O$3,'Исходные данные'!$F$2:$F$966,$H21&amp;"",'Исходные данные'!$L$2:$L$966,"УТТ")+SUMIFS('Исходные данные'!$J$2:$J$966,'Исходные данные'!$D$2:$D$966,O$3,'Исходные данные'!$F$2:$F$966,$H21&amp;"",'Исходные данные'!$L$2:$L$966,"УТТ")))</f>
        <v/>
      </c>
      <c r="P20" s="61" t="str">
        <f aca="false">IF(SUMIFS('Исходные данные'!$I$2:$I$966,'Исходные данные'!$D$2:$D$966,P$3,'Исходные данные'!$F$2:$F$966,$H21&amp;"",'Исходные данные'!$L$2:$L$966,"УТТ")+SUMIFS('Исходные данные'!$J$2:$J$966,'Исходные данные'!$D$2:$D$966,P$3,'Исходные данные'!$F$2:$F$966,$H21&amp;"",'Исходные данные'!$L$2:$L$966,"УТТ")=0,"","утт-"&amp;(SUMIFS('Исходные данные'!$I$2:$I$966,'Исходные данные'!$D$2:$D$966,P$3,'Исходные данные'!$F$2:$F$966,$H21&amp;"",'Исходные данные'!$L$2:$L$966,"УТТ")+SUMIFS('Исходные данные'!$J$2:$J$966,'Исходные данные'!$D$2:$D$966,P$3,'Исходные данные'!$F$2:$F$966,$H21&amp;"",'Исходные данные'!$L$2:$L$966,"УТТ")))</f>
        <v/>
      </c>
      <c r="Q20" s="60" t="str">
        <f aca="false">IF(SUMIFS('Исходные данные'!$I$2:$I$966,'Исходные данные'!$D$2:$D$966,Q$3,'Исходные данные'!$F$2:$F$966,$H21&amp;"",'Исходные данные'!$L$2:$L$966,"УТТ")+SUMIFS('Исходные данные'!$J$2:$J$966,'Исходные данные'!$D$2:$D$966,Q$3,'Исходные данные'!$F$2:$F$966,$H21&amp;"",'Исходные данные'!$L$2:$L$966,"УТТ")=0,"","утт-"&amp;(SUMIFS('Исходные данные'!$I$2:$I$966,'Исходные данные'!$D$2:$D$966,Q$3,'Исходные данные'!$F$2:$F$966,$H21&amp;"",'Исходные данные'!$L$2:$L$966,"УТТ")+SUMIFS('Исходные данные'!$J$2:$J$966,'Исходные данные'!$D$2:$D$966,Q$3,'Исходные данные'!$F$2:$F$966,$H21&amp;"",'Исходные данные'!$L$2:$L$966,"УТТ")))</f>
        <v/>
      </c>
      <c r="R20" s="62" t="str">
        <f aca="false">IF(SUMIFS('Исходные данные'!$I$2:$I$966,'Исходные данные'!$D$2:$D$966,R$3,'Исходные данные'!$F$2:$F$966,$H21&amp;"",'Исходные данные'!$L$2:$L$966,"УТТ")+SUMIFS('Исходные данные'!$J$2:$J$966,'Исходные данные'!$D$2:$D$966,R$3,'Исходные данные'!$F$2:$F$966,$H21&amp;"",'Исходные данные'!$L$2:$L$966,"УТТ")=0,"","утт-"&amp;(SUMIFS('Исходные данные'!$I$2:$I$966,'Исходные данные'!$D$2:$D$966,R$3,'Исходные данные'!$F$2:$F$966,$H21&amp;"",'Исходные данные'!$L$2:$L$966,"УТТ")+SUMIFS('Исходные данные'!$J$2:$J$966,'Исходные данные'!$D$2:$D$966,R$3,'Исходные данные'!$F$2:$F$966,$H21&amp;"",'Исходные данные'!$L$2:$L$966,"УТТ")))</f>
        <v/>
      </c>
      <c r="S20" s="61" t="str">
        <f aca="false">IF(SUMIFS('Исходные данные'!$I$2:$I$966,'Исходные данные'!$D$2:$D$966,S$3,'Исходные данные'!$F$2:$F$966,$H21&amp;"",'Исходные данные'!$L$2:$L$966,"УТТ")+SUMIFS('Исходные данные'!$J$2:$J$966,'Исходные данные'!$D$2:$D$966,S$3,'Исходные данные'!$F$2:$F$966,$H21&amp;"",'Исходные данные'!$L$2:$L$966,"УТТ")=0,"","утт-"&amp;(SUMIFS('Исходные данные'!$I$2:$I$966,'Исходные данные'!$D$2:$D$966,S$3,'Исходные данные'!$F$2:$F$966,$H21&amp;"",'Исходные данные'!$L$2:$L$966,"УТТ")+SUMIFS('Исходные данные'!$J$2:$J$966,'Исходные данные'!$D$2:$D$966,S$3,'Исходные данные'!$F$2:$F$966,$H21&amp;"",'Исходные данные'!$L$2:$L$966,"УТТ")))</f>
        <v/>
      </c>
      <c r="T20" s="60" t="str">
        <f aca="false">IF(SUMIFS('Исходные данные'!$I$2:$I$966,'Исходные данные'!$D$2:$D$966,T$3,'Исходные данные'!$F$2:$F$966,$H21&amp;"",'Исходные данные'!$L$2:$L$966,"УТТ")+SUMIFS('Исходные данные'!$J$2:$J$966,'Исходные данные'!$D$2:$D$966,T$3,'Исходные данные'!$F$2:$F$966,$H21&amp;"",'Исходные данные'!$L$2:$L$966,"УТТ")=0,"","утт-"&amp;(SUMIFS('Исходные данные'!$I$2:$I$966,'Исходные данные'!$D$2:$D$966,T$3,'Исходные данные'!$F$2:$F$966,$H21&amp;"",'Исходные данные'!$L$2:$L$966,"УТТ")+SUMIFS('Исходные данные'!$J$2:$J$966,'Исходные данные'!$D$2:$D$966,T$3,'Исходные данные'!$F$2:$F$966,$H21&amp;"",'Исходные данные'!$L$2:$L$966,"УТТ")))</f>
        <v/>
      </c>
      <c r="U20" s="61" t="str">
        <f aca="false">IF(SUMIFS('Исходные данные'!$I$2:$I$966,'Исходные данные'!$D$2:$D$966,U$3,'Исходные данные'!$F$2:$F$966,$H21&amp;"",'Исходные данные'!$L$2:$L$966,"УТТ")+SUMIFS('Исходные данные'!$J$2:$J$966,'Исходные данные'!$D$2:$D$966,U$3,'Исходные данные'!$F$2:$F$966,$H21&amp;"",'Исходные данные'!$L$2:$L$966,"УТТ")=0,"","утт-"&amp;(SUMIFS('Исходные данные'!$I$2:$I$966,'Исходные данные'!$D$2:$D$966,U$3,'Исходные данные'!$F$2:$F$966,$H21&amp;"",'Исходные данные'!$L$2:$L$966,"УТТ")+SUMIFS('Исходные данные'!$J$2:$J$966,'Исходные данные'!$D$2:$D$966,U$3,'Исходные данные'!$F$2:$F$966,$H21&amp;"",'Исходные данные'!$L$2:$L$966,"УТТ")))</f>
        <v/>
      </c>
      <c r="V20" s="60" t="str">
        <f aca="false">IF(SUMIFS('Исходные данные'!$I$2:$I$966,'Исходные данные'!$D$2:$D$966,V$3,'Исходные данные'!$F$2:$F$966,$H21&amp;"",'Исходные данные'!$L$2:$L$966,"УТТ")+SUMIFS('Исходные данные'!$J$2:$J$966,'Исходные данные'!$D$2:$D$966,V$3,'Исходные данные'!$F$2:$F$966,$H21&amp;"",'Исходные данные'!$L$2:$L$966,"УТТ")=0,"","утт-"&amp;(SUMIFS('Исходные данные'!$I$2:$I$966,'Исходные данные'!$D$2:$D$966,V$3,'Исходные данные'!$F$2:$F$966,$H21&amp;"",'Исходные данные'!$L$2:$L$966,"УТТ")+SUMIFS('Исходные данные'!$J$2:$J$966,'Исходные данные'!$D$2:$D$966,V$3,'Исходные данные'!$F$2:$F$966,$H21&amp;"",'Исходные данные'!$L$2:$L$966,"УТТ")))</f>
        <v/>
      </c>
      <c r="W20" s="61" t="str">
        <f aca="false">IF(SUMIFS('Исходные данные'!$I$2:$I$966,'Исходные данные'!$D$2:$D$966,W$3,'Исходные данные'!$F$2:$F$966,$H21&amp;"",'Исходные данные'!$L$2:$L$966,"УТТ")+SUMIFS('Исходные данные'!$J$2:$J$966,'Исходные данные'!$D$2:$D$966,W$3,'Исходные данные'!$F$2:$F$966,$H21&amp;"",'Исходные данные'!$L$2:$L$966,"УТТ")=0,"","утт-"&amp;(SUMIFS('Исходные данные'!$I$2:$I$966,'Исходные данные'!$D$2:$D$966,W$3,'Исходные данные'!$F$2:$F$966,$H21&amp;"",'Исходные данные'!$L$2:$L$966,"УТТ")+SUMIFS('Исходные данные'!$J$2:$J$966,'Исходные данные'!$D$2:$D$966,W$3,'Исходные данные'!$F$2:$F$966,$H21&amp;"",'Исходные данные'!$L$2:$L$966,"УТТ")))</f>
        <v/>
      </c>
      <c r="X20" s="61" t="str">
        <f aca="false">IF(SUMIFS('Исходные данные'!$I$2:$I$966,'Исходные данные'!$D$2:$D$966,X$3,'Исходные данные'!$F$2:$F$966,$H21&amp;"",'Исходные данные'!$L$2:$L$966,"УТТ")+SUMIFS('Исходные данные'!$J$2:$J$966,'Исходные данные'!$D$2:$D$966,X$3,'Исходные данные'!$F$2:$F$966,$H21&amp;"",'Исходные данные'!$L$2:$L$966,"УТТ")=0,"","утт-"&amp;(SUMIFS('Исходные данные'!$I$2:$I$966,'Исходные данные'!$D$2:$D$966,X$3,'Исходные данные'!$F$2:$F$966,$H21&amp;"",'Исходные данные'!$L$2:$L$966,"УТТ")+SUMIFS('Исходные данные'!$J$2:$J$966,'Исходные данные'!$D$2:$D$966,X$3,'Исходные данные'!$F$2:$F$966,$H21&amp;"",'Исходные данные'!$L$2:$L$966,"УТТ")))</f>
        <v/>
      </c>
      <c r="Y20" s="63" t="str">
        <f aca="false">IF(SUMIFS('Исходные данные'!$I$2:$I$966,'Исходные данные'!$D$2:$D$966,Y$3,'Исходные данные'!$F$2:$F$966,$H21&amp;"",'Исходные данные'!$L$2:$L$966,"УТТ")+SUMIFS('Исходные данные'!$J$2:$J$966,'Исходные данные'!$D$2:$D$966,Y$3,'Исходные данные'!$F$2:$F$966,$H21&amp;"",'Исходные данные'!$L$2:$L$966,"УТТ")=0,"","утт-"&amp;(SUMIFS('Исходные данные'!$I$2:$I$966,'Исходные данные'!$D$2:$D$966,Y$3,'Исходные данные'!$F$2:$F$966,$H21&amp;"",'Исходные данные'!$L$2:$L$966,"УТТ")+SUMIFS('Исходные данные'!$J$2:$J$966,'Исходные данные'!$D$2:$D$966,Y$3,'Исходные данные'!$F$2:$F$966,$H21&amp;"",'Исходные данные'!$L$2:$L$966,"УТТ")))</f>
        <v/>
      </c>
      <c r="Z20" s="60" t="str">
        <f aca="false">IF(SUMIFS('Исходные данные'!$I$2:$I$966,'Исходные данные'!$D$2:$D$966,Z$3,'Исходные данные'!$F$2:$F$966,$H21&amp;"",'Исходные данные'!$L$2:$L$966,"УТТ")+SUMIFS('Исходные данные'!$J$2:$J$966,'Исходные данные'!$D$2:$D$966,Z$3,'Исходные данные'!$F$2:$F$966,$H21&amp;"",'Исходные данные'!$L$2:$L$966,"УТТ")=0,"","утт-"&amp;(SUMIFS('Исходные данные'!$I$2:$I$966,'Исходные данные'!$D$2:$D$966,Z$3,'Исходные данные'!$F$2:$F$966,$H21&amp;"",'Исходные данные'!$L$2:$L$966,"УТТ")+SUMIFS('Исходные данные'!$J$2:$J$966,'Исходные данные'!$D$2:$D$966,Z$3,'Исходные данные'!$F$2:$F$966,$H21&amp;"",'Исходные данные'!$L$2:$L$966,"УТТ")))</f>
        <v/>
      </c>
      <c r="AA20" s="61" t="str">
        <f aca="false">IF(SUMIFS('Исходные данные'!$I$2:$I$966,'Исходные данные'!$D$2:$D$966,AA$3,'Исходные данные'!$F$2:$F$966,$H21&amp;"",'Исходные данные'!$L$2:$L$966,"УТТ")+SUMIFS('Исходные данные'!$J$2:$J$966,'Исходные данные'!$D$2:$D$966,AA$3,'Исходные данные'!$F$2:$F$966,$H21&amp;"",'Исходные данные'!$L$2:$L$966,"УТТ")=0,"","утт-"&amp;(SUMIFS('Исходные данные'!$I$2:$I$966,'Исходные данные'!$D$2:$D$966,AA$3,'Исходные данные'!$F$2:$F$966,$H21&amp;"",'Исходные данные'!$L$2:$L$966,"УТТ")+SUMIFS('Исходные данные'!$J$2:$J$966,'Исходные данные'!$D$2:$D$966,AA$3,'Исходные данные'!$F$2:$F$966,$H21&amp;"",'Исходные данные'!$L$2:$L$966,"УТТ")))</f>
        <v/>
      </c>
      <c r="AB20" s="61" t="str">
        <f aca="false">IF(SUMIFS('Исходные данные'!$I$2:$I$966,'Исходные данные'!$D$2:$D$966,AB$3,'Исходные данные'!$F$2:$F$966,$H21&amp;"",'Исходные данные'!$L$2:$L$966,"УТТ")+SUMIFS('Исходные данные'!$J$2:$J$966,'Исходные данные'!$D$2:$D$966,AB$3,'Исходные данные'!$F$2:$F$966,$H21&amp;"",'Исходные данные'!$L$2:$L$966,"УТТ")=0,"","утт-"&amp;(SUMIFS('Исходные данные'!$I$2:$I$966,'Исходные данные'!$D$2:$D$966,AB$3,'Исходные данные'!$F$2:$F$966,$H21&amp;"",'Исходные данные'!$L$2:$L$966,"УТТ")+SUMIFS('Исходные данные'!$J$2:$J$966,'Исходные данные'!$D$2:$D$966,AB$3,'Исходные данные'!$F$2:$F$966,$H21&amp;"",'Исходные данные'!$L$2:$L$966,"УТТ")))</f>
        <v/>
      </c>
      <c r="AC20" s="60" t="str">
        <f aca="false">IF(SUMIFS('Исходные данные'!$I$2:$I$966,'Исходные данные'!$D$2:$D$966,AC$3,'Исходные данные'!$F$2:$F$966,$H21&amp;"",'Исходные данные'!$L$2:$L$966,"УТТ")+SUMIFS('Исходные данные'!$J$2:$J$966,'Исходные данные'!$D$2:$D$966,AC$3,'Исходные данные'!$F$2:$F$966,$H21&amp;"",'Исходные данные'!$L$2:$L$966,"УТТ")=0,"","утт-"&amp;(SUMIFS('Исходные данные'!$I$2:$I$966,'Исходные данные'!$D$2:$D$966,AC$3,'Исходные данные'!$F$2:$F$966,$H21&amp;"",'Исходные данные'!$L$2:$L$966,"УТТ")+SUMIFS('Исходные данные'!$J$2:$J$966,'Исходные данные'!$D$2:$D$966,AC$3,'Исходные данные'!$F$2:$F$966,$H21&amp;"",'Исходные данные'!$L$2:$L$966,"УТТ")))</f>
        <v/>
      </c>
      <c r="AD20" s="61" t="str">
        <f aca="false">IF(SUMIFS('Исходные данные'!$I$2:$I$966,'Исходные данные'!$D$2:$D$966,AD$3,'Исходные данные'!$F$2:$F$966,$H21&amp;"",'Исходные данные'!$L$2:$L$966,"УТТ")+SUMIFS('Исходные данные'!$J$2:$J$966,'Исходные данные'!$D$2:$D$966,AD$3,'Исходные данные'!$F$2:$F$966,$H21&amp;"",'Исходные данные'!$L$2:$L$966,"УТТ")=0,"","утт-"&amp;(SUMIFS('Исходные данные'!$I$2:$I$966,'Исходные данные'!$D$2:$D$966,AD$3,'Исходные данные'!$F$2:$F$966,$H21&amp;"",'Исходные данные'!$L$2:$L$966,"УТТ")+SUMIFS('Исходные данные'!$J$2:$J$966,'Исходные данные'!$D$2:$D$966,AD$3,'Исходные данные'!$F$2:$F$966,$H21&amp;"",'Исходные данные'!$L$2:$L$966,"УТТ")))</f>
        <v/>
      </c>
    </row>
    <row r="21" customFormat="false" ht="25.5" hidden="false" customHeight="true" outlineLevel="0" collapsed="false">
      <c r="A21" s="27" t="n">
        <v>19</v>
      </c>
      <c r="B21" s="28" t="s">
        <v>202</v>
      </c>
      <c r="C21" s="29" t="s">
        <v>21</v>
      </c>
      <c r="D21" s="30"/>
      <c r="E21" s="29" t="s">
        <v>203</v>
      </c>
      <c r="F21" s="29" t="s">
        <v>12</v>
      </c>
      <c r="G21" s="64"/>
      <c r="H21" s="32" t="n">
        <v>50</v>
      </c>
      <c r="I21" s="44" t="s">
        <v>70</v>
      </c>
      <c r="J21" s="45" t="n">
        <f aca="false">IFERROR(INDEX('Выход ТС'!$C:$C,MATCH($H21&amp;"",'Выход ТС'!$A:$A,0)),"")</f>
        <v>4</v>
      </c>
      <c r="K21" s="46" t="n">
        <f aca="false">IFERROR(INDEX('Выход ТС'!$D:$D,MATCH($H21&amp;"",'Выход ТС'!$A:$A,0)),"")</f>
        <v>2</v>
      </c>
      <c r="L21" s="47" t="n">
        <f aca="false">IFERROR(INDEX('Выход ТС'!$E:$E,MATCH($H21&amp;"",'Выход ТС'!$A:$A,0)),"")</f>
        <v>-2</v>
      </c>
      <c r="M21" s="48" t="n">
        <f aca="false">IFERROR(IF(INDEX('Выход ТС'!$F:$F,MATCH($H21&amp;"",'Выход ТС'!$A:$A,0))=0,"",INDEX('Выход ТС'!$F:$F,MATCH($H21&amp;"",'Выход ТС'!$A:$A,0))),"")</f>
        <v>2</v>
      </c>
      <c r="N21" s="59" t="str">
        <f aca="false">IFERROR(IF(INDEX('Выход ТС'!$G:$G,MATCH($H21&amp;"",'Выход ТС'!$A:$A,0))=0,"",INDEX('Выход ТС'!$G:$G,MATCH($H21&amp;"",'Выход ТС'!$A:$A,0))),"")</f>
        <v/>
      </c>
      <c r="O21" s="52" t="str">
        <f aca="false">IF(SUMIFS('Исходные данные'!$I$2:$I$966,'Исходные данные'!$D$2:$D$966,O$3,'Исходные данные'!$F$2:$F$966,$H21&amp;"")+SUMIFS('Исходные данные'!$J$2:$J$966,'Исходные данные'!$D$2:$D$966,O$3,'Исходные данные'!$F$2:$F$966,$H21&amp;"")=0,"",IF(SUMIFS('Исходные данные'!$J$2:$J$966,'Исходные данные'!$D$2:$D$966,O$3,'Исходные данные'!$F$2:$F$966,$H21&amp;"")=0,SUMIFS('Исходные данные'!$I$2:$I$966,'Исходные данные'!$D$2:$D$966,O$3,'Исходные данные'!$F$2:$F$966,$H21&amp;""),IF(SUMIFS('Исходные данные'!$I$2:$I$966,'Исходные данные'!$D$2:$D$966,O$3,'Исходные данные'!$F$2:$F$966,$H21&amp;"")=0,"0+"&amp;SUMIFS('Исходные данные'!$J$2:$J$966,'Исходные данные'!$D$2:$D$966,O$3,'Исходные данные'!$F$2:$F$966,$H21&amp;"")&amp;"="&amp;SUMIFS('Исходные данные'!$J$2:$J$966,'Исходные данные'!$D$2:$D$966,O$3,'Исходные данные'!$F$2:$F$966,$H21&amp;""),SUMIFS('Исходные данные'!$I$2:$I$966,'Исходные данные'!$D$2:$D$966,O$3,'Исходные данные'!$F$2:$F$966,$H21&amp;"")&amp;"+"&amp;SUMIFS('Исходные данные'!$J$2:$J$966,'Исходные данные'!$D$2:$D$966,O$3,'Исходные данные'!$F$2:$F$966,$H21&amp;"")&amp;"="&amp;(SUMIFS('Исходные данные'!$I$2:$I$966,'Исходные данные'!$D$2:$D$966,O$3,'Исходные данные'!$F$2:$F$966,$H21&amp;"")+SUMIFS('Исходные данные'!$J$2:$J$966,'Исходные данные'!$D$2:$D$966,O$3,'Исходные данные'!$F$2:$F$966,$H21&amp;"")))))</f>
        <v/>
      </c>
      <c r="P21" s="50" t="str">
        <f aca="false">IF(SUMIFS('Исходные данные'!$I$2:$I$966,'Исходные данные'!$D$2:$D$966,P$3,'Исходные данные'!$F$2:$F$966,$H21&amp;"")+SUMIFS('Исходные данные'!$J$2:$J$966,'Исходные данные'!$D$2:$D$966,P$3,'Исходные данные'!$F$2:$F$966,$H21&amp;"")=0,"",IF(SUMIFS('Исходные данные'!$J$2:$J$966,'Исходные данные'!$D$2:$D$966,P$3,'Исходные данные'!$F$2:$F$966,$H21&amp;"")=0,SUMIFS('Исходные данные'!$I$2:$I$966,'Исходные данные'!$D$2:$D$966,P$3,'Исходные данные'!$F$2:$F$966,$H21&amp;""),IF(SUMIFS('Исходные данные'!$I$2:$I$966,'Исходные данные'!$D$2:$D$966,P$3,'Исходные данные'!$F$2:$F$966,$H21&amp;"")=0,"0+"&amp;SUMIFS('Исходные данные'!$J$2:$J$966,'Исходные данные'!$D$2:$D$966,P$3,'Исходные данные'!$F$2:$F$966,$H21&amp;"")&amp;"="&amp;SUMIFS('Исходные данные'!$J$2:$J$966,'Исходные данные'!$D$2:$D$966,P$3,'Исходные данные'!$F$2:$F$966,$H21&amp;""),SUMIFS('Исходные данные'!$I$2:$I$966,'Исходные данные'!$D$2:$D$966,P$3,'Исходные данные'!$F$2:$F$966,$H21&amp;"")&amp;"+"&amp;SUMIFS('Исходные данные'!$J$2:$J$966,'Исходные данные'!$D$2:$D$966,P$3,'Исходные данные'!$F$2:$F$966,$H21&amp;"")&amp;"="&amp;(SUMIFS('Исходные данные'!$I$2:$I$966,'Исходные данные'!$D$2:$D$966,P$3,'Исходные данные'!$F$2:$F$966,$H21&amp;"")+SUMIFS('Исходные данные'!$J$2:$J$966,'Исходные данные'!$D$2:$D$966,P$3,'Исходные данные'!$F$2:$F$966,$H21&amp;"")))))</f>
        <v/>
      </c>
      <c r="Q21" s="50" t="str">
        <f aca="false">IF(SUMIFS('Исходные данные'!$I$2:$I$966,'Исходные данные'!$D$2:$D$966,Q$3,'Исходные данные'!$F$2:$F$966,$H21&amp;"")+SUMIFS('Исходные данные'!$J$2:$J$966,'Исходные данные'!$D$2:$D$966,Q$3,'Исходные данные'!$F$2:$F$966,$H21&amp;"")=0,"",IF(SUMIFS('Исходные данные'!$J$2:$J$966,'Исходные данные'!$D$2:$D$966,Q$3,'Исходные данные'!$F$2:$F$966,$H21&amp;"")=0,SUMIFS('Исходные данные'!$I$2:$I$966,'Исходные данные'!$D$2:$D$966,Q$3,'Исходные данные'!$F$2:$F$966,$H21&amp;""),IF(SUMIFS('Исходные данные'!$I$2:$I$966,'Исходные данные'!$D$2:$D$966,Q$3,'Исходные данные'!$F$2:$F$966,$H21&amp;"")=0,"0+"&amp;SUMIFS('Исходные данные'!$J$2:$J$966,'Исходные данные'!$D$2:$D$966,Q$3,'Исходные данные'!$F$2:$F$966,$H21&amp;"")&amp;"="&amp;SUMIFS('Исходные данные'!$J$2:$J$966,'Исходные данные'!$D$2:$D$966,Q$3,'Исходные данные'!$F$2:$F$966,$H21&amp;""),SUMIFS('Исходные данные'!$I$2:$I$966,'Исходные данные'!$D$2:$D$966,Q$3,'Исходные данные'!$F$2:$F$966,$H21&amp;"")&amp;"+"&amp;SUMIFS('Исходные данные'!$J$2:$J$966,'Исходные данные'!$D$2:$D$966,Q$3,'Исходные данные'!$F$2:$F$966,$H21&amp;"")&amp;"="&amp;(SUMIFS('Исходные данные'!$I$2:$I$966,'Исходные данные'!$D$2:$D$966,Q$3,'Исходные данные'!$F$2:$F$966,$H21&amp;"")+SUMIFS('Исходные данные'!$J$2:$J$966,'Исходные данные'!$D$2:$D$966,Q$3,'Исходные данные'!$F$2:$F$966,$H21&amp;"")))))</f>
        <v/>
      </c>
      <c r="R21" s="51" t="str">
        <f aca="false">IF(SUMIFS('Исходные данные'!$I$2:$I$966,'Исходные данные'!$D$2:$D$966,R$3,'Исходные данные'!$F$2:$F$966,$H21&amp;"")+SUMIFS('Исходные данные'!$J$2:$J$966,'Исходные данные'!$D$2:$D$966,R$3,'Исходные данные'!$F$2:$F$966,$H21&amp;"")=0,"",IF(SUMIFS('Исходные данные'!$J$2:$J$966,'Исходные данные'!$D$2:$D$966,R$3,'Исходные данные'!$F$2:$F$966,$H21&amp;"")=0,SUMIFS('Исходные данные'!$I$2:$I$966,'Исходные данные'!$D$2:$D$966,R$3,'Исходные данные'!$F$2:$F$966,$H21&amp;""),IF(SUMIFS('Исходные данные'!$I$2:$I$966,'Исходные данные'!$D$2:$D$966,R$3,'Исходные данные'!$F$2:$F$966,$H21&amp;"")=0,"0+"&amp;SUMIFS('Исходные данные'!$J$2:$J$966,'Исходные данные'!$D$2:$D$966,R$3,'Исходные данные'!$F$2:$F$966,$H21&amp;"")&amp;"="&amp;SUMIFS('Исходные данные'!$J$2:$J$966,'Исходные данные'!$D$2:$D$966,R$3,'Исходные данные'!$F$2:$F$966,$H21&amp;""),SUMIFS('Исходные данные'!$I$2:$I$966,'Исходные данные'!$D$2:$D$966,R$3,'Исходные данные'!$F$2:$F$966,$H21&amp;"")&amp;"+"&amp;SUMIFS('Исходные данные'!$J$2:$J$966,'Исходные данные'!$D$2:$D$966,R$3,'Исходные данные'!$F$2:$F$966,$H21&amp;"")&amp;"="&amp;(SUMIFS('Исходные данные'!$I$2:$I$966,'Исходные данные'!$D$2:$D$966,R$3,'Исходные данные'!$F$2:$F$966,$H21&amp;"")+SUMIFS('Исходные данные'!$J$2:$J$966,'Исходные данные'!$D$2:$D$966,R$3,'Исходные данные'!$F$2:$F$966,$H21&amp;"")))))</f>
        <v/>
      </c>
      <c r="S21" s="50" t="str">
        <f aca="false">IF(SUMIFS('Исходные данные'!$I$2:$I$966,'Исходные данные'!$D$2:$D$966,S$3,'Исходные данные'!$F$2:$F$966,$H21&amp;"")+SUMIFS('Исходные данные'!$J$2:$J$966,'Исходные данные'!$D$2:$D$966,S$3,'Исходные данные'!$F$2:$F$966,$H21&amp;"")=0,"",IF(SUMIFS('Исходные данные'!$J$2:$J$966,'Исходные данные'!$D$2:$D$966,S$3,'Исходные данные'!$F$2:$F$966,$H21&amp;"")=0,SUMIFS('Исходные данные'!$I$2:$I$966,'Исходные данные'!$D$2:$D$966,S$3,'Исходные данные'!$F$2:$F$966,$H21&amp;""),IF(SUMIFS('Исходные данные'!$I$2:$I$966,'Исходные данные'!$D$2:$D$966,S$3,'Исходные данные'!$F$2:$F$966,$H21&amp;"")=0,"0+"&amp;SUMIFS('Исходные данные'!$J$2:$J$966,'Исходные данные'!$D$2:$D$966,S$3,'Исходные данные'!$F$2:$F$966,$H21&amp;"")&amp;"="&amp;SUMIFS('Исходные данные'!$J$2:$J$966,'Исходные данные'!$D$2:$D$966,S$3,'Исходные данные'!$F$2:$F$966,$H21&amp;""),SUMIFS('Исходные данные'!$I$2:$I$966,'Исходные данные'!$D$2:$D$966,S$3,'Исходные данные'!$F$2:$F$966,$H21&amp;"")&amp;"+"&amp;SUMIFS('Исходные данные'!$J$2:$J$966,'Исходные данные'!$D$2:$D$966,S$3,'Исходные данные'!$F$2:$F$966,$H21&amp;"")&amp;"="&amp;(SUMIFS('Исходные данные'!$I$2:$I$966,'Исходные данные'!$D$2:$D$966,S$3,'Исходные данные'!$F$2:$F$966,$H21&amp;"")+SUMIFS('Исходные данные'!$J$2:$J$966,'Исходные данные'!$D$2:$D$966,S$3,'Исходные данные'!$F$2:$F$966,$H21&amp;"")))))</f>
        <v/>
      </c>
      <c r="T21" s="49" t="str">
        <f aca="false">IF(SUMIFS('Исходные данные'!$I$2:$I$966,'Исходные данные'!$D$2:$D$966,T$3,'Исходные данные'!$F$2:$F$966,$H21&amp;"")+SUMIFS('Исходные данные'!$J$2:$J$966,'Исходные данные'!$D$2:$D$966,T$3,'Исходные данные'!$F$2:$F$966,$H21&amp;"")=0,"",IF(SUMIFS('Исходные данные'!$J$2:$J$966,'Исходные данные'!$D$2:$D$966,T$3,'Исходные данные'!$F$2:$F$966,$H21&amp;"")=0,SUMIFS('Исходные данные'!$I$2:$I$966,'Исходные данные'!$D$2:$D$966,T$3,'Исходные данные'!$F$2:$F$966,$H21&amp;""),IF(SUMIFS('Исходные данные'!$I$2:$I$966,'Исходные данные'!$D$2:$D$966,T$3,'Исходные данные'!$F$2:$F$966,$H21&amp;"")=0,"0+"&amp;SUMIFS('Исходные данные'!$J$2:$J$966,'Исходные данные'!$D$2:$D$966,T$3,'Исходные данные'!$F$2:$F$966,$H21&amp;"")&amp;"="&amp;SUMIFS('Исходные данные'!$J$2:$J$966,'Исходные данные'!$D$2:$D$966,T$3,'Исходные данные'!$F$2:$F$966,$H21&amp;""),SUMIFS('Исходные данные'!$I$2:$I$966,'Исходные данные'!$D$2:$D$966,T$3,'Исходные данные'!$F$2:$F$966,$H21&amp;"")&amp;"+"&amp;SUMIFS('Исходные данные'!$J$2:$J$966,'Исходные данные'!$D$2:$D$966,T$3,'Исходные данные'!$F$2:$F$966,$H21&amp;"")&amp;"="&amp;(SUMIFS('Исходные данные'!$I$2:$I$966,'Исходные данные'!$D$2:$D$966,T$3,'Исходные данные'!$F$2:$F$966,$H21&amp;"")+SUMIFS('Исходные данные'!$J$2:$J$966,'Исходные данные'!$D$2:$D$966,T$3,'Исходные данные'!$F$2:$F$966,$H21&amp;"")))))</f>
        <v/>
      </c>
      <c r="U21" s="50" t="n">
        <f aca="false">IF(SUMIFS('Исходные данные'!$I$2:$I$966,'Исходные данные'!$D$2:$D$966,U$3,'Исходные данные'!$F$2:$F$966,$H21&amp;"")+SUMIFS('Исходные данные'!$J$2:$J$966,'Исходные данные'!$D$2:$D$966,U$3,'Исходные данные'!$F$2:$F$966,$H21&amp;"")=0,"",IF(SUMIFS('Исходные данные'!$J$2:$J$966,'Исходные данные'!$D$2:$D$966,U$3,'Исходные данные'!$F$2:$F$966,$H21&amp;"")=0,SUMIFS('Исходные данные'!$I$2:$I$966,'Исходные данные'!$D$2:$D$966,U$3,'Исходные данные'!$F$2:$F$966,$H21&amp;""),IF(SUMIFS('Исходные данные'!$I$2:$I$966,'Исходные данные'!$D$2:$D$966,U$3,'Исходные данные'!$F$2:$F$966,$H21&amp;"")=0,"0+"&amp;SUMIFS('Исходные данные'!$J$2:$J$966,'Исходные данные'!$D$2:$D$966,U$3,'Исходные данные'!$F$2:$F$966,$H21&amp;"")&amp;"="&amp;SUMIFS('Исходные данные'!$J$2:$J$966,'Исходные данные'!$D$2:$D$966,U$3,'Исходные данные'!$F$2:$F$966,$H21&amp;""),SUMIFS('Исходные данные'!$I$2:$I$966,'Исходные данные'!$D$2:$D$966,U$3,'Исходные данные'!$F$2:$F$966,$H21&amp;"")&amp;"+"&amp;SUMIFS('Исходные данные'!$J$2:$J$966,'Исходные данные'!$D$2:$D$966,U$3,'Исходные данные'!$F$2:$F$966,$H21&amp;"")&amp;"="&amp;(SUMIFS('Исходные данные'!$I$2:$I$966,'Исходные данные'!$D$2:$D$966,U$3,'Исходные данные'!$F$2:$F$966,$H21&amp;"")+SUMIFS('Исходные данные'!$J$2:$J$966,'Исходные данные'!$D$2:$D$966,U$3,'Исходные данные'!$F$2:$F$966,$H21&amp;"")))))</f>
        <v>2</v>
      </c>
      <c r="V21" s="49" t="str">
        <f aca="false">IF(SUMIFS('Исходные данные'!$I$2:$I$966,'Исходные данные'!$D$2:$D$966,V$3,'Исходные данные'!$F$2:$F$966,$H21&amp;"")+SUMIFS('Исходные данные'!$J$2:$J$966,'Исходные данные'!$D$2:$D$966,V$3,'Исходные данные'!$F$2:$F$966,$H21&amp;"")=0,"",IF(SUMIFS('Исходные данные'!$J$2:$J$966,'Исходные данные'!$D$2:$D$966,V$3,'Исходные данные'!$F$2:$F$966,$H21&amp;"")=0,SUMIFS('Исходные данные'!$I$2:$I$966,'Исходные данные'!$D$2:$D$966,V$3,'Исходные данные'!$F$2:$F$966,$H21&amp;""),IF(SUMIFS('Исходные данные'!$I$2:$I$966,'Исходные данные'!$D$2:$D$966,V$3,'Исходные данные'!$F$2:$F$966,$H21&amp;"")=0,"0+"&amp;SUMIFS('Исходные данные'!$J$2:$J$966,'Исходные данные'!$D$2:$D$966,V$3,'Исходные данные'!$F$2:$F$966,$H21&amp;"")&amp;"="&amp;SUMIFS('Исходные данные'!$J$2:$J$966,'Исходные данные'!$D$2:$D$966,V$3,'Исходные данные'!$F$2:$F$966,$H21&amp;""),SUMIFS('Исходные данные'!$I$2:$I$966,'Исходные данные'!$D$2:$D$966,V$3,'Исходные данные'!$F$2:$F$966,$H21&amp;"")&amp;"+"&amp;SUMIFS('Исходные данные'!$J$2:$J$966,'Исходные данные'!$D$2:$D$966,V$3,'Исходные данные'!$F$2:$F$966,$H21&amp;"")&amp;"="&amp;(SUMIFS('Исходные данные'!$I$2:$I$966,'Исходные данные'!$D$2:$D$966,V$3,'Исходные данные'!$F$2:$F$966,$H21&amp;"")+SUMIFS('Исходные данные'!$J$2:$J$966,'Исходные данные'!$D$2:$D$966,V$3,'Исходные данные'!$F$2:$F$966,$H21&amp;"")))))</f>
        <v/>
      </c>
      <c r="W21" s="50" t="str">
        <f aca="false">IF(SUMIFS('Исходные данные'!$I$2:$I$966,'Исходные данные'!$D$2:$D$966,W$3,'Исходные данные'!$F$2:$F$966,$H21&amp;"")+SUMIFS('Исходные данные'!$J$2:$J$966,'Исходные данные'!$D$2:$D$966,W$3,'Исходные данные'!$F$2:$F$966,$H21&amp;"")=0,"",IF(SUMIFS('Исходные данные'!$J$2:$J$966,'Исходные данные'!$D$2:$D$966,W$3,'Исходные данные'!$F$2:$F$966,$H21&amp;"")=0,SUMIFS('Исходные данные'!$I$2:$I$966,'Исходные данные'!$D$2:$D$966,W$3,'Исходные данные'!$F$2:$F$966,$H21&amp;""),IF(SUMIFS('Исходные данные'!$I$2:$I$966,'Исходные данные'!$D$2:$D$966,W$3,'Исходные данные'!$F$2:$F$966,$H21&amp;"")=0,"0+"&amp;SUMIFS('Исходные данные'!$J$2:$J$966,'Исходные данные'!$D$2:$D$966,W$3,'Исходные данные'!$F$2:$F$966,$H21&amp;"")&amp;"="&amp;SUMIFS('Исходные данные'!$J$2:$J$966,'Исходные данные'!$D$2:$D$966,W$3,'Исходные данные'!$F$2:$F$966,$H21&amp;""),SUMIFS('Исходные данные'!$I$2:$I$966,'Исходные данные'!$D$2:$D$966,W$3,'Исходные данные'!$F$2:$F$966,$H21&amp;"")&amp;"+"&amp;SUMIFS('Исходные данные'!$J$2:$J$966,'Исходные данные'!$D$2:$D$966,W$3,'Исходные данные'!$F$2:$F$966,$H21&amp;"")&amp;"="&amp;(SUMIFS('Исходные данные'!$I$2:$I$966,'Исходные данные'!$D$2:$D$966,W$3,'Исходные данные'!$F$2:$F$966,$H21&amp;"")+SUMIFS('Исходные данные'!$J$2:$J$966,'Исходные данные'!$D$2:$D$966,W$3,'Исходные данные'!$F$2:$F$966,$H21&amp;"")))))</f>
        <v/>
      </c>
      <c r="X21" s="50" t="str">
        <f aca="false">IF(SUMIFS('Исходные данные'!$I$2:$I$966,'Исходные данные'!$D$2:$D$966,X$3,'Исходные данные'!$F$2:$F$966,$H21&amp;"")+SUMIFS('Исходные данные'!$J$2:$J$966,'Исходные данные'!$D$2:$D$966,X$3,'Исходные данные'!$F$2:$F$966,$H21&amp;"")=0,"",IF(SUMIFS('Исходные данные'!$J$2:$J$966,'Исходные данные'!$D$2:$D$966,X$3,'Исходные данные'!$F$2:$F$966,$H21&amp;"")=0,SUMIFS('Исходные данные'!$I$2:$I$966,'Исходные данные'!$D$2:$D$966,X$3,'Исходные данные'!$F$2:$F$966,$H21&amp;""),IF(SUMIFS('Исходные данные'!$I$2:$I$966,'Исходные данные'!$D$2:$D$966,X$3,'Исходные данные'!$F$2:$F$966,$H21&amp;"")=0,"0+"&amp;SUMIFS('Исходные данные'!$J$2:$J$966,'Исходные данные'!$D$2:$D$966,X$3,'Исходные данные'!$F$2:$F$966,$H21&amp;"")&amp;"="&amp;SUMIFS('Исходные данные'!$J$2:$J$966,'Исходные данные'!$D$2:$D$966,X$3,'Исходные данные'!$F$2:$F$966,$H21&amp;""),SUMIFS('Исходные данные'!$I$2:$I$966,'Исходные данные'!$D$2:$D$966,X$3,'Исходные данные'!$F$2:$F$966,$H21&amp;"")&amp;"+"&amp;SUMIFS('Исходные данные'!$J$2:$J$966,'Исходные данные'!$D$2:$D$966,X$3,'Исходные данные'!$F$2:$F$966,$H21&amp;"")&amp;"="&amp;(SUMIFS('Исходные данные'!$I$2:$I$966,'Исходные данные'!$D$2:$D$966,X$3,'Исходные данные'!$F$2:$F$966,$H21&amp;"")+SUMIFS('Исходные данные'!$J$2:$J$966,'Исходные данные'!$D$2:$D$966,X$3,'Исходные данные'!$F$2:$F$966,$H21&amp;"")))))</f>
        <v/>
      </c>
      <c r="Y21" s="52" t="str">
        <f aca="false">IF(SUMIFS('Исходные данные'!$I$2:$I$966,'Исходные данные'!$D$2:$D$966,Y$3,'Исходные данные'!$F$2:$F$966,$H21&amp;"")+SUMIFS('Исходные данные'!$J$2:$J$966,'Исходные данные'!$D$2:$D$966,Y$3,'Исходные данные'!$F$2:$F$966,$H21&amp;"")=0,"",IF(SUMIFS('Исходные данные'!$J$2:$J$966,'Исходные данные'!$D$2:$D$966,Y$3,'Исходные данные'!$F$2:$F$966,$H21&amp;"")=0,SUMIFS('Исходные данные'!$I$2:$I$966,'Исходные данные'!$D$2:$D$966,Y$3,'Исходные данные'!$F$2:$F$966,$H21&amp;""),IF(SUMIFS('Исходные данные'!$I$2:$I$966,'Исходные данные'!$D$2:$D$966,Y$3,'Исходные данные'!$F$2:$F$966,$H21&amp;"")=0,"0+"&amp;SUMIFS('Исходные данные'!$J$2:$J$966,'Исходные данные'!$D$2:$D$966,Y$3,'Исходные данные'!$F$2:$F$966,$H21&amp;"")&amp;"="&amp;SUMIFS('Исходные данные'!$J$2:$J$966,'Исходные данные'!$D$2:$D$966,Y$3,'Исходные данные'!$F$2:$F$966,$H21&amp;""),SUMIFS('Исходные данные'!$I$2:$I$966,'Исходные данные'!$D$2:$D$966,Y$3,'Исходные данные'!$F$2:$F$966,$H21&amp;"")&amp;"+"&amp;SUMIFS('Исходные данные'!$J$2:$J$966,'Исходные данные'!$D$2:$D$966,Y$3,'Исходные данные'!$F$2:$F$966,$H21&amp;"")&amp;"="&amp;(SUMIFS('Исходные данные'!$I$2:$I$966,'Исходные данные'!$D$2:$D$966,Y$3,'Исходные данные'!$F$2:$F$966,$H21&amp;"")+SUMIFS('Исходные данные'!$J$2:$J$966,'Исходные данные'!$D$2:$D$966,Y$3,'Исходные данные'!$F$2:$F$966,$H21&amp;"")))))</f>
        <v/>
      </c>
      <c r="Z21" s="49" t="str">
        <f aca="false">IF(SUMIFS('Исходные данные'!$I$2:$I$966,'Исходные данные'!$D$2:$D$966,Z$3,'Исходные данные'!$F$2:$F$966,$H21&amp;"")+SUMIFS('Исходные данные'!$J$2:$J$966,'Исходные данные'!$D$2:$D$966,Z$3,'Исходные данные'!$F$2:$F$966,$H21&amp;"")=0,"",IF(SUMIFS('Исходные данные'!$J$2:$J$966,'Исходные данные'!$D$2:$D$966,Z$3,'Исходные данные'!$F$2:$F$966,$H21&amp;"")=0,SUMIFS('Исходные данные'!$I$2:$I$966,'Исходные данные'!$D$2:$D$966,Z$3,'Исходные данные'!$F$2:$F$966,$H21&amp;""),IF(SUMIFS('Исходные данные'!$I$2:$I$966,'Исходные данные'!$D$2:$D$966,Z$3,'Исходные данные'!$F$2:$F$966,$H21&amp;"")=0,"0+"&amp;SUMIFS('Исходные данные'!$J$2:$J$966,'Исходные данные'!$D$2:$D$966,Z$3,'Исходные данные'!$F$2:$F$966,$H21&amp;"")&amp;"="&amp;SUMIFS('Исходные данные'!$J$2:$J$966,'Исходные данные'!$D$2:$D$966,Z$3,'Исходные данные'!$F$2:$F$966,$H21&amp;""),SUMIFS('Исходные данные'!$I$2:$I$966,'Исходные данные'!$D$2:$D$966,Z$3,'Исходные данные'!$F$2:$F$966,$H21&amp;"")&amp;"+"&amp;SUMIFS('Исходные данные'!$J$2:$J$966,'Исходные данные'!$D$2:$D$966,Z$3,'Исходные данные'!$F$2:$F$966,$H21&amp;"")&amp;"="&amp;(SUMIFS('Исходные данные'!$I$2:$I$966,'Исходные данные'!$D$2:$D$966,Z$3,'Исходные данные'!$F$2:$F$966,$H21&amp;"")+SUMIFS('Исходные данные'!$J$2:$J$966,'Исходные данные'!$D$2:$D$966,Z$3,'Исходные данные'!$F$2:$F$966,$H21&amp;"")))))</f>
        <v/>
      </c>
      <c r="AA21" s="50" t="str">
        <f aca="false">IF(SUMIFS('Исходные данные'!$I$2:$I$966,'Исходные данные'!$D$2:$D$966,AA$3,'Исходные данные'!$F$2:$F$966,$H21&amp;"")+SUMIFS('Исходные данные'!$J$2:$J$966,'Исходные данные'!$D$2:$D$966,AA$3,'Исходные данные'!$F$2:$F$966,$H21&amp;"")=0,"",IF(SUMIFS('Исходные данные'!$J$2:$J$966,'Исходные данные'!$D$2:$D$966,AA$3,'Исходные данные'!$F$2:$F$966,$H21&amp;"")=0,SUMIFS('Исходные данные'!$I$2:$I$966,'Исходные данные'!$D$2:$D$966,AA$3,'Исходные данные'!$F$2:$F$966,$H21&amp;""),IF(SUMIFS('Исходные данные'!$I$2:$I$966,'Исходные данные'!$D$2:$D$966,AA$3,'Исходные данные'!$F$2:$F$966,$H21&amp;"")=0,"0+"&amp;SUMIFS('Исходные данные'!$J$2:$J$966,'Исходные данные'!$D$2:$D$966,AA$3,'Исходные данные'!$F$2:$F$966,$H21&amp;"")&amp;"="&amp;SUMIFS('Исходные данные'!$J$2:$J$966,'Исходные данные'!$D$2:$D$966,AA$3,'Исходные данные'!$F$2:$F$966,$H21&amp;""),SUMIFS('Исходные данные'!$I$2:$I$966,'Исходные данные'!$D$2:$D$966,AA$3,'Исходные данные'!$F$2:$F$966,$H21&amp;"")&amp;"+"&amp;SUMIFS('Исходные данные'!$J$2:$J$966,'Исходные данные'!$D$2:$D$966,AA$3,'Исходные данные'!$F$2:$F$966,$H21&amp;"")&amp;"="&amp;(SUMIFS('Исходные данные'!$I$2:$I$966,'Исходные данные'!$D$2:$D$966,AA$3,'Исходные данные'!$F$2:$F$966,$H21&amp;"")+SUMIFS('Исходные данные'!$J$2:$J$966,'Исходные данные'!$D$2:$D$966,AA$3,'Исходные данные'!$F$2:$F$966,$H21&amp;"")))))</f>
        <v/>
      </c>
      <c r="AB21" s="50" t="str">
        <f aca="false">IF(SUMIFS('Исходные данные'!$I$2:$I$966,'Исходные данные'!$D$2:$D$966,AB$3,'Исходные данные'!$F$2:$F$966,$H21&amp;"")+SUMIFS('Исходные данные'!$J$2:$J$966,'Исходные данные'!$D$2:$D$966,AB$3,'Исходные данные'!$F$2:$F$966,$H21&amp;"")=0,"",IF(SUMIFS('Исходные данные'!$J$2:$J$966,'Исходные данные'!$D$2:$D$966,AB$3,'Исходные данные'!$F$2:$F$966,$H21&amp;"")=0,SUMIFS('Исходные данные'!$I$2:$I$966,'Исходные данные'!$D$2:$D$966,AB$3,'Исходные данные'!$F$2:$F$966,$H21&amp;""),IF(SUMIFS('Исходные данные'!$I$2:$I$966,'Исходные данные'!$D$2:$D$966,AB$3,'Исходные данные'!$F$2:$F$966,$H21&amp;"")=0,"0+"&amp;SUMIFS('Исходные данные'!$J$2:$J$966,'Исходные данные'!$D$2:$D$966,AB$3,'Исходные данные'!$F$2:$F$966,$H21&amp;"")&amp;"="&amp;SUMIFS('Исходные данные'!$J$2:$J$966,'Исходные данные'!$D$2:$D$966,AB$3,'Исходные данные'!$F$2:$F$966,$H21&amp;""),SUMIFS('Исходные данные'!$I$2:$I$966,'Исходные данные'!$D$2:$D$966,AB$3,'Исходные данные'!$F$2:$F$966,$H21&amp;"")&amp;"+"&amp;SUMIFS('Исходные данные'!$J$2:$J$966,'Исходные данные'!$D$2:$D$966,AB$3,'Исходные данные'!$F$2:$F$966,$H21&amp;"")&amp;"="&amp;(SUMIFS('Исходные данные'!$I$2:$I$966,'Исходные данные'!$D$2:$D$966,AB$3,'Исходные данные'!$F$2:$F$966,$H21&amp;"")+SUMIFS('Исходные данные'!$J$2:$J$966,'Исходные данные'!$D$2:$D$966,AB$3,'Исходные данные'!$F$2:$F$966,$H21&amp;"")))))</f>
        <v/>
      </c>
      <c r="AC21" s="49" t="str">
        <f aca="false">IF(SUMIFS('Исходные данные'!$I$2:$I$966,'Исходные данные'!$D$2:$D$966,AC$3,'Исходные данные'!$F$2:$F$966,$H21&amp;"")+SUMIFS('Исходные данные'!$J$2:$J$966,'Исходные данные'!$D$2:$D$966,AC$3,'Исходные данные'!$F$2:$F$966,$H21&amp;"")=0,"",IF(SUMIFS('Исходные данные'!$J$2:$J$966,'Исходные данные'!$D$2:$D$966,AC$3,'Исходные данные'!$F$2:$F$966,$H21&amp;"")=0,SUMIFS('Исходные данные'!$I$2:$I$966,'Исходные данные'!$D$2:$D$966,AC$3,'Исходные данные'!$F$2:$F$966,$H21&amp;""),IF(SUMIFS('Исходные данные'!$I$2:$I$966,'Исходные данные'!$D$2:$D$966,AC$3,'Исходные данные'!$F$2:$F$966,$H21&amp;"")=0,"0+"&amp;SUMIFS('Исходные данные'!$J$2:$J$966,'Исходные данные'!$D$2:$D$966,AC$3,'Исходные данные'!$F$2:$F$966,$H21&amp;"")&amp;"="&amp;SUMIFS('Исходные данные'!$J$2:$J$966,'Исходные данные'!$D$2:$D$966,AC$3,'Исходные данные'!$F$2:$F$966,$H21&amp;""),SUMIFS('Исходные данные'!$I$2:$I$966,'Исходные данные'!$D$2:$D$966,AC$3,'Исходные данные'!$F$2:$F$966,$H21&amp;"")&amp;"+"&amp;SUMIFS('Исходные данные'!$J$2:$J$966,'Исходные данные'!$D$2:$D$966,AC$3,'Исходные данные'!$F$2:$F$966,$H21&amp;"")&amp;"="&amp;(SUMIFS('Исходные данные'!$I$2:$I$966,'Исходные данные'!$D$2:$D$966,AC$3,'Исходные данные'!$F$2:$F$966,$H21&amp;"")+SUMIFS('Исходные данные'!$J$2:$J$966,'Исходные данные'!$D$2:$D$966,AC$3,'Исходные данные'!$F$2:$F$966,$H21&amp;"")))))</f>
        <v/>
      </c>
      <c r="AD21" s="50" t="str">
        <f aca="false">IF(SUMIFS('Исходные данные'!$I$2:$I$966,'Исходные данные'!$D$2:$D$966,AD$3,'Исходные данные'!$F$2:$F$966,$H21&amp;"")+SUMIFS('Исходные данные'!$J$2:$J$966,'Исходные данные'!$D$2:$D$966,AD$3,'Исходные данные'!$F$2:$F$966,$H21&amp;"")=0,"",IF(SUMIFS('Исходные данные'!$J$2:$J$966,'Исходные данные'!$D$2:$D$966,AD$3,'Исходные данные'!$F$2:$F$966,$H21&amp;"")=0,SUMIFS('Исходные данные'!$I$2:$I$966,'Исходные данные'!$D$2:$D$966,AD$3,'Исходные данные'!$F$2:$F$966,$H21&amp;""),IF(SUMIFS('Исходные данные'!$I$2:$I$966,'Исходные данные'!$D$2:$D$966,AD$3,'Исходные данные'!$F$2:$F$966,$H21&amp;"")=0,"0+"&amp;SUMIFS('Исходные данные'!$J$2:$J$966,'Исходные данные'!$D$2:$D$966,AD$3,'Исходные данные'!$F$2:$F$966,$H21&amp;"")&amp;"="&amp;SUMIFS('Исходные данные'!$J$2:$J$966,'Исходные данные'!$D$2:$D$966,AD$3,'Исходные данные'!$F$2:$F$966,$H21&amp;""),SUMIFS('Исходные данные'!$I$2:$I$966,'Исходные данные'!$D$2:$D$966,AD$3,'Исходные данные'!$F$2:$F$966,$H21&amp;"")&amp;"+"&amp;SUMIFS('Исходные данные'!$J$2:$J$966,'Исходные данные'!$D$2:$D$966,AD$3,'Исходные данные'!$F$2:$F$966,$H21&amp;"")&amp;"="&amp;(SUMIFS('Исходные данные'!$I$2:$I$966,'Исходные данные'!$D$2:$D$966,AD$3,'Исходные данные'!$F$2:$F$966,$H21&amp;"")+SUMIFS('Исходные данные'!$J$2:$J$966,'Исходные данные'!$D$2:$D$966,AD$3,'Исходные данные'!$F$2:$F$966,$H21&amp;"")))))</f>
        <v/>
      </c>
    </row>
    <row r="22" customFormat="false" ht="25.5" hidden="false" customHeight="true" outlineLevel="0" collapsed="false">
      <c r="A22" s="43" t="n">
        <v>18</v>
      </c>
      <c r="B22" s="28" t="s">
        <v>204</v>
      </c>
      <c r="C22" s="29" t="s">
        <v>21</v>
      </c>
      <c r="D22" s="30"/>
      <c r="E22" s="29" t="s">
        <v>205</v>
      </c>
      <c r="F22" s="29" t="s">
        <v>15</v>
      </c>
      <c r="G22" s="64"/>
      <c r="H22" s="32"/>
      <c r="I22" s="55"/>
      <c r="J22" s="56"/>
      <c r="K22" s="57"/>
      <c r="L22" s="58"/>
      <c r="M22" s="59"/>
      <c r="N22" s="59"/>
      <c r="O22" s="60" t="str">
        <f aca="false">IF(SUMIFS('Исходные данные'!$I$2:$I$966,'Исходные данные'!$D$2:$D$966,O$3,'Исходные данные'!$F$2:$F$966,$H23&amp;"",'Исходные данные'!$L$2:$L$966,"УТТ")+SUMIFS('Исходные данные'!$J$2:$J$966,'Исходные данные'!$D$2:$D$966,O$3,'Исходные данные'!$F$2:$F$966,$H23&amp;"",'Исходные данные'!$L$2:$L$966,"УТТ")=0,"","утт-"&amp;(SUMIFS('Исходные данные'!$I$2:$I$966,'Исходные данные'!$D$2:$D$966,O$3,'Исходные данные'!$F$2:$F$966,$H23&amp;"",'Исходные данные'!$L$2:$L$966,"УТТ")+SUMIFS('Исходные данные'!$J$2:$J$966,'Исходные данные'!$D$2:$D$966,O$3,'Исходные данные'!$F$2:$F$966,$H23&amp;"",'Исходные данные'!$L$2:$L$966,"УТТ")))</f>
        <v/>
      </c>
      <c r="P22" s="61" t="str">
        <f aca="false">IF(SUMIFS('Исходные данные'!$I$2:$I$966,'Исходные данные'!$D$2:$D$966,P$3,'Исходные данные'!$F$2:$F$966,$H23&amp;"",'Исходные данные'!$L$2:$L$966,"УТТ")+SUMIFS('Исходные данные'!$J$2:$J$966,'Исходные данные'!$D$2:$D$966,P$3,'Исходные данные'!$F$2:$F$966,$H23&amp;"",'Исходные данные'!$L$2:$L$966,"УТТ")=0,"","утт-"&amp;(SUMIFS('Исходные данные'!$I$2:$I$966,'Исходные данные'!$D$2:$D$966,P$3,'Исходные данные'!$F$2:$F$966,$H23&amp;"",'Исходные данные'!$L$2:$L$966,"УТТ")+SUMIFS('Исходные данные'!$J$2:$J$966,'Исходные данные'!$D$2:$D$966,P$3,'Исходные данные'!$F$2:$F$966,$H23&amp;"",'Исходные данные'!$L$2:$L$966,"УТТ")))</f>
        <v/>
      </c>
      <c r="Q22" s="60" t="str">
        <f aca="false">IF(SUMIFS('Исходные данные'!$I$2:$I$966,'Исходные данные'!$D$2:$D$966,Q$3,'Исходные данные'!$F$2:$F$966,$H23&amp;"",'Исходные данные'!$L$2:$L$966,"УТТ")+SUMIFS('Исходные данные'!$J$2:$J$966,'Исходные данные'!$D$2:$D$966,Q$3,'Исходные данные'!$F$2:$F$966,$H23&amp;"",'Исходные данные'!$L$2:$L$966,"УТТ")=0,"","утт-"&amp;(SUMIFS('Исходные данные'!$I$2:$I$966,'Исходные данные'!$D$2:$D$966,Q$3,'Исходные данные'!$F$2:$F$966,$H23&amp;"",'Исходные данные'!$L$2:$L$966,"УТТ")+SUMIFS('Исходные данные'!$J$2:$J$966,'Исходные данные'!$D$2:$D$966,Q$3,'Исходные данные'!$F$2:$F$966,$H23&amp;"",'Исходные данные'!$L$2:$L$966,"УТТ")))</f>
        <v/>
      </c>
      <c r="R22" s="62" t="str">
        <f aca="false">IF(SUMIFS('Исходные данные'!$I$2:$I$966,'Исходные данные'!$D$2:$D$966,R$3,'Исходные данные'!$F$2:$F$966,$H23&amp;"",'Исходные данные'!$L$2:$L$966,"УТТ")+SUMIFS('Исходные данные'!$J$2:$J$966,'Исходные данные'!$D$2:$D$966,R$3,'Исходные данные'!$F$2:$F$966,$H23&amp;"",'Исходные данные'!$L$2:$L$966,"УТТ")=0,"","утт-"&amp;(SUMIFS('Исходные данные'!$I$2:$I$966,'Исходные данные'!$D$2:$D$966,R$3,'Исходные данные'!$F$2:$F$966,$H23&amp;"",'Исходные данные'!$L$2:$L$966,"УТТ")+SUMIFS('Исходные данные'!$J$2:$J$966,'Исходные данные'!$D$2:$D$966,R$3,'Исходные данные'!$F$2:$F$966,$H23&amp;"",'Исходные данные'!$L$2:$L$966,"УТТ")))</f>
        <v/>
      </c>
      <c r="S22" s="61" t="str">
        <f aca="false">IF(SUMIFS('Исходные данные'!$I$2:$I$966,'Исходные данные'!$D$2:$D$966,S$3,'Исходные данные'!$F$2:$F$966,$H23&amp;"",'Исходные данные'!$L$2:$L$966,"УТТ")+SUMIFS('Исходные данные'!$J$2:$J$966,'Исходные данные'!$D$2:$D$966,S$3,'Исходные данные'!$F$2:$F$966,$H23&amp;"",'Исходные данные'!$L$2:$L$966,"УТТ")=0,"","утт-"&amp;(SUMIFS('Исходные данные'!$I$2:$I$966,'Исходные данные'!$D$2:$D$966,S$3,'Исходные данные'!$F$2:$F$966,$H23&amp;"",'Исходные данные'!$L$2:$L$966,"УТТ")+SUMIFS('Исходные данные'!$J$2:$J$966,'Исходные данные'!$D$2:$D$966,S$3,'Исходные данные'!$F$2:$F$966,$H23&amp;"",'Исходные данные'!$L$2:$L$966,"УТТ")))</f>
        <v>утт-1</v>
      </c>
      <c r="T22" s="60" t="str">
        <f aca="false">IF(SUMIFS('Исходные данные'!$I$2:$I$966,'Исходные данные'!$D$2:$D$966,T$3,'Исходные данные'!$F$2:$F$966,$H23&amp;"",'Исходные данные'!$L$2:$L$966,"УТТ")+SUMIFS('Исходные данные'!$J$2:$J$966,'Исходные данные'!$D$2:$D$966,T$3,'Исходные данные'!$F$2:$F$966,$H23&amp;"",'Исходные данные'!$L$2:$L$966,"УТТ")=0,"","утт-"&amp;(SUMIFS('Исходные данные'!$I$2:$I$966,'Исходные данные'!$D$2:$D$966,T$3,'Исходные данные'!$F$2:$F$966,$H23&amp;"",'Исходные данные'!$L$2:$L$966,"УТТ")+SUMIFS('Исходные данные'!$J$2:$J$966,'Исходные данные'!$D$2:$D$966,T$3,'Исходные данные'!$F$2:$F$966,$H23&amp;"",'Исходные данные'!$L$2:$L$966,"УТТ")))</f>
        <v/>
      </c>
      <c r="U22" s="61" t="str">
        <f aca="false">IF(SUMIFS('Исходные данные'!$I$2:$I$966,'Исходные данные'!$D$2:$D$966,U$3,'Исходные данные'!$F$2:$F$966,$H23&amp;"",'Исходные данные'!$L$2:$L$966,"УТТ")+SUMIFS('Исходные данные'!$J$2:$J$966,'Исходные данные'!$D$2:$D$966,U$3,'Исходные данные'!$F$2:$F$966,$H23&amp;"",'Исходные данные'!$L$2:$L$966,"УТТ")=0,"","утт-"&amp;(SUMIFS('Исходные данные'!$I$2:$I$966,'Исходные данные'!$D$2:$D$966,U$3,'Исходные данные'!$F$2:$F$966,$H23&amp;"",'Исходные данные'!$L$2:$L$966,"УТТ")+SUMIFS('Исходные данные'!$J$2:$J$966,'Исходные данные'!$D$2:$D$966,U$3,'Исходные данные'!$F$2:$F$966,$H23&amp;"",'Исходные данные'!$L$2:$L$966,"УТТ")))</f>
        <v>утт-1</v>
      </c>
      <c r="V22" s="60" t="str">
        <f aca="false">IF(SUMIFS('Исходные данные'!$I$2:$I$966,'Исходные данные'!$D$2:$D$966,V$3,'Исходные данные'!$F$2:$F$966,$H23&amp;"",'Исходные данные'!$L$2:$L$966,"УТТ")+SUMIFS('Исходные данные'!$J$2:$J$966,'Исходные данные'!$D$2:$D$966,V$3,'Исходные данные'!$F$2:$F$966,$H23&amp;"",'Исходные данные'!$L$2:$L$966,"УТТ")=0,"","утт-"&amp;(SUMIFS('Исходные данные'!$I$2:$I$966,'Исходные данные'!$D$2:$D$966,V$3,'Исходные данные'!$F$2:$F$966,$H23&amp;"",'Исходные данные'!$L$2:$L$966,"УТТ")+SUMIFS('Исходные данные'!$J$2:$J$966,'Исходные данные'!$D$2:$D$966,V$3,'Исходные данные'!$F$2:$F$966,$H23&amp;"",'Исходные данные'!$L$2:$L$966,"УТТ")))</f>
        <v/>
      </c>
      <c r="W22" s="61" t="str">
        <f aca="false">IF(SUMIFS('Исходные данные'!$I$2:$I$966,'Исходные данные'!$D$2:$D$966,W$3,'Исходные данные'!$F$2:$F$966,$H23&amp;"",'Исходные данные'!$L$2:$L$966,"УТТ")+SUMIFS('Исходные данные'!$J$2:$J$966,'Исходные данные'!$D$2:$D$966,W$3,'Исходные данные'!$F$2:$F$966,$H23&amp;"",'Исходные данные'!$L$2:$L$966,"УТТ")=0,"","утт-"&amp;(SUMIFS('Исходные данные'!$I$2:$I$966,'Исходные данные'!$D$2:$D$966,W$3,'Исходные данные'!$F$2:$F$966,$H23&amp;"",'Исходные данные'!$L$2:$L$966,"УТТ")+SUMIFS('Исходные данные'!$J$2:$J$966,'Исходные данные'!$D$2:$D$966,W$3,'Исходные данные'!$F$2:$F$966,$H23&amp;"",'Исходные данные'!$L$2:$L$966,"УТТ")))</f>
        <v/>
      </c>
      <c r="X22" s="61" t="str">
        <f aca="false">IF(SUMIFS('Исходные данные'!$I$2:$I$966,'Исходные данные'!$D$2:$D$966,X$3,'Исходные данные'!$F$2:$F$966,$H23&amp;"",'Исходные данные'!$L$2:$L$966,"УТТ")+SUMIFS('Исходные данные'!$J$2:$J$966,'Исходные данные'!$D$2:$D$966,X$3,'Исходные данные'!$F$2:$F$966,$H23&amp;"",'Исходные данные'!$L$2:$L$966,"УТТ")=0,"","утт-"&amp;(SUMIFS('Исходные данные'!$I$2:$I$966,'Исходные данные'!$D$2:$D$966,X$3,'Исходные данные'!$F$2:$F$966,$H23&amp;"",'Исходные данные'!$L$2:$L$966,"УТТ")+SUMIFS('Исходные данные'!$J$2:$J$966,'Исходные данные'!$D$2:$D$966,X$3,'Исходные данные'!$F$2:$F$966,$H23&amp;"",'Исходные данные'!$L$2:$L$966,"УТТ")))</f>
        <v/>
      </c>
      <c r="Y22" s="63" t="str">
        <f aca="false">IF(SUMIFS('Исходные данные'!$I$2:$I$966,'Исходные данные'!$D$2:$D$966,Y$3,'Исходные данные'!$F$2:$F$966,$H23&amp;"",'Исходные данные'!$L$2:$L$966,"УТТ")+SUMIFS('Исходные данные'!$J$2:$J$966,'Исходные данные'!$D$2:$D$966,Y$3,'Исходные данные'!$F$2:$F$966,$H23&amp;"",'Исходные данные'!$L$2:$L$966,"УТТ")=0,"","утт-"&amp;(SUMIFS('Исходные данные'!$I$2:$I$966,'Исходные данные'!$D$2:$D$966,Y$3,'Исходные данные'!$F$2:$F$966,$H23&amp;"",'Исходные данные'!$L$2:$L$966,"УТТ")+SUMIFS('Исходные данные'!$J$2:$J$966,'Исходные данные'!$D$2:$D$966,Y$3,'Исходные данные'!$F$2:$F$966,$H23&amp;"",'Исходные данные'!$L$2:$L$966,"УТТ")))</f>
        <v/>
      </c>
      <c r="Z22" s="60" t="str">
        <f aca="false">IF(SUMIFS('Исходные данные'!$I$2:$I$966,'Исходные данные'!$D$2:$D$966,Z$3,'Исходные данные'!$F$2:$F$966,$H23&amp;"",'Исходные данные'!$L$2:$L$966,"УТТ")+SUMIFS('Исходные данные'!$J$2:$J$966,'Исходные данные'!$D$2:$D$966,Z$3,'Исходные данные'!$F$2:$F$966,$H23&amp;"",'Исходные данные'!$L$2:$L$966,"УТТ")=0,"","утт-"&amp;(SUMIFS('Исходные данные'!$I$2:$I$966,'Исходные данные'!$D$2:$D$966,Z$3,'Исходные данные'!$F$2:$F$966,$H23&amp;"",'Исходные данные'!$L$2:$L$966,"УТТ")+SUMIFS('Исходные данные'!$J$2:$J$966,'Исходные данные'!$D$2:$D$966,Z$3,'Исходные данные'!$F$2:$F$966,$H23&amp;"",'Исходные данные'!$L$2:$L$966,"УТТ")))</f>
        <v/>
      </c>
      <c r="AA22" s="61" t="str">
        <f aca="false">IF(SUMIFS('Исходные данные'!$I$2:$I$966,'Исходные данные'!$D$2:$D$966,AA$3,'Исходные данные'!$F$2:$F$966,$H23&amp;"",'Исходные данные'!$L$2:$L$966,"УТТ")+SUMIFS('Исходные данные'!$J$2:$J$966,'Исходные данные'!$D$2:$D$966,AA$3,'Исходные данные'!$F$2:$F$966,$H23&amp;"",'Исходные данные'!$L$2:$L$966,"УТТ")=0,"","утт-"&amp;(SUMIFS('Исходные данные'!$I$2:$I$966,'Исходные данные'!$D$2:$D$966,AA$3,'Исходные данные'!$F$2:$F$966,$H23&amp;"",'Исходные данные'!$L$2:$L$966,"УТТ")+SUMIFS('Исходные данные'!$J$2:$J$966,'Исходные данные'!$D$2:$D$966,AA$3,'Исходные данные'!$F$2:$F$966,$H23&amp;"",'Исходные данные'!$L$2:$L$966,"УТТ")))</f>
        <v/>
      </c>
      <c r="AB22" s="61" t="str">
        <f aca="false">IF(SUMIFS('Исходные данные'!$I$2:$I$966,'Исходные данные'!$D$2:$D$966,AB$3,'Исходные данные'!$F$2:$F$966,$H23&amp;"",'Исходные данные'!$L$2:$L$966,"УТТ")+SUMIFS('Исходные данные'!$J$2:$J$966,'Исходные данные'!$D$2:$D$966,AB$3,'Исходные данные'!$F$2:$F$966,$H23&amp;"",'Исходные данные'!$L$2:$L$966,"УТТ")=0,"","утт-"&amp;(SUMIFS('Исходные данные'!$I$2:$I$966,'Исходные данные'!$D$2:$D$966,AB$3,'Исходные данные'!$F$2:$F$966,$H23&amp;"",'Исходные данные'!$L$2:$L$966,"УТТ")+SUMIFS('Исходные данные'!$J$2:$J$966,'Исходные данные'!$D$2:$D$966,AB$3,'Исходные данные'!$F$2:$F$966,$H23&amp;"",'Исходные данные'!$L$2:$L$966,"УТТ")))</f>
        <v/>
      </c>
      <c r="AC22" s="60" t="str">
        <f aca="false">IF(SUMIFS('Исходные данные'!$I$2:$I$966,'Исходные данные'!$D$2:$D$966,AC$3,'Исходные данные'!$F$2:$F$966,$H23&amp;"",'Исходные данные'!$L$2:$L$966,"УТТ")+SUMIFS('Исходные данные'!$J$2:$J$966,'Исходные данные'!$D$2:$D$966,AC$3,'Исходные данные'!$F$2:$F$966,$H23&amp;"",'Исходные данные'!$L$2:$L$966,"УТТ")=0,"","утт-"&amp;(SUMIFS('Исходные данные'!$I$2:$I$966,'Исходные данные'!$D$2:$D$966,AC$3,'Исходные данные'!$F$2:$F$966,$H23&amp;"",'Исходные данные'!$L$2:$L$966,"УТТ")+SUMIFS('Исходные данные'!$J$2:$J$966,'Исходные данные'!$D$2:$D$966,AC$3,'Исходные данные'!$F$2:$F$966,$H23&amp;"",'Исходные данные'!$L$2:$L$966,"УТТ")))</f>
        <v>утт-1</v>
      </c>
      <c r="AD22" s="61" t="str">
        <f aca="false">IF(SUMIFS('Исходные данные'!$I$2:$I$966,'Исходные данные'!$D$2:$D$966,AD$3,'Исходные данные'!$F$2:$F$966,$H23&amp;"",'Исходные данные'!$L$2:$L$966,"УТТ")+SUMIFS('Исходные данные'!$J$2:$J$966,'Исходные данные'!$D$2:$D$966,AD$3,'Исходные данные'!$F$2:$F$966,$H23&amp;"",'Исходные данные'!$L$2:$L$966,"УТТ")=0,"","утт-"&amp;(SUMIFS('Исходные данные'!$I$2:$I$966,'Исходные данные'!$D$2:$D$966,AD$3,'Исходные данные'!$F$2:$F$966,$H23&amp;"",'Исходные данные'!$L$2:$L$966,"УТТ")+SUMIFS('Исходные данные'!$J$2:$J$966,'Исходные данные'!$D$2:$D$966,AD$3,'Исходные данные'!$F$2:$F$966,$H23&amp;"",'Исходные данные'!$L$2:$L$966,"УТТ")))</f>
        <v/>
      </c>
    </row>
    <row r="23" customFormat="false" ht="25.5" hidden="false" customHeight="true" outlineLevel="0" collapsed="false">
      <c r="A23" s="43" t="n">
        <v>19</v>
      </c>
      <c r="B23" s="28" t="s">
        <v>206</v>
      </c>
      <c r="C23" s="29" t="s">
        <v>21</v>
      </c>
      <c r="D23" s="30"/>
      <c r="E23" s="29" t="s">
        <v>207</v>
      </c>
      <c r="F23" s="29" t="s">
        <v>19</v>
      </c>
      <c r="G23" s="64"/>
      <c r="H23" s="66" t="n">
        <v>53</v>
      </c>
      <c r="I23" s="44" t="s">
        <v>208</v>
      </c>
      <c r="J23" s="67" t="n">
        <f aca="false">IFERROR(INDEX('Выход ТС'!$C:$C,MATCH($H23&amp;"",'Выход ТС'!$A:$A,0)),"")</f>
        <v>13</v>
      </c>
      <c r="K23" s="68" t="n">
        <f aca="false">IFERROR(INDEX('Выход ТС'!$D:$D,MATCH($H23&amp;"",'Выход ТС'!$A:$A,0)),"")</f>
        <v>13</v>
      </c>
      <c r="L23" s="69" t="n">
        <f aca="false">IFERROR(INDEX('Выход ТС'!$E:$E,MATCH($H23&amp;"",'Выход ТС'!$A:$A,0)),"")</f>
        <v>0</v>
      </c>
      <c r="M23" s="70" t="n">
        <f aca="false">IFERROR(IF(INDEX('Выход ТС'!$F:$F,MATCH($H23&amp;"",'Выход ТС'!$A:$A,0))=0,"",INDEX('Выход ТС'!$F:$F,MATCH($H23&amp;"",'Выход ТС'!$A:$A,0))),"")</f>
        <v>11</v>
      </c>
      <c r="N23" s="70" t="n">
        <f aca="false">IFERROR(IF(INDEX('Выход ТС'!$G:$G,MATCH($H23&amp;"",'Выход ТС'!$A:$A,0))=0,"",INDEX('Выход ТС'!$G:$G,MATCH($H23&amp;"",'Выход ТС'!$A:$A,0))),"")</f>
        <v>2</v>
      </c>
      <c r="O23" s="71" t="str">
        <f aca="false">IF(SUMIFS('Исходные данные'!$I$2:$I$966,'Исходные данные'!$D$2:$D$966,O$3,'Исходные данные'!$F$2:$F$966,$H23&amp;"")+SUMIFS('Исходные данные'!$J$2:$J$966,'Исходные данные'!$D$2:$D$966,O$3,'Исходные данные'!$F$2:$F$966,$H23&amp;"")=0,"",IF(SUMIFS('Исходные данные'!$J$2:$J$966,'Исходные данные'!$D$2:$D$966,O$3,'Исходные данные'!$F$2:$F$966,$H23&amp;"")=0,SUMIFS('Исходные данные'!$I$2:$I$966,'Исходные данные'!$D$2:$D$966,O$3,'Исходные данные'!$F$2:$F$966,$H23&amp;""),IF(SUMIFS('Исходные данные'!$I$2:$I$966,'Исходные данные'!$D$2:$D$966,O$3,'Исходные данные'!$F$2:$F$966,$H23&amp;"")=0,"0+"&amp;SUMIFS('Исходные данные'!$J$2:$J$966,'Исходные данные'!$D$2:$D$966,O$3,'Исходные данные'!$F$2:$F$966,$H23&amp;"")&amp;"="&amp;SUMIFS('Исходные данные'!$J$2:$J$966,'Исходные данные'!$D$2:$D$966,O$3,'Исходные данные'!$F$2:$F$966,$H23&amp;""),SUMIFS('Исходные данные'!$I$2:$I$966,'Исходные данные'!$D$2:$D$966,O$3,'Исходные данные'!$F$2:$F$966,$H23&amp;"")&amp;"+"&amp;SUMIFS('Исходные данные'!$J$2:$J$966,'Исходные данные'!$D$2:$D$966,O$3,'Исходные данные'!$F$2:$F$966,$H23&amp;"")&amp;"="&amp;(SUMIFS('Исходные данные'!$I$2:$I$966,'Исходные данные'!$D$2:$D$966,O$3,'Исходные данные'!$F$2:$F$966,$H23&amp;"")+SUMIFS('Исходные данные'!$J$2:$J$966,'Исходные данные'!$D$2:$D$966,O$3,'Исходные данные'!$F$2:$F$966,$H23&amp;"")))))</f>
        <v/>
      </c>
      <c r="P23" s="72" t="str">
        <f aca="false">IF(SUMIFS('Исходные данные'!$I$2:$I$966,'Исходные данные'!$D$2:$D$966,P$3,'Исходные данные'!$F$2:$F$966,$H23&amp;"")+SUMIFS('Исходные данные'!$J$2:$J$966,'Исходные данные'!$D$2:$D$966,P$3,'Исходные данные'!$F$2:$F$966,$H23&amp;"")=0,"",IF(SUMIFS('Исходные данные'!$J$2:$J$966,'Исходные данные'!$D$2:$D$966,P$3,'Исходные данные'!$F$2:$F$966,$H23&amp;"")=0,SUMIFS('Исходные данные'!$I$2:$I$966,'Исходные данные'!$D$2:$D$966,P$3,'Исходные данные'!$F$2:$F$966,$H23&amp;""),IF(SUMIFS('Исходные данные'!$I$2:$I$966,'Исходные данные'!$D$2:$D$966,P$3,'Исходные данные'!$F$2:$F$966,$H23&amp;"")=0,"0+"&amp;SUMIFS('Исходные данные'!$J$2:$J$966,'Исходные данные'!$D$2:$D$966,P$3,'Исходные данные'!$F$2:$F$966,$H23&amp;"")&amp;"="&amp;SUMIFS('Исходные данные'!$J$2:$J$966,'Исходные данные'!$D$2:$D$966,P$3,'Исходные данные'!$F$2:$F$966,$H23&amp;""),SUMIFS('Исходные данные'!$I$2:$I$966,'Исходные данные'!$D$2:$D$966,P$3,'Исходные данные'!$F$2:$F$966,$H23&amp;"")&amp;"+"&amp;SUMIFS('Исходные данные'!$J$2:$J$966,'Исходные данные'!$D$2:$D$966,P$3,'Исходные данные'!$F$2:$F$966,$H23&amp;"")&amp;"="&amp;(SUMIFS('Исходные данные'!$I$2:$I$966,'Исходные данные'!$D$2:$D$966,P$3,'Исходные данные'!$F$2:$F$966,$H23&amp;"")+SUMIFS('Исходные данные'!$J$2:$J$966,'Исходные данные'!$D$2:$D$966,P$3,'Исходные данные'!$F$2:$F$966,$H23&amp;"")))))</f>
        <v/>
      </c>
      <c r="Q23" s="71" t="str">
        <f aca="false">IF(SUMIFS('Исходные данные'!$I$2:$I$966,'Исходные данные'!$D$2:$D$966,Q$3,'Исходные данные'!$F$2:$F$966,$H23&amp;"")+SUMIFS('Исходные данные'!$J$2:$J$966,'Исходные данные'!$D$2:$D$966,Q$3,'Исходные данные'!$F$2:$F$966,$H23&amp;"")=0,"",IF(SUMIFS('Исходные данные'!$J$2:$J$966,'Исходные данные'!$D$2:$D$966,Q$3,'Исходные данные'!$F$2:$F$966,$H23&amp;"")=0,SUMIFS('Исходные данные'!$I$2:$I$966,'Исходные данные'!$D$2:$D$966,Q$3,'Исходные данные'!$F$2:$F$966,$H23&amp;""),IF(SUMIFS('Исходные данные'!$I$2:$I$966,'Исходные данные'!$D$2:$D$966,Q$3,'Исходные данные'!$F$2:$F$966,$H23&amp;"")=0,"0+"&amp;SUMIFS('Исходные данные'!$J$2:$J$966,'Исходные данные'!$D$2:$D$966,Q$3,'Исходные данные'!$F$2:$F$966,$H23&amp;"")&amp;"="&amp;SUMIFS('Исходные данные'!$J$2:$J$966,'Исходные данные'!$D$2:$D$966,Q$3,'Исходные данные'!$F$2:$F$966,$H23&amp;""),SUMIFS('Исходные данные'!$I$2:$I$966,'Исходные данные'!$D$2:$D$966,Q$3,'Исходные данные'!$F$2:$F$966,$H23&amp;"")&amp;"+"&amp;SUMIFS('Исходные данные'!$J$2:$J$966,'Исходные данные'!$D$2:$D$966,Q$3,'Исходные данные'!$F$2:$F$966,$H23&amp;"")&amp;"="&amp;(SUMIFS('Исходные данные'!$I$2:$I$966,'Исходные данные'!$D$2:$D$966,Q$3,'Исходные данные'!$F$2:$F$966,$H23&amp;"")+SUMIFS('Исходные данные'!$J$2:$J$966,'Исходные данные'!$D$2:$D$966,Q$3,'Исходные данные'!$F$2:$F$966,$H23&amp;"")))))</f>
        <v/>
      </c>
      <c r="R23" s="73" t="str">
        <f aca="false">IF(SUMIFS('Исходные данные'!$I$2:$I$966,'Исходные данные'!$D$2:$D$966,R$3,'Исходные данные'!$F$2:$F$966,$H23&amp;"")+SUMIFS('Исходные данные'!$J$2:$J$966,'Исходные данные'!$D$2:$D$966,R$3,'Исходные данные'!$F$2:$F$966,$H23&amp;"")=0,"",IF(SUMIFS('Исходные данные'!$J$2:$J$966,'Исходные данные'!$D$2:$D$966,R$3,'Исходные данные'!$F$2:$F$966,$H23&amp;"")=0,SUMIFS('Исходные данные'!$I$2:$I$966,'Исходные данные'!$D$2:$D$966,R$3,'Исходные данные'!$F$2:$F$966,$H23&amp;""),IF(SUMIFS('Исходные данные'!$I$2:$I$966,'Исходные данные'!$D$2:$D$966,R$3,'Исходные данные'!$F$2:$F$966,$H23&amp;"")=0,"0+"&amp;SUMIFS('Исходные данные'!$J$2:$J$966,'Исходные данные'!$D$2:$D$966,R$3,'Исходные данные'!$F$2:$F$966,$H23&amp;"")&amp;"="&amp;SUMIFS('Исходные данные'!$J$2:$J$966,'Исходные данные'!$D$2:$D$966,R$3,'Исходные данные'!$F$2:$F$966,$H23&amp;""),SUMIFS('Исходные данные'!$I$2:$I$966,'Исходные данные'!$D$2:$D$966,R$3,'Исходные данные'!$F$2:$F$966,$H23&amp;"")&amp;"+"&amp;SUMIFS('Исходные данные'!$J$2:$J$966,'Исходные данные'!$D$2:$D$966,R$3,'Исходные данные'!$F$2:$F$966,$H23&amp;"")&amp;"="&amp;(SUMIFS('Исходные данные'!$I$2:$I$966,'Исходные данные'!$D$2:$D$966,R$3,'Исходные данные'!$F$2:$F$966,$H23&amp;"")+SUMIFS('Исходные данные'!$J$2:$J$966,'Исходные данные'!$D$2:$D$966,R$3,'Исходные данные'!$F$2:$F$966,$H23&amp;"")))))</f>
        <v/>
      </c>
      <c r="S23" s="72" t="n">
        <f aca="false">IF(SUMIFS('Исходные данные'!$I$2:$I$966,'Исходные данные'!$D$2:$D$966,S$3,'Исходные данные'!$F$2:$F$966,$H23&amp;"")+SUMIFS('Исходные данные'!$J$2:$J$966,'Исходные данные'!$D$2:$D$966,S$3,'Исходные данные'!$F$2:$F$966,$H23&amp;"")=0,"",IF(SUMIFS('Исходные данные'!$J$2:$J$966,'Исходные данные'!$D$2:$D$966,S$3,'Исходные данные'!$F$2:$F$966,$H23&amp;"")=0,SUMIFS('Исходные данные'!$I$2:$I$966,'Исходные данные'!$D$2:$D$966,S$3,'Исходные данные'!$F$2:$F$966,$H23&amp;""),IF(SUMIFS('Исходные данные'!$I$2:$I$966,'Исходные данные'!$D$2:$D$966,S$3,'Исходные данные'!$F$2:$F$966,$H23&amp;"")=0,"0+"&amp;SUMIFS('Исходные данные'!$J$2:$J$966,'Исходные данные'!$D$2:$D$966,S$3,'Исходные данные'!$F$2:$F$966,$H23&amp;"")&amp;"="&amp;SUMIFS('Исходные данные'!$J$2:$J$966,'Исходные данные'!$D$2:$D$966,S$3,'Исходные данные'!$F$2:$F$966,$H23&amp;""),SUMIFS('Исходные данные'!$I$2:$I$966,'Исходные данные'!$D$2:$D$966,S$3,'Исходные данные'!$F$2:$F$966,$H23&amp;"")&amp;"+"&amp;SUMIFS('Исходные данные'!$J$2:$J$966,'Исходные данные'!$D$2:$D$966,S$3,'Исходные данные'!$F$2:$F$966,$H23&amp;"")&amp;"="&amp;(SUMIFS('Исходные данные'!$I$2:$I$966,'Исходные данные'!$D$2:$D$966,S$3,'Исходные данные'!$F$2:$F$966,$H23&amp;"")+SUMIFS('Исходные данные'!$J$2:$J$966,'Исходные данные'!$D$2:$D$966,S$3,'Исходные данные'!$F$2:$F$966,$H23&amp;"")))))</f>
        <v>1</v>
      </c>
      <c r="T23" s="71" t="str">
        <f aca="false">IF(SUMIFS('Исходные данные'!$I$2:$I$966,'Исходные данные'!$D$2:$D$966,T$3,'Исходные данные'!$F$2:$F$966,$H23&amp;"")+SUMIFS('Исходные данные'!$J$2:$J$966,'Исходные данные'!$D$2:$D$966,T$3,'Исходные данные'!$F$2:$F$966,$H23&amp;"")=0,"",IF(SUMIFS('Исходные данные'!$J$2:$J$966,'Исходные данные'!$D$2:$D$966,T$3,'Исходные данные'!$F$2:$F$966,$H23&amp;"")=0,SUMIFS('Исходные данные'!$I$2:$I$966,'Исходные данные'!$D$2:$D$966,T$3,'Исходные данные'!$F$2:$F$966,$H23&amp;""),IF(SUMIFS('Исходные данные'!$I$2:$I$966,'Исходные данные'!$D$2:$D$966,T$3,'Исходные данные'!$F$2:$F$966,$H23&amp;"")=0,"0+"&amp;SUMIFS('Исходные данные'!$J$2:$J$966,'Исходные данные'!$D$2:$D$966,T$3,'Исходные данные'!$F$2:$F$966,$H23&amp;"")&amp;"="&amp;SUMIFS('Исходные данные'!$J$2:$J$966,'Исходные данные'!$D$2:$D$966,T$3,'Исходные данные'!$F$2:$F$966,$H23&amp;""),SUMIFS('Исходные данные'!$I$2:$I$966,'Исходные данные'!$D$2:$D$966,T$3,'Исходные данные'!$F$2:$F$966,$H23&amp;"")&amp;"+"&amp;SUMIFS('Исходные данные'!$J$2:$J$966,'Исходные данные'!$D$2:$D$966,T$3,'Исходные данные'!$F$2:$F$966,$H23&amp;"")&amp;"="&amp;(SUMIFS('Исходные данные'!$I$2:$I$966,'Исходные данные'!$D$2:$D$966,T$3,'Исходные данные'!$F$2:$F$966,$H23&amp;"")+SUMIFS('Исходные данные'!$J$2:$J$966,'Исходные данные'!$D$2:$D$966,T$3,'Исходные данные'!$F$2:$F$966,$H23&amp;"")))))</f>
        <v/>
      </c>
      <c r="U23" s="72" t="n">
        <f aca="false">IF(SUMIFS('Исходные данные'!$I$2:$I$966,'Исходные данные'!$D$2:$D$966,U$3,'Исходные данные'!$F$2:$F$966,$H23&amp;"")+SUMIFS('Исходные данные'!$J$2:$J$966,'Исходные данные'!$D$2:$D$966,U$3,'Исходные данные'!$F$2:$F$966,$H23&amp;"")=0,"",IF(SUMIFS('Исходные данные'!$J$2:$J$966,'Исходные данные'!$D$2:$D$966,U$3,'Исходные данные'!$F$2:$F$966,$H23&amp;"")=0,SUMIFS('Исходные данные'!$I$2:$I$966,'Исходные данные'!$D$2:$D$966,U$3,'Исходные данные'!$F$2:$F$966,$H23&amp;""),IF(SUMIFS('Исходные данные'!$I$2:$I$966,'Исходные данные'!$D$2:$D$966,U$3,'Исходные данные'!$F$2:$F$966,$H23&amp;"")=0,"0+"&amp;SUMIFS('Исходные данные'!$J$2:$J$966,'Исходные данные'!$D$2:$D$966,U$3,'Исходные данные'!$F$2:$F$966,$H23&amp;"")&amp;"="&amp;SUMIFS('Исходные данные'!$J$2:$J$966,'Исходные данные'!$D$2:$D$966,U$3,'Исходные данные'!$F$2:$F$966,$H23&amp;""),SUMIFS('Исходные данные'!$I$2:$I$966,'Исходные данные'!$D$2:$D$966,U$3,'Исходные данные'!$F$2:$F$966,$H23&amp;"")&amp;"+"&amp;SUMIFS('Исходные данные'!$J$2:$J$966,'Исходные данные'!$D$2:$D$966,U$3,'Исходные данные'!$F$2:$F$966,$H23&amp;"")&amp;"="&amp;(SUMIFS('Исходные данные'!$I$2:$I$966,'Исходные данные'!$D$2:$D$966,U$3,'Исходные данные'!$F$2:$F$966,$H23&amp;"")+SUMIFS('Исходные данные'!$J$2:$J$966,'Исходные данные'!$D$2:$D$966,U$3,'Исходные данные'!$F$2:$F$966,$H23&amp;"")))))</f>
        <v>1</v>
      </c>
      <c r="V23" s="71" t="str">
        <f aca="false">IF(SUMIFS('Исходные данные'!$I$2:$I$966,'Исходные данные'!$D$2:$D$966,V$3,'Исходные данные'!$F$2:$F$966,$H23&amp;"")+SUMIFS('Исходные данные'!$J$2:$J$966,'Исходные данные'!$D$2:$D$966,V$3,'Исходные данные'!$F$2:$F$966,$H23&amp;"")=0,"",IF(SUMIFS('Исходные данные'!$J$2:$J$966,'Исходные данные'!$D$2:$D$966,V$3,'Исходные данные'!$F$2:$F$966,$H23&amp;"")=0,SUMIFS('Исходные данные'!$I$2:$I$966,'Исходные данные'!$D$2:$D$966,V$3,'Исходные данные'!$F$2:$F$966,$H23&amp;""),IF(SUMIFS('Исходные данные'!$I$2:$I$966,'Исходные данные'!$D$2:$D$966,V$3,'Исходные данные'!$F$2:$F$966,$H23&amp;"")=0,"0+"&amp;SUMIFS('Исходные данные'!$J$2:$J$966,'Исходные данные'!$D$2:$D$966,V$3,'Исходные данные'!$F$2:$F$966,$H23&amp;"")&amp;"="&amp;SUMIFS('Исходные данные'!$J$2:$J$966,'Исходные данные'!$D$2:$D$966,V$3,'Исходные данные'!$F$2:$F$966,$H23&amp;""),SUMIFS('Исходные данные'!$I$2:$I$966,'Исходные данные'!$D$2:$D$966,V$3,'Исходные данные'!$F$2:$F$966,$H23&amp;"")&amp;"+"&amp;SUMIFS('Исходные данные'!$J$2:$J$966,'Исходные данные'!$D$2:$D$966,V$3,'Исходные данные'!$F$2:$F$966,$H23&amp;"")&amp;"="&amp;(SUMIFS('Исходные данные'!$I$2:$I$966,'Исходные данные'!$D$2:$D$966,V$3,'Исходные данные'!$F$2:$F$966,$H23&amp;"")+SUMIFS('Исходные данные'!$J$2:$J$966,'Исходные данные'!$D$2:$D$966,V$3,'Исходные данные'!$F$2:$F$966,$H23&amp;"")))))</f>
        <v/>
      </c>
      <c r="W23" s="72" t="n">
        <f aca="false">IF(SUMIFS('Исходные данные'!$I$2:$I$966,'Исходные данные'!$D$2:$D$966,W$3,'Исходные данные'!$F$2:$F$966,$H23&amp;"")+SUMIFS('Исходные данные'!$J$2:$J$966,'Исходные данные'!$D$2:$D$966,W$3,'Исходные данные'!$F$2:$F$966,$H23&amp;"")=0,"",IF(SUMIFS('Исходные данные'!$J$2:$J$966,'Исходные данные'!$D$2:$D$966,W$3,'Исходные данные'!$F$2:$F$966,$H23&amp;"")=0,SUMIFS('Исходные данные'!$I$2:$I$966,'Исходные данные'!$D$2:$D$966,W$3,'Исходные данные'!$F$2:$F$966,$H23&amp;""),IF(SUMIFS('Исходные данные'!$I$2:$I$966,'Исходные данные'!$D$2:$D$966,W$3,'Исходные данные'!$F$2:$F$966,$H23&amp;"")=0,"0+"&amp;SUMIFS('Исходные данные'!$J$2:$J$966,'Исходные данные'!$D$2:$D$966,W$3,'Исходные данные'!$F$2:$F$966,$H23&amp;"")&amp;"="&amp;SUMIFS('Исходные данные'!$J$2:$J$966,'Исходные данные'!$D$2:$D$966,W$3,'Исходные данные'!$F$2:$F$966,$H23&amp;""),SUMIFS('Исходные данные'!$I$2:$I$966,'Исходные данные'!$D$2:$D$966,W$3,'Исходные данные'!$F$2:$F$966,$H23&amp;"")&amp;"+"&amp;SUMIFS('Исходные данные'!$J$2:$J$966,'Исходные данные'!$D$2:$D$966,W$3,'Исходные данные'!$F$2:$F$966,$H23&amp;"")&amp;"="&amp;(SUMIFS('Исходные данные'!$I$2:$I$966,'Исходные данные'!$D$2:$D$966,W$3,'Исходные данные'!$F$2:$F$966,$H23&amp;"")+SUMIFS('Исходные данные'!$J$2:$J$966,'Исходные данные'!$D$2:$D$966,W$3,'Исходные данные'!$F$2:$F$966,$H23&amp;"")))))</f>
        <v>1</v>
      </c>
      <c r="X23" s="72" t="str">
        <f aca="false">IF(SUMIFS('Исходные данные'!$I$2:$I$966,'Исходные данные'!$D$2:$D$966,X$3,'Исходные данные'!$F$2:$F$966,$H23&amp;"")+SUMIFS('Исходные данные'!$J$2:$J$966,'Исходные данные'!$D$2:$D$966,X$3,'Исходные данные'!$F$2:$F$966,$H23&amp;"")=0,"",IF(SUMIFS('Исходные данные'!$J$2:$J$966,'Исходные данные'!$D$2:$D$966,X$3,'Исходные данные'!$F$2:$F$966,$H23&amp;"")=0,SUMIFS('Исходные данные'!$I$2:$I$966,'Исходные данные'!$D$2:$D$966,X$3,'Исходные данные'!$F$2:$F$966,$H23&amp;""),IF(SUMIFS('Исходные данные'!$I$2:$I$966,'Исходные данные'!$D$2:$D$966,X$3,'Исходные данные'!$F$2:$F$966,$H23&amp;"")=0,"0+"&amp;SUMIFS('Исходные данные'!$J$2:$J$966,'Исходные данные'!$D$2:$D$966,X$3,'Исходные данные'!$F$2:$F$966,$H23&amp;"")&amp;"="&amp;SUMIFS('Исходные данные'!$J$2:$J$966,'Исходные данные'!$D$2:$D$966,X$3,'Исходные данные'!$F$2:$F$966,$H23&amp;""),SUMIFS('Исходные данные'!$I$2:$I$966,'Исходные данные'!$D$2:$D$966,X$3,'Исходные данные'!$F$2:$F$966,$H23&amp;"")&amp;"+"&amp;SUMIFS('Исходные данные'!$J$2:$J$966,'Исходные данные'!$D$2:$D$966,X$3,'Исходные данные'!$F$2:$F$966,$H23&amp;"")&amp;"="&amp;(SUMIFS('Исходные данные'!$I$2:$I$966,'Исходные данные'!$D$2:$D$966,X$3,'Исходные данные'!$F$2:$F$966,$H23&amp;"")+SUMIFS('Исходные данные'!$J$2:$J$966,'Исходные данные'!$D$2:$D$966,X$3,'Исходные данные'!$F$2:$F$966,$H23&amp;"")))))</f>
        <v/>
      </c>
      <c r="Y23" s="74" t="n">
        <f aca="false">IF(SUMIFS('Исходные данные'!$I$2:$I$966,'Исходные данные'!$D$2:$D$966,Y$3,'Исходные данные'!$F$2:$F$966,$H23&amp;"")+SUMIFS('Исходные данные'!$J$2:$J$966,'Исходные данные'!$D$2:$D$966,Y$3,'Исходные данные'!$F$2:$F$966,$H23&amp;"")=0,"",IF(SUMIFS('Исходные данные'!$J$2:$J$966,'Исходные данные'!$D$2:$D$966,Y$3,'Исходные данные'!$F$2:$F$966,$H23&amp;"")=0,SUMIFS('Исходные данные'!$I$2:$I$966,'Исходные данные'!$D$2:$D$966,Y$3,'Исходные данные'!$F$2:$F$966,$H23&amp;""),IF(SUMIFS('Исходные данные'!$I$2:$I$966,'Исходные данные'!$D$2:$D$966,Y$3,'Исходные данные'!$F$2:$F$966,$H23&amp;"")=0,"0+"&amp;SUMIFS('Исходные данные'!$J$2:$J$966,'Исходные данные'!$D$2:$D$966,Y$3,'Исходные данные'!$F$2:$F$966,$H23&amp;"")&amp;"="&amp;SUMIFS('Исходные данные'!$J$2:$J$966,'Исходные данные'!$D$2:$D$966,Y$3,'Исходные данные'!$F$2:$F$966,$H23&amp;""),SUMIFS('Исходные данные'!$I$2:$I$966,'Исходные данные'!$D$2:$D$966,Y$3,'Исходные данные'!$F$2:$F$966,$H23&amp;"")&amp;"+"&amp;SUMIFS('Исходные данные'!$J$2:$J$966,'Исходные данные'!$D$2:$D$966,Y$3,'Исходные данные'!$F$2:$F$966,$H23&amp;"")&amp;"="&amp;(SUMIFS('Исходные данные'!$I$2:$I$966,'Исходные данные'!$D$2:$D$966,Y$3,'Исходные данные'!$F$2:$F$966,$H23&amp;"")+SUMIFS('Исходные данные'!$J$2:$J$966,'Исходные данные'!$D$2:$D$966,Y$3,'Исходные данные'!$F$2:$F$966,$H23&amp;"")))))</f>
        <v>1</v>
      </c>
      <c r="Z23" s="71" t="str">
        <f aca="false">IF(SUMIFS('Исходные данные'!$I$2:$I$966,'Исходные данные'!$D$2:$D$966,Z$3,'Исходные данные'!$F$2:$F$966,$H23&amp;"")+SUMIFS('Исходные данные'!$J$2:$J$966,'Исходные данные'!$D$2:$D$966,Z$3,'Исходные данные'!$F$2:$F$966,$H23&amp;"")=0,"",IF(SUMIFS('Исходные данные'!$J$2:$J$966,'Исходные данные'!$D$2:$D$966,Z$3,'Исходные данные'!$F$2:$F$966,$H23&amp;"")=0,SUMIFS('Исходные данные'!$I$2:$I$966,'Исходные данные'!$D$2:$D$966,Z$3,'Исходные данные'!$F$2:$F$966,$H23&amp;""),IF(SUMIFS('Исходные данные'!$I$2:$I$966,'Исходные данные'!$D$2:$D$966,Z$3,'Исходные данные'!$F$2:$F$966,$H23&amp;"")=0,"0+"&amp;SUMIFS('Исходные данные'!$J$2:$J$966,'Исходные данные'!$D$2:$D$966,Z$3,'Исходные данные'!$F$2:$F$966,$H23&amp;"")&amp;"="&amp;SUMIFS('Исходные данные'!$J$2:$J$966,'Исходные данные'!$D$2:$D$966,Z$3,'Исходные данные'!$F$2:$F$966,$H23&amp;""),SUMIFS('Исходные данные'!$I$2:$I$966,'Исходные данные'!$D$2:$D$966,Z$3,'Исходные данные'!$F$2:$F$966,$H23&amp;"")&amp;"+"&amp;SUMIFS('Исходные данные'!$J$2:$J$966,'Исходные данные'!$D$2:$D$966,Z$3,'Исходные данные'!$F$2:$F$966,$H23&amp;"")&amp;"="&amp;(SUMIFS('Исходные данные'!$I$2:$I$966,'Исходные данные'!$D$2:$D$966,Z$3,'Исходные данные'!$F$2:$F$966,$H23&amp;"")+SUMIFS('Исходные данные'!$J$2:$J$966,'Исходные данные'!$D$2:$D$966,Z$3,'Исходные данные'!$F$2:$F$966,$H23&amp;"")))))</f>
        <v/>
      </c>
      <c r="AA23" s="72" t="n">
        <f aca="false">IF(SUMIFS('Исходные данные'!$I$2:$I$966,'Исходные данные'!$D$2:$D$966,AA$3,'Исходные данные'!$F$2:$F$966,$H23&amp;"")+SUMIFS('Исходные данные'!$J$2:$J$966,'Исходные данные'!$D$2:$D$966,AA$3,'Исходные данные'!$F$2:$F$966,$H23&amp;"")=0,"",IF(SUMIFS('Исходные данные'!$J$2:$J$966,'Исходные данные'!$D$2:$D$966,AA$3,'Исходные данные'!$F$2:$F$966,$H23&amp;"")=0,SUMIFS('Исходные данные'!$I$2:$I$966,'Исходные данные'!$D$2:$D$966,AA$3,'Исходные данные'!$F$2:$F$966,$H23&amp;""),IF(SUMIFS('Исходные данные'!$I$2:$I$966,'Исходные данные'!$D$2:$D$966,AA$3,'Исходные данные'!$F$2:$F$966,$H23&amp;"")=0,"0+"&amp;SUMIFS('Исходные данные'!$J$2:$J$966,'Исходные данные'!$D$2:$D$966,AA$3,'Исходные данные'!$F$2:$F$966,$H23&amp;"")&amp;"="&amp;SUMIFS('Исходные данные'!$J$2:$J$966,'Исходные данные'!$D$2:$D$966,AA$3,'Исходные данные'!$F$2:$F$966,$H23&amp;""),SUMIFS('Исходные данные'!$I$2:$I$966,'Исходные данные'!$D$2:$D$966,AA$3,'Исходные данные'!$F$2:$F$966,$H23&amp;"")&amp;"+"&amp;SUMIFS('Исходные данные'!$J$2:$J$966,'Исходные данные'!$D$2:$D$966,AA$3,'Исходные данные'!$F$2:$F$966,$H23&amp;"")&amp;"="&amp;(SUMIFS('Исходные данные'!$I$2:$I$966,'Исходные данные'!$D$2:$D$966,AA$3,'Исходные данные'!$F$2:$F$966,$H23&amp;"")+SUMIFS('Исходные данные'!$J$2:$J$966,'Исходные данные'!$D$2:$D$966,AA$3,'Исходные данные'!$F$2:$F$966,$H23&amp;"")))))</f>
        <v>2</v>
      </c>
      <c r="AB23" s="72" t="str">
        <f aca="false">IF(SUMIFS('Исходные данные'!$I$2:$I$966,'Исходные данные'!$D$2:$D$966,AB$3,'Исходные данные'!$F$2:$F$966,$H23&amp;"")+SUMIFS('Исходные данные'!$J$2:$J$966,'Исходные данные'!$D$2:$D$966,AB$3,'Исходные данные'!$F$2:$F$966,$H23&amp;"")=0,"",IF(SUMIFS('Исходные данные'!$J$2:$J$966,'Исходные данные'!$D$2:$D$966,AB$3,'Исходные данные'!$F$2:$F$966,$H23&amp;"")=0,SUMIFS('Исходные данные'!$I$2:$I$966,'Исходные данные'!$D$2:$D$966,AB$3,'Исходные данные'!$F$2:$F$966,$H23&amp;""),IF(SUMIFS('Исходные данные'!$I$2:$I$966,'Исходные данные'!$D$2:$D$966,AB$3,'Исходные данные'!$F$2:$F$966,$H23&amp;"")=0,"0+"&amp;SUMIFS('Исходные данные'!$J$2:$J$966,'Исходные данные'!$D$2:$D$966,AB$3,'Исходные данные'!$F$2:$F$966,$H23&amp;"")&amp;"="&amp;SUMIFS('Исходные данные'!$J$2:$J$966,'Исходные данные'!$D$2:$D$966,AB$3,'Исходные данные'!$F$2:$F$966,$H23&amp;""),SUMIFS('Исходные данные'!$I$2:$I$966,'Исходные данные'!$D$2:$D$966,AB$3,'Исходные данные'!$F$2:$F$966,$H23&amp;"")&amp;"+"&amp;SUMIFS('Исходные данные'!$J$2:$J$966,'Исходные данные'!$D$2:$D$966,AB$3,'Исходные данные'!$F$2:$F$966,$H23&amp;"")&amp;"="&amp;(SUMIFS('Исходные данные'!$I$2:$I$966,'Исходные данные'!$D$2:$D$966,AB$3,'Исходные данные'!$F$2:$F$966,$H23&amp;"")+SUMIFS('Исходные данные'!$J$2:$J$966,'Исходные данные'!$D$2:$D$966,AB$3,'Исходные данные'!$F$2:$F$966,$H23&amp;"")))))</f>
        <v>1+1=2</v>
      </c>
      <c r="AC23" s="71" t="str">
        <f aca="false">IF(SUMIFS('Исходные данные'!$I$2:$I$966,'Исходные данные'!$D$2:$D$966,AC$3,'Исходные данные'!$F$2:$F$966,$H23&amp;"")+SUMIFS('Исходные данные'!$J$2:$J$966,'Исходные данные'!$D$2:$D$966,AC$3,'Исходные данные'!$F$2:$F$966,$H23&amp;"")=0,"",IF(SUMIFS('Исходные данные'!$J$2:$J$966,'Исходные данные'!$D$2:$D$966,AC$3,'Исходные данные'!$F$2:$F$966,$H23&amp;"")=0,SUMIFS('Исходные данные'!$I$2:$I$966,'Исходные данные'!$D$2:$D$966,AC$3,'Исходные данные'!$F$2:$F$966,$H23&amp;""),IF(SUMIFS('Исходные данные'!$I$2:$I$966,'Исходные данные'!$D$2:$D$966,AC$3,'Исходные данные'!$F$2:$F$966,$H23&amp;"")=0,"0+"&amp;SUMIFS('Исходные данные'!$J$2:$J$966,'Исходные данные'!$D$2:$D$966,AC$3,'Исходные данные'!$F$2:$F$966,$H23&amp;"")&amp;"="&amp;SUMIFS('Исходные данные'!$J$2:$J$966,'Исходные данные'!$D$2:$D$966,AC$3,'Исходные данные'!$F$2:$F$966,$H23&amp;""),SUMIFS('Исходные данные'!$I$2:$I$966,'Исходные данные'!$D$2:$D$966,AC$3,'Исходные данные'!$F$2:$F$966,$H23&amp;"")&amp;"+"&amp;SUMIFS('Исходные данные'!$J$2:$J$966,'Исходные данные'!$D$2:$D$966,AC$3,'Исходные данные'!$F$2:$F$966,$H23&amp;"")&amp;"="&amp;(SUMIFS('Исходные данные'!$I$2:$I$966,'Исходные данные'!$D$2:$D$966,AC$3,'Исходные данные'!$F$2:$F$966,$H23&amp;"")+SUMIFS('Исходные данные'!$J$2:$J$966,'Исходные данные'!$D$2:$D$966,AC$3,'Исходные данные'!$F$2:$F$966,$H23&amp;"")))))</f>
        <v>3+1=4</v>
      </c>
      <c r="AD23" s="72" t="str">
        <f aca="false">IF(SUMIFS('Исходные данные'!$I$2:$I$966,'Исходные данные'!$D$2:$D$966,AD$3,'Исходные данные'!$F$2:$F$966,$H23&amp;"")+SUMIFS('Исходные данные'!$J$2:$J$966,'Исходные данные'!$D$2:$D$966,AD$3,'Исходные данные'!$F$2:$F$966,$H23&amp;"")=0,"",IF(SUMIFS('Исходные данные'!$J$2:$J$966,'Исходные данные'!$D$2:$D$966,AD$3,'Исходные данные'!$F$2:$F$966,$H23&amp;"")=0,SUMIFS('Исходные данные'!$I$2:$I$966,'Исходные данные'!$D$2:$D$966,AD$3,'Исходные данные'!$F$2:$F$966,$H23&amp;""),IF(SUMIFS('Исходные данные'!$I$2:$I$966,'Исходные данные'!$D$2:$D$966,AD$3,'Исходные данные'!$F$2:$F$966,$H23&amp;"")=0,"0+"&amp;SUMIFS('Исходные данные'!$J$2:$J$966,'Исходные данные'!$D$2:$D$966,AD$3,'Исходные данные'!$F$2:$F$966,$H23&amp;"")&amp;"="&amp;SUMIFS('Исходные данные'!$J$2:$J$966,'Исходные данные'!$D$2:$D$966,AD$3,'Исходные данные'!$F$2:$F$966,$H23&amp;""),SUMIFS('Исходные данные'!$I$2:$I$966,'Исходные данные'!$D$2:$D$966,AD$3,'Исходные данные'!$F$2:$F$966,$H23&amp;"")&amp;"+"&amp;SUMIFS('Исходные данные'!$J$2:$J$966,'Исходные данные'!$D$2:$D$966,AD$3,'Исходные данные'!$F$2:$F$966,$H23&amp;"")&amp;"="&amp;(SUMIFS('Исходные данные'!$I$2:$I$966,'Исходные данные'!$D$2:$D$966,AD$3,'Исходные данные'!$F$2:$F$966,$H23&amp;"")+SUMIFS('Исходные данные'!$J$2:$J$966,'Исходные данные'!$D$2:$D$966,AD$3,'Исходные данные'!$F$2:$F$966,$H23&amp;"")))))</f>
        <v/>
      </c>
    </row>
    <row r="24" customFormat="false" ht="25.5" hidden="false" customHeight="true" outlineLevel="0" collapsed="false">
      <c r="A24" s="43" t="n">
        <v>20</v>
      </c>
      <c r="B24" s="28" t="s">
        <v>209</v>
      </c>
      <c r="C24" s="29" t="s">
        <v>21</v>
      </c>
      <c r="D24" s="30"/>
      <c r="E24" s="29" t="s">
        <v>210</v>
      </c>
      <c r="F24" s="29" t="s">
        <v>19</v>
      </c>
      <c r="G24" s="64"/>
      <c r="H24" s="75"/>
      <c r="I24" s="76"/>
      <c r="J24" s="77"/>
      <c r="K24" s="78"/>
      <c r="L24" s="79"/>
      <c r="M24" s="80"/>
      <c r="N24" s="80"/>
      <c r="O24" s="81"/>
      <c r="P24" s="82"/>
      <c r="Q24" s="81"/>
      <c r="R24" s="83"/>
      <c r="S24" s="82"/>
      <c r="T24" s="81"/>
      <c r="U24" s="82"/>
      <c r="V24" s="81"/>
      <c r="W24" s="82"/>
      <c r="X24" s="82"/>
      <c r="Y24" s="84"/>
      <c r="Z24" s="81"/>
      <c r="AA24" s="82"/>
      <c r="AB24" s="82"/>
      <c r="AC24" s="81"/>
      <c r="AD24" s="82"/>
    </row>
    <row r="25" customFormat="false" ht="25.5" hidden="false" customHeight="true" outlineLevel="0" collapsed="false">
      <c r="A25" s="43" t="n">
        <v>21</v>
      </c>
      <c r="B25" s="28" t="s">
        <v>211</v>
      </c>
      <c r="C25" s="29" t="s">
        <v>21</v>
      </c>
      <c r="D25" s="30"/>
      <c r="E25" s="29" t="s">
        <v>212</v>
      </c>
      <c r="F25" s="29" t="s">
        <v>19</v>
      </c>
      <c r="G25" s="64"/>
      <c r="H25" s="85" t="s">
        <v>213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</row>
    <row r="26" customFormat="false" ht="25.5" hidden="false" customHeight="true" outlineLevel="0" collapsed="false">
      <c r="A26" s="43" t="n">
        <v>22</v>
      </c>
      <c r="B26" s="28" t="s">
        <v>214</v>
      </c>
      <c r="C26" s="29" t="s">
        <v>21</v>
      </c>
      <c r="D26" s="30"/>
      <c r="E26" s="29" t="s">
        <v>215</v>
      </c>
      <c r="F26" s="29" t="s">
        <v>20</v>
      </c>
      <c r="G26" s="64"/>
      <c r="H26" s="19" t="n">
        <v>1</v>
      </c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</row>
    <row r="27" customFormat="false" ht="25.5" hidden="false" customHeight="true" outlineLevel="0" collapsed="false">
      <c r="A27" s="43" t="n">
        <v>23</v>
      </c>
      <c r="B27" s="28" t="s">
        <v>216</v>
      </c>
      <c r="C27" s="29" t="s">
        <v>21</v>
      </c>
      <c r="D27" s="30"/>
      <c r="E27" s="29" t="s">
        <v>217</v>
      </c>
      <c r="F27" s="29" t="s">
        <v>20</v>
      </c>
      <c r="G27" s="64"/>
      <c r="H27" s="32" t="n">
        <v>2</v>
      </c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</row>
    <row r="28" customFormat="false" ht="25.5" hidden="false" customHeight="true" outlineLevel="0" collapsed="false">
      <c r="A28" s="43" t="n">
        <v>24</v>
      </c>
      <c r="B28" s="88"/>
      <c r="C28" s="30"/>
      <c r="D28" s="54"/>
      <c r="E28" s="29" t="s">
        <v>218</v>
      </c>
      <c r="F28" s="29" t="s">
        <v>20</v>
      </c>
      <c r="G28" s="64"/>
      <c r="H28" s="32" t="n">
        <v>3</v>
      </c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</row>
    <row r="29" customFormat="false" ht="25.5" hidden="false" customHeight="true" outlineLevel="0" collapsed="false">
      <c r="A29" s="43" t="n">
        <v>25</v>
      </c>
      <c r="B29" s="89" t="s">
        <v>112</v>
      </c>
      <c r="C29" s="65"/>
      <c r="D29" s="30"/>
      <c r="E29" s="29" t="s">
        <v>219</v>
      </c>
      <c r="F29" s="29" t="s">
        <v>20</v>
      </c>
      <c r="G29" s="64"/>
      <c r="H29" s="32" t="n">
        <v>4</v>
      </c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</row>
    <row r="30" customFormat="false" ht="25.5" hidden="false" customHeight="true" outlineLevel="0" collapsed="false">
      <c r="A30" s="43" t="n">
        <v>26</v>
      </c>
      <c r="B30" s="88" t="s">
        <v>220</v>
      </c>
      <c r="C30" s="30" t="s">
        <v>7</v>
      </c>
      <c r="D30" s="30"/>
      <c r="E30" s="29" t="s">
        <v>221</v>
      </c>
      <c r="F30" s="29" t="s">
        <v>20</v>
      </c>
      <c r="G30" s="64"/>
      <c r="H30" s="32" t="n">
        <v>5</v>
      </c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</row>
    <row r="31" customFormat="false" ht="25.5" hidden="false" customHeight="true" outlineLevel="0" collapsed="false">
      <c r="A31" s="43" t="n">
        <v>27</v>
      </c>
      <c r="B31" s="88" t="s">
        <v>222</v>
      </c>
      <c r="C31" s="30" t="s">
        <v>8</v>
      </c>
      <c r="D31" s="30"/>
      <c r="E31" s="29" t="s">
        <v>223</v>
      </c>
      <c r="F31" s="29" t="s">
        <v>20</v>
      </c>
      <c r="G31" s="64"/>
      <c r="H31" s="32" t="n">
        <v>6</v>
      </c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</row>
    <row r="32" customFormat="false" ht="25.5" hidden="false" customHeight="true" outlineLevel="0" collapsed="false">
      <c r="A32" s="43" t="n">
        <v>28</v>
      </c>
      <c r="B32" s="88" t="s">
        <v>224</v>
      </c>
      <c r="C32" s="30" t="s">
        <v>9</v>
      </c>
      <c r="D32" s="30"/>
      <c r="E32" s="29" t="s">
        <v>225</v>
      </c>
      <c r="F32" s="29" t="s">
        <v>20</v>
      </c>
      <c r="G32" s="64"/>
      <c r="H32" s="32" t="n">
        <v>7</v>
      </c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</row>
    <row r="33" customFormat="false" ht="25.5" hidden="false" customHeight="true" outlineLevel="0" collapsed="false">
      <c r="A33" s="43" t="n">
        <v>29</v>
      </c>
      <c r="B33" s="88" t="s">
        <v>226</v>
      </c>
      <c r="C33" s="30" t="s">
        <v>9</v>
      </c>
      <c r="D33" s="30"/>
      <c r="E33" s="29" t="s">
        <v>225</v>
      </c>
      <c r="F33" s="29" t="s">
        <v>20</v>
      </c>
      <c r="G33" s="64"/>
      <c r="H33" s="32" t="n">
        <v>8</v>
      </c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</row>
    <row r="34" customFormat="false" ht="25.5" hidden="false" customHeight="true" outlineLevel="0" collapsed="false">
      <c r="A34" s="43" t="n">
        <v>30</v>
      </c>
      <c r="B34" s="88" t="s">
        <v>227</v>
      </c>
      <c r="C34" s="30" t="s">
        <v>11</v>
      </c>
      <c r="D34" s="30"/>
      <c r="E34" s="29" t="s">
        <v>228</v>
      </c>
      <c r="F34" s="29" t="s">
        <v>21</v>
      </c>
      <c r="G34" s="64"/>
      <c r="H34" s="32" t="n">
        <v>9</v>
      </c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</row>
    <row r="35" customFormat="false" ht="25.5" hidden="false" customHeight="true" outlineLevel="0" collapsed="false">
      <c r="A35" s="43" t="n">
        <v>31</v>
      </c>
      <c r="B35" s="88" t="s">
        <v>229</v>
      </c>
      <c r="C35" s="30" t="s">
        <v>13</v>
      </c>
      <c r="D35" s="30"/>
      <c r="E35" s="29" t="s">
        <v>230</v>
      </c>
      <c r="F35" s="29" t="s">
        <v>21</v>
      </c>
      <c r="G35" s="64"/>
      <c r="H35" s="32" t="n">
        <v>10</v>
      </c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</row>
    <row r="36" customFormat="false" ht="25.5" hidden="false" customHeight="true" outlineLevel="0" collapsed="false">
      <c r="A36" s="43" t="n">
        <v>32</v>
      </c>
      <c r="B36" s="88" t="s">
        <v>231</v>
      </c>
      <c r="C36" s="30" t="s">
        <v>13</v>
      </c>
      <c r="D36" s="30"/>
      <c r="E36" s="29" t="s">
        <v>232</v>
      </c>
      <c r="F36" s="29" t="s">
        <v>21</v>
      </c>
      <c r="G36" s="64"/>
      <c r="H36" s="32" t="n">
        <v>11</v>
      </c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</row>
    <row r="37" customFormat="false" ht="25.5" hidden="false" customHeight="true" outlineLevel="0" collapsed="false">
      <c r="A37" s="43" t="n">
        <v>33</v>
      </c>
      <c r="B37" s="88" t="s">
        <v>233</v>
      </c>
      <c r="C37" s="30" t="s">
        <v>13</v>
      </c>
      <c r="D37" s="30"/>
      <c r="E37" s="29" t="s">
        <v>234</v>
      </c>
      <c r="F37" s="29" t="s">
        <v>21</v>
      </c>
      <c r="G37" s="64"/>
      <c r="H37" s="32" t="n">
        <v>12</v>
      </c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</row>
    <row r="38" customFormat="false" ht="25.5" hidden="false" customHeight="true" outlineLevel="0" collapsed="false">
      <c r="A38" s="43" t="n">
        <v>34</v>
      </c>
      <c r="B38" s="88" t="s">
        <v>235</v>
      </c>
      <c r="C38" s="30" t="s">
        <v>14</v>
      </c>
      <c r="D38" s="30"/>
      <c r="E38" s="29" t="s">
        <v>236</v>
      </c>
      <c r="F38" s="29" t="s">
        <v>21</v>
      </c>
      <c r="G38" s="64"/>
      <c r="H38" s="32" t="n">
        <v>13</v>
      </c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</row>
    <row r="39" customFormat="false" ht="25.5" hidden="false" customHeight="true" outlineLevel="0" collapsed="false">
      <c r="A39" s="43" t="n">
        <v>35</v>
      </c>
      <c r="B39" s="88"/>
      <c r="C39" s="30"/>
      <c r="D39" s="30"/>
      <c r="E39" s="29" t="s">
        <v>237</v>
      </c>
      <c r="F39" s="91" t="s">
        <v>21</v>
      </c>
      <c r="G39" s="64"/>
      <c r="H39" s="32" t="n">
        <v>14</v>
      </c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</row>
    <row r="40" customFormat="false" ht="25.5" hidden="false" customHeight="true" outlineLevel="0" collapsed="false">
      <c r="A40" s="43" t="n">
        <v>36</v>
      </c>
      <c r="B40" s="89" t="s">
        <v>178</v>
      </c>
      <c r="C40" s="65"/>
      <c r="D40" s="30"/>
      <c r="E40" s="30"/>
      <c r="F40" s="92"/>
      <c r="G40" s="64"/>
      <c r="H40" s="32" t="n">
        <v>15</v>
      </c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</row>
    <row r="41" customFormat="false" ht="25.5" hidden="false" customHeight="true" outlineLevel="0" collapsed="false">
      <c r="A41" s="43" t="n">
        <v>37</v>
      </c>
      <c r="B41" s="28" t="s">
        <v>238</v>
      </c>
      <c r="C41" s="29" t="s">
        <v>7</v>
      </c>
      <c r="D41" s="30"/>
      <c r="E41" s="65" t="s">
        <v>193</v>
      </c>
      <c r="F41" s="65"/>
      <c r="G41" s="64"/>
      <c r="H41" s="32" t="n">
        <v>16</v>
      </c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</row>
    <row r="42" customFormat="false" ht="25.5" hidden="false" customHeight="true" outlineLevel="0" collapsed="false">
      <c r="A42" s="43" t="n">
        <v>38</v>
      </c>
      <c r="B42" s="28" t="s">
        <v>239</v>
      </c>
      <c r="C42" s="29" t="s">
        <v>7</v>
      </c>
      <c r="D42" s="30"/>
      <c r="E42" s="30" t="s">
        <v>240</v>
      </c>
      <c r="F42" s="30" t="s">
        <v>7</v>
      </c>
      <c r="G42" s="64"/>
      <c r="H42" s="32" t="n">
        <v>17</v>
      </c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</row>
    <row r="43" customFormat="false" ht="25.5" hidden="false" customHeight="true" outlineLevel="0" collapsed="false">
      <c r="A43" s="43" t="n">
        <v>39</v>
      </c>
      <c r="B43" s="28" t="s">
        <v>241</v>
      </c>
      <c r="C43" s="29" t="s">
        <v>7</v>
      </c>
      <c r="D43" s="30"/>
      <c r="E43" s="30" t="s">
        <v>242</v>
      </c>
      <c r="F43" s="30" t="s">
        <v>8</v>
      </c>
      <c r="G43" s="64"/>
      <c r="H43" s="32" t="n">
        <v>18</v>
      </c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</row>
    <row r="44" customFormat="false" ht="25.5" hidden="false" customHeight="true" outlineLevel="0" collapsed="false">
      <c r="A44" s="43" t="n">
        <v>40</v>
      </c>
      <c r="B44" s="28" t="s">
        <v>243</v>
      </c>
      <c r="C44" s="29" t="s">
        <v>7</v>
      </c>
      <c r="D44" s="30"/>
      <c r="E44" s="30" t="s">
        <v>244</v>
      </c>
      <c r="F44" s="30" t="s">
        <v>9</v>
      </c>
      <c r="G44" s="64"/>
      <c r="H44" s="32" t="n">
        <v>19</v>
      </c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</row>
    <row r="45" customFormat="false" ht="25.5" hidden="false" customHeight="true" outlineLevel="0" collapsed="false">
      <c r="A45" s="43" t="n">
        <v>41</v>
      </c>
      <c r="B45" s="28" t="s">
        <v>245</v>
      </c>
      <c r="C45" s="29" t="s">
        <v>8</v>
      </c>
      <c r="D45" s="30"/>
      <c r="E45" s="30" t="s">
        <v>246</v>
      </c>
      <c r="F45" s="30" t="s">
        <v>11</v>
      </c>
      <c r="G45" s="64"/>
      <c r="H45" s="32" t="n">
        <v>20</v>
      </c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</row>
    <row r="46" customFormat="false" ht="25.5" hidden="false" customHeight="true" outlineLevel="0" collapsed="false">
      <c r="A46" s="43" t="n">
        <v>42</v>
      </c>
      <c r="B46" s="28" t="s">
        <v>247</v>
      </c>
      <c r="C46" s="29" t="s">
        <v>9</v>
      </c>
      <c r="D46" s="30"/>
      <c r="E46" s="30" t="s">
        <v>248</v>
      </c>
      <c r="F46" s="30" t="s">
        <v>12</v>
      </c>
      <c r="G46" s="64"/>
      <c r="H46" s="94" t="n">
        <v>21</v>
      </c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 customFormat="false" ht="25.5" hidden="false" customHeight="true" outlineLevel="0" collapsed="false">
      <c r="A47" s="43" t="n">
        <v>43</v>
      </c>
      <c r="B47" s="28" t="s">
        <v>249</v>
      </c>
      <c r="C47" s="29" t="s">
        <v>9</v>
      </c>
      <c r="D47" s="30"/>
      <c r="E47" s="30" t="s">
        <v>250</v>
      </c>
      <c r="F47" s="30" t="s">
        <v>14</v>
      </c>
      <c r="G47" s="96"/>
      <c r="H47" s="97" t="n">
        <v>1</v>
      </c>
      <c r="I47" s="17"/>
      <c r="J47" s="17"/>
      <c r="K47" s="17"/>
      <c r="L47" s="17"/>
      <c r="M47" s="17"/>
      <c r="N47" s="17"/>
      <c r="O47" s="16" t="s">
        <v>251</v>
      </c>
      <c r="P47" s="16"/>
      <c r="Q47" s="17"/>
      <c r="R47" s="16" t="s">
        <v>251</v>
      </c>
      <c r="S47" s="16"/>
      <c r="T47" s="17"/>
      <c r="U47" s="16" t="s">
        <v>252</v>
      </c>
      <c r="V47" s="16"/>
      <c r="W47" s="17"/>
      <c r="X47" s="16" t="s">
        <v>252</v>
      </c>
      <c r="Y47" s="16"/>
      <c r="Z47" s="17"/>
      <c r="AA47" s="16" t="s">
        <v>252</v>
      </c>
      <c r="AB47" s="16"/>
      <c r="AC47" s="17"/>
      <c r="AD47" s="98"/>
    </row>
    <row r="48" customFormat="false" ht="25.5" hidden="false" customHeight="true" outlineLevel="0" collapsed="false">
      <c r="A48" s="43" t="n">
        <v>44</v>
      </c>
      <c r="B48" s="28" t="s">
        <v>253</v>
      </c>
      <c r="C48" s="29" t="s">
        <v>9</v>
      </c>
      <c r="D48" s="30"/>
      <c r="E48" s="30" t="s">
        <v>254</v>
      </c>
      <c r="F48" s="30" t="s">
        <v>16</v>
      </c>
      <c r="G48" s="96"/>
      <c r="H48" s="66" t="n">
        <v>2</v>
      </c>
      <c r="I48" s="30"/>
      <c r="J48" s="30"/>
      <c r="K48" s="30"/>
      <c r="L48" s="30"/>
      <c r="M48" s="30"/>
      <c r="N48" s="30"/>
      <c r="O48" s="29" t="s">
        <v>255</v>
      </c>
      <c r="P48" s="29" t="s">
        <v>9</v>
      </c>
      <c r="Q48" s="30"/>
      <c r="R48" s="29" t="s">
        <v>256</v>
      </c>
      <c r="S48" s="29" t="s">
        <v>20</v>
      </c>
      <c r="T48" s="30"/>
      <c r="U48" s="30" t="s">
        <v>257</v>
      </c>
      <c r="V48" s="30" t="s">
        <v>8</v>
      </c>
      <c r="W48" s="30"/>
      <c r="X48" s="30" t="s">
        <v>258</v>
      </c>
      <c r="Y48" s="30" t="s">
        <v>20</v>
      </c>
      <c r="Z48" s="30"/>
      <c r="AA48" s="30" t="s">
        <v>259</v>
      </c>
      <c r="AB48" s="30" t="s">
        <v>27</v>
      </c>
      <c r="AC48" s="30"/>
      <c r="AD48" s="64"/>
    </row>
    <row r="49" customFormat="false" ht="25.5" hidden="false" customHeight="true" outlineLevel="0" collapsed="false">
      <c r="A49" s="43" t="n">
        <v>45</v>
      </c>
      <c r="B49" s="28" t="s">
        <v>260</v>
      </c>
      <c r="C49" s="29" t="s">
        <v>10</v>
      </c>
      <c r="D49" s="30"/>
      <c r="E49" s="30" t="s">
        <v>261</v>
      </c>
      <c r="F49" s="30" t="s">
        <v>18</v>
      </c>
      <c r="G49" s="96"/>
      <c r="H49" s="66" t="n">
        <v>3</v>
      </c>
      <c r="I49" s="30"/>
      <c r="J49" s="30"/>
      <c r="K49" s="30"/>
      <c r="L49" s="30"/>
      <c r="M49" s="30"/>
      <c r="N49" s="30"/>
      <c r="O49" s="29" t="s">
        <v>262</v>
      </c>
      <c r="P49" s="29" t="s">
        <v>9</v>
      </c>
      <c r="Q49" s="30"/>
      <c r="R49" s="29" t="s">
        <v>263</v>
      </c>
      <c r="S49" s="29" t="s">
        <v>20</v>
      </c>
      <c r="T49" s="30"/>
      <c r="U49" s="30" t="s">
        <v>264</v>
      </c>
      <c r="V49" s="30" t="s">
        <v>8</v>
      </c>
      <c r="W49" s="30"/>
      <c r="X49" s="30" t="s">
        <v>265</v>
      </c>
      <c r="Y49" s="30" t="s">
        <v>20</v>
      </c>
      <c r="Z49" s="30"/>
      <c r="AA49" s="30"/>
      <c r="AB49" s="30"/>
      <c r="AC49" s="30"/>
      <c r="AD49" s="64"/>
    </row>
    <row r="50" customFormat="false" ht="25.5" hidden="false" customHeight="true" outlineLevel="0" collapsed="false">
      <c r="A50" s="43" t="n">
        <v>46</v>
      </c>
      <c r="B50" s="28" t="s">
        <v>266</v>
      </c>
      <c r="C50" s="29" t="s">
        <v>20</v>
      </c>
      <c r="D50" s="30"/>
      <c r="E50" s="30" t="s">
        <v>267</v>
      </c>
      <c r="F50" s="30" t="s">
        <v>20</v>
      </c>
      <c r="G50" s="96"/>
      <c r="H50" s="66" t="n">
        <v>4</v>
      </c>
      <c r="I50" s="30"/>
      <c r="J50" s="30"/>
      <c r="K50" s="30"/>
      <c r="L50" s="30"/>
      <c r="M50" s="30"/>
      <c r="N50" s="30"/>
      <c r="O50" s="29" t="s">
        <v>268</v>
      </c>
      <c r="P50" s="29" t="s">
        <v>9</v>
      </c>
      <c r="Q50" s="30"/>
      <c r="R50" s="29" t="s">
        <v>269</v>
      </c>
      <c r="S50" s="29" t="s">
        <v>20</v>
      </c>
      <c r="T50" s="99"/>
      <c r="U50" s="30" t="s">
        <v>270</v>
      </c>
      <c r="V50" s="30" t="s">
        <v>9</v>
      </c>
      <c r="W50" s="30"/>
      <c r="X50" s="30" t="s">
        <v>271</v>
      </c>
      <c r="Y50" s="30" t="s">
        <v>20</v>
      </c>
      <c r="Z50" s="30"/>
      <c r="AA50" s="65" t="s">
        <v>70</v>
      </c>
      <c r="AB50" s="65"/>
      <c r="AC50" s="30"/>
      <c r="AD50" s="64"/>
    </row>
    <row r="51" customFormat="false" ht="25.5" hidden="false" customHeight="true" outlineLevel="0" collapsed="false">
      <c r="A51" s="43" t="n">
        <v>47</v>
      </c>
      <c r="B51" s="28" t="s">
        <v>272</v>
      </c>
      <c r="C51" s="29" t="s">
        <v>20</v>
      </c>
      <c r="D51" s="30"/>
      <c r="E51" s="30" t="s">
        <v>273</v>
      </c>
      <c r="F51" s="30" t="s">
        <v>20</v>
      </c>
      <c r="G51" s="96"/>
      <c r="H51" s="66" t="n">
        <v>5</v>
      </c>
      <c r="I51" s="30"/>
      <c r="J51" s="30"/>
      <c r="K51" s="30"/>
      <c r="L51" s="30"/>
      <c r="M51" s="30"/>
      <c r="N51" s="30"/>
      <c r="O51" s="29" t="s">
        <v>274</v>
      </c>
      <c r="P51" s="29" t="s">
        <v>9</v>
      </c>
      <c r="Q51" s="30"/>
      <c r="R51" s="29" t="s">
        <v>275</v>
      </c>
      <c r="S51" s="29" t="s">
        <v>20</v>
      </c>
      <c r="T51" s="30"/>
      <c r="U51" s="30" t="s">
        <v>276</v>
      </c>
      <c r="V51" s="30" t="s">
        <v>9</v>
      </c>
      <c r="W51" s="30"/>
      <c r="X51" s="30" t="s">
        <v>277</v>
      </c>
      <c r="Y51" s="30" t="s">
        <v>20</v>
      </c>
      <c r="Z51" s="30"/>
      <c r="AA51" s="29" t="s">
        <v>278</v>
      </c>
      <c r="AB51" s="29" t="s">
        <v>13</v>
      </c>
      <c r="AC51" s="30"/>
      <c r="AD51" s="64"/>
    </row>
    <row r="52" customFormat="false" ht="25.5" hidden="false" customHeight="true" outlineLevel="0" collapsed="false">
      <c r="A52" s="43" t="n">
        <v>48</v>
      </c>
      <c r="B52" s="28" t="s">
        <v>279</v>
      </c>
      <c r="C52" s="29" t="s">
        <v>20</v>
      </c>
      <c r="D52" s="30"/>
      <c r="E52" s="30" t="s">
        <v>280</v>
      </c>
      <c r="F52" s="30" t="s">
        <v>20</v>
      </c>
      <c r="G52" s="96"/>
      <c r="H52" s="66" t="n">
        <v>6</v>
      </c>
      <c r="I52" s="30"/>
      <c r="J52" s="30"/>
      <c r="K52" s="30"/>
      <c r="L52" s="30"/>
      <c r="M52" s="30"/>
      <c r="N52" s="30"/>
      <c r="O52" s="29" t="s">
        <v>281</v>
      </c>
      <c r="P52" s="29" t="s">
        <v>9</v>
      </c>
      <c r="Q52" s="30"/>
      <c r="R52" s="29" t="s">
        <v>282</v>
      </c>
      <c r="S52" s="29" t="s">
        <v>21</v>
      </c>
      <c r="T52" s="30"/>
      <c r="U52" s="30" t="s">
        <v>283</v>
      </c>
      <c r="V52" s="30" t="s">
        <v>9</v>
      </c>
      <c r="W52" s="30"/>
      <c r="X52" s="30" t="s">
        <v>284</v>
      </c>
      <c r="Y52" s="30" t="s">
        <v>20</v>
      </c>
      <c r="Z52" s="30"/>
      <c r="AA52" s="29" t="s">
        <v>285</v>
      </c>
      <c r="AB52" s="29" t="s">
        <v>13</v>
      </c>
      <c r="AC52" s="30"/>
      <c r="AD52" s="64"/>
    </row>
    <row r="53" customFormat="false" ht="25.5" hidden="false" customHeight="true" outlineLevel="0" collapsed="false">
      <c r="A53" s="43" t="n">
        <v>49</v>
      </c>
      <c r="B53" s="28" t="s">
        <v>286</v>
      </c>
      <c r="C53" s="29" t="s">
        <v>20</v>
      </c>
      <c r="D53" s="30"/>
      <c r="E53" s="30" t="s">
        <v>287</v>
      </c>
      <c r="F53" s="30" t="s">
        <v>20</v>
      </c>
      <c r="G53" s="96"/>
      <c r="H53" s="66" t="n">
        <v>7</v>
      </c>
      <c r="I53" s="30"/>
      <c r="J53" s="30"/>
      <c r="K53" s="30"/>
      <c r="L53" s="30"/>
      <c r="M53" s="30"/>
      <c r="N53" s="30"/>
      <c r="O53" s="29" t="s">
        <v>288</v>
      </c>
      <c r="P53" s="29" t="s">
        <v>9</v>
      </c>
      <c r="Q53" s="30"/>
      <c r="R53" s="29" t="s">
        <v>289</v>
      </c>
      <c r="S53" s="29" t="s">
        <v>21</v>
      </c>
      <c r="T53" s="30"/>
      <c r="U53" s="30" t="s">
        <v>290</v>
      </c>
      <c r="V53" s="30" t="s">
        <v>9</v>
      </c>
      <c r="W53" s="30"/>
      <c r="X53" s="30" t="s">
        <v>291</v>
      </c>
      <c r="Y53" s="30" t="s">
        <v>20</v>
      </c>
      <c r="Z53" s="30"/>
      <c r="AA53" s="30"/>
      <c r="AB53" s="30"/>
      <c r="AC53" s="30"/>
      <c r="AD53" s="64"/>
    </row>
    <row r="54" customFormat="false" ht="25.5" hidden="false" customHeight="true" outlineLevel="0" collapsed="false">
      <c r="A54" s="43" t="n">
        <v>50</v>
      </c>
      <c r="B54" s="28" t="s">
        <v>292</v>
      </c>
      <c r="C54" s="29" t="s">
        <v>21</v>
      </c>
      <c r="D54" s="30"/>
      <c r="E54" s="30" t="s">
        <v>293</v>
      </c>
      <c r="F54" s="30" t="s">
        <v>20</v>
      </c>
      <c r="G54" s="96"/>
      <c r="H54" s="66" t="n">
        <v>8</v>
      </c>
      <c r="I54" s="100"/>
      <c r="J54" s="100"/>
      <c r="K54" s="100"/>
      <c r="L54" s="100"/>
      <c r="M54" s="100"/>
      <c r="N54" s="100"/>
      <c r="O54" s="29" t="s">
        <v>294</v>
      </c>
      <c r="P54" s="29" t="s">
        <v>9</v>
      </c>
      <c r="Q54" s="30"/>
      <c r="R54" s="29" t="s">
        <v>295</v>
      </c>
      <c r="S54" s="29" t="s">
        <v>21</v>
      </c>
      <c r="T54" s="30"/>
      <c r="U54" s="30" t="s">
        <v>296</v>
      </c>
      <c r="V54" s="30" t="s">
        <v>9</v>
      </c>
      <c r="W54" s="30"/>
      <c r="X54" s="30" t="s">
        <v>297</v>
      </c>
      <c r="Y54" s="30" t="s">
        <v>20</v>
      </c>
      <c r="Z54" s="30"/>
      <c r="AA54" s="65" t="s">
        <v>208</v>
      </c>
      <c r="AB54" s="65"/>
      <c r="AC54" s="30"/>
      <c r="AD54" s="64"/>
    </row>
    <row r="55" customFormat="false" ht="25.5" hidden="false" customHeight="true" outlineLevel="0" collapsed="false">
      <c r="A55" s="43" t="n">
        <v>51</v>
      </c>
      <c r="B55" s="28" t="s">
        <v>298</v>
      </c>
      <c r="C55" s="29" t="s">
        <v>21</v>
      </c>
      <c r="D55" s="30"/>
      <c r="E55" s="30" t="s">
        <v>299</v>
      </c>
      <c r="F55" s="30" t="s">
        <v>21</v>
      </c>
      <c r="G55" s="96"/>
      <c r="H55" s="66" t="n">
        <v>9</v>
      </c>
      <c r="I55" s="30"/>
      <c r="J55" s="30"/>
      <c r="K55" s="30"/>
      <c r="L55" s="30"/>
      <c r="M55" s="30"/>
      <c r="N55" s="30"/>
      <c r="O55" s="29" t="s">
        <v>300</v>
      </c>
      <c r="P55" s="29" t="s">
        <v>9</v>
      </c>
      <c r="Q55" s="30"/>
      <c r="R55" s="29" t="s">
        <v>301</v>
      </c>
      <c r="S55" s="29" t="s">
        <v>21</v>
      </c>
      <c r="T55" s="30"/>
      <c r="U55" s="30" t="s">
        <v>302</v>
      </c>
      <c r="V55" s="30" t="s">
        <v>9</v>
      </c>
      <c r="W55" s="30"/>
      <c r="X55" s="30" t="s">
        <v>303</v>
      </c>
      <c r="Y55" s="30" t="s">
        <v>20</v>
      </c>
      <c r="Z55" s="30"/>
      <c r="AA55" s="30" t="s">
        <v>304</v>
      </c>
      <c r="AB55" s="30" t="s">
        <v>11</v>
      </c>
      <c r="AC55" s="30"/>
      <c r="AD55" s="64"/>
    </row>
    <row r="56" customFormat="false" ht="25.5" hidden="false" customHeight="true" outlineLevel="0" collapsed="false">
      <c r="A56" s="43" t="n">
        <v>52</v>
      </c>
      <c r="B56" s="88"/>
      <c r="C56" s="30"/>
      <c r="D56" s="30"/>
      <c r="E56" s="30" t="s">
        <v>305</v>
      </c>
      <c r="F56" s="30" t="s">
        <v>21</v>
      </c>
      <c r="G56" s="96"/>
      <c r="H56" s="66" t="n">
        <v>10</v>
      </c>
      <c r="I56" s="30"/>
      <c r="J56" s="30"/>
      <c r="K56" s="30"/>
      <c r="L56" s="30"/>
      <c r="M56" s="30"/>
      <c r="N56" s="30"/>
      <c r="O56" s="29" t="s">
        <v>306</v>
      </c>
      <c r="P56" s="29" t="s">
        <v>9</v>
      </c>
      <c r="Q56" s="30"/>
      <c r="R56" s="29" t="s">
        <v>307</v>
      </c>
      <c r="S56" s="29" t="s">
        <v>21</v>
      </c>
      <c r="T56" s="30"/>
      <c r="U56" s="30" t="s">
        <v>308</v>
      </c>
      <c r="V56" s="30" t="s">
        <v>9</v>
      </c>
      <c r="W56" s="30"/>
      <c r="X56" s="30" t="s">
        <v>309</v>
      </c>
      <c r="Y56" s="30" t="s">
        <v>20</v>
      </c>
      <c r="Z56" s="30"/>
      <c r="AA56" s="30" t="s">
        <v>310</v>
      </c>
      <c r="AB56" s="30" t="s">
        <v>13</v>
      </c>
      <c r="AC56" s="30"/>
      <c r="AD56" s="64"/>
    </row>
    <row r="57" customFormat="false" ht="25.5" hidden="false" customHeight="true" outlineLevel="0" collapsed="false">
      <c r="A57" s="43" t="n">
        <v>53</v>
      </c>
      <c r="B57" s="89" t="s">
        <v>183</v>
      </c>
      <c r="C57" s="65"/>
      <c r="D57" s="30"/>
      <c r="E57" s="30" t="s">
        <v>311</v>
      </c>
      <c r="F57" s="92" t="s">
        <v>21</v>
      </c>
      <c r="G57" s="96"/>
      <c r="H57" s="66" t="n">
        <v>11</v>
      </c>
      <c r="I57" s="30"/>
      <c r="J57" s="30"/>
      <c r="K57" s="30"/>
      <c r="L57" s="30"/>
      <c r="M57" s="30"/>
      <c r="N57" s="30"/>
      <c r="O57" s="29" t="s">
        <v>312</v>
      </c>
      <c r="P57" s="29" t="s">
        <v>9</v>
      </c>
      <c r="Q57" s="30"/>
      <c r="R57" s="29" t="s">
        <v>313</v>
      </c>
      <c r="S57" s="29" t="s">
        <v>21</v>
      </c>
      <c r="T57" s="30"/>
      <c r="U57" s="30" t="s">
        <v>314</v>
      </c>
      <c r="V57" s="30" t="s">
        <v>9</v>
      </c>
      <c r="W57" s="30"/>
      <c r="X57" s="30" t="s">
        <v>315</v>
      </c>
      <c r="Y57" s="30" t="s">
        <v>20</v>
      </c>
      <c r="Z57" s="30"/>
      <c r="AA57" s="30" t="s">
        <v>316</v>
      </c>
      <c r="AB57" s="30" t="s">
        <v>16</v>
      </c>
      <c r="AC57" s="30"/>
      <c r="AD57" s="64"/>
    </row>
    <row r="58" customFormat="false" ht="25.5" hidden="false" customHeight="true" outlineLevel="0" collapsed="false">
      <c r="A58" s="43" t="n">
        <v>54</v>
      </c>
      <c r="B58" s="88" t="s">
        <v>317</v>
      </c>
      <c r="C58" s="30" t="s">
        <v>7</v>
      </c>
      <c r="D58" s="30"/>
      <c r="E58" s="30" t="s">
        <v>318</v>
      </c>
      <c r="F58" s="92" t="s">
        <v>21</v>
      </c>
      <c r="G58" s="96"/>
      <c r="H58" s="66" t="n">
        <v>12</v>
      </c>
      <c r="I58" s="30"/>
      <c r="J58" s="30"/>
      <c r="K58" s="30"/>
      <c r="L58" s="30"/>
      <c r="M58" s="30"/>
      <c r="N58" s="30"/>
      <c r="O58" s="29" t="s">
        <v>319</v>
      </c>
      <c r="P58" s="29" t="s">
        <v>9</v>
      </c>
      <c r="Q58" s="30"/>
      <c r="R58" s="29" t="s">
        <v>320</v>
      </c>
      <c r="S58" s="29" t="s">
        <v>21</v>
      </c>
      <c r="T58" s="30"/>
      <c r="U58" s="30" t="s">
        <v>321</v>
      </c>
      <c r="V58" s="30" t="s">
        <v>9</v>
      </c>
      <c r="W58" s="30"/>
      <c r="X58" s="30" t="s">
        <v>322</v>
      </c>
      <c r="Y58" s="30" t="s">
        <v>21</v>
      </c>
      <c r="Z58" s="30"/>
      <c r="AA58" s="30" t="s">
        <v>323</v>
      </c>
      <c r="AB58" s="30" t="s">
        <v>18</v>
      </c>
      <c r="AC58" s="30"/>
      <c r="AD58" s="64"/>
    </row>
    <row r="59" customFormat="false" ht="25.5" hidden="false" customHeight="true" outlineLevel="0" collapsed="false">
      <c r="A59" s="43" t="n">
        <v>55</v>
      </c>
      <c r="B59" s="88" t="s">
        <v>324</v>
      </c>
      <c r="C59" s="30" t="s">
        <v>8</v>
      </c>
      <c r="D59" s="30"/>
      <c r="E59" s="30" t="s">
        <v>325</v>
      </c>
      <c r="F59" s="30" t="s">
        <v>21</v>
      </c>
      <c r="G59" s="96"/>
      <c r="H59" s="66" t="n">
        <v>13</v>
      </c>
      <c r="I59" s="30"/>
      <c r="J59" s="30"/>
      <c r="K59" s="30"/>
      <c r="L59" s="30"/>
      <c r="M59" s="30"/>
      <c r="N59" s="30"/>
      <c r="O59" s="29" t="s">
        <v>326</v>
      </c>
      <c r="P59" s="29" t="s">
        <v>9</v>
      </c>
      <c r="Q59" s="30"/>
      <c r="R59" s="29" t="s">
        <v>327</v>
      </c>
      <c r="S59" s="29" t="s">
        <v>21</v>
      </c>
      <c r="T59" s="30"/>
      <c r="U59" s="30" t="s">
        <v>328</v>
      </c>
      <c r="V59" s="30" t="s">
        <v>9</v>
      </c>
      <c r="W59" s="30"/>
      <c r="X59" s="30" t="s">
        <v>329</v>
      </c>
      <c r="Y59" s="30" t="s">
        <v>21</v>
      </c>
      <c r="Z59" s="30"/>
      <c r="AA59" s="30" t="s">
        <v>330</v>
      </c>
      <c r="AB59" s="30" t="s">
        <v>19</v>
      </c>
      <c r="AC59" s="30"/>
      <c r="AD59" s="64"/>
    </row>
    <row r="60" customFormat="false" ht="25.5" hidden="false" customHeight="true" outlineLevel="0" collapsed="false">
      <c r="A60" s="43" t="n">
        <v>56</v>
      </c>
      <c r="B60" s="88" t="s">
        <v>331</v>
      </c>
      <c r="C60" s="30" t="s">
        <v>9</v>
      </c>
      <c r="D60" s="30"/>
      <c r="E60" s="30"/>
      <c r="F60" s="30"/>
      <c r="G60" s="96"/>
      <c r="H60" s="66" t="n">
        <v>14</v>
      </c>
      <c r="I60" s="30"/>
      <c r="J60" s="30"/>
      <c r="K60" s="30"/>
      <c r="L60" s="30"/>
      <c r="M60" s="30"/>
      <c r="N60" s="30"/>
      <c r="O60" s="29" t="s">
        <v>332</v>
      </c>
      <c r="P60" s="29" t="s">
        <v>20</v>
      </c>
      <c r="Q60" s="30"/>
      <c r="R60" s="29" t="s">
        <v>333</v>
      </c>
      <c r="S60" s="29" t="s">
        <v>21</v>
      </c>
      <c r="T60" s="30"/>
      <c r="U60" s="30" t="s">
        <v>334</v>
      </c>
      <c r="V60" s="30" t="s">
        <v>9</v>
      </c>
      <c r="W60" s="30"/>
      <c r="X60" s="30" t="s">
        <v>335</v>
      </c>
      <c r="Y60" s="99" t="s">
        <v>21</v>
      </c>
      <c r="Z60" s="99"/>
      <c r="AA60" s="99" t="s">
        <v>336</v>
      </c>
      <c r="AB60" s="99" t="s">
        <v>19</v>
      </c>
      <c r="AC60" s="99"/>
      <c r="AD60" s="64"/>
    </row>
    <row r="61" customFormat="false" ht="25.5" hidden="false" customHeight="true" outlineLevel="0" collapsed="false">
      <c r="A61" s="43" t="n">
        <v>57</v>
      </c>
      <c r="B61" s="88" t="s">
        <v>337</v>
      </c>
      <c r="C61" s="30" t="s">
        <v>9</v>
      </c>
      <c r="D61" s="30"/>
      <c r="E61" s="65" t="s">
        <v>66</v>
      </c>
      <c r="F61" s="65"/>
      <c r="G61" s="96"/>
      <c r="H61" s="66" t="n">
        <v>15</v>
      </c>
      <c r="I61" s="30"/>
      <c r="J61" s="30"/>
      <c r="K61" s="30"/>
      <c r="L61" s="30"/>
      <c r="M61" s="30"/>
      <c r="N61" s="30"/>
      <c r="O61" s="29" t="s">
        <v>338</v>
      </c>
      <c r="P61" s="29" t="s">
        <v>20</v>
      </c>
      <c r="Q61" s="30"/>
      <c r="R61" s="30"/>
      <c r="S61" s="30"/>
      <c r="T61" s="30"/>
      <c r="U61" s="30" t="s">
        <v>339</v>
      </c>
      <c r="V61" s="30" t="s">
        <v>9</v>
      </c>
      <c r="W61" s="30"/>
      <c r="X61" s="99" t="s">
        <v>340</v>
      </c>
      <c r="Y61" s="99" t="s">
        <v>21</v>
      </c>
      <c r="Z61" s="99"/>
      <c r="AA61" s="99" t="s">
        <v>341</v>
      </c>
      <c r="AB61" s="99" t="s">
        <v>20</v>
      </c>
      <c r="AC61" s="99"/>
      <c r="AD61" s="64"/>
    </row>
    <row r="62" customFormat="false" ht="25.5" hidden="false" customHeight="true" outlineLevel="0" collapsed="false">
      <c r="A62" s="43" t="n">
        <v>58</v>
      </c>
      <c r="B62" s="88" t="s">
        <v>342</v>
      </c>
      <c r="C62" s="30" t="s">
        <v>12</v>
      </c>
      <c r="D62" s="30"/>
      <c r="E62" s="29" t="s">
        <v>343</v>
      </c>
      <c r="F62" s="29" t="s">
        <v>7</v>
      </c>
      <c r="G62" s="96"/>
      <c r="H62" s="66" t="n">
        <v>16</v>
      </c>
      <c r="I62" s="30"/>
      <c r="J62" s="30"/>
      <c r="K62" s="30"/>
      <c r="L62" s="30"/>
      <c r="M62" s="30"/>
      <c r="N62" s="30"/>
      <c r="O62" s="29" t="s">
        <v>344</v>
      </c>
      <c r="P62" s="29" t="s">
        <v>20</v>
      </c>
      <c r="Q62" s="30"/>
      <c r="R62" s="65" t="s">
        <v>68</v>
      </c>
      <c r="S62" s="65"/>
      <c r="T62" s="30"/>
      <c r="U62" s="30" t="s">
        <v>345</v>
      </c>
      <c r="V62" s="30" t="s">
        <v>9</v>
      </c>
      <c r="W62" s="30"/>
      <c r="X62" s="99" t="s">
        <v>346</v>
      </c>
      <c r="Y62" s="99" t="s">
        <v>21</v>
      </c>
      <c r="Z62" s="99"/>
      <c r="AA62" s="99" t="s">
        <v>347</v>
      </c>
      <c r="AB62" s="99" t="s">
        <v>20</v>
      </c>
      <c r="AC62" s="99"/>
      <c r="AD62" s="64"/>
    </row>
    <row r="63" customFormat="false" ht="25.5" hidden="false" customHeight="true" outlineLevel="0" collapsed="false">
      <c r="A63" s="43" t="n">
        <v>59</v>
      </c>
      <c r="B63" s="88" t="s">
        <v>348</v>
      </c>
      <c r="C63" s="30" t="s">
        <v>15</v>
      </c>
      <c r="D63" s="30"/>
      <c r="E63" s="29" t="s">
        <v>349</v>
      </c>
      <c r="F63" s="29" t="s">
        <v>7</v>
      </c>
      <c r="G63" s="96"/>
      <c r="H63" s="66" t="n">
        <v>17</v>
      </c>
      <c r="I63" s="30"/>
      <c r="J63" s="30"/>
      <c r="K63" s="30"/>
      <c r="L63" s="30"/>
      <c r="M63" s="30"/>
      <c r="N63" s="30"/>
      <c r="O63" s="29" t="s">
        <v>350</v>
      </c>
      <c r="P63" s="29" t="s">
        <v>20</v>
      </c>
      <c r="Q63" s="30"/>
      <c r="R63" s="30" t="s">
        <v>351</v>
      </c>
      <c r="S63" s="30" t="s">
        <v>7</v>
      </c>
      <c r="T63" s="30"/>
      <c r="U63" s="30" t="s">
        <v>352</v>
      </c>
      <c r="V63" s="30" t="s">
        <v>13</v>
      </c>
      <c r="W63" s="30"/>
      <c r="X63" s="99" t="s">
        <v>353</v>
      </c>
      <c r="Y63" s="99" t="s">
        <v>21</v>
      </c>
      <c r="Z63" s="99"/>
      <c r="AA63" s="99" t="s">
        <v>354</v>
      </c>
      <c r="AB63" s="99" t="s">
        <v>20</v>
      </c>
      <c r="AC63" s="99"/>
      <c r="AD63" s="64"/>
    </row>
    <row r="64" customFormat="false" ht="25.5" hidden="false" customHeight="true" outlineLevel="0" collapsed="false">
      <c r="A64" s="43" t="n">
        <v>60</v>
      </c>
      <c r="B64" s="88" t="s">
        <v>355</v>
      </c>
      <c r="C64" s="30" t="s">
        <v>15</v>
      </c>
      <c r="D64" s="30"/>
      <c r="E64" s="29" t="s">
        <v>356</v>
      </c>
      <c r="F64" s="29" t="s">
        <v>7</v>
      </c>
      <c r="G64" s="96"/>
      <c r="H64" s="66" t="n">
        <v>18</v>
      </c>
      <c r="I64" s="30"/>
      <c r="J64" s="30"/>
      <c r="K64" s="30"/>
      <c r="L64" s="30"/>
      <c r="M64" s="30"/>
      <c r="N64" s="30"/>
      <c r="O64" s="29" t="s">
        <v>357</v>
      </c>
      <c r="P64" s="29" t="s">
        <v>20</v>
      </c>
      <c r="Q64" s="30"/>
      <c r="R64" s="30" t="s">
        <v>358</v>
      </c>
      <c r="S64" s="30" t="s">
        <v>7</v>
      </c>
      <c r="T64" s="30"/>
      <c r="U64" s="30" t="s">
        <v>359</v>
      </c>
      <c r="V64" s="99" t="s">
        <v>13</v>
      </c>
      <c r="W64" s="99"/>
      <c r="X64" s="99" t="s">
        <v>360</v>
      </c>
      <c r="Y64" s="99" t="s">
        <v>21</v>
      </c>
      <c r="Z64" s="99"/>
      <c r="AA64" s="99" t="s">
        <v>361</v>
      </c>
      <c r="AB64" s="99" t="s">
        <v>26</v>
      </c>
      <c r="AC64" s="99"/>
      <c r="AD64" s="64"/>
    </row>
    <row r="65" customFormat="false" ht="25.5" hidden="false" customHeight="true" outlineLevel="0" collapsed="false">
      <c r="A65" s="43" t="n">
        <v>61</v>
      </c>
      <c r="B65" s="88" t="s">
        <v>362</v>
      </c>
      <c r="C65" s="30" t="s">
        <v>16</v>
      </c>
      <c r="D65" s="30"/>
      <c r="E65" s="29" t="s">
        <v>363</v>
      </c>
      <c r="F65" s="29" t="s">
        <v>8</v>
      </c>
      <c r="G65" s="96"/>
      <c r="H65" s="66" t="n">
        <v>19</v>
      </c>
      <c r="I65" s="30"/>
      <c r="J65" s="30"/>
      <c r="K65" s="30"/>
      <c r="L65" s="30"/>
      <c r="M65" s="30"/>
      <c r="N65" s="30"/>
      <c r="O65" s="29" t="s">
        <v>364</v>
      </c>
      <c r="P65" s="29" t="s">
        <v>20</v>
      </c>
      <c r="Q65" s="30"/>
      <c r="R65" s="30" t="s">
        <v>365</v>
      </c>
      <c r="S65" s="30" t="s">
        <v>7</v>
      </c>
      <c r="T65" s="30"/>
      <c r="U65" s="30" t="s">
        <v>308</v>
      </c>
      <c r="V65" s="99" t="s">
        <v>13</v>
      </c>
      <c r="W65" s="99"/>
      <c r="X65" s="99" t="s">
        <v>366</v>
      </c>
      <c r="Y65" s="30" t="s">
        <v>21</v>
      </c>
      <c r="Z65" s="30"/>
      <c r="AA65" s="30" t="s">
        <v>367</v>
      </c>
      <c r="AB65" s="30" t="s">
        <v>27</v>
      </c>
      <c r="AC65" s="30"/>
      <c r="AD65" s="64"/>
    </row>
    <row r="66" customFormat="false" ht="25.5" hidden="false" customHeight="true" outlineLevel="0" collapsed="false">
      <c r="A66" s="43" t="n">
        <v>62</v>
      </c>
      <c r="B66" s="88" t="s">
        <v>368</v>
      </c>
      <c r="C66" s="30" t="s">
        <v>19</v>
      </c>
      <c r="D66" s="30"/>
      <c r="E66" s="29" t="s">
        <v>369</v>
      </c>
      <c r="F66" s="29" t="s">
        <v>8</v>
      </c>
      <c r="G66" s="96"/>
      <c r="H66" s="66" t="n">
        <v>20</v>
      </c>
      <c r="I66" s="30"/>
      <c r="J66" s="30"/>
      <c r="K66" s="30"/>
      <c r="L66" s="30"/>
      <c r="M66" s="30"/>
      <c r="N66" s="30"/>
      <c r="O66" s="29" t="s">
        <v>370</v>
      </c>
      <c r="P66" s="29" t="s">
        <v>20</v>
      </c>
      <c r="Q66" s="30"/>
      <c r="R66" s="30" t="s">
        <v>371</v>
      </c>
      <c r="S66" s="30" t="s">
        <v>7</v>
      </c>
      <c r="T66" s="30"/>
      <c r="U66" s="30" t="s">
        <v>372</v>
      </c>
      <c r="V66" s="99" t="s">
        <v>20</v>
      </c>
      <c r="W66" s="99"/>
      <c r="X66" s="30" t="s">
        <v>373</v>
      </c>
      <c r="Y66" s="30" t="s">
        <v>21</v>
      </c>
      <c r="Z66" s="30"/>
      <c r="AA66" s="30" t="s">
        <v>374</v>
      </c>
      <c r="AB66" s="30" t="s">
        <v>27</v>
      </c>
      <c r="AC66" s="30"/>
      <c r="AD66" s="64"/>
    </row>
    <row r="67" customFormat="false" ht="25.5" hidden="false" customHeight="true" outlineLevel="0" collapsed="false">
      <c r="A67" s="43" t="n">
        <v>63</v>
      </c>
      <c r="B67" s="88" t="s">
        <v>375</v>
      </c>
      <c r="C67" s="30" t="s">
        <v>20</v>
      </c>
      <c r="D67" s="30"/>
      <c r="E67" s="29" t="s">
        <v>376</v>
      </c>
      <c r="F67" s="91" t="s">
        <v>9</v>
      </c>
      <c r="G67" s="96"/>
      <c r="H67" s="66" t="n">
        <v>21</v>
      </c>
      <c r="I67" s="30"/>
      <c r="J67" s="30"/>
      <c r="K67" s="30"/>
      <c r="L67" s="30"/>
      <c r="M67" s="30"/>
      <c r="N67" s="30"/>
      <c r="O67" s="29" t="s">
        <v>377</v>
      </c>
      <c r="P67" s="29" t="s">
        <v>20</v>
      </c>
      <c r="Q67" s="30"/>
      <c r="R67" s="30" t="s">
        <v>378</v>
      </c>
      <c r="S67" s="30" t="s">
        <v>7</v>
      </c>
      <c r="T67" s="30"/>
      <c r="U67" s="30" t="s">
        <v>379</v>
      </c>
      <c r="V67" s="99" t="s">
        <v>20</v>
      </c>
      <c r="W67" s="99"/>
      <c r="X67" s="30" t="s">
        <v>380</v>
      </c>
      <c r="Y67" s="30" t="s">
        <v>21</v>
      </c>
      <c r="Z67" s="30"/>
      <c r="AA67" s="30"/>
      <c r="AB67" s="30"/>
      <c r="AC67" s="30"/>
      <c r="AD67" s="64"/>
    </row>
    <row r="68" customFormat="false" ht="25.5" hidden="false" customHeight="true" outlineLevel="0" collapsed="false">
      <c r="A68" s="101" t="n">
        <v>64</v>
      </c>
      <c r="B68" s="102" t="s">
        <v>381</v>
      </c>
      <c r="C68" s="103" t="s">
        <v>20</v>
      </c>
      <c r="D68" s="103"/>
      <c r="E68" s="104" t="s">
        <v>382</v>
      </c>
      <c r="F68" s="105" t="s">
        <v>9</v>
      </c>
      <c r="G68" s="106"/>
      <c r="H68" s="107" t="n">
        <v>22</v>
      </c>
      <c r="I68" s="108"/>
      <c r="J68" s="108"/>
      <c r="K68" s="108"/>
      <c r="L68" s="108"/>
      <c r="M68" s="108"/>
      <c r="N68" s="108"/>
      <c r="O68" s="105" t="s">
        <v>383</v>
      </c>
      <c r="P68" s="105" t="s">
        <v>20</v>
      </c>
      <c r="Q68" s="108"/>
      <c r="R68" s="108" t="s">
        <v>384</v>
      </c>
      <c r="S68" s="108" t="s">
        <v>7</v>
      </c>
      <c r="T68" s="108"/>
      <c r="U68" s="108" t="s">
        <v>385</v>
      </c>
      <c r="V68" s="108" t="s">
        <v>20</v>
      </c>
      <c r="W68" s="108"/>
      <c r="X68" s="108" t="s">
        <v>386</v>
      </c>
      <c r="Y68" s="108" t="s">
        <v>27</v>
      </c>
      <c r="Z68" s="108"/>
      <c r="AA68" s="108"/>
      <c r="AB68" s="108"/>
      <c r="AC68" s="108"/>
      <c r="AD68" s="109"/>
    </row>
    <row r="71" customFormat="false" ht="15" hidden="false" customHeight="false" outlineLevel="0" collapsed="false">
      <c r="B71" s="110"/>
    </row>
  </sheetData>
  <mergeCells count="24">
    <mergeCell ref="A1:G2"/>
    <mergeCell ref="H1:AD2"/>
    <mergeCell ref="H25:AD25"/>
    <mergeCell ref="I26:AD26"/>
    <mergeCell ref="I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11" t="s">
        <v>387</v>
      </c>
      <c r="B1" s="111" t="s">
        <v>388</v>
      </c>
      <c r="C1" s="111" t="s">
        <v>389</v>
      </c>
      <c r="D1" s="111" t="s">
        <v>390</v>
      </c>
      <c r="E1" s="111" t="s">
        <v>391</v>
      </c>
      <c r="F1" s="111" t="s">
        <v>0</v>
      </c>
      <c r="G1" s="111" t="s">
        <v>1</v>
      </c>
      <c r="H1" s="111" t="s">
        <v>392</v>
      </c>
      <c r="I1" s="111" t="s">
        <v>51</v>
      </c>
      <c r="J1" s="111" t="s">
        <v>52</v>
      </c>
      <c r="K1" s="111" t="s">
        <v>393</v>
      </c>
      <c r="L1" s="111" t="s">
        <v>394</v>
      </c>
    </row>
    <row r="2" customFormat="false" ht="15" hidden="false" customHeight="false" outlineLevel="0" collapsed="false">
      <c r="A2" s="112" t="s">
        <v>395</v>
      </c>
      <c r="B2" s="112" t="s">
        <v>396</v>
      </c>
      <c r="C2" s="112" t="s">
        <v>27</v>
      </c>
      <c r="D2" s="112" t="s">
        <v>27</v>
      </c>
      <c r="E2" s="112" t="s">
        <v>397</v>
      </c>
      <c r="F2" s="113" t="s">
        <v>81</v>
      </c>
      <c r="G2" s="112" t="s">
        <v>82</v>
      </c>
      <c r="H2" s="112" t="s">
        <v>398</v>
      </c>
      <c r="I2" s="114" t="n">
        <v>1</v>
      </c>
      <c r="J2" s="114" t="n">
        <v>0</v>
      </c>
      <c r="K2" s="112"/>
      <c r="L2" s="112"/>
    </row>
    <row r="3" customFormat="false" ht="15" hidden="false" customHeight="false" outlineLevel="0" collapsed="false">
      <c r="A3" s="112" t="s">
        <v>399</v>
      </c>
      <c r="B3" s="112" t="s">
        <v>396</v>
      </c>
      <c r="C3" s="112" t="s">
        <v>27</v>
      </c>
      <c r="D3" s="112" t="s">
        <v>27</v>
      </c>
      <c r="E3" s="112" t="s">
        <v>386</v>
      </c>
      <c r="F3" s="113" t="s">
        <v>67</v>
      </c>
      <c r="G3" s="112" t="s">
        <v>68</v>
      </c>
      <c r="H3" s="112" t="s">
        <v>398</v>
      </c>
      <c r="I3" s="114" t="n">
        <v>1</v>
      </c>
      <c r="J3" s="114" t="n">
        <v>0</v>
      </c>
      <c r="K3" s="112"/>
      <c r="L3" s="112"/>
    </row>
    <row r="4" customFormat="false" ht="15" hidden="false" customHeight="false" outlineLevel="0" collapsed="false">
      <c r="A4" s="112" t="s">
        <v>400</v>
      </c>
      <c r="B4" s="112" t="s">
        <v>396</v>
      </c>
      <c r="C4" s="112" t="s">
        <v>27</v>
      </c>
      <c r="D4" s="112" t="s">
        <v>27</v>
      </c>
      <c r="E4" s="112" t="s">
        <v>259</v>
      </c>
      <c r="F4" s="113" t="s">
        <v>67</v>
      </c>
      <c r="G4" s="112" t="s">
        <v>68</v>
      </c>
      <c r="H4" s="112" t="s">
        <v>398</v>
      </c>
      <c r="I4" s="114" t="n">
        <v>0</v>
      </c>
      <c r="J4" s="114" t="n">
        <v>1</v>
      </c>
      <c r="K4" s="112" t="s">
        <v>401</v>
      </c>
      <c r="L4" s="112"/>
    </row>
    <row r="5" customFormat="false" ht="15" hidden="false" customHeight="false" outlineLevel="0" collapsed="false">
      <c r="A5" s="112" t="s">
        <v>402</v>
      </c>
      <c r="B5" s="112" t="s">
        <v>396</v>
      </c>
      <c r="C5" s="112" t="s">
        <v>403</v>
      </c>
      <c r="D5" s="112" t="s">
        <v>22</v>
      </c>
      <c r="E5" s="112" t="s">
        <v>404</v>
      </c>
      <c r="F5" s="113" t="s">
        <v>81</v>
      </c>
      <c r="G5" s="112" t="s">
        <v>82</v>
      </c>
      <c r="H5" s="112" t="s">
        <v>398</v>
      </c>
      <c r="I5" s="114" t="n">
        <v>1</v>
      </c>
      <c r="J5" s="114" t="n">
        <v>0</v>
      </c>
      <c r="K5" s="112"/>
      <c r="L5" s="112"/>
    </row>
    <row r="6" customFormat="false" ht="15" hidden="false" customHeight="false" outlineLevel="0" collapsed="false">
      <c r="A6" s="112" t="s">
        <v>405</v>
      </c>
      <c r="B6" s="112" t="s">
        <v>396</v>
      </c>
      <c r="C6" s="112" t="s">
        <v>403</v>
      </c>
      <c r="D6" s="112" t="s">
        <v>22</v>
      </c>
      <c r="E6" s="112" t="s">
        <v>406</v>
      </c>
      <c r="F6" s="113" t="s">
        <v>81</v>
      </c>
      <c r="G6" s="112" t="s">
        <v>82</v>
      </c>
      <c r="H6" s="112" t="s">
        <v>398</v>
      </c>
      <c r="I6" s="114" t="n">
        <v>1</v>
      </c>
      <c r="J6" s="114" t="n">
        <v>0</v>
      </c>
      <c r="K6" s="112"/>
      <c r="L6" s="112"/>
    </row>
    <row r="7" customFormat="false" ht="15" hidden="false" customHeight="false" outlineLevel="0" collapsed="false">
      <c r="A7" s="112" t="s">
        <v>407</v>
      </c>
      <c r="B7" s="112" t="s">
        <v>396</v>
      </c>
      <c r="C7" s="112" t="s">
        <v>403</v>
      </c>
      <c r="D7" s="112" t="s">
        <v>22</v>
      </c>
      <c r="E7" s="112" t="s">
        <v>408</v>
      </c>
      <c r="F7" s="113" t="s">
        <v>81</v>
      </c>
      <c r="G7" s="112" t="s">
        <v>82</v>
      </c>
      <c r="H7" s="112" t="s">
        <v>398</v>
      </c>
      <c r="I7" s="114" t="n">
        <v>1</v>
      </c>
      <c r="J7" s="114" t="n">
        <v>0</v>
      </c>
      <c r="K7" s="112"/>
      <c r="L7" s="112"/>
    </row>
    <row r="8" customFormat="false" ht="15" hidden="false" customHeight="false" outlineLevel="0" collapsed="false">
      <c r="A8" s="112" t="s">
        <v>409</v>
      </c>
      <c r="B8" s="112" t="s">
        <v>396</v>
      </c>
      <c r="C8" s="112" t="s">
        <v>403</v>
      </c>
      <c r="D8" s="112" t="s">
        <v>22</v>
      </c>
      <c r="E8" s="112" t="s">
        <v>410</v>
      </c>
      <c r="F8" s="113" t="s">
        <v>81</v>
      </c>
      <c r="G8" s="112" t="s">
        <v>82</v>
      </c>
      <c r="H8" s="112" t="s">
        <v>398</v>
      </c>
      <c r="I8" s="114" t="n">
        <v>1</v>
      </c>
      <c r="J8" s="114" t="n">
        <v>0</v>
      </c>
      <c r="K8" s="112"/>
      <c r="L8" s="112"/>
    </row>
    <row r="9" customFormat="false" ht="15" hidden="false" customHeight="false" outlineLevel="0" collapsed="false">
      <c r="A9" s="112" t="s">
        <v>411</v>
      </c>
      <c r="B9" s="112" t="s">
        <v>396</v>
      </c>
      <c r="C9" s="112" t="s">
        <v>403</v>
      </c>
      <c r="D9" s="112" t="s">
        <v>22</v>
      </c>
      <c r="E9" s="112" t="s">
        <v>412</v>
      </c>
      <c r="F9" s="113" t="s">
        <v>81</v>
      </c>
      <c r="G9" s="112" t="s">
        <v>82</v>
      </c>
      <c r="H9" s="112" t="s">
        <v>398</v>
      </c>
      <c r="I9" s="114" t="n">
        <v>1</v>
      </c>
      <c r="J9" s="114" t="n">
        <v>0</v>
      </c>
      <c r="K9" s="112"/>
      <c r="L9" s="112"/>
    </row>
    <row r="10" customFormat="false" ht="15" hidden="false" customHeight="false" outlineLevel="0" collapsed="false">
      <c r="A10" s="112" t="s">
        <v>413</v>
      </c>
      <c r="B10" s="112" t="s">
        <v>396</v>
      </c>
      <c r="C10" s="112" t="s">
        <v>403</v>
      </c>
      <c r="D10" s="112" t="s">
        <v>22</v>
      </c>
      <c r="E10" s="112" t="s">
        <v>414</v>
      </c>
      <c r="F10" s="113" t="s">
        <v>81</v>
      </c>
      <c r="G10" s="112" t="s">
        <v>82</v>
      </c>
      <c r="H10" s="112" t="s">
        <v>398</v>
      </c>
      <c r="I10" s="114" t="n">
        <v>0</v>
      </c>
      <c r="J10" s="114" t="n">
        <v>1</v>
      </c>
      <c r="K10" s="112" t="s">
        <v>401</v>
      </c>
      <c r="L10" s="112"/>
    </row>
    <row r="11" customFormat="false" ht="15" hidden="false" customHeight="false" outlineLevel="0" collapsed="false">
      <c r="A11" s="112" t="s">
        <v>415</v>
      </c>
      <c r="B11" s="112" t="s">
        <v>396</v>
      </c>
      <c r="C11" s="112" t="s">
        <v>416</v>
      </c>
      <c r="D11" s="112" t="s">
        <v>32</v>
      </c>
      <c r="E11" s="112" t="s">
        <v>417</v>
      </c>
      <c r="F11" s="113" t="s">
        <v>81</v>
      </c>
      <c r="G11" s="112" t="s">
        <v>82</v>
      </c>
      <c r="H11" s="112" t="s">
        <v>398</v>
      </c>
      <c r="I11" s="114" t="n">
        <v>1</v>
      </c>
      <c r="J11" s="114" t="n">
        <v>0</v>
      </c>
      <c r="K11" s="112"/>
      <c r="L11" s="112"/>
    </row>
    <row r="12" customFormat="false" ht="15" hidden="false" customHeight="false" outlineLevel="0" collapsed="false">
      <c r="A12" s="112" t="s">
        <v>418</v>
      </c>
      <c r="B12" s="112" t="s">
        <v>396</v>
      </c>
      <c r="C12" s="112" t="s">
        <v>419</v>
      </c>
      <c r="D12" s="112" t="s">
        <v>13</v>
      </c>
      <c r="E12" s="112" t="s">
        <v>352</v>
      </c>
      <c r="F12" s="113" t="s">
        <v>67</v>
      </c>
      <c r="G12" s="112" t="s">
        <v>68</v>
      </c>
      <c r="H12" s="112" t="s">
        <v>398</v>
      </c>
      <c r="I12" s="114" t="n">
        <v>1</v>
      </c>
      <c r="J12" s="114" t="n">
        <v>0</v>
      </c>
      <c r="K12" s="112"/>
      <c r="L12" s="112"/>
    </row>
    <row r="13" customFormat="false" ht="15" hidden="false" customHeight="false" outlineLevel="0" collapsed="false">
      <c r="A13" s="112" t="s">
        <v>420</v>
      </c>
      <c r="B13" s="112" t="s">
        <v>396</v>
      </c>
      <c r="C13" s="112" t="s">
        <v>419</v>
      </c>
      <c r="D13" s="112" t="s">
        <v>13</v>
      </c>
      <c r="E13" s="112" t="s">
        <v>359</v>
      </c>
      <c r="F13" s="113" t="s">
        <v>67</v>
      </c>
      <c r="G13" s="112" t="s">
        <v>68</v>
      </c>
      <c r="H13" s="112" t="s">
        <v>398</v>
      </c>
      <c r="I13" s="114" t="n">
        <v>1</v>
      </c>
      <c r="J13" s="114" t="n">
        <v>0</v>
      </c>
      <c r="K13" s="112"/>
      <c r="L13" s="112"/>
    </row>
    <row r="14" customFormat="false" ht="15" hidden="false" customHeight="false" outlineLevel="0" collapsed="false">
      <c r="A14" s="112" t="s">
        <v>421</v>
      </c>
      <c r="B14" s="112" t="s">
        <v>396</v>
      </c>
      <c r="C14" s="112" t="s">
        <v>419</v>
      </c>
      <c r="D14" s="112" t="s">
        <v>13</v>
      </c>
      <c r="E14" s="112" t="s">
        <v>308</v>
      </c>
      <c r="F14" s="113" t="s">
        <v>67</v>
      </c>
      <c r="G14" s="112" t="s">
        <v>68</v>
      </c>
      <c r="H14" s="112" t="s">
        <v>398</v>
      </c>
      <c r="I14" s="114" t="n">
        <v>0</v>
      </c>
      <c r="J14" s="114" t="n">
        <v>1</v>
      </c>
      <c r="K14" s="112" t="s">
        <v>401</v>
      </c>
      <c r="L14" s="112"/>
    </row>
    <row r="15" customFormat="false" ht="15" hidden="false" customHeight="false" outlineLevel="0" collapsed="false">
      <c r="A15" s="112" t="s">
        <v>422</v>
      </c>
      <c r="B15" s="112" t="s">
        <v>396</v>
      </c>
      <c r="C15" s="112" t="s">
        <v>419</v>
      </c>
      <c r="D15" s="112" t="s">
        <v>13</v>
      </c>
      <c r="E15" s="112" t="s">
        <v>423</v>
      </c>
      <c r="F15" s="113" t="s">
        <v>115</v>
      </c>
      <c r="G15" s="112" t="s">
        <v>116</v>
      </c>
      <c r="H15" s="112" t="s">
        <v>398</v>
      </c>
      <c r="I15" s="114" t="n">
        <v>0</v>
      </c>
      <c r="J15" s="114" t="n">
        <v>1</v>
      </c>
      <c r="K15" s="112" t="s">
        <v>401</v>
      </c>
      <c r="L15" s="112"/>
    </row>
    <row r="16" customFormat="false" ht="15" hidden="false" customHeight="false" outlineLevel="0" collapsed="false">
      <c r="A16" s="112" t="s">
        <v>424</v>
      </c>
      <c r="B16" s="112" t="s">
        <v>396</v>
      </c>
      <c r="C16" s="112" t="s">
        <v>425</v>
      </c>
      <c r="D16" s="112" t="s">
        <v>35</v>
      </c>
      <c r="E16" s="112" t="s">
        <v>426</v>
      </c>
      <c r="F16" s="113" t="s">
        <v>81</v>
      </c>
      <c r="G16" s="112" t="s">
        <v>82</v>
      </c>
      <c r="H16" s="112" t="s">
        <v>398</v>
      </c>
      <c r="I16" s="114" t="n">
        <v>1</v>
      </c>
      <c r="J16" s="114" t="n">
        <v>0</v>
      </c>
      <c r="K16" s="112"/>
      <c r="L16" s="112"/>
    </row>
    <row r="17" customFormat="false" ht="15" hidden="false" customHeight="false" outlineLevel="0" collapsed="false">
      <c r="A17" s="112" t="s">
        <v>427</v>
      </c>
      <c r="B17" s="112" t="s">
        <v>396</v>
      </c>
      <c r="C17" s="112" t="s">
        <v>428</v>
      </c>
      <c r="D17" s="112" t="s">
        <v>14</v>
      </c>
      <c r="E17" s="112" t="s">
        <v>429</v>
      </c>
      <c r="F17" s="113" t="s">
        <v>81</v>
      </c>
      <c r="G17" s="112" t="s">
        <v>82</v>
      </c>
      <c r="H17" s="112" t="s">
        <v>398</v>
      </c>
      <c r="I17" s="114" t="n">
        <v>1</v>
      </c>
      <c r="J17" s="114" t="n">
        <v>0</v>
      </c>
      <c r="K17" s="112"/>
      <c r="L17" s="112"/>
    </row>
    <row r="18" customFormat="false" ht="15" hidden="false" customHeight="false" outlineLevel="0" collapsed="false">
      <c r="A18" s="112" t="s">
        <v>430</v>
      </c>
      <c r="B18" s="112" t="s">
        <v>396</v>
      </c>
      <c r="C18" s="112" t="s">
        <v>25</v>
      </c>
      <c r="D18" s="112" t="s">
        <v>25</v>
      </c>
      <c r="E18" s="112" t="s">
        <v>431</v>
      </c>
      <c r="F18" s="113" t="s">
        <v>81</v>
      </c>
      <c r="G18" s="112" t="s">
        <v>82</v>
      </c>
      <c r="H18" s="112" t="s">
        <v>398</v>
      </c>
      <c r="I18" s="114" t="n">
        <v>1</v>
      </c>
      <c r="J18" s="114" t="n">
        <v>0</v>
      </c>
      <c r="K18" s="112"/>
      <c r="L18" s="112"/>
    </row>
    <row r="19" customFormat="false" ht="15" hidden="false" customHeight="false" outlineLevel="0" collapsed="false">
      <c r="A19" s="112" t="s">
        <v>432</v>
      </c>
      <c r="B19" s="112" t="s">
        <v>396</v>
      </c>
      <c r="C19" s="112" t="s">
        <v>433</v>
      </c>
      <c r="D19" s="112" t="s">
        <v>7</v>
      </c>
      <c r="E19" s="112" t="s">
        <v>434</v>
      </c>
      <c r="F19" s="113" t="s">
        <v>81</v>
      </c>
      <c r="G19" s="112" t="s">
        <v>82</v>
      </c>
      <c r="H19" s="112" t="s">
        <v>398</v>
      </c>
      <c r="I19" s="114" t="n">
        <v>1</v>
      </c>
      <c r="J19" s="114" t="n">
        <v>0</v>
      </c>
      <c r="K19" s="112"/>
      <c r="L19" s="112"/>
    </row>
    <row r="20" customFormat="false" ht="15" hidden="false" customHeight="false" outlineLevel="0" collapsed="false">
      <c r="A20" s="112" t="s">
        <v>435</v>
      </c>
      <c r="B20" s="112" t="s">
        <v>396</v>
      </c>
      <c r="C20" s="112" t="s">
        <v>433</v>
      </c>
      <c r="D20" s="112" t="s">
        <v>7</v>
      </c>
      <c r="E20" s="112" t="s">
        <v>436</v>
      </c>
      <c r="F20" s="113" t="s">
        <v>81</v>
      </c>
      <c r="G20" s="112" t="s">
        <v>82</v>
      </c>
      <c r="H20" s="112" t="s">
        <v>398</v>
      </c>
      <c r="I20" s="114" t="n">
        <v>1</v>
      </c>
      <c r="J20" s="114" t="n">
        <v>0</v>
      </c>
      <c r="K20" s="112"/>
      <c r="L20" s="112"/>
    </row>
    <row r="21" customFormat="false" ht="15" hidden="false" customHeight="false" outlineLevel="0" collapsed="false">
      <c r="A21" s="112" t="s">
        <v>437</v>
      </c>
      <c r="B21" s="112" t="s">
        <v>396</v>
      </c>
      <c r="C21" s="112" t="s">
        <v>433</v>
      </c>
      <c r="D21" s="112" t="s">
        <v>7</v>
      </c>
      <c r="E21" s="112" t="s">
        <v>438</v>
      </c>
      <c r="F21" s="113" t="s">
        <v>115</v>
      </c>
      <c r="G21" s="112" t="s">
        <v>116</v>
      </c>
      <c r="H21" s="112" t="s">
        <v>398</v>
      </c>
      <c r="I21" s="114" t="n">
        <v>1</v>
      </c>
      <c r="J21" s="114" t="n">
        <v>0</v>
      </c>
      <c r="K21" s="112"/>
      <c r="L21" s="112"/>
    </row>
    <row r="22" customFormat="false" ht="15" hidden="false" customHeight="false" outlineLevel="0" collapsed="false">
      <c r="A22" s="112" t="s">
        <v>439</v>
      </c>
      <c r="B22" s="112" t="s">
        <v>396</v>
      </c>
      <c r="C22" s="112" t="s">
        <v>433</v>
      </c>
      <c r="D22" s="112" t="s">
        <v>7</v>
      </c>
      <c r="E22" s="112" t="s">
        <v>365</v>
      </c>
      <c r="F22" s="113" t="s">
        <v>67</v>
      </c>
      <c r="G22" s="112" t="s">
        <v>68</v>
      </c>
      <c r="H22" s="112" t="s">
        <v>398</v>
      </c>
      <c r="I22" s="114" t="n">
        <v>1</v>
      </c>
      <c r="J22" s="114" t="n">
        <v>0</v>
      </c>
      <c r="K22" s="112"/>
      <c r="L22" s="112"/>
    </row>
    <row r="23" customFormat="false" ht="15" hidden="false" customHeight="false" outlineLevel="0" collapsed="false">
      <c r="A23" s="112" t="s">
        <v>440</v>
      </c>
      <c r="B23" s="112" t="s">
        <v>396</v>
      </c>
      <c r="C23" s="112" t="s">
        <v>433</v>
      </c>
      <c r="D23" s="112" t="s">
        <v>7</v>
      </c>
      <c r="E23" s="112" t="s">
        <v>371</v>
      </c>
      <c r="F23" s="113" t="s">
        <v>67</v>
      </c>
      <c r="G23" s="112" t="s">
        <v>68</v>
      </c>
      <c r="H23" s="112" t="s">
        <v>398</v>
      </c>
      <c r="I23" s="114" t="n">
        <v>0</v>
      </c>
      <c r="J23" s="114" t="n">
        <v>1</v>
      </c>
      <c r="K23" s="112" t="s">
        <v>401</v>
      </c>
      <c r="L23" s="112"/>
    </row>
    <row r="24" customFormat="false" ht="15" hidden="false" customHeight="false" outlineLevel="0" collapsed="false">
      <c r="A24" s="112" t="s">
        <v>441</v>
      </c>
      <c r="B24" s="112" t="s">
        <v>396</v>
      </c>
      <c r="C24" s="112" t="s">
        <v>433</v>
      </c>
      <c r="D24" s="112" t="s">
        <v>7</v>
      </c>
      <c r="E24" s="112" t="s">
        <v>351</v>
      </c>
      <c r="F24" s="113" t="s">
        <v>67</v>
      </c>
      <c r="G24" s="112" t="s">
        <v>68</v>
      </c>
      <c r="H24" s="112" t="s">
        <v>398</v>
      </c>
      <c r="I24" s="114" t="n">
        <v>0</v>
      </c>
      <c r="J24" s="114" t="n">
        <v>1</v>
      </c>
      <c r="K24" s="112" t="s">
        <v>401</v>
      </c>
      <c r="L24" s="112"/>
    </row>
    <row r="25" customFormat="false" ht="15" hidden="false" customHeight="false" outlineLevel="0" collapsed="false">
      <c r="A25" s="112" t="s">
        <v>442</v>
      </c>
      <c r="B25" s="112" t="s">
        <v>396</v>
      </c>
      <c r="C25" s="112" t="s">
        <v>443</v>
      </c>
      <c r="D25" s="112" t="s">
        <v>8</v>
      </c>
      <c r="E25" s="112" t="s">
        <v>264</v>
      </c>
      <c r="F25" s="113" t="s">
        <v>67</v>
      </c>
      <c r="G25" s="112" t="s">
        <v>68</v>
      </c>
      <c r="H25" s="112" t="s">
        <v>398</v>
      </c>
      <c r="I25" s="114" t="n">
        <v>1</v>
      </c>
      <c r="J25" s="114" t="n">
        <v>0</v>
      </c>
      <c r="K25" s="112"/>
      <c r="L25" s="112"/>
    </row>
    <row r="26" customFormat="false" ht="15" hidden="false" customHeight="false" outlineLevel="0" collapsed="false">
      <c r="A26" s="112" t="s">
        <v>444</v>
      </c>
      <c r="B26" s="112" t="s">
        <v>396</v>
      </c>
      <c r="C26" s="112" t="s">
        <v>443</v>
      </c>
      <c r="D26" s="112" t="s">
        <v>8</v>
      </c>
      <c r="E26" s="112" t="s">
        <v>257</v>
      </c>
      <c r="F26" s="113" t="s">
        <v>67</v>
      </c>
      <c r="G26" s="112" t="s">
        <v>68</v>
      </c>
      <c r="H26" s="112" t="s">
        <v>398</v>
      </c>
      <c r="I26" s="114" t="n">
        <v>1</v>
      </c>
      <c r="J26" s="114" t="n">
        <v>0</v>
      </c>
      <c r="K26" s="112"/>
      <c r="L26" s="112"/>
    </row>
    <row r="27" customFormat="false" ht="15" hidden="false" customHeight="false" outlineLevel="0" collapsed="false">
      <c r="A27" s="112" t="s">
        <v>445</v>
      </c>
      <c r="B27" s="112" t="s">
        <v>396</v>
      </c>
      <c r="C27" s="112" t="s">
        <v>446</v>
      </c>
      <c r="D27" s="112" t="s">
        <v>9</v>
      </c>
      <c r="E27" s="112" t="s">
        <v>276</v>
      </c>
      <c r="F27" s="113" t="s">
        <v>67</v>
      </c>
      <c r="G27" s="112" t="s">
        <v>68</v>
      </c>
      <c r="H27" s="112" t="s">
        <v>398</v>
      </c>
      <c r="I27" s="114" t="n">
        <v>1</v>
      </c>
      <c r="J27" s="114" t="n">
        <v>0</v>
      </c>
      <c r="K27" s="112"/>
      <c r="L27" s="112"/>
    </row>
    <row r="28" customFormat="false" ht="15" hidden="false" customHeight="false" outlineLevel="0" collapsed="false">
      <c r="A28" s="112" t="s">
        <v>447</v>
      </c>
      <c r="B28" s="112" t="s">
        <v>396</v>
      </c>
      <c r="C28" s="112" t="s">
        <v>446</v>
      </c>
      <c r="D28" s="112" t="s">
        <v>9</v>
      </c>
      <c r="E28" s="112" t="s">
        <v>283</v>
      </c>
      <c r="F28" s="113" t="s">
        <v>67</v>
      </c>
      <c r="G28" s="112" t="s">
        <v>68</v>
      </c>
      <c r="H28" s="112" t="s">
        <v>398</v>
      </c>
      <c r="I28" s="114" t="n">
        <v>1</v>
      </c>
      <c r="J28" s="114" t="n">
        <v>0</v>
      </c>
      <c r="K28" s="112"/>
      <c r="L28" s="112"/>
    </row>
    <row r="29" customFormat="false" ht="15" hidden="false" customHeight="false" outlineLevel="0" collapsed="false">
      <c r="A29" s="112" t="s">
        <v>448</v>
      </c>
      <c r="B29" s="112" t="s">
        <v>396</v>
      </c>
      <c r="C29" s="112" t="s">
        <v>446</v>
      </c>
      <c r="D29" s="112" t="s">
        <v>9</v>
      </c>
      <c r="E29" s="112" t="s">
        <v>290</v>
      </c>
      <c r="F29" s="113" t="s">
        <v>67</v>
      </c>
      <c r="G29" s="112" t="s">
        <v>68</v>
      </c>
      <c r="H29" s="112" t="s">
        <v>398</v>
      </c>
      <c r="I29" s="114" t="n">
        <v>1</v>
      </c>
      <c r="J29" s="114" t="n">
        <v>0</v>
      </c>
      <c r="K29" s="112"/>
      <c r="L29" s="112"/>
    </row>
    <row r="30" customFormat="false" ht="15" hidden="false" customHeight="false" outlineLevel="0" collapsed="false">
      <c r="A30" s="112" t="s">
        <v>449</v>
      </c>
      <c r="B30" s="112" t="s">
        <v>396</v>
      </c>
      <c r="C30" s="112" t="s">
        <v>446</v>
      </c>
      <c r="D30" s="112" t="s">
        <v>9</v>
      </c>
      <c r="E30" s="112" t="s">
        <v>296</v>
      </c>
      <c r="F30" s="113" t="s">
        <v>67</v>
      </c>
      <c r="G30" s="112" t="s">
        <v>68</v>
      </c>
      <c r="H30" s="112" t="s">
        <v>398</v>
      </c>
      <c r="I30" s="114" t="n">
        <v>1</v>
      </c>
      <c r="J30" s="114" t="n">
        <v>0</v>
      </c>
      <c r="K30" s="112"/>
      <c r="L30" s="112"/>
    </row>
    <row r="31" customFormat="false" ht="15" hidden="false" customHeight="false" outlineLevel="0" collapsed="false">
      <c r="A31" s="112" t="s">
        <v>450</v>
      </c>
      <c r="B31" s="112" t="s">
        <v>396</v>
      </c>
      <c r="C31" s="112" t="s">
        <v>446</v>
      </c>
      <c r="D31" s="112" t="s">
        <v>9</v>
      </c>
      <c r="E31" s="112" t="s">
        <v>314</v>
      </c>
      <c r="F31" s="113" t="s">
        <v>67</v>
      </c>
      <c r="G31" s="112" t="s">
        <v>68</v>
      </c>
      <c r="H31" s="112" t="s">
        <v>398</v>
      </c>
      <c r="I31" s="114" t="n">
        <v>1</v>
      </c>
      <c r="J31" s="114" t="n">
        <v>0</v>
      </c>
      <c r="K31" s="112"/>
      <c r="L31" s="112"/>
    </row>
    <row r="32" customFormat="false" ht="15" hidden="false" customHeight="false" outlineLevel="0" collapsed="false">
      <c r="A32" s="112" t="s">
        <v>451</v>
      </c>
      <c r="B32" s="112" t="s">
        <v>396</v>
      </c>
      <c r="C32" s="112" t="s">
        <v>446</v>
      </c>
      <c r="D32" s="112" t="s">
        <v>9</v>
      </c>
      <c r="E32" s="112" t="s">
        <v>321</v>
      </c>
      <c r="F32" s="113" t="s">
        <v>67</v>
      </c>
      <c r="G32" s="112" t="s">
        <v>68</v>
      </c>
      <c r="H32" s="112" t="s">
        <v>398</v>
      </c>
      <c r="I32" s="114" t="n">
        <v>1</v>
      </c>
      <c r="J32" s="114" t="n">
        <v>0</v>
      </c>
      <c r="K32" s="112"/>
      <c r="L32" s="112"/>
    </row>
    <row r="33" customFormat="false" ht="15" hidden="false" customHeight="false" outlineLevel="0" collapsed="false">
      <c r="A33" s="112" t="s">
        <v>452</v>
      </c>
      <c r="B33" s="112" t="s">
        <v>396</v>
      </c>
      <c r="C33" s="112" t="s">
        <v>446</v>
      </c>
      <c r="D33" s="112" t="s">
        <v>9</v>
      </c>
      <c r="E33" s="112" t="s">
        <v>328</v>
      </c>
      <c r="F33" s="113" t="s">
        <v>67</v>
      </c>
      <c r="G33" s="112" t="s">
        <v>68</v>
      </c>
      <c r="H33" s="112" t="s">
        <v>398</v>
      </c>
      <c r="I33" s="114" t="n">
        <v>1</v>
      </c>
      <c r="J33" s="114" t="n">
        <v>0</v>
      </c>
      <c r="K33" s="112"/>
      <c r="L33" s="112"/>
    </row>
    <row r="34" customFormat="false" ht="15" hidden="false" customHeight="false" outlineLevel="0" collapsed="false">
      <c r="A34" s="112" t="s">
        <v>453</v>
      </c>
      <c r="B34" s="112" t="s">
        <v>396</v>
      </c>
      <c r="C34" s="112" t="s">
        <v>446</v>
      </c>
      <c r="D34" s="112" t="s">
        <v>9</v>
      </c>
      <c r="E34" s="112" t="s">
        <v>345</v>
      </c>
      <c r="F34" s="113" t="s">
        <v>67</v>
      </c>
      <c r="G34" s="112" t="s">
        <v>68</v>
      </c>
      <c r="H34" s="112" t="s">
        <v>398</v>
      </c>
      <c r="I34" s="114" t="n">
        <v>1</v>
      </c>
      <c r="J34" s="114" t="n">
        <v>0</v>
      </c>
      <c r="K34" s="112"/>
      <c r="L34" s="112"/>
    </row>
    <row r="35" customFormat="false" ht="15" hidden="false" customHeight="false" outlineLevel="0" collapsed="false">
      <c r="A35" s="112" t="s">
        <v>454</v>
      </c>
      <c r="B35" s="112" t="s">
        <v>396</v>
      </c>
      <c r="C35" s="112" t="s">
        <v>446</v>
      </c>
      <c r="D35" s="112" t="s">
        <v>9</v>
      </c>
      <c r="E35" s="112" t="s">
        <v>308</v>
      </c>
      <c r="F35" s="113" t="s">
        <v>67</v>
      </c>
      <c r="G35" s="112" t="s">
        <v>68</v>
      </c>
      <c r="H35" s="112" t="s">
        <v>398</v>
      </c>
      <c r="I35" s="114" t="n">
        <v>1</v>
      </c>
      <c r="J35" s="114" t="n">
        <v>0</v>
      </c>
      <c r="K35" s="112"/>
      <c r="L35" s="112"/>
    </row>
    <row r="36" customFormat="false" ht="15" hidden="false" customHeight="false" outlineLevel="0" collapsed="false">
      <c r="A36" s="112" t="s">
        <v>455</v>
      </c>
      <c r="B36" s="112" t="s">
        <v>396</v>
      </c>
      <c r="C36" s="112" t="s">
        <v>446</v>
      </c>
      <c r="D36" s="112" t="s">
        <v>9</v>
      </c>
      <c r="E36" s="112" t="s">
        <v>339</v>
      </c>
      <c r="F36" s="113" t="s">
        <v>67</v>
      </c>
      <c r="G36" s="112" t="s">
        <v>68</v>
      </c>
      <c r="H36" s="112" t="s">
        <v>398</v>
      </c>
      <c r="I36" s="114" t="n">
        <v>1</v>
      </c>
      <c r="J36" s="114" t="n">
        <v>0</v>
      </c>
      <c r="K36" s="112"/>
      <c r="L36" s="112"/>
    </row>
    <row r="37" customFormat="false" ht="15" hidden="false" customHeight="false" outlineLevel="0" collapsed="false">
      <c r="A37" s="112" t="s">
        <v>456</v>
      </c>
      <c r="B37" s="112" t="s">
        <v>396</v>
      </c>
      <c r="C37" s="112" t="s">
        <v>446</v>
      </c>
      <c r="D37" s="112" t="s">
        <v>9</v>
      </c>
      <c r="E37" s="112" t="s">
        <v>270</v>
      </c>
      <c r="F37" s="113" t="s">
        <v>67</v>
      </c>
      <c r="G37" s="112" t="s">
        <v>68</v>
      </c>
      <c r="H37" s="112" t="s">
        <v>398</v>
      </c>
      <c r="I37" s="114" t="n">
        <v>1</v>
      </c>
      <c r="J37" s="114" t="n">
        <v>1</v>
      </c>
      <c r="K37" s="112"/>
      <c r="L37" s="112"/>
    </row>
    <row r="38" customFormat="false" ht="15" hidden="false" customHeight="false" outlineLevel="0" collapsed="false">
      <c r="A38" s="112" t="s">
        <v>457</v>
      </c>
      <c r="B38" s="112" t="s">
        <v>396</v>
      </c>
      <c r="C38" s="112" t="s">
        <v>446</v>
      </c>
      <c r="D38" s="112" t="s">
        <v>9</v>
      </c>
      <c r="E38" s="112" t="s">
        <v>334</v>
      </c>
      <c r="F38" s="113" t="s">
        <v>67</v>
      </c>
      <c r="G38" s="112" t="s">
        <v>68</v>
      </c>
      <c r="H38" s="112" t="s">
        <v>398</v>
      </c>
      <c r="I38" s="114" t="n">
        <v>1</v>
      </c>
      <c r="J38" s="114" t="n">
        <v>1</v>
      </c>
      <c r="K38" s="112"/>
      <c r="L38" s="112"/>
    </row>
    <row r="39" customFormat="false" ht="15" hidden="false" customHeight="false" outlineLevel="0" collapsed="false">
      <c r="A39" s="112" t="s">
        <v>458</v>
      </c>
      <c r="B39" s="112" t="s">
        <v>396</v>
      </c>
      <c r="C39" s="112" t="s">
        <v>446</v>
      </c>
      <c r="D39" s="112" t="s">
        <v>9</v>
      </c>
      <c r="E39" s="112" t="s">
        <v>302</v>
      </c>
      <c r="F39" s="113" t="s">
        <v>67</v>
      </c>
      <c r="G39" s="112" t="s">
        <v>68</v>
      </c>
      <c r="H39" s="112" t="s">
        <v>398</v>
      </c>
      <c r="I39" s="114" t="n">
        <v>0</v>
      </c>
      <c r="J39" s="114" t="n">
        <v>1</v>
      </c>
      <c r="K39" s="112" t="s">
        <v>401</v>
      </c>
      <c r="L39" s="112"/>
    </row>
    <row r="40" customFormat="false" ht="15" hidden="false" customHeight="false" outlineLevel="0" collapsed="false">
      <c r="A40" s="112" t="s">
        <v>459</v>
      </c>
      <c r="B40" s="112" t="s">
        <v>396</v>
      </c>
      <c r="C40" s="112" t="s">
        <v>460</v>
      </c>
      <c r="D40" s="112" t="s">
        <v>20</v>
      </c>
      <c r="E40" s="112" t="s">
        <v>461</v>
      </c>
      <c r="F40" s="113" t="s">
        <v>143</v>
      </c>
      <c r="G40" s="112" t="s">
        <v>144</v>
      </c>
      <c r="H40" s="112" t="s">
        <v>398</v>
      </c>
      <c r="I40" s="114" t="n">
        <v>1</v>
      </c>
      <c r="J40" s="114" t="n">
        <v>0</v>
      </c>
      <c r="K40" s="112"/>
      <c r="L40" s="112"/>
    </row>
    <row r="41" customFormat="false" ht="15" hidden="false" customHeight="false" outlineLevel="0" collapsed="false">
      <c r="A41" s="112" t="s">
        <v>462</v>
      </c>
      <c r="B41" s="112" t="s">
        <v>396</v>
      </c>
      <c r="C41" s="112" t="s">
        <v>460</v>
      </c>
      <c r="D41" s="112" t="s">
        <v>20</v>
      </c>
      <c r="E41" s="112" t="s">
        <v>463</v>
      </c>
      <c r="F41" s="113" t="s">
        <v>81</v>
      </c>
      <c r="G41" s="112" t="s">
        <v>82</v>
      </c>
      <c r="H41" s="112" t="s">
        <v>398</v>
      </c>
      <c r="I41" s="114" t="n">
        <v>1</v>
      </c>
      <c r="J41" s="114" t="n">
        <v>0</v>
      </c>
      <c r="K41" s="112"/>
      <c r="L41" s="112"/>
    </row>
    <row r="42" customFormat="false" ht="15" hidden="false" customHeight="false" outlineLevel="0" collapsed="false">
      <c r="A42" s="112" t="s">
        <v>464</v>
      </c>
      <c r="B42" s="112" t="s">
        <v>396</v>
      </c>
      <c r="C42" s="112" t="s">
        <v>460</v>
      </c>
      <c r="D42" s="112" t="s">
        <v>20</v>
      </c>
      <c r="E42" s="112" t="s">
        <v>465</v>
      </c>
      <c r="F42" s="113" t="s">
        <v>143</v>
      </c>
      <c r="G42" s="112" t="s">
        <v>144</v>
      </c>
      <c r="H42" s="112" t="s">
        <v>398</v>
      </c>
      <c r="I42" s="114" t="n">
        <v>1</v>
      </c>
      <c r="J42" s="114" t="n">
        <v>0</v>
      </c>
      <c r="K42" s="112"/>
      <c r="L42" s="112"/>
    </row>
    <row r="43" customFormat="false" ht="15" hidden="false" customHeight="false" outlineLevel="0" collapsed="false">
      <c r="A43" s="112" t="s">
        <v>466</v>
      </c>
      <c r="B43" s="112" t="s">
        <v>396</v>
      </c>
      <c r="C43" s="112" t="s">
        <v>460</v>
      </c>
      <c r="D43" s="112" t="s">
        <v>20</v>
      </c>
      <c r="E43" s="112" t="s">
        <v>467</v>
      </c>
      <c r="F43" s="113" t="s">
        <v>81</v>
      </c>
      <c r="G43" s="112" t="s">
        <v>82</v>
      </c>
      <c r="H43" s="112" t="s">
        <v>398</v>
      </c>
      <c r="I43" s="114" t="n">
        <v>1</v>
      </c>
      <c r="J43" s="114" t="n">
        <v>0</v>
      </c>
      <c r="K43" s="112"/>
      <c r="L43" s="112"/>
    </row>
    <row r="44" customFormat="false" ht="15" hidden="false" customHeight="false" outlineLevel="0" collapsed="false">
      <c r="A44" s="112" t="s">
        <v>468</v>
      </c>
      <c r="B44" s="112" t="s">
        <v>396</v>
      </c>
      <c r="C44" s="112" t="s">
        <v>460</v>
      </c>
      <c r="D44" s="112" t="s">
        <v>20</v>
      </c>
      <c r="E44" s="112" t="s">
        <v>469</v>
      </c>
      <c r="F44" s="113" t="s">
        <v>143</v>
      </c>
      <c r="G44" s="112" t="s">
        <v>144</v>
      </c>
      <c r="H44" s="112" t="s">
        <v>398</v>
      </c>
      <c r="I44" s="114" t="n">
        <v>0</v>
      </c>
      <c r="J44" s="114" t="n">
        <v>1</v>
      </c>
      <c r="K44" s="112" t="s">
        <v>401</v>
      </c>
      <c r="L44" s="112"/>
    </row>
    <row r="45" customFormat="false" ht="15" hidden="false" customHeight="false" outlineLevel="0" collapsed="false">
      <c r="A45" s="112" t="s">
        <v>470</v>
      </c>
      <c r="B45" s="112" t="s">
        <v>396</v>
      </c>
      <c r="C45" s="112" t="s">
        <v>460</v>
      </c>
      <c r="D45" s="112" t="s">
        <v>20</v>
      </c>
      <c r="E45" s="112" t="s">
        <v>471</v>
      </c>
      <c r="F45" s="113" t="s">
        <v>81</v>
      </c>
      <c r="G45" s="112" t="s">
        <v>82</v>
      </c>
      <c r="H45" s="112" t="s">
        <v>398</v>
      </c>
      <c r="I45" s="114" t="n">
        <v>1</v>
      </c>
      <c r="J45" s="114" t="n">
        <v>0</v>
      </c>
      <c r="K45" s="112"/>
      <c r="L45" s="112"/>
    </row>
    <row r="46" customFormat="false" ht="15" hidden="false" customHeight="false" outlineLevel="0" collapsed="false">
      <c r="A46" s="112" t="s">
        <v>472</v>
      </c>
      <c r="B46" s="112" t="s">
        <v>396</v>
      </c>
      <c r="C46" s="112" t="s">
        <v>460</v>
      </c>
      <c r="D46" s="112" t="s">
        <v>20</v>
      </c>
      <c r="E46" s="112" t="s">
        <v>473</v>
      </c>
      <c r="F46" s="113" t="s">
        <v>143</v>
      </c>
      <c r="G46" s="112" t="s">
        <v>144</v>
      </c>
      <c r="H46" s="112" t="s">
        <v>398</v>
      </c>
      <c r="I46" s="114" t="n">
        <v>0</v>
      </c>
      <c r="J46" s="114" t="n">
        <v>1</v>
      </c>
      <c r="K46" s="112" t="s">
        <v>401</v>
      </c>
      <c r="L46" s="112"/>
    </row>
    <row r="47" customFormat="false" ht="15" hidden="false" customHeight="false" outlineLevel="0" collapsed="false">
      <c r="A47" s="112" t="s">
        <v>474</v>
      </c>
      <c r="B47" s="112" t="s">
        <v>396</v>
      </c>
      <c r="C47" s="112" t="s">
        <v>460</v>
      </c>
      <c r="D47" s="112" t="s">
        <v>20</v>
      </c>
      <c r="E47" s="112" t="s">
        <v>475</v>
      </c>
      <c r="F47" s="113" t="s">
        <v>81</v>
      </c>
      <c r="G47" s="112" t="s">
        <v>82</v>
      </c>
      <c r="H47" s="112" t="s">
        <v>398</v>
      </c>
      <c r="I47" s="114" t="n">
        <v>1</v>
      </c>
      <c r="J47" s="114" t="n">
        <v>0</v>
      </c>
      <c r="K47" s="112"/>
      <c r="L47" s="112"/>
    </row>
    <row r="48" customFormat="false" ht="15" hidden="false" customHeight="false" outlineLevel="0" collapsed="false">
      <c r="A48" s="112" t="s">
        <v>476</v>
      </c>
      <c r="B48" s="112" t="s">
        <v>396</v>
      </c>
      <c r="C48" s="112" t="s">
        <v>460</v>
      </c>
      <c r="D48" s="112" t="s">
        <v>20</v>
      </c>
      <c r="E48" s="112" t="s">
        <v>258</v>
      </c>
      <c r="F48" s="113" t="s">
        <v>67</v>
      </c>
      <c r="G48" s="112" t="s">
        <v>68</v>
      </c>
      <c r="H48" s="112" t="s">
        <v>398</v>
      </c>
      <c r="I48" s="114" t="n">
        <v>1</v>
      </c>
      <c r="J48" s="114" t="n">
        <v>0</v>
      </c>
      <c r="K48" s="112"/>
      <c r="L48" s="112"/>
    </row>
    <row r="49" customFormat="false" ht="15" hidden="false" customHeight="false" outlineLevel="0" collapsed="false">
      <c r="A49" s="112" t="s">
        <v>477</v>
      </c>
      <c r="B49" s="112" t="s">
        <v>396</v>
      </c>
      <c r="C49" s="112" t="s">
        <v>460</v>
      </c>
      <c r="D49" s="112" t="s">
        <v>20</v>
      </c>
      <c r="E49" s="112" t="s">
        <v>478</v>
      </c>
      <c r="F49" s="113" t="s">
        <v>81</v>
      </c>
      <c r="G49" s="112" t="s">
        <v>82</v>
      </c>
      <c r="H49" s="112" t="s">
        <v>398</v>
      </c>
      <c r="I49" s="114" t="n">
        <v>1</v>
      </c>
      <c r="J49" s="114" t="n">
        <v>0</v>
      </c>
      <c r="K49" s="112"/>
      <c r="L49" s="112"/>
    </row>
    <row r="50" customFormat="false" ht="15" hidden="false" customHeight="false" outlineLevel="0" collapsed="false">
      <c r="A50" s="112" t="s">
        <v>479</v>
      </c>
      <c r="B50" s="112" t="s">
        <v>396</v>
      </c>
      <c r="C50" s="112" t="s">
        <v>460</v>
      </c>
      <c r="D50" s="112" t="s">
        <v>20</v>
      </c>
      <c r="E50" s="112" t="s">
        <v>379</v>
      </c>
      <c r="F50" s="113" t="s">
        <v>67</v>
      </c>
      <c r="G50" s="112" t="s">
        <v>68</v>
      </c>
      <c r="H50" s="112" t="s">
        <v>398</v>
      </c>
      <c r="I50" s="114" t="n">
        <v>1</v>
      </c>
      <c r="J50" s="114" t="n">
        <v>0</v>
      </c>
      <c r="K50" s="112"/>
      <c r="L50" s="112"/>
    </row>
    <row r="51" customFormat="false" ht="15" hidden="false" customHeight="false" outlineLevel="0" collapsed="false">
      <c r="A51" s="112" t="s">
        <v>480</v>
      </c>
      <c r="B51" s="112" t="s">
        <v>396</v>
      </c>
      <c r="C51" s="112" t="s">
        <v>460</v>
      </c>
      <c r="D51" s="112" t="s">
        <v>20</v>
      </c>
      <c r="E51" s="112" t="s">
        <v>481</v>
      </c>
      <c r="F51" s="113" t="s">
        <v>81</v>
      </c>
      <c r="G51" s="112" t="s">
        <v>82</v>
      </c>
      <c r="H51" s="112" t="s">
        <v>398</v>
      </c>
      <c r="I51" s="114" t="n">
        <v>1</v>
      </c>
      <c r="J51" s="114" t="n">
        <v>0</v>
      </c>
      <c r="K51" s="112"/>
      <c r="L51" s="112"/>
    </row>
    <row r="52" customFormat="false" ht="15" hidden="false" customHeight="false" outlineLevel="0" collapsed="false">
      <c r="A52" s="112" t="s">
        <v>482</v>
      </c>
      <c r="B52" s="112" t="s">
        <v>396</v>
      </c>
      <c r="C52" s="112" t="s">
        <v>460</v>
      </c>
      <c r="D52" s="112" t="s">
        <v>20</v>
      </c>
      <c r="E52" s="112" t="s">
        <v>303</v>
      </c>
      <c r="F52" s="113" t="s">
        <v>67</v>
      </c>
      <c r="G52" s="112" t="s">
        <v>68</v>
      </c>
      <c r="H52" s="112" t="s">
        <v>398</v>
      </c>
      <c r="I52" s="114" t="n">
        <v>1</v>
      </c>
      <c r="J52" s="114" t="n">
        <v>0</v>
      </c>
      <c r="K52" s="112"/>
      <c r="L52" s="112"/>
    </row>
    <row r="53" customFormat="false" ht="15" hidden="false" customHeight="false" outlineLevel="0" collapsed="false">
      <c r="A53" s="112" t="s">
        <v>483</v>
      </c>
      <c r="B53" s="112" t="s">
        <v>396</v>
      </c>
      <c r="C53" s="112" t="s">
        <v>460</v>
      </c>
      <c r="D53" s="112" t="s">
        <v>20</v>
      </c>
      <c r="E53" s="112" t="s">
        <v>385</v>
      </c>
      <c r="F53" s="113" t="s">
        <v>67</v>
      </c>
      <c r="G53" s="112" t="s">
        <v>68</v>
      </c>
      <c r="H53" s="112" t="s">
        <v>398</v>
      </c>
      <c r="I53" s="114" t="n">
        <v>1</v>
      </c>
      <c r="J53" s="114" t="n">
        <v>0</v>
      </c>
      <c r="K53" s="112"/>
      <c r="L53" s="112"/>
    </row>
    <row r="54" customFormat="false" ht="15" hidden="false" customHeight="false" outlineLevel="0" collapsed="false">
      <c r="A54" s="112" t="s">
        <v>484</v>
      </c>
      <c r="B54" s="112" t="s">
        <v>396</v>
      </c>
      <c r="C54" s="112" t="s">
        <v>460</v>
      </c>
      <c r="D54" s="112" t="s">
        <v>20</v>
      </c>
      <c r="E54" s="112" t="s">
        <v>284</v>
      </c>
      <c r="F54" s="113" t="s">
        <v>67</v>
      </c>
      <c r="G54" s="112" t="s">
        <v>68</v>
      </c>
      <c r="H54" s="112" t="s">
        <v>398</v>
      </c>
      <c r="I54" s="114" t="n">
        <v>1</v>
      </c>
      <c r="J54" s="114" t="n">
        <v>0</v>
      </c>
      <c r="K54" s="112"/>
      <c r="L54" s="112"/>
    </row>
    <row r="55" customFormat="false" ht="15" hidden="false" customHeight="false" outlineLevel="0" collapsed="false">
      <c r="A55" s="112" t="s">
        <v>485</v>
      </c>
      <c r="B55" s="112" t="s">
        <v>396</v>
      </c>
      <c r="C55" s="112" t="s">
        <v>460</v>
      </c>
      <c r="D55" s="112" t="s">
        <v>20</v>
      </c>
      <c r="E55" s="112" t="s">
        <v>265</v>
      </c>
      <c r="F55" s="113" t="s">
        <v>67</v>
      </c>
      <c r="G55" s="112" t="s">
        <v>68</v>
      </c>
      <c r="H55" s="112" t="s">
        <v>398</v>
      </c>
      <c r="I55" s="114" t="n">
        <v>1</v>
      </c>
      <c r="J55" s="114" t="n">
        <v>0</v>
      </c>
      <c r="K55" s="112"/>
      <c r="L55" s="112"/>
    </row>
    <row r="56" customFormat="false" ht="15" hidden="false" customHeight="false" outlineLevel="0" collapsed="false">
      <c r="A56" s="112" t="s">
        <v>486</v>
      </c>
      <c r="B56" s="112" t="s">
        <v>396</v>
      </c>
      <c r="C56" s="112" t="s">
        <v>460</v>
      </c>
      <c r="D56" s="112" t="s">
        <v>20</v>
      </c>
      <c r="E56" s="112" t="s">
        <v>372</v>
      </c>
      <c r="F56" s="113" t="s">
        <v>67</v>
      </c>
      <c r="G56" s="112" t="s">
        <v>68</v>
      </c>
      <c r="H56" s="112" t="s">
        <v>398</v>
      </c>
      <c r="I56" s="114" t="n">
        <v>0</v>
      </c>
      <c r="J56" s="114" t="n">
        <v>1</v>
      </c>
      <c r="K56" s="112" t="s">
        <v>401</v>
      </c>
      <c r="L56" s="112"/>
    </row>
    <row r="57" customFormat="false" ht="15" hidden="false" customHeight="false" outlineLevel="0" collapsed="false">
      <c r="A57" s="112" t="s">
        <v>487</v>
      </c>
      <c r="B57" s="112" t="s">
        <v>396</v>
      </c>
      <c r="C57" s="112" t="s">
        <v>460</v>
      </c>
      <c r="D57" s="112" t="s">
        <v>20</v>
      </c>
      <c r="E57" s="112" t="s">
        <v>271</v>
      </c>
      <c r="F57" s="113" t="s">
        <v>67</v>
      </c>
      <c r="G57" s="112" t="s">
        <v>68</v>
      </c>
      <c r="H57" s="112" t="s">
        <v>398</v>
      </c>
      <c r="I57" s="114" t="n">
        <v>0</v>
      </c>
      <c r="J57" s="114" t="n">
        <v>1</v>
      </c>
      <c r="K57" s="112" t="s">
        <v>401</v>
      </c>
      <c r="L57" s="112"/>
    </row>
    <row r="58" customFormat="false" ht="15" hidden="false" customHeight="false" outlineLevel="0" collapsed="false">
      <c r="A58" s="112" t="s">
        <v>488</v>
      </c>
      <c r="B58" s="112" t="s">
        <v>396</v>
      </c>
      <c r="C58" s="112" t="s">
        <v>460</v>
      </c>
      <c r="D58" s="112" t="s">
        <v>20</v>
      </c>
      <c r="E58" s="112" t="s">
        <v>277</v>
      </c>
      <c r="F58" s="113" t="s">
        <v>67</v>
      </c>
      <c r="G58" s="112" t="s">
        <v>68</v>
      </c>
      <c r="H58" s="112" t="s">
        <v>398</v>
      </c>
      <c r="I58" s="114" t="n">
        <v>0</v>
      </c>
      <c r="J58" s="114" t="n">
        <v>1</v>
      </c>
      <c r="K58" s="112" t="s">
        <v>401</v>
      </c>
      <c r="L58" s="112"/>
    </row>
    <row r="59" customFormat="false" ht="15" hidden="false" customHeight="false" outlineLevel="0" collapsed="false">
      <c r="A59" s="112" t="s">
        <v>489</v>
      </c>
      <c r="B59" s="112" t="s">
        <v>396</v>
      </c>
      <c r="C59" s="112" t="s">
        <v>460</v>
      </c>
      <c r="D59" s="112" t="s">
        <v>20</v>
      </c>
      <c r="E59" s="112" t="s">
        <v>291</v>
      </c>
      <c r="F59" s="113" t="s">
        <v>67</v>
      </c>
      <c r="G59" s="112" t="s">
        <v>68</v>
      </c>
      <c r="H59" s="112" t="s">
        <v>398</v>
      </c>
      <c r="I59" s="114" t="n">
        <v>0</v>
      </c>
      <c r="J59" s="114" t="n">
        <v>1</v>
      </c>
      <c r="K59" s="112" t="s">
        <v>401</v>
      </c>
      <c r="L59" s="112"/>
    </row>
    <row r="60" customFormat="false" ht="15" hidden="false" customHeight="false" outlineLevel="0" collapsed="false">
      <c r="A60" s="112" t="s">
        <v>490</v>
      </c>
      <c r="B60" s="112" t="s">
        <v>396</v>
      </c>
      <c r="C60" s="112" t="s">
        <v>460</v>
      </c>
      <c r="D60" s="112" t="s">
        <v>20</v>
      </c>
      <c r="E60" s="112" t="s">
        <v>297</v>
      </c>
      <c r="F60" s="113" t="s">
        <v>67</v>
      </c>
      <c r="G60" s="112" t="s">
        <v>68</v>
      </c>
      <c r="H60" s="112" t="s">
        <v>398</v>
      </c>
      <c r="I60" s="114" t="n">
        <v>0</v>
      </c>
      <c r="J60" s="114" t="n">
        <v>1</v>
      </c>
      <c r="K60" s="112" t="s">
        <v>401</v>
      </c>
      <c r="L60" s="112"/>
    </row>
    <row r="61" customFormat="false" ht="15" hidden="false" customHeight="false" outlineLevel="0" collapsed="false">
      <c r="A61" s="112" t="s">
        <v>491</v>
      </c>
      <c r="B61" s="112" t="s">
        <v>396</v>
      </c>
      <c r="C61" s="112" t="s">
        <v>460</v>
      </c>
      <c r="D61" s="112" t="s">
        <v>20</v>
      </c>
      <c r="E61" s="112" t="s">
        <v>309</v>
      </c>
      <c r="F61" s="113" t="s">
        <v>67</v>
      </c>
      <c r="G61" s="112" t="s">
        <v>68</v>
      </c>
      <c r="H61" s="112" t="s">
        <v>398</v>
      </c>
      <c r="I61" s="114" t="n">
        <v>0</v>
      </c>
      <c r="J61" s="114" t="n">
        <v>1</v>
      </c>
      <c r="K61" s="112" t="s">
        <v>401</v>
      </c>
      <c r="L61" s="112"/>
    </row>
    <row r="62" customFormat="false" ht="15" hidden="false" customHeight="false" outlineLevel="0" collapsed="false">
      <c r="A62" s="112" t="s">
        <v>492</v>
      </c>
      <c r="B62" s="112" t="s">
        <v>396</v>
      </c>
      <c r="C62" s="112" t="s">
        <v>460</v>
      </c>
      <c r="D62" s="112" t="s">
        <v>20</v>
      </c>
      <c r="E62" s="112" t="s">
        <v>315</v>
      </c>
      <c r="F62" s="113" t="s">
        <v>67</v>
      </c>
      <c r="G62" s="112" t="s">
        <v>68</v>
      </c>
      <c r="H62" s="112" t="s">
        <v>398</v>
      </c>
      <c r="I62" s="114" t="n">
        <v>0</v>
      </c>
      <c r="J62" s="114" t="n">
        <v>1</v>
      </c>
      <c r="K62" s="112" t="s">
        <v>401</v>
      </c>
      <c r="L62" s="112"/>
    </row>
    <row r="63" customFormat="false" ht="15" hidden="false" customHeight="false" outlineLevel="0" collapsed="false">
      <c r="A63" s="112" t="s">
        <v>493</v>
      </c>
      <c r="B63" s="112" t="s">
        <v>396</v>
      </c>
      <c r="C63" s="112" t="s">
        <v>494</v>
      </c>
      <c r="D63" s="112" t="s">
        <v>21</v>
      </c>
      <c r="E63" s="112" t="s">
        <v>495</v>
      </c>
      <c r="F63" s="113" t="s">
        <v>81</v>
      </c>
      <c r="G63" s="112" t="s">
        <v>82</v>
      </c>
      <c r="H63" s="112" t="s">
        <v>398</v>
      </c>
      <c r="I63" s="114" t="n">
        <v>1</v>
      </c>
      <c r="J63" s="114" t="n">
        <v>0</v>
      </c>
      <c r="K63" s="112"/>
      <c r="L63" s="112"/>
    </row>
    <row r="64" customFormat="false" ht="15" hidden="false" customHeight="false" outlineLevel="0" collapsed="false">
      <c r="A64" s="112" t="s">
        <v>496</v>
      </c>
      <c r="B64" s="112" t="s">
        <v>396</v>
      </c>
      <c r="C64" s="112" t="s">
        <v>18</v>
      </c>
      <c r="D64" s="112" t="s">
        <v>18</v>
      </c>
      <c r="E64" s="112" t="s">
        <v>497</v>
      </c>
      <c r="F64" s="113" t="s">
        <v>81</v>
      </c>
      <c r="G64" s="112" t="s">
        <v>82</v>
      </c>
      <c r="H64" s="112" t="s">
        <v>398</v>
      </c>
      <c r="I64" s="114" t="n">
        <v>1</v>
      </c>
      <c r="J64" s="114" t="n">
        <v>0</v>
      </c>
      <c r="K64" s="112"/>
      <c r="L64" s="112"/>
    </row>
    <row r="65" customFormat="false" ht="15" hidden="false" customHeight="false" outlineLevel="0" collapsed="false">
      <c r="A65" s="112" t="s">
        <v>498</v>
      </c>
      <c r="B65" s="112" t="s">
        <v>396</v>
      </c>
      <c r="C65" s="112" t="s">
        <v>499</v>
      </c>
      <c r="D65" s="112" t="s">
        <v>11</v>
      </c>
      <c r="E65" s="112" t="s">
        <v>500</v>
      </c>
      <c r="F65" s="113" t="s">
        <v>81</v>
      </c>
      <c r="G65" s="112" t="s">
        <v>82</v>
      </c>
      <c r="H65" s="112" t="s">
        <v>398</v>
      </c>
      <c r="I65" s="114" t="n">
        <v>1</v>
      </c>
      <c r="J65" s="114" t="n">
        <v>0</v>
      </c>
      <c r="K65" s="112"/>
      <c r="L65" s="112"/>
    </row>
    <row r="66" customFormat="false" ht="15" hidden="false" customHeight="false" outlineLevel="0" collapsed="false">
      <c r="A66" s="112" t="s">
        <v>501</v>
      </c>
      <c r="B66" s="112" t="s">
        <v>396</v>
      </c>
      <c r="C66" s="112" t="s">
        <v>499</v>
      </c>
      <c r="D66" s="112" t="s">
        <v>11</v>
      </c>
      <c r="E66" s="112" t="s">
        <v>502</v>
      </c>
      <c r="F66" s="113" t="s">
        <v>81</v>
      </c>
      <c r="G66" s="112" t="s">
        <v>82</v>
      </c>
      <c r="H66" s="112" t="s">
        <v>398</v>
      </c>
      <c r="I66" s="114" t="n">
        <v>1</v>
      </c>
      <c r="J66" s="114" t="n">
        <v>0</v>
      </c>
      <c r="K66" s="112"/>
      <c r="L66" s="112"/>
    </row>
    <row r="67" customFormat="false" ht="15" hidden="false" customHeight="false" outlineLevel="0" collapsed="false">
      <c r="A67" s="112" t="s">
        <v>503</v>
      </c>
      <c r="B67" s="112" t="s">
        <v>396</v>
      </c>
      <c r="C67" s="112" t="s">
        <v>499</v>
      </c>
      <c r="D67" s="112" t="s">
        <v>11</v>
      </c>
      <c r="E67" s="112" t="s">
        <v>504</v>
      </c>
      <c r="F67" s="113" t="s">
        <v>81</v>
      </c>
      <c r="G67" s="112" t="s">
        <v>82</v>
      </c>
      <c r="H67" s="112" t="s">
        <v>398</v>
      </c>
      <c r="I67" s="114" t="n">
        <v>1</v>
      </c>
      <c r="J67" s="114" t="n">
        <v>0</v>
      </c>
      <c r="K67" s="112"/>
      <c r="L67" s="112"/>
    </row>
    <row r="68" customFormat="false" ht="15" hidden="false" customHeight="false" outlineLevel="0" collapsed="false">
      <c r="A68" s="112" t="s">
        <v>505</v>
      </c>
      <c r="B68" s="112" t="s">
        <v>396</v>
      </c>
      <c r="C68" s="112" t="s">
        <v>506</v>
      </c>
      <c r="D68" s="112" t="s">
        <v>12</v>
      </c>
      <c r="E68" s="112" t="s">
        <v>507</v>
      </c>
      <c r="F68" s="113" t="s">
        <v>81</v>
      </c>
      <c r="G68" s="112" t="s">
        <v>82</v>
      </c>
      <c r="H68" s="112" t="s">
        <v>398</v>
      </c>
      <c r="I68" s="114" t="n">
        <v>1</v>
      </c>
      <c r="J68" s="114" t="n">
        <v>0</v>
      </c>
      <c r="K68" s="112"/>
      <c r="L68" s="112"/>
    </row>
    <row r="69" customFormat="false" ht="15" hidden="false" customHeight="false" outlineLevel="0" collapsed="false">
      <c r="A69" s="112" t="s">
        <v>508</v>
      </c>
      <c r="B69" s="112" t="s">
        <v>396</v>
      </c>
      <c r="C69" s="112" t="s">
        <v>506</v>
      </c>
      <c r="D69" s="112" t="s">
        <v>12</v>
      </c>
      <c r="E69" s="112" t="s">
        <v>509</v>
      </c>
      <c r="F69" s="113" t="s">
        <v>81</v>
      </c>
      <c r="G69" s="112" t="s">
        <v>82</v>
      </c>
      <c r="H69" s="112" t="s">
        <v>398</v>
      </c>
      <c r="I69" s="114" t="n">
        <v>1</v>
      </c>
      <c r="J69" s="114" t="n">
        <v>0</v>
      </c>
      <c r="K69" s="112"/>
      <c r="L69" s="112"/>
    </row>
    <row r="70" customFormat="false" ht="15" hidden="false" customHeight="false" outlineLevel="0" collapsed="false">
      <c r="A70" s="112" t="s">
        <v>510</v>
      </c>
      <c r="B70" s="112" t="s">
        <v>396</v>
      </c>
      <c r="C70" s="112" t="s">
        <v>506</v>
      </c>
      <c r="D70" s="112" t="s">
        <v>12</v>
      </c>
      <c r="E70" s="112" t="s">
        <v>511</v>
      </c>
      <c r="F70" s="113" t="s">
        <v>81</v>
      </c>
      <c r="G70" s="112" t="s">
        <v>82</v>
      </c>
      <c r="H70" s="112" t="s">
        <v>398</v>
      </c>
      <c r="I70" s="114" t="n">
        <v>1</v>
      </c>
      <c r="J70" s="114" t="n">
        <v>0</v>
      </c>
      <c r="K70" s="112"/>
      <c r="L70" s="112"/>
    </row>
    <row r="71" customFormat="false" ht="15" hidden="false" customHeight="false" outlineLevel="0" collapsed="false">
      <c r="A71" s="112" t="s">
        <v>512</v>
      </c>
      <c r="B71" s="112" t="s">
        <v>513</v>
      </c>
      <c r="C71" s="112" t="s">
        <v>19</v>
      </c>
      <c r="D71" s="112" t="s">
        <v>19</v>
      </c>
      <c r="E71" s="112" t="s">
        <v>210</v>
      </c>
      <c r="F71" s="113" t="s">
        <v>61</v>
      </c>
      <c r="G71" s="112" t="s">
        <v>62</v>
      </c>
      <c r="H71" s="112" t="s">
        <v>398</v>
      </c>
      <c r="I71" s="114" t="n">
        <v>1</v>
      </c>
      <c r="J71" s="114" t="n">
        <v>0</v>
      </c>
      <c r="K71" s="112"/>
      <c r="L71" s="112"/>
    </row>
    <row r="72" customFormat="false" ht="15" hidden="false" customHeight="false" outlineLevel="0" collapsed="false">
      <c r="A72" s="112" t="s">
        <v>514</v>
      </c>
      <c r="B72" s="112" t="s">
        <v>513</v>
      </c>
      <c r="C72" s="112" t="s">
        <v>19</v>
      </c>
      <c r="D72" s="112" t="s">
        <v>19</v>
      </c>
      <c r="E72" s="112" t="s">
        <v>207</v>
      </c>
      <c r="F72" s="113" t="s">
        <v>61</v>
      </c>
      <c r="G72" s="112" t="s">
        <v>62</v>
      </c>
      <c r="H72" s="112" t="s">
        <v>398</v>
      </c>
      <c r="I72" s="114" t="n">
        <v>1</v>
      </c>
      <c r="J72" s="114" t="n">
        <v>0</v>
      </c>
      <c r="K72" s="112"/>
      <c r="L72" s="112"/>
    </row>
    <row r="73" customFormat="false" ht="15" hidden="false" customHeight="false" outlineLevel="0" collapsed="false">
      <c r="A73" s="112" t="s">
        <v>515</v>
      </c>
      <c r="B73" s="112" t="s">
        <v>513</v>
      </c>
      <c r="C73" s="112" t="s">
        <v>19</v>
      </c>
      <c r="D73" s="112" t="s">
        <v>19</v>
      </c>
      <c r="E73" s="112" t="s">
        <v>212</v>
      </c>
      <c r="F73" s="113" t="s">
        <v>61</v>
      </c>
      <c r="G73" s="112" t="s">
        <v>62</v>
      </c>
      <c r="H73" s="112" t="s">
        <v>398</v>
      </c>
      <c r="I73" s="114" t="n">
        <v>1</v>
      </c>
      <c r="J73" s="114" t="n">
        <v>0</v>
      </c>
      <c r="K73" s="112"/>
      <c r="L73" s="112"/>
    </row>
    <row r="74" customFormat="false" ht="15" hidden="false" customHeight="false" outlineLevel="0" collapsed="false">
      <c r="A74" s="112" t="s">
        <v>516</v>
      </c>
      <c r="B74" s="112" t="s">
        <v>513</v>
      </c>
      <c r="C74" s="112" t="s">
        <v>517</v>
      </c>
      <c r="D74" s="112" t="s">
        <v>22</v>
      </c>
      <c r="E74" s="112" t="s">
        <v>518</v>
      </c>
      <c r="F74" s="113" t="s">
        <v>71</v>
      </c>
      <c r="G74" s="112" t="s">
        <v>72</v>
      </c>
      <c r="H74" s="112" t="s">
        <v>398</v>
      </c>
      <c r="I74" s="114" t="n">
        <v>1</v>
      </c>
      <c r="J74" s="114" t="n">
        <v>0</v>
      </c>
      <c r="K74" s="112"/>
      <c r="L74" s="112"/>
    </row>
    <row r="75" customFormat="false" ht="15" hidden="false" customHeight="false" outlineLevel="0" collapsed="false">
      <c r="A75" s="112" t="s">
        <v>402</v>
      </c>
      <c r="B75" s="112" t="s">
        <v>513</v>
      </c>
      <c r="C75" s="112" t="s">
        <v>13</v>
      </c>
      <c r="D75" s="112" t="s">
        <v>13</v>
      </c>
      <c r="E75" s="112" t="s">
        <v>278</v>
      </c>
      <c r="F75" s="113" t="s">
        <v>69</v>
      </c>
      <c r="G75" s="112" t="s">
        <v>70</v>
      </c>
      <c r="H75" s="112" t="s">
        <v>398</v>
      </c>
      <c r="I75" s="114" t="n">
        <v>1</v>
      </c>
      <c r="J75" s="114" t="n">
        <v>0</v>
      </c>
      <c r="K75" s="112"/>
      <c r="L75" s="112"/>
    </row>
    <row r="76" customFormat="false" ht="15" hidden="false" customHeight="false" outlineLevel="0" collapsed="false">
      <c r="A76" s="112" t="s">
        <v>405</v>
      </c>
      <c r="B76" s="112" t="s">
        <v>513</v>
      </c>
      <c r="C76" s="112" t="s">
        <v>13</v>
      </c>
      <c r="D76" s="112" t="s">
        <v>13</v>
      </c>
      <c r="E76" s="112" t="s">
        <v>285</v>
      </c>
      <c r="F76" s="113" t="s">
        <v>69</v>
      </c>
      <c r="G76" s="112" t="s">
        <v>70</v>
      </c>
      <c r="H76" s="112" t="s">
        <v>398</v>
      </c>
      <c r="I76" s="114" t="n">
        <v>1</v>
      </c>
      <c r="J76" s="114" t="n">
        <v>0</v>
      </c>
      <c r="K76" s="112"/>
      <c r="L76" s="112"/>
    </row>
    <row r="77" customFormat="false" ht="15" hidden="false" customHeight="false" outlineLevel="0" collapsed="false">
      <c r="A77" s="112" t="s">
        <v>407</v>
      </c>
      <c r="B77" s="112" t="s">
        <v>513</v>
      </c>
      <c r="C77" s="112" t="s">
        <v>13</v>
      </c>
      <c r="D77" s="112" t="s">
        <v>13</v>
      </c>
      <c r="E77" s="112" t="s">
        <v>519</v>
      </c>
      <c r="F77" s="113" t="s">
        <v>117</v>
      </c>
      <c r="G77" s="112" t="s">
        <v>118</v>
      </c>
      <c r="H77" s="112" t="s">
        <v>398</v>
      </c>
      <c r="I77" s="114" t="n">
        <v>1</v>
      </c>
      <c r="J77" s="114" t="n">
        <v>0</v>
      </c>
      <c r="K77" s="112"/>
      <c r="L77" s="112"/>
    </row>
    <row r="78" customFormat="false" ht="15" hidden="false" customHeight="false" outlineLevel="0" collapsed="false">
      <c r="A78" s="112" t="s">
        <v>409</v>
      </c>
      <c r="B78" s="112" t="s">
        <v>513</v>
      </c>
      <c r="C78" s="112" t="s">
        <v>13</v>
      </c>
      <c r="D78" s="112" t="s">
        <v>13</v>
      </c>
      <c r="E78" s="112" t="s">
        <v>520</v>
      </c>
      <c r="F78" s="113" t="s">
        <v>117</v>
      </c>
      <c r="G78" s="112" t="s">
        <v>118</v>
      </c>
      <c r="H78" s="112" t="s">
        <v>398</v>
      </c>
      <c r="I78" s="114" t="n">
        <v>1</v>
      </c>
      <c r="J78" s="114" t="n">
        <v>0</v>
      </c>
      <c r="K78" s="112"/>
      <c r="L78" s="112"/>
    </row>
    <row r="79" customFormat="false" ht="15" hidden="false" customHeight="false" outlineLevel="0" collapsed="false">
      <c r="A79" s="112" t="s">
        <v>521</v>
      </c>
      <c r="B79" s="112" t="s">
        <v>513</v>
      </c>
      <c r="C79" s="112" t="s">
        <v>428</v>
      </c>
      <c r="D79" s="112" t="s">
        <v>14</v>
      </c>
      <c r="E79" s="112" t="s">
        <v>522</v>
      </c>
      <c r="F79" s="113" t="s">
        <v>135</v>
      </c>
      <c r="G79" s="112" t="s">
        <v>136</v>
      </c>
      <c r="H79" s="112" t="s">
        <v>398</v>
      </c>
      <c r="I79" s="114" t="n">
        <v>1</v>
      </c>
      <c r="J79" s="114" t="n">
        <v>0</v>
      </c>
      <c r="K79" s="112"/>
      <c r="L79" s="112"/>
    </row>
    <row r="80" customFormat="false" ht="15" hidden="false" customHeight="false" outlineLevel="0" collapsed="false">
      <c r="A80" s="112" t="s">
        <v>523</v>
      </c>
      <c r="B80" s="112" t="s">
        <v>513</v>
      </c>
      <c r="C80" s="112" t="s">
        <v>428</v>
      </c>
      <c r="D80" s="112" t="s">
        <v>14</v>
      </c>
      <c r="E80" s="112" t="s">
        <v>524</v>
      </c>
      <c r="F80" s="113" t="s">
        <v>71</v>
      </c>
      <c r="G80" s="112" t="s">
        <v>72</v>
      </c>
      <c r="H80" s="112" t="s">
        <v>398</v>
      </c>
      <c r="I80" s="114" t="n">
        <v>1</v>
      </c>
      <c r="J80" s="114" t="n">
        <v>0</v>
      </c>
      <c r="K80" s="112"/>
      <c r="L80" s="112"/>
    </row>
    <row r="81" customFormat="false" ht="15" hidden="false" customHeight="false" outlineLevel="0" collapsed="false">
      <c r="A81" s="112" t="s">
        <v>432</v>
      </c>
      <c r="B81" s="112" t="s">
        <v>513</v>
      </c>
      <c r="C81" s="112" t="s">
        <v>7</v>
      </c>
      <c r="D81" s="112" t="s">
        <v>7</v>
      </c>
      <c r="E81" s="112" t="s">
        <v>349</v>
      </c>
      <c r="F81" s="113" t="s">
        <v>65</v>
      </c>
      <c r="G81" s="112" t="s">
        <v>66</v>
      </c>
      <c r="H81" s="112" t="s">
        <v>398</v>
      </c>
      <c r="I81" s="114" t="n">
        <v>1</v>
      </c>
      <c r="J81" s="114" t="n">
        <v>0</v>
      </c>
      <c r="K81" s="112"/>
      <c r="L81" s="112"/>
    </row>
    <row r="82" customFormat="false" ht="15" hidden="false" customHeight="false" outlineLevel="0" collapsed="false">
      <c r="A82" s="112" t="s">
        <v>435</v>
      </c>
      <c r="B82" s="112" t="s">
        <v>513</v>
      </c>
      <c r="C82" s="112" t="s">
        <v>7</v>
      </c>
      <c r="D82" s="112" t="s">
        <v>7</v>
      </c>
      <c r="E82" s="112" t="s">
        <v>343</v>
      </c>
      <c r="F82" s="113" t="s">
        <v>65</v>
      </c>
      <c r="G82" s="112" t="s">
        <v>66</v>
      </c>
      <c r="H82" s="112" t="s">
        <v>398</v>
      </c>
      <c r="I82" s="114" t="n">
        <v>0</v>
      </c>
      <c r="J82" s="114" t="n">
        <v>1</v>
      </c>
      <c r="K82" s="112"/>
      <c r="L82" s="112"/>
    </row>
    <row r="83" customFormat="false" ht="15" hidden="false" customHeight="false" outlineLevel="0" collapsed="false">
      <c r="A83" s="112" t="s">
        <v>525</v>
      </c>
      <c r="B83" s="112" t="s">
        <v>513</v>
      </c>
      <c r="C83" s="112" t="s">
        <v>7</v>
      </c>
      <c r="D83" s="112" t="s">
        <v>7</v>
      </c>
      <c r="E83" s="112" t="s">
        <v>197</v>
      </c>
      <c r="F83" s="113" t="s">
        <v>61</v>
      </c>
      <c r="G83" s="112" t="s">
        <v>62</v>
      </c>
      <c r="H83" s="112" t="s">
        <v>398</v>
      </c>
      <c r="I83" s="114" t="n">
        <v>1</v>
      </c>
      <c r="J83" s="114" t="n">
        <v>0</v>
      </c>
      <c r="K83" s="112"/>
      <c r="L83" s="112"/>
    </row>
    <row r="84" customFormat="false" ht="15" hidden="false" customHeight="false" outlineLevel="0" collapsed="false">
      <c r="A84" s="112" t="s">
        <v>526</v>
      </c>
      <c r="B84" s="112" t="s">
        <v>513</v>
      </c>
      <c r="C84" s="112" t="s">
        <v>7</v>
      </c>
      <c r="D84" s="112" t="s">
        <v>7</v>
      </c>
      <c r="E84" s="112" t="s">
        <v>243</v>
      </c>
      <c r="F84" s="113" t="s">
        <v>57</v>
      </c>
      <c r="G84" s="112" t="s">
        <v>58</v>
      </c>
      <c r="H84" s="112" t="s">
        <v>398</v>
      </c>
      <c r="I84" s="114" t="n">
        <v>1</v>
      </c>
      <c r="J84" s="114" t="n">
        <v>0</v>
      </c>
      <c r="K84" s="112"/>
      <c r="L84" s="112"/>
    </row>
    <row r="85" customFormat="false" ht="15" hidden="false" customHeight="false" outlineLevel="0" collapsed="false">
      <c r="A85" s="112" t="s">
        <v>527</v>
      </c>
      <c r="B85" s="112" t="s">
        <v>513</v>
      </c>
      <c r="C85" s="112" t="s">
        <v>7</v>
      </c>
      <c r="D85" s="112" t="s">
        <v>7</v>
      </c>
      <c r="E85" s="112" t="s">
        <v>241</v>
      </c>
      <c r="F85" s="113" t="s">
        <v>57</v>
      </c>
      <c r="G85" s="112" t="s">
        <v>58</v>
      </c>
      <c r="H85" s="112" t="s">
        <v>398</v>
      </c>
      <c r="I85" s="114" t="n">
        <v>1</v>
      </c>
      <c r="J85" s="114" t="n">
        <v>0</v>
      </c>
      <c r="K85" s="112"/>
      <c r="L85" s="112"/>
    </row>
    <row r="86" customFormat="false" ht="15" hidden="false" customHeight="false" outlineLevel="0" collapsed="false">
      <c r="A86" s="112" t="s">
        <v>528</v>
      </c>
      <c r="B86" s="112" t="s">
        <v>513</v>
      </c>
      <c r="C86" s="112" t="s">
        <v>7</v>
      </c>
      <c r="D86" s="112" t="s">
        <v>7</v>
      </c>
      <c r="E86" s="112" t="s">
        <v>238</v>
      </c>
      <c r="F86" s="113" t="s">
        <v>57</v>
      </c>
      <c r="G86" s="112" t="s">
        <v>58</v>
      </c>
      <c r="H86" s="112" t="s">
        <v>398</v>
      </c>
      <c r="I86" s="114" t="n">
        <v>0</v>
      </c>
      <c r="J86" s="114" t="n">
        <v>1</v>
      </c>
      <c r="K86" s="112"/>
      <c r="L86" s="112"/>
    </row>
    <row r="87" customFormat="false" ht="15" hidden="false" customHeight="false" outlineLevel="0" collapsed="false">
      <c r="A87" s="112" t="s">
        <v>529</v>
      </c>
      <c r="B87" s="112" t="s">
        <v>513</v>
      </c>
      <c r="C87" s="112" t="s">
        <v>7</v>
      </c>
      <c r="D87" s="112" t="s">
        <v>7</v>
      </c>
      <c r="E87" s="112" t="s">
        <v>239</v>
      </c>
      <c r="F87" s="113" t="s">
        <v>57</v>
      </c>
      <c r="G87" s="112" t="s">
        <v>58</v>
      </c>
      <c r="H87" s="112" t="s">
        <v>398</v>
      </c>
      <c r="I87" s="114" t="n">
        <v>0</v>
      </c>
      <c r="J87" s="114" t="n">
        <v>1</v>
      </c>
      <c r="K87" s="112"/>
      <c r="L87" s="112"/>
    </row>
    <row r="88" customFormat="false" ht="15" hidden="false" customHeight="false" outlineLevel="0" collapsed="false">
      <c r="A88" s="112" t="s">
        <v>442</v>
      </c>
      <c r="B88" s="112" t="s">
        <v>513</v>
      </c>
      <c r="C88" s="112" t="s">
        <v>8</v>
      </c>
      <c r="D88" s="112" t="s">
        <v>8</v>
      </c>
      <c r="E88" s="112" t="s">
        <v>369</v>
      </c>
      <c r="F88" s="113" t="s">
        <v>65</v>
      </c>
      <c r="G88" s="112" t="s">
        <v>66</v>
      </c>
      <c r="H88" s="112" t="s">
        <v>398</v>
      </c>
      <c r="I88" s="114" t="n">
        <v>1</v>
      </c>
      <c r="J88" s="114" t="n">
        <v>0</v>
      </c>
      <c r="K88" s="112"/>
      <c r="L88" s="112"/>
    </row>
    <row r="89" customFormat="false" ht="15" hidden="false" customHeight="false" outlineLevel="0" collapsed="false">
      <c r="A89" s="112" t="s">
        <v>444</v>
      </c>
      <c r="B89" s="112" t="s">
        <v>513</v>
      </c>
      <c r="C89" s="112" t="s">
        <v>8</v>
      </c>
      <c r="D89" s="112" t="s">
        <v>8</v>
      </c>
      <c r="E89" s="112" t="s">
        <v>363</v>
      </c>
      <c r="F89" s="113" t="s">
        <v>65</v>
      </c>
      <c r="G89" s="112" t="s">
        <v>66</v>
      </c>
      <c r="H89" s="112" t="s">
        <v>398</v>
      </c>
      <c r="I89" s="114" t="n">
        <v>1</v>
      </c>
      <c r="J89" s="114" t="n">
        <v>0</v>
      </c>
      <c r="K89" s="112"/>
      <c r="L89" s="112"/>
    </row>
    <row r="90" customFormat="false" ht="15" hidden="false" customHeight="false" outlineLevel="0" collapsed="false">
      <c r="A90" s="112" t="s">
        <v>427</v>
      </c>
      <c r="B90" s="112" t="s">
        <v>513</v>
      </c>
      <c r="C90" s="112" t="s">
        <v>8</v>
      </c>
      <c r="D90" s="112" t="s">
        <v>8</v>
      </c>
      <c r="E90" s="112" t="s">
        <v>199</v>
      </c>
      <c r="F90" s="113" t="s">
        <v>61</v>
      </c>
      <c r="G90" s="112" t="s">
        <v>62</v>
      </c>
      <c r="H90" s="112" t="s">
        <v>398</v>
      </c>
      <c r="I90" s="114" t="n">
        <v>1</v>
      </c>
      <c r="J90" s="114" t="n">
        <v>0</v>
      </c>
      <c r="K90" s="112"/>
      <c r="L90" s="112"/>
    </row>
    <row r="91" customFormat="false" ht="15" hidden="false" customHeight="false" outlineLevel="0" collapsed="false">
      <c r="A91" s="112" t="s">
        <v>530</v>
      </c>
      <c r="B91" s="112" t="s">
        <v>513</v>
      </c>
      <c r="C91" s="112" t="s">
        <v>8</v>
      </c>
      <c r="D91" s="112" t="s">
        <v>8</v>
      </c>
      <c r="E91" s="112" t="s">
        <v>245</v>
      </c>
      <c r="F91" s="113" t="s">
        <v>57</v>
      </c>
      <c r="G91" s="112" t="s">
        <v>58</v>
      </c>
      <c r="H91" s="112" t="s">
        <v>398</v>
      </c>
      <c r="I91" s="114" t="n">
        <v>1</v>
      </c>
      <c r="J91" s="114" t="n">
        <v>0</v>
      </c>
      <c r="K91" s="112"/>
      <c r="L91" s="112"/>
    </row>
    <row r="92" customFormat="false" ht="15" hidden="false" customHeight="false" outlineLevel="0" collapsed="false">
      <c r="A92" s="112" t="s">
        <v>445</v>
      </c>
      <c r="B92" s="112" t="s">
        <v>513</v>
      </c>
      <c r="C92" s="112" t="s">
        <v>9</v>
      </c>
      <c r="D92" s="112" t="s">
        <v>9</v>
      </c>
      <c r="E92" s="112" t="s">
        <v>281</v>
      </c>
      <c r="F92" s="113" t="s">
        <v>65</v>
      </c>
      <c r="G92" s="112" t="s">
        <v>66</v>
      </c>
      <c r="H92" s="112" t="s">
        <v>398</v>
      </c>
      <c r="I92" s="114" t="n">
        <v>1</v>
      </c>
      <c r="J92" s="114" t="n">
        <v>0</v>
      </c>
      <c r="K92" s="112"/>
      <c r="L92" s="112"/>
    </row>
    <row r="93" customFormat="false" ht="15" hidden="false" customHeight="false" outlineLevel="0" collapsed="false">
      <c r="A93" s="112" t="s">
        <v>447</v>
      </c>
      <c r="B93" s="112" t="s">
        <v>513</v>
      </c>
      <c r="C93" s="112" t="s">
        <v>9</v>
      </c>
      <c r="D93" s="112" t="s">
        <v>9</v>
      </c>
      <c r="E93" s="112" t="s">
        <v>255</v>
      </c>
      <c r="F93" s="113" t="s">
        <v>65</v>
      </c>
      <c r="G93" s="112" t="s">
        <v>66</v>
      </c>
      <c r="H93" s="112" t="s">
        <v>398</v>
      </c>
      <c r="I93" s="114" t="n">
        <v>1</v>
      </c>
      <c r="J93" s="114" t="n">
        <v>0</v>
      </c>
      <c r="K93" s="112"/>
      <c r="L93" s="112"/>
    </row>
    <row r="94" customFormat="false" ht="15" hidden="false" customHeight="false" outlineLevel="0" collapsed="false">
      <c r="A94" s="112" t="s">
        <v>449</v>
      </c>
      <c r="B94" s="112" t="s">
        <v>513</v>
      </c>
      <c r="C94" s="112" t="s">
        <v>9</v>
      </c>
      <c r="D94" s="112" t="s">
        <v>9</v>
      </c>
      <c r="E94" s="112" t="s">
        <v>319</v>
      </c>
      <c r="F94" s="113" t="s">
        <v>65</v>
      </c>
      <c r="G94" s="112" t="s">
        <v>66</v>
      </c>
      <c r="H94" s="112" t="s">
        <v>398</v>
      </c>
      <c r="I94" s="114" t="n">
        <v>1</v>
      </c>
      <c r="J94" s="114" t="n">
        <v>0</v>
      </c>
      <c r="K94" s="112"/>
      <c r="L94" s="112"/>
    </row>
    <row r="95" customFormat="false" ht="15" hidden="false" customHeight="false" outlineLevel="0" collapsed="false">
      <c r="A95" s="112" t="s">
        <v>450</v>
      </c>
      <c r="B95" s="112" t="s">
        <v>513</v>
      </c>
      <c r="C95" s="112" t="s">
        <v>9</v>
      </c>
      <c r="D95" s="112" t="s">
        <v>9</v>
      </c>
      <c r="E95" s="112" t="s">
        <v>306</v>
      </c>
      <c r="F95" s="113" t="s">
        <v>65</v>
      </c>
      <c r="G95" s="112" t="s">
        <v>66</v>
      </c>
      <c r="H95" s="112" t="s">
        <v>398</v>
      </c>
      <c r="I95" s="114" t="n">
        <v>1</v>
      </c>
      <c r="J95" s="114" t="n">
        <v>0</v>
      </c>
      <c r="K95" s="112"/>
      <c r="L95" s="112"/>
    </row>
    <row r="96" customFormat="false" ht="15" hidden="false" customHeight="false" outlineLevel="0" collapsed="false">
      <c r="A96" s="112" t="s">
        <v>451</v>
      </c>
      <c r="B96" s="112" t="s">
        <v>513</v>
      </c>
      <c r="C96" s="112" t="s">
        <v>9</v>
      </c>
      <c r="D96" s="112" t="s">
        <v>9</v>
      </c>
      <c r="E96" s="112" t="s">
        <v>376</v>
      </c>
      <c r="F96" s="113" t="s">
        <v>65</v>
      </c>
      <c r="G96" s="112" t="s">
        <v>66</v>
      </c>
      <c r="H96" s="112" t="s">
        <v>398</v>
      </c>
      <c r="I96" s="114" t="n">
        <v>1</v>
      </c>
      <c r="J96" s="114" t="n">
        <v>0</v>
      </c>
      <c r="K96" s="112"/>
      <c r="L96" s="112"/>
    </row>
    <row r="97" customFormat="false" ht="15" hidden="false" customHeight="false" outlineLevel="0" collapsed="false">
      <c r="A97" s="112" t="s">
        <v>452</v>
      </c>
      <c r="B97" s="112" t="s">
        <v>513</v>
      </c>
      <c r="C97" s="112" t="s">
        <v>9</v>
      </c>
      <c r="D97" s="112" t="s">
        <v>9</v>
      </c>
      <c r="E97" s="112" t="s">
        <v>288</v>
      </c>
      <c r="F97" s="113" t="s">
        <v>65</v>
      </c>
      <c r="G97" s="112" t="s">
        <v>66</v>
      </c>
      <c r="H97" s="112" t="s">
        <v>398</v>
      </c>
      <c r="I97" s="114" t="n">
        <v>1</v>
      </c>
      <c r="J97" s="114" t="n">
        <v>0</v>
      </c>
      <c r="K97" s="112"/>
      <c r="L97" s="112"/>
    </row>
    <row r="98" customFormat="false" ht="15" hidden="false" customHeight="false" outlineLevel="0" collapsed="false">
      <c r="A98" s="112" t="s">
        <v>453</v>
      </c>
      <c r="B98" s="112" t="s">
        <v>513</v>
      </c>
      <c r="C98" s="112" t="s">
        <v>9</v>
      </c>
      <c r="D98" s="112" t="s">
        <v>9</v>
      </c>
      <c r="E98" s="112" t="s">
        <v>382</v>
      </c>
      <c r="F98" s="113" t="s">
        <v>65</v>
      </c>
      <c r="G98" s="112" t="s">
        <v>66</v>
      </c>
      <c r="H98" s="112" t="s">
        <v>398</v>
      </c>
      <c r="I98" s="114" t="n">
        <v>1</v>
      </c>
      <c r="J98" s="114" t="n">
        <v>0</v>
      </c>
      <c r="K98" s="112"/>
      <c r="L98" s="112"/>
    </row>
    <row r="99" customFormat="false" ht="15" hidden="false" customHeight="false" outlineLevel="0" collapsed="false">
      <c r="A99" s="112" t="s">
        <v>454</v>
      </c>
      <c r="B99" s="112" t="s">
        <v>513</v>
      </c>
      <c r="C99" s="112" t="s">
        <v>9</v>
      </c>
      <c r="D99" s="112" t="s">
        <v>9</v>
      </c>
      <c r="E99" s="112" t="s">
        <v>326</v>
      </c>
      <c r="F99" s="113" t="s">
        <v>65</v>
      </c>
      <c r="G99" s="112" t="s">
        <v>66</v>
      </c>
      <c r="H99" s="112" t="s">
        <v>398</v>
      </c>
      <c r="I99" s="114" t="n">
        <v>1</v>
      </c>
      <c r="J99" s="114" t="n">
        <v>0</v>
      </c>
      <c r="K99" s="112"/>
      <c r="L99" s="112"/>
    </row>
    <row r="100" customFormat="false" ht="15" hidden="false" customHeight="false" outlineLevel="0" collapsed="false">
      <c r="A100" s="112" t="s">
        <v>455</v>
      </c>
      <c r="B100" s="112" t="s">
        <v>513</v>
      </c>
      <c r="C100" s="112" t="s">
        <v>9</v>
      </c>
      <c r="D100" s="112" t="s">
        <v>9</v>
      </c>
      <c r="E100" s="112" t="s">
        <v>312</v>
      </c>
      <c r="F100" s="113" t="s">
        <v>65</v>
      </c>
      <c r="G100" s="112" t="s">
        <v>66</v>
      </c>
      <c r="H100" s="112" t="s">
        <v>398</v>
      </c>
      <c r="I100" s="114" t="n">
        <v>1</v>
      </c>
      <c r="J100" s="114" t="n">
        <v>0</v>
      </c>
      <c r="K100" s="112"/>
      <c r="L100" s="112"/>
    </row>
    <row r="101" customFormat="false" ht="15" hidden="false" customHeight="false" outlineLevel="0" collapsed="false">
      <c r="A101" s="112" t="s">
        <v>456</v>
      </c>
      <c r="B101" s="112" t="s">
        <v>513</v>
      </c>
      <c r="C101" s="112" t="s">
        <v>9</v>
      </c>
      <c r="D101" s="112" t="s">
        <v>9</v>
      </c>
      <c r="E101" s="112" t="s">
        <v>268</v>
      </c>
      <c r="F101" s="113" t="s">
        <v>65</v>
      </c>
      <c r="G101" s="112" t="s">
        <v>66</v>
      </c>
      <c r="H101" s="112" t="s">
        <v>398</v>
      </c>
      <c r="I101" s="114" t="n">
        <v>1</v>
      </c>
      <c r="J101" s="114" t="n">
        <v>0</v>
      </c>
      <c r="K101" s="112"/>
      <c r="L101" s="112"/>
    </row>
    <row r="102" customFormat="false" ht="15" hidden="false" customHeight="false" outlineLevel="0" collapsed="false">
      <c r="A102" s="112" t="s">
        <v>457</v>
      </c>
      <c r="B102" s="112" t="s">
        <v>513</v>
      </c>
      <c r="C102" s="112" t="s">
        <v>9</v>
      </c>
      <c r="D102" s="112" t="s">
        <v>9</v>
      </c>
      <c r="E102" s="112" t="s">
        <v>300</v>
      </c>
      <c r="F102" s="113" t="s">
        <v>65</v>
      </c>
      <c r="G102" s="112" t="s">
        <v>66</v>
      </c>
      <c r="H102" s="112" t="s">
        <v>398</v>
      </c>
      <c r="I102" s="114" t="n">
        <v>1</v>
      </c>
      <c r="J102" s="114" t="n">
        <v>0</v>
      </c>
      <c r="K102" s="112"/>
      <c r="L102" s="112"/>
    </row>
    <row r="103" customFormat="false" ht="15" hidden="false" customHeight="false" outlineLevel="0" collapsed="false">
      <c r="A103" s="112" t="s">
        <v>458</v>
      </c>
      <c r="B103" s="112" t="s">
        <v>513</v>
      </c>
      <c r="C103" s="112" t="s">
        <v>9</v>
      </c>
      <c r="D103" s="112" t="s">
        <v>9</v>
      </c>
      <c r="E103" s="112" t="s">
        <v>262</v>
      </c>
      <c r="F103" s="113" t="s">
        <v>65</v>
      </c>
      <c r="G103" s="112" t="s">
        <v>66</v>
      </c>
      <c r="H103" s="112" t="s">
        <v>398</v>
      </c>
      <c r="I103" s="114" t="n">
        <v>0</v>
      </c>
      <c r="J103" s="114" t="n">
        <v>1</v>
      </c>
      <c r="K103" s="112"/>
      <c r="L103" s="112"/>
    </row>
    <row r="104" customFormat="false" ht="15" hidden="false" customHeight="false" outlineLevel="0" collapsed="false">
      <c r="A104" s="112" t="s">
        <v>531</v>
      </c>
      <c r="B104" s="112" t="s">
        <v>513</v>
      </c>
      <c r="C104" s="112" t="s">
        <v>9</v>
      </c>
      <c r="D104" s="112" t="s">
        <v>9</v>
      </c>
      <c r="E104" s="112" t="s">
        <v>274</v>
      </c>
      <c r="F104" s="113" t="s">
        <v>65</v>
      </c>
      <c r="G104" s="112" t="s">
        <v>66</v>
      </c>
      <c r="H104" s="112" t="s">
        <v>398</v>
      </c>
      <c r="I104" s="114" t="n">
        <v>0</v>
      </c>
      <c r="J104" s="114" t="n">
        <v>1</v>
      </c>
      <c r="K104" s="112"/>
      <c r="L104" s="112"/>
    </row>
    <row r="105" customFormat="false" ht="15" hidden="false" customHeight="false" outlineLevel="0" collapsed="false">
      <c r="A105" s="112" t="s">
        <v>532</v>
      </c>
      <c r="B105" s="112" t="s">
        <v>513</v>
      </c>
      <c r="C105" s="112" t="s">
        <v>9</v>
      </c>
      <c r="D105" s="112" t="s">
        <v>9</v>
      </c>
      <c r="E105" s="112" t="s">
        <v>294</v>
      </c>
      <c r="F105" s="113" t="s">
        <v>65</v>
      </c>
      <c r="G105" s="112" t="s">
        <v>66</v>
      </c>
      <c r="H105" s="112" t="s">
        <v>398</v>
      </c>
      <c r="I105" s="114" t="n">
        <v>0</v>
      </c>
      <c r="J105" s="114" t="n">
        <v>1</v>
      </c>
      <c r="K105" s="112"/>
      <c r="L105" s="112"/>
    </row>
    <row r="106" customFormat="false" ht="15" hidden="false" customHeight="false" outlineLevel="0" collapsed="false">
      <c r="A106" s="112" t="s">
        <v>533</v>
      </c>
      <c r="B106" s="112" t="s">
        <v>513</v>
      </c>
      <c r="C106" s="112" t="s">
        <v>9</v>
      </c>
      <c r="D106" s="112" t="s">
        <v>9</v>
      </c>
      <c r="E106" s="112" t="s">
        <v>201</v>
      </c>
      <c r="F106" s="113" t="s">
        <v>61</v>
      </c>
      <c r="G106" s="112" t="s">
        <v>62</v>
      </c>
      <c r="H106" s="112" t="s">
        <v>398</v>
      </c>
      <c r="I106" s="114" t="n">
        <v>1</v>
      </c>
      <c r="J106" s="114" t="n">
        <v>0</v>
      </c>
      <c r="K106" s="112"/>
      <c r="L106" s="112"/>
    </row>
    <row r="107" customFormat="false" ht="15" hidden="false" customHeight="false" outlineLevel="0" collapsed="false">
      <c r="A107" s="112" t="s">
        <v>534</v>
      </c>
      <c r="B107" s="112" t="s">
        <v>513</v>
      </c>
      <c r="C107" s="112" t="s">
        <v>9</v>
      </c>
      <c r="D107" s="112" t="s">
        <v>9</v>
      </c>
      <c r="E107" s="112" t="s">
        <v>247</v>
      </c>
      <c r="F107" s="113" t="s">
        <v>57</v>
      </c>
      <c r="G107" s="112" t="s">
        <v>58</v>
      </c>
      <c r="H107" s="112" t="s">
        <v>398</v>
      </c>
      <c r="I107" s="114" t="n">
        <v>1</v>
      </c>
      <c r="J107" s="114" t="n">
        <v>0</v>
      </c>
      <c r="K107" s="112"/>
      <c r="L107" s="112"/>
    </row>
    <row r="108" customFormat="false" ht="15" hidden="false" customHeight="false" outlineLevel="0" collapsed="false">
      <c r="A108" s="112" t="s">
        <v>535</v>
      </c>
      <c r="B108" s="112" t="s">
        <v>513</v>
      </c>
      <c r="C108" s="112" t="s">
        <v>9</v>
      </c>
      <c r="D108" s="112" t="s">
        <v>9</v>
      </c>
      <c r="E108" s="112" t="s">
        <v>249</v>
      </c>
      <c r="F108" s="113" t="s">
        <v>57</v>
      </c>
      <c r="G108" s="112" t="s">
        <v>58</v>
      </c>
      <c r="H108" s="112" t="s">
        <v>398</v>
      </c>
      <c r="I108" s="114" t="n">
        <v>1</v>
      </c>
      <c r="J108" s="114" t="n">
        <v>0</v>
      </c>
      <c r="K108" s="112"/>
      <c r="L108" s="112"/>
    </row>
    <row r="109" customFormat="false" ht="15" hidden="false" customHeight="false" outlineLevel="0" collapsed="false">
      <c r="A109" s="112" t="s">
        <v>536</v>
      </c>
      <c r="B109" s="112" t="s">
        <v>513</v>
      </c>
      <c r="C109" s="112" t="s">
        <v>9</v>
      </c>
      <c r="D109" s="112" t="s">
        <v>9</v>
      </c>
      <c r="E109" s="112" t="s">
        <v>253</v>
      </c>
      <c r="F109" s="113" t="s">
        <v>57</v>
      </c>
      <c r="G109" s="112" t="s">
        <v>58</v>
      </c>
      <c r="H109" s="112" t="s">
        <v>398</v>
      </c>
      <c r="I109" s="114" t="n">
        <v>0</v>
      </c>
      <c r="J109" s="114" t="n">
        <v>1</v>
      </c>
      <c r="K109" s="112"/>
      <c r="L109" s="112"/>
    </row>
    <row r="110" customFormat="false" ht="15" hidden="false" customHeight="false" outlineLevel="0" collapsed="false">
      <c r="A110" s="112" t="s">
        <v>537</v>
      </c>
      <c r="B110" s="112" t="s">
        <v>513</v>
      </c>
      <c r="C110" s="112" t="s">
        <v>15</v>
      </c>
      <c r="D110" s="112" t="s">
        <v>15</v>
      </c>
      <c r="E110" s="112" t="s">
        <v>205</v>
      </c>
      <c r="F110" s="113" t="s">
        <v>61</v>
      </c>
      <c r="G110" s="112" t="s">
        <v>62</v>
      </c>
      <c r="H110" s="112" t="s">
        <v>398</v>
      </c>
      <c r="I110" s="114" t="n">
        <v>1</v>
      </c>
      <c r="J110" s="114" t="n">
        <v>0</v>
      </c>
      <c r="K110" s="112"/>
      <c r="L110" s="112"/>
    </row>
    <row r="111" customFormat="false" ht="15" hidden="false" customHeight="false" outlineLevel="0" collapsed="false">
      <c r="A111" s="112" t="s">
        <v>538</v>
      </c>
      <c r="B111" s="112" t="s">
        <v>513</v>
      </c>
      <c r="C111" s="112" t="s">
        <v>15</v>
      </c>
      <c r="D111" s="112" t="s">
        <v>15</v>
      </c>
      <c r="E111" s="112" t="s">
        <v>539</v>
      </c>
      <c r="F111" s="113" t="s">
        <v>71</v>
      </c>
      <c r="G111" s="112" t="s">
        <v>72</v>
      </c>
      <c r="H111" s="112" t="s">
        <v>398</v>
      </c>
      <c r="I111" s="114" t="n">
        <v>1</v>
      </c>
      <c r="J111" s="114" t="n">
        <v>0</v>
      </c>
      <c r="K111" s="112"/>
      <c r="L111" s="112"/>
    </row>
    <row r="112" customFormat="false" ht="15" hidden="false" customHeight="false" outlineLevel="0" collapsed="false">
      <c r="A112" s="112" t="s">
        <v>459</v>
      </c>
      <c r="B112" s="112" t="s">
        <v>513</v>
      </c>
      <c r="C112" s="112" t="s">
        <v>540</v>
      </c>
      <c r="D112" s="112" t="s">
        <v>20</v>
      </c>
      <c r="E112" s="112" t="s">
        <v>263</v>
      </c>
      <c r="F112" s="113" t="s">
        <v>65</v>
      </c>
      <c r="G112" s="112" t="s">
        <v>66</v>
      </c>
      <c r="H112" s="112" t="s">
        <v>398</v>
      </c>
      <c r="I112" s="114" t="n">
        <v>1</v>
      </c>
      <c r="J112" s="114" t="n">
        <v>0</v>
      </c>
      <c r="K112" s="112"/>
      <c r="L112" s="112"/>
    </row>
    <row r="113" customFormat="false" ht="15" hidden="false" customHeight="false" outlineLevel="0" collapsed="false">
      <c r="A113" s="112" t="s">
        <v>462</v>
      </c>
      <c r="B113" s="112" t="s">
        <v>513</v>
      </c>
      <c r="C113" s="112" t="s">
        <v>540</v>
      </c>
      <c r="D113" s="112" t="s">
        <v>20</v>
      </c>
      <c r="E113" s="112" t="s">
        <v>221</v>
      </c>
      <c r="F113" s="113" t="s">
        <v>61</v>
      </c>
      <c r="G113" s="112" t="s">
        <v>62</v>
      </c>
      <c r="H113" s="112" t="s">
        <v>398</v>
      </c>
      <c r="I113" s="114" t="n">
        <v>0</v>
      </c>
      <c r="J113" s="114" t="n">
        <v>1</v>
      </c>
      <c r="K113" s="112"/>
      <c r="L113" s="112"/>
    </row>
    <row r="114" customFormat="false" ht="15" hidden="false" customHeight="false" outlineLevel="0" collapsed="false">
      <c r="A114" s="112" t="s">
        <v>464</v>
      </c>
      <c r="B114" s="112" t="s">
        <v>513</v>
      </c>
      <c r="C114" s="112" t="s">
        <v>540</v>
      </c>
      <c r="D114" s="112" t="s">
        <v>20</v>
      </c>
      <c r="E114" s="112" t="s">
        <v>377</v>
      </c>
      <c r="F114" s="113" t="s">
        <v>65</v>
      </c>
      <c r="G114" s="112" t="s">
        <v>66</v>
      </c>
      <c r="H114" s="112" t="s">
        <v>398</v>
      </c>
      <c r="I114" s="114" t="n">
        <v>1</v>
      </c>
      <c r="J114" s="114" t="n">
        <v>0</v>
      </c>
      <c r="K114" s="112"/>
      <c r="L114" s="112"/>
    </row>
    <row r="115" customFormat="false" ht="15" hidden="false" customHeight="false" outlineLevel="0" collapsed="false">
      <c r="A115" s="112" t="s">
        <v>468</v>
      </c>
      <c r="B115" s="112" t="s">
        <v>513</v>
      </c>
      <c r="C115" s="112" t="s">
        <v>540</v>
      </c>
      <c r="D115" s="112" t="s">
        <v>20</v>
      </c>
      <c r="E115" s="112" t="s">
        <v>344</v>
      </c>
      <c r="F115" s="113" t="s">
        <v>65</v>
      </c>
      <c r="G115" s="112" t="s">
        <v>66</v>
      </c>
      <c r="H115" s="112" t="s">
        <v>398</v>
      </c>
      <c r="I115" s="114" t="n">
        <v>1</v>
      </c>
      <c r="J115" s="114" t="n">
        <v>0</v>
      </c>
      <c r="K115" s="112"/>
      <c r="L115" s="112"/>
    </row>
    <row r="116" customFormat="false" ht="15" hidden="false" customHeight="false" outlineLevel="0" collapsed="false">
      <c r="A116" s="112" t="s">
        <v>470</v>
      </c>
      <c r="B116" s="112" t="s">
        <v>513</v>
      </c>
      <c r="C116" s="112" t="s">
        <v>540</v>
      </c>
      <c r="D116" s="112" t="s">
        <v>20</v>
      </c>
      <c r="E116" s="112" t="s">
        <v>218</v>
      </c>
      <c r="F116" s="113" t="s">
        <v>61</v>
      </c>
      <c r="G116" s="112" t="s">
        <v>62</v>
      </c>
      <c r="H116" s="112" t="s">
        <v>398</v>
      </c>
      <c r="I116" s="114" t="n">
        <v>0</v>
      </c>
      <c r="J116" s="114" t="n">
        <v>1</v>
      </c>
      <c r="K116" s="112"/>
      <c r="L116" s="112"/>
    </row>
    <row r="117" customFormat="false" ht="15" hidden="false" customHeight="false" outlineLevel="0" collapsed="false">
      <c r="A117" s="112" t="s">
        <v>472</v>
      </c>
      <c r="B117" s="112" t="s">
        <v>513</v>
      </c>
      <c r="C117" s="112" t="s">
        <v>540</v>
      </c>
      <c r="D117" s="112" t="s">
        <v>20</v>
      </c>
      <c r="E117" s="112" t="s">
        <v>275</v>
      </c>
      <c r="F117" s="113" t="s">
        <v>65</v>
      </c>
      <c r="G117" s="112" t="s">
        <v>66</v>
      </c>
      <c r="H117" s="112" t="s">
        <v>398</v>
      </c>
      <c r="I117" s="114" t="n">
        <v>1</v>
      </c>
      <c r="J117" s="114" t="n">
        <v>0</v>
      </c>
      <c r="K117" s="112"/>
      <c r="L117" s="112"/>
    </row>
    <row r="118" customFormat="false" ht="15" hidden="false" customHeight="false" outlineLevel="0" collapsed="false">
      <c r="A118" s="112" t="s">
        <v>476</v>
      </c>
      <c r="B118" s="112" t="s">
        <v>513</v>
      </c>
      <c r="C118" s="112" t="s">
        <v>540</v>
      </c>
      <c r="D118" s="112" t="s">
        <v>20</v>
      </c>
      <c r="E118" s="112" t="s">
        <v>357</v>
      </c>
      <c r="F118" s="113" t="s">
        <v>65</v>
      </c>
      <c r="G118" s="112" t="s">
        <v>66</v>
      </c>
      <c r="H118" s="112" t="s">
        <v>398</v>
      </c>
      <c r="I118" s="114" t="n">
        <v>1</v>
      </c>
      <c r="J118" s="114" t="n">
        <v>0</v>
      </c>
      <c r="K118" s="112"/>
      <c r="L118" s="112"/>
    </row>
    <row r="119" customFormat="false" ht="15" hidden="false" customHeight="false" outlineLevel="0" collapsed="false">
      <c r="A119" s="112" t="s">
        <v>477</v>
      </c>
      <c r="B119" s="112" t="s">
        <v>513</v>
      </c>
      <c r="C119" s="112" t="s">
        <v>540</v>
      </c>
      <c r="D119" s="112" t="s">
        <v>20</v>
      </c>
      <c r="E119" s="112" t="s">
        <v>219</v>
      </c>
      <c r="F119" s="113" t="s">
        <v>61</v>
      </c>
      <c r="G119" s="112" t="s">
        <v>62</v>
      </c>
      <c r="H119" s="112" t="s">
        <v>398</v>
      </c>
      <c r="I119" s="114" t="n">
        <v>1</v>
      </c>
      <c r="J119" s="114" t="n">
        <v>0</v>
      </c>
      <c r="K119" s="112"/>
      <c r="L119" s="112"/>
    </row>
    <row r="120" customFormat="false" ht="15" hidden="false" customHeight="false" outlineLevel="0" collapsed="false">
      <c r="A120" s="112" t="s">
        <v>479</v>
      </c>
      <c r="B120" s="112" t="s">
        <v>513</v>
      </c>
      <c r="C120" s="112" t="s">
        <v>540</v>
      </c>
      <c r="D120" s="112" t="s">
        <v>20</v>
      </c>
      <c r="E120" s="112" t="s">
        <v>383</v>
      </c>
      <c r="F120" s="113" t="s">
        <v>65</v>
      </c>
      <c r="G120" s="112" t="s">
        <v>66</v>
      </c>
      <c r="H120" s="112" t="s">
        <v>398</v>
      </c>
      <c r="I120" s="114" t="n">
        <v>1</v>
      </c>
      <c r="J120" s="114" t="n">
        <v>0</v>
      </c>
      <c r="K120" s="112"/>
      <c r="L120" s="112"/>
    </row>
    <row r="121" customFormat="false" ht="15" hidden="false" customHeight="false" outlineLevel="0" collapsed="false">
      <c r="A121" s="112" t="s">
        <v>482</v>
      </c>
      <c r="B121" s="112" t="s">
        <v>513</v>
      </c>
      <c r="C121" s="112" t="s">
        <v>540</v>
      </c>
      <c r="D121" s="112" t="s">
        <v>20</v>
      </c>
      <c r="E121" s="112" t="s">
        <v>256</v>
      </c>
      <c r="F121" s="113" t="s">
        <v>65</v>
      </c>
      <c r="G121" s="112" t="s">
        <v>66</v>
      </c>
      <c r="H121" s="112" t="s">
        <v>398</v>
      </c>
      <c r="I121" s="114" t="n">
        <v>0</v>
      </c>
      <c r="J121" s="114" t="n">
        <v>1</v>
      </c>
      <c r="K121" s="112"/>
      <c r="L121" s="112"/>
    </row>
    <row r="122" customFormat="false" ht="15" hidden="false" customHeight="false" outlineLevel="0" collapsed="false">
      <c r="A122" s="112" t="s">
        <v>541</v>
      </c>
      <c r="B122" s="112" t="s">
        <v>513</v>
      </c>
      <c r="C122" s="112" t="s">
        <v>540</v>
      </c>
      <c r="D122" s="112" t="s">
        <v>20</v>
      </c>
      <c r="E122" s="112" t="s">
        <v>215</v>
      </c>
      <c r="F122" s="113" t="s">
        <v>61</v>
      </c>
      <c r="G122" s="112" t="s">
        <v>62</v>
      </c>
      <c r="H122" s="112" t="s">
        <v>398</v>
      </c>
      <c r="I122" s="114" t="n">
        <v>0</v>
      </c>
      <c r="J122" s="114" t="n">
        <v>1</v>
      </c>
      <c r="K122" s="112"/>
      <c r="L122" s="112"/>
    </row>
    <row r="123" customFormat="false" ht="15" hidden="false" customHeight="false" outlineLevel="0" collapsed="false">
      <c r="A123" s="112" t="s">
        <v>483</v>
      </c>
      <c r="B123" s="112" t="s">
        <v>513</v>
      </c>
      <c r="C123" s="112" t="s">
        <v>540</v>
      </c>
      <c r="D123" s="112" t="s">
        <v>20</v>
      </c>
      <c r="E123" s="112" t="s">
        <v>332</v>
      </c>
      <c r="F123" s="113" t="s">
        <v>65</v>
      </c>
      <c r="G123" s="112" t="s">
        <v>66</v>
      </c>
      <c r="H123" s="112" t="s">
        <v>398</v>
      </c>
      <c r="I123" s="114" t="n">
        <v>0</v>
      </c>
      <c r="J123" s="114" t="n">
        <v>1</v>
      </c>
      <c r="K123" s="112"/>
      <c r="L123" s="112"/>
    </row>
    <row r="124" customFormat="false" ht="15" hidden="false" customHeight="false" outlineLevel="0" collapsed="false">
      <c r="A124" s="112" t="s">
        <v>484</v>
      </c>
      <c r="B124" s="112" t="s">
        <v>513</v>
      </c>
      <c r="C124" s="112" t="s">
        <v>540</v>
      </c>
      <c r="D124" s="112" t="s">
        <v>20</v>
      </c>
      <c r="E124" s="112" t="s">
        <v>370</v>
      </c>
      <c r="F124" s="113" t="s">
        <v>65</v>
      </c>
      <c r="G124" s="112" t="s">
        <v>66</v>
      </c>
      <c r="H124" s="112" t="s">
        <v>398</v>
      </c>
      <c r="I124" s="114" t="n">
        <v>0</v>
      </c>
      <c r="J124" s="114" t="n">
        <v>1</v>
      </c>
      <c r="K124" s="112"/>
      <c r="L124" s="112"/>
    </row>
    <row r="125" customFormat="false" ht="15" hidden="false" customHeight="false" outlineLevel="0" collapsed="false">
      <c r="A125" s="112" t="s">
        <v>395</v>
      </c>
      <c r="B125" s="112" t="s">
        <v>513</v>
      </c>
      <c r="C125" s="112" t="s">
        <v>540</v>
      </c>
      <c r="D125" s="112" t="s">
        <v>20</v>
      </c>
      <c r="E125" s="112" t="s">
        <v>223</v>
      </c>
      <c r="F125" s="113" t="s">
        <v>61</v>
      </c>
      <c r="G125" s="112" t="s">
        <v>62</v>
      </c>
      <c r="H125" s="112" t="s">
        <v>398</v>
      </c>
      <c r="I125" s="114" t="n">
        <v>1</v>
      </c>
      <c r="J125" s="114" t="n">
        <v>0</v>
      </c>
      <c r="K125" s="112"/>
      <c r="L125" s="112"/>
    </row>
    <row r="126" customFormat="false" ht="15" hidden="false" customHeight="false" outlineLevel="0" collapsed="false">
      <c r="A126" s="112" t="s">
        <v>485</v>
      </c>
      <c r="B126" s="112" t="s">
        <v>513</v>
      </c>
      <c r="C126" s="112" t="s">
        <v>540</v>
      </c>
      <c r="D126" s="112" t="s">
        <v>20</v>
      </c>
      <c r="E126" s="112" t="s">
        <v>269</v>
      </c>
      <c r="F126" s="113" t="s">
        <v>65</v>
      </c>
      <c r="G126" s="112" t="s">
        <v>66</v>
      </c>
      <c r="H126" s="112" t="s">
        <v>398</v>
      </c>
      <c r="I126" s="114" t="n">
        <v>0</v>
      </c>
      <c r="J126" s="114" t="n">
        <v>1</v>
      </c>
      <c r="K126" s="112"/>
      <c r="L126" s="112"/>
    </row>
    <row r="127" customFormat="false" ht="15" hidden="false" customHeight="false" outlineLevel="0" collapsed="false">
      <c r="A127" s="112" t="s">
        <v>486</v>
      </c>
      <c r="B127" s="112" t="s">
        <v>513</v>
      </c>
      <c r="C127" s="112" t="s">
        <v>540</v>
      </c>
      <c r="D127" s="112" t="s">
        <v>20</v>
      </c>
      <c r="E127" s="112" t="s">
        <v>338</v>
      </c>
      <c r="F127" s="113" t="s">
        <v>65</v>
      </c>
      <c r="G127" s="112" t="s">
        <v>66</v>
      </c>
      <c r="H127" s="112" t="s">
        <v>398</v>
      </c>
      <c r="I127" s="114" t="n">
        <v>0</v>
      </c>
      <c r="J127" s="114" t="n">
        <v>1</v>
      </c>
      <c r="K127" s="112"/>
      <c r="L127" s="112"/>
    </row>
    <row r="128" customFormat="false" ht="15" hidden="false" customHeight="false" outlineLevel="0" collapsed="false">
      <c r="A128" s="112" t="s">
        <v>400</v>
      </c>
      <c r="B128" s="112" t="s">
        <v>513</v>
      </c>
      <c r="C128" s="112" t="s">
        <v>540</v>
      </c>
      <c r="D128" s="112" t="s">
        <v>20</v>
      </c>
      <c r="E128" s="112" t="s">
        <v>225</v>
      </c>
      <c r="F128" s="113" t="s">
        <v>61</v>
      </c>
      <c r="G128" s="112" t="s">
        <v>62</v>
      </c>
      <c r="H128" s="112" t="s">
        <v>398</v>
      </c>
      <c r="I128" s="114" t="n">
        <v>0</v>
      </c>
      <c r="J128" s="114" t="n">
        <v>1</v>
      </c>
      <c r="K128" s="112"/>
      <c r="L128" s="112"/>
    </row>
    <row r="129" customFormat="false" ht="15" hidden="false" customHeight="false" outlineLevel="0" collapsed="false">
      <c r="A129" s="112" t="s">
        <v>487</v>
      </c>
      <c r="B129" s="112" t="s">
        <v>513</v>
      </c>
      <c r="C129" s="112" t="s">
        <v>540</v>
      </c>
      <c r="D129" s="112" t="s">
        <v>20</v>
      </c>
      <c r="E129" s="112" t="s">
        <v>364</v>
      </c>
      <c r="F129" s="113" t="s">
        <v>65</v>
      </c>
      <c r="G129" s="112" t="s">
        <v>66</v>
      </c>
      <c r="H129" s="112" t="s">
        <v>398</v>
      </c>
      <c r="I129" s="114" t="n">
        <v>0</v>
      </c>
      <c r="J129" s="114" t="n">
        <v>1</v>
      </c>
      <c r="K129" s="112"/>
      <c r="L129" s="112"/>
    </row>
    <row r="130" customFormat="false" ht="15" hidden="false" customHeight="false" outlineLevel="0" collapsed="false">
      <c r="A130" s="112" t="s">
        <v>488</v>
      </c>
      <c r="B130" s="112" t="s">
        <v>513</v>
      </c>
      <c r="C130" s="112" t="s">
        <v>540</v>
      </c>
      <c r="D130" s="112" t="s">
        <v>20</v>
      </c>
      <c r="E130" s="112" t="s">
        <v>350</v>
      </c>
      <c r="F130" s="113" t="s">
        <v>65</v>
      </c>
      <c r="G130" s="112" t="s">
        <v>66</v>
      </c>
      <c r="H130" s="112" t="s">
        <v>398</v>
      </c>
      <c r="I130" s="114" t="n">
        <v>0</v>
      </c>
      <c r="J130" s="114" t="n">
        <v>1</v>
      </c>
      <c r="K130" s="112"/>
      <c r="L130" s="112"/>
    </row>
    <row r="131" customFormat="false" ht="15" hidden="false" customHeight="false" outlineLevel="0" collapsed="false">
      <c r="A131" s="112" t="s">
        <v>542</v>
      </c>
      <c r="B131" s="112" t="s">
        <v>513</v>
      </c>
      <c r="C131" s="112" t="s">
        <v>540</v>
      </c>
      <c r="D131" s="112" t="s">
        <v>20</v>
      </c>
      <c r="E131" s="112" t="s">
        <v>217</v>
      </c>
      <c r="F131" s="113" t="s">
        <v>61</v>
      </c>
      <c r="G131" s="112" t="s">
        <v>62</v>
      </c>
      <c r="H131" s="112" t="s">
        <v>398</v>
      </c>
      <c r="I131" s="114" t="n">
        <v>1</v>
      </c>
      <c r="J131" s="114" t="n">
        <v>0</v>
      </c>
      <c r="K131" s="112"/>
      <c r="L131" s="112"/>
    </row>
    <row r="132" customFormat="false" ht="15" hidden="false" customHeight="false" outlineLevel="0" collapsed="false">
      <c r="A132" s="112" t="s">
        <v>493</v>
      </c>
      <c r="B132" s="112" t="s">
        <v>513</v>
      </c>
      <c r="C132" s="112" t="s">
        <v>540</v>
      </c>
      <c r="D132" s="112" t="s">
        <v>20</v>
      </c>
      <c r="E132" s="112" t="s">
        <v>225</v>
      </c>
      <c r="F132" s="113" t="s">
        <v>61</v>
      </c>
      <c r="G132" s="112" t="s">
        <v>62</v>
      </c>
      <c r="H132" s="112" t="s">
        <v>398</v>
      </c>
      <c r="I132" s="114" t="n">
        <v>1</v>
      </c>
      <c r="J132" s="114" t="n">
        <v>0</v>
      </c>
      <c r="K132" s="112"/>
      <c r="L132" s="112"/>
    </row>
    <row r="133" customFormat="false" ht="15" hidden="false" customHeight="false" outlineLevel="0" collapsed="false">
      <c r="A133" s="112" t="s">
        <v>543</v>
      </c>
      <c r="B133" s="112" t="s">
        <v>513</v>
      </c>
      <c r="C133" s="112" t="s">
        <v>540</v>
      </c>
      <c r="D133" s="112" t="s">
        <v>20</v>
      </c>
      <c r="E133" s="112" t="s">
        <v>544</v>
      </c>
      <c r="F133" s="113" t="s">
        <v>103</v>
      </c>
      <c r="G133" s="112" t="s">
        <v>104</v>
      </c>
      <c r="H133" s="112" t="s">
        <v>398</v>
      </c>
      <c r="I133" s="114" t="n">
        <v>1</v>
      </c>
      <c r="J133" s="114" t="n">
        <v>0</v>
      </c>
      <c r="K133" s="112"/>
      <c r="L133" s="112"/>
    </row>
    <row r="134" customFormat="false" ht="15" hidden="false" customHeight="false" outlineLevel="0" collapsed="false">
      <c r="A134" s="112" t="s">
        <v>545</v>
      </c>
      <c r="B134" s="112" t="s">
        <v>513</v>
      </c>
      <c r="C134" s="112" t="s">
        <v>540</v>
      </c>
      <c r="D134" s="112" t="s">
        <v>20</v>
      </c>
      <c r="E134" s="112" t="s">
        <v>546</v>
      </c>
      <c r="F134" s="113" t="s">
        <v>103</v>
      </c>
      <c r="G134" s="112" t="s">
        <v>104</v>
      </c>
      <c r="H134" s="112" t="s">
        <v>398</v>
      </c>
      <c r="I134" s="114" t="n">
        <v>1</v>
      </c>
      <c r="J134" s="114" t="n">
        <v>0</v>
      </c>
      <c r="K134" s="112"/>
      <c r="L134" s="112"/>
    </row>
    <row r="135" customFormat="false" ht="15" hidden="false" customHeight="false" outlineLevel="0" collapsed="false">
      <c r="A135" s="112" t="s">
        <v>547</v>
      </c>
      <c r="B135" s="112" t="s">
        <v>513</v>
      </c>
      <c r="C135" s="112" t="s">
        <v>540</v>
      </c>
      <c r="D135" s="112" t="s">
        <v>20</v>
      </c>
      <c r="E135" s="112" t="s">
        <v>548</v>
      </c>
      <c r="F135" s="113" t="s">
        <v>103</v>
      </c>
      <c r="G135" s="112" t="s">
        <v>104</v>
      </c>
      <c r="H135" s="112" t="s">
        <v>398</v>
      </c>
      <c r="I135" s="114" t="n">
        <v>0</v>
      </c>
      <c r="J135" s="114" t="n">
        <v>1</v>
      </c>
      <c r="K135" s="112"/>
      <c r="L135" s="112"/>
    </row>
    <row r="136" customFormat="false" ht="15" hidden="false" customHeight="false" outlineLevel="0" collapsed="false">
      <c r="A136" s="112" t="s">
        <v>549</v>
      </c>
      <c r="B136" s="112" t="s">
        <v>513</v>
      </c>
      <c r="C136" s="112" t="s">
        <v>540</v>
      </c>
      <c r="D136" s="112" t="s">
        <v>20</v>
      </c>
      <c r="E136" s="112" t="s">
        <v>550</v>
      </c>
      <c r="F136" s="113" t="s">
        <v>103</v>
      </c>
      <c r="G136" s="112" t="s">
        <v>104</v>
      </c>
      <c r="H136" s="112" t="s">
        <v>398</v>
      </c>
      <c r="I136" s="114" t="n">
        <v>0</v>
      </c>
      <c r="J136" s="114" t="n">
        <v>1</v>
      </c>
      <c r="K136" s="112"/>
      <c r="L136" s="112"/>
    </row>
    <row r="137" customFormat="false" ht="15" hidden="false" customHeight="false" outlineLevel="0" collapsed="false">
      <c r="A137" s="112" t="s">
        <v>551</v>
      </c>
      <c r="B137" s="112" t="s">
        <v>513</v>
      </c>
      <c r="C137" s="112" t="s">
        <v>540</v>
      </c>
      <c r="D137" s="112" t="s">
        <v>20</v>
      </c>
      <c r="E137" s="112" t="s">
        <v>552</v>
      </c>
      <c r="F137" s="113" t="s">
        <v>89</v>
      </c>
      <c r="G137" s="112" t="s">
        <v>90</v>
      </c>
      <c r="H137" s="112" t="s">
        <v>398</v>
      </c>
      <c r="I137" s="114" t="n">
        <v>1</v>
      </c>
      <c r="J137" s="114" t="n">
        <v>0</v>
      </c>
      <c r="K137" s="112"/>
      <c r="L137" s="112"/>
    </row>
    <row r="138" customFormat="false" ht="15" hidden="false" customHeight="false" outlineLevel="0" collapsed="false">
      <c r="A138" s="112" t="s">
        <v>553</v>
      </c>
      <c r="B138" s="112" t="s">
        <v>513</v>
      </c>
      <c r="C138" s="112" t="s">
        <v>540</v>
      </c>
      <c r="D138" s="112" t="s">
        <v>20</v>
      </c>
      <c r="E138" s="112" t="s">
        <v>554</v>
      </c>
      <c r="F138" s="113" t="s">
        <v>89</v>
      </c>
      <c r="G138" s="112" t="s">
        <v>90</v>
      </c>
      <c r="H138" s="112" t="s">
        <v>398</v>
      </c>
      <c r="I138" s="114" t="n">
        <v>1</v>
      </c>
      <c r="J138" s="114" t="n">
        <v>1</v>
      </c>
      <c r="K138" s="112"/>
      <c r="L138" s="112"/>
    </row>
    <row r="139" customFormat="false" ht="15" hidden="false" customHeight="false" outlineLevel="0" collapsed="false">
      <c r="A139" s="112" t="s">
        <v>555</v>
      </c>
      <c r="B139" s="112" t="s">
        <v>513</v>
      </c>
      <c r="C139" s="112" t="s">
        <v>540</v>
      </c>
      <c r="D139" s="112" t="s">
        <v>20</v>
      </c>
      <c r="E139" s="112" t="s">
        <v>556</v>
      </c>
      <c r="F139" s="113" t="s">
        <v>89</v>
      </c>
      <c r="G139" s="112" t="s">
        <v>90</v>
      </c>
      <c r="H139" s="112" t="s">
        <v>398</v>
      </c>
      <c r="I139" s="114" t="n">
        <v>0</v>
      </c>
      <c r="J139" s="114" t="n">
        <v>1</v>
      </c>
      <c r="K139" s="112"/>
      <c r="L139" s="112"/>
    </row>
    <row r="140" customFormat="false" ht="15" hidden="false" customHeight="false" outlineLevel="0" collapsed="false">
      <c r="A140" s="112" t="s">
        <v>557</v>
      </c>
      <c r="B140" s="112" t="s">
        <v>513</v>
      </c>
      <c r="C140" s="112" t="s">
        <v>540</v>
      </c>
      <c r="D140" s="112" t="s">
        <v>20</v>
      </c>
      <c r="E140" s="112" t="s">
        <v>266</v>
      </c>
      <c r="F140" s="113" t="s">
        <v>57</v>
      </c>
      <c r="G140" s="112" t="s">
        <v>58</v>
      </c>
      <c r="H140" s="112" t="s">
        <v>398</v>
      </c>
      <c r="I140" s="114" t="n">
        <v>1</v>
      </c>
      <c r="J140" s="114" t="n">
        <v>0</v>
      </c>
      <c r="K140" s="112"/>
      <c r="L140" s="112"/>
    </row>
    <row r="141" customFormat="false" ht="15" hidden="false" customHeight="false" outlineLevel="0" collapsed="false">
      <c r="A141" s="112" t="s">
        <v>558</v>
      </c>
      <c r="B141" s="112" t="s">
        <v>513</v>
      </c>
      <c r="C141" s="112" t="s">
        <v>540</v>
      </c>
      <c r="D141" s="112" t="s">
        <v>20</v>
      </c>
      <c r="E141" s="112" t="s">
        <v>272</v>
      </c>
      <c r="F141" s="113" t="s">
        <v>57</v>
      </c>
      <c r="G141" s="112" t="s">
        <v>58</v>
      </c>
      <c r="H141" s="112" t="s">
        <v>398</v>
      </c>
      <c r="I141" s="114" t="n">
        <v>0</v>
      </c>
      <c r="J141" s="114" t="n">
        <v>1</v>
      </c>
      <c r="K141" s="112"/>
      <c r="L141" s="112"/>
    </row>
    <row r="142" customFormat="false" ht="15" hidden="false" customHeight="false" outlineLevel="0" collapsed="false">
      <c r="A142" s="112" t="s">
        <v>559</v>
      </c>
      <c r="B142" s="112" t="s">
        <v>513</v>
      </c>
      <c r="C142" s="112" t="s">
        <v>540</v>
      </c>
      <c r="D142" s="112" t="s">
        <v>20</v>
      </c>
      <c r="E142" s="112" t="s">
        <v>279</v>
      </c>
      <c r="F142" s="113" t="s">
        <v>57</v>
      </c>
      <c r="G142" s="112" t="s">
        <v>58</v>
      </c>
      <c r="H142" s="112" t="s">
        <v>398</v>
      </c>
      <c r="I142" s="114" t="n">
        <v>0</v>
      </c>
      <c r="J142" s="114" t="n">
        <v>1</v>
      </c>
      <c r="K142" s="112"/>
      <c r="L142" s="112"/>
    </row>
    <row r="143" customFormat="false" ht="15" hidden="false" customHeight="false" outlineLevel="0" collapsed="false">
      <c r="A143" s="112" t="s">
        <v>560</v>
      </c>
      <c r="B143" s="112" t="s">
        <v>513</v>
      </c>
      <c r="C143" s="112" t="s">
        <v>540</v>
      </c>
      <c r="D143" s="112" t="s">
        <v>20</v>
      </c>
      <c r="E143" s="112" t="s">
        <v>286</v>
      </c>
      <c r="F143" s="113" t="s">
        <v>57</v>
      </c>
      <c r="G143" s="112" t="s">
        <v>58</v>
      </c>
      <c r="H143" s="112" t="s">
        <v>398</v>
      </c>
      <c r="I143" s="114" t="n">
        <v>1</v>
      </c>
      <c r="J143" s="114" t="n">
        <v>0</v>
      </c>
      <c r="K143" s="112"/>
      <c r="L143" s="112"/>
    </row>
    <row r="144" customFormat="false" ht="15" hidden="false" customHeight="false" outlineLevel="0" collapsed="false">
      <c r="A144" s="112" t="s">
        <v>561</v>
      </c>
      <c r="B144" s="112" t="s">
        <v>513</v>
      </c>
      <c r="C144" s="112" t="s">
        <v>562</v>
      </c>
      <c r="D144" s="112" t="s">
        <v>21</v>
      </c>
      <c r="E144" s="112" t="s">
        <v>563</v>
      </c>
      <c r="F144" s="113" t="s">
        <v>103</v>
      </c>
      <c r="G144" s="112" t="s">
        <v>104</v>
      </c>
      <c r="H144" s="112" t="s">
        <v>398</v>
      </c>
      <c r="I144" s="114" t="n">
        <v>0</v>
      </c>
      <c r="J144" s="114" t="n">
        <v>1</v>
      </c>
      <c r="K144" s="112"/>
      <c r="L144" s="112"/>
    </row>
    <row r="145" customFormat="false" ht="15" hidden="false" customHeight="false" outlineLevel="0" collapsed="false">
      <c r="A145" s="112" t="s">
        <v>564</v>
      </c>
      <c r="B145" s="112" t="s">
        <v>513</v>
      </c>
      <c r="C145" s="112" t="s">
        <v>562</v>
      </c>
      <c r="D145" s="112" t="s">
        <v>21</v>
      </c>
      <c r="E145" s="112" t="s">
        <v>565</v>
      </c>
      <c r="F145" s="113" t="s">
        <v>103</v>
      </c>
      <c r="G145" s="112" t="s">
        <v>104</v>
      </c>
      <c r="H145" s="112" t="s">
        <v>398</v>
      </c>
      <c r="I145" s="114" t="n">
        <v>1</v>
      </c>
      <c r="J145" s="114" t="n">
        <v>0</v>
      </c>
      <c r="K145" s="112"/>
      <c r="L145" s="112"/>
    </row>
    <row r="146" customFormat="false" ht="15" hidden="false" customHeight="false" outlineLevel="0" collapsed="false">
      <c r="A146" s="112" t="s">
        <v>566</v>
      </c>
      <c r="B146" s="112" t="s">
        <v>513</v>
      </c>
      <c r="C146" s="112" t="s">
        <v>567</v>
      </c>
      <c r="D146" s="112" t="s">
        <v>10</v>
      </c>
      <c r="E146" s="112" t="s">
        <v>260</v>
      </c>
      <c r="F146" s="113" t="s">
        <v>57</v>
      </c>
      <c r="G146" s="112" t="s">
        <v>58</v>
      </c>
      <c r="H146" s="112" t="s">
        <v>398</v>
      </c>
      <c r="I146" s="114" t="n">
        <v>1</v>
      </c>
      <c r="J146" s="114" t="n">
        <v>0</v>
      </c>
      <c r="K146" s="112"/>
      <c r="L146" s="112"/>
    </row>
    <row r="147" customFormat="false" ht="15" hidden="false" customHeight="false" outlineLevel="0" collapsed="false">
      <c r="A147" s="112" t="s">
        <v>505</v>
      </c>
      <c r="B147" s="112" t="s">
        <v>513</v>
      </c>
      <c r="C147" s="112" t="s">
        <v>568</v>
      </c>
      <c r="D147" s="112" t="s">
        <v>12</v>
      </c>
      <c r="E147" s="112" t="s">
        <v>203</v>
      </c>
      <c r="F147" s="113" t="s">
        <v>61</v>
      </c>
      <c r="G147" s="112" t="s">
        <v>62</v>
      </c>
      <c r="H147" s="112" t="s">
        <v>398</v>
      </c>
      <c r="I147" s="114" t="n">
        <v>1</v>
      </c>
      <c r="J147" s="114" t="n">
        <v>0</v>
      </c>
      <c r="K147" s="112"/>
      <c r="L147" s="112"/>
    </row>
    <row r="148" customFormat="false" ht="15" hidden="false" customHeight="false" outlineLevel="0" collapsed="false">
      <c r="A148" s="112" t="s">
        <v>510</v>
      </c>
      <c r="B148" s="112" t="s">
        <v>513</v>
      </c>
      <c r="C148" s="112" t="s">
        <v>568</v>
      </c>
      <c r="D148" s="112" t="s">
        <v>12</v>
      </c>
      <c r="E148" s="112" t="s">
        <v>569</v>
      </c>
      <c r="F148" s="113" t="s">
        <v>125</v>
      </c>
      <c r="G148" s="112" t="s">
        <v>126</v>
      </c>
      <c r="H148" s="112" t="s">
        <v>398</v>
      </c>
      <c r="I148" s="114" t="n">
        <v>1</v>
      </c>
      <c r="J148" s="114" t="n">
        <v>0</v>
      </c>
      <c r="K148" s="112"/>
      <c r="L148" s="112"/>
    </row>
    <row r="149" customFormat="false" ht="15" hidden="false" customHeight="false" outlineLevel="0" collapsed="false">
      <c r="A149" s="112" t="s">
        <v>570</v>
      </c>
      <c r="B149" s="112" t="s">
        <v>513</v>
      </c>
      <c r="C149" s="112" t="s">
        <v>568</v>
      </c>
      <c r="D149" s="112" t="s">
        <v>12</v>
      </c>
      <c r="E149" s="112" t="s">
        <v>571</v>
      </c>
      <c r="F149" s="113" t="s">
        <v>127</v>
      </c>
      <c r="G149" s="112" t="s">
        <v>128</v>
      </c>
      <c r="H149" s="112" t="s">
        <v>398</v>
      </c>
      <c r="I149" s="114" t="n">
        <v>1</v>
      </c>
      <c r="J149" s="114" t="n">
        <v>0</v>
      </c>
      <c r="K149" s="112"/>
      <c r="L149" s="112"/>
    </row>
    <row r="150" customFormat="false" ht="15" hidden="false" customHeight="false" outlineLevel="0" collapsed="false">
      <c r="A150" s="112" t="s">
        <v>572</v>
      </c>
      <c r="B150" s="112" t="s">
        <v>573</v>
      </c>
      <c r="C150" s="112" t="s">
        <v>13</v>
      </c>
      <c r="D150" s="112" t="s">
        <v>13</v>
      </c>
      <c r="E150" s="112" t="s">
        <v>574</v>
      </c>
      <c r="F150" s="113" t="s">
        <v>131</v>
      </c>
      <c r="G150" s="112" t="s">
        <v>132</v>
      </c>
      <c r="H150" s="112" t="s">
        <v>398</v>
      </c>
      <c r="I150" s="114" t="n">
        <v>1</v>
      </c>
      <c r="J150" s="114" t="n">
        <v>0</v>
      </c>
      <c r="K150" s="112"/>
      <c r="L150" s="112" t="s">
        <v>575</v>
      </c>
    </row>
    <row r="151" customFormat="false" ht="15" hidden="false" customHeight="false" outlineLevel="0" collapsed="false">
      <c r="A151" s="112" t="s">
        <v>531</v>
      </c>
      <c r="B151" s="112" t="s">
        <v>573</v>
      </c>
      <c r="C151" s="112" t="s">
        <v>44</v>
      </c>
      <c r="D151" s="112" t="s">
        <v>44</v>
      </c>
      <c r="E151" s="112" t="s">
        <v>576</v>
      </c>
      <c r="F151" s="113" t="s">
        <v>107</v>
      </c>
      <c r="G151" s="112" t="s">
        <v>108</v>
      </c>
      <c r="H151" s="112" t="s">
        <v>398</v>
      </c>
      <c r="I151" s="114" t="n">
        <v>1</v>
      </c>
      <c r="J151" s="114" t="n">
        <v>0</v>
      </c>
      <c r="K151" s="112"/>
      <c r="L151" s="112" t="s">
        <v>575</v>
      </c>
    </row>
    <row r="152" customFormat="false" ht="15" hidden="false" customHeight="false" outlineLevel="0" collapsed="false">
      <c r="A152" s="112" t="s">
        <v>577</v>
      </c>
      <c r="B152" s="112" t="s">
        <v>573</v>
      </c>
      <c r="C152" s="112" t="s">
        <v>7</v>
      </c>
      <c r="D152" s="112" t="s">
        <v>7</v>
      </c>
      <c r="E152" s="112" t="s">
        <v>356</v>
      </c>
      <c r="F152" s="113" t="s">
        <v>65</v>
      </c>
      <c r="G152" s="112" t="s">
        <v>66</v>
      </c>
      <c r="H152" s="112" t="s">
        <v>398</v>
      </c>
      <c r="I152" s="114" t="n">
        <v>1</v>
      </c>
      <c r="J152" s="114" t="n">
        <v>0</v>
      </c>
      <c r="K152" s="112"/>
      <c r="L152" s="112" t="s">
        <v>575</v>
      </c>
    </row>
    <row r="153" customFormat="false" ht="15" hidden="false" customHeight="false" outlineLevel="0" collapsed="false">
      <c r="A153" s="112" t="s">
        <v>432</v>
      </c>
      <c r="B153" s="112" t="s">
        <v>573</v>
      </c>
      <c r="C153" s="112" t="s">
        <v>7</v>
      </c>
      <c r="D153" s="112" t="s">
        <v>7</v>
      </c>
      <c r="E153" s="112" t="s">
        <v>172</v>
      </c>
      <c r="F153" s="113" t="s">
        <v>53</v>
      </c>
      <c r="G153" s="112" t="s">
        <v>54</v>
      </c>
      <c r="H153" s="112" t="s">
        <v>398</v>
      </c>
      <c r="I153" s="114" t="n">
        <v>1</v>
      </c>
      <c r="J153" s="114" t="n">
        <v>0</v>
      </c>
      <c r="K153" s="112"/>
      <c r="L153" s="112" t="s">
        <v>575</v>
      </c>
    </row>
    <row r="154" customFormat="false" ht="15" hidden="false" customHeight="false" outlineLevel="0" collapsed="false">
      <c r="A154" s="112" t="s">
        <v>435</v>
      </c>
      <c r="B154" s="112" t="s">
        <v>573</v>
      </c>
      <c r="C154" s="112" t="s">
        <v>7</v>
      </c>
      <c r="D154" s="112" t="s">
        <v>7</v>
      </c>
      <c r="E154" s="112" t="s">
        <v>378</v>
      </c>
      <c r="F154" s="113" t="s">
        <v>67</v>
      </c>
      <c r="G154" s="112" t="s">
        <v>68</v>
      </c>
      <c r="H154" s="112" t="s">
        <v>398</v>
      </c>
      <c r="I154" s="114" t="n">
        <v>1</v>
      </c>
      <c r="J154" s="114" t="n">
        <v>0</v>
      </c>
      <c r="K154" s="112"/>
      <c r="L154" s="112" t="s">
        <v>575</v>
      </c>
    </row>
    <row r="155" customFormat="false" ht="15" hidden="false" customHeight="false" outlineLevel="0" collapsed="false">
      <c r="A155" s="112" t="s">
        <v>437</v>
      </c>
      <c r="B155" s="112" t="s">
        <v>573</v>
      </c>
      <c r="C155" s="112" t="s">
        <v>7</v>
      </c>
      <c r="D155" s="112" t="s">
        <v>7</v>
      </c>
      <c r="E155" s="112" t="s">
        <v>384</v>
      </c>
      <c r="F155" s="113" t="s">
        <v>67</v>
      </c>
      <c r="G155" s="112" t="s">
        <v>68</v>
      </c>
      <c r="H155" s="112" t="s">
        <v>398</v>
      </c>
      <c r="I155" s="114" t="n">
        <v>1</v>
      </c>
      <c r="J155" s="114" t="n">
        <v>0</v>
      </c>
      <c r="K155" s="112"/>
      <c r="L155" s="112" t="s">
        <v>575</v>
      </c>
    </row>
    <row r="156" customFormat="false" ht="15" hidden="false" customHeight="false" outlineLevel="0" collapsed="false">
      <c r="A156" s="112" t="s">
        <v>439</v>
      </c>
      <c r="B156" s="112" t="s">
        <v>573</v>
      </c>
      <c r="C156" s="112" t="s">
        <v>7</v>
      </c>
      <c r="D156" s="112" t="s">
        <v>7</v>
      </c>
      <c r="E156" s="112" t="s">
        <v>358</v>
      </c>
      <c r="F156" s="113" t="s">
        <v>67</v>
      </c>
      <c r="G156" s="112" t="s">
        <v>68</v>
      </c>
      <c r="H156" s="112" t="s">
        <v>398</v>
      </c>
      <c r="I156" s="114" t="n">
        <v>1</v>
      </c>
      <c r="J156" s="114" t="n">
        <v>0</v>
      </c>
      <c r="K156" s="112"/>
      <c r="L156" s="112" t="s">
        <v>575</v>
      </c>
    </row>
    <row r="157" customFormat="false" ht="15" hidden="false" customHeight="false" outlineLevel="0" collapsed="false">
      <c r="A157" s="112" t="s">
        <v>578</v>
      </c>
      <c r="B157" s="112" t="s">
        <v>573</v>
      </c>
      <c r="C157" s="112" t="s">
        <v>8</v>
      </c>
      <c r="D157" s="112" t="s">
        <v>8</v>
      </c>
      <c r="E157" s="112" t="s">
        <v>242</v>
      </c>
      <c r="F157" s="113" t="s">
        <v>63</v>
      </c>
      <c r="G157" s="112" t="s">
        <v>64</v>
      </c>
      <c r="H157" s="112" t="s">
        <v>398</v>
      </c>
      <c r="I157" s="114" t="n">
        <v>1</v>
      </c>
      <c r="J157" s="114" t="n">
        <v>0</v>
      </c>
      <c r="K157" s="112"/>
      <c r="L157" s="112" t="s">
        <v>575</v>
      </c>
    </row>
    <row r="158" customFormat="false" ht="15" hidden="false" customHeight="false" outlineLevel="0" collapsed="false">
      <c r="A158" s="112" t="s">
        <v>442</v>
      </c>
      <c r="B158" s="112" t="s">
        <v>573</v>
      </c>
      <c r="C158" s="112" t="s">
        <v>8</v>
      </c>
      <c r="D158" s="112" t="s">
        <v>8</v>
      </c>
      <c r="E158" s="112" t="s">
        <v>176</v>
      </c>
      <c r="F158" s="113" t="s">
        <v>53</v>
      </c>
      <c r="G158" s="112" t="s">
        <v>54</v>
      </c>
      <c r="H158" s="112" t="s">
        <v>398</v>
      </c>
      <c r="I158" s="114" t="n">
        <v>1</v>
      </c>
      <c r="J158" s="114" t="n">
        <v>0</v>
      </c>
      <c r="K158" s="112"/>
      <c r="L158" s="112" t="s">
        <v>575</v>
      </c>
    </row>
    <row r="159" customFormat="false" ht="15" hidden="false" customHeight="false" outlineLevel="0" collapsed="false">
      <c r="A159" s="112" t="s">
        <v>579</v>
      </c>
      <c r="B159" s="112" t="s">
        <v>573</v>
      </c>
      <c r="C159" s="112" t="s">
        <v>9</v>
      </c>
      <c r="D159" s="112" t="s">
        <v>9</v>
      </c>
      <c r="E159" s="112" t="s">
        <v>580</v>
      </c>
      <c r="F159" s="113" t="s">
        <v>113</v>
      </c>
      <c r="G159" s="112" t="s">
        <v>114</v>
      </c>
      <c r="H159" s="112" t="s">
        <v>398</v>
      </c>
      <c r="I159" s="114" t="n">
        <v>1</v>
      </c>
      <c r="J159" s="114" t="n">
        <v>0</v>
      </c>
      <c r="K159" s="112"/>
      <c r="L159" s="112" t="s">
        <v>575</v>
      </c>
    </row>
    <row r="160" customFormat="false" ht="15" hidden="false" customHeight="false" outlineLevel="0" collapsed="false">
      <c r="A160" s="112" t="s">
        <v>581</v>
      </c>
      <c r="B160" s="112" t="s">
        <v>573</v>
      </c>
      <c r="C160" s="112" t="s">
        <v>582</v>
      </c>
      <c r="D160" s="112" t="s">
        <v>20</v>
      </c>
      <c r="E160" s="112" t="s">
        <v>583</v>
      </c>
      <c r="F160" s="113" t="s">
        <v>131</v>
      </c>
      <c r="G160" s="112" t="s">
        <v>132</v>
      </c>
      <c r="H160" s="112" t="s">
        <v>398</v>
      </c>
      <c r="I160" s="114" t="n">
        <v>1</v>
      </c>
      <c r="J160" s="114" t="n">
        <v>0</v>
      </c>
      <c r="K160" s="112"/>
      <c r="L160" s="112" t="s">
        <v>575</v>
      </c>
    </row>
    <row r="161" customFormat="false" ht="15" hidden="false" customHeight="false" outlineLevel="0" collapsed="false">
      <c r="A161" s="112" t="s">
        <v>584</v>
      </c>
      <c r="B161" s="112" t="s">
        <v>573</v>
      </c>
      <c r="C161" s="112" t="s">
        <v>585</v>
      </c>
      <c r="D161" s="112" t="s">
        <v>21</v>
      </c>
      <c r="E161" s="112" t="s">
        <v>305</v>
      </c>
      <c r="F161" s="113" t="s">
        <v>63</v>
      </c>
      <c r="G161" s="112" t="s">
        <v>64</v>
      </c>
      <c r="H161" s="112" t="s">
        <v>398</v>
      </c>
      <c r="I161" s="114" t="n">
        <v>1</v>
      </c>
      <c r="J161" s="114" t="n">
        <v>0</v>
      </c>
      <c r="K161" s="112"/>
      <c r="L161" s="112" t="s">
        <v>575</v>
      </c>
    </row>
    <row r="162" customFormat="false" ht="15" hidden="false" customHeight="false" outlineLevel="0" collapsed="false">
      <c r="A162" s="112" t="s">
        <v>395</v>
      </c>
      <c r="B162" s="112" t="s">
        <v>573</v>
      </c>
      <c r="C162" s="112" t="s">
        <v>585</v>
      </c>
      <c r="D162" s="112" t="s">
        <v>21</v>
      </c>
      <c r="E162" s="112" t="s">
        <v>311</v>
      </c>
      <c r="F162" s="113" t="s">
        <v>63</v>
      </c>
      <c r="G162" s="112" t="s">
        <v>64</v>
      </c>
      <c r="H162" s="112" t="s">
        <v>398</v>
      </c>
      <c r="I162" s="114" t="n">
        <v>1</v>
      </c>
      <c r="J162" s="114" t="n">
        <v>0</v>
      </c>
      <c r="K162" s="112"/>
      <c r="L162" s="112" t="s">
        <v>575</v>
      </c>
    </row>
    <row r="163" customFormat="false" ht="15" hidden="false" customHeight="false" outlineLevel="0" collapsed="false">
      <c r="A163" s="112" t="s">
        <v>399</v>
      </c>
      <c r="B163" s="112" t="s">
        <v>573</v>
      </c>
      <c r="C163" s="112" t="s">
        <v>585</v>
      </c>
      <c r="D163" s="112" t="s">
        <v>21</v>
      </c>
      <c r="E163" s="112" t="s">
        <v>299</v>
      </c>
      <c r="F163" s="113" t="s">
        <v>63</v>
      </c>
      <c r="G163" s="112" t="s">
        <v>64</v>
      </c>
      <c r="H163" s="112" t="s">
        <v>398</v>
      </c>
      <c r="I163" s="114" t="n">
        <v>0</v>
      </c>
      <c r="J163" s="114" t="n">
        <v>1</v>
      </c>
      <c r="K163" s="112"/>
      <c r="L163" s="112" t="s">
        <v>575</v>
      </c>
    </row>
    <row r="164" customFormat="false" ht="15" hidden="false" customHeight="false" outlineLevel="0" collapsed="false">
      <c r="A164" s="112" t="s">
        <v>400</v>
      </c>
      <c r="B164" s="112" t="s">
        <v>573</v>
      </c>
      <c r="C164" s="112" t="s">
        <v>585</v>
      </c>
      <c r="D164" s="112" t="s">
        <v>21</v>
      </c>
      <c r="E164" s="112" t="s">
        <v>185</v>
      </c>
      <c r="F164" s="113" t="s">
        <v>59</v>
      </c>
      <c r="G164" s="112" t="s">
        <v>60</v>
      </c>
      <c r="H164" s="112" t="s">
        <v>398</v>
      </c>
      <c r="I164" s="114" t="n">
        <v>1</v>
      </c>
      <c r="J164" s="114" t="n">
        <v>0</v>
      </c>
      <c r="K164" s="112"/>
      <c r="L164" s="112" t="s">
        <v>575</v>
      </c>
    </row>
    <row r="165" customFormat="false" ht="15" hidden="false" customHeight="false" outlineLevel="0" collapsed="false">
      <c r="A165" s="112" t="s">
        <v>586</v>
      </c>
      <c r="B165" s="112" t="s">
        <v>573</v>
      </c>
      <c r="C165" s="112" t="s">
        <v>585</v>
      </c>
      <c r="D165" s="112" t="s">
        <v>21</v>
      </c>
      <c r="E165" s="112" t="s">
        <v>192</v>
      </c>
      <c r="F165" s="113" t="s">
        <v>59</v>
      </c>
      <c r="G165" s="112" t="s">
        <v>60</v>
      </c>
      <c r="H165" s="112" t="s">
        <v>398</v>
      </c>
      <c r="I165" s="114" t="n">
        <v>1</v>
      </c>
      <c r="J165" s="114" t="n">
        <v>0</v>
      </c>
      <c r="K165" s="112"/>
      <c r="L165" s="112" t="s">
        <v>575</v>
      </c>
    </row>
    <row r="166" customFormat="false" ht="15" hidden="false" customHeight="false" outlineLevel="0" collapsed="false">
      <c r="A166" s="112" t="s">
        <v>542</v>
      </c>
      <c r="B166" s="112" t="s">
        <v>573</v>
      </c>
      <c r="C166" s="112" t="s">
        <v>585</v>
      </c>
      <c r="D166" s="112" t="s">
        <v>21</v>
      </c>
      <c r="E166" s="112" t="s">
        <v>190</v>
      </c>
      <c r="F166" s="113" t="s">
        <v>59</v>
      </c>
      <c r="G166" s="112" t="s">
        <v>60</v>
      </c>
      <c r="H166" s="112" t="s">
        <v>398</v>
      </c>
      <c r="I166" s="114" t="n">
        <v>1</v>
      </c>
      <c r="J166" s="114" t="n">
        <v>1</v>
      </c>
      <c r="K166" s="112"/>
      <c r="L166" s="112" t="s">
        <v>575</v>
      </c>
    </row>
    <row r="167" customFormat="false" ht="15" hidden="false" customHeight="false" outlineLevel="0" collapsed="false">
      <c r="A167" s="112" t="s">
        <v>587</v>
      </c>
      <c r="B167" s="112" t="s">
        <v>573</v>
      </c>
      <c r="C167" s="112" t="s">
        <v>585</v>
      </c>
      <c r="D167" s="112" t="s">
        <v>21</v>
      </c>
      <c r="E167" s="112" t="s">
        <v>187</v>
      </c>
      <c r="F167" s="113" t="s">
        <v>59</v>
      </c>
      <c r="G167" s="112" t="s">
        <v>60</v>
      </c>
      <c r="H167" s="112" t="s">
        <v>398</v>
      </c>
      <c r="I167" s="114" t="n">
        <v>0</v>
      </c>
      <c r="J167" s="114" t="n">
        <v>1</v>
      </c>
      <c r="K167" s="112"/>
      <c r="L167" s="112" t="s">
        <v>575</v>
      </c>
    </row>
    <row r="168" customFormat="false" ht="15" hidden="false" customHeight="false" outlineLevel="0" collapsed="false">
      <c r="A168" s="112" t="s">
        <v>493</v>
      </c>
      <c r="B168" s="112" t="s">
        <v>573</v>
      </c>
      <c r="C168" s="112" t="s">
        <v>585</v>
      </c>
      <c r="D168" s="112" t="s">
        <v>21</v>
      </c>
      <c r="E168" s="112" t="s">
        <v>182</v>
      </c>
      <c r="F168" s="113" t="s">
        <v>59</v>
      </c>
      <c r="G168" s="112" t="s">
        <v>60</v>
      </c>
      <c r="H168" s="112" t="s">
        <v>398</v>
      </c>
      <c r="I168" s="114" t="n">
        <v>0</v>
      </c>
      <c r="J168" s="114" t="n">
        <v>1</v>
      </c>
      <c r="K168" s="112"/>
      <c r="L168" s="112" t="s">
        <v>575</v>
      </c>
    </row>
    <row r="169" customFormat="false" ht="15" hidden="false" customHeight="false" outlineLevel="0" collapsed="false">
      <c r="A169" s="112" t="s">
        <v>543</v>
      </c>
      <c r="B169" s="112" t="s">
        <v>573</v>
      </c>
      <c r="C169" s="112" t="s">
        <v>585</v>
      </c>
      <c r="D169" s="112" t="s">
        <v>21</v>
      </c>
      <c r="E169" s="112" t="s">
        <v>295</v>
      </c>
      <c r="F169" s="113" t="s">
        <v>65</v>
      </c>
      <c r="G169" s="112" t="s">
        <v>66</v>
      </c>
      <c r="H169" s="112" t="s">
        <v>398</v>
      </c>
      <c r="I169" s="114" t="n">
        <v>1</v>
      </c>
      <c r="J169" s="114" t="n">
        <v>0</v>
      </c>
      <c r="K169" s="112"/>
      <c r="L169" s="112" t="s">
        <v>575</v>
      </c>
    </row>
    <row r="170" customFormat="false" ht="15" hidden="false" customHeight="false" outlineLevel="0" collapsed="false">
      <c r="A170" s="112" t="s">
        <v>545</v>
      </c>
      <c r="B170" s="112" t="s">
        <v>573</v>
      </c>
      <c r="C170" s="112" t="s">
        <v>585</v>
      </c>
      <c r="D170" s="112" t="s">
        <v>21</v>
      </c>
      <c r="E170" s="112" t="s">
        <v>320</v>
      </c>
      <c r="F170" s="113" t="s">
        <v>65</v>
      </c>
      <c r="G170" s="112" t="s">
        <v>66</v>
      </c>
      <c r="H170" s="112" t="s">
        <v>398</v>
      </c>
      <c r="I170" s="114" t="n">
        <v>1</v>
      </c>
      <c r="J170" s="114" t="n">
        <v>0</v>
      </c>
      <c r="K170" s="112"/>
      <c r="L170" s="112" t="s">
        <v>575</v>
      </c>
    </row>
    <row r="171" customFormat="false" ht="15" hidden="false" customHeight="false" outlineLevel="0" collapsed="false">
      <c r="A171" s="112" t="s">
        <v>547</v>
      </c>
      <c r="B171" s="112" t="s">
        <v>573</v>
      </c>
      <c r="C171" s="112" t="s">
        <v>585</v>
      </c>
      <c r="D171" s="112" t="s">
        <v>21</v>
      </c>
      <c r="E171" s="112" t="s">
        <v>327</v>
      </c>
      <c r="F171" s="113" t="s">
        <v>65</v>
      </c>
      <c r="G171" s="112" t="s">
        <v>66</v>
      </c>
      <c r="H171" s="112" t="s">
        <v>398</v>
      </c>
      <c r="I171" s="114" t="n">
        <v>1</v>
      </c>
      <c r="J171" s="114" t="n">
        <v>0</v>
      </c>
      <c r="K171" s="112"/>
      <c r="L171" s="112" t="s">
        <v>575</v>
      </c>
    </row>
    <row r="172" customFormat="false" ht="15" hidden="false" customHeight="false" outlineLevel="0" collapsed="false">
      <c r="A172" s="112" t="s">
        <v>549</v>
      </c>
      <c r="B172" s="112" t="s">
        <v>573</v>
      </c>
      <c r="C172" s="112" t="s">
        <v>585</v>
      </c>
      <c r="D172" s="112" t="s">
        <v>21</v>
      </c>
      <c r="E172" s="112" t="s">
        <v>307</v>
      </c>
      <c r="F172" s="113" t="s">
        <v>65</v>
      </c>
      <c r="G172" s="112" t="s">
        <v>66</v>
      </c>
      <c r="H172" s="112" t="s">
        <v>398</v>
      </c>
      <c r="I172" s="114" t="n">
        <v>1</v>
      </c>
      <c r="J172" s="114" t="n">
        <v>0</v>
      </c>
      <c r="K172" s="112"/>
      <c r="L172" s="112" t="s">
        <v>575</v>
      </c>
    </row>
    <row r="173" customFormat="false" ht="15" hidden="false" customHeight="false" outlineLevel="0" collapsed="false">
      <c r="A173" s="112" t="s">
        <v>551</v>
      </c>
      <c r="B173" s="112" t="s">
        <v>573</v>
      </c>
      <c r="C173" s="112" t="s">
        <v>585</v>
      </c>
      <c r="D173" s="112" t="s">
        <v>21</v>
      </c>
      <c r="E173" s="112" t="s">
        <v>289</v>
      </c>
      <c r="F173" s="113" t="s">
        <v>65</v>
      </c>
      <c r="G173" s="112" t="s">
        <v>66</v>
      </c>
      <c r="H173" s="112" t="s">
        <v>398</v>
      </c>
      <c r="I173" s="114" t="n">
        <v>1</v>
      </c>
      <c r="J173" s="114" t="n">
        <v>1</v>
      </c>
      <c r="K173" s="112"/>
      <c r="L173" s="112" t="s">
        <v>575</v>
      </c>
    </row>
    <row r="174" customFormat="false" ht="15" hidden="false" customHeight="false" outlineLevel="0" collapsed="false">
      <c r="A174" s="112" t="s">
        <v>553</v>
      </c>
      <c r="B174" s="112" t="s">
        <v>573</v>
      </c>
      <c r="C174" s="112" t="s">
        <v>585</v>
      </c>
      <c r="D174" s="112" t="s">
        <v>21</v>
      </c>
      <c r="E174" s="112" t="s">
        <v>282</v>
      </c>
      <c r="F174" s="113" t="s">
        <v>65</v>
      </c>
      <c r="G174" s="112" t="s">
        <v>66</v>
      </c>
      <c r="H174" s="112" t="s">
        <v>398</v>
      </c>
      <c r="I174" s="114" t="n">
        <v>0</v>
      </c>
      <c r="J174" s="114" t="n">
        <v>1</v>
      </c>
      <c r="K174" s="112"/>
      <c r="L174" s="112" t="s">
        <v>575</v>
      </c>
    </row>
    <row r="175" customFormat="false" ht="15" hidden="false" customHeight="false" outlineLevel="0" collapsed="false">
      <c r="A175" s="112" t="s">
        <v>588</v>
      </c>
      <c r="B175" s="112" t="s">
        <v>573</v>
      </c>
      <c r="C175" s="112" t="s">
        <v>585</v>
      </c>
      <c r="D175" s="112" t="s">
        <v>21</v>
      </c>
      <c r="E175" s="112" t="s">
        <v>333</v>
      </c>
      <c r="F175" s="113" t="s">
        <v>65</v>
      </c>
      <c r="G175" s="112" t="s">
        <v>66</v>
      </c>
      <c r="H175" s="112" t="s">
        <v>398</v>
      </c>
      <c r="I175" s="114" t="n">
        <v>0</v>
      </c>
      <c r="J175" s="114" t="n">
        <v>1</v>
      </c>
      <c r="K175" s="112"/>
      <c r="L175" s="112" t="s">
        <v>575</v>
      </c>
    </row>
    <row r="176" customFormat="false" ht="15" hidden="false" customHeight="false" outlineLevel="0" collapsed="false">
      <c r="A176" s="112" t="s">
        <v>555</v>
      </c>
      <c r="B176" s="112" t="s">
        <v>573</v>
      </c>
      <c r="C176" s="112" t="s">
        <v>585</v>
      </c>
      <c r="D176" s="112" t="s">
        <v>21</v>
      </c>
      <c r="E176" s="112" t="s">
        <v>313</v>
      </c>
      <c r="F176" s="113" t="s">
        <v>65</v>
      </c>
      <c r="G176" s="112" t="s">
        <v>66</v>
      </c>
      <c r="H176" s="112" t="s">
        <v>398</v>
      </c>
      <c r="I176" s="114" t="n">
        <v>0</v>
      </c>
      <c r="J176" s="114" t="n">
        <v>1</v>
      </c>
      <c r="K176" s="112"/>
      <c r="L176" s="112" t="s">
        <v>575</v>
      </c>
    </row>
    <row r="177" customFormat="false" ht="15" hidden="false" customHeight="false" outlineLevel="0" collapsed="false">
      <c r="A177" s="112" t="s">
        <v>589</v>
      </c>
      <c r="B177" s="112" t="s">
        <v>573</v>
      </c>
      <c r="C177" s="112" t="s">
        <v>585</v>
      </c>
      <c r="D177" s="112" t="s">
        <v>21</v>
      </c>
      <c r="E177" s="112" t="s">
        <v>301</v>
      </c>
      <c r="F177" s="113" t="s">
        <v>65</v>
      </c>
      <c r="G177" s="112" t="s">
        <v>66</v>
      </c>
      <c r="H177" s="112" t="s">
        <v>398</v>
      </c>
      <c r="I177" s="114" t="n">
        <v>0</v>
      </c>
      <c r="J177" s="114" t="n">
        <v>1</v>
      </c>
      <c r="K177" s="112"/>
      <c r="L177" s="112" t="s">
        <v>575</v>
      </c>
    </row>
    <row r="178" customFormat="false" ht="15" hidden="false" customHeight="false" outlineLevel="0" collapsed="false">
      <c r="A178" s="112" t="s">
        <v>557</v>
      </c>
      <c r="B178" s="112" t="s">
        <v>573</v>
      </c>
      <c r="C178" s="112" t="s">
        <v>585</v>
      </c>
      <c r="D178" s="112" t="s">
        <v>21</v>
      </c>
      <c r="E178" s="112" t="s">
        <v>204</v>
      </c>
      <c r="F178" s="113" t="s">
        <v>53</v>
      </c>
      <c r="G178" s="112" t="s">
        <v>54</v>
      </c>
      <c r="H178" s="112" t="s">
        <v>398</v>
      </c>
      <c r="I178" s="114" t="n">
        <v>1</v>
      </c>
      <c r="J178" s="114" t="n">
        <v>0</v>
      </c>
      <c r="K178" s="112"/>
      <c r="L178" s="112" t="s">
        <v>575</v>
      </c>
    </row>
    <row r="179" customFormat="false" ht="15" hidden="false" customHeight="false" outlineLevel="0" collapsed="false">
      <c r="A179" s="112" t="s">
        <v>558</v>
      </c>
      <c r="B179" s="112" t="s">
        <v>573</v>
      </c>
      <c r="C179" s="112" t="s">
        <v>585</v>
      </c>
      <c r="D179" s="112" t="s">
        <v>21</v>
      </c>
      <c r="E179" s="112" t="s">
        <v>216</v>
      </c>
      <c r="F179" s="113" t="s">
        <v>53</v>
      </c>
      <c r="G179" s="112" t="s">
        <v>54</v>
      </c>
      <c r="H179" s="112" t="s">
        <v>398</v>
      </c>
      <c r="I179" s="114" t="n">
        <v>1</v>
      </c>
      <c r="J179" s="114" t="n">
        <v>0</v>
      </c>
      <c r="K179" s="112"/>
      <c r="L179" s="112" t="s">
        <v>575</v>
      </c>
    </row>
    <row r="180" customFormat="false" ht="15" hidden="false" customHeight="false" outlineLevel="0" collapsed="false">
      <c r="A180" s="112" t="s">
        <v>559</v>
      </c>
      <c r="B180" s="112" t="s">
        <v>573</v>
      </c>
      <c r="C180" s="112" t="s">
        <v>585</v>
      </c>
      <c r="D180" s="112" t="s">
        <v>21</v>
      </c>
      <c r="E180" s="112" t="s">
        <v>202</v>
      </c>
      <c r="F180" s="113" t="s">
        <v>53</v>
      </c>
      <c r="G180" s="112" t="s">
        <v>54</v>
      </c>
      <c r="H180" s="112" t="s">
        <v>398</v>
      </c>
      <c r="I180" s="114" t="n">
        <v>1</v>
      </c>
      <c r="J180" s="114" t="n">
        <v>0</v>
      </c>
      <c r="K180" s="112"/>
      <c r="L180" s="112" t="s">
        <v>575</v>
      </c>
    </row>
    <row r="181" customFormat="false" ht="15" hidden="false" customHeight="false" outlineLevel="0" collapsed="false">
      <c r="A181" s="112" t="s">
        <v>560</v>
      </c>
      <c r="B181" s="112" t="s">
        <v>573</v>
      </c>
      <c r="C181" s="112" t="s">
        <v>585</v>
      </c>
      <c r="D181" s="112" t="s">
        <v>21</v>
      </c>
      <c r="E181" s="112" t="s">
        <v>209</v>
      </c>
      <c r="F181" s="113" t="s">
        <v>53</v>
      </c>
      <c r="G181" s="112" t="s">
        <v>54</v>
      </c>
      <c r="H181" s="112" t="s">
        <v>398</v>
      </c>
      <c r="I181" s="114" t="n">
        <v>1</v>
      </c>
      <c r="J181" s="114" t="n">
        <v>0</v>
      </c>
      <c r="K181" s="112"/>
      <c r="L181" s="112" t="s">
        <v>575</v>
      </c>
    </row>
    <row r="182" customFormat="false" ht="15" hidden="false" customHeight="false" outlineLevel="0" collapsed="false">
      <c r="A182" s="112" t="s">
        <v>590</v>
      </c>
      <c r="B182" s="112" t="s">
        <v>573</v>
      </c>
      <c r="C182" s="112" t="s">
        <v>585</v>
      </c>
      <c r="D182" s="112" t="s">
        <v>21</v>
      </c>
      <c r="E182" s="112" t="s">
        <v>214</v>
      </c>
      <c r="F182" s="113" t="s">
        <v>53</v>
      </c>
      <c r="G182" s="112" t="s">
        <v>54</v>
      </c>
      <c r="H182" s="112" t="s">
        <v>398</v>
      </c>
      <c r="I182" s="114" t="n">
        <v>0</v>
      </c>
      <c r="J182" s="114" t="n">
        <v>1</v>
      </c>
      <c r="K182" s="112"/>
      <c r="L182" s="112" t="s">
        <v>575</v>
      </c>
    </row>
    <row r="183" customFormat="false" ht="15" hidden="false" customHeight="false" outlineLevel="0" collapsed="false">
      <c r="A183" s="112" t="s">
        <v>561</v>
      </c>
      <c r="B183" s="112" t="s">
        <v>573</v>
      </c>
      <c r="C183" s="112" t="s">
        <v>585</v>
      </c>
      <c r="D183" s="112" t="s">
        <v>21</v>
      </c>
      <c r="E183" s="112" t="s">
        <v>206</v>
      </c>
      <c r="F183" s="113" t="s">
        <v>53</v>
      </c>
      <c r="G183" s="112" t="s">
        <v>54</v>
      </c>
      <c r="H183" s="112" t="s">
        <v>398</v>
      </c>
      <c r="I183" s="114" t="n">
        <v>0</v>
      </c>
      <c r="J183" s="114" t="n">
        <v>1</v>
      </c>
      <c r="K183" s="112"/>
      <c r="L183" s="112" t="s">
        <v>575</v>
      </c>
    </row>
    <row r="184" customFormat="false" ht="15" hidden="false" customHeight="false" outlineLevel="0" collapsed="false">
      <c r="A184" s="112" t="s">
        <v>564</v>
      </c>
      <c r="B184" s="112" t="s">
        <v>573</v>
      </c>
      <c r="C184" s="112" t="s">
        <v>585</v>
      </c>
      <c r="D184" s="112" t="s">
        <v>21</v>
      </c>
      <c r="E184" s="112" t="s">
        <v>211</v>
      </c>
      <c r="F184" s="113" t="s">
        <v>53</v>
      </c>
      <c r="G184" s="112" t="s">
        <v>54</v>
      </c>
      <c r="H184" s="112" t="s">
        <v>398</v>
      </c>
      <c r="I184" s="114" t="n">
        <v>0</v>
      </c>
      <c r="J184" s="114" t="n">
        <v>1</v>
      </c>
      <c r="K184" s="112"/>
      <c r="L184" s="112" t="s">
        <v>575</v>
      </c>
    </row>
    <row r="185" customFormat="false" ht="15" hidden="false" customHeight="false" outlineLevel="0" collapsed="false">
      <c r="A185" s="112" t="s">
        <v>591</v>
      </c>
      <c r="B185" s="112" t="s">
        <v>573</v>
      </c>
      <c r="C185" s="112" t="s">
        <v>585</v>
      </c>
      <c r="D185" s="112" t="s">
        <v>21</v>
      </c>
      <c r="E185" s="112" t="s">
        <v>380</v>
      </c>
      <c r="F185" s="113" t="s">
        <v>67</v>
      </c>
      <c r="G185" s="112" t="s">
        <v>68</v>
      </c>
      <c r="H185" s="112" t="s">
        <v>398</v>
      </c>
      <c r="I185" s="114" t="n">
        <v>1</v>
      </c>
      <c r="J185" s="114" t="n">
        <v>0</v>
      </c>
      <c r="K185" s="112"/>
      <c r="L185" s="112" t="s">
        <v>575</v>
      </c>
    </row>
    <row r="186" customFormat="false" ht="15" hidden="false" customHeight="false" outlineLevel="0" collapsed="false">
      <c r="A186" s="112" t="s">
        <v>592</v>
      </c>
      <c r="B186" s="112" t="s">
        <v>573</v>
      </c>
      <c r="C186" s="112" t="s">
        <v>585</v>
      </c>
      <c r="D186" s="112" t="s">
        <v>21</v>
      </c>
      <c r="E186" s="112" t="s">
        <v>353</v>
      </c>
      <c r="F186" s="113" t="s">
        <v>67</v>
      </c>
      <c r="G186" s="112" t="s">
        <v>68</v>
      </c>
      <c r="H186" s="112" t="s">
        <v>398</v>
      </c>
      <c r="I186" s="114" t="n">
        <v>1</v>
      </c>
      <c r="J186" s="114" t="n">
        <v>0</v>
      </c>
      <c r="K186" s="112"/>
      <c r="L186" s="112" t="s">
        <v>575</v>
      </c>
    </row>
    <row r="187" customFormat="false" ht="15" hidden="false" customHeight="false" outlineLevel="0" collapsed="false">
      <c r="A187" s="112" t="s">
        <v>593</v>
      </c>
      <c r="B187" s="112" t="s">
        <v>573</v>
      </c>
      <c r="C187" s="112" t="s">
        <v>585</v>
      </c>
      <c r="D187" s="112" t="s">
        <v>21</v>
      </c>
      <c r="E187" s="112" t="s">
        <v>322</v>
      </c>
      <c r="F187" s="113" t="s">
        <v>67</v>
      </c>
      <c r="G187" s="112" t="s">
        <v>68</v>
      </c>
      <c r="H187" s="112" t="s">
        <v>398</v>
      </c>
      <c r="I187" s="114" t="n">
        <v>1</v>
      </c>
      <c r="J187" s="114" t="n">
        <v>0</v>
      </c>
      <c r="K187" s="112"/>
      <c r="L187" s="112" t="s">
        <v>575</v>
      </c>
    </row>
    <row r="188" customFormat="false" ht="15" hidden="false" customHeight="false" outlineLevel="0" collapsed="false">
      <c r="A188" s="112" t="s">
        <v>594</v>
      </c>
      <c r="B188" s="112" t="s">
        <v>573</v>
      </c>
      <c r="C188" s="112" t="s">
        <v>585</v>
      </c>
      <c r="D188" s="112" t="s">
        <v>21</v>
      </c>
      <c r="E188" s="112" t="s">
        <v>346</v>
      </c>
      <c r="F188" s="113" t="s">
        <v>67</v>
      </c>
      <c r="G188" s="112" t="s">
        <v>68</v>
      </c>
      <c r="H188" s="112" t="s">
        <v>398</v>
      </c>
      <c r="I188" s="114" t="n">
        <v>1</v>
      </c>
      <c r="J188" s="114" t="n">
        <v>0</v>
      </c>
      <c r="K188" s="112"/>
      <c r="L188" s="112" t="s">
        <v>575</v>
      </c>
    </row>
    <row r="189" customFormat="false" ht="15" hidden="false" customHeight="false" outlineLevel="0" collapsed="false">
      <c r="A189" s="112" t="s">
        <v>595</v>
      </c>
      <c r="B189" s="112" t="s">
        <v>573</v>
      </c>
      <c r="C189" s="112" t="s">
        <v>585</v>
      </c>
      <c r="D189" s="112" t="s">
        <v>21</v>
      </c>
      <c r="E189" s="112" t="s">
        <v>340</v>
      </c>
      <c r="F189" s="113" t="s">
        <v>67</v>
      </c>
      <c r="G189" s="112" t="s">
        <v>68</v>
      </c>
      <c r="H189" s="112" t="s">
        <v>398</v>
      </c>
      <c r="I189" s="114" t="n">
        <v>1</v>
      </c>
      <c r="J189" s="114" t="n">
        <v>0</v>
      </c>
      <c r="K189" s="112"/>
      <c r="L189" s="112" t="s">
        <v>575</v>
      </c>
    </row>
    <row r="190" customFormat="false" ht="15" hidden="false" customHeight="false" outlineLevel="0" collapsed="false">
      <c r="A190" s="112" t="s">
        <v>596</v>
      </c>
      <c r="B190" s="112" t="s">
        <v>573</v>
      </c>
      <c r="C190" s="112" t="s">
        <v>585</v>
      </c>
      <c r="D190" s="112" t="s">
        <v>21</v>
      </c>
      <c r="E190" s="112" t="s">
        <v>329</v>
      </c>
      <c r="F190" s="113" t="s">
        <v>67</v>
      </c>
      <c r="G190" s="112" t="s">
        <v>68</v>
      </c>
      <c r="H190" s="112" t="s">
        <v>398</v>
      </c>
      <c r="I190" s="114" t="n">
        <v>0</v>
      </c>
      <c r="J190" s="114" t="n">
        <v>1</v>
      </c>
      <c r="K190" s="112"/>
      <c r="L190" s="112" t="s">
        <v>575</v>
      </c>
    </row>
    <row r="191" customFormat="false" ht="15" hidden="false" customHeight="false" outlineLevel="0" collapsed="false">
      <c r="A191" s="112" t="s">
        <v>597</v>
      </c>
      <c r="B191" s="112" t="s">
        <v>573</v>
      </c>
      <c r="C191" s="112" t="s">
        <v>585</v>
      </c>
      <c r="D191" s="112" t="s">
        <v>21</v>
      </c>
      <c r="E191" s="112" t="s">
        <v>373</v>
      </c>
      <c r="F191" s="113" t="s">
        <v>67</v>
      </c>
      <c r="G191" s="112" t="s">
        <v>68</v>
      </c>
      <c r="H191" s="112" t="s">
        <v>398</v>
      </c>
      <c r="I191" s="114" t="n">
        <v>0</v>
      </c>
      <c r="J191" s="114" t="n">
        <v>1</v>
      </c>
      <c r="K191" s="112"/>
      <c r="L191" s="112" t="s">
        <v>575</v>
      </c>
    </row>
    <row r="192" customFormat="false" ht="15" hidden="false" customHeight="false" outlineLevel="0" collapsed="false">
      <c r="A192" s="112" t="s">
        <v>598</v>
      </c>
      <c r="B192" s="112" t="s">
        <v>573</v>
      </c>
      <c r="C192" s="112" t="s">
        <v>585</v>
      </c>
      <c r="D192" s="112" t="s">
        <v>21</v>
      </c>
      <c r="E192" s="112" t="s">
        <v>366</v>
      </c>
      <c r="F192" s="113" t="s">
        <v>67</v>
      </c>
      <c r="G192" s="112" t="s">
        <v>68</v>
      </c>
      <c r="H192" s="112" t="s">
        <v>398</v>
      </c>
      <c r="I192" s="114" t="n">
        <v>0</v>
      </c>
      <c r="J192" s="114" t="n">
        <v>1</v>
      </c>
      <c r="K192" s="112"/>
      <c r="L192" s="112" t="s">
        <v>575</v>
      </c>
    </row>
    <row r="193" customFormat="false" ht="15" hidden="false" customHeight="false" outlineLevel="0" collapsed="false">
      <c r="A193" s="112" t="s">
        <v>599</v>
      </c>
      <c r="B193" s="112" t="s">
        <v>573</v>
      </c>
      <c r="C193" s="112" t="s">
        <v>585</v>
      </c>
      <c r="D193" s="112" t="s">
        <v>21</v>
      </c>
      <c r="E193" s="112" t="s">
        <v>335</v>
      </c>
      <c r="F193" s="113" t="s">
        <v>67</v>
      </c>
      <c r="G193" s="112" t="s">
        <v>68</v>
      </c>
      <c r="H193" s="112" t="s">
        <v>398</v>
      </c>
      <c r="I193" s="114" t="n">
        <v>0</v>
      </c>
      <c r="J193" s="114" t="n">
        <v>1</v>
      </c>
      <c r="K193" s="112"/>
      <c r="L193" s="112" t="s">
        <v>575</v>
      </c>
    </row>
    <row r="194" customFormat="false" ht="15" hidden="false" customHeight="false" outlineLevel="0" collapsed="false">
      <c r="A194" s="112" t="s">
        <v>600</v>
      </c>
      <c r="B194" s="112" t="s">
        <v>573</v>
      </c>
      <c r="C194" s="112" t="s">
        <v>585</v>
      </c>
      <c r="D194" s="112" t="s">
        <v>21</v>
      </c>
      <c r="E194" s="112" t="s">
        <v>360</v>
      </c>
      <c r="F194" s="113" t="s">
        <v>67</v>
      </c>
      <c r="G194" s="112" t="s">
        <v>68</v>
      </c>
      <c r="H194" s="112" t="s">
        <v>398</v>
      </c>
      <c r="I194" s="114" t="n">
        <v>0</v>
      </c>
      <c r="J194" s="114" t="n">
        <v>1</v>
      </c>
      <c r="K194" s="112"/>
      <c r="L194" s="112" t="s">
        <v>575</v>
      </c>
    </row>
    <row r="195" customFormat="false" ht="15" hidden="false" customHeight="false" outlineLevel="0" collapsed="false">
      <c r="A195" s="112" t="s">
        <v>601</v>
      </c>
      <c r="B195" s="112" t="s">
        <v>573</v>
      </c>
      <c r="C195" s="112" t="s">
        <v>585</v>
      </c>
      <c r="D195" s="112" t="s">
        <v>21</v>
      </c>
      <c r="E195" s="112" t="s">
        <v>602</v>
      </c>
      <c r="F195" s="113" t="s">
        <v>89</v>
      </c>
      <c r="G195" s="112" t="s">
        <v>90</v>
      </c>
      <c r="H195" s="112" t="s">
        <v>398</v>
      </c>
      <c r="I195" s="114" t="n">
        <v>0</v>
      </c>
      <c r="J195" s="114" t="n">
        <v>1</v>
      </c>
      <c r="K195" s="112"/>
      <c r="L195" s="112" t="s">
        <v>575</v>
      </c>
    </row>
    <row r="196" customFormat="false" ht="15" hidden="false" customHeight="false" outlineLevel="0" collapsed="false">
      <c r="A196" s="112" t="s">
        <v>603</v>
      </c>
      <c r="B196" s="112" t="s">
        <v>573</v>
      </c>
      <c r="C196" s="112" t="s">
        <v>585</v>
      </c>
      <c r="D196" s="112" t="s">
        <v>21</v>
      </c>
      <c r="E196" s="112" t="s">
        <v>604</v>
      </c>
      <c r="F196" s="113" t="s">
        <v>89</v>
      </c>
      <c r="G196" s="112" t="s">
        <v>90</v>
      </c>
      <c r="H196" s="112" t="s">
        <v>398</v>
      </c>
      <c r="I196" s="114" t="n">
        <v>1</v>
      </c>
      <c r="J196" s="114" t="n">
        <v>0</v>
      </c>
      <c r="K196" s="112"/>
      <c r="L196" s="112" t="s">
        <v>575</v>
      </c>
    </row>
    <row r="197" customFormat="false" ht="15" hidden="false" customHeight="false" outlineLevel="0" collapsed="false">
      <c r="A197" s="112" t="s">
        <v>605</v>
      </c>
      <c r="B197" s="112" t="s">
        <v>573</v>
      </c>
      <c r="C197" s="112" t="s">
        <v>585</v>
      </c>
      <c r="D197" s="112" t="s">
        <v>21</v>
      </c>
      <c r="E197" s="112" t="s">
        <v>606</v>
      </c>
      <c r="F197" s="113" t="s">
        <v>113</v>
      </c>
      <c r="G197" s="112" t="s">
        <v>114</v>
      </c>
      <c r="H197" s="112" t="s">
        <v>398</v>
      </c>
      <c r="I197" s="114" t="n">
        <v>1</v>
      </c>
      <c r="J197" s="114" t="n">
        <v>0</v>
      </c>
      <c r="K197" s="112"/>
      <c r="L197" s="112" t="s">
        <v>575</v>
      </c>
    </row>
    <row r="198" customFormat="false" ht="15" hidden="false" customHeight="false" outlineLevel="0" collapsed="false">
      <c r="A198" s="112" t="s">
        <v>607</v>
      </c>
      <c r="B198" s="112" t="s">
        <v>573</v>
      </c>
      <c r="C198" s="112" t="s">
        <v>585</v>
      </c>
      <c r="D198" s="112" t="s">
        <v>21</v>
      </c>
      <c r="E198" s="112" t="s">
        <v>234</v>
      </c>
      <c r="F198" s="113" t="s">
        <v>61</v>
      </c>
      <c r="G198" s="112" t="s">
        <v>62</v>
      </c>
      <c r="H198" s="112" t="s">
        <v>398</v>
      </c>
      <c r="I198" s="114" t="n">
        <v>0</v>
      </c>
      <c r="J198" s="114" t="n">
        <v>1</v>
      </c>
      <c r="K198" s="112"/>
      <c r="L198" s="112" t="s">
        <v>575</v>
      </c>
    </row>
    <row r="199" customFormat="false" ht="15" hidden="false" customHeight="false" outlineLevel="0" collapsed="false">
      <c r="A199" s="112" t="s">
        <v>608</v>
      </c>
      <c r="B199" s="112" t="s">
        <v>573</v>
      </c>
      <c r="C199" s="112" t="s">
        <v>585</v>
      </c>
      <c r="D199" s="112" t="s">
        <v>21</v>
      </c>
      <c r="E199" s="112" t="s">
        <v>236</v>
      </c>
      <c r="F199" s="113" t="s">
        <v>61</v>
      </c>
      <c r="G199" s="112" t="s">
        <v>62</v>
      </c>
      <c r="H199" s="112" t="s">
        <v>398</v>
      </c>
      <c r="I199" s="114" t="n">
        <v>0</v>
      </c>
      <c r="J199" s="114" t="n">
        <v>1</v>
      </c>
      <c r="K199" s="112"/>
      <c r="L199" s="112" t="s">
        <v>575</v>
      </c>
    </row>
    <row r="200" customFormat="false" ht="15" hidden="false" customHeight="false" outlineLevel="0" collapsed="false">
      <c r="A200" s="112" t="s">
        <v>609</v>
      </c>
      <c r="B200" s="112" t="s">
        <v>573</v>
      </c>
      <c r="C200" s="112" t="s">
        <v>585</v>
      </c>
      <c r="D200" s="112" t="s">
        <v>21</v>
      </c>
      <c r="E200" s="112" t="s">
        <v>228</v>
      </c>
      <c r="F200" s="113" t="s">
        <v>61</v>
      </c>
      <c r="G200" s="112" t="s">
        <v>62</v>
      </c>
      <c r="H200" s="112" t="s">
        <v>398</v>
      </c>
      <c r="I200" s="114" t="n">
        <v>0</v>
      </c>
      <c r="J200" s="114" t="n">
        <v>1</v>
      </c>
      <c r="K200" s="112"/>
      <c r="L200" s="112" t="s">
        <v>575</v>
      </c>
    </row>
    <row r="201" customFormat="false" ht="15" hidden="false" customHeight="false" outlineLevel="0" collapsed="false">
      <c r="A201" s="112" t="s">
        <v>610</v>
      </c>
      <c r="B201" s="112" t="s">
        <v>573</v>
      </c>
      <c r="C201" s="112" t="s">
        <v>585</v>
      </c>
      <c r="D201" s="112" t="s">
        <v>21</v>
      </c>
      <c r="E201" s="112" t="s">
        <v>232</v>
      </c>
      <c r="F201" s="113" t="s">
        <v>61</v>
      </c>
      <c r="G201" s="112" t="s">
        <v>62</v>
      </c>
      <c r="H201" s="112" t="s">
        <v>398</v>
      </c>
      <c r="I201" s="114" t="n">
        <v>1</v>
      </c>
      <c r="J201" s="114" t="n">
        <v>0</v>
      </c>
      <c r="K201" s="112"/>
      <c r="L201" s="112" t="s">
        <v>575</v>
      </c>
    </row>
    <row r="202" customFormat="false" ht="15" hidden="false" customHeight="false" outlineLevel="0" collapsed="false">
      <c r="A202" s="112" t="s">
        <v>611</v>
      </c>
      <c r="B202" s="112" t="s">
        <v>573</v>
      </c>
      <c r="C202" s="112" t="s">
        <v>585</v>
      </c>
      <c r="D202" s="112" t="s">
        <v>21</v>
      </c>
      <c r="E202" s="112" t="s">
        <v>230</v>
      </c>
      <c r="F202" s="113" t="s">
        <v>61</v>
      </c>
      <c r="G202" s="112" t="s">
        <v>62</v>
      </c>
      <c r="H202" s="112" t="s">
        <v>398</v>
      </c>
      <c r="I202" s="114" t="n">
        <v>1</v>
      </c>
      <c r="J202" s="114" t="n">
        <v>0</v>
      </c>
      <c r="K202" s="112"/>
      <c r="L202" s="112" t="s">
        <v>575</v>
      </c>
    </row>
    <row r="203" customFormat="false" ht="15" hidden="false" customHeight="false" outlineLevel="0" collapsed="false">
      <c r="A203" s="112" t="s">
        <v>612</v>
      </c>
      <c r="B203" s="112" t="s">
        <v>573</v>
      </c>
      <c r="C203" s="112" t="s">
        <v>585</v>
      </c>
      <c r="D203" s="112" t="s">
        <v>21</v>
      </c>
      <c r="E203" s="112" t="s">
        <v>237</v>
      </c>
      <c r="F203" s="113" t="s">
        <v>61</v>
      </c>
      <c r="G203" s="112" t="s">
        <v>62</v>
      </c>
      <c r="H203" s="112" t="s">
        <v>398</v>
      </c>
      <c r="I203" s="114" t="n">
        <v>1</v>
      </c>
      <c r="J203" s="114" t="n">
        <v>0</v>
      </c>
      <c r="K203" s="112"/>
      <c r="L203" s="112" t="s">
        <v>575</v>
      </c>
    </row>
    <row r="204" customFormat="false" ht="15" hidden="false" customHeight="false" outlineLevel="0" collapsed="false">
      <c r="A204" s="112" t="s">
        <v>613</v>
      </c>
      <c r="B204" s="112" t="s">
        <v>573</v>
      </c>
      <c r="C204" s="112" t="s">
        <v>585</v>
      </c>
      <c r="D204" s="112" t="s">
        <v>21</v>
      </c>
      <c r="E204" s="112" t="s">
        <v>298</v>
      </c>
      <c r="F204" s="113" t="s">
        <v>57</v>
      </c>
      <c r="G204" s="112" t="s">
        <v>58</v>
      </c>
      <c r="H204" s="112" t="s">
        <v>398</v>
      </c>
      <c r="I204" s="114" t="n">
        <v>1</v>
      </c>
      <c r="J204" s="114" t="n">
        <v>0</v>
      </c>
      <c r="K204" s="112"/>
      <c r="L204" s="112" t="s">
        <v>575</v>
      </c>
    </row>
    <row r="205" customFormat="false" ht="15" hidden="false" customHeight="false" outlineLevel="0" collapsed="false">
      <c r="A205" s="112" t="s">
        <v>614</v>
      </c>
      <c r="B205" s="112" t="s">
        <v>573</v>
      </c>
      <c r="C205" s="112" t="s">
        <v>585</v>
      </c>
      <c r="D205" s="112" t="s">
        <v>21</v>
      </c>
      <c r="E205" s="112" t="s">
        <v>292</v>
      </c>
      <c r="F205" s="113" t="s">
        <v>57</v>
      </c>
      <c r="G205" s="112" t="s">
        <v>58</v>
      </c>
      <c r="H205" s="112" t="s">
        <v>398</v>
      </c>
      <c r="I205" s="114" t="n">
        <v>0</v>
      </c>
      <c r="J205" s="114" t="n">
        <v>1</v>
      </c>
      <c r="K205" s="112"/>
      <c r="L205" s="112" t="s">
        <v>575</v>
      </c>
    </row>
    <row r="206" customFormat="false" ht="15" hidden="false" customHeight="false" outlineLevel="0" collapsed="false">
      <c r="A206" s="112" t="s">
        <v>615</v>
      </c>
      <c r="B206" s="112" t="s">
        <v>573</v>
      </c>
      <c r="C206" s="112" t="s">
        <v>18</v>
      </c>
      <c r="D206" s="112" t="s">
        <v>18</v>
      </c>
      <c r="E206" s="112" t="s">
        <v>261</v>
      </c>
      <c r="F206" s="113" t="s">
        <v>63</v>
      </c>
      <c r="G206" s="112" t="s">
        <v>64</v>
      </c>
      <c r="H206" s="112" t="s">
        <v>398</v>
      </c>
      <c r="I206" s="114" t="n">
        <v>1</v>
      </c>
      <c r="J206" s="114" t="n">
        <v>0</v>
      </c>
      <c r="K206" s="112"/>
      <c r="L206" s="112" t="s">
        <v>575</v>
      </c>
    </row>
    <row r="207" customFormat="false" ht="15" hidden="false" customHeight="false" outlineLevel="0" collapsed="false">
      <c r="A207" s="112" t="s">
        <v>452</v>
      </c>
      <c r="B207" s="112" t="s">
        <v>616</v>
      </c>
      <c r="C207" s="112" t="s">
        <v>45</v>
      </c>
      <c r="D207" s="112" t="s">
        <v>45</v>
      </c>
      <c r="E207" s="112" t="s">
        <v>617</v>
      </c>
      <c r="F207" s="113" t="s">
        <v>73</v>
      </c>
      <c r="G207" s="112" t="s">
        <v>74</v>
      </c>
      <c r="H207" s="112" t="s">
        <v>398</v>
      </c>
      <c r="I207" s="114" t="n">
        <v>1</v>
      </c>
      <c r="J207" s="114" t="n">
        <v>0</v>
      </c>
      <c r="K207" s="112"/>
      <c r="L207" s="112" t="s">
        <v>575</v>
      </c>
    </row>
    <row r="208" customFormat="false" ht="15" hidden="false" customHeight="false" outlineLevel="0" collapsed="false">
      <c r="A208" s="112" t="s">
        <v>453</v>
      </c>
      <c r="B208" s="112" t="s">
        <v>616</v>
      </c>
      <c r="C208" s="112" t="s">
        <v>45</v>
      </c>
      <c r="D208" s="112" t="s">
        <v>45</v>
      </c>
      <c r="E208" s="112" t="s">
        <v>618</v>
      </c>
      <c r="F208" s="113" t="s">
        <v>73</v>
      </c>
      <c r="G208" s="112" t="s">
        <v>74</v>
      </c>
      <c r="H208" s="112" t="s">
        <v>398</v>
      </c>
      <c r="I208" s="114" t="n">
        <v>0</v>
      </c>
      <c r="J208" s="114" t="n">
        <v>1</v>
      </c>
      <c r="K208" s="112"/>
      <c r="L208" s="112" t="s">
        <v>575</v>
      </c>
    </row>
    <row r="209" customFormat="false" ht="15" hidden="false" customHeight="false" outlineLevel="0" collapsed="false">
      <c r="A209" s="112" t="s">
        <v>454</v>
      </c>
      <c r="B209" s="112" t="s">
        <v>616</v>
      </c>
      <c r="C209" s="112" t="s">
        <v>45</v>
      </c>
      <c r="D209" s="112" t="s">
        <v>45</v>
      </c>
      <c r="E209" s="112" t="s">
        <v>619</v>
      </c>
      <c r="F209" s="113" t="s">
        <v>81</v>
      </c>
      <c r="G209" s="112" t="s">
        <v>82</v>
      </c>
      <c r="H209" s="112" t="s">
        <v>398</v>
      </c>
      <c r="I209" s="114" t="n">
        <v>1</v>
      </c>
      <c r="J209" s="114" t="n">
        <v>0</v>
      </c>
      <c r="K209" s="112"/>
      <c r="L209" s="112" t="s">
        <v>575</v>
      </c>
    </row>
    <row r="210" customFormat="false" ht="15" hidden="false" customHeight="false" outlineLevel="0" collapsed="false">
      <c r="A210" s="112" t="s">
        <v>620</v>
      </c>
      <c r="B210" s="112" t="s">
        <v>616</v>
      </c>
      <c r="C210" s="112" t="s">
        <v>621</v>
      </c>
      <c r="D210" s="112" t="s">
        <v>26</v>
      </c>
      <c r="E210" s="112" t="s">
        <v>622</v>
      </c>
      <c r="F210" s="113" t="s">
        <v>111</v>
      </c>
      <c r="G210" s="112" t="s">
        <v>112</v>
      </c>
      <c r="H210" s="112" t="s">
        <v>398</v>
      </c>
      <c r="I210" s="114" t="n">
        <v>1</v>
      </c>
      <c r="J210" s="114" t="n">
        <v>0</v>
      </c>
      <c r="K210" s="112"/>
      <c r="L210" s="112" t="s">
        <v>575</v>
      </c>
    </row>
    <row r="211" customFormat="false" ht="15" hidden="false" customHeight="false" outlineLevel="0" collapsed="false">
      <c r="A211" s="112" t="s">
        <v>623</v>
      </c>
      <c r="B211" s="112" t="s">
        <v>616</v>
      </c>
      <c r="C211" s="112" t="s">
        <v>46</v>
      </c>
      <c r="D211" s="112" t="s">
        <v>46</v>
      </c>
      <c r="E211" s="112" t="s">
        <v>624</v>
      </c>
      <c r="F211" s="113" t="s">
        <v>81</v>
      </c>
      <c r="G211" s="112" t="s">
        <v>82</v>
      </c>
      <c r="H211" s="112" t="s">
        <v>398</v>
      </c>
      <c r="I211" s="114" t="n">
        <v>1</v>
      </c>
      <c r="J211" s="114" t="n">
        <v>0</v>
      </c>
      <c r="K211" s="112"/>
      <c r="L211" s="112" t="s">
        <v>575</v>
      </c>
    </row>
    <row r="212" customFormat="false" ht="15" hidden="false" customHeight="false" outlineLevel="0" collapsed="false">
      <c r="A212" s="112" t="s">
        <v>615</v>
      </c>
      <c r="B212" s="112" t="s">
        <v>616</v>
      </c>
      <c r="C212" s="112" t="s">
        <v>47</v>
      </c>
      <c r="D212" s="112" t="s">
        <v>47</v>
      </c>
      <c r="E212" s="112" t="s">
        <v>625</v>
      </c>
      <c r="F212" s="113" t="s">
        <v>75</v>
      </c>
      <c r="G212" s="112" t="s">
        <v>76</v>
      </c>
      <c r="H212" s="112" t="s">
        <v>398</v>
      </c>
      <c r="I212" s="114" t="n">
        <v>1</v>
      </c>
      <c r="J212" s="114" t="n">
        <v>0</v>
      </c>
      <c r="K212" s="112"/>
      <c r="L212" s="112" t="s">
        <v>575</v>
      </c>
    </row>
    <row r="213" customFormat="false" ht="15" hidden="false" customHeight="false" outlineLevel="0" collapsed="false">
      <c r="A213" s="112" t="s">
        <v>626</v>
      </c>
      <c r="B213" s="112" t="s">
        <v>616</v>
      </c>
      <c r="C213" s="112" t="s">
        <v>627</v>
      </c>
      <c r="D213" s="112" t="s">
        <v>24</v>
      </c>
      <c r="E213" s="112" t="s">
        <v>628</v>
      </c>
      <c r="F213" s="113" t="s">
        <v>73</v>
      </c>
      <c r="G213" s="112" t="s">
        <v>74</v>
      </c>
      <c r="H213" s="112" t="s">
        <v>398</v>
      </c>
      <c r="I213" s="114" t="n">
        <v>1</v>
      </c>
      <c r="J213" s="114" t="n">
        <v>0</v>
      </c>
      <c r="K213" s="112"/>
      <c r="L213" s="112" t="s">
        <v>575</v>
      </c>
    </row>
    <row r="214" customFormat="false" ht="15" hidden="false" customHeight="false" outlineLevel="0" collapsed="false">
      <c r="A214" s="112" t="s">
        <v>629</v>
      </c>
      <c r="B214" s="112" t="s">
        <v>616</v>
      </c>
      <c r="C214" s="112" t="s">
        <v>13</v>
      </c>
      <c r="D214" s="112" t="s">
        <v>13</v>
      </c>
      <c r="E214" s="112" t="s">
        <v>630</v>
      </c>
      <c r="F214" s="113" t="s">
        <v>75</v>
      </c>
      <c r="G214" s="112" t="s">
        <v>76</v>
      </c>
      <c r="H214" s="112" t="s">
        <v>398</v>
      </c>
      <c r="I214" s="114" t="n">
        <v>1</v>
      </c>
      <c r="J214" s="114" t="n">
        <v>0</v>
      </c>
      <c r="K214" s="112"/>
      <c r="L214" s="112" t="s">
        <v>575</v>
      </c>
    </row>
    <row r="215" customFormat="false" ht="15" hidden="false" customHeight="false" outlineLevel="0" collapsed="false">
      <c r="A215" s="112" t="s">
        <v>631</v>
      </c>
      <c r="B215" s="112" t="s">
        <v>616</v>
      </c>
      <c r="C215" s="112" t="s">
        <v>13</v>
      </c>
      <c r="D215" s="112" t="s">
        <v>13</v>
      </c>
      <c r="E215" s="112" t="s">
        <v>632</v>
      </c>
      <c r="F215" s="113" t="s">
        <v>99</v>
      </c>
      <c r="G215" s="112" t="s">
        <v>100</v>
      </c>
      <c r="H215" s="112" t="s">
        <v>398</v>
      </c>
      <c r="I215" s="114" t="n">
        <v>1</v>
      </c>
      <c r="J215" s="114" t="n">
        <v>0</v>
      </c>
      <c r="K215" s="112"/>
      <c r="L215" s="112" t="s">
        <v>575</v>
      </c>
    </row>
    <row r="216" customFormat="false" ht="15" hidden="false" customHeight="false" outlineLevel="0" collapsed="false">
      <c r="A216" s="112" t="s">
        <v>633</v>
      </c>
      <c r="B216" s="112" t="s">
        <v>616</v>
      </c>
      <c r="C216" s="112" t="s">
        <v>13</v>
      </c>
      <c r="D216" s="112" t="s">
        <v>13</v>
      </c>
      <c r="E216" s="112" t="s">
        <v>634</v>
      </c>
      <c r="F216" s="113" t="s">
        <v>99</v>
      </c>
      <c r="G216" s="112" t="s">
        <v>100</v>
      </c>
      <c r="H216" s="112" t="s">
        <v>398</v>
      </c>
      <c r="I216" s="114" t="n">
        <v>1</v>
      </c>
      <c r="J216" s="114" t="n">
        <v>0</v>
      </c>
      <c r="K216" s="112"/>
      <c r="L216" s="112" t="s">
        <v>575</v>
      </c>
    </row>
    <row r="217" customFormat="false" ht="15" hidden="false" customHeight="false" outlineLevel="0" collapsed="false">
      <c r="A217" s="112" t="s">
        <v>635</v>
      </c>
      <c r="B217" s="112" t="s">
        <v>616</v>
      </c>
      <c r="C217" s="112" t="s">
        <v>13</v>
      </c>
      <c r="D217" s="112" t="s">
        <v>13</v>
      </c>
      <c r="E217" s="112" t="s">
        <v>636</v>
      </c>
      <c r="F217" s="113" t="s">
        <v>99</v>
      </c>
      <c r="G217" s="112" t="s">
        <v>100</v>
      </c>
      <c r="H217" s="112" t="s">
        <v>398</v>
      </c>
      <c r="I217" s="114" t="n">
        <v>1</v>
      </c>
      <c r="J217" s="114" t="n">
        <v>0</v>
      </c>
      <c r="K217" s="112"/>
      <c r="L217" s="112" t="s">
        <v>575</v>
      </c>
    </row>
    <row r="218" customFormat="false" ht="15" hidden="false" customHeight="false" outlineLevel="0" collapsed="false">
      <c r="A218" s="112" t="s">
        <v>637</v>
      </c>
      <c r="B218" s="112" t="s">
        <v>616</v>
      </c>
      <c r="C218" s="112" t="s">
        <v>13</v>
      </c>
      <c r="D218" s="112" t="s">
        <v>13</v>
      </c>
      <c r="E218" s="112" t="s">
        <v>638</v>
      </c>
      <c r="F218" s="113" t="s">
        <v>111</v>
      </c>
      <c r="G218" s="112" t="s">
        <v>112</v>
      </c>
      <c r="H218" s="112" t="s">
        <v>398</v>
      </c>
      <c r="I218" s="114" t="n">
        <v>1</v>
      </c>
      <c r="J218" s="114" t="n">
        <v>0</v>
      </c>
      <c r="K218" s="112"/>
      <c r="L218" s="112" t="s">
        <v>575</v>
      </c>
    </row>
    <row r="219" customFormat="false" ht="15" hidden="false" customHeight="false" outlineLevel="0" collapsed="false">
      <c r="A219" s="112" t="s">
        <v>639</v>
      </c>
      <c r="B219" s="112" t="s">
        <v>616</v>
      </c>
      <c r="C219" s="112" t="s">
        <v>13</v>
      </c>
      <c r="D219" s="112" t="s">
        <v>13</v>
      </c>
      <c r="E219" s="112" t="s">
        <v>310</v>
      </c>
      <c r="F219" s="113" t="s">
        <v>85</v>
      </c>
      <c r="G219" s="112" t="s">
        <v>86</v>
      </c>
      <c r="H219" s="112" t="s">
        <v>398</v>
      </c>
      <c r="I219" s="114" t="n">
        <v>1</v>
      </c>
      <c r="J219" s="114" t="n">
        <v>0</v>
      </c>
      <c r="K219" s="112"/>
      <c r="L219" s="112" t="s">
        <v>575</v>
      </c>
    </row>
    <row r="220" customFormat="false" ht="15" hidden="false" customHeight="false" outlineLevel="0" collapsed="false">
      <c r="A220" s="112" t="s">
        <v>640</v>
      </c>
      <c r="B220" s="112" t="s">
        <v>616</v>
      </c>
      <c r="C220" s="112" t="s">
        <v>13</v>
      </c>
      <c r="D220" s="112" t="s">
        <v>13</v>
      </c>
      <c r="E220" s="112" t="s">
        <v>641</v>
      </c>
      <c r="F220" s="113" t="s">
        <v>111</v>
      </c>
      <c r="G220" s="112" t="s">
        <v>112</v>
      </c>
      <c r="H220" s="112" t="s">
        <v>398</v>
      </c>
      <c r="I220" s="114" t="n">
        <v>1</v>
      </c>
      <c r="J220" s="114" t="n">
        <v>0</v>
      </c>
      <c r="K220" s="112"/>
      <c r="L220" s="112" t="s">
        <v>575</v>
      </c>
    </row>
    <row r="221" customFormat="false" ht="15" hidden="false" customHeight="false" outlineLevel="0" collapsed="false">
      <c r="A221" s="112" t="s">
        <v>642</v>
      </c>
      <c r="B221" s="112" t="s">
        <v>616</v>
      </c>
      <c r="C221" s="112" t="s">
        <v>16</v>
      </c>
      <c r="D221" s="112" t="s">
        <v>16</v>
      </c>
      <c r="E221" s="112" t="s">
        <v>643</v>
      </c>
      <c r="F221" s="113" t="s">
        <v>81</v>
      </c>
      <c r="G221" s="112" t="s">
        <v>82</v>
      </c>
      <c r="H221" s="112" t="s">
        <v>398</v>
      </c>
      <c r="I221" s="114" t="n">
        <v>1</v>
      </c>
      <c r="J221" s="114" t="n">
        <v>0</v>
      </c>
      <c r="K221" s="112"/>
      <c r="L221" s="112" t="s">
        <v>575</v>
      </c>
    </row>
    <row r="222" customFormat="false" ht="15" hidden="false" customHeight="false" outlineLevel="0" collapsed="false">
      <c r="A222" s="112" t="s">
        <v>644</v>
      </c>
      <c r="B222" s="112" t="s">
        <v>616</v>
      </c>
      <c r="C222" s="112" t="s">
        <v>48</v>
      </c>
      <c r="D222" s="112" t="s">
        <v>48</v>
      </c>
      <c r="E222" s="112" t="s">
        <v>645</v>
      </c>
      <c r="F222" s="113" t="s">
        <v>75</v>
      </c>
      <c r="G222" s="112" t="s">
        <v>76</v>
      </c>
      <c r="H222" s="112" t="s">
        <v>398</v>
      </c>
      <c r="I222" s="114" t="n">
        <v>0</v>
      </c>
      <c r="J222" s="114" t="n">
        <v>1</v>
      </c>
      <c r="K222" s="112"/>
      <c r="L222" s="112" t="s">
        <v>575</v>
      </c>
    </row>
    <row r="223" customFormat="false" ht="15" hidden="false" customHeight="false" outlineLevel="0" collapsed="false">
      <c r="A223" s="112" t="s">
        <v>646</v>
      </c>
      <c r="B223" s="112" t="s">
        <v>616</v>
      </c>
      <c r="C223" s="112" t="s">
        <v>428</v>
      </c>
      <c r="D223" s="112" t="s">
        <v>14</v>
      </c>
      <c r="E223" s="112" t="s">
        <v>647</v>
      </c>
      <c r="F223" s="113" t="s">
        <v>139</v>
      </c>
      <c r="G223" s="112" t="s">
        <v>140</v>
      </c>
      <c r="H223" s="112" t="s">
        <v>398</v>
      </c>
      <c r="I223" s="114" t="n">
        <v>1</v>
      </c>
      <c r="J223" s="114" t="n">
        <v>0</v>
      </c>
      <c r="K223" s="112"/>
      <c r="L223" s="112" t="s">
        <v>575</v>
      </c>
    </row>
    <row r="224" customFormat="false" ht="15" hidden="false" customHeight="false" outlineLevel="0" collapsed="false">
      <c r="A224" s="112" t="s">
        <v>516</v>
      </c>
      <c r="B224" s="112" t="s">
        <v>616</v>
      </c>
      <c r="C224" s="112" t="s">
        <v>428</v>
      </c>
      <c r="D224" s="112" t="s">
        <v>14</v>
      </c>
      <c r="E224" s="112" t="s">
        <v>648</v>
      </c>
      <c r="F224" s="113" t="s">
        <v>75</v>
      </c>
      <c r="G224" s="112" t="s">
        <v>76</v>
      </c>
      <c r="H224" s="112" t="s">
        <v>398</v>
      </c>
      <c r="I224" s="114" t="n">
        <v>1</v>
      </c>
      <c r="J224" s="114" t="n">
        <v>0</v>
      </c>
      <c r="K224" s="112"/>
      <c r="L224" s="112" t="s">
        <v>575</v>
      </c>
    </row>
    <row r="225" customFormat="false" ht="15" hidden="false" customHeight="false" outlineLevel="0" collapsed="false">
      <c r="A225" s="112" t="s">
        <v>541</v>
      </c>
      <c r="B225" s="112" t="s">
        <v>616</v>
      </c>
      <c r="C225" s="112" t="s">
        <v>43</v>
      </c>
      <c r="D225" s="112" t="s">
        <v>43</v>
      </c>
      <c r="E225" s="112" t="s">
        <v>649</v>
      </c>
      <c r="F225" s="113" t="s">
        <v>75</v>
      </c>
      <c r="G225" s="112" t="s">
        <v>76</v>
      </c>
      <c r="H225" s="112" t="s">
        <v>398</v>
      </c>
      <c r="I225" s="114" t="n">
        <v>0</v>
      </c>
      <c r="J225" s="114" t="n">
        <v>1</v>
      </c>
      <c r="K225" s="112"/>
      <c r="L225" s="112" t="s">
        <v>575</v>
      </c>
    </row>
    <row r="226" customFormat="false" ht="15" hidden="false" customHeight="false" outlineLevel="0" collapsed="false">
      <c r="A226" s="112" t="s">
        <v>584</v>
      </c>
      <c r="B226" s="112" t="s">
        <v>616</v>
      </c>
      <c r="C226" s="112" t="s">
        <v>43</v>
      </c>
      <c r="D226" s="112" t="s">
        <v>43</v>
      </c>
      <c r="E226" s="112" t="s">
        <v>650</v>
      </c>
      <c r="F226" s="113" t="s">
        <v>75</v>
      </c>
      <c r="G226" s="112" t="s">
        <v>76</v>
      </c>
      <c r="H226" s="112" t="s">
        <v>398</v>
      </c>
      <c r="I226" s="114" t="n">
        <v>1</v>
      </c>
      <c r="J226" s="114" t="n">
        <v>0</v>
      </c>
      <c r="K226" s="112"/>
      <c r="L226" s="112" t="s">
        <v>575</v>
      </c>
    </row>
    <row r="227" customFormat="false" ht="15" hidden="false" customHeight="false" outlineLevel="0" collapsed="false">
      <c r="A227" s="112" t="s">
        <v>482</v>
      </c>
      <c r="B227" s="112" t="s">
        <v>616</v>
      </c>
      <c r="C227" s="112" t="s">
        <v>651</v>
      </c>
      <c r="D227" s="112" t="s">
        <v>42</v>
      </c>
      <c r="E227" s="112" t="s">
        <v>652</v>
      </c>
      <c r="F227" s="113" t="s">
        <v>83</v>
      </c>
      <c r="G227" s="112" t="s">
        <v>84</v>
      </c>
      <c r="H227" s="112" t="s">
        <v>398</v>
      </c>
      <c r="I227" s="114" t="n">
        <v>1</v>
      </c>
      <c r="J227" s="114" t="n">
        <v>0</v>
      </c>
      <c r="K227" s="112"/>
      <c r="L227" s="112" t="s">
        <v>575</v>
      </c>
    </row>
    <row r="228" customFormat="false" ht="15" hidden="false" customHeight="false" outlineLevel="0" collapsed="false">
      <c r="A228" s="112" t="s">
        <v>483</v>
      </c>
      <c r="B228" s="112" t="s">
        <v>616</v>
      </c>
      <c r="C228" s="112" t="s">
        <v>651</v>
      </c>
      <c r="D228" s="112" t="s">
        <v>42</v>
      </c>
      <c r="E228" s="112" t="s">
        <v>653</v>
      </c>
      <c r="F228" s="113" t="s">
        <v>83</v>
      </c>
      <c r="G228" s="112" t="s">
        <v>84</v>
      </c>
      <c r="H228" s="112" t="s">
        <v>398</v>
      </c>
      <c r="I228" s="114" t="n">
        <v>1</v>
      </c>
      <c r="J228" s="114" t="n">
        <v>0</v>
      </c>
      <c r="K228" s="112"/>
      <c r="L228" s="112" t="s">
        <v>575</v>
      </c>
    </row>
    <row r="229" customFormat="false" ht="15" hidden="false" customHeight="false" outlineLevel="0" collapsed="false">
      <c r="A229" s="112" t="s">
        <v>484</v>
      </c>
      <c r="B229" s="112" t="s">
        <v>616</v>
      </c>
      <c r="C229" s="112" t="s">
        <v>651</v>
      </c>
      <c r="D229" s="112" t="s">
        <v>42</v>
      </c>
      <c r="E229" s="112" t="s">
        <v>654</v>
      </c>
      <c r="F229" s="113" t="s">
        <v>83</v>
      </c>
      <c r="G229" s="112" t="s">
        <v>84</v>
      </c>
      <c r="H229" s="112" t="s">
        <v>398</v>
      </c>
      <c r="I229" s="114" t="n">
        <v>1</v>
      </c>
      <c r="J229" s="114" t="n">
        <v>0</v>
      </c>
      <c r="K229" s="112"/>
      <c r="L229" s="112" t="s">
        <v>575</v>
      </c>
    </row>
    <row r="230" customFormat="false" ht="15" hidden="false" customHeight="false" outlineLevel="0" collapsed="false">
      <c r="A230" s="112" t="s">
        <v>485</v>
      </c>
      <c r="B230" s="112" t="s">
        <v>616</v>
      </c>
      <c r="C230" s="112" t="s">
        <v>651</v>
      </c>
      <c r="D230" s="112" t="s">
        <v>42</v>
      </c>
      <c r="E230" s="112" t="s">
        <v>655</v>
      </c>
      <c r="F230" s="113" t="s">
        <v>83</v>
      </c>
      <c r="G230" s="112" t="s">
        <v>84</v>
      </c>
      <c r="H230" s="112" t="s">
        <v>398</v>
      </c>
      <c r="I230" s="114" t="n">
        <v>1</v>
      </c>
      <c r="J230" s="114" t="n">
        <v>0</v>
      </c>
      <c r="K230" s="112"/>
      <c r="L230" s="112" t="s">
        <v>575</v>
      </c>
    </row>
    <row r="231" customFormat="false" ht="15" hidden="false" customHeight="false" outlineLevel="0" collapsed="false">
      <c r="A231" s="112" t="s">
        <v>577</v>
      </c>
      <c r="B231" s="112" t="s">
        <v>616</v>
      </c>
      <c r="C231" s="112" t="s">
        <v>656</v>
      </c>
      <c r="D231" s="112" t="s">
        <v>7</v>
      </c>
      <c r="E231" s="112" t="s">
        <v>657</v>
      </c>
      <c r="F231" s="113" t="s">
        <v>73</v>
      </c>
      <c r="G231" s="112" t="s">
        <v>74</v>
      </c>
      <c r="H231" s="112" t="s">
        <v>398</v>
      </c>
      <c r="I231" s="114" t="n">
        <v>1</v>
      </c>
      <c r="J231" s="114" t="n">
        <v>0</v>
      </c>
      <c r="K231" s="112"/>
      <c r="L231" s="112" t="s">
        <v>575</v>
      </c>
    </row>
    <row r="232" customFormat="false" ht="15" hidden="false" customHeight="false" outlineLevel="0" collapsed="false">
      <c r="A232" s="112" t="s">
        <v>432</v>
      </c>
      <c r="B232" s="112" t="s">
        <v>616</v>
      </c>
      <c r="C232" s="112" t="s">
        <v>656</v>
      </c>
      <c r="D232" s="112" t="s">
        <v>7</v>
      </c>
      <c r="E232" s="112" t="s">
        <v>658</v>
      </c>
      <c r="F232" s="113" t="s">
        <v>73</v>
      </c>
      <c r="G232" s="112" t="s">
        <v>74</v>
      </c>
      <c r="H232" s="112" t="s">
        <v>398</v>
      </c>
      <c r="I232" s="114" t="n">
        <v>0</v>
      </c>
      <c r="J232" s="114" t="n">
        <v>1</v>
      </c>
      <c r="K232" s="112"/>
      <c r="L232" s="112" t="s">
        <v>575</v>
      </c>
    </row>
    <row r="233" customFormat="false" ht="15" hidden="false" customHeight="false" outlineLevel="0" collapsed="false">
      <c r="A233" s="112" t="s">
        <v>435</v>
      </c>
      <c r="B233" s="112" t="s">
        <v>616</v>
      </c>
      <c r="C233" s="112" t="s">
        <v>656</v>
      </c>
      <c r="D233" s="112" t="s">
        <v>7</v>
      </c>
      <c r="E233" s="112" t="s">
        <v>659</v>
      </c>
      <c r="F233" s="113" t="s">
        <v>73</v>
      </c>
      <c r="G233" s="112" t="s">
        <v>74</v>
      </c>
      <c r="H233" s="112" t="s">
        <v>398</v>
      </c>
      <c r="I233" s="114" t="n">
        <v>1</v>
      </c>
      <c r="J233" s="114" t="n">
        <v>0</v>
      </c>
      <c r="K233" s="112"/>
      <c r="L233" s="112" t="s">
        <v>575</v>
      </c>
    </row>
    <row r="234" customFormat="false" ht="15" hidden="false" customHeight="false" outlineLevel="0" collapsed="false">
      <c r="A234" s="112" t="s">
        <v>578</v>
      </c>
      <c r="B234" s="112" t="s">
        <v>616</v>
      </c>
      <c r="C234" s="112" t="s">
        <v>660</v>
      </c>
      <c r="D234" s="112" t="s">
        <v>8</v>
      </c>
      <c r="E234" s="112" t="s">
        <v>661</v>
      </c>
      <c r="F234" s="113" t="s">
        <v>73</v>
      </c>
      <c r="G234" s="112" t="s">
        <v>74</v>
      </c>
      <c r="H234" s="112" t="s">
        <v>398</v>
      </c>
      <c r="I234" s="114" t="n">
        <v>0</v>
      </c>
      <c r="J234" s="114" t="n">
        <v>1</v>
      </c>
      <c r="K234" s="112"/>
      <c r="L234" s="112" t="s">
        <v>575</v>
      </c>
    </row>
    <row r="235" customFormat="false" ht="15" hidden="false" customHeight="false" outlineLevel="0" collapsed="false">
      <c r="A235" s="112" t="s">
        <v>442</v>
      </c>
      <c r="B235" s="112" t="s">
        <v>616</v>
      </c>
      <c r="C235" s="112" t="s">
        <v>660</v>
      </c>
      <c r="D235" s="112" t="s">
        <v>8</v>
      </c>
      <c r="E235" s="112" t="s">
        <v>662</v>
      </c>
      <c r="F235" s="113" t="s">
        <v>73</v>
      </c>
      <c r="G235" s="112" t="s">
        <v>74</v>
      </c>
      <c r="H235" s="112" t="s">
        <v>398</v>
      </c>
      <c r="I235" s="114" t="n">
        <v>0</v>
      </c>
      <c r="J235" s="114" t="n">
        <v>1</v>
      </c>
      <c r="K235" s="112"/>
      <c r="L235" s="112" t="s">
        <v>575</v>
      </c>
    </row>
    <row r="236" customFormat="false" ht="15" hidden="false" customHeight="false" outlineLevel="0" collapsed="false">
      <c r="A236" s="112" t="s">
        <v>444</v>
      </c>
      <c r="B236" s="112" t="s">
        <v>616</v>
      </c>
      <c r="C236" s="112" t="s">
        <v>660</v>
      </c>
      <c r="D236" s="112" t="s">
        <v>8</v>
      </c>
      <c r="E236" s="112" t="s">
        <v>663</v>
      </c>
      <c r="F236" s="113" t="s">
        <v>75</v>
      </c>
      <c r="G236" s="112" t="s">
        <v>76</v>
      </c>
      <c r="H236" s="112" t="s">
        <v>398</v>
      </c>
      <c r="I236" s="114" t="n">
        <v>1</v>
      </c>
      <c r="J236" s="114" t="n">
        <v>0</v>
      </c>
      <c r="K236" s="112"/>
      <c r="L236" s="112" t="s">
        <v>575</v>
      </c>
    </row>
    <row r="237" customFormat="false" ht="15" hidden="false" customHeight="false" outlineLevel="0" collapsed="false">
      <c r="A237" s="112" t="s">
        <v>664</v>
      </c>
      <c r="B237" s="112" t="s">
        <v>616</v>
      </c>
      <c r="C237" s="112" t="s">
        <v>660</v>
      </c>
      <c r="D237" s="112" t="s">
        <v>8</v>
      </c>
      <c r="E237" s="112" t="s">
        <v>665</v>
      </c>
      <c r="F237" s="113" t="s">
        <v>81</v>
      </c>
      <c r="G237" s="112" t="s">
        <v>82</v>
      </c>
      <c r="H237" s="112" t="s">
        <v>398</v>
      </c>
      <c r="I237" s="114" t="n">
        <v>1</v>
      </c>
      <c r="J237" s="114" t="n">
        <v>0</v>
      </c>
      <c r="K237" s="112"/>
      <c r="L237" s="112" t="s">
        <v>575</v>
      </c>
    </row>
    <row r="238" customFormat="false" ht="15" hidden="false" customHeight="false" outlineLevel="0" collapsed="false">
      <c r="A238" s="112" t="s">
        <v>579</v>
      </c>
      <c r="B238" s="112" t="s">
        <v>616</v>
      </c>
      <c r="C238" s="112" t="s">
        <v>9</v>
      </c>
      <c r="D238" s="112" t="s">
        <v>9</v>
      </c>
      <c r="E238" s="112" t="s">
        <v>666</v>
      </c>
      <c r="F238" s="113" t="s">
        <v>73</v>
      </c>
      <c r="G238" s="112" t="s">
        <v>74</v>
      </c>
      <c r="H238" s="112" t="s">
        <v>398</v>
      </c>
      <c r="I238" s="114" t="n">
        <v>0</v>
      </c>
      <c r="J238" s="114" t="n">
        <v>1</v>
      </c>
      <c r="K238" s="112"/>
      <c r="L238" s="112" t="s">
        <v>575</v>
      </c>
    </row>
    <row r="239" customFormat="false" ht="15" hidden="false" customHeight="false" outlineLevel="0" collapsed="false">
      <c r="A239" s="112" t="s">
        <v>445</v>
      </c>
      <c r="B239" s="112" t="s">
        <v>616</v>
      </c>
      <c r="C239" s="112" t="s">
        <v>9</v>
      </c>
      <c r="D239" s="112" t="s">
        <v>9</v>
      </c>
      <c r="E239" s="112" t="s">
        <v>667</v>
      </c>
      <c r="F239" s="113" t="s">
        <v>73</v>
      </c>
      <c r="G239" s="112" t="s">
        <v>74</v>
      </c>
      <c r="H239" s="112" t="s">
        <v>398</v>
      </c>
      <c r="I239" s="114" t="n">
        <v>1</v>
      </c>
      <c r="J239" s="114" t="n">
        <v>0</v>
      </c>
      <c r="K239" s="112"/>
      <c r="L239" s="112" t="s">
        <v>575</v>
      </c>
    </row>
    <row r="240" customFormat="false" ht="15" hidden="false" customHeight="false" outlineLevel="0" collapsed="false">
      <c r="A240" s="112" t="s">
        <v>448</v>
      </c>
      <c r="B240" s="112" t="s">
        <v>616</v>
      </c>
      <c r="C240" s="112" t="s">
        <v>9</v>
      </c>
      <c r="D240" s="112" t="s">
        <v>9</v>
      </c>
      <c r="E240" s="112" t="s">
        <v>668</v>
      </c>
      <c r="F240" s="113" t="s">
        <v>81</v>
      </c>
      <c r="G240" s="112" t="s">
        <v>82</v>
      </c>
      <c r="H240" s="112" t="s">
        <v>398</v>
      </c>
      <c r="I240" s="114" t="n">
        <v>1</v>
      </c>
      <c r="J240" s="114" t="n">
        <v>0</v>
      </c>
      <c r="K240" s="112"/>
      <c r="L240" s="112" t="s">
        <v>575</v>
      </c>
    </row>
    <row r="241" customFormat="false" ht="15" hidden="false" customHeight="false" outlineLevel="0" collapsed="false">
      <c r="A241" s="112" t="s">
        <v>449</v>
      </c>
      <c r="B241" s="112" t="s">
        <v>616</v>
      </c>
      <c r="C241" s="112" t="s">
        <v>9</v>
      </c>
      <c r="D241" s="112" t="s">
        <v>9</v>
      </c>
      <c r="E241" s="112" t="s">
        <v>669</v>
      </c>
      <c r="F241" s="113" t="s">
        <v>81</v>
      </c>
      <c r="G241" s="112" t="s">
        <v>82</v>
      </c>
      <c r="H241" s="112" t="s">
        <v>398</v>
      </c>
      <c r="I241" s="114" t="n">
        <v>1</v>
      </c>
      <c r="J241" s="114" t="n">
        <v>0</v>
      </c>
      <c r="K241" s="112"/>
      <c r="L241" s="112" t="s">
        <v>575</v>
      </c>
    </row>
    <row r="242" customFormat="false" ht="15" hidden="false" customHeight="false" outlineLevel="0" collapsed="false">
      <c r="A242" s="112" t="s">
        <v>581</v>
      </c>
      <c r="B242" s="112" t="s">
        <v>616</v>
      </c>
      <c r="C242" s="112" t="s">
        <v>23</v>
      </c>
      <c r="D242" s="112" t="s">
        <v>23</v>
      </c>
      <c r="E242" s="112" t="s">
        <v>670</v>
      </c>
      <c r="F242" s="113" t="s">
        <v>73</v>
      </c>
      <c r="G242" s="112" t="s">
        <v>74</v>
      </c>
      <c r="H242" s="112" t="s">
        <v>398</v>
      </c>
      <c r="I242" s="114" t="n">
        <v>1</v>
      </c>
      <c r="J242" s="114" t="n">
        <v>0</v>
      </c>
      <c r="K242" s="112"/>
      <c r="L242" s="112" t="s">
        <v>575</v>
      </c>
    </row>
    <row r="243" customFormat="false" ht="15" hidden="false" customHeight="false" outlineLevel="0" collapsed="false">
      <c r="A243" s="112" t="s">
        <v>466</v>
      </c>
      <c r="B243" s="112" t="s">
        <v>616</v>
      </c>
      <c r="C243" s="112" t="s">
        <v>23</v>
      </c>
      <c r="D243" s="112" t="s">
        <v>23</v>
      </c>
      <c r="E243" s="112" t="s">
        <v>671</v>
      </c>
      <c r="F243" s="113" t="s">
        <v>81</v>
      </c>
      <c r="G243" s="112" t="s">
        <v>82</v>
      </c>
      <c r="H243" s="112" t="s">
        <v>398</v>
      </c>
      <c r="I243" s="114" t="n">
        <v>1</v>
      </c>
      <c r="J243" s="114" t="n">
        <v>0</v>
      </c>
      <c r="K243" s="112"/>
      <c r="L243" s="112" t="s">
        <v>575</v>
      </c>
    </row>
    <row r="244" customFormat="false" ht="15" hidden="false" customHeight="false" outlineLevel="0" collapsed="false">
      <c r="A244" s="112" t="s">
        <v>672</v>
      </c>
      <c r="B244" s="112" t="s">
        <v>616</v>
      </c>
      <c r="C244" s="112" t="s">
        <v>673</v>
      </c>
      <c r="D244" s="112" t="s">
        <v>20</v>
      </c>
      <c r="E244" s="112" t="s">
        <v>354</v>
      </c>
      <c r="F244" s="113" t="s">
        <v>85</v>
      </c>
      <c r="G244" s="112" t="s">
        <v>86</v>
      </c>
      <c r="H244" s="112" t="s">
        <v>398</v>
      </c>
      <c r="I244" s="114" t="n">
        <v>1</v>
      </c>
      <c r="J244" s="114" t="n">
        <v>0</v>
      </c>
      <c r="K244" s="112"/>
      <c r="L244" s="112" t="s">
        <v>575</v>
      </c>
    </row>
    <row r="245" customFormat="false" ht="15" hidden="false" customHeight="false" outlineLevel="0" collapsed="false">
      <c r="A245" s="112" t="s">
        <v>427</v>
      </c>
      <c r="B245" s="112" t="s">
        <v>616</v>
      </c>
      <c r="C245" s="112" t="s">
        <v>674</v>
      </c>
      <c r="D245" s="112" t="s">
        <v>21</v>
      </c>
      <c r="E245" s="112" t="s">
        <v>675</v>
      </c>
      <c r="F245" s="113" t="s">
        <v>73</v>
      </c>
      <c r="G245" s="112" t="s">
        <v>74</v>
      </c>
      <c r="H245" s="112" t="s">
        <v>398</v>
      </c>
      <c r="I245" s="114" t="n">
        <v>1</v>
      </c>
      <c r="J245" s="114" t="n">
        <v>0</v>
      </c>
      <c r="K245" s="112"/>
      <c r="L245" s="112" t="s">
        <v>575</v>
      </c>
    </row>
    <row r="246" customFormat="false" ht="15" hidden="false" customHeight="false" outlineLevel="0" collapsed="false">
      <c r="A246" s="112" t="s">
        <v>676</v>
      </c>
      <c r="B246" s="112" t="s">
        <v>616</v>
      </c>
      <c r="C246" s="112" t="s">
        <v>674</v>
      </c>
      <c r="D246" s="112" t="s">
        <v>21</v>
      </c>
      <c r="E246" s="112" t="s">
        <v>677</v>
      </c>
      <c r="F246" s="113" t="s">
        <v>73</v>
      </c>
      <c r="G246" s="112" t="s">
        <v>74</v>
      </c>
      <c r="H246" s="112" t="s">
        <v>398</v>
      </c>
      <c r="I246" s="114" t="n">
        <v>1</v>
      </c>
      <c r="J246" s="114" t="n">
        <v>0</v>
      </c>
      <c r="K246" s="112"/>
      <c r="L246" s="112" t="s">
        <v>575</v>
      </c>
    </row>
    <row r="247" customFormat="false" ht="15" hidden="false" customHeight="false" outlineLevel="0" collapsed="false">
      <c r="A247" s="112" t="s">
        <v>678</v>
      </c>
      <c r="B247" s="112" t="s">
        <v>616</v>
      </c>
      <c r="C247" s="112" t="s">
        <v>674</v>
      </c>
      <c r="D247" s="112" t="s">
        <v>21</v>
      </c>
      <c r="E247" s="112" t="s">
        <v>679</v>
      </c>
      <c r="F247" s="113" t="s">
        <v>73</v>
      </c>
      <c r="G247" s="112" t="s">
        <v>74</v>
      </c>
      <c r="H247" s="112" t="s">
        <v>398</v>
      </c>
      <c r="I247" s="114" t="n">
        <v>0</v>
      </c>
      <c r="J247" s="114" t="n">
        <v>1</v>
      </c>
      <c r="K247" s="112"/>
      <c r="L247" s="112" t="s">
        <v>575</v>
      </c>
    </row>
    <row r="248" customFormat="false" ht="15" hidden="false" customHeight="false" outlineLevel="0" collapsed="false">
      <c r="A248" s="112" t="s">
        <v>496</v>
      </c>
      <c r="B248" s="112" t="s">
        <v>616</v>
      </c>
      <c r="C248" s="112" t="s">
        <v>674</v>
      </c>
      <c r="D248" s="112" t="s">
        <v>21</v>
      </c>
      <c r="E248" s="112" t="s">
        <v>680</v>
      </c>
      <c r="F248" s="113" t="s">
        <v>73</v>
      </c>
      <c r="G248" s="112" t="s">
        <v>74</v>
      </c>
      <c r="H248" s="112" t="s">
        <v>398</v>
      </c>
      <c r="I248" s="114" t="n">
        <v>1</v>
      </c>
      <c r="J248" s="114" t="n">
        <v>1</v>
      </c>
      <c r="K248" s="112"/>
      <c r="L248" s="112" t="s">
        <v>575</v>
      </c>
    </row>
    <row r="249" customFormat="false" ht="15" hidden="false" customHeight="false" outlineLevel="0" collapsed="false">
      <c r="A249" s="112" t="s">
        <v>681</v>
      </c>
      <c r="B249" s="112" t="s">
        <v>616</v>
      </c>
      <c r="C249" s="112" t="s">
        <v>674</v>
      </c>
      <c r="D249" s="112" t="s">
        <v>21</v>
      </c>
      <c r="E249" s="112" t="s">
        <v>682</v>
      </c>
      <c r="F249" s="113" t="s">
        <v>73</v>
      </c>
      <c r="G249" s="112" t="s">
        <v>74</v>
      </c>
      <c r="H249" s="112" t="s">
        <v>398</v>
      </c>
      <c r="I249" s="114" t="n">
        <v>0</v>
      </c>
      <c r="J249" s="114" t="n">
        <v>1</v>
      </c>
      <c r="K249" s="112"/>
      <c r="L249" s="112" t="s">
        <v>575</v>
      </c>
    </row>
    <row r="250" customFormat="false" ht="15" hidden="false" customHeight="false" outlineLevel="0" collapsed="false">
      <c r="A250" s="112" t="s">
        <v>683</v>
      </c>
      <c r="B250" s="112" t="s">
        <v>616</v>
      </c>
      <c r="C250" s="112" t="s">
        <v>674</v>
      </c>
      <c r="D250" s="112" t="s">
        <v>21</v>
      </c>
      <c r="E250" s="112" t="s">
        <v>684</v>
      </c>
      <c r="F250" s="113" t="s">
        <v>81</v>
      </c>
      <c r="G250" s="112" t="s">
        <v>82</v>
      </c>
      <c r="H250" s="112" t="s">
        <v>398</v>
      </c>
      <c r="I250" s="114" t="n">
        <v>1</v>
      </c>
      <c r="J250" s="114" t="n">
        <v>0</v>
      </c>
      <c r="K250" s="112"/>
      <c r="L250" s="112" t="s">
        <v>575</v>
      </c>
    </row>
    <row r="251" customFormat="false" ht="15" hidden="false" customHeight="false" outlineLevel="0" collapsed="false">
      <c r="A251" s="112" t="s">
        <v>685</v>
      </c>
      <c r="B251" s="112" t="s">
        <v>616</v>
      </c>
      <c r="C251" s="112" t="s">
        <v>686</v>
      </c>
      <c r="D251" s="112" t="s">
        <v>18</v>
      </c>
      <c r="E251" s="112" t="s">
        <v>687</v>
      </c>
      <c r="F251" s="113" t="s">
        <v>73</v>
      </c>
      <c r="G251" s="112" t="s">
        <v>74</v>
      </c>
      <c r="H251" s="112" t="s">
        <v>398</v>
      </c>
      <c r="I251" s="114" t="n">
        <v>1</v>
      </c>
      <c r="J251" s="114" t="n">
        <v>1</v>
      </c>
      <c r="K251" s="112"/>
      <c r="L251" s="112" t="s">
        <v>575</v>
      </c>
    </row>
    <row r="252" customFormat="false" ht="15" hidden="false" customHeight="false" outlineLevel="0" collapsed="false">
      <c r="A252" s="112" t="s">
        <v>510</v>
      </c>
      <c r="B252" s="112" t="s">
        <v>616</v>
      </c>
      <c r="C252" s="112" t="s">
        <v>686</v>
      </c>
      <c r="D252" s="112" t="s">
        <v>18</v>
      </c>
      <c r="E252" s="112" t="s">
        <v>688</v>
      </c>
      <c r="F252" s="113" t="s">
        <v>81</v>
      </c>
      <c r="G252" s="112" t="s">
        <v>82</v>
      </c>
      <c r="H252" s="112" t="s">
        <v>398</v>
      </c>
      <c r="I252" s="114" t="n">
        <v>1</v>
      </c>
      <c r="J252" s="114" t="n">
        <v>0</v>
      </c>
      <c r="K252" s="112"/>
      <c r="L252" s="112" t="s">
        <v>575</v>
      </c>
    </row>
    <row r="253" customFormat="false" ht="15" hidden="false" customHeight="false" outlineLevel="0" collapsed="false">
      <c r="A253" s="112" t="s">
        <v>689</v>
      </c>
      <c r="B253" s="112" t="s">
        <v>616</v>
      </c>
      <c r="C253" s="112" t="s">
        <v>686</v>
      </c>
      <c r="D253" s="112" t="s">
        <v>18</v>
      </c>
      <c r="E253" s="112" t="s">
        <v>690</v>
      </c>
      <c r="F253" s="113" t="s">
        <v>81</v>
      </c>
      <c r="G253" s="112" t="s">
        <v>82</v>
      </c>
      <c r="H253" s="112" t="s">
        <v>398</v>
      </c>
      <c r="I253" s="114" t="n">
        <v>1</v>
      </c>
      <c r="J253" s="114" t="n">
        <v>0</v>
      </c>
      <c r="K253" s="112"/>
      <c r="L253" s="112" t="s">
        <v>575</v>
      </c>
    </row>
    <row r="254" customFormat="false" ht="15" hidden="false" customHeight="false" outlineLevel="0" collapsed="false">
      <c r="A254" s="112" t="s">
        <v>691</v>
      </c>
      <c r="B254" s="112" t="s">
        <v>616</v>
      </c>
      <c r="C254" s="112" t="s">
        <v>499</v>
      </c>
      <c r="D254" s="112" t="s">
        <v>11</v>
      </c>
      <c r="E254" s="112" t="s">
        <v>692</v>
      </c>
      <c r="F254" s="113" t="s">
        <v>73</v>
      </c>
      <c r="G254" s="112" t="s">
        <v>74</v>
      </c>
      <c r="H254" s="112" t="s">
        <v>398</v>
      </c>
      <c r="I254" s="114" t="n">
        <v>1</v>
      </c>
      <c r="J254" s="114" t="n">
        <v>0</v>
      </c>
      <c r="K254" s="112"/>
      <c r="L254" s="112" t="s">
        <v>575</v>
      </c>
    </row>
    <row r="255" customFormat="false" ht="15" hidden="false" customHeight="false" outlineLevel="0" collapsed="false">
      <c r="A255" s="112" t="s">
        <v>693</v>
      </c>
      <c r="B255" s="112" t="s">
        <v>616</v>
      </c>
      <c r="C255" s="112" t="s">
        <v>499</v>
      </c>
      <c r="D255" s="112" t="s">
        <v>11</v>
      </c>
      <c r="E255" s="112" t="s">
        <v>694</v>
      </c>
      <c r="F255" s="113" t="s">
        <v>73</v>
      </c>
      <c r="G255" s="112" t="s">
        <v>74</v>
      </c>
      <c r="H255" s="112" t="s">
        <v>398</v>
      </c>
      <c r="I255" s="114" t="n">
        <v>1</v>
      </c>
      <c r="J255" s="114" t="n">
        <v>0</v>
      </c>
      <c r="K255" s="112"/>
      <c r="L255" s="112" t="s">
        <v>575</v>
      </c>
    </row>
    <row r="256" customFormat="false" ht="15" hidden="false" customHeight="false" outlineLevel="0" collapsed="false">
      <c r="A256" s="112" t="s">
        <v>523</v>
      </c>
      <c r="B256" s="112" t="s">
        <v>616</v>
      </c>
      <c r="C256" s="112" t="s">
        <v>11</v>
      </c>
      <c r="D256" s="112" t="s">
        <v>11</v>
      </c>
      <c r="E256" s="112" t="s">
        <v>304</v>
      </c>
      <c r="F256" s="113" t="s">
        <v>85</v>
      </c>
      <c r="G256" s="112" t="s">
        <v>86</v>
      </c>
      <c r="H256" s="112" t="s">
        <v>398</v>
      </c>
      <c r="I256" s="114" t="n">
        <v>1</v>
      </c>
      <c r="J256" s="114" t="n">
        <v>0</v>
      </c>
      <c r="K256" s="112"/>
      <c r="L256" s="112" t="s">
        <v>575</v>
      </c>
    </row>
    <row r="257" customFormat="false" ht="15" hidden="false" customHeight="false" outlineLevel="0" collapsed="false">
      <c r="A257" s="112" t="s">
        <v>407</v>
      </c>
      <c r="B257" s="112" t="s">
        <v>616</v>
      </c>
      <c r="C257" s="112" t="s">
        <v>567</v>
      </c>
      <c r="D257" s="112" t="s">
        <v>10</v>
      </c>
      <c r="E257" s="112" t="s">
        <v>695</v>
      </c>
      <c r="F257" s="113" t="s">
        <v>81</v>
      </c>
      <c r="G257" s="112" t="s">
        <v>82</v>
      </c>
      <c r="H257" s="112" t="s">
        <v>398</v>
      </c>
      <c r="I257" s="114" t="n">
        <v>1</v>
      </c>
      <c r="J257" s="114" t="n">
        <v>0</v>
      </c>
      <c r="K257" s="112"/>
      <c r="L257" s="112" t="s">
        <v>575</v>
      </c>
    </row>
    <row r="258" customFormat="false" ht="15" hidden="false" customHeight="false" outlineLevel="0" collapsed="false">
      <c r="A258" s="112" t="s">
        <v>525</v>
      </c>
      <c r="B258" s="112" t="s">
        <v>616</v>
      </c>
      <c r="C258" s="112" t="s">
        <v>40</v>
      </c>
      <c r="D258" s="112" t="s">
        <v>40</v>
      </c>
      <c r="E258" s="112" t="s">
        <v>696</v>
      </c>
      <c r="F258" s="113" t="s">
        <v>75</v>
      </c>
      <c r="G258" s="112" t="s">
        <v>76</v>
      </c>
      <c r="H258" s="112" t="s">
        <v>398</v>
      </c>
      <c r="I258" s="114" t="n">
        <v>1</v>
      </c>
      <c r="J258" s="114" t="n">
        <v>0</v>
      </c>
      <c r="K258" s="112"/>
      <c r="L258" s="112" t="s">
        <v>575</v>
      </c>
    </row>
    <row r="259" customFormat="false" ht="15" hidden="false" customHeight="false" outlineLevel="0" collapsed="false">
      <c r="A259" s="112" t="s">
        <v>697</v>
      </c>
      <c r="B259" s="112" t="s">
        <v>616</v>
      </c>
      <c r="C259" s="112" t="s">
        <v>40</v>
      </c>
      <c r="D259" s="112" t="s">
        <v>40</v>
      </c>
      <c r="E259" s="112" t="s">
        <v>698</v>
      </c>
      <c r="F259" s="113" t="s">
        <v>75</v>
      </c>
      <c r="G259" s="112" t="s">
        <v>76</v>
      </c>
      <c r="H259" s="112" t="s">
        <v>398</v>
      </c>
      <c r="I259" s="114" t="n">
        <v>1</v>
      </c>
      <c r="J259" s="114" t="n">
        <v>0</v>
      </c>
      <c r="K259" s="112"/>
      <c r="L259" s="112" t="s">
        <v>575</v>
      </c>
    </row>
    <row r="260" customFormat="false" ht="15" hidden="false" customHeight="false" outlineLevel="0" collapsed="false">
      <c r="A260" s="112" t="s">
        <v>699</v>
      </c>
      <c r="B260" s="112" t="s">
        <v>616</v>
      </c>
      <c r="C260" s="112" t="s">
        <v>40</v>
      </c>
      <c r="D260" s="112" t="s">
        <v>40</v>
      </c>
      <c r="E260" s="112" t="s">
        <v>700</v>
      </c>
      <c r="F260" s="113" t="s">
        <v>75</v>
      </c>
      <c r="G260" s="112" t="s">
        <v>76</v>
      </c>
      <c r="H260" s="112" t="s">
        <v>398</v>
      </c>
      <c r="I260" s="114" t="n">
        <v>1</v>
      </c>
      <c r="J260" s="114" t="n">
        <v>0</v>
      </c>
      <c r="K260" s="112"/>
      <c r="L260" s="112" t="s">
        <v>575</v>
      </c>
    </row>
    <row r="261" customFormat="false" ht="15" hidden="false" customHeight="false" outlineLevel="0" collapsed="false">
      <c r="A261" s="112" t="s">
        <v>701</v>
      </c>
      <c r="B261" s="112" t="s">
        <v>616</v>
      </c>
      <c r="C261" s="112" t="s">
        <v>40</v>
      </c>
      <c r="D261" s="112" t="s">
        <v>40</v>
      </c>
      <c r="E261" s="112" t="s">
        <v>702</v>
      </c>
      <c r="F261" s="113" t="s">
        <v>75</v>
      </c>
      <c r="G261" s="112" t="s">
        <v>76</v>
      </c>
      <c r="H261" s="112" t="s">
        <v>398</v>
      </c>
      <c r="I261" s="114" t="n">
        <v>1</v>
      </c>
      <c r="J261" s="114" t="n">
        <v>1</v>
      </c>
      <c r="K261" s="112"/>
      <c r="L261" s="112" t="s">
        <v>575</v>
      </c>
    </row>
    <row r="262" customFormat="false" ht="15" hidden="false" customHeight="false" outlineLevel="0" collapsed="false">
      <c r="A262" s="112" t="s">
        <v>703</v>
      </c>
      <c r="B262" s="112" t="s">
        <v>616</v>
      </c>
      <c r="C262" s="112" t="s">
        <v>40</v>
      </c>
      <c r="D262" s="112" t="s">
        <v>40</v>
      </c>
      <c r="E262" s="112" t="s">
        <v>704</v>
      </c>
      <c r="F262" s="113" t="s">
        <v>81</v>
      </c>
      <c r="G262" s="112" t="s">
        <v>82</v>
      </c>
      <c r="H262" s="112" t="s">
        <v>398</v>
      </c>
      <c r="I262" s="114" t="n">
        <v>1</v>
      </c>
      <c r="J262" s="114" t="n">
        <v>0</v>
      </c>
      <c r="K262" s="112"/>
      <c r="L262" s="112" t="s">
        <v>575</v>
      </c>
    </row>
    <row r="263" customFormat="false" ht="15" hidden="false" customHeight="false" outlineLevel="0" collapsed="false">
      <c r="A263" s="112" t="s">
        <v>430</v>
      </c>
      <c r="B263" s="112" t="s">
        <v>616</v>
      </c>
      <c r="C263" s="112" t="s">
        <v>40</v>
      </c>
      <c r="D263" s="112" t="s">
        <v>40</v>
      </c>
      <c r="E263" s="112" t="s">
        <v>705</v>
      </c>
      <c r="F263" s="113" t="s">
        <v>81</v>
      </c>
      <c r="G263" s="112" t="s">
        <v>82</v>
      </c>
      <c r="H263" s="112" t="s">
        <v>398</v>
      </c>
      <c r="I263" s="114" t="n">
        <v>1</v>
      </c>
      <c r="J263" s="114" t="n">
        <v>0</v>
      </c>
      <c r="K263" s="112"/>
      <c r="L263" s="112" t="s">
        <v>575</v>
      </c>
    </row>
    <row r="264" customFormat="false" ht="15" hidden="false" customHeight="false" outlineLevel="0" collapsed="false">
      <c r="A264" s="112" t="s">
        <v>706</v>
      </c>
      <c r="B264" s="112" t="s">
        <v>616</v>
      </c>
      <c r="C264" s="112" t="s">
        <v>40</v>
      </c>
      <c r="D264" s="112" t="s">
        <v>40</v>
      </c>
      <c r="E264" s="112" t="s">
        <v>707</v>
      </c>
      <c r="F264" s="113" t="s">
        <v>81</v>
      </c>
      <c r="G264" s="112" t="s">
        <v>82</v>
      </c>
      <c r="H264" s="112" t="s">
        <v>398</v>
      </c>
      <c r="I264" s="114" t="n">
        <v>0</v>
      </c>
      <c r="J264" s="114" t="n">
        <v>1</v>
      </c>
      <c r="K264" s="112"/>
      <c r="L264" s="112" t="s">
        <v>575</v>
      </c>
    </row>
    <row r="265" customFormat="false" ht="15" hidden="false" customHeight="false" outlineLevel="0" collapsed="false">
      <c r="A265" s="112" t="s">
        <v>708</v>
      </c>
      <c r="B265" s="112" t="s">
        <v>616</v>
      </c>
      <c r="C265" s="112" t="s">
        <v>709</v>
      </c>
      <c r="D265" s="112" t="s">
        <v>12</v>
      </c>
      <c r="E265" s="112" t="s">
        <v>710</v>
      </c>
      <c r="F265" s="113" t="s">
        <v>73</v>
      </c>
      <c r="G265" s="112" t="s">
        <v>74</v>
      </c>
      <c r="H265" s="112" t="s">
        <v>398</v>
      </c>
      <c r="I265" s="114" t="n">
        <v>1</v>
      </c>
      <c r="J265" s="114" t="n">
        <v>1</v>
      </c>
      <c r="K265" s="112"/>
      <c r="L265" s="112" t="s">
        <v>575</v>
      </c>
    </row>
    <row r="266" customFormat="false" ht="15" hidden="false" customHeight="false" outlineLevel="0" collapsed="false">
      <c r="A266" s="112" t="s">
        <v>711</v>
      </c>
      <c r="B266" s="112" t="s">
        <v>712</v>
      </c>
      <c r="C266" s="112" t="s">
        <v>50</v>
      </c>
      <c r="D266" s="112" t="s">
        <v>50</v>
      </c>
      <c r="E266" s="112" t="s">
        <v>713</v>
      </c>
      <c r="F266" s="113" t="s">
        <v>109</v>
      </c>
      <c r="G266" s="112" t="s">
        <v>110</v>
      </c>
      <c r="H266" s="112" t="s">
        <v>398</v>
      </c>
      <c r="I266" s="114" t="n">
        <v>1</v>
      </c>
      <c r="J266" s="114" t="n">
        <v>0</v>
      </c>
      <c r="K266" s="112" t="s">
        <v>714</v>
      </c>
      <c r="L266" s="112"/>
    </row>
    <row r="267" customFormat="false" ht="15" hidden="false" customHeight="false" outlineLevel="0" collapsed="false">
      <c r="A267" s="112" t="s">
        <v>711</v>
      </c>
      <c r="B267" s="112" t="s">
        <v>712</v>
      </c>
      <c r="C267" s="112" t="s">
        <v>50</v>
      </c>
      <c r="D267" s="112" t="s">
        <v>50</v>
      </c>
      <c r="E267" s="112" t="s">
        <v>715</v>
      </c>
      <c r="F267" s="113" t="s">
        <v>109</v>
      </c>
      <c r="G267" s="112" t="s">
        <v>110</v>
      </c>
      <c r="H267" s="112" t="s">
        <v>398</v>
      </c>
      <c r="I267" s="114" t="n">
        <v>1</v>
      </c>
      <c r="J267" s="114" t="n">
        <v>0</v>
      </c>
      <c r="K267" s="112" t="s">
        <v>714</v>
      </c>
      <c r="L267" s="112"/>
    </row>
    <row r="268" customFormat="false" ht="15" hidden="false" customHeight="false" outlineLevel="0" collapsed="false">
      <c r="A268" s="112" t="s">
        <v>711</v>
      </c>
      <c r="B268" s="112" t="s">
        <v>712</v>
      </c>
      <c r="C268" s="112" t="s">
        <v>50</v>
      </c>
      <c r="D268" s="112" t="s">
        <v>50</v>
      </c>
      <c r="E268" s="112" t="s">
        <v>716</v>
      </c>
      <c r="F268" s="113" t="s">
        <v>109</v>
      </c>
      <c r="G268" s="112" t="s">
        <v>110</v>
      </c>
      <c r="H268" s="112" t="s">
        <v>398</v>
      </c>
      <c r="I268" s="114" t="n">
        <v>1</v>
      </c>
      <c r="J268" s="114" t="n">
        <v>0</v>
      </c>
      <c r="K268" s="112" t="s">
        <v>714</v>
      </c>
      <c r="L268" s="112"/>
    </row>
    <row r="269" customFormat="false" ht="15" hidden="false" customHeight="false" outlineLevel="0" collapsed="false">
      <c r="A269" s="112" t="s">
        <v>711</v>
      </c>
      <c r="B269" s="112" t="s">
        <v>712</v>
      </c>
      <c r="C269" s="112" t="s">
        <v>50</v>
      </c>
      <c r="D269" s="112" t="s">
        <v>50</v>
      </c>
      <c r="E269" s="112" t="s">
        <v>717</v>
      </c>
      <c r="F269" s="113" t="s">
        <v>109</v>
      </c>
      <c r="G269" s="112" t="s">
        <v>110</v>
      </c>
      <c r="H269" s="112" t="s">
        <v>398</v>
      </c>
      <c r="I269" s="114" t="n">
        <v>0</v>
      </c>
      <c r="J269" s="114" t="n">
        <v>1</v>
      </c>
      <c r="K269" s="112" t="s">
        <v>714</v>
      </c>
      <c r="L269" s="112"/>
    </row>
    <row r="270" customFormat="false" ht="15" hidden="false" customHeight="false" outlineLevel="0" collapsed="false">
      <c r="A270" s="112" t="s">
        <v>711</v>
      </c>
      <c r="B270" s="112" t="s">
        <v>712</v>
      </c>
      <c r="C270" s="112" t="s">
        <v>50</v>
      </c>
      <c r="D270" s="112" t="s">
        <v>50</v>
      </c>
      <c r="E270" s="112" t="s">
        <v>718</v>
      </c>
      <c r="F270" s="113" t="s">
        <v>109</v>
      </c>
      <c r="G270" s="112" t="s">
        <v>110</v>
      </c>
      <c r="H270" s="112" t="s">
        <v>398</v>
      </c>
      <c r="I270" s="114" t="n">
        <v>0</v>
      </c>
      <c r="J270" s="114" t="n">
        <v>1</v>
      </c>
      <c r="K270" s="112" t="s">
        <v>714</v>
      </c>
      <c r="L270" s="112"/>
    </row>
    <row r="271" customFormat="false" ht="15" hidden="false" customHeight="false" outlineLevel="0" collapsed="false">
      <c r="A271" s="112" t="s">
        <v>711</v>
      </c>
      <c r="B271" s="112" t="s">
        <v>712</v>
      </c>
      <c r="C271" s="112" t="s">
        <v>50</v>
      </c>
      <c r="D271" s="112" t="s">
        <v>50</v>
      </c>
      <c r="E271" s="112" t="s">
        <v>719</v>
      </c>
      <c r="F271" s="113" t="s">
        <v>109</v>
      </c>
      <c r="G271" s="112" t="s">
        <v>110</v>
      </c>
      <c r="H271" s="112" t="s">
        <v>398</v>
      </c>
      <c r="I271" s="114" t="n">
        <v>0</v>
      </c>
      <c r="J271" s="114" t="n">
        <v>1</v>
      </c>
      <c r="K271" s="112" t="s">
        <v>714</v>
      </c>
      <c r="L271" s="112"/>
    </row>
    <row r="272" customFormat="false" ht="15" hidden="false" customHeight="false" outlineLevel="0" collapsed="false">
      <c r="A272" s="112" t="s">
        <v>720</v>
      </c>
      <c r="B272" s="112" t="s">
        <v>721</v>
      </c>
      <c r="C272" s="112" t="s">
        <v>27</v>
      </c>
      <c r="D272" s="112" t="s">
        <v>27</v>
      </c>
      <c r="E272" s="112" t="s">
        <v>722</v>
      </c>
      <c r="F272" s="113" t="s">
        <v>73</v>
      </c>
      <c r="G272" s="112" t="s">
        <v>74</v>
      </c>
      <c r="H272" s="112" t="s">
        <v>398</v>
      </c>
      <c r="I272" s="114" t="n">
        <v>1</v>
      </c>
      <c r="J272" s="114" t="n">
        <v>0</v>
      </c>
      <c r="K272" s="112"/>
      <c r="L272" s="112"/>
    </row>
    <row r="273" customFormat="false" ht="15" hidden="false" customHeight="false" outlineLevel="0" collapsed="false">
      <c r="A273" s="112" t="s">
        <v>683</v>
      </c>
      <c r="B273" s="112" t="s">
        <v>721</v>
      </c>
      <c r="C273" s="112" t="s">
        <v>723</v>
      </c>
      <c r="D273" s="112" t="s">
        <v>26</v>
      </c>
      <c r="E273" s="112" t="s">
        <v>724</v>
      </c>
      <c r="F273" s="113" t="s">
        <v>73</v>
      </c>
      <c r="G273" s="112" t="s">
        <v>74</v>
      </c>
      <c r="H273" s="112" t="s">
        <v>398</v>
      </c>
      <c r="I273" s="114" t="n">
        <v>1</v>
      </c>
      <c r="J273" s="114" t="n">
        <v>0</v>
      </c>
      <c r="K273" s="112"/>
      <c r="L273" s="112"/>
    </row>
    <row r="274" customFormat="false" ht="15" hidden="false" customHeight="false" outlineLevel="0" collapsed="false">
      <c r="A274" s="112" t="s">
        <v>725</v>
      </c>
      <c r="B274" s="112" t="s">
        <v>721</v>
      </c>
      <c r="C274" s="112" t="s">
        <v>723</v>
      </c>
      <c r="D274" s="112" t="s">
        <v>26</v>
      </c>
      <c r="E274" s="112" t="s">
        <v>726</v>
      </c>
      <c r="F274" s="113" t="s">
        <v>97</v>
      </c>
      <c r="G274" s="112" t="s">
        <v>98</v>
      </c>
      <c r="H274" s="112" t="s">
        <v>398</v>
      </c>
      <c r="I274" s="114" t="n">
        <v>1</v>
      </c>
      <c r="J274" s="114" t="n">
        <v>0</v>
      </c>
      <c r="K274" s="112"/>
      <c r="L274" s="112"/>
    </row>
    <row r="275" customFormat="false" ht="15" hidden="false" customHeight="false" outlineLevel="0" collapsed="false">
      <c r="A275" s="112" t="s">
        <v>727</v>
      </c>
      <c r="B275" s="112" t="s">
        <v>721</v>
      </c>
      <c r="C275" s="112" t="s">
        <v>723</v>
      </c>
      <c r="D275" s="112" t="s">
        <v>26</v>
      </c>
      <c r="E275" s="112" t="s">
        <v>728</v>
      </c>
      <c r="F275" s="113" t="s">
        <v>97</v>
      </c>
      <c r="G275" s="112" t="s">
        <v>98</v>
      </c>
      <c r="H275" s="112" t="s">
        <v>398</v>
      </c>
      <c r="I275" s="114" t="n">
        <v>1</v>
      </c>
      <c r="J275" s="114" t="n">
        <v>0</v>
      </c>
      <c r="K275" s="112"/>
      <c r="L275" s="112"/>
    </row>
    <row r="276" customFormat="false" ht="15" hidden="false" customHeight="false" outlineLevel="0" collapsed="false">
      <c r="A276" s="112" t="s">
        <v>530</v>
      </c>
      <c r="B276" s="112" t="s">
        <v>721</v>
      </c>
      <c r="C276" s="112" t="s">
        <v>723</v>
      </c>
      <c r="D276" s="112" t="s">
        <v>26</v>
      </c>
      <c r="E276" s="112" t="s">
        <v>729</v>
      </c>
      <c r="F276" s="113" t="s">
        <v>97</v>
      </c>
      <c r="G276" s="112" t="s">
        <v>98</v>
      </c>
      <c r="H276" s="112" t="s">
        <v>398</v>
      </c>
      <c r="I276" s="114" t="n">
        <v>1</v>
      </c>
      <c r="J276" s="114" t="n">
        <v>0</v>
      </c>
      <c r="K276" s="112"/>
      <c r="L276" s="112"/>
    </row>
    <row r="277" customFormat="false" ht="15" hidden="false" customHeight="false" outlineLevel="0" collapsed="false">
      <c r="A277" s="112" t="s">
        <v>730</v>
      </c>
      <c r="B277" s="112" t="s">
        <v>721</v>
      </c>
      <c r="C277" s="112" t="s">
        <v>723</v>
      </c>
      <c r="D277" s="112" t="s">
        <v>26</v>
      </c>
      <c r="E277" s="112" t="s">
        <v>731</v>
      </c>
      <c r="F277" s="113" t="s">
        <v>97</v>
      </c>
      <c r="G277" s="112" t="s">
        <v>98</v>
      </c>
      <c r="H277" s="112" t="s">
        <v>398</v>
      </c>
      <c r="I277" s="114" t="n">
        <v>1</v>
      </c>
      <c r="J277" s="114" t="n">
        <v>0</v>
      </c>
      <c r="K277" s="112"/>
      <c r="L277" s="112"/>
    </row>
    <row r="278" customFormat="false" ht="15" hidden="false" customHeight="false" outlineLevel="0" collapsed="false">
      <c r="A278" s="112" t="s">
        <v>413</v>
      </c>
      <c r="B278" s="112" t="s">
        <v>721</v>
      </c>
      <c r="C278" s="112" t="s">
        <v>732</v>
      </c>
      <c r="D278" s="112" t="s">
        <v>17</v>
      </c>
      <c r="E278" s="112" t="s">
        <v>733</v>
      </c>
      <c r="F278" s="113" t="s">
        <v>73</v>
      </c>
      <c r="G278" s="112" t="s">
        <v>74</v>
      </c>
      <c r="H278" s="112" t="s">
        <v>398</v>
      </c>
      <c r="I278" s="114" t="n">
        <v>0</v>
      </c>
      <c r="J278" s="114" t="n">
        <v>1</v>
      </c>
      <c r="K278" s="112" t="s">
        <v>401</v>
      </c>
      <c r="L278" s="112"/>
    </row>
    <row r="279" customFormat="false" ht="15" hidden="false" customHeight="false" outlineLevel="0" collapsed="false">
      <c r="A279" s="112" t="s">
        <v>629</v>
      </c>
      <c r="B279" s="112" t="s">
        <v>721</v>
      </c>
      <c r="C279" s="112" t="s">
        <v>732</v>
      </c>
      <c r="D279" s="112" t="s">
        <v>17</v>
      </c>
      <c r="E279" s="112" t="s">
        <v>734</v>
      </c>
      <c r="F279" s="113" t="s">
        <v>73</v>
      </c>
      <c r="G279" s="112" t="s">
        <v>74</v>
      </c>
      <c r="H279" s="112" t="s">
        <v>398</v>
      </c>
      <c r="I279" s="114" t="n">
        <v>1</v>
      </c>
      <c r="J279" s="114" t="n">
        <v>0</v>
      </c>
      <c r="K279" s="112"/>
      <c r="L279" s="112"/>
    </row>
    <row r="280" customFormat="false" ht="15" hidden="false" customHeight="false" outlineLevel="0" collapsed="false">
      <c r="A280" s="112" t="s">
        <v>572</v>
      </c>
      <c r="B280" s="112" t="s">
        <v>721</v>
      </c>
      <c r="C280" s="112" t="s">
        <v>732</v>
      </c>
      <c r="D280" s="112" t="s">
        <v>17</v>
      </c>
      <c r="E280" s="112" t="s">
        <v>735</v>
      </c>
      <c r="F280" s="113" t="s">
        <v>73</v>
      </c>
      <c r="G280" s="112" t="s">
        <v>74</v>
      </c>
      <c r="H280" s="112" t="s">
        <v>398</v>
      </c>
      <c r="I280" s="114" t="n">
        <v>1</v>
      </c>
      <c r="J280" s="114" t="n">
        <v>0</v>
      </c>
      <c r="K280" s="112"/>
      <c r="L280" s="112"/>
    </row>
    <row r="281" customFormat="false" ht="15" hidden="false" customHeight="false" outlineLevel="0" collapsed="false">
      <c r="A281" s="112" t="s">
        <v>736</v>
      </c>
      <c r="B281" s="112" t="s">
        <v>721</v>
      </c>
      <c r="C281" s="112" t="s">
        <v>732</v>
      </c>
      <c r="D281" s="112" t="s">
        <v>17</v>
      </c>
      <c r="E281" s="112" t="s">
        <v>737</v>
      </c>
      <c r="F281" s="113" t="s">
        <v>73</v>
      </c>
      <c r="G281" s="112" t="s">
        <v>74</v>
      </c>
      <c r="H281" s="112" t="s">
        <v>398</v>
      </c>
      <c r="I281" s="114" t="n">
        <v>1</v>
      </c>
      <c r="J281" s="114" t="n">
        <v>0</v>
      </c>
      <c r="K281" s="112"/>
      <c r="L281" s="112"/>
    </row>
    <row r="282" customFormat="false" ht="15" hidden="false" customHeight="false" outlineLevel="0" collapsed="false">
      <c r="A282" s="112" t="s">
        <v>738</v>
      </c>
      <c r="B282" s="112" t="s">
        <v>721</v>
      </c>
      <c r="C282" s="112" t="s">
        <v>732</v>
      </c>
      <c r="D282" s="112" t="s">
        <v>17</v>
      </c>
      <c r="E282" s="112" t="s">
        <v>739</v>
      </c>
      <c r="F282" s="113" t="s">
        <v>73</v>
      </c>
      <c r="G282" s="112" t="s">
        <v>74</v>
      </c>
      <c r="H282" s="112" t="s">
        <v>398</v>
      </c>
      <c r="I282" s="114" t="n">
        <v>1</v>
      </c>
      <c r="J282" s="114" t="n">
        <v>0</v>
      </c>
      <c r="K282" s="112"/>
      <c r="L282" s="112"/>
    </row>
    <row r="283" customFormat="false" ht="15" hidden="false" customHeight="false" outlineLevel="0" collapsed="false">
      <c r="A283" s="112" t="s">
        <v>537</v>
      </c>
      <c r="B283" s="112" t="s">
        <v>721</v>
      </c>
      <c r="C283" s="112" t="s">
        <v>732</v>
      </c>
      <c r="D283" s="112" t="s">
        <v>17</v>
      </c>
      <c r="E283" s="112" t="s">
        <v>740</v>
      </c>
      <c r="F283" s="113" t="s">
        <v>73</v>
      </c>
      <c r="G283" s="112" t="s">
        <v>74</v>
      </c>
      <c r="H283" s="112" t="s">
        <v>398</v>
      </c>
      <c r="I283" s="114" t="n">
        <v>1</v>
      </c>
      <c r="J283" s="114" t="n">
        <v>0</v>
      </c>
      <c r="K283" s="112"/>
      <c r="L283" s="112"/>
    </row>
    <row r="284" customFormat="false" ht="15" hidden="false" customHeight="false" outlineLevel="0" collapsed="false">
      <c r="A284" s="112" t="s">
        <v>741</v>
      </c>
      <c r="B284" s="112" t="s">
        <v>721</v>
      </c>
      <c r="C284" s="112" t="s">
        <v>732</v>
      </c>
      <c r="D284" s="112" t="s">
        <v>17</v>
      </c>
      <c r="E284" s="112" t="s">
        <v>742</v>
      </c>
      <c r="F284" s="113" t="s">
        <v>73</v>
      </c>
      <c r="G284" s="112" t="s">
        <v>74</v>
      </c>
      <c r="H284" s="112" t="s">
        <v>398</v>
      </c>
      <c r="I284" s="114" t="n">
        <v>1</v>
      </c>
      <c r="J284" s="114" t="n">
        <v>0</v>
      </c>
      <c r="K284" s="112"/>
      <c r="L284" s="112"/>
    </row>
    <row r="285" customFormat="false" ht="15" hidden="false" customHeight="false" outlineLevel="0" collapsed="false">
      <c r="A285" s="112" t="s">
        <v>633</v>
      </c>
      <c r="B285" s="112" t="s">
        <v>721</v>
      </c>
      <c r="C285" s="112" t="s">
        <v>34</v>
      </c>
      <c r="D285" s="112" t="s">
        <v>34</v>
      </c>
      <c r="E285" s="112" t="s">
        <v>743</v>
      </c>
      <c r="F285" s="113" t="s">
        <v>73</v>
      </c>
      <c r="G285" s="112" t="s">
        <v>74</v>
      </c>
      <c r="H285" s="112" t="s">
        <v>398</v>
      </c>
      <c r="I285" s="114" t="n">
        <v>1</v>
      </c>
      <c r="J285" s="114" t="n">
        <v>0</v>
      </c>
      <c r="K285" s="112"/>
      <c r="L285" s="112"/>
    </row>
    <row r="286" customFormat="false" ht="15" hidden="false" customHeight="false" outlineLevel="0" collapsed="false">
      <c r="A286" s="112" t="s">
        <v>635</v>
      </c>
      <c r="B286" s="112" t="s">
        <v>721</v>
      </c>
      <c r="C286" s="112" t="s">
        <v>34</v>
      </c>
      <c r="D286" s="112" t="s">
        <v>34</v>
      </c>
      <c r="E286" s="112" t="s">
        <v>744</v>
      </c>
      <c r="F286" s="113" t="s">
        <v>73</v>
      </c>
      <c r="G286" s="112" t="s">
        <v>74</v>
      </c>
      <c r="H286" s="112" t="s">
        <v>398</v>
      </c>
      <c r="I286" s="114" t="n">
        <v>1</v>
      </c>
      <c r="J286" s="114" t="n">
        <v>0</v>
      </c>
      <c r="K286" s="112"/>
      <c r="L286" s="112"/>
    </row>
    <row r="287" customFormat="false" ht="15" hidden="false" customHeight="false" outlineLevel="0" collapsed="false">
      <c r="A287" s="112" t="s">
        <v>745</v>
      </c>
      <c r="B287" s="112" t="s">
        <v>721</v>
      </c>
      <c r="C287" s="112" t="s">
        <v>746</v>
      </c>
      <c r="D287" s="112" t="s">
        <v>24</v>
      </c>
      <c r="E287" s="112" t="s">
        <v>747</v>
      </c>
      <c r="F287" s="113" t="s">
        <v>73</v>
      </c>
      <c r="G287" s="112" t="s">
        <v>74</v>
      </c>
      <c r="H287" s="112" t="s">
        <v>398</v>
      </c>
      <c r="I287" s="114" t="n">
        <v>1</v>
      </c>
      <c r="J287" s="114" t="n">
        <v>1</v>
      </c>
      <c r="K287" s="112"/>
      <c r="L287" s="112"/>
    </row>
    <row r="288" customFormat="false" ht="15" hidden="false" customHeight="false" outlineLevel="0" collapsed="false">
      <c r="A288" s="112" t="s">
        <v>748</v>
      </c>
      <c r="B288" s="112" t="s">
        <v>721</v>
      </c>
      <c r="C288" s="112" t="s">
        <v>746</v>
      </c>
      <c r="D288" s="112" t="s">
        <v>24</v>
      </c>
      <c r="E288" s="112" t="s">
        <v>749</v>
      </c>
      <c r="F288" s="113" t="s">
        <v>73</v>
      </c>
      <c r="G288" s="112" t="s">
        <v>74</v>
      </c>
      <c r="H288" s="112" t="s">
        <v>398</v>
      </c>
      <c r="I288" s="114" t="n">
        <v>1</v>
      </c>
      <c r="J288" s="114" t="n">
        <v>1</v>
      </c>
      <c r="K288" s="112"/>
      <c r="L288" s="112"/>
    </row>
    <row r="289" customFormat="false" ht="15" hidden="false" customHeight="false" outlineLevel="0" collapsed="false">
      <c r="A289" s="112" t="s">
        <v>750</v>
      </c>
      <c r="B289" s="112" t="s">
        <v>721</v>
      </c>
      <c r="C289" s="112" t="s">
        <v>746</v>
      </c>
      <c r="D289" s="112" t="s">
        <v>24</v>
      </c>
      <c r="E289" s="112" t="s">
        <v>751</v>
      </c>
      <c r="F289" s="113" t="s">
        <v>73</v>
      </c>
      <c r="G289" s="112" t="s">
        <v>74</v>
      </c>
      <c r="H289" s="112" t="s">
        <v>398</v>
      </c>
      <c r="I289" s="114" t="n">
        <v>1</v>
      </c>
      <c r="J289" s="114" t="n">
        <v>1</v>
      </c>
      <c r="K289" s="112"/>
      <c r="L289" s="112"/>
    </row>
    <row r="290" customFormat="false" ht="15" hidden="false" customHeight="false" outlineLevel="0" collapsed="false">
      <c r="A290" s="112" t="s">
        <v>752</v>
      </c>
      <c r="B290" s="112" t="s">
        <v>721</v>
      </c>
      <c r="C290" s="112" t="s">
        <v>746</v>
      </c>
      <c r="D290" s="112" t="s">
        <v>24</v>
      </c>
      <c r="E290" s="112" t="s">
        <v>753</v>
      </c>
      <c r="F290" s="113" t="s">
        <v>73</v>
      </c>
      <c r="G290" s="112" t="s">
        <v>74</v>
      </c>
      <c r="H290" s="112" t="s">
        <v>398</v>
      </c>
      <c r="I290" s="114" t="n">
        <v>0</v>
      </c>
      <c r="J290" s="114" t="n">
        <v>1</v>
      </c>
      <c r="K290" s="112" t="s">
        <v>401</v>
      </c>
      <c r="L290" s="112"/>
    </row>
    <row r="291" customFormat="false" ht="15" hidden="false" customHeight="false" outlineLevel="0" collapsed="false">
      <c r="A291" s="112" t="s">
        <v>754</v>
      </c>
      <c r="B291" s="112" t="s">
        <v>721</v>
      </c>
      <c r="C291" s="112" t="s">
        <v>746</v>
      </c>
      <c r="D291" s="112" t="s">
        <v>24</v>
      </c>
      <c r="E291" s="112" t="s">
        <v>755</v>
      </c>
      <c r="F291" s="113" t="s">
        <v>73</v>
      </c>
      <c r="G291" s="112" t="s">
        <v>74</v>
      </c>
      <c r="H291" s="112" t="s">
        <v>398</v>
      </c>
      <c r="I291" s="114" t="n">
        <v>1</v>
      </c>
      <c r="J291" s="114" t="n">
        <v>0</v>
      </c>
      <c r="K291" s="112"/>
      <c r="L291" s="112"/>
    </row>
    <row r="292" customFormat="false" ht="15" hidden="false" customHeight="false" outlineLevel="0" collapsed="false">
      <c r="A292" s="112" t="s">
        <v>693</v>
      </c>
      <c r="B292" s="112" t="s">
        <v>721</v>
      </c>
      <c r="C292" s="112" t="s">
        <v>756</v>
      </c>
      <c r="D292" s="112" t="s">
        <v>32</v>
      </c>
      <c r="E292" s="112" t="s">
        <v>757</v>
      </c>
      <c r="F292" s="113" t="s">
        <v>73</v>
      </c>
      <c r="G292" s="112" t="s">
        <v>74</v>
      </c>
      <c r="H292" s="112" t="s">
        <v>398</v>
      </c>
      <c r="I292" s="114" t="n">
        <v>1</v>
      </c>
      <c r="J292" s="114" t="n">
        <v>0</v>
      </c>
      <c r="K292" s="112"/>
      <c r="L292" s="112"/>
    </row>
    <row r="293" customFormat="false" ht="15" hidden="false" customHeight="false" outlineLevel="0" collapsed="false">
      <c r="A293" s="112" t="s">
        <v>758</v>
      </c>
      <c r="B293" s="112" t="s">
        <v>721</v>
      </c>
      <c r="C293" s="112" t="s">
        <v>13</v>
      </c>
      <c r="D293" s="112" t="s">
        <v>13</v>
      </c>
      <c r="E293" s="112" t="s">
        <v>759</v>
      </c>
      <c r="F293" s="113" t="s">
        <v>73</v>
      </c>
      <c r="G293" s="112" t="s">
        <v>74</v>
      </c>
      <c r="H293" s="112" t="s">
        <v>398</v>
      </c>
      <c r="I293" s="114" t="n">
        <v>1</v>
      </c>
      <c r="J293" s="114" t="n">
        <v>0</v>
      </c>
      <c r="K293" s="112"/>
      <c r="L293" s="112"/>
    </row>
    <row r="294" customFormat="false" ht="15" hidden="false" customHeight="false" outlineLevel="0" collapsed="false">
      <c r="A294" s="112" t="s">
        <v>760</v>
      </c>
      <c r="B294" s="112" t="s">
        <v>721</v>
      </c>
      <c r="C294" s="112" t="s">
        <v>13</v>
      </c>
      <c r="D294" s="112" t="s">
        <v>13</v>
      </c>
      <c r="E294" s="112" t="s">
        <v>761</v>
      </c>
      <c r="F294" s="113" t="s">
        <v>73</v>
      </c>
      <c r="G294" s="112" t="s">
        <v>74</v>
      </c>
      <c r="H294" s="112" t="s">
        <v>398</v>
      </c>
      <c r="I294" s="114" t="n">
        <v>1</v>
      </c>
      <c r="J294" s="114" t="n">
        <v>0</v>
      </c>
      <c r="K294" s="112"/>
      <c r="L294" s="112"/>
    </row>
    <row r="295" customFormat="false" ht="15" hidden="false" customHeight="false" outlineLevel="0" collapsed="false">
      <c r="A295" s="112" t="s">
        <v>762</v>
      </c>
      <c r="B295" s="112" t="s">
        <v>721</v>
      </c>
      <c r="C295" s="112" t="s">
        <v>13</v>
      </c>
      <c r="D295" s="112" t="s">
        <v>13</v>
      </c>
      <c r="E295" s="112" t="s">
        <v>763</v>
      </c>
      <c r="F295" s="113" t="s">
        <v>73</v>
      </c>
      <c r="G295" s="112" t="s">
        <v>74</v>
      </c>
      <c r="H295" s="112" t="s">
        <v>398</v>
      </c>
      <c r="I295" s="114" t="n">
        <v>1</v>
      </c>
      <c r="J295" s="114" t="n">
        <v>0</v>
      </c>
      <c r="K295" s="112"/>
      <c r="L295" s="112"/>
    </row>
    <row r="296" customFormat="false" ht="15" hidden="false" customHeight="false" outlineLevel="0" collapsed="false">
      <c r="A296" s="112" t="s">
        <v>764</v>
      </c>
      <c r="B296" s="112" t="s">
        <v>721</v>
      </c>
      <c r="C296" s="112" t="s">
        <v>13</v>
      </c>
      <c r="D296" s="112" t="s">
        <v>13</v>
      </c>
      <c r="E296" s="112" t="s">
        <v>765</v>
      </c>
      <c r="F296" s="113" t="s">
        <v>73</v>
      </c>
      <c r="G296" s="112" t="s">
        <v>74</v>
      </c>
      <c r="H296" s="112" t="s">
        <v>398</v>
      </c>
      <c r="I296" s="114" t="n">
        <v>1</v>
      </c>
      <c r="J296" s="114" t="n">
        <v>0</v>
      </c>
      <c r="K296" s="112"/>
      <c r="L296" s="112"/>
    </row>
    <row r="297" customFormat="false" ht="15" hidden="false" customHeight="false" outlineLevel="0" collapsed="false">
      <c r="A297" s="112" t="s">
        <v>766</v>
      </c>
      <c r="B297" s="112" t="s">
        <v>721</v>
      </c>
      <c r="C297" s="112" t="s">
        <v>13</v>
      </c>
      <c r="D297" s="112" t="s">
        <v>13</v>
      </c>
      <c r="E297" s="112" t="s">
        <v>767</v>
      </c>
      <c r="F297" s="113" t="s">
        <v>73</v>
      </c>
      <c r="G297" s="112" t="s">
        <v>74</v>
      </c>
      <c r="H297" s="112" t="s">
        <v>398</v>
      </c>
      <c r="I297" s="114" t="n">
        <v>1</v>
      </c>
      <c r="J297" s="114" t="n">
        <v>0</v>
      </c>
      <c r="K297" s="112"/>
      <c r="L297" s="112"/>
    </row>
    <row r="298" customFormat="false" ht="15" hidden="false" customHeight="false" outlineLevel="0" collapsed="false">
      <c r="A298" s="112" t="s">
        <v>768</v>
      </c>
      <c r="B298" s="112" t="s">
        <v>721</v>
      </c>
      <c r="C298" s="112" t="s">
        <v>13</v>
      </c>
      <c r="D298" s="112" t="s">
        <v>13</v>
      </c>
      <c r="E298" s="112" t="s">
        <v>769</v>
      </c>
      <c r="F298" s="113" t="s">
        <v>73</v>
      </c>
      <c r="G298" s="112" t="s">
        <v>74</v>
      </c>
      <c r="H298" s="112" t="s">
        <v>398</v>
      </c>
      <c r="I298" s="114" t="n">
        <v>1</v>
      </c>
      <c r="J298" s="114" t="n">
        <v>0</v>
      </c>
      <c r="K298" s="112"/>
      <c r="L298" s="112"/>
    </row>
    <row r="299" customFormat="false" ht="15" hidden="false" customHeight="false" outlineLevel="0" collapsed="false">
      <c r="A299" s="112" t="s">
        <v>770</v>
      </c>
      <c r="B299" s="112" t="s">
        <v>721</v>
      </c>
      <c r="C299" s="112" t="s">
        <v>38</v>
      </c>
      <c r="D299" s="112" t="s">
        <v>38</v>
      </c>
      <c r="E299" s="112" t="s">
        <v>771</v>
      </c>
      <c r="F299" s="113" t="s">
        <v>73</v>
      </c>
      <c r="G299" s="112" t="s">
        <v>74</v>
      </c>
      <c r="H299" s="112" t="s">
        <v>398</v>
      </c>
      <c r="I299" s="114" t="n">
        <v>1</v>
      </c>
      <c r="J299" s="114" t="n">
        <v>0</v>
      </c>
      <c r="K299" s="112"/>
      <c r="L299" s="112"/>
    </row>
    <row r="300" customFormat="false" ht="15" hidden="false" customHeight="false" outlineLevel="0" collapsed="false">
      <c r="A300" s="112" t="s">
        <v>772</v>
      </c>
      <c r="B300" s="112" t="s">
        <v>721</v>
      </c>
      <c r="C300" s="112" t="s">
        <v>30</v>
      </c>
      <c r="D300" s="112" t="s">
        <v>30</v>
      </c>
      <c r="E300" s="112" t="s">
        <v>773</v>
      </c>
      <c r="F300" s="113" t="s">
        <v>73</v>
      </c>
      <c r="G300" s="112" t="s">
        <v>74</v>
      </c>
      <c r="H300" s="112" t="s">
        <v>398</v>
      </c>
      <c r="I300" s="114" t="n">
        <v>1</v>
      </c>
      <c r="J300" s="114" t="n">
        <v>0</v>
      </c>
      <c r="K300" s="112"/>
      <c r="L300" s="112"/>
    </row>
    <row r="301" customFormat="false" ht="15" hidden="false" customHeight="false" outlineLevel="0" collapsed="false">
      <c r="A301" s="112" t="s">
        <v>774</v>
      </c>
      <c r="B301" s="112" t="s">
        <v>721</v>
      </c>
      <c r="C301" s="112" t="s">
        <v>30</v>
      </c>
      <c r="D301" s="112" t="s">
        <v>30</v>
      </c>
      <c r="E301" s="112" t="s">
        <v>775</v>
      </c>
      <c r="F301" s="113" t="s">
        <v>73</v>
      </c>
      <c r="G301" s="112" t="s">
        <v>74</v>
      </c>
      <c r="H301" s="112" t="s">
        <v>398</v>
      </c>
      <c r="I301" s="114" t="n">
        <v>1</v>
      </c>
      <c r="J301" s="114" t="n">
        <v>0</v>
      </c>
      <c r="K301" s="112"/>
      <c r="L301" s="112"/>
    </row>
    <row r="302" customFormat="false" ht="15" hidden="false" customHeight="false" outlineLevel="0" collapsed="false">
      <c r="A302" s="112" t="s">
        <v>776</v>
      </c>
      <c r="B302" s="112" t="s">
        <v>721</v>
      </c>
      <c r="C302" s="112" t="s">
        <v>30</v>
      </c>
      <c r="D302" s="112" t="s">
        <v>30</v>
      </c>
      <c r="E302" s="112" t="s">
        <v>777</v>
      </c>
      <c r="F302" s="113" t="s">
        <v>73</v>
      </c>
      <c r="G302" s="112" t="s">
        <v>74</v>
      </c>
      <c r="H302" s="112" t="s">
        <v>398</v>
      </c>
      <c r="I302" s="114" t="n">
        <v>1</v>
      </c>
      <c r="J302" s="114" t="n">
        <v>1</v>
      </c>
      <c r="K302" s="112"/>
      <c r="L302" s="112"/>
    </row>
    <row r="303" customFormat="false" ht="15" hidden="false" customHeight="false" outlineLevel="0" collapsed="false">
      <c r="A303" s="112" t="s">
        <v>778</v>
      </c>
      <c r="B303" s="112" t="s">
        <v>721</v>
      </c>
      <c r="C303" s="112" t="s">
        <v>30</v>
      </c>
      <c r="D303" s="112" t="s">
        <v>30</v>
      </c>
      <c r="E303" s="112" t="s">
        <v>779</v>
      </c>
      <c r="F303" s="113" t="s">
        <v>73</v>
      </c>
      <c r="G303" s="112" t="s">
        <v>74</v>
      </c>
      <c r="H303" s="112" t="s">
        <v>398</v>
      </c>
      <c r="I303" s="114" t="n">
        <v>1</v>
      </c>
      <c r="J303" s="114" t="n">
        <v>0</v>
      </c>
      <c r="K303" s="112"/>
      <c r="L303" s="112"/>
    </row>
    <row r="304" customFormat="false" ht="15" hidden="false" customHeight="false" outlineLevel="0" collapsed="false">
      <c r="A304" s="112" t="s">
        <v>780</v>
      </c>
      <c r="B304" s="112" t="s">
        <v>721</v>
      </c>
      <c r="C304" s="112" t="s">
        <v>16</v>
      </c>
      <c r="D304" s="112" t="s">
        <v>16</v>
      </c>
      <c r="E304" s="112" t="s">
        <v>781</v>
      </c>
      <c r="F304" s="113" t="s">
        <v>73</v>
      </c>
      <c r="G304" s="112" t="s">
        <v>74</v>
      </c>
      <c r="H304" s="112" t="s">
        <v>398</v>
      </c>
      <c r="I304" s="114" t="n">
        <v>1</v>
      </c>
      <c r="J304" s="114" t="n">
        <v>0</v>
      </c>
      <c r="K304" s="112"/>
      <c r="L304" s="112"/>
    </row>
    <row r="305" customFormat="false" ht="15" hidden="false" customHeight="false" outlineLevel="0" collapsed="false">
      <c r="A305" s="112" t="s">
        <v>566</v>
      </c>
      <c r="B305" s="112" t="s">
        <v>721</v>
      </c>
      <c r="C305" s="112" t="s">
        <v>16</v>
      </c>
      <c r="D305" s="112" t="s">
        <v>16</v>
      </c>
      <c r="E305" s="112" t="s">
        <v>782</v>
      </c>
      <c r="F305" s="113" t="s">
        <v>73</v>
      </c>
      <c r="G305" s="112" t="s">
        <v>74</v>
      </c>
      <c r="H305" s="112" t="s">
        <v>398</v>
      </c>
      <c r="I305" s="114" t="n">
        <v>1</v>
      </c>
      <c r="J305" s="114" t="n">
        <v>0</v>
      </c>
      <c r="K305" s="112"/>
      <c r="L305" s="112"/>
    </row>
    <row r="306" customFormat="false" ht="15" hidden="false" customHeight="false" outlineLevel="0" collapsed="false">
      <c r="A306" s="112" t="s">
        <v>783</v>
      </c>
      <c r="B306" s="112" t="s">
        <v>721</v>
      </c>
      <c r="C306" s="112" t="s">
        <v>16</v>
      </c>
      <c r="D306" s="112" t="s">
        <v>16</v>
      </c>
      <c r="E306" s="112" t="s">
        <v>784</v>
      </c>
      <c r="F306" s="113" t="s">
        <v>73</v>
      </c>
      <c r="G306" s="112" t="s">
        <v>74</v>
      </c>
      <c r="H306" s="112" t="s">
        <v>398</v>
      </c>
      <c r="I306" s="114" t="n">
        <v>1</v>
      </c>
      <c r="J306" s="114" t="n">
        <v>0</v>
      </c>
      <c r="K306" s="112"/>
      <c r="L306" s="112"/>
    </row>
    <row r="307" customFormat="false" ht="15" hidden="false" customHeight="false" outlineLevel="0" collapsed="false">
      <c r="A307" s="112" t="s">
        <v>785</v>
      </c>
      <c r="B307" s="112" t="s">
        <v>721</v>
      </c>
      <c r="C307" s="112" t="s">
        <v>16</v>
      </c>
      <c r="D307" s="112" t="s">
        <v>16</v>
      </c>
      <c r="E307" s="112" t="s">
        <v>786</v>
      </c>
      <c r="F307" s="113" t="s">
        <v>73</v>
      </c>
      <c r="G307" s="112" t="s">
        <v>74</v>
      </c>
      <c r="H307" s="112" t="s">
        <v>398</v>
      </c>
      <c r="I307" s="114" t="n">
        <v>1</v>
      </c>
      <c r="J307" s="114" t="n">
        <v>0</v>
      </c>
      <c r="K307" s="112"/>
      <c r="L307" s="112"/>
    </row>
    <row r="308" customFormat="false" ht="15" hidden="false" customHeight="false" outlineLevel="0" collapsed="false">
      <c r="A308" s="112" t="s">
        <v>787</v>
      </c>
      <c r="B308" s="112" t="s">
        <v>721</v>
      </c>
      <c r="C308" s="112" t="s">
        <v>16</v>
      </c>
      <c r="D308" s="112" t="s">
        <v>16</v>
      </c>
      <c r="E308" s="112" t="s">
        <v>788</v>
      </c>
      <c r="F308" s="113" t="s">
        <v>73</v>
      </c>
      <c r="G308" s="112" t="s">
        <v>74</v>
      </c>
      <c r="H308" s="112" t="s">
        <v>398</v>
      </c>
      <c r="I308" s="114" t="n">
        <v>1</v>
      </c>
      <c r="J308" s="114" t="n">
        <v>0</v>
      </c>
      <c r="K308" s="112"/>
      <c r="L308" s="112"/>
    </row>
    <row r="309" customFormat="false" ht="15" hidden="false" customHeight="false" outlineLevel="0" collapsed="false">
      <c r="A309" s="112" t="s">
        <v>789</v>
      </c>
      <c r="B309" s="112" t="s">
        <v>721</v>
      </c>
      <c r="C309" s="112" t="s">
        <v>16</v>
      </c>
      <c r="D309" s="112" t="s">
        <v>16</v>
      </c>
      <c r="E309" s="112" t="s">
        <v>790</v>
      </c>
      <c r="F309" s="113" t="s">
        <v>73</v>
      </c>
      <c r="G309" s="112" t="s">
        <v>74</v>
      </c>
      <c r="H309" s="112" t="s">
        <v>398</v>
      </c>
      <c r="I309" s="114" t="n">
        <v>1</v>
      </c>
      <c r="J309" s="114" t="n">
        <v>0</v>
      </c>
      <c r="K309" s="112"/>
      <c r="L309" s="112"/>
    </row>
    <row r="310" customFormat="false" ht="15" hidden="false" customHeight="false" outlineLevel="0" collapsed="false">
      <c r="A310" s="112" t="s">
        <v>791</v>
      </c>
      <c r="B310" s="112" t="s">
        <v>721</v>
      </c>
      <c r="C310" s="112" t="s">
        <v>16</v>
      </c>
      <c r="D310" s="112" t="s">
        <v>16</v>
      </c>
      <c r="E310" s="112" t="s">
        <v>792</v>
      </c>
      <c r="F310" s="113" t="s">
        <v>73</v>
      </c>
      <c r="G310" s="112" t="s">
        <v>74</v>
      </c>
      <c r="H310" s="112" t="s">
        <v>398</v>
      </c>
      <c r="I310" s="114" t="n">
        <v>1</v>
      </c>
      <c r="J310" s="114" t="n">
        <v>0</v>
      </c>
      <c r="K310" s="112"/>
      <c r="L310" s="112"/>
    </row>
    <row r="311" customFormat="false" ht="15" hidden="false" customHeight="false" outlineLevel="0" collapsed="false">
      <c r="A311" s="112" t="s">
        <v>793</v>
      </c>
      <c r="B311" s="112" t="s">
        <v>721</v>
      </c>
      <c r="C311" s="112" t="s">
        <v>16</v>
      </c>
      <c r="D311" s="112" t="s">
        <v>16</v>
      </c>
      <c r="E311" s="112" t="s">
        <v>794</v>
      </c>
      <c r="F311" s="113" t="s">
        <v>73</v>
      </c>
      <c r="G311" s="112" t="s">
        <v>74</v>
      </c>
      <c r="H311" s="112" t="s">
        <v>398</v>
      </c>
      <c r="I311" s="114" t="n">
        <v>1</v>
      </c>
      <c r="J311" s="114" t="n">
        <v>0</v>
      </c>
      <c r="K311" s="112"/>
      <c r="L311" s="112"/>
    </row>
    <row r="312" customFormat="false" ht="15" hidden="false" customHeight="false" outlineLevel="0" collapsed="false">
      <c r="A312" s="112" t="s">
        <v>795</v>
      </c>
      <c r="B312" s="112" t="s">
        <v>721</v>
      </c>
      <c r="C312" s="112" t="s">
        <v>16</v>
      </c>
      <c r="D312" s="112" t="s">
        <v>16</v>
      </c>
      <c r="E312" s="112" t="s">
        <v>796</v>
      </c>
      <c r="F312" s="113" t="s">
        <v>81</v>
      </c>
      <c r="G312" s="112" t="s">
        <v>82</v>
      </c>
      <c r="H312" s="112" t="s">
        <v>398</v>
      </c>
      <c r="I312" s="114" t="n">
        <v>1</v>
      </c>
      <c r="J312" s="114" t="n">
        <v>0</v>
      </c>
      <c r="K312" s="112"/>
      <c r="L312" s="112"/>
    </row>
    <row r="313" customFormat="false" ht="15" hidden="false" customHeight="false" outlineLevel="0" collapsed="false">
      <c r="A313" s="112" t="s">
        <v>797</v>
      </c>
      <c r="B313" s="112" t="s">
        <v>721</v>
      </c>
      <c r="C313" s="112" t="s">
        <v>16</v>
      </c>
      <c r="D313" s="112" t="s">
        <v>16</v>
      </c>
      <c r="E313" s="112" t="s">
        <v>798</v>
      </c>
      <c r="F313" s="113" t="s">
        <v>81</v>
      </c>
      <c r="G313" s="112" t="s">
        <v>82</v>
      </c>
      <c r="H313" s="112" t="s">
        <v>398</v>
      </c>
      <c r="I313" s="114" t="n">
        <v>1</v>
      </c>
      <c r="J313" s="114" t="n">
        <v>0</v>
      </c>
      <c r="K313" s="112"/>
      <c r="L313" s="112"/>
    </row>
    <row r="314" customFormat="false" ht="15" hidden="false" customHeight="false" outlineLevel="0" collapsed="false">
      <c r="A314" s="112" t="s">
        <v>799</v>
      </c>
      <c r="B314" s="112" t="s">
        <v>721</v>
      </c>
      <c r="C314" s="112" t="s">
        <v>16</v>
      </c>
      <c r="D314" s="112" t="s">
        <v>16</v>
      </c>
      <c r="E314" s="112" t="s">
        <v>800</v>
      </c>
      <c r="F314" s="113" t="s">
        <v>81</v>
      </c>
      <c r="G314" s="112" t="s">
        <v>82</v>
      </c>
      <c r="H314" s="112" t="s">
        <v>398</v>
      </c>
      <c r="I314" s="114" t="n">
        <v>1</v>
      </c>
      <c r="J314" s="114" t="n">
        <v>0</v>
      </c>
      <c r="K314" s="112"/>
      <c r="L314" s="112"/>
    </row>
    <row r="315" customFormat="false" ht="15" hidden="false" customHeight="false" outlineLevel="0" collapsed="false">
      <c r="A315" s="112" t="s">
        <v>801</v>
      </c>
      <c r="B315" s="112" t="s">
        <v>721</v>
      </c>
      <c r="C315" s="112" t="s">
        <v>16</v>
      </c>
      <c r="D315" s="112" t="s">
        <v>16</v>
      </c>
      <c r="E315" s="112" t="s">
        <v>802</v>
      </c>
      <c r="F315" s="113" t="s">
        <v>81</v>
      </c>
      <c r="G315" s="112" t="s">
        <v>82</v>
      </c>
      <c r="H315" s="112" t="s">
        <v>398</v>
      </c>
      <c r="I315" s="114" t="n">
        <v>1</v>
      </c>
      <c r="J315" s="114" t="n">
        <v>0</v>
      </c>
      <c r="K315" s="112"/>
      <c r="L315" s="112"/>
    </row>
    <row r="316" customFormat="false" ht="15" hidden="false" customHeight="false" outlineLevel="0" collapsed="false">
      <c r="A316" s="112" t="s">
        <v>803</v>
      </c>
      <c r="B316" s="112" t="s">
        <v>721</v>
      </c>
      <c r="C316" s="112" t="s">
        <v>16</v>
      </c>
      <c r="D316" s="112" t="s">
        <v>16</v>
      </c>
      <c r="E316" s="112" t="s">
        <v>804</v>
      </c>
      <c r="F316" s="113" t="s">
        <v>73</v>
      </c>
      <c r="G316" s="112" t="s">
        <v>74</v>
      </c>
      <c r="H316" s="112" t="s">
        <v>398</v>
      </c>
      <c r="I316" s="114" t="n">
        <v>1</v>
      </c>
      <c r="J316" s="114" t="n">
        <v>0</v>
      </c>
      <c r="K316" s="112"/>
      <c r="L316" s="112"/>
    </row>
    <row r="317" customFormat="false" ht="15" hidden="false" customHeight="false" outlineLevel="0" collapsed="false">
      <c r="A317" s="112" t="s">
        <v>805</v>
      </c>
      <c r="B317" s="112" t="s">
        <v>721</v>
      </c>
      <c r="C317" s="112" t="s">
        <v>16</v>
      </c>
      <c r="D317" s="112" t="s">
        <v>16</v>
      </c>
      <c r="E317" s="112" t="s">
        <v>806</v>
      </c>
      <c r="F317" s="113" t="s">
        <v>81</v>
      </c>
      <c r="G317" s="112" t="s">
        <v>82</v>
      </c>
      <c r="H317" s="112" t="s">
        <v>398</v>
      </c>
      <c r="I317" s="114" t="n">
        <v>1</v>
      </c>
      <c r="J317" s="114" t="n">
        <v>0</v>
      </c>
      <c r="K317" s="112"/>
      <c r="L317" s="112"/>
    </row>
    <row r="318" customFormat="false" ht="15" hidden="false" customHeight="false" outlineLevel="0" collapsed="false">
      <c r="A318" s="112" t="s">
        <v>807</v>
      </c>
      <c r="B318" s="112" t="s">
        <v>721</v>
      </c>
      <c r="C318" s="112" t="s">
        <v>39</v>
      </c>
      <c r="D318" s="112" t="s">
        <v>39</v>
      </c>
      <c r="E318" s="112" t="s">
        <v>808</v>
      </c>
      <c r="F318" s="113" t="s">
        <v>73</v>
      </c>
      <c r="G318" s="112" t="s">
        <v>74</v>
      </c>
      <c r="H318" s="112" t="s">
        <v>398</v>
      </c>
      <c r="I318" s="114" t="n">
        <v>1</v>
      </c>
      <c r="J318" s="114" t="n">
        <v>0</v>
      </c>
      <c r="K318" s="112"/>
      <c r="L318" s="112"/>
    </row>
    <row r="319" customFormat="false" ht="15" hidden="false" customHeight="false" outlineLevel="0" collapsed="false">
      <c r="A319" s="112" t="s">
        <v>809</v>
      </c>
      <c r="B319" s="112" t="s">
        <v>721</v>
      </c>
      <c r="C319" s="112" t="s">
        <v>50</v>
      </c>
      <c r="D319" s="112" t="s">
        <v>50</v>
      </c>
      <c r="E319" s="112" t="s">
        <v>810</v>
      </c>
      <c r="F319" s="113" t="s">
        <v>73</v>
      </c>
      <c r="G319" s="112" t="s">
        <v>74</v>
      </c>
      <c r="H319" s="112" t="s">
        <v>398</v>
      </c>
      <c r="I319" s="114" t="n">
        <v>1</v>
      </c>
      <c r="J319" s="114" t="n">
        <v>0</v>
      </c>
      <c r="K319" s="112"/>
      <c r="L319" s="112"/>
    </row>
    <row r="320" customFormat="false" ht="15" hidden="false" customHeight="false" outlineLevel="0" collapsed="false">
      <c r="A320" s="112" t="s">
        <v>811</v>
      </c>
      <c r="B320" s="112" t="s">
        <v>721</v>
      </c>
      <c r="C320" s="112" t="s">
        <v>14</v>
      </c>
      <c r="D320" s="112" t="s">
        <v>14</v>
      </c>
      <c r="E320" s="112" t="s">
        <v>812</v>
      </c>
      <c r="F320" s="113" t="s">
        <v>73</v>
      </c>
      <c r="G320" s="112" t="s">
        <v>74</v>
      </c>
      <c r="H320" s="112" t="s">
        <v>398</v>
      </c>
      <c r="I320" s="114" t="n">
        <v>1</v>
      </c>
      <c r="J320" s="114" t="n">
        <v>0</v>
      </c>
      <c r="K320" s="112"/>
      <c r="L320" s="112"/>
    </row>
    <row r="321" customFormat="false" ht="15" hidden="false" customHeight="false" outlineLevel="0" collapsed="false">
      <c r="A321" s="112" t="s">
        <v>813</v>
      </c>
      <c r="B321" s="112" t="s">
        <v>721</v>
      </c>
      <c r="C321" s="112" t="s">
        <v>14</v>
      </c>
      <c r="D321" s="112" t="s">
        <v>14</v>
      </c>
      <c r="E321" s="112" t="s">
        <v>814</v>
      </c>
      <c r="F321" s="113" t="s">
        <v>73</v>
      </c>
      <c r="G321" s="112" t="s">
        <v>74</v>
      </c>
      <c r="H321" s="112" t="s">
        <v>398</v>
      </c>
      <c r="I321" s="114" t="n">
        <v>1</v>
      </c>
      <c r="J321" s="114" t="n">
        <v>0</v>
      </c>
      <c r="K321" s="112"/>
      <c r="L321" s="112"/>
    </row>
    <row r="322" customFormat="false" ht="15" hidden="false" customHeight="false" outlineLevel="0" collapsed="false">
      <c r="A322" s="112" t="s">
        <v>815</v>
      </c>
      <c r="B322" s="112" t="s">
        <v>721</v>
      </c>
      <c r="C322" s="112" t="s">
        <v>14</v>
      </c>
      <c r="D322" s="112" t="s">
        <v>14</v>
      </c>
      <c r="E322" s="112" t="s">
        <v>816</v>
      </c>
      <c r="F322" s="113" t="s">
        <v>81</v>
      </c>
      <c r="G322" s="112" t="s">
        <v>82</v>
      </c>
      <c r="H322" s="112" t="s">
        <v>398</v>
      </c>
      <c r="I322" s="114" t="n">
        <v>1</v>
      </c>
      <c r="J322" s="114" t="n">
        <v>0</v>
      </c>
      <c r="K322" s="112"/>
      <c r="L322" s="112"/>
    </row>
    <row r="323" customFormat="false" ht="15" hidden="false" customHeight="false" outlineLevel="0" collapsed="false">
      <c r="A323" s="112" t="s">
        <v>817</v>
      </c>
      <c r="B323" s="112" t="s">
        <v>721</v>
      </c>
      <c r="C323" s="112" t="s">
        <v>14</v>
      </c>
      <c r="D323" s="112" t="s">
        <v>14</v>
      </c>
      <c r="E323" s="112" t="s">
        <v>818</v>
      </c>
      <c r="F323" s="113" t="s">
        <v>73</v>
      </c>
      <c r="G323" s="112" t="s">
        <v>74</v>
      </c>
      <c r="H323" s="112" t="s">
        <v>398</v>
      </c>
      <c r="I323" s="114" t="n">
        <v>1</v>
      </c>
      <c r="J323" s="114" t="n">
        <v>0</v>
      </c>
      <c r="K323" s="112"/>
      <c r="L323" s="112"/>
    </row>
    <row r="324" customFormat="false" ht="15" hidden="false" customHeight="false" outlineLevel="0" collapsed="false">
      <c r="A324" s="112" t="s">
        <v>819</v>
      </c>
      <c r="B324" s="112" t="s">
        <v>721</v>
      </c>
      <c r="C324" s="112" t="s">
        <v>14</v>
      </c>
      <c r="D324" s="112" t="s">
        <v>14</v>
      </c>
      <c r="E324" s="112" t="s">
        <v>820</v>
      </c>
      <c r="F324" s="113" t="s">
        <v>73</v>
      </c>
      <c r="G324" s="112" t="s">
        <v>74</v>
      </c>
      <c r="H324" s="112" t="s">
        <v>398</v>
      </c>
      <c r="I324" s="114" t="n">
        <v>1</v>
      </c>
      <c r="J324" s="114" t="n">
        <v>0</v>
      </c>
      <c r="K324" s="112"/>
      <c r="L324" s="112"/>
    </row>
    <row r="325" customFormat="false" ht="15" hidden="false" customHeight="false" outlineLevel="0" collapsed="false">
      <c r="A325" s="112" t="s">
        <v>442</v>
      </c>
      <c r="B325" s="112" t="s">
        <v>721</v>
      </c>
      <c r="C325" s="112" t="s">
        <v>29</v>
      </c>
      <c r="D325" s="112" t="s">
        <v>29</v>
      </c>
      <c r="E325" s="112" t="s">
        <v>821</v>
      </c>
      <c r="F325" s="113" t="s">
        <v>73</v>
      </c>
      <c r="G325" s="112" t="s">
        <v>74</v>
      </c>
      <c r="H325" s="112" t="s">
        <v>398</v>
      </c>
      <c r="I325" s="114" t="n">
        <v>1</v>
      </c>
      <c r="J325" s="114" t="n">
        <v>0</v>
      </c>
      <c r="K325" s="112"/>
      <c r="L325" s="112"/>
    </row>
    <row r="326" customFormat="false" ht="15" hidden="false" customHeight="false" outlineLevel="0" collapsed="false">
      <c r="A326" s="112" t="s">
        <v>444</v>
      </c>
      <c r="B326" s="112" t="s">
        <v>721</v>
      </c>
      <c r="C326" s="112" t="s">
        <v>29</v>
      </c>
      <c r="D326" s="112" t="s">
        <v>29</v>
      </c>
      <c r="E326" s="112" t="s">
        <v>822</v>
      </c>
      <c r="F326" s="113" t="s">
        <v>73</v>
      </c>
      <c r="G326" s="112" t="s">
        <v>74</v>
      </c>
      <c r="H326" s="112" t="s">
        <v>398</v>
      </c>
      <c r="I326" s="114" t="n">
        <v>1</v>
      </c>
      <c r="J326" s="114" t="n">
        <v>0</v>
      </c>
      <c r="K326" s="112"/>
      <c r="L326" s="112"/>
    </row>
    <row r="327" customFormat="false" ht="15" hidden="false" customHeight="false" outlineLevel="0" collapsed="false">
      <c r="A327" s="112" t="s">
        <v>823</v>
      </c>
      <c r="B327" s="112" t="s">
        <v>721</v>
      </c>
      <c r="C327" s="112" t="s">
        <v>29</v>
      </c>
      <c r="D327" s="112" t="s">
        <v>29</v>
      </c>
      <c r="E327" s="112" t="s">
        <v>824</v>
      </c>
      <c r="F327" s="113" t="s">
        <v>73</v>
      </c>
      <c r="G327" s="112" t="s">
        <v>74</v>
      </c>
      <c r="H327" s="112" t="s">
        <v>398</v>
      </c>
      <c r="I327" s="114" t="n">
        <v>1</v>
      </c>
      <c r="J327" s="114" t="n">
        <v>0</v>
      </c>
      <c r="K327" s="112"/>
      <c r="L327" s="112"/>
    </row>
    <row r="328" customFormat="false" ht="15" hidden="false" customHeight="false" outlineLevel="0" collapsed="false">
      <c r="A328" s="112" t="s">
        <v>664</v>
      </c>
      <c r="B328" s="112" t="s">
        <v>721</v>
      </c>
      <c r="C328" s="112" t="s">
        <v>29</v>
      </c>
      <c r="D328" s="112" t="s">
        <v>29</v>
      </c>
      <c r="E328" s="112" t="s">
        <v>825</v>
      </c>
      <c r="F328" s="113" t="s">
        <v>73</v>
      </c>
      <c r="G328" s="112" t="s">
        <v>74</v>
      </c>
      <c r="H328" s="112" t="s">
        <v>398</v>
      </c>
      <c r="I328" s="114" t="n">
        <v>1</v>
      </c>
      <c r="J328" s="114" t="n">
        <v>0</v>
      </c>
      <c r="K328" s="112"/>
      <c r="L328" s="112"/>
    </row>
    <row r="329" customFormat="false" ht="15" hidden="false" customHeight="false" outlineLevel="0" collapsed="false">
      <c r="A329" s="112" t="s">
        <v>826</v>
      </c>
      <c r="B329" s="112" t="s">
        <v>721</v>
      </c>
      <c r="C329" s="112" t="s">
        <v>29</v>
      </c>
      <c r="D329" s="112" t="s">
        <v>29</v>
      </c>
      <c r="E329" s="112" t="s">
        <v>827</v>
      </c>
      <c r="F329" s="113" t="s">
        <v>73</v>
      </c>
      <c r="G329" s="112" t="s">
        <v>74</v>
      </c>
      <c r="H329" s="112" t="s">
        <v>398</v>
      </c>
      <c r="I329" s="114" t="n">
        <v>1</v>
      </c>
      <c r="J329" s="114" t="n">
        <v>0</v>
      </c>
      <c r="K329" s="112"/>
      <c r="L329" s="112"/>
    </row>
    <row r="330" customFormat="false" ht="15" hidden="false" customHeight="false" outlineLevel="0" collapsed="false">
      <c r="A330" s="112" t="s">
        <v>828</v>
      </c>
      <c r="B330" s="112" t="s">
        <v>721</v>
      </c>
      <c r="C330" s="112" t="s">
        <v>44</v>
      </c>
      <c r="D330" s="112" t="s">
        <v>44</v>
      </c>
      <c r="E330" s="112" t="s">
        <v>829</v>
      </c>
      <c r="F330" s="113" t="s">
        <v>73</v>
      </c>
      <c r="G330" s="112" t="s">
        <v>74</v>
      </c>
      <c r="H330" s="112" t="s">
        <v>398</v>
      </c>
      <c r="I330" s="114" t="n">
        <v>1</v>
      </c>
      <c r="J330" s="114" t="n">
        <v>0</v>
      </c>
      <c r="K330" s="112"/>
      <c r="L330" s="112"/>
    </row>
    <row r="331" customFormat="false" ht="15" hidden="false" customHeight="false" outlineLevel="0" collapsed="false">
      <c r="A331" s="112" t="s">
        <v>830</v>
      </c>
      <c r="B331" s="112" t="s">
        <v>721</v>
      </c>
      <c r="C331" s="112" t="s">
        <v>44</v>
      </c>
      <c r="D331" s="112" t="s">
        <v>44</v>
      </c>
      <c r="E331" s="112" t="s">
        <v>831</v>
      </c>
      <c r="F331" s="113" t="s">
        <v>81</v>
      </c>
      <c r="G331" s="112" t="s">
        <v>82</v>
      </c>
      <c r="H331" s="112" t="s">
        <v>398</v>
      </c>
      <c r="I331" s="114" t="n">
        <v>1</v>
      </c>
      <c r="J331" s="114" t="n">
        <v>0</v>
      </c>
      <c r="K331" s="112"/>
      <c r="L331" s="112"/>
    </row>
    <row r="332" customFormat="false" ht="15" hidden="false" customHeight="false" outlineLevel="0" collapsed="false">
      <c r="A332" s="112" t="s">
        <v>832</v>
      </c>
      <c r="B332" s="112" t="s">
        <v>721</v>
      </c>
      <c r="C332" s="112" t="s">
        <v>25</v>
      </c>
      <c r="D332" s="112" t="s">
        <v>25</v>
      </c>
      <c r="E332" s="112" t="s">
        <v>833</v>
      </c>
      <c r="F332" s="113" t="s">
        <v>73</v>
      </c>
      <c r="G332" s="112" t="s">
        <v>74</v>
      </c>
      <c r="H332" s="112" t="s">
        <v>398</v>
      </c>
      <c r="I332" s="114" t="n">
        <v>0</v>
      </c>
      <c r="J332" s="114" t="n">
        <v>1</v>
      </c>
      <c r="K332" s="112" t="s">
        <v>401</v>
      </c>
      <c r="L332" s="112"/>
    </row>
    <row r="333" customFormat="false" ht="15" hidden="false" customHeight="false" outlineLevel="0" collapsed="false">
      <c r="A333" s="112" t="s">
        <v>834</v>
      </c>
      <c r="B333" s="112" t="s">
        <v>721</v>
      </c>
      <c r="C333" s="112" t="s">
        <v>25</v>
      </c>
      <c r="D333" s="112" t="s">
        <v>25</v>
      </c>
      <c r="E333" s="112" t="s">
        <v>835</v>
      </c>
      <c r="F333" s="113" t="s">
        <v>73</v>
      </c>
      <c r="G333" s="112" t="s">
        <v>74</v>
      </c>
      <c r="H333" s="112" t="s">
        <v>398</v>
      </c>
      <c r="I333" s="114" t="n">
        <v>1</v>
      </c>
      <c r="J333" s="114" t="n">
        <v>0</v>
      </c>
      <c r="K333" s="112"/>
      <c r="L333" s="112"/>
    </row>
    <row r="334" customFormat="false" ht="15" hidden="false" customHeight="false" outlineLevel="0" collapsed="false">
      <c r="A334" s="112" t="s">
        <v>836</v>
      </c>
      <c r="B334" s="112" t="s">
        <v>721</v>
      </c>
      <c r="C334" s="112" t="s">
        <v>25</v>
      </c>
      <c r="D334" s="112" t="s">
        <v>25</v>
      </c>
      <c r="E334" s="112" t="s">
        <v>837</v>
      </c>
      <c r="F334" s="113" t="s">
        <v>73</v>
      </c>
      <c r="G334" s="112" t="s">
        <v>74</v>
      </c>
      <c r="H334" s="112" t="s">
        <v>398</v>
      </c>
      <c r="I334" s="114" t="n">
        <v>1</v>
      </c>
      <c r="J334" s="114" t="n">
        <v>0</v>
      </c>
      <c r="K334" s="112"/>
      <c r="L334" s="112"/>
    </row>
    <row r="335" customFormat="false" ht="15" hidden="false" customHeight="false" outlineLevel="0" collapsed="false">
      <c r="A335" s="112" t="s">
        <v>838</v>
      </c>
      <c r="B335" s="112" t="s">
        <v>721</v>
      </c>
      <c r="C335" s="112" t="s">
        <v>25</v>
      </c>
      <c r="D335" s="112" t="s">
        <v>25</v>
      </c>
      <c r="E335" s="112" t="s">
        <v>839</v>
      </c>
      <c r="F335" s="113" t="s">
        <v>73</v>
      </c>
      <c r="G335" s="112" t="s">
        <v>74</v>
      </c>
      <c r="H335" s="112" t="s">
        <v>398</v>
      </c>
      <c r="I335" s="114" t="n">
        <v>1</v>
      </c>
      <c r="J335" s="114" t="n">
        <v>0</v>
      </c>
      <c r="K335" s="112"/>
      <c r="L335" s="112"/>
    </row>
    <row r="336" customFormat="false" ht="15" hidden="false" customHeight="false" outlineLevel="0" collapsed="false">
      <c r="A336" s="112" t="s">
        <v>840</v>
      </c>
      <c r="B336" s="112" t="s">
        <v>721</v>
      </c>
      <c r="C336" s="112" t="s">
        <v>25</v>
      </c>
      <c r="D336" s="112" t="s">
        <v>25</v>
      </c>
      <c r="E336" s="112" t="s">
        <v>841</v>
      </c>
      <c r="F336" s="113" t="s">
        <v>73</v>
      </c>
      <c r="G336" s="112" t="s">
        <v>74</v>
      </c>
      <c r="H336" s="112" t="s">
        <v>398</v>
      </c>
      <c r="I336" s="114" t="n">
        <v>1</v>
      </c>
      <c r="J336" s="114" t="n">
        <v>0</v>
      </c>
      <c r="K336" s="112"/>
      <c r="L336" s="112"/>
    </row>
    <row r="337" customFormat="false" ht="15" hidden="false" customHeight="false" outlineLevel="0" collapsed="false">
      <c r="A337" s="112" t="s">
        <v>842</v>
      </c>
      <c r="B337" s="112" t="s">
        <v>721</v>
      </c>
      <c r="C337" s="112" t="s">
        <v>25</v>
      </c>
      <c r="D337" s="112" t="s">
        <v>25</v>
      </c>
      <c r="E337" s="112" t="s">
        <v>843</v>
      </c>
      <c r="F337" s="113" t="s">
        <v>73</v>
      </c>
      <c r="G337" s="112" t="s">
        <v>74</v>
      </c>
      <c r="H337" s="112" t="s">
        <v>398</v>
      </c>
      <c r="I337" s="114" t="n">
        <v>1</v>
      </c>
      <c r="J337" s="114" t="n">
        <v>0</v>
      </c>
      <c r="K337" s="112"/>
      <c r="L337" s="112"/>
    </row>
    <row r="338" customFormat="false" ht="15" hidden="false" customHeight="false" outlineLevel="0" collapsed="false">
      <c r="A338" s="112" t="s">
        <v>844</v>
      </c>
      <c r="B338" s="112" t="s">
        <v>721</v>
      </c>
      <c r="C338" s="112" t="s">
        <v>25</v>
      </c>
      <c r="D338" s="112" t="s">
        <v>25</v>
      </c>
      <c r="E338" s="112" t="s">
        <v>845</v>
      </c>
      <c r="F338" s="113" t="s">
        <v>73</v>
      </c>
      <c r="G338" s="112" t="s">
        <v>74</v>
      </c>
      <c r="H338" s="112" t="s">
        <v>398</v>
      </c>
      <c r="I338" s="114" t="n">
        <v>1</v>
      </c>
      <c r="J338" s="114" t="n">
        <v>0</v>
      </c>
      <c r="K338" s="112"/>
      <c r="L338" s="112"/>
    </row>
    <row r="339" customFormat="false" ht="15" hidden="false" customHeight="false" outlineLevel="0" collapsed="false">
      <c r="A339" s="112" t="s">
        <v>445</v>
      </c>
      <c r="B339" s="112" t="s">
        <v>721</v>
      </c>
      <c r="C339" s="112" t="s">
        <v>846</v>
      </c>
      <c r="D339" s="112" t="s">
        <v>7</v>
      </c>
      <c r="E339" s="112" t="s">
        <v>847</v>
      </c>
      <c r="F339" s="113" t="s">
        <v>73</v>
      </c>
      <c r="G339" s="112" t="s">
        <v>74</v>
      </c>
      <c r="H339" s="112" t="s">
        <v>398</v>
      </c>
      <c r="I339" s="114" t="n">
        <v>0</v>
      </c>
      <c r="J339" s="114" t="n">
        <v>1</v>
      </c>
      <c r="K339" s="112" t="s">
        <v>401</v>
      </c>
      <c r="L339" s="112"/>
    </row>
    <row r="340" customFormat="false" ht="15" hidden="false" customHeight="false" outlineLevel="0" collapsed="false">
      <c r="A340" s="112" t="s">
        <v>447</v>
      </c>
      <c r="B340" s="112" t="s">
        <v>721</v>
      </c>
      <c r="C340" s="112" t="s">
        <v>846</v>
      </c>
      <c r="D340" s="112" t="s">
        <v>7</v>
      </c>
      <c r="E340" s="112" t="s">
        <v>848</v>
      </c>
      <c r="F340" s="113" t="s">
        <v>73</v>
      </c>
      <c r="G340" s="112" t="s">
        <v>74</v>
      </c>
      <c r="H340" s="112" t="s">
        <v>398</v>
      </c>
      <c r="I340" s="114" t="n">
        <v>1</v>
      </c>
      <c r="J340" s="114" t="n">
        <v>1</v>
      </c>
      <c r="K340" s="112"/>
      <c r="L340" s="112"/>
    </row>
    <row r="341" customFormat="false" ht="15" hidden="false" customHeight="false" outlineLevel="0" collapsed="false">
      <c r="A341" s="112" t="s">
        <v>448</v>
      </c>
      <c r="B341" s="112" t="s">
        <v>721</v>
      </c>
      <c r="C341" s="112" t="s">
        <v>846</v>
      </c>
      <c r="D341" s="112" t="s">
        <v>7</v>
      </c>
      <c r="E341" s="112" t="s">
        <v>849</v>
      </c>
      <c r="F341" s="113" t="s">
        <v>73</v>
      </c>
      <c r="G341" s="112" t="s">
        <v>74</v>
      </c>
      <c r="H341" s="112" t="s">
        <v>398</v>
      </c>
      <c r="I341" s="114" t="n">
        <v>1</v>
      </c>
      <c r="J341" s="114" t="n">
        <v>1</v>
      </c>
      <c r="K341" s="112"/>
      <c r="L341" s="112"/>
    </row>
    <row r="342" customFormat="false" ht="15" hidden="false" customHeight="false" outlineLevel="0" collapsed="false">
      <c r="A342" s="112" t="s">
        <v>449</v>
      </c>
      <c r="B342" s="112" t="s">
        <v>721</v>
      </c>
      <c r="C342" s="112" t="s">
        <v>846</v>
      </c>
      <c r="D342" s="112" t="s">
        <v>7</v>
      </c>
      <c r="E342" s="112" t="s">
        <v>850</v>
      </c>
      <c r="F342" s="113" t="s">
        <v>73</v>
      </c>
      <c r="G342" s="112" t="s">
        <v>74</v>
      </c>
      <c r="H342" s="112" t="s">
        <v>398</v>
      </c>
      <c r="I342" s="114" t="n">
        <v>1</v>
      </c>
      <c r="J342" s="114" t="n">
        <v>0</v>
      </c>
      <c r="K342" s="112"/>
      <c r="L342" s="112"/>
    </row>
    <row r="343" customFormat="false" ht="15" hidden="false" customHeight="false" outlineLevel="0" collapsed="false">
      <c r="A343" s="112" t="s">
        <v>450</v>
      </c>
      <c r="B343" s="112" t="s">
        <v>721</v>
      </c>
      <c r="C343" s="112" t="s">
        <v>846</v>
      </c>
      <c r="D343" s="112" t="s">
        <v>7</v>
      </c>
      <c r="E343" s="112" t="s">
        <v>851</v>
      </c>
      <c r="F343" s="113" t="s">
        <v>73</v>
      </c>
      <c r="G343" s="112" t="s">
        <v>74</v>
      </c>
      <c r="H343" s="112" t="s">
        <v>398</v>
      </c>
      <c r="I343" s="114" t="n">
        <v>1</v>
      </c>
      <c r="J343" s="114" t="n">
        <v>0</v>
      </c>
      <c r="K343" s="112"/>
      <c r="L343" s="112"/>
    </row>
    <row r="344" customFormat="false" ht="15" hidden="false" customHeight="false" outlineLevel="0" collapsed="false">
      <c r="A344" s="112" t="s">
        <v>451</v>
      </c>
      <c r="B344" s="112" t="s">
        <v>721</v>
      </c>
      <c r="C344" s="112" t="s">
        <v>846</v>
      </c>
      <c r="D344" s="112" t="s">
        <v>7</v>
      </c>
      <c r="E344" s="112" t="s">
        <v>852</v>
      </c>
      <c r="F344" s="113" t="s">
        <v>73</v>
      </c>
      <c r="G344" s="112" t="s">
        <v>74</v>
      </c>
      <c r="H344" s="112" t="s">
        <v>398</v>
      </c>
      <c r="I344" s="114" t="n">
        <v>1</v>
      </c>
      <c r="J344" s="114" t="n">
        <v>0</v>
      </c>
      <c r="K344" s="112"/>
      <c r="L344" s="112"/>
    </row>
    <row r="345" customFormat="false" ht="15" hidden="false" customHeight="false" outlineLevel="0" collapsed="false">
      <c r="A345" s="112" t="s">
        <v>452</v>
      </c>
      <c r="B345" s="112" t="s">
        <v>721</v>
      </c>
      <c r="C345" s="112" t="s">
        <v>846</v>
      </c>
      <c r="D345" s="112" t="s">
        <v>7</v>
      </c>
      <c r="E345" s="112" t="s">
        <v>853</v>
      </c>
      <c r="F345" s="113" t="s">
        <v>73</v>
      </c>
      <c r="G345" s="112" t="s">
        <v>74</v>
      </c>
      <c r="H345" s="112" t="s">
        <v>398</v>
      </c>
      <c r="I345" s="114" t="n">
        <v>0</v>
      </c>
      <c r="J345" s="114" t="n">
        <v>1</v>
      </c>
      <c r="K345" s="112" t="s">
        <v>401</v>
      </c>
      <c r="L345" s="112"/>
    </row>
    <row r="346" customFormat="false" ht="15" hidden="false" customHeight="false" outlineLevel="0" collapsed="false">
      <c r="A346" s="112" t="s">
        <v>453</v>
      </c>
      <c r="B346" s="112" t="s">
        <v>721</v>
      </c>
      <c r="C346" s="112" t="s">
        <v>846</v>
      </c>
      <c r="D346" s="112" t="s">
        <v>7</v>
      </c>
      <c r="E346" s="112" t="s">
        <v>854</v>
      </c>
      <c r="F346" s="113" t="s">
        <v>73</v>
      </c>
      <c r="G346" s="112" t="s">
        <v>74</v>
      </c>
      <c r="H346" s="112" t="s">
        <v>398</v>
      </c>
      <c r="I346" s="114" t="n">
        <v>1</v>
      </c>
      <c r="J346" s="114" t="n">
        <v>0</v>
      </c>
      <c r="K346" s="112"/>
      <c r="L346" s="112"/>
    </row>
    <row r="347" customFormat="false" ht="15" hidden="false" customHeight="false" outlineLevel="0" collapsed="false">
      <c r="A347" s="112" t="s">
        <v>454</v>
      </c>
      <c r="B347" s="112" t="s">
        <v>721</v>
      </c>
      <c r="C347" s="112" t="s">
        <v>846</v>
      </c>
      <c r="D347" s="112" t="s">
        <v>7</v>
      </c>
      <c r="E347" s="112" t="s">
        <v>855</v>
      </c>
      <c r="F347" s="113" t="s">
        <v>73</v>
      </c>
      <c r="G347" s="112" t="s">
        <v>74</v>
      </c>
      <c r="H347" s="112" t="s">
        <v>398</v>
      </c>
      <c r="I347" s="114" t="n">
        <v>1</v>
      </c>
      <c r="J347" s="114" t="n">
        <v>0</v>
      </c>
      <c r="K347" s="112"/>
      <c r="L347" s="112"/>
    </row>
    <row r="348" customFormat="false" ht="15" hidden="false" customHeight="false" outlineLevel="0" collapsed="false">
      <c r="A348" s="112" t="s">
        <v>455</v>
      </c>
      <c r="B348" s="112" t="s">
        <v>721</v>
      </c>
      <c r="C348" s="112" t="s">
        <v>846</v>
      </c>
      <c r="D348" s="112" t="s">
        <v>7</v>
      </c>
      <c r="E348" s="112" t="s">
        <v>856</v>
      </c>
      <c r="F348" s="113" t="s">
        <v>73</v>
      </c>
      <c r="G348" s="112" t="s">
        <v>74</v>
      </c>
      <c r="H348" s="112" t="s">
        <v>398</v>
      </c>
      <c r="I348" s="114" t="n">
        <v>1</v>
      </c>
      <c r="J348" s="114" t="n">
        <v>0</v>
      </c>
      <c r="K348" s="112"/>
      <c r="L348" s="112"/>
    </row>
    <row r="349" customFormat="false" ht="15" hidden="false" customHeight="false" outlineLevel="0" collapsed="false">
      <c r="A349" s="112" t="s">
        <v>857</v>
      </c>
      <c r="B349" s="112" t="s">
        <v>721</v>
      </c>
      <c r="C349" s="112" t="s">
        <v>7</v>
      </c>
      <c r="D349" s="112" t="s">
        <v>7</v>
      </c>
      <c r="E349" s="112" t="s">
        <v>858</v>
      </c>
      <c r="F349" s="113" t="s">
        <v>73</v>
      </c>
      <c r="G349" s="112" t="s">
        <v>74</v>
      </c>
      <c r="H349" s="112" t="s">
        <v>398</v>
      </c>
      <c r="I349" s="114" t="n">
        <v>1</v>
      </c>
      <c r="J349" s="114" t="n">
        <v>0</v>
      </c>
      <c r="K349" s="112"/>
      <c r="L349" s="112"/>
    </row>
    <row r="350" customFormat="false" ht="15" hidden="false" customHeight="false" outlineLevel="0" collapsed="false">
      <c r="A350" s="112" t="s">
        <v>859</v>
      </c>
      <c r="B350" s="112" t="s">
        <v>721</v>
      </c>
      <c r="C350" s="112" t="s">
        <v>7</v>
      </c>
      <c r="D350" s="112" t="s">
        <v>7</v>
      </c>
      <c r="E350" s="112" t="s">
        <v>860</v>
      </c>
      <c r="F350" s="113" t="s">
        <v>81</v>
      </c>
      <c r="G350" s="112" t="s">
        <v>82</v>
      </c>
      <c r="H350" s="112" t="s">
        <v>398</v>
      </c>
      <c r="I350" s="114" t="n">
        <v>1</v>
      </c>
      <c r="J350" s="114" t="n">
        <v>0</v>
      </c>
      <c r="K350" s="112"/>
      <c r="L350" s="112"/>
    </row>
    <row r="351" customFormat="false" ht="15" hidden="false" customHeight="false" outlineLevel="0" collapsed="false">
      <c r="A351" s="112" t="s">
        <v>505</v>
      </c>
      <c r="B351" s="112" t="s">
        <v>721</v>
      </c>
      <c r="C351" s="112" t="s">
        <v>660</v>
      </c>
      <c r="D351" s="112" t="s">
        <v>8</v>
      </c>
      <c r="E351" s="112" t="s">
        <v>861</v>
      </c>
      <c r="F351" s="113" t="s">
        <v>73</v>
      </c>
      <c r="G351" s="112" t="s">
        <v>74</v>
      </c>
      <c r="H351" s="112" t="s">
        <v>398</v>
      </c>
      <c r="I351" s="114" t="n">
        <v>0</v>
      </c>
      <c r="J351" s="114" t="n">
        <v>1</v>
      </c>
      <c r="K351" s="112" t="s">
        <v>401</v>
      </c>
      <c r="L351" s="112"/>
    </row>
    <row r="352" customFormat="false" ht="15" hidden="false" customHeight="false" outlineLevel="0" collapsed="false">
      <c r="A352" s="112" t="s">
        <v>459</v>
      </c>
      <c r="B352" s="112" t="s">
        <v>721</v>
      </c>
      <c r="C352" s="112" t="s">
        <v>660</v>
      </c>
      <c r="D352" s="112" t="s">
        <v>8</v>
      </c>
      <c r="E352" s="112" t="s">
        <v>862</v>
      </c>
      <c r="F352" s="113" t="s">
        <v>81</v>
      </c>
      <c r="G352" s="112" t="s">
        <v>82</v>
      </c>
      <c r="H352" s="112" t="s">
        <v>398</v>
      </c>
      <c r="I352" s="114" t="n">
        <v>1</v>
      </c>
      <c r="J352" s="114" t="n">
        <v>0</v>
      </c>
      <c r="K352" s="112"/>
      <c r="L352" s="112"/>
    </row>
    <row r="353" customFormat="false" ht="15" hidden="false" customHeight="false" outlineLevel="0" collapsed="false">
      <c r="A353" s="112" t="s">
        <v>508</v>
      </c>
      <c r="B353" s="112" t="s">
        <v>721</v>
      </c>
      <c r="C353" s="112" t="s">
        <v>660</v>
      </c>
      <c r="D353" s="112" t="s">
        <v>8</v>
      </c>
      <c r="E353" s="112" t="s">
        <v>863</v>
      </c>
      <c r="F353" s="113" t="s">
        <v>73</v>
      </c>
      <c r="G353" s="112" t="s">
        <v>74</v>
      </c>
      <c r="H353" s="112" t="s">
        <v>398</v>
      </c>
      <c r="I353" s="114" t="n">
        <v>0</v>
      </c>
      <c r="J353" s="114" t="n">
        <v>1</v>
      </c>
      <c r="K353" s="112" t="s">
        <v>401</v>
      </c>
      <c r="L353" s="112"/>
    </row>
    <row r="354" customFormat="false" ht="15" hidden="false" customHeight="false" outlineLevel="0" collapsed="false">
      <c r="A354" s="112" t="s">
        <v>464</v>
      </c>
      <c r="B354" s="112" t="s">
        <v>721</v>
      </c>
      <c r="C354" s="112" t="s">
        <v>660</v>
      </c>
      <c r="D354" s="112" t="s">
        <v>8</v>
      </c>
      <c r="E354" s="112" t="s">
        <v>864</v>
      </c>
      <c r="F354" s="113" t="s">
        <v>81</v>
      </c>
      <c r="G354" s="112" t="s">
        <v>82</v>
      </c>
      <c r="H354" s="112" t="s">
        <v>398</v>
      </c>
      <c r="I354" s="114" t="n">
        <v>1</v>
      </c>
      <c r="J354" s="114" t="n">
        <v>0</v>
      </c>
      <c r="K354" s="112"/>
      <c r="L354" s="112"/>
    </row>
    <row r="355" customFormat="false" ht="15" hidden="false" customHeight="false" outlineLevel="0" collapsed="false">
      <c r="A355" s="112" t="s">
        <v>510</v>
      </c>
      <c r="B355" s="112" t="s">
        <v>721</v>
      </c>
      <c r="C355" s="112" t="s">
        <v>660</v>
      </c>
      <c r="D355" s="112" t="s">
        <v>8</v>
      </c>
      <c r="E355" s="112" t="s">
        <v>865</v>
      </c>
      <c r="F355" s="113" t="s">
        <v>73</v>
      </c>
      <c r="G355" s="112" t="s">
        <v>74</v>
      </c>
      <c r="H355" s="112" t="s">
        <v>398</v>
      </c>
      <c r="I355" s="114" t="n">
        <v>1</v>
      </c>
      <c r="J355" s="114" t="n">
        <v>0</v>
      </c>
      <c r="K355" s="112"/>
      <c r="L355" s="112"/>
    </row>
    <row r="356" customFormat="false" ht="15" hidden="false" customHeight="false" outlineLevel="0" collapsed="false">
      <c r="A356" s="112" t="s">
        <v>468</v>
      </c>
      <c r="B356" s="112" t="s">
        <v>721</v>
      </c>
      <c r="C356" s="112" t="s">
        <v>660</v>
      </c>
      <c r="D356" s="112" t="s">
        <v>8</v>
      </c>
      <c r="E356" s="112" t="s">
        <v>866</v>
      </c>
      <c r="F356" s="113" t="s">
        <v>81</v>
      </c>
      <c r="G356" s="112" t="s">
        <v>82</v>
      </c>
      <c r="H356" s="112" t="s">
        <v>398</v>
      </c>
      <c r="I356" s="114" t="n">
        <v>1</v>
      </c>
      <c r="J356" s="114" t="n">
        <v>0</v>
      </c>
      <c r="K356" s="112"/>
      <c r="L356" s="112"/>
    </row>
    <row r="357" customFormat="false" ht="15" hidden="false" customHeight="false" outlineLevel="0" collapsed="false">
      <c r="A357" s="112" t="s">
        <v>689</v>
      </c>
      <c r="B357" s="112" t="s">
        <v>721</v>
      </c>
      <c r="C357" s="112" t="s">
        <v>660</v>
      </c>
      <c r="D357" s="112" t="s">
        <v>8</v>
      </c>
      <c r="E357" s="112" t="s">
        <v>867</v>
      </c>
      <c r="F357" s="113" t="s">
        <v>73</v>
      </c>
      <c r="G357" s="112" t="s">
        <v>74</v>
      </c>
      <c r="H357" s="112" t="s">
        <v>398</v>
      </c>
      <c r="I357" s="114" t="n">
        <v>1</v>
      </c>
      <c r="J357" s="114" t="n">
        <v>0</v>
      </c>
      <c r="K357" s="112"/>
      <c r="L357" s="112"/>
    </row>
    <row r="358" customFormat="false" ht="15" hidden="false" customHeight="false" outlineLevel="0" collapsed="false">
      <c r="A358" s="112" t="s">
        <v>570</v>
      </c>
      <c r="B358" s="112" t="s">
        <v>721</v>
      </c>
      <c r="C358" s="112" t="s">
        <v>660</v>
      </c>
      <c r="D358" s="112" t="s">
        <v>8</v>
      </c>
      <c r="E358" s="112" t="s">
        <v>868</v>
      </c>
      <c r="F358" s="113" t="s">
        <v>73</v>
      </c>
      <c r="G358" s="112" t="s">
        <v>74</v>
      </c>
      <c r="H358" s="112" t="s">
        <v>398</v>
      </c>
      <c r="I358" s="114" t="n">
        <v>0</v>
      </c>
      <c r="J358" s="114" t="n">
        <v>1</v>
      </c>
      <c r="K358" s="112" t="s">
        <v>401</v>
      </c>
      <c r="L358" s="112"/>
    </row>
    <row r="359" customFormat="false" ht="15" hidden="false" customHeight="false" outlineLevel="0" collapsed="false">
      <c r="A359" s="112" t="s">
        <v>869</v>
      </c>
      <c r="B359" s="112" t="s">
        <v>721</v>
      </c>
      <c r="C359" s="112" t="s">
        <v>660</v>
      </c>
      <c r="D359" s="112" t="s">
        <v>8</v>
      </c>
      <c r="E359" s="112" t="s">
        <v>870</v>
      </c>
      <c r="F359" s="113" t="s">
        <v>73</v>
      </c>
      <c r="G359" s="112" t="s">
        <v>74</v>
      </c>
      <c r="H359" s="112" t="s">
        <v>398</v>
      </c>
      <c r="I359" s="114" t="n">
        <v>1</v>
      </c>
      <c r="J359" s="114" t="n">
        <v>0</v>
      </c>
      <c r="K359" s="112"/>
      <c r="L359" s="112"/>
    </row>
    <row r="360" customFormat="false" ht="15" hidden="false" customHeight="false" outlineLevel="0" collapsed="false">
      <c r="A360" s="112" t="s">
        <v>644</v>
      </c>
      <c r="B360" s="112" t="s">
        <v>721</v>
      </c>
      <c r="C360" s="112" t="s">
        <v>660</v>
      </c>
      <c r="D360" s="112" t="s">
        <v>8</v>
      </c>
      <c r="E360" s="112" t="s">
        <v>871</v>
      </c>
      <c r="F360" s="113" t="s">
        <v>73</v>
      </c>
      <c r="G360" s="112" t="s">
        <v>74</v>
      </c>
      <c r="H360" s="112" t="s">
        <v>398</v>
      </c>
      <c r="I360" s="114" t="n">
        <v>1</v>
      </c>
      <c r="J360" s="114" t="n">
        <v>0</v>
      </c>
      <c r="K360" s="112"/>
      <c r="L360" s="112"/>
    </row>
    <row r="361" customFormat="false" ht="15" hidden="false" customHeight="false" outlineLevel="0" collapsed="false">
      <c r="A361" s="112" t="s">
        <v>872</v>
      </c>
      <c r="B361" s="112" t="s">
        <v>721</v>
      </c>
      <c r="C361" s="112" t="s">
        <v>660</v>
      </c>
      <c r="D361" s="112" t="s">
        <v>8</v>
      </c>
      <c r="E361" s="112" t="s">
        <v>873</v>
      </c>
      <c r="F361" s="113" t="s">
        <v>73</v>
      </c>
      <c r="G361" s="112" t="s">
        <v>74</v>
      </c>
      <c r="H361" s="112" t="s">
        <v>398</v>
      </c>
      <c r="I361" s="114" t="n">
        <v>1</v>
      </c>
      <c r="J361" s="114" t="n">
        <v>0</v>
      </c>
      <c r="K361" s="112"/>
      <c r="L361" s="112"/>
    </row>
    <row r="362" customFormat="false" ht="15" hidden="false" customHeight="false" outlineLevel="0" collapsed="false">
      <c r="A362" s="112" t="s">
        <v>874</v>
      </c>
      <c r="B362" s="112" t="s">
        <v>721</v>
      </c>
      <c r="C362" s="112" t="s">
        <v>660</v>
      </c>
      <c r="D362" s="112" t="s">
        <v>8</v>
      </c>
      <c r="E362" s="112" t="s">
        <v>875</v>
      </c>
      <c r="F362" s="113" t="s">
        <v>73</v>
      </c>
      <c r="G362" s="112" t="s">
        <v>74</v>
      </c>
      <c r="H362" s="112" t="s">
        <v>398</v>
      </c>
      <c r="I362" s="114" t="n">
        <v>1</v>
      </c>
      <c r="J362" s="114" t="n">
        <v>0</v>
      </c>
      <c r="K362" s="112"/>
      <c r="L362" s="112"/>
    </row>
    <row r="363" customFormat="false" ht="15" hidden="false" customHeight="false" outlineLevel="0" collapsed="false">
      <c r="A363" s="112" t="s">
        <v>418</v>
      </c>
      <c r="B363" s="112" t="s">
        <v>721</v>
      </c>
      <c r="C363" s="112" t="s">
        <v>660</v>
      </c>
      <c r="D363" s="112" t="s">
        <v>8</v>
      </c>
      <c r="E363" s="112" t="s">
        <v>876</v>
      </c>
      <c r="F363" s="113" t="s">
        <v>73</v>
      </c>
      <c r="G363" s="112" t="s">
        <v>74</v>
      </c>
      <c r="H363" s="112" t="s">
        <v>398</v>
      </c>
      <c r="I363" s="114" t="n">
        <v>1</v>
      </c>
      <c r="J363" s="114" t="n">
        <v>0</v>
      </c>
      <c r="K363" s="112"/>
      <c r="L363" s="112"/>
    </row>
    <row r="364" customFormat="false" ht="15" hidden="false" customHeight="false" outlineLevel="0" collapsed="false">
      <c r="A364" s="112" t="s">
        <v>420</v>
      </c>
      <c r="B364" s="112" t="s">
        <v>721</v>
      </c>
      <c r="C364" s="112" t="s">
        <v>660</v>
      </c>
      <c r="D364" s="112" t="s">
        <v>8</v>
      </c>
      <c r="E364" s="112" t="s">
        <v>877</v>
      </c>
      <c r="F364" s="113" t="s">
        <v>73</v>
      </c>
      <c r="G364" s="112" t="s">
        <v>74</v>
      </c>
      <c r="H364" s="112" t="s">
        <v>398</v>
      </c>
      <c r="I364" s="114" t="n">
        <v>1</v>
      </c>
      <c r="J364" s="114" t="n">
        <v>0</v>
      </c>
      <c r="K364" s="112"/>
      <c r="L364" s="112"/>
    </row>
    <row r="365" customFormat="false" ht="15" hidden="false" customHeight="false" outlineLevel="0" collapsed="false">
      <c r="A365" s="112" t="s">
        <v>421</v>
      </c>
      <c r="B365" s="112" t="s">
        <v>721</v>
      </c>
      <c r="C365" s="112" t="s">
        <v>660</v>
      </c>
      <c r="D365" s="112" t="s">
        <v>8</v>
      </c>
      <c r="E365" s="112" t="s">
        <v>878</v>
      </c>
      <c r="F365" s="113" t="s">
        <v>73</v>
      </c>
      <c r="G365" s="112" t="s">
        <v>74</v>
      </c>
      <c r="H365" s="112" t="s">
        <v>398</v>
      </c>
      <c r="I365" s="114" t="n">
        <v>1</v>
      </c>
      <c r="J365" s="114" t="n">
        <v>0</v>
      </c>
      <c r="K365" s="112"/>
      <c r="L365" s="112"/>
    </row>
    <row r="366" customFormat="false" ht="15" hidden="false" customHeight="false" outlineLevel="0" collapsed="false">
      <c r="A366" s="112" t="s">
        <v>462</v>
      </c>
      <c r="B366" s="112" t="s">
        <v>721</v>
      </c>
      <c r="C366" s="112" t="s">
        <v>879</v>
      </c>
      <c r="D366" s="112" t="s">
        <v>9</v>
      </c>
      <c r="E366" s="112" t="s">
        <v>880</v>
      </c>
      <c r="F366" s="113" t="s">
        <v>73</v>
      </c>
      <c r="G366" s="112" t="s">
        <v>74</v>
      </c>
      <c r="H366" s="112" t="s">
        <v>398</v>
      </c>
      <c r="I366" s="114" t="n">
        <v>1</v>
      </c>
      <c r="J366" s="114" t="n">
        <v>0</v>
      </c>
      <c r="K366" s="112"/>
      <c r="L366" s="112"/>
    </row>
    <row r="367" customFormat="false" ht="15" hidden="false" customHeight="false" outlineLevel="0" collapsed="false">
      <c r="A367" s="112" t="s">
        <v>466</v>
      </c>
      <c r="B367" s="112" t="s">
        <v>721</v>
      </c>
      <c r="C367" s="112" t="s">
        <v>879</v>
      </c>
      <c r="D367" s="112" t="s">
        <v>9</v>
      </c>
      <c r="E367" s="112" t="s">
        <v>881</v>
      </c>
      <c r="F367" s="113" t="s">
        <v>73</v>
      </c>
      <c r="G367" s="112" t="s">
        <v>74</v>
      </c>
      <c r="H367" s="112" t="s">
        <v>398</v>
      </c>
      <c r="I367" s="114" t="n">
        <v>0</v>
      </c>
      <c r="J367" s="114" t="n">
        <v>1</v>
      </c>
      <c r="K367" s="112" t="s">
        <v>401</v>
      </c>
      <c r="L367" s="112"/>
    </row>
    <row r="368" customFormat="false" ht="15" hidden="false" customHeight="false" outlineLevel="0" collapsed="false">
      <c r="A368" s="112" t="s">
        <v>470</v>
      </c>
      <c r="B368" s="112" t="s">
        <v>721</v>
      </c>
      <c r="C368" s="112" t="s">
        <v>879</v>
      </c>
      <c r="D368" s="112" t="s">
        <v>9</v>
      </c>
      <c r="E368" s="112" t="s">
        <v>882</v>
      </c>
      <c r="F368" s="113" t="s">
        <v>73</v>
      </c>
      <c r="G368" s="112" t="s">
        <v>74</v>
      </c>
      <c r="H368" s="112" t="s">
        <v>398</v>
      </c>
      <c r="I368" s="114" t="n">
        <v>0</v>
      </c>
      <c r="J368" s="114" t="n">
        <v>1</v>
      </c>
      <c r="K368" s="112" t="s">
        <v>401</v>
      </c>
      <c r="L368" s="112"/>
    </row>
    <row r="369" customFormat="false" ht="15" hidden="false" customHeight="false" outlineLevel="0" collapsed="false">
      <c r="A369" s="112" t="s">
        <v>474</v>
      </c>
      <c r="B369" s="112" t="s">
        <v>721</v>
      </c>
      <c r="C369" s="112" t="s">
        <v>879</v>
      </c>
      <c r="D369" s="112" t="s">
        <v>9</v>
      </c>
      <c r="E369" s="112" t="s">
        <v>883</v>
      </c>
      <c r="F369" s="113" t="s">
        <v>73</v>
      </c>
      <c r="G369" s="112" t="s">
        <v>74</v>
      </c>
      <c r="H369" s="112" t="s">
        <v>398</v>
      </c>
      <c r="I369" s="114" t="n">
        <v>0</v>
      </c>
      <c r="J369" s="114" t="n">
        <v>1</v>
      </c>
      <c r="K369" s="112" t="s">
        <v>401</v>
      </c>
      <c r="L369" s="112"/>
    </row>
    <row r="370" customFormat="false" ht="15" hidden="false" customHeight="false" outlineLevel="0" collapsed="false">
      <c r="A370" s="112" t="s">
        <v>477</v>
      </c>
      <c r="B370" s="112" t="s">
        <v>721</v>
      </c>
      <c r="C370" s="112" t="s">
        <v>879</v>
      </c>
      <c r="D370" s="112" t="s">
        <v>9</v>
      </c>
      <c r="E370" s="112" t="s">
        <v>884</v>
      </c>
      <c r="F370" s="113" t="s">
        <v>73</v>
      </c>
      <c r="G370" s="112" t="s">
        <v>74</v>
      </c>
      <c r="H370" s="112" t="s">
        <v>398</v>
      </c>
      <c r="I370" s="114" t="n">
        <v>1</v>
      </c>
      <c r="J370" s="114" t="n">
        <v>0</v>
      </c>
      <c r="K370" s="112"/>
      <c r="L370" s="112"/>
    </row>
    <row r="371" customFormat="false" ht="15" hidden="false" customHeight="false" outlineLevel="0" collapsed="false">
      <c r="A371" s="112" t="s">
        <v>480</v>
      </c>
      <c r="B371" s="112" t="s">
        <v>721</v>
      </c>
      <c r="C371" s="112" t="s">
        <v>879</v>
      </c>
      <c r="D371" s="112" t="s">
        <v>9</v>
      </c>
      <c r="E371" s="112" t="s">
        <v>885</v>
      </c>
      <c r="F371" s="113" t="s">
        <v>73</v>
      </c>
      <c r="G371" s="112" t="s">
        <v>74</v>
      </c>
      <c r="H371" s="112" t="s">
        <v>398</v>
      </c>
      <c r="I371" s="114" t="n">
        <v>0</v>
      </c>
      <c r="J371" s="114" t="n">
        <v>1</v>
      </c>
      <c r="K371" s="112" t="s">
        <v>401</v>
      </c>
      <c r="L371" s="112"/>
    </row>
    <row r="372" customFormat="false" ht="15" hidden="false" customHeight="false" outlineLevel="0" collapsed="false">
      <c r="A372" s="112" t="s">
        <v>541</v>
      </c>
      <c r="B372" s="112" t="s">
        <v>721</v>
      </c>
      <c r="C372" s="112" t="s">
        <v>879</v>
      </c>
      <c r="D372" s="112" t="s">
        <v>9</v>
      </c>
      <c r="E372" s="112" t="s">
        <v>886</v>
      </c>
      <c r="F372" s="113" t="s">
        <v>73</v>
      </c>
      <c r="G372" s="112" t="s">
        <v>74</v>
      </c>
      <c r="H372" s="112" t="s">
        <v>398</v>
      </c>
      <c r="I372" s="114" t="n">
        <v>1</v>
      </c>
      <c r="J372" s="114" t="n">
        <v>0</v>
      </c>
      <c r="K372" s="112"/>
      <c r="L372" s="112"/>
    </row>
    <row r="373" customFormat="false" ht="15" hidden="false" customHeight="false" outlineLevel="0" collapsed="false">
      <c r="A373" s="112" t="s">
        <v>584</v>
      </c>
      <c r="B373" s="112" t="s">
        <v>721</v>
      </c>
      <c r="C373" s="112" t="s">
        <v>879</v>
      </c>
      <c r="D373" s="112" t="s">
        <v>9</v>
      </c>
      <c r="E373" s="112" t="s">
        <v>887</v>
      </c>
      <c r="F373" s="113" t="s">
        <v>73</v>
      </c>
      <c r="G373" s="112" t="s">
        <v>74</v>
      </c>
      <c r="H373" s="112" t="s">
        <v>398</v>
      </c>
      <c r="I373" s="114" t="n">
        <v>1</v>
      </c>
      <c r="J373" s="114" t="n">
        <v>0</v>
      </c>
      <c r="K373" s="112"/>
      <c r="L373" s="112"/>
    </row>
    <row r="374" customFormat="false" ht="15" hidden="false" customHeight="false" outlineLevel="0" collapsed="false">
      <c r="A374" s="112" t="s">
        <v>395</v>
      </c>
      <c r="B374" s="112" t="s">
        <v>721</v>
      </c>
      <c r="C374" s="112" t="s">
        <v>879</v>
      </c>
      <c r="D374" s="112" t="s">
        <v>9</v>
      </c>
      <c r="E374" s="112" t="s">
        <v>888</v>
      </c>
      <c r="F374" s="113" t="s">
        <v>73</v>
      </c>
      <c r="G374" s="112" t="s">
        <v>74</v>
      </c>
      <c r="H374" s="112" t="s">
        <v>398</v>
      </c>
      <c r="I374" s="114" t="n">
        <v>1</v>
      </c>
      <c r="J374" s="114" t="n">
        <v>0</v>
      </c>
      <c r="K374" s="112"/>
      <c r="L374" s="112"/>
    </row>
    <row r="375" customFormat="false" ht="15" hidden="false" customHeight="false" outlineLevel="0" collapsed="false">
      <c r="A375" s="112" t="s">
        <v>399</v>
      </c>
      <c r="B375" s="112" t="s">
        <v>721</v>
      </c>
      <c r="C375" s="112" t="s">
        <v>879</v>
      </c>
      <c r="D375" s="112" t="s">
        <v>9</v>
      </c>
      <c r="E375" s="112" t="s">
        <v>889</v>
      </c>
      <c r="F375" s="113" t="s">
        <v>73</v>
      </c>
      <c r="G375" s="112" t="s">
        <v>74</v>
      </c>
      <c r="H375" s="112" t="s">
        <v>398</v>
      </c>
      <c r="I375" s="114" t="n">
        <v>1</v>
      </c>
      <c r="J375" s="114" t="n">
        <v>0</v>
      </c>
      <c r="K375" s="112"/>
      <c r="L375" s="112"/>
    </row>
    <row r="376" customFormat="false" ht="15" hidden="false" customHeight="false" outlineLevel="0" collapsed="false">
      <c r="A376" s="112" t="s">
        <v>400</v>
      </c>
      <c r="B376" s="112" t="s">
        <v>721</v>
      </c>
      <c r="C376" s="112" t="s">
        <v>879</v>
      </c>
      <c r="D376" s="112" t="s">
        <v>9</v>
      </c>
      <c r="E376" s="112" t="s">
        <v>890</v>
      </c>
      <c r="F376" s="113" t="s">
        <v>73</v>
      </c>
      <c r="G376" s="112" t="s">
        <v>74</v>
      </c>
      <c r="H376" s="112" t="s">
        <v>398</v>
      </c>
      <c r="I376" s="114" t="n">
        <v>1</v>
      </c>
      <c r="J376" s="114" t="n">
        <v>0</v>
      </c>
      <c r="K376" s="112"/>
      <c r="L376" s="112"/>
    </row>
    <row r="377" customFormat="false" ht="15" hidden="false" customHeight="false" outlineLevel="0" collapsed="false">
      <c r="A377" s="112" t="s">
        <v>586</v>
      </c>
      <c r="B377" s="112" t="s">
        <v>721</v>
      </c>
      <c r="C377" s="112" t="s">
        <v>879</v>
      </c>
      <c r="D377" s="112" t="s">
        <v>9</v>
      </c>
      <c r="E377" s="112" t="s">
        <v>891</v>
      </c>
      <c r="F377" s="113" t="s">
        <v>73</v>
      </c>
      <c r="G377" s="112" t="s">
        <v>74</v>
      </c>
      <c r="H377" s="112" t="s">
        <v>398</v>
      </c>
      <c r="I377" s="114" t="n">
        <v>1</v>
      </c>
      <c r="J377" s="114" t="n">
        <v>0</v>
      </c>
      <c r="K377" s="112"/>
      <c r="L377" s="112"/>
    </row>
    <row r="378" customFormat="false" ht="15" hidden="false" customHeight="false" outlineLevel="0" collapsed="false">
      <c r="A378" s="112" t="s">
        <v>542</v>
      </c>
      <c r="B378" s="112" t="s">
        <v>721</v>
      </c>
      <c r="C378" s="112" t="s">
        <v>879</v>
      </c>
      <c r="D378" s="112" t="s">
        <v>9</v>
      </c>
      <c r="E378" s="112" t="s">
        <v>892</v>
      </c>
      <c r="F378" s="113" t="s">
        <v>73</v>
      </c>
      <c r="G378" s="112" t="s">
        <v>74</v>
      </c>
      <c r="H378" s="112" t="s">
        <v>398</v>
      </c>
      <c r="I378" s="114" t="n">
        <v>1</v>
      </c>
      <c r="J378" s="114" t="n">
        <v>0</v>
      </c>
      <c r="K378" s="112"/>
      <c r="L378" s="112"/>
    </row>
    <row r="379" customFormat="false" ht="15" hidden="false" customHeight="false" outlineLevel="0" collapsed="false">
      <c r="A379" s="112" t="s">
        <v>587</v>
      </c>
      <c r="B379" s="112" t="s">
        <v>721</v>
      </c>
      <c r="C379" s="112" t="s">
        <v>879</v>
      </c>
      <c r="D379" s="112" t="s">
        <v>9</v>
      </c>
      <c r="E379" s="112" t="s">
        <v>893</v>
      </c>
      <c r="F379" s="113" t="s">
        <v>73</v>
      </c>
      <c r="G379" s="112" t="s">
        <v>74</v>
      </c>
      <c r="H379" s="112" t="s">
        <v>398</v>
      </c>
      <c r="I379" s="114" t="n">
        <v>0</v>
      </c>
      <c r="J379" s="114" t="n">
        <v>1</v>
      </c>
      <c r="K379" s="112" t="s">
        <v>401</v>
      </c>
      <c r="L379" s="112"/>
    </row>
    <row r="380" customFormat="false" ht="15" hidden="false" customHeight="false" outlineLevel="0" collapsed="false">
      <c r="A380" s="112" t="s">
        <v>493</v>
      </c>
      <c r="B380" s="112" t="s">
        <v>721</v>
      </c>
      <c r="C380" s="112" t="s">
        <v>879</v>
      </c>
      <c r="D380" s="112" t="s">
        <v>9</v>
      </c>
      <c r="E380" s="112" t="s">
        <v>894</v>
      </c>
      <c r="F380" s="113" t="s">
        <v>73</v>
      </c>
      <c r="G380" s="112" t="s">
        <v>74</v>
      </c>
      <c r="H380" s="112" t="s">
        <v>398</v>
      </c>
      <c r="I380" s="114" t="n">
        <v>1</v>
      </c>
      <c r="J380" s="114" t="n">
        <v>0</v>
      </c>
      <c r="K380" s="112"/>
      <c r="L380" s="112"/>
    </row>
    <row r="381" customFormat="false" ht="15" hidden="false" customHeight="false" outlineLevel="0" collapsed="false">
      <c r="A381" s="112" t="s">
        <v>895</v>
      </c>
      <c r="B381" s="112" t="s">
        <v>721</v>
      </c>
      <c r="C381" s="112" t="s">
        <v>879</v>
      </c>
      <c r="D381" s="112" t="s">
        <v>9</v>
      </c>
      <c r="E381" s="112" t="s">
        <v>896</v>
      </c>
      <c r="F381" s="113" t="s">
        <v>73</v>
      </c>
      <c r="G381" s="112" t="s">
        <v>74</v>
      </c>
      <c r="H381" s="112" t="s">
        <v>398</v>
      </c>
      <c r="I381" s="114" t="n">
        <v>1</v>
      </c>
      <c r="J381" s="114" t="n">
        <v>0</v>
      </c>
      <c r="K381" s="112"/>
      <c r="L381" s="112"/>
    </row>
    <row r="382" customFormat="false" ht="15" hidden="false" customHeight="false" outlineLevel="0" collapsed="false">
      <c r="A382" s="112" t="s">
        <v>543</v>
      </c>
      <c r="B382" s="112" t="s">
        <v>721</v>
      </c>
      <c r="C382" s="112" t="s">
        <v>879</v>
      </c>
      <c r="D382" s="112" t="s">
        <v>9</v>
      </c>
      <c r="E382" s="112" t="s">
        <v>897</v>
      </c>
      <c r="F382" s="113" t="s">
        <v>73</v>
      </c>
      <c r="G382" s="112" t="s">
        <v>74</v>
      </c>
      <c r="H382" s="112" t="s">
        <v>398</v>
      </c>
      <c r="I382" s="114" t="n">
        <v>1</v>
      </c>
      <c r="J382" s="114" t="n">
        <v>0</v>
      </c>
      <c r="K382" s="112"/>
      <c r="L382" s="112"/>
    </row>
    <row r="383" customFormat="false" ht="15" hidden="false" customHeight="false" outlineLevel="0" collapsed="false">
      <c r="A383" s="112" t="s">
        <v>545</v>
      </c>
      <c r="B383" s="112" t="s">
        <v>721</v>
      </c>
      <c r="C383" s="112" t="s">
        <v>879</v>
      </c>
      <c r="D383" s="112" t="s">
        <v>9</v>
      </c>
      <c r="E383" s="112" t="s">
        <v>898</v>
      </c>
      <c r="F383" s="113" t="s">
        <v>73</v>
      </c>
      <c r="G383" s="112" t="s">
        <v>74</v>
      </c>
      <c r="H383" s="112" t="s">
        <v>398</v>
      </c>
      <c r="I383" s="114" t="n">
        <v>1</v>
      </c>
      <c r="J383" s="114" t="n">
        <v>0</v>
      </c>
      <c r="K383" s="112"/>
      <c r="L383" s="112"/>
    </row>
    <row r="384" customFormat="false" ht="15" hidden="false" customHeight="false" outlineLevel="0" collapsed="false">
      <c r="A384" s="112" t="s">
        <v>588</v>
      </c>
      <c r="B384" s="112" t="s">
        <v>721</v>
      </c>
      <c r="C384" s="112" t="s">
        <v>879</v>
      </c>
      <c r="D384" s="112" t="s">
        <v>9</v>
      </c>
      <c r="E384" s="112" t="s">
        <v>899</v>
      </c>
      <c r="F384" s="113" t="s">
        <v>81</v>
      </c>
      <c r="G384" s="112" t="s">
        <v>82</v>
      </c>
      <c r="H384" s="112" t="s">
        <v>398</v>
      </c>
      <c r="I384" s="114" t="n">
        <v>1</v>
      </c>
      <c r="J384" s="114" t="n">
        <v>0</v>
      </c>
      <c r="K384" s="112"/>
      <c r="L384" s="112"/>
    </row>
    <row r="385" customFormat="false" ht="15" hidden="false" customHeight="false" outlineLevel="0" collapsed="false">
      <c r="A385" s="112" t="s">
        <v>555</v>
      </c>
      <c r="B385" s="112" t="s">
        <v>721</v>
      </c>
      <c r="C385" s="112" t="s">
        <v>879</v>
      </c>
      <c r="D385" s="112" t="s">
        <v>9</v>
      </c>
      <c r="E385" s="112" t="s">
        <v>900</v>
      </c>
      <c r="F385" s="113" t="s">
        <v>81</v>
      </c>
      <c r="G385" s="112" t="s">
        <v>82</v>
      </c>
      <c r="H385" s="112" t="s">
        <v>398</v>
      </c>
      <c r="I385" s="114" t="n">
        <v>1</v>
      </c>
      <c r="J385" s="114" t="n">
        <v>0</v>
      </c>
      <c r="K385" s="112"/>
      <c r="L385" s="112"/>
    </row>
    <row r="386" customFormat="false" ht="15" hidden="false" customHeight="false" outlineLevel="0" collapsed="false">
      <c r="A386" s="112" t="s">
        <v>901</v>
      </c>
      <c r="B386" s="112" t="s">
        <v>721</v>
      </c>
      <c r="C386" s="112" t="s">
        <v>902</v>
      </c>
      <c r="D386" s="112" t="s">
        <v>15</v>
      </c>
      <c r="E386" s="112" t="s">
        <v>903</v>
      </c>
      <c r="F386" s="113" t="s">
        <v>73</v>
      </c>
      <c r="G386" s="112" t="s">
        <v>74</v>
      </c>
      <c r="H386" s="112" t="s">
        <v>398</v>
      </c>
      <c r="I386" s="114" t="n">
        <v>1</v>
      </c>
      <c r="J386" s="114" t="n">
        <v>0</v>
      </c>
      <c r="K386" s="112"/>
      <c r="L386" s="112"/>
    </row>
    <row r="387" customFormat="false" ht="15" hidden="false" customHeight="false" outlineLevel="0" collapsed="false">
      <c r="A387" s="112" t="s">
        <v>904</v>
      </c>
      <c r="B387" s="112" t="s">
        <v>721</v>
      </c>
      <c r="C387" s="112" t="s">
        <v>902</v>
      </c>
      <c r="D387" s="112" t="s">
        <v>15</v>
      </c>
      <c r="E387" s="112" t="s">
        <v>905</v>
      </c>
      <c r="F387" s="113" t="s">
        <v>73</v>
      </c>
      <c r="G387" s="112" t="s">
        <v>74</v>
      </c>
      <c r="H387" s="112" t="s">
        <v>398</v>
      </c>
      <c r="I387" s="114" t="n">
        <v>1</v>
      </c>
      <c r="J387" s="114" t="n">
        <v>0</v>
      </c>
      <c r="K387" s="112"/>
      <c r="L387" s="112"/>
    </row>
    <row r="388" customFormat="false" ht="15" hidden="false" customHeight="false" outlineLevel="0" collapsed="false">
      <c r="A388" s="112" t="s">
        <v>906</v>
      </c>
      <c r="B388" s="112" t="s">
        <v>721</v>
      </c>
      <c r="C388" s="112" t="s">
        <v>23</v>
      </c>
      <c r="D388" s="112" t="s">
        <v>23</v>
      </c>
      <c r="E388" s="112" t="s">
        <v>907</v>
      </c>
      <c r="F388" s="113" t="s">
        <v>73</v>
      </c>
      <c r="G388" s="112" t="s">
        <v>74</v>
      </c>
      <c r="H388" s="112" t="s">
        <v>398</v>
      </c>
      <c r="I388" s="114" t="n">
        <v>0</v>
      </c>
      <c r="J388" s="114" t="n">
        <v>1</v>
      </c>
      <c r="K388" s="112" t="s">
        <v>401</v>
      </c>
      <c r="L388" s="112"/>
    </row>
    <row r="389" customFormat="false" ht="15" hidden="false" customHeight="false" outlineLevel="0" collapsed="false">
      <c r="A389" s="112" t="s">
        <v>908</v>
      </c>
      <c r="B389" s="112" t="s">
        <v>721</v>
      </c>
      <c r="C389" s="112" t="s">
        <v>23</v>
      </c>
      <c r="D389" s="112" t="s">
        <v>23</v>
      </c>
      <c r="E389" s="112" t="s">
        <v>909</v>
      </c>
      <c r="F389" s="113" t="s">
        <v>73</v>
      </c>
      <c r="G389" s="112" t="s">
        <v>74</v>
      </c>
      <c r="H389" s="112" t="s">
        <v>398</v>
      </c>
      <c r="I389" s="114" t="n">
        <v>0</v>
      </c>
      <c r="J389" s="114" t="n">
        <v>1</v>
      </c>
      <c r="K389" s="112" t="s">
        <v>401</v>
      </c>
      <c r="L389" s="112"/>
    </row>
    <row r="390" customFormat="false" ht="15" hidden="false" customHeight="false" outlineLevel="0" collapsed="false">
      <c r="A390" s="112" t="s">
        <v>910</v>
      </c>
      <c r="B390" s="112" t="s">
        <v>721</v>
      </c>
      <c r="C390" s="112" t="s">
        <v>23</v>
      </c>
      <c r="D390" s="112" t="s">
        <v>23</v>
      </c>
      <c r="E390" s="112" t="s">
        <v>911</v>
      </c>
      <c r="F390" s="113" t="s">
        <v>73</v>
      </c>
      <c r="G390" s="112" t="s">
        <v>74</v>
      </c>
      <c r="H390" s="112" t="s">
        <v>398</v>
      </c>
      <c r="I390" s="114" t="n">
        <v>1</v>
      </c>
      <c r="J390" s="114" t="n">
        <v>0</v>
      </c>
      <c r="K390" s="112"/>
      <c r="L390" s="112"/>
    </row>
    <row r="391" customFormat="false" ht="15" hidden="false" customHeight="false" outlineLevel="0" collapsed="false">
      <c r="A391" s="112" t="s">
        <v>912</v>
      </c>
      <c r="B391" s="112" t="s">
        <v>721</v>
      </c>
      <c r="C391" s="112" t="s">
        <v>23</v>
      </c>
      <c r="D391" s="112" t="s">
        <v>23</v>
      </c>
      <c r="E391" s="112" t="s">
        <v>913</v>
      </c>
      <c r="F391" s="113" t="s">
        <v>73</v>
      </c>
      <c r="G391" s="112" t="s">
        <v>74</v>
      </c>
      <c r="H391" s="112" t="s">
        <v>398</v>
      </c>
      <c r="I391" s="114" t="n">
        <v>1</v>
      </c>
      <c r="J391" s="114" t="n">
        <v>0</v>
      </c>
      <c r="K391" s="112"/>
      <c r="L391" s="112"/>
    </row>
    <row r="392" customFormat="false" ht="15" hidden="false" customHeight="false" outlineLevel="0" collapsed="false">
      <c r="A392" s="112" t="s">
        <v>914</v>
      </c>
      <c r="B392" s="112" t="s">
        <v>721</v>
      </c>
      <c r="C392" s="112" t="s">
        <v>23</v>
      </c>
      <c r="D392" s="112" t="s">
        <v>23</v>
      </c>
      <c r="E392" s="112" t="s">
        <v>915</v>
      </c>
      <c r="F392" s="113" t="s">
        <v>73</v>
      </c>
      <c r="G392" s="112" t="s">
        <v>74</v>
      </c>
      <c r="H392" s="112" t="s">
        <v>398</v>
      </c>
      <c r="I392" s="114" t="n">
        <v>1</v>
      </c>
      <c r="J392" s="114" t="n">
        <v>0</v>
      </c>
      <c r="K392" s="112"/>
      <c r="L392" s="112"/>
    </row>
    <row r="393" customFormat="false" ht="15" hidden="false" customHeight="false" outlineLevel="0" collapsed="false">
      <c r="A393" s="112" t="s">
        <v>916</v>
      </c>
      <c r="B393" s="112" t="s">
        <v>721</v>
      </c>
      <c r="C393" s="112" t="s">
        <v>23</v>
      </c>
      <c r="D393" s="112" t="s">
        <v>23</v>
      </c>
      <c r="E393" s="112" t="s">
        <v>917</v>
      </c>
      <c r="F393" s="113" t="s">
        <v>73</v>
      </c>
      <c r="G393" s="112" t="s">
        <v>74</v>
      </c>
      <c r="H393" s="112" t="s">
        <v>398</v>
      </c>
      <c r="I393" s="114" t="n">
        <v>1</v>
      </c>
      <c r="J393" s="114" t="n">
        <v>0</v>
      </c>
      <c r="K393" s="112"/>
      <c r="L393" s="112"/>
    </row>
    <row r="394" customFormat="false" ht="15" hidden="false" customHeight="false" outlineLevel="0" collapsed="false">
      <c r="A394" s="112" t="s">
        <v>918</v>
      </c>
      <c r="B394" s="112" t="s">
        <v>721</v>
      </c>
      <c r="C394" s="112" t="s">
        <v>23</v>
      </c>
      <c r="D394" s="112" t="s">
        <v>23</v>
      </c>
      <c r="E394" s="112" t="s">
        <v>919</v>
      </c>
      <c r="F394" s="113" t="s">
        <v>81</v>
      </c>
      <c r="G394" s="112" t="s">
        <v>82</v>
      </c>
      <c r="H394" s="112" t="s">
        <v>398</v>
      </c>
      <c r="I394" s="114" t="n">
        <v>1</v>
      </c>
      <c r="J394" s="114" t="n">
        <v>0</v>
      </c>
      <c r="K394" s="112"/>
      <c r="L394" s="112"/>
    </row>
    <row r="395" customFormat="false" ht="15" hidden="false" customHeight="false" outlineLevel="0" collapsed="false">
      <c r="A395" s="112" t="s">
        <v>920</v>
      </c>
      <c r="B395" s="112" t="s">
        <v>721</v>
      </c>
      <c r="C395" s="112" t="s">
        <v>921</v>
      </c>
      <c r="D395" s="112" t="s">
        <v>20</v>
      </c>
      <c r="E395" s="112" t="s">
        <v>922</v>
      </c>
      <c r="F395" s="113" t="s">
        <v>73</v>
      </c>
      <c r="G395" s="112" t="s">
        <v>74</v>
      </c>
      <c r="H395" s="112" t="s">
        <v>398</v>
      </c>
      <c r="I395" s="114" t="n">
        <v>1</v>
      </c>
      <c r="J395" s="114" t="n">
        <v>1</v>
      </c>
      <c r="K395" s="112"/>
      <c r="L395" s="112"/>
    </row>
    <row r="396" customFormat="false" ht="15" hidden="false" customHeight="false" outlineLevel="0" collapsed="false">
      <c r="A396" s="112" t="s">
        <v>923</v>
      </c>
      <c r="B396" s="112" t="s">
        <v>721</v>
      </c>
      <c r="C396" s="112" t="s">
        <v>921</v>
      </c>
      <c r="D396" s="112" t="s">
        <v>20</v>
      </c>
      <c r="E396" s="112" t="s">
        <v>924</v>
      </c>
      <c r="F396" s="113" t="s">
        <v>73</v>
      </c>
      <c r="G396" s="112" t="s">
        <v>74</v>
      </c>
      <c r="H396" s="112" t="s">
        <v>398</v>
      </c>
      <c r="I396" s="114" t="n">
        <v>0</v>
      </c>
      <c r="J396" s="114" t="n">
        <v>1</v>
      </c>
      <c r="K396" s="112" t="s">
        <v>401</v>
      </c>
      <c r="L396" s="112"/>
    </row>
    <row r="397" customFormat="false" ht="15" hidden="false" customHeight="false" outlineLevel="0" collapsed="false">
      <c r="A397" s="112" t="s">
        <v>925</v>
      </c>
      <c r="B397" s="112" t="s">
        <v>721</v>
      </c>
      <c r="C397" s="112" t="s">
        <v>921</v>
      </c>
      <c r="D397" s="112" t="s">
        <v>20</v>
      </c>
      <c r="E397" s="112" t="s">
        <v>926</v>
      </c>
      <c r="F397" s="113" t="s">
        <v>73</v>
      </c>
      <c r="G397" s="112" t="s">
        <v>74</v>
      </c>
      <c r="H397" s="112" t="s">
        <v>398</v>
      </c>
      <c r="I397" s="114" t="n">
        <v>0</v>
      </c>
      <c r="J397" s="114" t="n">
        <v>1</v>
      </c>
      <c r="K397" s="112" t="s">
        <v>401</v>
      </c>
      <c r="L397" s="112"/>
    </row>
    <row r="398" customFormat="false" ht="15" hidden="false" customHeight="false" outlineLevel="0" collapsed="false">
      <c r="A398" s="112" t="s">
        <v>927</v>
      </c>
      <c r="B398" s="112" t="s">
        <v>721</v>
      </c>
      <c r="C398" s="112" t="s">
        <v>921</v>
      </c>
      <c r="D398" s="112" t="s">
        <v>20</v>
      </c>
      <c r="E398" s="112" t="s">
        <v>928</v>
      </c>
      <c r="F398" s="113" t="s">
        <v>73</v>
      </c>
      <c r="G398" s="112" t="s">
        <v>74</v>
      </c>
      <c r="H398" s="112" t="s">
        <v>398</v>
      </c>
      <c r="I398" s="114" t="n">
        <v>0</v>
      </c>
      <c r="J398" s="114" t="n">
        <v>1</v>
      </c>
      <c r="K398" s="112" t="s">
        <v>401</v>
      </c>
      <c r="L398" s="112"/>
    </row>
    <row r="399" customFormat="false" ht="15" hidden="false" customHeight="false" outlineLevel="0" collapsed="false">
      <c r="A399" s="112" t="s">
        <v>929</v>
      </c>
      <c r="B399" s="112" t="s">
        <v>721</v>
      </c>
      <c r="C399" s="112" t="s">
        <v>921</v>
      </c>
      <c r="D399" s="112" t="s">
        <v>20</v>
      </c>
      <c r="E399" s="112" t="s">
        <v>930</v>
      </c>
      <c r="F399" s="113" t="s">
        <v>73</v>
      </c>
      <c r="G399" s="112" t="s">
        <v>74</v>
      </c>
      <c r="H399" s="112" t="s">
        <v>398</v>
      </c>
      <c r="I399" s="114" t="n">
        <v>0</v>
      </c>
      <c r="J399" s="114" t="n">
        <v>1</v>
      </c>
      <c r="K399" s="112" t="s">
        <v>401</v>
      </c>
      <c r="L399" s="112"/>
    </row>
    <row r="400" customFormat="false" ht="15" hidden="false" customHeight="false" outlineLevel="0" collapsed="false">
      <c r="A400" s="112" t="s">
        <v>931</v>
      </c>
      <c r="B400" s="112" t="s">
        <v>721</v>
      </c>
      <c r="C400" s="112" t="s">
        <v>921</v>
      </c>
      <c r="D400" s="112" t="s">
        <v>20</v>
      </c>
      <c r="E400" s="112" t="s">
        <v>932</v>
      </c>
      <c r="F400" s="113" t="s">
        <v>73</v>
      </c>
      <c r="G400" s="112" t="s">
        <v>74</v>
      </c>
      <c r="H400" s="112" t="s">
        <v>398</v>
      </c>
      <c r="I400" s="114" t="n">
        <v>0</v>
      </c>
      <c r="J400" s="114" t="n">
        <v>1</v>
      </c>
      <c r="K400" s="112" t="s">
        <v>401</v>
      </c>
      <c r="L400" s="112"/>
    </row>
    <row r="401" customFormat="false" ht="15" hidden="false" customHeight="false" outlineLevel="0" collapsed="false">
      <c r="A401" s="112" t="s">
        <v>933</v>
      </c>
      <c r="B401" s="112" t="s">
        <v>721</v>
      </c>
      <c r="C401" s="112" t="s">
        <v>921</v>
      </c>
      <c r="D401" s="112" t="s">
        <v>20</v>
      </c>
      <c r="E401" s="112" t="s">
        <v>934</v>
      </c>
      <c r="F401" s="113" t="s">
        <v>73</v>
      </c>
      <c r="G401" s="112" t="s">
        <v>74</v>
      </c>
      <c r="H401" s="112" t="s">
        <v>398</v>
      </c>
      <c r="I401" s="114" t="n">
        <v>1</v>
      </c>
      <c r="J401" s="114" t="n">
        <v>0</v>
      </c>
      <c r="K401" s="112"/>
      <c r="L401" s="112"/>
    </row>
    <row r="402" customFormat="false" ht="15" hidden="false" customHeight="false" outlineLevel="0" collapsed="false">
      <c r="A402" s="112" t="s">
        <v>935</v>
      </c>
      <c r="B402" s="112" t="s">
        <v>721</v>
      </c>
      <c r="C402" s="112" t="s">
        <v>921</v>
      </c>
      <c r="D402" s="112" t="s">
        <v>20</v>
      </c>
      <c r="E402" s="112" t="s">
        <v>936</v>
      </c>
      <c r="F402" s="113" t="s">
        <v>73</v>
      </c>
      <c r="G402" s="112" t="s">
        <v>74</v>
      </c>
      <c r="H402" s="112" t="s">
        <v>398</v>
      </c>
      <c r="I402" s="114" t="n">
        <v>1</v>
      </c>
      <c r="J402" s="114" t="n">
        <v>0</v>
      </c>
      <c r="K402" s="112"/>
      <c r="L402" s="112"/>
    </row>
    <row r="403" customFormat="false" ht="15" hidden="false" customHeight="false" outlineLevel="0" collapsed="false">
      <c r="A403" s="112" t="s">
        <v>937</v>
      </c>
      <c r="B403" s="112" t="s">
        <v>721</v>
      </c>
      <c r="C403" s="112" t="s">
        <v>921</v>
      </c>
      <c r="D403" s="112" t="s">
        <v>20</v>
      </c>
      <c r="E403" s="112" t="s">
        <v>938</v>
      </c>
      <c r="F403" s="113" t="s">
        <v>73</v>
      </c>
      <c r="G403" s="112" t="s">
        <v>74</v>
      </c>
      <c r="H403" s="112" t="s">
        <v>398</v>
      </c>
      <c r="I403" s="114" t="n">
        <v>1</v>
      </c>
      <c r="J403" s="114" t="n">
        <v>0</v>
      </c>
      <c r="K403" s="112"/>
      <c r="L403" s="112"/>
    </row>
    <row r="404" customFormat="false" ht="15" hidden="false" customHeight="false" outlineLevel="0" collapsed="false">
      <c r="A404" s="112" t="s">
        <v>939</v>
      </c>
      <c r="B404" s="112" t="s">
        <v>721</v>
      </c>
      <c r="C404" s="112" t="s">
        <v>921</v>
      </c>
      <c r="D404" s="112" t="s">
        <v>20</v>
      </c>
      <c r="E404" s="112" t="s">
        <v>940</v>
      </c>
      <c r="F404" s="113" t="s">
        <v>73</v>
      </c>
      <c r="G404" s="112" t="s">
        <v>74</v>
      </c>
      <c r="H404" s="112" t="s">
        <v>398</v>
      </c>
      <c r="I404" s="114" t="n">
        <v>1</v>
      </c>
      <c r="J404" s="114" t="n">
        <v>0</v>
      </c>
      <c r="K404" s="112"/>
      <c r="L404" s="112"/>
    </row>
    <row r="405" customFormat="false" ht="15" hidden="false" customHeight="false" outlineLevel="0" collapsed="false">
      <c r="A405" s="112" t="s">
        <v>941</v>
      </c>
      <c r="B405" s="112" t="s">
        <v>721</v>
      </c>
      <c r="C405" s="112" t="s">
        <v>921</v>
      </c>
      <c r="D405" s="112" t="s">
        <v>20</v>
      </c>
      <c r="E405" s="112" t="s">
        <v>942</v>
      </c>
      <c r="F405" s="113" t="s">
        <v>73</v>
      </c>
      <c r="G405" s="112" t="s">
        <v>74</v>
      </c>
      <c r="H405" s="112" t="s">
        <v>398</v>
      </c>
      <c r="I405" s="114" t="n">
        <v>1</v>
      </c>
      <c r="J405" s="114" t="n">
        <v>0</v>
      </c>
      <c r="K405" s="112"/>
      <c r="L405" s="112"/>
    </row>
    <row r="406" customFormat="false" ht="15" hidden="false" customHeight="false" outlineLevel="0" collapsed="false">
      <c r="A406" s="112" t="s">
        <v>943</v>
      </c>
      <c r="B406" s="112" t="s">
        <v>721</v>
      </c>
      <c r="C406" s="112" t="s">
        <v>921</v>
      </c>
      <c r="D406" s="112" t="s">
        <v>20</v>
      </c>
      <c r="E406" s="112" t="s">
        <v>944</v>
      </c>
      <c r="F406" s="113" t="s">
        <v>73</v>
      </c>
      <c r="G406" s="112" t="s">
        <v>74</v>
      </c>
      <c r="H406" s="112" t="s">
        <v>398</v>
      </c>
      <c r="I406" s="114" t="n">
        <v>1</v>
      </c>
      <c r="J406" s="114" t="n">
        <v>0</v>
      </c>
      <c r="K406" s="112"/>
      <c r="L406" s="112"/>
    </row>
    <row r="407" customFormat="false" ht="15" hidden="false" customHeight="false" outlineLevel="0" collapsed="false">
      <c r="A407" s="112" t="s">
        <v>945</v>
      </c>
      <c r="B407" s="112" t="s">
        <v>721</v>
      </c>
      <c r="C407" s="112" t="s">
        <v>921</v>
      </c>
      <c r="D407" s="112" t="s">
        <v>20</v>
      </c>
      <c r="E407" s="112" t="s">
        <v>946</v>
      </c>
      <c r="F407" s="113" t="s">
        <v>73</v>
      </c>
      <c r="G407" s="112" t="s">
        <v>74</v>
      </c>
      <c r="H407" s="112" t="s">
        <v>398</v>
      </c>
      <c r="I407" s="114" t="n">
        <v>1</v>
      </c>
      <c r="J407" s="114" t="n">
        <v>0</v>
      </c>
      <c r="K407" s="112"/>
      <c r="L407" s="112"/>
    </row>
    <row r="408" customFormat="false" ht="15" hidden="false" customHeight="false" outlineLevel="0" collapsed="false">
      <c r="A408" s="112" t="s">
        <v>947</v>
      </c>
      <c r="B408" s="112" t="s">
        <v>721</v>
      </c>
      <c r="C408" s="112" t="s">
        <v>921</v>
      </c>
      <c r="D408" s="112" t="s">
        <v>20</v>
      </c>
      <c r="E408" s="112" t="s">
        <v>948</v>
      </c>
      <c r="F408" s="113" t="s">
        <v>73</v>
      </c>
      <c r="G408" s="112" t="s">
        <v>74</v>
      </c>
      <c r="H408" s="112" t="s">
        <v>398</v>
      </c>
      <c r="I408" s="114" t="n">
        <v>1</v>
      </c>
      <c r="J408" s="114" t="n">
        <v>0</v>
      </c>
      <c r="K408" s="112"/>
      <c r="L408" s="112"/>
    </row>
    <row r="409" customFormat="false" ht="15" hidden="false" customHeight="false" outlineLevel="0" collapsed="false">
      <c r="A409" s="112" t="s">
        <v>949</v>
      </c>
      <c r="B409" s="112" t="s">
        <v>721</v>
      </c>
      <c r="C409" s="112" t="s">
        <v>921</v>
      </c>
      <c r="D409" s="112" t="s">
        <v>20</v>
      </c>
      <c r="E409" s="112" t="s">
        <v>950</v>
      </c>
      <c r="F409" s="113" t="s">
        <v>73</v>
      </c>
      <c r="G409" s="112" t="s">
        <v>74</v>
      </c>
      <c r="H409" s="112" t="s">
        <v>398</v>
      </c>
      <c r="I409" s="114" t="n">
        <v>1</v>
      </c>
      <c r="J409" s="114" t="n">
        <v>1</v>
      </c>
      <c r="K409" s="112"/>
      <c r="L409" s="112"/>
    </row>
    <row r="410" customFormat="false" ht="15" hidden="false" customHeight="false" outlineLevel="0" collapsed="false">
      <c r="A410" s="112" t="s">
        <v>951</v>
      </c>
      <c r="B410" s="112" t="s">
        <v>721</v>
      </c>
      <c r="C410" s="112" t="s">
        <v>921</v>
      </c>
      <c r="D410" s="112" t="s">
        <v>20</v>
      </c>
      <c r="E410" s="112" t="s">
        <v>952</v>
      </c>
      <c r="F410" s="113" t="s">
        <v>73</v>
      </c>
      <c r="G410" s="112" t="s">
        <v>74</v>
      </c>
      <c r="H410" s="112" t="s">
        <v>398</v>
      </c>
      <c r="I410" s="114" t="n">
        <v>1</v>
      </c>
      <c r="J410" s="114" t="n">
        <v>0</v>
      </c>
      <c r="K410" s="112"/>
      <c r="L410" s="112"/>
    </row>
    <row r="411" customFormat="false" ht="15" hidden="false" customHeight="false" outlineLevel="0" collapsed="false">
      <c r="A411" s="112" t="s">
        <v>953</v>
      </c>
      <c r="B411" s="112" t="s">
        <v>721</v>
      </c>
      <c r="C411" s="112" t="s">
        <v>921</v>
      </c>
      <c r="D411" s="112" t="s">
        <v>20</v>
      </c>
      <c r="E411" s="112" t="s">
        <v>954</v>
      </c>
      <c r="F411" s="113" t="s">
        <v>73</v>
      </c>
      <c r="G411" s="112" t="s">
        <v>74</v>
      </c>
      <c r="H411" s="112" t="s">
        <v>398</v>
      </c>
      <c r="I411" s="114" t="n">
        <v>0</v>
      </c>
      <c r="J411" s="114" t="n">
        <v>1</v>
      </c>
      <c r="K411" s="112" t="s">
        <v>401</v>
      </c>
      <c r="L411" s="112"/>
    </row>
    <row r="412" customFormat="false" ht="15" hidden="false" customHeight="false" outlineLevel="0" collapsed="false">
      <c r="A412" s="112" t="s">
        <v>955</v>
      </c>
      <c r="B412" s="112" t="s">
        <v>721</v>
      </c>
      <c r="C412" s="112" t="s">
        <v>921</v>
      </c>
      <c r="D412" s="112" t="s">
        <v>20</v>
      </c>
      <c r="E412" s="112" t="s">
        <v>956</v>
      </c>
      <c r="F412" s="113" t="s">
        <v>95</v>
      </c>
      <c r="G412" s="112" t="s">
        <v>96</v>
      </c>
      <c r="H412" s="112" t="s">
        <v>398</v>
      </c>
      <c r="I412" s="114" t="n">
        <v>1</v>
      </c>
      <c r="J412" s="114" t="n">
        <v>0</v>
      </c>
      <c r="K412" s="112"/>
      <c r="L412" s="112"/>
    </row>
    <row r="413" customFormat="false" ht="15" hidden="false" customHeight="false" outlineLevel="0" collapsed="false">
      <c r="A413" s="112" t="s">
        <v>957</v>
      </c>
      <c r="B413" s="112" t="s">
        <v>721</v>
      </c>
      <c r="C413" s="112" t="s">
        <v>921</v>
      </c>
      <c r="D413" s="112" t="s">
        <v>20</v>
      </c>
      <c r="E413" s="112" t="s">
        <v>958</v>
      </c>
      <c r="F413" s="113" t="s">
        <v>95</v>
      </c>
      <c r="G413" s="112" t="s">
        <v>96</v>
      </c>
      <c r="H413" s="112" t="s">
        <v>398</v>
      </c>
      <c r="I413" s="114" t="n">
        <v>1</v>
      </c>
      <c r="J413" s="114" t="n">
        <v>0</v>
      </c>
      <c r="K413" s="112"/>
      <c r="L413" s="112"/>
    </row>
    <row r="414" customFormat="false" ht="15" hidden="false" customHeight="false" outlineLevel="0" collapsed="false">
      <c r="A414" s="112" t="s">
        <v>959</v>
      </c>
      <c r="B414" s="112" t="s">
        <v>721</v>
      </c>
      <c r="C414" s="112" t="s">
        <v>921</v>
      </c>
      <c r="D414" s="112" t="s">
        <v>20</v>
      </c>
      <c r="E414" s="112" t="s">
        <v>960</v>
      </c>
      <c r="F414" s="113" t="s">
        <v>95</v>
      </c>
      <c r="G414" s="112" t="s">
        <v>96</v>
      </c>
      <c r="H414" s="112" t="s">
        <v>398</v>
      </c>
      <c r="I414" s="114" t="n">
        <v>1</v>
      </c>
      <c r="J414" s="114" t="n">
        <v>0</v>
      </c>
      <c r="K414" s="112"/>
      <c r="L414" s="112"/>
    </row>
    <row r="415" customFormat="false" ht="15" hidden="false" customHeight="false" outlineLevel="0" collapsed="false">
      <c r="A415" s="112" t="s">
        <v>961</v>
      </c>
      <c r="B415" s="112" t="s">
        <v>721</v>
      </c>
      <c r="C415" s="112" t="s">
        <v>921</v>
      </c>
      <c r="D415" s="112" t="s">
        <v>20</v>
      </c>
      <c r="E415" s="112" t="s">
        <v>962</v>
      </c>
      <c r="F415" s="113" t="s">
        <v>95</v>
      </c>
      <c r="G415" s="112" t="s">
        <v>96</v>
      </c>
      <c r="H415" s="112" t="s">
        <v>398</v>
      </c>
      <c r="I415" s="114" t="n">
        <v>1</v>
      </c>
      <c r="J415" s="114" t="n">
        <v>0</v>
      </c>
      <c r="K415" s="112"/>
      <c r="L415" s="112"/>
    </row>
    <row r="416" customFormat="false" ht="15" hidden="false" customHeight="false" outlineLevel="0" collapsed="false">
      <c r="A416" s="112" t="s">
        <v>963</v>
      </c>
      <c r="B416" s="112" t="s">
        <v>721</v>
      </c>
      <c r="C416" s="112" t="s">
        <v>964</v>
      </c>
      <c r="D416" s="112" t="s">
        <v>21</v>
      </c>
      <c r="E416" s="112" t="s">
        <v>965</v>
      </c>
      <c r="F416" s="113" t="s">
        <v>81</v>
      </c>
      <c r="G416" s="112" t="s">
        <v>82</v>
      </c>
      <c r="H416" s="112" t="s">
        <v>398</v>
      </c>
      <c r="I416" s="114" t="n">
        <v>1</v>
      </c>
      <c r="J416" s="114" t="n">
        <v>0</v>
      </c>
      <c r="K416" s="112"/>
      <c r="L416" s="112"/>
    </row>
    <row r="417" customFormat="false" ht="15" hidden="false" customHeight="false" outlineLevel="0" collapsed="false">
      <c r="A417" s="112" t="s">
        <v>966</v>
      </c>
      <c r="B417" s="112" t="s">
        <v>721</v>
      </c>
      <c r="C417" s="112" t="s">
        <v>964</v>
      </c>
      <c r="D417" s="112" t="s">
        <v>21</v>
      </c>
      <c r="E417" s="112" t="s">
        <v>967</v>
      </c>
      <c r="F417" s="113" t="s">
        <v>81</v>
      </c>
      <c r="G417" s="112" t="s">
        <v>82</v>
      </c>
      <c r="H417" s="112" t="s">
        <v>398</v>
      </c>
      <c r="I417" s="114" t="n">
        <v>1</v>
      </c>
      <c r="J417" s="114" t="n">
        <v>0</v>
      </c>
      <c r="K417" s="112"/>
      <c r="L417" s="112"/>
    </row>
    <row r="418" customFormat="false" ht="15" hidden="false" customHeight="false" outlineLevel="0" collapsed="false">
      <c r="A418" s="112" t="s">
        <v>968</v>
      </c>
      <c r="B418" s="112" t="s">
        <v>721</v>
      </c>
      <c r="C418" s="112" t="s">
        <v>964</v>
      </c>
      <c r="D418" s="112" t="s">
        <v>21</v>
      </c>
      <c r="E418" s="112" t="s">
        <v>318</v>
      </c>
      <c r="F418" s="113" t="s">
        <v>63</v>
      </c>
      <c r="G418" s="112" t="s">
        <v>64</v>
      </c>
      <c r="H418" s="112" t="s">
        <v>398</v>
      </c>
      <c r="I418" s="114" t="n">
        <v>0</v>
      </c>
      <c r="J418" s="114" t="n">
        <v>1</v>
      </c>
      <c r="K418" s="112" t="s">
        <v>401</v>
      </c>
      <c r="L418" s="112"/>
    </row>
    <row r="419" customFormat="false" ht="15" hidden="false" customHeight="false" outlineLevel="0" collapsed="false">
      <c r="A419" s="112" t="s">
        <v>969</v>
      </c>
      <c r="B419" s="112" t="s">
        <v>721</v>
      </c>
      <c r="C419" s="112" t="s">
        <v>964</v>
      </c>
      <c r="D419" s="112" t="s">
        <v>21</v>
      </c>
      <c r="E419" s="112" t="s">
        <v>325</v>
      </c>
      <c r="F419" s="113" t="s">
        <v>63</v>
      </c>
      <c r="G419" s="112" t="s">
        <v>64</v>
      </c>
      <c r="H419" s="112" t="s">
        <v>398</v>
      </c>
      <c r="I419" s="114" t="n">
        <v>1</v>
      </c>
      <c r="J419" s="114" t="n">
        <v>0</v>
      </c>
      <c r="K419" s="112"/>
      <c r="L419" s="112"/>
    </row>
    <row r="420" customFormat="false" ht="15" hidden="false" customHeight="false" outlineLevel="0" collapsed="false">
      <c r="A420" s="112" t="s">
        <v>970</v>
      </c>
      <c r="B420" s="112" t="s">
        <v>721</v>
      </c>
      <c r="C420" s="112" t="s">
        <v>964</v>
      </c>
      <c r="D420" s="112" t="s">
        <v>21</v>
      </c>
      <c r="E420" s="112" t="s">
        <v>971</v>
      </c>
      <c r="F420" s="113" t="s">
        <v>73</v>
      </c>
      <c r="G420" s="112" t="s">
        <v>74</v>
      </c>
      <c r="H420" s="112" t="s">
        <v>398</v>
      </c>
      <c r="I420" s="114" t="n">
        <v>1</v>
      </c>
      <c r="J420" s="114" t="n">
        <v>0</v>
      </c>
      <c r="K420" s="112"/>
      <c r="L420" s="112"/>
    </row>
    <row r="421" customFormat="false" ht="15" hidden="false" customHeight="false" outlineLevel="0" collapsed="false">
      <c r="A421" s="112" t="s">
        <v>972</v>
      </c>
      <c r="B421" s="112" t="s">
        <v>721</v>
      </c>
      <c r="C421" s="112" t="s">
        <v>964</v>
      </c>
      <c r="D421" s="112" t="s">
        <v>21</v>
      </c>
      <c r="E421" s="112" t="s">
        <v>973</v>
      </c>
      <c r="F421" s="113" t="s">
        <v>73</v>
      </c>
      <c r="G421" s="112" t="s">
        <v>74</v>
      </c>
      <c r="H421" s="112" t="s">
        <v>398</v>
      </c>
      <c r="I421" s="114" t="n">
        <v>1</v>
      </c>
      <c r="J421" s="114" t="n">
        <v>0</v>
      </c>
      <c r="K421" s="112"/>
      <c r="L421" s="112"/>
    </row>
    <row r="422" customFormat="false" ht="15" hidden="false" customHeight="false" outlineLevel="0" collapsed="false">
      <c r="A422" s="112" t="s">
        <v>974</v>
      </c>
      <c r="B422" s="112" t="s">
        <v>721</v>
      </c>
      <c r="C422" s="112" t="s">
        <v>18</v>
      </c>
      <c r="D422" s="112" t="s">
        <v>18</v>
      </c>
      <c r="E422" s="112" t="s">
        <v>975</v>
      </c>
      <c r="F422" s="113" t="s">
        <v>73</v>
      </c>
      <c r="G422" s="112" t="s">
        <v>74</v>
      </c>
      <c r="H422" s="112" t="s">
        <v>398</v>
      </c>
      <c r="I422" s="114" t="n">
        <v>1</v>
      </c>
      <c r="J422" s="114" t="n">
        <v>0</v>
      </c>
      <c r="K422" s="112"/>
      <c r="L422" s="112"/>
    </row>
    <row r="423" customFormat="false" ht="15" hidden="false" customHeight="false" outlineLevel="0" collapsed="false">
      <c r="A423" s="112" t="s">
        <v>976</v>
      </c>
      <c r="B423" s="112" t="s">
        <v>721</v>
      </c>
      <c r="C423" s="112" t="s">
        <v>18</v>
      </c>
      <c r="D423" s="112" t="s">
        <v>18</v>
      </c>
      <c r="E423" s="112" t="s">
        <v>977</v>
      </c>
      <c r="F423" s="113" t="s">
        <v>73</v>
      </c>
      <c r="G423" s="112" t="s">
        <v>74</v>
      </c>
      <c r="H423" s="112" t="s">
        <v>398</v>
      </c>
      <c r="I423" s="114" t="n">
        <v>0</v>
      </c>
      <c r="J423" s="114" t="n">
        <v>1</v>
      </c>
      <c r="K423" s="112" t="s">
        <v>401</v>
      </c>
      <c r="L423" s="112"/>
    </row>
    <row r="424" customFormat="false" ht="15" hidden="false" customHeight="false" outlineLevel="0" collapsed="false">
      <c r="A424" s="112" t="s">
        <v>978</v>
      </c>
      <c r="B424" s="112" t="s">
        <v>721</v>
      </c>
      <c r="C424" s="112" t="s">
        <v>18</v>
      </c>
      <c r="D424" s="112" t="s">
        <v>18</v>
      </c>
      <c r="E424" s="112" t="s">
        <v>979</v>
      </c>
      <c r="F424" s="113" t="s">
        <v>73</v>
      </c>
      <c r="G424" s="112" t="s">
        <v>74</v>
      </c>
      <c r="H424" s="112" t="s">
        <v>398</v>
      </c>
      <c r="I424" s="114" t="n">
        <v>1</v>
      </c>
      <c r="J424" s="114" t="n">
        <v>0</v>
      </c>
      <c r="K424" s="112"/>
      <c r="L424" s="112"/>
    </row>
    <row r="425" customFormat="false" ht="15" hidden="false" customHeight="false" outlineLevel="0" collapsed="false">
      <c r="A425" s="112" t="s">
        <v>980</v>
      </c>
      <c r="B425" s="112" t="s">
        <v>721</v>
      </c>
      <c r="C425" s="112" t="s">
        <v>18</v>
      </c>
      <c r="D425" s="112" t="s">
        <v>18</v>
      </c>
      <c r="E425" s="112" t="s">
        <v>981</v>
      </c>
      <c r="F425" s="113" t="s">
        <v>73</v>
      </c>
      <c r="G425" s="112" t="s">
        <v>74</v>
      </c>
      <c r="H425" s="112" t="s">
        <v>398</v>
      </c>
      <c r="I425" s="114" t="n">
        <v>1</v>
      </c>
      <c r="J425" s="114" t="n">
        <v>0</v>
      </c>
      <c r="K425" s="112"/>
      <c r="L425" s="112"/>
    </row>
    <row r="426" customFormat="false" ht="15" hidden="false" customHeight="false" outlineLevel="0" collapsed="false">
      <c r="A426" s="112" t="s">
        <v>982</v>
      </c>
      <c r="B426" s="112" t="s">
        <v>721</v>
      </c>
      <c r="C426" s="112" t="s">
        <v>18</v>
      </c>
      <c r="D426" s="112" t="s">
        <v>18</v>
      </c>
      <c r="E426" s="112" t="s">
        <v>983</v>
      </c>
      <c r="F426" s="113" t="s">
        <v>73</v>
      </c>
      <c r="G426" s="112" t="s">
        <v>74</v>
      </c>
      <c r="H426" s="112" t="s">
        <v>398</v>
      </c>
      <c r="I426" s="114" t="n">
        <v>1</v>
      </c>
      <c r="J426" s="114" t="n">
        <v>0</v>
      </c>
      <c r="K426" s="112"/>
      <c r="L426" s="112"/>
    </row>
    <row r="427" customFormat="false" ht="15" hidden="false" customHeight="false" outlineLevel="0" collapsed="false">
      <c r="A427" s="112" t="s">
        <v>984</v>
      </c>
      <c r="B427" s="112" t="s">
        <v>721</v>
      </c>
      <c r="C427" s="112" t="s">
        <v>18</v>
      </c>
      <c r="D427" s="112" t="s">
        <v>18</v>
      </c>
      <c r="E427" s="112" t="s">
        <v>985</v>
      </c>
      <c r="F427" s="113" t="s">
        <v>73</v>
      </c>
      <c r="G427" s="112" t="s">
        <v>74</v>
      </c>
      <c r="H427" s="112" t="s">
        <v>398</v>
      </c>
      <c r="I427" s="114" t="n">
        <v>1</v>
      </c>
      <c r="J427" s="114" t="n">
        <v>0</v>
      </c>
      <c r="K427" s="112"/>
      <c r="L427" s="112"/>
    </row>
    <row r="428" customFormat="false" ht="15" hidden="false" customHeight="false" outlineLevel="0" collapsed="false">
      <c r="A428" s="112" t="s">
        <v>986</v>
      </c>
      <c r="B428" s="112" t="s">
        <v>721</v>
      </c>
      <c r="C428" s="112" t="s">
        <v>18</v>
      </c>
      <c r="D428" s="112" t="s">
        <v>18</v>
      </c>
      <c r="E428" s="112" t="s">
        <v>987</v>
      </c>
      <c r="F428" s="113" t="s">
        <v>73</v>
      </c>
      <c r="G428" s="112" t="s">
        <v>74</v>
      </c>
      <c r="H428" s="112" t="s">
        <v>398</v>
      </c>
      <c r="I428" s="114" t="n">
        <v>0</v>
      </c>
      <c r="J428" s="114" t="n">
        <v>1</v>
      </c>
      <c r="K428" s="112" t="s">
        <v>401</v>
      </c>
      <c r="L428" s="112"/>
    </row>
    <row r="429" customFormat="false" ht="15" hidden="false" customHeight="false" outlineLevel="0" collapsed="false">
      <c r="A429" s="112" t="s">
        <v>988</v>
      </c>
      <c r="B429" s="112" t="s">
        <v>721</v>
      </c>
      <c r="C429" s="112" t="s">
        <v>989</v>
      </c>
      <c r="D429" s="112" t="s">
        <v>18</v>
      </c>
      <c r="E429" s="112" t="s">
        <v>990</v>
      </c>
      <c r="F429" s="113" t="s">
        <v>81</v>
      </c>
      <c r="G429" s="112" t="s">
        <v>82</v>
      </c>
      <c r="H429" s="112" t="s">
        <v>398</v>
      </c>
      <c r="I429" s="114" t="n">
        <v>1</v>
      </c>
      <c r="J429" s="114" t="n">
        <v>0</v>
      </c>
      <c r="K429" s="112"/>
      <c r="L429" s="112"/>
    </row>
    <row r="430" customFormat="false" ht="15" hidden="false" customHeight="false" outlineLevel="0" collapsed="false">
      <c r="A430" s="112" t="s">
        <v>991</v>
      </c>
      <c r="B430" s="112" t="s">
        <v>721</v>
      </c>
      <c r="C430" s="112" t="s">
        <v>989</v>
      </c>
      <c r="D430" s="112" t="s">
        <v>18</v>
      </c>
      <c r="E430" s="112" t="s">
        <v>992</v>
      </c>
      <c r="F430" s="113" t="s">
        <v>81</v>
      </c>
      <c r="G430" s="112" t="s">
        <v>82</v>
      </c>
      <c r="H430" s="112" t="s">
        <v>398</v>
      </c>
      <c r="I430" s="114" t="n">
        <v>1</v>
      </c>
      <c r="J430" s="114" t="n">
        <v>0</v>
      </c>
      <c r="K430" s="112"/>
      <c r="L430" s="112"/>
    </row>
    <row r="431" customFormat="false" ht="15" hidden="false" customHeight="false" outlineLevel="0" collapsed="false">
      <c r="A431" s="112" t="s">
        <v>993</v>
      </c>
      <c r="B431" s="112" t="s">
        <v>721</v>
      </c>
      <c r="C431" s="112" t="s">
        <v>989</v>
      </c>
      <c r="D431" s="112" t="s">
        <v>18</v>
      </c>
      <c r="E431" s="112" t="s">
        <v>994</v>
      </c>
      <c r="F431" s="113" t="s">
        <v>81</v>
      </c>
      <c r="G431" s="112" t="s">
        <v>82</v>
      </c>
      <c r="H431" s="112" t="s">
        <v>398</v>
      </c>
      <c r="I431" s="114" t="n">
        <v>1</v>
      </c>
      <c r="J431" s="114" t="n">
        <v>0</v>
      </c>
      <c r="K431" s="112"/>
      <c r="L431" s="112"/>
    </row>
    <row r="432" customFormat="false" ht="15" hidden="false" customHeight="false" outlineLevel="0" collapsed="false">
      <c r="A432" s="112" t="s">
        <v>415</v>
      </c>
      <c r="B432" s="112" t="s">
        <v>721</v>
      </c>
      <c r="C432" s="112" t="s">
        <v>11</v>
      </c>
      <c r="D432" s="112" t="s">
        <v>11</v>
      </c>
      <c r="E432" s="112" t="s">
        <v>995</v>
      </c>
      <c r="F432" s="113" t="s">
        <v>73</v>
      </c>
      <c r="G432" s="112" t="s">
        <v>74</v>
      </c>
      <c r="H432" s="112" t="s">
        <v>398</v>
      </c>
      <c r="I432" s="114" t="n">
        <v>0</v>
      </c>
      <c r="J432" s="114" t="n">
        <v>1</v>
      </c>
      <c r="K432" s="112" t="s">
        <v>401</v>
      </c>
      <c r="L432" s="112"/>
    </row>
    <row r="433" customFormat="false" ht="15" hidden="false" customHeight="false" outlineLevel="0" collapsed="false">
      <c r="A433" s="112" t="s">
        <v>996</v>
      </c>
      <c r="B433" s="112" t="s">
        <v>721</v>
      </c>
      <c r="C433" s="112" t="s">
        <v>11</v>
      </c>
      <c r="D433" s="112" t="s">
        <v>11</v>
      </c>
      <c r="E433" s="112" t="s">
        <v>997</v>
      </c>
      <c r="F433" s="113" t="s">
        <v>73</v>
      </c>
      <c r="G433" s="112" t="s">
        <v>74</v>
      </c>
      <c r="H433" s="112" t="s">
        <v>398</v>
      </c>
      <c r="I433" s="114" t="n">
        <v>1</v>
      </c>
      <c r="J433" s="114" t="n">
        <v>0</v>
      </c>
      <c r="K433" s="112"/>
      <c r="L433" s="112"/>
    </row>
    <row r="434" customFormat="false" ht="15" hidden="false" customHeight="false" outlineLevel="0" collapsed="false">
      <c r="A434" s="112" t="s">
        <v>642</v>
      </c>
      <c r="B434" s="112" t="s">
        <v>721</v>
      </c>
      <c r="C434" s="112" t="s">
        <v>11</v>
      </c>
      <c r="D434" s="112" t="s">
        <v>11</v>
      </c>
      <c r="E434" s="112" t="s">
        <v>998</v>
      </c>
      <c r="F434" s="113" t="s">
        <v>73</v>
      </c>
      <c r="G434" s="112" t="s">
        <v>74</v>
      </c>
      <c r="H434" s="112" t="s">
        <v>398</v>
      </c>
      <c r="I434" s="114" t="n">
        <v>1</v>
      </c>
      <c r="J434" s="114" t="n">
        <v>0</v>
      </c>
      <c r="K434" s="112"/>
      <c r="L434" s="112"/>
    </row>
    <row r="435" customFormat="false" ht="15" hidden="false" customHeight="false" outlineLevel="0" collapsed="false">
      <c r="A435" s="112" t="s">
        <v>498</v>
      </c>
      <c r="B435" s="112" t="s">
        <v>721</v>
      </c>
      <c r="C435" s="112" t="s">
        <v>11</v>
      </c>
      <c r="D435" s="112" t="s">
        <v>11</v>
      </c>
      <c r="E435" s="112" t="s">
        <v>999</v>
      </c>
      <c r="F435" s="113" t="s">
        <v>73</v>
      </c>
      <c r="G435" s="112" t="s">
        <v>74</v>
      </c>
      <c r="H435" s="112" t="s">
        <v>398</v>
      </c>
      <c r="I435" s="114" t="n">
        <v>1</v>
      </c>
      <c r="J435" s="114" t="n">
        <v>0</v>
      </c>
      <c r="K435" s="112"/>
      <c r="L435" s="112"/>
    </row>
    <row r="436" customFormat="false" ht="15" hidden="false" customHeight="false" outlineLevel="0" collapsed="false">
      <c r="A436" s="112" t="s">
        <v>501</v>
      </c>
      <c r="B436" s="112" t="s">
        <v>721</v>
      </c>
      <c r="C436" s="112" t="s">
        <v>11</v>
      </c>
      <c r="D436" s="112" t="s">
        <v>11</v>
      </c>
      <c r="E436" s="112" t="s">
        <v>1000</v>
      </c>
      <c r="F436" s="113" t="s">
        <v>73</v>
      </c>
      <c r="G436" s="112" t="s">
        <v>74</v>
      </c>
      <c r="H436" s="112" t="s">
        <v>398</v>
      </c>
      <c r="I436" s="114" t="n">
        <v>1</v>
      </c>
      <c r="J436" s="114" t="n">
        <v>0</v>
      </c>
      <c r="K436" s="112"/>
      <c r="L436" s="112"/>
    </row>
    <row r="437" customFormat="false" ht="15" hidden="false" customHeight="false" outlineLevel="0" collapsed="false">
      <c r="A437" s="112" t="s">
        <v>503</v>
      </c>
      <c r="B437" s="112" t="s">
        <v>721</v>
      </c>
      <c r="C437" s="112" t="s">
        <v>11</v>
      </c>
      <c r="D437" s="112" t="s">
        <v>11</v>
      </c>
      <c r="E437" s="112" t="s">
        <v>1001</v>
      </c>
      <c r="F437" s="113" t="s">
        <v>73</v>
      </c>
      <c r="G437" s="112" t="s">
        <v>74</v>
      </c>
      <c r="H437" s="112" t="s">
        <v>398</v>
      </c>
      <c r="I437" s="114" t="n">
        <v>1</v>
      </c>
      <c r="J437" s="114" t="n">
        <v>0</v>
      </c>
      <c r="K437" s="112"/>
      <c r="L437" s="112"/>
    </row>
    <row r="438" customFormat="false" ht="15" hidden="false" customHeight="false" outlineLevel="0" collapsed="false">
      <c r="A438" s="112" t="s">
        <v>1002</v>
      </c>
      <c r="B438" s="112" t="s">
        <v>721</v>
      </c>
      <c r="C438" s="112" t="s">
        <v>11</v>
      </c>
      <c r="D438" s="112" t="s">
        <v>11</v>
      </c>
      <c r="E438" s="112" t="s">
        <v>1003</v>
      </c>
      <c r="F438" s="113" t="s">
        <v>73</v>
      </c>
      <c r="G438" s="112" t="s">
        <v>74</v>
      </c>
      <c r="H438" s="112" t="s">
        <v>398</v>
      </c>
      <c r="I438" s="114" t="n">
        <v>1</v>
      </c>
      <c r="J438" s="114" t="n">
        <v>0</v>
      </c>
      <c r="K438" s="112"/>
      <c r="L438" s="112"/>
    </row>
    <row r="439" customFormat="false" ht="15" hidden="false" customHeight="false" outlineLevel="0" collapsed="false">
      <c r="A439" s="112" t="s">
        <v>1004</v>
      </c>
      <c r="B439" s="112" t="s">
        <v>721</v>
      </c>
      <c r="C439" s="112" t="s">
        <v>11</v>
      </c>
      <c r="D439" s="112" t="s">
        <v>11</v>
      </c>
      <c r="E439" s="112" t="s">
        <v>1005</v>
      </c>
      <c r="F439" s="113" t="s">
        <v>73</v>
      </c>
      <c r="G439" s="112" t="s">
        <v>74</v>
      </c>
      <c r="H439" s="112" t="s">
        <v>398</v>
      </c>
      <c r="I439" s="114" t="n">
        <v>1</v>
      </c>
      <c r="J439" s="114" t="n">
        <v>0</v>
      </c>
      <c r="K439" s="112"/>
      <c r="L439" s="112"/>
    </row>
    <row r="440" customFormat="false" ht="15" hidden="false" customHeight="false" outlineLevel="0" collapsed="false">
      <c r="A440" s="112" t="s">
        <v>1006</v>
      </c>
      <c r="B440" s="112" t="s">
        <v>721</v>
      </c>
      <c r="C440" s="112" t="s">
        <v>11</v>
      </c>
      <c r="D440" s="112" t="s">
        <v>11</v>
      </c>
      <c r="E440" s="112" t="s">
        <v>1007</v>
      </c>
      <c r="F440" s="113" t="s">
        <v>73</v>
      </c>
      <c r="G440" s="112" t="s">
        <v>74</v>
      </c>
      <c r="H440" s="112" t="s">
        <v>398</v>
      </c>
      <c r="I440" s="114" t="n">
        <v>1</v>
      </c>
      <c r="J440" s="114" t="n">
        <v>0</v>
      </c>
      <c r="K440" s="112"/>
      <c r="L440" s="112"/>
    </row>
    <row r="441" customFormat="false" ht="15" hidden="false" customHeight="false" outlineLevel="0" collapsed="false">
      <c r="A441" s="112" t="s">
        <v>1008</v>
      </c>
      <c r="B441" s="112" t="s">
        <v>721</v>
      </c>
      <c r="C441" s="112" t="s">
        <v>11</v>
      </c>
      <c r="D441" s="112" t="s">
        <v>11</v>
      </c>
      <c r="E441" s="112" t="s">
        <v>1009</v>
      </c>
      <c r="F441" s="113" t="s">
        <v>73</v>
      </c>
      <c r="G441" s="112" t="s">
        <v>74</v>
      </c>
      <c r="H441" s="112" t="s">
        <v>398</v>
      </c>
      <c r="I441" s="114" t="n">
        <v>1</v>
      </c>
      <c r="J441" s="114" t="n">
        <v>0</v>
      </c>
      <c r="K441" s="112"/>
      <c r="L441" s="112"/>
    </row>
    <row r="442" customFormat="false" ht="15" hidden="false" customHeight="false" outlineLevel="0" collapsed="false">
      <c r="A442" s="112" t="s">
        <v>1010</v>
      </c>
      <c r="B442" s="112" t="s">
        <v>721</v>
      </c>
      <c r="C442" s="112" t="s">
        <v>11</v>
      </c>
      <c r="D442" s="112" t="s">
        <v>11</v>
      </c>
      <c r="E442" s="112" t="s">
        <v>1011</v>
      </c>
      <c r="F442" s="113" t="s">
        <v>73</v>
      </c>
      <c r="G442" s="112" t="s">
        <v>74</v>
      </c>
      <c r="H442" s="112" t="s">
        <v>398</v>
      </c>
      <c r="I442" s="114" t="n">
        <v>1</v>
      </c>
      <c r="J442" s="114" t="n">
        <v>0</v>
      </c>
      <c r="K442" s="112"/>
      <c r="L442" s="112"/>
    </row>
    <row r="443" customFormat="false" ht="15" hidden="false" customHeight="false" outlineLevel="0" collapsed="false">
      <c r="A443" s="112" t="s">
        <v>402</v>
      </c>
      <c r="B443" s="112" t="s">
        <v>721</v>
      </c>
      <c r="C443" s="112" t="s">
        <v>567</v>
      </c>
      <c r="D443" s="112" t="s">
        <v>10</v>
      </c>
      <c r="E443" s="112" t="s">
        <v>1012</v>
      </c>
      <c r="F443" s="113" t="s">
        <v>73</v>
      </c>
      <c r="G443" s="112" t="s">
        <v>74</v>
      </c>
      <c r="H443" s="112" t="s">
        <v>398</v>
      </c>
      <c r="I443" s="114" t="n">
        <v>1</v>
      </c>
      <c r="J443" s="114" t="n">
        <v>0</v>
      </c>
      <c r="K443" s="112"/>
      <c r="L443" s="112"/>
    </row>
    <row r="444" customFormat="false" ht="15" hidden="false" customHeight="false" outlineLevel="0" collapsed="false">
      <c r="A444" s="112" t="s">
        <v>405</v>
      </c>
      <c r="B444" s="112" t="s">
        <v>721</v>
      </c>
      <c r="C444" s="112" t="s">
        <v>567</v>
      </c>
      <c r="D444" s="112" t="s">
        <v>10</v>
      </c>
      <c r="E444" s="112" t="s">
        <v>1013</v>
      </c>
      <c r="F444" s="113" t="s">
        <v>91</v>
      </c>
      <c r="G444" s="112" t="s">
        <v>92</v>
      </c>
      <c r="H444" s="112" t="s">
        <v>398</v>
      </c>
      <c r="I444" s="114" t="n">
        <v>1</v>
      </c>
      <c r="J444" s="114" t="n">
        <v>0</v>
      </c>
      <c r="K444" s="112"/>
      <c r="L444" s="112"/>
    </row>
    <row r="445" customFormat="false" ht="15" hidden="false" customHeight="false" outlineLevel="0" collapsed="false">
      <c r="A445" s="112" t="s">
        <v>1014</v>
      </c>
      <c r="B445" s="112" t="s">
        <v>721</v>
      </c>
      <c r="C445" s="112" t="s">
        <v>1015</v>
      </c>
      <c r="D445" s="112" t="s">
        <v>28</v>
      </c>
      <c r="E445" s="112" t="s">
        <v>1016</v>
      </c>
      <c r="F445" s="113" t="s">
        <v>73</v>
      </c>
      <c r="G445" s="112" t="s">
        <v>74</v>
      </c>
      <c r="H445" s="112" t="s">
        <v>398</v>
      </c>
      <c r="I445" s="114" t="n">
        <v>1</v>
      </c>
      <c r="J445" s="114" t="n">
        <v>0</v>
      </c>
      <c r="K445" s="112"/>
      <c r="L445" s="112"/>
    </row>
    <row r="446" customFormat="false" ht="15" hidden="false" customHeight="false" outlineLevel="0" collapsed="false">
      <c r="A446" s="112" t="s">
        <v>1017</v>
      </c>
      <c r="B446" s="112" t="s">
        <v>721</v>
      </c>
      <c r="C446" s="112" t="s">
        <v>1015</v>
      </c>
      <c r="D446" s="112" t="s">
        <v>28</v>
      </c>
      <c r="E446" s="112" t="s">
        <v>1018</v>
      </c>
      <c r="F446" s="113" t="s">
        <v>73</v>
      </c>
      <c r="G446" s="112" t="s">
        <v>74</v>
      </c>
      <c r="H446" s="112" t="s">
        <v>398</v>
      </c>
      <c r="I446" s="114" t="n">
        <v>1</v>
      </c>
      <c r="J446" s="114" t="n">
        <v>0</v>
      </c>
      <c r="K446" s="112"/>
      <c r="L446" s="112"/>
    </row>
    <row r="447" customFormat="false" ht="15" hidden="false" customHeight="false" outlineLevel="0" collapsed="false">
      <c r="A447" s="112" t="s">
        <v>1019</v>
      </c>
      <c r="B447" s="112" t="s">
        <v>721</v>
      </c>
      <c r="C447" s="112" t="s">
        <v>1015</v>
      </c>
      <c r="D447" s="112" t="s">
        <v>28</v>
      </c>
      <c r="E447" s="112" t="s">
        <v>1020</v>
      </c>
      <c r="F447" s="113" t="s">
        <v>73</v>
      </c>
      <c r="G447" s="112" t="s">
        <v>74</v>
      </c>
      <c r="H447" s="112" t="s">
        <v>398</v>
      </c>
      <c r="I447" s="114" t="n">
        <v>1</v>
      </c>
      <c r="J447" s="114" t="n">
        <v>0</v>
      </c>
      <c r="K447" s="112"/>
      <c r="L447" s="112"/>
    </row>
    <row r="448" customFormat="false" ht="15" hidden="false" customHeight="false" outlineLevel="0" collapsed="false">
      <c r="A448" s="112" t="s">
        <v>516</v>
      </c>
      <c r="B448" s="112" t="s">
        <v>721</v>
      </c>
      <c r="C448" s="112" t="s">
        <v>1021</v>
      </c>
      <c r="D448" s="112" t="s">
        <v>12</v>
      </c>
      <c r="E448" s="112" t="s">
        <v>1022</v>
      </c>
      <c r="F448" s="113" t="s">
        <v>73</v>
      </c>
      <c r="G448" s="112" t="s">
        <v>74</v>
      </c>
      <c r="H448" s="112" t="s">
        <v>398</v>
      </c>
      <c r="I448" s="114" t="n">
        <v>1</v>
      </c>
      <c r="J448" s="114" t="n">
        <v>1</v>
      </c>
      <c r="K448" s="112"/>
      <c r="L448" s="112"/>
    </row>
    <row r="449" customFormat="false" ht="15" hidden="false" customHeight="false" outlineLevel="0" collapsed="false">
      <c r="A449" s="112" t="s">
        <v>1023</v>
      </c>
      <c r="B449" s="112" t="s">
        <v>721</v>
      </c>
      <c r="C449" s="112" t="s">
        <v>1021</v>
      </c>
      <c r="D449" s="112" t="s">
        <v>12</v>
      </c>
      <c r="E449" s="112" t="s">
        <v>1024</v>
      </c>
      <c r="F449" s="113" t="s">
        <v>73</v>
      </c>
      <c r="G449" s="112" t="s">
        <v>74</v>
      </c>
      <c r="H449" s="112" t="s">
        <v>398</v>
      </c>
      <c r="I449" s="114" t="n">
        <v>1</v>
      </c>
      <c r="J449" s="114" t="n">
        <v>1</v>
      </c>
      <c r="K449" s="112"/>
      <c r="L449" s="112"/>
    </row>
    <row r="450" customFormat="false" ht="15" hidden="false" customHeight="false" outlineLevel="0" collapsed="false">
      <c r="A450" s="112" t="s">
        <v>1025</v>
      </c>
      <c r="B450" s="112" t="s">
        <v>721</v>
      </c>
      <c r="C450" s="112" t="s">
        <v>1021</v>
      </c>
      <c r="D450" s="112" t="s">
        <v>12</v>
      </c>
      <c r="E450" s="112" t="s">
        <v>1026</v>
      </c>
      <c r="F450" s="113" t="s">
        <v>73</v>
      </c>
      <c r="G450" s="112" t="s">
        <v>74</v>
      </c>
      <c r="H450" s="112" t="s">
        <v>398</v>
      </c>
      <c r="I450" s="114" t="n">
        <v>1</v>
      </c>
      <c r="J450" s="114" t="n">
        <v>0</v>
      </c>
      <c r="K450" s="112"/>
      <c r="L450" s="112"/>
    </row>
    <row r="451" customFormat="false" ht="15" hidden="false" customHeight="false" outlineLevel="0" collapsed="false">
      <c r="A451" s="112" t="s">
        <v>1027</v>
      </c>
      <c r="B451" s="112" t="s">
        <v>721</v>
      </c>
      <c r="C451" s="112" t="s">
        <v>1021</v>
      </c>
      <c r="D451" s="112" t="s">
        <v>12</v>
      </c>
      <c r="E451" s="112" t="s">
        <v>1028</v>
      </c>
      <c r="F451" s="113" t="s">
        <v>73</v>
      </c>
      <c r="G451" s="112" t="s">
        <v>74</v>
      </c>
      <c r="H451" s="112" t="s">
        <v>398</v>
      </c>
      <c r="I451" s="114" t="n">
        <v>1</v>
      </c>
      <c r="J451" s="114" t="n">
        <v>0</v>
      </c>
      <c r="K451" s="112"/>
      <c r="L451" s="112"/>
    </row>
    <row r="452" customFormat="false" ht="15" hidden="false" customHeight="false" outlineLevel="0" collapsed="false">
      <c r="A452" s="112" t="s">
        <v>1029</v>
      </c>
      <c r="B452" s="112" t="s">
        <v>721</v>
      </c>
      <c r="C452" s="112" t="s">
        <v>1021</v>
      </c>
      <c r="D452" s="112" t="s">
        <v>12</v>
      </c>
      <c r="E452" s="112" t="s">
        <v>928</v>
      </c>
      <c r="F452" s="113" t="s">
        <v>73</v>
      </c>
      <c r="G452" s="112" t="s">
        <v>74</v>
      </c>
      <c r="H452" s="112" t="s">
        <v>398</v>
      </c>
      <c r="I452" s="114" t="n">
        <v>1</v>
      </c>
      <c r="J452" s="114" t="n">
        <v>0</v>
      </c>
      <c r="K452" s="112"/>
      <c r="L452" s="112"/>
    </row>
    <row r="453" customFormat="false" ht="15" hidden="false" customHeight="false" outlineLevel="0" collapsed="false">
      <c r="A453" s="112" t="s">
        <v>1030</v>
      </c>
      <c r="B453" s="112" t="s">
        <v>721</v>
      </c>
      <c r="C453" s="112" t="s">
        <v>1021</v>
      </c>
      <c r="D453" s="112" t="s">
        <v>12</v>
      </c>
      <c r="E453" s="112" t="s">
        <v>1031</v>
      </c>
      <c r="F453" s="113" t="s">
        <v>73</v>
      </c>
      <c r="G453" s="112" t="s">
        <v>74</v>
      </c>
      <c r="H453" s="112" t="s">
        <v>398</v>
      </c>
      <c r="I453" s="114" t="n">
        <v>1</v>
      </c>
      <c r="J453" s="114" t="n">
        <v>0</v>
      </c>
      <c r="K453" s="112"/>
      <c r="L453" s="112"/>
    </row>
    <row r="454" customFormat="false" ht="15" hidden="false" customHeight="false" outlineLevel="0" collapsed="false">
      <c r="A454" s="112" t="s">
        <v>1032</v>
      </c>
      <c r="B454" s="112" t="s">
        <v>721</v>
      </c>
      <c r="C454" s="112" t="s">
        <v>1021</v>
      </c>
      <c r="D454" s="112" t="s">
        <v>12</v>
      </c>
      <c r="E454" s="112" t="s">
        <v>1033</v>
      </c>
      <c r="F454" s="113" t="s">
        <v>73</v>
      </c>
      <c r="G454" s="112" t="s">
        <v>74</v>
      </c>
      <c r="H454" s="112" t="s">
        <v>398</v>
      </c>
      <c r="I454" s="114" t="n">
        <v>1</v>
      </c>
      <c r="J454" s="114" t="n">
        <v>0</v>
      </c>
      <c r="K454" s="112"/>
      <c r="L454" s="112"/>
    </row>
    <row r="455" customFormat="false" ht="15" hidden="false" customHeight="false" outlineLevel="0" collapsed="false">
      <c r="A455" s="112" t="s">
        <v>1034</v>
      </c>
      <c r="B455" s="112" t="s">
        <v>721</v>
      </c>
      <c r="C455" s="112" t="s">
        <v>1021</v>
      </c>
      <c r="D455" s="112" t="s">
        <v>12</v>
      </c>
      <c r="E455" s="112" t="s">
        <v>1035</v>
      </c>
      <c r="F455" s="113" t="s">
        <v>73</v>
      </c>
      <c r="G455" s="112" t="s">
        <v>74</v>
      </c>
      <c r="H455" s="112" t="s">
        <v>398</v>
      </c>
      <c r="I455" s="114" t="n">
        <v>1</v>
      </c>
      <c r="J455" s="114" t="n">
        <v>0</v>
      </c>
      <c r="K455" s="112"/>
      <c r="L455" s="112"/>
    </row>
    <row r="456" customFormat="false" ht="15" hidden="false" customHeight="false" outlineLevel="0" collapsed="false">
      <c r="A456" s="112" t="s">
        <v>1036</v>
      </c>
      <c r="B456" s="112" t="s">
        <v>721</v>
      </c>
      <c r="C456" s="112" t="s">
        <v>1021</v>
      </c>
      <c r="D456" s="112" t="s">
        <v>12</v>
      </c>
      <c r="E456" s="112" t="s">
        <v>1037</v>
      </c>
      <c r="F456" s="113" t="s">
        <v>73</v>
      </c>
      <c r="G456" s="112" t="s">
        <v>74</v>
      </c>
      <c r="H456" s="112" t="s">
        <v>398</v>
      </c>
      <c r="I456" s="114" t="n">
        <v>1</v>
      </c>
      <c r="J456" s="114" t="n">
        <v>0</v>
      </c>
      <c r="K456" s="112"/>
      <c r="L456" s="112"/>
    </row>
    <row r="457" customFormat="false" ht="15" hidden="false" customHeight="false" outlineLevel="0" collapsed="false">
      <c r="A457" s="112" t="s">
        <v>1038</v>
      </c>
      <c r="B457" s="112" t="s">
        <v>721</v>
      </c>
      <c r="C457" s="112" t="s">
        <v>1021</v>
      </c>
      <c r="D457" s="112" t="s">
        <v>12</v>
      </c>
      <c r="E457" s="112" t="s">
        <v>1039</v>
      </c>
      <c r="F457" s="113" t="s">
        <v>73</v>
      </c>
      <c r="G457" s="112" t="s">
        <v>74</v>
      </c>
      <c r="H457" s="112" t="s">
        <v>398</v>
      </c>
      <c r="I457" s="114" t="n">
        <v>1</v>
      </c>
      <c r="J457" s="114" t="n">
        <v>0</v>
      </c>
      <c r="K457" s="112"/>
      <c r="L457" s="112"/>
    </row>
    <row r="458" customFormat="false" ht="15" hidden="false" customHeight="false" outlineLevel="0" collapsed="false">
      <c r="A458" s="112" t="s">
        <v>1040</v>
      </c>
      <c r="B458" s="112" t="s">
        <v>721</v>
      </c>
      <c r="C458" s="112" t="s">
        <v>1021</v>
      </c>
      <c r="D458" s="112" t="s">
        <v>12</v>
      </c>
      <c r="E458" s="112" t="s">
        <v>1041</v>
      </c>
      <c r="F458" s="113" t="s">
        <v>73</v>
      </c>
      <c r="G458" s="112" t="s">
        <v>74</v>
      </c>
      <c r="H458" s="112" t="s">
        <v>398</v>
      </c>
      <c r="I458" s="114" t="n">
        <v>1</v>
      </c>
      <c r="J458" s="114" t="n">
        <v>0</v>
      </c>
      <c r="K458" s="112"/>
      <c r="L458" s="112"/>
    </row>
    <row r="459" customFormat="false" ht="15" hidden="false" customHeight="false" outlineLevel="0" collapsed="false">
      <c r="A459" s="112" t="s">
        <v>1042</v>
      </c>
      <c r="B459" s="112" t="s">
        <v>721</v>
      </c>
      <c r="C459" s="112" t="s">
        <v>1021</v>
      </c>
      <c r="D459" s="112" t="s">
        <v>12</v>
      </c>
      <c r="E459" s="112" t="s">
        <v>1043</v>
      </c>
      <c r="F459" s="113" t="s">
        <v>73</v>
      </c>
      <c r="G459" s="112" t="s">
        <v>74</v>
      </c>
      <c r="H459" s="112" t="s">
        <v>398</v>
      </c>
      <c r="I459" s="114" t="n">
        <v>1</v>
      </c>
      <c r="J459" s="114" t="n">
        <v>0</v>
      </c>
      <c r="K459" s="112"/>
      <c r="L459" s="112"/>
    </row>
    <row r="460" customFormat="false" ht="15" hidden="false" customHeight="false" outlineLevel="0" collapsed="false">
      <c r="A460" s="112" t="s">
        <v>1044</v>
      </c>
      <c r="B460" s="112" t="s">
        <v>721</v>
      </c>
      <c r="C460" s="112" t="s">
        <v>1021</v>
      </c>
      <c r="D460" s="112" t="s">
        <v>12</v>
      </c>
      <c r="E460" s="112" t="s">
        <v>1045</v>
      </c>
      <c r="F460" s="113" t="s">
        <v>73</v>
      </c>
      <c r="G460" s="112" t="s">
        <v>74</v>
      </c>
      <c r="H460" s="112" t="s">
        <v>398</v>
      </c>
      <c r="I460" s="114" t="n">
        <v>1</v>
      </c>
      <c r="J460" s="114" t="n">
        <v>0</v>
      </c>
      <c r="K460" s="112"/>
      <c r="L460" s="112"/>
    </row>
    <row r="461" customFormat="false" ht="15" hidden="false" customHeight="false" outlineLevel="0" collapsed="false">
      <c r="A461" s="112" t="s">
        <v>1046</v>
      </c>
      <c r="B461" s="112" t="s">
        <v>721</v>
      </c>
      <c r="C461" s="112" t="s">
        <v>1021</v>
      </c>
      <c r="D461" s="112" t="s">
        <v>12</v>
      </c>
      <c r="E461" s="112" t="s">
        <v>1047</v>
      </c>
      <c r="F461" s="113" t="s">
        <v>73</v>
      </c>
      <c r="G461" s="112" t="s">
        <v>74</v>
      </c>
      <c r="H461" s="112" t="s">
        <v>398</v>
      </c>
      <c r="I461" s="114" t="n">
        <v>0</v>
      </c>
      <c r="J461" s="114" t="n">
        <v>1</v>
      </c>
      <c r="K461" s="112" t="s">
        <v>401</v>
      </c>
      <c r="L461" s="112"/>
    </row>
    <row r="462" customFormat="false" ht="15" hidden="false" customHeight="false" outlineLevel="0" collapsed="false">
      <c r="A462" s="112" t="s">
        <v>1048</v>
      </c>
      <c r="B462" s="112" t="s">
        <v>1049</v>
      </c>
      <c r="C462" s="112" t="s">
        <v>1050</v>
      </c>
      <c r="D462" s="112" t="s">
        <v>49</v>
      </c>
      <c r="E462" s="112" t="s">
        <v>1051</v>
      </c>
      <c r="F462" s="113" t="s">
        <v>75</v>
      </c>
      <c r="G462" s="112" t="s">
        <v>76</v>
      </c>
      <c r="H462" s="112" t="s">
        <v>398</v>
      </c>
      <c r="I462" s="114" t="n">
        <v>1</v>
      </c>
      <c r="J462" s="114" t="n">
        <v>0</v>
      </c>
      <c r="K462" s="112"/>
      <c r="L462" s="112"/>
    </row>
    <row r="463" customFormat="false" ht="15" hidden="false" customHeight="false" outlineLevel="0" collapsed="false">
      <c r="A463" s="112" t="s">
        <v>441</v>
      </c>
      <c r="B463" s="112" t="s">
        <v>1049</v>
      </c>
      <c r="C463" s="112" t="s">
        <v>31</v>
      </c>
      <c r="D463" s="112" t="s">
        <v>31</v>
      </c>
      <c r="E463" s="112" t="s">
        <v>1052</v>
      </c>
      <c r="F463" s="113" t="s">
        <v>75</v>
      </c>
      <c r="G463" s="112" t="s">
        <v>76</v>
      </c>
      <c r="H463" s="112" t="s">
        <v>398</v>
      </c>
      <c r="I463" s="114" t="n">
        <v>1</v>
      </c>
      <c r="J463" s="114" t="n">
        <v>0</v>
      </c>
      <c r="K463" s="112"/>
      <c r="L463" s="112"/>
    </row>
    <row r="464" customFormat="false" ht="15" hidden="false" customHeight="false" outlineLevel="0" collapsed="false">
      <c r="A464" s="112" t="s">
        <v>525</v>
      </c>
      <c r="B464" s="112" t="s">
        <v>1049</v>
      </c>
      <c r="C464" s="112" t="s">
        <v>31</v>
      </c>
      <c r="D464" s="112" t="s">
        <v>31</v>
      </c>
      <c r="E464" s="112" t="s">
        <v>1053</v>
      </c>
      <c r="F464" s="113" t="s">
        <v>75</v>
      </c>
      <c r="G464" s="112" t="s">
        <v>76</v>
      </c>
      <c r="H464" s="112" t="s">
        <v>398</v>
      </c>
      <c r="I464" s="114" t="n">
        <v>1</v>
      </c>
      <c r="J464" s="114" t="n">
        <v>0</v>
      </c>
      <c r="K464" s="112"/>
      <c r="L464" s="112"/>
    </row>
    <row r="465" customFormat="false" ht="15" hidden="false" customHeight="false" outlineLevel="0" collapsed="false">
      <c r="A465" s="112" t="s">
        <v>697</v>
      </c>
      <c r="B465" s="112" t="s">
        <v>1049</v>
      </c>
      <c r="C465" s="112" t="s">
        <v>31</v>
      </c>
      <c r="D465" s="112" t="s">
        <v>31</v>
      </c>
      <c r="E465" s="112" t="s">
        <v>1054</v>
      </c>
      <c r="F465" s="113" t="s">
        <v>75</v>
      </c>
      <c r="G465" s="112" t="s">
        <v>76</v>
      </c>
      <c r="H465" s="112" t="s">
        <v>398</v>
      </c>
      <c r="I465" s="114" t="n">
        <v>0</v>
      </c>
      <c r="J465" s="114" t="n">
        <v>1</v>
      </c>
      <c r="K465" s="112" t="s">
        <v>401</v>
      </c>
      <c r="L465" s="112"/>
    </row>
    <row r="466" customFormat="false" ht="15" hidden="false" customHeight="false" outlineLevel="0" collapsed="false">
      <c r="A466" s="112" t="s">
        <v>515</v>
      </c>
      <c r="B466" s="112" t="s">
        <v>1049</v>
      </c>
      <c r="C466" s="112" t="s">
        <v>19</v>
      </c>
      <c r="D466" s="112" t="s">
        <v>19</v>
      </c>
      <c r="E466" s="112" t="s">
        <v>1055</v>
      </c>
      <c r="F466" s="113" t="s">
        <v>75</v>
      </c>
      <c r="G466" s="112" t="s">
        <v>76</v>
      </c>
      <c r="H466" s="112" t="s">
        <v>398</v>
      </c>
      <c r="I466" s="114" t="n">
        <v>1</v>
      </c>
      <c r="J466" s="114" t="n">
        <v>0</v>
      </c>
      <c r="K466" s="112"/>
      <c r="L466" s="112"/>
    </row>
    <row r="467" customFormat="false" ht="15" hidden="false" customHeight="false" outlineLevel="0" collapsed="false">
      <c r="A467" s="112" t="s">
        <v>901</v>
      </c>
      <c r="B467" s="112" t="s">
        <v>1049</v>
      </c>
      <c r="C467" s="112" t="s">
        <v>19</v>
      </c>
      <c r="D467" s="112" t="s">
        <v>19</v>
      </c>
      <c r="E467" s="112" t="s">
        <v>1056</v>
      </c>
      <c r="F467" s="113" t="s">
        <v>73</v>
      </c>
      <c r="G467" s="112" t="s">
        <v>74</v>
      </c>
      <c r="H467" s="112" t="s">
        <v>398</v>
      </c>
      <c r="I467" s="114" t="n">
        <v>1</v>
      </c>
      <c r="J467" s="114" t="n">
        <v>0</v>
      </c>
      <c r="K467" s="112" t="s">
        <v>1057</v>
      </c>
      <c r="L467" s="112"/>
    </row>
    <row r="468" customFormat="false" ht="15" hidden="false" customHeight="false" outlineLevel="0" collapsed="false">
      <c r="A468" s="112" t="s">
        <v>904</v>
      </c>
      <c r="B468" s="112" t="s">
        <v>1049</v>
      </c>
      <c r="C468" s="112" t="s">
        <v>19</v>
      </c>
      <c r="D468" s="112" t="s">
        <v>19</v>
      </c>
      <c r="E468" s="112" t="s">
        <v>1058</v>
      </c>
      <c r="F468" s="113" t="s">
        <v>107</v>
      </c>
      <c r="G468" s="112" t="s">
        <v>108</v>
      </c>
      <c r="H468" s="112" t="s">
        <v>398</v>
      </c>
      <c r="I468" s="114" t="n">
        <v>1</v>
      </c>
      <c r="J468" s="114" t="n">
        <v>0</v>
      </c>
      <c r="K468" s="112"/>
      <c r="L468" s="112"/>
    </row>
    <row r="469" customFormat="false" ht="15" hidden="false" customHeight="false" outlineLevel="0" collapsed="false">
      <c r="A469" s="112" t="s">
        <v>1059</v>
      </c>
      <c r="B469" s="112" t="s">
        <v>1049</v>
      </c>
      <c r="C469" s="112" t="s">
        <v>27</v>
      </c>
      <c r="D469" s="112" t="s">
        <v>27</v>
      </c>
      <c r="E469" s="112" t="s">
        <v>1060</v>
      </c>
      <c r="F469" s="113" t="s">
        <v>75</v>
      </c>
      <c r="G469" s="112" t="s">
        <v>76</v>
      </c>
      <c r="H469" s="112" t="s">
        <v>398</v>
      </c>
      <c r="I469" s="114" t="n">
        <v>1</v>
      </c>
      <c r="J469" s="114" t="n">
        <v>0</v>
      </c>
      <c r="K469" s="112"/>
      <c r="L469" s="112"/>
    </row>
    <row r="470" customFormat="false" ht="15" hidden="false" customHeight="false" outlineLevel="0" collapsed="false">
      <c r="A470" s="112" t="s">
        <v>512</v>
      </c>
      <c r="B470" s="112" t="s">
        <v>1049</v>
      </c>
      <c r="C470" s="112" t="s">
        <v>37</v>
      </c>
      <c r="D470" s="112" t="s">
        <v>37</v>
      </c>
      <c r="E470" s="112" t="s">
        <v>1061</v>
      </c>
      <c r="F470" s="113" t="s">
        <v>75</v>
      </c>
      <c r="G470" s="112" t="s">
        <v>76</v>
      </c>
      <c r="H470" s="112" t="s">
        <v>398</v>
      </c>
      <c r="I470" s="114" t="n">
        <v>1</v>
      </c>
      <c r="J470" s="114" t="n">
        <v>0</v>
      </c>
      <c r="K470" s="112"/>
      <c r="L470" s="112"/>
    </row>
    <row r="471" customFormat="false" ht="15" hidden="false" customHeight="false" outlineLevel="0" collapsed="false">
      <c r="A471" s="112" t="s">
        <v>1062</v>
      </c>
      <c r="B471" s="112" t="s">
        <v>1049</v>
      </c>
      <c r="C471" s="112" t="s">
        <v>26</v>
      </c>
      <c r="D471" s="112" t="s">
        <v>26</v>
      </c>
      <c r="E471" s="112" t="s">
        <v>1063</v>
      </c>
      <c r="F471" s="113" t="s">
        <v>73</v>
      </c>
      <c r="G471" s="112" t="s">
        <v>74</v>
      </c>
      <c r="H471" s="112" t="s">
        <v>398</v>
      </c>
      <c r="I471" s="114" t="n">
        <v>1</v>
      </c>
      <c r="J471" s="114" t="n">
        <v>0</v>
      </c>
      <c r="K471" s="112"/>
      <c r="L471" s="112"/>
    </row>
    <row r="472" customFormat="false" ht="15" hidden="false" customHeight="false" outlineLevel="0" collapsed="false">
      <c r="A472" s="112" t="s">
        <v>1064</v>
      </c>
      <c r="B472" s="112" t="s">
        <v>1049</v>
      </c>
      <c r="C472" s="112" t="s">
        <v>33</v>
      </c>
      <c r="D472" s="112" t="s">
        <v>33</v>
      </c>
      <c r="E472" s="112" t="s">
        <v>1065</v>
      </c>
      <c r="F472" s="113" t="s">
        <v>75</v>
      </c>
      <c r="G472" s="112" t="s">
        <v>76</v>
      </c>
      <c r="H472" s="112" t="s">
        <v>398</v>
      </c>
      <c r="I472" s="114" t="n">
        <v>1</v>
      </c>
      <c r="J472" s="114" t="n">
        <v>0</v>
      </c>
      <c r="K472" s="112"/>
      <c r="L472" s="112"/>
    </row>
    <row r="473" customFormat="false" ht="15" hidden="false" customHeight="false" outlineLevel="0" collapsed="false">
      <c r="A473" s="112" t="s">
        <v>631</v>
      </c>
      <c r="B473" s="112" t="s">
        <v>1049</v>
      </c>
      <c r="C473" s="112" t="s">
        <v>33</v>
      </c>
      <c r="D473" s="112" t="s">
        <v>33</v>
      </c>
      <c r="E473" s="112" t="s">
        <v>1066</v>
      </c>
      <c r="F473" s="113" t="s">
        <v>75</v>
      </c>
      <c r="G473" s="112" t="s">
        <v>76</v>
      </c>
      <c r="H473" s="112" t="s">
        <v>398</v>
      </c>
      <c r="I473" s="114" t="n">
        <v>1</v>
      </c>
      <c r="J473" s="114" t="n">
        <v>0</v>
      </c>
      <c r="K473" s="112"/>
      <c r="L473" s="112"/>
    </row>
    <row r="474" customFormat="false" ht="15" hidden="false" customHeight="false" outlineLevel="0" collapsed="false">
      <c r="A474" s="112" t="s">
        <v>547</v>
      </c>
      <c r="B474" s="112" t="s">
        <v>1049</v>
      </c>
      <c r="C474" s="112" t="s">
        <v>17</v>
      </c>
      <c r="D474" s="112" t="s">
        <v>17</v>
      </c>
      <c r="E474" s="112" t="s">
        <v>1067</v>
      </c>
      <c r="F474" s="113" t="s">
        <v>73</v>
      </c>
      <c r="G474" s="112" t="s">
        <v>74</v>
      </c>
      <c r="H474" s="112" t="s">
        <v>398</v>
      </c>
      <c r="I474" s="114" t="n">
        <v>0</v>
      </c>
      <c r="J474" s="114" t="n">
        <v>1</v>
      </c>
      <c r="K474" s="112"/>
      <c r="L474" s="112"/>
    </row>
    <row r="475" customFormat="false" ht="15" hidden="false" customHeight="false" outlineLevel="0" collapsed="false">
      <c r="A475" s="112" t="s">
        <v>549</v>
      </c>
      <c r="B475" s="112" t="s">
        <v>1049</v>
      </c>
      <c r="C475" s="112" t="s">
        <v>17</v>
      </c>
      <c r="D475" s="112" t="s">
        <v>17</v>
      </c>
      <c r="E475" s="112" t="s">
        <v>1068</v>
      </c>
      <c r="F475" s="113" t="s">
        <v>75</v>
      </c>
      <c r="G475" s="112" t="s">
        <v>76</v>
      </c>
      <c r="H475" s="112" t="s">
        <v>398</v>
      </c>
      <c r="I475" s="114" t="n">
        <v>1</v>
      </c>
      <c r="J475" s="114" t="n">
        <v>0</v>
      </c>
      <c r="K475" s="112"/>
      <c r="L475" s="112"/>
    </row>
    <row r="476" customFormat="false" ht="15" hidden="false" customHeight="false" outlineLevel="0" collapsed="false">
      <c r="A476" s="112" t="s">
        <v>516</v>
      </c>
      <c r="B476" s="112" t="s">
        <v>1049</v>
      </c>
      <c r="C476" s="112" t="s">
        <v>22</v>
      </c>
      <c r="D476" s="112" t="s">
        <v>22</v>
      </c>
      <c r="E476" s="112" t="s">
        <v>1069</v>
      </c>
      <c r="F476" s="113" t="s">
        <v>73</v>
      </c>
      <c r="G476" s="112" t="s">
        <v>74</v>
      </c>
      <c r="H476" s="112" t="s">
        <v>398</v>
      </c>
      <c r="I476" s="114" t="n">
        <v>0</v>
      </c>
      <c r="J476" s="114" t="n">
        <v>1</v>
      </c>
      <c r="K476" s="112" t="s">
        <v>1057</v>
      </c>
      <c r="L476" s="112"/>
    </row>
    <row r="477" customFormat="false" ht="15" hidden="false" customHeight="false" outlineLevel="0" collapsed="false">
      <c r="A477" s="112" t="s">
        <v>1023</v>
      </c>
      <c r="B477" s="112" t="s">
        <v>1049</v>
      </c>
      <c r="C477" s="112" t="s">
        <v>22</v>
      </c>
      <c r="D477" s="112" t="s">
        <v>22</v>
      </c>
      <c r="E477" s="112" t="s">
        <v>1070</v>
      </c>
      <c r="F477" s="113" t="s">
        <v>73</v>
      </c>
      <c r="G477" s="112" t="s">
        <v>74</v>
      </c>
      <c r="H477" s="112" t="s">
        <v>398</v>
      </c>
      <c r="I477" s="114" t="n">
        <v>1</v>
      </c>
      <c r="J477" s="114" t="n">
        <v>0</v>
      </c>
      <c r="K477" s="112"/>
      <c r="L477" s="112"/>
    </row>
    <row r="478" customFormat="false" ht="15" hidden="false" customHeight="false" outlineLevel="0" collapsed="false">
      <c r="A478" s="112" t="s">
        <v>1025</v>
      </c>
      <c r="B478" s="112" t="s">
        <v>1049</v>
      </c>
      <c r="C478" s="112" t="s">
        <v>22</v>
      </c>
      <c r="D478" s="112" t="s">
        <v>22</v>
      </c>
      <c r="E478" s="112" t="s">
        <v>1071</v>
      </c>
      <c r="F478" s="113" t="s">
        <v>73</v>
      </c>
      <c r="G478" s="112" t="s">
        <v>74</v>
      </c>
      <c r="H478" s="112" t="s">
        <v>398</v>
      </c>
      <c r="I478" s="114" t="n">
        <v>1</v>
      </c>
      <c r="J478" s="114" t="n">
        <v>0</v>
      </c>
      <c r="K478" s="112"/>
      <c r="L478" s="112"/>
    </row>
    <row r="479" customFormat="false" ht="15" hidden="false" customHeight="false" outlineLevel="0" collapsed="false">
      <c r="A479" s="112" t="s">
        <v>1027</v>
      </c>
      <c r="B479" s="112" t="s">
        <v>1049</v>
      </c>
      <c r="C479" s="112" t="s">
        <v>22</v>
      </c>
      <c r="D479" s="112" t="s">
        <v>22</v>
      </c>
      <c r="E479" s="112" t="s">
        <v>1072</v>
      </c>
      <c r="F479" s="113" t="s">
        <v>83</v>
      </c>
      <c r="G479" s="112" t="s">
        <v>84</v>
      </c>
      <c r="H479" s="112" t="s">
        <v>398</v>
      </c>
      <c r="I479" s="114" t="n">
        <v>1</v>
      </c>
      <c r="J479" s="114" t="n">
        <v>1</v>
      </c>
      <c r="K479" s="112"/>
      <c r="L479" s="112"/>
    </row>
    <row r="480" customFormat="false" ht="15" hidden="false" customHeight="false" outlineLevel="0" collapsed="false">
      <c r="A480" s="112" t="s">
        <v>1029</v>
      </c>
      <c r="B480" s="112" t="s">
        <v>1049</v>
      </c>
      <c r="C480" s="112" t="s">
        <v>22</v>
      </c>
      <c r="D480" s="112" t="s">
        <v>22</v>
      </c>
      <c r="E480" s="112" t="s">
        <v>1073</v>
      </c>
      <c r="F480" s="113" t="s">
        <v>145</v>
      </c>
      <c r="G480" s="112" t="s">
        <v>146</v>
      </c>
      <c r="H480" s="112" t="s">
        <v>398</v>
      </c>
      <c r="I480" s="114" t="n">
        <v>1</v>
      </c>
      <c r="J480" s="114" t="n">
        <v>0</v>
      </c>
      <c r="K480" s="112"/>
      <c r="L480" s="112"/>
    </row>
    <row r="481" customFormat="false" ht="15" hidden="false" customHeight="false" outlineLevel="0" collapsed="false">
      <c r="A481" s="112" t="s">
        <v>1030</v>
      </c>
      <c r="B481" s="112" t="s">
        <v>1049</v>
      </c>
      <c r="C481" s="112" t="s">
        <v>22</v>
      </c>
      <c r="D481" s="112" t="s">
        <v>22</v>
      </c>
      <c r="E481" s="112" t="s">
        <v>1074</v>
      </c>
      <c r="F481" s="113" t="s">
        <v>75</v>
      </c>
      <c r="G481" s="112" t="s">
        <v>76</v>
      </c>
      <c r="H481" s="112" t="s">
        <v>398</v>
      </c>
      <c r="I481" s="114" t="n">
        <v>1</v>
      </c>
      <c r="J481" s="114" t="n">
        <v>0</v>
      </c>
      <c r="K481" s="112"/>
      <c r="L481" s="112"/>
    </row>
    <row r="482" customFormat="false" ht="15" hidden="false" customHeight="false" outlineLevel="0" collapsed="false">
      <c r="A482" s="112" t="s">
        <v>1032</v>
      </c>
      <c r="B482" s="112" t="s">
        <v>1049</v>
      </c>
      <c r="C482" s="112" t="s">
        <v>22</v>
      </c>
      <c r="D482" s="112" t="s">
        <v>22</v>
      </c>
      <c r="E482" s="112" t="s">
        <v>1075</v>
      </c>
      <c r="F482" s="113" t="s">
        <v>79</v>
      </c>
      <c r="G482" s="112" t="s">
        <v>80</v>
      </c>
      <c r="H482" s="112" t="s">
        <v>398</v>
      </c>
      <c r="I482" s="114" t="n">
        <v>1</v>
      </c>
      <c r="J482" s="114" t="n">
        <v>0</v>
      </c>
      <c r="K482" s="112"/>
      <c r="L482" s="112"/>
    </row>
    <row r="483" customFormat="false" ht="15" hidden="false" customHeight="false" outlineLevel="0" collapsed="false">
      <c r="A483" s="112" t="s">
        <v>1034</v>
      </c>
      <c r="B483" s="112" t="s">
        <v>1049</v>
      </c>
      <c r="C483" s="112" t="s">
        <v>22</v>
      </c>
      <c r="D483" s="112" t="s">
        <v>22</v>
      </c>
      <c r="E483" s="112" t="s">
        <v>1076</v>
      </c>
      <c r="F483" s="113" t="s">
        <v>79</v>
      </c>
      <c r="G483" s="112" t="s">
        <v>80</v>
      </c>
      <c r="H483" s="112" t="s">
        <v>398</v>
      </c>
      <c r="I483" s="114" t="n">
        <v>1</v>
      </c>
      <c r="J483" s="114" t="n">
        <v>0</v>
      </c>
      <c r="K483" s="112"/>
      <c r="L483" s="112"/>
    </row>
    <row r="484" customFormat="false" ht="15" hidden="false" customHeight="false" outlineLevel="0" collapsed="false">
      <c r="A484" s="112" t="s">
        <v>1036</v>
      </c>
      <c r="B484" s="112" t="s">
        <v>1049</v>
      </c>
      <c r="C484" s="112" t="s">
        <v>22</v>
      </c>
      <c r="D484" s="112" t="s">
        <v>22</v>
      </c>
      <c r="E484" s="112" t="s">
        <v>1077</v>
      </c>
      <c r="F484" s="113" t="s">
        <v>75</v>
      </c>
      <c r="G484" s="112" t="s">
        <v>76</v>
      </c>
      <c r="H484" s="112" t="s">
        <v>398</v>
      </c>
      <c r="I484" s="114" t="n">
        <v>1</v>
      </c>
      <c r="J484" s="114" t="n">
        <v>0</v>
      </c>
      <c r="K484" s="112"/>
      <c r="L484" s="112"/>
    </row>
    <row r="485" customFormat="false" ht="15" hidden="false" customHeight="false" outlineLevel="0" collapsed="false">
      <c r="A485" s="112" t="s">
        <v>1038</v>
      </c>
      <c r="B485" s="112" t="s">
        <v>1049</v>
      </c>
      <c r="C485" s="112" t="s">
        <v>22</v>
      </c>
      <c r="D485" s="112" t="s">
        <v>22</v>
      </c>
      <c r="E485" s="112" t="s">
        <v>1078</v>
      </c>
      <c r="F485" s="113" t="s">
        <v>75</v>
      </c>
      <c r="G485" s="112" t="s">
        <v>76</v>
      </c>
      <c r="H485" s="112" t="s">
        <v>398</v>
      </c>
      <c r="I485" s="114" t="n">
        <v>1</v>
      </c>
      <c r="J485" s="114" t="n">
        <v>0</v>
      </c>
      <c r="K485" s="112"/>
      <c r="L485" s="112"/>
    </row>
    <row r="486" customFormat="false" ht="15" hidden="false" customHeight="false" outlineLevel="0" collapsed="false">
      <c r="A486" s="112" t="s">
        <v>1040</v>
      </c>
      <c r="B486" s="112" t="s">
        <v>1049</v>
      </c>
      <c r="C486" s="112" t="s">
        <v>22</v>
      </c>
      <c r="D486" s="112" t="s">
        <v>22</v>
      </c>
      <c r="E486" s="112" t="s">
        <v>1079</v>
      </c>
      <c r="F486" s="113" t="s">
        <v>75</v>
      </c>
      <c r="G486" s="112" t="s">
        <v>76</v>
      </c>
      <c r="H486" s="112" t="s">
        <v>398</v>
      </c>
      <c r="I486" s="114" t="n">
        <v>1</v>
      </c>
      <c r="J486" s="114" t="n">
        <v>0</v>
      </c>
      <c r="K486" s="112"/>
      <c r="L486" s="112"/>
    </row>
    <row r="487" customFormat="false" ht="15" hidden="false" customHeight="false" outlineLevel="0" collapsed="false">
      <c r="A487" s="112" t="s">
        <v>1042</v>
      </c>
      <c r="B487" s="112" t="s">
        <v>1049</v>
      </c>
      <c r="C487" s="112" t="s">
        <v>22</v>
      </c>
      <c r="D487" s="112" t="s">
        <v>22</v>
      </c>
      <c r="E487" s="112" t="s">
        <v>1080</v>
      </c>
      <c r="F487" s="113" t="s">
        <v>75</v>
      </c>
      <c r="G487" s="112" t="s">
        <v>76</v>
      </c>
      <c r="H487" s="112" t="s">
        <v>398</v>
      </c>
      <c r="I487" s="114" t="n">
        <v>1</v>
      </c>
      <c r="J487" s="114" t="n">
        <v>0</v>
      </c>
      <c r="K487" s="112"/>
      <c r="L487" s="112"/>
    </row>
    <row r="488" customFormat="false" ht="15" hidden="false" customHeight="false" outlineLevel="0" collapsed="false">
      <c r="A488" s="112" t="s">
        <v>1044</v>
      </c>
      <c r="B488" s="112" t="s">
        <v>1049</v>
      </c>
      <c r="C488" s="112" t="s">
        <v>22</v>
      </c>
      <c r="D488" s="112" t="s">
        <v>22</v>
      </c>
      <c r="E488" s="112" t="s">
        <v>1081</v>
      </c>
      <c r="F488" s="113" t="s">
        <v>75</v>
      </c>
      <c r="G488" s="112" t="s">
        <v>76</v>
      </c>
      <c r="H488" s="112" t="s">
        <v>398</v>
      </c>
      <c r="I488" s="114" t="n">
        <v>1</v>
      </c>
      <c r="J488" s="114" t="n">
        <v>0</v>
      </c>
      <c r="K488" s="112"/>
      <c r="L488" s="112"/>
    </row>
    <row r="489" customFormat="false" ht="15" hidden="false" customHeight="false" outlineLevel="0" collapsed="false">
      <c r="A489" s="112" t="s">
        <v>483</v>
      </c>
      <c r="B489" s="112" t="s">
        <v>1049</v>
      </c>
      <c r="C489" s="112" t="s">
        <v>24</v>
      </c>
      <c r="D489" s="112" t="s">
        <v>24</v>
      </c>
      <c r="E489" s="112" t="s">
        <v>1082</v>
      </c>
      <c r="F489" s="113" t="s">
        <v>73</v>
      </c>
      <c r="G489" s="112" t="s">
        <v>74</v>
      </c>
      <c r="H489" s="112" t="s">
        <v>398</v>
      </c>
      <c r="I489" s="114" t="n">
        <v>1</v>
      </c>
      <c r="J489" s="114" t="n">
        <v>0</v>
      </c>
      <c r="K489" s="112"/>
      <c r="L489" s="112"/>
    </row>
    <row r="490" customFormat="false" ht="15" hidden="false" customHeight="false" outlineLevel="0" collapsed="false">
      <c r="A490" s="112" t="s">
        <v>1083</v>
      </c>
      <c r="B490" s="112" t="s">
        <v>1049</v>
      </c>
      <c r="C490" s="112" t="s">
        <v>32</v>
      </c>
      <c r="D490" s="112" t="s">
        <v>32</v>
      </c>
      <c r="E490" s="112" t="s">
        <v>1084</v>
      </c>
      <c r="F490" s="113" t="s">
        <v>73</v>
      </c>
      <c r="G490" s="112" t="s">
        <v>74</v>
      </c>
      <c r="H490" s="112" t="s">
        <v>398</v>
      </c>
      <c r="I490" s="114" t="n">
        <v>1</v>
      </c>
      <c r="J490" s="114" t="n">
        <v>0</v>
      </c>
      <c r="K490" s="112"/>
      <c r="L490" s="112"/>
    </row>
    <row r="491" customFormat="false" ht="15" hidden="false" customHeight="false" outlineLevel="0" collapsed="false">
      <c r="A491" s="112" t="s">
        <v>1085</v>
      </c>
      <c r="B491" s="112" t="s">
        <v>1049</v>
      </c>
      <c r="C491" s="112" t="s">
        <v>30</v>
      </c>
      <c r="D491" s="112" t="s">
        <v>30</v>
      </c>
      <c r="E491" s="112" t="s">
        <v>1086</v>
      </c>
      <c r="F491" s="113" t="s">
        <v>73</v>
      </c>
      <c r="G491" s="112" t="s">
        <v>74</v>
      </c>
      <c r="H491" s="112" t="s">
        <v>398</v>
      </c>
      <c r="I491" s="114" t="n">
        <v>1</v>
      </c>
      <c r="J491" s="114" t="n">
        <v>0</v>
      </c>
      <c r="K491" s="112"/>
      <c r="L491" s="112"/>
    </row>
    <row r="492" customFormat="false" ht="15" hidden="false" customHeight="false" outlineLevel="0" collapsed="false">
      <c r="A492" s="112" t="s">
        <v>490</v>
      </c>
      <c r="B492" s="112" t="s">
        <v>1049</v>
      </c>
      <c r="C492" s="112" t="s">
        <v>1087</v>
      </c>
      <c r="D492" s="112" t="s">
        <v>35</v>
      </c>
      <c r="E492" s="112" t="s">
        <v>1088</v>
      </c>
      <c r="F492" s="113" t="s">
        <v>77</v>
      </c>
      <c r="G492" s="112" t="s">
        <v>78</v>
      </c>
      <c r="H492" s="112" t="s">
        <v>398</v>
      </c>
      <c r="I492" s="114" t="n">
        <v>1</v>
      </c>
      <c r="J492" s="114" t="n">
        <v>0</v>
      </c>
      <c r="K492" s="112"/>
      <c r="L492" s="112"/>
    </row>
    <row r="493" customFormat="false" ht="15" hidden="false" customHeight="false" outlineLevel="0" collapsed="false">
      <c r="A493" s="112" t="s">
        <v>1089</v>
      </c>
      <c r="B493" s="112" t="s">
        <v>1049</v>
      </c>
      <c r="C493" s="112" t="s">
        <v>16</v>
      </c>
      <c r="D493" s="112" t="s">
        <v>16</v>
      </c>
      <c r="E493" s="112" t="s">
        <v>1090</v>
      </c>
      <c r="F493" s="113" t="s">
        <v>129</v>
      </c>
      <c r="G493" s="112" t="s">
        <v>130</v>
      </c>
      <c r="H493" s="112" t="s">
        <v>398</v>
      </c>
      <c r="I493" s="114" t="n">
        <v>1</v>
      </c>
      <c r="J493" s="114" t="n">
        <v>0</v>
      </c>
      <c r="K493" s="112"/>
      <c r="L493" s="112"/>
    </row>
    <row r="494" customFormat="false" ht="15" hidden="false" customHeight="false" outlineLevel="0" collapsed="false">
      <c r="A494" s="112" t="s">
        <v>532</v>
      </c>
      <c r="B494" s="112" t="s">
        <v>1049</v>
      </c>
      <c r="C494" s="112" t="s">
        <v>14</v>
      </c>
      <c r="D494" s="112" t="s">
        <v>14</v>
      </c>
      <c r="E494" s="112" t="s">
        <v>1091</v>
      </c>
      <c r="F494" s="113" t="s">
        <v>75</v>
      </c>
      <c r="G494" s="112" t="s">
        <v>76</v>
      </c>
      <c r="H494" s="112" t="s">
        <v>398</v>
      </c>
      <c r="I494" s="114" t="n">
        <v>1</v>
      </c>
      <c r="J494" s="114" t="n">
        <v>0</v>
      </c>
      <c r="K494" s="112"/>
      <c r="L494" s="112"/>
    </row>
    <row r="495" customFormat="false" ht="15" hidden="false" customHeight="false" outlineLevel="0" collapsed="false">
      <c r="A495" s="112" t="s">
        <v>432</v>
      </c>
      <c r="B495" s="112" t="s">
        <v>1049</v>
      </c>
      <c r="C495" s="112" t="s">
        <v>43</v>
      </c>
      <c r="D495" s="112" t="s">
        <v>43</v>
      </c>
      <c r="E495" s="112" t="s">
        <v>1092</v>
      </c>
      <c r="F495" s="113" t="s">
        <v>75</v>
      </c>
      <c r="G495" s="112" t="s">
        <v>76</v>
      </c>
      <c r="H495" s="112" t="s">
        <v>398</v>
      </c>
      <c r="I495" s="114" t="n">
        <v>1</v>
      </c>
      <c r="J495" s="114" t="n">
        <v>0</v>
      </c>
      <c r="K495" s="112"/>
      <c r="L495" s="112"/>
    </row>
    <row r="496" customFormat="false" ht="15" hidden="false" customHeight="false" outlineLevel="0" collapsed="false">
      <c r="A496" s="112" t="s">
        <v>435</v>
      </c>
      <c r="B496" s="112" t="s">
        <v>1049</v>
      </c>
      <c r="C496" s="112" t="s">
        <v>43</v>
      </c>
      <c r="D496" s="112" t="s">
        <v>43</v>
      </c>
      <c r="E496" s="112" t="s">
        <v>1093</v>
      </c>
      <c r="F496" s="113" t="s">
        <v>75</v>
      </c>
      <c r="G496" s="112" t="s">
        <v>76</v>
      </c>
      <c r="H496" s="112" t="s">
        <v>398</v>
      </c>
      <c r="I496" s="114" t="n">
        <v>1</v>
      </c>
      <c r="J496" s="114" t="n">
        <v>0</v>
      </c>
      <c r="K496" s="112"/>
      <c r="L496" s="112"/>
    </row>
    <row r="497" customFormat="false" ht="15" hidden="false" customHeight="false" outlineLevel="0" collapsed="false">
      <c r="A497" s="112" t="s">
        <v>703</v>
      </c>
      <c r="B497" s="112" t="s">
        <v>1049</v>
      </c>
      <c r="C497" s="112" t="s">
        <v>29</v>
      </c>
      <c r="D497" s="112" t="s">
        <v>29</v>
      </c>
      <c r="E497" s="112" t="s">
        <v>1094</v>
      </c>
      <c r="F497" s="113" t="s">
        <v>75</v>
      </c>
      <c r="G497" s="112" t="s">
        <v>76</v>
      </c>
      <c r="H497" s="112" t="s">
        <v>398</v>
      </c>
      <c r="I497" s="114" t="n">
        <v>1</v>
      </c>
      <c r="J497" s="114" t="n">
        <v>0</v>
      </c>
      <c r="K497" s="112"/>
      <c r="L497" s="112"/>
    </row>
    <row r="498" customFormat="false" ht="15" hidden="false" customHeight="false" outlineLevel="0" collapsed="false">
      <c r="A498" s="112" t="s">
        <v>430</v>
      </c>
      <c r="B498" s="112" t="s">
        <v>1049</v>
      </c>
      <c r="C498" s="112" t="s">
        <v>29</v>
      </c>
      <c r="D498" s="112" t="s">
        <v>29</v>
      </c>
      <c r="E498" s="112" t="s">
        <v>1095</v>
      </c>
      <c r="F498" s="113" t="s">
        <v>75</v>
      </c>
      <c r="G498" s="112" t="s">
        <v>76</v>
      </c>
      <c r="H498" s="112" t="s">
        <v>398</v>
      </c>
      <c r="I498" s="114" t="n">
        <v>1</v>
      </c>
      <c r="J498" s="114" t="n">
        <v>0</v>
      </c>
      <c r="K498" s="112"/>
      <c r="L498" s="112"/>
    </row>
    <row r="499" customFormat="false" ht="15" hidden="false" customHeight="false" outlineLevel="0" collapsed="false">
      <c r="A499" s="112" t="s">
        <v>493</v>
      </c>
      <c r="B499" s="112" t="s">
        <v>1049</v>
      </c>
      <c r="C499" s="112" t="s">
        <v>36</v>
      </c>
      <c r="D499" s="112" t="s">
        <v>36</v>
      </c>
      <c r="E499" s="112" t="s">
        <v>1096</v>
      </c>
      <c r="F499" s="113" t="s">
        <v>75</v>
      </c>
      <c r="G499" s="112" t="s">
        <v>76</v>
      </c>
      <c r="H499" s="112" t="s">
        <v>398</v>
      </c>
      <c r="I499" s="114" t="n">
        <v>1</v>
      </c>
      <c r="J499" s="114" t="n">
        <v>0</v>
      </c>
      <c r="K499" s="112"/>
      <c r="L499" s="112"/>
    </row>
    <row r="500" customFormat="false" ht="15" hidden="false" customHeight="false" outlineLevel="0" collapsed="false">
      <c r="A500" s="112" t="s">
        <v>895</v>
      </c>
      <c r="B500" s="112" t="s">
        <v>1049</v>
      </c>
      <c r="C500" s="112" t="s">
        <v>36</v>
      </c>
      <c r="D500" s="112" t="s">
        <v>36</v>
      </c>
      <c r="E500" s="112" t="s">
        <v>1097</v>
      </c>
      <c r="F500" s="113" t="s">
        <v>75</v>
      </c>
      <c r="G500" s="112" t="s">
        <v>76</v>
      </c>
      <c r="H500" s="112" t="s">
        <v>398</v>
      </c>
      <c r="I500" s="114" t="n">
        <v>1</v>
      </c>
      <c r="J500" s="114" t="n">
        <v>0</v>
      </c>
      <c r="K500" s="112"/>
      <c r="L500" s="112"/>
    </row>
    <row r="501" customFormat="false" ht="15" hidden="false" customHeight="false" outlineLevel="0" collapsed="false">
      <c r="A501" s="112" t="s">
        <v>584</v>
      </c>
      <c r="B501" s="112" t="s">
        <v>1049</v>
      </c>
      <c r="C501" s="112" t="s">
        <v>25</v>
      </c>
      <c r="D501" s="112" t="s">
        <v>25</v>
      </c>
      <c r="E501" s="112" t="s">
        <v>1098</v>
      </c>
      <c r="F501" s="113" t="s">
        <v>73</v>
      </c>
      <c r="G501" s="112" t="s">
        <v>74</v>
      </c>
      <c r="H501" s="112" t="s">
        <v>398</v>
      </c>
      <c r="I501" s="114" t="n">
        <v>1</v>
      </c>
      <c r="J501" s="114" t="n">
        <v>0</v>
      </c>
      <c r="K501" s="112"/>
      <c r="L501" s="112"/>
    </row>
    <row r="502" customFormat="false" ht="15" hidden="false" customHeight="false" outlineLevel="0" collapsed="false">
      <c r="A502" s="112" t="s">
        <v>442</v>
      </c>
      <c r="B502" s="112" t="s">
        <v>1049</v>
      </c>
      <c r="C502" s="112" t="s">
        <v>433</v>
      </c>
      <c r="D502" s="112" t="s">
        <v>7</v>
      </c>
      <c r="E502" s="112" t="s">
        <v>1099</v>
      </c>
      <c r="F502" s="113" t="s">
        <v>75</v>
      </c>
      <c r="G502" s="112" t="s">
        <v>76</v>
      </c>
      <c r="H502" s="112" t="s">
        <v>398</v>
      </c>
      <c r="I502" s="114" t="n">
        <v>1</v>
      </c>
      <c r="J502" s="114" t="n">
        <v>0</v>
      </c>
      <c r="K502" s="112"/>
      <c r="L502" s="112"/>
    </row>
    <row r="503" customFormat="false" ht="15" hidden="false" customHeight="false" outlineLevel="0" collapsed="false">
      <c r="A503" s="112" t="s">
        <v>444</v>
      </c>
      <c r="B503" s="112" t="s">
        <v>1049</v>
      </c>
      <c r="C503" s="112" t="s">
        <v>433</v>
      </c>
      <c r="D503" s="112" t="s">
        <v>7</v>
      </c>
      <c r="E503" s="112" t="s">
        <v>1100</v>
      </c>
      <c r="F503" s="113" t="s">
        <v>73</v>
      </c>
      <c r="G503" s="112" t="s">
        <v>74</v>
      </c>
      <c r="H503" s="112" t="s">
        <v>398</v>
      </c>
      <c r="I503" s="114" t="n">
        <v>1</v>
      </c>
      <c r="J503" s="114" t="n">
        <v>0</v>
      </c>
      <c r="K503" s="112"/>
      <c r="L503" s="112"/>
    </row>
    <row r="504" customFormat="false" ht="15" hidden="false" customHeight="false" outlineLevel="0" collapsed="false">
      <c r="A504" s="112" t="s">
        <v>823</v>
      </c>
      <c r="B504" s="112" t="s">
        <v>1049</v>
      </c>
      <c r="C504" s="112" t="s">
        <v>433</v>
      </c>
      <c r="D504" s="112" t="s">
        <v>7</v>
      </c>
      <c r="E504" s="112" t="s">
        <v>1101</v>
      </c>
      <c r="F504" s="113" t="s">
        <v>75</v>
      </c>
      <c r="G504" s="112" t="s">
        <v>76</v>
      </c>
      <c r="H504" s="112" t="s">
        <v>398</v>
      </c>
      <c r="I504" s="114" t="n">
        <v>1</v>
      </c>
      <c r="J504" s="114" t="n">
        <v>0</v>
      </c>
      <c r="K504" s="112"/>
      <c r="L504" s="112"/>
    </row>
    <row r="505" customFormat="false" ht="15" hidden="false" customHeight="false" outlineLevel="0" collapsed="false">
      <c r="A505" s="112" t="s">
        <v>664</v>
      </c>
      <c r="B505" s="112" t="s">
        <v>1049</v>
      </c>
      <c r="C505" s="112" t="s">
        <v>433</v>
      </c>
      <c r="D505" s="112" t="s">
        <v>7</v>
      </c>
      <c r="E505" s="112" t="s">
        <v>1102</v>
      </c>
      <c r="F505" s="113" t="s">
        <v>75</v>
      </c>
      <c r="G505" s="112" t="s">
        <v>76</v>
      </c>
      <c r="H505" s="112" t="s">
        <v>398</v>
      </c>
      <c r="I505" s="114" t="n">
        <v>1</v>
      </c>
      <c r="J505" s="114" t="n">
        <v>0</v>
      </c>
      <c r="K505" s="112"/>
      <c r="L505" s="112"/>
    </row>
    <row r="506" customFormat="false" ht="15" hidden="false" customHeight="false" outlineLevel="0" collapsed="false">
      <c r="A506" s="112" t="s">
        <v>826</v>
      </c>
      <c r="B506" s="112" t="s">
        <v>1049</v>
      </c>
      <c r="C506" s="112" t="s">
        <v>433</v>
      </c>
      <c r="D506" s="112" t="s">
        <v>7</v>
      </c>
      <c r="E506" s="112" t="s">
        <v>1103</v>
      </c>
      <c r="F506" s="113" t="s">
        <v>75</v>
      </c>
      <c r="G506" s="112" t="s">
        <v>76</v>
      </c>
      <c r="H506" s="112" t="s">
        <v>398</v>
      </c>
      <c r="I506" s="114" t="n">
        <v>1</v>
      </c>
      <c r="J506" s="114" t="n">
        <v>0</v>
      </c>
      <c r="K506" s="112"/>
      <c r="L506" s="112"/>
    </row>
    <row r="507" customFormat="false" ht="15" hidden="false" customHeight="false" outlineLevel="0" collapsed="false">
      <c r="A507" s="112" t="s">
        <v>1104</v>
      </c>
      <c r="B507" s="112" t="s">
        <v>1049</v>
      </c>
      <c r="C507" s="112" t="s">
        <v>433</v>
      </c>
      <c r="D507" s="112" t="s">
        <v>7</v>
      </c>
      <c r="E507" s="112" t="s">
        <v>1105</v>
      </c>
      <c r="F507" s="113" t="s">
        <v>75</v>
      </c>
      <c r="G507" s="112" t="s">
        <v>76</v>
      </c>
      <c r="H507" s="112" t="s">
        <v>398</v>
      </c>
      <c r="I507" s="114" t="n">
        <v>1</v>
      </c>
      <c r="J507" s="114" t="n">
        <v>0</v>
      </c>
      <c r="K507" s="112"/>
      <c r="L507" s="112"/>
    </row>
    <row r="508" customFormat="false" ht="15" hidden="false" customHeight="false" outlineLevel="0" collapsed="false">
      <c r="A508" s="112" t="s">
        <v>427</v>
      </c>
      <c r="B508" s="112" t="s">
        <v>1049</v>
      </c>
      <c r="C508" s="112" t="s">
        <v>433</v>
      </c>
      <c r="D508" s="112" t="s">
        <v>7</v>
      </c>
      <c r="E508" s="112" t="s">
        <v>1106</v>
      </c>
      <c r="F508" s="113" t="s">
        <v>75</v>
      </c>
      <c r="G508" s="112" t="s">
        <v>76</v>
      </c>
      <c r="H508" s="112" t="s">
        <v>398</v>
      </c>
      <c r="I508" s="114" t="n">
        <v>1</v>
      </c>
      <c r="J508" s="114" t="n">
        <v>0</v>
      </c>
      <c r="K508" s="112"/>
      <c r="L508" s="112"/>
    </row>
    <row r="509" customFormat="false" ht="15" hidden="false" customHeight="false" outlineLevel="0" collapsed="false">
      <c r="A509" s="112" t="s">
        <v>676</v>
      </c>
      <c r="B509" s="112" t="s">
        <v>1049</v>
      </c>
      <c r="C509" s="112" t="s">
        <v>433</v>
      </c>
      <c r="D509" s="112" t="s">
        <v>7</v>
      </c>
      <c r="E509" s="112" t="s">
        <v>1107</v>
      </c>
      <c r="F509" s="113" t="s">
        <v>75</v>
      </c>
      <c r="G509" s="112" t="s">
        <v>76</v>
      </c>
      <c r="H509" s="112" t="s">
        <v>398</v>
      </c>
      <c r="I509" s="114" t="n">
        <v>1</v>
      </c>
      <c r="J509" s="114" t="n">
        <v>0</v>
      </c>
      <c r="K509" s="112"/>
      <c r="L509" s="112"/>
    </row>
    <row r="510" customFormat="false" ht="15" hidden="false" customHeight="false" outlineLevel="0" collapsed="false">
      <c r="A510" s="112" t="s">
        <v>678</v>
      </c>
      <c r="B510" s="112" t="s">
        <v>1049</v>
      </c>
      <c r="C510" s="112" t="s">
        <v>433</v>
      </c>
      <c r="D510" s="112" t="s">
        <v>7</v>
      </c>
      <c r="E510" s="112" t="s">
        <v>1108</v>
      </c>
      <c r="F510" s="113" t="s">
        <v>75</v>
      </c>
      <c r="G510" s="112" t="s">
        <v>76</v>
      </c>
      <c r="H510" s="112" t="s">
        <v>398</v>
      </c>
      <c r="I510" s="114" t="n">
        <v>1</v>
      </c>
      <c r="J510" s="114" t="n">
        <v>0</v>
      </c>
      <c r="K510" s="112"/>
      <c r="L510" s="112"/>
    </row>
    <row r="511" customFormat="false" ht="15" hidden="false" customHeight="false" outlineLevel="0" collapsed="false">
      <c r="A511" s="112" t="s">
        <v>496</v>
      </c>
      <c r="B511" s="112" t="s">
        <v>1049</v>
      </c>
      <c r="C511" s="112" t="s">
        <v>433</v>
      </c>
      <c r="D511" s="112" t="s">
        <v>7</v>
      </c>
      <c r="E511" s="112" t="s">
        <v>1109</v>
      </c>
      <c r="F511" s="113" t="s">
        <v>75</v>
      </c>
      <c r="G511" s="112" t="s">
        <v>76</v>
      </c>
      <c r="H511" s="112" t="s">
        <v>398</v>
      </c>
      <c r="I511" s="114" t="n">
        <v>0</v>
      </c>
      <c r="J511" s="114" t="n">
        <v>1</v>
      </c>
      <c r="K511" s="112"/>
      <c r="L511" s="112"/>
    </row>
    <row r="512" customFormat="false" ht="15" hidden="false" customHeight="false" outlineLevel="0" collapsed="false">
      <c r="A512" s="112" t="s">
        <v>681</v>
      </c>
      <c r="B512" s="112" t="s">
        <v>1049</v>
      </c>
      <c r="C512" s="112" t="s">
        <v>433</v>
      </c>
      <c r="D512" s="112" t="s">
        <v>7</v>
      </c>
      <c r="E512" s="112" t="s">
        <v>1110</v>
      </c>
      <c r="F512" s="113" t="s">
        <v>75</v>
      </c>
      <c r="G512" s="112" t="s">
        <v>76</v>
      </c>
      <c r="H512" s="112" t="s">
        <v>398</v>
      </c>
      <c r="I512" s="114" t="n">
        <v>0</v>
      </c>
      <c r="J512" s="114" t="n">
        <v>1</v>
      </c>
      <c r="K512" s="112"/>
      <c r="L512" s="112"/>
    </row>
    <row r="513" customFormat="false" ht="15" hidden="false" customHeight="false" outlineLevel="0" collapsed="false">
      <c r="A513" s="112" t="s">
        <v>1111</v>
      </c>
      <c r="B513" s="112" t="s">
        <v>1049</v>
      </c>
      <c r="C513" s="112" t="s">
        <v>433</v>
      </c>
      <c r="D513" s="112" t="s">
        <v>7</v>
      </c>
      <c r="E513" s="112" t="s">
        <v>1112</v>
      </c>
      <c r="F513" s="113" t="s">
        <v>73</v>
      </c>
      <c r="G513" s="112" t="s">
        <v>74</v>
      </c>
      <c r="H513" s="112" t="s">
        <v>398</v>
      </c>
      <c r="I513" s="114" t="n">
        <v>0</v>
      </c>
      <c r="J513" s="114" t="n">
        <v>1</v>
      </c>
      <c r="K513" s="112"/>
      <c r="L513" s="112"/>
    </row>
    <row r="514" customFormat="false" ht="15" hidden="false" customHeight="false" outlineLevel="0" collapsed="false">
      <c r="A514" s="112" t="s">
        <v>730</v>
      </c>
      <c r="B514" s="112" t="s">
        <v>1049</v>
      </c>
      <c r="C514" s="112" t="s">
        <v>433</v>
      </c>
      <c r="D514" s="112" t="s">
        <v>7</v>
      </c>
      <c r="E514" s="112" t="s">
        <v>166</v>
      </c>
      <c r="F514" s="113" t="s">
        <v>53</v>
      </c>
      <c r="G514" s="112" t="s">
        <v>54</v>
      </c>
      <c r="H514" s="112" t="s">
        <v>398</v>
      </c>
      <c r="I514" s="114" t="n">
        <v>1</v>
      </c>
      <c r="J514" s="114" t="n">
        <v>0</v>
      </c>
      <c r="K514" s="112"/>
      <c r="L514" s="112"/>
    </row>
    <row r="515" customFormat="false" ht="15" hidden="false" customHeight="false" outlineLevel="0" collapsed="false">
      <c r="A515" s="112" t="s">
        <v>1113</v>
      </c>
      <c r="B515" s="112" t="s">
        <v>1049</v>
      </c>
      <c r="C515" s="112" t="s">
        <v>433</v>
      </c>
      <c r="D515" s="112" t="s">
        <v>7</v>
      </c>
      <c r="E515" s="112" t="s">
        <v>168</v>
      </c>
      <c r="F515" s="113" t="s">
        <v>53</v>
      </c>
      <c r="G515" s="112" t="s">
        <v>54</v>
      </c>
      <c r="H515" s="112" t="s">
        <v>398</v>
      </c>
      <c r="I515" s="114" t="n">
        <v>1</v>
      </c>
      <c r="J515" s="114" t="n">
        <v>0</v>
      </c>
      <c r="K515" s="112"/>
      <c r="L515" s="112"/>
    </row>
    <row r="516" customFormat="false" ht="15" hidden="false" customHeight="false" outlineLevel="0" collapsed="false">
      <c r="A516" s="112" t="s">
        <v>1114</v>
      </c>
      <c r="B516" s="112" t="s">
        <v>1049</v>
      </c>
      <c r="C516" s="112" t="s">
        <v>433</v>
      </c>
      <c r="D516" s="112" t="s">
        <v>7</v>
      </c>
      <c r="E516" s="112" t="s">
        <v>170</v>
      </c>
      <c r="F516" s="113" t="s">
        <v>53</v>
      </c>
      <c r="G516" s="112" t="s">
        <v>54</v>
      </c>
      <c r="H516" s="112" t="s">
        <v>398</v>
      </c>
      <c r="I516" s="114" t="n">
        <v>0</v>
      </c>
      <c r="J516" s="114" t="n">
        <v>1</v>
      </c>
      <c r="K516" s="112"/>
      <c r="L516" s="112"/>
    </row>
    <row r="517" customFormat="false" ht="15" hidden="false" customHeight="false" outlineLevel="0" collapsed="false">
      <c r="A517" s="112" t="s">
        <v>445</v>
      </c>
      <c r="B517" s="112" t="s">
        <v>1049</v>
      </c>
      <c r="C517" s="112" t="s">
        <v>443</v>
      </c>
      <c r="D517" s="112" t="s">
        <v>8</v>
      </c>
      <c r="E517" s="112" t="s">
        <v>1115</v>
      </c>
      <c r="F517" s="113" t="s">
        <v>73</v>
      </c>
      <c r="G517" s="112" t="s">
        <v>74</v>
      </c>
      <c r="H517" s="112" t="s">
        <v>398</v>
      </c>
      <c r="I517" s="114" t="n">
        <v>0</v>
      </c>
      <c r="J517" s="114" t="n">
        <v>1</v>
      </c>
      <c r="K517" s="112"/>
      <c r="L517" s="112"/>
    </row>
    <row r="518" customFormat="false" ht="15" hidden="false" customHeight="false" outlineLevel="0" collapsed="false">
      <c r="A518" s="112" t="s">
        <v>447</v>
      </c>
      <c r="B518" s="112" t="s">
        <v>1049</v>
      </c>
      <c r="C518" s="112" t="s">
        <v>443</v>
      </c>
      <c r="D518" s="112" t="s">
        <v>8</v>
      </c>
      <c r="E518" s="112" t="s">
        <v>1116</v>
      </c>
      <c r="F518" s="113" t="s">
        <v>75</v>
      </c>
      <c r="G518" s="112" t="s">
        <v>76</v>
      </c>
      <c r="H518" s="112" t="s">
        <v>398</v>
      </c>
      <c r="I518" s="114" t="n">
        <v>1</v>
      </c>
      <c r="J518" s="114" t="n">
        <v>0</v>
      </c>
      <c r="K518" s="112"/>
      <c r="L518" s="112"/>
    </row>
    <row r="519" customFormat="false" ht="15" hidden="false" customHeight="false" outlineLevel="0" collapsed="false">
      <c r="A519" s="112" t="s">
        <v>448</v>
      </c>
      <c r="B519" s="112" t="s">
        <v>1049</v>
      </c>
      <c r="C519" s="112" t="s">
        <v>443</v>
      </c>
      <c r="D519" s="112" t="s">
        <v>8</v>
      </c>
      <c r="E519" s="112" t="s">
        <v>1117</v>
      </c>
      <c r="F519" s="113" t="s">
        <v>75</v>
      </c>
      <c r="G519" s="112" t="s">
        <v>76</v>
      </c>
      <c r="H519" s="112" t="s">
        <v>398</v>
      </c>
      <c r="I519" s="114" t="n">
        <v>1</v>
      </c>
      <c r="J519" s="114" t="n">
        <v>0</v>
      </c>
      <c r="K519" s="112"/>
      <c r="L519" s="112"/>
    </row>
    <row r="520" customFormat="false" ht="15" hidden="false" customHeight="false" outlineLevel="0" collapsed="false">
      <c r="A520" s="112" t="s">
        <v>449</v>
      </c>
      <c r="B520" s="112" t="s">
        <v>1049</v>
      </c>
      <c r="C520" s="112" t="s">
        <v>443</v>
      </c>
      <c r="D520" s="112" t="s">
        <v>8</v>
      </c>
      <c r="E520" s="112" t="s">
        <v>1118</v>
      </c>
      <c r="F520" s="113" t="s">
        <v>75</v>
      </c>
      <c r="G520" s="112" t="s">
        <v>76</v>
      </c>
      <c r="H520" s="112" t="s">
        <v>398</v>
      </c>
      <c r="I520" s="114" t="n">
        <v>1</v>
      </c>
      <c r="J520" s="114" t="n">
        <v>0</v>
      </c>
      <c r="K520" s="112"/>
      <c r="L520" s="112"/>
    </row>
    <row r="521" customFormat="false" ht="15" hidden="false" customHeight="false" outlineLevel="0" collapsed="false">
      <c r="A521" s="112" t="s">
        <v>450</v>
      </c>
      <c r="B521" s="112" t="s">
        <v>1049</v>
      </c>
      <c r="C521" s="112" t="s">
        <v>443</v>
      </c>
      <c r="D521" s="112" t="s">
        <v>8</v>
      </c>
      <c r="E521" s="112" t="s">
        <v>1119</v>
      </c>
      <c r="F521" s="113" t="s">
        <v>75</v>
      </c>
      <c r="G521" s="112" t="s">
        <v>76</v>
      </c>
      <c r="H521" s="112" t="s">
        <v>398</v>
      </c>
      <c r="I521" s="114" t="n">
        <v>1</v>
      </c>
      <c r="J521" s="114" t="n">
        <v>0</v>
      </c>
      <c r="K521" s="112"/>
      <c r="L521" s="112"/>
    </row>
    <row r="522" customFormat="false" ht="15" hidden="false" customHeight="false" outlineLevel="0" collapsed="false">
      <c r="A522" s="112" t="s">
        <v>451</v>
      </c>
      <c r="B522" s="112" t="s">
        <v>1049</v>
      </c>
      <c r="C522" s="112" t="s">
        <v>443</v>
      </c>
      <c r="D522" s="112" t="s">
        <v>8</v>
      </c>
      <c r="E522" s="112" t="s">
        <v>1120</v>
      </c>
      <c r="F522" s="113" t="s">
        <v>75</v>
      </c>
      <c r="G522" s="112" t="s">
        <v>76</v>
      </c>
      <c r="H522" s="112" t="s">
        <v>398</v>
      </c>
      <c r="I522" s="114" t="n">
        <v>1</v>
      </c>
      <c r="J522" s="114" t="n">
        <v>0</v>
      </c>
      <c r="K522" s="112"/>
      <c r="L522" s="112"/>
    </row>
    <row r="523" customFormat="false" ht="15" hidden="false" customHeight="false" outlineLevel="0" collapsed="false">
      <c r="A523" s="112" t="s">
        <v>452</v>
      </c>
      <c r="B523" s="112" t="s">
        <v>1049</v>
      </c>
      <c r="C523" s="112" t="s">
        <v>443</v>
      </c>
      <c r="D523" s="112" t="s">
        <v>8</v>
      </c>
      <c r="E523" s="112" t="s">
        <v>1121</v>
      </c>
      <c r="F523" s="113" t="s">
        <v>75</v>
      </c>
      <c r="G523" s="112" t="s">
        <v>76</v>
      </c>
      <c r="H523" s="112" t="s">
        <v>398</v>
      </c>
      <c r="I523" s="114" t="n">
        <v>1</v>
      </c>
      <c r="J523" s="114" t="n">
        <v>0</v>
      </c>
      <c r="K523" s="112"/>
      <c r="L523" s="112"/>
    </row>
    <row r="524" customFormat="false" ht="15" hidden="false" customHeight="false" outlineLevel="0" collapsed="false">
      <c r="A524" s="112" t="s">
        <v>453</v>
      </c>
      <c r="B524" s="112" t="s">
        <v>1049</v>
      </c>
      <c r="C524" s="112" t="s">
        <v>443</v>
      </c>
      <c r="D524" s="112" t="s">
        <v>8</v>
      </c>
      <c r="E524" s="112" t="s">
        <v>1122</v>
      </c>
      <c r="F524" s="113" t="s">
        <v>75</v>
      </c>
      <c r="G524" s="112" t="s">
        <v>76</v>
      </c>
      <c r="H524" s="112" t="s">
        <v>398</v>
      </c>
      <c r="I524" s="114" t="n">
        <v>1</v>
      </c>
      <c r="J524" s="114" t="n">
        <v>0</v>
      </c>
      <c r="K524" s="112"/>
      <c r="L524" s="112"/>
    </row>
    <row r="525" customFormat="false" ht="15" hidden="false" customHeight="false" outlineLevel="0" collapsed="false">
      <c r="A525" s="112" t="s">
        <v>1123</v>
      </c>
      <c r="B525" s="112" t="s">
        <v>1049</v>
      </c>
      <c r="C525" s="112" t="s">
        <v>443</v>
      </c>
      <c r="D525" s="112" t="s">
        <v>8</v>
      </c>
      <c r="E525" s="112" t="s">
        <v>174</v>
      </c>
      <c r="F525" s="113" t="s">
        <v>53</v>
      </c>
      <c r="G525" s="112" t="s">
        <v>54</v>
      </c>
      <c r="H525" s="112" t="s">
        <v>398</v>
      </c>
      <c r="I525" s="114" t="n">
        <v>1</v>
      </c>
      <c r="J525" s="114" t="n">
        <v>0</v>
      </c>
      <c r="K525" s="112"/>
      <c r="L525" s="112"/>
    </row>
    <row r="526" customFormat="false" ht="15" hidden="false" customHeight="false" outlineLevel="0" collapsed="false">
      <c r="A526" s="112" t="s">
        <v>534</v>
      </c>
      <c r="B526" s="112" t="s">
        <v>1049</v>
      </c>
      <c r="C526" s="112" t="s">
        <v>443</v>
      </c>
      <c r="D526" s="112" t="s">
        <v>8</v>
      </c>
      <c r="E526" s="112" t="s">
        <v>179</v>
      </c>
      <c r="F526" s="113" t="s">
        <v>53</v>
      </c>
      <c r="G526" s="112" t="s">
        <v>54</v>
      </c>
      <c r="H526" s="112" t="s">
        <v>398</v>
      </c>
      <c r="I526" s="114" t="n">
        <v>1</v>
      </c>
      <c r="J526" s="114" t="n">
        <v>0</v>
      </c>
      <c r="K526" s="112"/>
      <c r="L526" s="112"/>
    </row>
    <row r="527" customFormat="false" ht="15" hidden="false" customHeight="false" outlineLevel="0" collapsed="false">
      <c r="A527" s="112" t="s">
        <v>505</v>
      </c>
      <c r="B527" s="112" t="s">
        <v>1049</v>
      </c>
      <c r="C527" s="112" t="s">
        <v>446</v>
      </c>
      <c r="D527" s="112" t="s">
        <v>9</v>
      </c>
      <c r="E527" s="112" t="s">
        <v>1124</v>
      </c>
      <c r="F527" s="113" t="s">
        <v>73</v>
      </c>
      <c r="G527" s="112" t="s">
        <v>74</v>
      </c>
      <c r="H527" s="112" t="s">
        <v>398</v>
      </c>
      <c r="I527" s="114" t="n">
        <v>0</v>
      </c>
      <c r="J527" s="114" t="n">
        <v>1</v>
      </c>
      <c r="K527" s="112" t="s">
        <v>401</v>
      </c>
      <c r="L527" s="112"/>
    </row>
    <row r="528" customFormat="false" ht="15" hidden="false" customHeight="false" outlineLevel="0" collapsed="false">
      <c r="A528" s="112" t="s">
        <v>508</v>
      </c>
      <c r="B528" s="112" t="s">
        <v>1049</v>
      </c>
      <c r="C528" s="112" t="s">
        <v>446</v>
      </c>
      <c r="D528" s="112" t="s">
        <v>9</v>
      </c>
      <c r="E528" s="112" t="s">
        <v>1125</v>
      </c>
      <c r="F528" s="113" t="s">
        <v>75</v>
      </c>
      <c r="G528" s="112" t="s">
        <v>76</v>
      </c>
      <c r="H528" s="112" t="s">
        <v>398</v>
      </c>
      <c r="I528" s="114" t="n">
        <v>1</v>
      </c>
      <c r="J528" s="114" t="n">
        <v>0</v>
      </c>
      <c r="K528" s="112"/>
      <c r="L528" s="112"/>
    </row>
    <row r="529" customFormat="false" ht="15" hidden="false" customHeight="false" outlineLevel="0" collapsed="false">
      <c r="A529" s="112" t="s">
        <v>510</v>
      </c>
      <c r="B529" s="112" t="s">
        <v>1049</v>
      </c>
      <c r="C529" s="112" t="s">
        <v>446</v>
      </c>
      <c r="D529" s="112" t="s">
        <v>9</v>
      </c>
      <c r="E529" s="112" t="s">
        <v>1126</v>
      </c>
      <c r="F529" s="113" t="s">
        <v>75</v>
      </c>
      <c r="G529" s="112" t="s">
        <v>76</v>
      </c>
      <c r="H529" s="112" t="s">
        <v>398</v>
      </c>
      <c r="I529" s="114" t="n">
        <v>1</v>
      </c>
      <c r="J529" s="114" t="n">
        <v>0</v>
      </c>
      <c r="K529" s="112"/>
      <c r="L529" s="112"/>
    </row>
    <row r="530" customFormat="false" ht="15" hidden="false" customHeight="false" outlineLevel="0" collapsed="false">
      <c r="A530" s="112" t="s">
        <v>689</v>
      </c>
      <c r="B530" s="112" t="s">
        <v>1049</v>
      </c>
      <c r="C530" s="112" t="s">
        <v>446</v>
      </c>
      <c r="D530" s="112" t="s">
        <v>9</v>
      </c>
      <c r="E530" s="112" t="s">
        <v>1127</v>
      </c>
      <c r="F530" s="113" t="s">
        <v>75</v>
      </c>
      <c r="G530" s="112" t="s">
        <v>76</v>
      </c>
      <c r="H530" s="112" t="s">
        <v>398</v>
      </c>
      <c r="I530" s="114" t="n">
        <v>1</v>
      </c>
      <c r="J530" s="114" t="n">
        <v>0</v>
      </c>
      <c r="K530" s="112"/>
      <c r="L530" s="112"/>
    </row>
    <row r="531" customFormat="false" ht="15" hidden="false" customHeight="false" outlineLevel="0" collapsed="false">
      <c r="A531" s="112" t="s">
        <v>570</v>
      </c>
      <c r="B531" s="112" t="s">
        <v>1049</v>
      </c>
      <c r="C531" s="112" t="s">
        <v>446</v>
      </c>
      <c r="D531" s="112" t="s">
        <v>9</v>
      </c>
      <c r="E531" s="112" t="s">
        <v>1128</v>
      </c>
      <c r="F531" s="113" t="s">
        <v>75</v>
      </c>
      <c r="G531" s="112" t="s">
        <v>76</v>
      </c>
      <c r="H531" s="112" t="s">
        <v>398</v>
      </c>
      <c r="I531" s="114" t="n">
        <v>1</v>
      </c>
      <c r="J531" s="114" t="n">
        <v>0</v>
      </c>
      <c r="K531" s="112"/>
      <c r="L531" s="112"/>
    </row>
    <row r="532" customFormat="false" ht="15" hidden="false" customHeight="false" outlineLevel="0" collapsed="false">
      <c r="A532" s="112" t="s">
        <v>869</v>
      </c>
      <c r="B532" s="112" t="s">
        <v>1049</v>
      </c>
      <c r="C532" s="112" t="s">
        <v>446</v>
      </c>
      <c r="D532" s="112" t="s">
        <v>9</v>
      </c>
      <c r="E532" s="112" t="s">
        <v>1129</v>
      </c>
      <c r="F532" s="113" t="s">
        <v>75</v>
      </c>
      <c r="G532" s="112" t="s">
        <v>76</v>
      </c>
      <c r="H532" s="112" t="s">
        <v>398</v>
      </c>
      <c r="I532" s="114" t="n">
        <v>1</v>
      </c>
      <c r="J532" s="114" t="n">
        <v>0</v>
      </c>
      <c r="K532" s="112"/>
      <c r="L532" s="112"/>
    </row>
    <row r="533" customFormat="false" ht="15" hidden="false" customHeight="false" outlineLevel="0" collapsed="false">
      <c r="A533" s="112" t="s">
        <v>644</v>
      </c>
      <c r="B533" s="112" t="s">
        <v>1049</v>
      </c>
      <c r="C533" s="112" t="s">
        <v>446</v>
      </c>
      <c r="D533" s="112" t="s">
        <v>9</v>
      </c>
      <c r="E533" s="112" t="s">
        <v>1130</v>
      </c>
      <c r="F533" s="113" t="s">
        <v>75</v>
      </c>
      <c r="G533" s="112" t="s">
        <v>76</v>
      </c>
      <c r="H533" s="112" t="s">
        <v>398</v>
      </c>
      <c r="I533" s="114" t="n">
        <v>1</v>
      </c>
      <c r="J533" s="114" t="n">
        <v>0</v>
      </c>
      <c r="K533" s="112"/>
      <c r="L533" s="112"/>
    </row>
    <row r="534" customFormat="false" ht="15" hidden="false" customHeight="false" outlineLevel="0" collapsed="false">
      <c r="A534" s="112" t="s">
        <v>872</v>
      </c>
      <c r="B534" s="112" t="s">
        <v>1049</v>
      </c>
      <c r="C534" s="112" t="s">
        <v>446</v>
      </c>
      <c r="D534" s="112" t="s">
        <v>9</v>
      </c>
      <c r="E534" s="112" t="s">
        <v>1131</v>
      </c>
      <c r="F534" s="113" t="s">
        <v>75</v>
      </c>
      <c r="G534" s="112" t="s">
        <v>76</v>
      </c>
      <c r="H534" s="112" t="s">
        <v>398</v>
      </c>
      <c r="I534" s="114" t="n">
        <v>1</v>
      </c>
      <c r="J534" s="114" t="n">
        <v>0</v>
      </c>
      <c r="K534" s="112"/>
      <c r="L534" s="112"/>
    </row>
    <row r="535" customFormat="false" ht="15" hidden="false" customHeight="false" outlineLevel="0" collapsed="false">
      <c r="A535" s="112" t="s">
        <v>874</v>
      </c>
      <c r="B535" s="112" t="s">
        <v>1049</v>
      </c>
      <c r="C535" s="112" t="s">
        <v>446</v>
      </c>
      <c r="D535" s="112" t="s">
        <v>9</v>
      </c>
      <c r="E535" s="112" t="s">
        <v>1132</v>
      </c>
      <c r="F535" s="113" t="s">
        <v>75</v>
      </c>
      <c r="G535" s="112" t="s">
        <v>76</v>
      </c>
      <c r="H535" s="112" t="s">
        <v>398</v>
      </c>
      <c r="I535" s="114" t="n">
        <v>1</v>
      </c>
      <c r="J535" s="114" t="n">
        <v>0</v>
      </c>
      <c r="K535" s="112"/>
      <c r="L535" s="112"/>
    </row>
    <row r="536" customFormat="false" ht="15" hidden="false" customHeight="false" outlineLevel="0" collapsed="false">
      <c r="A536" s="112" t="s">
        <v>1133</v>
      </c>
      <c r="B536" s="112" t="s">
        <v>1049</v>
      </c>
      <c r="C536" s="112" t="s">
        <v>446</v>
      </c>
      <c r="D536" s="112" t="s">
        <v>9</v>
      </c>
      <c r="E536" s="112" t="s">
        <v>181</v>
      </c>
      <c r="F536" s="113" t="s">
        <v>53</v>
      </c>
      <c r="G536" s="112" t="s">
        <v>54</v>
      </c>
      <c r="H536" s="112" t="s">
        <v>398</v>
      </c>
      <c r="I536" s="114" t="n">
        <v>1</v>
      </c>
      <c r="J536" s="114" t="n">
        <v>0</v>
      </c>
      <c r="K536" s="112"/>
      <c r="L536" s="112"/>
    </row>
    <row r="537" customFormat="false" ht="15" hidden="false" customHeight="false" outlineLevel="0" collapsed="false">
      <c r="A537" s="112" t="s">
        <v>1134</v>
      </c>
      <c r="B537" s="112" t="s">
        <v>1049</v>
      </c>
      <c r="C537" s="112" t="s">
        <v>446</v>
      </c>
      <c r="D537" s="112" t="s">
        <v>9</v>
      </c>
      <c r="E537" s="112" t="s">
        <v>184</v>
      </c>
      <c r="F537" s="113" t="s">
        <v>53</v>
      </c>
      <c r="G537" s="112" t="s">
        <v>54</v>
      </c>
      <c r="H537" s="112" t="s">
        <v>398</v>
      </c>
      <c r="I537" s="114" t="n">
        <v>1</v>
      </c>
      <c r="J537" s="114" t="n">
        <v>0</v>
      </c>
      <c r="K537" s="112"/>
      <c r="L537" s="112"/>
    </row>
    <row r="538" customFormat="false" ht="15" hidden="false" customHeight="false" outlineLevel="0" collapsed="false">
      <c r="A538" s="112" t="s">
        <v>1135</v>
      </c>
      <c r="B538" s="112" t="s">
        <v>1049</v>
      </c>
      <c r="C538" s="112" t="s">
        <v>446</v>
      </c>
      <c r="D538" s="112" t="s">
        <v>9</v>
      </c>
      <c r="E538" s="112" t="s">
        <v>186</v>
      </c>
      <c r="F538" s="113" t="s">
        <v>53</v>
      </c>
      <c r="G538" s="112" t="s">
        <v>54</v>
      </c>
      <c r="H538" s="112" t="s">
        <v>398</v>
      </c>
      <c r="I538" s="114" t="n">
        <v>1</v>
      </c>
      <c r="J538" s="114" t="n">
        <v>0</v>
      </c>
      <c r="K538" s="112"/>
      <c r="L538" s="112"/>
    </row>
    <row r="539" customFormat="false" ht="15" hidden="false" customHeight="false" outlineLevel="0" collapsed="false">
      <c r="A539" s="112" t="s">
        <v>402</v>
      </c>
      <c r="B539" s="112" t="s">
        <v>1049</v>
      </c>
      <c r="C539" s="112" t="s">
        <v>15</v>
      </c>
      <c r="D539" s="112" t="s">
        <v>15</v>
      </c>
      <c r="E539" s="112" t="s">
        <v>1136</v>
      </c>
      <c r="F539" s="113" t="s">
        <v>77</v>
      </c>
      <c r="G539" s="112" t="s">
        <v>78</v>
      </c>
      <c r="H539" s="112" t="s">
        <v>398</v>
      </c>
      <c r="I539" s="114" t="n">
        <v>1</v>
      </c>
      <c r="J539" s="114" t="n">
        <v>0</v>
      </c>
      <c r="K539" s="112"/>
      <c r="L539" s="112"/>
    </row>
    <row r="540" customFormat="false" ht="15" hidden="false" customHeight="false" outlineLevel="0" collapsed="false">
      <c r="A540" s="112" t="s">
        <v>405</v>
      </c>
      <c r="B540" s="112" t="s">
        <v>1049</v>
      </c>
      <c r="C540" s="112" t="s">
        <v>15</v>
      </c>
      <c r="D540" s="112" t="s">
        <v>15</v>
      </c>
      <c r="E540" s="112" t="s">
        <v>1137</v>
      </c>
      <c r="F540" s="113" t="s">
        <v>77</v>
      </c>
      <c r="G540" s="112" t="s">
        <v>78</v>
      </c>
      <c r="H540" s="112" t="s">
        <v>398</v>
      </c>
      <c r="I540" s="114" t="n">
        <v>1</v>
      </c>
      <c r="J540" s="114" t="n">
        <v>0</v>
      </c>
      <c r="K540" s="112"/>
      <c r="L540" s="112"/>
    </row>
    <row r="541" customFormat="false" ht="15" hidden="false" customHeight="false" outlineLevel="0" collapsed="false">
      <c r="A541" s="112" t="s">
        <v>407</v>
      </c>
      <c r="B541" s="112" t="s">
        <v>1049</v>
      </c>
      <c r="C541" s="112" t="s">
        <v>15</v>
      </c>
      <c r="D541" s="112" t="s">
        <v>15</v>
      </c>
      <c r="E541" s="112" t="s">
        <v>1138</v>
      </c>
      <c r="F541" s="113" t="s">
        <v>77</v>
      </c>
      <c r="G541" s="112" t="s">
        <v>78</v>
      </c>
      <c r="H541" s="112" t="s">
        <v>398</v>
      </c>
      <c r="I541" s="114" t="n">
        <v>1</v>
      </c>
      <c r="J541" s="114" t="n">
        <v>0</v>
      </c>
      <c r="K541" s="112"/>
      <c r="L541" s="112"/>
    </row>
    <row r="542" customFormat="false" ht="15" hidden="false" customHeight="false" outlineLevel="0" collapsed="false">
      <c r="A542" s="112" t="s">
        <v>409</v>
      </c>
      <c r="B542" s="112" t="s">
        <v>1049</v>
      </c>
      <c r="C542" s="112" t="s">
        <v>15</v>
      </c>
      <c r="D542" s="112" t="s">
        <v>15</v>
      </c>
      <c r="E542" s="112" t="s">
        <v>1139</v>
      </c>
      <c r="F542" s="113" t="s">
        <v>77</v>
      </c>
      <c r="G542" s="112" t="s">
        <v>78</v>
      </c>
      <c r="H542" s="112" t="s">
        <v>398</v>
      </c>
      <c r="I542" s="114" t="n">
        <v>1</v>
      </c>
      <c r="J542" s="114" t="n">
        <v>0</v>
      </c>
      <c r="K542" s="112"/>
      <c r="L542" s="112"/>
    </row>
    <row r="543" customFormat="false" ht="15" hidden="false" customHeight="false" outlineLevel="0" collapsed="false">
      <c r="A543" s="112" t="s">
        <v>411</v>
      </c>
      <c r="B543" s="112" t="s">
        <v>1049</v>
      </c>
      <c r="C543" s="112" t="s">
        <v>15</v>
      </c>
      <c r="D543" s="112" t="s">
        <v>15</v>
      </c>
      <c r="E543" s="112" t="s">
        <v>1140</v>
      </c>
      <c r="F543" s="113" t="s">
        <v>73</v>
      </c>
      <c r="G543" s="112" t="s">
        <v>74</v>
      </c>
      <c r="H543" s="112" t="s">
        <v>398</v>
      </c>
      <c r="I543" s="114" t="n">
        <v>1</v>
      </c>
      <c r="J543" s="114" t="n">
        <v>0</v>
      </c>
      <c r="K543" s="112"/>
      <c r="L543" s="112"/>
    </row>
    <row r="544" customFormat="false" ht="15" hidden="false" customHeight="false" outlineLevel="0" collapsed="false">
      <c r="A544" s="112" t="s">
        <v>413</v>
      </c>
      <c r="B544" s="112" t="s">
        <v>1049</v>
      </c>
      <c r="C544" s="112" t="s">
        <v>15</v>
      </c>
      <c r="D544" s="112" t="s">
        <v>15</v>
      </c>
      <c r="E544" s="112" t="s">
        <v>1141</v>
      </c>
      <c r="F544" s="113" t="s">
        <v>121</v>
      </c>
      <c r="G544" s="112" t="s">
        <v>122</v>
      </c>
      <c r="H544" s="112" t="s">
        <v>398</v>
      </c>
      <c r="I544" s="114" t="n">
        <v>1</v>
      </c>
      <c r="J544" s="114" t="n">
        <v>0</v>
      </c>
      <c r="K544" s="112"/>
      <c r="L544" s="112"/>
    </row>
    <row r="545" customFormat="false" ht="15" hidden="false" customHeight="false" outlineLevel="0" collapsed="false">
      <c r="A545" s="112" t="s">
        <v>629</v>
      </c>
      <c r="B545" s="112" t="s">
        <v>1049</v>
      </c>
      <c r="C545" s="112" t="s">
        <v>15</v>
      </c>
      <c r="D545" s="112" t="s">
        <v>15</v>
      </c>
      <c r="E545" s="112" t="s">
        <v>1142</v>
      </c>
      <c r="F545" s="113" t="s">
        <v>121</v>
      </c>
      <c r="G545" s="112" t="s">
        <v>122</v>
      </c>
      <c r="H545" s="112" t="s">
        <v>398</v>
      </c>
      <c r="I545" s="114" t="n">
        <v>1</v>
      </c>
      <c r="J545" s="114" t="n">
        <v>0</v>
      </c>
      <c r="K545" s="112"/>
      <c r="L545" s="112"/>
    </row>
    <row r="546" customFormat="false" ht="15" hidden="false" customHeight="false" outlineLevel="0" collapsed="false">
      <c r="A546" s="112" t="s">
        <v>572</v>
      </c>
      <c r="B546" s="112" t="s">
        <v>1049</v>
      </c>
      <c r="C546" s="112" t="s">
        <v>15</v>
      </c>
      <c r="D546" s="112" t="s">
        <v>15</v>
      </c>
      <c r="E546" s="112" t="s">
        <v>1143</v>
      </c>
      <c r="F546" s="113" t="s">
        <v>121</v>
      </c>
      <c r="G546" s="112" t="s">
        <v>122</v>
      </c>
      <c r="H546" s="112" t="s">
        <v>398</v>
      </c>
      <c r="I546" s="114" t="n">
        <v>0</v>
      </c>
      <c r="J546" s="114" t="n">
        <v>1</v>
      </c>
      <c r="K546" s="112"/>
      <c r="L546" s="112"/>
    </row>
    <row r="547" customFormat="false" ht="15" hidden="false" customHeight="false" outlineLevel="0" collapsed="false">
      <c r="A547" s="112" t="s">
        <v>693</v>
      </c>
      <c r="B547" s="112" t="s">
        <v>1049</v>
      </c>
      <c r="C547" s="112" t="s">
        <v>20</v>
      </c>
      <c r="D547" s="112" t="s">
        <v>20</v>
      </c>
      <c r="E547" s="112" t="s">
        <v>1144</v>
      </c>
      <c r="F547" s="113" t="s">
        <v>73</v>
      </c>
      <c r="G547" s="112" t="s">
        <v>74</v>
      </c>
      <c r="H547" s="112" t="s">
        <v>398</v>
      </c>
      <c r="I547" s="114" t="n">
        <v>0</v>
      </c>
      <c r="J547" s="114" t="n">
        <v>1</v>
      </c>
      <c r="K547" s="112"/>
      <c r="L547" s="112"/>
    </row>
    <row r="548" customFormat="false" ht="15" hidden="false" customHeight="false" outlineLevel="0" collapsed="false">
      <c r="A548" s="112" t="s">
        <v>1145</v>
      </c>
      <c r="B548" s="112" t="s">
        <v>1049</v>
      </c>
      <c r="C548" s="112" t="s">
        <v>20</v>
      </c>
      <c r="D548" s="112" t="s">
        <v>20</v>
      </c>
      <c r="E548" s="112" t="s">
        <v>1146</v>
      </c>
      <c r="F548" s="113" t="s">
        <v>77</v>
      </c>
      <c r="G548" s="112" t="s">
        <v>78</v>
      </c>
      <c r="H548" s="112" t="s">
        <v>398</v>
      </c>
      <c r="I548" s="114" t="n">
        <v>1</v>
      </c>
      <c r="J548" s="114" t="n">
        <v>0</v>
      </c>
      <c r="K548" s="112"/>
      <c r="L548" s="112"/>
    </row>
    <row r="549" customFormat="false" ht="15" hidden="false" customHeight="false" outlineLevel="0" collapsed="false">
      <c r="A549" s="112" t="s">
        <v>1147</v>
      </c>
      <c r="B549" s="112" t="s">
        <v>1049</v>
      </c>
      <c r="C549" s="112" t="s">
        <v>20</v>
      </c>
      <c r="D549" s="112" t="s">
        <v>20</v>
      </c>
      <c r="E549" s="112" t="s">
        <v>1148</v>
      </c>
      <c r="F549" s="113" t="s">
        <v>73</v>
      </c>
      <c r="G549" s="112" t="s">
        <v>74</v>
      </c>
      <c r="H549" s="112" t="s">
        <v>398</v>
      </c>
      <c r="I549" s="114" t="n">
        <v>1</v>
      </c>
      <c r="J549" s="114" t="n">
        <v>0</v>
      </c>
      <c r="K549" s="112"/>
      <c r="L549" s="112"/>
    </row>
    <row r="550" customFormat="false" ht="15" hidden="false" customHeight="false" outlineLevel="0" collapsed="false">
      <c r="A550" s="112" t="s">
        <v>1149</v>
      </c>
      <c r="B550" s="112" t="s">
        <v>1049</v>
      </c>
      <c r="C550" s="112" t="s">
        <v>20</v>
      </c>
      <c r="D550" s="112" t="s">
        <v>20</v>
      </c>
      <c r="E550" s="112" t="s">
        <v>1150</v>
      </c>
      <c r="F550" s="113" t="s">
        <v>73</v>
      </c>
      <c r="G550" s="112" t="s">
        <v>74</v>
      </c>
      <c r="H550" s="112" t="s">
        <v>398</v>
      </c>
      <c r="I550" s="114" t="n">
        <v>1</v>
      </c>
      <c r="J550" s="114" t="n">
        <v>0</v>
      </c>
      <c r="K550" s="112"/>
      <c r="L550" s="112"/>
    </row>
    <row r="551" customFormat="false" ht="15" hidden="false" customHeight="false" outlineLevel="0" collapsed="false">
      <c r="A551" s="112" t="s">
        <v>1151</v>
      </c>
      <c r="B551" s="112" t="s">
        <v>1049</v>
      </c>
      <c r="C551" s="112" t="s">
        <v>20</v>
      </c>
      <c r="D551" s="112" t="s">
        <v>20</v>
      </c>
      <c r="E551" s="112" t="s">
        <v>1152</v>
      </c>
      <c r="F551" s="113" t="s">
        <v>73</v>
      </c>
      <c r="G551" s="112" t="s">
        <v>74</v>
      </c>
      <c r="H551" s="112" t="s">
        <v>398</v>
      </c>
      <c r="I551" s="114" t="n">
        <v>1</v>
      </c>
      <c r="J551" s="114" t="n">
        <v>0</v>
      </c>
      <c r="K551" s="112"/>
      <c r="L551" s="112"/>
    </row>
    <row r="552" customFormat="false" ht="15" hidden="false" customHeight="false" outlineLevel="0" collapsed="false">
      <c r="A552" s="112" t="s">
        <v>772</v>
      </c>
      <c r="B552" s="112" t="s">
        <v>1049</v>
      </c>
      <c r="C552" s="112" t="s">
        <v>20</v>
      </c>
      <c r="D552" s="112" t="s">
        <v>20</v>
      </c>
      <c r="E552" s="112" t="s">
        <v>189</v>
      </c>
      <c r="F552" s="113" t="s">
        <v>53</v>
      </c>
      <c r="G552" s="112" t="s">
        <v>54</v>
      </c>
      <c r="H552" s="112" t="s">
        <v>398</v>
      </c>
      <c r="I552" s="114" t="n">
        <v>1</v>
      </c>
      <c r="J552" s="114" t="n">
        <v>1</v>
      </c>
      <c r="K552" s="112"/>
      <c r="L552" s="112"/>
    </row>
    <row r="553" customFormat="false" ht="15" hidden="false" customHeight="false" outlineLevel="0" collapsed="false">
      <c r="A553" s="112" t="s">
        <v>774</v>
      </c>
      <c r="B553" s="112" t="s">
        <v>1049</v>
      </c>
      <c r="C553" s="112" t="s">
        <v>20</v>
      </c>
      <c r="D553" s="112" t="s">
        <v>20</v>
      </c>
      <c r="E553" s="112" t="s">
        <v>191</v>
      </c>
      <c r="F553" s="113" t="s">
        <v>53</v>
      </c>
      <c r="G553" s="112" t="s">
        <v>54</v>
      </c>
      <c r="H553" s="112" t="s">
        <v>398</v>
      </c>
      <c r="I553" s="114" t="n">
        <v>1</v>
      </c>
      <c r="J553" s="114" t="n">
        <v>0</v>
      </c>
      <c r="K553" s="112"/>
      <c r="L553" s="112"/>
    </row>
    <row r="554" customFormat="false" ht="15" hidden="false" customHeight="false" outlineLevel="0" collapsed="false">
      <c r="A554" s="112" t="s">
        <v>776</v>
      </c>
      <c r="B554" s="112" t="s">
        <v>1049</v>
      </c>
      <c r="C554" s="112" t="s">
        <v>20</v>
      </c>
      <c r="D554" s="112" t="s">
        <v>20</v>
      </c>
      <c r="E554" s="112" t="s">
        <v>194</v>
      </c>
      <c r="F554" s="113" t="s">
        <v>53</v>
      </c>
      <c r="G554" s="112" t="s">
        <v>54</v>
      </c>
      <c r="H554" s="112" t="s">
        <v>398</v>
      </c>
      <c r="I554" s="114" t="n">
        <v>1</v>
      </c>
      <c r="J554" s="114" t="n">
        <v>0</v>
      </c>
      <c r="K554" s="112"/>
      <c r="L554" s="112"/>
    </row>
    <row r="555" customFormat="false" ht="15" hidden="false" customHeight="false" outlineLevel="0" collapsed="false">
      <c r="A555" s="112" t="s">
        <v>778</v>
      </c>
      <c r="B555" s="112" t="s">
        <v>1049</v>
      </c>
      <c r="C555" s="112" t="s">
        <v>20</v>
      </c>
      <c r="D555" s="112" t="s">
        <v>20</v>
      </c>
      <c r="E555" s="112" t="s">
        <v>195</v>
      </c>
      <c r="F555" s="113" t="s">
        <v>53</v>
      </c>
      <c r="G555" s="112" t="s">
        <v>54</v>
      </c>
      <c r="H555" s="112" t="s">
        <v>398</v>
      </c>
      <c r="I555" s="114" t="n">
        <v>0</v>
      </c>
      <c r="J555" s="114" t="n">
        <v>1</v>
      </c>
      <c r="K555" s="112"/>
      <c r="L555" s="112"/>
    </row>
    <row r="556" customFormat="false" ht="15" hidden="false" customHeight="false" outlineLevel="0" collapsed="false">
      <c r="A556" s="112" t="s">
        <v>1153</v>
      </c>
      <c r="B556" s="112" t="s">
        <v>1049</v>
      </c>
      <c r="C556" s="112" t="s">
        <v>20</v>
      </c>
      <c r="D556" s="112" t="s">
        <v>20</v>
      </c>
      <c r="E556" s="112" t="s">
        <v>196</v>
      </c>
      <c r="F556" s="113" t="s">
        <v>53</v>
      </c>
      <c r="G556" s="112" t="s">
        <v>54</v>
      </c>
      <c r="H556" s="112" t="s">
        <v>398</v>
      </c>
      <c r="I556" s="114" t="n">
        <v>1</v>
      </c>
      <c r="J556" s="114" t="n">
        <v>0</v>
      </c>
      <c r="K556" s="112"/>
      <c r="L556" s="112"/>
    </row>
    <row r="557" customFormat="false" ht="15" hidden="false" customHeight="false" outlineLevel="0" collapsed="false">
      <c r="A557" s="112" t="s">
        <v>1154</v>
      </c>
      <c r="B557" s="112" t="s">
        <v>1049</v>
      </c>
      <c r="C557" s="112" t="s">
        <v>20</v>
      </c>
      <c r="D557" s="112" t="s">
        <v>20</v>
      </c>
      <c r="E557" s="112" t="s">
        <v>198</v>
      </c>
      <c r="F557" s="113" t="s">
        <v>53</v>
      </c>
      <c r="G557" s="112" t="s">
        <v>54</v>
      </c>
      <c r="H557" s="112" t="s">
        <v>398</v>
      </c>
      <c r="I557" s="114" t="n">
        <v>0</v>
      </c>
      <c r="J557" s="114" t="n">
        <v>1</v>
      </c>
      <c r="K557" s="112"/>
      <c r="L557" s="112"/>
    </row>
    <row r="558" customFormat="false" ht="15" hidden="false" customHeight="false" outlineLevel="0" collapsed="false">
      <c r="A558" s="112" t="s">
        <v>1155</v>
      </c>
      <c r="B558" s="112" t="s">
        <v>1049</v>
      </c>
      <c r="C558" s="112" t="s">
        <v>20</v>
      </c>
      <c r="D558" s="112" t="s">
        <v>20</v>
      </c>
      <c r="E558" s="112" t="s">
        <v>200</v>
      </c>
      <c r="F558" s="113" t="s">
        <v>53</v>
      </c>
      <c r="G558" s="112" t="s">
        <v>54</v>
      </c>
      <c r="H558" s="112" t="s">
        <v>398</v>
      </c>
      <c r="I558" s="114" t="n">
        <v>1</v>
      </c>
      <c r="J558" s="114" t="n">
        <v>0</v>
      </c>
      <c r="K558" s="112"/>
      <c r="L558" s="112"/>
    </row>
    <row r="559" customFormat="false" ht="15" hidden="false" customHeight="false" outlineLevel="0" collapsed="false">
      <c r="A559" s="112" t="s">
        <v>1156</v>
      </c>
      <c r="B559" s="112" t="s">
        <v>1049</v>
      </c>
      <c r="C559" s="112" t="s">
        <v>20</v>
      </c>
      <c r="D559" s="112" t="s">
        <v>20</v>
      </c>
      <c r="E559" s="112" t="s">
        <v>1157</v>
      </c>
      <c r="F559" s="113" t="s">
        <v>121</v>
      </c>
      <c r="G559" s="112" t="s">
        <v>122</v>
      </c>
      <c r="H559" s="112" t="s">
        <v>398</v>
      </c>
      <c r="I559" s="114" t="n">
        <v>1</v>
      </c>
      <c r="J559" s="114" t="n">
        <v>0</v>
      </c>
      <c r="K559" s="112"/>
      <c r="L559" s="112"/>
    </row>
    <row r="560" customFormat="false" ht="15" hidden="false" customHeight="false" outlineLevel="0" collapsed="false">
      <c r="A560" s="112" t="s">
        <v>1158</v>
      </c>
      <c r="B560" s="112" t="s">
        <v>1049</v>
      </c>
      <c r="C560" s="112" t="s">
        <v>20</v>
      </c>
      <c r="D560" s="112" t="s">
        <v>20</v>
      </c>
      <c r="E560" s="112" t="s">
        <v>1159</v>
      </c>
      <c r="F560" s="113" t="s">
        <v>107</v>
      </c>
      <c r="G560" s="112" t="s">
        <v>108</v>
      </c>
      <c r="H560" s="112" t="s">
        <v>398</v>
      </c>
      <c r="I560" s="114" t="n">
        <v>1</v>
      </c>
      <c r="J560" s="114" t="n">
        <v>0</v>
      </c>
      <c r="K560" s="112"/>
      <c r="L560" s="112"/>
    </row>
    <row r="561" customFormat="false" ht="15" hidden="false" customHeight="false" outlineLevel="0" collapsed="false">
      <c r="A561" s="112" t="s">
        <v>462</v>
      </c>
      <c r="B561" s="112" t="s">
        <v>1049</v>
      </c>
      <c r="C561" s="112" t="s">
        <v>18</v>
      </c>
      <c r="D561" s="112" t="s">
        <v>18</v>
      </c>
      <c r="E561" s="112" t="s">
        <v>1160</v>
      </c>
      <c r="F561" s="113" t="s">
        <v>73</v>
      </c>
      <c r="G561" s="112" t="s">
        <v>74</v>
      </c>
      <c r="H561" s="112" t="s">
        <v>398</v>
      </c>
      <c r="I561" s="114" t="n">
        <v>1</v>
      </c>
      <c r="J561" s="114" t="n">
        <v>0</v>
      </c>
      <c r="K561" s="112"/>
      <c r="L561" s="112"/>
    </row>
    <row r="562" customFormat="false" ht="15" hidden="false" customHeight="false" outlineLevel="0" collapsed="false">
      <c r="A562" s="112" t="s">
        <v>459</v>
      </c>
      <c r="B562" s="112" t="s">
        <v>1049</v>
      </c>
      <c r="C562" s="112" t="s">
        <v>11</v>
      </c>
      <c r="D562" s="112" t="s">
        <v>11</v>
      </c>
      <c r="E562" s="112" t="s">
        <v>1161</v>
      </c>
      <c r="F562" s="113" t="s">
        <v>73</v>
      </c>
      <c r="G562" s="112" t="s">
        <v>74</v>
      </c>
      <c r="H562" s="112" t="s">
        <v>398</v>
      </c>
      <c r="I562" s="114" t="n">
        <v>1</v>
      </c>
      <c r="J562" s="114" t="n">
        <v>0</v>
      </c>
      <c r="K562" s="112"/>
      <c r="L562" s="112"/>
    </row>
    <row r="563" customFormat="false" ht="15" hidden="false" customHeight="false" outlineLevel="0" collapsed="false">
      <c r="A563" s="112" t="s">
        <v>1162</v>
      </c>
      <c r="B563" s="112" t="s">
        <v>1049</v>
      </c>
      <c r="C563" s="112" t="s">
        <v>28</v>
      </c>
      <c r="D563" s="112" t="s">
        <v>28</v>
      </c>
      <c r="E563" s="112" t="s">
        <v>1163</v>
      </c>
      <c r="F563" s="113" t="s">
        <v>105</v>
      </c>
      <c r="G563" s="112" t="s">
        <v>106</v>
      </c>
      <c r="H563" s="112" t="s">
        <v>398</v>
      </c>
      <c r="I563" s="114" t="n">
        <v>0</v>
      </c>
      <c r="J563" s="114" t="n">
        <v>1</v>
      </c>
      <c r="K563" s="112" t="s">
        <v>401</v>
      </c>
      <c r="L563" s="112"/>
    </row>
    <row r="564" customFormat="false" ht="15" hidden="false" customHeight="false" outlineLevel="0" collapsed="false">
      <c r="A564" s="112" t="s">
        <v>1164</v>
      </c>
      <c r="B564" s="112" t="s">
        <v>1049</v>
      </c>
      <c r="C564" s="112" t="s">
        <v>28</v>
      </c>
      <c r="D564" s="112" t="s">
        <v>28</v>
      </c>
      <c r="E564" s="112" t="s">
        <v>1165</v>
      </c>
      <c r="F564" s="113" t="s">
        <v>105</v>
      </c>
      <c r="G564" s="112" t="s">
        <v>106</v>
      </c>
      <c r="H564" s="112" t="s">
        <v>398</v>
      </c>
      <c r="I564" s="114" t="n">
        <v>1</v>
      </c>
      <c r="J564" s="114" t="n">
        <v>0</v>
      </c>
      <c r="K564" s="112"/>
      <c r="L564" s="112"/>
    </row>
    <row r="565" customFormat="false" ht="15" hidden="false" customHeight="false" outlineLevel="0" collapsed="false">
      <c r="A565" s="112" t="s">
        <v>1166</v>
      </c>
      <c r="B565" s="112" t="s">
        <v>1049</v>
      </c>
      <c r="C565" s="112" t="s">
        <v>28</v>
      </c>
      <c r="D565" s="112" t="s">
        <v>28</v>
      </c>
      <c r="E565" s="112" t="s">
        <v>1167</v>
      </c>
      <c r="F565" s="113" t="s">
        <v>105</v>
      </c>
      <c r="G565" s="112" t="s">
        <v>106</v>
      </c>
      <c r="H565" s="112" t="s">
        <v>398</v>
      </c>
      <c r="I565" s="114" t="n">
        <v>1</v>
      </c>
      <c r="J565" s="114" t="n">
        <v>0</v>
      </c>
      <c r="K565" s="112"/>
      <c r="L565" s="112"/>
    </row>
    <row r="566" customFormat="false" ht="15" hidden="false" customHeight="false" outlineLevel="0" collapsed="false">
      <c r="A566" s="112" t="s">
        <v>527</v>
      </c>
      <c r="B566" s="112" t="s">
        <v>1049</v>
      </c>
      <c r="C566" s="112" t="s">
        <v>1168</v>
      </c>
      <c r="D566" s="112" t="s">
        <v>41</v>
      </c>
      <c r="E566" s="112" t="s">
        <v>1169</v>
      </c>
      <c r="F566" s="113" t="s">
        <v>87</v>
      </c>
      <c r="G566" s="112" t="s">
        <v>88</v>
      </c>
      <c r="H566" s="112" t="s">
        <v>398</v>
      </c>
      <c r="I566" s="114" t="n">
        <v>0</v>
      </c>
      <c r="J566" s="114" t="n">
        <v>1</v>
      </c>
      <c r="K566" s="112" t="s">
        <v>401</v>
      </c>
      <c r="L566" s="112"/>
    </row>
    <row r="567" customFormat="false" ht="15" hidden="false" customHeight="false" outlineLevel="0" collapsed="false">
      <c r="A567" s="112" t="s">
        <v>528</v>
      </c>
      <c r="B567" s="112" t="s">
        <v>1049</v>
      </c>
      <c r="C567" s="112" t="s">
        <v>1168</v>
      </c>
      <c r="D567" s="112" t="s">
        <v>41</v>
      </c>
      <c r="E567" s="112" t="s">
        <v>1170</v>
      </c>
      <c r="F567" s="113" t="s">
        <v>87</v>
      </c>
      <c r="G567" s="112" t="s">
        <v>88</v>
      </c>
      <c r="H567" s="112" t="s">
        <v>398</v>
      </c>
      <c r="I567" s="114" t="n">
        <v>1</v>
      </c>
      <c r="J567" s="114" t="n">
        <v>1</v>
      </c>
      <c r="K567" s="112"/>
      <c r="L567" s="112"/>
    </row>
    <row r="568" customFormat="false" ht="15" hidden="false" customHeight="false" outlineLevel="0" collapsed="false">
      <c r="A568" s="112" t="s">
        <v>529</v>
      </c>
      <c r="B568" s="112" t="s">
        <v>1049</v>
      </c>
      <c r="C568" s="112" t="s">
        <v>1168</v>
      </c>
      <c r="D568" s="112" t="s">
        <v>41</v>
      </c>
      <c r="E568" s="112" t="s">
        <v>1171</v>
      </c>
      <c r="F568" s="113" t="s">
        <v>87</v>
      </c>
      <c r="G568" s="112" t="s">
        <v>88</v>
      </c>
      <c r="H568" s="112" t="s">
        <v>398</v>
      </c>
      <c r="I568" s="114" t="n">
        <v>1</v>
      </c>
      <c r="J568" s="114" t="n">
        <v>0</v>
      </c>
      <c r="K568" s="112"/>
      <c r="L568" s="112"/>
    </row>
    <row r="569" customFormat="false" ht="15" hidden="false" customHeight="false" outlineLevel="0" collapsed="false">
      <c r="A569" s="112" t="s">
        <v>1172</v>
      </c>
      <c r="B569" s="112" t="s">
        <v>1049</v>
      </c>
      <c r="C569" s="112" t="s">
        <v>1168</v>
      </c>
      <c r="D569" s="112" t="s">
        <v>41</v>
      </c>
      <c r="E569" s="112" t="s">
        <v>1173</v>
      </c>
      <c r="F569" s="113" t="s">
        <v>87</v>
      </c>
      <c r="G569" s="112" t="s">
        <v>88</v>
      </c>
      <c r="H569" s="112" t="s">
        <v>398</v>
      </c>
      <c r="I569" s="114" t="n">
        <v>0</v>
      </c>
      <c r="J569" s="114" t="n">
        <v>1</v>
      </c>
      <c r="K569" s="112" t="s">
        <v>401</v>
      </c>
      <c r="L569" s="112"/>
    </row>
    <row r="570" customFormat="false" ht="15" hidden="false" customHeight="false" outlineLevel="0" collapsed="false">
      <c r="A570" s="112" t="s">
        <v>1174</v>
      </c>
      <c r="B570" s="112" t="s">
        <v>1049</v>
      </c>
      <c r="C570" s="112" t="s">
        <v>1168</v>
      </c>
      <c r="D570" s="112" t="s">
        <v>41</v>
      </c>
      <c r="E570" s="112" t="s">
        <v>1175</v>
      </c>
      <c r="F570" s="113" t="s">
        <v>87</v>
      </c>
      <c r="G570" s="112" t="s">
        <v>88</v>
      </c>
      <c r="H570" s="112" t="s">
        <v>398</v>
      </c>
      <c r="I570" s="114" t="n">
        <v>0</v>
      </c>
      <c r="J570" s="114" t="n">
        <v>1</v>
      </c>
      <c r="K570" s="112"/>
      <c r="L570" s="112"/>
    </row>
    <row r="571" customFormat="false" ht="15" hidden="false" customHeight="false" outlineLevel="0" collapsed="false">
      <c r="A571" s="112" t="s">
        <v>1176</v>
      </c>
      <c r="B571" s="112" t="s">
        <v>1049</v>
      </c>
      <c r="C571" s="112" t="s">
        <v>1168</v>
      </c>
      <c r="D571" s="112" t="s">
        <v>41</v>
      </c>
      <c r="E571" s="112" t="s">
        <v>1177</v>
      </c>
      <c r="F571" s="113" t="s">
        <v>87</v>
      </c>
      <c r="G571" s="112" t="s">
        <v>88</v>
      </c>
      <c r="H571" s="112" t="s">
        <v>398</v>
      </c>
      <c r="I571" s="114" t="n">
        <v>1</v>
      </c>
      <c r="J571" s="114" t="n">
        <v>0</v>
      </c>
      <c r="K571" s="112"/>
      <c r="L571" s="112"/>
    </row>
    <row r="572" customFormat="false" ht="15" hidden="false" customHeight="false" outlineLevel="0" collapsed="false">
      <c r="A572" s="112" t="s">
        <v>415</v>
      </c>
      <c r="B572" s="112" t="s">
        <v>1049</v>
      </c>
      <c r="C572" s="112" t="s">
        <v>12</v>
      </c>
      <c r="D572" s="112" t="s">
        <v>12</v>
      </c>
      <c r="E572" s="112" t="s">
        <v>1178</v>
      </c>
      <c r="F572" s="113" t="s">
        <v>73</v>
      </c>
      <c r="G572" s="112" t="s">
        <v>74</v>
      </c>
      <c r="H572" s="112" t="s">
        <v>398</v>
      </c>
      <c r="I572" s="114" t="n">
        <v>1</v>
      </c>
      <c r="J572" s="114" t="n">
        <v>0</v>
      </c>
      <c r="K572" s="112"/>
      <c r="L572" s="112"/>
    </row>
    <row r="573" customFormat="false" ht="15" hidden="false" customHeight="false" outlineLevel="0" collapsed="false">
      <c r="A573" s="112" t="s">
        <v>996</v>
      </c>
      <c r="B573" s="112" t="s">
        <v>1049</v>
      </c>
      <c r="C573" s="112" t="s">
        <v>12</v>
      </c>
      <c r="D573" s="112" t="s">
        <v>12</v>
      </c>
      <c r="E573" s="112" t="s">
        <v>1179</v>
      </c>
      <c r="F573" s="113" t="s">
        <v>73</v>
      </c>
      <c r="G573" s="112" t="s">
        <v>74</v>
      </c>
      <c r="H573" s="112" t="s">
        <v>398</v>
      </c>
      <c r="I573" s="114" t="n">
        <v>1</v>
      </c>
      <c r="J573" s="114" t="n">
        <v>0</v>
      </c>
      <c r="K573" s="112"/>
      <c r="L573" s="112"/>
    </row>
    <row r="574" customFormat="false" ht="15" hidden="false" customHeight="false" outlineLevel="0" collapsed="false">
      <c r="A574" s="112" t="s">
        <v>642</v>
      </c>
      <c r="B574" s="112" t="s">
        <v>1049</v>
      </c>
      <c r="C574" s="112" t="s">
        <v>12</v>
      </c>
      <c r="D574" s="112" t="s">
        <v>12</v>
      </c>
      <c r="E574" s="112" t="s">
        <v>1180</v>
      </c>
      <c r="F574" s="113" t="s">
        <v>75</v>
      </c>
      <c r="G574" s="112" t="s">
        <v>76</v>
      </c>
      <c r="H574" s="112" t="s">
        <v>398</v>
      </c>
      <c r="I574" s="114" t="n">
        <v>1</v>
      </c>
      <c r="J574" s="114" t="n">
        <v>0</v>
      </c>
      <c r="K574" s="112"/>
      <c r="L574" s="112"/>
    </row>
    <row r="575" customFormat="false" ht="15" hidden="false" customHeight="false" outlineLevel="0" collapsed="false">
      <c r="A575" s="112" t="s">
        <v>498</v>
      </c>
      <c r="B575" s="112" t="s">
        <v>1049</v>
      </c>
      <c r="C575" s="112" t="s">
        <v>12</v>
      </c>
      <c r="D575" s="112" t="s">
        <v>12</v>
      </c>
      <c r="E575" s="112" t="s">
        <v>1181</v>
      </c>
      <c r="F575" s="113" t="s">
        <v>73</v>
      </c>
      <c r="G575" s="112" t="s">
        <v>74</v>
      </c>
      <c r="H575" s="112" t="s">
        <v>398</v>
      </c>
      <c r="I575" s="114" t="n">
        <v>1</v>
      </c>
      <c r="J575" s="114" t="n">
        <v>0</v>
      </c>
      <c r="K575" s="112"/>
      <c r="L575" s="112"/>
    </row>
    <row r="576" customFormat="false" ht="15" hidden="false" customHeight="false" outlineLevel="0" collapsed="false">
      <c r="A576" s="112" t="s">
        <v>516</v>
      </c>
      <c r="B576" s="112" t="s">
        <v>1182</v>
      </c>
      <c r="C576" s="112" t="s">
        <v>19</v>
      </c>
      <c r="D576" s="112" t="s">
        <v>19</v>
      </c>
      <c r="E576" s="112" t="s">
        <v>368</v>
      </c>
      <c r="F576" s="113" t="s">
        <v>59</v>
      </c>
      <c r="G576" s="112" t="s">
        <v>60</v>
      </c>
      <c r="H576" s="112" t="s">
        <v>398</v>
      </c>
      <c r="I576" s="114" t="n">
        <v>1</v>
      </c>
      <c r="J576" s="114" t="n">
        <v>0</v>
      </c>
      <c r="K576" s="112"/>
      <c r="L576" s="112"/>
    </row>
    <row r="577" customFormat="false" ht="15" hidden="false" customHeight="false" outlineLevel="0" collapsed="false">
      <c r="A577" s="112" t="s">
        <v>1023</v>
      </c>
      <c r="B577" s="112" t="s">
        <v>1182</v>
      </c>
      <c r="C577" s="112" t="s">
        <v>19</v>
      </c>
      <c r="D577" s="112" t="s">
        <v>19</v>
      </c>
      <c r="E577" s="112" t="s">
        <v>330</v>
      </c>
      <c r="F577" s="113" t="s">
        <v>85</v>
      </c>
      <c r="G577" s="112" t="s">
        <v>86</v>
      </c>
      <c r="H577" s="112" t="s">
        <v>398</v>
      </c>
      <c r="I577" s="114" t="n">
        <v>1</v>
      </c>
      <c r="J577" s="114" t="n">
        <v>0</v>
      </c>
      <c r="K577" s="112"/>
      <c r="L577" s="112"/>
    </row>
    <row r="578" customFormat="false" ht="15" hidden="false" customHeight="false" outlineLevel="0" collapsed="false">
      <c r="A578" s="112" t="s">
        <v>1025</v>
      </c>
      <c r="B578" s="112" t="s">
        <v>1182</v>
      </c>
      <c r="C578" s="112" t="s">
        <v>19</v>
      </c>
      <c r="D578" s="112" t="s">
        <v>19</v>
      </c>
      <c r="E578" s="112" t="s">
        <v>336</v>
      </c>
      <c r="F578" s="113" t="s">
        <v>85</v>
      </c>
      <c r="G578" s="112" t="s">
        <v>86</v>
      </c>
      <c r="H578" s="112" t="s">
        <v>398</v>
      </c>
      <c r="I578" s="114" t="n">
        <v>1</v>
      </c>
      <c r="J578" s="114" t="n">
        <v>0</v>
      </c>
      <c r="K578" s="112"/>
      <c r="L578" s="112"/>
    </row>
    <row r="579" customFormat="false" ht="15" hidden="false" customHeight="false" outlineLevel="0" collapsed="false">
      <c r="A579" s="112" t="s">
        <v>1027</v>
      </c>
      <c r="B579" s="112" t="s">
        <v>1182</v>
      </c>
      <c r="C579" s="112" t="s">
        <v>19</v>
      </c>
      <c r="D579" s="112" t="s">
        <v>19</v>
      </c>
      <c r="E579" s="112" t="s">
        <v>1183</v>
      </c>
      <c r="F579" s="113" t="s">
        <v>119</v>
      </c>
      <c r="G579" s="112" t="s">
        <v>120</v>
      </c>
      <c r="H579" s="112" t="s">
        <v>398</v>
      </c>
      <c r="I579" s="114" t="n">
        <v>1</v>
      </c>
      <c r="J579" s="114" t="n">
        <v>0</v>
      </c>
      <c r="K579" s="112"/>
      <c r="L579" s="112"/>
    </row>
    <row r="580" customFormat="false" ht="15" hidden="false" customHeight="false" outlineLevel="0" collapsed="false">
      <c r="A580" s="112" t="s">
        <v>1029</v>
      </c>
      <c r="B580" s="112" t="s">
        <v>1182</v>
      </c>
      <c r="C580" s="112" t="s">
        <v>19</v>
      </c>
      <c r="D580" s="112" t="s">
        <v>19</v>
      </c>
      <c r="E580" s="112" t="s">
        <v>1184</v>
      </c>
      <c r="F580" s="113" t="s">
        <v>119</v>
      </c>
      <c r="G580" s="112" t="s">
        <v>120</v>
      </c>
      <c r="H580" s="112" t="s">
        <v>398</v>
      </c>
      <c r="I580" s="114" t="n">
        <v>1</v>
      </c>
      <c r="J580" s="114" t="n">
        <v>0</v>
      </c>
      <c r="K580" s="112"/>
      <c r="L580" s="112"/>
    </row>
    <row r="581" customFormat="false" ht="15" hidden="false" customHeight="false" outlineLevel="0" collapsed="false">
      <c r="A581" s="112" t="s">
        <v>512</v>
      </c>
      <c r="B581" s="112" t="s">
        <v>1182</v>
      </c>
      <c r="C581" s="112" t="s">
        <v>1185</v>
      </c>
      <c r="D581" s="112" t="s">
        <v>27</v>
      </c>
      <c r="E581" s="112" t="s">
        <v>374</v>
      </c>
      <c r="F581" s="113" t="s">
        <v>85</v>
      </c>
      <c r="G581" s="112" t="s">
        <v>86</v>
      </c>
      <c r="H581" s="112" t="s">
        <v>398</v>
      </c>
      <c r="I581" s="114" t="n">
        <v>0</v>
      </c>
      <c r="J581" s="114" t="n">
        <v>1</v>
      </c>
      <c r="K581" s="112"/>
      <c r="L581" s="112"/>
    </row>
    <row r="582" customFormat="false" ht="15" hidden="false" customHeight="false" outlineLevel="0" collapsed="false">
      <c r="A582" s="112" t="s">
        <v>1186</v>
      </c>
      <c r="B582" s="112" t="s">
        <v>1182</v>
      </c>
      <c r="C582" s="112" t="s">
        <v>1185</v>
      </c>
      <c r="D582" s="112" t="s">
        <v>27</v>
      </c>
      <c r="E582" s="112" t="s">
        <v>367</v>
      </c>
      <c r="F582" s="113" t="s">
        <v>85</v>
      </c>
      <c r="G582" s="112" t="s">
        <v>86</v>
      </c>
      <c r="H582" s="112" t="s">
        <v>398</v>
      </c>
      <c r="I582" s="114" t="n">
        <v>1</v>
      </c>
      <c r="J582" s="114" t="n">
        <v>0</v>
      </c>
      <c r="K582" s="112"/>
      <c r="L582" s="112"/>
    </row>
    <row r="583" customFormat="false" ht="15" hidden="false" customHeight="false" outlineLevel="0" collapsed="false">
      <c r="A583" s="112" t="s">
        <v>1187</v>
      </c>
      <c r="B583" s="112" t="s">
        <v>1182</v>
      </c>
      <c r="C583" s="112" t="s">
        <v>1188</v>
      </c>
      <c r="D583" s="112" t="s">
        <v>26</v>
      </c>
      <c r="E583" s="112" t="s">
        <v>361</v>
      </c>
      <c r="F583" s="113" t="s">
        <v>85</v>
      </c>
      <c r="G583" s="112" t="s">
        <v>86</v>
      </c>
      <c r="H583" s="112" t="s">
        <v>398</v>
      </c>
      <c r="I583" s="114" t="n">
        <v>1</v>
      </c>
      <c r="J583" s="114" t="n">
        <v>0</v>
      </c>
      <c r="K583" s="112"/>
      <c r="L583" s="112"/>
    </row>
    <row r="584" customFormat="false" ht="15" hidden="false" customHeight="false" outlineLevel="0" collapsed="false">
      <c r="A584" s="112" t="s">
        <v>758</v>
      </c>
      <c r="B584" s="112" t="s">
        <v>1182</v>
      </c>
      <c r="C584" s="112" t="s">
        <v>403</v>
      </c>
      <c r="D584" s="112" t="s">
        <v>22</v>
      </c>
      <c r="E584" s="112" t="s">
        <v>1189</v>
      </c>
      <c r="F584" s="113" t="s">
        <v>119</v>
      </c>
      <c r="G584" s="112" t="s">
        <v>120</v>
      </c>
      <c r="H584" s="112" t="s">
        <v>398</v>
      </c>
      <c r="I584" s="114" t="n">
        <v>1</v>
      </c>
      <c r="J584" s="114" t="n">
        <v>1</v>
      </c>
      <c r="K584" s="112"/>
      <c r="L584" s="112"/>
    </row>
    <row r="585" customFormat="false" ht="15" hidden="false" customHeight="false" outlineLevel="0" collapsed="false">
      <c r="A585" s="112" t="s">
        <v>1038</v>
      </c>
      <c r="B585" s="112" t="s">
        <v>1182</v>
      </c>
      <c r="C585" s="112" t="s">
        <v>13</v>
      </c>
      <c r="D585" s="112" t="s">
        <v>13</v>
      </c>
      <c r="E585" s="112" t="s">
        <v>229</v>
      </c>
      <c r="F585" s="113" t="s">
        <v>55</v>
      </c>
      <c r="G585" s="112" t="s">
        <v>56</v>
      </c>
      <c r="H585" s="112" t="s">
        <v>398</v>
      </c>
      <c r="I585" s="114" t="n">
        <v>1</v>
      </c>
      <c r="J585" s="114" t="n">
        <v>0</v>
      </c>
      <c r="K585" s="112"/>
      <c r="L585" s="112"/>
    </row>
    <row r="586" customFormat="false" ht="15" hidden="false" customHeight="false" outlineLevel="0" collapsed="false">
      <c r="A586" s="112" t="s">
        <v>1040</v>
      </c>
      <c r="B586" s="112" t="s">
        <v>1182</v>
      </c>
      <c r="C586" s="112" t="s">
        <v>13</v>
      </c>
      <c r="D586" s="112" t="s">
        <v>13</v>
      </c>
      <c r="E586" s="112" t="s">
        <v>231</v>
      </c>
      <c r="F586" s="113" t="s">
        <v>55</v>
      </c>
      <c r="G586" s="112" t="s">
        <v>56</v>
      </c>
      <c r="H586" s="112" t="s">
        <v>398</v>
      </c>
      <c r="I586" s="114" t="n">
        <v>1</v>
      </c>
      <c r="J586" s="114" t="n">
        <v>0</v>
      </c>
      <c r="K586" s="112"/>
      <c r="L586" s="112"/>
    </row>
    <row r="587" customFormat="false" ht="15" hidden="false" customHeight="false" outlineLevel="0" collapsed="false">
      <c r="A587" s="112" t="s">
        <v>1042</v>
      </c>
      <c r="B587" s="112" t="s">
        <v>1182</v>
      </c>
      <c r="C587" s="112" t="s">
        <v>13</v>
      </c>
      <c r="D587" s="112" t="s">
        <v>13</v>
      </c>
      <c r="E587" s="112" t="s">
        <v>233</v>
      </c>
      <c r="F587" s="113" t="s">
        <v>55</v>
      </c>
      <c r="G587" s="112" t="s">
        <v>56</v>
      </c>
      <c r="H587" s="112" t="s">
        <v>398</v>
      </c>
      <c r="I587" s="114" t="n">
        <v>1</v>
      </c>
      <c r="J587" s="114" t="n">
        <v>0</v>
      </c>
      <c r="K587" s="112"/>
      <c r="L587" s="112"/>
    </row>
    <row r="588" customFormat="false" ht="15" hidden="false" customHeight="false" outlineLevel="0" collapsed="false">
      <c r="A588" s="112" t="s">
        <v>459</v>
      </c>
      <c r="B588" s="112" t="s">
        <v>1182</v>
      </c>
      <c r="C588" s="112" t="s">
        <v>1190</v>
      </c>
      <c r="D588" s="112" t="s">
        <v>16</v>
      </c>
      <c r="E588" s="112" t="s">
        <v>1191</v>
      </c>
      <c r="F588" s="113" t="s">
        <v>83</v>
      </c>
      <c r="G588" s="112" t="s">
        <v>84</v>
      </c>
      <c r="H588" s="112" t="s">
        <v>398</v>
      </c>
      <c r="I588" s="114" t="n">
        <v>1</v>
      </c>
      <c r="J588" s="114" t="n">
        <v>0</v>
      </c>
      <c r="K588" s="112"/>
      <c r="L588" s="112"/>
    </row>
    <row r="589" customFormat="false" ht="15" hidden="false" customHeight="false" outlineLevel="0" collapsed="false">
      <c r="A589" s="112" t="s">
        <v>462</v>
      </c>
      <c r="B589" s="112" t="s">
        <v>1182</v>
      </c>
      <c r="C589" s="112" t="s">
        <v>1190</v>
      </c>
      <c r="D589" s="112" t="s">
        <v>16</v>
      </c>
      <c r="E589" s="112" t="s">
        <v>1192</v>
      </c>
      <c r="F589" s="113" t="s">
        <v>83</v>
      </c>
      <c r="G589" s="112" t="s">
        <v>84</v>
      </c>
      <c r="H589" s="112" t="s">
        <v>398</v>
      </c>
      <c r="I589" s="114" t="n">
        <v>1</v>
      </c>
      <c r="J589" s="114" t="n">
        <v>0</v>
      </c>
      <c r="K589" s="112"/>
      <c r="L589" s="112"/>
    </row>
    <row r="590" customFormat="false" ht="15" hidden="false" customHeight="false" outlineLevel="0" collapsed="false">
      <c r="A590" s="112" t="s">
        <v>464</v>
      </c>
      <c r="B590" s="112" t="s">
        <v>1182</v>
      </c>
      <c r="C590" s="112" t="s">
        <v>1190</v>
      </c>
      <c r="D590" s="112" t="s">
        <v>16</v>
      </c>
      <c r="E590" s="112" t="s">
        <v>1193</v>
      </c>
      <c r="F590" s="113" t="s">
        <v>83</v>
      </c>
      <c r="G590" s="112" t="s">
        <v>84</v>
      </c>
      <c r="H590" s="112" t="s">
        <v>398</v>
      </c>
      <c r="I590" s="114" t="n">
        <v>1</v>
      </c>
      <c r="J590" s="114" t="n">
        <v>0</v>
      </c>
      <c r="K590" s="112"/>
      <c r="L590" s="112"/>
    </row>
    <row r="591" customFormat="false" ht="15" hidden="false" customHeight="false" outlineLevel="0" collapsed="false">
      <c r="A591" s="112" t="s">
        <v>466</v>
      </c>
      <c r="B591" s="112" t="s">
        <v>1182</v>
      </c>
      <c r="C591" s="112" t="s">
        <v>1190</v>
      </c>
      <c r="D591" s="112" t="s">
        <v>16</v>
      </c>
      <c r="E591" s="112" t="s">
        <v>1194</v>
      </c>
      <c r="F591" s="113" t="s">
        <v>83</v>
      </c>
      <c r="G591" s="112" t="s">
        <v>84</v>
      </c>
      <c r="H591" s="112" t="s">
        <v>398</v>
      </c>
      <c r="I591" s="114" t="n">
        <v>1</v>
      </c>
      <c r="J591" s="114" t="n">
        <v>0</v>
      </c>
      <c r="K591" s="112"/>
      <c r="L591" s="112"/>
    </row>
    <row r="592" customFormat="false" ht="15" hidden="false" customHeight="false" outlineLevel="0" collapsed="false">
      <c r="A592" s="112" t="s">
        <v>468</v>
      </c>
      <c r="B592" s="112" t="s">
        <v>1182</v>
      </c>
      <c r="C592" s="112" t="s">
        <v>1190</v>
      </c>
      <c r="D592" s="112" t="s">
        <v>16</v>
      </c>
      <c r="E592" s="112" t="s">
        <v>1195</v>
      </c>
      <c r="F592" s="113" t="s">
        <v>83</v>
      </c>
      <c r="G592" s="112" t="s">
        <v>84</v>
      </c>
      <c r="H592" s="112" t="s">
        <v>398</v>
      </c>
      <c r="I592" s="114" t="n">
        <v>1</v>
      </c>
      <c r="J592" s="114" t="n">
        <v>0</v>
      </c>
      <c r="K592" s="112"/>
      <c r="L592" s="112"/>
    </row>
    <row r="593" customFormat="false" ht="15" hidden="false" customHeight="false" outlineLevel="0" collapsed="false">
      <c r="A593" s="112" t="s">
        <v>470</v>
      </c>
      <c r="B593" s="112" t="s">
        <v>1182</v>
      </c>
      <c r="C593" s="112" t="s">
        <v>1190</v>
      </c>
      <c r="D593" s="112" t="s">
        <v>16</v>
      </c>
      <c r="E593" s="112" t="s">
        <v>1196</v>
      </c>
      <c r="F593" s="113" t="s">
        <v>83</v>
      </c>
      <c r="G593" s="112" t="s">
        <v>84</v>
      </c>
      <c r="H593" s="112" t="s">
        <v>398</v>
      </c>
      <c r="I593" s="114" t="n">
        <v>0</v>
      </c>
      <c r="J593" s="114" t="n">
        <v>1</v>
      </c>
      <c r="K593" s="112"/>
      <c r="L593" s="112"/>
    </row>
    <row r="594" customFormat="false" ht="15" hidden="false" customHeight="false" outlineLevel="0" collapsed="false">
      <c r="A594" s="112" t="s">
        <v>472</v>
      </c>
      <c r="B594" s="112" t="s">
        <v>1182</v>
      </c>
      <c r="C594" s="112" t="s">
        <v>1190</v>
      </c>
      <c r="D594" s="112" t="s">
        <v>16</v>
      </c>
      <c r="E594" s="112" t="s">
        <v>1197</v>
      </c>
      <c r="F594" s="113" t="s">
        <v>83</v>
      </c>
      <c r="G594" s="112" t="s">
        <v>84</v>
      </c>
      <c r="H594" s="112" t="s">
        <v>398</v>
      </c>
      <c r="I594" s="114" t="n">
        <v>1</v>
      </c>
      <c r="J594" s="114" t="n">
        <v>0</v>
      </c>
      <c r="K594" s="112"/>
      <c r="L594" s="112"/>
    </row>
    <row r="595" customFormat="false" ht="15" hidden="false" customHeight="false" outlineLevel="0" collapsed="false">
      <c r="A595" s="112" t="s">
        <v>474</v>
      </c>
      <c r="B595" s="112" t="s">
        <v>1182</v>
      </c>
      <c r="C595" s="112" t="s">
        <v>1190</v>
      </c>
      <c r="D595" s="112" t="s">
        <v>16</v>
      </c>
      <c r="E595" s="112" t="s">
        <v>1198</v>
      </c>
      <c r="F595" s="113" t="s">
        <v>83</v>
      </c>
      <c r="G595" s="112" t="s">
        <v>84</v>
      </c>
      <c r="H595" s="112" t="s">
        <v>398</v>
      </c>
      <c r="I595" s="114" t="n">
        <v>1</v>
      </c>
      <c r="J595" s="114" t="n">
        <v>0</v>
      </c>
      <c r="K595" s="112"/>
      <c r="L595" s="112"/>
    </row>
    <row r="596" customFormat="false" ht="15" hidden="false" customHeight="false" outlineLevel="0" collapsed="false">
      <c r="A596" s="112" t="s">
        <v>476</v>
      </c>
      <c r="B596" s="112" t="s">
        <v>1182</v>
      </c>
      <c r="C596" s="112" t="s">
        <v>1190</v>
      </c>
      <c r="D596" s="112" t="s">
        <v>16</v>
      </c>
      <c r="E596" s="112" t="s">
        <v>1199</v>
      </c>
      <c r="F596" s="113" t="s">
        <v>83</v>
      </c>
      <c r="G596" s="112" t="s">
        <v>84</v>
      </c>
      <c r="H596" s="112" t="s">
        <v>398</v>
      </c>
      <c r="I596" s="114" t="n">
        <v>1</v>
      </c>
      <c r="J596" s="114" t="n">
        <v>0</v>
      </c>
      <c r="K596" s="112"/>
      <c r="L596" s="112"/>
    </row>
    <row r="597" customFormat="false" ht="15" hidden="false" customHeight="false" outlineLevel="0" collapsed="false">
      <c r="A597" s="112" t="s">
        <v>477</v>
      </c>
      <c r="B597" s="112" t="s">
        <v>1182</v>
      </c>
      <c r="C597" s="112" t="s">
        <v>1190</v>
      </c>
      <c r="D597" s="112" t="s">
        <v>16</v>
      </c>
      <c r="E597" s="112" t="s">
        <v>1200</v>
      </c>
      <c r="F597" s="113" t="s">
        <v>83</v>
      </c>
      <c r="G597" s="112" t="s">
        <v>84</v>
      </c>
      <c r="H597" s="112" t="s">
        <v>398</v>
      </c>
      <c r="I597" s="114" t="n">
        <v>1</v>
      </c>
      <c r="J597" s="114" t="n">
        <v>0</v>
      </c>
      <c r="K597" s="112"/>
      <c r="L597" s="112"/>
    </row>
    <row r="598" customFormat="false" ht="15" hidden="false" customHeight="false" outlineLevel="0" collapsed="false">
      <c r="A598" s="112" t="s">
        <v>479</v>
      </c>
      <c r="B598" s="112" t="s">
        <v>1182</v>
      </c>
      <c r="C598" s="112" t="s">
        <v>1190</v>
      </c>
      <c r="D598" s="112" t="s">
        <v>16</v>
      </c>
      <c r="E598" s="112" t="s">
        <v>1201</v>
      </c>
      <c r="F598" s="113" t="s">
        <v>83</v>
      </c>
      <c r="G598" s="112" t="s">
        <v>84</v>
      </c>
      <c r="H598" s="112" t="s">
        <v>398</v>
      </c>
      <c r="I598" s="114" t="n">
        <v>1</v>
      </c>
      <c r="J598" s="114" t="n">
        <v>0</v>
      </c>
      <c r="K598" s="112"/>
      <c r="L598" s="112"/>
    </row>
    <row r="599" customFormat="false" ht="15" hidden="false" customHeight="false" outlineLevel="0" collapsed="false">
      <c r="A599" s="112" t="s">
        <v>480</v>
      </c>
      <c r="B599" s="112" t="s">
        <v>1182</v>
      </c>
      <c r="C599" s="112" t="s">
        <v>1190</v>
      </c>
      <c r="D599" s="112" t="s">
        <v>16</v>
      </c>
      <c r="E599" s="112" t="s">
        <v>1202</v>
      </c>
      <c r="F599" s="113" t="s">
        <v>83</v>
      </c>
      <c r="G599" s="112" t="s">
        <v>84</v>
      </c>
      <c r="H599" s="112" t="s">
        <v>398</v>
      </c>
      <c r="I599" s="114" t="n">
        <v>1</v>
      </c>
      <c r="J599" s="114" t="n">
        <v>0</v>
      </c>
      <c r="K599" s="112"/>
      <c r="L599" s="112"/>
    </row>
    <row r="600" customFormat="false" ht="15" hidden="false" customHeight="false" outlineLevel="0" collapsed="false">
      <c r="A600" s="112" t="s">
        <v>482</v>
      </c>
      <c r="B600" s="112" t="s">
        <v>1182</v>
      </c>
      <c r="C600" s="112" t="s">
        <v>1190</v>
      </c>
      <c r="D600" s="112" t="s">
        <v>16</v>
      </c>
      <c r="E600" s="112" t="s">
        <v>1203</v>
      </c>
      <c r="F600" s="113" t="s">
        <v>83</v>
      </c>
      <c r="G600" s="112" t="s">
        <v>84</v>
      </c>
      <c r="H600" s="112" t="s">
        <v>398</v>
      </c>
      <c r="I600" s="114" t="n">
        <v>1</v>
      </c>
      <c r="J600" s="114" t="n">
        <v>0</v>
      </c>
      <c r="K600" s="112"/>
      <c r="L600" s="112"/>
    </row>
    <row r="601" customFormat="false" ht="15" hidden="false" customHeight="false" outlineLevel="0" collapsed="false">
      <c r="A601" s="112" t="s">
        <v>541</v>
      </c>
      <c r="B601" s="112" t="s">
        <v>1182</v>
      </c>
      <c r="C601" s="112" t="s">
        <v>1190</v>
      </c>
      <c r="D601" s="112" t="s">
        <v>16</v>
      </c>
      <c r="E601" s="112" t="s">
        <v>1204</v>
      </c>
      <c r="F601" s="113" t="s">
        <v>83</v>
      </c>
      <c r="G601" s="112" t="s">
        <v>84</v>
      </c>
      <c r="H601" s="112" t="s">
        <v>398</v>
      </c>
      <c r="I601" s="114" t="n">
        <v>1</v>
      </c>
      <c r="J601" s="114" t="n">
        <v>0</v>
      </c>
      <c r="K601" s="112"/>
      <c r="L601" s="112"/>
    </row>
    <row r="602" customFormat="false" ht="15" hidden="false" customHeight="false" outlineLevel="0" collapsed="false">
      <c r="A602" s="112" t="s">
        <v>483</v>
      </c>
      <c r="B602" s="112" t="s">
        <v>1182</v>
      </c>
      <c r="C602" s="112" t="s">
        <v>1190</v>
      </c>
      <c r="D602" s="112" t="s">
        <v>16</v>
      </c>
      <c r="E602" s="112" t="s">
        <v>1205</v>
      </c>
      <c r="F602" s="113" t="s">
        <v>83</v>
      </c>
      <c r="G602" s="112" t="s">
        <v>84</v>
      </c>
      <c r="H602" s="112" t="s">
        <v>398</v>
      </c>
      <c r="I602" s="114" t="n">
        <v>1</v>
      </c>
      <c r="J602" s="114" t="n">
        <v>0</v>
      </c>
      <c r="K602" s="112"/>
      <c r="L602" s="112"/>
    </row>
    <row r="603" customFormat="false" ht="15" hidden="false" customHeight="false" outlineLevel="0" collapsed="false">
      <c r="A603" s="112" t="s">
        <v>584</v>
      </c>
      <c r="B603" s="112" t="s">
        <v>1182</v>
      </c>
      <c r="C603" s="112" t="s">
        <v>1190</v>
      </c>
      <c r="D603" s="112" t="s">
        <v>16</v>
      </c>
      <c r="E603" s="112" t="s">
        <v>1206</v>
      </c>
      <c r="F603" s="113" t="s">
        <v>83</v>
      </c>
      <c r="G603" s="112" t="s">
        <v>84</v>
      </c>
      <c r="H603" s="112" t="s">
        <v>398</v>
      </c>
      <c r="I603" s="114" t="n">
        <v>1</v>
      </c>
      <c r="J603" s="114" t="n">
        <v>0</v>
      </c>
      <c r="K603" s="112"/>
      <c r="L603" s="112"/>
    </row>
    <row r="604" customFormat="false" ht="15" hidden="false" customHeight="false" outlineLevel="0" collapsed="false">
      <c r="A604" s="112" t="s">
        <v>484</v>
      </c>
      <c r="B604" s="112" t="s">
        <v>1182</v>
      </c>
      <c r="C604" s="112" t="s">
        <v>1190</v>
      </c>
      <c r="D604" s="112" t="s">
        <v>16</v>
      </c>
      <c r="E604" s="112" t="s">
        <v>1207</v>
      </c>
      <c r="F604" s="113" t="s">
        <v>83</v>
      </c>
      <c r="G604" s="112" t="s">
        <v>84</v>
      </c>
      <c r="H604" s="112" t="s">
        <v>398</v>
      </c>
      <c r="I604" s="114" t="n">
        <v>1</v>
      </c>
      <c r="J604" s="114" t="n">
        <v>0</v>
      </c>
      <c r="K604" s="112"/>
      <c r="L604" s="112"/>
    </row>
    <row r="605" customFormat="false" ht="15" hidden="false" customHeight="false" outlineLevel="0" collapsed="false">
      <c r="A605" s="112" t="s">
        <v>395</v>
      </c>
      <c r="B605" s="112" t="s">
        <v>1182</v>
      </c>
      <c r="C605" s="112" t="s">
        <v>1190</v>
      </c>
      <c r="D605" s="112" t="s">
        <v>16</v>
      </c>
      <c r="E605" s="112" t="s">
        <v>1208</v>
      </c>
      <c r="F605" s="113" t="s">
        <v>83</v>
      </c>
      <c r="G605" s="112" t="s">
        <v>84</v>
      </c>
      <c r="H605" s="112" t="s">
        <v>398</v>
      </c>
      <c r="I605" s="114" t="n">
        <v>1</v>
      </c>
      <c r="J605" s="114" t="n">
        <v>1</v>
      </c>
      <c r="K605" s="112"/>
      <c r="L605" s="112"/>
    </row>
    <row r="606" customFormat="false" ht="15" hidden="false" customHeight="false" outlineLevel="0" collapsed="false">
      <c r="A606" s="112" t="s">
        <v>485</v>
      </c>
      <c r="B606" s="112" t="s">
        <v>1182</v>
      </c>
      <c r="C606" s="112" t="s">
        <v>1190</v>
      </c>
      <c r="D606" s="112" t="s">
        <v>16</v>
      </c>
      <c r="E606" s="112" t="s">
        <v>1209</v>
      </c>
      <c r="F606" s="113" t="s">
        <v>83</v>
      </c>
      <c r="G606" s="112" t="s">
        <v>84</v>
      </c>
      <c r="H606" s="112" t="s">
        <v>398</v>
      </c>
      <c r="I606" s="114" t="n">
        <v>1</v>
      </c>
      <c r="J606" s="114" t="n">
        <v>0</v>
      </c>
      <c r="K606" s="112"/>
      <c r="L606" s="112"/>
    </row>
    <row r="607" customFormat="false" ht="15" hidden="false" customHeight="false" outlineLevel="0" collapsed="false">
      <c r="A607" s="112" t="s">
        <v>399</v>
      </c>
      <c r="B607" s="112" t="s">
        <v>1182</v>
      </c>
      <c r="C607" s="112" t="s">
        <v>1190</v>
      </c>
      <c r="D607" s="112" t="s">
        <v>16</v>
      </c>
      <c r="E607" s="112" t="s">
        <v>1210</v>
      </c>
      <c r="F607" s="113" t="s">
        <v>83</v>
      </c>
      <c r="G607" s="112" t="s">
        <v>84</v>
      </c>
      <c r="H607" s="112" t="s">
        <v>398</v>
      </c>
      <c r="I607" s="114" t="n">
        <v>1</v>
      </c>
      <c r="J607" s="114" t="n">
        <v>0</v>
      </c>
      <c r="K607" s="112"/>
      <c r="L607" s="112"/>
    </row>
    <row r="608" customFormat="false" ht="15" hidden="false" customHeight="false" outlineLevel="0" collapsed="false">
      <c r="A608" s="112" t="s">
        <v>1008</v>
      </c>
      <c r="B608" s="112" t="s">
        <v>1182</v>
      </c>
      <c r="C608" s="112" t="s">
        <v>1190</v>
      </c>
      <c r="D608" s="112" t="s">
        <v>16</v>
      </c>
      <c r="E608" s="112" t="s">
        <v>254</v>
      </c>
      <c r="F608" s="113" t="s">
        <v>63</v>
      </c>
      <c r="G608" s="112" t="s">
        <v>64</v>
      </c>
      <c r="H608" s="112" t="s">
        <v>398</v>
      </c>
      <c r="I608" s="114" t="n">
        <v>1</v>
      </c>
      <c r="J608" s="114" t="n">
        <v>0</v>
      </c>
      <c r="K608" s="112"/>
      <c r="L608" s="112"/>
    </row>
    <row r="609" customFormat="false" ht="15" hidden="false" customHeight="false" outlineLevel="0" collapsed="false">
      <c r="A609" s="112" t="s">
        <v>486</v>
      </c>
      <c r="B609" s="112" t="s">
        <v>1182</v>
      </c>
      <c r="C609" s="112" t="s">
        <v>1190</v>
      </c>
      <c r="D609" s="112" t="s">
        <v>16</v>
      </c>
      <c r="E609" s="112" t="s">
        <v>1211</v>
      </c>
      <c r="F609" s="113" t="s">
        <v>83</v>
      </c>
      <c r="G609" s="112" t="s">
        <v>84</v>
      </c>
      <c r="H609" s="112" t="s">
        <v>398</v>
      </c>
      <c r="I609" s="114" t="n">
        <v>1</v>
      </c>
      <c r="J609" s="114" t="n">
        <v>0</v>
      </c>
      <c r="K609" s="112"/>
      <c r="L609" s="112"/>
    </row>
    <row r="610" customFormat="false" ht="15" hidden="false" customHeight="false" outlineLevel="0" collapsed="false">
      <c r="A610" s="112" t="s">
        <v>400</v>
      </c>
      <c r="B610" s="112" t="s">
        <v>1182</v>
      </c>
      <c r="C610" s="112" t="s">
        <v>1190</v>
      </c>
      <c r="D610" s="112" t="s">
        <v>16</v>
      </c>
      <c r="E610" s="112" t="s">
        <v>1212</v>
      </c>
      <c r="F610" s="113" t="s">
        <v>83</v>
      </c>
      <c r="G610" s="112" t="s">
        <v>84</v>
      </c>
      <c r="H610" s="112" t="s">
        <v>398</v>
      </c>
      <c r="I610" s="114" t="n">
        <v>1</v>
      </c>
      <c r="J610" s="114" t="n">
        <v>0</v>
      </c>
      <c r="K610" s="112"/>
      <c r="L610" s="112"/>
    </row>
    <row r="611" customFormat="false" ht="15" hidden="false" customHeight="false" outlineLevel="0" collapsed="false">
      <c r="A611" s="112" t="s">
        <v>1010</v>
      </c>
      <c r="B611" s="112" t="s">
        <v>1182</v>
      </c>
      <c r="C611" s="112" t="s">
        <v>1190</v>
      </c>
      <c r="D611" s="112" t="s">
        <v>16</v>
      </c>
      <c r="E611" s="112" t="s">
        <v>362</v>
      </c>
      <c r="F611" s="113" t="s">
        <v>59</v>
      </c>
      <c r="G611" s="112" t="s">
        <v>60</v>
      </c>
      <c r="H611" s="112" t="s">
        <v>398</v>
      </c>
      <c r="I611" s="114" t="n">
        <v>1</v>
      </c>
      <c r="J611" s="114" t="n">
        <v>0</v>
      </c>
      <c r="K611" s="112"/>
      <c r="L611" s="112"/>
    </row>
    <row r="612" customFormat="false" ht="15" hidden="false" customHeight="false" outlineLevel="0" collapsed="false">
      <c r="A612" s="112" t="s">
        <v>487</v>
      </c>
      <c r="B612" s="112" t="s">
        <v>1182</v>
      </c>
      <c r="C612" s="112" t="s">
        <v>1190</v>
      </c>
      <c r="D612" s="112" t="s">
        <v>16</v>
      </c>
      <c r="E612" s="112" t="s">
        <v>1213</v>
      </c>
      <c r="F612" s="113" t="s">
        <v>83</v>
      </c>
      <c r="G612" s="112" t="s">
        <v>84</v>
      </c>
      <c r="H612" s="112" t="s">
        <v>398</v>
      </c>
      <c r="I612" s="114" t="n">
        <v>1</v>
      </c>
      <c r="J612" s="114" t="n">
        <v>0</v>
      </c>
      <c r="K612" s="112"/>
      <c r="L612" s="112"/>
    </row>
    <row r="613" customFormat="false" ht="15" hidden="false" customHeight="false" outlineLevel="0" collapsed="false">
      <c r="A613" s="112" t="s">
        <v>586</v>
      </c>
      <c r="B613" s="112" t="s">
        <v>1182</v>
      </c>
      <c r="C613" s="112" t="s">
        <v>1190</v>
      </c>
      <c r="D613" s="112" t="s">
        <v>16</v>
      </c>
      <c r="E613" s="112" t="s">
        <v>1214</v>
      </c>
      <c r="F613" s="113" t="s">
        <v>83</v>
      </c>
      <c r="G613" s="112" t="s">
        <v>84</v>
      </c>
      <c r="H613" s="112" t="s">
        <v>398</v>
      </c>
      <c r="I613" s="114" t="n">
        <v>1</v>
      </c>
      <c r="J613" s="114" t="n">
        <v>0</v>
      </c>
      <c r="K613" s="112"/>
      <c r="L613" s="112"/>
    </row>
    <row r="614" customFormat="false" ht="15" hidden="false" customHeight="false" outlineLevel="0" collapsed="false">
      <c r="A614" s="112" t="s">
        <v>1215</v>
      </c>
      <c r="B614" s="112" t="s">
        <v>1182</v>
      </c>
      <c r="C614" s="112" t="s">
        <v>1190</v>
      </c>
      <c r="D614" s="112" t="s">
        <v>16</v>
      </c>
      <c r="E614" s="112" t="s">
        <v>316</v>
      </c>
      <c r="F614" s="113" t="s">
        <v>85</v>
      </c>
      <c r="G614" s="112" t="s">
        <v>86</v>
      </c>
      <c r="H614" s="112" t="s">
        <v>398</v>
      </c>
      <c r="I614" s="114" t="n">
        <v>1</v>
      </c>
      <c r="J614" s="114" t="n">
        <v>0</v>
      </c>
      <c r="K614" s="112"/>
      <c r="L614" s="112"/>
    </row>
    <row r="615" customFormat="false" ht="15" hidden="false" customHeight="false" outlineLevel="0" collapsed="false">
      <c r="A615" s="112" t="s">
        <v>542</v>
      </c>
      <c r="B615" s="112" t="s">
        <v>1182</v>
      </c>
      <c r="C615" s="112" t="s">
        <v>1190</v>
      </c>
      <c r="D615" s="112" t="s">
        <v>16</v>
      </c>
      <c r="E615" s="112" t="s">
        <v>1216</v>
      </c>
      <c r="F615" s="113" t="s">
        <v>83</v>
      </c>
      <c r="G615" s="112" t="s">
        <v>84</v>
      </c>
      <c r="H615" s="112" t="s">
        <v>398</v>
      </c>
      <c r="I615" s="114" t="n">
        <v>1</v>
      </c>
      <c r="J615" s="114" t="n">
        <v>0</v>
      </c>
      <c r="K615" s="112"/>
      <c r="L615" s="112"/>
    </row>
    <row r="616" customFormat="false" ht="15" hidden="false" customHeight="false" outlineLevel="0" collapsed="false">
      <c r="A616" s="112" t="s">
        <v>693</v>
      </c>
      <c r="B616" s="112" t="s">
        <v>1182</v>
      </c>
      <c r="C616" s="112" t="s">
        <v>428</v>
      </c>
      <c r="D616" s="112" t="s">
        <v>14</v>
      </c>
      <c r="E616" s="112" t="s">
        <v>250</v>
      </c>
      <c r="F616" s="113" t="s">
        <v>63</v>
      </c>
      <c r="G616" s="112" t="s">
        <v>64</v>
      </c>
      <c r="H616" s="112" t="s">
        <v>398</v>
      </c>
      <c r="I616" s="114" t="n">
        <v>1</v>
      </c>
      <c r="J616" s="114" t="n">
        <v>0</v>
      </c>
      <c r="K616" s="112"/>
      <c r="L616" s="112"/>
    </row>
    <row r="617" customFormat="false" ht="15" hidden="false" customHeight="false" outlineLevel="0" collapsed="false">
      <c r="A617" s="112" t="s">
        <v>1145</v>
      </c>
      <c r="B617" s="112" t="s">
        <v>1182</v>
      </c>
      <c r="C617" s="112" t="s">
        <v>428</v>
      </c>
      <c r="D617" s="112" t="s">
        <v>14</v>
      </c>
      <c r="E617" s="112" t="s">
        <v>235</v>
      </c>
      <c r="F617" s="113" t="s">
        <v>55</v>
      </c>
      <c r="G617" s="112" t="s">
        <v>56</v>
      </c>
      <c r="H617" s="112" t="s">
        <v>398</v>
      </c>
      <c r="I617" s="114" t="n">
        <v>1</v>
      </c>
      <c r="J617" s="114" t="n">
        <v>0</v>
      </c>
      <c r="K617" s="112"/>
      <c r="L617" s="112"/>
    </row>
    <row r="618" customFormat="false" ht="15" hidden="false" customHeight="false" outlineLevel="0" collapsed="false">
      <c r="A618" s="112" t="s">
        <v>432</v>
      </c>
      <c r="B618" s="112" t="s">
        <v>1182</v>
      </c>
      <c r="C618" s="112" t="s">
        <v>7</v>
      </c>
      <c r="D618" s="112" t="s">
        <v>7</v>
      </c>
      <c r="E618" s="112" t="s">
        <v>240</v>
      </c>
      <c r="F618" s="113" t="s">
        <v>63</v>
      </c>
      <c r="G618" s="112" t="s">
        <v>64</v>
      </c>
      <c r="H618" s="112" t="s">
        <v>398</v>
      </c>
      <c r="I618" s="114" t="n">
        <v>1</v>
      </c>
      <c r="J618" s="114" t="n">
        <v>0</v>
      </c>
      <c r="K618" s="112"/>
      <c r="L618" s="112"/>
    </row>
    <row r="619" customFormat="false" ht="15" hidden="false" customHeight="false" outlineLevel="0" collapsed="false">
      <c r="A619" s="112" t="s">
        <v>435</v>
      </c>
      <c r="B619" s="112" t="s">
        <v>1182</v>
      </c>
      <c r="C619" s="112" t="s">
        <v>7</v>
      </c>
      <c r="D619" s="112" t="s">
        <v>7</v>
      </c>
      <c r="E619" s="112" t="s">
        <v>317</v>
      </c>
      <c r="F619" s="113" t="s">
        <v>59</v>
      </c>
      <c r="G619" s="112" t="s">
        <v>60</v>
      </c>
      <c r="H619" s="112" t="s">
        <v>398</v>
      </c>
      <c r="I619" s="114" t="n">
        <v>1</v>
      </c>
      <c r="J619" s="114" t="n">
        <v>0</v>
      </c>
      <c r="K619" s="112"/>
      <c r="L619" s="112"/>
    </row>
    <row r="620" customFormat="false" ht="15" hidden="false" customHeight="false" outlineLevel="0" collapsed="false">
      <c r="A620" s="112" t="s">
        <v>439</v>
      </c>
      <c r="B620" s="112" t="s">
        <v>1182</v>
      </c>
      <c r="C620" s="112" t="s">
        <v>7</v>
      </c>
      <c r="D620" s="112" t="s">
        <v>7</v>
      </c>
      <c r="E620" s="112" t="s">
        <v>220</v>
      </c>
      <c r="F620" s="113" t="s">
        <v>55</v>
      </c>
      <c r="G620" s="112" t="s">
        <v>56</v>
      </c>
      <c r="H620" s="112" t="s">
        <v>398</v>
      </c>
      <c r="I620" s="114" t="n">
        <v>1</v>
      </c>
      <c r="J620" s="114" t="n">
        <v>0</v>
      </c>
      <c r="K620" s="112"/>
      <c r="L620" s="112"/>
    </row>
    <row r="621" customFormat="false" ht="15" hidden="false" customHeight="false" outlineLevel="0" collapsed="false">
      <c r="A621" s="112" t="s">
        <v>442</v>
      </c>
      <c r="B621" s="112" t="s">
        <v>1182</v>
      </c>
      <c r="C621" s="112" t="s">
        <v>8</v>
      </c>
      <c r="D621" s="112" t="s">
        <v>8</v>
      </c>
      <c r="E621" s="112" t="s">
        <v>324</v>
      </c>
      <c r="F621" s="113" t="s">
        <v>59</v>
      </c>
      <c r="G621" s="112" t="s">
        <v>60</v>
      </c>
      <c r="H621" s="112" t="s">
        <v>398</v>
      </c>
      <c r="I621" s="114" t="n">
        <v>1</v>
      </c>
      <c r="J621" s="114" t="n">
        <v>0</v>
      </c>
      <c r="K621" s="112"/>
      <c r="L621" s="112"/>
    </row>
    <row r="622" customFormat="false" ht="15" hidden="false" customHeight="false" outlineLevel="0" collapsed="false">
      <c r="A622" s="112" t="s">
        <v>444</v>
      </c>
      <c r="B622" s="112" t="s">
        <v>1182</v>
      </c>
      <c r="C622" s="112" t="s">
        <v>8</v>
      </c>
      <c r="D622" s="112" t="s">
        <v>8</v>
      </c>
      <c r="E622" s="112" t="s">
        <v>1217</v>
      </c>
      <c r="F622" s="113" t="s">
        <v>91</v>
      </c>
      <c r="G622" s="112" t="s">
        <v>92</v>
      </c>
      <c r="H622" s="112" t="s">
        <v>398</v>
      </c>
      <c r="I622" s="114" t="n">
        <v>0</v>
      </c>
      <c r="J622" s="114" t="n">
        <v>1</v>
      </c>
      <c r="K622" s="112"/>
      <c r="L622" s="112"/>
    </row>
    <row r="623" customFormat="false" ht="15" hidden="false" customHeight="false" outlineLevel="0" collapsed="false">
      <c r="A623" s="112" t="s">
        <v>823</v>
      </c>
      <c r="B623" s="112" t="s">
        <v>1182</v>
      </c>
      <c r="C623" s="112" t="s">
        <v>8</v>
      </c>
      <c r="D623" s="112" t="s">
        <v>8</v>
      </c>
      <c r="E623" s="112" t="s">
        <v>1218</v>
      </c>
      <c r="F623" s="113" t="s">
        <v>91</v>
      </c>
      <c r="G623" s="112" t="s">
        <v>92</v>
      </c>
      <c r="H623" s="112" t="s">
        <v>398</v>
      </c>
      <c r="I623" s="114" t="n">
        <v>1</v>
      </c>
      <c r="J623" s="114" t="n">
        <v>0</v>
      </c>
      <c r="K623" s="112"/>
      <c r="L623" s="112"/>
    </row>
    <row r="624" customFormat="false" ht="15" hidden="false" customHeight="false" outlineLevel="0" collapsed="false">
      <c r="A624" s="112" t="s">
        <v>664</v>
      </c>
      <c r="B624" s="112" t="s">
        <v>1182</v>
      </c>
      <c r="C624" s="112" t="s">
        <v>8</v>
      </c>
      <c r="D624" s="112" t="s">
        <v>8</v>
      </c>
      <c r="E624" s="112" t="s">
        <v>222</v>
      </c>
      <c r="F624" s="113" t="s">
        <v>55</v>
      </c>
      <c r="G624" s="112" t="s">
        <v>56</v>
      </c>
      <c r="H624" s="112" t="s">
        <v>398</v>
      </c>
      <c r="I624" s="114" t="n">
        <v>1</v>
      </c>
      <c r="J624" s="114" t="n">
        <v>0</v>
      </c>
      <c r="K624" s="112"/>
      <c r="L624" s="112"/>
    </row>
    <row r="625" customFormat="false" ht="15" hidden="false" customHeight="false" outlineLevel="0" collapsed="false">
      <c r="A625" s="112" t="s">
        <v>826</v>
      </c>
      <c r="B625" s="112" t="s">
        <v>1182</v>
      </c>
      <c r="C625" s="112" t="s">
        <v>8</v>
      </c>
      <c r="D625" s="112" t="s">
        <v>8</v>
      </c>
      <c r="E625" s="112" t="s">
        <v>1219</v>
      </c>
      <c r="F625" s="113" t="s">
        <v>93</v>
      </c>
      <c r="G625" s="112" t="s">
        <v>94</v>
      </c>
      <c r="H625" s="112" t="s">
        <v>398</v>
      </c>
      <c r="I625" s="114" t="n">
        <v>1</v>
      </c>
      <c r="J625" s="114" t="n">
        <v>0</v>
      </c>
      <c r="K625" s="112"/>
      <c r="L625" s="112"/>
    </row>
    <row r="626" customFormat="false" ht="15" hidden="false" customHeight="false" outlineLevel="0" collapsed="false">
      <c r="A626" s="112" t="s">
        <v>1104</v>
      </c>
      <c r="B626" s="112" t="s">
        <v>1182</v>
      </c>
      <c r="C626" s="112" t="s">
        <v>8</v>
      </c>
      <c r="D626" s="112" t="s">
        <v>8</v>
      </c>
      <c r="E626" s="112" t="s">
        <v>1220</v>
      </c>
      <c r="F626" s="113" t="s">
        <v>93</v>
      </c>
      <c r="G626" s="112" t="s">
        <v>94</v>
      </c>
      <c r="H626" s="112" t="s">
        <v>398</v>
      </c>
      <c r="I626" s="114" t="n">
        <v>1</v>
      </c>
      <c r="J626" s="114" t="n">
        <v>0</v>
      </c>
      <c r="K626" s="112"/>
      <c r="L626" s="112"/>
    </row>
    <row r="627" customFormat="false" ht="15" hidden="false" customHeight="false" outlineLevel="0" collapsed="false">
      <c r="A627" s="112" t="s">
        <v>427</v>
      </c>
      <c r="B627" s="112" t="s">
        <v>1182</v>
      </c>
      <c r="C627" s="112" t="s">
        <v>8</v>
      </c>
      <c r="D627" s="112" t="s">
        <v>8</v>
      </c>
      <c r="E627" s="112" t="s">
        <v>1221</v>
      </c>
      <c r="F627" s="113" t="s">
        <v>93</v>
      </c>
      <c r="G627" s="112" t="s">
        <v>94</v>
      </c>
      <c r="H627" s="112" t="s">
        <v>398</v>
      </c>
      <c r="I627" s="114" t="n">
        <v>1</v>
      </c>
      <c r="J627" s="114" t="n">
        <v>0</v>
      </c>
      <c r="K627" s="112"/>
      <c r="L627" s="112"/>
    </row>
    <row r="628" customFormat="false" ht="15" hidden="false" customHeight="false" outlineLevel="0" collapsed="false">
      <c r="A628" s="112" t="s">
        <v>676</v>
      </c>
      <c r="B628" s="112" t="s">
        <v>1182</v>
      </c>
      <c r="C628" s="112" t="s">
        <v>8</v>
      </c>
      <c r="D628" s="112" t="s">
        <v>8</v>
      </c>
      <c r="E628" s="112" t="s">
        <v>1222</v>
      </c>
      <c r="F628" s="113" t="s">
        <v>93</v>
      </c>
      <c r="G628" s="112" t="s">
        <v>94</v>
      </c>
      <c r="H628" s="112" t="s">
        <v>398</v>
      </c>
      <c r="I628" s="114" t="n">
        <v>1</v>
      </c>
      <c r="J628" s="114" t="n">
        <v>0</v>
      </c>
      <c r="K628" s="112"/>
      <c r="L628" s="112"/>
    </row>
    <row r="629" customFormat="false" ht="15" hidden="false" customHeight="false" outlineLevel="0" collapsed="false">
      <c r="A629" s="112" t="s">
        <v>678</v>
      </c>
      <c r="B629" s="112" t="s">
        <v>1182</v>
      </c>
      <c r="C629" s="112" t="s">
        <v>8</v>
      </c>
      <c r="D629" s="112" t="s">
        <v>8</v>
      </c>
      <c r="E629" s="112" t="s">
        <v>1223</v>
      </c>
      <c r="F629" s="113" t="s">
        <v>93</v>
      </c>
      <c r="G629" s="112" t="s">
        <v>94</v>
      </c>
      <c r="H629" s="112" t="s">
        <v>398</v>
      </c>
      <c r="I629" s="114" t="n">
        <v>1</v>
      </c>
      <c r="J629" s="114" t="n">
        <v>0</v>
      </c>
      <c r="K629" s="112"/>
      <c r="L629" s="112"/>
    </row>
    <row r="630" customFormat="false" ht="15" hidden="false" customHeight="false" outlineLevel="0" collapsed="false">
      <c r="A630" s="112" t="s">
        <v>445</v>
      </c>
      <c r="B630" s="112" t="s">
        <v>1182</v>
      </c>
      <c r="C630" s="112" t="s">
        <v>9</v>
      </c>
      <c r="D630" s="112" t="s">
        <v>9</v>
      </c>
      <c r="E630" s="112" t="s">
        <v>244</v>
      </c>
      <c r="F630" s="113" t="s">
        <v>63</v>
      </c>
      <c r="G630" s="112" t="s">
        <v>64</v>
      </c>
      <c r="H630" s="112" t="s">
        <v>398</v>
      </c>
      <c r="I630" s="114" t="n">
        <v>1</v>
      </c>
      <c r="J630" s="114" t="n">
        <v>0</v>
      </c>
      <c r="K630" s="112"/>
      <c r="L630" s="112"/>
    </row>
    <row r="631" customFormat="false" ht="15" hidden="false" customHeight="false" outlineLevel="0" collapsed="false">
      <c r="A631" s="112" t="s">
        <v>447</v>
      </c>
      <c r="B631" s="112" t="s">
        <v>1182</v>
      </c>
      <c r="C631" s="112" t="s">
        <v>9</v>
      </c>
      <c r="D631" s="112" t="s">
        <v>9</v>
      </c>
      <c r="E631" s="112" t="s">
        <v>337</v>
      </c>
      <c r="F631" s="113" t="s">
        <v>59</v>
      </c>
      <c r="G631" s="112" t="s">
        <v>60</v>
      </c>
      <c r="H631" s="112" t="s">
        <v>398</v>
      </c>
      <c r="I631" s="114" t="n">
        <v>1</v>
      </c>
      <c r="J631" s="114" t="n">
        <v>0</v>
      </c>
      <c r="K631" s="112"/>
      <c r="L631" s="112"/>
    </row>
    <row r="632" customFormat="false" ht="15" hidden="false" customHeight="false" outlineLevel="0" collapsed="false">
      <c r="A632" s="112" t="s">
        <v>448</v>
      </c>
      <c r="B632" s="112" t="s">
        <v>1182</v>
      </c>
      <c r="C632" s="112" t="s">
        <v>9</v>
      </c>
      <c r="D632" s="112" t="s">
        <v>9</v>
      </c>
      <c r="E632" s="112" t="s">
        <v>331</v>
      </c>
      <c r="F632" s="113" t="s">
        <v>59</v>
      </c>
      <c r="G632" s="112" t="s">
        <v>60</v>
      </c>
      <c r="H632" s="112" t="s">
        <v>398</v>
      </c>
      <c r="I632" s="114" t="n">
        <v>1</v>
      </c>
      <c r="J632" s="114" t="n">
        <v>0</v>
      </c>
      <c r="K632" s="112"/>
      <c r="L632" s="112"/>
    </row>
    <row r="633" customFormat="false" ht="15" hidden="false" customHeight="false" outlineLevel="0" collapsed="false">
      <c r="A633" s="112" t="s">
        <v>449</v>
      </c>
      <c r="B633" s="112" t="s">
        <v>1182</v>
      </c>
      <c r="C633" s="112" t="s">
        <v>9</v>
      </c>
      <c r="D633" s="112" t="s">
        <v>9</v>
      </c>
      <c r="E633" s="112" t="s">
        <v>224</v>
      </c>
      <c r="F633" s="113" t="s">
        <v>55</v>
      </c>
      <c r="G633" s="112" t="s">
        <v>56</v>
      </c>
      <c r="H633" s="112" t="s">
        <v>398</v>
      </c>
      <c r="I633" s="114" t="n">
        <v>1</v>
      </c>
      <c r="J633" s="114" t="n">
        <v>0</v>
      </c>
      <c r="K633" s="112"/>
      <c r="L633" s="112"/>
    </row>
    <row r="634" customFormat="false" ht="15" hidden="false" customHeight="false" outlineLevel="0" collapsed="false">
      <c r="A634" s="112" t="s">
        <v>450</v>
      </c>
      <c r="B634" s="112" t="s">
        <v>1182</v>
      </c>
      <c r="C634" s="112" t="s">
        <v>9</v>
      </c>
      <c r="D634" s="112" t="s">
        <v>9</v>
      </c>
      <c r="E634" s="112" t="s">
        <v>226</v>
      </c>
      <c r="F634" s="113" t="s">
        <v>55</v>
      </c>
      <c r="G634" s="112" t="s">
        <v>56</v>
      </c>
      <c r="H634" s="112" t="s">
        <v>398</v>
      </c>
      <c r="I634" s="114" t="n">
        <v>1</v>
      </c>
      <c r="J634" s="114" t="n">
        <v>0</v>
      </c>
      <c r="K634" s="112"/>
      <c r="L634" s="112"/>
    </row>
    <row r="635" customFormat="false" ht="15" hidden="false" customHeight="false" outlineLevel="0" collapsed="false">
      <c r="A635" s="112" t="s">
        <v>1224</v>
      </c>
      <c r="B635" s="112" t="s">
        <v>1182</v>
      </c>
      <c r="C635" s="112" t="s">
        <v>1225</v>
      </c>
      <c r="D635" s="112" t="s">
        <v>15</v>
      </c>
      <c r="E635" s="112" t="s">
        <v>348</v>
      </c>
      <c r="F635" s="113" t="s">
        <v>59</v>
      </c>
      <c r="G635" s="112" t="s">
        <v>60</v>
      </c>
      <c r="H635" s="112" t="s">
        <v>398</v>
      </c>
      <c r="I635" s="114" t="n">
        <v>1</v>
      </c>
      <c r="J635" s="114" t="n">
        <v>0</v>
      </c>
      <c r="K635" s="112"/>
      <c r="L635" s="112"/>
    </row>
    <row r="636" customFormat="false" ht="15" hidden="false" customHeight="false" outlineLevel="0" collapsed="false">
      <c r="A636" s="112" t="s">
        <v>795</v>
      </c>
      <c r="B636" s="112" t="s">
        <v>1182</v>
      </c>
      <c r="C636" s="112" t="s">
        <v>1225</v>
      </c>
      <c r="D636" s="112" t="s">
        <v>15</v>
      </c>
      <c r="E636" s="112" t="s">
        <v>355</v>
      </c>
      <c r="F636" s="113" t="s">
        <v>59</v>
      </c>
      <c r="G636" s="112" t="s">
        <v>60</v>
      </c>
      <c r="H636" s="112" t="s">
        <v>398</v>
      </c>
      <c r="I636" s="114" t="n">
        <v>1</v>
      </c>
      <c r="J636" s="114" t="n">
        <v>0</v>
      </c>
      <c r="K636" s="112"/>
      <c r="L636" s="112"/>
    </row>
    <row r="637" customFormat="false" ht="15" hidden="false" customHeight="false" outlineLevel="0" collapsed="false">
      <c r="A637" s="112" t="s">
        <v>415</v>
      </c>
      <c r="B637" s="112" t="s">
        <v>1182</v>
      </c>
      <c r="C637" s="112" t="s">
        <v>23</v>
      </c>
      <c r="D637" s="112" t="s">
        <v>23</v>
      </c>
      <c r="E637" s="112" t="s">
        <v>1226</v>
      </c>
      <c r="F637" s="113" t="s">
        <v>101</v>
      </c>
      <c r="G637" s="112" t="s">
        <v>102</v>
      </c>
      <c r="H637" s="112" t="s">
        <v>398</v>
      </c>
      <c r="I637" s="114" t="n">
        <v>1</v>
      </c>
      <c r="J637" s="114" t="n">
        <v>0</v>
      </c>
      <c r="K637" s="112"/>
      <c r="L637" s="112"/>
    </row>
    <row r="638" customFormat="false" ht="15" hidden="false" customHeight="false" outlineLevel="0" collapsed="false">
      <c r="A638" s="112" t="s">
        <v>996</v>
      </c>
      <c r="B638" s="112" t="s">
        <v>1182</v>
      </c>
      <c r="C638" s="112" t="s">
        <v>23</v>
      </c>
      <c r="D638" s="112" t="s">
        <v>23</v>
      </c>
      <c r="E638" s="112" t="s">
        <v>1227</v>
      </c>
      <c r="F638" s="113" t="s">
        <v>101</v>
      </c>
      <c r="G638" s="112" t="s">
        <v>102</v>
      </c>
      <c r="H638" s="112" t="s">
        <v>398</v>
      </c>
      <c r="I638" s="114" t="n">
        <v>1</v>
      </c>
      <c r="J638" s="114" t="n">
        <v>0</v>
      </c>
      <c r="K638" s="112"/>
      <c r="L638" s="112"/>
    </row>
    <row r="639" customFormat="false" ht="15" hidden="false" customHeight="false" outlineLevel="0" collapsed="false">
      <c r="A639" s="112" t="s">
        <v>642</v>
      </c>
      <c r="B639" s="112" t="s">
        <v>1182</v>
      </c>
      <c r="C639" s="112" t="s">
        <v>23</v>
      </c>
      <c r="D639" s="112" t="s">
        <v>23</v>
      </c>
      <c r="E639" s="112" t="s">
        <v>1228</v>
      </c>
      <c r="F639" s="113" t="s">
        <v>101</v>
      </c>
      <c r="G639" s="112" t="s">
        <v>102</v>
      </c>
      <c r="H639" s="112" t="s">
        <v>398</v>
      </c>
      <c r="I639" s="114" t="n">
        <v>1</v>
      </c>
      <c r="J639" s="114" t="n">
        <v>0</v>
      </c>
      <c r="K639" s="112"/>
      <c r="L639" s="112"/>
    </row>
    <row r="640" customFormat="false" ht="15" hidden="false" customHeight="false" outlineLevel="0" collapsed="false">
      <c r="A640" s="112" t="s">
        <v>498</v>
      </c>
      <c r="B640" s="112" t="s">
        <v>1182</v>
      </c>
      <c r="C640" s="112" t="s">
        <v>23</v>
      </c>
      <c r="D640" s="112" t="s">
        <v>23</v>
      </c>
      <c r="E640" s="112" t="s">
        <v>1229</v>
      </c>
      <c r="F640" s="113" t="s">
        <v>101</v>
      </c>
      <c r="G640" s="112" t="s">
        <v>102</v>
      </c>
      <c r="H640" s="112" t="s">
        <v>398</v>
      </c>
      <c r="I640" s="114" t="n">
        <v>0</v>
      </c>
      <c r="J640" s="114" t="n">
        <v>1</v>
      </c>
      <c r="K640" s="112"/>
      <c r="L640" s="112"/>
    </row>
    <row r="641" customFormat="false" ht="15" hidden="false" customHeight="false" outlineLevel="0" collapsed="false">
      <c r="A641" s="112" t="s">
        <v>402</v>
      </c>
      <c r="B641" s="112" t="s">
        <v>1182</v>
      </c>
      <c r="C641" s="112" t="s">
        <v>540</v>
      </c>
      <c r="D641" s="112" t="s">
        <v>20</v>
      </c>
      <c r="E641" s="112" t="s">
        <v>280</v>
      </c>
      <c r="F641" s="113" t="s">
        <v>63</v>
      </c>
      <c r="G641" s="112" t="s">
        <v>64</v>
      </c>
      <c r="H641" s="112" t="s">
        <v>398</v>
      </c>
      <c r="I641" s="114" t="n">
        <v>1</v>
      </c>
      <c r="J641" s="114" t="n">
        <v>1</v>
      </c>
      <c r="K641" s="112"/>
      <c r="L641" s="112"/>
    </row>
    <row r="642" customFormat="false" ht="15" hidden="false" customHeight="false" outlineLevel="0" collapsed="false">
      <c r="A642" s="112" t="s">
        <v>405</v>
      </c>
      <c r="B642" s="112" t="s">
        <v>1182</v>
      </c>
      <c r="C642" s="112" t="s">
        <v>540</v>
      </c>
      <c r="D642" s="112" t="s">
        <v>20</v>
      </c>
      <c r="E642" s="112" t="s">
        <v>287</v>
      </c>
      <c r="F642" s="113" t="s">
        <v>63</v>
      </c>
      <c r="G642" s="112" t="s">
        <v>64</v>
      </c>
      <c r="H642" s="112" t="s">
        <v>398</v>
      </c>
      <c r="I642" s="114" t="n">
        <v>0</v>
      </c>
      <c r="J642" s="114" t="n">
        <v>1</v>
      </c>
      <c r="K642" s="112"/>
      <c r="L642" s="112"/>
    </row>
    <row r="643" customFormat="false" ht="15" hidden="false" customHeight="false" outlineLevel="0" collapsed="false">
      <c r="A643" s="112" t="s">
        <v>407</v>
      </c>
      <c r="B643" s="112" t="s">
        <v>1182</v>
      </c>
      <c r="C643" s="112" t="s">
        <v>540</v>
      </c>
      <c r="D643" s="112" t="s">
        <v>20</v>
      </c>
      <c r="E643" s="112" t="s">
        <v>267</v>
      </c>
      <c r="F643" s="113" t="s">
        <v>63</v>
      </c>
      <c r="G643" s="112" t="s">
        <v>64</v>
      </c>
      <c r="H643" s="112" t="s">
        <v>398</v>
      </c>
      <c r="I643" s="114" t="n">
        <v>0</v>
      </c>
      <c r="J643" s="114" t="n">
        <v>1</v>
      </c>
      <c r="K643" s="112"/>
      <c r="L643" s="112"/>
    </row>
    <row r="644" customFormat="false" ht="15" hidden="false" customHeight="false" outlineLevel="0" collapsed="false">
      <c r="A644" s="112" t="s">
        <v>409</v>
      </c>
      <c r="B644" s="112" t="s">
        <v>1182</v>
      </c>
      <c r="C644" s="112" t="s">
        <v>540</v>
      </c>
      <c r="D644" s="112" t="s">
        <v>20</v>
      </c>
      <c r="E644" s="112" t="s">
        <v>169</v>
      </c>
      <c r="F644" s="113" t="s">
        <v>59</v>
      </c>
      <c r="G644" s="112" t="s">
        <v>60</v>
      </c>
      <c r="H644" s="112" t="s">
        <v>398</v>
      </c>
      <c r="I644" s="114" t="n">
        <v>0</v>
      </c>
      <c r="J644" s="114" t="n">
        <v>1</v>
      </c>
      <c r="K644" s="112"/>
      <c r="L644" s="112"/>
    </row>
    <row r="645" customFormat="false" ht="15" hidden="false" customHeight="false" outlineLevel="0" collapsed="false">
      <c r="A645" s="112" t="s">
        <v>411</v>
      </c>
      <c r="B645" s="112" t="s">
        <v>1182</v>
      </c>
      <c r="C645" s="112" t="s">
        <v>540</v>
      </c>
      <c r="D645" s="112" t="s">
        <v>20</v>
      </c>
      <c r="E645" s="112" t="s">
        <v>175</v>
      </c>
      <c r="F645" s="113" t="s">
        <v>59</v>
      </c>
      <c r="G645" s="112" t="s">
        <v>60</v>
      </c>
      <c r="H645" s="112" t="s">
        <v>398</v>
      </c>
      <c r="I645" s="114" t="n">
        <v>0</v>
      </c>
      <c r="J645" s="114" t="n">
        <v>1</v>
      </c>
      <c r="K645" s="112"/>
      <c r="L645" s="112"/>
    </row>
    <row r="646" customFormat="false" ht="15" hidden="false" customHeight="false" outlineLevel="0" collapsed="false">
      <c r="A646" s="112" t="s">
        <v>413</v>
      </c>
      <c r="B646" s="112" t="s">
        <v>1182</v>
      </c>
      <c r="C646" s="112" t="s">
        <v>540</v>
      </c>
      <c r="D646" s="112" t="s">
        <v>20</v>
      </c>
      <c r="E646" s="112" t="s">
        <v>171</v>
      </c>
      <c r="F646" s="113" t="s">
        <v>59</v>
      </c>
      <c r="G646" s="112" t="s">
        <v>60</v>
      </c>
      <c r="H646" s="112" t="s">
        <v>398</v>
      </c>
      <c r="I646" s="114" t="n">
        <v>0</v>
      </c>
      <c r="J646" s="114" t="n">
        <v>1</v>
      </c>
      <c r="K646" s="112"/>
      <c r="L646" s="112"/>
    </row>
    <row r="647" customFormat="false" ht="15" hidden="false" customHeight="false" outlineLevel="0" collapsed="false">
      <c r="A647" s="112" t="s">
        <v>629</v>
      </c>
      <c r="B647" s="112" t="s">
        <v>1182</v>
      </c>
      <c r="C647" s="112" t="s">
        <v>540</v>
      </c>
      <c r="D647" s="112" t="s">
        <v>20</v>
      </c>
      <c r="E647" s="112" t="s">
        <v>375</v>
      </c>
      <c r="F647" s="113" t="s">
        <v>59</v>
      </c>
      <c r="G647" s="112" t="s">
        <v>60</v>
      </c>
      <c r="H647" s="112" t="s">
        <v>398</v>
      </c>
      <c r="I647" s="114" t="n">
        <v>0</v>
      </c>
      <c r="J647" s="114" t="n">
        <v>1</v>
      </c>
      <c r="K647" s="112"/>
      <c r="L647" s="112"/>
    </row>
    <row r="648" customFormat="false" ht="15" hidden="false" customHeight="false" outlineLevel="0" collapsed="false">
      <c r="A648" s="112" t="s">
        <v>572</v>
      </c>
      <c r="B648" s="112" t="s">
        <v>1182</v>
      </c>
      <c r="C648" s="112" t="s">
        <v>540</v>
      </c>
      <c r="D648" s="112" t="s">
        <v>20</v>
      </c>
      <c r="E648" s="112" t="s">
        <v>177</v>
      </c>
      <c r="F648" s="113" t="s">
        <v>59</v>
      </c>
      <c r="G648" s="112" t="s">
        <v>60</v>
      </c>
      <c r="H648" s="112" t="s">
        <v>398</v>
      </c>
      <c r="I648" s="114" t="n">
        <v>1</v>
      </c>
      <c r="J648" s="114" t="n">
        <v>0</v>
      </c>
      <c r="K648" s="112"/>
      <c r="L648" s="112"/>
    </row>
    <row r="649" customFormat="false" ht="15" hidden="false" customHeight="false" outlineLevel="0" collapsed="false">
      <c r="A649" s="112" t="s">
        <v>736</v>
      </c>
      <c r="B649" s="112" t="s">
        <v>1182</v>
      </c>
      <c r="C649" s="112" t="s">
        <v>540</v>
      </c>
      <c r="D649" s="112" t="s">
        <v>20</v>
      </c>
      <c r="E649" s="112" t="s">
        <v>180</v>
      </c>
      <c r="F649" s="113" t="s">
        <v>59</v>
      </c>
      <c r="G649" s="112" t="s">
        <v>60</v>
      </c>
      <c r="H649" s="112" t="s">
        <v>398</v>
      </c>
      <c r="I649" s="114" t="n">
        <v>1</v>
      </c>
      <c r="J649" s="114" t="n">
        <v>0</v>
      </c>
      <c r="K649" s="112"/>
      <c r="L649" s="112"/>
    </row>
    <row r="650" customFormat="false" ht="15" hidden="false" customHeight="false" outlineLevel="0" collapsed="false">
      <c r="A650" s="112" t="s">
        <v>738</v>
      </c>
      <c r="B650" s="112" t="s">
        <v>1182</v>
      </c>
      <c r="C650" s="112" t="s">
        <v>540</v>
      </c>
      <c r="D650" s="112" t="s">
        <v>20</v>
      </c>
      <c r="E650" s="112" t="s">
        <v>381</v>
      </c>
      <c r="F650" s="113" t="s">
        <v>59</v>
      </c>
      <c r="G650" s="112" t="s">
        <v>60</v>
      </c>
      <c r="H650" s="112" t="s">
        <v>398</v>
      </c>
      <c r="I650" s="114" t="n">
        <v>0</v>
      </c>
      <c r="J650" s="114" t="n">
        <v>1</v>
      </c>
      <c r="K650" s="112"/>
      <c r="L650" s="112"/>
    </row>
    <row r="651" customFormat="false" ht="15" hidden="false" customHeight="false" outlineLevel="0" collapsed="false">
      <c r="A651" s="112" t="s">
        <v>537</v>
      </c>
      <c r="B651" s="112" t="s">
        <v>1182</v>
      </c>
      <c r="C651" s="112" t="s">
        <v>540</v>
      </c>
      <c r="D651" s="112" t="s">
        <v>20</v>
      </c>
      <c r="E651" s="112" t="s">
        <v>293</v>
      </c>
      <c r="F651" s="113" t="s">
        <v>63</v>
      </c>
      <c r="G651" s="112" t="s">
        <v>64</v>
      </c>
      <c r="H651" s="112" t="s">
        <v>398</v>
      </c>
      <c r="I651" s="114" t="n">
        <v>1</v>
      </c>
      <c r="J651" s="114" t="n">
        <v>0</v>
      </c>
      <c r="K651" s="112"/>
      <c r="L651" s="112"/>
    </row>
    <row r="652" customFormat="false" ht="15" hidden="false" customHeight="false" outlineLevel="0" collapsed="false">
      <c r="A652" s="112" t="s">
        <v>741</v>
      </c>
      <c r="B652" s="112" t="s">
        <v>1182</v>
      </c>
      <c r="C652" s="112" t="s">
        <v>540</v>
      </c>
      <c r="D652" s="112" t="s">
        <v>20</v>
      </c>
      <c r="E652" s="112" t="s">
        <v>173</v>
      </c>
      <c r="F652" s="113" t="s">
        <v>59</v>
      </c>
      <c r="G652" s="112" t="s">
        <v>60</v>
      </c>
      <c r="H652" s="112" t="s">
        <v>398</v>
      </c>
      <c r="I652" s="114" t="n">
        <v>1</v>
      </c>
      <c r="J652" s="114" t="n">
        <v>0</v>
      </c>
      <c r="K652" s="112"/>
      <c r="L652" s="112"/>
    </row>
    <row r="653" customFormat="false" ht="15" hidden="false" customHeight="false" outlineLevel="0" collapsed="false">
      <c r="A653" s="112" t="s">
        <v>538</v>
      </c>
      <c r="B653" s="112" t="s">
        <v>1182</v>
      </c>
      <c r="C653" s="112" t="s">
        <v>540</v>
      </c>
      <c r="D653" s="112" t="s">
        <v>20</v>
      </c>
      <c r="E653" s="112" t="s">
        <v>273</v>
      </c>
      <c r="F653" s="113" t="s">
        <v>63</v>
      </c>
      <c r="G653" s="112" t="s">
        <v>64</v>
      </c>
      <c r="H653" s="112" t="s">
        <v>398</v>
      </c>
      <c r="I653" s="114" t="n">
        <v>1</v>
      </c>
      <c r="J653" s="114" t="n">
        <v>0</v>
      </c>
      <c r="K653" s="112"/>
      <c r="L653" s="112"/>
    </row>
    <row r="654" customFormat="false" ht="15" hidden="false" customHeight="false" outlineLevel="0" collapsed="false">
      <c r="A654" s="112" t="s">
        <v>1230</v>
      </c>
      <c r="B654" s="112" t="s">
        <v>1182</v>
      </c>
      <c r="C654" s="112" t="s">
        <v>540</v>
      </c>
      <c r="D654" s="112" t="s">
        <v>20</v>
      </c>
      <c r="E654" s="112" t="s">
        <v>167</v>
      </c>
      <c r="F654" s="113" t="s">
        <v>59</v>
      </c>
      <c r="G654" s="112" t="s">
        <v>60</v>
      </c>
      <c r="H654" s="112" t="s">
        <v>398</v>
      </c>
      <c r="I654" s="114" t="n">
        <v>1</v>
      </c>
      <c r="J654" s="114" t="n">
        <v>0</v>
      </c>
      <c r="K654" s="112"/>
      <c r="L654" s="112"/>
    </row>
    <row r="655" customFormat="false" ht="15" hidden="false" customHeight="false" outlineLevel="0" collapsed="false">
      <c r="A655" s="112" t="s">
        <v>1064</v>
      </c>
      <c r="B655" s="112" t="s">
        <v>1182</v>
      </c>
      <c r="C655" s="112" t="s">
        <v>540</v>
      </c>
      <c r="D655" s="112" t="s">
        <v>20</v>
      </c>
      <c r="E655" s="112" t="s">
        <v>341</v>
      </c>
      <c r="F655" s="113" t="s">
        <v>85</v>
      </c>
      <c r="G655" s="112" t="s">
        <v>86</v>
      </c>
      <c r="H655" s="112" t="s">
        <v>398</v>
      </c>
      <c r="I655" s="114" t="n">
        <v>1</v>
      </c>
      <c r="J655" s="114" t="n">
        <v>1</v>
      </c>
      <c r="K655" s="112"/>
      <c r="L655" s="112"/>
    </row>
    <row r="656" customFormat="false" ht="15" hidden="false" customHeight="false" outlineLevel="0" collapsed="false">
      <c r="A656" s="112" t="s">
        <v>631</v>
      </c>
      <c r="B656" s="112" t="s">
        <v>1182</v>
      </c>
      <c r="C656" s="112" t="s">
        <v>540</v>
      </c>
      <c r="D656" s="112" t="s">
        <v>20</v>
      </c>
      <c r="E656" s="112" t="s">
        <v>347</v>
      </c>
      <c r="F656" s="113" t="s">
        <v>85</v>
      </c>
      <c r="G656" s="112" t="s">
        <v>86</v>
      </c>
      <c r="H656" s="112" t="s">
        <v>398</v>
      </c>
      <c r="I656" s="114" t="n">
        <v>1</v>
      </c>
      <c r="J656" s="114" t="n">
        <v>0</v>
      </c>
      <c r="K656" s="112"/>
      <c r="L656" s="112"/>
    </row>
    <row r="657" customFormat="false" ht="15" hidden="false" customHeight="false" outlineLevel="0" collapsed="false">
      <c r="A657" s="112" t="s">
        <v>1153</v>
      </c>
      <c r="B657" s="112" t="s">
        <v>1182</v>
      </c>
      <c r="C657" s="112" t="s">
        <v>18</v>
      </c>
      <c r="D657" s="112" t="s">
        <v>18</v>
      </c>
      <c r="E657" s="112" t="s">
        <v>323</v>
      </c>
      <c r="F657" s="113" t="s">
        <v>85</v>
      </c>
      <c r="G657" s="112" t="s">
        <v>86</v>
      </c>
      <c r="H657" s="112" t="s">
        <v>398</v>
      </c>
      <c r="I657" s="114" t="n">
        <v>1</v>
      </c>
      <c r="J657" s="114" t="n">
        <v>0</v>
      </c>
      <c r="K657" s="112"/>
      <c r="L657" s="112"/>
    </row>
    <row r="658" customFormat="false" ht="15" hidden="false" customHeight="false" outlineLevel="0" collapsed="false">
      <c r="A658" s="112" t="s">
        <v>1154</v>
      </c>
      <c r="B658" s="112" t="s">
        <v>1182</v>
      </c>
      <c r="C658" s="112" t="s">
        <v>18</v>
      </c>
      <c r="D658" s="112" t="s">
        <v>18</v>
      </c>
      <c r="E658" s="112" t="s">
        <v>1231</v>
      </c>
      <c r="F658" s="113" t="s">
        <v>141</v>
      </c>
      <c r="G658" s="112" t="s">
        <v>142</v>
      </c>
      <c r="H658" s="112" t="s">
        <v>398</v>
      </c>
      <c r="I658" s="114" t="n">
        <v>1</v>
      </c>
      <c r="J658" s="114" t="n">
        <v>0</v>
      </c>
      <c r="K658" s="112"/>
      <c r="L658" s="112"/>
    </row>
    <row r="659" customFormat="false" ht="15" hidden="false" customHeight="false" outlineLevel="0" collapsed="false">
      <c r="A659" s="112" t="s">
        <v>780</v>
      </c>
      <c r="B659" s="112" t="s">
        <v>1182</v>
      </c>
      <c r="C659" s="112" t="s">
        <v>499</v>
      </c>
      <c r="D659" s="112" t="s">
        <v>11</v>
      </c>
      <c r="E659" s="112" t="s">
        <v>246</v>
      </c>
      <c r="F659" s="113" t="s">
        <v>63</v>
      </c>
      <c r="G659" s="112" t="s">
        <v>64</v>
      </c>
      <c r="H659" s="112" t="s">
        <v>398</v>
      </c>
      <c r="I659" s="114" t="n">
        <v>1</v>
      </c>
      <c r="J659" s="114" t="n">
        <v>0</v>
      </c>
      <c r="K659" s="112"/>
      <c r="L659" s="112"/>
    </row>
    <row r="660" customFormat="false" ht="15" hidden="false" customHeight="false" outlineLevel="0" collapsed="false">
      <c r="A660" s="112" t="s">
        <v>566</v>
      </c>
      <c r="B660" s="112" t="s">
        <v>1182</v>
      </c>
      <c r="C660" s="112" t="s">
        <v>499</v>
      </c>
      <c r="D660" s="112" t="s">
        <v>11</v>
      </c>
      <c r="E660" s="112" t="s">
        <v>227</v>
      </c>
      <c r="F660" s="113" t="s">
        <v>55</v>
      </c>
      <c r="G660" s="112" t="s">
        <v>56</v>
      </c>
      <c r="H660" s="112" t="s">
        <v>398</v>
      </c>
      <c r="I660" s="114" t="n">
        <v>1</v>
      </c>
      <c r="J660" s="114" t="n">
        <v>0</v>
      </c>
      <c r="K660" s="112"/>
      <c r="L660" s="112"/>
    </row>
    <row r="661" customFormat="false" ht="15" hidden="false" customHeight="false" outlineLevel="0" collapsed="false">
      <c r="A661" s="112" t="s">
        <v>505</v>
      </c>
      <c r="B661" s="112" t="s">
        <v>1182</v>
      </c>
      <c r="C661" s="112" t="s">
        <v>1232</v>
      </c>
      <c r="D661" s="112" t="s">
        <v>12</v>
      </c>
      <c r="E661" s="112" t="s">
        <v>248</v>
      </c>
      <c r="F661" s="113" t="s">
        <v>63</v>
      </c>
      <c r="G661" s="112" t="s">
        <v>64</v>
      </c>
      <c r="H661" s="112" t="s">
        <v>398</v>
      </c>
      <c r="I661" s="114" t="n">
        <v>1</v>
      </c>
      <c r="J661" s="114" t="n">
        <v>0</v>
      </c>
      <c r="K661" s="112"/>
      <c r="L661" s="112"/>
    </row>
    <row r="662" customFormat="false" ht="15" hidden="false" customHeight="false" outlineLevel="0" collapsed="false">
      <c r="A662" s="112" t="s">
        <v>508</v>
      </c>
      <c r="B662" s="112" t="s">
        <v>1182</v>
      </c>
      <c r="C662" s="112" t="s">
        <v>1232</v>
      </c>
      <c r="D662" s="112" t="s">
        <v>12</v>
      </c>
      <c r="E662" s="112" t="s">
        <v>342</v>
      </c>
      <c r="F662" s="113" t="s">
        <v>59</v>
      </c>
      <c r="G662" s="112" t="s">
        <v>60</v>
      </c>
      <c r="H662" s="112" t="s">
        <v>398</v>
      </c>
      <c r="I662" s="114" t="n">
        <v>1</v>
      </c>
      <c r="J662" s="114" t="n">
        <v>0</v>
      </c>
      <c r="K662" s="112"/>
      <c r="L662" s="112"/>
    </row>
    <row r="663" customFormat="false" ht="15" hidden="false" customHeight="false" outlineLevel="0" collapsed="false">
      <c r="A663" s="112" t="s">
        <v>510</v>
      </c>
      <c r="B663" s="112" t="s">
        <v>1182</v>
      </c>
      <c r="C663" s="112" t="s">
        <v>1232</v>
      </c>
      <c r="D663" s="112" t="s">
        <v>12</v>
      </c>
      <c r="E663" s="112" t="s">
        <v>1233</v>
      </c>
      <c r="F663" s="113" t="s">
        <v>91</v>
      </c>
      <c r="G663" s="112" t="s">
        <v>92</v>
      </c>
      <c r="H663" s="112" t="s">
        <v>398</v>
      </c>
      <c r="I663" s="114" t="n">
        <v>1</v>
      </c>
      <c r="J663" s="114" t="n">
        <v>0</v>
      </c>
      <c r="K663" s="112"/>
      <c r="L663" s="112"/>
    </row>
    <row r="664" customFormat="false" ht="15" hidden="false" customHeight="false" outlineLevel="0" collapsed="false">
      <c r="A664" s="112" t="s">
        <v>689</v>
      </c>
      <c r="B664" s="112" t="s">
        <v>1182</v>
      </c>
      <c r="C664" s="112" t="s">
        <v>1232</v>
      </c>
      <c r="D664" s="112" t="s">
        <v>12</v>
      </c>
      <c r="E664" s="112" t="s">
        <v>1234</v>
      </c>
      <c r="F664" s="113" t="s">
        <v>91</v>
      </c>
      <c r="G664" s="112" t="s">
        <v>92</v>
      </c>
      <c r="H664" s="112" t="s">
        <v>398</v>
      </c>
      <c r="I664" s="114" t="n">
        <v>1</v>
      </c>
      <c r="J664" s="114" t="n">
        <v>0</v>
      </c>
      <c r="K664" s="112"/>
      <c r="L664" s="112"/>
    </row>
    <row r="665" customFormat="false" ht="15" hidden="false" customHeight="false" outlineLevel="0" collapsed="false">
      <c r="A665" s="112" t="s">
        <v>570</v>
      </c>
      <c r="B665" s="112" t="s">
        <v>1182</v>
      </c>
      <c r="C665" s="112" t="s">
        <v>1232</v>
      </c>
      <c r="D665" s="112" t="s">
        <v>12</v>
      </c>
      <c r="E665" s="112" t="s">
        <v>1235</v>
      </c>
      <c r="F665" s="113" t="s">
        <v>91</v>
      </c>
      <c r="G665" s="112" t="s">
        <v>92</v>
      </c>
      <c r="H665" s="112" t="s">
        <v>398</v>
      </c>
      <c r="I665" s="114" t="n">
        <v>1</v>
      </c>
      <c r="J665" s="114" t="n">
        <v>0</v>
      </c>
      <c r="K665" s="112"/>
      <c r="L665" s="112"/>
    </row>
    <row r="666" customFormat="false" ht="15" hidden="false" customHeight="false" outlineLevel="0" collapsed="false">
      <c r="A666" s="112" t="s">
        <v>869</v>
      </c>
      <c r="B666" s="112" t="s">
        <v>1182</v>
      </c>
      <c r="C666" s="112" t="s">
        <v>1232</v>
      </c>
      <c r="D666" s="112" t="s">
        <v>12</v>
      </c>
      <c r="E666" s="112" t="s">
        <v>1236</v>
      </c>
      <c r="F666" s="113" t="s">
        <v>91</v>
      </c>
      <c r="G666" s="112" t="s">
        <v>92</v>
      </c>
      <c r="H666" s="112" t="s">
        <v>398</v>
      </c>
      <c r="I666" s="114" t="n">
        <v>1</v>
      </c>
      <c r="J666" s="114" t="n">
        <v>0</v>
      </c>
      <c r="K666" s="112"/>
      <c r="L666" s="112"/>
    </row>
  </sheetData>
  <autoFilter ref="A1:L6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2026-10-15T03:43:46Z</dcterms:created>
  <dc:creator>openpyxl</dc:creator>
  <dc:description/>
  <dc:language>en-US</dc:language>
  <cp:lastModifiedBy/>
  <dcterms:modified xsi:type="dcterms:W3CDTF">2026-10-15T03:43:48Z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