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false" localSheetId="1" name="_xlnm.Print_Area" vbProcedure="false">'Ежедневная сводка'!$A$1:$AD$71</definedName>
    <definedName function="false" hidden="true" localSheetId="2" name="_xlnm._FilterDatabase" vbProcedure="false">'Исходные данные'!$A$1:$L$664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<sst xmlns="http://schemas.openxmlformats.org/spreadsheetml/2006/main" count="6296" uniqueCount="1242">
  <si>
    <t xml:space="preserve">Префикс</t>
  </si>
  <si>
    <t xml:space="preserve">Название типа</t>
  </si>
  <si>
    <t xml:space="preserve">План</t>
  </si>
  <si>
    <t xml:space="preserve">По формуле</t>
  </si>
  <si>
    <t xml:space="preserve">Факт</t>
  </si>
  <si>
    <t xml:space="preserve">Откл</t>
  </si>
  <si>
    <t xml:space="preserve">Всего Д</t>
  </si>
  <si>
    <t xml:space="preserve">Всего Н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</si>
  <si>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</si>
  <si>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</si>
  <si>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</si>
  <si>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</si>
  <si>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</si>
  <si>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</si>
  <si>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</si>
  <si>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</si>
  <si>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</si>
  <si>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</si>
  <si>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</si>
  <si>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</si>
  <si>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</si>
  <si>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</si>
  <si>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</si>
  <si>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</si>
  <si>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</si>
  <si>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</si>
  <si>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</si>
  <si>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</si>
  <si>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</si>
  <si>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</si>
  <si>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</si>
  <si>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</si>
  <si>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</si>
  <si>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</si>
  <si>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</si>
  <si>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</si>
  <si>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</si>
  <si>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</si>
  <si>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</si>
  <si>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</si>
  <si>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</si>
  <si>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Гараж-2</t>
  </si>
  <si>
    <t xml:space="preserve">СМУ УТТ</t>
  </si>
  <si>
    <t xml:space="preserve">СБ</t>
  </si>
  <si>
    <t xml:space="preserve">МГС</t>
  </si>
  <si>
    <t xml:space="preserve">IR</t>
  </si>
  <si>
    <t xml:space="preserve">ОБиОТ</t>
  </si>
  <si>
    <t xml:space="preserve">Д</t>
  </si>
  <si>
    <t xml:space="preserve">Н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</si>
  <si>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</si>
  <si>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</si>
  <si>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</si>
  <si>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</si>
  <si>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</si>
  <si>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</si>
  <si>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</si>
  <si>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</si>
  <si>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</si>
  <si>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</si>
  <si>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</si>
  <si>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</si>
  <si>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</si>
  <si>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</si>
  <si>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</si>
  <si>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</si>
  <si>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</si>
  <si>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</si>
  <si>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</si>
  <si>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</si>
  <si>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</si>
  <si>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</si>
  <si>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</si>
  <si>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</si>
  <si>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</si>
  <si>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</si>
  <si>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</si>
  <si>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</si>
  <si>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10</t>
  </si>
  <si>
    <t xml:space="preserve">Пожарная машина</t>
  </si>
  <si>
    <t xml:space="preserve">11</t>
  </si>
  <si>
    <t xml:space="preserve">Скорая</t>
  </si>
  <si>
    <t xml:space="preserve">16</t>
  </si>
  <si>
    <t xml:space="preserve">Бортовой 1,5т</t>
  </si>
  <si>
    <t xml:space="preserve">18</t>
  </si>
  <si>
    <t xml:space="preserve">Камаз, Маз 6-10т</t>
  </si>
  <si>
    <t xml:space="preserve">19</t>
  </si>
  <si>
    <t xml:space="preserve">Микроавтобус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</si>
  <si>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</si>
  <si>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</si>
  <si>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</si>
  <si>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</si>
  <si>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22.1</t>
  </si>
  <si>
    <t xml:space="preserve">Эвакуатор</t>
  </si>
  <si>
    <t xml:space="preserve">24</t>
  </si>
  <si>
    <t xml:space="preserve">Платформа с лебедкой</t>
  </si>
  <si>
    <t xml:space="preserve">29</t>
  </si>
  <si>
    <t xml:space="preserve">Кран 30т</t>
  </si>
  <si>
    <t xml:space="preserve">30</t>
  </si>
  <si>
    <t xml:space="preserve">Кран 50т</t>
  </si>
  <si>
    <t xml:space="preserve">32</t>
  </si>
  <si>
    <t xml:space="preserve">Самосвал</t>
  </si>
  <si>
    <t xml:space="preserve">33</t>
  </si>
  <si>
    <t xml:space="preserve">Компрессор</t>
  </si>
  <si>
    <t xml:space="preserve">35.1</t>
  </si>
  <si>
    <t xml:space="preserve">Сед.тягач с прицепом АЦН 30т</t>
  </si>
  <si>
    <t xml:space="preserve">35.2</t>
  </si>
  <si>
    <t xml:space="preserve">Сед.тягач без прицепа АЦН 30т</t>
  </si>
  <si>
    <t xml:space="preserve">36</t>
  </si>
  <si>
    <t xml:space="preserve">Питьевая АЦН</t>
  </si>
  <si>
    <t xml:space="preserve">37</t>
  </si>
  <si>
    <t xml:space="preserve">Бензовоз, масловоз</t>
  </si>
  <si>
    <t xml:space="preserve">38</t>
  </si>
  <si>
    <t xml:space="preserve">АГП</t>
  </si>
  <si>
    <t xml:space="preserve">40</t>
  </si>
  <si>
    <t xml:space="preserve">Мусоровоз</t>
  </si>
  <si>
    <t xml:space="preserve">41</t>
  </si>
  <si>
    <t xml:space="preserve">Термобудка</t>
  </si>
  <si>
    <t xml:space="preserve">42</t>
  </si>
  <si>
    <t xml:space="preserve">Глубинная лебедка</t>
  </si>
  <si>
    <t xml:space="preserve">42.1</t>
  </si>
  <si>
    <t xml:space="preserve">АИС для иссл.скв. с приц</t>
  </si>
  <si>
    <t xml:space="preserve">43</t>
  </si>
  <si>
    <t xml:space="preserve">Траншеекопатель</t>
  </si>
  <si>
    <t xml:space="preserve">44</t>
  </si>
  <si>
    <t xml:space="preserve">Анкерный Ямобур</t>
  </si>
  <si>
    <t xml:space="preserve">45</t>
  </si>
  <si>
    <t xml:space="preserve">Ямобур</t>
  </si>
  <si>
    <t xml:space="preserve">46</t>
  </si>
  <si>
    <t xml:space="preserve">Гусеничный Экскаватор</t>
  </si>
  <si>
    <t xml:space="preserve">48</t>
  </si>
  <si>
    <t xml:space="preserve">Лаборатория</t>
  </si>
  <si>
    <t xml:space="preserve">51</t>
  </si>
  <si>
    <t xml:space="preserve">Ассенизатор</t>
  </si>
  <si>
    <t xml:space="preserve">52</t>
  </si>
  <si>
    <t xml:space="preserve">Трубоукладчик</t>
  </si>
  <si>
    <t xml:space="preserve">53</t>
  </si>
  <si>
    <t xml:space="preserve">Фронт.погрузчик / Komatsu FD30T-17</t>
  </si>
  <si>
    <t xml:space="preserve">54</t>
  </si>
  <si>
    <t xml:space="preserve">Автопогрузчик 1,5т</t>
  </si>
  <si>
    <t xml:space="preserve">55</t>
  </si>
  <si>
    <t xml:space="preserve">Погрузчик МКСМ-0,5т</t>
  </si>
  <si>
    <t xml:space="preserve">56</t>
  </si>
  <si>
    <t xml:space="preserve">Грейдер</t>
  </si>
  <si>
    <t xml:space="preserve">57</t>
  </si>
  <si>
    <t xml:space="preserve">Трактор колесный</t>
  </si>
  <si>
    <t xml:space="preserve">57.1</t>
  </si>
  <si>
    <t xml:space="preserve">Трактор колесн. с прицепом</t>
  </si>
  <si>
    <t xml:space="preserve">59</t>
  </si>
  <si>
    <t xml:space="preserve">Сваб (подъемник)</t>
  </si>
  <si>
    <t xml:space="preserve">60</t>
  </si>
  <si>
    <t xml:space="preserve">Каток</t>
  </si>
  <si>
    <t xml:space="preserve">62</t>
  </si>
  <si>
    <t xml:space="preserve">АРОК</t>
  </si>
  <si>
    <t xml:space="preserve">63</t>
  </si>
  <si>
    <t xml:space="preserve">Автокран 100тн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</si>
  <si>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</si>
  <si>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</si>
  <si>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</si>
  <si>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27.10.2026ж.</t>
  </si>
  <si>
    <t xml:space="preserve">Откл. по цехам (факт − план)</t>
  </si>
  <si>
    <t xml:space="preserve">ППУ</t>
  </si>
  <si>
    <t xml:space="preserve">Автокран (прод.)</t>
  </si>
  <si>
    <t xml:space="preserve">Техника</t>
  </si>
  <si>
    <t xml:space="preserve">День</t>
  </si>
  <si>
    <t xml:space="preserve">Ночь</t>
  </si>
  <si>
    <t xml:space="preserve">34-Н2892/12</t>
  </si>
  <si>
    <t xml:space="preserve">28-3195н</t>
  </si>
  <si>
    <t xml:space="preserve">34-Н3160/12</t>
  </si>
  <si>
    <t xml:space="preserve">28-3209</t>
  </si>
  <si>
    <t xml:space="preserve">34-Н3407/12н</t>
  </si>
  <si>
    <t xml:space="preserve">28-3421н</t>
  </si>
  <si>
    <t xml:space="preserve">34-Н347812д</t>
  </si>
  <si>
    <t xml:space="preserve">28-647</t>
  </si>
  <si>
    <t xml:space="preserve">Экскаватор</t>
  </si>
  <si>
    <t xml:space="preserve">34-821АІ/12</t>
  </si>
  <si>
    <t xml:space="preserve">28-H299612н</t>
  </si>
  <si>
    <t xml:space="preserve">34-H322012д</t>
  </si>
  <si>
    <t xml:space="preserve">28-H318712д</t>
  </si>
  <si>
    <t xml:space="preserve">Вакуум уст.</t>
  </si>
  <si>
    <t xml:space="preserve">34-Н2795/12</t>
  </si>
  <si>
    <t xml:space="preserve">28-H320212н</t>
  </si>
  <si>
    <t xml:space="preserve">34-Н2797/12</t>
  </si>
  <si>
    <t xml:space="preserve">28-H321412д</t>
  </si>
  <si>
    <t xml:space="preserve">Автокран</t>
  </si>
  <si>
    <t xml:space="preserve">34-Н2893/12</t>
  </si>
  <si>
    <t xml:space="preserve">28-Н321512д</t>
  </si>
  <si>
    <t xml:space="preserve">34-Н3391/12н</t>
  </si>
  <si>
    <t xml:space="preserve">ТРАЛ</t>
  </si>
  <si>
    <t xml:space="preserve">34-Н2869/12</t>
  </si>
  <si>
    <t xml:space="preserve">34-Н3164/12</t>
  </si>
  <si>
    <t xml:space="preserve">22-H2885/12</t>
  </si>
  <si>
    <t xml:space="preserve">АРОК (КМУ)</t>
  </si>
  <si>
    <t xml:space="preserve">34-Н0888/12н</t>
  </si>
  <si>
    <t xml:space="preserve">22-H2883/12</t>
  </si>
  <si>
    <t xml:space="preserve">34-Н2855/12</t>
  </si>
  <si>
    <t xml:space="preserve">22-H3570/12</t>
  </si>
  <si>
    <t xml:space="preserve">34-Н2861/12н</t>
  </si>
  <si>
    <t xml:space="preserve">22-H2856/12</t>
  </si>
  <si>
    <t xml:space="preserve">34-Н2875/12д/н</t>
  </si>
  <si>
    <t xml:space="preserve">22-H360612</t>
  </si>
  <si>
    <t xml:space="preserve">34-Н2880/12</t>
  </si>
  <si>
    <t xml:space="preserve">22-H1942/12</t>
  </si>
  <si>
    <t xml:space="preserve">34-Н3400/12</t>
  </si>
  <si>
    <t xml:space="preserve">22-H2651/12</t>
  </si>
  <si>
    <t xml:space="preserve">34-Н3404/12</t>
  </si>
  <si>
    <t xml:space="preserve">22-H2653/12</t>
  </si>
  <si>
    <t xml:space="preserve">34-H341612н</t>
  </si>
  <si>
    <t xml:space="preserve">22-H269312</t>
  </si>
  <si>
    <t xml:space="preserve">Погрузчик</t>
  </si>
  <si>
    <t xml:space="preserve">34-Н284512д</t>
  </si>
  <si>
    <t xml:space="preserve">22-H2862/12</t>
  </si>
  <si>
    <t xml:space="preserve">34-Н284612н</t>
  </si>
  <si>
    <t xml:space="preserve">22-H3036/12</t>
  </si>
  <si>
    <t xml:space="preserve">Техникаға сұраныс</t>
  </si>
  <si>
    <t xml:space="preserve">34-Н287012д</t>
  </si>
  <si>
    <t xml:space="preserve">22-H3051/12</t>
  </si>
  <si>
    <t xml:space="preserve">34-Н301112д</t>
  </si>
  <si>
    <t xml:space="preserve">22-H279412д</t>
  </si>
  <si>
    <t xml:space="preserve">34-Н340912д/н</t>
  </si>
  <si>
    <t xml:space="preserve">22-H296812д</t>
  </si>
  <si>
    <t xml:space="preserve">22-H302212н</t>
  </si>
  <si>
    <t xml:space="preserve">22-H358812д/н</t>
  </si>
  <si>
    <t xml:space="preserve">47-451</t>
  </si>
  <si>
    <t xml:space="preserve">22-Н304612н</t>
  </si>
  <si>
    <t xml:space="preserve">47-341</t>
  </si>
  <si>
    <t xml:space="preserve">22-Н363812д</t>
  </si>
  <si>
    <t xml:space="preserve">47-640</t>
  </si>
  <si>
    <t xml:space="preserve">47-952</t>
  </si>
  <si>
    <t xml:space="preserve">47-452</t>
  </si>
  <si>
    <t xml:space="preserve">27-3393</t>
  </si>
  <si>
    <t xml:space="preserve">47-221</t>
  </si>
  <si>
    <t xml:space="preserve">27-H345812д</t>
  </si>
  <si>
    <t xml:space="preserve">47-692</t>
  </si>
  <si>
    <t xml:space="preserve">27-3388</t>
  </si>
  <si>
    <t xml:space="preserve">47-693</t>
  </si>
  <si>
    <t xml:space="preserve">27-820</t>
  </si>
  <si>
    <t xml:space="preserve">27-1512</t>
  </si>
  <si>
    <t xml:space="preserve">27-1009</t>
  </si>
  <si>
    <t xml:space="preserve">49-166AG/12н</t>
  </si>
  <si>
    <t xml:space="preserve">27-3595</t>
  </si>
  <si>
    <t xml:space="preserve">49-H3390/12</t>
  </si>
  <si>
    <t xml:space="preserve">27-Н348112д</t>
  </si>
  <si>
    <t xml:space="preserve">49-H3446/12н</t>
  </si>
  <si>
    <t xml:space="preserve">27-0995</t>
  </si>
  <si>
    <t xml:space="preserve">49-Н3177/12</t>
  </si>
  <si>
    <t xml:space="preserve">27-1442</t>
  </si>
  <si>
    <t xml:space="preserve">49-H3446/12</t>
  </si>
  <si>
    <t xml:space="preserve">27-1523н</t>
  </si>
  <si>
    <t xml:space="preserve">49-Н194012</t>
  </si>
  <si>
    <t xml:space="preserve">27-3594н</t>
  </si>
  <si>
    <t xml:space="preserve">49-Н2960/12</t>
  </si>
  <si>
    <t xml:space="preserve">27-3651н</t>
  </si>
  <si>
    <t xml:space="preserve">ЦА-320 (прод.)</t>
  </si>
  <si>
    <t xml:space="preserve">АЦН (прод.)</t>
  </si>
  <si>
    <t xml:space="preserve">49-Н2988/12н</t>
  </si>
  <si>
    <t xml:space="preserve">27-3655</t>
  </si>
  <si>
    <t xml:space="preserve">31-Н1560/12</t>
  </si>
  <si>
    <t xml:space="preserve">31-H304012д</t>
  </si>
  <si>
    <t xml:space="preserve">35-219</t>
  </si>
  <si>
    <t xml:space="preserve">35-2713</t>
  </si>
  <si>
    <t xml:space="preserve">50-AKE023R</t>
  </si>
  <si>
    <t xml:space="preserve">49-167AG/12</t>
  </si>
  <si>
    <t xml:space="preserve">27-Н342812д</t>
  </si>
  <si>
    <t xml:space="preserve">31-Н2978/12</t>
  </si>
  <si>
    <t xml:space="preserve">31-H304312д</t>
  </si>
  <si>
    <t xml:space="preserve">35-2291</t>
  </si>
  <si>
    <t xml:space="preserve">35-2715</t>
  </si>
  <si>
    <t xml:space="preserve">50-AKE024R</t>
  </si>
  <si>
    <t xml:space="preserve">49-Н1801/12н</t>
  </si>
  <si>
    <t xml:space="preserve">27-Н358912д</t>
  </si>
  <si>
    <t xml:space="preserve">31-Н2994/12</t>
  </si>
  <si>
    <t xml:space="preserve">31-H341412н</t>
  </si>
  <si>
    <t xml:space="preserve">35-2705</t>
  </si>
  <si>
    <t xml:space="preserve">35-2716</t>
  </si>
  <si>
    <t xml:space="preserve">49-Н3192/12д/н</t>
  </si>
  <si>
    <t xml:space="preserve">27-Н361712н</t>
  </si>
  <si>
    <t xml:space="preserve">31-Н2997/12</t>
  </si>
  <si>
    <t xml:space="preserve">31-H346012д</t>
  </si>
  <si>
    <t xml:space="preserve">35-2706</t>
  </si>
  <si>
    <t xml:space="preserve">35-3135</t>
  </si>
  <si>
    <t xml:space="preserve">49-H304112н</t>
  </si>
  <si>
    <t xml:space="preserve">60-27-131AP12н</t>
  </si>
  <si>
    <t xml:space="preserve">31-Н3006/12</t>
  </si>
  <si>
    <t xml:space="preserve">31-Н297912н</t>
  </si>
  <si>
    <t xml:space="preserve">35-2714</t>
  </si>
  <si>
    <t xml:space="preserve">35-3180</t>
  </si>
  <si>
    <t xml:space="preserve">53-R963AKE</t>
  </si>
  <si>
    <t xml:space="preserve">60-27-635AV12</t>
  </si>
  <si>
    <t xml:space="preserve">31-Н3015/12</t>
  </si>
  <si>
    <t xml:space="preserve">31-Н301812д</t>
  </si>
  <si>
    <t xml:space="preserve">35-3136</t>
  </si>
  <si>
    <t xml:space="preserve">35-352</t>
  </si>
  <si>
    <t xml:space="preserve">53-R969AKE</t>
  </si>
  <si>
    <t xml:space="preserve">31-Н3151/12</t>
  </si>
  <si>
    <t xml:space="preserve">31-Н318312д</t>
  </si>
  <si>
    <t xml:space="preserve">35-3218</t>
  </si>
  <si>
    <t xml:space="preserve">35-3564</t>
  </si>
  <si>
    <t xml:space="preserve">53-967</t>
  </si>
  <si>
    <t xml:space="preserve">28-3140</t>
  </si>
  <si>
    <t xml:space="preserve">31-Н3047/12</t>
  </si>
  <si>
    <t xml:space="preserve">31-Н319812н</t>
  </si>
  <si>
    <t xml:space="preserve">35-337</t>
  </si>
  <si>
    <t xml:space="preserve">35-3569 d/n</t>
  </si>
  <si>
    <t xml:space="preserve">53-599</t>
  </si>
  <si>
    <t xml:space="preserve">28-3167</t>
  </si>
  <si>
    <t xml:space="preserve">31-863AI/12</t>
  </si>
  <si>
    <t xml:space="preserve">31-H3013/12н</t>
  </si>
  <si>
    <t xml:space="preserve">31-Н347512н</t>
  </si>
  <si>
    <t xml:space="preserve">35-341</t>
  </si>
  <si>
    <t xml:space="preserve">35-967AG12д</t>
  </si>
  <si>
    <t xml:space="preserve">53-961</t>
  </si>
  <si>
    <t xml:space="preserve">28-2889</t>
  </si>
  <si>
    <t xml:space="preserve">31-H3430/12н</t>
  </si>
  <si>
    <t xml:space="preserve">31-H3049/12н</t>
  </si>
  <si>
    <t xml:space="preserve">35-349</t>
  </si>
  <si>
    <t xml:space="preserve">35-987АC12н</t>
  </si>
  <si>
    <t xml:space="preserve">53-970</t>
  </si>
  <si>
    <t xml:space="preserve">28-3155</t>
  </si>
  <si>
    <t xml:space="preserve">31-Н0004/12</t>
  </si>
  <si>
    <t xml:space="preserve">31-H3445/12</t>
  </si>
  <si>
    <t xml:space="preserve">35-827</t>
  </si>
  <si>
    <t xml:space="preserve">35-H314912н</t>
  </si>
  <si>
    <t xml:space="preserve">53-020д/н</t>
  </si>
  <si>
    <t xml:space="preserve">28-3190</t>
  </si>
  <si>
    <t xml:space="preserve">31-Н3002/12</t>
  </si>
  <si>
    <t xml:space="preserve">31-H3483/12</t>
  </si>
  <si>
    <t xml:space="preserve">35-206</t>
  </si>
  <si>
    <t xml:space="preserve">35-968</t>
  </si>
  <si>
    <t xml:space="preserve">35-H316912н</t>
  </si>
  <si>
    <t xml:space="preserve">53-968</t>
  </si>
  <si>
    <t xml:space="preserve">28-3161</t>
  </si>
  <si>
    <t xml:space="preserve">31-Н322412д</t>
  </si>
  <si>
    <t xml:space="preserve">31-Н1889/12</t>
  </si>
  <si>
    <t xml:space="preserve">35-216</t>
  </si>
  <si>
    <t xml:space="preserve">35-H317012д</t>
  </si>
  <si>
    <t xml:space="preserve">35-H317112д</t>
  </si>
  <si>
    <t xml:space="preserve">53-R964AKE</t>
  </si>
  <si>
    <t xml:space="preserve">28-648</t>
  </si>
  <si>
    <t xml:space="preserve">31-893AI/12</t>
  </si>
  <si>
    <t xml:space="preserve">31-Н2980/12н</t>
  </si>
  <si>
    <t xml:space="preserve">35-2708</t>
  </si>
  <si>
    <t xml:space="preserve">35-228</t>
  </si>
  <si>
    <t xml:space="preserve">35-H317312д</t>
  </si>
  <si>
    <t xml:space="preserve">53-598</t>
  </si>
  <si>
    <t xml:space="preserve">28-1877</t>
  </si>
  <si>
    <t xml:space="preserve">31-H3039/12н</t>
  </si>
  <si>
    <t xml:space="preserve">31-Н2982/12</t>
  </si>
  <si>
    <t xml:space="preserve">35-3153</t>
  </si>
  <si>
    <t xml:space="preserve">35-H323012д</t>
  </si>
  <si>
    <t xml:space="preserve">53-962</t>
  </si>
  <si>
    <t xml:space="preserve">28-3156</t>
  </si>
  <si>
    <t xml:space="preserve">31-H3430/12</t>
  </si>
  <si>
    <t xml:space="preserve">31-Н3134/12</t>
  </si>
  <si>
    <t xml:space="preserve">35-3204</t>
  </si>
  <si>
    <t xml:space="preserve">35-847</t>
  </si>
  <si>
    <t xml:space="preserve">35-H358212н</t>
  </si>
  <si>
    <t xml:space="preserve">53-966н</t>
  </si>
  <si>
    <t xml:space="preserve">28-1105н</t>
  </si>
  <si>
    <t xml:space="preserve">31-H3464/12н</t>
  </si>
  <si>
    <t xml:space="preserve">31-Н3151/12н</t>
  </si>
  <si>
    <t xml:space="preserve">35-348АS12д</t>
  </si>
  <si>
    <t xml:space="preserve">35-857</t>
  </si>
  <si>
    <t xml:space="preserve">35-Н317812н</t>
  </si>
  <si>
    <t xml:space="preserve">28-2995н</t>
  </si>
  <si>
    <t xml:space="preserve">31-H3474/12</t>
  </si>
  <si>
    <t xml:space="preserve">31-Н3162/12н</t>
  </si>
  <si>
    <t xml:space="preserve">35-903AG12д</t>
  </si>
  <si>
    <t xml:space="preserve">35-2939</t>
  </si>
  <si>
    <t xml:space="preserve">35-Н322812д</t>
  </si>
  <si>
    <t xml:space="preserve">28-3141</t>
  </si>
  <si>
    <t xml:space="preserve">31-H3486/12</t>
  </si>
  <si>
    <t xml:space="preserve">31-Н3205/12н</t>
  </si>
  <si>
    <t xml:space="preserve">35-1544</t>
  </si>
  <si>
    <t xml:space="preserve">35-215</t>
  </si>
  <si>
    <t xml:space="preserve">35-213</t>
  </si>
  <si>
    <t xml:space="preserve">28-3145н</t>
  </si>
  <si>
    <t xml:space="preserve">31-Н1107/12</t>
  </si>
  <si>
    <t xml:space="preserve">31-Н3222/12н</t>
  </si>
  <si>
    <t xml:space="preserve">35-214</t>
  </si>
  <si>
    <t xml:space="preserve">35-218</t>
  </si>
  <si>
    <t xml:space="preserve">35-3196</t>
  </si>
  <si>
    <t xml:space="preserve">28-3165</t>
  </si>
  <si>
    <t xml:space="preserve">31-Н1559/12н</t>
  </si>
  <si>
    <t xml:space="preserve">31-H296312н</t>
  </si>
  <si>
    <t xml:space="preserve">35-217</t>
  </si>
  <si>
    <t xml:space="preserve">35-2710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</si>
  <si>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</si>
  <si>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</si>
  <si>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</si>
  <si>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</si>
  <si>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</si>
  <si>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</si>
  <si>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</si>
  <si>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</si>
  <si>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</si>
  <si>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(27.10)</t>
  </si>
  <si>
    <t xml:space="preserve">20-3574</t>
  </si>
  <si>
    <t xml:space="preserve">27.10.2026</t>
  </si>
  <si>
    <t xml:space="preserve">F12</t>
  </si>
  <si>
    <t xml:space="preserve">F13</t>
  </si>
  <si>
    <t xml:space="preserve">серая заливка без буквы → ночь</t>
  </si>
  <si>
    <t xml:space="preserve">H3</t>
  </si>
  <si>
    <t xml:space="preserve">ДТТ</t>
  </si>
  <si>
    <t xml:space="preserve">20-2652</t>
  </si>
  <si>
    <t xml:space="preserve">H4</t>
  </si>
  <si>
    <t xml:space="preserve">20-2672</t>
  </si>
  <si>
    <t xml:space="preserve">H5</t>
  </si>
  <si>
    <t xml:space="preserve">20-2689</t>
  </si>
  <si>
    <t xml:space="preserve">H6</t>
  </si>
  <si>
    <t xml:space="preserve">20-2695</t>
  </si>
  <si>
    <t xml:space="preserve">H7</t>
  </si>
  <si>
    <t xml:space="preserve">20-3397</t>
  </si>
  <si>
    <t xml:space="preserve">H8</t>
  </si>
  <si>
    <t xml:space="preserve">20-614760</t>
  </si>
  <si>
    <t xml:space="preserve">H9</t>
  </si>
  <si>
    <t xml:space="preserve">20-149</t>
  </si>
  <si>
    <t xml:space="preserve">G3</t>
  </si>
  <si>
    <t xml:space="preserve">ИГУ</t>
  </si>
  <si>
    <t xml:space="preserve">20-3593</t>
  </si>
  <si>
    <t xml:space="preserve">D12</t>
  </si>
  <si>
    <t xml:space="preserve">OKC</t>
  </si>
  <si>
    <t xml:space="preserve">D13</t>
  </si>
  <si>
    <t xml:space="preserve">D14</t>
  </si>
  <si>
    <t xml:space="preserve">D15</t>
  </si>
  <si>
    <t xml:space="preserve">D16</t>
  </si>
  <si>
    <t xml:space="preserve">35.1-2678</t>
  </si>
  <si>
    <t xml:space="preserve">B10</t>
  </si>
  <si>
    <t xml:space="preserve">отд кадр</t>
  </si>
  <si>
    <t xml:space="preserve">20-233</t>
  </si>
  <si>
    <t xml:space="preserve">B3</t>
  </si>
  <si>
    <t xml:space="preserve">РСУ</t>
  </si>
  <si>
    <t xml:space="preserve">20-2694</t>
  </si>
  <si>
    <t xml:space="preserve">A14</t>
  </si>
  <si>
    <t xml:space="preserve">20-2675</t>
  </si>
  <si>
    <t xml:space="preserve">A3</t>
  </si>
  <si>
    <t xml:space="preserve">ЦДН 1</t>
  </si>
  <si>
    <t xml:space="preserve">20-181</t>
  </si>
  <si>
    <t xml:space="preserve">A4</t>
  </si>
  <si>
    <t xml:space="preserve">20-175</t>
  </si>
  <si>
    <t xml:space="preserve">A5</t>
  </si>
  <si>
    <t xml:space="preserve">35.1-2673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</si>
  <si>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</si>
  <si>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</si>
  <si>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</si>
  <si>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</si>
  <si>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</si>
  <si>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</si>
  <si>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</si>
  <si>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</si>
  <si>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</si>
  <si>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</si>
  <si>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</si>
  <si>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</si>
  <si>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</si>
  <si>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</si>
  <si>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</si>
  <si>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</si>
  <si>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</si>
  <si>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</si>
  <si>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</si>
  <si>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</si>
  <si>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</si>
  <si>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E3</t>
  </si>
  <si>
    <t xml:space="preserve">ТМС</t>
  </si>
  <si>
    <t xml:space="preserve">35.2-3025</t>
  </si>
  <si>
    <t xml:space="preserve">F3</t>
  </si>
  <si>
    <t xml:space="preserve">20-173</t>
  </si>
  <si>
    <t xml:space="preserve">E4</t>
  </si>
  <si>
    <t xml:space="preserve">35.2-2984 d/n</t>
  </si>
  <si>
    <t xml:space="preserve">F4</t>
  </si>
  <si>
    <t xml:space="preserve">20-178</t>
  </si>
  <si>
    <t xml:space="preserve">E5</t>
  </si>
  <si>
    <t xml:space="preserve">35.2-2952</t>
  </si>
  <si>
    <t xml:space="preserve">F5</t>
  </si>
  <si>
    <t xml:space="preserve">20-198</t>
  </si>
  <si>
    <t xml:space="preserve">E6</t>
  </si>
  <si>
    <t xml:space="preserve">F6</t>
  </si>
  <si>
    <t xml:space="preserve">20-2631</t>
  </si>
  <si>
    <t xml:space="preserve">E7</t>
  </si>
  <si>
    <t xml:space="preserve">F7</t>
  </si>
  <si>
    <t xml:space="preserve">20-2649</t>
  </si>
  <si>
    <t xml:space="preserve">E8</t>
  </si>
  <si>
    <t xml:space="preserve">F8</t>
  </si>
  <si>
    <t xml:space="preserve">20-587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</si>
  <si>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</si>
  <si>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</si>
  <si>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</si>
  <si>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</si>
  <si>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</si>
  <si>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</si>
  <si>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</si>
  <si>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</si>
  <si>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F17</t>
  </si>
  <si>
    <t xml:space="preserve">УТТ КРС</t>
  </si>
  <si>
    <t xml:space="preserve">B6</t>
  </si>
  <si>
    <t xml:space="preserve">20-614805</t>
  </si>
  <si>
    <t xml:space="preserve">B7</t>
  </si>
  <si>
    <t xml:space="preserve">G6</t>
  </si>
  <si>
    <t xml:space="preserve">ППД</t>
  </si>
  <si>
    <t xml:space="preserve">20-194</t>
  </si>
  <si>
    <t xml:space="preserve">G7</t>
  </si>
  <si>
    <t xml:space="preserve">20-180</t>
  </si>
  <si>
    <t xml:space="preserve">G8</t>
  </si>
  <si>
    <t xml:space="preserve">20-2641</t>
  </si>
  <si>
    <t xml:space="preserve">D3</t>
  </si>
  <si>
    <t xml:space="preserve">Эл   цех</t>
  </si>
  <si>
    <t xml:space="preserve">20-262</t>
  </si>
  <si>
    <t xml:space="preserve">D4</t>
  </si>
  <si>
    <t xml:space="preserve">20-177</t>
  </si>
  <si>
    <t xml:space="preserve">D5</t>
  </si>
  <si>
    <t xml:space="preserve">20-250</t>
  </si>
  <si>
    <t xml:space="preserve">I3</t>
  </si>
  <si>
    <t xml:space="preserve">Диспетчер №3 (27.10)</t>
  </si>
  <si>
    <t xml:space="preserve">I5</t>
  </si>
  <si>
    <t xml:space="preserve">I7</t>
  </si>
  <si>
    <t xml:space="preserve">23-Н3568</t>
  </si>
  <si>
    <t xml:space="preserve">52-786AKE</t>
  </si>
  <si>
    <t xml:space="preserve">52-AKD677R</t>
  </si>
  <si>
    <t xml:space="preserve">I20</t>
  </si>
  <si>
    <t xml:space="preserve">57-R788AKE</t>
  </si>
  <si>
    <t xml:space="preserve">23-Н3608</t>
  </si>
  <si>
    <t xml:space="preserve">A18</t>
  </si>
  <si>
    <t xml:space="preserve">A19</t>
  </si>
  <si>
    <t xml:space="preserve">A20</t>
  </si>
  <si>
    <t xml:space="preserve">A21</t>
  </si>
  <si>
    <t xml:space="preserve">B9</t>
  </si>
  <si>
    <t xml:space="preserve">B19</t>
  </si>
  <si>
    <t xml:space="preserve">C19</t>
  </si>
  <si>
    <t xml:space="preserve">C23</t>
  </si>
  <si>
    <t xml:space="preserve">C24</t>
  </si>
  <si>
    <t xml:space="preserve">C25</t>
  </si>
  <si>
    <t xml:space="preserve">H13</t>
  </si>
  <si>
    <t xml:space="preserve">ПКРС</t>
  </si>
  <si>
    <t xml:space="preserve">F9</t>
  </si>
  <si>
    <t xml:space="preserve">F15</t>
  </si>
  <si>
    <t xml:space="preserve">F19</t>
  </si>
  <si>
    <t xml:space="preserve">24-Н3634</t>
  </si>
  <si>
    <t xml:space="preserve">F20</t>
  </si>
  <si>
    <t xml:space="preserve">24-Н3603</t>
  </si>
  <si>
    <t xml:space="preserve">F21</t>
  </si>
  <si>
    <t xml:space="preserve">24-Н3625н</t>
  </si>
  <si>
    <t xml:space="preserve">F22</t>
  </si>
  <si>
    <t xml:space="preserve">24-Н3575н</t>
  </si>
  <si>
    <t xml:space="preserve">F23</t>
  </si>
  <si>
    <t xml:space="preserve">44-H3647/12</t>
  </si>
  <si>
    <t xml:space="preserve">F24</t>
  </si>
  <si>
    <t xml:space="preserve">44-Н1434/12н</t>
  </si>
  <si>
    <t xml:space="preserve">F25</t>
  </si>
  <si>
    <t xml:space="preserve">44-H3561/12н</t>
  </si>
  <si>
    <t xml:space="preserve">F26</t>
  </si>
  <si>
    <t xml:space="preserve">44-H2290/12</t>
  </si>
  <si>
    <t xml:space="preserve">F27</t>
  </si>
  <si>
    <t xml:space="preserve">F28</t>
  </si>
  <si>
    <t xml:space="preserve">F33</t>
  </si>
  <si>
    <t xml:space="preserve">ПКРС-2</t>
  </si>
  <si>
    <t xml:space="preserve">24-Н3598д/н</t>
  </si>
  <si>
    <t xml:space="preserve">J4</t>
  </si>
  <si>
    <t xml:space="preserve">L3</t>
  </si>
  <si>
    <t xml:space="preserve">ЦПС</t>
  </si>
  <si>
    <t xml:space="preserve">57-R789AKE</t>
  </si>
  <si>
    <t xml:space="preserve">L7</t>
  </si>
  <si>
    <t xml:space="preserve">23-H3578/12</t>
  </si>
  <si>
    <t xml:space="preserve">Эл Цех</t>
  </si>
  <si>
    <t xml:space="preserve">45-H3604/12</t>
  </si>
  <si>
    <t xml:space="preserve">D7</t>
  </si>
  <si>
    <t xml:space="preserve">48-H1378/12</t>
  </si>
  <si>
    <t xml:space="preserve">Диспетчер №7 (ПКРС/ТМС/УТТ) (27.10)</t>
  </si>
  <si>
    <t xml:space="preserve">УПТОК</t>
  </si>
  <si>
    <t xml:space="preserve">37-Н319312д</t>
  </si>
  <si>
    <t xml:space="preserve">УТТ</t>
  </si>
  <si>
    <t xml:space="preserve">J2</t>
  </si>
  <si>
    <t xml:space="preserve">Газ. участок</t>
  </si>
  <si>
    <t xml:space="preserve">H10</t>
  </si>
  <si>
    <t xml:space="preserve">32-Н270712д</t>
  </si>
  <si>
    <t xml:space="preserve">A2</t>
  </si>
  <si>
    <t xml:space="preserve">B2</t>
  </si>
  <si>
    <t xml:space="preserve">C2</t>
  </si>
  <si>
    <t xml:space="preserve">62-Н360112д</t>
  </si>
  <si>
    <t xml:space="preserve">F2</t>
  </si>
  <si>
    <t xml:space="preserve">ДБ и ПКРС(ТМС)</t>
  </si>
  <si>
    <t xml:space="preserve">32-Н270912д</t>
  </si>
  <si>
    <t xml:space="preserve">F10</t>
  </si>
  <si>
    <t xml:space="preserve">ПКРС (УТТ)</t>
  </si>
  <si>
    <t xml:space="preserve">F14</t>
  </si>
  <si>
    <t xml:space="preserve">F16</t>
  </si>
  <si>
    <t xml:space="preserve">F29</t>
  </si>
  <si>
    <t xml:space="preserve">F30</t>
  </si>
  <si>
    <t xml:space="preserve">F31</t>
  </si>
  <si>
    <t xml:space="preserve">F32</t>
  </si>
  <si>
    <t xml:space="preserve">F34</t>
  </si>
  <si>
    <t xml:space="preserve">F36</t>
  </si>
  <si>
    <t xml:space="preserve">F37</t>
  </si>
  <si>
    <t xml:space="preserve">F38</t>
  </si>
  <si>
    <t xml:space="preserve">F39</t>
  </si>
  <si>
    <t xml:space="preserve">F40</t>
  </si>
  <si>
    <t xml:space="preserve">F41</t>
  </si>
  <si>
    <t xml:space="preserve">F42</t>
  </si>
  <si>
    <t xml:space="preserve">F43</t>
  </si>
  <si>
    <t xml:space="preserve">F44</t>
  </si>
  <si>
    <t xml:space="preserve">F45</t>
  </si>
  <si>
    <t xml:space="preserve">F47</t>
  </si>
  <si>
    <t xml:space="preserve">44-Н365612н</t>
  </si>
  <si>
    <t xml:space="preserve">F48</t>
  </si>
  <si>
    <t xml:space="preserve">44-Н363712д</t>
  </si>
  <si>
    <t xml:space="preserve">F49</t>
  </si>
  <si>
    <t xml:space="preserve">62-Н359212д</t>
  </si>
  <si>
    <t xml:space="preserve">F50</t>
  </si>
  <si>
    <t xml:space="preserve">F51</t>
  </si>
  <si>
    <t xml:space="preserve">F52</t>
  </si>
  <si>
    <t xml:space="preserve">F53</t>
  </si>
  <si>
    <t xml:space="preserve">F54</t>
  </si>
  <si>
    <t xml:space="preserve">F55</t>
  </si>
  <si>
    <t xml:space="preserve">F57</t>
  </si>
  <si>
    <t xml:space="preserve">G18</t>
  </si>
  <si>
    <t xml:space="preserve">К-8 (месячный файл) (27.10)</t>
  </si>
  <si>
    <t xml:space="preserve">ЭКОЛОГИЯ</t>
  </si>
  <si>
    <t xml:space="preserve">46-465AKD</t>
  </si>
  <si>
    <t xml:space="preserve">G2</t>
  </si>
  <si>
    <t xml:space="preserve">ГУ</t>
  </si>
  <si>
    <t xml:space="preserve">20-152AG12</t>
  </si>
  <si>
    <t xml:space="preserve">D9</t>
  </si>
  <si>
    <t xml:space="preserve">РМУ</t>
  </si>
  <si>
    <t xml:space="preserve">С 13-Н2828н</t>
  </si>
  <si>
    <t xml:space="preserve">H2</t>
  </si>
  <si>
    <t xml:space="preserve">С 13-Н2798</t>
  </si>
  <si>
    <t xml:space="preserve">I2</t>
  </si>
  <si>
    <t xml:space="preserve">ОБ и ПКРС</t>
  </si>
  <si>
    <t xml:space="preserve">13-Н2837</t>
  </si>
  <si>
    <t xml:space="preserve">С13-Н2884</t>
  </si>
  <si>
    <t xml:space="preserve">H18</t>
  </si>
  <si>
    <t xml:space="preserve">56-493ADD</t>
  </si>
  <si>
    <t xml:space="preserve">H19</t>
  </si>
  <si>
    <t xml:space="preserve">56-396ARE</t>
  </si>
  <si>
    <t xml:space="preserve">H20</t>
  </si>
  <si>
    <t xml:space="preserve">56-395ARE</t>
  </si>
  <si>
    <t xml:space="preserve">H21</t>
  </si>
  <si>
    <t xml:space="preserve">46-966ABD</t>
  </si>
  <si>
    <t xml:space="preserve">H22</t>
  </si>
  <si>
    <t xml:space="preserve">H23</t>
  </si>
  <si>
    <t xml:space="preserve">46-967ABD</t>
  </si>
  <si>
    <t xml:space="preserve">G5</t>
  </si>
  <si>
    <t xml:space="preserve">20-176AG12</t>
  </si>
  <si>
    <t xml:space="preserve">K3</t>
  </si>
  <si>
    <t xml:space="preserve">C 13-Н2645</t>
  </si>
  <si>
    <t xml:space="preserve">С 13-Н2851</t>
  </si>
  <si>
    <t xml:space="preserve">С 13-812АН12</t>
  </si>
  <si>
    <t xml:space="preserve">СМУ / УТТ</t>
  </si>
  <si>
    <t xml:space="preserve">21-Н2987</t>
  </si>
  <si>
    <t xml:space="preserve">21-H2629</t>
  </si>
  <si>
    <t xml:space="preserve">21-H3042</t>
  </si>
  <si>
    <t xml:space="preserve">21-Н2954</t>
  </si>
  <si>
    <t xml:space="preserve">ЦДН № 1</t>
  </si>
  <si>
    <t xml:space="preserve">13-Н2852</t>
  </si>
  <si>
    <t xml:space="preserve">13-Н2850н</t>
  </si>
  <si>
    <t xml:space="preserve">13-Н2833</t>
  </si>
  <si>
    <t xml:space="preserve">ЦДН № 2</t>
  </si>
  <si>
    <t xml:space="preserve">13-Н2879н</t>
  </si>
  <si>
    <t xml:space="preserve">13-Н2890н</t>
  </si>
  <si>
    <t xml:space="preserve">B4</t>
  </si>
  <si>
    <t xml:space="preserve">С 13-Н2831</t>
  </si>
  <si>
    <t xml:space="preserve">20-Н267412</t>
  </si>
  <si>
    <t xml:space="preserve">13-779BUн</t>
  </si>
  <si>
    <t xml:space="preserve">13-Н2859</t>
  </si>
  <si>
    <t xml:space="preserve">20-179AG12</t>
  </si>
  <si>
    <t xml:space="preserve">20-174AG12</t>
  </si>
  <si>
    <t xml:space="preserve">13-Н2842</t>
  </si>
  <si>
    <t xml:space="preserve">20-H356312</t>
  </si>
  <si>
    <t xml:space="preserve">I18</t>
  </si>
  <si>
    <t xml:space="preserve">ПКРС/ТМС</t>
  </si>
  <si>
    <t xml:space="preserve">ЦТТ</t>
  </si>
  <si>
    <t xml:space="preserve">С 13-Н2882</t>
  </si>
  <si>
    <t xml:space="preserve">ПКРС / УТТ</t>
  </si>
  <si>
    <t xml:space="preserve">13-Н2841</t>
  </si>
  <si>
    <t xml:space="preserve">БПО</t>
  </si>
  <si>
    <t xml:space="preserve">13-Н2827</t>
  </si>
  <si>
    <t xml:space="preserve">С 13-Н2888</t>
  </si>
  <si>
    <t xml:space="preserve">13-Н2843</t>
  </si>
  <si>
    <t xml:space="preserve">13-Н2826н</t>
  </si>
  <si>
    <t xml:space="preserve">A11</t>
  </si>
  <si>
    <t xml:space="preserve">С 13-H359912</t>
  </si>
  <si>
    <t xml:space="preserve">B11</t>
  </si>
  <si>
    <t xml:space="preserve">13-Н2849н</t>
  </si>
  <si>
    <t xml:space="preserve">20-Н341312</t>
  </si>
  <si>
    <t xml:space="preserve">A12</t>
  </si>
  <si>
    <t xml:space="preserve">С 13-759BUд/н</t>
  </si>
  <si>
    <t xml:space="preserve">B12</t>
  </si>
  <si>
    <t xml:space="preserve">13-Н2848н</t>
  </si>
  <si>
    <t xml:space="preserve">A13</t>
  </si>
  <si>
    <t xml:space="preserve">20-Н343512</t>
  </si>
  <si>
    <t xml:space="preserve">B13</t>
  </si>
  <si>
    <t xml:space="preserve">13-096AO12н</t>
  </si>
  <si>
    <t xml:space="preserve">20-Н348212н</t>
  </si>
  <si>
    <t xml:space="preserve">B14</t>
  </si>
  <si>
    <t xml:space="preserve">13-Н2844</t>
  </si>
  <si>
    <t xml:space="preserve">B16</t>
  </si>
  <si>
    <t xml:space="preserve">20-Н269712</t>
  </si>
  <si>
    <t xml:space="preserve">D2</t>
  </si>
  <si>
    <t xml:space="preserve">ЦПП-МПГУ</t>
  </si>
  <si>
    <t xml:space="preserve">13-Н2847д/н</t>
  </si>
  <si>
    <t xml:space="preserve">20-124AG12</t>
  </si>
  <si>
    <t xml:space="preserve">D6</t>
  </si>
  <si>
    <t xml:space="preserve">20-247AG12</t>
  </si>
  <si>
    <t xml:space="preserve">13-Н2850</t>
  </si>
  <si>
    <t xml:space="preserve">J3</t>
  </si>
  <si>
    <t xml:space="preserve">13-Н2879</t>
  </si>
  <si>
    <t xml:space="preserve">I21</t>
  </si>
  <si>
    <t xml:space="preserve">20-H361512</t>
  </si>
  <si>
    <t xml:space="preserve">E2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</si>
  <si>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</si>
  <si>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</si>
  <si>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</si>
  <si>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</si>
  <si>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ПЧ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</si>
  <si>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</si>
  <si>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</si>
  <si>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</si>
  <si>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</si>
  <si>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</si>
  <si>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</si>
  <si>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</si>
  <si>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R23</t>
  </si>
  <si>
    <t xml:space="preserve">Мобил Сервис (60-…) (27.10)</t>
  </si>
  <si>
    <t xml:space="preserve">60-13-649ВE12</t>
  </si>
  <si>
    <t xml:space="preserve">R24</t>
  </si>
  <si>
    <t xml:space="preserve">60-20-948BH12</t>
  </si>
  <si>
    <t xml:space="preserve">P3</t>
  </si>
  <si>
    <t xml:space="preserve">60-13-096YX12</t>
  </si>
  <si>
    <t xml:space="preserve">B15</t>
  </si>
  <si>
    <t xml:space="preserve">Эколог</t>
  </si>
  <si>
    <t xml:space="preserve">60-13-536BA12</t>
  </si>
  <si>
    <t xml:space="preserve">B18</t>
  </si>
  <si>
    <t xml:space="preserve">60-40-093AS12</t>
  </si>
  <si>
    <t xml:space="preserve">60-40-754AEX12</t>
  </si>
  <si>
    <t xml:space="preserve">B20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</si>
  <si>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</si>
  <si>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</si>
  <si>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</si>
  <si>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</si>
  <si>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60-13-983АS12н</t>
  </si>
  <si>
    <t xml:space="preserve">60-13-754AY12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</si>
  <si>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</si>
  <si>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</si>
  <si>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</si>
  <si>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</si>
  <si>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</si>
  <si>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60-13-148AN12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</si>
  <si>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</si>
  <si>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</si>
  <si>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</si>
  <si>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</si>
  <si>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B24</t>
  </si>
  <si>
    <t xml:space="preserve">60-13-258AY12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</si>
  <si>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</si>
  <si>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</si>
  <si>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</si>
  <si>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</si>
  <si>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</si>
  <si>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</si>
  <si>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</si>
  <si>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</si>
  <si>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60-13-975АR12н</t>
  </si>
  <si>
    <t xml:space="preserve">Q27</t>
  </si>
  <si>
    <t xml:space="preserve">60-13-830BI12</t>
  </si>
  <si>
    <t xml:space="preserve">ИГУ ОТР</t>
  </si>
  <si>
    <t xml:space="preserve">60-13-925AUA12</t>
  </si>
  <si>
    <t xml:space="preserve">M3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</si>
  <si>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</si>
  <si>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</si>
  <si>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</si>
  <si>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</si>
  <si>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</si>
  <si>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M6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</si>
  <si>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</si>
  <si>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</si>
  <si>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</si>
  <si>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</si>
  <si>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</si>
  <si>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</si>
  <si>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</si>
  <si>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</si>
  <si>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</si>
  <si>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</si>
  <si>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</si>
  <si>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J10</t>
  </si>
  <si>
    <t xml:space="preserve">60-13-258AL12</t>
  </si>
  <si>
    <t xml:space="preserve">J11</t>
  </si>
  <si>
    <t xml:space="preserve">60-13-625AKG12д/н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</si>
  <si>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</si>
  <si>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</si>
  <si>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</si>
  <si>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</si>
  <si>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</si>
  <si>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</si>
  <si>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</si>
  <si>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</si>
  <si>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</si>
  <si>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</si>
  <si>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</si>
  <si>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</si>
  <si>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</si>
  <si>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</si>
  <si>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</si>
  <si>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</si>
  <si>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</si>
  <si>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</si>
  <si>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</si>
  <si>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</si>
  <si>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</si>
  <si>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</si>
  <si>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</si>
  <si>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</si>
  <si>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</si>
  <si>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</si>
  <si>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</si>
  <si>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</si>
  <si>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</si>
  <si>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</si>
  <si>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</si>
  <si>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</si>
  <si>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</si>
  <si>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</si>
  <si>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</si>
  <si>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</si>
  <si>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</si>
  <si>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</si>
  <si>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</si>
  <si>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</si>
  <si>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B5</t>
  </si>
  <si>
    <t xml:space="preserve">60-13-058BJ12</t>
  </si>
  <si>
    <t xml:space="preserve">60-13-070ZER12</t>
  </si>
  <si>
    <t xml:space="preserve">60-13-598BD12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</si>
  <si>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</si>
  <si>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</si>
  <si>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</si>
  <si>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</si>
  <si>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</si>
  <si>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</si>
  <si>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</si>
  <si>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</si>
  <si>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</si>
  <si>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60-13-417BXн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</si>
  <si>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</si>
  <si>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</si>
  <si>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</si>
  <si>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</si>
  <si>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</si>
  <si>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60-13-024AU12н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</si>
  <si>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</si>
  <si>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</si>
  <si>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</si>
  <si>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</si>
  <si>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</si>
  <si>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60-13-937AY12н</t>
  </si>
  <si>
    <t xml:space="preserve">60-13-729AP12</t>
  </si>
  <si>
    <t xml:space="preserve">60-13-209AT12</t>
  </si>
  <si>
    <t xml:space="preserve">60-13-779ALC12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</si>
  <si>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</si>
  <si>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</si>
  <si>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</si>
  <si>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</si>
  <si>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60-13-989BC12н</t>
  </si>
  <si>
    <t xml:space="preserve">60-20-807BI12</t>
  </si>
  <si>
    <t xml:space="preserve">60-13-825AKY12н</t>
  </si>
  <si>
    <t xml:space="preserve">60-20-719BJ12</t>
  </si>
  <si>
    <t xml:space="preserve">60-13-051AT12н</t>
  </si>
  <si>
    <t xml:space="preserve">60-20-824ВС12</t>
  </si>
  <si>
    <t xml:space="preserve">60-13-734AP12</t>
  </si>
  <si>
    <t xml:space="preserve">60-13-043AZ12</t>
  </si>
  <si>
    <t xml:space="preserve">D8</t>
  </si>
  <si>
    <t xml:space="preserve">60-13-856AKO12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</si>
  <si>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</si>
  <si>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</si>
  <si>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</si>
  <si>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</si>
  <si>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</si>
  <si>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60-13-178AV12</t>
  </si>
  <si>
    <t xml:space="preserve">60-13-021AU12</t>
  </si>
  <si>
    <t xml:space="preserve">60-13-530BD12</t>
  </si>
  <si>
    <t xml:space="preserve">ЦДН № 3</t>
  </si>
  <si>
    <t xml:space="preserve">60-13-938BC12н</t>
  </si>
  <si>
    <t xml:space="preserve">60-13-014AU12</t>
  </si>
  <si>
    <t xml:space="preserve">60-13-476BH12н</t>
  </si>
  <si>
    <t xml:space="preserve">60-13-233AT12н</t>
  </si>
  <si>
    <t xml:space="preserve">60-13-941BC12</t>
  </si>
  <si>
    <t xml:space="preserve">60-13-331AT12н</t>
  </si>
  <si>
    <t xml:space="preserve">60-13-452BD12</t>
  </si>
  <si>
    <t xml:space="preserve">60-13-731AP12</t>
  </si>
  <si>
    <t xml:space="preserve">60-13-233АКZ12</t>
  </si>
  <si>
    <t xml:space="preserve">60-13-763BC12</t>
  </si>
  <si>
    <t xml:space="preserve">60-13-740BC12</t>
  </si>
  <si>
    <t xml:space="preserve">60-13-170BKO02</t>
  </si>
  <si>
    <t xml:space="preserve">60-13-256AKW12</t>
  </si>
  <si>
    <t xml:space="preserve">60-13-115BJ12</t>
  </si>
  <si>
    <t xml:space="preserve">60-13-764BC12</t>
  </si>
  <si>
    <t xml:space="preserve">F18</t>
  </si>
  <si>
    <t xml:space="preserve">60-13-967АR12н</t>
  </si>
  <si>
    <t xml:space="preserve">60-13-472АКМ12</t>
  </si>
  <si>
    <t xml:space="preserve">60-13-759ALN12</t>
  </si>
  <si>
    <t xml:space="preserve">60-20-821BH12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</si>
  <si>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</si>
  <si>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</si>
  <si>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</si>
  <si>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</si>
  <si>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</si>
  <si>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</si>
  <si>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</si>
  <si>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60-13-792ВС12н</t>
  </si>
  <si>
    <t xml:space="preserve">L21</t>
  </si>
  <si>
    <t xml:space="preserve">60-13-187AV12н</t>
  </si>
  <si>
    <t xml:space="preserve">L22</t>
  </si>
  <si>
    <t xml:space="preserve">60-13-736AY12</t>
  </si>
  <si>
    <t xml:space="preserve">L23</t>
  </si>
  <si>
    <t xml:space="preserve">60-13-907AS12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</si>
  <si>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</si>
  <si>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</si>
  <si>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</si>
  <si>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</si>
  <si>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</si>
  <si>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</si>
  <si>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</si>
  <si>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</si>
  <si>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</si>
  <si>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O3</t>
  </si>
  <si>
    <t xml:space="preserve">60-16-665AО12</t>
  </si>
  <si>
    <t xml:space="preserve">N4</t>
  </si>
  <si>
    <t xml:space="preserve">60-13-015YX12н</t>
  </si>
  <si>
    <t xml:space="preserve">O4</t>
  </si>
  <si>
    <t xml:space="preserve">60-16-390AL12</t>
  </si>
  <si>
    <t xml:space="preserve">N5</t>
  </si>
  <si>
    <t xml:space="preserve">60-13-988BC12н</t>
  </si>
  <si>
    <t xml:space="preserve">O5</t>
  </si>
  <si>
    <t xml:space="preserve">60-16-544АР12</t>
  </si>
  <si>
    <t xml:space="preserve">N6</t>
  </si>
  <si>
    <t xml:space="preserve">60-13-192AL12</t>
  </si>
  <si>
    <t xml:space="preserve">O6</t>
  </si>
  <si>
    <t xml:space="preserve">60-16-637AP12</t>
  </si>
  <si>
    <t xml:space="preserve">N7</t>
  </si>
  <si>
    <t xml:space="preserve">60-13-045AT12н</t>
  </si>
  <si>
    <t xml:space="preserve">N9</t>
  </si>
  <si>
    <t xml:space="preserve">60-13-453BD12</t>
  </si>
  <si>
    <t xml:space="preserve">N10</t>
  </si>
  <si>
    <t xml:space="preserve">60-13-230AKU12</t>
  </si>
  <si>
    <t xml:space="preserve">N11</t>
  </si>
  <si>
    <t xml:space="preserve">60-13-431АY12</t>
  </si>
  <si>
    <t xml:space="preserve">N12</t>
  </si>
  <si>
    <t xml:space="preserve">60-13-311AT12 д/н</t>
  </si>
  <si>
    <t xml:space="preserve">N13</t>
  </si>
  <si>
    <t xml:space="preserve">60-13-593BJ12</t>
  </si>
  <si>
    <t xml:space="preserve">N14</t>
  </si>
  <si>
    <t xml:space="preserve">60-13-974АR12</t>
  </si>
  <si>
    <t xml:space="preserve">N15</t>
  </si>
  <si>
    <t xml:space="preserve">60-13-092MA12</t>
  </si>
  <si>
    <t xml:space="preserve">N16</t>
  </si>
  <si>
    <t xml:space="preserve">60-13-459BD12</t>
  </si>
  <si>
    <t xml:space="preserve">N17</t>
  </si>
  <si>
    <t xml:space="preserve">60-13-692BO</t>
  </si>
  <si>
    <t xml:space="preserve">N18</t>
  </si>
  <si>
    <t xml:space="preserve">60-13-187AW12н</t>
  </si>
  <si>
    <t xml:space="preserve">N19</t>
  </si>
  <si>
    <t xml:space="preserve">60-13-074YX12н</t>
  </si>
  <si>
    <t xml:space="preserve">N20</t>
  </si>
  <si>
    <t xml:space="preserve">60-13-231AT12н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</si>
  <si>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</si>
  <si>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</si>
  <si>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</si>
  <si>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</si>
  <si>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</si>
  <si>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</si>
  <si>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</si>
  <si>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</si>
  <si>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</si>
  <si>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</si>
  <si>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</si>
  <si>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</si>
  <si>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</t>
  </si>
  <si>
    <t xml:space="preserve">Q4</t>
  </si>
  <si>
    <t xml:space="preserve">60-13-987AR12н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</si>
  <si>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</si>
  <si>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</si>
  <si>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</si>
  <si>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</si>
  <si>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</si>
  <si>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</si>
  <si>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</si>
  <si>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</si>
  <si>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</si>
  <si>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60-13-803BJ12н</t>
  </si>
  <si>
    <t xml:space="preserve">Q17</t>
  </si>
  <si>
    <t xml:space="preserve">МПГУ-8</t>
  </si>
  <si>
    <t xml:space="preserve">60-20-884BI12</t>
  </si>
  <si>
    <t xml:space="preserve">Q18</t>
  </si>
  <si>
    <t xml:space="preserve">60-20-904BС12</t>
  </si>
  <si>
    <t xml:space="preserve">Q19</t>
  </si>
  <si>
    <t xml:space="preserve">60-20-594BJ12</t>
  </si>
  <si>
    <t xml:space="preserve">60-13-791ВС12н</t>
  </si>
  <si>
    <t xml:space="preserve">G4</t>
  </si>
  <si>
    <t xml:space="preserve">60-13-183AV12</t>
  </si>
  <si>
    <t xml:space="preserve">60-13-149AV12</t>
  </si>
  <si>
    <t xml:space="preserve">60-13-881AW12</t>
  </si>
  <si>
    <t xml:space="preserve">60-13-899АR12</t>
  </si>
  <si>
    <t xml:space="preserve">60-13-745ВС12</t>
  </si>
  <si>
    <t xml:space="preserve">G9</t>
  </si>
  <si>
    <t xml:space="preserve">60-13-632BJ12</t>
  </si>
  <si>
    <t xml:space="preserve">G10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</si>
  <si>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</si>
  <si>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</si>
  <si>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</si>
  <si>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</si>
  <si>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</si>
  <si>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</si>
  <si>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</t>
  </si>
  <si>
    <t xml:space="preserve">60-13-938BF12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</si>
  <si>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</si>
  <si>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</si>
  <si>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</si>
  <si>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</si>
  <si>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</si>
  <si>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</si>
  <si>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60-13-944BI12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</si>
  <si>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</si>
  <si>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</si>
  <si>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</si>
  <si>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</si>
  <si>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</si>
  <si>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</si>
  <si>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</si>
  <si>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</si>
  <si>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</si>
  <si>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</si>
  <si>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</si>
  <si>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</si>
  <si>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</si>
  <si>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</si>
  <si>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</si>
  <si>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</si>
  <si>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</si>
  <si>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</si>
  <si>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</si>
  <si>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</si>
  <si>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</si>
  <si>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</si>
  <si>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</si>
  <si>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</si>
  <si>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</si>
  <si>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</si>
  <si>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</si>
  <si>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60-13-963АR12н</t>
  </si>
  <si>
    <t xml:space="preserve">I17</t>
  </si>
  <si>
    <t xml:space="preserve">Ақпар (С13…) (27.10)</t>
  </si>
  <si>
    <t xml:space="preserve">оппоIR</t>
  </si>
  <si>
    <t xml:space="preserve">C13-H1074/12</t>
  </si>
  <si>
    <t xml:space="preserve">С13-Н2817/12н</t>
  </si>
  <si>
    <t xml:space="preserve">С13-Н3621/12</t>
  </si>
  <si>
    <t xml:space="preserve">С13-Н2832/12</t>
  </si>
  <si>
    <t xml:space="preserve">С13-H098912</t>
  </si>
  <si>
    <t xml:space="preserve">16-H2628/12</t>
  </si>
  <si>
    <t xml:space="preserve">37-H2967/12</t>
  </si>
  <si>
    <t xml:space="preserve">I10</t>
  </si>
  <si>
    <t xml:space="preserve">37-H3048/12</t>
  </si>
  <si>
    <t xml:space="preserve">G17</t>
  </si>
  <si>
    <t xml:space="preserve">С13-769ABZ06</t>
  </si>
  <si>
    <t xml:space="preserve">С13-344AGV06</t>
  </si>
  <si>
    <t xml:space="preserve">A17</t>
  </si>
  <si>
    <t xml:space="preserve">13-132AGU/06</t>
  </si>
  <si>
    <t xml:space="preserve">H17</t>
  </si>
  <si>
    <t xml:space="preserve">C13-152IPB/02</t>
  </si>
  <si>
    <t xml:space="preserve">13-H2821/12н</t>
  </si>
  <si>
    <t xml:space="preserve">С13-Н3558/12</t>
  </si>
  <si>
    <t xml:space="preserve">С13-766ВU</t>
  </si>
  <si>
    <t xml:space="preserve">С12-H110812</t>
  </si>
  <si>
    <t xml:space="preserve">С12-H269212</t>
  </si>
  <si>
    <t xml:space="preserve">С13-H287712</t>
  </si>
  <si>
    <t xml:space="preserve">С13-Н2838/12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</si>
  <si>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</si>
  <si>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</si>
  <si>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</si>
  <si>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</si>
  <si>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С13-Н2806/12</t>
  </si>
  <si>
    <t xml:space="preserve">21-Н3159/12д/н</t>
  </si>
  <si>
    <t xml:space="preserve">13-H2807/12н</t>
  </si>
  <si>
    <t xml:space="preserve">ЧАКУР  мед</t>
  </si>
  <si>
    <t xml:space="preserve">11-H3201/12</t>
  </si>
  <si>
    <t xml:space="preserve">A22</t>
  </si>
  <si>
    <t xml:space="preserve">11-H3406/12</t>
  </si>
  <si>
    <t xml:space="preserve">A23</t>
  </si>
  <si>
    <t xml:space="preserve">11-Н2719/12н</t>
  </si>
  <si>
    <t xml:space="preserve">A24</t>
  </si>
  <si>
    <t xml:space="preserve">11-H3181/12</t>
  </si>
  <si>
    <t xml:space="preserve">A25</t>
  </si>
  <si>
    <t xml:space="preserve">11-H3132/12н</t>
  </si>
  <si>
    <t xml:space="preserve">A26</t>
  </si>
  <si>
    <t xml:space="preserve">11-H3467/12н</t>
  </si>
  <si>
    <t xml:space="preserve">A27</t>
  </si>
  <si>
    <t xml:space="preserve">11-H1817/12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</si>
  <si>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</si>
  <si>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</si>
  <si>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</si>
  <si>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</si>
  <si>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</si>
  <si>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E17</t>
  </si>
  <si>
    <t xml:space="preserve">Одтел кадр</t>
  </si>
  <si>
    <t xml:space="preserve">С12-Н798399/12</t>
  </si>
  <si>
    <t xml:space="preserve">E21</t>
  </si>
  <si>
    <t xml:space="preserve">18-Н0875/12</t>
  </si>
  <si>
    <t xml:space="preserve">С13-801BF/06</t>
  </si>
  <si>
    <t xml:space="preserve">С13-Н2818/12н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</si>
  <si>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</si>
  <si>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</si>
  <si>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</si>
  <si>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</si>
  <si>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</si>
  <si>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</si>
  <si>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С13-344OCZ06</t>
  </si>
  <si>
    <t xml:space="preserve">С13-642AMY01</t>
  </si>
  <si>
    <t xml:space="preserve">С13-648AMY01</t>
  </si>
  <si>
    <t xml:space="preserve">С13-H2642/12</t>
  </si>
  <si>
    <t xml:space="preserve">С13-H2648/12</t>
  </si>
  <si>
    <t xml:space="preserve">B8</t>
  </si>
  <si>
    <t xml:space="preserve">С13-H2691/12</t>
  </si>
  <si>
    <t xml:space="preserve">С13-H2698/12</t>
  </si>
  <si>
    <t xml:space="preserve">С13-H2809/12</t>
  </si>
  <si>
    <t xml:space="preserve">С13-H2814/12</t>
  </si>
  <si>
    <t xml:space="preserve">С13-Н3631/12</t>
  </si>
  <si>
    <t xml:space="preserve">С13-H2718/12н</t>
  </si>
  <si>
    <t xml:space="preserve">13-H2685/12н</t>
  </si>
  <si>
    <t xml:space="preserve">33-Н3559/12</t>
  </si>
  <si>
    <t xml:space="preserve">B22</t>
  </si>
  <si>
    <t xml:space="preserve">B23</t>
  </si>
  <si>
    <t xml:space="preserve">ЦДН 2</t>
  </si>
  <si>
    <t xml:space="preserve">С13-762AMY01</t>
  </si>
  <si>
    <t xml:space="preserve">С13-848AO12</t>
  </si>
  <si>
    <t xml:space="preserve">С13-H2657/12</t>
  </si>
  <si>
    <t xml:space="preserve">С13-H2659/12</t>
  </si>
  <si>
    <t xml:space="preserve">С13-H2813/12</t>
  </si>
  <si>
    <t xml:space="preserve">С13-H2815/12</t>
  </si>
  <si>
    <t xml:space="preserve">С13-Н3587/12</t>
  </si>
  <si>
    <t xml:space="preserve">13-708АЕХн</t>
  </si>
  <si>
    <t xml:space="preserve">C21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</si>
  <si>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</si>
  <si>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</si>
  <si>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</si>
  <si>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</si>
  <si>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</si>
  <si>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</si>
  <si>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</si>
  <si>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</si>
  <si>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С13-Н3611/12</t>
  </si>
  <si>
    <t xml:space="preserve">13-033ATQ01н</t>
  </si>
  <si>
    <t xml:space="preserve">D21</t>
  </si>
  <si>
    <t xml:space="preserve">D22</t>
  </si>
  <si>
    <t xml:space="preserve">D23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</si>
  <si>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</si>
  <si>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</si>
  <si>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</si>
  <si>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</si>
  <si>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</si>
  <si>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</si>
  <si>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36-H3206/12</t>
  </si>
  <si>
    <t xml:space="preserve">36-H3207/12</t>
  </si>
  <si>
    <t xml:space="preserve">36-H3182/12н</t>
  </si>
  <si>
    <t xml:space="preserve">13-802BF/06н</t>
  </si>
  <si>
    <t xml:space="preserve">12-H1109/12</t>
  </si>
  <si>
    <t xml:space="preserve">J5</t>
  </si>
  <si>
    <t xml:space="preserve">13-H2810/12</t>
  </si>
  <si>
    <t xml:space="preserve">J6</t>
  </si>
  <si>
    <t xml:space="preserve">13-H2822/12</t>
  </si>
  <si>
    <t xml:space="preserve">J7</t>
  </si>
  <si>
    <t xml:space="preserve">13-H290АН/12</t>
  </si>
  <si>
    <t xml:space="preserve">J12</t>
  </si>
  <si>
    <t xml:space="preserve">J13</t>
  </si>
  <si>
    <t xml:space="preserve">J14</t>
  </si>
  <si>
    <t xml:space="preserve">J15</t>
  </si>
  <si>
    <t xml:space="preserve">36-H3197/12</t>
  </si>
  <si>
    <t xml:space="preserve">J16</t>
  </si>
  <si>
    <t xml:space="preserve">37-H3203/12</t>
  </si>
  <si>
    <t xml:space="preserve">13-083ATQ01</t>
  </si>
  <si>
    <t xml:space="preserve">С13-Н3641/12</t>
  </si>
  <si>
    <t xml:space="preserve">G21</t>
  </si>
  <si>
    <t xml:space="preserve">51-Н3143/12</t>
  </si>
  <si>
    <t xml:space="preserve">G22</t>
  </si>
  <si>
    <t xml:space="preserve">51-Н3585/12</t>
  </si>
  <si>
    <t xml:space="preserve">G23</t>
  </si>
  <si>
    <t xml:space="preserve">51-Н2412/12н</t>
  </si>
  <si>
    <t xml:space="preserve">13-695EAZ/04</t>
  </si>
  <si>
    <t xml:space="preserve">С13-Н2812/12</t>
  </si>
  <si>
    <t xml:space="preserve">13-H2808/12</t>
  </si>
  <si>
    <t xml:space="preserve">Сводка от (27-…, 28-…) (27.10)</t>
  </si>
  <si>
    <t xml:space="preserve">30-2937</t>
  </si>
  <si>
    <t xml:space="preserve">54-207</t>
  </si>
  <si>
    <t xml:space="preserve">БУР</t>
  </si>
  <si>
    <t xml:space="preserve">I4</t>
  </si>
  <si>
    <t xml:space="preserve">I12</t>
  </si>
  <si>
    <t xml:space="preserve">ЭКОЛ</t>
  </si>
  <si>
    <t xml:space="preserve">54-124н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</si>
  <si>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</si>
  <si>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</si>
  <si>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</si>
  <si>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</si>
  <si>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</si>
  <si>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</t>
  </si>
  <si>
    <t xml:space="preserve">21-1443</t>
  </si>
  <si>
    <t xml:space="preserve">21-1548</t>
  </si>
  <si>
    <t xml:space="preserve">21-1547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</si>
  <si>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</si>
  <si>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</si>
  <si>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</si>
  <si>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</si>
  <si>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</si>
  <si>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21-1914н</t>
  </si>
  <si>
    <t xml:space="preserve">21-1923</t>
  </si>
  <si>
    <t xml:space="preserve">21-1917</t>
  </si>
  <si>
    <t xml:space="preserve">21-1924</t>
  </si>
  <si>
    <t xml:space="preserve">21-2621</t>
  </si>
  <si>
    <t xml:space="preserve">21-2529д/н</t>
  </si>
  <si>
    <t xml:space="preserve">21-2623</t>
  </si>
  <si>
    <t xml:space="preserve">21-2635</t>
  </si>
  <si>
    <t xml:space="preserve">21-2625</t>
  </si>
  <si>
    <t xml:space="preserve">21-2637</t>
  </si>
  <si>
    <t xml:space="preserve">21-2630</t>
  </si>
  <si>
    <t xml:space="preserve">21-2632</t>
  </si>
  <si>
    <t xml:space="preserve">38-3645</t>
  </si>
  <si>
    <t xml:space="preserve">38-588н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</si>
  <si>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</si>
  <si>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</si>
  <si>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</si>
  <si>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</si>
  <si>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</si>
  <si>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38-3643</t>
  </si>
  <si>
    <t xml:space="preserve">L12</t>
  </si>
  <si>
    <t xml:space="preserve">цитс</t>
  </si>
  <si>
    <t xml:space="preserve">42-3565н</t>
  </si>
  <si>
    <t xml:space="preserve">42-3602</t>
  </si>
  <si>
    <t xml:space="preserve">42-3579</t>
  </si>
  <si>
    <t xml:space="preserve">42-3576</t>
  </si>
  <si>
    <t xml:space="preserve">H15</t>
  </si>
  <si>
    <t xml:space="preserve">H16</t>
  </si>
  <si>
    <t xml:space="preserve">M12</t>
  </si>
  <si>
    <t xml:space="preserve">ЭЛ ЦЕХ</t>
  </si>
  <si>
    <t xml:space="preserve">38-0619</t>
  </si>
  <si>
    <t xml:space="preserve">38-3560</t>
  </si>
  <si>
    <t xml:space="preserve">38-3583</t>
  </si>
  <si>
    <t xml:space="preserve">38-2294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</si>
</sst>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\+0;[RED]\-0;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0"/>
      <charset val="1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1"/>
      <name val="Times New Roman"/>
      <family val="0"/>
      <charset val="1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5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customHeight="false" zeroHeight="false" outlineLevelRow="0" outlineLevelCol="1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true" outlineLevel="0" max="4" min="4" style="0" width="7"/>
    <col collapsed="false" customWidth="true" hidden="false" outlineLevel="0" max="8" min="5" style="0" width="7"/>
    <col collapsed="false" customWidth="true" hidden="true" outlineLevel="1" max="10" min="9" style="0" width="7"/>
    <col collapsed="false" customWidth="true" hidden="false" outlineLevel="0" max="12" min="11" style="0" width="7"/>
    <col collapsed="false" customWidth="true" hidden="true" outlineLevel="1" max="14" min="13" style="0" width="7"/>
    <col collapsed="false" customWidth="true" hidden="false" outlineLevel="0" max="16" min="15" style="0" width="7"/>
    <col collapsed="false" customWidth="true" hidden="true" outlineLevel="1" max="18" min="17" style="0" width="7"/>
    <col collapsed="false" customWidth="true" hidden="false" outlineLevel="0" max="20" min="19" style="0" width="7"/>
    <col collapsed="false" customWidth="true" hidden="true" outlineLevel="1" max="22" min="21" style="0" width="7"/>
    <col collapsed="false" customWidth="true" hidden="false" outlineLevel="0" max="24" min="23" style="0" width="7"/>
    <col collapsed="false" customWidth="true" hidden="true" outlineLevel="1" max="26" min="25" style="0" width="7"/>
    <col collapsed="false" customWidth="true" hidden="false" outlineLevel="0" max="28" min="27" style="0" width="7"/>
    <col collapsed="false" customWidth="true" hidden="true" outlineLevel="1" max="30" min="29" style="0" width="7"/>
    <col collapsed="false" customWidth="true" hidden="false" outlineLevel="0" max="32" min="31" style="0" width="7"/>
    <col collapsed="false" customWidth="true" hidden="true" outlineLevel="1" max="34" min="33" style="0" width="7"/>
    <col collapsed="false" customWidth="true" hidden="false" outlineLevel="0" max="36" min="35" style="0" width="7"/>
    <col collapsed="false" customWidth="true" hidden="true" outlineLevel="1" max="38" min="37" style="0" width="7"/>
    <col collapsed="false" customWidth="true" hidden="false" outlineLevel="0" max="40" min="39" style="0" width="7"/>
    <col collapsed="false" customWidth="true" hidden="true" outlineLevel="1" max="42" min="41" style="0" width="7"/>
    <col collapsed="false" customWidth="true" hidden="false" outlineLevel="0" max="44" min="43" style="0" width="7"/>
    <col collapsed="false" customWidth="true" hidden="true" outlineLevel="1" max="46" min="45" style="0" width="7"/>
    <col collapsed="false" customWidth="true" hidden="false" outlineLevel="0" max="48" min="47" style="0" width="7"/>
    <col collapsed="false" customWidth="true" hidden="true" outlineLevel="1" max="50" min="49" style="0" width="7"/>
    <col collapsed="false" customWidth="true" hidden="false" outlineLevel="0" max="52" min="51" style="0" width="7"/>
    <col collapsed="false" customWidth="true" hidden="true" outlineLevel="1" max="54" min="53" style="0" width="7"/>
    <col collapsed="false" customWidth="true" hidden="false" outlineLevel="0" max="56" min="55" style="0" width="7"/>
    <col collapsed="false" customWidth="true" hidden="true" outlineLevel="1" max="58" min="57" style="0" width="7"/>
    <col collapsed="false" customWidth="true" hidden="false" outlineLevel="0" max="60" min="59" style="0" width="7"/>
    <col collapsed="false" customWidth="true" hidden="true" outlineLevel="1" max="62" min="61" style="0" width="7"/>
    <col collapsed="false" customWidth="true" hidden="false" outlineLevel="0" max="64" min="63" style="0" width="7"/>
    <col collapsed="false" customWidth="true" hidden="true" outlineLevel="1" max="66" min="65" style="0" width="7"/>
    <col collapsed="false" customWidth="true" hidden="false" outlineLevel="0" max="68" min="67" style="0" width="7"/>
    <col collapsed="false" customWidth="true" hidden="true" outlineLevel="1" max="70" min="69" style="0" width="7"/>
    <col collapsed="false" customWidth="true" hidden="false" outlineLevel="0" max="72" min="71" style="0" width="7"/>
    <col collapsed="false" customWidth="true" hidden="true" outlineLevel="1" max="74" min="73" style="0" width="7"/>
    <col collapsed="false" customWidth="true" hidden="false" outlineLevel="0" max="76" min="75" style="0" width="7"/>
    <col collapsed="false" customWidth="true" hidden="true" outlineLevel="1" max="78" min="77" style="0" width="7"/>
    <col collapsed="false" customWidth="true" hidden="false" outlineLevel="0" max="80" min="79" style="0" width="7"/>
    <col collapsed="false" customWidth="true" hidden="true" outlineLevel="1" max="82" min="81" style="0" width="7"/>
    <col collapsed="false" customWidth="true" hidden="false" outlineLevel="0" max="84" min="83" style="0" width="7"/>
    <col collapsed="false" customWidth="true" hidden="true" outlineLevel="1" max="86" min="85" style="0" width="7"/>
    <col collapsed="false" customWidth="true" hidden="false" outlineLevel="0" max="88" min="87" style="0" width="7"/>
    <col collapsed="false" customWidth="true" hidden="true" outlineLevel="1" max="90" min="89" style="0" width="7"/>
    <col collapsed="false" customWidth="true" hidden="false" outlineLevel="0" max="92" min="91" style="0" width="7"/>
    <col collapsed="false" customWidth="true" hidden="true" outlineLevel="1" max="94" min="93" style="0" width="7"/>
    <col collapsed="false" customWidth="true" hidden="false" outlineLevel="0" max="96" min="95" style="0" width="7"/>
    <col collapsed="false" customWidth="true" hidden="true" outlineLevel="1" max="98" min="97" style="0" width="7"/>
    <col collapsed="false" customWidth="true" hidden="false" outlineLevel="0" max="100" min="99" style="0" width="7"/>
    <col collapsed="false" customWidth="true" hidden="true" outlineLevel="1" max="102" min="101" style="0" width="7"/>
    <col collapsed="false" customWidth="true" hidden="false" outlineLevel="0" max="104" min="103" style="0" width="7"/>
    <col collapsed="false" customWidth="true" hidden="true" outlineLevel="1" max="106" min="105" style="0" width="7"/>
    <col collapsed="false" customWidth="true" hidden="false" outlineLevel="0" max="108" min="107" style="0" width="7"/>
    <col collapsed="false" customWidth="true" hidden="true" outlineLevel="1" max="110" min="109" style="0" width="7"/>
    <col collapsed="false" customWidth="true" hidden="false" outlineLevel="0" max="112" min="111" style="0" width="7"/>
    <col collapsed="false" customWidth="true" hidden="true" outlineLevel="1" max="114" min="113" style="0" width="7"/>
    <col collapsed="false" customWidth="true" hidden="false" outlineLevel="0" max="116" min="115" style="0" width="7"/>
    <col collapsed="false" customWidth="true" hidden="true" outlineLevel="1" max="118" min="117" style="0" width="7"/>
    <col collapsed="false" customWidth="true" hidden="false" outlineLevel="0" max="120" min="119" style="0" width="7"/>
    <col collapsed="false" customWidth="true" hidden="true" outlineLevel="1" max="122" min="121" style="0" width="7"/>
    <col collapsed="false" customWidth="true" hidden="false" outlineLevel="0" max="124" min="123" style="0" width="7"/>
    <col collapsed="false" customWidth="true" hidden="true" outlineLevel="1" max="126" min="125" style="0" width="7"/>
    <col collapsed="false" customWidth="true" hidden="false" outlineLevel="0" max="128" min="127" style="0" width="7"/>
    <col collapsed="false" customWidth="true" hidden="true" outlineLevel="1" max="130" min="129" style="0" width="7"/>
    <col collapsed="false" customWidth="true" hidden="false" outlineLevel="0" max="132" min="131" style="0" width="7"/>
    <col collapsed="false" customWidth="true" hidden="true" outlineLevel="1" max="134" min="133" style="0" width="7"/>
    <col collapsed="false" customWidth="true" hidden="false" outlineLevel="0" max="136" min="135" style="0" width="7"/>
    <col collapsed="false" customWidth="true" hidden="true" outlineLevel="1" max="138" min="137" style="0" width="7"/>
    <col collapsed="false" customWidth="true" hidden="false" outlineLevel="0" max="140" min="139" style="0" width="7"/>
    <col collapsed="false" customWidth="true" hidden="true" outlineLevel="1" max="142" min="141" style="0" width="7"/>
    <col collapsed="false" customWidth="true" hidden="false" outlineLevel="0" max="144" min="143" style="0" width="7"/>
    <col collapsed="false" customWidth="true" hidden="true" outlineLevel="1" max="146" min="145" style="0" width="7"/>
    <col collapsed="false" customWidth="true" hidden="false" outlineLevel="0" max="148" min="147" style="0" width="7"/>
    <col collapsed="false" customWidth="true" hidden="true" outlineLevel="1" max="150" min="149" style="0" width="7"/>
    <col collapsed="false" customWidth="true" hidden="false" outlineLevel="0" max="152" min="151" style="0" width="7"/>
    <col collapsed="false" customWidth="true" hidden="true" outlineLevel="1" max="154" min="153" style="0" width="7"/>
    <col collapsed="false" customWidth="true" hidden="false" outlineLevel="0" max="156" min="155" style="0" width="7"/>
    <col collapsed="false" customWidth="true" hidden="true" outlineLevel="1" max="158" min="157" style="0" width="7"/>
    <col collapsed="false" customWidth="true" hidden="false" outlineLevel="0" max="160" min="159" style="0" width="7"/>
    <col collapsed="false" customWidth="true" hidden="true" outlineLevel="1" max="162" min="161" style="0" width="7"/>
    <col collapsed="false" customWidth="true" hidden="false" outlineLevel="0" max="164" min="16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</v>
      </c>
      <c r="J1" s="3"/>
      <c r="K1" s="1" t="s">
        <v>8</v>
      </c>
      <c r="L1" s="1"/>
      <c r="M1" s="3" t="s">
        <v>2</v>
      </c>
      <c r="N1" s="3"/>
      <c r="O1" s="1" t="s">
        <v>9</v>
      </c>
      <c r="P1" s="1"/>
      <c r="Q1" s="3" t="s">
        <v>2</v>
      </c>
      <c r="R1" s="3"/>
      <c r="S1" s="1" t="s">
        <v>10</v>
      </c>
      <c r="T1" s="1"/>
      <c r="U1" s="3" t="s">
        <v>2</v>
      </c>
      <c r="V1" s="3"/>
      <c r="W1" s="1" t="s">
        <v>11</v>
      </c>
      <c r="X1" s="1"/>
      <c r="Y1" s="3" t="s">
        <v>2</v>
      </c>
      <c r="Z1" s="3"/>
      <c r="AA1" s="1" t="s">
        <v>12</v>
      </c>
      <c r="AB1" s="1"/>
      <c r="AC1" s="3" t="s">
        <v>2</v>
      </c>
      <c r="AD1" s="3"/>
      <c r="AE1" s="1" t="s">
        <v>13</v>
      </c>
      <c r="AF1" s="1"/>
      <c r="AG1" s="3" t="s">
        <v>2</v>
      </c>
      <c r="AH1" s="3"/>
      <c r="AI1" s="1" t="s">
        <v>14</v>
      </c>
      <c r="AJ1" s="1"/>
      <c r="AK1" s="3" t="s">
        <v>2</v>
      </c>
      <c r="AL1" s="3"/>
      <c r="AM1" s="1" t="s">
        <v>15</v>
      </c>
      <c r="AN1" s="1"/>
      <c r="AO1" s="3" t="s">
        <v>2</v>
      </c>
      <c r="AP1" s="3"/>
      <c r="AQ1" s="1" t="s">
        <v>16</v>
      </c>
      <c r="AR1" s="1"/>
      <c r="AS1" s="3" t="s">
        <v>2</v>
      </c>
      <c r="AT1" s="3"/>
      <c r="AU1" s="1" t="s">
        <v>17</v>
      </c>
      <c r="AV1" s="1"/>
      <c r="AW1" s="3" t="s">
        <v>2</v>
      </c>
      <c r="AX1" s="3"/>
      <c r="AY1" s="1" t="s">
        <v>18</v>
      </c>
      <c r="AZ1" s="1"/>
      <c r="BA1" s="3" t="s">
        <v>2</v>
      </c>
      <c r="BB1" s="3"/>
      <c r="BC1" s="1" t="s">
        <v>19</v>
      </c>
      <c r="BD1" s="1"/>
      <c r="BE1" s="3" t="s">
        <v>2</v>
      </c>
      <c r="BF1" s="3"/>
      <c r="BG1" s="1" t="s">
        <v>20</v>
      </c>
      <c r="BH1" s="1"/>
      <c r="BI1" s="3" t="s">
        <v>2</v>
      </c>
      <c r="BJ1" s="3"/>
      <c r="BK1" s="1" t="s">
        <v>21</v>
      </c>
      <c r="BL1" s="1"/>
      <c r="BM1" s="3" t="s">
        <v>2</v>
      </c>
      <c r="BN1" s="3"/>
      <c r="BO1" s="1" t="s">
        <v>22</v>
      </c>
      <c r="BP1" s="1"/>
      <c r="BQ1" s="3" t="s">
        <v>2</v>
      </c>
      <c r="BR1" s="3"/>
      <c r="BS1" s="1" t="s">
        <v>23</v>
      </c>
      <c r="BT1" s="1"/>
      <c r="BU1" s="3" t="s">
        <v>2</v>
      </c>
      <c r="BV1" s="3"/>
      <c r="BW1" s="1" t="s">
        <v>24</v>
      </c>
      <c r="BX1" s="1"/>
      <c r="BY1" s="3" t="s">
        <v>2</v>
      </c>
      <c r="BZ1" s="3"/>
      <c r="CA1" s="1" t="s">
        <v>25</v>
      </c>
      <c r="CB1" s="1"/>
      <c r="CC1" s="3" t="s">
        <v>2</v>
      </c>
      <c r="CD1" s="3"/>
      <c r="CE1" s="1" t="s">
        <v>26</v>
      </c>
      <c r="CF1" s="1"/>
      <c r="CG1" s="3" t="s">
        <v>2</v>
      </c>
      <c r="CH1" s="3"/>
      <c r="CI1" s="1" t="s">
        <v>27</v>
      </c>
      <c r="CJ1" s="1"/>
      <c r="CK1" s="3" t="s">
        <v>2</v>
      </c>
      <c r="CL1" s="3"/>
      <c r="CM1" s="1" t="s">
        <v>28</v>
      </c>
      <c r="CN1" s="1"/>
      <c r="CO1" s="3" t="s">
        <v>2</v>
      </c>
      <c r="CP1" s="3"/>
      <c r="CQ1" s="1" t="s">
        <v>29</v>
      </c>
      <c r="CR1" s="1"/>
      <c r="CS1" s="3" t="s">
        <v>2</v>
      </c>
      <c r="CT1" s="3"/>
      <c r="CU1" s="1" t="s">
        <v>30</v>
      </c>
      <c r="CV1" s="1"/>
      <c r="CW1" s="3" t="s">
        <v>2</v>
      </c>
      <c r="CX1" s="3"/>
      <c r="CY1" s="1" t="s">
        <v>31</v>
      </c>
      <c r="CZ1" s="1"/>
      <c r="DA1" s="3" t="s">
        <v>2</v>
      </c>
      <c r="DB1" s="3"/>
      <c r="DC1" s="1" t="s">
        <v>32</v>
      </c>
      <c r="DD1" s="1"/>
      <c r="DE1" s="3" t="s">
        <v>2</v>
      </c>
      <c r="DF1" s="3"/>
      <c r="DG1" s="1" t="s">
        <v>33</v>
      </c>
      <c r="DH1" s="1"/>
      <c r="DI1" s="3" t="s">
        <v>2</v>
      </c>
      <c r="DJ1" s="3"/>
      <c r="DK1" s="1" t="s">
        <v>34</v>
      </c>
      <c r="DL1" s="1"/>
      <c r="DM1" s="3" t="s">
        <v>2</v>
      </c>
      <c r="DN1" s="3"/>
      <c r="DO1" s="1" t="s">
        <v>35</v>
      </c>
      <c r="DP1" s="1"/>
      <c r="DQ1" s="3" t="s">
        <v>2</v>
      </c>
      <c r="DR1" s="3"/>
      <c r="DS1" s="1" t="s">
        <v>36</v>
      </c>
      <c r="DT1" s="1"/>
      <c r="DU1" s="3" t="s">
        <v>2</v>
      </c>
      <c r="DV1" s="3"/>
      <c r="DW1" s="1" t="s">
        <v>37</v>
      </c>
      <c r="DX1" s="1"/>
      <c r="DY1" s="3" t="s">
        <v>2</v>
      </c>
      <c r="DZ1" s="3"/>
      <c r="EA1" s="1" t="s">
        <v>38</v>
      </c>
      <c r="EB1" s="1"/>
      <c r="EC1" s="3" t="s">
        <v>2</v>
      </c>
      <c r="ED1" s="3"/>
      <c r="EE1" s="1" t="s">
        <v>39</v>
      </c>
      <c r="EF1" s="1"/>
      <c r="EG1" s="3" t="s">
        <v>2</v>
      </c>
      <c r="EH1" s="3"/>
      <c r="EI1" s="1" t="s">
        <v>40</v>
      </c>
      <c r="EJ1" s="1"/>
      <c r="EK1" s="3" t="s">
        <v>2</v>
      </c>
      <c r="EL1" s="3"/>
      <c r="EM1" s="1" t="s">
        <v>41</v>
      </c>
      <c r="EN1" s="1"/>
      <c r="EO1" s="3" t="s">
        <v>2</v>
      </c>
      <c r="EP1" s="3"/>
      <c r="EQ1" s="1" t="s">
        <v>42</v>
      </c>
      <c r="ER1" s="1"/>
      <c r="ES1" s="3" t="s">
        <v>2</v>
      </c>
      <c r="ET1" s="3"/>
      <c r="EU1" s="1" t="s">
        <v>43</v>
      </c>
      <c r="EV1" s="1"/>
      <c r="EW1" s="3" t="s">
        <v>2</v>
      </c>
      <c r="EX1" s="3"/>
      <c r="EY1" s="1" t="s">
        <v>44</v>
      </c>
      <c r="EZ1" s="1"/>
      <c r="FA1" s="3" t="s">
        <v>2</v>
      </c>
      <c r="FB1" s="3"/>
      <c r="FC1" s="1" t="s">
        <v>45</v>
      </c>
      <c r="FD1" s="1"/>
      <c r="FE1" s="3" t="s">
        <v>2</v>
      </c>
      <c r="FF1" s="3"/>
      <c r="FG1" s="1" t="s">
        <v>46</v>
      </c>
      <c r="FH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2"/>
      <c r="I2" s="3" t="s">
        <v>47</v>
      </c>
      <c r="J2" s="3" t="s">
        <v>48</v>
      </c>
      <c r="K2" s="1" t="s">
        <v>47</v>
      </c>
      <c r="L2" s="1" t="s">
        <v>48</v>
      </c>
      <c r="M2" s="3" t="s">
        <v>47</v>
      </c>
      <c r="N2" s="3" t="s">
        <v>48</v>
      </c>
      <c r="O2" s="1" t="s">
        <v>47</v>
      </c>
      <c r="P2" s="1" t="s">
        <v>48</v>
      </c>
      <c r="Q2" s="3" t="s">
        <v>47</v>
      </c>
      <c r="R2" s="3" t="s">
        <v>48</v>
      </c>
      <c r="S2" s="1" t="s">
        <v>47</v>
      </c>
      <c r="T2" s="1" t="s">
        <v>48</v>
      </c>
      <c r="U2" s="3" t="s">
        <v>47</v>
      </c>
      <c r="V2" s="3" t="s">
        <v>48</v>
      </c>
      <c r="W2" s="1" t="s">
        <v>47</v>
      </c>
      <c r="X2" s="1" t="s">
        <v>48</v>
      </c>
      <c r="Y2" s="3" t="s">
        <v>47</v>
      </c>
      <c r="Z2" s="3" t="s">
        <v>48</v>
      </c>
      <c r="AA2" s="1" t="s">
        <v>47</v>
      </c>
      <c r="AB2" s="1" t="s">
        <v>48</v>
      </c>
      <c r="AC2" s="3" t="s">
        <v>47</v>
      </c>
      <c r="AD2" s="3" t="s">
        <v>48</v>
      </c>
      <c r="AE2" s="1" t="s">
        <v>47</v>
      </c>
      <c r="AF2" s="1" t="s">
        <v>48</v>
      </c>
      <c r="AG2" s="3" t="s">
        <v>47</v>
      </c>
      <c r="AH2" s="3" t="s">
        <v>48</v>
      </c>
      <c r="AI2" s="1" t="s">
        <v>47</v>
      </c>
      <c r="AJ2" s="1" t="s">
        <v>48</v>
      </c>
      <c r="AK2" s="3" t="s">
        <v>47</v>
      </c>
      <c r="AL2" s="3" t="s">
        <v>48</v>
      </c>
      <c r="AM2" s="1" t="s">
        <v>47</v>
      </c>
      <c r="AN2" s="1" t="s">
        <v>48</v>
      </c>
      <c r="AO2" s="3" t="s">
        <v>47</v>
      </c>
      <c r="AP2" s="3" t="s">
        <v>48</v>
      </c>
      <c r="AQ2" s="1" t="s">
        <v>47</v>
      </c>
      <c r="AR2" s="1" t="s">
        <v>48</v>
      </c>
      <c r="AS2" s="3" t="s">
        <v>47</v>
      </c>
      <c r="AT2" s="3" t="s">
        <v>48</v>
      </c>
      <c r="AU2" s="1" t="s">
        <v>47</v>
      </c>
      <c r="AV2" s="1" t="s">
        <v>48</v>
      </c>
      <c r="AW2" s="3" t="s">
        <v>47</v>
      </c>
      <c r="AX2" s="3" t="s">
        <v>48</v>
      </c>
      <c r="AY2" s="1" t="s">
        <v>47</v>
      </c>
      <c r="AZ2" s="1" t="s">
        <v>48</v>
      </c>
      <c r="BA2" s="3" t="s">
        <v>47</v>
      </c>
      <c r="BB2" s="3" t="s">
        <v>48</v>
      </c>
      <c r="BC2" s="1" t="s">
        <v>47</v>
      </c>
      <c r="BD2" s="1" t="s">
        <v>48</v>
      </c>
      <c r="BE2" s="3" t="s">
        <v>47</v>
      </c>
      <c r="BF2" s="3" t="s">
        <v>48</v>
      </c>
      <c r="BG2" s="1" t="s">
        <v>47</v>
      </c>
      <c r="BH2" s="1" t="s">
        <v>48</v>
      </c>
      <c r="BI2" s="3" t="s">
        <v>47</v>
      </c>
      <c r="BJ2" s="3" t="s">
        <v>48</v>
      </c>
      <c r="BK2" s="1" t="s">
        <v>47</v>
      </c>
      <c r="BL2" s="1" t="s">
        <v>48</v>
      </c>
      <c r="BM2" s="3" t="s">
        <v>47</v>
      </c>
      <c r="BN2" s="3" t="s">
        <v>48</v>
      </c>
      <c r="BO2" s="1" t="s">
        <v>47</v>
      </c>
      <c r="BP2" s="1" t="s">
        <v>48</v>
      </c>
      <c r="BQ2" s="3" t="s">
        <v>47</v>
      </c>
      <c r="BR2" s="3" t="s">
        <v>48</v>
      </c>
      <c r="BS2" s="1" t="s">
        <v>47</v>
      </c>
      <c r="BT2" s="1" t="s">
        <v>48</v>
      </c>
      <c r="BU2" s="3" t="s">
        <v>47</v>
      </c>
      <c r="BV2" s="3" t="s">
        <v>48</v>
      </c>
      <c r="BW2" s="1" t="s">
        <v>47</v>
      </c>
      <c r="BX2" s="1" t="s">
        <v>48</v>
      </c>
      <c r="BY2" s="3" t="s">
        <v>47</v>
      </c>
      <c r="BZ2" s="3" t="s">
        <v>48</v>
      </c>
      <c r="CA2" s="1" t="s">
        <v>47</v>
      </c>
      <c r="CB2" s="1" t="s">
        <v>48</v>
      </c>
      <c r="CC2" s="3" t="s">
        <v>47</v>
      </c>
      <c r="CD2" s="3" t="s">
        <v>48</v>
      </c>
      <c r="CE2" s="1" t="s">
        <v>47</v>
      </c>
      <c r="CF2" s="1" t="s">
        <v>48</v>
      </c>
      <c r="CG2" s="3" t="s">
        <v>47</v>
      </c>
      <c r="CH2" s="3" t="s">
        <v>48</v>
      </c>
      <c r="CI2" s="1" t="s">
        <v>47</v>
      </c>
      <c r="CJ2" s="1" t="s">
        <v>48</v>
      </c>
      <c r="CK2" s="3" t="s">
        <v>47</v>
      </c>
      <c r="CL2" s="3" t="s">
        <v>48</v>
      </c>
      <c r="CM2" s="1" t="s">
        <v>47</v>
      </c>
      <c r="CN2" s="1" t="s">
        <v>48</v>
      </c>
      <c r="CO2" s="3" t="s">
        <v>47</v>
      </c>
      <c r="CP2" s="3" t="s">
        <v>48</v>
      </c>
      <c r="CQ2" s="1" t="s">
        <v>47</v>
      </c>
      <c r="CR2" s="1" t="s">
        <v>48</v>
      </c>
      <c r="CS2" s="3" t="s">
        <v>47</v>
      </c>
      <c r="CT2" s="3" t="s">
        <v>48</v>
      </c>
      <c r="CU2" s="1" t="s">
        <v>47</v>
      </c>
      <c r="CV2" s="1" t="s">
        <v>48</v>
      </c>
      <c r="CW2" s="3" t="s">
        <v>47</v>
      </c>
      <c r="CX2" s="3" t="s">
        <v>48</v>
      </c>
      <c r="CY2" s="1" t="s">
        <v>47</v>
      </c>
      <c r="CZ2" s="1" t="s">
        <v>48</v>
      </c>
      <c r="DA2" s="3" t="s">
        <v>47</v>
      </c>
      <c r="DB2" s="3" t="s">
        <v>48</v>
      </c>
      <c r="DC2" s="1" t="s">
        <v>47</v>
      </c>
      <c r="DD2" s="1" t="s">
        <v>48</v>
      </c>
      <c r="DE2" s="3" t="s">
        <v>47</v>
      </c>
      <c r="DF2" s="3" t="s">
        <v>48</v>
      </c>
      <c r="DG2" s="1" t="s">
        <v>47</v>
      </c>
      <c r="DH2" s="1" t="s">
        <v>48</v>
      </c>
      <c r="DI2" s="3" t="s">
        <v>47</v>
      </c>
      <c r="DJ2" s="3" t="s">
        <v>48</v>
      </c>
      <c r="DK2" s="1" t="s">
        <v>47</v>
      </c>
      <c r="DL2" s="1" t="s">
        <v>48</v>
      </c>
      <c r="DM2" s="3" t="s">
        <v>47</v>
      </c>
      <c r="DN2" s="3" t="s">
        <v>48</v>
      </c>
      <c r="DO2" s="1" t="s">
        <v>47</v>
      </c>
      <c r="DP2" s="1" t="s">
        <v>48</v>
      </c>
      <c r="DQ2" s="3" t="s">
        <v>47</v>
      </c>
      <c r="DR2" s="3" t="s">
        <v>48</v>
      </c>
      <c r="DS2" s="1" t="s">
        <v>47</v>
      </c>
      <c r="DT2" s="1" t="s">
        <v>48</v>
      </c>
      <c r="DU2" s="3" t="s">
        <v>47</v>
      </c>
      <c r="DV2" s="3" t="s">
        <v>48</v>
      </c>
      <c r="DW2" s="1" t="s">
        <v>47</v>
      </c>
      <c r="DX2" s="1" t="s">
        <v>48</v>
      </c>
      <c r="DY2" s="3" t="s">
        <v>47</v>
      </c>
      <c r="DZ2" s="3" t="s">
        <v>48</v>
      </c>
      <c r="EA2" s="1" t="s">
        <v>47</v>
      </c>
      <c r="EB2" s="1" t="s">
        <v>48</v>
      </c>
      <c r="EC2" s="3" t="s">
        <v>47</v>
      </c>
      <c r="ED2" s="3" t="s">
        <v>48</v>
      </c>
      <c r="EE2" s="1" t="s">
        <v>47</v>
      </c>
      <c r="EF2" s="1" t="s">
        <v>48</v>
      </c>
      <c r="EG2" s="3" t="s">
        <v>47</v>
      </c>
      <c r="EH2" s="3" t="s">
        <v>48</v>
      </c>
      <c r="EI2" s="1" t="s">
        <v>47</v>
      </c>
      <c r="EJ2" s="1" t="s">
        <v>48</v>
      </c>
      <c r="EK2" s="3" t="s">
        <v>47</v>
      </c>
      <c r="EL2" s="3" t="s">
        <v>48</v>
      </c>
      <c r="EM2" s="1" t="s">
        <v>47</v>
      </c>
      <c r="EN2" s="1" t="s">
        <v>48</v>
      </c>
      <c r="EO2" s="3" t="s">
        <v>47</v>
      </c>
      <c r="EP2" s="3" t="s">
        <v>48</v>
      </c>
      <c r="EQ2" s="1" t="s">
        <v>47</v>
      </c>
      <c r="ER2" s="1" t="s">
        <v>48</v>
      </c>
      <c r="ES2" s="3" t="s">
        <v>47</v>
      </c>
      <c r="ET2" s="3" t="s">
        <v>48</v>
      </c>
      <c r="EU2" s="1" t="s">
        <v>47</v>
      </c>
      <c r="EV2" s="1" t="s">
        <v>48</v>
      </c>
      <c r="EW2" s="3" t="s">
        <v>47</v>
      </c>
      <c r="EX2" s="3" t="s">
        <v>48</v>
      </c>
      <c r="EY2" s="1" t="s">
        <v>47</v>
      </c>
      <c r="EZ2" s="1" t="s">
        <v>48</v>
      </c>
      <c r="FA2" s="3" t="s">
        <v>47</v>
      </c>
      <c r="FB2" s="3" t="s">
        <v>48</v>
      </c>
      <c r="FC2" s="1" t="s">
        <v>47</v>
      </c>
      <c r="FD2" s="1" t="s">
        <v>48</v>
      </c>
      <c r="FE2" s="3" t="s">
        <v>47</v>
      </c>
      <c r="FF2" s="3" t="s">
        <v>48</v>
      </c>
      <c r="FG2" s="1" t="s">
        <v>47</v>
      </c>
      <c r="FH2" s="1" t="s">
        <v>48</v>
      </c>
    </row>
    <row r="3" customFormat="false" ht="15" hidden="false" customHeight="false" outlineLevel="0" collapsed="false">
      <c r="A3" s="4" t="s">
        <v>49</v>
      </c>
      <c r="B3" s="5" t="s">
        <v>50</v>
      </c>
      <c r="C3" s="6" t="n">
        <v>29</v>
      </c>
      <c r="D3" s="6" t="n">
        <f aca="false">I3+J3+M3+N3+Q3+R3+U3+V3+Y3+Z3+AC3+AD3+AG3+AH3+AK3+AL3+AO3+AP3+AS3+AT3+AW3+AX3+BA3+BB3+BE3+BF3+BI3+BJ3+BM3+BN3+BQ3+BR3+BU3+BV3+BY3+BZ3+CC3+CD3+CG3+CH3+CK3+CL3+CO3+CP3+CS3+CT3+CW3+CX3+DA3+DB3+DE3+DF3+DI3+DJ3+DM3+DN3+DQ3+DR3+DU3+DV3+DY3+DZ3+EC3+ED3+EG3+EH3+EK3+EL3+EO3+EP3+ES3+ET3+EW3+EX3+FA3+FB3+FE3+FF3</f>
        <v>29</v>
      </c>
      <c r="E3" s="6" t="n">
        <f aca="false">G3+H3</f>
        <v>27</v>
      </c>
      <c r="F3" s="6" t="n">
        <f aca="false">E3-C3</f>
        <v>-2</v>
      </c>
      <c r="G3" s="6" t="n">
        <f aca="false">K3+O3+S3+W3+AA3+AE3+AI3+AM3+AQ3+AU3+AY3+BC3+BG3+BK3+BO3+BS3+BW3+CA3+CE3+CI3+CM3+CQ3+CU3+CY3+DC3+DG3+DK3+DO3+DS3+DW3+EA3+EE3+EI3+EM3+EQ3+EU3+EY3+FC3+FG3</f>
        <v>19</v>
      </c>
      <c r="H3" s="6" t="n">
        <f aca="false">L3+P3+T3+X3+AB3+AF3+AJ3+AN3+AR3+AV3+AZ3+BD3+BH3+BL3+BP3+BT3+BX3+CB3+CF3+CJ3+CN3+CR3+CV3+CZ3+DD3+DH3+DL3+DP3+DT3+DX3+EB3+EF3+EJ3+EN3+ER3+EV3+EZ3+FD3+FH3</f>
        <v>8</v>
      </c>
      <c r="I3" s="7" t="n">
        <v>3</v>
      </c>
      <c r="J3" s="7" t="n">
        <v>2</v>
      </c>
      <c r="K3" s="5" t="n">
        <f aca="false">SUMIFS('Исходные данные'!$I$2:$I$964,'Исходные данные'!$D$2:$D$964,K$1,'Исходные данные'!$F$2:$F$964,$A3)</f>
        <v>3</v>
      </c>
      <c r="L3" s="5" t="n">
        <f aca="false">SUMIFS('Исходные данные'!$J$2:$J$964,'Исходные данные'!$D$2:$D$964,K$1,'Исходные данные'!$F$2:$F$964,$A3)</f>
        <v>1</v>
      </c>
      <c r="M3" s="7" t="n">
        <v>2</v>
      </c>
      <c r="N3" s="7" t="n">
        <v>1</v>
      </c>
      <c r="O3" s="5" t="n">
        <f aca="false">SUMIFS('Исходные данные'!$I$2:$I$964,'Исходные данные'!$D$2:$D$964,O$1,'Исходные данные'!$F$2:$F$964,$A3)</f>
        <v>2</v>
      </c>
      <c r="P3" s="5" t="n">
        <f aca="false">SUMIFS('Исходные данные'!$J$2:$J$964,'Исходные данные'!$D$2:$D$964,O$1,'Исходные данные'!$F$2:$F$964,$A3)</f>
        <v>0</v>
      </c>
      <c r="Q3" s="7" t="n">
        <v>4</v>
      </c>
      <c r="R3" s="7" t="n">
        <v>1</v>
      </c>
      <c r="S3" s="5" t="n">
        <f aca="false">SUMIFS('Исходные данные'!$I$2:$I$964,'Исходные данные'!$D$2:$D$964,S$1,'Исходные данные'!$F$2:$F$964,$A3)</f>
        <v>3</v>
      </c>
      <c r="T3" s="5" t="n">
        <f aca="false">SUMIFS('Исходные данные'!$J$2:$J$964,'Исходные данные'!$D$2:$D$964,S$1,'Исходные данные'!$F$2:$F$964,$A3)</f>
        <v>1</v>
      </c>
      <c r="U3" s="7" t="n">
        <v>0</v>
      </c>
      <c r="V3" s="7" t="n">
        <v>0</v>
      </c>
      <c r="W3" s="5" t="n">
        <f aca="false">SUMIFS('Исходные данные'!$I$2:$I$964,'Исходные данные'!$D$2:$D$964,W$1,'Исходные данные'!$F$2:$F$964,$A3)</f>
        <v>1</v>
      </c>
      <c r="X3" s="5" t="n">
        <f aca="false">SUMIFS('Исходные данные'!$J$2:$J$964,'Исходные данные'!$D$2:$D$964,W$1,'Исходные данные'!$F$2:$F$964,$A3)</f>
        <v>0</v>
      </c>
      <c r="Y3" s="7" t="n">
        <v>1</v>
      </c>
      <c r="Z3" s="7" t="n">
        <v>0</v>
      </c>
      <c r="AA3" s="5" t="n">
        <f aca="false">SUMIFS('Исходные данные'!$I$2:$I$964,'Исходные данные'!$D$2:$D$964,AA$1,'Исходные данные'!$F$2:$F$964,$A3)</f>
        <v>1</v>
      </c>
      <c r="AB3" s="5" t="n">
        <f aca="false">SUMIFS('Исходные данные'!$J$2:$J$964,'Исходные данные'!$D$2:$D$964,AA$1,'Исходные данные'!$F$2:$F$964,$A3)</f>
        <v>0</v>
      </c>
      <c r="AC3" s="7" t="n">
        <v>0</v>
      </c>
      <c r="AD3" s="7" t="n">
        <v>0</v>
      </c>
      <c r="AE3" s="5" t="n">
        <f aca="false">SUMIFS('Исходные данные'!$I$2:$I$964,'Исходные данные'!$D$2:$D$964,AE$1,'Исходные данные'!$F$2:$F$964,$A3)</f>
        <v>0</v>
      </c>
      <c r="AF3" s="5" t="n">
        <f aca="false">SUMIFS('Исходные данные'!$J$2:$J$964,'Исходные данные'!$D$2:$D$964,AE$1,'Исходные данные'!$F$2:$F$964,$A3)</f>
        <v>0</v>
      </c>
      <c r="AG3" s="7" t="n">
        <v>0</v>
      </c>
      <c r="AH3" s="7" t="n">
        <v>0</v>
      </c>
      <c r="AI3" s="5" t="n">
        <f aca="false">SUMIFS('Исходные данные'!$I$2:$I$964,'Исходные данные'!$D$2:$D$964,AI$1,'Исходные данные'!$F$2:$F$964,$A3)</f>
        <v>0</v>
      </c>
      <c r="AJ3" s="5" t="n">
        <f aca="false">SUMIFS('Исходные данные'!$J$2:$J$964,'Исходные данные'!$D$2:$D$964,AI$1,'Исходные данные'!$F$2:$F$964,$A3)</f>
        <v>0</v>
      </c>
      <c r="AK3" s="7" t="n">
        <v>0</v>
      </c>
      <c r="AL3" s="7" t="n">
        <v>0</v>
      </c>
      <c r="AM3" s="5" t="n">
        <f aca="false">SUMIFS('Исходные данные'!$I$2:$I$964,'Исходные данные'!$D$2:$D$964,AM$1,'Исходные данные'!$F$2:$F$964,$A3)</f>
        <v>0</v>
      </c>
      <c r="AN3" s="5" t="n">
        <f aca="false">SUMIFS('Исходные данные'!$J$2:$J$964,'Исходные данные'!$D$2:$D$964,AM$1,'Исходные данные'!$F$2:$F$964,$A3)</f>
        <v>0</v>
      </c>
      <c r="AO3" s="7" t="n">
        <v>0</v>
      </c>
      <c r="AP3" s="7" t="n">
        <v>0</v>
      </c>
      <c r="AQ3" s="5" t="n">
        <f aca="false">SUMIFS('Исходные данные'!$I$2:$I$964,'Исходные данные'!$D$2:$D$964,AQ$1,'Исходные данные'!$F$2:$F$964,$A3)</f>
        <v>0</v>
      </c>
      <c r="AR3" s="5" t="n">
        <f aca="false">SUMIFS('Исходные данные'!$J$2:$J$964,'Исходные данные'!$D$2:$D$964,AQ$1,'Исходные данные'!$F$2:$F$964,$A3)</f>
        <v>0</v>
      </c>
      <c r="AS3" s="7" t="n">
        <v>0</v>
      </c>
      <c r="AT3" s="7" t="n">
        <v>0</v>
      </c>
      <c r="AU3" s="5" t="n">
        <f aca="false">SUMIFS('Исходные данные'!$I$2:$I$964,'Исходные данные'!$D$2:$D$964,AU$1,'Исходные данные'!$F$2:$F$964,$A3)</f>
        <v>0</v>
      </c>
      <c r="AV3" s="5" t="n">
        <f aca="false">SUMIFS('Исходные данные'!$J$2:$J$964,'Исходные данные'!$D$2:$D$964,AU$1,'Исходные данные'!$F$2:$F$964,$A3)</f>
        <v>0</v>
      </c>
      <c r="AW3" s="7" t="n">
        <v>0</v>
      </c>
      <c r="AX3" s="7" t="n">
        <v>0</v>
      </c>
      <c r="AY3" s="5" t="n">
        <f aca="false">SUMIFS('Исходные данные'!$I$2:$I$964,'Исходные данные'!$D$2:$D$964,AY$1,'Исходные данные'!$F$2:$F$964,$A3)</f>
        <v>0</v>
      </c>
      <c r="AZ3" s="5" t="n">
        <f aca="false">SUMIFS('Исходные данные'!$J$2:$J$964,'Исходные данные'!$D$2:$D$964,AY$1,'Исходные данные'!$F$2:$F$964,$A3)</f>
        <v>0</v>
      </c>
      <c r="BA3" s="7" t="n">
        <v>0</v>
      </c>
      <c r="BB3" s="7" t="n">
        <v>0</v>
      </c>
      <c r="BC3" s="5" t="n">
        <f aca="false">SUMIFS('Исходные данные'!$I$2:$I$964,'Исходные данные'!$D$2:$D$964,BC$1,'Исходные данные'!$F$2:$F$964,$A3)</f>
        <v>0</v>
      </c>
      <c r="BD3" s="5" t="n">
        <f aca="false">SUMIFS('Исходные данные'!$J$2:$J$964,'Исходные данные'!$D$2:$D$964,BC$1,'Исходные данные'!$F$2:$F$964,$A3)</f>
        <v>0</v>
      </c>
      <c r="BE3" s="7" t="n">
        <v>0</v>
      </c>
      <c r="BF3" s="7" t="n">
        <v>0</v>
      </c>
      <c r="BG3" s="5" t="n">
        <f aca="false">SUMIFS('Исходные данные'!$I$2:$I$964,'Исходные данные'!$D$2:$D$964,BG$1,'Исходные данные'!$F$2:$F$964,$A3)</f>
        <v>0</v>
      </c>
      <c r="BH3" s="5" t="n">
        <f aca="false">SUMIFS('Исходные данные'!$J$2:$J$964,'Исходные данные'!$D$2:$D$964,BG$1,'Исходные данные'!$F$2:$F$964,$A3)</f>
        <v>0</v>
      </c>
      <c r="BI3" s="7" t="n">
        <v>5</v>
      </c>
      <c r="BJ3" s="7" t="n">
        <v>3</v>
      </c>
      <c r="BK3" s="5" t="n">
        <f aca="false">SUMIFS('Исходные данные'!$I$2:$I$964,'Исходные данные'!$D$2:$D$964,BK$1,'Исходные данные'!$F$2:$F$964,$A3)</f>
        <v>5</v>
      </c>
      <c r="BL3" s="5" t="n">
        <f aca="false">SUMIFS('Исходные данные'!$J$2:$J$964,'Исходные данные'!$D$2:$D$964,BK$1,'Исходные данные'!$F$2:$F$964,$A3)</f>
        <v>3</v>
      </c>
      <c r="BM3" s="7" t="n">
        <v>4</v>
      </c>
      <c r="BN3" s="7" t="n">
        <v>3</v>
      </c>
      <c r="BO3" s="5" t="n">
        <f aca="false">SUMIFS('Исходные данные'!$I$2:$I$964,'Исходные данные'!$D$2:$D$964,BO$1,'Исходные данные'!$F$2:$F$964,$A3)</f>
        <v>4</v>
      </c>
      <c r="BP3" s="5" t="n">
        <f aca="false">SUMIFS('Исходные данные'!$J$2:$J$964,'Исходные данные'!$D$2:$D$964,BO$1,'Исходные данные'!$F$2:$F$964,$A3)</f>
        <v>3</v>
      </c>
      <c r="BQ3" s="7" t="n">
        <v>0</v>
      </c>
      <c r="BR3" s="7" t="n">
        <v>0</v>
      </c>
      <c r="BS3" s="5" t="n">
        <f aca="false">SUMIFS('Исходные данные'!$I$2:$I$964,'Исходные данные'!$D$2:$D$964,BS$1,'Исходные данные'!$F$2:$F$964,$A3)</f>
        <v>0</v>
      </c>
      <c r="BT3" s="5" t="n">
        <f aca="false">SUMIFS('Исходные данные'!$J$2:$J$964,'Исходные данные'!$D$2:$D$964,BS$1,'Исходные данные'!$F$2:$F$964,$A3)</f>
        <v>0</v>
      </c>
      <c r="BU3" s="7" t="n">
        <v>0</v>
      </c>
      <c r="BV3" s="7" t="n">
        <v>0</v>
      </c>
      <c r="BW3" s="5" t="n">
        <f aca="false">SUMIFS('Исходные данные'!$I$2:$I$964,'Исходные данные'!$D$2:$D$964,BW$1,'Исходные данные'!$F$2:$F$964,$A3)</f>
        <v>0</v>
      </c>
      <c r="BX3" s="5" t="n">
        <f aca="false">SUMIFS('Исходные данные'!$J$2:$J$964,'Исходные данные'!$D$2:$D$964,BW$1,'Исходные данные'!$F$2:$F$964,$A3)</f>
        <v>0</v>
      </c>
      <c r="BY3" s="7" t="n">
        <v>0</v>
      </c>
      <c r="BZ3" s="7" t="n">
        <v>0</v>
      </c>
      <c r="CA3" s="5" t="n">
        <f aca="false">SUMIFS('Исходные данные'!$I$2:$I$964,'Исходные данные'!$D$2:$D$964,CA$1,'Исходные данные'!$F$2:$F$964,$A3)</f>
        <v>0</v>
      </c>
      <c r="CB3" s="5" t="n">
        <f aca="false">SUMIFS('Исходные данные'!$J$2:$J$964,'Исходные данные'!$D$2:$D$964,CA$1,'Исходные данные'!$F$2:$F$964,$A3)</f>
        <v>0</v>
      </c>
      <c r="CC3" s="7" t="n">
        <v>0</v>
      </c>
      <c r="CD3" s="7" t="n">
        <v>0</v>
      </c>
      <c r="CE3" s="5" t="n">
        <f aca="false">SUMIFS('Исходные данные'!$I$2:$I$964,'Исходные данные'!$D$2:$D$964,CE$1,'Исходные данные'!$F$2:$F$964,$A3)</f>
        <v>0</v>
      </c>
      <c r="CF3" s="5" t="n">
        <f aca="false">SUMIFS('Исходные данные'!$J$2:$J$964,'Исходные данные'!$D$2:$D$964,CE$1,'Исходные данные'!$F$2:$F$964,$A3)</f>
        <v>0</v>
      </c>
      <c r="CG3" s="7" t="n">
        <v>0</v>
      </c>
      <c r="CH3" s="7" t="n">
        <v>0</v>
      </c>
      <c r="CI3" s="5" t="n">
        <f aca="false">SUMIFS('Исходные данные'!$I$2:$I$964,'Исходные данные'!$D$2:$D$964,CI$1,'Исходные данные'!$F$2:$F$964,$A3)</f>
        <v>0</v>
      </c>
      <c r="CJ3" s="5" t="n">
        <f aca="false">SUMIFS('Исходные данные'!$J$2:$J$964,'Исходные данные'!$D$2:$D$964,CI$1,'Исходные данные'!$F$2:$F$964,$A3)</f>
        <v>0</v>
      </c>
      <c r="CK3" s="7" t="n">
        <v>0</v>
      </c>
      <c r="CL3" s="7" t="n">
        <v>0</v>
      </c>
      <c r="CM3" s="5" t="n">
        <f aca="false">SUMIFS('Исходные данные'!$I$2:$I$964,'Исходные данные'!$D$2:$D$964,CM$1,'Исходные данные'!$F$2:$F$964,$A3)</f>
        <v>0</v>
      </c>
      <c r="CN3" s="5" t="n">
        <f aca="false">SUMIFS('Исходные данные'!$J$2:$J$964,'Исходные данные'!$D$2:$D$964,CM$1,'Исходные данные'!$F$2:$F$964,$A3)</f>
        <v>0</v>
      </c>
      <c r="CO3" s="7" t="n">
        <v>0</v>
      </c>
      <c r="CP3" s="7" t="n">
        <v>0</v>
      </c>
      <c r="CQ3" s="5" t="n">
        <f aca="false">SUMIFS('Исходные данные'!$I$2:$I$964,'Исходные данные'!$D$2:$D$964,CQ$1,'Исходные данные'!$F$2:$F$964,$A3)</f>
        <v>0</v>
      </c>
      <c r="CR3" s="5" t="n">
        <f aca="false">SUMIFS('Исходные данные'!$J$2:$J$964,'Исходные данные'!$D$2:$D$964,CQ$1,'Исходные данные'!$F$2:$F$964,$A3)</f>
        <v>0</v>
      </c>
      <c r="CS3" s="7" t="n">
        <v>0</v>
      </c>
      <c r="CT3" s="7" t="n">
        <v>0</v>
      </c>
      <c r="CU3" s="5" t="n">
        <f aca="false">SUMIFS('Исходные данные'!$I$2:$I$964,'Исходные данные'!$D$2:$D$964,CU$1,'Исходные данные'!$F$2:$F$964,$A3)</f>
        <v>0</v>
      </c>
      <c r="CV3" s="5" t="n">
        <f aca="false">SUMIFS('Исходные данные'!$J$2:$J$964,'Исходные данные'!$D$2:$D$964,CU$1,'Исходные данные'!$F$2:$F$964,$A3)</f>
        <v>0</v>
      </c>
      <c r="CW3" s="7" t="n">
        <v>0</v>
      </c>
      <c r="CX3" s="7" t="n">
        <v>0</v>
      </c>
      <c r="CY3" s="5" t="n">
        <f aca="false">SUMIFS('Исходные данные'!$I$2:$I$964,'Исходные данные'!$D$2:$D$964,CY$1,'Исходные данные'!$F$2:$F$964,$A3)</f>
        <v>0</v>
      </c>
      <c r="CZ3" s="5" t="n">
        <f aca="false">SUMIFS('Исходные данные'!$J$2:$J$964,'Исходные данные'!$D$2:$D$964,CY$1,'Исходные данные'!$F$2:$F$964,$A3)</f>
        <v>0</v>
      </c>
      <c r="DA3" s="7" t="n">
        <v>0</v>
      </c>
      <c r="DB3" s="7" t="n">
        <v>0</v>
      </c>
      <c r="DC3" s="5" t="n">
        <f aca="false">SUMIFS('Исходные данные'!$I$2:$I$964,'Исходные данные'!$D$2:$D$964,DC$1,'Исходные данные'!$F$2:$F$964,$A3)</f>
        <v>0</v>
      </c>
      <c r="DD3" s="5" t="n">
        <f aca="false">SUMIFS('Исходные данные'!$J$2:$J$964,'Исходные данные'!$D$2:$D$964,DC$1,'Исходные данные'!$F$2:$F$964,$A3)</f>
        <v>0</v>
      </c>
      <c r="DE3" s="7" t="n">
        <v>0</v>
      </c>
      <c r="DF3" s="7" t="n">
        <v>0</v>
      </c>
      <c r="DG3" s="5" t="n">
        <f aca="false">SUMIFS('Исходные данные'!$I$2:$I$964,'Исходные данные'!$D$2:$D$964,DG$1,'Исходные данные'!$F$2:$F$964,$A3)</f>
        <v>0</v>
      </c>
      <c r="DH3" s="5" t="n">
        <f aca="false">SUMIFS('Исходные данные'!$J$2:$J$964,'Исходные данные'!$D$2:$D$964,DG$1,'Исходные данные'!$F$2:$F$964,$A3)</f>
        <v>0</v>
      </c>
      <c r="DI3" s="7" t="n">
        <v>0</v>
      </c>
      <c r="DJ3" s="7" t="n">
        <v>0</v>
      </c>
      <c r="DK3" s="5" t="n">
        <f aca="false">SUMIFS('Исходные данные'!$I$2:$I$964,'Исходные данные'!$D$2:$D$964,DK$1,'Исходные данные'!$F$2:$F$964,$A3)</f>
        <v>0</v>
      </c>
      <c r="DL3" s="5" t="n">
        <f aca="false">SUMIFS('Исходные данные'!$J$2:$J$964,'Исходные данные'!$D$2:$D$964,DK$1,'Исходные данные'!$F$2:$F$964,$A3)</f>
        <v>0</v>
      </c>
      <c r="DM3" s="7" t="n">
        <v>0</v>
      </c>
      <c r="DN3" s="7" t="n">
        <v>0</v>
      </c>
      <c r="DO3" s="5" t="n">
        <f aca="false">SUMIFS('Исходные данные'!$I$2:$I$964,'Исходные данные'!$D$2:$D$964,DO$1,'Исходные данные'!$F$2:$F$964,$A3)</f>
        <v>0</v>
      </c>
      <c r="DP3" s="5" t="n">
        <f aca="false">SUMIFS('Исходные данные'!$J$2:$J$964,'Исходные данные'!$D$2:$D$964,DO$1,'Исходные данные'!$F$2:$F$964,$A3)</f>
        <v>0</v>
      </c>
      <c r="DQ3" s="7" t="n">
        <v>0</v>
      </c>
      <c r="DR3" s="7" t="n">
        <v>0</v>
      </c>
      <c r="DS3" s="5" t="n">
        <f aca="false">SUMIFS('Исходные данные'!$I$2:$I$964,'Исходные данные'!$D$2:$D$964,DS$1,'Исходные данные'!$F$2:$F$964,$A3)</f>
        <v>0</v>
      </c>
      <c r="DT3" s="5" t="n">
        <f aca="false">SUMIFS('Исходные данные'!$J$2:$J$964,'Исходные данные'!$D$2:$D$964,DS$1,'Исходные данные'!$F$2:$F$964,$A3)</f>
        <v>0</v>
      </c>
      <c r="DU3" s="7" t="n">
        <v>0</v>
      </c>
      <c r="DV3" s="7" t="n">
        <v>0</v>
      </c>
      <c r="DW3" s="5" t="n">
        <f aca="false">SUMIFS('Исходные данные'!$I$2:$I$964,'Исходные данные'!$D$2:$D$964,DW$1,'Исходные данные'!$F$2:$F$964,$A3)</f>
        <v>0</v>
      </c>
      <c r="DX3" s="5" t="n">
        <f aca="false">SUMIFS('Исходные данные'!$J$2:$J$964,'Исходные данные'!$D$2:$D$964,DW$1,'Исходные данные'!$F$2:$F$964,$A3)</f>
        <v>0</v>
      </c>
      <c r="DY3" s="7" t="n">
        <v>0</v>
      </c>
      <c r="DZ3" s="7" t="n">
        <v>0</v>
      </c>
      <c r="EA3" s="5" t="n">
        <f aca="false">SUMIFS('Исходные данные'!$I$2:$I$964,'Исходные данные'!$D$2:$D$964,EA$1,'Исходные данные'!$F$2:$F$964,$A3)</f>
        <v>0</v>
      </c>
      <c r="EB3" s="5" t="n">
        <f aca="false">SUMIFS('Исходные данные'!$J$2:$J$964,'Исходные данные'!$D$2:$D$964,EA$1,'Исходные данные'!$F$2:$F$964,$A3)</f>
        <v>0</v>
      </c>
      <c r="EC3" s="7" t="n">
        <v>0</v>
      </c>
      <c r="ED3" s="7" t="n">
        <v>0</v>
      </c>
      <c r="EE3" s="5" t="n">
        <f aca="false">SUMIFS('Исходные данные'!$I$2:$I$964,'Исходные данные'!$D$2:$D$964,EE$1,'Исходные данные'!$F$2:$F$964,$A3)</f>
        <v>0</v>
      </c>
      <c r="EF3" s="5" t="n">
        <f aca="false">SUMIFS('Исходные данные'!$J$2:$J$964,'Исходные данные'!$D$2:$D$964,EE$1,'Исходные данные'!$F$2:$F$964,$A3)</f>
        <v>0</v>
      </c>
      <c r="EG3" s="7" t="n">
        <v>0</v>
      </c>
      <c r="EH3" s="7" t="n">
        <v>0</v>
      </c>
      <c r="EI3" s="5" t="n">
        <f aca="false">SUMIFS('Исходные данные'!$I$2:$I$964,'Исходные данные'!$D$2:$D$964,EI$1,'Исходные данные'!$F$2:$F$964,$A3)</f>
        <v>0</v>
      </c>
      <c r="EJ3" s="5" t="n">
        <f aca="false">SUMIFS('Исходные данные'!$J$2:$J$964,'Исходные данные'!$D$2:$D$964,EI$1,'Исходные данные'!$F$2:$F$964,$A3)</f>
        <v>0</v>
      </c>
      <c r="EK3" s="7" t="n">
        <v>0</v>
      </c>
      <c r="EL3" s="7" t="n">
        <v>0</v>
      </c>
      <c r="EM3" s="5" t="n">
        <f aca="false">SUMIFS('Исходные данные'!$I$2:$I$964,'Исходные данные'!$D$2:$D$964,EM$1,'Исходные данные'!$F$2:$F$964,$A3)</f>
        <v>0</v>
      </c>
      <c r="EN3" s="5" t="n">
        <f aca="false">SUMIFS('Исходные данные'!$J$2:$J$964,'Исходные данные'!$D$2:$D$964,EM$1,'Исходные данные'!$F$2:$F$964,$A3)</f>
        <v>0</v>
      </c>
      <c r="EO3" s="7" t="n">
        <v>0</v>
      </c>
      <c r="EP3" s="7" t="n">
        <v>0</v>
      </c>
      <c r="EQ3" s="5" t="n">
        <f aca="false">SUMIFS('Исходные данные'!$I$2:$I$964,'Исходные данные'!$D$2:$D$964,EQ$1,'Исходные данные'!$F$2:$F$964,$A3)</f>
        <v>0</v>
      </c>
      <c r="ER3" s="5" t="n">
        <f aca="false">SUMIFS('Исходные данные'!$J$2:$J$964,'Исходные данные'!$D$2:$D$964,EQ$1,'Исходные данные'!$F$2:$F$964,$A3)</f>
        <v>0</v>
      </c>
      <c r="ES3" s="7" t="n">
        <v>0</v>
      </c>
      <c r="ET3" s="7" t="n">
        <v>0</v>
      </c>
      <c r="EU3" s="5" t="n">
        <f aca="false">SUMIFS('Исходные данные'!$I$2:$I$964,'Исходные данные'!$D$2:$D$964,EU$1,'Исходные данные'!$F$2:$F$964,$A3)</f>
        <v>0</v>
      </c>
      <c r="EV3" s="5" t="n">
        <f aca="false">SUMIFS('Исходные данные'!$J$2:$J$964,'Исходные данные'!$D$2:$D$964,EU$1,'Исходные данные'!$F$2:$F$964,$A3)</f>
        <v>0</v>
      </c>
      <c r="EW3" s="7" t="n">
        <v>0</v>
      </c>
      <c r="EX3" s="7" t="n">
        <v>0</v>
      </c>
      <c r="EY3" s="5" t="n">
        <f aca="false">SUMIFS('Исходные данные'!$I$2:$I$964,'Исходные данные'!$D$2:$D$964,EY$1,'Исходные данные'!$F$2:$F$964,$A3)</f>
        <v>0</v>
      </c>
      <c r="EZ3" s="5" t="n">
        <f aca="false">SUMIFS('Исходные данные'!$J$2:$J$964,'Исходные данные'!$D$2:$D$964,EY$1,'Исходные данные'!$F$2:$F$964,$A3)</f>
        <v>0</v>
      </c>
      <c r="FA3" s="7" t="n">
        <v>0</v>
      </c>
      <c r="FB3" s="7" t="n">
        <v>0</v>
      </c>
      <c r="FC3" s="5" t="n">
        <f aca="false">SUMIFS('Исходные данные'!$I$2:$I$964,'Исходные данные'!$D$2:$D$964,FC$1,'Исходные данные'!$F$2:$F$964,$A3)</f>
        <v>0</v>
      </c>
      <c r="FD3" s="5" t="n">
        <f aca="false">SUMIFS('Исходные данные'!$J$2:$J$964,'Исходные данные'!$D$2:$D$964,FC$1,'Исходные данные'!$F$2:$F$964,$A3)</f>
        <v>0</v>
      </c>
      <c r="FE3" s="7" t="n">
        <v>0</v>
      </c>
      <c r="FF3" s="7" t="n">
        <v>0</v>
      </c>
      <c r="FG3" s="5" t="n">
        <f aca="false">SUMIFS('Исходные данные'!$I$2:$I$964,'Исходные данные'!$D$2:$D$964,FG$1,'Исходные данные'!$F$2:$F$964,$A3)</f>
        <v>0</v>
      </c>
      <c r="FH3" s="5" t="n">
        <f aca="false">SUMIFS('Исходные данные'!$J$2:$J$964,'Исходные данные'!$D$2:$D$964,FG$1,'Исходные данные'!$F$2:$F$964,$A3)</f>
        <v>0</v>
      </c>
    </row>
    <row r="4" customFormat="false" ht="15" hidden="false" customHeight="false" outlineLevel="0" collapsed="false">
      <c r="A4" s="4" t="s">
        <v>51</v>
      </c>
      <c r="B4" s="5" t="s">
        <v>52</v>
      </c>
      <c r="C4" s="6" t="n">
        <v>10</v>
      </c>
      <c r="D4" s="6" t="n">
        <f aca="false">I4+J4+M4+N4+Q4+R4+U4+V4+Y4+Z4+AC4+AD4+AG4+AH4+AK4+AL4+AO4+AP4+AS4+AT4+AW4+AX4+BA4+BB4+BE4+BF4+BI4+BJ4+BM4+BN4+BQ4+BR4+BU4+BV4+BY4+BZ4+CC4+CD4+CG4+CH4+CK4+CL4+CO4+CP4+CS4+CT4+CW4+CX4+DA4+DB4+DE4+DF4+DI4+DJ4+DM4+DN4+DQ4+DR4+DU4+DV4+DY4+DZ4+EC4+ED4+EG4+EH4+EK4+EL4+EO4+EP4+ES4+ET4+EW4+EX4+FA4+FB4+FE4+FF4</f>
        <v>10</v>
      </c>
      <c r="E4" s="6" t="n">
        <f aca="false">G4+H4</f>
        <v>8</v>
      </c>
      <c r="F4" s="6" t="n">
        <f aca="false">E4-C4</f>
        <v>-2</v>
      </c>
      <c r="G4" s="6" t="n">
        <f aca="false">K4+O4+S4+W4+AA4+AE4+AI4+AM4+AQ4+AU4+AY4+BC4+BG4+BK4+BO4+BS4+BW4+CA4+CE4+CI4+CM4+CQ4+CU4+CY4+DC4+DG4+DK4+DO4+DS4+DW4+EA4+EE4+EI4+EM4+EQ4+EU4+EY4+FC4+FG4</f>
        <v>8</v>
      </c>
      <c r="H4" s="6" t="n">
        <f aca="false">L4+P4+T4+X4+AB4+AF4+AJ4+AN4+AR4+AV4+AZ4+BD4+BH4+BL4+BP4+BT4+BX4+CB4+CF4+CJ4+CN4+CR4+CV4+CZ4+DD4+DH4+DL4+DP4+DT4+DX4+EB4+EF4+EJ4+EN4+ER4+EV4+EZ4+FD4+FH4</f>
        <v>0</v>
      </c>
      <c r="I4" s="7" t="n">
        <v>1</v>
      </c>
      <c r="J4" s="7" t="n">
        <v>0</v>
      </c>
      <c r="K4" s="5" t="n">
        <f aca="false">SUMIFS('Исходные данные'!$I$2:$I$964,'Исходные данные'!$D$2:$D$964,K$1,'Исходные данные'!$F$2:$F$964,$A4)</f>
        <v>1</v>
      </c>
      <c r="L4" s="5" t="n">
        <f aca="false">SUMIFS('Исходные данные'!$J$2:$J$964,'Исходные данные'!$D$2:$D$964,K$1,'Исходные данные'!$F$2:$F$964,$A4)</f>
        <v>0</v>
      </c>
      <c r="M4" s="7" t="n">
        <v>1</v>
      </c>
      <c r="N4" s="7" t="n">
        <v>0</v>
      </c>
      <c r="O4" s="5" t="n">
        <f aca="false">SUMIFS('Исходные данные'!$I$2:$I$964,'Исходные данные'!$D$2:$D$964,O$1,'Исходные данные'!$F$2:$F$964,$A4)</f>
        <v>1</v>
      </c>
      <c r="P4" s="5" t="n">
        <f aca="false">SUMIFS('Исходные данные'!$J$2:$J$964,'Исходные данные'!$D$2:$D$964,O$1,'Исходные данные'!$F$2:$F$964,$A4)</f>
        <v>0</v>
      </c>
      <c r="Q4" s="7" t="n">
        <v>2</v>
      </c>
      <c r="R4" s="7" t="n">
        <v>0</v>
      </c>
      <c r="S4" s="5" t="n">
        <f aca="false">SUMIFS('Исходные данные'!$I$2:$I$964,'Исходные данные'!$D$2:$D$964,S$1,'Исходные данные'!$F$2:$F$964,$A4)</f>
        <v>2</v>
      </c>
      <c r="T4" s="5" t="n">
        <f aca="false">SUMIFS('Исходные данные'!$J$2:$J$964,'Исходные данные'!$D$2:$D$964,S$1,'Исходные данные'!$F$2:$F$964,$A4)</f>
        <v>0</v>
      </c>
      <c r="U4" s="7" t="n">
        <v>0</v>
      </c>
      <c r="V4" s="7" t="n">
        <v>0</v>
      </c>
      <c r="W4" s="5" t="n">
        <f aca="false">SUMIFS('Исходные данные'!$I$2:$I$964,'Исходные данные'!$D$2:$D$964,W$1,'Исходные данные'!$F$2:$F$964,$A4)</f>
        <v>0</v>
      </c>
      <c r="X4" s="5" t="n">
        <f aca="false">SUMIFS('Исходные данные'!$J$2:$J$964,'Исходные данные'!$D$2:$D$964,W$1,'Исходные данные'!$F$2:$F$964,$A4)</f>
        <v>0</v>
      </c>
      <c r="Y4" s="7" t="n">
        <v>1</v>
      </c>
      <c r="Z4" s="7" t="n">
        <v>0</v>
      </c>
      <c r="AA4" s="5" t="n">
        <f aca="false">SUMIFS('Исходные данные'!$I$2:$I$964,'Исходные данные'!$D$2:$D$964,AA$1,'Исходные данные'!$F$2:$F$964,$A4)</f>
        <v>1</v>
      </c>
      <c r="AB4" s="5" t="n">
        <f aca="false">SUMIFS('Исходные данные'!$J$2:$J$964,'Исходные данные'!$D$2:$D$964,AA$1,'Исходные данные'!$F$2:$F$964,$A4)</f>
        <v>0</v>
      </c>
      <c r="AC4" s="7" t="n">
        <v>0</v>
      </c>
      <c r="AD4" s="7" t="n">
        <v>0</v>
      </c>
      <c r="AE4" s="5" t="n">
        <f aca="false">SUMIFS('Исходные данные'!$I$2:$I$964,'Исходные данные'!$D$2:$D$964,AE$1,'Исходные данные'!$F$2:$F$964,$A4)</f>
        <v>0</v>
      </c>
      <c r="AF4" s="5" t="n">
        <f aca="false">SUMIFS('Исходные данные'!$J$2:$J$964,'Исходные данные'!$D$2:$D$964,AE$1,'Исходные данные'!$F$2:$F$964,$A4)</f>
        <v>0</v>
      </c>
      <c r="AG4" s="7" t="n">
        <v>4</v>
      </c>
      <c r="AH4" s="7" t="n">
        <v>0</v>
      </c>
      <c r="AI4" s="5" t="n">
        <f aca="false">SUMIFS('Исходные данные'!$I$2:$I$964,'Исходные данные'!$D$2:$D$964,AI$1,'Исходные данные'!$F$2:$F$964,$A4)</f>
        <v>2</v>
      </c>
      <c r="AJ4" s="5" t="n">
        <f aca="false">SUMIFS('Исходные данные'!$J$2:$J$964,'Исходные данные'!$D$2:$D$964,AI$1,'Исходные данные'!$F$2:$F$964,$A4)</f>
        <v>0</v>
      </c>
      <c r="AK4" s="7" t="n">
        <v>1</v>
      </c>
      <c r="AL4" s="7" t="n">
        <v>0</v>
      </c>
      <c r="AM4" s="5" t="n">
        <f aca="false">SUMIFS('Исходные данные'!$I$2:$I$964,'Исходные данные'!$D$2:$D$964,AM$1,'Исходные данные'!$F$2:$F$964,$A4)</f>
        <v>1</v>
      </c>
      <c r="AN4" s="5" t="n">
        <f aca="false">SUMIFS('Исходные данные'!$J$2:$J$964,'Исходные данные'!$D$2:$D$964,AM$1,'Исходные данные'!$F$2:$F$964,$A4)</f>
        <v>0</v>
      </c>
      <c r="AO4" s="7" t="n">
        <v>0</v>
      </c>
      <c r="AP4" s="7" t="n">
        <v>0</v>
      </c>
      <c r="AQ4" s="5" t="n">
        <f aca="false">SUMIFS('Исходные данные'!$I$2:$I$964,'Исходные данные'!$D$2:$D$964,AQ$1,'Исходные данные'!$F$2:$F$964,$A4)</f>
        <v>0</v>
      </c>
      <c r="AR4" s="5" t="n">
        <f aca="false">SUMIFS('Исходные данные'!$J$2:$J$964,'Исходные данные'!$D$2:$D$964,AQ$1,'Исходные данные'!$F$2:$F$964,$A4)</f>
        <v>0</v>
      </c>
      <c r="AS4" s="7" t="n">
        <v>0</v>
      </c>
      <c r="AT4" s="7" t="n">
        <v>0</v>
      </c>
      <c r="AU4" s="5" t="n">
        <f aca="false">SUMIFS('Исходные данные'!$I$2:$I$964,'Исходные данные'!$D$2:$D$964,AU$1,'Исходные данные'!$F$2:$F$964,$A4)</f>
        <v>0</v>
      </c>
      <c r="AV4" s="5" t="n">
        <f aca="false">SUMIFS('Исходные данные'!$J$2:$J$964,'Исходные данные'!$D$2:$D$964,AU$1,'Исходные данные'!$F$2:$F$964,$A4)</f>
        <v>0</v>
      </c>
      <c r="AW4" s="7" t="n">
        <v>0</v>
      </c>
      <c r="AX4" s="7" t="n">
        <v>0</v>
      </c>
      <c r="AY4" s="5" t="n">
        <f aca="false">SUMIFS('Исходные данные'!$I$2:$I$964,'Исходные данные'!$D$2:$D$964,AY$1,'Исходные данные'!$F$2:$F$964,$A4)</f>
        <v>0</v>
      </c>
      <c r="AZ4" s="5" t="n">
        <f aca="false">SUMIFS('Исходные данные'!$J$2:$J$964,'Исходные данные'!$D$2:$D$964,AY$1,'Исходные данные'!$F$2:$F$964,$A4)</f>
        <v>0</v>
      </c>
      <c r="BA4" s="7" t="n">
        <v>0</v>
      </c>
      <c r="BB4" s="7" t="n">
        <v>0</v>
      </c>
      <c r="BC4" s="5" t="n">
        <f aca="false">SUMIFS('Исходные данные'!$I$2:$I$964,'Исходные данные'!$D$2:$D$964,BC$1,'Исходные данные'!$F$2:$F$964,$A4)</f>
        <v>0</v>
      </c>
      <c r="BD4" s="5" t="n">
        <f aca="false">SUMIFS('Исходные данные'!$J$2:$J$964,'Исходные данные'!$D$2:$D$964,BC$1,'Исходные данные'!$F$2:$F$964,$A4)</f>
        <v>0</v>
      </c>
      <c r="BE4" s="7" t="n">
        <v>0</v>
      </c>
      <c r="BF4" s="7" t="n">
        <v>0</v>
      </c>
      <c r="BG4" s="5" t="n">
        <f aca="false">SUMIFS('Исходные данные'!$I$2:$I$964,'Исходные данные'!$D$2:$D$964,BG$1,'Исходные данные'!$F$2:$F$964,$A4)</f>
        <v>0</v>
      </c>
      <c r="BH4" s="5" t="n">
        <f aca="false">SUMIFS('Исходные данные'!$J$2:$J$964,'Исходные данные'!$D$2:$D$964,BG$1,'Исходные данные'!$F$2:$F$964,$A4)</f>
        <v>0</v>
      </c>
      <c r="BI4" s="7" t="n">
        <v>0</v>
      </c>
      <c r="BJ4" s="7" t="n">
        <v>0</v>
      </c>
      <c r="BK4" s="5" t="n">
        <f aca="false">SUMIFS('Исходные данные'!$I$2:$I$964,'Исходные данные'!$D$2:$D$964,BK$1,'Исходные данные'!$F$2:$F$964,$A4)</f>
        <v>0</v>
      </c>
      <c r="BL4" s="5" t="n">
        <f aca="false">SUMIFS('Исходные данные'!$J$2:$J$964,'Исходные данные'!$D$2:$D$964,BK$1,'Исходные данные'!$F$2:$F$964,$A4)</f>
        <v>0</v>
      </c>
      <c r="BM4" s="7" t="n">
        <v>0</v>
      </c>
      <c r="BN4" s="7" t="n">
        <v>0</v>
      </c>
      <c r="BO4" s="5" t="n">
        <f aca="false">SUMIFS('Исходные данные'!$I$2:$I$964,'Исходные данные'!$D$2:$D$964,BO$1,'Исходные данные'!$F$2:$F$964,$A4)</f>
        <v>0</v>
      </c>
      <c r="BP4" s="5" t="n">
        <f aca="false">SUMIFS('Исходные данные'!$J$2:$J$964,'Исходные данные'!$D$2:$D$964,BO$1,'Исходные данные'!$F$2:$F$964,$A4)</f>
        <v>0</v>
      </c>
      <c r="BQ4" s="7" t="n">
        <v>0</v>
      </c>
      <c r="BR4" s="7" t="n">
        <v>0</v>
      </c>
      <c r="BS4" s="5" t="n">
        <f aca="false">SUMIFS('Исходные данные'!$I$2:$I$964,'Исходные данные'!$D$2:$D$964,BS$1,'Исходные данные'!$F$2:$F$964,$A4)</f>
        <v>0</v>
      </c>
      <c r="BT4" s="5" t="n">
        <f aca="false">SUMIFS('Исходные данные'!$J$2:$J$964,'Исходные данные'!$D$2:$D$964,BS$1,'Исходные данные'!$F$2:$F$964,$A4)</f>
        <v>0</v>
      </c>
      <c r="BU4" s="7" t="n">
        <v>0</v>
      </c>
      <c r="BV4" s="7" t="n">
        <v>0</v>
      </c>
      <c r="BW4" s="5" t="n">
        <f aca="false">SUMIFS('Исходные данные'!$I$2:$I$964,'Исходные данные'!$D$2:$D$964,BW$1,'Исходные данные'!$F$2:$F$964,$A4)</f>
        <v>0</v>
      </c>
      <c r="BX4" s="5" t="n">
        <f aca="false">SUMIFS('Исходные данные'!$J$2:$J$964,'Исходные данные'!$D$2:$D$964,BW$1,'Исходные данные'!$F$2:$F$964,$A4)</f>
        <v>0</v>
      </c>
      <c r="BY4" s="7" t="n">
        <v>0</v>
      </c>
      <c r="BZ4" s="7" t="n">
        <v>0</v>
      </c>
      <c r="CA4" s="5" t="n">
        <f aca="false">SUMIFS('Исходные данные'!$I$2:$I$964,'Исходные данные'!$D$2:$D$964,CA$1,'Исходные данные'!$F$2:$F$964,$A4)</f>
        <v>0</v>
      </c>
      <c r="CB4" s="5" t="n">
        <f aca="false">SUMIFS('Исходные данные'!$J$2:$J$964,'Исходные данные'!$D$2:$D$964,CA$1,'Исходные данные'!$F$2:$F$964,$A4)</f>
        <v>0</v>
      </c>
      <c r="CC4" s="7" t="n">
        <v>0</v>
      </c>
      <c r="CD4" s="7" t="n">
        <v>0</v>
      </c>
      <c r="CE4" s="5" t="n">
        <f aca="false">SUMIFS('Исходные данные'!$I$2:$I$964,'Исходные данные'!$D$2:$D$964,CE$1,'Исходные данные'!$F$2:$F$964,$A4)</f>
        <v>0</v>
      </c>
      <c r="CF4" s="5" t="n">
        <f aca="false">SUMIFS('Исходные данные'!$J$2:$J$964,'Исходные данные'!$D$2:$D$964,CE$1,'Исходные данные'!$F$2:$F$964,$A4)</f>
        <v>0</v>
      </c>
      <c r="CG4" s="7" t="n">
        <v>0</v>
      </c>
      <c r="CH4" s="7" t="n">
        <v>0</v>
      </c>
      <c r="CI4" s="5" t="n">
        <f aca="false">SUMIFS('Исходные данные'!$I$2:$I$964,'Исходные данные'!$D$2:$D$964,CI$1,'Исходные данные'!$F$2:$F$964,$A4)</f>
        <v>0</v>
      </c>
      <c r="CJ4" s="5" t="n">
        <f aca="false">SUMIFS('Исходные данные'!$J$2:$J$964,'Исходные данные'!$D$2:$D$964,CI$1,'Исходные данные'!$F$2:$F$964,$A4)</f>
        <v>0</v>
      </c>
      <c r="CK4" s="7" t="n">
        <v>0</v>
      </c>
      <c r="CL4" s="7" t="n">
        <v>0</v>
      </c>
      <c r="CM4" s="5" t="n">
        <f aca="false">SUMIFS('Исходные данные'!$I$2:$I$964,'Исходные данные'!$D$2:$D$964,CM$1,'Исходные данные'!$F$2:$F$964,$A4)</f>
        <v>0</v>
      </c>
      <c r="CN4" s="5" t="n">
        <f aca="false">SUMIFS('Исходные данные'!$J$2:$J$964,'Исходные данные'!$D$2:$D$964,CM$1,'Исходные данные'!$F$2:$F$964,$A4)</f>
        <v>0</v>
      </c>
      <c r="CO4" s="7" t="n">
        <v>0</v>
      </c>
      <c r="CP4" s="7" t="n">
        <v>0</v>
      </c>
      <c r="CQ4" s="5" t="n">
        <f aca="false">SUMIFS('Исходные данные'!$I$2:$I$964,'Исходные данные'!$D$2:$D$964,CQ$1,'Исходные данные'!$F$2:$F$964,$A4)</f>
        <v>0</v>
      </c>
      <c r="CR4" s="5" t="n">
        <f aca="false">SUMIFS('Исходные данные'!$J$2:$J$964,'Исходные данные'!$D$2:$D$964,CQ$1,'Исходные данные'!$F$2:$F$964,$A4)</f>
        <v>0</v>
      </c>
      <c r="CS4" s="7" t="n">
        <v>0</v>
      </c>
      <c r="CT4" s="7" t="n">
        <v>0</v>
      </c>
      <c r="CU4" s="5" t="n">
        <f aca="false">SUMIFS('Исходные данные'!$I$2:$I$964,'Исходные данные'!$D$2:$D$964,CU$1,'Исходные данные'!$F$2:$F$964,$A4)</f>
        <v>0</v>
      </c>
      <c r="CV4" s="5" t="n">
        <f aca="false">SUMIFS('Исходные данные'!$J$2:$J$964,'Исходные данные'!$D$2:$D$964,CU$1,'Исходные данные'!$F$2:$F$964,$A4)</f>
        <v>0</v>
      </c>
      <c r="CW4" s="7" t="n">
        <v>0</v>
      </c>
      <c r="CX4" s="7" t="n">
        <v>0</v>
      </c>
      <c r="CY4" s="5" t="n">
        <f aca="false">SUMIFS('Исходные данные'!$I$2:$I$964,'Исходные данные'!$D$2:$D$964,CY$1,'Исходные данные'!$F$2:$F$964,$A4)</f>
        <v>0</v>
      </c>
      <c r="CZ4" s="5" t="n">
        <f aca="false">SUMIFS('Исходные данные'!$J$2:$J$964,'Исходные данные'!$D$2:$D$964,CY$1,'Исходные данные'!$F$2:$F$964,$A4)</f>
        <v>0</v>
      </c>
      <c r="DA4" s="7" t="n">
        <v>0</v>
      </c>
      <c r="DB4" s="7" t="n">
        <v>0</v>
      </c>
      <c r="DC4" s="5" t="n">
        <f aca="false">SUMIFS('Исходные данные'!$I$2:$I$964,'Исходные данные'!$D$2:$D$964,DC$1,'Исходные данные'!$F$2:$F$964,$A4)</f>
        <v>0</v>
      </c>
      <c r="DD4" s="5" t="n">
        <f aca="false">SUMIFS('Исходные данные'!$J$2:$J$964,'Исходные данные'!$D$2:$D$964,DC$1,'Исходные данные'!$F$2:$F$964,$A4)</f>
        <v>0</v>
      </c>
      <c r="DE4" s="7" t="n">
        <v>0</v>
      </c>
      <c r="DF4" s="7" t="n">
        <v>0</v>
      </c>
      <c r="DG4" s="5" t="n">
        <f aca="false">SUMIFS('Исходные данные'!$I$2:$I$964,'Исходные данные'!$D$2:$D$964,DG$1,'Исходные данные'!$F$2:$F$964,$A4)</f>
        <v>0</v>
      </c>
      <c r="DH4" s="5" t="n">
        <f aca="false">SUMIFS('Исходные данные'!$J$2:$J$964,'Исходные данные'!$D$2:$D$964,DG$1,'Исходные данные'!$F$2:$F$964,$A4)</f>
        <v>0</v>
      </c>
      <c r="DI4" s="7" t="n">
        <v>0</v>
      </c>
      <c r="DJ4" s="7" t="n">
        <v>0</v>
      </c>
      <c r="DK4" s="5" t="n">
        <f aca="false">SUMIFS('Исходные данные'!$I$2:$I$964,'Исходные данные'!$D$2:$D$964,DK$1,'Исходные данные'!$F$2:$F$964,$A4)</f>
        <v>0</v>
      </c>
      <c r="DL4" s="5" t="n">
        <f aca="false">SUMIFS('Исходные данные'!$J$2:$J$964,'Исходные данные'!$D$2:$D$964,DK$1,'Исходные данные'!$F$2:$F$964,$A4)</f>
        <v>0</v>
      </c>
      <c r="DM4" s="7" t="n">
        <v>0</v>
      </c>
      <c r="DN4" s="7" t="n">
        <v>0</v>
      </c>
      <c r="DO4" s="5" t="n">
        <f aca="false">SUMIFS('Исходные данные'!$I$2:$I$964,'Исходные данные'!$D$2:$D$964,DO$1,'Исходные данные'!$F$2:$F$964,$A4)</f>
        <v>0</v>
      </c>
      <c r="DP4" s="5" t="n">
        <f aca="false">SUMIFS('Исходные данные'!$J$2:$J$964,'Исходные данные'!$D$2:$D$964,DO$1,'Исходные данные'!$F$2:$F$964,$A4)</f>
        <v>0</v>
      </c>
      <c r="DQ4" s="7" t="n">
        <v>0</v>
      </c>
      <c r="DR4" s="7" t="n">
        <v>0</v>
      </c>
      <c r="DS4" s="5" t="n">
        <f aca="false">SUMIFS('Исходные данные'!$I$2:$I$964,'Исходные данные'!$D$2:$D$964,DS$1,'Исходные данные'!$F$2:$F$964,$A4)</f>
        <v>0</v>
      </c>
      <c r="DT4" s="5" t="n">
        <f aca="false">SUMIFS('Исходные данные'!$J$2:$J$964,'Исходные данные'!$D$2:$D$964,DS$1,'Исходные данные'!$F$2:$F$964,$A4)</f>
        <v>0</v>
      </c>
      <c r="DU4" s="7" t="n">
        <v>0</v>
      </c>
      <c r="DV4" s="7" t="n">
        <v>0</v>
      </c>
      <c r="DW4" s="5" t="n">
        <f aca="false">SUMIFS('Исходные данные'!$I$2:$I$964,'Исходные данные'!$D$2:$D$964,DW$1,'Исходные данные'!$F$2:$F$964,$A4)</f>
        <v>0</v>
      </c>
      <c r="DX4" s="5" t="n">
        <f aca="false">SUMIFS('Исходные данные'!$J$2:$J$964,'Исходные данные'!$D$2:$D$964,DW$1,'Исходные данные'!$F$2:$F$964,$A4)</f>
        <v>0</v>
      </c>
      <c r="DY4" s="7" t="n">
        <v>0</v>
      </c>
      <c r="DZ4" s="7" t="n">
        <v>0</v>
      </c>
      <c r="EA4" s="5" t="n">
        <f aca="false">SUMIFS('Исходные данные'!$I$2:$I$964,'Исходные данные'!$D$2:$D$964,EA$1,'Исходные данные'!$F$2:$F$964,$A4)</f>
        <v>0</v>
      </c>
      <c r="EB4" s="5" t="n">
        <f aca="false">SUMIFS('Исходные данные'!$J$2:$J$964,'Исходные данные'!$D$2:$D$964,EA$1,'Исходные данные'!$F$2:$F$964,$A4)</f>
        <v>0</v>
      </c>
      <c r="EC4" s="7" t="n">
        <v>0</v>
      </c>
      <c r="ED4" s="7" t="n">
        <v>0</v>
      </c>
      <c r="EE4" s="5" t="n">
        <f aca="false">SUMIFS('Исходные данные'!$I$2:$I$964,'Исходные данные'!$D$2:$D$964,EE$1,'Исходные данные'!$F$2:$F$964,$A4)</f>
        <v>0</v>
      </c>
      <c r="EF4" s="5" t="n">
        <f aca="false">SUMIFS('Исходные данные'!$J$2:$J$964,'Исходные данные'!$D$2:$D$964,EE$1,'Исходные данные'!$F$2:$F$964,$A4)</f>
        <v>0</v>
      </c>
      <c r="EG4" s="7" t="n">
        <v>0</v>
      </c>
      <c r="EH4" s="7" t="n">
        <v>0</v>
      </c>
      <c r="EI4" s="5" t="n">
        <f aca="false">SUMIFS('Исходные данные'!$I$2:$I$964,'Исходные данные'!$D$2:$D$964,EI$1,'Исходные данные'!$F$2:$F$964,$A4)</f>
        <v>0</v>
      </c>
      <c r="EJ4" s="5" t="n">
        <f aca="false">SUMIFS('Исходные данные'!$J$2:$J$964,'Исходные данные'!$D$2:$D$964,EI$1,'Исходные данные'!$F$2:$F$964,$A4)</f>
        <v>0</v>
      </c>
      <c r="EK4" s="7" t="n">
        <v>0</v>
      </c>
      <c r="EL4" s="7" t="n">
        <v>0</v>
      </c>
      <c r="EM4" s="5" t="n">
        <f aca="false">SUMIFS('Исходные данные'!$I$2:$I$964,'Исходные данные'!$D$2:$D$964,EM$1,'Исходные данные'!$F$2:$F$964,$A4)</f>
        <v>0</v>
      </c>
      <c r="EN4" s="5" t="n">
        <f aca="false">SUMIFS('Исходные данные'!$J$2:$J$964,'Исходные данные'!$D$2:$D$964,EM$1,'Исходные данные'!$F$2:$F$964,$A4)</f>
        <v>0</v>
      </c>
      <c r="EO4" s="7" t="n">
        <v>0</v>
      </c>
      <c r="EP4" s="7" t="n">
        <v>0</v>
      </c>
      <c r="EQ4" s="5" t="n">
        <f aca="false">SUMIFS('Исходные данные'!$I$2:$I$964,'Исходные данные'!$D$2:$D$964,EQ$1,'Исходные данные'!$F$2:$F$964,$A4)</f>
        <v>0</v>
      </c>
      <c r="ER4" s="5" t="n">
        <f aca="false">SUMIFS('Исходные данные'!$J$2:$J$964,'Исходные данные'!$D$2:$D$964,EQ$1,'Исходные данные'!$F$2:$F$964,$A4)</f>
        <v>0</v>
      </c>
      <c r="ES4" s="7" t="n">
        <v>0</v>
      </c>
      <c r="ET4" s="7" t="n">
        <v>0</v>
      </c>
      <c r="EU4" s="5" t="n">
        <f aca="false">SUMIFS('Исходные данные'!$I$2:$I$964,'Исходные данные'!$D$2:$D$964,EU$1,'Исходные данные'!$F$2:$F$964,$A4)</f>
        <v>0</v>
      </c>
      <c r="EV4" s="5" t="n">
        <f aca="false">SUMIFS('Исходные данные'!$J$2:$J$964,'Исходные данные'!$D$2:$D$964,EU$1,'Исходные данные'!$F$2:$F$964,$A4)</f>
        <v>0</v>
      </c>
      <c r="EW4" s="7" t="n">
        <v>0</v>
      </c>
      <c r="EX4" s="7" t="n">
        <v>0</v>
      </c>
      <c r="EY4" s="5" t="n">
        <f aca="false">SUMIFS('Исходные данные'!$I$2:$I$964,'Исходные данные'!$D$2:$D$964,EY$1,'Исходные данные'!$F$2:$F$964,$A4)</f>
        <v>0</v>
      </c>
      <c r="EZ4" s="5" t="n">
        <f aca="false">SUMIFS('Исходные данные'!$J$2:$J$964,'Исходные данные'!$D$2:$D$964,EY$1,'Исходные данные'!$F$2:$F$964,$A4)</f>
        <v>0</v>
      </c>
      <c r="FA4" s="7" t="n">
        <v>0</v>
      </c>
      <c r="FB4" s="7" t="n">
        <v>0</v>
      </c>
      <c r="FC4" s="5" t="n">
        <f aca="false">SUMIFS('Исходные данные'!$I$2:$I$964,'Исходные данные'!$D$2:$D$964,FC$1,'Исходные данные'!$F$2:$F$964,$A4)</f>
        <v>0</v>
      </c>
      <c r="FD4" s="5" t="n">
        <f aca="false">SUMIFS('Исходные данные'!$J$2:$J$964,'Исходные данные'!$D$2:$D$964,FC$1,'Исходные данные'!$F$2:$F$964,$A4)</f>
        <v>0</v>
      </c>
      <c r="FE4" s="7" t="n">
        <v>0</v>
      </c>
      <c r="FF4" s="7" t="n">
        <v>0</v>
      </c>
      <c r="FG4" s="5" t="n">
        <f aca="false">SUMIFS('Исходные данные'!$I$2:$I$964,'Исходные данные'!$D$2:$D$964,FG$1,'Исходные данные'!$F$2:$F$964,$A4)</f>
        <v>0</v>
      </c>
      <c r="FH4" s="5" t="n">
        <f aca="false">SUMIFS('Исходные данные'!$J$2:$J$964,'Исходные данные'!$D$2:$D$964,FG$1,'Исходные данные'!$F$2:$F$964,$A4)</f>
        <v>0</v>
      </c>
    </row>
    <row r="5" customFormat="false" ht="15" hidden="false" customHeight="false" outlineLevel="0" collapsed="false">
      <c r="A5" s="4" t="s">
        <v>53</v>
      </c>
      <c r="B5" s="5" t="s">
        <v>54</v>
      </c>
      <c r="C5" s="6" t="n">
        <v>15</v>
      </c>
      <c r="D5" s="6" t="n">
        <f aca="false">I5+J5+M5+N5+Q5+R5+U5+V5+Y5+Z5+AC5+AD5+AG5+AH5+AK5+AL5+AO5+AP5+AS5+AT5+AW5+AX5+BA5+BB5+BE5+BF5+BI5+BJ5+BM5+BN5+BQ5+BR5+BU5+BV5+BY5+BZ5+CC5+CD5+CG5+CH5+CK5+CL5+CO5+CP5+CS5+CT5+CW5+CX5+DA5+DB5+DE5+DF5+DI5+DJ5+DM5+DN5+DQ5+DR5+DU5+DV5+DY5+DZ5+EC5+ED5+EG5+EH5+EK5+EL5+EO5+EP5+ES5+ET5+EW5+EX5+FA5+FB5+FE5+FF5</f>
        <v>15</v>
      </c>
      <c r="E5" s="6" t="n">
        <f aca="false">G5+H5</f>
        <v>13</v>
      </c>
      <c r="F5" s="6" t="n">
        <f aca="false">E5-C5</f>
        <v>-2</v>
      </c>
      <c r="G5" s="6" t="n">
        <f aca="false">K5+O5+S5+W5+AA5+AE5+AI5+AM5+AQ5+AU5+AY5+BC5+BG5+BK5+BO5+BS5+BW5+CA5+CE5+CI5+CM5+CQ5+CU5+CY5+DC5+DG5+DK5+DO5+DS5+DW5+EA5+EE5+EI5+EM5+EQ5+EU5+EY5+FC5+FG5</f>
        <v>7</v>
      </c>
      <c r="H5" s="6" t="n">
        <f aca="false">L5+P5+T5+X5+AB5+AF5+AJ5+AN5+AR5+AV5+AZ5+BD5+BH5+BL5+BP5+BT5+BX5+CB5+CF5+CJ5+CN5+CR5+CV5+CZ5+DD5+DH5+DL5+DP5+DT5+DX5+EB5+EF5+EJ5+EN5+ER5+EV5+EZ5+FD5+FH5</f>
        <v>6</v>
      </c>
      <c r="I5" s="7" t="n">
        <v>2</v>
      </c>
      <c r="J5" s="7" t="n">
        <v>2</v>
      </c>
      <c r="K5" s="5" t="n">
        <f aca="false">SUMIFS('Исходные данные'!$I$2:$I$964,'Исходные данные'!$D$2:$D$964,K$1,'Исходные данные'!$F$2:$F$964,$A5)</f>
        <v>2</v>
      </c>
      <c r="L5" s="5" t="n">
        <f aca="false">SUMIFS('Исходные данные'!$J$2:$J$964,'Исходные данные'!$D$2:$D$964,K$1,'Исходные данные'!$F$2:$F$964,$A5)</f>
        <v>2</v>
      </c>
      <c r="M5" s="7" t="n">
        <v>1</v>
      </c>
      <c r="N5" s="7" t="n">
        <v>0</v>
      </c>
      <c r="O5" s="5" t="n">
        <f aca="false">SUMIFS('Исходные данные'!$I$2:$I$964,'Исходные данные'!$D$2:$D$964,O$1,'Исходные данные'!$F$2:$F$964,$A5)</f>
        <v>1</v>
      </c>
      <c r="P5" s="5" t="n">
        <f aca="false">SUMIFS('Исходные данные'!$J$2:$J$964,'Исходные данные'!$D$2:$D$964,O$1,'Исходные данные'!$F$2:$F$964,$A5)</f>
        <v>0</v>
      </c>
      <c r="Q5" s="7" t="n">
        <v>2</v>
      </c>
      <c r="R5" s="7" t="n">
        <v>1</v>
      </c>
      <c r="S5" s="5" t="n">
        <f aca="false">SUMIFS('Исходные данные'!$I$2:$I$964,'Исходные данные'!$D$2:$D$964,S$1,'Исходные данные'!$F$2:$F$964,$A5)</f>
        <v>2</v>
      </c>
      <c r="T5" s="5" t="n">
        <f aca="false">SUMIFS('Исходные данные'!$J$2:$J$964,'Исходные данные'!$D$2:$D$964,S$1,'Исходные данные'!$F$2:$F$964,$A5)</f>
        <v>1</v>
      </c>
      <c r="U5" s="7" t="n">
        <v>0</v>
      </c>
      <c r="V5" s="7" t="n">
        <v>0</v>
      </c>
      <c r="W5" s="5" t="n">
        <f aca="false">SUMIFS('Исходные данные'!$I$2:$I$964,'Исходные данные'!$D$2:$D$964,W$1,'Исходные данные'!$F$2:$F$964,$A5)</f>
        <v>0</v>
      </c>
      <c r="X5" s="5" t="n">
        <f aca="false">SUMIFS('Исходные данные'!$J$2:$J$964,'Исходные данные'!$D$2:$D$964,W$1,'Исходные данные'!$F$2:$F$964,$A5)</f>
        <v>0</v>
      </c>
      <c r="Y5" s="7" t="n">
        <v>0</v>
      </c>
      <c r="Z5" s="7" t="n">
        <v>0</v>
      </c>
      <c r="AA5" s="5" t="n">
        <f aca="false">SUMIFS('Исходные данные'!$I$2:$I$964,'Исходные данные'!$D$2:$D$964,AA$1,'Исходные данные'!$F$2:$F$964,$A5)</f>
        <v>0</v>
      </c>
      <c r="AB5" s="5" t="n">
        <f aca="false">SUMIFS('Исходные данные'!$J$2:$J$964,'Исходные данные'!$D$2:$D$964,AA$1,'Исходные данные'!$F$2:$F$964,$A5)</f>
        <v>0</v>
      </c>
      <c r="AC5" s="7" t="n">
        <v>0</v>
      </c>
      <c r="AD5" s="7" t="n">
        <v>0</v>
      </c>
      <c r="AE5" s="5" t="n">
        <f aca="false">SUMIFS('Исходные данные'!$I$2:$I$964,'Исходные данные'!$D$2:$D$964,AE$1,'Исходные данные'!$F$2:$F$964,$A5)</f>
        <v>0</v>
      </c>
      <c r="AF5" s="5" t="n">
        <f aca="false">SUMIFS('Исходные данные'!$J$2:$J$964,'Исходные данные'!$D$2:$D$964,AE$1,'Исходные данные'!$F$2:$F$964,$A5)</f>
        <v>0</v>
      </c>
      <c r="AG5" s="7" t="n">
        <v>0</v>
      </c>
      <c r="AH5" s="7" t="n">
        <v>0</v>
      </c>
      <c r="AI5" s="5" t="n">
        <f aca="false">SUMIFS('Исходные данные'!$I$2:$I$964,'Исходные данные'!$D$2:$D$964,AI$1,'Исходные данные'!$F$2:$F$964,$A5)</f>
        <v>0</v>
      </c>
      <c r="AJ5" s="5" t="n">
        <f aca="false">SUMIFS('Исходные данные'!$J$2:$J$964,'Исходные данные'!$D$2:$D$964,AI$1,'Исходные данные'!$F$2:$F$964,$A5)</f>
        <v>0</v>
      </c>
      <c r="AK5" s="7" t="n">
        <v>0</v>
      </c>
      <c r="AL5" s="7" t="n">
        <v>0</v>
      </c>
      <c r="AM5" s="5" t="n">
        <f aca="false">SUMIFS('Исходные данные'!$I$2:$I$964,'Исходные данные'!$D$2:$D$964,AM$1,'Исходные данные'!$F$2:$F$964,$A5)</f>
        <v>0</v>
      </c>
      <c r="AN5" s="5" t="n">
        <f aca="false">SUMIFS('Исходные данные'!$J$2:$J$964,'Исходные данные'!$D$2:$D$964,AM$1,'Исходные данные'!$F$2:$F$964,$A5)</f>
        <v>0</v>
      </c>
      <c r="AO5" s="7" t="n">
        <v>1</v>
      </c>
      <c r="AP5" s="7" t="n">
        <v>0</v>
      </c>
      <c r="AQ5" s="5" t="n">
        <f aca="false">SUMIFS('Исходные данные'!$I$2:$I$964,'Исходные данные'!$D$2:$D$964,AQ$1,'Исходные данные'!$F$2:$F$964,$A5)</f>
        <v>1</v>
      </c>
      <c r="AR5" s="5" t="n">
        <f aca="false">SUMIFS('Исходные данные'!$J$2:$J$964,'Исходные данные'!$D$2:$D$964,AQ$1,'Исходные данные'!$F$2:$F$964,$A5)</f>
        <v>0</v>
      </c>
      <c r="AS5" s="7" t="n">
        <v>0</v>
      </c>
      <c r="AT5" s="7" t="n">
        <v>0</v>
      </c>
      <c r="AU5" s="5" t="n">
        <f aca="false">SUMIFS('Исходные данные'!$I$2:$I$964,'Исходные данные'!$D$2:$D$964,AU$1,'Исходные данные'!$F$2:$F$964,$A5)</f>
        <v>0</v>
      </c>
      <c r="AV5" s="5" t="n">
        <f aca="false">SUMIFS('Исходные данные'!$J$2:$J$964,'Исходные данные'!$D$2:$D$964,AU$1,'Исходные данные'!$F$2:$F$964,$A5)</f>
        <v>0</v>
      </c>
      <c r="AW5" s="7" t="n">
        <v>0</v>
      </c>
      <c r="AX5" s="7" t="n">
        <v>0</v>
      </c>
      <c r="AY5" s="5" t="n">
        <f aca="false">SUMIFS('Исходные данные'!$I$2:$I$964,'Исходные данные'!$D$2:$D$964,AY$1,'Исходные данные'!$F$2:$F$964,$A5)</f>
        <v>0</v>
      </c>
      <c r="AZ5" s="5" t="n">
        <f aca="false">SUMIFS('Исходные данные'!$J$2:$J$964,'Исходные данные'!$D$2:$D$964,AY$1,'Исходные данные'!$F$2:$F$964,$A5)</f>
        <v>0</v>
      </c>
      <c r="BA5" s="7" t="n">
        <v>0</v>
      </c>
      <c r="BB5" s="7" t="n">
        <v>0</v>
      </c>
      <c r="BC5" s="5" t="n">
        <f aca="false">SUMIFS('Исходные данные'!$I$2:$I$964,'Исходные данные'!$D$2:$D$964,BC$1,'Исходные данные'!$F$2:$F$964,$A5)</f>
        <v>0</v>
      </c>
      <c r="BD5" s="5" t="n">
        <f aca="false">SUMIFS('Исходные данные'!$J$2:$J$964,'Исходные данные'!$D$2:$D$964,BC$1,'Исходные данные'!$F$2:$F$964,$A5)</f>
        <v>0</v>
      </c>
      <c r="BE5" s="7" t="n">
        <v>0</v>
      </c>
      <c r="BF5" s="7" t="n">
        <v>0</v>
      </c>
      <c r="BG5" s="5" t="n">
        <f aca="false">SUMIFS('Исходные данные'!$I$2:$I$964,'Исходные данные'!$D$2:$D$964,BG$1,'Исходные данные'!$F$2:$F$964,$A5)</f>
        <v>0</v>
      </c>
      <c r="BH5" s="5" t="n">
        <f aca="false">SUMIFS('Исходные данные'!$J$2:$J$964,'Исходные данные'!$D$2:$D$964,BG$1,'Исходные данные'!$F$2:$F$964,$A5)</f>
        <v>0</v>
      </c>
      <c r="BI5" s="7" t="n">
        <v>2</v>
      </c>
      <c r="BJ5" s="7" t="n">
        <v>2</v>
      </c>
      <c r="BK5" s="5" t="n">
        <f aca="false">SUMIFS('Исходные данные'!$I$2:$I$964,'Исходные данные'!$D$2:$D$964,BK$1,'Исходные данные'!$F$2:$F$964,$A5)</f>
        <v>1</v>
      </c>
      <c r="BL5" s="5" t="n">
        <f aca="false">SUMIFS('Исходные данные'!$J$2:$J$964,'Исходные данные'!$D$2:$D$964,BK$1,'Исходные данные'!$F$2:$F$964,$A5)</f>
        <v>2</v>
      </c>
      <c r="BM5" s="7" t="n">
        <v>1</v>
      </c>
      <c r="BN5" s="7" t="n">
        <v>1</v>
      </c>
      <c r="BO5" s="5" t="n">
        <f aca="false">SUMIFS('Исходные данные'!$I$2:$I$964,'Исходные данные'!$D$2:$D$964,BO$1,'Исходные данные'!$F$2:$F$964,$A5)</f>
        <v>0</v>
      </c>
      <c r="BP5" s="5" t="n">
        <f aca="false">SUMIFS('Исходные данные'!$J$2:$J$964,'Исходные данные'!$D$2:$D$964,BO$1,'Исходные данные'!$F$2:$F$964,$A5)</f>
        <v>1</v>
      </c>
      <c r="BQ5" s="7" t="n">
        <v>0</v>
      </c>
      <c r="BR5" s="7" t="n">
        <v>0</v>
      </c>
      <c r="BS5" s="5" t="n">
        <f aca="false">SUMIFS('Исходные данные'!$I$2:$I$964,'Исходные данные'!$D$2:$D$964,BS$1,'Исходные данные'!$F$2:$F$964,$A5)</f>
        <v>0</v>
      </c>
      <c r="BT5" s="5" t="n">
        <f aca="false">SUMIFS('Исходные данные'!$J$2:$J$964,'Исходные данные'!$D$2:$D$964,BS$1,'Исходные данные'!$F$2:$F$964,$A5)</f>
        <v>0</v>
      </c>
      <c r="BU5" s="7" t="n">
        <v>0</v>
      </c>
      <c r="BV5" s="7" t="n">
        <v>0</v>
      </c>
      <c r="BW5" s="5" t="n">
        <f aca="false">SUMIFS('Исходные данные'!$I$2:$I$964,'Исходные данные'!$D$2:$D$964,BW$1,'Исходные данные'!$F$2:$F$964,$A5)</f>
        <v>0</v>
      </c>
      <c r="BX5" s="5" t="n">
        <f aca="false">SUMIFS('Исходные данные'!$J$2:$J$964,'Исходные данные'!$D$2:$D$964,BW$1,'Исходные данные'!$F$2:$F$964,$A5)</f>
        <v>0</v>
      </c>
      <c r="BY5" s="7" t="n">
        <v>0</v>
      </c>
      <c r="BZ5" s="7" t="n">
        <v>0</v>
      </c>
      <c r="CA5" s="5" t="n">
        <f aca="false">SUMIFS('Исходные данные'!$I$2:$I$964,'Исходные данные'!$D$2:$D$964,CA$1,'Исходные данные'!$F$2:$F$964,$A5)</f>
        <v>0</v>
      </c>
      <c r="CB5" s="5" t="n">
        <f aca="false">SUMIFS('Исходные данные'!$J$2:$J$964,'Исходные данные'!$D$2:$D$964,CA$1,'Исходные данные'!$F$2:$F$964,$A5)</f>
        <v>0</v>
      </c>
      <c r="CC5" s="7" t="n">
        <v>0</v>
      </c>
      <c r="CD5" s="7" t="n">
        <v>0</v>
      </c>
      <c r="CE5" s="5" t="n">
        <f aca="false">SUMIFS('Исходные данные'!$I$2:$I$964,'Исходные данные'!$D$2:$D$964,CE$1,'Исходные данные'!$F$2:$F$964,$A5)</f>
        <v>0</v>
      </c>
      <c r="CF5" s="5" t="n">
        <f aca="false">SUMIFS('Исходные данные'!$J$2:$J$964,'Исходные данные'!$D$2:$D$964,CE$1,'Исходные данные'!$F$2:$F$964,$A5)</f>
        <v>0</v>
      </c>
      <c r="CG5" s="7" t="n">
        <v>0</v>
      </c>
      <c r="CH5" s="7" t="n">
        <v>0</v>
      </c>
      <c r="CI5" s="5" t="n">
        <f aca="false">SUMIFS('Исходные данные'!$I$2:$I$964,'Исходные данные'!$D$2:$D$964,CI$1,'Исходные данные'!$F$2:$F$964,$A5)</f>
        <v>0</v>
      </c>
      <c r="CJ5" s="5" t="n">
        <f aca="false">SUMIFS('Исходные данные'!$J$2:$J$964,'Исходные данные'!$D$2:$D$964,CI$1,'Исходные данные'!$F$2:$F$964,$A5)</f>
        <v>0</v>
      </c>
      <c r="CK5" s="7" t="n">
        <v>0</v>
      </c>
      <c r="CL5" s="7" t="n">
        <v>0</v>
      </c>
      <c r="CM5" s="5" t="n">
        <f aca="false">SUMIFS('Исходные данные'!$I$2:$I$964,'Исходные данные'!$D$2:$D$964,CM$1,'Исходные данные'!$F$2:$F$964,$A5)</f>
        <v>0</v>
      </c>
      <c r="CN5" s="5" t="n">
        <f aca="false">SUMIFS('Исходные данные'!$J$2:$J$964,'Исходные данные'!$D$2:$D$964,CM$1,'Исходные данные'!$F$2:$F$964,$A5)</f>
        <v>0</v>
      </c>
      <c r="CO5" s="7" t="n">
        <v>0</v>
      </c>
      <c r="CP5" s="7" t="n">
        <v>0</v>
      </c>
      <c r="CQ5" s="5" t="n">
        <f aca="false">SUMIFS('Исходные данные'!$I$2:$I$964,'Исходные данные'!$D$2:$D$964,CQ$1,'Исходные данные'!$F$2:$F$964,$A5)</f>
        <v>0</v>
      </c>
      <c r="CR5" s="5" t="n">
        <f aca="false">SUMIFS('Исходные данные'!$J$2:$J$964,'Исходные данные'!$D$2:$D$964,CQ$1,'Исходные данные'!$F$2:$F$964,$A5)</f>
        <v>0</v>
      </c>
      <c r="CS5" s="7" t="n">
        <v>0</v>
      </c>
      <c r="CT5" s="7" t="n">
        <v>0</v>
      </c>
      <c r="CU5" s="5" t="n">
        <f aca="false">SUMIFS('Исходные данные'!$I$2:$I$964,'Исходные данные'!$D$2:$D$964,CU$1,'Исходные данные'!$F$2:$F$964,$A5)</f>
        <v>0</v>
      </c>
      <c r="CV5" s="5" t="n">
        <f aca="false">SUMIFS('Исходные данные'!$J$2:$J$964,'Исходные данные'!$D$2:$D$964,CU$1,'Исходные данные'!$F$2:$F$964,$A5)</f>
        <v>0</v>
      </c>
      <c r="CW5" s="7" t="n">
        <v>0</v>
      </c>
      <c r="CX5" s="7" t="n">
        <v>0</v>
      </c>
      <c r="CY5" s="5" t="n">
        <f aca="false">SUMIFS('Исходные данные'!$I$2:$I$964,'Исходные данные'!$D$2:$D$964,CY$1,'Исходные данные'!$F$2:$F$964,$A5)</f>
        <v>0</v>
      </c>
      <c r="CZ5" s="5" t="n">
        <f aca="false">SUMIFS('Исходные данные'!$J$2:$J$964,'Исходные данные'!$D$2:$D$964,CY$1,'Исходные данные'!$F$2:$F$964,$A5)</f>
        <v>0</v>
      </c>
      <c r="DA5" s="7" t="n">
        <v>0</v>
      </c>
      <c r="DB5" s="7" t="n">
        <v>0</v>
      </c>
      <c r="DC5" s="5" t="n">
        <f aca="false">SUMIFS('Исходные данные'!$I$2:$I$964,'Исходные данные'!$D$2:$D$964,DC$1,'Исходные данные'!$F$2:$F$964,$A5)</f>
        <v>0</v>
      </c>
      <c r="DD5" s="5" t="n">
        <f aca="false">SUMIFS('Исходные данные'!$J$2:$J$964,'Исходные данные'!$D$2:$D$964,DC$1,'Исходные данные'!$F$2:$F$964,$A5)</f>
        <v>0</v>
      </c>
      <c r="DE5" s="7" t="n">
        <v>0</v>
      </c>
      <c r="DF5" s="7" t="n">
        <v>0</v>
      </c>
      <c r="DG5" s="5" t="n">
        <f aca="false">SUMIFS('Исходные данные'!$I$2:$I$964,'Исходные данные'!$D$2:$D$964,DG$1,'Исходные данные'!$F$2:$F$964,$A5)</f>
        <v>0</v>
      </c>
      <c r="DH5" s="5" t="n">
        <f aca="false">SUMIFS('Исходные данные'!$J$2:$J$964,'Исходные данные'!$D$2:$D$964,DG$1,'Исходные данные'!$F$2:$F$964,$A5)</f>
        <v>0</v>
      </c>
      <c r="DI5" s="7" t="n">
        <v>0</v>
      </c>
      <c r="DJ5" s="7" t="n">
        <v>0</v>
      </c>
      <c r="DK5" s="5" t="n">
        <f aca="false">SUMIFS('Исходные данные'!$I$2:$I$964,'Исходные данные'!$D$2:$D$964,DK$1,'Исходные данные'!$F$2:$F$964,$A5)</f>
        <v>0</v>
      </c>
      <c r="DL5" s="5" t="n">
        <f aca="false">SUMIFS('Исходные данные'!$J$2:$J$964,'Исходные данные'!$D$2:$D$964,DK$1,'Исходные данные'!$F$2:$F$964,$A5)</f>
        <v>0</v>
      </c>
      <c r="DM5" s="7" t="n">
        <v>0</v>
      </c>
      <c r="DN5" s="7" t="n">
        <v>0</v>
      </c>
      <c r="DO5" s="5" t="n">
        <f aca="false">SUMIFS('Исходные данные'!$I$2:$I$964,'Исходные данные'!$D$2:$D$964,DO$1,'Исходные данные'!$F$2:$F$964,$A5)</f>
        <v>0</v>
      </c>
      <c r="DP5" s="5" t="n">
        <f aca="false">SUMIFS('Исходные данные'!$J$2:$J$964,'Исходные данные'!$D$2:$D$964,DO$1,'Исходные данные'!$F$2:$F$964,$A5)</f>
        <v>0</v>
      </c>
      <c r="DQ5" s="7" t="n">
        <v>0</v>
      </c>
      <c r="DR5" s="7" t="n">
        <v>0</v>
      </c>
      <c r="DS5" s="5" t="n">
        <f aca="false">SUMIFS('Исходные данные'!$I$2:$I$964,'Исходные данные'!$D$2:$D$964,DS$1,'Исходные данные'!$F$2:$F$964,$A5)</f>
        <v>0</v>
      </c>
      <c r="DT5" s="5" t="n">
        <f aca="false">SUMIFS('Исходные данные'!$J$2:$J$964,'Исходные данные'!$D$2:$D$964,DS$1,'Исходные данные'!$F$2:$F$964,$A5)</f>
        <v>0</v>
      </c>
      <c r="DU5" s="7" t="n">
        <v>0</v>
      </c>
      <c r="DV5" s="7" t="n">
        <v>0</v>
      </c>
      <c r="DW5" s="5" t="n">
        <f aca="false">SUMIFS('Исходные данные'!$I$2:$I$964,'Исходные данные'!$D$2:$D$964,DW$1,'Исходные данные'!$F$2:$F$964,$A5)</f>
        <v>0</v>
      </c>
      <c r="DX5" s="5" t="n">
        <f aca="false">SUMIFS('Исходные данные'!$J$2:$J$964,'Исходные данные'!$D$2:$D$964,DW$1,'Исходные данные'!$F$2:$F$964,$A5)</f>
        <v>0</v>
      </c>
      <c r="DY5" s="7" t="n">
        <v>0</v>
      </c>
      <c r="DZ5" s="7" t="n">
        <v>0</v>
      </c>
      <c r="EA5" s="5" t="n">
        <f aca="false">SUMIFS('Исходные данные'!$I$2:$I$964,'Исходные данные'!$D$2:$D$964,EA$1,'Исходные данные'!$F$2:$F$964,$A5)</f>
        <v>0</v>
      </c>
      <c r="EB5" s="5" t="n">
        <f aca="false">SUMIFS('Исходные данные'!$J$2:$J$964,'Исходные данные'!$D$2:$D$964,EA$1,'Исходные данные'!$F$2:$F$964,$A5)</f>
        <v>0</v>
      </c>
      <c r="EC5" s="7" t="n">
        <v>0</v>
      </c>
      <c r="ED5" s="7" t="n">
        <v>0</v>
      </c>
      <c r="EE5" s="5" t="n">
        <f aca="false">SUMIFS('Исходные данные'!$I$2:$I$964,'Исходные данные'!$D$2:$D$964,EE$1,'Исходные данные'!$F$2:$F$964,$A5)</f>
        <v>0</v>
      </c>
      <c r="EF5" s="5" t="n">
        <f aca="false">SUMIFS('Исходные данные'!$J$2:$J$964,'Исходные данные'!$D$2:$D$964,EE$1,'Исходные данные'!$F$2:$F$964,$A5)</f>
        <v>0</v>
      </c>
      <c r="EG5" s="7" t="n">
        <v>0</v>
      </c>
      <c r="EH5" s="7" t="n">
        <v>0</v>
      </c>
      <c r="EI5" s="5" t="n">
        <f aca="false">SUMIFS('Исходные данные'!$I$2:$I$964,'Исходные данные'!$D$2:$D$964,EI$1,'Исходные данные'!$F$2:$F$964,$A5)</f>
        <v>0</v>
      </c>
      <c r="EJ5" s="5" t="n">
        <f aca="false">SUMIFS('Исходные данные'!$J$2:$J$964,'Исходные данные'!$D$2:$D$964,EI$1,'Исходные данные'!$F$2:$F$964,$A5)</f>
        <v>0</v>
      </c>
      <c r="EK5" s="7" t="n">
        <v>0</v>
      </c>
      <c r="EL5" s="7" t="n">
        <v>0</v>
      </c>
      <c r="EM5" s="5" t="n">
        <f aca="false">SUMIFS('Исходные данные'!$I$2:$I$964,'Исходные данные'!$D$2:$D$964,EM$1,'Исходные данные'!$F$2:$F$964,$A5)</f>
        <v>0</v>
      </c>
      <c r="EN5" s="5" t="n">
        <f aca="false">SUMIFS('Исходные данные'!$J$2:$J$964,'Исходные данные'!$D$2:$D$964,EM$1,'Исходные данные'!$F$2:$F$964,$A5)</f>
        <v>0</v>
      </c>
      <c r="EO5" s="7" t="n">
        <v>0</v>
      </c>
      <c r="EP5" s="7" t="n">
        <v>0</v>
      </c>
      <c r="EQ5" s="5" t="n">
        <f aca="false">SUMIFS('Исходные данные'!$I$2:$I$964,'Исходные данные'!$D$2:$D$964,EQ$1,'Исходные данные'!$F$2:$F$964,$A5)</f>
        <v>0</v>
      </c>
      <c r="ER5" s="5" t="n">
        <f aca="false">SUMIFS('Исходные данные'!$J$2:$J$964,'Исходные данные'!$D$2:$D$964,EQ$1,'Исходные данные'!$F$2:$F$964,$A5)</f>
        <v>0</v>
      </c>
      <c r="ES5" s="7" t="n">
        <v>0</v>
      </c>
      <c r="ET5" s="7" t="n">
        <v>0</v>
      </c>
      <c r="EU5" s="5" t="n">
        <f aca="false">SUMIFS('Исходные данные'!$I$2:$I$964,'Исходные данные'!$D$2:$D$964,EU$1,'Исходные данные'!$F$2:$F$964,$A5)</f>
        <v>0</v>
      </c>
      <c r="EV5" s="5" t="n">
        <f aca="false">SUMIFS('Исходные данные'!$J$2:$J$964,'Исходные данные'!$D$2:$D$964,EU$1,'Исходные данные'!$F$2:$F$964,$A5)</f>
        <v>0</v>
      </c>
      <c r="EW5" s="7" t="n">
        <v>0</v>
      </c>
      <c r="EX5" s="7" t="n">
        <v>0</v>
      </c>
      <c r="EY5" s="5" t="n">
        <f aca="false">SUMIFS('Исходные данные'!$I$2:$I$964,'Исходные данные'!$D$2:$D$964,EY$1,'Исходные данные'!$F$2:$F$964,$A5)</f>
        <v>0</v>
      </c>
      <c r="EZ5" s="5" t="n">
        <f aca="false">SUMIFS('Исходные данные'!$J$2:$J$964,'Исходные данные'!$D$2:$D$964,EY$1,'Исходные данные'!$F$2:$F$964,$A5)</f>
        <v>0</v>
      </c>
      <c r="FA5" s="7" t="n">
        <v>0</v>
      </c>
      <c r="FB5" s="7" t="n">
        <v>0</v>
      </c>
      <c r="FC5" s="5" t="n">
        <f aca="false">SUMIFS('Исходные данные'!$I$2:$I$964,'Исходные данные'!$D$2:$D$964,FC$1,'Исходные данные'!$F$2:$F$964,$A5)</f>
        <v>0</v>
      </c>
      <c r="FD5" s="5" t="n">
        <f aca="false">SUMIFS('Исходные данные'!$J$2:$J$964,'Исходные данные'!$D$2:$D$964,FC$1,'Исходные данные'!$F$2:$F$964,$A5)</f>
        <v>0</v>
      </c>
      <c r="FE5" s="7" t="n">
        <v>0</v>
      </c>
      <c r="FF5" s="7" t="n">
        <v>0</v>
      </c>
      <c r="FG5" s="5" t="n">
        <f aca="false">SUMIFS('Исходные данные'!$I$2:$I$964,'Исходные данные'!$D$2:$D$964,FG$1,'Исходные данные'!$F$2:$F$964,$A5)</f>
        <v>0</v>
      </c>
      <c r="FH5" s="5" t="n">
        <f aca="false">SUMIFS('Исходные данные'!$J$2:$J$964,'Исходные данные'!$D$2:$D$964,FG$1,'Исходные данные'!$F$2:$F$964,$A5)</f>
        <v>0</v>
      </c>
    </row>
    <row r="6" customFormat="false" ht="15" hidden="false" customHeight="false" outlineLevel="0" collapsed="false">
      <c r="A6" s="4" t="s">
        <v>55</v>
      </c>
      <c r="B6" s="8" t="s">
        <v>56</v>
      </c>
      <c r="C6" s="9" t="n">
        <v>25</v>
      </c>
      <c r="D6" s="9" t="n">
        <f aca="false">I6+J6+M6+N6+Q6+R6+U6+V6+Y6+Z6+AC6+AD6+AG6+AH6+AK6+AL6+AO6+AP6+AS6+AT6+AW6+AX6+BA6+BB6+BE6+BF6+BI6+BJ6+BM6+BN6+BQ6+BR6+BU6+BV6+BY6+BZ6+CC6+CD6+CG6+CH6+CK6+CL6+CO6+CP6+CS6+CT6+CW6+CX6+DA6+DB6+DE6+DF6+DI6+DJ6+DM6+DN6+DQ6+DR6+DU6+DV6+DY6+DZ6+EC6+ED6+EG6+EH6+EK6+EL6+EO6+EP6+ES6+ET6+EW6+EX6+FA6+FB6+FE6+FF6</f>
        <v>25</v>
      </c>
      <c r="E6" s="9" t="n">
        <f aca="false">G6+H6</f>
        <v>23</v>
      </c>
      <c r="F6" s="9" t="n">
        <f aca="false">E6-C6</f>
        <v>-2</v>
      </c>
      <c r="G6" s="9" t="n">
        <f aca="false">K6+O6+S6+W6+AA6+AE6+AI6+AM6+AQ6+AU6+AY6+BC6+BG6+BK6+BO6+BS6+BW6+CA6+CE6+CI6+CM6+CQ6+CU6+CY6+DC6+DG6+DK6+DO6+DS6+DW6+EA6+EE6+EI6+EM6+EQ6+EU6+EY6+FC6+FG6</f>
        <v>16</v>
      </c>
      <c r="H6" s="9" t="n">
        <f aca="false">L6+P6+T6+X6+AB6+AF6+AJ6+AN6+AR6+AV6+AZ6+BD6+BH6+BL6+BP6+BT6+BX6+CB6+CF6+CJ6+CN6+CR6+CV6+CZ6+DD6+DH6+DL6+DP6+DT6+DX6+EB6+EF6+EJ6+EN6+ER6+EV6+EZ6+FD6+FH6</f>
        <v>7</v>
      </c>
      <c r="I6" s="7" t="n">
        <v>1</v>
      </c>
      <c r="J6" s="7" t="n">
        <v>0</v>
      </c>
      <c r="K6" s="8" t="n">
        <f aca="false">SUMIFS('Исходные данные'!$I$2:$I$964,'Исходные данные'!$D$2:$D$964,K$1,'Исходные данные'!$F$2:$F$964,$A6)</f>
        <v>1</v>
      </c>
      <c r="L6" s="8" t="n">
        <f aca="false">SUMIFS('Исходные данные'!$J$2:$J$964,'Исходные данные'!$D$2:$D$964,K$1,'Исходные данные'!$F$2:$F$964,$A6)</f>
        <v>0</v>
      </c>
      <c r="M6" s="7" t="n">
        <v>1</v>
      </c>
      <c r="N6" s="7" t="n">
        <v>0</v>
      </c>
      <c r="O6" s="8" t="n">
        <f aca="false">SUMIFS('Исходные данные'!$I$2:$I$964,'Исходные данные'!$D$2:$D$964,O$1,'Исходные данные'!$F$2:$F$964,$A6)</f>
        <v>1</v>
      </c>
      <c r="P6" s="8" t="n">
        <f aca="false">SUMIFS('Исходные данные'!$J$2:$J$964,'Исходные данные'!$D$2:$D$964,O$1,'Исходные данные'!$F$2:$F$964,$A6)</f>
        <v>0</v>
      </c>
      <c r="Q6" s="7" t="n">
        <v>2</v>
      </c>
      <c r="R6" s="7" t="n">
        <v>0</v>
      </c>
      <c r="S6" s="8" t="n">
        <f aca="false">SUMIFS('Исходные данные'!$I$2:$I$964,'Исходные данные'!$D$2:$D$964,S$1,'Исходные данные'!$F$2:$F$964,$A6)</f>
        <v>2</v>
      </c>
      <c r="T6" s="8" t="n">
        <f aca="false">SUMIFS('Исходные данные'!$J$2:$J$964,'Исходные данные'!$D$2:$D$964,S$1,'Исходные данные'!$F$2:$F$964,$A6)</f>
        <v>0</v>
      </c>
      <c r="U6" s="7" t="n">
        <v>1</v>
      </c>
      <c r="V6" s="7" t="n">
        <v>0</v>
      </c>
      <c r="W6" s="8" t="n">
        <f aca="false">SUMIFS('Исходные данные'!$I$2:$I$964,'Исходные данные'!$D$2:$D$964,W$1,'Исходные данные'!$F$2:$F$964,$A6)</f>
        <v>1</v>
      </c>
      <c r="X6" s="8" t="n">
        <f aca="false">SUMIFS('Исходные данные'!$J$2:$J$964,'Исходные данные'!$D$2:$D$964,W$1,'Исходные данные'!$F$2:$F$964,$A6)</f>
        <v>0</v>
      </c>
      <c r="Y6" s="7" t="n">
        <v>0</v>
      </c>
      <c r="Z6" s="7" t="n">
        <v>0</v>
      </c>
      <c r="AA6" s="8" t="n">
        <f aca="false">SUMIFS('Исходные данные'!$I$2:$I$964,'Исходные данные'!$D$2:$D$964,AA$1,'Исходные данные'!$F$2:$F$964,$A6)</f>
        <v>0</v>
      </c>
      <c r="AB6" s="8" t="n">
        <f aca="false">SUMIFS('Исходные данные'!$J$2:$J$964,'Исходные данные'!$D$2:$D$964,AA$1,'Исходные данные'!$F$2:$F$964,$A6)</f>
        <v>0</v>
      </c>
      <c r="AC6" s="7" t="n">
        <v>1</v>
      </c>
      <c r="AD6" s="7" t="n">
        <v>0</v>
      </c>
      <c r="AE6" s="8" t="n">
        <f aca="false">SUMIFS('Исходные данные'!$I$2:$I$964,'Исходные данные'!$D$2:$D$964,AE$1,'Исходные данные'!$F$2:$F$964,$A6)</f>
        <v>1</v>
      </c>
      <c r="AF6" s="8" t="n">
        <f aca="false">SUMIFS('Исходные данные'!$J$2:$J$964,'Исходные данные'!$D$2:$D$964,AE$1,'Исходные данные'!$F$2:$F$964,$A6)</f>
        <v>0</v>
      </c>
      <c r="AG6" s="7" t="n">
        <v>1</v>
      </c>
      <c r="AH6" s="7" t="n">
        <v>0</v>
      </c>
      <c r="AI6" s="8" t="n">
        <f aca="false">SUMIFS('Исходные данные'!$I$2:$I$964,'Исходные данные'!$D$2:$D$964,AI$1,'Исходные данные'!$F$2:$F$964,$A6)</f>
        <v>0</v>
      </c>
      <c r="AJ6" s="8" t="n">
        <f aca="false">SUMIFS('Исходные данные'!$J$2:$J$964,'Исходные данные'!$D$2:$D$964,AI$1,'Исходные данные'!$F$2:$F$964,$A6)</f>
        <v>0</v>
      </c>
      <c r="AK6" s="7" t="n">
        <v>1</v>
      </c>
      <c r="AL6" s="7" t="n">
        <v>0</v>
      </c>
      <c r="AM6" s="8" t="n">
        <f aca="false">SUMIFS('Исходные данные'!$I$2:$I$964,'Исходные данные'!$D$2:$D$964,AM$1,'Исходные данные'!$F$2:$F$964,$A6)</f>
        <v>1</v>
      </c>
      <c r="AN6" s="8" t="n">
        <f aca="false">SUMIFS('Исходные данные'!$J$2:$J$964,'Исходные данные'!$D$2:$D$964,AM$1,'Исходные данные'!$F$2:$F$964,$A6)</f>
        <v>0</v>
      </c>
      <c r="AO6" s="7" t="n">
        <v>1</v>
      </c>
      <c r="AP6" s="7" t="n">
        <v>0</v>
      </c>
      <c r="AQ6" s="8" t="n">
        <f aca="false">SUMIFS('Исходные данные'!$I$2:$I$964,'Исходные данные'!$D$2:$D$964,AQ$1,'Исходные данные'!$F$2:$F$964,$A6)</f>
        <v>1</v>
      </c>
      <c r="AR6" s="8" t="n">
        <f aca="false">SUMIFS('Исходные данные'!$J$2:$J$964,'Исходные данные'!$D$2:$D$964,AQ$1,'Исходные данные'!$F$2:$F$964,$A6)</f>
        <v>0</v>
      </c>
      <c r="AS6" s="7" t="n">
        <v>0</v>
      </c>
      <c r="AT6" s="7" t="n">
        <v>0</v>
      </c>
      <c r="AU6" s="8" t="n">
        <f aca="false">SUMIFS('Исходные данные'!$I$2:$I$964,'Исходные данные'!$D$2:$D$964,AU$1,'Исходные данные'!$F$2:$F$964,$A6)</f>
        <v>0</v>
      </c>
      <c r="AV6" s="8" t="n">
        <f aca="false">SUMIFS('Исходные данные'!$J$2:$J$964,'Исходные данные'!$D$2:$D$964,AU$1,'Исходные данные'!$F$2:$F$964,$A6)</f>
        <v>0</v>
      </c>
      <c r="AW6" s="7" t="n">
        <v>0</v>
      </c>
      <c r="AX6" s="7" t="n">
        <v>0</v>
      </c>
      <c r="AY6" s="8" t="n">
        <f aca="false">SUMIFS('Исходные данные'!$I$2:$I$964,'Исходные данные'!$D$2:$D$964,AY$1,'Исходные данные'!$F$2:$F$964,$A6)</f>
        <v>0</v>
      </c>
      <c r="AZ6" s="8" t="n">
        <f aca="false">SUMIFS('Исходные данные'!$J$2:$J$964,'Исходные данные'!$D$2:$D$964,AY$1,'Исходные данные'!$F$2:$F$964,$A6)</f>
        <v>0</v>
      </c>
      <c r="BA6" s="7" t="n">
        <v>0</v>
      </c>
      <c r="BB6" s="7" t="n">
        <v>0</v>
      </c>
      <c r="BC6" s="8" t="n">
        <f aca="false">SUMIFS('Исходные данные'!$I$2:$I$964,'Исходные данные'!$D$2:$D$964,BC$1,'Исходные данные'!$F$2:$F$964,$A6)</f>
        <v>1</v>
      </c>
      <c r="BD6" s="8" t="n">
        <f aca="false">SUMIFS('Исходные данные'!$J$2:$J$964,'Исходные данные'!$D$2:$D$964,BC$1,'Исходные данные'!$F$2:$F$964,$A6)</f>
        <v>0</v>
      </c>
      <c r="BE6" s="7" t="n">
        <v>0</v>
      </c>
      <c r="BF6" s="7" t="n">
        <v>0</v>
      </c>
      <c r="BG6" s="8" t="n">
        <f aca="false">SUMIFS('Исходные данные'!$I$2:$I$964,'Исходные данные'!$D$2:$D$964,BG$1,'Исходные данные'!$F$2:$F$964,$A6)</f>
        <v>0</v>
      </c>
      <c r="BH6" s="8" t="n">
        <f aca="false">SUMIFS('Исходные данные'!$J$2:$J$964,'Исходные данные'!$D$2:$D$964,BG$1,'Исходные данные'!$F$2:$F$964,$A6)</f>
        <v>0</v>
      </c>
      <c r="BI6" s="7" t="n">
        <v>5</v>
      </c>
      <c r="BJ6" s="7" t="n">
        <v>5</v>
      </c>
      <c r="BK6" s="8" t="n">
        <f aca="false">SUMIFS('Исходные данные'!$I$2:$I$964,'Исходные данные'!$D$2:$D$964,BK$1,'Исходные данные'!$F$2:$F$964,$A6)</f>
        <v>4</v>
      </c>
      <c r="BL6" s="8" t="n">
        <f aca="false">SUMIFS('Исходные данные'!$J$2:$J$964,'Исходные данные'!$D$2:$D$964,BK$1,'Исходные данные'!$F$2:$F$964,$A6)</f>
        <v>5</v>
      </c>
      <c r="BM6" s="7" t="n">
        <v>3</v>
      </c>
      <c r="BN6" s="7" t="n">
        <v>3</v>
      </c>
      <c r="BO6" s="8" t="n">
        <f aca="false">SUMIFS('Исходные данные'!$I$2:$I$964,'Исходные данные'!$D$2:$D$964,BO$1,'Исходные данные'!$F$2:$F$964,$A6)</f>
        <v>3</v>
      </c>
      <c r="BP6" s="8" t="n">
        <f aca="false">SUMIFS('Исходные данные'!$J$2:$J$964,'Исходные данные'!$D$2:$D$964,BO$1,'Исходные данные'!$F$2:$F$964,$A6)</f>
        <v>2</v>
      </c>
      <c r="BQ6" s="7" t="n">
        <v>0</v>
      </c>
      <c r="BR6" s="7" t="n">
        <v>0</v>
      </c>
      <c r="BS6" s="8" t="n">
        <f aca="false">SUMIFS('Исходные данные'!$I$2:$I$964,'Исходные данные'!$D$2:$D$964,BS$1,'Исходные данные'!$F$2:$F$964,$A6)</f>
        <v>0</v>
      </c>
      <c r="BT6" s="8" t="n">
        <f aca="false">SUMIFS('Исходные данные'!$J$2:$J$964,'Исходные данные'!$D$2:$D$964,BS$1,'Исходные данные'!$F$2:$F$964,$A6)</f>
        <v>0</v>
      </c>
      <c r="BU6" s="7" t="n">
        <v>0</v>
      </c>
      <c r="BV6" s="7" t="n">
        <v>0</v>
      </c>
      <c r="BW6" s="8" t="n">
        <f aca="false">SUMIFS('Исходные данные'!$I$2:$I$964,'Исходные данные'!$D$2:$D$964,BW$1,'Исходные данные'!$F$2:$F$964,$A6)</f>
        <v>0</v>
      </c>
      <c r="BX6" s="8" t="n">
        <f aca="false">SUMIFS('Исходные данные'!$J$2:$J$964,'Исходные данные'!$D$2:$D$964,BW$1,'Исходные данные'!$F$2:$F$964,$A6)</f>
        <v>0</v>
      </c>
      <c r="BY6" s="7" t="n">
        <v>0</v>
      </c>
      <c r="BZ6" s="7" t="n">
        <v>0</v>
      </c>
      <c r="CA6" s="8" t="n">
        <f aca="false">SUMIFS('Исходные данные'!$I$2:$I$964,'Исходные данные'!$D$2:$D$964,CA$1,'Исходные данные'!$F$2:$F$964,$A6)</f>
        <v>0</v>
      </c>
      <c r="CB6" s="8" t="n">
        <f aca="false">SUMIFS('Исходные данные'!$J$2:$J$964,'Исходные данные'!$D$2:$D$964,CA$1,'Исходные данные'!$F$2:$F$964,$A6)</f>
        <v>0</v>
      </c>
      <c r="CC6" s="7" t="n">
        <v>0</v>
      </c>
      <c r="CD6" s="7" t="n">
        <v>0</v>
      </c>
      <c r="CE6" s="8" t="n">
        <f aca="false">SUMIFS('Исходные данные'!$I$2:$I$964,'Исходные данные'!$D$2:$D$964,CE$1,'Исходные данные'!$F$2:$F$964,$A6)</f>
        <v>0</v>
      </c>
      <c r="CF6" s="8" t="n">
        <f aca="false">SUMIFS('Исходные данные'!$J$2:$J$964,'Исходные данные'!$D$2:$D$964,CE$1,'Исходные данные'!$F$2:$F$964,$A6)</f>
        <v>0</v>
      </c>
      <c r="CG6" s="7" t="n">
        <v>0</v>
      </c>
      <c r="CH6" s="7" t="n">
        <v>0</v>
      </c>
      <c r="CI6" s="8" t="n">
        <f aca="false">SUMIFS('Исходные данные'!$I$2:$I$964,'Исходные данные'!$D$2:$D$964,CI$1,'Исходные данные'!$F$2:$F$964,$A6)</f>
        <v>0</v>
      </c>
      <c r="CJ6" s="8" t="n">
        <f aca="false">SUMIFS('Исходные данные'!$J$2:$J$964,'Исходные данные'!$D$2:$D$964,CI$1,'Исходные данные'!$F$2:$F$964,$A6)</f>
        <v>0</v>
      </c>
      <c r="CK6" s="7" t="n">
        <v>0</v>
      </c>
      <c r="CL6" s="7" t="n">
        <v>0</v>
      </c>
      <c r="CM6" s="8" t="n">
        <f aca="false">SUMIFS('Исходные данные'!$I$2:$I$964,'Исходные данные'!$D$2:$D$964,CM$1,'Исходные данные'!$F$2:$F$964,$A6)</f>
        <v>0</v>
      </c>
      <c r="CN6" s="8" t="n">
        <f aca="false">SUMIFS('Исходные данные'!$J$2:$J$964,'Исходные данные'!$D$2:$D$964,CM$1,'Исходные данные'!$F$2:$F$964,$A6)</f>
        <v>0</v>
      </c>
      <c r="CO6" s="7" t="n">
        <v>0</v>
      </c>
      <c r="CP6" s="7" t="n">
        <v>0</v>
      </c>
      <c r="CQ6" s="8" t="n">
        <f aca="false">SUMIFS('Исходные данные'!$I$2:$I$964,'Исходные данные'!$D$2:$D$964,CQ$1,'Исходные данные'!$F$2:$F$964,$A6)</f>
        <v>0</v>
      </c>
      <c r="CR6" s="8" t="n">
        <f aca="false">SUMIFS('Исходные данные'!$J$2:$J$964,'Исходные данные'!$D$2:$D$964,CQ$1,'Исходные данные'!$F$2:$F$964,$A6)</f>
        <v>0</v>
      </c>
      <c r="CS6" s="7" t="n">
        <v>0</v>
      </c>
      <c r="CT6" s="7" t="n">
        <v>0</v>
      </c>
      <c r="CU6" s="8" t="n">
        <f aca="false">SUMIFS('Исходные данные'!$I$2:$I$964,'Исходные данные'!$D$2:$D$964,CU$1,'Исходные данные'!$F$2:$F$964,$A6)</f>
        <v>0</v>
      </c>
      <c r="CV6" s="8" t="n">
        <f aca="false">SUMIFS('Исходные данные'!$J$2:$J$964,'Исходные данные'!$D$2:$D$964,CU$1,'Исходные данные'!$F$2:$F$964,$A6)</f>
        <v>0</v>
      </c>
      <c r="CW6" s="7" t="n">
        <v>0</v>
      </c>
      <c r="CX6" s="7" t="n">
        <v>0</v>
      </c>
      <c r="CY6" s="8" t="n">
        <f aca="false">SUMIFS('Исходные данные'!$I$2:$I$964,'Исходные данные'!$D$2:$D$964,CY$1,'Исходные данные'!$F$2:$F$964,$A6)</f>
        <v>0</v>
      </c>
      <c r="CZ6" s="8" t="n">
        <f aca="false">SUMIFS('Исходные данные'!$J$2:$J$964,'Исходные данные'!$D$2:$D$964,CY$1,'Исходные данные'!$F$2:$F$964,$A6)</f>
        <v>0</v>
      </c>
      <c r="DA6" s="7" t="n">
        <v>0</v>
      </c>
      <c r="DB6" s="7" t="n">
        <v>0</v>
      </c>
      <c r="DC6" s="8" t="n">
        <f aca="false">SUMIFS('Исходные данные'!$I$2:$I$964,'Исходные данные'!$D$2:$D$964,DC$1,'Исходные данные'!$F$2:$F$964,$A6)</f>
        <v>0</v>
      </c>
      <c r="DD6" s="8" t="n">
        <f aca="false">SUMIFS('Исходные данные'!$J$2:$J$964,'Исходные данные'!$D$2:$D$964,DC$1,'Исходные данные'!$F$2:$F$964,$A6)</f>
        <v>0</v>
      </c>
      <c r="DE6" s="7" t="n">
        <v>0</v>
      </c>
      <c r="DF6" s="7" t="n">
        <v>0</v>
      </c>
      <c r="DG6" s="8" t="n">
        <f aca="false">SUMIFS('Исходные данные'!$I$2:$I$964,'Исходные данные'!$D$2:$D$964,DG$1,'Исходные данные'!$F$2:$F$964,$A6)</f>
        <v>0</v>
      </c>
      <c r="DH6" s="8" t="n">
        <f aca="false">SUMIFS('Исходные данные'!$J$2:$J$964,'Исходные данные'!$D$2:$D$964,DG$1,'Исходные данные'!$F$2:$F$964,$A6)</f>
        <v>0</v>
      </c>
      <c r="DI6" s="7" t="n">
        <v>0</v>
      </c>
      <c r="DJ6" s="7" t="n">
        <v>0</v>
      </c>
      <c r="DK6" s="8" t="n">
        <f aca="false">SUMIFS('Исходные данные'!$I$2:$I$964,'Исходные данные'!$D$2:$D$964,DK$1,'Исходные данные'!$F$2:$F$964,$A6)</f>
        <v>0</v>
      </c>
      <c r="DL6" s="8" t="n">
        <f aca="false">SUMIFS('Исходные данные'!$J$2:$J$964,'Исходные данные'!$D$2:$D$964,DK$1,'Исходные данные'!$F$2:$F$964,$A6)</f>
        <v>0</v>
      </c>
      <c r="DM6" s="7" t="n">
        <v>0</v>
      </c>
      <c r="DN6" s="7" t="n">
        <v>0</v>
      </c>
      <c r="DO6" s="8" t="n">
        <f aca="false">SUMIFS('Исходные данные'!$I$2:$I$964,'Исходные данные'!$D$2:$D$964,DO$1,'Исходные данные'!$F$2:$F$964,$A6)</f>
        <v>0</v>
      </c>
      <c r="DP6" s="8" t="n">
        <f aca="false">SUMIFS('Исходные данные'!$J$2:$J$964,'Исходные данные'!$D$2:$D$964,DO$1,'Исходные данные'!$F$2:$F$964,$A6)</f>
        <v>0</v>
      </c>
      <c r="DQ6" s="7" t="n">
        <v>0</v>
      </c>
      <c r="DR6" s="7" t="n">
        <v>0</v>
      </c>
      <c r="DS6" s="8" t="n">
        <f aca="false">SUMIFS('Исходные данные'!$I$2:$I$964,'Исходные данные'!$D$2:$D$964,DS$1,'Исходные данные'!$F$2:$F$964,$A6)</f>
        <v>0</v>
      </c>
      <c r="DT6" s="8" t="n">
        <f aca="false">SUMIFS('Исходные данные'!$J$2:$J$964,'Исходные данные'!$D$2:$D$964,DS$1,'Исходные данные'!$F$2:$F$964,$A6)</f>
        <v>0</v>
      </c>
      <c r="DU6" s="7" t="n">
        <v>0</v>
      </c>
      <c r="DV6" s="7" t="n">
        <v>0</v>
      </c>
      <c r="DW6" s="8" t="n">
        <f aca="false">SUMIFS('Исходные данные'!$I$2:$I$964,'Исходные данные'!$D$2:$D$964,DW$1,'Исходные данные'!$F$2:$F$964,$A6)</f>
        <v>0</v>
      </c>
      <c r="DX6" s="8" t="n">
        <f aca="false">SUMIFS('Исходные данные'!$J$2:$J$964,'Исходные данные'!$D$2:$D$964,DW$1,'Исходные данные'!$F$2:$F$964,$A6)</f>
        <v>0</v>
      </c>
      <c r="DY6" s="7" t="n">
        <v>0</v>
      </c>
      <c r="DZ6" s="7" t="n">
        <v>0</v>
      </c>
      <c r="EA6" s="8" t="n">
        <f aca="false">SUMIFS('Исходные данные'!$I$2:$I$964,'Исходные данные'!$D$2:$D$964,EA$1,'Исходные данные'!$F$2:$F$964,$A6)</f>
        <v>0</v>
      </c>
      <c r="EB6" s="8" t="n">
        <f aca="false">SUMIFS('Исходные данные'!$J$2:$J$964,'Исходные данные'!$D$2:$D$964,EA$1,'Исходные данные'!$F$2:$F$964,$A6)</f>
        <v>0</v>
      </c>
      <c r="EC6" s="7" t="n">
        <v>0</v>
      </c>
      <c r="ED6" s="7" t="n">
        <v>0</v>
      </c>
      <c r="EE6" s="8" t="n">
        <f aca="false">SUMIFS('Исходные данные'!$I$2:$I$964,'Исходные данные'!$D$2:$D$964,EE$1,'Исходные данные'!$F$2:$F$964,$A6)</f>
        <v>0</v>
      </c>
      <c r="EF6" s="8" t="n">
        <f aca="false">SUMIFS('Исходные данные'!$J$2:$J$964,'Исходные данные'!$D$2:$D$964,EE$1,'Исходные данные'!$F$2:$F$964,$A6)</f>
        <v>0</v>
      </c>
      <c r="EG6" s="7" t="n">
        <v>0</v>
      </c>
      <c r="EH6" s="7" t="n">
        <v>0</v>
      </c>
      <c r="EI6" s="8" t="n">
        <f aca="false">SUMIFS('Исходные данные'!$I$2:$I$964,'Исходные данные'!$D$2:$D$964,EI$1,'Исходные данные'!$F$2:$F$964,$A6)</f>
        <v>0</v>
      </c>
      <c r="EJ6" s="8" t="n">
        <f aca="false">SUMIFS('Исходные данные'!$J$2:$J$964,'Исходные данные'!$D$2:$D$964,EI$1,'Исходные данные'!$F$2:$F$964,$A6)</f>
        <v>0</v>
      </c>
      <c r="EK6" s="7" t="n">
        <v>0</v>
      </c>
      <c r="EL6" s="7" t="n">
        <v>0</v>
      </c>
      <c r="EM6" s="8" t="n">
        <f aca="false">SUMIFS('Исходные данные'!$I$2:$I$964,'Исходные данные'!$D$2:$D$964,EM$1,'Исходные данные'!$F$2:$F$964,$A6)</f>
        <v>0</v>
      </c>
      <c r="EN6" s="8" t="n">
        <f aca="false">SUMIFS('Исходные данные'!$J$2:$J$964,'Исходные данные'!$D$2:$D$964,EM$1,'Исходные данные'!$F$2:$F$964,$A6)</f>
        <v>0</v>
      </c>
      <c r="EO6" s="7" t="n">
        <v>0</v>
      </c>
      <c r="EP6" s="7" t="n">
        <v>0</v>
      </c>
      <c r="EQ6" s="8" t="n">
        <f aca="false">SUMIFS('Исходные данные'!$I$2:$I$964,'Исходные данные'!$D$2:$D$964,EQ$1,'Исходные данные'!$F$2:$F$964,$A6)</f>
        <v>0</v>
      </c>
      <c r="ER6" s="8" t="n">
        <f aca="false">SUMIFS('Исходные данные'!$J$2:$J$964,'Исходные данные'!$D$2:$D$964,EQ$1,'Исходные данные'!$F$2:$F$964,$A6)</f>
        <v>0</v>
      </c>
      <c r="ES6" s="7" t="n">
        <v>0</v>
      </c>
      <c r="ET6" s="7" t="n">
        <v>0</v>
      </c>
      <c r="EU6" s="8" t="n">
        <f aca="false">SUMIFS('Исходные данные'!$I$2:$I$964,'Исходные данные'!$D$2:$D$964,EU$1,'Исходные данные'!$F$2:$F$964,$A6)</f>
        <v>0</v>
      </c>
      <c r="EV6" s="8" t="n">
        <f aca="false">SUMIFS('Исходные данные'!$J$2:$J$964,'Исходные данные'!$D$2:$D$964,EU$1,'Исходные данные'!$F$2:$F$964,$A6)</f>
        <v>0</v>
      </c>
      <c r="EW6" s="7" t="n">
        <v>0</v>
      </c>
      <c r="EX6" s="7" t="n">
        <v>0</v>
      </c>
      <c r="EY6" s="8" t="n">
        <f aca="false">SUMIFS('Исходные данные'!$I$2:$I$964,'Исходные данные'!$D$2:$D$964,EY$1,'Исходные данные'!$F$2:$F$964,$A6)</f>
        <v>0</v>
      </c>
      <c r="EZ6" s="8" t="n">
        <f aca="false">SUMIFS('Исходные данные'!$J$2:$J$964,'Исходные данные'!$D$2:$D$964,EY$1,'Исходные данные'!$F$2:$F$964,$A6)</f>
        <v>0</v>
      </c>
      <c r="FA6" s="7" t="n">
        <v>0</v>
      </c>
      <c r="FB6" s="7" t="n">
        <v>0</v>
      </c>
      <c r="FC6" s="8" t="n">
        <f aca="false">SUMIFS('Исходные данные'!$I$2:$I$964,'Исходные данные'!$D$2:$D$964,FC$1,'Исходные данные'!$F$2:$F$964,$A6)</f>
        <v>0</v>
      </c>
      <c r="FD6" s="8" t="n">
        <f aca="false">SUMIFS('Исходные данные'!$J$2:$J$964,'Исходные данные'!$D$2:$D$964,FC$1,'Исходные данные'!$F$2:$F$964,$A6)</f>
        <v>0</v>
      </c>
      <c r="FE6" s="7" t="n">
        <v>0</v>
      </c>
      <c r="FF6" s="7" t="n">
        <v>0</v>
      </c>
      <c r="FG6" s="8" t="n">
        <f aca="false">SUMIFS('Исходные данные'!$I$2:$I$964,'Исходные данные'!$D$2:$D$964,FG$1,'Исходные данные'!$F$2:$F$964,$A6)</f>
        <v>0</v>
      </c>
      <c r="FH6" s="8" t="n">
        <f aca="false">SUMIFS('Исходные данные'!$J$2:$J$964,'Исходные данные'!$D$2:$D$964,FG$1,'Исходные данные'!$F$2:$F$964,$A6)</f>
        <v>0</v>
      </c>
    </row>
    <row r="7" customFormat="false" ht="15" hidden="false" customHeight="false" outlineLevel="0" collapsed="false">
      <c r="A7" s="4" t="s">
        <v>57</v>
      </c>
      <c r="B7" s="5" t="s">
        <v>58</v>
      </c>
      <c r="C7" s="6" t="n">
        <v>23</v>
      </c>
      <c r="D7" s="6" t="n">
        <f aca="false">I7+J7+M7+N7+Q7+R7+U7+V7+Y7+Z7+AC7+AD7+AG7+AH7+AK7+AL7+AO7+AP7+AS7+AT7+AW7+AX7+BA7+BB7+BE7+BF7+BI7+BJ7+BM7+BN7+BQ7+BR7+BU7+BV7+BY7+BZ7+CC7+CD7+CG7+CH7+CK7+CL7+CO7+CP7+CS7+CT7+CW7+CX7+DA7+DB7+DE7+DF7+DI7+DJ7+DM7+DN7+DQ7+DR7+DU7+DV7+DY7+DZ7+EC7+ED7+EG7+EH7+EK7+EL7+EO7+EP7+ES7+ET7+EW7+EX7+FA7+FB7+FE7+FF7</f>
        <v>23</v>
      </c>
      <c r="E7" s="6" t="n">
        <f aca="false">G7+H7</f>
        <v>20</v>
      </c>
      <c r="F7" s="6" t="n">
        <f aca="false">E7-C7</f>
        <v>-3</v>
      </c>
      <c r="G7" s="6" t="n">
        <f aca="false">K7+O7+S7+W7+AA7+AE7+AI7+AM7+AQ7+AU7+AY7+BC7+BG7+BK7+BO7+BS7+BW7+CA7+CE7+CI7+CM7+CQ7+CU7+CY7+DC7+DG7+DK7+DO7+DS7+DW7+EA7+EE7+EI7+EM7+EQ7+EU7+EY7+FC7+FG7</f>
        <v>13</v>
      </c>
      <c r="H7" s="6" t="n">
        <f aca="false">L7+P7+T7+X7+AB7+AF7+AJ7+AN7+AR7+AV7+AZ7+BD7+BH7+BL7+BP7+BT7+BX7+CB7+CF7+CJ7+CN7+CR7+CV7+CZ7+DD7+DH7+DL7+DP7+DT7+DX7+EB7+EF7+EJ7+EN7+ER7+EV7+EZ7+FD7+FH7</f>
        <v>7</v>
      </c>
      <c r="I7" s="7" t="n">
        <v>1</v>
      </c>
      <c r="J7" s="7" t="n">
        <v>0</v>
      </c>
      <c r="K7" s="5" t="n">
        <f aca="false">SUMIFS('Исходные данные'!$I$2:$I$964,'Исходные данные'!$D$2:$D$964,K$1,'Исходные данные'!$F$2:$F$964,$A7)</f>
        <v>0</v>
      </c>
      <c r="L7" s="5" t="n">
        <f aca="false">SUMIFS('Исходные данные'!$J$2:$J$964,'Исходные данные'!$D$2:$D$964,K$1,'Исходные данные'!$F$2:$F$964,$A7)</f>
        <v>0</v>
      </c>
      <c r="M7" s="7" t="n">
        <v>1</v>
      </c>
      <c r="N7" s="7" t="n">
        <v>0</v>
      </c>
      <c r="O7" s="5" t="n">
        <f aca="false">SUMIFS('Исходные данные'!$I$2:$I$964,'Исходные данные'!$D$2:$D$964,O$1,'Исходные данные'!$F$2:$F$964,$A7)</f>
        <v>1</v>
      </c>
      <c r="P7" s="5" t="n">
        <f aca="false">SUMIFS('Исходные данные'!$J$2:$J$964,'Исходные данные'!$D$2:$D$964,O$1,'Исходные данные'!$F$2:$F$964,$A7)</f>
        <v>0</v>
      </c>
      <c r="Q7" s="7" t="n">
        <v>1</v>
      </c>
      <c r="R7" s="7" t="n">
        <v>0</v>
      </c>
      <c r="S7" s="5" t="n">
        <f aca="false">SUMIFS('Исходные данные'!$I$2:$I$964,'Исходные данные'!$D$2:$D$964,S$1,'Исходные данные'!$F$2:$F$964,$A7)</f>
        <v>1</v>
      </c>
      <c r="T7" s="5" t="n">
        <f aca="false">SUMIFS('Исходные данные'!$J$2:$J$964,'Исходные данные'!$D$2:$D$964,S$1,'Исходные данные'!$F$2:$F$964,$A7)</f>
        <v>0</v>
      </c>
      <c r="U7" s="7" t="n">
        <v>0</v>
      </c>
      <c r="V7" s="7" t="n">
        <v>0</v>
      </c>
      <c r="W7" s="5" t="n">
        <f aca="false">SUMIFS('Исходные данные'!$I$2:$I$964,'Исходные данные'!$D$2:$D$964,W$1,'Исходные данные'!$F$2:$F$964,$A7)</f>
        <v>0</v>
      </c>
      <c r="X7" s="5" t="n">
        <f aca="false">SUMIFS('Исходные данные'!$J$2:$J$964,'Исходные данные'!$D$2:$D$964,W$1,'Исходные данные'!$F$2:$F$964,$A7)</f>
        <v>0</v>
      </c>
      <c r="Y7" s="7" t="n">
        <v>0</v>
      </c>
      <c r="Z7" s="7" t="n">
        <v>0</v>
      </c>
      <c r="AA7" s="5" t="n">
        <f aca="false">SUMIFS('Исходные данные'!$I$2:$I$964,'Исходные данные'!$D$2:$D$964,AA$1,'Исходные данные'!$F$2:$F$964,$A7)</f>
        <v>0</v>
      </c>
      <c r="AB7" s="5" t="n">
        <f aca="false">SUMIFS('Исходные данные'!$J$2:$J$964,'Исходные данные'!$D$2:$D$964,AA$1,'Исходные данные'!$F$2:$F$964,$A7)</f>
        <v>0</v>
      </c>
      <c r="AC7" s="7" t="n">
        <v>1</v>
      </c>
      <c r="AD7" s="7" t="n">
        <v>0</v>
      </c>
      <c r="AE7" s="5" t="n">
        <f aca="false">SUMIFS('Исходные данные'!$I$2:$I$964,'Исходные данные'!$D$2:$D$964,AE$1,'Исходные данные'!$F$2:$F$964,$A7)</f>
        <v>1</v>
      </c>
      <c r="AF7" s="5" t="n">
        <f aca="false">SUMIFS('Исходные данные'!$J$2:$J$964,'Исходные данные'!$D$2:$D$964,AE$1,'Исходные данные'!$F$2:$F$964,$A7)</f>
        <v>0</v>
      </c>
      <c r="AG7" s="7" t="n">
        <v>0</v>
      </c>
      <c r="AH7" s="7" t="n">
        <v>0</v>
      </c>
      <c r="AI7" s="5" t="n">
        <f aca="false">SUMIFS('Исходные данные'!$I$2:$I$964,'Исходные данные'!$D$2:$D$964,AI$1,'Исходные данные'!$F$2:$F$964,$A7)</f>
        <v>0</v>
      </c>
      <c r="AJ7" s="5" t="n">
        <f aca="false">SUMIFS('Исходные данные'!$J$2:$J$964,'Исходные данные'!$D$2:$D$964,AI$1,'Исходные данные'!$F$2:$F$964,$A7)</f>
        <v>0</v>
      </c>
      <c r="AK7" s="7" t="n">
        <v>0</v>
      </c>
      <c r="AL7" s="7" t="n">
        <v>0</v>
      </c>
      <c r="AM7" s="5" t="n">
        <f aca="false">SUMIFS('Исходные данные'!$I$2:$I$964,'Исходные данные'!$D$2:$D$964,AM$1,'Исходные данные'!$F$2:$F$964,$A7)</f>
        <v>0</v>
      </c>
      <c r="AN7" s="5" t="n">
        <f aca="false">SUMIFS('Исходные данные'!$J$2:$J$964,'Исходные данные'!$D$2:$D$964,AM$1,'Исходные данные'!$F$2:$F$964,$A7)</f>
        <v>0</v>
      </c>
      <c r="AO7" s="7" t="n">
        <v>1</v>
      </c>
      <c r="AP7" s="7" t="n">
        <v>0</v>
      </c>
      <c r="AQ7" s="5" t="n">
        <f aca="false">SUMIFS('Исходные данные'!$I$2:$I$964,'Исходные данные'!$D$2:$D$964,AQ$1,'Исходные данные'!$F$2:$F$964,$A7)</f>
        <v>0</v>
      </c>
      <c r="AR7" s="5" t="n">
        <f aca="false">SUMIFS('Исходные данные'!$J$2:$J$964,'Исходные данные'!$D$2:$D$964,AQ$1,'Исходные данные'!$F$2:$F$964,$A7)</f>
        <v>0</v>
      </c>
      <c r="AS7" s="7" t="n">
        <v>0</v>
      </c>
      <c r="AT7" s="7" t="n">
        <v>0</v>
      </c>
      <c r="AU7" s="5" t="n">
        <f aca="false">SUMIFS('Исходные данные'!$I$2:$I$964,'Исходные данные'!$D$2:$D$964,AU$1,'Исходные данные'!$F$2:$F$964,$A7)</f>
        <v>0</v>
      </c>
      <c r="AV7" s="5" t="n">
        <f aca="false">SUMIFS('Исходные данные'!$J$2:$J$964,'Исходные данные'!$D$2:$D$964,AU$1,'Исходные данные'!$F$2:$F$964,$A7)</f>
        <v>0</v>
      </c>
      <c r="AW7" s="7" t="n">
        <v>0</v>
      </c>
      <c r="AX7" s="7" t="n">
        <v>0</v>
      </c>
      <c r="AY7" s="5" t="n">
        <f aca="false">SUMIFS('Исходные данные'!$I$2:$I$964,'Исходные данные'!$D$2:$D$964,AY$1,'Исходные данные'!$F$2:$F$964,$A7)</f>
        <v>0</v>
      </c>
      <c r="AZ7" s="5" t="n">
        <f aca="false">SUMIFS('Исходные данные'!$J$2:$J$964,'Исходные данные'!$D$2:$D$964,AY$1,'Исходные данные'!$F$2:$F$964,$A7)</f>
        <v>0</v>
      </c>
      <c r="BA7" s="7" t="n">
        <v>0</v>
      </c>
      <c r="BB7" s="7" t="n">
        <v>0</v>
      </c>
      <c r="BC7" s="5" t="n">
        <f aca="false">SUMIFS('Исходные данные'!$I$2:$I$964,'Исходные данные'!$D$2:$D$964,BC$1,'Исходные данные'!$F$2:$F$964,$A7)</f>
        <v>0</v>
      </c>
      <c r="BD7" s="5" t="n">
        <f aca="false">SUMIFS('Исходные данные'!$J$2:$J$964,'Исходные данные'!$D$2:$D$964,BC$1,'Исходные данные'!$F$2:$F$964,$A7)</f>
        <v>0</v>
      </c>
      <c r="BE7" s="7" t="n">
        <v>3</v>
      </c>
      <c r="BF7" s="7" t="n">
        <v>0</v>
      </c>
      <c r="BG7" s="5" t="n">
        <f aca="false">SUMIFS('Исходные данные'!$I$2:$I$964,'Исходные данные'!$D$2:$D$964,BG$1,'Исходные данные'!$F$2:$F$964,$A7)</f>
        <v>2</v>
      </c>
      <c r="BH7" s="5" t="n">
        <f aca="false">SUMIFS('Исходные данные'!$J$2:$J$964,'Исходные данные'!$D$2:$D$964,BG$1,'Исходные данные'!$F$2:$F$964,$A7)</f>
        <v>0</v>
      </c>
      <c r="BI7" s="7" t="n">
        <v>4</v>
      </c>
      <c r="BJ7" s="7" t="n">
        <v>4</v>
      </c>
      <c r="BK7" s="5" t="n">
        <f aca="false">SUMIFS('Исходные данные'!$I$2:$I$964,'Исходные данные'!$D$2:$D$964,BK$1,'Исходные данные'!$F$2:$F$964,$A7)</f>
        <v>4</v>
      </c>
      <c r="BL7" s="5" t="n">
        <f aca="false">SUMIFS('Исходные данные'!$J$2:$J$964,'Исходные данные'!$D$2:$D$964,BK$1,'Исходные данные'!$F$2:$F$964,$A7)</f>
        <v>4</v>
      </c>
      <c r="BM7" s="7" t="n">
        <v>4</v>
      </c>
      <c r="BN7" s="7" t="n">
        <v>3</v>
      </c>
      <c r="BO7" s="5" t="n">
        <f aca="false">SUMIFS('Исходные данные'!$I$2:$I$964,'Исходные данные'!$D$2:$D$964,BO$1,'Исходные данные'!$F$2:$F$964,$A7)</f>
        <v>4</v>
      </c>
      <c r="BP7" s="5" t="n">
        <f aca="false">SUMIFS('Исходные данные'!$J$2:$J$964,'Исходные данные'!$D$2:$D$964,BO$1,'Исходные данные'!$F$2:$F$964,$A7)</f>
        <v>3</v>
      </c>
      <c r="BQ7" s="7" t="n">
        <v>0</v>
      </c>
      <c r="BR7" s="7" t="n">
        <v>0</v>
      </c>
      <c r="BS7" s="5" t="n">
        <f aca="false">SUMIFS('Исходные данные'!$I$2:$I$964,'Исходные данные'!$D$2:$D$964,BS$1,'Исходные данные'!$F$2:$F$964,$A7)</f>
        <v>0</v>
      </c>
      <c r="BT7" s="5" t="n">
        <f aca="false">SUMIFS('Исходные данные'!$J$2:$J$964,'Исходные данные'!$D$2:$D$964,BS$1,'Исходные данные'!$F$2:$F$964,$A7)</f>
        <v>0</v>
      </c>
      <c r="BU7" s="7" t="n">
        <v>0</v>
      </c>
      <c r="BV7" s="7" t="n">
        <v>0</v>
      </c>
      <c r="BW7" s="5" t="n">
        <f aca="false">SUMIFS('Исходные данные'!$I$2:$I$964,'Исходные данные'!$D$2:$D$964,BW$1,'Исходные данные'!$F$2:$F$964,$A7)</f>
        <v>0</v>
      </c>
      <c r="BX7" s="5" t="n">
        <f aca="false">SUMIFS('Исходные данные'!$J$2:$J$964,'Исходные данные'!$D$2:$D$964,BW$1,'Исходные данные'!$F$2:$F$964,$A7)</f>
        <v>0</v>
      </c>
      <c r="BY7" s="7" t="n">
        <v>0</v>
      </c>
      <c r="BZ7" s="7" t="n">
        <v>0</v>
      </c>
      <c r="CA7" s="5" t="n">
        <f aca="false">SUMIFS('Исходные данные'!$I$2:$I$964,'Исходные данные'!$D$2:$D$964,CA$1,'Исходные данные'!$F$2:$F$964,$A7)</f>
        <v>0</v>
      </c>
      <c r="CB7" s="5" t="n">
        <f aca="false">SUMIFS('Исходные данные'!$J$2:$J$964,'Исходные данные'!$D$2:$D$964,CA$1,'Исходные данные'!$F$2:$F$964,$A7)</f>
        <v>0</v>
      </c>
      <c r="CC7" s="7" t="n">
        <v>0</v>
      </c>
      <c r="CD7" s="7" t="n">
        <v>0</v>
      </c>
      <c r="CE7" s="5" t="n">
        <f aca="false">SUMIFS('Исходные данные'!$I$2:$I$964,'Исходные данные'!$D$2:$D$964,CE$1,'Исходные данные'!$F$2:$F$964,$A7)</f>
        <v>0</v>
      </c>
      <c r="CF7" s="5" t="n">
        <f aca="false">SUMIFS('Исходные данные'!$J$2:$J$964,'Исходные данные'!$D$2:$D$964,CE$1,'Исходные данные'!$F$2:$F$964,$A7)</f>
        <v>0</v>
      </c>
      <c r="CG7" s="7" t="n">
        <v>0</v>
      </c>
      <c r="CH7" s="7" t="n">
        <v>0</v>
      </c>
      <c r="CI7" s="5" t="n">
        <f aca="false">SUMIFS('Исходные данные'!$I$2:$I$964,'Исходные данные'!$D$2:$D$964,CI$1,'Исходные данные'!$F$2:$F$964,$A7)</f>
        <v>0</v>
      </c>
      <c r="CJ7" s="5" t="n">
        <f aca="false">SUMIFS('Исходные данные'!$J$2:$J$964,'Исходные данные'!$D$2:$D$964,CI$1,'Исходные данные'!$F$2:$F$964,$A7)</f>
        <v>0</v>
      </c>
      <c r="CK7" s="7" t="n">
        <v>0</v>
      </c>
      <c r="CL7" s="7" t="n">
        <v>0</v>
      </c>
      <c r="CM7" s="5" t="n">
        <f aca="false">SUMIFS('Исходные данные'!$I$2:$I$964,'Исходные данные'!$D$2:$D$964,CM$1,'Исходные данные'!$F$2:$F$964,$A7)</f>
        <v>0</v>
      </c>
      <c r="CN7" s="5" t="n">
        <f aca="false">SUMIFS('Исходные данные'!$J$2:$J$964,'Исходные данные'!$D$2:$D$964,CM$1,'Исходные данные'!$F$2:$F$964,$A7)</f>
        <v>0</v>
      </c>
      <c r="CO7" s="7" t="n">
        <v>0</v>
      </c>
      <c r="CP7" s="7" t="n">
        <v>0</v>
      </c>
      <c r="CQ7" s="5" t="n">
        <f aca="false">SUMIFS('Исходные данные'!$I$2:$I$964,'Исходные данные'!$D$2:$D$964,CQ$1,'Исходные данные'!$F$2:$F$964,$A7)</f>
        <v>0</v>
      </c>
      <c r="CR7" s="5" t="n">
        <f aca="false">SUMIFS('Исходные данные'!$J$2:$J$964,'Исходные данные'!$D$2:$D$964,CQ$1,'Исходные данные'!$F$2:$F$964,$A7)</f>
        <v>0</v>
      </c>
      <c r="CS7" s="7" t="n">
        <v>0</v>
      </c>
      <c r="CT7" s="7" t="n">
        <v>0</v>
      </c>
      <c r="CU7" s="5" t="n">
        <f aca="false">SUMIFS('Исходные данные'!$I$2:$I$964,'Исходные данные'!$D$2:$D$964,CU$1,'Исходные данные'!$F$2:$F$964,$A7)</f>
        <v>0</v>
      </c>
      <c r="CV7" s="5" t="n">
        <f aca="false">SUMIFS('Исходные данные'!$J$2:$J$964,'Исходные данные'!$D$2:$D$964,CU$1,'Исходные данные'!$F$2:$F$964,$A7)</f>
        <v>0</v>
      </c>
      <c r="CW7" s="7" t="n">
        <v>0</v>
      </c>
      <c r="CX7" s="7" t="n">
        <v>0</v>
      </c>
      <c r="CY7" s="5" t="n">
        <f aca="false">SUMIFS('Исходные данные'!$I$2:$I$964,'Исходные данные'!$D$2:$D$964,CY$1,'Исходные данные'!$F$2:$F$964,$A7)</f>
        <v>0</v>
      </c>
      <c r="CZ7" s="5" t="n">
        <f aca="false">SUMIFS('Исходные данные'!$J$2:$J$964,'Исходные данные'!$D$2:$D$964,CY$1,'Исходные данные'!$F$2:$F$964,$A7)</f>
        <v>0</v>
      </c>
      <c r="DA7" s="7" t="n">
        <v>0</v>
      </c>
      <c r="DB7" s="7" t="n">
        <v>0</v>
      </c>
      <c r="DC7" s="5" t="n">
        <f aca="false">SUMIFS('Исходные данные'!$I$2:$I$964,'Исходные данные'!$D$2:$D$964,DC$1,'Исходные данные'!$F$2:$F$964,$A7)</f>
        <v>0</v>
      </c>
      <c r="DD7" s="5" t="n">
        <f aca="false">SUMIFS('Исходные данные'!$J$2:$J$964,'Исходные данные'!$D$2:$D$964,DC$1,'Исходные данные'!$F$2:$F$964,$A7)</f>
        <v>0</v>
      </c>
      <c r="DE7" s="7" t="n">
        <v>0</v>
      </c>
      <c r="DF7" s="7" t="n">
        <v>0</v>
      </c>
      <c r="DG7" s="5" t="n">
        <f aca="false">SUMIFS('Исходные данные'!$I$2:$I$964,'Исходные данные'!$D$2:$D$964,DG$1,'Исходные данные'!$F$2:$F$964,$A7)</f>
        <v>0</v>
      </c>
      <c r="DH7" s="5" t="n">
        <f aca="false">SUMIFS('Исходные данные'!$J$2:$J$964,'Исходные данные'!$D$2:$D$964,DG$1,'Исходные данные'!$F$2:$F$964,$A7)</f>
        <v>0</v>
      </c>
      <c r="DI7" s="7" t="n">
        <v>0</v>
      </c>
      <c r="DJ7" s="7" t="n">
        <v>0</v>
      </c>
      <c r="DK7" s="5" t="n">
        <f aca="false">SUMIFS('Исходные данные'!$I$2:$I$964,'Исходные данные'!$D$2:$D$964,DK$1,'Исходные данные'!$F$2:$F$964,$A7)</f>
        <v>0</v>
      </c>
      <c r="DL7" s="5" t="n">
        <f aca="false">SUMIFS('Исходные данные'!$J$2:$J$964,'Исходные данные'!$D$2:$D$964,DK$1,'Исходные данные'!$F$2:$F$964,$A7)</f>
        <v>0</v>
      </c>
      <c r="DM7" s="7" t="n">
        <v>0</v>
      </c>
      <c r="DN7" s="7" t="n">
        <v>0</v>
      </c>
      <c r="DO7" s="5" t="n">
        <f aca="false">SUMIFS('Исходные данные'!$I$2:$I$964,'Исходные данные'!$D$2:$D$964,DO$1,'Исходные данные'!$F$2:$F$964,$A7)</f>
        <v>0</v>
      </c>
      <c r="DP7" s="5" t="n">
        <f aca="false">SUMIFS('Исходные данные'!$J$2:$J$964,'Исходные данные'!$D$2:$D$964,DO$1,'Исходные данные'!$F$2:$F$964,$A7)</f>
        <v>0</v>
      </c>
      <c r="DQ7" s="7" t="n">
        <v>0</v>
      </c>
      <c r="DR7" s="7" t="n">
        <v>0</v>
      </c>
      <c r="DS7" s="5" t="n">
        <f aca="false">SUMIFS('Исходные данные'!$I$2:$I$964,'Исходные данные'!$D$2:$D$964,DS$1,'Исходные данные'!$F$2:$F$964,$A7)</f>
        <v>0</v>
      </c>
      <c r="DT7" s="5" t="n">
        <f aca="false">SUMIFS('Исходные данные'!$J$2:$J$964,'Исходные данные'!$D$2:$D$964,DS$1,'Исходные данные'!$F$2:$F$964,$A7)</f>
        <v>0</v>
      </c>
      <c r="DU7" s="7" t="n">
        <v>0</v>
      </c>
      <c r="DV7" s="7" t="n">
        <v>0</v>
      </c>
      <c r="DW7" s="5" t="n">
        <f aca="false">SUMIFS('Исходные данные'!$I$2:$I$964,'Исходные данные'!$D$2:$D$964,DW$1,'Исходные данные'!$F$2:$F$964,$A7)</f>
        <v>0</v>
      </c>
      <c r="DX7" s="5" t="n">
        <f aca="false">SUMIFS('Исходные данные'!$J$2:$J$964,'Исходные данные'!$D$2:$D$964,DW$1,'Исходные данные'!$F$2:$F$964,$A7)</f>
        <v>0</v>
      </c>
      <c r="DY7" s="7" t="n">
        <v>0</v>
      </c>
      <c r="DZ7" s="7" t="n">
        <v>0</v>
      </c>
      <c r="EA7" s="5" t="n">
        <f aca="false">SUMIFS('Исходные данные'!$I$2:$I$964,'Исходные данные'!$D$2:$D$964,EA$1,'Исходные данные'!$F$2:$F$964,$A7)</f>
        <v>0</v>
      </c>
      <c r="EB7" s="5" t="n">
        <f aca="false">SUMIFS('Исходные данные'!$J$2:$J$964,'Исходные данные'!$D$2:$D$964,EA$1,'Исходные данные'!$F$2:$F$964,$A7)</f>
        <v>0</v>
      </c>
      <c r="EC7" s="7" t="n">
        <v>0</v>
      </c>
      <c r="ED7" s="7" t="n">
        <v>0</v>
      </c>
      <c r="EE7" s="5" t="n">
        <f aca="false">SUMIFS('Исходные данные'!$I$2:$I$964,'Исходные данные'!$D$2:$D$964,EE$1,'Исходные данные'!$F$2:$F$964,$A7)</f>
        <v>0</v>
      </c>
      <c r="EF7" s="5" t="n">
        <f aca="false">SUMIFS('Исходные данные'!$J$2:$J$964,'Исходные данные'!$D$2:$D$964,EE$1,'Исходные данные'!$F$2:$F$964,$A7)</f>
        <v>0</v>
      </c>
      <c r="EG7" s="7" t="n">
        <v>0</v>
      </c>
      <c r="EH7" s="7" t="n">
        <v>0</v>
      </c>
      <c r="EI7" s="5" t="n">
        <f aca="false">SUMIFS('Исходные данные'!$I$2:$I$964,'Исходные данные'!$D$2:$D$964,EI$1,'Исходные данные'!$F$2:$F$964,$A7)</f>
        <v>0</v>
      </c>
      <c r="EJ7" s="5" t="n">
        <f aca="false">SUMIFS('Исходные данные'!$J$2:$J$964,'Исходные данные'!$D$2:$D$964,EI$1,'Исходные данные'!$F$2:$F$964,$A7)</f>
        <v>0</v>
      </c>
      <c r="EK7" s="7" t="n">
        <v>0</v>
      </c>
      <c r="EL7" s="7" t="n">
        <v>0</v>
      </c>
      <c r="EM7" s="5" t="n">
        <f aca="false">SUMIFS('Исходные данные'!$I$2:$I$964,'Исходные данные'!$D$2:$D$964,EM$1,'Исходные данные'!$F$2:$F$964,$A7)</f>
        <v>0</v>
      </c>
      <c r="EN7" s="5" t="n">
        <f aca="false">SUMIFS('Исходные данные'!$J$2:$J$964,'Исходные данные'!$D$2:$D$964,EM$1,'Исходные данные'!$F$2:$F$964,$A7)</f>
        <v>0</v>
      </c>
      <c r="EO7" s="7" t="n">
        <v>0</v>
      </c>
      <c r="EP7" s="7" t="n">
        <v>0</v>
      </c>
      <c r="EQ7" s="5" t="n">
        <f aca="false">SUMIFS('Исходные данные'!$I$2:$I$964,'Исходные данные'!$D$2:$D$964,EQ$1,'Исходные данные'!$F$2:$F$964,$A7)</f>
        <v>0</v>
      </c>
      <c r="ER7" s="5" t="n">
        <f aca="false">SUMIFS('Исходные данные'!$J$2:$J$964,'Исходные данные'!$D$2:$D$964,EQ$1,'Исходные данные'!$F$2:$F$964,$A7)</f>
        <v>0</v>
      </c>
      <c r="ES7" s="7" t="n">
        <v>0</v>
      </c>
      <c r="ET7" s="7" t="n">
        <v>0</v>
      </c>
      <c r="EU7" s="5" t="n">
        <f aca="false">SUMIFS('Исходные данные'!$I$2:$I$964,'Исходные данные'!$D$2:$D$964,EU$1,'Исходные данные'!$F$2:$F$964,$A7)</f>
        <v>0</v>
      </c>
      <c r="EV7" s="5" t="n">
        <f aca="false">SUMIFS('Исходные данные'!$J$2:$J$964,'Исходные данные'!$D$2:$D$964,EU$1,'Исходные данные'!$F$2:$F$964,$A7)</f>
        <v>0</v>
      </c>
      <c r="EW7" s="7" t="n">
        <v>0</v>
      </c>
      <c r="EX7" s="7" t="n">
        <v>0</v>
      </c>
      <c r="EY7" s="5" t="n">
        <f aca="false">SUMIFS('Исходные данные'!$I$2:$I$964,'Исходные данные'!$D$2:$D$964,EY$1,'Исходные данные'!$F$2:$F$964,$A7)</f>
        <v>0</v>
      </c>
      <c r="EZ7" s="5" t="n">
        <f aca="false">SUMIFS('Исходные данные'!$J$2:$J$964,'Исходные данные'!$D$2:$D$964,EY$1,'Исходные данные'!$F$2:$F$964,$A7)</f>
        <v>0</v>
      </c>
      <c r="FA7" s="7" t="n">
        <v>0</v>
      </c>
      <c r="FB7" s="7" t="n">
        <v>0</v>
      </c>
      <c r="FC7" s="5" t="n">
        <f aca="false">SUMIFS('Исходные данные'!$I$2:$I$964,'Исходные данные'!$D$2:$D$964,FC$1,'Исходные данные'!$F$2:$F$964,$A7)</f>
        <v>0</v>
      </c>
      <c r="FD7" s="5" t="n">
        <f aca="false">SUMIFS('Исходные данные'!$J$2:$J$964,'Исходные данные'!$D$2:$D$964,FC$1,'Исходные данные'!$F$2:$F$964,$A7)</f>
        <v>0</v>
      </c>
      <c r="FE7" s="7" t="n">
        <v>0</v>
      </c>
      <c r="FF7" s="7" t="n">
        <v>0</v>
      </c>
      <c r="FG7" s="5" t="n">
        <f aca="false">SUMIFS('Исходные данные'!$I$2:$I$964,'Исходные данные'!$D$2:$D$964,FG$1,'Исходные данные'!$F$2:$F$964,$A7)</f>
        <v>0</v>
      </c>
      <c r="FH7" s="5" t="n">
        <f aca="false">SUMIFS('Исходные данные'!$J$2:$J$964,'Исходные данные'!$D$2:$D$964,FG$1,'Исходные данные'!$F$2:$F$964,$A7)</f>
        <v>0</v>
      </c>
    </row>
    <row r="8" customFormat="false" ht="15" hidden="false" customHeight="false" outlineLevel="0" collapsed="false">
      <c r="A8" s="4" t="s">
        <v>59</v>
      </c>
      <c r="B8" s="5" t="s">
        <v>60</v>
      </c>
      <c r="C8" s="6" t="n">
        <v>19</v>
      </c>
      <c r="D8" s="6" t="n">
        <f aca="false">I8+J8+M8+N8+Q8+R8+U8+V8+Y8+Z8+AC8+AD8+AG8+AH8+AK8+AL8+AO8+AP8+AS8+AT8+AW8+AX8+BA8+BB8+BE8+BF8+BI8+BJ8+BM8+BN8+BQ8+BR8+BU8+BV8+BY8+BZ8+CC8+CD8+CG8+CH8+CK8+CL8+CO8+CP8+CS8+CT8+CW8+CX8+DA8+DB8+DE8+DF8+DI8+DJ8+DM8+DN8+DQ8+DR8+DU8+DV8+DY8+DZ8+EC8+ED8+EG8+EH8+EK8+EL8+EO8+EP8+ES8+ET8+EW8+EX8+FA8+FB8+FE8+FF8</f>
        <v>19</v>
      </c>
      <c r="E8" s="6" t="n">
        <f aca="false">G8+H8</f>
        <v>19</v>
      </c>
      <c r="F8" s="6" t="n">
        <f aca="false">E8-C8</f>
        <v>0</v>
      </c>
      <c r="G8" s="6" t="n">
        <f aca="false">K8+O8+S8+W8+AA8+AE8+AI8+AM8+AQ8+AU8+AY8+BC8+BG8+BK8+BO8+BS8+BW8+CA8+CE8+CI8+CM8+CQ8+CU8+CY8+DC8+DG8+DK8+DO8+DS8+DW8+EA8+EE8+EI8+EM8+EQ8+EU8+EY8+FC8+FG8</f>
        <v>14</v>
      </c>
      <c r="H8" s="6" t="n">
        <f aca="false">L8+P8+T8+X8+AB8+AF8+AJ8+AN8+AR8+AV8+AZ8+BD8+BH8+BL8+BP8+BT8+BX8+CB8+CF8+CJ8+CN8+CR8+CV8+CZ8+DD8+DH8+DL8+DP8+DT8+DX8+EB8+EF8+EJ8+EN8+ER8+EV8+EZ8+FD8+FH8</f>
        <v>5</v>
      </c>
      <c r="I8" s="7" t="n">
        <v>1</v>
      </c>
      <c r="J8" s="7" t="n">
        <v>0</v>
      </c>
      <c r="K8" s="5" t="n">
        <f aca="false">SUMIFS('Исходные данные'!$I$2:$I$964,'Исходные данные'!$D$2:$D$964,K$1,'Исходные данные'!$F$2:$F$964,$A8)</f>
        <v>1</v>
      </c>
      <c r="L8" s="5" t="n">
        <f aca="false">SUMIFS('Исходные данные'!$J$2:$J$964,'Исходные данные'!$D$2:$D$964,K$1,'Исходные данные'!$F$2:$F$964,$A8)</f>
        <v>0</v>
      </c>
      <c r="M8" s="7" t="n">
        <v>1</v>
      </c>
      <c r="N8" s="7" t="n">
        <v>0</v>
      </c>
      <c r="O8" s="5" t="n">
        <f aca="false">SUMIFS('Исходные данные'!$I$2:$I$964,'Исходные данные'!$D$2:$D$964,O$1,'Исходные данные'!$F$2:$F$964,$A8)</f>
        <v>1</v>
      </c>
      <c r="P8" s="5" t="n">
        <f aca="false">SUMIFS('Исходные данные'!$J$2:$J$964,'Исходные данные'!$D$2:$D$964,O$1,'Исходные данные'!$F$2:$F$964,$A8)</f>
        <v>0</v>
      </c>
      <c r="Q8" s="7" t="n">
        <v>1</v>
      </c>
      <c r="R8" s="7" t="n">
        <v>0</v>
      </c>
      <c r="S8" s="5" t="n">
        <f aca="false">SUMIFS('Исходные данные'!$I$2:$I$964,'Исходные данные'!$D$2:$D$964,S$1,'Исходные данные'!$F$2:$F$964,$A8)</f>
        <v>1</v>
      </c>
      <c r="T8" s="5" t="n">
        <f aca="false">SUMIFS('Исходные данные'!$J$2:$J$964,'Исходные данные'!$D$2:$D$964,S$1,'Исходные данные'!$F$2:$F$964,$A8)</f>
        <v>0</v>
      </c>
      <c r="U8" s="7" t="n">
        <v>0</v>
      </c>
      <c r="V8" s="7" t="n">
        <v>0</v>
      </c>
      <c r="W8" s="5" t="n">
        <f aca="false">SUMIFS('Исходные данные'!$I$2:$I$964,'Исходные данные'!$D$2:$D$964,W$1,'Исходные данные'!$F$2:$F$964,$A8)</f>
        <v>0</v>
      </c>
      <c r="X8" s="5" t="n">
        <f aca="false">SUMIFS('Исходные данные'!$J$2:$J$964,'Исходные данные'!$D$2:$D$964,W$1,'Исходные данные'!$F$2:$F$964,$A8)</f>
        <v>0</v>
      </c>
      <c r="Y8" s="7" t="n">
        <v>1</v>
      </c>
      <c r="Z8" s="7" t="n">
        <v>0</v>
      </c>
      <c r="AA8" s="5" t="n">
        <f aca="false">SUMIFS('Исходные данные'!$I$2:$I$964,'Исходные данные'!$D$2:$D$964,AA$1,'Исходные данные'!$F$2:$F$964,$A8)</f>
        <v>1</v>
      </c>
      <c r="AB8" s="5" t="n">
        <f aca="false">SUMIFS('Исходные данные'!$J$2:$J$964,'Исходные данные'!$D$2:$D$964,AA$1,'Исходные данные'!$F$2:$F$964,$A8)</f>
        <v>0</v>
      </c>
      <c r="AC8" s="7" t="n">
        <v>1</v>
      </c>
      <c r="AD8" s="7" t="n">
        <v>0</v>
      </c>
      <c r="AE8" s="5" t="n">
        <f aca="false">SUMIFS('Исходные данные'!$I$2:$I$964,'Исходные данные'!$D$2:$D$964,AE$1,'Исходные данные'!$F$2:$F$964,$A8)</f>
        <v>1</v>
      </c>
      <c r="AF8" s="5" t="n">
        <f aca="false">SUMIFS('Исходные данные'!$J$2:$J$964,'Исходные данные'!$D$2:$D$964,AE$1,'Исходные данные'!$F$2:$F$964,$A8)</f>
        <v>0</v>
      </c>
      <c r="AG8" s="7" t="n">
        <v>0</v>
      </c>
      <c r="AH8" s="7" t="n">
        <v>0</v>
      </c>
      <c r="AI8" s="5" t="n">
        <f aca="false">SUMIFS('Исходные данные'!$I$2:$I$964,'Исходные данные'!$D$2:$D$964,AI$1,'Исходные данные'!$F$2:$F$964,$A8)</f>
        <v>0</v>
      </c>
      <c r="AJ8" s="5" t="n">
        <f aca="false">SUMIFS('Исходные данные'!$J$2:$J$964,'Исходные данные'!$D$2:$D$964,AI$1,'Исходные данные'!$F$2:$F$964,$A8)</f>
        <v>0</v>
      </c>
      <c r="AK8" s="7" t="n">
        <v>1</v>
      </c>
      <c r="AL8" s="7" t="n">
        <v>0</v>
      </c>
      <c r="AM8" s="5" t="n">
        <f aca="false">SUMIFS('Исходные данные'!$I$2:$I$964,'Исходные данные'!$D$2:$D$964,AM$1,'Исходные данные'!$F$2:$F$964,$A8)</f>
        <v>1</v>
      </c>
      <c r="AN8" s="5" t="n">
        <f aca="false">SUMIFS('Исходные данные'!$J$2:$J$964,'Исходные данные'!$D$2:$D$964,AM$1,'Исходные данные'!$F$2:$F$964,$A8)</f>
        <v>0</v>
      </c>
      <c r="AO8" s="7" t="n">
        <v>0</v>
      </c>
      <c r="AP8" s="7" t="n">
        <v>0</v>
      </c>
      <c r="AQ8" s="5" t="n">
        <f aca="false">SUMIFS('Исходные данные'!$I$2:$I$964,'Исходные данные'!$D$2:$D$964,AQ$1,'Исходные данные'!$F$2:$F$964,$A8)</f>
        <v>0</v>
      </c>
      <c r="AR8" s="5" t="n">
        <f aca="false">SUMIFS('Исходные данные'!$J$2:$J$964,'Исходные данные'!$D$2:$D$964,AQ$1,'Исходные данные'!$F$2:$F$964,$A8)</f>
        <v>0</v>
      </c>
      <c r="AS8" s="7" t="n">
        <v>1</v>
      </c>
      <c r="AT8" s="7" t="n">
        <v>0</v>
      </c>
      <c r="AU8" s="5" t="n">
        <f aca="false">SUMIFS('Исходные данные'!$I$2:$I$964,'Исходные данные'!$D$2:$D$964,AU$1,'Исходные данные'!$F$2:$F$964,$A8)</f>
        <v>1</v>
      </c>
      <c r="AV8" s="5" t="n">
        <f aca="false">SUMIFS('Исходные данные'!$J$2:$J$964,'Исходные данные'!$D$2:$D$964,AU$1,'Исходные данные'!$F$2:$F$964,$A8)</f>
        <v>0</v>
      </c>
      <c r="AW8" s="7" t="n">
        <v>0</v>
      </c>
      <c r="AX8" s="7" t="n">
        <v>0</v>
      </c>
      <c r="AY8" s="5" t="n">
        <f aca="false">SUMIFS('Исходные данные'!$I$2:$I$964,'Исходные данные'!$D$2:$D$964,AY$1,'Исходные данные'!$F$2:$F$964,$A8)</f>
        <v>1</v>
      </c>
      <c r="AZ8" s="5" t="n">
        <f aca="false">SUMIFS('Исходные данные'!$J$2:$J$964,'Исходные данные'!$D$2:$D$964,AY$1,'Исходные данные'!$F$2:$F$964,$A8)</f>
        <v>0</v>
      </c>
      <c r="BA8" s="7" t="n">
        <v>1</v>
      </c>
      <c r="BB8" s="7" t="n">
        <v>0</v>
      </c>
      <c r="BC8" s="5" t="n">
        <f aca="false">SUMIFS('Исходные данные'!$I$2:$I$964,'Исходные данные'!$D$2:$D$964,BC$1,'Исходные данные'!$F$2:$F$964,$A8)</f>
        <v>0</v>
      </c>
      <c r="BD8" s="5" t="n">
        <f aca="false">SUMIFS('Исходные данные'!$J$2:$J$964,'Исходные данные'!$D$2:$D$964,BC$1,'Исходные данные'!$F$2:$F$964,$A8)</f>
        <v>0</v>
      </c>
      <c r="BE8" s="7" t="n">
        <v>0</v>
      </c>
      <c r="BF8" s="7" t="n">
        <v>0</v>
      </c>
      <c r="BG8" s="5" t="n">
        <f aca="false">SUMIFS('Исходные данные'!$I$2:$I$964,'Исходные данные'!$D$2:$D$964,BG$1,'Исходные данные'!$F$2:$F$964,$A8)</f>
        <v>0</v>
      </c>
      <c r="BH8" s="5" t="n">
        <f aca="false">SUMIFS('Исходные данные'!$J$2:$J$964,'Исходные данные'!$D$2:$D$964,BG$1,'Исходные данные'!$F$2:$F$964,$A8)</f>
        <v>0</v>
      </c>
      <c r="BI8" s="7" t="n">
        <v>3</v>
      </c>
      <c r="BJ8" s="7" t="n">
        <v>3</v>
      </c>
      <c r="BK8" s="5" t="n">
        <f aca="false">SUMIFS('Исходные данные'!$I$2:$I$964,'Исходные данные'!$D$2:$D$964,BK$1,'Исходные данные'!$F$2:$F$964,$A8)</f>
        <v>3</v>
      </c>
      <c r="BL8" s="5" t="n">
        <f aca="false">SUMIFS('Исходные данные'!$J$2:$J$964,'Исходные данные'!$D$2:$D$964,BK$1,'Исходные данные'!$F$2:$F$964,$A8)</f>
        <v>3</v>
      </c>
      <c r="BM8" s="7" t="n">
        <v>3</v>
      </c>
      <c r="BN8" s="7" t="n">
        <v>2</v>
      </c>
      <c r="BO8" s="5" t="n">
        <f aca="false">SUMIFS('Исходные данные'!$I$2:$I$964,'Исходные данные'!$D$2:$D$964,BO$1,'Исходные данные'!$F$2:$F$964,$A8)</f>
        <v>3</v>
      </c>
      <c r="BP8" s="5" t="n">
        <f aca="false">SUMIFS('Исходные данные'!$J$2:$J$964,'Исходные данные'!$D$2:$D$964,BO$1,'Исходные данные'!$F$2:$F$964,$A8)</f>
        <v>2</v>
      </c>
      <c r="BQ8" s="7" t="n">
        <v>0</v>
      </c>
      <c r="BR8" s="7" t="n">
        <v>0</v>
      </c>
      <c r="BS8" s="5" t="n">
        <f aca="false">SUMIFS('Исходные данные'!$I$2:$I$964,'Исходные данные'!$D$2:$D$964,BS$1,'Исходные данные'!$F$2:$F$964,$A8)</f>
        <v>0</v>
      </c>
      <c r="BT8" s="5" t="n">
        <f aca="false">SUMIFS('Исходные данные'!$J$2:$J$964,'Исходные данные'!$D$2:$D$964,BS$1,'Исходные данные'!$F$2:$F$964,$A8)</f>
        <v>0</v>
      </c>
      <c r="BU8" s="7" t="n">
        <v>0</v>
      </c>
      <c r="BV8" s="7" t="n">
        <v>0</v>
      </c>
      <c r="BW8" s="5" t="n">
        <f aca="false">SUMIFS('Исходные данные'!$I$2:$I$964,'Исходные данные'!$D$2:$D$964,BW$1,'Исходные данные'!$F$2:$F$964,$A8)</f>
        <v>0</v>
      </c>
      <c r="BX8" s="5" t="n">
        <f aca="false">SUMIFS('Исходные данные'!$J$2:$J$964,'Исходные данные'!$D$2:$D$964,BW$1,'Исходные данные'!$F$2:$F$964,$A8)</f>
        <v>0</v>
      </c>
      <c r="BY8" s="7" t="n">
        <v>0</v>
      </c>
      <c r="BZ8" s="7" t="n">
        <v>0</v>
      </c>
      <c r="CA8" s="5" t="n">
        <f aca="false">SUMIFS('Исходные данные'!$I$2:$I$964,'Исходные данные'!$D$2:$D$964,CA$1,'Исходные данные'!$F$2:$F$964,$A8)</f>
        <v>0</v>
      </c>
      <c r="CB8" s="5" t="n">
        <f aca="false">SUMIFS('Исходные данные'!$J$2:$J$964,'Исходные данные'!$D$2:$D$964,CA$1,'Исходные данные'!$F$2:$F$964,$A8)</f>
        <v>0</v>
      </c>
      <c r="CC8" s="7" t="n">
        <v>0</v>
      </c>
      <c r="CD8" s="7" t="n">
        <v>0</v>
      </c>
      <c r="CE8" s="5" t="n">
        <f aca="false">SUMIFS('Исходные данные'!$I$2:$I$964,'Исходные данные'!$D$2:$D$964,CE$1,'Исходные данные'!$F$2:$F$964,$A8)</f>
        <v>0</v>
      </c>
      <c r="CF8" s="5" t="n">
        <f aca="false">SUMIFS('Исходные данные'!$J$2:$J$964,'Исходные данные'!$D$2:$D$964,CE$1,'Исходные данные'!$F$2:$F$964,$A8)</f>
        <v>0</v>
      </c>
      <c r="CG8" s="7" t="n">
        <v>0</v>
      </c>
      <c r="CH8" s="7" t="n">
        <v>0</v>
      </c>
      <c r="CI8" s="5" t="n">
        <f aca="false">SUMIFS('Исходные данные'!$I$2:$I$964,'Исходные данные'!$D$2:$D$964,CI$1,'Исходные данные'!$F$2:$F$964,$A8)</f>
        <v>0</v>
      </c>
      <c r="CJ8" s="5" t="n">
        <f aca="false">SUMIFS('Исходные данные'!$J$2:$J$964,'Исходные данные'!$D$2:$D$964,CI$1,'Исходные данные'!$F$2:$F$964,$A8)</f>
        <v>0</v>
      </c>
      <c r="CK8" s="7" t="n">
        <v>0</v>
      </c>
      <c r="CL8" s="7" t="n">
        <v>0</v>
      </c>
      <c r="CM8" s="5" t="n">
        <f aca="false">SUMIFS('Исходные данные'!$I$2:$I$964,'Исходные данные'!$D$2:$D$964,CM$1,'Исходные данные'!$F$2:$F$964,$A8)</f>
        <v>0</v>
      </c>
      <c r="CN8" s="5" t="n">
        <f aca="false">SUMIFS('Исходные данные'!$J$2:$J$964,'Исходные данные'!$D$2:$D$964,CM$1,'Исходные данные'!$F$2:$F$964,$A8)</f>
        <v>0</v>
      </c>
      <c r="CO8" s="7" t="n">
        <v>0</v>
      </c>
      <c r="CP8" s="7" t="n">
        <v>0</v>
      </c>
      <c r="CQ8" s="5" t="n">
        <f aca="false">SUMIFS('Исходные данные'!$I$2:$I$964,'Исходные данные'!$D$2:$D$964,CQ$1,'Исходные данные'!$F$2:$F$964,$A8)</f>
        <v>0</v>
      </c>
      <c r="CR8" s="5" t="n">
        <f aca="false">SUMIFS('Исходные данные'!$J$2:$J$964,'Исходные данные'!$D$2:$D$964,CQ$1,'Исходные данные'!$F$2:$F$964,$A8)</f>
        <v>0</v>
      </c>
      <c r="CS8" s="7" t="n">
        <v>0</v>
      </c>
      <c r="CT8" s="7" t="n">
        <v>0</v>
      </c>
      <c r="CU8" s="5" t="n">
        <f aca="false">SUMIFS('Исходные данные'!$I$2:$I$964,'Исходные данные'!$D$2:$D$964,CU$1,'Исходные данные'!$F$2:$F$964,$A8)</f>
        <v>0</v>
      </c>
      <c r="CV8" s="5" t="n">
        <f aca="false">SUMIFS('Исходные данные'!$J$2:$J$964,'Исходные данные'!$D$2:$D$964,CU$1,'Исходные данные'!$F$2:$F$964,$A8)</f>
        <v>0</v>
      </c>
      <c r="CW8" s="7" t="n">
        <v>0</v>
      </c>
      <c r="CX8" s="7" t="n">
        <v>0</v>
      </c>
      <c r="CY8" s="5" t="n">
        <f aca="false">SUMIFS('Исходные данные'!$I$2:$I$964,'Исходные данные'!$D$2:$D$964,CY$1,'Исходные данные'!$F$2:$F$964,$A8)</f>
        <v>0</v>
      </c>
      <c r="CZ8" s="5" t="n">
        <f aca="false">SUMIFS('Исходные данные'!$J$2:$J$964,'Исходные данные'!$D$2:$D$964,CY$1,'Исходные данные'!$F$2:$F$964,$A8)</f>
        <v>0</v>
      </c>
      <c r="DA8" s="7" t="n">
        <v>0</v>
      </c>
      <c r="DB8" s="7" t="n">
        <v>0</v>
      </c>
      <c r="DC8" s="5" t="n">
        <f aca="false">SUMIFS('Исходные данные'!$I$2:$I$964,'Исходные данные'!$D$2:$D$964,DC$1,'Исходные данные'!$F$2:$F$964,$A8)</f>
        <v>0</v>
      </c>
      <c r="DD8" s="5" t="n">
        <f aca="false">SUMIFS('Исходные данные'!$J$2:$J$964,'Исходные данные'!$D$2:$D$964,DC$1,'Исходные данные'!$F$2:$F$964,$A8)</f>
        <v>0</v>
      </c>
      <c r="DE8" s="7" t="n">
        <v>0</v>
      </c>
      <c r="DF8" s="7" t="n">
        <v>0</v>
      </c>
      <c r="DG8" s="5" t="n">
        <f aca="false">SUMIFS('Исходные данные'!$I$2:$I$964,'Исходные данные'!$D$2:$D$964,DG$1,'Исходные данные'!$F$2:$F$964,$A8)</f>
        <v>0</v>
      </c>
      <c r="DH8" s="5" t="n">
        <f aca="false">SUMIFS('Исходные данные'!$J$2:$J$964,'Исходные данные'!$D$2:$D$964,DG$1,'Исходные данные'!$F$2:$F$964,$A8)</f>
        <v>0</v>
      </c>
      <c r="DI8" s="7" t="n">
        <v>0</v>
      </c>
      <c r="DJ8" s="7" t="n">
        <v>0</v>
      </c>
      <c r="DK8" s="5" t="n">
        <f aca="false">SUMIFS('Исходные данные'!$I$2:$I$964,'Исходные данные'!$D$2:$D$964,DK$1,'Исходные данные'!$F$2:$F$964,$A8)</f>
        <v>0</v>
      </c>
      <c r="DL8" s="5" t="n">
        <f aca="false">SUMIFS('Исходные данные'!$J$2:$J$964,'Исходные данные'!$D$2:$D$964,DK$1,'Исходные данные'!$F$2:$F$964,$A8)</f>
        <v>0</v>
      </c>
      <c r="DM8" s="7" t="n">
        <v>0</v>
      </c>
      <c r="DN8" s="7" t="n">
        <v>0</v>
      </c>
      <c r="DO8" s="5" t="n">
        <f aca="false">SUMIFS('Исходные данные'!$I$2:$I$964,'Исходные данные'!$D$2:$D$964,DO$1,'Исходные данные'!$F$2:$F$964,$A8)</f>
        <v>0</v>
      </c>
      <c r="DP8" s="5" t="n">
        <f aca="false">SUMIFS('Исходные данные'!$J$2:$J$964,'Исходные данные'!$D$2:$D$964,DO$1,'Исходные данные'!$F$2:$F$964,$A8)</f>
        <v>0</v>
      </c>
      <c r="DQ8" s="7" t="n">
        <v>0</v>
      </c>
      <c r="DR8" s="7" t="n">
        <v>0</v>
      </c>
      <c r="DS8" s="5" t="n">
        <f aca="false">SUMIFS('Исходные данные'!$I$2:$I$964,'Исходные данные'!$D$2:$D$964,DS$1,'Исходные данные'!$F$2:$F$964,$A8)</f>
        <v>0</v>
      </c>
      <c r="DT8" s="5" t="n">
        <f aca="false">SUMIFS('Исходные данные'!$J$2:$J$964,'Исходные данные'!$D$2:$D$964,DS$1,'Исходные данные'!$F$2:$F$964,$A8)</f>
        <v>0</v>
      </c>
      <c r="DU8" s="7" t="n">
        <v>0</v>
      </c>
      <c r="DV8" s="7" t="n">
        <v>0</v>
      </c>
      <c r="DW8" s="5" t="n">
        <f aca="false">SUMIFS('Исходные данные'!$I$2:$I$964,'Исходные данные'!$D$2:$D$964,DW$1,'Исходные данные'!$F$2:$F$964,$A8)</f>
        <v>0</v>
      </c>
      <c r="DX8" s="5" t="n">
        <f aca="false">SUMIFS('Исходные данные'!$J$2:$J$964,'Исходные данные'!$D$2:$D$964,DW$1,'Исходные данные'!$F$2:$F$964,$A8)</f>
        <v>0</v>
      </c>
      <c r="DY8" s="7" t="n">
        <v>0</v>
      </c>
      <c r="DZ8" s="7" t="n">
        <v>0</v>
      </c>
      <c r="EA8" s="5" t="n">
        <f aca="false">SUMIFS('Исходные данные'!$I$2:$I$964,'Исходные данные'!$D$2:$D$964,EA$1,'Исходные данные'!$F$2:$F$964,$A8)</f>
        <v>0</v>
      </c>
      <c r="EB8" s="5" t="n">
        <f aca="false">SUMIFS('Исходные данные'!$J$2:$J$964,'Исходные данные'!$D$2:$D$964,EA$1,'Исходные данные'!$F$2:$F$964,$A8)</f>
        <v>0</v>
      </c>
      <c r="EC8" s="7" t="n">
        <v>0</v>
      </c>
      <c r="ED8" s="7" t="n">
        <v>0</v>
      </c>
      <c r="EE8" s="5" t="n">
        <f aca="false">SUMIFS('Исходные данные'!$I$2:$I$964,'Исходные данные'!$D$2:$D$964,EE$1,'Исходные данные'!$F$2:$F$964,$A8)</f>
        <v>0</v>
      </c>
      <c r="EF8" s="5" t="n">
        <f aca="false">SUMIFS('Исходные данные'!$J$2:$J$964,'Исходные данные'!$D$2:$D$964,EE$1,'Исходные данные'!$F$2:$F$964,$A8)</f>
        <v>0</v>
      </c>
      <c r="EG8" s="7" t="n">
        <v>0</v>
      </c>
      <c r="EH8" s="7" t="n">
        <v>0</v>
      </c>
      <c r="EI8" s="5" t="n">
        <f aca="false">SUMIFS('Исходные данные'!$I$2:$I$964,'Исходные данные'!$D$2:$D$964,EI$1,'Исходные данные'!$F$2:$F$964,$A8)</f>
        <v>0</v>
      </c>
      <c r="EJ8" s="5" t="n">
        <f aca="false">SUMIFS('Исходные данные'!$J$2:$J$964,'Исходные данные'!$D$2:$D$964,EI$1,'Исходные данные'!$F$2:$F$964,$A8)</f>
        <v>0</v>
      </c>
      <c r="EK8" s="7" t="n">
        <v>0</v>
      </c>
      <c r="EL8" s="7" t="n">
        <v>0</v>
      </c>
      <c r="EM8" s="5" t="n">
        <f aca="false">SUMIFS('Исходные данные'!$I$2:$I$964,'Исходные данные'!$D$2:$D$964,EM$1,'Исходные данные'!$F$2:$F$964,$A8)</f>
        <v>0</v>
      </c>
      <c r="EN8" s="5" t="n">
        <f aca="false">SUMIFS('Исходные данные'!$J$2:$J$964,'Исходные данные'!$D$2:$D$964,EM$1,'Исходные данные'!$F$2:$F$964,$A8)</f>
        <v>0</v>
      </c>
      <c r="EO8" s="7" t="n">
        <v>0</v>
      </c>
      <c r="EP8" s="7" t="n">
        <v>0</v>
      </c>
      <c r="EQ8" s="5" t="n">
        <f aca="false">SUMIFS('Исходные данные'!$I$2:$I$964,'Исходные данные'!$D$2:$D$964,EQ$1,'Исходные данные'!$F$2:$F$964,$A8)</f>
        <v>0</v>
      </c>
      <c r="ER8" s="5" t="n">
        <f aca="false">SUMIFS('Исходные данные'!$J$2:$J$964,'Исходные данные'!$D$2:$D$964,EQ$1,'Исходные данные'!$F$2:$F$964,$A8)</f>
        <v>0</v>
      </c>
      <c r="ES8" s="7" t="n">
        <v>0</v>
      </c>
      <c r="ET8" s="7" t="n">
        <v>0</v>
      </c>
      <c r="EU8" s="5" t="n">
        <f aca="false">SUMIFS('Исходные данные'!$I$2:$I$964,'Исходные данные'!$D$2:$D$964,EU$1,'Исходные данные'!$F$2:$F$964,$A8)</f>
        <v>0</v>
      </c>
      <c r="EV8" s="5" t="n">
        <f aca="false">SUMIFS('Исходные данные'!$J$2:$J$964,'Исходные данные'!$D$2:$D$964,EU$1,'Исходные данные'!$F$2:$F$964,$A8)</f>
        <v>0</v>
      </c>
      <c r="EW8" s="7" t="n">
        <v>0</v>
      </c>
      <c r="EX8" s="7" t="n">
        <v>0</v>
      </c>
      <c r="EY8" s="5" t="n">
        <f aca="false">SUMIFS('Исходные данные'!$I$2:$I$964,'Исходные данные'!$D$2:$D$964,EY$1,'Исходные данные'!$F$2:$F$964,$A8)</f>
        <v>0</v>
      </c>
      <c r="EZ8" s="5" t="n">
        <f aca="false">SUMIFS('Исходные данные'!$J$2:$J$964,'Исходные данные'!$D$2:$D$964,EY$1,'Исходные данные'!$F$2:$F$964,$A8)</f>
        <v>0</v>
      </c>
      <c r="FA8" s="7" t="n">
        <v>0</v>
      </c>
      <c r="FB8" s="7" t="n">
        <v>0</v>
      </c>
      <c r="FC8" s="5" t="n">
        <f aca="false">SUMIFS('Исходные данные'!$I$2:$I$964,'Исходные данные'!$D$2:$D$964,FC$1,'Исходные данные'!$F$2:$F$964,$A8)</f>
        <v>0</v>
      </c>
      <c r="FD8" s="5" t="n">
        <f aca="false">SUMIFS('Исходные данные'!$J$2:$J$964,'Исходные данные'!$D$2:$D$964,FC$1,'Исходные данные'!$F$2:$F$964,$A8)</f>
        <v>0</v>
      </c>
      <c r="FE8" s="7" t="n">
        <v>0</v>
      </c>
      <c r="FF8" s="7" t="n">
        <v>0</v>
      </c>
      <c r="FG8" s="5" t="n">
        <f aca="false">SUMIFS('Исходные данные'!$I$2:$I$964,'Исходные данные'!$D$2:$D$964,FG$1,'Исходные данные'!$F$2:$F$964,$A8)</f>
        <v>0</v>
      </c>
      <c r="FH8" s="5" t="n">
        <f aca="false">SUMIFS('Исходные данные'!$J$2:$J$964,'Исходные данные'!$D$2:$D$964,FG$1,'Исходные данные'!$F$2:$F$964,$A8)</f>
        <v>0</v>
      </c>
    </row>
    <row r="9" customFormat="false" ht="15" hidden="false" customHeight="false" outlineLevel="0" collapsed="false">
      <c r="A9" s="4" t="s">
        <v>61</v>
      </c>
      <c r="B9" s="5" t="s">
        <v>62</v>
      </c>
      <c r="C9" s="6" t="n">
        <v>43</v>
      </c>
      <c r="D9" s="6" t="n">
        <f aca="false">I9+J9+M9+N9+Q9+R9+U9+V9+Y9+Z9+AC9+AD9+AG9+AH9+AK9+AL9+AO9+AP9+AS9+AT9+AW9+AX9+BA9+BB9+BE9+BF9+BI9+BJ9+BM9+BN9+BQ9+BR9+BU9+BV9+BY9+BZ9+CC9+CD9+CG9+CH9+CK9+CL9+CO9+CP9+CS9+CT9+CW9+CX9+DA9+DB9+DE9+DF9+DI9+DJ9+DM9+DN9+DQ9+DR9+DU9+DV9+DY9+DZ9+EC9+ED9+EG9+EH9+EK9+EL9+EO9+EP9+ES9+ET9+EW9+EX9+FA9+FB9+FE9+FF9</f>
        <v>43</v>
      </c>
      <c r="E9" s="6" t="n">
        <f aca="false">G9+H9</f>
        <v>43</v>
      </c>
      <c r="F9" s="6" t="n">
        <f aca="false">E9-C9</f>
        <v>0</v>
      </c>
      <c r="G9" s="6" t="n">
        <f aca="false">K9+O9+S9+W9+AA9+AE9+AI9+AM9+AQ9+AU9+AY9+BC9+BG9+BK9+BO9+BS9+BW9+CA9+CE9+CI9+CM9+CQ9+CU9+CY9+DC9+DG9+DK9+DO9+DS9+DW9+EA9+EE9+EI9+EM9+EQ9+EU9+EY9+FC9+FG9</f>
        <v>27</v>
      </c>
      <c r="H9" s="6" t="n">
        <f aca="false">L9+P9+T9+X9+AB9+AF9+AJ9+AN9+AR9+AV9+AZ9+BD9+BH9+BL9+BP9+BT9+BX9+CB9+CF9+CJ9+CN9+CR9+CV9+CZ9+DD9+DH9+DL9+DP9+DT9+DX9+EB9+EF9+EJ9+EN9+ER9+EV9+EZ9+FD9+FH9</f>
        <v>16</v>
      </c>
      <c r="I9" s="7" t="n">
        <v>4</v>
      </c>
      <c r="J9" s="7" t="n">
        <v>1</v>
      </c>
      <c r="K9" s="5" t="n">
        <f aca="false">SUMIFS('Исходные данные'!$I$2:$I$964,'Исходные данные'!$D$2:$D$964,K$1,'Исходные данные'!$F$2:$F$964,$A9)</f>
        <v>4</v>
      </c>
      <c r="L9" s="5" t="n">
        <f aca="false">SUMIFS('Исходные данные'!$J$2:$J$964,'Исходные данные'!$D$2:$D$964,K$1,'Исходные данные'!$F$2:$F$964,$A9)</f>
        <v>1</v>
      </c>
      <c r="M9" s="7" t="n">
        <v>1</v>
      </c>
      <c r="N9" s="7" t="n">
        <v>0</v>
      </c>
      <c r="O9" s="5" t="n">
        <f aca="false">SUMIFS('Исходные данные'!$I$2:$I$964,'Исходные данные'!$D$2:$D$964,O$1,'Исходные данные'!$F$2:$F$964,$A9)</f>
        <v>0</v>
      </c>
      <c r="P9" s="5" t="n">
        <f aca="false">SUMIFS('Исходные данные'!$J$2:$J$964,'Исходные данные'!$D$2:$D$964,O$1,'Исходные данные'!$F$2:$F$964,$A9)</f>
        <v>0</v>
      </c>
      <c r="Q9" s="7" t="n">
        <v>11</v>
      </c>
      <c r="R9" s="7" t="n">
        <v>3</v>
      </c>
      <c r="S9" s="5" t="n">
        <f aca="false">SUMIFS('Исходные данные'!$I$2:$I$964,'Исходные данные'!$D$2:$D$964,S$1,'Исходные данные'!$F$2:$F$964,$A9)</f>
        <v>12</v>
      </c>
      <c r="T9" s="5" t="n">
        <f aca="false">SUMIFS('Исходные данные'!$J$2:$J$964,'Исходные данные'!$D$2:$D$964,S$1,'Исходные данные'!$F$2:$F$964,$A9)</f>
        <v>3</v>
      </c>
      <c r="U9" s="7" t="n">
        <v>0</v>
      </c>
      <c r="V9" s="7" t="n">
        <v>0</v>
      </c>
      <c r="W9" s="5" t="n">
        <f aca="false">SUMIFS('Исходные данные'!$I$2:$I$964,'Исходные данные'!$D$2:$D$964,W$1,'Исходные данные'!$F$2:$F$964,$A9)</f>
        <v>0</v>
      </c>
      <c r="X9" s="5" t="n">
        <f aca="false">SUMIFS('Исходные данные'!$J$2:$J$964,'Исходные данные'!$D$2:$D$964,W$1,'Исходные данные'!$F$2:$F$964,$A9)</f>
        <v>0</v>
      </c>
      <c r="Y9" s="7" t="n">
        <v>0</v>
      </c>
      <c r="Z9" s="7" t="n">
        <v>0</v>
      </c>
      <c r="AA9" s="5" t="n">
        <f aca="false">SUMIFS('Исходные данные'!$I$2:$I$964,'Исходные данные'!$D$2:$D$964,AA$1,'Исходные данные'!$F$2:$F$964,$A9)</f>
        <v>0</v>
      </c>
      <c r="AB9" s="5" t="n">
        <f aca="false">SUMIFS('Исходные данные'!$J$2:$J$964,'Исходные данные'!$D$2:$D$964,AA$1,'Исходные данные'!$F$2:$F$964,$A9)</f>
        <v>0</v>
      </c>
      <c r="AC9" s="7" t="n">
        <v>0</v>
      </c>
      <c r="AD9" s="7" t="n">
        <v>0</v>
      </c>
      <c r="AE9" s="5" t="n">
        <f aca="false">SUMIFS('Исходные данные'!$I$2:$I$964,'Исходные данные'!$D$2:$D$964,AE$1,'Исходные данные'!$F$2:$F$964,$A9)</f>
        <v>0</v>
      </c>
      <c r="AF9" s="5" t="n">
        <f aca="false">SUMIFS('Исходные данные'!$J$2:$J$964,'Исходные данные'!$D$2:$D$964,AE$1,'Исходные данные'!$F$2:$F$964,$A9)</f>
        <v>0</v>
      </c>
      <c r="AG9" s="7" t="n">
        <v>0</v>
      </c>
      <c r="AH9" s="7" t="n">
        <v>0</v>
      </c>
      <c r="AI9" s="5" t="n">
        <f aca="false">SUMIFS('Исходные данные'!$I$2:$I$964,'Исходные данные'!$D$2:$D$964,AI$1,'Исходные данные'!$F$2:$F$964,$A9)</f>
        <v>0</v>
      </c>
      <c r="AJ9" s="5" t="n">
        <f aca="false">SUMIFS('Исходные данные'!$J$2:$J$964,'Исходные данные'!$D$2:$D$964,AI$1,'Исходные данные'!$F$2:$F$964,$A9)</f>
        <v>0</v>
      </c>
      <c r="AK9" s="7" t="n">
        <v>0</v>
      </c>
      <c r="AL9" s="7" t="n">
        <v>0</v>
      </c>
      <c r="AM9" s="5" t="n">
        <f aca="false">SUMIFS('Исходные данные'!$I$2:$I$964,'Исходные данные'!$D$2:$D$964,AM$1,'Исходные данные'!$F$2:$F$964,$A9)</f>
        <v>0</v>
      </c>
      <c r="AN9" s="5" t="n">
        <f aca="false">SUMIFS('Исходные данные'!$J$2:$J$964,'Исходные данные'!$D$2:$D$964,AM$1,'Исходные данные'!$F$2:$F$964,$A9)</f>
        <v>0</v>
      </c>
      <c r="AO9" s="7" t="n">
        <v>0</v>
      </c>
      <c r="AP9" s="7" t="n">
        <v>0</v>
      </c>
      <c r="AQ9" s="5" t="n">
        <f aca="false">SUMIFS('Исходные данные'!$I$2:$I$964,'Исходные данные'!$D$2:$D$964,AQ$1,'Исходные данные'!$F$2:$F$964,$A9)</f>
        <v>0</v>
      </c>
      <c r="AR9" s="5" t="n">
        <f aca="false">SUMIFS('Исходные данные'!$J$2:$J$964,'Исходные данные'!$D$2:$D$964,AQ$1,'Исходные данные'!$F$2:$F$964,$A9)</f>
        <v>0</v>
      </c>
      <c r="AS9" s="7" t="n">
        <v>0</v>
      </c>
      <c r="AT9" s="7" t="n">
        <v>0</v>
      </c>
      <c r="AU9" s="5" t="n">
        <f aca="false">SUMIFS('Исходные данные'!$I$2:$I$964,'Исходные данные'!$D$2:$D$964,AU$1,'Исходные данные'!$F$2:$F$964,$A9)</f>
        <v>0</v>
      </c>
      <c r="AV9" s="5" t="n">
        <f aca="false">SUMIFS('Исходные данные'!$J$2:$J$964,'Исходные данные'!$D$2:$D$964,AU$1,'Исходные данные'!$F$2:$F$964,$A9)</f>
        <v>0</v>
      </c>
      <c r="AW9" s="7" t="n">
        <v>0</v>
      </c>
      <c r="AX9" s="7" t="n">
        <v>0</v>
      </c>
      <c r="AY9" s="5" t="n">
        <f aca="false">SUMIFS('Исходные данные'!$I$2:$I$964,'Исходные данные'!$D$2:$D$964,AY$1,'Исходные данные'!$F$2:$F$964,$A9)</f>
        <v>0</v>
      </c>
      <c r="AZ9" s="5" t="n">
        <f aca="false">SUMIFS('Исходные данные'!$J$2:$J$964,'Исходные данные'!$D$2:$D$964,AY$1,'Исходные данные'!$F$2:$F$964,$A9)</f>
        <v>0</v>
      </c>
      <c r="BA9" s="7" t="n">
        <v>0</v>
      </c>
      <c r="BB9" s="7" t="n">
        <v>0</v>
      </c>
      <c r="BC9" s="5" t="n">
        <f aca="false">SUMIFS('Исходные данные'!$I$2:$I$964,'Исходные данные'!$D$2:$D$964,BC$1,'Исходные данные'!$F$2:$F$964,$A9)</f>
        <v>1</v>
      </c>
      <c r="BD9" s="5" t="n">
        <f aca="false">SUMIFS('Исходные данные'!$J$2:$J$964,'Исходные данные'!$D$2:$D$964,BC$1,'Исходные данные'!$F$2:$F$964,$A9)</f>
        <v>0</v>
      </c>
      <c r="BE9" s="7" t="n">
        <v>0</v>
      </c>
      <c r="BF9" s="7" t="n">
        <v>0</v>
      </c>
      <c r="BG9" s="5" t="n">
        <f aca="false">SUMIFS('Исходные данные'!$I$2:$I$964,'Исходные данные'!$D$2:$D$964,BG$1,'Исходные данные'!$F$2:$F$964,$A9)</f>
        <v>0</v>
      </c>
      <c r="BH9" s="5" t="n">
        <f aca="false">SUMIFS('Исходные данные'!$J$2:$J$964,'Исходные данные'!$D$2:$D$964,BG$1,'Исходные данные'!$F$2:$F$964,$A9)</f>
        <v>0</v>
      </c>
      <c r="BI9" s="7" t="n">
        <v>6</v>
      </c>
      <c r="BJ9" s="7" t="n">
        <v>7</v>
      </c>
      <c r="BK9" s="5" t="n">
        <f aca="false">SUMIFS('Исходные данные'!$I$2:$I$964,'Исходные данные'!$D$2:$D$964,BK$1,'Исходные данные'!$F$2:$F$964,$A9)</f>
        <v>5</v>
      </c>
      <c r="BL9" s="5" t="n">
        <f aca="false">SUMIFS('Исходные данные'!$J$2:$J$964,'Исходные данные'!$D$2:$D$964,BK$1,'Исходные данные'!$F$2:$F$964,$A9)</f>
        <v>7</v>
      </c>
      <c r="BM9" s="7" t="n">
        <v>5</v>
      </c>
      <c r="BN9" s="7" t="n">
        <v>5</v>
      </c>
      <c r="BO9" s="5" t="n">
        <f aca="false">SUMIFS('Исходные данные'!$I$2:$I$964,'Исходные данные'!$D$2:$D$964,BO$1,'Исходные данные'!$F$2:$F$964,$A9)</f>
        <v>5</v>
      </c>
      <c r="BP9" s="5" t="n">
        <f aca="false">SUMIFS('Исходные данные'!$J$2:$J$964,'Исходные данные'!$D$2:$D$964,BO$1,'Исходные данные'!$F$2:$F$964,$A9)</f>
        <v>5</v>
      </c>
      <c r="BQ9" s="7" t="n">
        <v>0</v>
      </c>
      <c r="BR9" s="7" t="n">
        <v>0</v>
      </c>
      <c r="BS9" s="5" t="n">
        <f aca="false">SUMIFS('Исходные данные'!$I$2:$I$964,'Исходные данные'!$D$2:$D$964,BS$1,'Исходные данные'!$F$2:$F$964,$A9)</f>
        <v>0</v>
      </c>
      <c r="BT9" s="5" t="n">
        <f aca="false">SUMIFS('Исходные данные'!$J$2:$J$964,'Исходные данные'!$D$2:$D$964,BS$1,'Исходные данные'!$F$2:$F$964,$A9)</f>
        <v>0</v>
      </c>
      <c r="BU9" s="7" t="n">
        <v>0</v>
      </c>
      <c r="BV9" s="7" t="n">
        <v>0</v>
      </c>
      <c r="BW9" s="5" t="n">
        <f aca="false">SUMIFS('Исходные данные'!$I$2:$I$964,'Исходные данные'!$D$2:$D$964,BW$1,'Исходные данные'!$F$2:$F$964,$A9)</f>
        <v>0</v>
      </c>
      <c r="BX9" s="5" t="n">
        <f aca="false">SUMIFS('Исходные данные'!$J$2:$J$964,'Исходные данные'!$D$2:$D$964,BW$1,'Исходные данные'!$F$2:$F$964,$A9)</f>
        <v>0</v>
      </c>
      <c r="BY9" s="7" t="n">
        <v>0</v>
      </c>
      <c r="BZ9" s="7" t="n">
        <v>0</v>
      </c>
      <c r="CA9" s="5" t="n">
        <f aca="false">SUMIFS('Исходные данные'!$I$2:$I$964,'Исходные данные'!$D$2:$D$964,CA$1,'Исходные данные'!$F$2:$F$964,$A9)</f>
        <v>0</v>
      </c>
      <c r="CB9" s="5" t="n">
        <f aca="false">SUMIFS('Исходные данные'!$J$2:$J$964,'Исходные данные'!$D$2:$D$964,CA$1,'Исходные данные'!$F$2:$F$964,$A9)</f>
        <v>0</v>
      </c>
      <c r="CC9" s="7" t="n">
        <v>0</v>
      </c>
      <c r="CD9" s="7" t="n">
        <v>0</v>
      </c>
      <c r="CE9" s="5" t="n">
        <f aca="false">SUMIFS('Исходные данные'!$I$2:$I$964,'Исходные данные'!$D$2:$D$964,CE$1,'Исходные данные'!$F$2:$F$964,$A9)</f>
        <v>0</v>
      </c>
      <c r="CF9" s="5" t="n">
        <f aca="false">SUMIFS('Исходные данные'!$J$2:$J$964,'Исходные данные'!$D$2:$D$964,CE$1,'Исходные данные'!$F$2:$F$964,$A9)</f>
        <v>0</v>
      </c>
      <c r="CG9" s="7" t="n">
        <v>0</v>
      </c>
      <c r="CH9" s="7" t="n">
        <v>0</v>
      </c>
      <c r="CI9" s="5" t="n">
        <f aca="false">SUMIFS('Исходные данные'!$I$2:$I$964,'Исходные данные'!$D$2:$D$964,CI$1,'Исходные данные'!$F$2:$F$964,$A9)</f>
        <v>0</v>
      </c>
      <c r="CJ9" s="5" t="n">
        <f aca="false">SUMIFS('Исходные данные'!$J$2:$J$964,'Исходные данные'!$D$2:$D$964,CI$1,'Исходные данные'!$F$2:$F$964,$A9)</f>
        <v>0</v>
      </c>
      <c r="CK9" s="7" t="n">
        <v>0</v>
      </c>
      <c r="CL9" s="7" t="n">
        <v>0</v>
      </c>
      <c r="CM9" s="5" t="n">
        <f aca="false">SUMIFS('Исходные данные'!$I$2:$I$964,'Исходные данные'!$D$2:$D$964,CM$1,'Исходные данные'!$F$2:$F$964,$A9)</f>
        <v>0</v>
      </c>
      <c r="CN9" s="5" t="n">
        <f aca="false">SUMIFS('Исходные данные'!$J$2:$J$964,'Исходные данные'!$D$2:$D$964,CM$1,'Исходные данные'!$F$2:$F$964,$A9)</f>
        <v>0</v>
      </c>
      <c r="CO9" s="7" t="n">
        <v>0</v>
      </c>
      <c r="CP9" s="7" t="n">
        <v>0</v>
      </c>
      <c r="CQ9" s="5" t="n">
        <f aca="false">SUMIFS('Исходные данные'!$I$2:$I$964,'Исходные данные'!$D$2:$D$964,CQ$1,'Исходные данные'!$F$2:$F$964,$A9)</f>
        <v>0</v>
      </c>
      <c r="CR9" s="5" t="n">
        <f aca="false">SUMIFS('Исходные данные'!$J$2:$J$964,'Исходные данные'!$D$2:$D$964,CQ$1,'Исходные данные'!$F$2:$F$964,$A9)</f>
        <v>0</v>
      </c>
      <c r="CS9" s="7" t="n">
        <v>0</v>
      </c>
      <c r="CT9" s="7" t="n">
        <v>0</v>
      </c>
      <c r="CU9" s="5" t="n">
        <f aca="false">SUMIFS('Исходные данные'!$I$2:$I$964,'Исходные данные'!$D$2:$D$964,CU$1,'Исходные данные'!$F$2:$F$964,$A9)</f>
        <v>0</v>
      </c>
      <c r="CV9" s="5" t="n">
        <f aca="false">SUMIFS('Исходные данные'!$J$2:$J$964,'Исходные данные'!$D$2:$D$964,CU$1,'Исходные данные'!$F$2:$F$964,$A9)</f>
        <v>0</v>
      </c>
      <c r="CW9" s="7" t="n">
        <v>0</v>
      </c>
      <c r="CX9" s="7" t="n">
        <v>0</v>
      </c>
      <c r="CY9" s="5" t="n">
        <f aca="false">SUMIFS('Исходные данные'!$I$2:$I$964,'Исходные данные'!$D$2:$D$964,CY$1,'Исходные данные'!$F$2:$F$964,$A9)</f>
        <v>0</v>
      </c>
      <c r="CZ9" s="5" t="n">
        <f aca="false">SUMIFS('Исходные данные'!$J$2:$J$964,'Исходные данные'!$D$2:$D$964,CY$1,'Исходные данные'!$F$2:$F$964,$A9)</f>
        <v>0</v>
      </c>
      <c r="DA9" s="7" t="n">
        <v>0</v>
      </c>
      <c r="DB9" s="7" t="n">
        <v>0</v>
      </c>
      <c r="DC9" s="5" t="n">
        <f aca="false">SUMIFS('Исходные данные'!$I$2:$I$964,'Исходные данные'!$D$2:$D$964,DC$1,'Исходные данные'!$F$2:$F$964,$A9)</f>
        <v>0</v>
      </c>
      <c r="DD9" s="5" t="n">
        <f aca="false">SUMIFS('Исходные данные'!$J$2:$J$964,'Исходные данные'!$D$2:$D$964,DC$1,'Исходные данные'!$F$2:$F$964,$A9)</f>
        <v>0</v>
      </c>
      <c r="DE9" s="7" t="n">
        <v>0</v>
      </c>
      <c r="DF9" s="7" t="n">
        <v>0</v>
      </c>
      <c r="DG9" s="5" t="n">
        <f aca="false">SUMIFS('Исходные данные'!$I$2:$I$964,'Исходные данные'!$D$2:$D$964,DG$1,'Исходные данные'!$F$2:$F$964,$A9)</f>
        <v>0</v>
      </c>
      <c r="DH9" s="5" t="n">
        <f aca="false">SUMIFS('Исходные данные'!$J$2:$J$964,'Исходные данные'!$D$2:$D$964,DG$1,'Исходные данные'!$F$2:$F$964,$A9)</f>
        <v>0</v>
      </c>
      <c r="DI9" s="7" t="n">
        <v>0</v>
      </c>
      <c r="DJ9" s="7" t="n">
        <v>0</v>
      </c>
      <c r="DK9" s="5" t="n">
        <f aca="false">SUMIFS('Исходные данные'!$I$2:$I$964,'Исходные данные'!$D$2:$D$964,DK$1,'Исходные данные'!$F$2:$F$964,$A9)</f>
        <v>0</v>
      </c>
      <c r="DL9" s="5" t="n">
        <f aca="false">SUMIFS('Исходные данные'!$J$2:$J$964,'Исходные данные'!$D$2:$D$964,DK$1,'Исходные данные'!$F$2:$F$964,$A9)</f>
        <v>0</v>
      </c>
      <c r="DM9" s="7" t="n">
        <v>0</v>
      </c>
      <c r="DN9" s="7" t="n">
        <v>0</v>
      </c>
      <c r="DO9" s="5" t="n">
        <f aca="false">SUMIFS('Исходные данные'!$I$2:$I$964,'Исходные данные'!$D$2:$D$964,DO$1,'Исходные данные'!$F$2:$F$964,$A9)</f>
        <v>0</v>
      </c>
      <c r="DP9" s="5" t="n">
        <f aca="false">SUMIFS('Исходные данные'!$J$2:$J$964,'Исходные данные'!$D$2:$D$964,DO$1,'Исходные данные'!$F$2:$F$964,$A9)</f>
        <v>0</v>
      </c>
      <c r="DQ9" s="7" t="n">
        <v>0</v>
      </c>
      <c r="DR9" s="7" t="n">
        <v>0</v>
      </c>
      <c r="DS9" s="5" t="n">
        <f aca="false">SUMIFS('Исходные данные'!$I$2:$I$964,'Исходные данные'!$D$2:$D$964,DS$1,'Исходные данные'!$F$2:$F$964,$A9)</f>
        <v>0</v>
      </c>
      <c r="DT9" s="5" t="n">
        <f aca="false">SUMIFS('Исходные данные'!$J$2:$J$964,'Исходные данные'!$D$2:$D$964,DS$1,'Исходные данные'!$F$2:$F$964,$A9)</f>
        <v>0</v>
      </c>
      <c r="DU9" s="7" t="n">
        <v>0</v>
      </c>
      <c r="DV9" s="7" t="n">
        <v>0</v>
      </c>
      <c r="DW9" s="5" t="n">
        <f aca="false">SUMIFS('Исходные данные'!$I$2:$I$964,'Исходные данные'!$D$2:$D$964,DW$1,'Исходные данные'!$F$2:$F$964,$A9)</f>
        <v>0</v>
      </c>
      <c r="DX9" s="5" t="n">
        <f aca="false">SUMIFS('Исходные данные'!$J$2:$J$964,'Исходные данные'!$D$2:$D$964,DW$1,'Исходные данные'!$F$2:$F$964,$A9)</f>
        <v>0</v>
      </c>
      <c r="DY9" s="7" t="n">
        <v>0</v>
      </c>
      <c r="DZ9" s="7" t="n">
        <v>0</v>
      </c>
      <c r="EA9" s="5" t="n">
        <f aca="false">SUMIFS('Исходные данные'!$I$2:$I$964,'Исходные данные'!$D$2:$D$964,EA$1,'Исходные данные'!$F$2:$F$964,$A9)</f>
        <v>0</v>
      </c>
      <c r="EB9" s="5" t="n">
        <f aca="false">SUMIFS('Исходные данные'!$J$2:$J$964,'Исходные данные'!$D$2:$D$964,EA$1,'Исходные данные'!$F$2:$F$964,$A9)</f>
        <v>0</v>
      </c>
      <c r="EC9" s="7" t="n">
        <v>0</v>
      </c>
      <c r="ED9" s="7" t="n">
        <v>0</v>
      </c>
      <c r="EE9" s="5" t="n">
        <f aca="false">SUMIFS('Исходные данные'!$I$2:$I$964,'Исходные данные'!$D$2:$D$964,EE$1,'Исходные данные'!$F$2:$F$964,$A9)</f>
        <v>0</v>
      </c>
      <c r="EF9" s="5" t="n">
        <f aca="false">SUMIFS('Исходные данные'!$J$2:$J$964,'Исходные данные'!$D$2:$D$964,EE$1,'Исходные данные'!$F$2:$F$964,$A9)</f>
        <v>0</v>
      </c>
      <c r="EG9" s="7" t="n">
        <v>0</v>
      </c>
      <c r="EH9" s="7" t="n">
        <v>0</v>
      </c>
      <c r="EI9" s="5" t="n">
        <f aca="false">SUMIFS('Исходные данные'!$I$2:$I$964,'Исходные данные'!$D$2:$D$964,EI$1,'Исходные данные'!$F$2:$F$964,$A9)</f>
        <v>0</v>
      </c>
      <c r="EJ9" s="5" t="n">
        <f aca="false">SUMIFS('Исходные данные'!$J$2:$J$964,'Исходные данные'!$D$2:$D$964,EI$1,'Исходные данные'!$F$2:$F$964,$A9)</f>
        <v>0</v>
      </c>
      <c r="EK9" s="7" t="n">
        <v>0</v>
      </c>
      <c r="EL9" s="7" t="n">
        <v>0</v>
      </c>
      <c r="EM9" s="5" t="n">
        <f aca="false">SUMIFS('Исходные данные'!$I$2:$I$964,'Исходные данные'!$D$2:$D$964,EM$1,'Исходные данные'!$F$2:$F$964,$A9)</f>
        <v>0</v>
      </c>
      <c r="EN9" s="5" t="n">
        <f aca="false">SUMIFS('Исходные данные'!$J$2:$J$964,'Исходные данные'!$D$2:$D$964,EM$1,'Исходные данные'!$F$2:$F$964,$A9)</f>
        <v>0</v>
      </c>
      <c r="EO9" s="7" t="n">
        <v>0</v>
      </c>
      <c r="EP9" s="7" t="n">
        <v>0</v>
      </c>
      <c r="EQ9" s="5" t="n">
        <f aca="false">SUMIFS('Исходные данные'!$I$2:$I$964,'Исходные данные'!$D$2:$D$964,EQ$1,'Исходные данные'!$F$2:$F$964,$A9)</f>
        <v>0</v>
      </c>
      <c r="ER9" s="5" t="n">
        <f aca="false">SUMIFS('Исходные данные'!$J$2:$J$964,'Исходные данные'!$D$2:$D$964,EQ$1,'Исходные данные'!$F$2:$F$964,$A9)</f>
        <v>0</v>
      </c>
      <c r="ES9" s="7" t="n">
        <v>0</v>
      </c>
      <c r="ET9" s="7" t="n">
        <v>0</v>
      </c>
      <c r="EU9" s="5" t="n">
        <f aca="false">SUMIFS('Исходные данные'!$I$2:$I$964,'Исходные данные'!$D$2:$D$964,EU$1,'Исходные данные'!$F$2:$F$964,$A9)</f>
        <v>0</v>
      </c>
      <c r="EV9" s="5" t="n">
        <f aca="false">SUMIFS('Исходные данные'!$J$2:$J$964,'Исходные данные'!$D$2:$D$964,EU$1,'Исходные данные'!$F$2:$F$964,$A9)</f>
        <v>0</v>
      </c>
      <c r="EW9" s="7" t="n">
        <v>0</v>
      </c>
      <c r="EX9" s="7" t="n">
        <v>0</v>
      </c>
      <c r="EY9" s="5" t="n">
        <f aca="false">SUMIFS('Исходные данные'!$I$2:$I$964,'Исходные данные'!$D$2:$D$964,EY$1,'Исходные данные'!$F$2:$F$964,$A9)</f>
        <v>0</v>
      </c>
      <c r="EZ9" s="5" t="n">
        <f aca="false">SUMIFS('Исходные данные'!$J$2:$J$964,'Исходные данные'!$D$2:$D$964,EY$1,'Исходные данные'!$F$2:$F$964,$A9)</f>
        <v>0</v>
      </c>
      <c r="FA9" s="7" t="n">
        <v>0</v>
      </c>
      <c r="FB9" s="7" t="n">
        <v>0</v>
      </c>
      <c r="FC9" s="5" t="n">
        <f aca="false">SUMIFS('Исходные данные'!$I$2:$I$964,'Исходные данные'!$D$2:$D$964,FC$1,'Исходные данные'!$F$2:$F$964,$A9)</f>
        <v>0</v>
      </c>
      <c r="FD9" s="5" t="n">
        <f aca="false">SUMIFS('Исходные данные'!$J$2:$J$964,'Исходные данные'!$D$2:$D$964,FC$1,'Исходные данные'!$F$2:$F$964,$A9)</f>
        <v>0</v>
      </c>
      <c r="FE9" s="7" t="n">
        <v>0</v>
      </c>
      <c r="FF9" s="7" t="n">
        <v>0</v>
      </c>
      <c r="FG9" s="5" t="n">
        <f aca="false">SUMIFS('Исходные данные'!$I$2:$I$964,'Исходные данные'!$D$2:$D$964,FG$1,'Исходные данные'!$F$2:$F$964,$A9)</f>
        <v>0</v>
      </c>
      <c r="FH9" s="5" t="n">
        <f aca="false">SUMIFS('Исходные данные'!$J$2:$J$964,'Исходные данные'!$D$2:$D$964,FG$1,'Исходные данные'!$F$2:$F$964,$A9)</f>
        <v>0</v>
      </c>
    </row>
    <row r="10" customFormat="false" ht="15" hidden="false" customHeight="false" outlineLevel="0" collapsed="false">
      <c r="A10" s="4" t="s">
        <v>63</v>
      </c>
      <c r="B10" s="5" t="s">
        <v>64</v>
      </c>
      <c r="C10" s="6" t="n">
        <v>52</v>
      </c>
      <c r="D10" s="6" t="n">
        <f aca="false">I10+J10+M10+N10+Q10+R10+U10+V10+Y10+Z10+AC10+AD10+AG10+AH10+AK10+AL10+AO10+AP10+AS10+AT10+AW10+AX10+BA10+BB10+BE10+BF10+BI10+BJ10+BM10+BN10+BQ10+BR10+BU10+BV10+BY10+BZ10+CC10+CD10+CG10+CH10+CK10+CL10+CO10+CP10+CS10+CT10+CW10+CX10+DA10+DB10+DE10+DF10+DI10+DJ10+DM10+DN10+DQ10+DR10+DU10+DV10+DY10+DZ10+EC10+ED10+EG10+EH10+EK10+EL10+EO10+EP10+ES10+ET10+EW10+EX10+FA10+FB10+FE10+FF10</f>
        <v>52</v>
      </c>
      <c r="E10" s="6" t="n">
        <f aca="false">G10+H10</f>
        <v>52</v>
      </c>
      <c r="F10" s="6" t="n">
        <f aca="false">E10-C10</f>
        <v>0</v>
      </c>
      <c r="G10" s="6" t="n">
        <f aca="false">K10+O10+S10+W10+AA10+AE10+AI10+AM10+AQ10+AU10+AY10+BC10+BG10+BK10+BO10+BS10+BW10+CA10+CE10+CI10+CM10+CQ10+CU10+CY10+DC10+DG10+DK10+DO10+DS10+DW10+EA10+EE10+EI10+EM10+EQ10+EU10+EY10+FC10+FG10</f>
        <v>33</v>
      </c>
      <c r="H10" s="6" t="n">
        <f aca="false">L10+P10+T10+X10+AB10+AF10+AJ10+AN10+AR10+AV10+AZ10+BD10+BH10+BL10+BP10+BT10+BX10+CB10+CF10+CJ10+CN10+CR10+CV10+CZ10+DD10+DH10+DL10+DP10+DT10+DX10+EB10+EF10+EJ10+EN10+ER10+EV10+EZ10+FD10+FH10</f>
        <v>19</v>
      </c>
      <c r="I10" s="7" t="n">
        <v>5</v>
      </c>
      <c r="J10" s="7" t="n">
        <v>2</v>
      </c>
      <c r="K10" s="5" t="n">
        <f aca="false">SUMIFS('Исходные данные'!$I$2:$I$964,'Исходные данные'!$D$2:$D$964,K$1,'Исходные данные'!$F$2:$F$964,$A10)</f>
        <v>5</v>
      </c>
      <c r="L10" s="5" t="n">
        <f aca="false">SUMIFS('Исходные данные'!$J$2:$J$964,'Исходные данные'!$D$2:$D$964,K$1,'Исходные данные'!$F$2:$F$964,$A10)</f>
        <v>2</v>
      </c>
      <c r="M10" s="7" t="n">
        <v>1</v>
      </c>
      <c r="N10" s="7" t="n">
        <v>0</v>
      </c>
      <c r="O10" s="5" t="n">
        <f aca="false">SUMIFS('Исходные данные'!$I$2:$I$964,'Исходные данные'!$D$2:$D$964,O$1,'Исходные данные'!$F$2:$F$964,$A10)</f>
        <v>0</v>
      </c>
      <c r="P10" s="5" t="n">
        <f aca="false">SUMIFS('Исходные данные'!$J$2:$J$964,'Исходные данные'!$D$2:$D$964,O$1,'Исходные данные'!$F$2:$F$964,$A10)</f>
        <v>0</v>
      </c>
      <c r="Q10" s="7" t="n">
        <v>12</v>
      </c>
      <c r="R10" s="7" t="n">
        <v>3</v>
      </c>
      <c r="S10" s="5" t="n">
        <f aca="false">SUMIFS('Исходные данные'!$I$2:$I$964,'Исходные данные'!$D$2:$D$964,S$1,'Исходные данные'!$F$2:$F$964,$A10)</f>
        <v>13</v>
      </c>
      <c r="T10" s="5" t="n">
        <f aca="false">SUMIFS('Исходные данные'!$J$2:$J$964,'Исходные данные'!$D$2:$D$964,S$1,'Исходные данные'!$F$2:$F$964,$A10)</f>
        <v>3</v>
      </c>
      <c r="U10" s="7" t="n">
        <v>0</v>
      </c>
      <c r="V10" s="7" t="n">
        <v>0</v>
      </c>
      <c r="W10" s="5" t="n">
        <f aca="false">SUMIFS('Исходные данные'!$I$2:$I$964,'Исходные данные'!$D$2:$D$964,W$1,'Исходные данные'!$F$2:$F$964,$A10)</f>
        <v>0</v>
      </c>
      <c r="X10" s="5" t="n">
        <f aca="false">SUMIFS('Исходные данные'!$J$2:$J$964,'Исходные данные'!$D$2:$D$964,W$1,'Исходные данные'!$F$2:$F$964,$A10)</f>
        <v>0</v>
      </c>
      <c r="Y10" s="7" t="n">
        <v>0</v>
      </c>
      <c r="Z10" s="7" t="n">
        <v>0</v>
      </c>
      <c r="AA10" s="5" t="n">
        <f aca="false">SUMIFS('Исходные данные'!$I$2:$I$964,'Исходные данные'!$D$2:$D$964,AA$1,'Исходные данные'!$F$2:$F$964,$A10)</f>
        <v>0</v>
      </c>
      <c r="AB10" s="5" t="n">
        <f aca="false">SUMIFS('Исходные данные'!$J$2:$J$964,'Исходные данные'!$D$2:$D$964,AA$1,'Исходные данные'!$F$2:$F$964,$A10)</f>
        <v>0</v>
      </c>
      <c r="AC10" s="7" t="n">
        <v>0</v>
      </c>
      <c r="AD10" s="7" t="n">
        <v>0</v>
      </c>
      <c r="AE10" s="5" t="n">
        <f aca="false">SUMIFS('Исходные данные'!$I$2:$I$964,'Исходные данные'!$D$2:$D$964,AE$1,'Исходные данные'!$F$2:$F$964,$A10)</f>
        <v>0</v>
      </c>
      <c r="AF10" s="5" t="n">
        <f aca="false">SUMIFS('Исходные данные'!$J$2:$J$964,'Исходные данные'!$D$2:$D$964,AE$1,'Исходные данные'!$F$2:$F$964,$A10)</f>
        <v>0</v>
      </c>
      <c r="AG10" s="7" t="n">
        <v>2</v>
      </c>
      <c r="AH10" s="7" t="n">
        <v>1</v>
      </c>
      <c r="AI10" s="5" t="n">
        <f aca="false">SUMIFS('Исходные данные'!$I$2:$I$964,'Исходные данные'!$D$2:$D$964,AI$1,'Исходные данные'!$F$2:$F$964,$A10)</f>
        <v>3</v>
      </c>
      <c r="AJ10" s="5" t="n">
        <f aca="false">SUMIFS('Исходные данные'!$J$2:$J$964,'Исходные данные'!$D$2:$D$964,AI$1,'Исходные данные'!$F$2:$F$964,$A10)</f>
        <v>1</v>
      </c>
      <c r="AK10" s="7" t="n">
        <v>0</v>
      </c>
      <c r="AL10" s="7" t="n">
        <v>0</v>
      </c>
      <c r="AM10" s="5" t="n">
        <f aca="false">SUMIFS('Исходные данные'!$I$2:$I$964,'Исходные данные'!$D$2:$D$964,AM$1,'Исходные данные'!$F$2:$F$964,$A10)</f>
        <v>0</v>
      </c>
      <c r="AN10" s="5" t="n">
        <f aca="false">SUMIFS('Исходные данные'!$J$2:$J$964,'Исходные данные'!$D$2:$D$964,AM$1,'Исходные данные'!$F$2:$F$964,$A10)</f>
        <v>0</v>
      </c>
      <c r="AO10" s="7" t="n">
        <v>0</v>
      </c>
      <c r="AP10" s="7" t="n">
        <v>0</v>
      </c>
      <c r="AQ10" s="5" t="n">
        <f aca="false">SUMIFS('Исходные данные'!$I$2:$I$964,'Исходные данные'!$D$2:$D$964,AQ$1,'Исходные данные'!$F$2:$F$964,$A10)</f>
        <v>0</v>
      </c>
      <c r="AR10" s="5" t="n">
        <f aca="false">SUMIFS('Исходные данные'!$J$2:$J$964,'Исходные данные'!$D$2:$D$964,AQ$1,'Исходные данные'!$F$2:$F$964,$A10)</f>
        <v>0</v>
      </c>
      <c r="AS10" s="7" t="n">
        <v>0</v>
      </c>
      <c r="AT10" s="7" t="n">
        <v>0</v>
      </c>
      <c r="AU10" s="5" t="n">
        <f aca="false">SUMIFS('Исходные данные'!$I$2:$I$964,'Исходные данные'!$D$2:$D$964,AU$1,'Исходные данные'!$F$2:$F$964,$A10)</f>
        <v>0</v>
      </c>
      <c r="AV10" s="5" t="n">
        <f aca="false">SUMIFS('Исходные данные'!$J$2:$J$964,'Исходные данные'!$D$2:$D$964,AU$1,'Исходные данные'!$F$2:$F$964,$A10)</f>
        <v>0</v>
      </c>
      <c r="AW10" s="7" t="n">
        <v>0</v>
      </c>
      <c r="AX10" s="7" t="n">
        <v>0</v>
      </c>
      <c r="AY10" s="5" t="n">
        <f aca="false">SUMIFS('Исходные данные'!$I$2:$I$964,'Исходные данные'!$D$2:$D$964,AY$1,'Исходные данные'!$F$2:$F$964,$A10)</f>
        <v>0</v>
      </c>
      <c r="AZ10" s="5" t="n">
        <f aca="false">SUMIFS('Исходные данные'!$J$2:$J$964,'Исходные данные'!$D$2:$D$964,AY$1,'Исходные данные'!$F$2:$F$964,$A10)</f>
        <v>0</v>
      </c>
      <c r="BA10" s="7" t="n">
        <v>0</v>
      </c>
      <c r="BB10" s="7" t="n">
        <v>0</v>
      </c>
      <c r="BC10" s="5" t="n">
        <f aca="false">SUMIFS('Исходные данные'!$I$2:$I$964,'Исходные данные'!$D$2:$D$964,BC$1,'Исходные данные'!$F$2:$F$964,$A10)</f>
        <v>1</v>
      </c>
      <c r="BD10" s="5" t="n">
        <f aca="false">SUMIFS('Исходные данные'!$J$2:$J$964,'Исходные данные'!$D$2:$D$964,BC$1,'Исходные данные'!$F$2:$F$964,$A10)</f>
        <v>0</v>
      </c>
      <c r="BE10" s="7" t="n">
        <v>0</v>
      </c>
      <c r="BF10" s="7" t="n">
        <v>0</v>
      </c>
      <c r="BG10" s="5" t="n">
        <f aca="false">SUMIFS('Исходные данные'!$I$2:$I$964,'Исходные данные'!$D$2:$D$964,BG$1,'Исходные данные'!$F$2:$F$964,$A10)</f>
        <v>0</v>
      </c>
      <c r="BH10" s="5" t="n">
        <f aca="false">SUMIFS('Исходные данные'!$J$2:$J$964,'Исходные данные'!$D$2:$D$964,BG$1,'Исходные данные'!$F$2:$F$964,$A10)</f>
        <v>0</v>
      </c>
      <c r="BI10" s="7" t="n">
        <v>6</v>
      </c>
      <c r="BJ10" s="7" t="n">
        <v>7</v>
      </c>
      <c r="BK10" s="5" t="n">
        <f aca="false">SUMIFS('Исходные данные'!$I$2:$I$964,'Исходные данные'!$D$2:$D$964,BK$1,'Исходные данные'!$F$2:$F$964,$A10)</f>
        <v>5</v>
      </c>
      <c r="BL10" s="5" t="n">
        <f aca="false">SUMIFS('Исходные данные'!$J$2:$J$964,'Исходные данные'!$D$2:$D$964,BK$1,'Исходные данные'!$F$2:$F$964,$A10)</f>
        <v>7</v>
      </c>
      <c r="BM10" s="7" t="n">
        <v>6</v>
      </c>
      <c r="BN10" s="7" t="n">
        <v>5</v>
      </c>
      <c r="BO10" s="5" t="n">
        <f aca="false">SUMIFS('Исходные данные'!$I$2:$I$964,'Исходные данные'!$D$2:$D$964,BO$1,'Исходные данные'!$F$2:$F$964,$A10)</f>
        <v>5</v>
      </c>
      <c r="BP10" s="5" t="n">
        <f aca="false">SUMIFS('Исходные данные'!$J$2:$J$964,'Исходные данные'!$D$2:$D$964,BO$1,'Исходные данные'!$F$2:$F$964,$A10)</f>
        <v>5</v>
      </c>
      <c r="BQ10" s="7" t="n">
        <v>0</v>
      </c>
      <c r="BR10" s="7" t="n">
        <v>0</v>
      </c>
      <c r="BS10" s="5" t="n">
        <f aca="false">SUMIFS('Исходные данные'!$I$2:$I$964,'Исходные данные'!$D$2:$D$964,BS$1,'Исходные данные'!$F$2:$F$964,$A10)</f>
        <v>0</v>
      </c>
      <c r="BT10" s="5" t="n">
        <f aca="false">SUMIFS('Исходные данные'!$J$2:$J$964,'Исходные данные'!$D$2:$D$964,BS$1,'Исходные данные'!$F$2:$F$964,$A10)</f>
        <v>0</v>
      </c>
      <c r="BU10" s="7" t="n">
        <v>0</v>
      </c>
      <c r="BV10" s="7" t="n">
        <v>0</v>
      </c>
      <c r="BW10" s="5" t="n">
        <f aca="false">SUMIFS('Исходные данные'!$I$2:$I$964,'Исходные данные'!$D$2:$D$964,BW$1,'Исходные данные'!$F$2:$F$964,$A10)</f>
        <v>0</v>
      </c>
      <c r="BX10" s="5" t="n">
        <f aca="false">SUMIFS('Исходные данные'!$J$2:$J$964,'Исходные данные'!$D$2:$D$964,BW$1,'Исходные данные'!$F$2:$F$964,$A10)</f>
        <v>0</v>
      </c>
      <c r="BY10" s="7" t="n">
        <v>0</v>
      </c>
      <c r="BZ10" s="7" t="n">
        <v>0</v>
      </c>
      <c r="CA10" s="5" t="n">
        <f aca="false">SUMIFS('Исходные данные'!$I$2:$I$964,'Исходные данные'!$D$2:$D$964,CA$1,'Исходные данные'!$F$2:$F$964,$A10)</f>
        <v>0</v>
      </c>
      <c r="CB10" s="5" t="n">
        <f aca="false">SUMIFS('Исходные данные'!$J$2:$J$964,'Исходные данные'!$D$2:$D$964,CA$1,'Исходные данные'!$F$2:$F$964,$A10)</f>
        <v>0</v>
      </c>
      <c r="CC10" s="7" t="n">
        <v>0</v>
      </c>
      <c r="CD10" s="7" t="n">
        <v>0</v>
      </c>
      <c r="CE10" s="5" t="n">
        <f aca="false">SUMIFS('Исходные данные'!$I$2:$I$964,'Исходные данные'!$D$2:$D$964,CE$1,'Исходные данные'!$F$2:$F$964,$A10)</f>
        <v>0</v>
      </c>
      <c r="CF10" s="5" t="n">
        <f aca="false">SUMIFS('Исходные данные'!$J$2:$J$964,'Исходные данные'!$D$2:$D$964,CE$1,'Исходные данные'!$F$2:$F$964,$A10)</f>
        <v>0</v>
      </c>
      <c r="CG10" s="7" t="n">
        <v>0</v>
      </c>
      <c r="CH10" s="7" t="n">
        <v>0</v>
      </c>
      <c r="CI10" s="5" t="n">
        <f aca="false">SUMIFS('Исходные данные'!$I$2:$I$964,'Исходные данные'!$D$2:$D$964,CI$1,'Исходные данные'!$F$2:$F$964,$A10)</f>
        <v>0</v>
      </c>
      <c r="CJ10" s="5" t="n">
        <f aca="false">SUMIFS('Исходные данные'!$J$2:$J$964,'Исходные данные'!$D$2:$D$964,CI$1,'Исходные данные'!$F$2:$F$964,$A10)</f>
        <v>0</v>
      </c>
      <c r="CK10" s="7" t="n">
        <v>1</v>
      </c>
      <c r="CL10" s="7" t="n">
        <v>1</v>
      </c>
      <c r="CM10" s="5" t="n">
        <f aca="false">SUMIFS('Исходные данные'!$I$2:$I$964,'Исходные данные'!$D$2:$D$964,CM$1,'Исходные данные'!$F$2:$F$964,$A10)</f>
        <v>1</v>
      </c>
      <c r="CN10" s="5" t="n">
        <f aca="false">SUMIFS('Исходные данные'!$J$2:$J$964,'Исходные данные'!$D$2:$D$964,CM$1,'Исходные данные'!$F$2:$F$964,$A10)</f>
        <v>1</v>
      </c>
      <c r="CO10" s="7" t="n">
        <v>0</v>
      </c>
      <c r="CP10" s="7" t="n">
        <v>0</v>
      </c>
      <c r="CQ10" s="5" t="n">
        <f aca="false">SUMIFS('Исходные данные'!$I$2:$I$964,'Исходные данные'!$D$2:$D$964,CQ$1,'Исходные данные'!$F$2:$F$964,$A10)</f>
        <v>0</v>
      </c>
      <c r="CR10" s="5" t="n">
        <f aca="false">SUMIFS('Исходные данные'!$J$2:$J$964,'Исходные данные'!$D$2:$D$964,CQ$1,'Исходные данные'!$F$2:$F$964,$A10)</f>
        <v>0</v>
      </c>
      <c r="CS10" s="7" t="n">
        <v>0</v>
      </c>
      <c r="CT10" s="7" t="n">
        <v>0</v>
      </c>
      <c r="CU10" s="5" t="n">
        <f aca="false">SUMIFS('Исходные данные'!$I$2:$I$964,'Исходные данные'!$D$2:$D$964,CU$1,'Исходные данные'!$F$2:$F$964,$A10)</f>
        <v>0</v>
      </c>
      <c r="CV10" s="5" t="n">
        <f aca="false">SUMIFS('Исходные данные'!$J$2:$J$964,'Исходные данные'!$D$2:$D$964,CU$1,'Исходные данные'!$F$2:$F$964,$A10)</f>
        <v>0</v>
      </c>
      <c r="CW10" s="7" t="n">
        <v>0</v>
      </c>
      <c r="CX10" s="7" t="n">
        <v>0</v>
      </c>
      <c r="CY10" s="5" t="n">
        <f aca="false">SUMIFS('Исходные данные'!$I$2:$I$964,'Исходные данные'!$D$2:$D$964,CY$1,'Исходные данные'!$F$2:$F$964,$A10)</f>
        <v>0</v>
      </c>
      <c r="CZ10" s="5" t="n">
        <f aca="false">SUMIFS('Исходные данные'!$J$2:$J$964,'Исходные данные'!$D$2:$D$964,CY$1,'Исходные данные'!$F$2:$F$964,$A10)</f>
        <v>0</v>
      </c>
      <c r="DA10" s="7" t="n">
        <v>0</v>
      </c>
      <c r="DB10" s="7" t="n">
        <v>0</v>
      </c>
      <c r="DC10" s="5" t="n">
        <f aca="false">SUMIFS('Исходные данные'!$I$2:$I$964,'Исходные данные'!$D$2:$D$964,DC$1,'Исходные данные'!$F$2:$F$964,$A10)</f>
        <v>0</v>
      </c>
      <c r="DD10" s="5" t="n">
        <f aca="false">SUMIFS('Исходные данные'!$J$2:$J$964,'Исходные данные'!$D$2:$D$964,DC$1,'Исходные данные'!$F$2:$F$964,$A10)</f>
        <v>0</v>
      </c>
      <c r="DE10" s="7" t="n">
        <v>0</v>
      </c>
      <c r="DF10" s="7" t="n">
        <v>0</v>
      </c>
      <c r="DG10" s="5" t="n">
        <f aca="false">SUMIFS('Исходные данные'!$I$2:$I$964,'Исходные данные'!$D$2:$D$964,DG$1,'Исходные данные'!$F$2:$F$964,$A10)</f>
        <v>0</v>
      </c>
      <c r="DH10" s="5" t="n">
        <f aca="false">SUMIFS('Исходные данные'!$J$2:$J$964,'Исходные данные'!$D$2:$D$964,DG$1,'Исходные данные'!$F$2:$F$964,$A10)</f>
        <v>0</v>
      </c>
      <c r="DI10" s="7" t="n">
        <v>0</v>
      </c>
      <c r="DJ10" s="7" t="n">
        <v>0</v>
      </c>
      <c r="DK10" s="5" t="n">
        <f aca="false">SUMIFS('Исходные данные'!$I$2:$I$964,'Исходные данные'!$D$2:$D$964,DK$1,'Исходные данные'!$F$2:$F$964,$A10)</f>
        <v>0</v>
      </c>
      <c r="DL10" s="5" t="n">
        <f aca="false">SUMIFS('Исходные данные'!$J$2:$J$964,'Исходные данные'!$D$2:$D$964,DK$1,'Исходные данные'!$F$2:$F$964,$A10)</f>
        <v>0</v>
      </c>
      <c r="DM10" s="7" t="n">
        <v>0</v>
      </c>
      <c r="DN10" s="7" t="n">
        <v>0</v>
      </c>
      <c r="DO10" s="5" t="n">
        <f aca="false">SUMIFS('Исходные данные'!$I$2:$I$964,'Исходные данные'!$D$2:$D$964,DO$1,'Исходные данные'!$F$2:$F$964,$A10)</f>
        <v>0</v>
      </c>
      <c r="DP10" s="5" t="n">
        <f aca="false">SUMIFS('Исходные данные'!$J$2:$J$964,'Исходные данные'!$D$2:$D$964,DO$1,'Исходные данные'!$F$2:$F$964,$A10)</f>
        <v>0</v>
      </c>
      <c r="DQ10" s="7" t="n">
        <v>0</v>
      </c>
      <c r="DR10" s="7" t="n">
        <v>0</v>
      </c>
      <c r="DS10" s="5" t="n">
        <f aca="false">SUMIFS('Исходные данные'!$I$2:$I$964,'Исходные данные'!$D$2:$D$964,DS$1,'Исходные данные'!$F$2:$F$964,$A10)</f>
        <v>0</v>
      </c>
      <c r="DT10" s="5" t="n">
        <f aca="false">SUMIFS('Исходные данные'!$J$2:$J$964,'Исходные данные'!$D$2:$D$964,DS$1,'Исходные данные'!$F$2:$F$964,$A10)</f>
        <v>0</v>
      </c>
      <c r="DU10" s="7" t="n">
        <v>0</v>
      </c>
      <c r="DV10" s="7" t="n">
        <v>0</v>
      </c>
      <c r="DW10" s="5" t="n">
        <f aca="false">SUMIFS('Исходные данные'!$I$2:$I$964,'Исходные данные'!$D$2:$D$964,DW$1,'Исходные данные'!$F$2:$F$964,$A10)</f>
        <v>0</v>
      </c>
      <c r="DX10" s="5" t="n">
        <f aca="false">SUMIFS('Исходные данные'!$J$2:$J$964,'Исходные данные'!$D$2:$D$964,DW$1,'Исходные данные'!$F$2:$F$964,$A10)</f>
        <v>0</v>
      </c>
      <c r="DY10" s="7" t="n">
        <v>0</v>
      </c>
      <c r="DZ10" s="7" t="n">
        <v>0</v>
      </c>
      <c r="EA10" s="5" t="n">
        <f aca="false">SUMIFS('Исходные данные'!$I$2:$I$964,'Исходные данные'!$D$2:$D$964,EA$1,'Исходные данные'!$F$2:$F$964,$A10)</f>
        <v>0</v>
      </c>
      <c r="EB10" s="5" t="n">
        <f aca="false">SUMIFS('Исходные данные'!$J$2:$J$964,'Исходные данные'!$D$2:$D$964,EA$1,'Исходные данные'!$F$2:$F$964,$A10)</f>
        <v>0</v>
      </c>
      <c r="EC10" s="7" t="n">
        <v>0</v>
      </c>
      <c r="ED10" s="7" t="n">
        <v>0</v>
      </c>
      <c r="EE10" s="5" t="n">
        <f aca="false">SUMIFS('Исходные данные'!$I$2:$I$964,'Исходные данные'!$D$2:$D$964,EE$1,'Исходные данные'!$F$2:$F$964,$A10)</f>
        <v>0</v>
      </c>
      <c r="EF10" s="5" t="n">
        <f aca="false">SUMIFS('Исходные данные'!$J$2:$J$964,'Исходные данные'!$D$2:$D$964,EE$1,'Исходные данные'!$F$2:$F$964,$A10)</f>
        <v>0</v>
      </c>
      <c r="EG10" s="7" t="n">
        <v>0</v>
      </c>
      <c r="EH10" s="7" t="n">
        <v>0</v>
      </c>
      <c r="EI10" s="5" t="n">
        <f aca="false">SUMIFS('Исходные данные'!$I$2:$I$964,'Исходные данные'!$D$2:$D$964,EI$1,'Исходные данные'!$F$2:$F$964,$A10)</f>
        <v>0</v>
      </c>
      <c r="EJ10" s="5" t="n">
        <f aca="false">SUMIFS('Исходные данные'!$J$2:$J$964,'Исходные данные'!$D$2:$D$964,EI$1,'Исходные данные'!$F$2:$F$964,$A10)</f>
        <v>0</v>
      </c>
      <c r="EK10" s="7" t="n">
        <v>0</v>
      </c>
      <c r="EL10" s="7" t="n">
        <v>0</v>
      </c>
      <c r="EM10" s="5" t="n">
        <f aca="false">SUMIFS('Исходные данные'!$I$2:$I$964,'Исходные данные'!$D$2:$D$964,EM$1,'Исходные данные'!$F$2:$F$964,$A10)</f>
        <v>0</v>
      </c>
      <c r="EN10" s="5" t="n">
        <f aca="false">SUMIFS('Исходные данные'!$J$2:$J$964,'Исходные данные'!$D$2:$D$964,EM$1,'Исходные данные'!$F$2:$F$964,$A10)</f>
        <v>0</v>
      </c>
      <c r="EO10" s="7" t="n">
        <v>0</v>
      </c>
      <c r="EP10" s="7" t="n">
        <v>0</v>
      </c>
      <c r="EQ10" s="5" t="n">
        <f aca="false">SUMIFS('Исходные данные'!$I$2:$I$964,'Исходные данные'!$D$2:$D$964,EQ$1,'Исходные данные'!$F$2:$F$964,$A10)</f>
        <v>0</v>
      </c>
      <c r="ER10" s="5" t="n">
        <f aca="false">SUMIFS('Исходные данные'!$J$2:$J$964,'Исходные данные'!$D$2:$D$964,EQ$1,'Исходные данные'!$F$2:$F$964,$A10)</f>
        <v>0</v>
      </c>
      <c r="ES10" s="7" t="n">
        <v>0</v>
      </c>
      <c r="ET10" s="7" t="n">
        <v>0</v>
      </c>
      <c r="EU10" s="5" t="n">
        <f aca="false">SUMIFS('Исходные данные'!$I$2:$I$964,'Исходные данные'!$D$2:$D$964,EU$1,'Исходные данные'!$F$2:$F$964,$A10)</f>
        <v>0</v>
      </c>
      <c r="EV10" s="5" t="n">
        <f aca="false">SUMIFS('Исходные данные'!$J$2:$J$964,'Исходные данные'!$D$2:$D$964,EU$1,'Исходные данные'!$F$2:$F$964,$A10)</f>
        <v>0</v>
      </c>
      <c r="EW10" s="7" t="n">
        <v>0</v>
      </c>
      <c r="EX10" s="7" t="n">
        <v>0</v>
      </c>
      <c r="EY10" s="5" t="n">
        <f aca="false">SUMIFS('Исходные данные'!$I$2:$I$964,'Исходные данные'!$D$2:$D$964,EY$1,'Исходные данные'!$F$2:$F$964,$A10)</f>
        <v>0</v>
      </c>
      <c r="EZ10" s="5" t="n">
        <f aca="false">SUMIFS('Исходные данные'!$J$2:$J$964,'Исходные данные'!$D$2:$D$964,EY$1,'Исходные данные'!$F$2:$F$964,$A10)</f>
        <v>0</v>
      </c>
      <c r="FA10" s="7" t="n">
        <v>0</v>
      </c>
      <c r="FB10" s="7" t="n">
        <v>0</v>
      </c>
      <c r="FC10" s="5" t="n">
        <f aca="false">SUMIFS('Исходные данные'!$I$2:$I$964,'Исходные данные'!$D$2:$D$964,FC$1,'Исходные данные'!$F$2:$F$964,$A10)</f>
        <v>0</v>
      </c>
      <c r="FD10" s="5" t="n">
        <f aca="false">SUMIFS('Исходные данные'!$J$2:$J$964,'Исходные данные'!$D$2:$D$964,FC$1,'Исходные данные'!$F$2:$F$964,$A10)</f>
        <v>0</v>
      </c>
      <c r="FE10" s="7" t="n">
        <v>0</v>
      </c>
      <c r="FF10" s="7" t="n">
        <v>0</v>
      </c>
      <c r="FG10" s="5" t="n">
        <f aca="false">SUMIFS('Исходные данные'!$I$2:$I$964,'Исходные данные'!$D$2:$D$964,FG$1,'Исходные данные'!$F$2:$F$964,$A10)</f>
        <v>0</v>
      </c>
      <c r="FH10" s="5" t="n">
        <f aca="false">SUMIFS('Исходные данные'!$J$2:$J$964,'Исходные данные'!$D$2:$D$964,FG$1,'Исходные данные'!$F$2:$F$964,$A10)</f>
        <v>0</v>
      </c>
    </row>
    <row r="11" customFormat="false" ht="15" hidden="false" customHeight="false" outlineLevel="0" collapsed="false">
      <c r="A11" s="4" t="s">
        <v>65</v>
      </c>
      <c r="B11" s="5" t="s">
        <v>66</v>
      </c>
      <c r="C11" s="6" t="n">
        <v>4</v>
      </c>
      <c r="D11" s="6" t="n">
        <f aca="false">I11+J11+M11+N11+Q11+R11+U11+V11+Y11+Z11+AC11+AD11+AG11+AH11+AK11+AL11+AO11+AP11+AS11+AT11+AW11+AX11+BA11+BB11+BE11+BF11+BI11+BJ11+BM11+BN11+BQ11+BR11+BU11+BV11+BY11+BZ11+CC11+CD11+CG11+CH11+CK11+CL11+CO11+CP11+CS11+CT11+CW11+CX11+DA11+DB11+DE11+DF11+DI11+DJ11+DM11+DN11+DQ11+DR11+DU11+DV11+DY11+DZ11+EC11+ED11+EG11+EH11+EK11+EL11+EO11+EP11+ES11+ET11+EW11+EX11+FA11+FB11+FE11+FF11</f>
        <v>4</v>
      </c>
      <c r="E11" s="6" t="n">
        <f aca="false">G11+H11</f>
        <v>2</v>
      </c>
      <c r="F11" s="6" t="n">
        <f aca="false">E11-C11</f>
        <v>-2</v>
      </c>
      <c r="G11" s="6" t="n">
        <f aca="false">K11+O11+S11+W11+AA11+AE11+AI11+AM11+AQ11+AU11+AY11+BC11+BG11+BK11+BO11+BS11+BW11+CA11+CE11+CI11+CM11+CQ11+CU11+CY11+DC11+DG11+DK11+DO11+DS11+DW11+EA11+EE11+EI11+EM11+EQ11+EU11+EY11+FC11+FG11</f>
        <v>2</v>
      </c>
      <c r="H11" s="6" t="n">
        <f aca="false">L11+P11+T11+X11+AB11+AF11+AJ11+AN11+AR11+AV11+AZ11+BD11+BH11+BL11+BP11+BT11+BX11+CB11+CF11+CJ11+CN11+CR11+CV11+CZ11+DD11+DH11+DL11+DP11+DT11+DX11+EB11+EF11+EJ11+EN11+ER11+EV11+EZ11+FD11+FH11</f>
        <v>0</v>
      </c>
      <c r="I11" s="7" t="n">
        <v>1</v>
      </c>
      <c r="J11" s="7" t="n">
        <v>0</v>
      </c>
      <c r="K11" s="5" t="n">
        <f aca="false">SUMIFS('Исходные данные'!$I$2:$I$964,'Исходные данные'!$D$2:$D$964,K$1,'Исходные данные'!$F$2:$F$964,$A11)</f>
        <v>0</v>
      </c>
      <c r="L11" s="5" t="n">
        <f aca="false">SUMIFS('Исходные данные'!$J$2:$J$964,'Исходные данные'!$D$2:$D$964,K$1,'Исходные данные'!$F$2:$F$964,$A11)</f>
        <v>0</v>
      </c>
      <c r="M11" s="7" t="n">
        <v>0</v>
      </c>
      <c r="N11" s="7" t="n">
        <v>0</v>
      </c>
      <c r="O11" s="5" t="n">
        <f aca="false">SUMIFS('Исходные данные'!$I$2:$I$964,'Исходные данные'!$D$2:$D$964,O$1,'Исходные данные'!$F$2:$F$964,$A11)</f>
        <v>0</v>
      </c>
      <c r="P11" s="5" t="n">
        <f aca="false">SUMIFS('Исходные данные'!$J$2:$J$964,'Исходные данные'!$D$2:$D$964,O$1,'Исходные данные'!$F$2:$F$964,$A11)</f>
        <v>0</v>
      </c>
      <c r="Q11" s="7" t="n">
        <v>1</v>
      </c>
      <c r="R11" s="7" t="n">
        <v>0</v>
      </c>
      <c r="S11" s="5" t="n">
        <f aca="false">SUMIFS('Исходные данные'!$I$2:$I$964,'Исходные данные'!$D$2:$D$964,S$1,'Исходные данные'!$F$2:$F$964,$A11)</f>
        <v>0</v>
      </c>
      <c r="T11" s="5" t="n">
        <f aca="false">SUMIFS('Исходные данные'!$J$2:$J$964,'Исходные данные'!$D$2:$D$964,S$1,'Исходные данные'!$F$2:$F$964,$A11)</f>
        <v>0</v>
      </c>
      <c r="U11" s="7" t="n">
        <v>0</v>
      </c>
      <c r="V11" s="7" t="n">
        <v>0</v>
      </c>
      <c r="W11" s="5" t="n">
        <f aca="false">SUMIFS('Исходные данные'!$I$2:$I$964,'Исходные данные'!$D$2:$D$964,W$1,'Исходные данные'!$F$2:$F$964,$A11)</f>
        <v>0</v>
      </c>
      <c r="X11" s="5" t="n">
        <f aca="false">SUMIFS('Исходные данные'!$J$2:$J$964,'Исходные данные'!$D$2:$D$964,W$1,'Исходные данные'!$F$2:$F$964,$A11)</f>
        <v>0</v>
      </c>
      <c r="Y11" s="7" t="n">
        <v>0</v>
      </c>
      <c r="Z11" s="7" t="n">
        <v>0</v>
      </c>
      <c r="AA11" s="5" t="n">
        <f aca="false">SUMIFS('Исходные данные'!$I$2:$I$964,'Исходные данные'!$D$2:$D$964,AA$1,'Исходные данные'!$F$2:$F$964,$A11)</f>
        <v>0</v>
      </c>
      <c r="AB11" s="5" t="n">
        <f aca="false">SUMIFS('Исходные данные'!$J$2:$J$964,'Исходные данные'!$D$2:$D$964,AA$1,'Исходные данные'!$F$2:$F$964,$A11)</f>
        <v>0</v>
      </c>
      <c r="AC11" s="7" t="n">
        <v>0</v>
      </c>
      <c r="AD11" s="7" t="n">
        <v>0</v>
      </c>
      <c r="AE11" s="5" t="n">
        <f aca="false">SUMIFS('Исходные данные'!$I$2:$I$964,'Исходные данные'!$D$2:$D$964,AE$1,'Исходные данные'!$F$2:$F$964,$A11)</f>
        <v>0</v>
      </c>
      <c r="AF11" s="5" t="n">
        <f aca="false">SUMIFS('Исходные данные'!$J$2:$J$964,'Исходные данные'!$D$2:$D$964,AE$1,'Исходные данные'!$F$2:$F$964,$A11)</f>
        <v>0</v>
      </c>
      <c r="AG11" s="7" t="n">
        <v>2</v>
      </c>
      <c r="AH11" s="7" t="n">
        <v>0</v>
      </c>
      <c r="AI11" s="5" t="n">
        <f aca="false">SUMIFS('Исходные данные'!$I$2:$I$964,'Исходные данные'!$D$2:$D$964,AI$1,'Исходные данные'!$F$2:$F$964,$A11)</f>
        <v>2</v>
      </c>
      <c r="AJ11" s="5" t="n">
        <f aca="false">SUMIFS('Исходные данные'!$J$2:$J$964,'Исходные данные'!$D$2:$D$964,AI$1,'Исходные данные'!$F$2:$F$964,$A11)</f>
        <v>0</v>
      </c>
      <c r="AK11" s="7" t="n">
        <v>0</v>
      </c>
      <c r="AL11" s="7" t="n">
        <v>0</v>
      </c>
      <c r="AM11" s="5" t="n">
        <f aca="false">SUMIFS('Исходные данные'!$I$2:$I$964,'Исходные данные'!$D$2:$D$964,AM$1,'Исходные данные'!$F$2:$F$964,$A11)</f>
        <v>0</v>
      </c>
      <c r="AN11" s="5" t="n">
        <f aca="false">SUMIFS('Исходные данные'!$J$2:$J$964,'Исходные данные'!$D$2:$D$964,AM$1,'Исходные данные'!$F$2:$F$964,$A11)</f>
        <v>0</v>
      </c>
      <c r="AO11" s="7" t="n">
        <v>0</v>
      </c>
      <c r="AP11" s="7" t="n">
        <v>0</v>
      </c>
      <c r="AQ11" s="5" t="n">
        <f aca="false">SUMIFS('Исходные данные'!$I$2:$I$964,'Исходные данные'!$D$2:$D$964,AQ$1,'Исходные данные'!$F$2:$F$964,$A11)</f>
        <v>0</v>
      </c>
      <c r="AR11" s="5" t="n">
        <f aca="false">SUMIFS('Исходные данные'!$J$2:$J$964,'Исходные данные'!$D$2:$D$964,AQ$1,'Исходные данные'!$F$2:$F$964,$A11)</f>
        <v>0</v>
      </c>
      <c r="AS11" s="7" t="n">
        <v>0</v>
      </c>
      <c r="AT11" s="7" t="n">
        <v>0</v>
      </c>
      <c r="AU11" s="5" t="n">
        <f aca="false">SUMIFS('Исходные данные'!$I$2:$I$964,'Исходные данные'!$D$2:$D$964,AU$1,'Исходные данные'!$F$2:$F$964,$A11)</f>
        <v>0</v>
      </c>
      <c r="AV11" s="5" t="n">
        <f aca="false">SUMIFS('Исходные данные'!$J$2:$J$964,'Исходные данные'!$D$2:$D$964,AU$1,'Исходные данные'!$F$2:$F$964,$A11)</f>
        <v>0</v>
      </c>
      <c r="AW11" s="7" t="n">
        <v>0</v>
      </c>
      <c r="AX11" s="7" t="n">
        <v>0</v>
      </c>
      <c r="AY11" s="5" t="n">
        <f aca="false">SUMIFS('Исходные данные'!$I$2:$I$964,'Исходные данные'!$D$2:$D$964,AY$1,'Исходные данные'!$F$2:$F$964,$A11)</f>
        <v>0</v>
      </c>
      <c r="AZ11" s="5" t="n">
        <f aca="false">SUMIFS('Исходные данные'!$J$2:$J$964,'Исходные данные'!$D$2:$D$964,AY$1,'Исходные данные'!$F$2:$F$964,$A11)</f>
        <v>0</v>
      </c>
      <c r="BA11" s="7" t="n">
        <v>0</v>
      </c>
      <c r="BB11" s="7" t="n">
        <v>0</v>
      </c>
      <c r="BC11" s="5" t="n">
        <f aca="false">SUMIFS('Исходные данные'!$I$2:$I$964,'Исходные данные'!$D$2:$D$964,BC$1,'Исходные данные'!$F$2:$F$964,$A11)</f>
        <v>0</v>
      </c>
      <c r="BD11" s="5" t="n">
        <f aca="false">SUMIFS('Исходные данные'!$J$2:$J$964,'Исходные данные'!$D$2:$D$964,BC$1,'Исходные данные'!$F$2:$F$964,$A11)</f>
        <v>0</v>
      </c>
      <c r="BE11" s="7" t="n">
        <v>0</v>
      </c>
      <c r="BF11" s="7" t="n">
        <v>0</v>
      </c>
      <c r="BG11" s="5" t="n">
        <f aca="false">SUMIFS('Исходные данные'!$I$2:$I$964,'Исходные данные'!$D$2:$D$964,BG$1,'Исходные данные'!$F$2:$F$964,$A11)</f>
        <v>0</v>
      </c>
      <c r="BH11" s="5" t="n">
        <f aca="false">SUMIFS('Исходные данные'!$J$2:$J$964,'Исходные данные'!$D$2:$D$964,BG$1,'Исходные данные'!$F$2:$F$964,$A11)</f>
        <v>0</v>
      </c>
      <c r="BI11" s="7" t="n">
        <v>0</v>
      </c>
      <c r="BJ11" s="7" t="n">
        <v>0</v>
      </c>
      <c r="BK11" s="5" t="n">
        <f aca="false">SUMIFS('Исходные данные'!$I$2:$I$964,'Исходные данные'!$D$2:$D$964,BK$1,'Исходные данные'!$F$2:$F$964,$A11)</f>
        <v>0</v>
      </c>
      <c r="BL11" s="5" t="n">
        <f aca="false">SUMIFS('Исходные данные'!$J$2:$J$964,'Исходные данные'!$D$2:$D$964,BK$1,'Исходные данные'!$F$2:$F$964,$A11)</f>
        <v>0</v>
      </c>
      <c r="BM11" s="7" t="n">
        <v>0</v>
      </c>
      <c r="BN11" s="7" t="n">
        <v>0</v>
      </c>
      <c r="BO11" s="5" t="n">
        <f aca="false">SUMIFS('Исходные данные'!$I$2:$I$964,'Исходные данные'!$D$2:$D$964,BO$1,'Исходные данные'!$F$2:$F$964,$A11)</f>
        <v>0</v>
      </c>
      <c r="BP11" s="5" t="n">
        <f aca="false">SUMIFS('Исходные данные'!$J$2:$J$964,'Исходные данные'!$D$2:$D$964,BO$1,'Исходные данные'!$F$2:$F$964,$A11)</f>
        <v>0</v>
      </c>
      <c r="BQ11" s="7" t="n">
        <v>0</v>
      </c>
      <c r="BR11" s="7" t="n">
        <v>0</v>
      </c>
      <c r="BS11" s="5" t="n">
        <f aca="false">SUMIFS('Исходные данные'!$I$2:$I$964,'Исходные данные'!$D$2:$D$964,BS$1,'Исходные данные'!$F$2:$F$964,$A11)</f>
        <v>0</v>
      </c>
      <c r="BT11" s="5" t="n">
        <f aca="false">SUMIFS('Исходные данные'!$J$2:$J$964,'Исходные данные'!$D$2:$D$964,BS$1,'Исходные данные'!$F$2:$F$964,$A11)</f>
        <v>0</v>
      </c>
      <c r="BU11" s="7" t="n">
        <v>0</v>
      </c>
      <c r="BV11" s="7" t="n">
        <v>0</v>
      </c>
      <c r="BW11" s="5" t="n">
        <f aca="false">SUMIFS('Исходные данные'!$I$2:$I$964,'Исходные данные'!$D$2:$D$964,BW$1,'Исходные данные'!$F$2:$F$964,$A11)</f>
        <v>0</v>
      </c>
      <c r="BX11" s="5" t="n">
        <f aca="false">SUMIFS('Исходные данные'!$J$2:$J$964,'Исходные данные'!$D$2:$D$964,BW$1,'Исходные данные'!$F$2:$F$964,$A11)</f>
        <v>0</v>
      </c>
      <c r="BY11" s="7" t="n">
        <v>0</v>
      </c>
      <c r="BZ11" s="7" t="n">
        <v>0</v>
      </c>
      <c r="CA11" s="5" t="n">
        <f aca="false">SUMIFS('Исходные данные'!$I$2:$I$964,'Исходные данные'!$D$2:$D$964,CA$1,'Исходные данные'!$F$2:$F$964,$A11)</f>
        <v>0</v>
      </c>
      <c r="CB11" s="5" t="n">
        <f aca="false">SUMIFS('Исходные данные'!$J$2:$J$964,'Исходные данные'!$D$2:$D$964,CA$1,'Исходные данные'!$F$2:$F$964,$A11)</f>
        <v>0</v>
      </c>
      <c r="CC11" s="7" t="n">
        <v>0</v>
      </c>
      <c r="CD11" s="7" t="n">
        <v>0</v>
      </c>
      <c r="CE11" s="5" t="n">
        <f aca="false">SUMIFS('Исходные данные'!$I$2:$I$964,'Исходные данные'!$D$2:$D$964,CE$1,'Исходные данные'!$F$2:$F$964,$A11)</f>
        <v>0</v>
      </c>
      <c r="CF11" s="5" t="n">
        <f aca="false">SUMIFS('Исходные данные'!$J$2:$J$964,'Исходные данные'!$D$2:$D$964,CE$1,'Исходные данные'!$F$2:$F$964,$A11)</f>
        <v>0</v>
      </c>
      <c r="CG11" s="7" t="n">
        <v>0</v>
      </c>
      <c r="CH11" s="7" t="n">
        <v>0</v>
      </c>
      <c r="CI11" s="5" t="n">
        <f aca="false">SUMIFS('Исходные данные'!$I$2:$I$964,'Исходные данные'!$D$2:$D$964,CI$1,'Исходные данные'!$F$2:$F$964,$A11)</f>
        <v>0</v>
      </c>
      <c r="CJ11" s="5" t="n">
        <f aca="false">SUMIFS('Исходные данные'!$J$2:$J$964,'Исходные данные'!$D$2:$D$964,CI$1,'Исходные данные'!$F$2:$F$964,$A11)</f>
        <v>0</v>
      </c>
      <c r="CK11" s="7" t="n">
        <v>0</v>
      </c>
      <c r="CL11" s="7" t="n">
        <v>0</v>
      </c>
      <c r="CM11" s="5" t="n">
        <f aca="false">SUMIFS('Исходные данные'!$I$2:$I$964,'Исходные данные'!$D$2:$D$964,CM$1,'Исходные данные'!$F$2:$F$964,$A11)</f>
        <v>0</v>
      </c>
      <c r="CN11" s="5" t="n">
        <f aca="false">SUMIFS('Исходные данные'!$J$2:$J$964,'Исходные данные'!$D$2:$D$964,CM$1,'Исходные данные'!$F$2:$F$964,$A11)</f>
        <v>0</v>
      </c>
      <c r="CO11" s="7" t="n">
        <v>0</v>
      </c>
      <c r="CP11" s="7" t="n">
        <v>0</v>
      </c>
      <c r="CQ11" s="5" t="n">
        <f aca="false">SUMIFS('Исходные данные'!$I$2:$I$964,'Исходные данные'!$D$2:$D$964,CQ$1,'Исходные данные'!$F$2:$F$964,$A11)</f>
        <v>0</v>
      </c>
      <c r="CR11" s="5" t="n">
        <f aca="false">SUMIFS('Исходные данные'!$J$2:$J$964,'Исходные данные'!$D$2:$D$964,CQ$1,'Исходные данные'!$F$2:$F$964,$A11)</f>
        <v>0</v>
      </c>
      <c r="CS11" s="7" t="n">
        <v>0</v>
      </c>
      <c r="CT11" s="7" t="n">
        <v>0</v>
      </c>
      <c r="CU11" s="5" t="n">
        <f aca="false">SUMIFS('Исходные данные'!$I$2:$I$964,'Исходные данные'!$D$2:$D$964,CU$1,'Исходные данные'!$F$2:$F$964,$A11)</f>
        <v>0</v>
      </c>
      <c r="CV11" s="5" t="n">
        <f aca="false">SUMIFS('Исходные данные'!$J$2:$J$964,'Исходные данные'!$D$2:$D$964,CU$1,'Исходные данные'!$F$2:$F$964,$A11)</f>
        <v>0</v>
      </c>
      <c r="CW11" s="7" t="n">
        <v>0</v>
      </c>
      <c r="CX11" s="7" t="n">
        <v>0</v>
      </c>
      <c r="CY11" s="5" t="n">
        <f aca="false">SUMIFS('Исходные данные'!$I$2:$I$964,'Исходные данные'!$D$2:$D$964,CY$1,'Исходные данные'!$F$2:$F$964,$A11)</f>
        <v>0</v>
      </c>
      <c r="CZ11" s="5" t="n">
        <f aca="false">SUMIFS('Исходные данные'!$J$2:$J$964,'Исходные данные'!$D$2:$D$964,CY$1,'Исходные данные'!$F$2:$F$964,$A11)</f>
        <v>0</v>
      </c>
      <c r="DA11" s="7" t="n">
        <v>0</v>
      </c>
      <c r="DB11" s="7" t="n">
        <v>0</v>
      </c>
      <c r="DC11" s="5" t="n">
        <f aca="false">SUMIFS('Исходные данные'!$I$2:$I$964,'Исходные данные'!$D$2:$D$964,DC$1,'Исходные данные'!$F$2:$F$964,$A11)</f>
        <v>0</v>
      </c>
      <c r="DD11" s="5" t="n">
        <f aca="false">SUMIFS('Исходные данные'!$J$2:$J$964,'Исходные данные'!$D$2:$D$964,DC$1,'Исходные данные'!$F$2:$F$964,$A11)</f>
        <v>0</v>
      </c>
      <c r="DE11" s="7" t="n">
        <v>0</v>
      </c>
      <c r="DF11" s="7" t="n">
        <v>0</v>
      </c>
      <c r="DG11" s="5" t="n">
        <f aca="false">SUMIFS('Исходные данные'!$I$2:$I$964,'Исходные данные'!$D$2:$D$964,DG$1,'Исходные данные'!$F$2:$F$964,$A11)</f>
        <v>0</v>
      </c>
      <c r="DH11" s="5" t="n">
        <f aca="false">SUMIFS('Исходные данные'!$J$2:$J$964,'Исходные данные'!$D$2:$D$964,DG$1,'Исходные данные'!$F$2:$F$964,$A11)</f>
        <v>0</v>
      </c>
      <c r="DI11" s="7" t="n">
        <v>0</v>
      </c>
      <c r="DJ11" s="7" t="n">
        <v>0</v>
      </c>
      <c r="DK11" s="5" t="n">
        <f aca="false">SUMIFS('Исходные данные'!$I$2:$I$964,'Исходные данные'!$D$2:$D$964,DK$1,'Исходные данные'!$F$2:$F$964,$A11)</f>
        <v>0</v>
      </c>
      <c r="DL11" s="5" t="n">
        <f aca="false">SUMIFS('Исходные данные'!$J$2:$J$964,'Исходные данные'!$D$2:$D$964,DK$1,'Исходные данные'!$F$2:$F$964,$A11)</f>
        <v>0</v>
      </c>
      <c r="DM11" s="7" t="n">
        <v>0</v>
      </c>
      <c r="DN11" s="7" t="n">
        <v>0</v>
      </c>
      <c r="DO11" s="5" t="n">
        <f aca="false">SUMIFS('Исходные данные'!$I$2:$I$964,'Исходные данные'!$D$2:$D$964,DO$1,'Исходные данные'!$F$2:$F$964,$A11)</f>
        <v>0</v>
      </c>
      <c r="DP11" s="5" t="n">
        <f aca="false">SUMIFS('Исходные данные'!$J$2:$J$964,'Исходные данные'!$D$2:$D$964,DO$1,'Исходные данные'!$F$2:$F$964,$A11)</f>
        <v>0</v>
      </c>
      <c r="DQ11" s="7" t="n">
        <v>0</v>
      </c>
      <c r="DR11" s="7" t="n">
        <v>0</v>
      </c>
      <c r="DS11" s="5" t="n">
        <f aca="false">SUMIFS('Исходные данные'!$I$2:$I$964,'Исходные данные'!$D$2:$D$964,DS$1,'Исходные данные'!$F$2:$F$964,$A11)</f>
        <v>0</v>
      </c>
      <c r="DT11" s="5" t="n">
        <f aca="false">SUMIFS('Исходные данные'!$J$2:$J$964,'Исходные данные'!$D$2:$D$964,DS$1,'Исходные данные'!$F$2:$F$964,$A11)</f>
        <v>0</v>
      </c>
      <c r="DU11" s="7" t="n">
        <v>0</v>
      </c>
      <c r="DV11" s="7" t="n">
        <v>0</v>
      </c>
      <c r="DW11" s="5" t="n">
        <f aca="false">SUMIFS('Исходные данные'!$I$2:$I$964,'Исходные данные'!$D$2:$D$964,DW$1,'Исходные данные'!$F$2:$F$964,$A11)</f>
        <v>0</v>
      </c>
      <c r="DX11" s="5" t="n">
        <f aca="false">SUMIFS('Исходные данные'!$J$2:$J$964,'Исходные данные'!$D$2:$D$964,DW$1,'Исходные данные'!$F$2:$F$964,$A11)</f>
        <v>0</v>
      </c>
      <c r="DY11" s="7" t="n">
        <v>0</v>
      </c>
      <c r="DZ11" s="7" t="n">
        <v>0</v>
      </c>
      <c r="EA11" s="5" t="n">
        <f aca="false">SUMIFS('Исходные данные'!$I$2:$I$964,'Исходные данные'!$D$2:$D$964,EA$1,'Исходные данные'!$F$2:$F$964,$A11)</f>
        <v>0</v>
      </c>
      <c r="EB11" s="5" t="n">
        <f aca="false">SUMIFS('Исходные данные'!$J$2:$J$964,'Исходные данные'!$D$2:$D$964,EA$1,'Исходные данные'!$F$2:$F$964,$A11)</f>
        <v>0</v>
      </c>
      <c r="EC11" s="7" t="n">
        <v>0</v>
      </c>
      <c r="ED11" s="7" t="n">
        <v>0</v>
      </c>
      <c r="EE11" s="5" t="n">
        <f aca="false">SUMIFS('Исходные данные'!$I$2:$I$964,'Исходные данные'!$D$2:$D$964,EE$1,'Исходные данные'!$F$2:$F$964,$A11)</f>
        <v>0</v>
      </c>
      <c r="EF11" s="5" t="n">
        <f aca="false">SUMIFS('Исходные данные'!$J$2:$J$964,'Исходные данные'!$D$2:$D$964,EE$1,'Исходные данные'!$F$2:$F$964,$A11)</f>
        <v>0</v>
      </c>
      <c r="EG11" s="7" t="n">
        <v>0</v>
      </c>
      <c r="EH11" s="7" t="n">
        <v>0</v>
      </c>
      <c r="EI11" s="5" t="n">
        <f aca="false">SUMIFS('Исходные данные'!$I$2:$I$964,'Исходные данные'!$D$2:$D$964,EI$1,'Исходные данные'!$F$2:$F$964,$A11)</f>
        <v>0</v>
      </c>
      <c r="EJ11" s="5" t="n">
        <f aca="false">SUMIFS('Исходные данные'!$J$2:$J$964,'Исходные данные'!$D$2:$D$964,EI$1,'Исходные данные'!$F$2:$F$964,$A11)</f>
        <v>0</v>
      </c>
      <c r="EK11" s="7" t="n">
        <v>0</v>
      </c>
      <c r="EL11" s="7" t="n">
        <v>0</v>
      </c>
      <c r="EM11" s="5" t="n">
        <f aca="false">SUMIFS('Исходные данные'!$I$2:$I$964,'Исходные данные'!$D$2:$D$964,EM$1,'Исходные данные'!$F$2:$F$964,$A11)</f>
        <v>0</v>
      </c>
      <c r="EN11" s="5" t="n">
        <f aca="false">SUMIFS('Исходные данные'!$J$2:$J$964,'Исходные данные'!$D$2:$D$964,EM$1,'Исходные данные'!$F$2:$F$964,$A11)</f>
        <v>0</v>
      </c>
      <c r="EO11" s="7" t="n">
        <v>0</v>
      </c>
      <c r="EP11" s="7" t="n">
        <v>0</v>
      </c>
      <c r="EQ11" s="5" t="n">
        <f aca="false">SUMIFS('Исходные данные'!$I$2:$I$964,'Исходные данные'!$D$2:$D$964,EQ$1,'Исходные данные'!$F$2:$F$964,$A11)</f>
        <v>0</v>
      </c>
      <c r="ER11" s="5" t="n">
        <f aca="false">SUMIFS('Исходные данные'!$J$2:$J$964,'Исходные данные'!$D$2:$D$964,EQ$1,'Исходные данные'!$F$2:$F$964,$A11)</f>
        <v>0</v>
      </c>
      <c r="ES11" s="7" t="n">
        <v>0</v>
      </c>
      <c r="ET11" s="7" t="n">
        <v>0</v>
      </c>
      <c r="EU11" s="5" t="n">
        <f aca="false">SUMIFS('Исходные данные'!$I$2:$I$964,'Исходные данные'!$D$2:$D$964,EU$1,'Исходные данные'!$F$2:$F$964,$A11)</f>
        <v>0</v>
      </c>
      <c r="EV11" s="5" t="n">
        <f aca="false">SUMIFS('Исходные данные'!$J$2:$J$964,'Исходные данные'!$D$2:$D$964,EU$1,'Исходные данные'!$F$2:$F$964,$A11)</f>
        <v>0</v>
      </c>
      <c r="EW11" s="7" t="n">
        <v>0</v>
      </c>
      <c r="EX11" s="7" t="n">
        <v>0</v>
      </c>
      <c r="EY11" s="5" t="n">
        <f aca="false">SUMIFS('Исходные данные'!$I$2:$I$964,'Исходные данные'!$D$2:$D$964,EY$1,'Исходные данные'!$F$2:$F$964,$A11)</f>
        <v>0</v>
      </c>
      <c r="EZ11" s="5" t="n">
        <f aca="false">SUMIFS('Исходные данные'!$J$2:$J$964,'Исходные данные'!$D$2:$D$964,EY$1,'Исходные данные'!$F$2:$F$964,$A11)</f>
        <v>0</v>
      </c>
      <c r="FA11" s="7" t="n">
        <v>0</v>
      </c>
      <c r="FB11" s="7" t="n">
        <v>0</v>
      </c>
      <c r="FC11" s="5" t="n">
        <f aca="false">SUMIFS('Исходные данные'!$I$2:$I$964,'Исходные данные'!$D$2:$D$964,FC$1,'Исходные данные'!$F$2:$F$964,$A11)</f>
        <v>0</v>
      </c>
      <c r="FD11" s="5" t="n">
        <f aca="false">SUMIFS('Исходные данные'!$J$2:$J$964,'Исходные данные'!$D$2:$D$964,FC$1,'Исходные данные'!$F$2:$F$964,$A11)</f>
        <v>0</v>
      </c>
      <c r="FE11" s="7" t="n">
        <v>0</v>
      </c>
      <c r="FF11" s="7" t="n">
        <v>0</v>
      </c>
      <c r="FG11" s="5" t="n">
        <f aca="false">SUMIFS('Исходные данные'!$I$2:$I$964,'Исходные данные'!$D$2:$D$964,FG$1,'Исходные данные'!$F$2:$F$964,$A11)</f>
        <v>0</v>
      </c>
      <c r="FH11" s="5" t="n">
        <f aca="false">SUMIFS('Исходные данные'!$J$2:$J$964,'Исходные данные'!$D$2:$D$964,FG$1,'Исходные данные'!$F$2:$F$964,$A11)</f>
        <v>0</v>
      </c>
    </row>
    <row r="12" customFormat="false" ht="15" hidden="false" customHeight="false" outlineLevel="0" collapsed="false">
      <c r="A12" s="10" t="s">
        <v>67</v>
      </c>
      <c r="B12" s="11" t="s">
        <v>68</v>
      </c>
      <c r="C12" s="6" t="n">
        <v>3</v>
      </c>
      <c r="D12" s="6" t="n">
        <f aca="false">I12+J12+M12+N12+Q12+R12+U12+V12+Y12+Z12+AC12+AD12+AG12+AH12+AK12+AL12+AO12+AP12+AS12+AT12+AW12+AX12+BA12+BB12+BE12+BF12+BI12+BJ12+BM12+BN12+BQ12+BR12+BU12+BV12+BY12+BZ12+CC12+CD12+CG12+CH12+CK12+CL12+CO12+CP12+CS12+CT12+CW12+CX12+DA12+DB12+DE12+DF12+DI12+DJ12+DM12+DN12+DQ12+DR12+DU12+DV12+DY12+DZ12+EC12+ED12+EG12+EH12+EK12+EL12+EO12+EP12+ES12+ET12+EW12+EX12+FA12+FB12+FE12+FF12</f>
        <v>3</v>
      </c>
      <c r="E12" s="6" t="n">
        <f aca="false">G12+H12</f>
        <v>3</v>
      </c>
      <c r="F12" s="6" t="n">
        <f aca="false">E12-C12</f>
        <v>0</v>
      </c>
      <c r="G12" s="6" t="n">
        <f aca="false">K12+O12+S12+W12+AA12+AE12+AI12+AM12+AQ12+AU12+AY12+BC12+BG12+BK12+BO12+BS12+BW12+CA12+CE12+CI12+CM12+CQ12+CU12+CY12+DC12+DG12+DK12+DO12+DS12+DW12+EA12+EE12+EI12+EM12+EQ12+EU12+EY12+FC12+FG12</f>
        <v>3</v>
      </c>
      <c r="H12" s="6" t="n">
        <f aca="false">L12+P12+T12+X12+AB12+AF12+AJ12+AN12+AR12+AV12+AZ12+BD12+BH12+BL12+BP12+BT12+BX12+CB12+CF12+CJ12+CN12+CR12+CV12+CZ12+DD12+DH12+DL12+DP12+DT12+DX12+EB12+EF12+EJ12+EN12+ER12+EV12+EZ12+FD12+FH12</f>
        <v>0</v>
      </c>
      <c r="I12" s="7" t="n">
        <v>0</v>
      </c>
      <c r="J12" s="7" t="n">
        <v>0</v>
      </c>
      <c r="K12" s="11" t="n">
        <f aca="false">SUMIFS('Исходные данные'!$I$2:$I$964,'Исходные данные'!$D$2:$D$964,K$1,'Исходные данные'!$F$2:$F$964,$A12)</f>
        <v>1</v>
      </c>
      <c r="L12" s="11" t="n">
        <f aca="false">SUMIFS('Исходные данные'!$J$2:$J$964,'Исходные данные'!$D$2:$D$964,K$1,'Исходные данные'!$F$2:$F$964,$A12)</f>
        <v>0</v>
      </c>
      <c r="M12" s="7" t="n">
        <v>0</v>
      </c>
      <c r="N12" s="7" t="n">
        <v>0</v>
      </c>
      <c r="O12" s="11" t="n">
        <f aca="false">SUMIFS('Исходные данные'!$I$2:$I$964,'Исходные данные'!$D$2:$D$964,O$1,'Исходные данные'!$F$2:$F$964,$A12)</f>
        <v>0</v>
      </c>
      <c r="P12" s="11" t="n">
        <f aca="false">SUMIFS('Исходные данные'!$J$2:$J$964,'Исходные данные'!$D$2:$D$964,O$1,'Исходные данные'!$F$2:$F$964,$A12)</f>
        <v>0</v>
      </c>
      <c r="Q12" s="7" t="n">
        <v>0</v>
      </c>
      <c r="R12" s="7" t="n">
        <v>0</v>
      </c>
      <c r="S12" s="11" t="n">
        <f aca="false">SUMIFS('Исходные данные'!$I$2:$I$964,'Исходные данные'!$D$2:$D$964,S$1,'Исходные данные'!$F$2:$F$964,$A12)</f>
        <v>0</v>
      </c>
      <c r="T12" s="11" t="n">
        <f aca="false">SUMIFS('Исходные данные'!$J$2:$J$964,'Исходные данные'!$D$2:$D$964,S$1,'Исходные данные'!$F$2:$F$964,$A12)</f>
        <v>0</v>
      </c>
      <c r="U12" s="7" t="n">
        <v>0</v>
      </c>
      <c r="V12" s="7" t="n">
        <v>0</v>
      </c>
      <c r="W12" s="11" t="n">
        <f aca="false">SUMIFS('Исходные данные'!$I$2:$I$964,'Исходные данные'!$D$2:$D$964,W$1,'Исходные данные'!$F$2:$F$964,$A12)</f>
        <v>1</v>
      </c>
      <c r="X12" s="11" t="n">
        <f aca="false">SUMIFS('Исходные данные'!$J$2:$J$964,'Исходные данные'!$D$2:$D$964,W$1,'Исходные данные'!$F$2:$F$964,$A12)</f>
        <v>0</v>
      </c>
      <c r="Y12" s="7" t="n">
        <v>0</v>
      </c>
      <c r="Z12" s="7" t="n">
        <v>0</v>
      </c>
      <c r="AA12" s="11" t="n">
        <f aca="false">SUMIFS('Исходные данные'!$I$2:$I$964,'Исходные данные'!$D$2:$D$964,AA$1,'Исходные данные'!$F$2:$F$964,$A12)</f>
        <v>0</v>
      </c>
      <c r="AB12" s="11" t="n">
        <f aca="false">SUMIFS('Исходные данные'!$J$2:$J$964,'Исходные данные'!$D$2:$D$964,AA$1,'Исходные данные'!$F$2:$F$964,$A12)</f>
        <v>0</v>
      </c>
      <c r="AC12" s="7" t="n">
        <v>0</v>
      </c>
      <c r="AD12" s="7" t="n">
        <v>0</v>
      </c>
      <c r="AE12" s="11" t="n">
        <f aca="false">SUMIFS('Исходные данные'!$I$2:$I$964,'Исходные данные'!$D$2:$D$964,AE$1,'Исходные данные'!$F$2:$F$964,$A12)</f>
        <v>0</v>
      </c>
      <c r="AF12" s="11" t="n">
        <f aca="false">SUMIFS('Исходные данные'!$J$2:$J$964,'Исходные данные'!$D$2:$D$964,AE$1,'Исходные данные'!$F$2:$F$964,$A12)</f>
        <v>0</v>
      </c>
      <c r="AG12" s="7" t="n">
        <v>0</v>
      </c>
      <c r="AH12" s="7" t="n">
        <v>0</v>
      </c>
      <c r="AI12" s="11" t="n">
        <f aca="false">SUMIFS('Исходные данные'!$I$2:$I$964,'Исходные данные'!$D$2:$D$964,AI$1,'Исходные данные'!$F$2:$F$964,$A12)</f>
        <v>0</v>
      </c>
      <c r="AJ12" s="11" t="n">
        <f aca="false">SUMIFS('Исходные данные'!$J$2:$J$964,'Исходные данные'!$D$2:$D$964,AI$1,'Исходные данные'!$F$2:$F$964,$A12)</f>
        <v>0</v>
      </c>
      <c r="AK12" s="7" t="n">
        <v>0</v>
      </c>
      <c r="AL12" s="7" t="n">
        <v>0</v>
      </c>
      <c r="AM12" s="11" t="n">
        <f aca="false">SUMIFS('Исходные данные'!$I$2:$I$964,'Исходные данные'!$D$2:$D$964,AM$1,'Исходные данные'!$F$2:$F$964,$A12)</f>
        <v>0</v>
      </c>
      <c r="AN12" s="11" t="n">
        <f aca="false">SUMIFS('Исходные данные'!$J$2:$J$964,'Исходные данные'!$D$2:$D$964,AM$1,'Исходные данные'!$F$2:$F$964,$A12)</f>
        <v>0</v>
      </c>
      <c r="AO12" s="7" t="n">
        <v>2</v>
      </c>
      <c r="AP12" s="7" t="n">
        <v>0</v>
      </c>
      <c r="AQ12" s="11" t="n">
        <f aca="false">SUMIFS('Исходные данные'!$I$2:$I$964,'Исходные данные'!$D$2:$D$964,AQ$1,'Исходные данные'!$F$2:$F$964,$A12)</f>
        <v>0</v>
      </c>
      <c r="AR12" s="11" t="n">
        <f aca="false">SUMIFS('Исходные данные'!$J$2:$J$964,'Исходные данные'!$D$2:$D$964,AQ$1,'Исходные данные'!$F$2:$F$964,$A12)</f>
        <v>0</v>
      </c>
      <c r="AS12" s="7" t="n">
        <v>0</v>
      </c>
      <c r="AT12" s="7" t="n">
        <v>0</v>
      </c>
      <c r="AU12" s="11" t="n">
        <f aca="false">SUMIFS('Исходные данные'!$I$2:$I$964,'Исходные данные'!$D$2:$D$964,AU$1,'Исходные данные'!$F$2:$F$964,$A12)</f>
        <v>0</v>
      </c>
      <c r="AV12" s="11" t="n">
        <f aca="false">SUMIFS('Исходные данные'!$J$2:$J$964,'Исходные данные'!$D$2:$D$964,AU$1,'Исходные данные'!$F$2:$F$964,$A12)</f>
        <v>0</v>
      </c>
      <c r="AW12" s="7" t="n">
        <v>0</v>
      </c>
      <c r="AX12" s="7" t="n">
        <v>0</v>
      </c>
      <c r="AY12" s="11" t="n">
        <f aca="false">SUMIFS('Исходные данные'!$I$2:$I$964,'Исходные данные'!$D$2:$D$964,AY$1,'Исходные данные'!$F$2:$F$964,$A12)</f>
        <v>0</v>
      </c>
      <c r="AZ12" s="11" t="n">
        <f aca="false">SUMIFS('Исходные данные'!$J$2:$J$964,'Исходные данные'!$D$2:$D$964,AY$1,'Исходные данные'!$F$2:$F$964,$A12)</f>
        <v>0</v>
      </c>
      <c r="BA12" s="7" t="n">
        <v>0</v>
      </c>
      <c r="BB12" s="7" t="n">
        <v>0</v>
      </c>
      <c r="BC12" s="11" t="n">
        <f aca="false">SUMIFS('Исходные данные'!$I$2:$I$964,'Исходные данные'!$D$2:$D$964,BC$1,'Исходные данные'!$F$2:$F$964,$A12)</f>
        <v>0</v>
      </c>
      <c r="BD12" s="11" t="n">
        <f aca="false">SUMIFS('Исходные данные'!$J$2:$J$964,'Исходные данные'!$D$2:$D$964,BC$1,'Исходные данные'!$F$2:$F$964,$A12)</f>
        <v>0</v>
      </c>
      <c r="BE12" s="7" t="n">
        <v>0</v>
      </c>
      <c r="BF12" s="7" t="n">
        <v>0</v>
      </c>
      <c r="BG12" s="11" t="n">
        <f aca="false">SUMIFS('Исходные данные'!$I$2:$I$964,'Исходные данные'!$D$2:$D$964,BG$1,'Исходные данные'!$F$2:$F$964,$A12)</f>
        <v>1</v>
      </c>
      <c r="BH12" s="11" t="n">
        <f aca="false">SUMIFS('Исходные данные'!$J$2:$J$964,'Исходные данные'!$D$2:$D$964,BG$1,'Исходные данные'!$F$2:$F$964,$A12)</f>
        <v>0</v>
      </c>
      <c r="BI12" s="7" t="n">
        <v>0</v>
      </c>
      <c r="BJ12" s="7" t="n">
        <v>0</v>
      </c>
      <c r="BK12" s="11" t="n">
        <f aca="false">SUMIFS('Исходные данные'!$I$2:$I$964,'Исходные данные'!$D$2:$D$964,BK$1,'Исходные данные'!$F$2:$F$964,$A12)</f>
        <v>0</v>
      </c>
      <c r="BL12" s="11" t="n">
        <f aca="false">SUMIFS('Исходные данные'!$J$2:$J$964,'Исходные данные'!$D$2:$D$964,BK$1,'Исходные данные'!$F$2:$F$964,$A12)</f>
        <v>0</v>
      </c>
      <c r="BM12" s="7" t="n">
        <v>0</v>
      </c>
      <c r="BN12" s="7" t="n">
        <v>0</v>
      </c>
      <c r="BO12" s="11" t="n">
        <f aca="false">SUMIFS('Исходные данные'!$I$2:$I$964,'Исходные данные'!$D$2:$D$964,BO$1,'Исходные данные'!$F$2:$F$964,$A12)</f>
        <v>0</v>
      </c>
      <c r="BP12" s="11" t="n">
        <f aca="false">SUMIFS('Исходные данные'!$J$2:$J$964,'Исходные данные'!$D$2:$D$964,BO$1,'Исходные данные'!$F$2:$F$964,$A12)</f>
        <v>0</v>
      </c>
      <c r="BQ12" s="7" t="n">
        <v>1</v>
      </c>
      <c r="BR12" s="7" t="n">
        <v>0</v>
      </c>
      <c r="BS12" s="11" t="n">
        <f aca="false">SUMIFS('Исходные данные'!$I$2:$I$964,'Исходные данные'!$D$2:$D$964,BS$1,'Исходные данные'!$F$2:$F$964,$A12)</f>
        <v>0</v>
      </c>
      <c r="BT12" s="11" t="n">
        <f aca="false">SUMIFS('Исходные данные'!$J$2:$J$964,'Исходные данные'!$D$2:$D$964,BS$1,'Исходные данные'!$F$2:$F$964,$A12)</f>
        <v>0</v>
      </c>
      <c r="BU12" s="7" t="n">
        <v>0</v>
      </c>
      <c r="BV12" s="7" t="n">
        <v>0</v>
      </c>
      <c r="BW12" s="11" t="n">
        <f aca="false">SUMIFS('Исходные данные'!$I$2:$I$964,'Исходные данные'!$D$2:$D$964,BW$1,'Исходные данные'!$F$2:$F$964,$A12)</f>
        <v>0</v>
      </c>
      <c r="BX12" s="11" t="n">
        <f aca="false">SUMIFS('Исходные данные'!$J$2:$J$964,'Исходные данные'!$D$2:$D$964,BW$1,'Исходные данные'!$F$2:$F$964,$A12)</f>
        <v>0</v>
      </c>
      <c r="BY12" s="7" t="n">
        <v>0</v>
      </c>
      <c r="BZ12" s="7" t="n">
        <v>0</v>
      </c>
      <c r="CA12" s="11" t="n">
        <f aca="false">SUMIFS('Исходные данные'!$I$2:$I$964,'Исходные данные'!$D$2:$D$964,CA$1,'Исходные данные'!$F$2:$F$964,$A12)</f>
        <v>0</v>
      </c>
      <c r="CB12" s="11" t="n">
        <f aca="false">SUMIFS('Исходные данные'!$J$2:$J$964,'Исходные данные'!$D$2:$D$964,CA$1,'Исходные данные'!$F$2:$F$964,$A12)</f>
        <v>0</v>
      </c>
      <c r="CC12" s="7" t="n">
        <v>0</v>
      </c>
      <c r="CD12" s="7" t="n">
        <v>0</v>
      </c>
      <c r="CE12" s="11" t="n">
        <f aca="false">SUMIFS('Исходные данные'!$I$2:$I$964,'Исходные данные'!$D$2:$D$964,CE$1,'Исходные данные'!$F$2:$F$964,$A12)</f>
        <v>0</v>
      </c>
      <c r="CF12" s="11" t="n">
        <f aca="false">SUMIFS('Исходные данные'!$J$2:$J$964,'Исходные данные'!$D$2:$D$964,CE$1,'Исходные данные'!$F$2:$F$964,$A12)</f>
        <v>0</v>
      </c>
      <c r="CG12" s="7" t="n">
        <v>0</v>
      </c>
      <c r="CH12" s="7" t="n">
        <v>0</v>
      </c>
      <c r="CI12" s="11" t="n">
        <f aca="false">SUMIFS('Исходные данные'!$I$2:$I$964,'Исходные данные'!$D$2:$D$964,CI$1,'Исходные данные'!$F$2:$F$964,$A12)</f>
        <v>0</v>
      </c>
      <c r="CJ12" s="11" t="n">
        <f aca="false">SUMIFS('Исходные данные'!$J$2:$J$964,'Исходные данные'!$D$2:$D$964,CI$1,'Исходные данные'!$F$2:$F$964,$A12)</f>
        <v>0</v>
      </c>
      <c r="CK12" s="7" t="n">
        <v>0</v>
      </c>
      <c r="CL12" s="7" t="n">
        <v>0</v>
      </c>
      <c r="CM12" s="11" t="n">
        <f aca="false">SUMIFS('Исходные данные'!$I$2:$I$964,'Исходные данные'!$D$2:$D$964,CM$1,'Исходные данные'!$F$2:$F$964,$A12)</f>
        <v>0</v>
      </c>
      <c r="CN12" s="11" t="n">
        <f aca="false">SUMIFS('Исходные данные'!$J$2:$J$964,'Исходные данные'!$D$2:$D$964,CM$1,'Исходные данные'!$F$2:$F$964,$A12)</f>
        <v>0</v>
      </c>
      <c r="CO12" s="7" t="n">
        <v>0</v>
      </c>
      <c r="CP12" s="7" t="n">
        <v>0</v>
      </c>
      <c r="CQ12" s="11" t="n">
        <f aca="false">SUMIFS('Исходные данные'!$I$2:$I$964,'Исходные данные'!$D$2:$D$964,CQ$1,'Исходные данные'!$F$2:$F$964,$A12)</f>
        <v>0</v>
      </c>
      <c r="CR12" s="11" t="n">
        <f aca="false">SUMIFS('Исходные данные'!$J$2:$J$964,'Исходные данные'!$D$2:$D$964,CQ$1,'Исходные данные'!$F$2:$F$964,$A12)</f>
        <v>0</v>
      </c>
      <c r="CS12" s="7" t="n">
        <v>0</v>
      </c>
      <c r="CT12" s="7" t="n">
        <v>0</v>
      </c>
      <c r="CU12" s="11" t="n">
        <f aca="false">SUMIFS('Исходные данные'!$I$2:$I$964,'Исходные данные'!$D$2:$D$964,CU$1,'Исходные данные'!$F$2:$F$964,$A12)</f>
        <v>0</v>
      </c>
      <c r="CV12" s="11" t="n">
        <f aca="false">SUMIFS('Исходные данные'!$J$2:$J$964,'Исходные данные'!$D$2:$D$964,CU$1,'Исходные данные'!$F$2:$F$964,$A12)</f>
        <v>0</v>
      </c>
      <c r="CW12" s="7" t="n">
        <v>0</v>
      </c>
      <c r="CX12" s="7" t="n">
        <v>0</v>
      </c>
      <c r="CY12" s="11" t="n">
        <f aca="false">SUMIFS('Исходные данные'!$I$2:$I$964,'Исходные данные'!$D$2:$D$964,CY$1,'Исходные данные'!$F$2:$F$964,$A12)</f>
        <v>0</v>
      </c>
      <c r="CZ12" s="11" t="n">
        <f aca="false">SUMIFS('Исходные данные'!$J$2:$J$964,'Исходные данные'!$D$2:$D$964,CY$1,'Исходные данные'!$F$2:$F$964,$A12)</f>
        <v>0</v>
      </c>
      <c r="DA12" s="7" t="n">
        <v>0</v>
      </c>
      <c r="DB12" s="7" t="n">
        <v>0</v>
      </c>
      <c r="DC12" s="11" t="n">
        <f aca="false">SUMIFS('Исходные данные'!$I$2:$I$964,'Исходные данные'!$D$2:$D$964,DC$1,'Исходные данные'!$F$2:$F$964,$A12)</f>
        <v>0</v>
      </c>
      <c r="DD12" s="11" t="n">
        <f aca="false">SUMIFS('Исходные данные'!$J$2:$J$964,'Исходные данные'!$D$2:$D$964,DC$1,'Исходные данные'!$F$2:$F$964,$A12)</f>
        <v>0</v>
      </c>
      <c r="DE12" s="7" t="n">
        <v>0</v>
      </c>
      <c r="DF12" s="7" t="n">
        <v>0</v>
      </c>
      <c r="DG12" s="11" t="n">
        <f aca="false">SUMIFS('Исходные данные'!$I$2:$I$964,'Исходные данные'!$D$2:$D$964,DG$1,'Исходные данные'!$F$2:$F$964,$A12)</f>
        <v>0</v>
      </c>
      <c r="DH12" s="11" t="n">
        <f aca="false">SUMIFS('Исходные данные'!$J$2:$J$964,'Исходные данные'!$D$2:$D$964,DG$1,'Исходные данные'!$F$2:$F$964,$A12)</f>
        <v>0</v>
      </c>
      <c r="DI12" s="7" t="n">
        <v>0</v>
      </c>
      <c r="DJ12" s="7" t="n">
        <v>0</v>
      </c>
      <c r="DK12" s="11" t="n">
        <f aca="false">SUMIFS('Исходные данные'!$I$2:$I$964,'Исходные данные'!$D$2:$D$964,DK$1,'Исходные данные'!$F$2:$F$964,$A12)</f>
        <v>0</v>
      </c>
      <c r="DL12" s="11" t="n">
        <f aca="false">SUMIFS('Исходные данные'!$J$2:$J$964,'Исходные данные'!$D$2:$D$964,DK$1,'Исходные данные'!$F$2:$F$964,$A12)</f>
        <v>0</v>
      </c>
      <c r="DM12" s="7" t="n">
        <v>0</v>
      </c>
      <c r="DN12" s="7" t="n">
        <v>0</v>
      </c>
      <c r="DO12" s="11" t="n">
        <f aca="false">SUMIFS('Исходные данные'!$I$2:$I$964,'Исходные данные'!$D$2:$D$964,DO$1,'Исходные данные'!$F$2:$F$964,$A12)</f>
        <v>0</v>
      </c>
      <c r="DP12" s="11" t="n">
        <f aca="false">SUMIFS('Исходные данные'!$J$2:$J$964,'Исходные данные'!$D$2:$D$964,DO$1,'Исходные данные'!$F$2:$F$964,$A12)</f>
        <v>0</v>
      </c>
      <c r="DQ12" s="7" t="n">
        <v>0</v>
      </c>
      <c r="DR12" s="7" t="n">
        <v>0</v>
      </c>
      <c r="DS12" s="11" t="n">
        <f aca="false">SUMIFS('Исходные данные'!$I$2:$I$964,'Исходные данные'!$D$2:$D$964,DS$1,'Исходные данные'!$F$2:$F$964,$A12)</f>
        <v>0</v>
      </c>
      <c r="DT12" s="11" t="n">
        <f aca="false">SUMIFS('Исходные данные'!$J$2:$J$964,'Исходные данные'!$D$2:$D$964,DS$1,'Исходные данные'!$F$2:$F$964,$A12)</f>
        <v>0</v>
      </c>
      <c r="DU12" s="7" t="n">
        <v>0</v>
      </c>
      <c r="DV12" s="7" t="n">
        <v>0</v>
      </c>
      <c r="DW12" s="11" t="n">
        <f aca="false">SUMIFS('Исходные данные'!$I$2:$I$964,'Исходные данные'!$D$2:$D$964,DW$1,'Исходные данные'!$F$2:$F$964,$A12)</f>
        <v>0</v>
      </c>
      <c r="DX12" s="11" t="n">
        <f aca="false">SUMIFS('Исходные данные'!$J$2:$J$964,'Исходные данные'!$D$2:$D$964,DW$1,'Исходные данные'!$F$2:$F$964,$A12)</f>
        <v>0</v>
      </c>
      <c r="DY12" s="7" t="n">
        <v>0</v>
      </c>
      <c r="DZ12" s="7" t="n">
        <v>0</v>
      </c>
      <c r="EA12" s="11" t="n">
        <f aca="false">SUMIFS('Исходные данные'!$I$2:$I$964,'Исходные данные'!$D$2:$D$964,EA$1,'Исходные данные'!$F$2:$F$964,$A12)</f>
        <v>0</v>
      </c>
      <c r="EB12" s="11" t="n">
        <f aca="false">SUMIFS('Исходные данные'!$J$2:$J$964,'Исходные данные'!$D$2:$D$964,EA$1,'Исходные данные'!$F$2:$F$964,$A12)</f>
        <v>0</v>
      </c>
      <c r="EC12" s="7" t="n">
        <v>0</v>
      </c>
      <c r="ED12" s="7" t="n">
        <v>0</v>
      </c>
      <c r="EE12" s="11" t="n">
        <f aca="false">SUMIFS('Исходные данные'!$I$2:$I$964,'Исходные данные'!$D$2:$D$964,EE$1,'Исходные данные'!$F$2:$F$964,$A12)</f>
        <v>0</v>
      </c>
      <c r="EF12" s="11" t="n">
        <f aca="false">SUMIFS('Исходные данные'!$J$2:$J$964,'Исходные данные'!$D$2:$D$964,EE$1,'Исходные данные'!$F$2:$F$964,$A12)</f>
        <v>0</v>
      </c>
      <c r="EG12" s="7" t="n">
        <v>0</v>
      </c>
      <c r="EH12" s="7" t="n">
        <v>0</v>
      </c>
      <c r="EI12" s="11" t="n">
        <f aca="false">SUMIFS('Исходные данные'!$I$2:$I$964,'Исходные данные'!$D$2:$D$964,EI$1,'Исходные данные'!$F$2:$F$964,$A12)</f>
        <v>0</v>
      </c>
      <c r="EJ12" s="11" t="n">
        <f aca="false">SUMIFS('Исходные данные'!$J$2:$J$964,'Исходные данные'!$D$2:$D$964,EI$1,'Исходные данные'!$F$2:$F$964,$A12)</f>
        <v>0</v>
      </c>
      <c r="EK12" s="7" t="n">
        <v>0</v>
      </c>
      <c r="EL12" s="7" t="n">
        <v>0</v>
      </c>
      <c r="EM12" s="11" t="n">
        <f aca="false">SUMIFS('Исходные данные'!$I$2:$I$964,'Исходные данные'!$D$2:$D$964,EM$1,'Исходные данные'!$F$2:$F$964,$A12)</f>
        <v>0</v>
      </c>
      <c r="EN12" s="11" t="n">
        <f aca="false">SUMIFS('Исходные данные'!$J$2:$J$964,'Исходные данные'!$D$2:$D$964,EM$1,'Исходные данные'!$F$2:$F$964,$A12)</f>
        <v>0</v>
      </c>
      <c r="EO12" s="7" t="n">
        <v>0</v>
      </c>
      <c r="EP12" s="7" t="n">
        <v>0</v>
      </c>
      <c r="EQ12" s="11" t="n">
        <f aca="false">SUMIFS('Исходные данные'!$I$2:$I$964,'Исходные данные'!$D$2:$D$964,EQ$1,'Исходные данные'!$F$2:$F$964,$A12)</f>
        <v>0</v>
      </c>
      <c r="ER12" s="11" t="n">
        <f aca="false">SUMIFS('Исходные данные'!$J$2:$J$964,'Исходные данные'!$D$2:$D$964,EQ$1,'Исходные данные'!$F$2:$F$964,$A12)</f>
        <v>0</v>
      </c>
      <c r="ES12" s="7" t="n">
        <v>0</v>
      </c>
      <c r="ET12" s="7" t="n">
        <v>0</v>
      </c>
      <c r="EU12" s="11" t="n">
        <f aca="false">SUMIFS('Исходные данные'!$I$2:$I$964,'Исходные данные'!$D$2:$D$964,EU$1,'Исходные данные'!$F$2:$F$964,$A12)</f>
        <v>0</v>
      </c>
      <c r="EV12" s="11" t="n">
        <f aca="false">SUMIFS('Исходные данные'!$J$2:$J$964,'Исходные данные'!$D$2:$D$964,EU$1,'Исходные данные'!$F$2:$F$964,$A12)</f>
        <v>0</v>
      </c>
      <c r="EW12" s="7" t="n">
        <v>0</v>
      </c>
      <c r="EX12" s="7" t="n">
        <v>0</v>
      </c>
      <c r="EY12" s="11" t="n">
        <f aca="false">SUMIFS('Исходные данные'!$I$2:$I$964,'Исходные данные'!$D$2:$D$964,EY$1,'Исходные данные'!$F$2:$F$964,$A12)</f>
        <v>0</v>
      </c>
      <c r="EZ12" s="11" t="n">
        <f aca="false">SUMIFS('Исходные данные'!$J$2:$J$964,'Исходные данные'!$D$2:$D$964,EY$1,'Исходные данные'!$F$2:$F$964,$A12)</f>
        <v>0</v>
      </c>
      <c r="FA12" s="7" t="n">
        <v>0</v>
      </c>
      <c r="FB12" s="7" t="n">
        <v>0</v>
      </c>
      <c r="FC12" s="11" t="n">
        <f aca="false">SUMIFS('Исходные данные'!$I$2:$I$964,'Исходные данные'!$D$2:$D$964,FC$1,'Исходные данные'!$F$2:$F$964,$A12)</f>
        <v>0</v>
      </c>
      <c r="FD12" s="11" t="n">
        <f aca="false">SUMIFS('Исходные данные'!$J$2:$J$964,'Исходные данные'!$D$2:$D$964,FC$1,'Исходные данные'!$F$2:$F$964,$A12)</f>
        <v>0</v>
      </c>
      <c r="FE12" s="7" t="n">
        <v>0</v>
      </c>
      <c r="FF12" s="7" t="n">
        <v>0</v>
      </c>
      <c r="FG12" s="11" t="n">
        <f aca="false">SUMIFS('Исходные данные'!$I$2:$I$964,'Исходные данные'!$D$2:$D$964,FG$1,'Исходные данные'!$F$2:$F$964,$A12)</f>
        <v>0</v>
      </c>
      <c r="FH12" s="11" t="n">
        <f aca="false">SUMIFS('Исходные данные'!$J$2:$J$964,'Исходные данные'!$D$2:$D$964,FG$1,'Исходные данные'!$F$2:$F$964,$A12)</f>
        <v>0</v>
      </c>
    </row>
    <row r="13" customFormat="false" ht="15" hidden="false" customHeight="false" outlineLevel="0" collapsed="false">
      <c r="A13" s="10" t="s">
        <v>69</v>
      </c>
      <c r="B13" s="11" t="s">
        <v>70</v>
      </c>
      <c r="C13" s="6" t="n">
        <v>217</v>
      </c>
      <c r="D13" s="6" t="n">
        <f aca="false">I13+J13+M13+N13+Q13+R13+U13+V13+Y13+Z13+AC13+AD13+AG13+AH13+AK13+AL13+AO13+AP13+AS13+AT13+AW13+AX13+BA13+BB13+BE13+BF13+BI13+BJ13+BM13+BN13+BQ13+BR13+BU13+BV13+BY13+BZ13+CC13+CD13+CG13+CH13+CK13+CL13+CO13+CP13+CS13+CT13+CW13+CX13+DA13+DB13+DE13+DF13+DI13+DJ13+DM13+DN13+DQ13+DR13+DU13+DV13+DY13+DZ13+EC13+ED13+EG13+EH13+EK13+EL13+EO13+EP13+ES13+ET13+EW13+EX13+FA13+FB13+FE13+FF13</f>
        <v>211</v>
      </c>
      <c r="E13" s="6" t="n">
        <f aca="false">G13+H13</f>
        <v>211</v>
      </c>
      <c r="F13" s="6" t="n">
        <f aca="false">E13-C13</f>
        <v>-6</v>
      </c>
      <c r="G13" s="6" t="n">
        <f aca="false">K13+O13+S13+W13+AA13+AE13+AI13+AM13+AQ13+AU13+AY13+BC13+BG13+BK13+BO13+BS13+BW13+CA13+CE13+CI13+CM13+CQ13+CU13+CY13+DC13+DG13+DK13+DO13+DS13+DW13+EA13+EE13+EI13+EM13+EQ13+EU13+EY13+FC13+FG13</f>
        <v>160</v>
      </c>
      <c r="H13" s="6" t="n">
        <f aca="false">L13+P13+T13+X13+AB13+AF13+AJ13+AN13+AR13+AV13+AZ13+BD13+BH13+BL13+BP13+BT13+BX13+CB13+CF13+CJ13+CN13+CR13+CV13+CZ13+DD13+DH13+DL13+DP13+DT13+DX13+EB13+EF13+EJ13+EN13+ER13+EV13+EZ13+FD13+FH13</f>
        <v>51</v>
      </c>
      <c r="I13" s="7" t="n">
        <v>11</v>
      </c>
      <c r="J13" s="7" t="n">
        <v>6</v>
      </c>
      <c r="K13" s="11" t="n">
        <f aca="false">SUMIFS('Исходные данные'!$I$2:$I$964,'Исходные данные'!$D$2:$D$964,K$1,'Исходные данные'!$F$2:$F$964,$A13)</f>
        <v>11</v>
      </c>
      <c r="L13" s="11" t="n">
        <f aca="false">SUMIFS('Исходные данные'!$J$2:$J$964,'Исходные данные'!$D$2:$D$964,K$1,'Исходные данные'!$F$2:$F$964,$A13)</f>
        <v>6</v>
      </c>
      <c r="M13" s="7" t="n">
        <v>9</v>
      </c>
      <c r="N13" s="7" t="n">
        <v>6</v>
      </c>
      <c r="O13" s="11" t="n">
        <f aca="false">SUMIFS('Исходные данные'!$I$2:$I$964,'Исходные данные'!$D$2:$D$964,O$1,'Исходные данные'!$F$2:$F$964,$A13)</f>
        <v>9</v>
      </c>
      <c r="P13" s="11" t="n">
        <f aca="false">SUMIFS('Исходные данные'!$J$2:$J$964,'Исходные данные'!$D$2:$D$964,O$1,'Исходные данные'!$F$2:$F$964,$A13)</f>
        <v>6</v>
      </c>
      <c r="Q13" s="7" t="n">
        <v>14</v>
      </c>
      <c r="R13" s="7" t="n">
        <v>7</v>
      </c>
      <c r="S13" s="11" t="n">
        <f aca="false">SUMIFS('Исходные данные'!$I$2:$I$964,'Исходные данные'!$D$2:$D$964,S$1,'Исходные данные'!$F$2:$F$964,$A13)</f>
        <v>14</v>
      </c>
      <c r="T13" s="11" t="n">
        <f aca="false">SUMIFS('Исходные данные'!$J$2:$J$964,'Исходные данные'!$D$2:$D$964,S$1,'Исходные данные'!$F$2:$F$964,$A13)</f>
        <v>7</v>
      </c>
      <c r="U13" s="7" t="n">
        <v>1</v>
      </c>
      <c r="V13" s="7" t="n">
        <v>0</v>
      </c>
      <c r="W13" s="11" t="n">
        <f aca="false">SUMIFS('Исходные данные'!$I$2:$I$964,'Исходные данные'!$D$2:$D$964,W$1,'Исходные данные'!$F$2:$F$964,$A13)</f>
        <v>1</v>
      </c>
      <c r="X13" s="11" t="n">
        <f aca="false">SUMIFS('Исходные данные'!$J$2:$J$964,'Исходные данные'!$D$2:$D$964,W$1,'Исходные данные'!$F$2:$F$964,$A13)</f>
        <v>0</v>
      </c>
      <c r="Y13" s="7" t="n">
        <v>12</v>
      </c>
      <c r="Z13" s="7" t="n">
        <v>1</v>
      </c>
      <c r="AA13" s="11" t="n">
        <f aca="false">SUMIFS('Исходные данные'!$I$2:$I$964,'Исходные данные'!$D$2:$D$964,AA$1,'Исходные данные'!$F$2:$F$964,$A13)</f>
        <v>12</v>
      </c>
      <c r="AB13" s="11" t="n">
        <f aca="false">SUMIFS('Исходные данные'!$J$2:$J$964,'Исходные данные'!$D$2:$D$964,AA$1,'Исходные данные'!$F$2:$F$964,$A13)</f>
        <v>1</v>
      </c>
      <c r="AC13" s="7" t="n">
        <v>16</v>
      </c>
      <c r="AD13" s="7" t="n">
        <v>4</v>
      </c>
      <c r="AE13" s="11" t="n">
        <f aca="false">SUMIFS('Исходные данные'!$I$2:$I$964,'Исходные данные'!$D$2:$D$964,AE$1,'Исходные данные'!$F$2:$F$964,$A13)</f>
        <v>16</v>
      </c>
      <c r="AF13" s="11" t="n">
        <f aca="false">SUMIFS('Исходные данные'!$J$2:$J$964,'Исходные данные'!$D$2:$D$964,AE$1,'Исходные данные'!$F$2:$F$964,$A13)</f>
        <v>4</v>
      </c>
      <c r="AG13" s="7" t="n">
        <v>6</v>
      </c>
      <c r="AH13" s="7" t="n">
        <v>0</v>
      </c>
      <c r="AI13" s="11" t="n">
        <f aca="false">SUMIFS('Исходные данные'!$I$2:$I$964,'Исходные данные'!$D$2:$D$964,AI$1,'Исходные данные'!$F$2:$F$964,$A13)</f>
        <v>6</v>
      </c>
      <c r="AJ13" s="11" t="n">
        <f aca="false">SUMIFS('Исходные данные'!$J$2:$J$964,'Исходные данные'!$D$2:$D$964,AI$1,'Исходные данные'!$F$2:$F$964,$A13)</f>
        <v>0</v>
      </c>
      <c r="AK13" s="7" t="n">
        <v>4</v>
      </c>
      <c r="AL13" s="7" t="n">
        <v>0</v>
      </c>
      <c r="AM13" s="11" t="n">
        <f aca="false">SUMIFS('Исходные данные'!$I$2:$I$964,'Исходные данные'!$D$2:$D$964,AM$1,'Исходные данные'!$F$2:$F$964,$A13)</f>
        <v>4</v>
      </c>
      <c r="AN13" s="11" t="n">
        <f aca="false">SUMIFS('Исходные данные'!$J$2:$J$964,'Исходные данные'!$D$2:$D$964,AM$1,'Исходные данные'!$F$2:$F$964,$A13)</f>
        <v>0</v>
      </c>
      <c r="AO13" s="7" t="n">
        <v>3</v>
      </c>
      <c r="AP13" s="7" t="n">
        <v>0</v>
      </c>
      <c r="AQ13" s="11" t="n">
        <f aca="false">SUMIFS('Исходные данные'!$I$2:$I$964,'Исходные данные'!$D$2:$D$964,AQ$1,'Исходные данные'!$F$2:$F$964,$A13)</f>
        <v>3</v>
      </c>
      <c r="AR13" s="11" t="n">
        <f aca="false">SUMIFS('Исходные данные'!$J$2:$J$964,'Исходные данные'!$D$2:$D$964,AQ$1,'Исходные данные'!$F$2:$F$964,$A13)</f>
        <v>0</v>
      </c>
      <c r="AS13" s="7" t="n">
        <v>9</v>
      </c>
      <c r="AT13" s="7" t="n">
        <v>0</v>
      </c>
      <c r="AU13" s="11" t="n">
        <f aca="false">SUMIFS('Исходные данные'!$I$2:$I$964,'Исходные данные'!$D$2:$D$964,AU$1,'Исходные данные'!$F$2:$F$964,$A13)</f>
        <v>9</v>
      </c>
      <c r="AV13" s="11" t="n">
        <f aca="false">SUMIFS('Исходные данные'!$J$2:$J$964,'Исходные данные'!$D$2:$D$964,AU$1,'Исходные данные'!$F$2:$F$964,$A13)</f>
        <v>0</v>
      </c>
      <c r="AW13" s="7" t="n">
        <v>6</v>
      </c>
      <c r="AX13" s="7" t="n">
        <v>2</v>
      </c>
      <c r="AY13" s="11" t="n">
        <f aca="false">SUMIFS('Исходные данные'!$I$2:$I$964,'Исходные данные'!$D$2:$D$964,AY$1,'Исходные данные'!$F$2:$F$964,$A13)</f>
        <v>6</v>
      </c>
      <c r="AZ13" s="11" t="n">
        <f aca="false">SUMIFS('Исходные данные'!$J$2:$J$964,'Исходные данные'!$D$2:$D$964,AY$1,'Исходные данные'!$F$2:$F$964,$A13)</f>
        <v>2</v>
      </c>
      <c r="BA13" s="7" t="n">
        <v>7</v>
      </c>
      <c r="BB13" s="7" t="n">
        <v>3</v>
      </c>
      <c r="BC13" s="11" t="n">
        <f aca="false">SUMIFS('Исходные данные'!$I$2:$I$964,'Исходные данные'!$D$2:$D$964,BC$1,'Исходные данные'!$F$2:$F$964,$A13)</f>
        <v>7</v>
      </c>
      <c r="BD13" s="11" t="n">
        <f aca="false">SUMIFS('Исходные данные'!$J$2:$J$964,'Исходные данные'!$D$2:$D$964,BC$1,'Исходные данные'!$F$2:$F$964,$A13)</f>
        <v>3</v>
      </c>
      <c r="BE13" s="7" t="n">
        <v>1</v>
      </c>
      <c r="BF13" s="7" t="n">
        <v>0</v>
      </c>
      <c r="BG13" s="11" t="n">
        <f aca="false">SUMIFS('Исходные данные'!$I$2:$I$964,'Исходные данные'!$D$2:$D$964,BG$1,'Исходные данные'!$F$2:$F$964,$A13)</f>
        <v>1</v>
      </c>
      <c r="BH13" s="11" t="n">
        <f aca="false">SUMIFS('Исходные данные'!$J$2:$J$964,'Исходные данные'!$D$2:$D$964,BG$1,'Исходные данные'!$F$2:$F$964,$A13)</f>
        <v>0</v>
      </c>
      <c r="BI13" s="7" t="n">
        <v>14</v>
      </c>
      <c r="BJ13" s="7" t="n">
        <v>9</v>
      </c>
      <c r="BK13" s="11" t="n">
        <f aca="false">SUMIFS('Исходные данные'!$I$2:$I$964,'Исходные данные'!$D$2:$D$964,BK$1,'Исходные данные'!$F$2:$F$964,$A13)</f>
        <v>14</v>
      </c>
      <c r="BL13" s="11" t="n">
        <f aca="false">SUMIFS('Исходные данные'!$J$2:$J$964,'Исходные данные'!$D$2:$D$964,BK$1,'Исходные данные'!$F$2:$F$964,$A13)</f>
        <v>9</v>
      </c>
      <c r="BM13" s="7" t="n">
        <v>6</v>
      </c>
      <c r="BN13" s="7" t="n">
        <v>4</v>
      </c>
      <c r="BO13" s="11" t="n">
        <f aca="false">SUMIFS('Исходные данные'!$I$2:$I$964,'Исходные данные'!$D$2:$D$964,BO$1,'Исходные данные'!$F$2:$F$964,$A13)</f>
        <v>6</v>
      </c>
      <c r="BP13" s="11" t="n">
        <f aca="false">SUMIFS('Исходные данные'!$J$2:$J$964,'Исходные данные'!$D$2:$D$964,BO$1,'Исходные данные'!$F$2:$F$964,$A13)</f>
        <v>4</v>
      </c>
      <c r="BQ13" s="7" t="n">
        <v>0</v>
      </c>
      <c r="BR13" s="7" t="n">
        <v>1</v>
      </c>
      <c r="BS13" s="11" t="n">
        <f aca="false">SUMIFS('Исходные данные'!$I$2:$I$964,'Исходные данные'!$D$2:$D$964,BS$1,'Исходные данные'!$F$2:$F$964,$A13)</f>
        <v>0</v>
      </c>
      <c r="BT13" s="11" t="n">
        <f aca="false">SUMIFS('Исходные данные'!$J$2:$J$964,'Исходные данные'!$D$2:$D$964,BS$1,'Исходные данные'!$F$2:$F$964,$A13)</f>
        <v>1</v>
      </c>
      <c r="BU13" s="7" t="n">
        <v>5</v>
      </c>
      <c r="BV13" s="7" t="n">
        <v>2</v>
      </c>
      <c r="BW13" s="11" t="n">
        <f aca="false">SUMIFS('Исходные данные'!$I$2:$I$964,'Исходные данные'!$D$2:$D$964,BW$1,'Исходные данные'!$F$2:$F$964,$A13)</f>
        <v>5</v>
      </c>
      <c r="BX13" s="11" t="n">
        <f aca="false">SUMIFS('Исходные данные'!$J$2:$J$964,'Исходные данные'!$D$2:$D$964,BW$1,'Исходные данные'!$F$2:$F$964,$A13)</f>
        <v>2</v>
      </c>
      <c r="BY13" s="7" t="n">
        <v>6</v>
      </c>
      <c r="BZ13" s="7" t="n">
        <v>4</v>
      </c>
      <c r="CA13" s="11" t="n">
        <f aca="false">SUMIFS('Исходные данные'!$I$2:$I$964,'Исходные данные'!$D$2:$D$964,CA$1,'Исходные данные'!$F$2:$F$964,$A13)</f>
        <v>6</v>
      </c>
      <c r="CB13" s="11" t="n">
        <f aca="false">SUMIFS('Исходные данные'!$J$2:$J$964,'Исходные данные'!$D$2:$D$964,CA$1,'Исходные данные'!$F$2:$F$964,$A13)</f>
        <v>4</v>
      </c>
      <c r="CC13" s="7" t="n">
        <v>7</v>
      </c>
      <c r="CD13" s="7" t="n">
        <v>1</v>
      </c>
      <c r="CE13" s="11" t="n">
        <f aca="false">SUMIFS('Исходные данные'!$I$2:$I$964,'Исходные данные'!$D$2:$D$964,CE$1,'Исходные данные'!$F$2:$F$964,$A13)</f>
        <v>7</v>
      </c>
      <c r="CF13" s="11" t="n">
        <f aca="false">SUMIFS('Исходные данные'!$J$2:$J$964,'Исходные данные'!$D$2:$D$964,CE$1,'Исходные данные'!$F$2:$F$964,$A13)</f>
        <v>1</v>
      </c>
      <c r="CG13" s="7" t="n">
        <v>2</v>
      </c>
      <c r="CH13" s="7" t="n">
        <v>0</v>
      </c>
      <c r="CI13" s="11" t="n">
        <f aca="false">SUMIFS('Исходные данные'!$I$2:$I$964,'Исходные данные'!$D$2:$D$964,CI$1,'Исходные данные'!$F$2:$F$964,$A13)</f>
        <v>2</v>
      </c>
      <c r="CJ13" s="11" t="n">
        <f aca="false">SUMIFS('Исходные данные'!$J$2:$J$964,'Исходные данные'!$D$2:$D$964,CI$1,'Исходные данные'!$F$2:$F$964,$A13)</f>
        <v>0</v>
      </c>
      <c r="CK13" s="7" t="n">
        <v>1</v>
      </c>
      <c r="CL13" s="7" t="n">
        <v>0</v>
      </c>
      <c r="CM13" s="11" t="n">
        <f aca="false">SUMIFS('Исходные данные'!$I$2:$I$964,'Исходные данные'!$D$2:$D$964,CM$1,'Исходные данные'!$F$2:$F$964,$A13)</f>
        <v>1</v>
      </c>
      <c r="CN13" s="11" t="n">
        <f aca="false">SUMIFS('Исходные данные'!$J$2:$J$964,'Исходные данные'!$D$2:$D$964,CM$1,'Исходные данные'!$F$2:$F$964,$A13)</f>
        <v>0</v>
      </c>
      <c r="CO13" s="7" t="n">
        <v>3</v>
      </c>
      <c r="CP13" s="7" t="n">
        <v>0</v>
      </c>
      <c r="CQ13" s="11" t="n">
        <f aca="false">SUMIFS('Исходные данные'!$I$2:$I$964,'Исходные данные'!$D$2:$D$964,CQ$1,'Исходные данные'!$F$2:$F$964,$A13)</f>
        <v>3</v>
      </c>
      <c r="CR13" s="11" t="n">
        <f aca="false">SUMIFS('Исходные данные'!$J$2:$J$964,'Исходные данные'!$D$2:$D$964,CQ$1,'Исходные данные'!$F$2:$F$964,$A13)</f>
        <v>0</v>
      </c>
      <c r="CS13" s="7" t="n">
        <v>5</v>
      </c>
      <c r="CT13" s="7" t="n">
        <v>0</v>
      </c>
      <c r="CU13" s="11" t="n">
        <f aca="false">SUMIFS('Исходные данные'!$I$2:$I$964,'Исходные данные'!$D$2:$D$964,CU$1,'Исходные данные'!$F$2:$F$964,$A13)</f>
        <v>5</v>
      </c>
      <c r="CV13" s="11" t="n">
        <f aca="false">SUMIFS('Исходные данные'!$J$2:$J$964,'Исходные данные'!$D$2:$D$964,CU$1,'Исходные данные'!$F$2:$F$964,$A13)</f>
        <v>0</v>
      </c>
      <c r="CW13" s="7" t="n">
        <v>5</v>
      </c>
      <c r="CX13" s="7" t="n">
        <v>1</v>
      </c>
      <c r="CY13" s="11" t="n">
        <f aca="false">SUMIFS('Исходные данные'!$I$2:$I$964,'Исходные данные'!$D$2:$D$964,CY$1,'Исходные данные'!$F$2:$F$964,$A13)</f>
        <v>5</v>
      </c>
      <c r="CZ13" s="11" t="n">
        <f aca="false">SUMIFS('Исходные данные'!$J$2:$J$964,'Исходные данные'!$D$2:$D$964,CY$1,'Исходные данные'!$F$2:$F$964,$A13)</f>
        <v>1</v>
      </c>
      <c r="DA13" s="7" t="n">
        <v>0</v>
      </c>
      <c r="DB13" s="7" t="n">
        <v>0</v>
      </c>
      <c r="DC13" s="11" t="n">
        <f aca="false">SUMIFS('Исходные данные'!$I$2:$I$964,'Исходные данные'!$D$2:$D$964,DC$1,'Исходные данные'!$F$2:$F$964,$A13)</f>
        <v>0</v>
      </c>
      <c r="DD13" s="11" t="n">
        <f aca="false">SUMIFS('Исходные данные'!$J$2:$J$964,'Исходные данные'!$D$2:$D$964,DC$1,'Исходные данные'!$F$2:$F$964,$A13)</f>
        <v>0</v>
      </c>
      <c r="DE13" s="7" t="n">
        <v>2</v>
      </c>
      <c r="DF13" s="7" t="n">
        <v>0</v>
      </c>
      <c r="DG13" s="11" t="n">
        <f aca="false">SUMIFS('Исходные данные'!$I$2:$I$964,'Исходные данные'!$D$2:$D$964,DG$1,'Исходные данные'!$F$2:$F$964,$A13)</f>
        <v>2</v>
      </c>
      <c r="DH13" s="11" t="n">
        <f aca="false">SUMIFS('Исходные данные'!$J$2:$J$964,'Исходные данные'!$D$2:$D$964,DG$1,'Исходные данные'!$F$2:$F$964,$A13)</f>
        <v>0</v>
      </c>
      <c r="DI13" s="7" t="n">
        <v>0</v>
      </c>
      <c r="DJ13" s="7" t="n">
        <v>0</v>
      </c>
      <c r="DK13" s="11" t="n">
        <f aca="false">SUMIFS('Исходные данные'!$I$2:$I$964,'Исходные данные'!$D$2:$D$964,DK$1,'Исходные данные'!$F$2:$F$964,$A13)</f>
        <v>0</v>
      </c>
      <c r="DL13" s="11" t="n">
        <f aca="false">SUMIFS('Исходные данные'!$J$2:$J$964,'Исходные данные'!$D$2:$D$964,DK$1,'Исходные данные'!$F$2:$F$964,$A13)</f>
        <v>0</v>
      </c>
      <c r="DM13" s="7" t="n">
        <v>2</v>
      </c>
      <c r="DN13" s="7" t="n">
        <v>0</v>
      </c>
      <c r="DO13" s="11" t="n">
        <f aca="false">SUMIFS('Исходные данные'!$I$2:$I$964,'Исходные данные'!$D$2:$D$964,DO$1,'Исходные данные'!$F$2:$F$964,$A13)</f>
        <v>2</v>
      </c>
      <c r="DP13" s="11" t="n">
        <f aca="false">SUMIFS('Исходные данные'!$J$2:$J$964,'Исходные данные'!$D$2:$D$964,DO$1,'Исходные данные'!$F$2:$F$964,$A13)</f>
        <v>0</v>
      </c>
      <c r="DQ13" s="7" t="n">
        <v>0</v>
      </c>
      <c r="DR13" s="7" t="n">
        <v>0</v>
      </c>
      <c r="DS13" s="11" t="n">
        <f aca="false">SUMIFS('Исходные данные'!$I$2:$I$964,'Исходные данные'!$D$2:$D$964,DS$1,'Исходные данные'!$F$2:$F$964,$A13)</f>
        <v>0</v>
      </c>
      <c r="DT13" s="11" t="n">
        <f aca="false">SUMIFS('Исходные данные'!$J$2:$J$964,'Исходные данные'!$D$2:$D$964,DS$1,'Исходные данные'!$F$2:$F$964,$A13)</f>
        <v>0</v>
      </c>
      <c r="DU13" s="7" t="n">
        <v>0</v>
      </c>
      <c r="DV13" s="7" t="n">
        <v>0</v>
      </c>
      <c r="DW13" s="11" t="n">
        <f aca="false">SUMIFS('Исходные данные'!$I$2:$I$964,'Исходные данные'!$D$2:$D$964,DW$1,'Исходные данные'!$F$2:$F$964,$A13)</f>
        <v>0</v>
      </c>
      <c r="DX13" s="11" t="n">
        <f aca="false">SUMIFS('Исходные данные'!$J$2:$J$964,'Исходные данные'!$D$2:$D$964,DW$1,'Исходные данные'!$F$2:$F$964,$A13)</f>
        <v>0</v>
      </c>
      <c r="DY13" s="7" t="n">
        <v>0</v>
      </c>
      <c r="DZ13" s="7" t="n">
        <v>0</v>
      </c>
      <c r="EA13" s="11" t="n">
        <f aca="false">SUMIFS('Исходные данные'!$I$2:$I$964,'Исходные данные'!$D$2:$D$964,EA$1,'Исходные данные'!$F$2:$F$964,$A13)</f>
        <v>0</v>
      </c>
      <c r="EB13" s="11" t="n">
        <f aca="false">SUMIFS('Исходные данные'!$J$2:$J$964,'Исходные данные'!$D$2:$D$964,EA$1,'Исходные данные'!$F$2:$F$964,$A13)</f>
        <v>0</v>
      </c>
      <c r="EC13" s="7" t="n">
        <v>1</v>
      </c>
      <c r="ED13" s="7" t="n">
        <v>0</v>
      </c>
      <c r="EE13" s="11" t="n">
        <f aca="false">SUMIFS('Исходные данные'!$I$2:$I$964,'Исходные данные'!$D$2:$D$964,EE$1,'Исходные данные'!$F$2:$F$964,$A13)</f>
        <v>1</v>
      </c>
      <c r="EF13" s="11" t="n">
        <f aca="false">SUMIFS('Исходные данные'!$J$2:$J$964,'Исходные данные'!$D$2:$D$964,EE$1,'Исходные данные'!$F$2:$F$964,$A13)</f>
        <v>0</v>
      </c>
      <c r="EG13" s="7" t="n">
        <v>1</v>
      </c>
      <c r="EH13" s="7" t="n">
        <v>0</v>
      </c>
      <c r="EI13" s="11" t="n">
        <f aca="false">SUMIFS('Исходные данные'!$I$2:$I$964,'Исходные данные'!$D$2:$D$964,EI$1,'Исходные данные'!$F$2:$F$964,$A13)</f>
        <v>1</v>
      </c>
      <c r="EJ13" s="11" t="n">
        <f aca="false">SUMIFS('Исходные данные'!$J$2:$J$964,'Исходные данные'!$D$2:$D$964,EI$1,'Исходные данные'!$F$2:$F$964,$A13)</f>
        <v>0</v>
      </c>
      <c r="EK13" s="7" t="n">
        <v>0</v>
      </c>
      <c r="EL13" s="7" t="n">
        <v>0</v>
      </c>
      <c r="EM13" s="11" t="n">
        <f aca="false">SUMIFS('Исходные данные'!$I$2:$I$964,'Исходные данные'!$D$2:$D$964,EM$1,'Исходные данные'!$F$2:$F$964,$A13)</f>
        <v>0</v>
      </c>
      <c r="EN13" s="11" t="n">
        <f aca="false">SUMIFS('Исходные данные'!$J$2:$J$964,'Исходные данные'!$D$2:$D$964,EM$1,'Исходные данные'!$F$2:$F$964,$A13)</f>
        <v>0</v>
      </c>
      <c r="EO13" s="7" t="n">
        <v>0</v>
      </c>
      <c r="EP13" s="7" t="n">
        <v>0</v>
      </c>
      <c r="EQ13" s="11" t="n">
        <f aca="false">SUMIFS('Исходные данные'!$I$2:$I$964,'Исходные данные'!$D$2:$D$964,EQ$1,'Исходные данные'!$F$2:$F$964,$A13)</f>
        <v>0</v>
      </c>
      <c r="ER13" s="11" t="n">
        <f aca="false">SUMIFS('Исходные данные'!$J$2:$J$964,'Исходные данные'!$D$2:$D$964,EQ$1,'Исходные данные'!$F$2:$F$964,$A13)</f>
        <v>0</v>
      </c>
      <c r="ES13" s="7" t="n">
        <v>0</v>
      </c>
      <c r="ET13" s="7" t="n">
        <v>0</v>
      </c>
      <c r="EU13" s="11" t="n">
        <f aca="false">SUMIFS('Исходные данные'!$I$2:$I$964,'Исходные данные'!$D$2:$D$964,EU$1,'Исходные данные'!$F$2:$F$964,$A13)</f>
        <v>0</v>
      </c>
      <c r="EV13" s="11" t="n">
        <f aca="false">SUMIFS('Исходные данные'!$J$2:$J$964,'Исходные данные'!$D$2:$D$964,EU$1,'Исходные данные'!$F$2:$F$964,$A13)</f>
        <v>0</v>
      </c>
      <c r="EW13" s="7" t="n">
        <v>0</v>
      </c>
      <c r="EX13" s="7" t="n">
        <v>0</v>
      </c>
      <c r="EY13" s="11" t="n">
        <f aca="false">SUMIFS('Исходные данные'!$I$2:$I$964,'Исходные данные'!$D$2:$D$964,EY$1,'Исходные данные'!$F$2:$F$964,$A13)</f>
        <v>0</v>
      </c>
      <c r="EZ13" s="11" t="n">
        <f aca="false">SUMIFS('Исходные данные'!$J$2:$J$964,'Исходные данные'!$D$2:$D$964,EY$1,'Исходные данные'!$F$2:$F$964,$A13)</f>
        <v>0</v>
      </c>
      <c r="FA13" s="7" t="n">
        <v>0</v>
      </c>
      <c r="FB13" s="7" t="n">
        <v>0</v>
      </c>
      <c r="FC13" s="11" t="n">
        <f aca="false">SUMIFS('Исходные данные'!$I$2:$I$964,'Исходные данные'!$D$2:$D$964,FC$1,'Исходные данные'!$F$2:$F$964,$A13)</f>
        <v>0</v>
      </c>
      <c r="FD13" s="11" t="n">
        <f aca="false">SUMIFS('Исходные данные'!$J$2:$J$964,'Исходные данные'!$D$2:$D$964,FC$1,'Исходные данные'!$F$2:$F$964,$A13)</f>
        <v>0</v>
      </c>
      <c r="FE13" s="7" t="n">
        <v>1</v>
      </c>
      <c r="FF13" s="7" t="n">
        <v>0</v>
      </c>
      <c r="FG13" s="11" t="n">
        <f aca="false">SUMIFS('Исходные данные'!$I$2:$I$964,'Исходные данные'!$D$2:$D$964,FG$1,'Исходные данные'!$F$2:$F$964,$A13)</f>
        <v>1</v>
      </c>
      <c r="FH13" s="11" t="n">
        <f aca="false">SUMIFS('Исходные данные'!$J$2:$J$964,'Исходные данные'!$D$2:$D$964,FG$1,'Исходные данные'!$F$2:$F$964,$A13)</f>
        <v>0</v>
      </c>
    </row>
    <row r="14" customFormat="false" ht="15" hidden="false" customHeight="false" outlineLevel="0" collapsed="false">
      <c r="A14" s="10" t="s">
        <v>71</v>
      </c>
      <c r="B14" s="11" t="s">
        <v>72</v>
      </c>
      <c r="C14" s="6" t="n">
        <v>60</v>
      </c>
      <c r="D14" s="6" t="n">
        <f aca="false">I14+J14+M14+N14+Q14+R14+U14+V14+Y14+Z14+AC14+AD14+AG14+AH14+AK14+AL14+AO14+AP14+AS14+AT14+AW14+AX14+BA14+BB14+BE14+BF14+BI14+BJ14+BM14+BN14+BQ14+BR14+BU14+BV14+BY14+BZ14+CC14+CD14+CG14+CH14+CK14+CL14+CO14+CP14+CS14+CT14+CW14+CX14+DA14+DB14+DE14+DF14+DI14+DJ14+DM14+DN14+DQ14+DR14+DU14+DV14+DY14+DZ14+EC14+ED14+EG14+EH14+EK14+EL14+EO14+EP14+ES14+ET14+EW14+EX14+FA14+FB14+FE14+FF14</f>
        <v>65</v>
      </c>
      <c r="E14" s="6" t="n">
        <f aca="false">G14+H14</f>
        <v>65</v>
      </c>
      <c r="F14" s="6" t="n">
        <f aca="false">E14-C14</f>
        <v>5</v>
      </c>
      <c r="G14" s="6" t="n">
        <f aca="false">K14+O14+S14+W14+AA14+AE14+AI14+AM14+AQ14+AU14+AY14+BC14+BG14+BK14+BO14+BS14+BW14+CA14+CE14+CI14+CM14+CQ14+CU14+CY14+DC14+DG14+DK14+DO14+DS14+DW14+EA14+EE14+EI14+EM14+EQ14+EU14+EY14+FC14+FG14</f>
        <v>60</v>
      </c>
      <c r="H14" s="6" t="n">
        <f aca="false">L14+P14+T14+X14+AB14+AF14+AJ14+AN14+AR14+AV14+AZ14+BD14+BH14+BL14+BP14+BT14+BX14+CB14+CF14+CJ14+CN14+CR14+CV14+CZ14+DD14+DH14+DL14+DP14+DT14+DX14+EB14+EF14+EJ14+EN14+ER14+EV14+EZ14+FD14+FH14</f>
        <v>5</v>
      </c>
      <c r="I14" s="7" t="n">
        <v>10</v>
      </c>
      <c r="J14" s="7" t="n">
        <v>1</v>
      </c>
      <c r="K14" s="11" t="n">
        <f aca="false">SUMIFS('Исходные данные'!$I$2:$I$964,'Исходные данные'!$D$2:$D$964,K$1,'Исходные данные'!$F$2:$F$964,$A14)</f>
        <v>10</v>
      </c>
      <c r="L14" s="11" t="n">
        <f aca="false">SUMIFS('Исходные данные'!$J$2:$J$964,'Исходные данные'!$D$2:$D$964,K$1,'Исходные данные'!$F$2:$F$964,$A14)</f>
        <v>1</v>
      </c>
      <c r="M14" s="7" t="n">
        <v>8</v>
      </c>
      <c r="N14" s="7" t="n">
        <v>0</v>
      </c>
      <c r="O14" s="11" t="n">
        <f aca="false">SUMIFS('Исходные данные'!$I$2:$I$964,'Исходные данные'!$D$2:$D$964,O$1,'Исходные данные'!$F$2:$F$964,$A14)</f>
        <v>8</v>
      </c>
      <c r="P14" s="11" t="n">
        <f aca="false">SUMIFS('Исходные данные'!$J$2:$J$964,'Исходные данные'!$D$2:$D$964,O$1,'Исходные данные'!$F$2:$F$964,$A14)</f>
        <v>0</v>
      </c>
      <c r="Q14" s="7" t="n">
        <v>9</v>
      </c>
      <c r="R14" s="7" t="n">
        <v>0</v>
      </c>
      <c r="S14" s="11" t="n">
        <f aca="false">SUMIFS('Исходные данные'!$I$2:$I$964,'Исходные данные'!$D$2:$D$964,S$1,'Исходные данные'!$F$2:$F$964,$A14)</f>
        <v>9</v>
      </c>
      <c r="T14" s="11" t="n">
        <f aca="false">SUMIFS('Исходные данные'!$J$2:$J$964,'Исходные данные'!$D$2:$D$964,S$1,'Исходные данные'!$F$2:$F$964,$A14)</f>
        <v>0</v>
      </c>
      <c r="U14" s="7" t="n">
        <v>0</v>
      </c>
      <c r="V14" s="7" t="n">
        <v>0</v>
      </c>
      <c r="W14" s="11" t="n">
        <f aca="false">SUMIFS('Исходные данные'!$I$2:$I$964,'Исходные данные'!$D$2:$D$964,W$1,'Исходные данные'!$F$2:$F$964,$A14)</f>
        <v>0</v>
      </c>
      <c r="X14" s="11" t="n">
        <f aca="false">SUMIFS('Исходные данные'!$J$2:$J$964,'Исходные данные'!$D$2:$D$964,W$1,'Исходные данные'!$F$2:$F$964,$A14)</f>
        <v>0</v>
      </c>
      <c r="Y14" s="7" t="n">
        <v>1</v>
      </c>
      <c r="Z14" s="7" t="n">
        <v>0</v>
      </c>
      <c r="AA14" s="11" t="n">
        <f aca="false">SUMIFS('Исходные данные'!$I$2:$I$964,'Исходные данные'!$D$2:$D$964,AA$1,'Исходные данные'!$F$2:$F$964,$A14)</f>
        <v>1</v>
      </c>
      <c r="AB14" s="11" t="n">
        <f aca="false">SUMIFS('Исходные данные'!$J$2:$J$964,'Исходные данные'!$D$2:$D$964,AA$1,'Исходные данные'!$F$2:$F$964,$A14)</f>
        <v>0</v>
      </c>
      <c r="AC14" s="7" t="n">
        <v>2</v>
      </c>
      <c r="AD14" s="7" t="n">
        <v>0</v>
      </c>
      <c r="AE14" s="11" t="n">
        <f aca="false">SUMIFS('Исходные данные'!$I$2:$I$964,'Исходные данные'!$D$2:$D$964,AE$1,'Исходные данные'!$F$2:$F$964,$A14)</f>
        <v>1</v>
      </c>
      <c r="AF14" s="11" t="n">
        <f aca="false">SUMIFS('Исходные данные'!$J$2:$J$964,'Исходные данные'!$D$2:$D$964,AE$1,'Исходные данные'!$F$2:$F$964,$A14)</f>
        <v>0</v>
      </c>
      <c r="AG14" s="7" t="n">
        <v>1</v>
      </c>
      <c r="AH14" s="7" t="n">
        <v>0</v>
      </c>
      <c r="AI14" s="11" t="n">
        <f aca="false">SUMIFS('Исходные данные'!$I$2:$I$964,'Исходные данные'!$D$2:$D$964,AI$1,'Исходные данные'!$F$2:$F$964,$A14)</f>
        <v>1</v>
      </c>
      <c r="AJ14" s="11" t="n">
        <f aca="false">SUMIFS('Исходные данные'!$J$2:$J$964,'Исходные данные'!$D$2:$D$964,AI$1,'Исходные данные'!$F$2:$F$964,$A14)</f>
        <v>0</v>
      </c>
      <c r="AK14" s="7" t="n">
        <v>2</v>
      </c>
      <c r="AL14" s="7" t="n">
        <v>0</v>
      </c>
      <c r="AM14" s="11" t="n">
        <f aca="false">SUMIFS('Исходные данные'!$I$2:$I$964,'Исходные данные'!$D$2:$D$964,AM$1,'Исходные данные'!$F$2:$F$964,$A14)</f>
        <v>2</v>
      </c>
      <c r="AN14" s="11" t="n">
        <f aca="false">SUMIFS('Исходные данные'!$J$2:$J$964,'Исходные данные'!$D$2:$D$964,AM$1,'Исходные данные'!$F$2:$F$964,$A14)</f>
        <v>0</v>
      </c>
      <c r="AO14" s="7" t="n">
        <v>0</v>
      </c>
      <c r="AP14" s="7" t="n">
        <v>0</v>
      </c>
      <c r="AQ14" s="11" t="n">
        <f aca="false">SUMIFS('Исходные данные'!$I$2:$I$964,'Исходные данные'!$D$2:$D$964,AQ$1,'Исходные данные'!$F$2:$F$964,$A14)</f>
        <v>0</v>
      </c>
      <c r="AR14" s="11" t="n">
        <f aca="false">SUMIFS('Исходные данные'!$J$2:$J$964,'Исходные данные'!$D$2:$D$964,AQ$1,'Исходные данные'!$F$2:$F$964,$A14)</f>
        <v>0</v>
      </c>
      <c r="AS14" s="7" t="n">
        <v>0</v>
      </c>
      <c r="AT14" s="7" t="n">
        <v>0</v>
      </c>
      <c r="AU14" s="11" t="n">
        <f aca="false">SUMIFS('Исходные данные'!$I$2:$I$964,'Исходные данные'!$D$2:$D$964,AU$1,'Исходные данные'!$F$2:$F$964,$A14)</f>
        <v>0</v>
      </c>
      <c r="AV14" s="11" t="n">
        <f aca="false">SUMIFS('Исходные данные'!$J$2:$J$964,'Исходные данные'!$D$2:$D$964,AU$1,'Исходные данные'!$F$2:$F$964,$A14)</f>
        <v>0</v>
      </c>
      <c r="AW14" s="7" t="n">
        <v>1</v>
      </c>
      <c r="AX14" s="7" t="n">
        <v>0</v>
      </c>
      <c r="AY14" s="11" t="n">
        <f aca="false">SUMIFS('Исходные данные'!$I$2:$I$964,'Исходные данные'!$D$2:$D$964,AY$1,'Исходные данные'!$F$2:$F$964,$A14)</f>
        <v>1</v>
      </c>
      <c r="AZ14" s="11" t="n">
        <f aca="false">SUMIFS('Исходные данные'!$J$2:$J$964,'Исходные данные'!$D$2:$D$964,AY$1,'Исходные данные'!$F$2:$F$964,$A14)</f>
        <v>0</v>
      </c>
      <c r="BA14" s="7" t="n">
        <v>0</v>
      </c>
      <c r="BB14" s="7" t="n">
        <v>0</v>
      </c>
      <c r="BC14" s="11" t="n">
        <f aca="false">SUMIFS('Исходные данные'!$I$2:$I$964,'Исходные данные'!$D$2:$D$964,BC$1,'Исходные данные'!$F$2:$F$964,$A14)</f>
        <v>0</v>
      </c>
      <c r="BD14" s="11" t="n">
        <f aca="false">SUMIFS('Исходные данные'!$J$2:$J$964,'Исходные данные'!$D$2:$D$964,BC$1,'Исходные данные'!$F$2:$F$964,$A14)</f>
        <v>0</v>
      </c>
      <c r="BE14" s="7" t="n">
        <v>1</v>
      </c>
      <c r="BF14" s="7" t="n">
        <v>0</v>
      </c>
      <c r="BG14" s="11" t="n">
        <f aca="false">SUMIFS('Исходные данные'!$I$2:$I$964,'Исходные данные'!$D$2:$D$964,BG$1,'Исходные данные'!$F$2:$F$964,$A14)</f>
        <v>1</v>
      </c>
      <c r="BH14" s="11" t="n">
        <f aca="false">SUMIFS('Исходные данные'!$J$2:$J$964,'Исходные данные'!$D$2:$D$964,BG$1,'Исходные данные'!$F$2:$F$964,$A14)</f>
        <v>0</v>
      </c>
      <c r="BI14" s="7" t="n">
        <v>0</v>
      </c>
      <c r="BJ14" s="7" t="n">
        <v>0</v>
      </c>
      <c r="BK14" s="11" t="n">
        <f aca="false">SUMIFS('Исходные данные'!$I$2:$I$964,'Исходные данные'!$D$2:$D$964,BK$1,'Исходные данные'!$F$2:$F$964,$A14)</f>
        <v>0</v>
      </c>
      <c r="BL14" s="11" t="n">
        <f aca="false">SUMIFS('Исходные данные'!$J$2:$J$964,'Исходные данные'!$D$2:$D$964,BK$1,'Исходные данные'!$F$2:$F$964,$A14)</f>
        <v>0</v>
      </c>
      <c r="BM14" s="7" t="n">
        <v>0</v>
      </c>
      <c r="BN14" s="7" t="n">
        <v>0</v>
      </c>
      <c r="BO14" s="11" t="n">
        <f aca="false">SUMIFS('Исходные данные'!$I$2:$I$964,'Исходные данные'!$D$2:$D$964,BO$1,'Исходные данные'!$F$2:$F$964,$A14)</f>
        <v>4</v>
      </c>
      <c r="BP14" s="11" t="n">
        <f aca="false">SUMIFS('Исходные данные'!$J$2:$J$964,'Исходные данные'!$D$2:$D$964,BO$1,'Исходные данные'!$F$2:$F$964,$A14)</f>
        <v>1</v>
      </c>
      <c r="BQ14" s="7" t="n">
        <v>8</v>
      </c>
      <c r="BR14" s="7" t="n">
        <v>0</v>
      </c>
      <c r="BS14" s="11" t="n">
        <f aca="false">SUMIFS('Исходные данные'!$I$2:$I$964,'Исходные данные'!$D$2:$D$964,BS$1,'Исходные данные'!$F$2:$F$964,$A14)</f>
        <v>8</v>
      </c>
      <c r="BT14" s="11" t="n">
        <f aca="false">SUMIFS('Исходные данные'!$J$2:$J$964,'Исходные данные'!$D$2:$D$964,BS$1,'Исходные данные'!$F$2:$F$964,$A14)</f>
        <v>0</v>
      </c>
      <c r="BU14" s="7" t="n">
        <v>0</v>
      </c>
      <c r="BV14" s="7" t="n">
        <v>0</v>
      </c>
      <c r="BW14" s="11" t="n">
        <f aca="false">SUMIFS('Исходные данные'!$I$2:$I$964,'Исходные данные'!$D$2:$D$964,BW$1,'Исходные данные'!$F$2:$F$964,$A14)</f>
        <v>0</v>
      </c>
      <c r="BX14" s="11" t="n">
        <f aca="false">SUMIFS('Исходные данные'!$J$2:$J$964,'Исходные данные'!$D$2:$D$964,BW$1,'Исходные данные'!$F$2:$F$964,$A14)</f>
        <v>0</v>
      </c>
      <c r="BY14" s="7" t="n">
        <v>0</v>
      </c>
      <c r="BZ14" s="7" t="n">
        <v>0</v>
      </c>
      <c r="CA14" s="11" t="n">
        <f aca="false">SUMIFS('Исходные данные'!$I$2:$I$964,'Исходные данные'!$D$2:$D$964,CA$1,'Исходные данные'!$F$2:$F$964,$A14)</f>
        <v>0</v>
      </c>
      <c r="CB14" s="11" t="n">
        <f aca="false">SUMIFS('Исходные данные'!$J$2:$J$964,'Исходные данные'!$D$2:$D$964,CA$1,'Исходные данные'!$F$2:$F$964,$A14)</f>
        <v>0</v>
      </c>
      <c r="CC14" s="7" t="n">
        <v>0</v>
      </c>
      <c r="CD14" s="7" t="n">
        <v>0</v>
      </c>
      <c r="CE14" s="11" t="n">
        <f aca="false">SUMIFS('Исходные данные'!$I$2:$I$964,'Исходные данные'!$D$2:$D$964,CE$1,'Исходные данные'!$F$2:$F$964,$A14)</f>
        <v>0</v>
      </c>
      <c r="CF14" s="11" t="n">
        <f aca="false">SUMIFS('Исходные данные'!$J$2:$J$964,'Исходные данные'!$D$2:$D$964,CE$1,'Исходные данные'!$F$2:$F$964,$A14)</f>
        <v>0</v>
      </c>
      <c r="CG14" s="7" t="n">
        <v>0</v>
      </c>
      <c r="CH14" s="7" t="n">
        <v>0</v>
      </c>
      <c r="CI14" s="11" t="n">
        <f aca="false">SUMIFS('Исходные данные'!$I$2:$I$964,'Исходные данные'!$D$2:$D$964,CI$1,'Исходные данные'!$F$2:$F$964,$A14)</f>
        <v>0</v>
      </c>
      <c r="CJ14" s="11" t="n">
        <f aca="false">SUMIFS('Исходные данные'!$J$2:$J$964,'Исходные данные'!$D$2:$D$964,CI$1,'Исходные данные'!$F$2:$F$964,$A14)</f>
        <v>0</v>
      </c>
      <c r="CK14" s="7" t="n">
        <v>1</v>
      </c>
      <c r="CL14" s="7" t="n">
        <v>0</v>
      </c>
      <c r="CM14" s="11" t="n">
        <f aca="false">SUMIFS('Исходные данные'!$I$2:$I$964,'Исходные данные'!$D$2:$D$964,CM$1,'Исходные данные'!$F$2:$F$964,$A14)</f>
        <v>1</v>
      </c>
      <c r="CN14" s="11" t="n">
        <f aca="false">SUMIFS('Исходные данные'!$J$2:$J$964,'Исходные данные'!$D$2:$D$964,CM$1,'Исходные данные'!$F$2:$F$964,$A14)</f>
        <v>0</v>
      </c>
      <c r="CO14" s="7" t="n">
        <v>0</v>
      </c>
      <c r="CP14" s="7" t="n">
        <v>0</v>
      </c>
      <c r="CQ14" s="11" t="n">
        <f aca="false">SUMIFS('Исходные данные'!$I$2:$I$964,'Исходные данные'!$D$2:$D$964,CQ$1,'Исходные данные'!$F$2:$F$964,$A14)</f>
        <v>0</v>
      </c>
      <c r="CR14" s="11" t="n">
        <f aca="false">SUMIFS('Исходные данные'!$J$2:$J$964,'Исходные данные'!$D$2:$D$964,CQ$1,'Исходные данные'!$F$2:$F$964,$A14)</f>
        <v>0</v>
      </c>
      <c r="CS14" s="7" t="n">
        <v>2</v>
      </c>
      <c r="CT14" s="7" t="n">
        <v>0</v>
      </c>
      <c r="CU14" s="11" t="n">
        <f aca="false">SUMIFS('Исходные данные'!$I$2:$I$964,'Исходные данные'!$D$2:$D$964,CU$1,'Исходные данные'!$F$2:$F$964,$A14)</f>
        <v>2</v>
      </c>
      <c r="CV14" s="11" t="n">
        <f aca="false">SUMIFS('Исходные данные'!$J$2:$J$964,'Исходные данные'!$D$2:$D$964,CU$1,'Исходные данные'!$F$2:$F$964,$A14)</f>
        <v>0</v>
      </c>
      <c r="CW14" s="7" t="n">
        <v>0</v>
      </c>
      <c r="CX14" s="7" t="n">
        <v>0</v>
      </c>
      <c r="CY14" s="11" t="n">
        <f aca="false">SUMIFS('Исходные данные'!$I$2:$I$964,'Исходные данные'!$D$2:$D$964,CY$1,'Исходные данные'!$F$2:$F$964,$A14)</f>
        <v>0</v>
      </c>
      <c r="CZ14" s="11" t="n">
        <f aca="false">SUMIFS('Исходные данные'!$J$2:$J$964,'Исходные данные'!$D$2:$D$964,CY$1,'Исходные данные'!$F$2:$F$964,$A14)</f>
        <v>0</v>
      </c>
      <c r="DA14" s="7" t="n">
        <v>2</v>
      </c>
      <c r="DB14" s="7" t="n">
        <v>1</v>
      </c>
      <c r="DC14" s="11" t="n">
        <f aca="false">SUMIFS('Исходные данные'!$I$2:$I$964,'Исходные данные'!$D$2:$D$964,DC$1,'Исходные данные'!$F$2:$F$964,$A14)</f>
        <v>2</v>
      </c>
      <c r="DD14" s="11" t="n">
        <f aca="false">SUMIFS('Исходные данные'!$J$2:$J$964,'Исходные данные'!$D$2:$D$964,DC$1,'Исходные данные'!$F$2:$F$964,$A14)</f>
        <v>1</v>
      </c>
      <c r="DE14" s="7" t="n">
        <v>0</v>
      </c>
      <c r="DF14" s="7" t="n">
        <v>0</v>
      </c>
      <c r="DG14" s="11" t="n">
        <f aca="false">SUMIFS('Исходные данные'!$I$2:$I$964,'Исходные данные'!$D$2:$D$964,DG$1,'Исходные данные'!$F$2:$F$964,$A14)</f>
        <v>0</v>
      </c>
      <c r="DH14" s="11" t="n">
        <f aca="false">SUMIFS('Исходные данные'!$J$2:$J$964,'Исходные данные'!$D$2:$D$964,DG$1,'Исходные данные'!$F$2:$F$964,$A14)</f>
        <v>0</v>
      </c>
      <c r="DI14" s="7" t="n">
        <v>1</v>
      </c>
      <c r="DJ14" s="7" t="n">
        <v>0</v>
      </c>
      <c r="DK14" s="11" t="n">
        <f aca="false">SUMIFS('Исходные данные'!$I$2:$I$964,'Исходные данные'!$D$2:$D$964,DK$1,'Исходные данные'!$F$2:$F$964,$A14)</f>
        <v>1</v>
      </c>
      <c r="DL14" s="11" t="n">
        <f aca="false">SUMIFS('Исходные данные'!$J$2:$J$964,'Исходные данные'!$D$2:$D$964,DK$1,'Исходные данные'!$F$2:$F$964,$A14)</f>
        <v>0</v>
      </c>
      <c r="DM14" s="7" t="n">
        <v>0</v>
      </c>
      <c r="DN14" s="7" t="n">
        <v>0</v>
      </c>
      <c r="DO14" s="11" t="n">
        <f aca="false">SUMIFS('Исходные данные'!$I$2:$I$964,'Исходные данные'!$D$2:$D$964,DO$1,'Исходные данные'!$F$2:$F$964,$A14)</f>
        <v>0</v>
      </c>
      <c r="DP14" s="11" t="n">
        <f aca="false">SUMIFS('Исходные данные'!$J$2:$J$964,'Исходные данные'!$D$2:$D$964,DO$1,'Исходные данные'!$F$2:$F$964,$A14)</f>
        <v>0</v>
      </c>
      <c r="DQ14" s="7" t="n">
        <v>0</v>
      </c>
      <c r="DR14" s="7" t="n">
        <v>0</v>
      </c>
      <c r="DS14" s="11" t="n">
        <f aca="false">SUMIFS('Исходные данные'!$I$2:$I$964,'Исходные данные'!$D$2:$D$964,DS$1,'Исходные данные'!$F$2:$F$964,$A14)</f>
        <v>0</v>
      </c>
      <c r="DT14" s="11" t="n">
        <f aca="false">SUMIFS('Исходные данные'!$J$2:$J$964,'Исходные данные'!$D$2:$D$964,DS$1,'Исходные данные'!$F$2:$F$964,$A14)</f>
        <v>0</v>
      </c>
      <c r="DU14" s="7" t="n">
        <v>2</v>
      </c>
      <c r="DV14" s="7" t="n">
        <v>0</v>
      </c>
      <c r="DW14" s="11" t="n">
        <f aca="false">SUMIFS('Исходные данные'!$I$2:$I$964,'Исходные данные'!$D$2:$D$964,DW$1,'Исходные данные'!$F$2:$F$964,$A14)</f>
        <v>2</v>
      </c>
      <c r="DX14" s="11" t="n">
        <f aca="false">SUMIFS('Исходные данные'!$J$2:$J$964,'Исходные данные'!$D$2:$D$964,DW$1,'Исходные данные'!$F$2:$F$964,$A14)</f>
        <v>0</v>
      </c>
      <c r="DY14" s="7" t="n">
        <v>1</v>
      </c>
      <c r="DZ14" s="7" t="n">
        <v>0</v>
      </c>
      <c r="EA14" s="11" t="n">
        <f aca="false">SUMIFS('Исходные данные'!$I$2:$I$964,'Исходные данные'!$D$2:$D$964,EA$1,'Исходные данные'!$F$2:$F$964,$A14)</f>
        <v>1</v>
      </c>
      <c r="EB14" s="11" t="n">
        <f aca="false">SUMIFS('Исходные данные'!$J$2:$J$964,'Исходные данные'!$D$2:$D$964,EA$1,'Исходные данные'!$F$2:$F$964,$A14)</f>
        <v>0</v>
      </c>
      <c r="EC14" s="7" t="n">
        <v>0</v>
      </c>
      <c r="ED14" s="7" t="n">
        <v>0</v>
      </c>
      <c r="EE14" s="11" t="n">
        <f aca="false">SUMIFS('Исходные данные'!$I$2:$I$964,'Исходные данные'!$D$2:$D$964,EE$1,'Исходные данные'!$F$2:$F$964,$A14)</f>
        <v>0</v>
      </c>
      <c r="EF14" s="11" t="n">
        <f aca="false">SUMIFS('Исходные данные'!$J$2:$J$964,'Исходные данные'!$D$2:$D$964,EE$1,'Исходные данные'!$F$2:$F$964,$A14)</f>
        <v>0</v>
      </c>
      <c r="EG14" s="7" t="n">
        <v>0</v>
      </c>
      <c r="EH14" s="7" t="n">
        <v>0</v>
      </c>
      <c r="EI14" s="11" t="n">
        <f aca="false">SUMIFS('Исходные данные'!$I$2:$I$964,'Исходные данные'!$D$2:$D$964,EI$1,'Исходные данные'!$F$2:$F$964,$A14)</f>
        <v>0</v>
      </c>
      <c r="EJ14" s="11" t="n">
        <f aca="false">SUMIFS('Исходные данные'!$J$2:$J$964,'Исходные данные'!$D$2:$D$964,EI$1,'Исходные данные'!$F$2:$F$964,$A14)</f>
        <v>0</v>
      </c>
      <c r="EK14" s="7" t="n">
        <v>4</v>
      </c>
      <c r="EL14" s="7" t="n">
        <v>1</v>
      </c>
      <c r="EM14" s="11" t="n">
        <f aca="false">SUMIFS('Исходные данные'!$I$2:$I$964,'Исходные данные'!$D$2:$D$964,EM$1,'Исходные данные'!$F$2:$F$964,$A14)</f>
        <v>0</v>
      </c>
      <c r="EN14" s="11" t="n">
        <f aca="false">SUMIFS('Исходные данные'!$J$2:$J$964,'Исходные данные'!$D$2:$D$964,EM$1,'Исходные данные'!$F$2:$F$964,$A14)</f>
        <v>1</v>
      </c>
      <c r="EO14" s="7" t="n">
        <v>0</v>
      </c>
      <c r="EP14" s="7" t="n">
        <v>0</v>
      </c>
      <c r="EQ14" s="11" t="n">
        <f aca="false">SUMIFS('Исходные данные'!$I$2:$I$964,'Исходные данные'!$D$2:$D$964,EQ$1,'Исходные данные'!$F$2:$F$964,$A14)</f>
        <v>0</v>
      </c>
      <c r="ER14" s="11" t="n">
        <f aca="false">SUMIFS('Исходные данные'!$J$2:$J$964,'Исходные данные'!$D$2:$D$964,EQ$1,'Исходные данные'!$F$2:$F$964,$A14)</f>
        <v>0</v>
      </c>
      <c r="ES14" s="7" t="n">
        <v>3</v>
      </c>
      <c r="ET14" s="7" t="n">
        <v>1</v>
      </c>
      <c r="EU14" s="11" t="n">
        <f aca="false">SUMIFS('Исходные данные'!$I$2:$I$964,'Исходные данные'!$D$2:$D$964,EU$1,'Исходные данные'!$F$2:$F$964,$A14)</f>
        <v>3</v>
      </c>
      <c r="EV14" s="11" t="n">
        <f aca="false">SUMIFS('Исходные данные'!$J$2:$J$964,'Исходные данные'!$D$2:$D$964,EU$1,'Исходные данные'!$F$2:$F$964,$A14)</f>
        <v>1</v>
      </c>
      <c r="EW14" s="7" t="n">
        <v>1</v>
      </c>
      <c r="EX14" s="7" t="n">
        <v>0</v>
      </c>
      <c r="EY14" s="11" t="n">
        <f aca="false">SUMIFS('Исходные данные'!$I$2:$I$964,'Исходные данные'!$D$2:$D$964,EY$1,'Исходные данные'!$F$2:$F$964,$A14)</f>
        <v>1</v>
      </c>
      <c r="EZ14" s="11" t="n">
        <f aca="false">SUMIFS('Исходные данные'!$J$2:$J$964,'Исходные данные'!$D$2:$D$964,EY$1,'Исходные данные'!$F$2:$F$964,$A14)</f>
        <v>0</v>
      </c>
      <c r="FA14" s="7" t="n">
        <v>1</v>
      </c>
      <c r="FB14" s="7" t="n">
        <v>0</v>
      </c>
      <c r="FC14" s="11" t="n">
        <f aca="false">SUMIFS('Исходные данные'!$I$2:$I$964,'Исходные данные'!$D$2:$D$964,FC$1,'Исходные данные'!$F$2:$F$964,$A14)</f>
        <v>1</v>
      </c>
      <c r="FD14" s="11" t="n">
        <f aca="false">SUMIFS('Исходные данные'!$J$2:$J$964,'Исходные данные'!$D$2:$D$964,FC$1,'Исходные данные'!$F$2:$F$964,$A14)</f>
        <v>0</v>
      </c>
      <c r="FE14" s="7" t="n">
        <v>0</v>
      </c>
      <c r="FF14" s="7" t="n">
        <v>0</v>
      </c>
      <c r="FG14" s="11" t="n">
        <f aca="false">SUMIFS('Исходные данные'!$I$2:$I$964,'Исходные данные'!$D$2:$D$964,FG$1,'Исходные данные'!$F$2:$F$964,$A14)</f>
        <v>0</v>
      </c>
      <c r="FH14" s="11" t="n">
        <f aca="false">SUMIFS('Исходные данные'!$J$2:$J$964,'Исходные данные'!$D$2:$D$964,FG$1,'Исходные данные'!$F$2:$F$964,$A14)</f>
        <v>0</v>
      </c>
    </row>
    <row r="15" customFormat="false" ht="15" hidden="false" customHeight="false" outlineLevel="0" collapsed="false">
      <c r="A15" s="10" t="s">
        <v>73</v>
      </c>
      <c r="B15" s="11" t="s">
        <v>74</v>
      </c>
      <c r="C15" s="6" t="n">
        <v>5</v>
      </c>
      <c r="D15" s="6" t="n">
        <f aca="false">I15+J15+M15+N15+Q15+R15+U15+V15+Y15+Z15+AC15+AD15+AG15+AH15+AK15+AL15+AO15+AP15+AS15+AT15+AW15+AX15+BA15+BB15+BE15+BF15+BI15+BJ15+BM15+BN15+BQ15+BR15+BU15+BV15+BY15+BZ15+CC15+CD15+CG15+CH15+CK15+CL15+CO15+CP15+CS15+CT15+CW15+CX15+DA15+DB15+DE15+DF15+DI15+DJ15+DM15+DN15+DQ15+DR15+DU15+DV15+DY15+DZ15+EC15+ED15+EG15+EH15+EK15+EL15+EO15+EP15+ES15+ET15+EW15+EX15+FA15+FB15+FE15+FF15</f>
        <v>5</v>
      </c>
      <c r="E15" s="6" t="n">
        <f aca="false">G15+H15</f>
        <v>5</v>
      </c>
      <c r="F15" s="6" t="n">
        <f aca="false">E15-C15</f>
        <v>0</v>
      </c>
      <c r="G15" s="6" t="n">
        <f aca="false">K15+O15+S15+W15+AA15+AE15+AI15+AM15+AQ15+AU15+AY15+BC15+BG15+BK15+BO15+BS15+BW15+CA15+CE15+CI15+CM15+CQ15+CU15+CY15+DC15+DG15+DK15+DO15+DS15+DW15+EA15+EE15+EI15+EM15+EQ15+EU15+EY15+FC15+FG15</f>
        <v>5</v>
      </c>
      <c r="H15" s="6" t="n">
        <f aca="false">L15+P15+T15+X15+AB15+AF15+AJ15+AN15+AR15+AV15+AZ15+BD15+BH15+BL15+BP15+BT15+BX15+CB15+CF15+CJ15+CN15+CR15+CV15+CZ15+DD15+DH15+DL15+DP15+DT15+DX15+EB15+EF15+EJ15+EN15+ER15+EV15+EZ15+FD15+FH15</f>
        <v>0</v>
      </c>
      <c r="I15" s="7" t="n">
        <v>0</v>
      </c>
      <c r="J15" s="7" t="n">
        <v>0</v>
      </c>
      <c r="K15" s="11" t="n">
        <f aca="false">SUMIFS('Исходные данные'!$I$2:$I$964,'Исходные данные'!$D$2:$D$964,K$1,'Исходные данные'!$F$2:$F$964,$A15)</f>
        <v>0</v>
      </c>
      <c r="L15" s="11" t="n">
        <f aca="false">SUMIFS('Исходные данные'!$J$2:$J$964,'Исходные данные'!$D$2:$D$964,K$1,'Исходные данные'!$F$2:$F$964,$A15)</f>
        <v>0</v>
      </c>
      <c r="M15" s="7" t="n">
        <v>0</v>
      </c>
      <c r="N15" s="7" t="n">
        <v>0</v>
      </c>
      <c r="O15" s="11" t="n">
        <f aca="false">SUMIFS('Исходные данные'!$I$2:$I$964,'Исходные данные'!$D$2:$D$964,O$1,'Исходные данные'!$F$2:$F$964,$A15)</f>
        <v>0</v>
      </c>
      <c r="P15" s="11" t="n">
        <f aca="false">SUMIFS('Исходные данные'!$J$2:$J$964,'Исходные данные'!$D$2:$D$964,O$1,'Исходные данные'!$F$2:$F$964,$A15)</f>
        <v>0</v>
      </c>
      <c r="Q15" s="7" t="n">
        <v>0</v>
      </c>
      <c r="R15" s="7" t="n">
        <v>0</v>
      </c>
      <c r="S15" s="11" t="n">
        <f aca="false">SUMIFS('Исходные данные'!$I$2:$I$964,'Исходные данные'!$D$2:$D$964,S$1,'Исходные данные'!$F$2:$F$964,$A15)</f>
        <v>0</v>
      </c>
      <c r="T15" s="11" t="n">
        <f aca="false">SUMIFS('Исходные данные'!$J$2:$J$964,'Исходные данные'!$D$2:$D$964,S$1,'Исходные данные'!$F$2:$F$964,$A15)</f>
        <v>0</v>
      </c>
      <c r="U15" s="7" t="n">
        <v>0</v>
      </c>
      <c r="V15" s="7" t="n">
        <v>0</v>
      </c>
      <c r="W15" s="11" t="n">
        <f aca="false">SUMIFS('Исходные данные'!$I$2:$I$964,'Исходные данные'!$D$2:$D$964,W$1,'Исходные данные'!$F$2:$F$964,$A15)</f>
        <v>0</v>
      </c>
      <c r="X15" s="11" t="n">
        <f aca="false">SUMIFS('Исходные данные'!$J$2:$J$964,'Исходные данные'!$D$2:$D$964,W$1,'Исходные данные'!$F$2:$F$964,$A15)</f>
        <v>0</v>
      </c>
      <c r="Y15" s="7" t="n">
        <v>0</v>
      </c>
      <c r="Z15" s="7" t="n">
        <v>0</v>
      </c>
      <c r="AA15" s="11" t="n">
        <f aca="false">SUMIFS('Исходные данные'!$I$2:$I$964,'Исходные данные'!$D$2:$D$964,AA$1,'Исходные данные'!$F$2:$F$964,$A15)</f>
        <v>0</v>
      </c>
      <c r="AB15" s="11" t="n">
        <f aca="false">SUMIFS('Исходные данные'!$J$2:$J$964,'Исходные данные'!$D$2:$D$964,AA$1,'Исходные данные'!$F$2:$F$964,$A15)</f>
        <v>0</v>
      </c>
      <c r="AC15" s="7" t="n">
        <v>0</v>
      </c>
      <c r="AD15" s="7" t="n">
        <v>0</v>
      </c>
      <c r="AE15" s="11" t="n">
        <f aca="false">SUMIFS('Исходные данные'!$I$2:$I$964,'Исходные данные'!$D$2:$D$964,AE$1,'Исходные данные'!$F$2:$F$964,$A15)</f>
        <v>0</v>
      </c>
      <c r="AF15" s="11" t="n">
        <f aca="false">SUMIFS('Исходные данные'!$J$2:$J$964,'Исходные данные'!$D$2:$D$964,AE$1,'Исходные данные'!$F$2:$F$964,$A15)</f>
        <v>0</v>
      </c>
      <c r="AG15" s="7" t="n">
        <v>0</v>
      </c>
      <c r="AH15" s="7" t="n">
        <v>0</v>
      </c>
      <c r="AI15" s="11" t="n">
        <f aca="false">SUMIFS('Исходные данные'!$I$2:$I$964,'Исходные данные'!$D$2:$D$964,AI$1,'Исходные данные'!$F$2:$F$964,$A15)</f>
        <v>0</v>
      </c>
      <c r="AJ15" s="11" t="n">
        <f aca="false">SUMIFS('Исходные данные'!$J$2:$J$964,'Исходные данные'!$D$2:$D$964,AI$1,'Исходные данные'!$F$2:$F$964,$A15)</f>
        <v>0</v>
      </c>
      <c r="AK15" s="7" t="n">
        <v>0</v>
      </c>
      <c r="AL15" s="7" t="n">
        <v>0</v>
      </c>
      <c r="AM15" s="11" t="n">
        <f aca="false">SUMIFS('Исходные данные'!$I$2:$I$964,'Исходные данные'!$D$2:$D$964,AM$1,'Исходные данные'!$F$2:$F$964,$A15)</f>
        <v>0</v>
      </c>
      <c r="AN15" s="11" t="n">
        <f aca="false">SUMIFS('Исходные данные'!$J$2:$J$964,'Исходные данные'!$D$2:$D$964,AM$1,'Исходные данные'!$F$2:$F$964,$A15)</f>
        <v>0</v>
      </c>
      <c r="AO15" s="7" t="n">
        <v>4</v>
      </c>
      <c r="AP15" s="7" t="n">
        <v>0</v>
      </c>
      <c r="AQ15" s="11" t="n">
        <f aca="false">SUMIFS('Исходные данные'!$I$2:$I$964,'Исходные данные'!$D$2:$D$964,AQ$1,'Исходные данные'!$F$2:$F$964,$A15)</f>
        <v>4</v>
      </c>
      <c r="AR15" s="11" t="n">
        <f aca="false">SUMIFS('Исходные данные'!$J$2:$J$964,'Исходные данные'!$D$2:$D$964,AQ$1,'Исходные данные'!$F$2:$F$964,$A15)</f>
        <v>0</v>
      </c>
      <c r="AS15" s="7" t="n">
        <v>0</v>
      </c>
      <c r="AT15" s="7" t="n">
        <v>0</v>
      </c>
      <c r="AU15" s="11" t="n">
        <f aca="false">SUMIFS('Исходные данные'!$I$2:$I$964,'Исходные данные'!$D$2:$D$964,AU$1,'Исходные данные'!$F$2:$F$964,$A15)</f>
        <v>0</v>
      </c>
      <c r="AV15" s="11" t="n">
        <f aca="false">SUMIFS('Исходные данные'!$J$2:$J$964,'Исходные данные'!$D$2:$D$964,AU$1,'Исходные данные'!$F$2:$F$964,$A15)</f>
        <v>0</v>
      </c>
      <c r="AW15" s="7" t="n">
        <v>0</v>
      </c>
      <c r="AX15" s="7" t="n">
        <v>0</v>
      </c>
      <c r="AY15" s="11" t="n">
        <f aca="false">SUMIFS('Исходные данные'!$I$2:$I$964,'Исходные данные'!$D$2:$D$964,AY$1,'Исходные данные'!$F$2:$F$964,$A15)</f>
        <v>0</v>
      </c>
      <c r="AZ15" s="11" t="n">
        <f aca="false">SUMIFS('Исходные данные'!$J$2:$J$964,'Исходные данные'!$D$2:$D$964,AY$1,'Исходные данные'!$F$2:$F$964,$A15)</f>
        <v>0</v>
      </c>
      <c r="BA15" s="7" t="n">
        <v>0</v>
      </c>
      <c r="BB15" s="7" t="n">
        <v>0</v>
      </c>
      <c r="BC15" s="11" t="n">
        <f aca="false">SUMIFS('Исходные данные'!$I$2:$I$964,'Исходные данные'!$D$2:$D$964,BC$1,'Исходные данные'!$F$2:$F$964,$A15)</f>
        <v>0</v>
      </c>
      <c r="BD15" s="11" t="n">
        <f aca="false">SUMIFS('Исходные данные'!$J$2:$J$964,'Исходные данные'!$D$2:$D$964,BC$1,'Исходные данные'!$F$2:$F$964,$A15)</f>
        <v>0</v>
      </c>
      <c r="BE15" s="7" t="n">
        <v>0</v>
      </c>
      <c r="BF15" s="7" t="n">
        <v>0</v>
      </c>
      <c r="BG15" s="11" t="n">
        <f aca="false">SUMIFS('Исходные данные'!$I$2:$I$964,'Исходные данные'!$D$2:$D$964,BG$1,'Исходные данные'!$F$2:$F$964,$A15)</f>
        <v>0</v>
      </c>
      <c r="BH15" s="11" t="n">
        <f aca="false">SUMIFS('Исходные данные'!$J$2:$J$964,'Исходные данные'!$D$2:$D$964,BG$1,'Исходные данные'!$F$2:$F$964,$A15)</f>
        <v>0</v>
      </c>
      <c r="BI15" s="7" t="n">
        <v>1</v>
      </c>
      <c r="BJ15" s="7" t="n">
        <v>0</v>
      </c>
      <c r="BK15" s="11" t="n">
        <f aca="false">SUMIFS('Исходные данные'!$I$2:$I$964,'Исходные данные'!$D$2:$D$964,BK$1,'Исходные данные'!$F$2:$F$964,$A15)</f>
        <v>1</v>
      </c>
      <c r="BL15" s="11" t="n">
        <f aca="false">SUMIFS('Исходные данные'!$J$2:$J$964,'Исходные данные'!$D$2:$D$964,BK$1,'Исходные данные'!$F$2:$F$964,$A15)</f>
        <v>0</v>
      </c>
      <c r="BM15" s="7" t="n">
        <v>0</v>
      </c>
      <c r="BN15" s="7" t="n">
        <v>0</v>
      </c>
      <c r="BO15" s="11" t="n">
        <f aca="false">SUMIFS('Исходные данные'!$I$2:$I$964,'Исходные данные'!$D$2:$D$964,BO$1,'Исходные данные'!$F$2:$F$964,$A15)</f>
        <v>0</v>
      </c>
      <c r="BP15" s="11" t="n">
        <f aca="false">SUMIFS('Исходные данные'!$J$2:$J$964,'Исходные данные'!$D$2:$D$964,BO$1,'Исходные данные'!$F$2:$F$964,$A15)</f>
        <v>0</v>
      </c>
      <c r="BQ15" s="7" t="n">
        <v>0</v>
      </c>
      <c r="BR15" s="7" t="n">
        <v>0</v>
      </c>
      <c r="BS15" s="11" t="n">
        <f aca="false">SUMIFS('Исходные данные'!$I$2:$I$964,'Исходные данные'!$D$2:$D$964,BS$1,'Исходные данные'!$F$2:$F$964,$A15)</f>
        <v>0</v>
      </c>
      <c r="BT15" s="11" t="n">
        <f aca="false">SUMIFS('Исходные данные'!$J$2:$J$964,'Исходные данные'!$D$2:$D$964,BS$1,'Исходные данные'!$F$2:$F$964,$A15)</f>
        <v>0</v>
      </c>
      <c r="BU15" s="7" t="n">
        <v>0</v>
      </c>
      <c r="BV15" s="7" t="n">
        <v>0</v>
      </c>
      <c r="BW15" s="11" t="n">
        <f aca="false">SUMIFS('Исходные данные'!$I$2:$I$964,'Исходные данные'!$D$2:$D$964,BW$1,'Исходные данные'!$F$2:$F$964,$A15)</f>
        <v>0</v>
      </c>
      <c r="BX15" s="11" t="n">
        <f aca="false">SUMIFS('Исходные данные'!$J$2:$J$964,'Исходные данные'!$D$2:$D$964,BW$1,'Исходные данные'!$F$2:$F$964,$A15)</f>
        <v>0</v>
      </c>
      <c r="BY15" s="7" t="n">
        <v>0</v>
      </c>
      <c r="BZ15" s="7" t="n">
        <v>0</v>
      </c>
      <c r="CA15" s="11" t="n">
        <f aca="false">SUMIFS('Исходные данные'!$I$2:$I$964,'Исходные данные'!$D$2:$D$964,CA$1,'Исходные данные'!$F$2:$F$964,$A15)</f>
        <v>0</v>
      </c>
      <c r="CB15" s="11" t="n">
        <f aca="false">SUMIFS('Исходные данные'!$J$2:$J$964,'Исходные данные'!$D$2:$D$964,CA$1,'Исходные данные'!$F$2:$F$964,$A15)</f>
        <v>0</v>
      </c>
      <c r="CC15" s="7" t="n">
        <v>0</v>
      </c>
      <c r="CD15" s="7" t="n">
        <v>0</v>
      </c>
      <c r="CE15" s="11" t="n">
        <f aca="false">SUMIFS('Исходные данные'!$I$2:$I$964,'Исходные данные'!$D$2:$D$964,CE$1,'Исходные данные'!$F$2:$F$964,$A15)</f>
        <v>0</v>
      </c>
      <c r="CF15" s="11" t="n">
        <f aca="false">SUMIFS('Исходные данные'!$J$2:$J$964,'Исходные данные'!$D$2:$D$964,CE$1,'Исходные данные'!$F$2:$F$964,$A15)</f>
        <v>0</v>
      </c>
      <c r="CG15" s="7" t="n">
        <v>0</v>
      </c>
      <c r="CH15" s="7" t="n">
        <v>0</v>
      </c>
      <c r="CI15" s="11" t="n">
        <f aca="false">SUMIFS('Исходные данные'!$I$2:$I$964,'Исходные данные'!$D$2:$D$964,CI$1,'Исходные данные'!$F$2:$F$964,$A15)</f>
        <v>0</v>
      </c>
      <c r="CJ15" s="11" t="n">
        <f aca="false">SUMIFS('Исходные данные'!$J$2:$J$964,'Исходные данные'!$D$2:$D$964,CI$1,'Исходные данные'!$F$2:$F$964,$A15)</f>
        <v>0</v>
      </c>
      <c r="CK15" s="7" t="n">
        <v>0</v>
      </c>
      <c r="CL15" s="7" t="n">
        <v>0</v>
      </c>
      <c r="CM15" s="11" t="n">
        <f aca="false">SUMIFS('Исходные данные'!$I$2:$I$964,'Исходные данные'!$D$2:$D$964,CM$1,'Исходные данные'!$F$2:$F$964,$A15)</f>
        <v>0</v>
      </c>
      <c r="CN15" s="11" t="n">
        <f aca="false">SUMIFS('Исходные данные'!$J$2:$J$964,'Исходные данные'!$D$2:$D$964,CM$1,'Исходные данные'!$F$2:$F$964,$A15)</f>
        <v>0</v>
      </c>
      <c r="CO15" s="7" t="n">
        <v>0</v>
      </c>
      <c r="CP15" s="7" t="n">
        <v>0</v>
      </c>
      <c r="CQ15" s="11" t="n">
        <f aca="false">SUMIFS('Исходные данные'!$I$2:$I$964,'Исходные данные'!$D$2:$D$964,CQ$1,'Исходные данные'!$F$2:$F$964,$A15)</f>
        <v>0</v>
      </c>
      <c r="CR15" s="11" t="n">
        <f aca="false">SUMIFS('Исходные данные'!$J$2:$J$964,'Исходные данные'!$D$2:$D$964,CQ$1,'Исходные данные'!$F$2:$F$964,$A15)</f>
        <v>0</v>
      </c>
      <c r="CS15" s="7" t="n">
        <v>0</v>
      </c>
      <c r="CT15" s="7" t="n">
        <v>0</v>
      </c>
      <c r="CU15" s="11" t="n">
        <f aca="false">SUMIFS('Исходные данные'!$I$2:$I$964,'Исходные данные'!$D$2:$D$964,CU$1,'Исходные данные'!$F$2:$F$964,$A15)</f>
        <v>0</v>
      </c>
      <c r="CV15" s="11" t="n">
        <f aca="false">SUMIFS('Исходные данные'!$J$2:$J$964,'Исходные данные'!$D$2:$D$964,CU$1,'Исходные данные'!$F$2:$F$964,$A15)</f>
        <v>0</v>
      </c>
      <c r="CW15" s="7" t="n">
        <v>0</v>
      </c>
      <c r="CX15" s="7" t="n">
        <v>0</v>
      </c>
      <c r="CY15" s="11" t="n">
        <f aca="false">SUMIFS('Исходные данные'!$I$2:$I$964,'Исходные данные'!$D$2:$D$964,CY$1,'Исходные данные'!$F$2:$F$964,$A15)</f>
        <v>0</v>
      </c>
      <c r="CZ15" s="11" t="n">
        <f aca="false">SUMIFS('Исходные данные'!$J$2:$J$964,'Исходные данные'!$D$2:$D$964,CY$1,'Исходные данные'!$F$2:$F$964,$A15)</f>
        <v>0</v>
      </c>
      <c r="DA15" s="7" t="n">
        <v>0</v>
      </c>
      <c r="DB15" s="7" t="n">
        <v>0</v>
      </c>
      <c r="DC15" s="11" t="n">
        <f aca="false">SUMIFS('Исходные данные'!$I$2:$I$964,'Исходные данные'!$D$2:$D$964,DC$1,'Исходные данные'!$F$2:$F$964,$A15)</f>
        <v>0</v>
      </c>
      <c r="DD15" s="11" t="n">
        <f aca="false">SUMIFS('Исходные данные'!$J$2:$J$964,'Исходные данные'!$D$2:$D$964,DC$1,'Исходные данные'!$F$2:$F$964,$A15)</f>
        <v>0</v>
      </c>
      <c r="DE15" s="7" t="n">
        <v>0</v>
      </c>
      <c r="DF15" s="7" t="n">
        <v>0</v>
      </c>
      <c r="DG15" s="11" t="n">
        <f aca="false">SUMIFS('Исходные данные'!$I$2:$I$964,'Исходные данные'!$D$2:$D$964,DG$1,'Исходные данные'!$F$2:$F$964,$A15)</f>
        <v>0</v>
      </c>
      <c r="DH15" s="11" t="n">
        <f aca="false">SUMIFS('Исходные данные'!$J$2:$J$964,'Исходные данные'!$D$2:$D$964,DG$1,'Исходные данные'!$F$2:$F$964,$A15)</f>
        <v>0</v>
      </c>
      <c r="DI15" s="7" t="n">
        <v>0</v>
      </c>
      <c r="DJ15" s="7" t="n">
        <v>0</v>
      </c>
      <c r="DK15" s="11" t="n">
        <f aca="false">SUMIFS('Исходные данные'!$I$2:$I$964,'Исходные данные'!$D$2:$D$964,DK$1,'Исходные данные'!$F$2:$F$964,$A15)</f>
        <v>0</v>
      </c>
      <c r="DL15" s="11" t="n">
        <f aca="false">SUMIFS('Исходные данные'!$J$2:$J$964,'Исходные данные'!$D$2:$D$964,DK$1,'Исходные данные'!$F$2:$F$964,$A15)</f>
        <v>0</v>
      </c>
      <c r="DM15" s="7" t="n">
        <v>0</v>
      </c>
      <c r="DN15" s="7" t="n">
        <v>0</v>
      </c>
      <c r="DO15" s="11" t="n">
        <f aca="false">SUMIFS('Исходные данные'!$I$2:$I$964,'Исходные данные'!$D$2:$D$964,DO$1,'Исходные данные'!$F$2:$F$964,$A15)</f>
        <v>0</v>
      </c>
      <c r="DP15" s="11" t="n">
        <f aca="false">SUMIFS('Исходные данные'!$J$2:$J$964,'Исходные данные'!$D$2:$D$964,DO$1,'Исходные данные'!$F$2:$F$964,$A15)</f>
        <v>0</v>
      </c>
      <c r="DQ15" s="7" t="n">
        <v>0</v>
      </c>
      <c r="DR15" s="7" t="n">
        <v>0</v>
      </c>
      <c r="DS15" s="11" t="n">
        <f aca="false">SUMIFS('Исходные данные'!$I$2:$I$964,'Исходные данные'!$D$2:$D$964,DS$1,'Исходные данные'!$F$2:$F$964,$A15)</f>
        <v>0</v>
      </c>
      <c r="DT15" s="11" t="n">
        <f aca="false">SUMIFS('Исходные данные'!$J$2:$J$964,'Исходные данные'!$D$2:$D$964,DS$1,'Исходные данные'!$F$2:$F$964,$A15)</f>
        <v>0</v>
      </c>
      <c r="DU15" s="7" t="n">
        <v>0</v>
      </c>
      <c r="DV15" s="7" t="n">
        <v>0</v>
      </c>
      <c r="DW15" s="11" t="n">
        <f aca="false">SUMIFS('Исходные данные'!$I$2:$I$964,'Исходные данные'!$D$2:$D$964,DW$1,'Исходные данные'!$F$2:$F$964,$A15)</f>
        <v>0</v>
      </c>
      <c r="DX15" s="11" t="n">
        <f aca="false">SUMIFS('Исходные данные'!$J$2:$J$964,'Исходные данные'!$D$2:$D$964,DW$1,'Исходные данные'!$F$2:$F$964,$A15)</f>
        <v>0</v>
      </c>
      <c r="DY15" s="7" t="n">
        <v>0</v>
      </c>
      <c r="DZ15" s="7" t="n">
        <v>0</v>
      </c>
      <c r="EA15" s="11" t="n">
        <f aca="false">SUMIFS('Исходные данные'!$I$2:$I$964,'Исходные данные'!$D$2:$D$964,EA$1,'Исходные данные'!$F$2:$F$964,$A15)</f>
        <v>0</v>
      </c>
      <c r="EB15" s="11" t="n">
        <f aca="false">SUMIFS('Исходные данные'!$J$2:$J$964,'Исходные данные'!$D$2:$D$964,EA$1,'Исходные данные'!$F$2:$F$964,$A15)</f>
        <v>0</v>
      </c>
      <c r="EC15" s="7" t="n">
        <v>0</v>
      </c>
      <c r="ED15" s="7" t="n">
        <v>0</v>
      </c>
      <c r="EE15" s="11" t="n">
        <f aca="false">SUMIFS('Исходные данные'!$I$2:$I$964,'Исходные данные'!$D$2:$D$964,EE$1,'Исходные данные'!$F$2:$F$964,$A15)</f>
        <v>0</v>
      </c>
      <c r="EF15" s="11" t="n">
        <f aca="false">SUMIFS('Исходные данные'!$J$2:$J$964,'Исходные данные'!$D$2:$D$964,EE$1,'Исходные данные'!$F$2:$F$964,$A15)</f>
        <v>0</v>
      </c>
      <c r="EG15" s="7" t="n">
        <v>0</v>
      </c>
      <c r="EH15" s="7" t="n">
        <v>0</v>
      </c>
      <c r="EI15" s="11" t="n">
        <f aca="false">SUMIFS('Исходные данные'!$I$2:$I$964,'Исходные данные'!$D$2:$D$964,EI$1,'Исходные данные'!$F$2:$F$964,$A15)</f>
        <v>0</v>
      </c>
      <c r="EJ15" s="11" t="n">
        <f aca="false">SUMIFS('Исходные данные'!$J$2:$J$964,'Исходные данные'!$D$2:$D$964,EI$1,'Исходные данные'!$F$2:$F$964,$A15)</f>
        <v>0</v>
      </c>
      <c r="EK15" s="7" t="n">
        <v>0</v>
      </c>
      <c r="EL15" s="7" t="n">
        <v>0</v>
      </c>
      <c r="EM15" s="11" t="n">
        <f aca="false">SUMIFS('Исходные данные'!$I$2:$I$964,'Исходные данные'!$D$2:$D$964,EM$1,'Исходные данные'!$F$2:$F$964,$A15)</f>
        <v>0</v>
      </c>
      <c r="EN15" s="11" t="n">
        <f aca="false">SUMIFS('Исходные данные'!$J$2:$J$964,'Исходные данные'!$D$2:$D$964,EM$1,'Исходные данные'!$F$2:$F$964,$A15)</f>
        <v>0</v>
      </c>
      <c r="EO15" s="7" t="n">
        <v>0</v>
      </c>
      <c r="EP15" s="7" t="n">
        <v>0</v>
      </c>
      <c r="EQ15" s="11" t="n">
        <f aca="false">SUMIFS('Исходные данные'!$I$2:$I$964,'Исходные данные'!$D$2:$D$964,EQ$1,'Исходные данные'!$F$2:$F$964,$A15)</f>
        <v>0</v>
      </c>
      <c r="ER15" s="11" t="n">
        <f aca="false">SUMIFS('Исходные данные'!$J$2:$J$964,'Исходные данные'!$D$2:$D$964,EQ$1,'Исходные данные'!$F$2:$F$964,$A15)</f>
        <v>0</v>
      </c>
      <c r="ES15" s="7" t="n">
        <v>0</v>
      </c>
      <c r="ET15" s="7" t="n">
        <v>0</v>
      </c>
      <c r="EU15" s="11" t="n">
        <f aca="false">SUMIFS('Исходные данные'!$I$2:$I$964,'Исходные данные'!$D$2:$D$964,EU$1,'Исходные данные'!$F$2:$F$964,$A15)</f>
        <v>0</v>
      </c>
      <c r="EV15" s="11" t="n">
        <f aca="false">SUMIFS('Исходные данные'!$J$2:$J$964,'Исходные данные'!$D$2:$D$964,EU$1,'Исходные данные'!$F$2:$F$964,$A15)</f>
        <v>0</v>
      </c>
      <c r="EW15" s="7" t="n">
        <v>0</v>
      </c>
      <c r="EX15" s="7" t="n">
        <v>0</v>
      </c>
      <c r="EY15" s="11" t="n">
        <f aca="false">SUMIFS('Исходные данные'!$I$2:$I$964,'Исходные данные'!$D$2:$D$964,EY$1,'Исходные данные'!$F$2:$F$964,$A15)</f>
        <v>0</v>
      </c>
      <c r="EZ15" s="11" t="n">
        <f aca="false">SUMIFS('Исходные данные'!$J$2:$J$964,'Исходные данные'!$D$2:$D$964,EY$1,'Исходные данные'!$F$2:$F$964,$A15)</f>
        <v>0</v>
      </c>
      <c r="FA15" s="7" t="n">
        <v>0</v>
      </c>
      <c r="FB15" s="7" t="n">
        <v>0</v>
      </c>
      <c r="FC15" s="11" t="n">
        <f aca="false">SUMIFS('Исходные данные'!$I$2:$I$964,'Исходные данные'!$D$2:$D$964,FC$1,'Исходные данные'!$F$2:$F$964,$A15)</f>
        <v>0</v>
      </c>
      <c r="FD15" s="11" t="n">
        <f aca="false">SUMIFS('Исходные данные'!$J$2:$J$964,'Исходные данные'!$D$2:$D$964,FC$1,'Исходные данные'!$F$2:$F$964,$A15)</f>
        <v>0</v>
      </c>
      <c r="FE15" s="7" t="n">
        <v>0</v>
      </c>
      <c r="FF15" s="7" t="n">
        <v>0</v>
      </c>
      <c r="FG15" s="11" t="n">
        <f aca="false">SUMIFS('Исходные данные'!$I$2:$I$964,'Исходные данные'!$D$2:$D$964,FG$1,'Исходные данные'!$F$2:$F$964,$A15)</f>
        <v>0</v>
      </c>
      <c r="FH15" s="11" t="n">
        <f aca="false">SUMIFS('Исходные данные'!$J$2:$J$964,'Исходные данные'!$D$2:$D$964,FG$1,'Исходные данные'!$F$2:$F$964,$A15)</f>
        <v>0</v>
      </c>
    </row>
    <row r="16" customFormat="false" ht="15" hidden="false" customHeight="false" outlineLevel="0" collapsed="false">
      <c r="A16" s="10" t="s">
        <v>75</v>
      </c>
      <c r="B16" s="11" t="s">
        <v>76</v>
      </c>
      <c r="C16" s="6" t="n">
        <v>2</v>
      </c>
      <c r="D16" s="6" t="n">
        <f aca="false">I16+J16+M16+N16+Q16+R16+U16+V16+Y16+Z16+AC16+AD16+AG16+AH16+AK16+AL16+AO16+AP16+AS16+AT16+AW16+AX16+BA16+BB16+BE16+BF16+BI16+BJ16+BM16+BN16+BQ16+BR16+BU16+BV16+BY16+BZ16+CC16+CD16+CG16+CH16+CK16+CL16+CO16+CP16+CS16+CT16+CW16+CX16+DA16+DB16+DE16+DF16+DI16+DJ16+DM16+DN16+DQ16+DR16+DU16+DV16+DY16+DZ16+EC16+ED16+EG16+EH16+EK16+EL16+EO16+EP16+ES16+ET16+EW16+EX16+FA16+FB16+FE16+FF16</f>
        <v>2</v>
      </c>
      <c r="E16" s="6" t="n">
        <f aca="false">G16+H16</f>
        <v>3</v>
      </c>
      <c r="F16" s="6" t="n">
        <f aca="false">E16-C16</f>
        <v>1</v>
      </c>
      <c r="G16" s="6" t="n">
        <f aca="false">K16+O16+S16+W16+AA16+AE16+AI16+AM16+AQ16+AU16+AY16+BC16+BG16+BK16+BO16+BS16+BW16+CA16+CE16+CI16+CM16+CQ16+CU16+CY16+DC16+DG16+DK16+DO16+DS16+DW16+EA16+EE16+EI16+EM16+EQ16+EU16+EY16+FC16+FG16</f>
        <v>3</v>
      </c>
      <c r="H16" s="6" t="n">
        <f aca="false">L16+P16+T16+X16+AB16+AF16+AJ16+AN16+AR16+AV16+AZ16+BD16+BH16+BL16+BP16+BT16+BX16+CB16+CF16+CJ16+CN16+CR16+CV16+CZ16+DD16+DH16+DL16+DP16+DT16+DX16+EB16+EF16+EJ16+EN16+ER16+EV16+EZ16+FD16+FH16</f>
        <v>0</v>
      </c>
      <c r="I16" s="7" t="n">
        <v>0</v>
      </c>
      <c r="J16" s="7" t="n">
        <v>0</v>
      </c>
      <c r="K16" s="11" t="n">
        <f aca="false">SUMIFS('Исходные данные'!$I$2:$I$964,'Исходные данные'!$D$2:$D$964,K$1,'Исходные данные'!$F$2:$F$964,$A16)</f>
        <v>0</v>
      </c>
      <c r="L16" s="11" t="n">
        <f aca="false">SUMIFS('Исходные данные'!$J$2:$J$964,'Исходные данные'!$D$2:$D$964,K$1,'Исходные данные'!$F$2:$F$964,$A16)</f>
        <v>0</v>
      </c>
      <c r="M16" s="7" t="n">
        <v>0</v>
      </c>
      <c r="N16" s="7" t="n">
        <v>0</v>
      </c>
      <c r="O16" s="11" t="n">
        <f aca="false">SUMIFS('Исходные данные'!$I$2:$I$964,'Исходные данные'!$D$2:$D$964,O$1,'Исходные данные'!$F$2:$F$964,$A16)</f>
        <v>0</v>
      </c>
      <c r="P16" s="11" t="n">
        <f aca="false">SUMIFS('Исходные данные'!$J$2:$J$964,'Исходные данные'!$D$2:$D$964,O$1,'Исходные данные'!$F$2:$F$964,$A16)</f>
        <v>0</v>
      </c>
      <c r="Q16" s="7" t="n">
        <v>0</v>
      </c>
      <c r="R16" s="7" t="n">
        <v>0</v>
      </c>
      <c r="S16" s="11" t="n">
        <f aca="false">SUMIFS('Исходные данные'!$I$2:$I$964,'Исходные данные'!$D$2:$D$964,S$1,'Исходные данные'!$F$2:$F$964,$A16)</f>
        <v>0</v>
      </c>
      <c r="T16" s="11" t="n">
        <f aca="false">SUMIFS('Исходные данные'!$J$2:$J$964,'Исходные данные'!$D$2:$D$964,S$1,'Исходные данные'!$F$2:$F$964,$A16)</f>
        <v>0</v>
      </c>
      <c r="U16" s="7" t="n">
        <v>0</v>
      </c>
      <c r="V16" s="7" t="n">
        <v>0</v>
      </c>
      <c r="W16" s="11" t="n">
        <f aca="false">SUMIFS('Исходные данные'!$I$2:$I$964,'Исходные данные'!$D$2:$D$964,W$1,'Исходные данные'!$F$2:$F$964,$A16)</f>
        <v>0</v>
      </c>
      <c r="X16" s="11" t="n">
        <f aca="false">SUMIFS('Исходные данные'!$J$2:$J$964,'Исходные данные'!$D$2:$D$964,W$1,'Исходные данные'!$F$2:$F$964,$A16)</f>
        <v>0</v>
      </c>
      <c r="Y16" s="7" t="n">
        <v>0</v>
      </c>
      <c r="Z16" s="7" t="n">
        <v>0</v>
      </c>
      <c r="AA16" s="11" t="n">
        <f aca="false">SUMIFS('Исходные данные'!$I$2:$I$964,'Исходные данные'!$D$2:$D$964,AA$1,'Исходные данные'!$F$2:$F$964,$A16)</f>
        <v>0</v>
      </c>
      <c r="AB16" s="11" t="n">
        <f aca="false">SUMIFS('Исходные данные'!$J$2:$J$964,'Исходные данные'!$D$2:$D$964,AA$1,'Исходные данные'!$F$2:$F$964,$A16)</f>
        <v>0</v>
      </c>
      <c r="AC16" s="7" t="n">
        <v>0</v>
      </c>
      <c r="AD16" s="7" t="n">
        <v>0</v>
      </c>
      <c r="AE16" s="11" t="n">
        <f aca="false">SUMIFS('Исходные данные'!$I$2:$I$964,'Исходные данные'!$D$2:$D$964,AE$1,'Исходные данные'!$F$2:$F$964,$A16)</f>
        <v>0</v>
      </c>
      <c r="AF16" s="11" t="n">
        <f aca="false">SUMIFS('Исходные данные'!$J$2:$J$964,'Исходные данные'!$D$2:$D$964,AE$1,'Исходные данные'!$F$2:$F$964,$A16)</f>
        <v>0</v>
      </c>
      <c r="AG16" s="7" t="n">
        <v>0</v>
      </c>
      <c r="AH16" s="7" t="n">
        <v>0</v>
      </c>
      <c r="AI16" s="11" t="n">
        <f aca="false">SUMIFS('Исходные данные'!$I$2:$I$964,'Исходные данные'!$D$2:$D$964,AI$1,'Исходные данные'!$F$2:$F$964,$A16)</f>
        <v>0</v>
      </c>
      <c r="AJ16" s="11" t="n">
        <f aca="false">SUMIFS('Исходные данные'!$J$2:$J$964,'Исходные данные'!$D$2:$D$964,AI$1,'Исходные данные'!$F$2:$F$964,$A16)</f>
        <v>0</v>
      </c>
      <c r="AK16" s="7" t="n">
        <v>0</v>
      </c>
      <c r="AL16" s="7" t="n">
        <v>0</v>
      </c>
      <c r="AM16" s="11" t="n">
        <f aca="false">SUMIFS('Исходные данные'!$I$2:$I$964,'Исходные данные'!$D$2:$D$964,AM$1,'Исходные данные'!$F$2:$F$964,$A16)</f>
        <v>0</v>
      </c>
      <c r="AN16" s="11" t="n">
        <f aca="false">SUMIFS('Исходные данные'!$J$2:$J$964,'Исходные данные'!$D$2:$D$964,AM$1,'Исходные данные'!$F$2:$F$964,$A16)</f>
        <v>0</v>
      </c>
      <c r="AO16" s="7" t="n">
        <v>0</v>
      </c>
      <c r="AP16" s="7" t="n">
        <v>0</v>
      </c>
      <c r="AQ16" s="11" t="n">
        <f aca="false">SUMIFS('Исходные данные'!$I$2:$I$964,'Исходные данные'!$D$2:$D$964,AQ$1,'Исходные данные'!$F$2:$F$964,$A16)</f>
        <v>0</v>
      </c>
      <c r="AR16" s="11" t="n">
        <f aca="false">SUMIFS('Исходные данные'!$J$2:$J$964,'Исходные данные'!$D$2:$D$964,AQ$1,'Исходные данные'!$F$2:$F$964,$A16)</f>
        <v>0</v>
      </c>
      <c r="AS16" s="7" t="n">
        <v>0</v>
      </c>
      <c r="AT16" s="7" t="n">
        <v>0</v>
      </c>
      <c r="AU16" s="11" t="n">
        <f aca="false">SUMIFS('Исходные данные'!$I$2:$I$964,'Исходные данные'!$D$2:$D$964,AU$1,'Исходные данные'!$F$2:$F$964,$A16)</f>
        <v>0</v>
      </c>
      <c r="AV16" s="11" t="n">
        <f aca="false">SUMIFS('Исходные данные'!$J$2:$J$964,'Исходные данные'!$D$2:$D$964,AU$1,'Исходные данные'!$F$2:$F$964,$A16)</f>
        <v>0</v>
      </c>
      <c r="AW16" s="7" t="n">
        <v>0</v>
      </c>
      <c r="AX16" s="7" t="n">
        <v>0</v>
      </c>
      <c r="AY16" s="11" t="n">
        <f aca="false">SUMIFS('Исходные данные'!$I$2:$I$964,'Исходные данные'!$D$2:$D$964,AY$1,'Исходные данные'!$F$2:$F$964,$A16)</f>
        <v>0</v>
      </c>
      <c r="AZ16" s="11" t="n">
        <f aca="false">SUMIFS('Исходные данные'!$J$2:$J$964,'Исходные данные'!$D$2:$D$964,AY$1,'Исходные данные'!$F$2:$F$964,$A16)</f>
        <v>0</v>
      </c>
      <c r="BA16" s="7" t="n">
        <v>0</v>
      </c>
      <c r="BB16" s="7" t="n">
        <v>0</v>
      </c>
      <c r="BC16" s="11" t="n">
        <f aca="false">SUMIFS('Исходные данные'!$I$2:$I$964,'Исходные данные'!$D$2:$D$964,BC$1,'Исходные данные'!$F$2:$F$964,$A16)</f>
        <v>0</v>
      </c>
      <c r="BD16" s="11" t="n">
        <f aca="false">SUMIFS('Исходные данные'!$J$2:$J$964,'Исходные данные'!$D$2:$D$964,BC$1,'Исходные данные'!$F$2:$F$964,$A16)</f>
        <v>0</v>
      </c>
      <c r="BE16" s="7" t="n">
        <v>0</v>
      </c>
      <c r="BF16" s="7" t="n">
        <v>0</v>
      </c>
      <c r="BG16" s="11" t="n">
        <f aca="false">SUMIFS('Исходные данные'!$I$2:$I$964,'Исходные данные'!$D$2:$D$964,BG$1,'Исходные данные'!$F$2:$F$964,$A16)</f>
        <v>0</v>
      </c>
      <c r="BH16" s="11" t="n">
        <f aca="false">SUMIFS('Исходные данные'!$J$2:$J$964,'Исходные данные'!$D$2:$D$964,BG$1,'Исходные данные'!$F$2:$F$964,$A16)</f>
        <v>0</v>
      </c>
      <c r="BI16" s="7" t="n">
        <v>0</v>
      </c>
      <c r="BJ16" s="7" t="n">
        <v>0</v>
      </c>
      <c r="BK16" s="11" t="n">
        <f aca="false">SUMIFS('Исходные данные'!$I$2:$I$964,'Исходные данные'!$D$2:$D$964,BK$1,'Исходные данные'!$F$2:$F$964,$A16)</f>
        <v>0</v>
      </c>
      <c r="BL16" s="11" t="n">
        <f aca="false">SUMIFS('Исходные данные'!$J$2:$J$964,'Исходные данные'!$D$2:$D$964,BK$1,'Исходные данные'!$F$2:$F$964,$A16)</f>
        <v>0</v>
      </c>
      <c r="BM16" s="7" t="n">
        <v>0</v>
      </c>
      <c r="BN16" s="7" t="n">
        <v>0</v>
      </c>
      <c r="BO16" s="11" t="n">
        <f aca="false">SUMIFS('Исходные данные'!$I$2:$I$964,'Исходные данные'!$D$2:$D$964,BO$1,'Исходные данные'!$F$2:$F$964,$A16)</f>
        <v>0</v>
      </c>
      <c r="BP16" s="11" t="n">
        <f aca="false">SUMIFS('Исходные данные'!$J$2:$J$964,'Исходные данные'!$D$2:$D$964,BO$1,'Исходные данные'!$F$2:$F$964,$A16)</f>
        <v>0</v>
      </c>
      <c r="BQ16" s="7" t="n">
        <v>2</v>
      </c>
      <c r="BR16" s="7" t="n">
        <v>0</v>
      </c>
      <c r="BS16" s="11" t="n">
        <f aca="false">SUMIFS('Исходные данные'!$I$2:$I$964,'Исходные данные'!$D$2:$D$964,BS$1,'Исходные данные'!$F$2:$F$964,$A16)</f>
        <v>2</v>
      </c>
      <c r="BT16" s="11" t="n">
        <f aca="false">SUMIFS('Исходные данные'!$J$2:$J$964,'Исходные данные'!$D$2:$D$964,BS$1,'Исходные данные'!$F$2:$F$964,$A16)</f>
        <v>0</v>
      </c>
      <c r="BU16" s="7" t="n">
        <v>0</v>
      </c>
      <c r="BV16" s="7" t="n">
        <v>0</v>
      </c>
      <c r="BW16" s="11" t="n">
        <f aca="false">SUMIFS('Исходные данные'!$I$2:$I$964,'Исходные данные'!$D$2:$D$964,BW$1,'Исходные данные'!$F$2:$F$964,$A16)</f>
        <v>0</v>
      </c>
      <c r="BX16" s="11" t="n">
        <f aca="false">SUMIFS('Исходные данные'!$J$2:$J$964,'Исходные данные'!$D$2:$D$964,BW$1,'Исходные данные'!$F$2:$F$964,$A16)</f>
        <v>0</v>
      </c>
      <c r="BY16" s="7" t="n">
        <v>0</v>
      </c>
      <c r="BZ16" s="7" t="n">
        <v>0</v>
      </c>
      <c r="CA16" s="11" t="n">
        <f aca="false">SUMIFS('Исходные данные'!$I$2:$I$964,'Исходные данные'!$D$2:$D$964,CA$1,'Исходные данные'!$F$2:$F$964,$A16)</f>
        <v>0</v>
      </c>
      <c r="CB16" s="11" t="n">
        <f aca="false">SUMIFS('Исходные данные'!$J$2:$J$964,'Исходные данные'!$D$2:$D$964,CA$1,'Исходные данные'!$F$2:$F$964,$A16)</f>
        <v>0</v>
      </c>
      <c r="CC16" s="7" t="n">
        <v>0</v>
      </c>
      <c r="CD16" s="7" t="n">
        <v>0</v>
      </c>
      <c r="CE16" s="11" t="n">
        <f aca="false">SUMIFS('Исходные данные'!$I$2:$I$964,'Исходные данные'!$D$2:$D$964,CE$1,'Исходные данные'!$F$2:$F$964,$A16)</f>
        <v>0</v>
      </c>
      <c r="CF16" s="11" t="n">
        <f aca="false">SUMIFS('Исходные данные'!$J$2:$J$964,'Исходные данные'!$D$2:$D$964,CE$1,'Исходные данные'!$F$2:$F$964,$A16)</f>
        <v>0</v>
      </c>
      <c r="CG16" s="7" t="n">
        <v>0</v>
      </c>
      <c r="CH16" s="7" t="n">
        <v>0</v>
      </c>
      <c r="CI16" s="11" t="n">
        <f aca="false">SUMIFS('Исходные данные'!$I$2:$I$964,'Исходные данные'!$D$2:$D$964,CI$1,'Исходные данные'!$F$2:$F$964,$A16)</f>
        <v>0</v>
      </c>
      <c r="CJ16" s="11" t="n">
        <f aca="false">SUMIFS('Исходные данные'!$J$2:$J$964,'Исходные данные'!$D$2:$D$964,CI$1,'Исходные данные'!$F$2:$F$964,$A16)</f>
        <v>0</v>
      </c>
      <c r="CK16" s="7" t="n">
        <v>0</v>
      </c>
      <c r="CL16" s="7" t="n">
        <v>0</v>
      </c>
      <c r="CM16" s="11" t="n">
        <f aca="false">SUMIFS('Исходные данные'!$I$2:$I$964,'Исходные данные'!$D$2:$D$964,CM$1,'Исходные данные'!$F$2:$F$964,$A16)</f>
        <v>0</v>
      </c>
      <c r="CN16" s="11" t="n">
        <f aca="false">SUMIFS('Исходные данные'!$J$2:$J$964,'Исходные данные'!$D$2:$D$964,CM$1,'Исходные данные'!$F$2:$F$964,$A16)</f>
        <v>0</v>
      </c>
      <c r="CO16" s="7" t="n">
        <v>0</v>
      </c>
      <c r="CP16" s="7" t="n">
        <v>0</v>
      </c>
      <c r="CQ16" s="11" t="n">
        <f aca="false">SUMIFS('Исходные данные'!$I$2:$I$964,'Исходные данные'!$D$2:$D$964,CQ$1,'Исходные данные'!$F$2:$F$964,$A16)</f>
        <v>0</v>
      </c>
      <c r="CR16" s="11" t="n">
        <f aca="false">SUMIFS('Исходные данные'!$J$2:$J$964,'Исходные данные'!$D$2:$D$964,CQ$1,'Исходные данные'!$F$2:$F$964,$A16)</f>
        <v>0</v>
      </c>
      <c r="CS16" s="7" t="n">
        <v>0</v>
      </c>
      <c r="CT16" s="7" t="n">
        <v>0</v>
      </c>
      <c r="CU16" s="11" t="n">
        <f aca="false">SUMIFS('Исходные данные'!$I$2:$I$964,'Исходные данные'!$D$2:$D$964,CU$1,'Исходные данные'!$F$2:$F$964,$A16)</f>
        <v>0</v>
      </c>
      <c r="CV16" s="11" t="n">
        <f aca="false">SUMIFS('Исходные данные'!$J$2:$J$964,'Исходные данные'!$D$2:$D$964,CU$1,'Исходные данные'!$F$2:$F$964,$A16)</f>
        <v>0</v>
      </c>
      <c r="CW16" s="7" t="n">
        <v>0</v>
      </c>
      <c r="CX16" s="7" t="n">
        <v>0</v>
      </c>
      <c r="CY16" s="11" t="n">
        <f aca="false">SUMIFS('Исходные данные'!$I$2:$I$964,'Исходные данные'!$D$2:$D$964,CY$1,'Исходные данные'!$F$2:$F$964,$A16)</f>
        <v>0</v>
      </c>
      <c r="CZ16" s="11" t="n">
        <f aca="false">SUMIFS('Исходные данные'!$J$2:$J$964,'Исходные данные'!$D$2:$D$964,CY$1,'Исходные данные'!$F$2:$F$964,$A16)</f>
        <v>0</v>
      </c>
      <c r="DA16" s="7" t="n">
        <v>0</v>
      </c>
      <c r="DB16" s="7" t="n">
        <v>0</v>
      </c>
      <c r="DC16" s="11" t="n">
        <f aca="false">SUMIFS('Исходные данные'!$I$2:$I$964,'Исходные данные'!$D$2:$D$964,DC$1,'Исходные данные'!$F$2:$F$964,$A16)</f>
        <v>0</v>
      </c>
      <c r="DD16" s="11" t="n">
        <f aca="false">SUMIFS('Исходные данные'!$J$2:$J$964,'Исходные данные'!$D$2:$D$964,DC$1,'Исходные данные'!$F$2:$F$964,$A16)</f>
        <v>0</v>
      </c>
      <c r="DE16" s="7" t="n">
        <v>0</v>
      </c>
      <c r="DF16" s="7" t="n">
        <v>0</v>
      </c>
      <c r="DG16" s="11" t="n">
        <f aca="false">SUMIFS('Исходные данные'!$I$2:$I$964,'Исходные данные'!$D$2:$D$964,DG$1,'Исходные данные'!$F$2:$F$964,$A16)</f>
        <v>0</v>
      </c>
      <c r="DH16" s="11" t="n">
        <f aca="false">SUMIFS('Исходные данные'!$J$2:$J$964,'Исходные данные'!$D$2:$D$964,DG$1,'Исходные данные'!$F$2:$F$964,$A16)</f>
        <v>0</v>
      </c>
      <c r="DI16" s="7" t="n">
        <v>0</v>
      </c>
      <c r="DJ16" s="7" t="n">
        <v>0</v>
      </c>
      <c r="DK16" s="11" t="n">
        <f aca="false">SUMIFS('Исходные данные'!$I$2:$I$964,'Исходные данные'!$D$2:$D$964,DK$1,'Исходные данные'!$F$2:$F$964,$A16)</f>
        <v>0</v>
      </c>
      <c r="DL16" s="11" t="n">
        <f aca="false">SUMIFS('Исходные данные'!$J$2:$J$964,'Исходные данные'!$D$2:$D$964,DK$1,'Исходные данные'!$F$2:$F$964,$A16)</f>
        <v>0</v>
      </c>
      <c r="DM16" s="7" t="n">
        <v>0</v>
      </c>
      <c r="DN16" s="7" t="n">
        <v>0</v>
      </c>
      <c r="DO16" s="11" t="n">
        <f aca="false">SUMIFS('Исходные данные'!$I$2:$I$964,'Исходные данные'!$D$2:$D$964,DO$1,'Исходные данные'!$F$2:$F$964,$A16)</f>
        <v>0</v>
      </c>
      <c r="DP16" s="11" t="n">
        <f aca="false">SUMIFS('Исходные данные'!$J$2:$J$964,'Исходные данные'!$D$2:$D$964,DO$1,'Исходные данные'!$F$2:$F$964,$A16)</f>
        <v>0</v>
      </c>
      <c r="DQ16" s="7" t="n">
        <v>0</v>
      </c>
      <c r="DR16" s="7" t="n">
        <v>0</v>
      </c>
      <c r="DS16" s="11" t="n">
        <f aca="false">SUMIFS('Исходные данные'!$I$2:$I$964,'Исходные данные'!$D$2:$D$964,DS$1,'Исходные данные'!$F$2:$F$964,$A16)</f>
        <v>1</v>
      </c>
      <c r="DT16" s="11" t="n">
        <f aca="false">SUMIFS('Исходные данные'!$J$2:$J$964,'Исходные данные'!$D$2:$D$964,DS$1,'Исходные данные'!$F$2:$F$964,$A16)</f>
        <v>0</v>
      </c>
      <c r="DU16" s="7" t="n">
        <v>0</v>
      </c>
      <c r="DV16" s="7" t="n">
        <v>0</v>
      </c>
      <c r="DW16" s="11" t="n">
        <f aca="false">SUMIFS('Исходные данные'!$I$2:$I$964,'Исходные данные'!$D$2:$D$964,DW$1,'Исходные данные'!$F$2:$F$964,$A16)</f>
        <v>0</v>
      </c>
      <c r="DX16" s="11" t="n">
        <f aca="false">SUMIFS('Исходные данные'!$J$2:$J$964,'Исходные данные'!$D$2:$D$964,DW$1,'Исходные данные'!$F$2:$F$964,$A16)</f>
        <v>0</v>
      </c>
      <c r="DY16" s="7" t="n">
        <v>0</v>
      </c>
      <c r="DZ16" s="7" t="n">
        <v>0</v>
      </c>
      <c r="EA16" s="11" t="n">
        <f aca="false">SUMIFS('Исходные данные'!$I$2:$I$964,'Исходные данные'!$D$2:$D$964,EA$1,'Исходные данные'!$F$2:$F$964,$A16)</f>
        <v>0</v>
      </c>
      <c r="EB16" s="11" t="n">
        <f aca="false">SUMIFS('Исходные данные'!$J$2:$J$964,'Исходные данные'!$D$2:$D$964,EA$1,'Исходные данные'!$F$2:$F$964,$A16)</f>
        <v>0</v>
      </c>
      <c r="EC16" s="7" t="n">
        <v>0</v>
      </c>
      <c r="ED16" s="7" t="n">
        <v>0</v>
      </c>
      <c r="EE16" s="11" t="n">
        <f aca="false">SUMIFS('Исходные данные'!$I$2:$I$964,'Исходные данные'!$D$2:$D$964,EE$1,'Исходные данные'!$F$2:$F$964,$A16)</f>
        <v>0</v>
      </c>
      <c r="EF16" s="11" t="n">
        <f aca="false">SUMIFS('Исходные данные'!$J$2:$J$964,'Исходные данные'!$D$2:$D$964,EE$1,'Исходные данные'!$F$2:$F$964,$A16)</f>
        <v>0</v>
      </c>
      <c r="EG16" s="7" t="n">
        <v>0</v>
      </c>
      <c r="EH16" s="7" t="n">
        <v>0</v>
      </c>
      <c r="EI16" s="11" t="n">
        <f aca="false">SUMIFS('Исходные данные'!$I$2:$I$964,'Исходные данные'!$D$2:$D$964,EI$1,'Исходные данные'!$F$2:$F$964,$A16)</f>
        <v>0</v>
      </c>
      <c r="EJ16" s="11" t="n">
        <f aca="false">SUMIFS('Исходные данные'!$J$2:$J$964,'Исходные данные'!$D$2:$D$964,EI$1,'Исходные данные'!$F$2:$F$964,$A16)</f>
        <v>0</v>
      </c>
      <c r="EK16" s="7" t="n">
        <v>0</v>
      </c>
      <c r="EL16" s="7" t="n">
        <v>0</v>
      </c>
      <c r="EM16" s="11" t="n">
        <f aca="false">SUMIFS('Исходные данные'!$I$2:$I$964,'Исходные данные'!$D$2:$D$964,EM$1,'Исходные данные'!$F$2:$F$964,$A16)</f>
        <v>0</v>
      </c>
      <c r="EN16" s="11" t="n">
        <f aca="false">SUMIFS('Исходные данные'!$J$2:$J$964,'Исходные данные'!$D$2:$D$964,EM$1,'Исходные данные'!$F$2:$F$964,$A16)</f>
        <v>0</v>
      </c>
      <c r="EO16" s="7" t="n">
        <v>0</v>
      </c>
      <c r="EP16" s="7" t="n">
        <v>0</v>
      </c>
      <c r="EQ16" s="11" t="n">
        <f aca="false">SUMIFS('Исходные данные'!$I$2:$I$964,'Исходные данные'!$D$2:$D$964,EQ$1,'Исходные данные'!$F$2:$F$964,$A16)</f>
        <v>0</v>
      </c>
      <c r="ER16" s="11" t="n">
        <f aca="false">SUMIFS('Исходные данные'!$J$2:$J$964,'Исходные данные'!$D$2:$D$964,EQ$1,'Исходные данные'!$F$2:$F$964,$A16)</f>
        <v>0</v>
      </c>
      <c r="ES16" s="7" t="n">
        <v>0</v>
      </c>
      <c r="ET16" s="7" t="n">
        <v>0</v>
      </c>
      <c r="EU16" s="11" t="n">
        <f aca="false">SUMIFS('Исходные данные'!$I$2:$I$964,'Исходные данные'!$D$2:$D$964,EU$1,'Исходные данные'!$F$2:$F$964,$A16)</f>
        <v>0</v>
      </c>
      <c r="EV16" s="11" t="n">
        <f aca="false">SUMIFS('Исходные данные'!$J$2:$J$964,'Исходные данные'!$D$2:$D$964,EU$1,'Исходные данные'!$F$2:$F$964,$A16)</f>
        <v>0</v>
      </c>
      <c r="EW16" s="7" t="n">
        <v>0</v>
      </c>
      <c r="EX16" s="7" t="n">
        <v>0</v>
      </c>
      <c r="EY16" s="11" t="n">
        <f aca="false">SUMIFS('Исходные данные'!$I$2:$I$964,'Исходные данные'!$D$2:$D$964,EY$1,'Исходные данные'!$F$2:$F$964,$A16)</f>
        <v>0</v>
      </c>
      <c r="EZ16" s="11" t="n">
        <f aca="false">SUMIFS('Исходные данные'!$J$2:$J$964,'Исходные данные'!$D$2:$D$964,EY$1,'Исходные данные'!$F$2:$F$964,$A16)</f>
        <v>0</v>
      </c>
      <c r="FA16" s="7" t="n">
        <v>0</v>
      </c>
      <c r="FB16" s="7" t="n">
        <v>0</v>
      </c>
      <c r="FC16" s="11" t="n">
        <f aca="false">SUMIFS('Исходные данные'!$I$2:$I$964,'Исходные данные'!$D$2:$D$964,FC$1,'Исходные данные'!$F$2:$F$964,$A16)</f>
        <v>0</v>
      </c>
      <c r="FD16" s="11" t="n">
        <f aca="false">SUMIFS('Исходные данные'!$J$2:$J$964,'Исходные данные'!$D$2:$D$964,FC$1,'Исходные данные'!$F$2:$F$964,$A16)</f>
        <v>0</v>
      </c>
      <c r="FE16" s="7" t="n">
        <v>0</v>
      </c>
      <c r="FF16" s="7" t="n">
        <v>0</v>
      </c>
      <c r="FG16" s="11" t="n">
        <f aca="false">SUMIFS('Исходные данные'!$I$2:$I$964,'Исходные данные'!$D$2:$D$964,FG$1,'Исходные данные'!$F$2:$F$964,$A16)</f>
        <v>0</v>
      </c>
      <c r="FH16" s="11" t="n">
        <f aca="false">SUMIFS('Исходные данные'!$J$2:$J$964,'Исходные данные'!$D$2:$D$964,FG$1,'Исходные данные'!$F$2:$F$964,$A16)</f>
        <v>0</v>
      </c>
    </row>
    <row r="17" customFormat="false" ht="15" hidden="false" customHeight="false" outlineLevel="0" collapsed="false">
      <c r="A17" s="10" t="s">
        <v>77</v>
      </c>
      <c r="B17" s="11" t="s">
        <v>78</v>
      </c>
      <c r="C17" s="6" t="n">
        <v>6</v>
      </c>
      <c r="D17" s="6" t="n">
        <f aca="false">I17+J17+M17+N17+Q17+R17+U17+V17+Y17+Z17+AC17+AD17+AG17+AH17+AK17+AL17+AO17+AP17+AS17+AT17+AW17+AX17+BA17+BB17+BE17+BF17+BI17+BJ17+BM17+BN17+BQ17+BR17+BU17+BV17+BY17+BZ17+CC17+CD17+CG17+CH17+CK17+CL17+CO17+CP17+CS17+CT17+CW17+CX17+DA17+DB17+DE17+DF17+DI17+DJ17+DM17+DN17+DQ17+DR17+DU17+DV17+DY17+DZ17+EC17+ED17+EG17+EH17+EK17+EL17+EO17+EP17+ES17+ET17+EW17+EX17+FA17+FB17+FE17+FF17</f>
        <v>6</v>
      </c>
      <c r="E17" s="6" t="n">
        <f aca="false">G17+H17</f>
        <v>6</v>
      </c>
      <c r="F17" s="6" t="n">
        <f aca="false">E17-C17</f>
        <v>0</v>
      </c>
      <c r="G17" s="6" t="n">
        <f aca="false">K17+O17+S17+W17+AA17+AE17+AI17+AM17+AQ17+AU17+AY17+BC17+BG17+BK17+BO17+BS17+BW17+CA17+CE17+CI17+CM17+CQ17+CU17+CY17+DC17+DG17+DK17+DO17+DS17+DW17+EA17+EE17+EI17+EM17+EQ17+EU17+EY17+FC17+FG17</f>
        <v>3</v>
      </c>
      <c r="H17" s="6" t="n">
        <f aca="false">L17+P17+T17+X17+AB17+AF17+AJ17+AN17+AR17+AV17+AZ17+BD17+BH17+BL17+BP17+BT17+BX17+CB17+CF17+CJ17+CN17+CR17+CV17+CZ17+DD17+DH17+DL17+DP17+DT17+DX17+EB17+EF17+EJ17+EN17+ER17+EV17+EZ17+FD17+FH17</f>
        <v>3</v>
      </c>
      <c r="I17" s="7" t="n">
        <v>0</v>
      </c>
      <c r="J17" s="7" t="n">
        <v>0</v>
      </c>
      <c r="K17" s="11" t="n">
        <f aca="false">SUMIFS('Исходные данные'!$I$2:$I$964,'Исходные данные'!$D$2:$D$964,K$1,'Исходные данные'!$F$2:$F$964,$A17)</f>
        <v>0</v>
      </c>
      <c r="L17" s="11" t="n">
        <f aca="false">SUMIFS('Исходные данные'!$J$2:$J$964,'Исходные данные'!$D$2:$D$964,K$1,'Исходные данные'!$F$2:$F$964,$A17)</f>
        <v>0</v>
      </c>
      <c r="M17" s="7" t="n">
        <v>0</v>
      </c>
      <c r="N17" s="7" t="n">
        <v>0</v>
      </c>
      <c r="O17" s="11" t="n">
        <f aca="false">SUMIFS('Исходные данные'!$I$2:$I$964,'Исходные данные'!$D$2:$D$964,O$1,'Исходные данные'!$F$2:$F$964,$A17)</f>
        <v>0</v>
      </c>
      <c r="P17" s="11" t="n">
        <f aca="false">SUMIFS('Исходные данные'!$J$2:$J$964,'Исходные данные'!$D$2:$D$964,O$1,'Исходные данные'!$F$2:$F$964,$A17)</f>
        <v>0</v>
      </c>
      <c r="Q17" s="7" t="n">
        <v>0</v>
      </c>
      <c r="R17" s="7" t="n">
        <v>0</v>
      </c>
      <c r="S17" s="11" t="n">
        <f aca="false">SUMIFS('Исходные данные'!$I$2:$I$964,'Исходные данные'!$D$2:$D$964,S$1,'Исходные данные'!$F$2:$F$964,$A17)</f>
        <v>0</v>
      </c>
      <c r="T17" s="11" t="n">
        <f aca="false">SUMIFS('Исходные данные'!$J$2:$J$964,'Исходные данные'!$D$2:$D$964,S$1,'Исходные данные'!$F$2:$F$964,$A17)</f>
        <v>0</v>
      </c>
      <c r="U17" s="7" t="n">
        <v>0</v>
      </c>
      <c r="V17" s="7" t="n">
        <v>0</v>
      </c>
      <c r="W17" s="11" t="n">
        <f aca="false">SUMIFS('Исходные данные'!$I$2:$I$964,'Исходные данные'!$D$2:$D$964,W$1,'Исходные данные'!$F$2:$F$964,$A17)</f>
        <v>0</v>
      </c>
      <c r="X17" s="11" t="n">
        <f aca="false">SUMIFS('Исходные данные'!$J$2:$J$964,'Исходные данные'!$D$2:$D$964,W$1,'Исходные данные'!$F$2:$F$964,$A17)</f>
        <v>0</v>
      </c>
      <c r="Y17" s="7" t="n">
        <v>0</v>
      </c>
      <c r="Z17" s="7" t="n">
        <v>0</v>
      </c>
      <c r="AA17" s="11" t="n">
        <f aca="false">SUMIFS('Исходные данные'!$I$2:$I$964,'Исходные данные'!$D$2:$D$964,AA$1,'Исходные данные'!$F$2:$F$964,$A17)</f>
        <v>0</v>
      </c>
      <c r="AB17" s="11" t="n">
        <f aca="false">SUMIFS('Исходные данные'!$J$2:$J$964,'Исходные данные'!$D$2:$D$964,AA$1,'Исходные данные'!$F$2:$F$964,$A17)</f>
        <v>0</v>
      </c>
      <c r="AC17" s="7" t="n">
        <v>0</v>
      </c>
      <c r="AD17" s="7" t="n">
        <v>0</v>
      </c>
      <c r="AE17" s="11" t="n">
        <f aca="false">SUMIFS('Исходные данные'!$I$2:$I$964,'Исходные данные'!$D$2:$D$964,AE$1,'Исходные данные'!$F$2:$F$964,$A17)</f>
        <v>0</v>
      </c>
      <c r="AF17" s="11" t="n">
        <f aca="false">SUMIFS('Исходные данные'!$J$2:$J$964,'Исходные данные'!$D$2:$D$964,AE$1,'Исходные данные'!$F$2:$F$964,$A17)</f>
        <v>0</v>
      </c>
      <c r="AG17" s="7" t="n">
        <v>0</v>
      </c>
      <c r="AH17" s="7" t="n">
        <v>0</v>
      </c>
      <c r="AI17" s="11" t="n">
        <f aca="false">SUMIFS('Исходные данные'!$I$2:$I$964,'Исходные данные'!$D$2:$D$964,AI$1,'Исходные данные'!$F$2:$F$964,$A17)</f>
        <v>0</v>
      </c>
      <c r="AJ17" s="11" t="n">
        <f aca="false">SUMIFS('Исходные данные'!$J$2:$J$964,'Исходные данные'!$D$2:$D$964,AI$1,'Исходные данные'!$F$2:$F$964,$A17)</f>
        <v>0</v>
      </c>
      <c r="AK17" s="7" t="n">
        <v>0</v>
      </c>
      <c r="AL17" s="7" t="n">
        <v>0</v>
      </c>
      <c r="AM17" s="11" t="n">
        <f aca="false">SUMIFS('Исходные данные'!$I$2:$I$964,'Исходные данные'!$D$2:$D$964,AM$1,'Исходные данные'!$F$2:$F$964,$A17)</f>
        <v>0</v>
      </c>
      <c r="AN17" s="11" t="n">
        <f aca="false">SUMIFS('Исходные данные'!$J$2:$J$964,'Исходные данные'!$D$2:$D$964,AM$1,'Исходные данные'!$F$2:$F$964,$A17)</f>
        <v>0</v>
      </c>
      <c r="AO17" s="7" t="n">
        <v>0</v>
      </c>
      <c r="AP17" s="7" t="n">
        <v>0</v>
      </c>
      <c r="AQ17" s="11" t="n">
        <f aca="false">SUMIFS('Исходные данные'!$I$2:$I$964,'Исходные данные'!$D$2:$D$964,AQ$1,'Исходные данные'!$F$2:$F$964,$A17)</f>
        <v>0</v>
      </c>
      <c r="AR17" s="11" t="n">
        <f aca="false">SUMIFS('Исходные данные'!$J$2:$J$964,'Исходные данные'!$D$2:$D$964,AQ$1,'Исходные данные'!$F$2:$F$964,$A17)</f>
        <v>0</v>
      </c>
      <c r="AS17" s="7" t="n">
        <v>0</v>
      </c>
      <c r="AT17" s="7" t="n">
        <v>0</v>
      </c>
      <c r="AU17" s="11" t="n">
        <f aca="false">SUMIFS('Исходные данные'!$I$2:$I$964,'Исходные данные'!$D$2:$D$964,AU$1,'Исходные данные'!$F$2:$F$964,$A17)</f>
        <v>0</v>
      </c>
      <c r="AV17" s="11" t="n">
        <f aca="false">SUMIFS('Исходные данные'!$J$2:$J$964,'Исходные данные'!$D$2:$D$964,AU$1,'Исходные данные'!$F$2:$F$964,$A17)</f>
        <v>0</v>
      </c>
      <c r="AW17" s="7" t="n">
        <v>0</v>
      </c>
      <c r="AX17" s="7" t="n">
        <v>0</v>
      </c>
      <c r="AY17" s="11" t="n">
        <f aca="false">SUMIFS('Исходные данные'!$I$2:$I$964,'Исходные данные'!$D$2:$D$964,AY$1,'Исходные данные'!$F$2:$F$964,$A17)</f>
        <v>0</v>
      </c>
      <c r="AZ17" s="11" t="n">
        <f aca="false">SUMIFS('Исходные данные'!$J$2:$J$964,'Исходные данные'!$D$2:$D$964,AY$1,'Исходные данные'!$F$2:$F$964,$A17)</f>
        <v>0</v>
      </c>
      <c r="BA17" s="7" t="n">
        <v>0</v>
      </c>
      <c r="BB17" s="7" t="n">
        <v>0</v>
      </c>
      <c r="BC17" s="11" t="n">
        <f aca="false">SUMIFS('Исходные данные'!$I$2:$I$964,'Исходные данные'!$D$2:$D$964,BC$1,'Исходные данные'!$F$2:$F$964,$A17)</f>
        <v>0</v>
      </c>
      <c r="BD17" s="11" t="n">
        <f aca="false">SUMIFS('Исходные данные'!$J$2:$J$964,'Исходные данные'!$D$2:$D$964,BC$1,'Исходные данные'!$F$2:$F$964,$A17)</f>
        <v>0</v>
      </c>
      <c r="BE17" s="7" t="n">
        <v>0</v>
      </c>
      <c r="BF17" s="7" t="n">
        <v>0</v>
      </c>
      <c r="BG17" s="11" t="n">
        <f aca="false">SUMIFS('Исходные данные'!$I$2:$I$964,'Исходные данные'!$D$2:$D$964,BG$1,'Исходные данные'!$F$2:$F$964,$A17)</f>
        <v>0</v>
      </c>
      <c r="BH17" s="11" t="n">
        <f aca="false">SUMIFS('Исходные данные'!$J$2:$J$964,'Исходные данные'!$D$2:$D$964,BG$1,'Исходные данные'!$F$2:$F$964,$A17)</f>
        <v>0</v>
      </c>
      <c r="BI17" s="7" t="n">
        <v>0</v>
      </c>
      <c r="BJ17" s="7" t="n">
        <v>0</v>
      </c>
      <c r="BK17" s="11" t="n">
        <f aca="false">SUMIFS('Исходные данные'!$I$2:$I$964,'Исходные данные'!$D$2:$D$964,BK$1,'Исходные данные'!$F$2:$F$964,$A17)</f>
        <v>0</v>
      </c>
      <c r="BL17" s="11" t="n">
        <f aca="false">SUMIFS('Исходные данные'!$J$2:$J$964,'Исходные данные'!$D$2:$D$964,BK$1,'Исходные данные'!$F$2:$F$964,$A17)</f>
        <v>0</v>
      </c>
      <c r="BM17" s="7" t="n">
        <v>0</v>
      </c>
      <c r="BN17" s="7" t="n">
        <v>0</v>
      </c>
      <c r="BO17" s="11" t="n">
        <f aca="false">SUMIFS('Исходные данные'!$I$2:$I$964,'Исходные данные'!$D$2:$D$964,BO$1,'Исходные данные'!$F$2:$F$964,$A17)</f>
        <v>0</v>
      </c>
      <c r="BP17" s="11" t="n">
        <f aca="false">SUMIFS('Исходные данные'!$J$2:$J$964,'Исходные данные'!$D$2:$D$964,BO$1,'Исходные данные'!$F$2:$F$964,$A17)</f>
        <v>0</v>
      </c>
      <c r="BQ17" s="7" t="n">
        <v>0</v>
      </c>
      <c r="BR17" s="7" t="n">
        <v>0</v>
      </c>
      <c r="BS17" s="11" t="n">
        <f aca="false">SUMIFS('Исходные данные'!$I$2:$I$964,'Исходные данные'!$D$2:$D$964,BS$1,'Исходные данные'!$F$2:$F$964,$A17)</f>
        <v>0</v>
      </c>
      <c r="BT17" s="11" t="n">
        <f aca="false">SUMIFS('Исходные данные'!$J$2:$J$964,'Исходные данные'!$D$2:$D$964,BS$1,'Исходные данные'!$F$2:$F$964,$A17)</f>
        <v>0</v>
      </c>
      <c r="BU17" s="7" t="n">
        <v>0</v>
      </c>
      <c r="BV17" s="7" t="n">
        <v>0</v>
      </c>
      <c r="BW17" s="11" t="n">
        <f aca="false">SUMIFS('Исходные данные'!$I$2:$I$964,'Исходные данные'!$D$2:$D$964,BW$1,'Исходные данные'!$F$2:$F$964,$A17)</f>
        <v>0</v>
      </c>
      <c r="BX17" s="11" t="n">
        <f aca="false">SUMIFS('Исходные данные'!$J$2:$J$964,'Исходные данные'!$D$2:$D$964,BW$1,'Исходные данные'!$F$2:$F$964,$A17)</f>
        <v>0</v>
      </c>
      <c r="BY17" s="7" t="n">
        <v>0</v>
      </c>
      <c r="BZ17" s="7" t="n">
        <v>0</v>
      </c>
      <c r="CA17" s="11" t="n">
        <f aca="false">SUMIFS('Исходные данные'!$I$2:$I$964,'Исходные данные'!$D$2:$D$964,CA$1,'Исходные данные'!$F$2:$F$964,$A17)</f>
        <v>0</v>
      </c>
      <c r="CB17" s="11" t="n">
        <f aca="false">SUMIFS('Исходные данные'!$J$2:$J$964,'Исходные данные'!$D$2:$D$964,CA$1,'Исходные данные'!$F$2:$F$964,$A17)</f>
        <v>0</v>
      </c>
      <c r="CC17" s="7" t="n">
        <v>0</v>
      </c>
      <c r="CD17" s="7" t="n">
        <v>0</v>
      </c>
      <c r="CE17" s="11" t="n">
        <f aca="false">SUMIFS('Исходные данные'!$I$2:$I$964,'Исходные данные'!$D$2:$D$964,CE$1,'Исходные данные'!$F$2:$F$964,$A17)</f>
        <v>0</v>
      </c>
      <c r="CF17" s="11" t="n">
        <f aca="false">SUMIFS('Исходные данные'!$J$2:$J$964,'Исходные данные'!$D$2:$D$964,CE$1,'Исходные данные'!$F$2:$F$964,$A17)</f>
        <v>0</v>
      </c>
      <c r="CG17" s="7" t="n">
        <v>0</v>
      </c>
      <c r="CH17" s="7" t="n">
        <v>0</v>
      </c>
      <c r="CI17" s="11" t="n">
        <f aca="false">SUMIFS('Исходные данные'!$I$2:$I$964,'Исходные данные'!$D$2:$D$964,CI$1,'Исходные данные'!$F$2:$F$964,$A17)</f>
        <v>0</v>
      </c>
      <c r="CJ17" s="11" t="n">
        <f aca="false">SUMIFS('Исходные данные'!$J$2:$J$964,'Исходные данные'!$D$2:$D$964,CI$1,'Исходные данные'!$F$2:$F$964,$A17)</f>
        <v>0</v>
      </c>
      <c r="CK17" s="7" t="n">
        <v>0</v>
      </c>
      <c r="CL17" s="7" t="n">
        <v>0</v>
      </c>
      <c r="CM17" s="11" t="n">
        <f aca="false">SUMIFS('Исходные данные'!$I$2:$I$964,'Исходные данные'!$D$2:$D$964,CM$1,'Исходные данные'!$F$2:$F$964,$A17)</f>
        <v>0</v>
      </c>
      <c r="CN17" s="11" t="n">
        <f aca="false">SUMIFS('Исходные данные'!$J$2:$J$964,'Исходные данные'!$D$2:$D$964,CM$1,'Исходные данные'!$F$2:$F$964,$A17)</f>
        <v>0</v>
      </c>
      <c r="CO17" s="7" t="n">
        <v>0</v>
      </c>
      <c r="CP17" s="7" t="n">
        <v>0</v>
      </c>
      <c r="CQ17" s="11" t="n">
        <f aca="false">SUMIFS('Исходные данные'!$I$2:$I$964,'Исходные данные'!$D$2:$D$964,CQ$1,'Исходные данные'!$F$2:$F$964,$A17)</f>
        <v>0</v>
      </c>
      <c r="CR17" s="11" t="n">
        <f aca="false">SUMIFS('Исходные данные'!$J$2:$J$964,'Исходные данные'!$D$2:$D$964,CQ$1,'Исходные данные'!$F$2:$F$964,$A17)</f>
        <v>0</v>
      </c>
      <c r="CS17" s="7" t="n">
        <v>0</v>
      </c>
      <c r="CT17" s="7" t="n">
        <v>0</v>
      </c>
      <c r="CU17" s="11" t="n">
        <f aca="false">SUMIFS('Исходные данные'!$I$2:$I$964,'Исходные данные'!$D$2:$D$964,CU$1,'Исходные данные'!$F$2:$F$964,$A17)</f>
        <v>0</v>
      </c>
      <c r="CV17" s="11" t="n">
        <f aca="false">SUMIFS('Исходные данные'!$J$2:$J$964,'Исходные данные'!$D$2:$D$964,CU$1,'Исходные данные'!$F$2:$F$964,$A17)</f>
        <v>0</v>
      </c>
      <c r="CW17" s="7" t="n">
        <v>0</v>
      </c>
      <c r="CX17" s="7" t="n">
        <v>0</v>
      </c>
      <c r="CY17" s="11" t="n">
        <f aca="false">SUMIFS('Исходные данные'!$I$2:$I$964,'Исходные данные'!$D$2:$D$964,CY$1,'Исходные данные'!$F$2:$F$964,$A17)</f>
        <v>0</v>
      </c>
      <c r="CZ17" s="11" t="n">
        <f aca="false">SUMIFS('Исходные данные'!$J$2:$J$964,'Исходные данные'!$D$2:$D$964,CY$1,'Исходные данные'!$F$2:$F$964,$A17)</f>
        <v>0</v>
      </c>
      <c r="DA17" s="7" t="n">
        <v>0</v>
      </c>
      <c r="DB17" s="7" t="n">
        <v>0</v>
      </c>
      <c r="DC17" s="11" t="n">
        <f aca="false">SUMIFS('Исходные данные'!$I$2:$I$964,'Исходные данные'!$D$2:$D$964,DC$1,'Исходные данные'!$F$2:$F$964,$A17)</f>
        <v>0</v>
      </c>
      <c r="DD17" s="11" t="n">
        <f aca="false">SUMIFS('Исходные данные'!$J$2:$J$964,'Исходные данные'!$D$2:$D$964,DC$1,'Исходные данные'!$F$2:$F$964,$A17)</f>
        <v>0</v>
      </c>
      <c r="DE17" s="7" t="n">
        <v>0</v>
      </c>
      <c r="DF17" s="7" t="n">
        <v>0</v>
      </c>
      <c r="DG17" s="11" t="n">
        <f aca="false">SUMIFS('Исходные данные'!$I$2:$I$964,'Исходные данные'!$D$2:$D$964,DG$1,'Исходные данные'!$F$2:$F$964,$A17)</f>
        <v>0</v>
      </c>
      <c r="DH17" s="11" t="n">
        <f aca="false">SUMIFS('Исходные данные'!$J$2:$J$964,'Исходные данные'!$D$2:$D$964,DG$1,'Исходные данные'!$F$2:$F$964,$A17)</f>
        <v>0</v>
      </c>
      <c r="DI17" s="7" t="n">
        <v>0</v>
      </c>
      <c r="DJ17" s="7" t="n">
        <v>0</v>
      </c>
      <c r="DK17" s="11" t="n">
        <f aca="false">SUMIFS('Исходные данные'!$I$2:$I$964,'Исходные данные'!$D$2:$D$964,DK$1,'Исходные данные'!$F$2:$F$964,$A17)</f>
        <v>0</v>
      </c>
      <c r="DL17" s="11" t="n">
        <f aca="false">SUMIFS('Исходные данные'!$J$2:$J$964,'Исходные данные'!$D$2:$D$964,DK$1,'Исходные данные'!$F$2:$F$964,$A17)</f>
        <v>0</v>
      </c>
      <c r="DM17" s="7" t="n">
        <v>0</v>
      </c>
      <c r="DN17" s="7" t="n">
        <v>0</v>
      </c>
      <c r="DO17" s="11" t="n">
        <f aca="false">SUMIFS('Исходные данные'!$I$2:$I$964,'Исходные данные'!$D$2:$D$964,DO$1,'Исходные данные'!$F$2:$F$964,$A17)</f>
        <v>0</v>
      </c>
      <c r="DP17" s="11" t="n">
        <f aca="false">SUMIFS('Исходные данные'!$J$2:$J$964,'Исходные данные'!$D$2:$D$964,DO$1,'Исходные данные'!$F$2:$F$964,$A17)</f>
        <v>0</v>
      </c>
      <c r="DQ17" s="7" t="n">
        <v>0</v>
      </c>
      <c r="DR17" s="7" t="n">
        <v>0</v>
      </c>
      <c r="DS17" s="11" t="n">
        <f aca="false">SUMIFS('Исходные данные'!$I$2:$I$964,'Исходные данные'!$D$2:$D$964,DS$1,'Исходные данные'!$F$2:$F$964,$A17)</f>
        <v>0</v>
      </c>
      <c r="DT17" s="11" t="n">
        <f aca="false">SUMIFS('Исходные данные'!$J$2:$J$964,'Исходные данные'!$D$2:$D$964,DS$1,'Исходные данные'!$F$2:$F$964,$A17)</f>
        <v>0</v>
      </c>
      <c r="DU17" s="7" t="n">
        <v>0</v>
      </c>
      <c r="DV17" s="7" t="n">
        <v>0</v>
      </c>
      <c r="DW17" s="11" t="n">
        <f aca="false">SUMIFS('Исходные данные'!$I$2:$I$964,'Исходные данные'!$D$2:$D$964,DW$1,'Исходные данные'!$F$2:$F$964,$A17)</f>
        <v>0</v>
      </c>
      <c r="DX17" s="11" t="n">
        <f aca="false">SUMIFS('Исходные данные'!$J$2:$J$964,'Исходные данные'!$D$2:$D$964,DW$1,'Исходные данные'!$F$2:$F$964,$A17)</f>
        <v>0</v>
      </c>
      <c r="DY17" s="7" t="n">
        <v>0</v>
      </c>
      <c r="DZ17" s="7" t="n">
        <v>0</v>
      </c>
      <c r="EA17" s="11" t="n">
        <f aca="false">SUMIFS('Исходные данные'!$I$2:$I$964,'Исходные данные'!$D$2:$D$964,EA$1,'Исходные данные'!$F$2:$F$964,$A17)</f>
        <v>0</v>
      </c>
      <c r="EB17" s="11" t="n">
        <f aca="false">SUMIFS('Исходные данные'!$J$2:$J$964,'Исходные данные'!$D$2:$D$964,EA$1,'Исходные данные'!$F$2:$F$964,$A17)</f>
        <v>0</v>
      </c>
      <c r="EC17" s="7" t="n">
        <v>0</v>
      </c>
      <c r="ED17" s="7" t="n">
        <v>0</v>
      </c>
      <c r="EE17" s="11" t="n">
        <f aca="false">SUMIFS('Исходные данные'!$I$2:$I$964,'Исходные данные'!$D$2:$D$964,EE$1,'Исходные данные'!$F$2:$F$964,$A17)</f>
        <v>0</v>
      </c>
      <c r="EF17" s="11" t="n">
        <f aca="false">SUMIFS('Исходные данные'!$J$2:$J$964,'Исходные данные'!$D$2:$D$964,EE$1,'Исходные данные'!$F$2:$F$964,$A17)</f>
        <v>0</v>
      </c>
      <c r="EG17" s="7" t="n">
        <v>0</v>
      </c>
      <c r="EH17" s="7" t="n">
        <v>0</v>
      </c>
      <c r="EI17" s="11" t="n">
        <f aca="false">SUMIFS('Исходные данные'!$I$2:$I$964,'Исходные данные'!$D$2:$D$964,EI$1,'Исходные данные'!$F$2:$F$964,$A17)</f>
        <v>0</v>
      </c>
      <c r="EJ17" s="11" t="n">
        <f aca="false">SUMIFS('Исходные данные'!$J$2:$J$964,'Исходные данные'!$D$2:$D$964,EI$1,'Исходные данные'!$F$2:$F$964,$A17)</f>
        <v>0</v>
      </c>
      <c r="EK17" s="7" t="n">
        <v>0</v>
      </c>
      <c r="EL17" s="7" t="n">
        <v>0</v>
      </c>
      <c r="EM17" s="11" t="n">
        <f aca="false">SUMIFS('Исходные данные'!$I$2:$I$964,'Исходные данные'!$D$2:$D$964,EM$1,'Исходные данные'!$F$2:$F$964,$A17)</f>
        <v>0</v>
      </c>
      <c r="EN17" s="11" t="n">
        <f aca="false">SUMIFS('Исходные данные'!$J$2:$J$964,'Исходные данные'!$D$2:$D$964,EM$1,'Исходные данные'!$F$2:$F$964,$A17)</f>
        <v>0</v>
      </c>
      <c r="EO17" s="7" t="n">
        <v>0</v>
      </c>
      <c r="EP17" s="7" t="n">
        <v>0</v>
      </c>
      <c r="EQ17" s="11" t="n">
        <f aca="false">SUMIFS('Исходные данные'!$I$2:$I$964,'Исходные данные'!$D$2:$D$964,EQ$1,'Исходные данные'!$F$2:$F$964,$A17)</f>
        <v>0</v>
      </c>
      <c r="ER17" s="11" t="n">
        <f aca="false">SUMIFS('Исходные данные'!$J$2:$J$964,'Исходные данные'!$D$2:$D$964,EQ$1,'Исходные данные'!$F$2:$F$964,$A17)</f>
        <v>0</v>
      </c>
      <c r="ES17" s="7" t="n">
        <v>0</v>
      </c>
      <c r="ET17" s="7" t="n">
        <v>0</v>
      </c>
      <c r="EU17" s="11" t="n">
        <f aca="false">SUMIFS('Исходные данные'!$I$2:$I$964,'Исходные данные'!$D$2:$D$964,EU$1,'Исходные данные'!$F$2:$F$964,$A17)</f>
        <v>0</v>
      </c>
      <c r="EV17" s="11" t="n">
        <f aca="false">SUMIFS('Исходные данные'!$J$2:$J$964,'Исходные данные'!$D$2:$D$964,EU$1,'Исходные данные'!$F$2:$F$964,$A17)</f>
        <v>0</v>
      </c>
      <c r="EW17" s="7" t="n">
        <v>0</v>
      </c>
      <c r="EX17" s="7" t="n">
        <v>0</v>
      </c>
      <c r="EY17" s="11" t="n">
        <f aca="false">SUMIFS('Исходные данные'!$I$2:$I$964,'Исходные данные'!$D$2:$D$964,EY$1,'Исходные данные'!$F$2:$F$964,$A17)</f>
        <v>0</v>
      </c>
      <c r="EZ17" s="11" t="n">
        <f aca="false">SUMIFS('Исходные данные'!$J$2:$J$964,'Исходные данные'!$D$2:$D$964,EY$1,'Исходные данные'!$F$2:$F$964,$A17)</f>
        <v>0</v>
      </c>
      <c r="FA17" s="7" t="n">
        <v>0</v>
      </c>
      <c r="FB17" s="7" t="n">
        <v>0</v>
      </c>
      <c r="FC17" s="11" t="n">
        <f aca="false">SUMIFS('Исходные данные'!$I$2:$I$964,'Исходные данные'!$D$2:$D$964,FC$1,'Исходные данные'!$F$2:$F$964,$A17)</f>
        <v>0</v>
      </c>
      <c r="FD17" s="11" t="n">
        <f aca="false">SUMIFS('Исходные данные'!$J$2:$J$964,'Исходные данные'!$D$2:$D$964,FC$1,'Исходные данные'!$F$2:$F$964,$A17)</f>
        <v>0</v>
      </c>
      <c r="FE17" s="7" t="n">
        <v>3</v>
      </c>
      <c r="FF17" s="7" t="n">
        <v>3</v>
      </c>
      <c r="FG17" s="11" t="n">
        <f aca="false">SUMIFS('Исходные данные'!$I$2:$I$964,'Исходные данные'!$D$2:$D$964,FG$1,'Исходные данные'!$F$2:$F$964,$A17)</f>
        <v>3</v>
      </c>
      <c r="FH17" s="11" t="n">
        <f aca="false">SUMIFS('Исходные данные'!$J$2:$J$964,'Исходные данные'!$D$2:$D$964,FG$1,'Исходные данные'!$F$2:$F$964,$A17)</f>
        <v>3</v>
      </c>
    </row>
    <row r="18" customFormat="false" ht="15" hidden="false" customHeight="false" outlineLevel="0" collapsed="false">
      <c r="A18" s="10" t="s">
        <v>79</v>
      </c>
      <c r="B18" s="11" t="s">
        <v>80</v>
      </c>
      <c r="C18" s="6" t="n">
        <v>7</v>
      </c>
      <c r="D18" s="6" t="n">
        <f aca="false">I18+J18+M18+N18+Q18+R18+U18+V18+Y18+Z18+AC18+AD18+AG18+AH18+AK18+AL18+AO18+AP18+AS18+AT18+AW18+AX18+BA18+BB18+BE18+BF18+BI18+BJ18+BM18+BN18+BQ18+BR18+BU18+BV18+BY18+BZ18+CC18+CD18+CG18+CH18+CK18+CL18+CO18+CP18+CS18+CT18+CW18+CX18+DA18+DB18+DE18+DF18+DI18+DJ18+DM18+DN18+DQ18+DR18+DU18+DV18+DY18+DZ18+EC18+ED18+EG18+EH18+EK18+EL18+EO18+EP18+ES18+ET18+EW18+EX18+FA18+FB18+FE18+FF18</f>
        <v>7</v>
      </c>
      <c r="E18" s="6" t="n">
        <f aca="false">G18+H18</f>
        <v>7</v>
      </c>
      <c r="F18" s="6" t="n">
        <f aca="false">E18-C18</f>
        <v>0</v>
      </c>
      <c r="G18" s="6" t="n">
        <f aca="false">K18+O18+S18+W18+AA18+AE18+AI18+AM18+AQ18+AU18+AY18+BC18+BG18+BK18+BO18+BS18+BW18+CA18+CE18+CI18+CM18+CQ18+CU18+CY18+DC18+DG18+DK18+DO18+DS18+DW18+EA18+EE18+EI18+EM18+EQ18+EU18+EY18+FC18+FG18</f>
        <v>4</v>
      </c>
      <c r="H18" s="6" t="n">
        <f aca="false">L18+P18+T18+X18+AB18+AF18+AJ18+AN18+AR18+AV18+AZ18+BD18+BH18+BL18+BP18+BT18+BX18+CB18+CF18+CJ18+CN18+CR18+CV18+CZ18+DD18+DH18+DL18+DP18+DT18+DX18+EB18+EF18+EJ18+EN18+ER18+EV18+EZ18+FD18+FH18</f>
        <v>3</v>
      </c>
      <c r="I18" s="7" t="n">
        <v>0</v>
      </c>
      <c r="J18" s="7" t="n">
        <v>0</v>
      </c>
      <c r="K18" s="11" t="n">
        <f aca="false">SUMIFS('Исходные данные'!$I$2:$I$964,'Исходные данные'!$D$2:$D$964,K$1,'Исходные данные'!$F$2:$F$964,$A18)</f>
        <v>0</v>
      </c>
      <c r="L18" s="11" t="n">
        <f aca="false">SUMIFS('Исходные данные'!$J$2:$J$964,'Исходные данные'!$D$2:$D$964,K$1,'Исходные данные'!$F$2:$F$964,$A18)</f>
        <v>0</v>
      </c>
      <c r="M18" s="7" t="n">
        <v>0</v>
      </c>
      <c r="N18" s="7" t="n">
        <v>0</v>
      </c>
      <c r="O18" s="11" t="n">
        <f aca="false">SUMIFS('Исходные данные'!$I$2:$I$964,'Исходные данные'!$D$2:$D$964,O$1,'Исходные данные'!$F$2:$F$964,$A18)</f>
        <v>0</v>
      </c>
      <c r="P18" s="11" t="n">
        <f aca="false">SUMIFS('Исходные данные'!$J$2:$J$964,'Исходные данные'!$D$2:$D$964,O$1,'Исходные данные'!$F$2:$F$964,$A18)</f>
        <v>0</v>
      </c>
      <c r="Q18" s="7" t="n">
        <v>0</v>
      </c>
      <c r="R18" s="7" t="n">
        <v>0</v>
      </c>
      <c r="S18" s="11" t="n">
        <f aca="false">SUMIFS('Исходные данные'!$I$2:$I$964,'Исходные данные'!$D$2:$D$964,S$1,'Исходные данные'!$F$2:$F$964,$A18)</f>
        <v>0</v>
      </c>
      <c r="T18" s="11" t="n">
        <f aca="false">SUMIFS('Исходные данные'!$J$2:$J$964,'Исходные данные'!$D$2:$D$964,S$1,'Исходные данные'!$F$2:$F$964,$A18)</f>
        <v>0</v>
      </c>
      <c r="U18" s="7" t="n">
        <v>0</v>
      </c>
      <c r="V18" s="7" t="n">
        <v>0</v>
      </c>
      <c r="W18" s="11" t="n">
        <f aca="false">SUMIFS('Исходные данные'!$I$2:$I$964,'Исходные данные'!$D$2:$D$964,W$1,'Исходные данные'!$F$2:$F$964,$A18)</f>
        <v>0</v>
      </c>
      <c r="X18" s="11" t="n">
        <f aca="false">SUMIFS('Исходные данные'!$J$2:$J$964,'Исходные данные'!$D$2:$D$964,W$1,'Исходные данные'!$F$2:$F$964,$A18)</f>
        <v>0</v>
      </c>
      <c r="Y18" s="7" t="n">
        <v>0</v>
      </c>
      <c r="Z18" s="7" t="n">
        <v>0</v>
      </c>
      <c r="AA18" s="11" t="n">
        <f aca="false">SUMIFS('Исходные данные'!$I$2:$I$964,'Исходные данные'!$D$2:$D$964,AA$1,'Исходные данные'!$F$2:$F$964,$A18)</f>
        <v>0</v>
      </c>
      <c r="AB18" s="11" t="n">
        <f aca="false">SUMIFS('Исходные данные'!$J$2:$J$964,'Исходные данные'!$D$2:$D$964,AA$1,'Исходные данные'!$F$2:$F$964,$A18)</f>
        <v>0</v>
      </c>
      <c r="AC18" s="7" t="n">
        <v>0</v>
      </c>
      <c r="AD18" s="7" t="n">
        <v>0</v>
      </c>
      <c r="AE18" s="11" t="n">
        <f aca="false">SUMIFS('Исходные данные'!$I$2:$I$964,'Исходные данные'!$D$2:$D$964,AE$1,'Исходные данные'!$F$2:$F$964,$A18)</f>
        <v>0</v>
      </c>
      <c r="AF18" s="11" t="n">
        <f aca="false">SUMIFS('Исходные данные'!$J$2:$J$964,'Исходные данные'!$D$2:$D$964,AE$1,'Исходные данные'!$F$2:$F$964,$A18)</f>
        <v>0</v>
      </c>
      <c r="AG18" s="7" t="n">
        <v>0</v>
      </c>
      <c r="AH18" s="7" t="n">
        <v>0</v>
      </c>
      <c r="AI18" s="11" t="n">
        <f aca="false">SUMIFS('Исходные данные'!$I$2:$I$964,'Исходные данные'!$D$2:$D$964,AI$1,'Исходные данные'!$F$2:$F$964,$A18)</f>
        <v>0</v>
      </c>
      <c r="AJ18" s="11" t="n">
        <f aca="false">SUMIFS('Исходные данные'!$J$2:$J$964,'Исходные данные'!$D$2:$D$964,AI$1,'Исходные данные'!$F$2:$F$964,$A18)</f>
        <v>0</v>
      </c>
      <c r="AK18" s="7" t="n">
        <v>0</v>
      </c>
      <c r="AL18" s="7" t="n">
        <v>0</v>
      </c>
      <c r="AM18" s="11" t="n">
        <f aca="false">SUMIFS('Исходные данные'!$I$2:$I$964,'Исходные данные'!$D$2:$D$964,AM$1,'Исходные данные'!$F$2:$F$964,$A18)</f>
        <v>0</v>
      </c>
      <c r="AN18" s="11" t="n">
        <f aca="false">SUMIFS('Исходные данные'!$J$2:$J$964,'Исходные данные'!$D$2:$D$964,AM$1,'Исходные данные'!$F$2:$F$964,$A18)</f>
        <v>0</v>
      </c>
      <c r="AO18" s="7" t="n">
        <v>0</v>
      </c>
      <c r="AP18" s="7" t="n">
        <v>0</v>
      </c>
      <c r="AQ18" s="11" t="n">
        <f aca="false">SUMIFS('Исходные данные'!$I$2:$I$964,'Исходные данные'!$D$2:$D$964,AQ$1,'Исходные данные'!$F$2:$F$964,$A18)</f>
        <v>0</v>
      </c>
      <c r="AR18" s="11" t="n">
        <f aca="false">SUMIFS('Исходные данные'!$J$2:$J$964,'Исходные данные'!$D$2:$D$964,AQ$1,'Исходные данные'!$F$2:$F$964,$A18)</f>
        <v>0</v>
      </c>
      <c r="AS18" s="7" t="n">
        <v>0</v>
      </c>
      <c r="AT18" s="7" t="n">
        <v>0</v>
      </c>
      <c r="AU18" s="11" t="n">
        <f aca="false">SUMIFS('Исходные данные'!$I$2:$I$964,'Исходные данные'!$D$2:$D$964,AU$1,'Исходные данные'!$F$2:$F$964,$A18)</f>
        <v>0</v>
      </c>
      <c r="AV18" s="11" t="n">
        <f aca="false">SUMIFS('Исходные данные'!$J$2:$J$964,'Исходные данные'!$D$2:$D$964,AU$1,'Исходные данные'!$F$2:$F$964,$A18)</f>
        <v>0</v>
      </c>
      <c r="AW18" s="7" t="n">
        <v>0</v>
      </c>
      <c r="AX18" s="7" t="n">
        <v>0</v>
      </c>
      <c r="AY18" s="11" t="n">
        <f aca="false">SUMIFS('Исходные данные'!$I$2:$I$964,'Исходные данные'!$D$2:$D$964,AY$1,'Исходные данные'!$F$2:$F$964,$A18)</f>
        <v>0</v>
      </c>
      <c r="AZ18" s="11" t="n">
        <f aca="false">SUMIFS('Исходные данные'!$J$2:$J$964,'Исходные данные'!$D$2:$D$964,AY$1,'Исходные данные'!$F$2:$F$964,$A18)</f>
        <v>0</v>
      </c>
      <c r="BA18" s="7" t="n">
        <v>0</v>
      </c>
      <c r="BB18" s="7" t="n">
        <v>0</v>
      </c>
      <c r="BC18" s="11" t="n">
        <f aca="false">SUMIFS('Исходные данные'!$I$2:$I$964,'Исходные данные'!$D$2:$D$964,BC$1,'Исходные данные'!$F$2:$F$964,$A18)</f>
        <v>0</v>
      </c>
      <c r="BD18" s="11" t="n">
        <f aca="false">SUMIFS('Исходные данные'!$J$2:$J$964,'Исходные данные'!$D$2:$D$964,BC$1,'Исходные данные'!$F$2:$F$964,$A18)</f>
        <v>0</v>
      </c>
      <c r="BE18" s="7" t="n">
        <v>0</v>
      </c>
      <c r="BF18" s="7" t="n">
        <v>0</v>
      </c>
      <c r="BG18" s="11" t="n">
        <f aca="false">SUMIFS('Исходные данные'!$I$2:$I$964,'Исходные данные'!$D$2:$D$964,BG$1,'Исходные данные'!$F$2:$F$964,$A18)</f>
        <v>0</v>
      </c>
      <c r="BH18" s="11" t="n">
        <f aca="false">SUMIFS('Исходные данные'!$J$2:$J$964,'Исходные данные'!$D$2:$D$964,BG$1,'Исходные данные'!$F$2:$F$964,$A18)</f>
        <v>0</v>
      </c>
      <c r="BI18" s="7" t="n">
        <v>0</v>
      </c>
      <c r="BJ18" s="7" t="n">
        <v>0</v>
      </c>
      <c r="BK18" s="11" t="n">
        <f aca="false">SUMIFS('Исходные данные'!$I$2:$I$964,'Исходные данные'!$D$2:$D$964,BK$1,'Исходные данные'!$F$2:$F$964,$A18)</f>
        <v>0</v>
      </c>
      <c r="BL18" s="11" t="n">
        <f aca="false">SUMIFS('Исходные данные'!$J$2:$J$964,'Исходные данные'!$D$2:$D$964,BK$1,'Исходные данные'!$F$2:$F$964,$A18)</f>
        <v>0</v>
      </c>
      <c r="BM18" s="7" t="n">
        <v>0</v>
      </c>
      <c r="BN18" s="7" t="n">
        <v>0</v>
      </c>
      <c r="BO18" s="11" t="n">
        <f aca="false">SUMIFS('Исходные данные'!$I$2:$I$964,'Исходные данные'!$D$2:$D$964,BO$1,'Исходные данные'!$F$2:$F$964,$A18)</f>
        <v>0</v>
      </c>
      <c r="BP18" s="11" t="n">
        <f aca="false">SUMIFS('Исходные данные'!$J$2:$J$964,'Исходные данные'!$D$2:$D$964,BO$1,'Исходные данные'!$F$2:$F$964,$A18)</f>
        <v>0</v>
      </c>
      <c r="BQ18" s="7" t="n">
        <v>0</v>
      </c>
      <c r="BR18" s="7" t="n">
        <v>0</v>
      </c>
      <c r="BS18" s="11" t="n">
        <f aca="false">SUMIFS('Исходные данные'!$I$2:$I$964,'Исходные данные'!$D$2:$D$964,BS$1,'Исходные данные'!$F$2:$F$964,$A18)</f>
        <v>0</v>
      </c>
      <c r="BT18" s="11" t="n">
        <f aca="false">SUMIFS('Исходные данные'!$J$2:$J$964,'Исходные данные'!$D$2:$D$964,BS$1,'Исходные данные'!$F$2:$F$964,$A18)</f>
        <v>0</v>
      </c>
      <c r="BU18" s="7" t="n">
        <v>0</v>
      </c>
      <c r="BV18" s="7" t="n">
        <v>0</v>
      </c>
      <c r="BW18" s="11" t="n">
        <f aca="false">SUMIFS('Исходные данные'!$I$2:$I$964,'Исходные данные'!$D$2:$D$964,BW$1,'Исходные данные'!$F$2:$F$964,$A18)</f>
        <v>0</v>
      </c>
      <c r="BX18" s="11" t="n">
        <f aca="false">SUMIFS('Исходные данные'!$J$2:$J$964,'Исходные данные'!$D$2:$D$964,BW$1,'Исходные данные'!$F$2:$F$964,$A18)</f>
        <v>0</v>
      </c>
      <c r="BY18" s="7" t="n">
        <v>0</v>
      </c>
      <c r="BZ18" s="7" t="n">
        <v>0</v>
      </c>
      <c r="CA18" s="11" t="n">
        <f aca="false">SUMIFS('Исходные данные'!$I$2:$I$964,'Исходные данные'!$D$2:$D$964,CA$1,'Исходные данные'!$F$2:$F$964,$A18)</f>
        <v>0</v>
      </c>
      <c r="CB18" s="11" t="n">
        <f aca="false">SUMIFS('Исходные данные'!$J$2:$J$964,'Исходные данные'!$D$2:$D$964,CA$1,'Исходные данные'!$F$2:$F$964,$A18)</f>
        <v>0</v>
      </c>
      <c r="CC18" s="7" t="n">
        <v>0</v>
      </c>
      <c r="CD18" s="7" t="n">
        <v>0</v>
      </c>
      <c r="CE18" s="11" t="n">
        <f aca="false">SUMIFS('Исходные данные'!$I$2:$I$964,'Исходные данные'!$D$2:$D$964,CE$1,'Исходные данные'!$F$2:$F$964,$A18)</f>
        <v>0</v>
      </c>
      <c r="CF18" s="11" t="n">
        <f aca="false">SUMIFS('Исходные данные'!$J$2:$J$964,'Исходные данные'!$D$2:$D$964,CE$1,'Исходные данные'!$F$2:$F$964,$A18)</f>
        <v>0</v>
      </c>
      <c r="CG18" s="7" t="n">
        <v>0</v>
      </c>
      <c r="CH18" s="7" t="n">
        <v>0</v>
      </c>
      <c r="CI18" s="11" t="n">
        <f aca="false">SUMIFS('Исходные данные'!$I$2:$I$964,'Исходные данные'!$D$2:$D$964,CI$1,'Исходные данные'!$F$2:$F$964,$A18)</f>
        <v>0</v>
      </c>
      <c r="CJ18" s="11" t="n">
        <f aca="false">SUMIFS('Исходные данные'!$J$2:$J$964,'Исходные данные'!$D$2:$D$964,CI$1,'Исходные данные'!$F$2:$F$964,$A18)</f>
        <v>0</v>
      </c>
      <c r="CK18" s="7" t="n">
        <v>0</v>
      </c>
      <c r="CL18" s="7" t="n">
        <v>0</v>
      </c>
      <c r="CM18" s="11" t="n">
        <f aca="false">SUMIFS('Исходные данные'!$I$2:$I$964,'Исходные данные'!$D$2:$D$964,CM$1,'Исходные данные'!$F$2:$F$964,$A18)</f>
        <v>0</v>
      </c>
      <c r="CN18" s="11" t="n">
        <f aca="false">SUMIFS('Исходные данные'!$J$2:$J$964,'Исходные данные'!$D$2:$D$964,CM$1,'Исходные данные'!$F$2:$F$964,$A18)</f>
        <v>0</v>
      </c>
      <c r="CO18" s="7" t="n">
        <v>0</v>
      </c>
      <c r="CP18" s="7" t="n">
        <v>0</v>
      </c>
      <c r="CQ18" s="11" t="n">
        <f aca="false">SUMIFS('Исходные данные'!$I$2:$I$964,'Исходные данные'!$D$2:$D$964,CQ$1,'Исходные данные'!$F$2:$F$964,$A18)</f>
        <v>0</v>
      </c>
      <c r="CR18" s="11" t="n">
        <f aca="false">SUMIFS('Исходные данные'!$J$2:$J$964,'Исходные данные'!$D$2:$D$964,CQ$1,'Исходные данные'!$F$2:$F$964,$A18)</f>
        <v>0</v>
      </c>
      <c r="CS18" s="7" t="n">
        <v>0</v>
      </c>
      <c r="CT18" s="7" t="n">
        <v>0</v>
      </c>
      <c r="CU18" s="11" t="n">
        <f aca="false">SUMIFS('Исходные данные'!$I$2:$I$964,'Исходные данные'!$D$2:$D$964,CU$1,'Исходные данные'!$F$2:$F$964,$A18)</f>
        <v>0</v>
      </c>
      <c r="CV18" s="11" t="n">
        <f aca="false">SUMIFS('Исходные данные'!$J$2:$J$964,'Исходные данные'!$D$2:$D$964,CU$1,'Исходные данные'!$F$2:$F$964,$A18)</f>
        <v>0</v>
      </c>
      <c r="CW18" s="7" t="n">
        <v>0</v>
      </c>
      <c r="CX18" s="7" t="n">
        <v>0</v>
      </c>
      <c r="CY18" s="11" t="n">
        <f aca="false">SUMIFS('Исходные данные'!$I$2:$I$964,'Исходные данные'!$D$2:$D$964,CY$1,'Исходные данные'!$F$2:$F$964,$A18)</f>
        <v>0</v>
      </c>
      <c r="CZ18" s="11" t="n">
        <f aca="false">SUMIFS('Исходные данные'!$J$2:$J$964,'Исходные данные'!$D$2:$D$964,CY$1,'Исходные данные'!$F$2:$F$964,$A18)</f>
        <v>0</v>
      </c>
      <c r="DA18" s="7" t="n">
        <v>0</v>
      </c>
      <c r="DB18" s="7" t="n">
        <v>0</v>
      </c>
      <c r="DC18" s="11" t="n">
        <f aca="false">SUMIFS('Исходные данные'!$I$2:$I$964,'Исходные данные'!$D$2:$D$964,DC$1,'Исходные данные'!$F$2:$F$964,$A18)</f>
        <v>0</v>
      </c>
      <c r="DD18" s="11" t="n">
        <f aca="false">SUMIFS('Исходные данные'!$J$2:$J$964,'Исходные данные'!$D$2:$D$964,DC$1,'Исходные данные'!$F$2:$F$964,$A18)</f>
        <v>0</v>
      </c>
      <c r="DE18" s="7" t="n">
        <v>0</v>
      </c>
      <c r="DF18" s="7" t="n">
        <v>0</v>
      </c>
      <c r="DG18" s="11" t="n">
        <f aca="false">SUMIFS('Исходные данные'!$I$2:$I$964,'Исходные данные'!$D$2:$D$964,DG$1,'Исходные данные'!$F$2:$F$964,$A18)</f>
        <v>0</v>
      </c>
      <c r="DH18" s="11" t="n">
        <f aca="false">SUMIFS('Исходные данные'!$J$2:$J$964,'Исходные данные'!$D$2:$D$964,DG$1,'Исходные данные'!$F$2:$F$964,$A18)</f>
        <v>0</v>
      </c>
      <c r="DI18" s="7" t="n">
        <v>0</v>
      </c>
      <c r="DJ18" s="7" t="n">
        <v>0</v>
      </c>
      <c r="DK18" s="11" t="n">
        <f aca="false">SUMIFS('Исходные данные'!$I$2:$I$964,'Исходные данные'!$D$2:$D$964,DK$1,'Исходные данные'!$F$2:$F$964,$A18)</f>
        <v>0</v>
      </c>
      <c r="DL18" s="11" t="n">
        <f aca="false">SUMIFS('Исходные данные'!$J$2:$J$964,'Исходные данные'!$D$2:$D$964,DK$1,'Исходные данные'!$F$2:$F$964,$A18)</f>
        <v>0</v>
      </c>
      <c r="DM18" s="7" t="n">
        <v>0</v>
      </c>
      <c r="DN18" s="7" t="n">
        <v>0</v>
      </c>
      <c r="DO18" s="11" t="n">
        <f aca="false">SUMIFS('Исходные данные'!$I$2:$I$964,'Исходные данные'!$D$2:$D$964,DO$1,'Исходные данные'!$F$2:$F$964,$A18)</f>
        <v>0</v>
      </c>
      <c r="DP18" s="11" t="n">
        <f aca="false">SUMIFS('Исходные данные'!$J$2:$J$964,'Исходные данные'!$D$2:$D$964,DO$1,'Исходные данные'!$F$2:$F$964,$A18)</f>
        <v>0</v>
      </c>
      <c r="DQ18" s="7" t="n">
        <v>0</v>
      </c>
      <c r="DR18" s="7" t="n">
        <v>0</v>
      </c>
      <c r="DS18" s="11" t="n">
        <f aca="false">SUMIFS('Исходные данные'!$I$2:$I$964,'Исходные данные'!$D$2:$D$964,DS$1,'Исходные данные'!$F$2:$F$964,$A18)</f>
        <v>0</v>
      </c>
      <c r="DT18" s="11" t="n">
        <f aca="false">SUMIFS('Исходные данные'!$J$2:$J$964,'Исходные данные'!$D$2:$D$964,DS$1,'Исходные данные'!$F$2:$F$964,$A18)</f>
        <v>0</v>
      </c>
      <c r="DU18" s="7" t="n">
        <v>0</v>
      </c>
      <c r="DV18" s="7" t="n">
        <v>0</v>
      </c>
      <c r="DW18" s="11" t="n">
        <f aca="false">SUMIFS('Исходные данные'!$I$2:$I$964,'Исходные данные'!$D$2:$D$964,DW$1,'Исходные данные'!$F$2:$F$964,$A18)</f>
        <v>0</v>
      </c>
      <c r="DX18" s="11" t="n">
        <f aca="false">SUMIFS('Исходные данные'!$J$2:$J$964,'Исходные данные'!$D$2:$D$964,DW$1,'Исходные данные'!$F$2:$F$964,$A18)</f>
        <v>0</v>
      </c>
      <c r="DY18" s="7" t="n">
        <v>0</v>
      </c>
      <c r="DZ18" s="7" t="n">
        <v>0</v>
      </c>
      <c r="EA18" s="11" t="n">
        <f aca="false">SUMIFS('Исходные данные'!$I$2:$I$964,'Исходные данные'!$D$2:$D$964,EA$1,'Исходные данные'!$F$2:$F$964,$A18)</f>
        <v>0</v>
      </c>
      <c r="EB18" s="11" t="n">
        <f aca="false">SUMIFS('Исходные данные'!$J$2:$J$964,'Исходные данные'!$D$2:$D$964,EA$1,'Исходные данные'!$F$2:$F$964,$A18)</f>
        <v>0</v>
      </c>
      <c r="EC18" s="7" t="n">
        <v>0</v>
      </c>
      <c r="ED18" s="7" t="n">
        <v>0</v>
      </c>
      <c r="EE18" s="11" t="n">
        <f aca="false">SUMIFS('Исходные данные'!$I$2:$I$964,'Исходные данные'!$D$2:$D$964,EE$1,'Исходные данные'!$F$2:$F$964,$A18)</f>
        <v>0</v>
      </c>
      <c r="EF18" s="11" t="n">
        <f aca="false">SUMIFS('Исходные данные'!$J$2:$J$964,'Исходные данные'!$D$2:$D$964,EE$1,'Исходные данные'!$F$2:$F$964,$A18)</f>
        <v>0</v>
      </c>
      <c r="EG18" s="7" t="n">
        <v>0</v>
      </c>
      <c r="EH18" s="7" t="n">
        <v>0</v>
      </c>
      <c r="EI18" s="11" t="n">
        <f aca="false">SUMIFS('Исходные данные'!$I$2:$I$964,'Исходные данные'!$D$2:$D$964,EI$1,'Исходные данные'!$F$2:$F$964,$A18)</f>
        <v>0</v>
      </c>
      <c r="EJ18" s="11" t="n">
        <f aca="false">SUMIFS('Исходные данные'!$J$2:$J$964,'Исходные данные'!$D$2:$D$964,EI$1,'Исходные данные'!$F$2:$F$964,$A18)</f>
        <v>0</v>
      </c>
      <c r="EK18" s="7" t="n">
        <v>0</v>
      </c>
      <c r="EL18" s="7" t="n">
        <v>0</v>
      </c>
      <c r="EM18" s="11" t="n">
        <f aca="false">SUMIFS('Исходные данные'!$I$2:$I$964,'Исходные данные'!$D$2:$D$964,EM$1,'Исходные данные'!$F$2:$F$964,$A18)</f>
        <v>0</v>
      </c>
      <c r="EN18" s="11" t="n">
        <f aca="false">SUMIFS('Исходные данные'!$J$2:$J$964,'Исходные данные'!$D$2:$D$964,EM$1,'Исходные данные'!$F$2:$F$964,$A18)</f>
        <v>0</v>
      </c>
      <c r="EO18" s="7" t="n">
        <v>0</v>
      </c>
      <c r="EP18" s="7" t="n">
        <v>0</v>
      </c>
      <c r="EQ18" s="11" t="n">
        <f aca="false">SUMIFS('Исходные данные'!$I$2:$I$964,'Исходные данные'!$D$2:$D$964,EQ$1,'Исходные данные'!$F$2:$F$964,$A18)</f>
        <v>0</v>
      </c>
      <c r="ER18" s="11" t="n">
        <f aca="false">SUMIFS('Исходные данные'!$J$2:$J$964,'Исходные данные'!$D$2:$D$964,EQ$1,'Исходные данные'!$F$2:$F$964,$A18)</f>
        <v>0</v>
      </c>
      <c r="ES18" s="7" t="n">
        <v>0</v>
      </c>
      <c r="ET18" s="7" t="n">
        <v>0</v>
      </c>
      <c r="EU18" s="11" t="n">
        <f aca="false">SUMIFS('Исходные данные'!$I$2:$I$964,'Исходные данные'!$D$2:$D$964,EU$1,'Исходные данные'!$F$2:$F$964,$A18)</f>
        <v>0</v>
      </c>
      <c r="EV18" s="11" t="n">
        <f aca="false">SUMIFS('Исходные данные'!$J$2:$J$964,'Исходные данные'!$D$2:$D$964,EU$1,'Исходные данные'!$F$2:$F$964,$A18)</f>
        <v>0</v>
      </c>
      <c r="EW18" s="7" t="n">
        <v>0</v>
      </c>
      <c r="EX18" s="7" t="n">
        <v>0</v>
      </c>
      <c r="EY18" s="11" t="n">
        <f aca="false">SUMIFS('Исходные данные'!$I$2:$I$964,'Исходные данные'!$D$2:$D$964,EY$1,'Исходные данные'!$F$2:$F$964,$A18)</f>
        <v>0</v>
      </c>
      <c r="EZ18" s="11" t="n">
        <f aca="false">SUMIFS('Исходные данные'!$J$2:$J$964,'Исходные данные'!$D$2:$D$964,EY$1,'Исходные данные'!$F$2:$F$964,$A18)</f>
        <v>0</v>
      </c>
      <c r="FA18" s="7" t="n">
        <v>0</v>
      </c>
      <c r="FB18" s="7" t="n">
        <v>0</v>
      </c>
      <c r="FC18" s="11" t="n">
        <f aca="false">SUMIFS('Исходные данные'!$I$2:$I$964,'Исходные данные'!$D$2:$D$964,FC$1,'Исходные данные'!$F$2:$F$964,$A18)</f>
        <v>0</v>
      </c>
      <c r="FD18" s="11" t="n">
        <f aca="false">SUMIFS('Исходные данные'!$J$2:$J$964,'Исходные данные'!$D$2:$D$964,FC$1,'Исходные данные'!$F$2:$F$964,$A18)</f>
        <v>0</v>
      </c>
      <c r="FE18" s="7" t="n">
        <v>4</v>
      </c>
      <c r="FF18" s="7" t="n">
        <v>3</v>
      </c>
      <c r="FG18" s="11" t="n">
        <f aca="false">SUMIFS('Исходные данные'!$I$2:$I$964,'Исходные данные'!$D$2:$D$964,FG$1,'Исходные данные'!$F$2:$F$964,$A18)</f>
        <v>4</v>
      </c>
      <c r="FH18" s="11" t="n">
        <f aca="false">SUMIFS('Исходные данные'!$J$2:$J$964,'Исходные данные'!$D$2:$D$964,FG$1,'Исходные данные'!$F$2:$F$964,$A18)</f>
        <v>3</v>
      </c>
    </row>
    <row r="19" customFormat="false" ht="15" hidden="false" customHeight="false" outlineLevel="0" collapsed="false">
      <c r="A19" s="10" t="s">
        <v>81</v>
      </c>
      <c r="B19" s="11" t="s">
        <v>82</v>
      </c>
      <c r="C19" s="6" t="n">
        <v>5</v>
      </c>
      <c r="D19" s="6" t="n">
        <f aca="false">I19+J19+M19+N19+Q19+R19+U19+V19+Y19+Z19+AC19+AD19+AG19+AH19+AK19+AL19+AO19+AP19+AS19+AT19+AW19+AX19+BA19+BB19+BE19+BF19+BI19+BJ19+BM19+BN19+BQ19+BR19+BU19+BV19+BY19+BZ19+CC19+CD19+CG19+CH19+CK19+CL19+CO19+CP19+CS19+CT19+CW19+CX19+DA19+DB19+DE19+DF19+DI19+DJ19+DM19+DN19+DQ19+DR19+DU19+DV19+DY19+DZ19+EC19+ED19+EG19+EH19+EK19+EL19+EO19+EP19+ES19+ET19+EW19+EX19+FA19+FB19+FE19+FF19</f>
        <v>5</v>
      </c>
      <c r="E19" s="6" t="n">
        <f aca="false">G19+H19</f>
        <v>5</v>
      </c>
      <c r="F19" s="6" t="n">
        <f aca="false">E19-C19</f>
        <v>0</v>
      </c>
      <c r="G19" s="6" t="n">
        <f aca="false">K19+O19+S19+W19+AA19+AE19+AI19+AM19+AQ19+AU19+AY19+BC19+BG19+BK19+BO19+BS19+BW19+CA19+CE19+CI19+CM19+CQ19+CU19+CY19+DC19+DG19+DK19+DO19+DS19+DW19+EA19+EE19+EI19+EM19+EQ19+EU19+EY19+FC19+FG19</f>
        <v>5</v>
      </c>
      <c r="H19" s="6" t="n">
        <f aca="false">L19+P19+T19+X19+AB19+AF19+AJ19+AN19+AR19+AV19+AZ19+BD19+BH19+BL19+BP19+BT19+BX19+CB19+CF19+CJ19+CN19+CR19+CV19+CZ19+DD19+DH19+DL19+DP19+DT19+DX19+EB19+EF19+EJ19+EN19+ER19+EV19+EZ19+FD19+FH19</f>
        <v>0</v>
      </c>
      <c r="I19" s="7" t="n">
        <v>0</v>
      </c>
      <c r="J19" s="7" t="n">
        <v>0</v>
      </c>
      <c r="K19" s="11" t="n">
        <f aca="false">SUMIFS('Исходные данные'!$I$2:$I$964,'Исходные данные'!$D$2:$D$964,K$1,'Исходные данные'!$F$2:$F$964,$A19)</f>
        <v>0</v>
      </c>
      <c r="L19" s="11" t="n">
        <f aca="false">SUMIFS('Исходные данные'!$J$2:$J$964,'Исходные данные'!$D$2:$D$964,K$1,'Исходные данные'!$F$2:$F$964,$A19)</f>
        <v>0</v>
      </c>
      <c r="M19" s="7" t="n">
        <v>0</v>
      </c>
      <c r="N19" s="7" t="n">
        <v>0</v>
      </c>
      <c r="O19" s="11" t="n">
        <f aca="false">SUMIFS('Исходные данные'!$I$2:$I$964,'Исходные данные'!$D$2:$D$964,O$1,'Исходные данные'!$F$2:$F$964,$A19)</f>
        <v>0</v>
      </c>
      <c r="P19" s="11" t="n">
        <f aca="false">SUMIFS('Исходные данные'!$J$2:$J$964,'Исходные данные'!$D$2:$D$964,O$1,'Исходные данные'!$F$2:$F$964,$A19)</f>
        <v>0</v>
      </c>
      <c r="Q19" s="7" t="n">
        <v>0</v>
      </c>
      <c r="R19" s="7" t="n">
        <v>0</v>
      </c>
      <c r="S19" s="11" t="n">
        <f aca="false">SUMIFS('Исходные данные'!$I$2:$I$964,'Исходные данные'!$D$2:$D$964,S$1,'Исходные данные'!$F$2:$F$964,$A19)</f>
        <v>0</v>
      </c>
      <c r="T19" s="11" t="n">
        <f aca="false">SUMIFS('Исходные данные'!$J$2:$J$964,'Исходные данные'!$D$2:$D$964,S$1,'Исходные данные'!$F$2:$F$964,$A19)</f>
        <v>0</v>
      </c>
      <c r="U19" s="7" t="n">
        <v>0</v>
      </c>
      <c r="V19" s="7" t="n">
        <v>0</v>
      </c>
      <c r="W19" s="11" t="n">
        <f aca="false">SUMIFS('Исходные данные'!$I$2:$I$964,'Исходные данные'!$D$2:$D$964,W$1,'Исходные данные'!$F$2:$F$964,$A19)</f>
        <v>0</v>
      </c>
      <c r="X19" s="11" t="n">
        <f aca="false">SUMIFS('Исходные данные'!$J$2:$J$964,'Исходные данные'!$D$2:$D$964,W$1,'Исходные данные'!$F$2:$F$964,$A19)</f>
        <v>0</v>
      </c>
      <c r="Y19" s="7" t="n">
        <v>0</v>
      </c>
      <c r="Z19" s="7" t="n">
        <v>0</v>
      </c>
      <c r="AA19" s="11" t="n">
        <f aca="false">SUMIFS('Исходные данные'!$I$2:$I$964,'Исходные данные'!$D$2:$D$964,AA$1,'Исходные данные'!$F$2:$F$964,$A19)</f>
        <v>0</v>
      </c>
      <c r="AB19" s="11" t="n">
        <f aca="false">SUMIFS('Исходные данные'!$J$2:$J$964,'Исходные данные'!$D$2:$D$964,AA$1,'Исходные данные'!$F$2:$F$964,$A19)</f>
        <v>0</v>
      </c>
      <c r="AC19" s="7" t="n">
        <v>0</v>
      </c>
      <c r="AD19" s="7" t="n">
        <v>0</v>
      </c>
      <c r="AE19" s="11" t="n">
        <f aca="false">SUMIFS('Исходные данные'!$I$2:$I$964,'Исходные данные'!$D$2:$D$964,AE$1,'Исходные данные'!$F$2:$F$964,$A19)</f>
        <v>0</v>
      </c>
      <c r="AF19" s="11" t="n">
        <f aca="false">SUMIFS('Исходные данные'!$J$2:$J$964,'Исходные данные'!$D$2:$D$964,AE$1,'Исходные данные'!$F$2:$F$964,$A19)</f>
        <v>0</v>
      </c>
      <c r="AG19" s="7" t="n">
        <v>0</v>
      </c>
      <c r="AH19" s="7" t="n">
        <v>0</v>
      </c>
      <c r="AI19" s="11" t="n">
        <f aca="false">SUMIFS('Исходные данные'!$I$2:$I$964,'Исходные данные'!$D$2:$D$964,AI$1,'Исходные данные'!$F$2:$F$964,$A19)</f>
        <v>0</v>
      </c>
      <c r="AJ19" s="11" t="n">
        <f aca="false">SUMIFS('Исходные данные'!$J$2:$J$964,'Исходные данные'!$D$2:$D$964,AI$1,'Исходные данные'!$F$2:$F$964,$A19)</f>
        <v>0</v>
      </c>
      <c r="AK19" s="7" t="n">
        <v>0</v>
      </c>
      <c r="AL19" s="7" t="n">
        <v>0</v>
      </c>
      <c r="AM19" s="11" t="n">
        <f aca="false">SUMIFS('Исходные данные'!$I$2:$I$964,'Исходные данные'!$D$2:$D$964,AM$1,'Исходные данные'!$F$2:$F$964,$A19)</f>
        <v>0</v>
      </c>
      <c r="AN19" s="11" t="n">
        <f aca="false">SUMIFS('Исходные данные'!$J$2:$J$964,'Исходные данные'!$D$2:$D$964,AM$1,'Исходные данные'!$F$2:$F$964,$A19)</f>
        <v>0</v>
      </c>
      <c r="AO19" s="7" t="n">
        <v>0</v>
      </c>
      <c r="AP19" s="7" t="n">
        <v>0</v>
      </c>
      <c r="AQ19" s="11" t="n">
        <f aca="false">SUMIFS('Исходные данные'!$I$2:$I$964,'Исходные данные'!$D$2:$D$964,AQ$1,'Исходные данные'!$F$2:$F$964,$A19)</f>
        <v>0</v>
      </c>
      <c r="AR19" s="11" t="n">
        <f aca="false">SUMIFS('Исходные данные'!$J$2:$J$964,'Исходные данные'!$D$2:$D$964,AQ$1,'Исходные данные'!$F$2:$F$964,$A19)</f>
        <v>0</v>
      </c>
      <c r="AS19" s="7" t="n">
        <v>0</v>
      </c>
      <c r="AT19" s="7" t="n">
        <v>0</v>
      </c>
      <c r="AU19" s="11" t="n">
        <f aca="false">SUMIFS('Исходные данные'!$I$2:$I$964,'Исходные данные'!$D$2:$D$964,AU$1,'Исходные данные'!$F$2:$F$964,$A19)</f>
        <v>0</v>
      </c>
      <c r="AV19" s="11" t="n">
        <f aca="false">SUMIFS('Исходные данные'!$J$2:$J$964,'Исходные данные'!$D$2:$D$964,AU$1,'Исходные данные'!$F$2:$F$964,$A19)</f>
        <v>0</v>
      </c>
      <c r="AW19" s="7" t="n">
        <v>0</v>
      </c>
      <c r="AX19" s="7" t="n">
        <v>0</v>
      </c>
      <c r="AY19" s="11" t="n">
        <f aca="false">SUMIFS('Исходные данные'!$I$2:$I$964,'Исходные данные'!$D$2:$D$964,AY$1,'Исходные данные'!$F$2:$F$964,$A19)</f>
        <v>0</v>
      </c>
      <c r="AZ19" s="11" t="n">
        <f aca="false">SUMIFS('Исходные данные'!$J$2:$J$964,'Исходные данные'!$D$2:$D$964,AY$1,'Исходные данные'!$F$2:$F$964,$A19)</f>
        <v>0</v>
      </c>
      <c r="BA19" s="7" t="n">
        <v>0</v>
      </c>
      <c r="BB19" s="7" t="n">
        <v>0</v>
      </c>
      <c r="BC19" s="11" t="n">
        <f aca="false">SUMIFS('Исходные данные'!$I$2:$I$964,'Исходные данные'!$D$2:$D$964,BC$1,'Исходные данные'!$F$2:$F$964,$A19)</f>
        <v>0</v>
      </c>
      <c r="BD19" s="11" t="n">
        <f aca="false">SUMIFS('Исходные данные'!$J$2:$J$964,'Исходные данные'!$D$2:$D$964,BC$1,'Исходные данные'!$F$2:$F$964,$A19)</f>
        <v>0</v>
      </c>
      <c r="BE19" s="7" t="n">
        <v>1</v>
      </c>
      <c r="BF19" s="7" t="n">
        <v>0</v>
      </c>
      <c r="BG19" s="11" t="n">
        <f aca="false">SUMIFS('Исходные данные'!$I$2:$I$964,'Исходные данные'!$D$2:$D$964,BG$1,'Исходные данные'!$F$2:$F$964,$A19)</f>
        <v>1</v>
      </c>
      <c r="BH19" s="11" t="n">
        <f aca="false">SUMIFS('Исходные данные'!$J$2:$J$964,'Исходные данные'!$D$2:$D$964,BG$1,'Исходные данные'!$F$2:$F$964,$A19)</f>
        <v>0</v>
      </c>
      <c r="BI19" s="7" t="n">
        <v>4</v>
      </c>
      <c r="BJ19" s="7" t="n">
        <v>0</v>
      </c>
      <c r="BK19" s="11" t="n">
        <f aca="false">SUMIFS('Исходные данные'!$I$2:$I$964,'Исходные данные'!$D$2:$D$964,BK$1,'Исходные данные'!$F$2:$F$964,$A19)</f>
        <v>4</v>
      </c>
      <c r="BL19" s="11" t="n">
        <f aca="false">SUMIFS('Исходные данные'!$J$2:$J$964,'Исходные данные'!$D$2:$D$964,BK$1,'Исходные данные'!$F$2:$F$964,$A19)</f>
        <v>0</v>
      </c>
      <c r="BM19" s="7" t="n">
        <v>0</v>
      </c>
      <c r="BN19" s="7" t="n">
        <v>0</v>
      </c>
      <c r="BO19" s="11" t="n">
        <f aca="false">SUMIFS('Исходные данные'!$I$2:$I$964,'Исходные данные'!$D$2:$D$964,BO$1,'Исходные данные'!$F$2:$F$964,$A19)</f>
        <v>0</v>
      </c>
      <c r="BP19" s="11" t="n">
        <f aca="false">SUMIFS('Исходные данные'!$J$2:$J$964,'Исходные данные'!$D$2:$D$964,BO$1,'Исходные данные'!$F$2:$F$964,$A19)</f>
        <v>0</v>
      </c>
      <c r="BQ19" s="7" t="n">
        <v>0</v>
      </c>
      <c r="BR19" s="7" t="n">
        <v>0</v>
      </c>
      <c r="BS19" s="11" t="n">
        <f aca="false">SUMIFS('Исходные данные'!$I$2:$I$964,'Исходные данные'!$D$2:$D$964,BS$1,'Исходные данные'!$F$2:$F$964,$A19)</f>
        <v>0</v>
      </c>
      <c r="BT19" s="11" t="n">
        <f aca="false">SUMIFS('Исходные данные'!$J$2:$J$964,'Исходные данные'!$D$2:$D$964,BS$1,'Исходные данные'!$F$2:$F$964,$A19)</f>
        <v>0</v>
      </c>
      <c r="BU19" s="7" t="n">
        <v>0</v>
      </c>
      <c r="BV19" s="7" t="n">
        <v>0</v>
      </c>
      <c r="BW19" s="11" t="n">
        <f aca="false">SUMIFS('Исходные данные'!$I$2:$I$964,'Исходные данные'!$D$2:$D$964,BW$1,'Исходные данные'!$F$2:$F$964,$A19)</f>
        <v>0</v>
      </c>
      <c r="BX19" s="11" t="n">
        <f aca="false">SUMIFS('Исходные данные'!$J$2:$J$964,'Исходные данные'!$D$2:$D$964,BW$1,'Исходные данные'!$F$2:$F$964,$A19)</f>
        <v>0</v>
      </c>
      <c r="BY19" s="7" t="n">
        <v>0</v>
      </c>
      <c r="BZ19" s="7" t="n">
        <v>0</v>
      </c>
      <c r="CA19" s="11" t="n">
        <f aca="false">SUMIFS('Исходные данные'!$I$2:$I$964,'Исходные данные'!$D$2:$D$964,CA$1,'Исходные данные'!$F$2:$F$964,$A19)</f>
        <v>0</v>
      </c>
      <c r="CB19" s="11" t="n">
        <f aca="false">SUMIFS('Исходные данные'!$J$2:$J$964,'Исходные данные'!$D$2:$D$964,CA$1,'Исходные данные'!$F$2:$F$964,$A19)</f>
        <v>0</v>
      </c>
      <c r="CC19" s="7" t="n">
        <v>0</v>
      </c>
      <c r="CD19" s="7" t="n">
        <v>0</v>
      </c>
      <c r="CE19" s="11" t="n">
        <f aca="false">SUMIFS('Исходные данные'!$I$2:$I$964,'Исходные данные'!$D$2:$D$964,CE$1,'Исходные данные'!$F$2:$F$964,$A19)</f>
        <v>0</v>
      </c>
      <c r="CF19" s="11" t="n">
        <f aca="false">SUMIFS('Исходные данные'!$J$2:$J$964,'Исходные данные'!$D$2:$D$964,CE$1,'Исходные данные'!$F$2:$F$964,$A19)</f>
        <v>0</v>
      </c>
      <c r="CG19" s="7" t="n">
        <v>0</v>
      </c>
      <c r="CH19" s="7" t="n">
        <v>0</v>
      </c>
      <c r="CI19" s="11" t="n">
        <f aca="false">SUMIFS('Исходные данные'!$I$2:$I$964,'Исходные данные'!$D$2:$D$964,CI$1,'Исходные данные'!$F$2:$F$964,$A19)</f>
        <v>0</v>
      </c>
      <c r="CJ19" s="11" t="n">
        <f aca="false">SUMIFS('Исходные данные'!$J$2:$J$964,'Исходные данные'!$D$2:$D$964,CI$1,'Исходные данные'!$F$2:$F$964,$A19)</f>
        <v>0</v>
      </c>
      <c r="CK19" s="7" t="n">
        <v>0</v>
      </c>
      <c r="CL19" s="7" t="n">
        <v>0</v>
      </c>
      <c r="CM19" s="11" t="n">
        <f aca="false">SUMIFS('Исходные данные'!$I$2:$I$964,'Исходные данные'!$D$2:$D$964,CM$1,'Исходные данные'!$F$2:$F$964,$A19)</f>
        <v>0</v>
      </c>
      <c r="CN19" s="11" t="n">
        <f aca="false">SUMIFS('Исходные данные'!$J$2:$J$964,'Исходные данные'!$D$2:$D$964,CM$1,'Исходные данные'!$F$2:$F$964,$A19)</f>
        <v>0</v>
      </c>
      <c r="CO19" s="7" t="n">
        <v>0</v>
      </c>
      <c r="CP19" s="7" t="n">
        <v>0</v>
      </c>
      <c r="CQ19" s="11" t="n">
        <f aca="false">SUMIFS('Исходные данные'!$I$2:$I$964,'Исходные данные'!$D$2:$D$964,CQ$1,'Исходные данные'!$F$2:$F$964,$A19)</f>
        <v>0</v>
      </c>
      <c r="CR19" s="11" t="n">
        <f aca="false">SUMIFS('Исходные данные'!$J$2:$J$964,'Исходные данные'!$D$2:$D$964,CQ$1,'Исходные данные'!$F$2:$F$964,$A19)</f>
        <v>0</v>
      </c>
      <c r="CS19" s="7" t="n">
        <v>0</v>
      </c>
      <c r="CT19" s="7" t="n">
        <v>0</v>
      </c>
      <c r="CU19" s="11" t="n">
        <f aca="false">SUMIFS('Исходные данные'!$I$2:$I$964,'Исходные данные'!$D$2:$D$964,CU$1,'Исходные данные'!$F$2:$F$964,$A19)</f>
        <v>0</v>
      </c>
      <c r="CV19" s="11" t="n">
        <f aca="false">SUMIFS('Исходные данные'!$J$2:$J$964,'Исходные данные'!$D$2:$D$964,CU$1,'Исходные данные'!$F$2:$F$964,$A19)</f>
        <v>0</v>
      </c>
      <c r="CW19" s="7" t="n">
        <v>0</v>
      </c>
      <c r="CX19" s="7" t="n">
        <v>0</v>
      </c>
      <c r="CY19" s="11" t="n">
        <f aca="false">SUMIFS('Исходные данные'!$I$2:$I$964,'Исходные данные'!$D$2:$D$964,CY$1,'Исходные данные'!$F$2:$F$964,$A19)</f>
        <v>0</v>
      </c>
      <c r="CZ19" s="11" t="n">
        <f aca="false">SUMIFS('Исходные данные'!$J$2:$J$964,'Исходные данные'!$D$2:$D$964,CY$1,'Исходные данные'!$F$2:$F$964,$A19)</f>
        <v>0</v>
      </c>
      <c r="DA19" s="7" t="n">
        <v>0</v>
      </c>
      <c r="DB19" s="7" t="n">
        <v>0</v>
      </c>
      <c r="DC19" s="11" t="n">
        <f aca="false">SUMIFS('Исходные данные'!$I$2:$I$964,'Исходные данные'!$D$2:$D$964,DC$1,'Исходные данные'!$F$2:$F$964,$A19)</f>
        <v>0</v>
      </c>
      <c r="DD19" s="11" t="n">
        <f aca="false">SUMIFS('Исходные данные'!$J$2:$J$964,'Исходные данные'!$D$2:$D$964,DC$1,'Исходные данные'!$F$2:$F$964,$A19)</f>
        <v>0</v>
      </c>
      <c r="DE19" s="7" t="n">
        <v>0</v>
      </c>
      <c r="DF19" s="7" t="n">
        <v>0</v>
      </c>
      <c r="DG19" s="11" t="n">
        <f aca="false">SUMIFS('Исходные данные'!$I$2:$I$964,'Исходные данные'!$D$2:$D$964,DG$1,'Исходные данные'!$F$2:$F$964,$A19)</f>
        <v>0</v>
      </c>
      <c r="DH19" s="11" t="n">
        <f aca="false">SUMIFS('Исходные данные'!$J$2:$J$964,'Исходные данные'!$D$2:$D$964,DG$1,'Исходные данные'!$F$2:$F$964,$A19)</f>
        <v>0</v>
      </c>
      <c r="DI19" s="7" t="n">
        <v>0</v>
      </c>
      <c r="DJ19" s="7" t="n">
        <v>0</v>
      </c>
      <c r="DK19" s="11" t="n">
        <f aca="false">SUMIFS('Исходные данные'!$I$2:$I$964,'Исходные данные'!$D$2:$D$964,DK$1,'Исходные данные'!$F$2:$F$964,$A19)</f>
        <v>0</v>
      </c>
      <c r="DL19" s="11" t="n">
        <f aca="false">SUMIFS('Исходные данные'!$J$2:$J$964,'Исходные данные'!$D$2:$D$964,DK$1,'Исходные данные'!$F$2:$F$964,$A19)</f>
        <v>0</v>
      </c>
      <c r="DM19" s="7" t="n">
        <v>0</v>
      </c>
      <c r="DN19" s="7" t="n">
        <v>0</v>
      </c>
      <c r="DO19" s="11" t="n">
        <f aca="false">SUMIFS('Исходные данные'!$I$2:$I$964,'Исходные данные'!$D$2:$D$964,DO$1,'Исходные данные'!$F$2:$F$964,$A19)</f>
        <v>0</v>
      </c>
      <c r="DP19" s="11" t="n">
        <f aca="false">SUMIFS('Исходные данные'!$J$2:$J$964,'Исходные данные'!$D$2:$D$964,DO$1,'Исходные данные'!$F$2:$F$964,$A19)</f>
        <v>0</v>
      </c>
      <c r="DQ19" s="7" t="n">
        <v>0</v>
      </c>
      <c r="DR19" s="7" t="n">
        <v>0</v>
      </c>
      <c r="DS19" s="11" t="n">
        <f aca="false">SUMIFS('Исходные данные'!$I$2:$I$964,'Исходные данные'!$D$2:$D$964,DS$1,'Исходные данные'!$F$2:$F$964,$A19)</f>
        <v>0</v>
      </c>
      <c r="DT19" s="11" t="n">
        <f aca="false">SUMIFS('Исходные данные'!$J$2:$J$964,'Исходные данные'!$D$2:$D$964,DS$1,'Исходные данные'!$F$2:$F$964,$A19)</f>
        <v>0</v>
      </c>
      <c r="DU19" s="7" t="n">
        <v>0</v>
      </c>
      <c r="DV19" s="7" t="n">
        <v>0</v>
      </c>
      <c r="DW19" s="11" t="n">
        <f aca="false">SUMIFS('Исходные данные'!$I$2:$I$964,'Исходные данные'!$D$2:$D$964,DW$1,'Исходные данные'!$F$2:$F$964,$A19)</f>
        <v>0</v>
      </c>
      <c r="DX19" s="11" t="n">
        <f aca="false">SUMIFS('Исходные данные'!$J$2:$J$964,'Исходные данные'!$D$2:$D$964,DW$1,'Исходные данные'!$F$2:$F$964,$A19)</f>
        <v>0</v>
      </c>
      <c r="DY19" s="7" t="n">
        <v>0</v>
      </c>
      <c r="DZ19" s="7" t="n">
        <v>0</v>
      </c>
      <c r="EA19" s="11" t="n">
        <f aca="false">SUMIFS('Исходные данные'!$I$2:$I$964,'Исходные данные'!$D$2:$D$964,EA$1,'Исходные данные'!$F$2:$F$964,$A19)</f>
        <v>0</v>
      </c>
      <c r="EB19" s="11" t="n">
        <f aca="false">SUMIFS('Исходные данные'!$J$2:$J$964,'Исходные данные'!$D$2:$D$964,EA$1,'Исходные данные'!$F$2:$F$964,$A19)</f>
        <v>0</v>
      </c>
      <c r="EC19" s="7" t="n">
        <v>0</v>
      </c>
      <c r="ED19" s="7" t="n">
        <v>0</v>
      </c>
      <c r="EE19" s="11" t="n">
        <f aca="false">SUMIFS('Исходные данные'!$I$2:$I$964,'Исходные данные'!$D$2:$D$964,EE$1,'Исходные данные'!$F$2:$F$964,$A19)</f>
        <v>0</v>
      </c>
      <c r="EF19" s="11" t="n">
        <f aca="false">SUMIFS('Исходные данные'!$J$2:$J$964,'Исходные данные'!$D$2:$D$964,EE$1,'Исходные данные'!$F$2:$F$964,$A19)</f>
        <v>0</v>
      </c>
      <c r="EG19" s="7" t="n">
        <v>0</v>
      </c>
      <c r="EH19" s="7" t="n">
        <v>0</v>
      </c>
      <c r="EI19" s="11" t="n">
        <f aca="false">SUMIFS('Исходные данные'!$I$2:$I$964,'Исходные данные'!$D$2:$D$964,EI$1,'Исходные данные'!$F$2:$F$964,$A19)</f>
        <v>0</v>
      </c>
      <c r="EJ19" s="11" t="n">
        <f aca="false">SUMIFS('Исходные данные'!$J$2:$J$964,'Исходные данные'!$D$2:$D$964,EI$1,'Исходные данные'!$F$2:$F$964,$A19)</f>
        <v>0</v>
      </c>
      <c r="EK19" s="7" t="n">
        <v>0</v>
      </c>
      <c r="EL19" s="7" t="n">
        <v>0</v>
      </c>
      <c r="EM19" s="11" t="n">
        <f aca="false">SUMIFS('Исходные данные'!$I$2:$I$964,'Исходные данные'!$D$2:$D$964,EM$1,'Исходные данные'!$F$2:$F$964,$A19)</f>
        <v>0</v>
      </c>
      <c r="EN19" s="11" t="n">
        <f aca="false">SUMIFS('Исходные данные'!$J$2:$J$964,'Исходные данные'!$D$2:$D$964,EM$1,'Исходные данные'!$F$2:$F$964,$A19)</f>
        <v>0</v>
      </c>
      <c r="EO19" s="7" t="n">
        <v>0</v>
      </c>
      <c r="EP19" s="7" t="n">
        <v>0</v>
      </c>
      <c r="EQ19" s="11" t="n">
        <f aca="false">SUMIFS('Исходные данные'!$I$2:$I$964,'Исходные данные'!$D$2:$D$964,EQ$1,'Исходные данные'!$F$2:$F$964,$A19)</f>
        <v>0</v>
      </c>
      <c r="ER19" s="11" t="n">
        <f aca="false">SUMIFS('Исходные данные'!$J$2:$J$964,'Исходные данные'!$D$2:$D$964,EQ$1,'Исходные данные'!$F$2:$F$964,$A19)</f>
        <v>0</v>
      </c>
      <c r="ES19" s="7" t="n">
        <v>0</v>
      </c>
      <c r="ET19" s="7" t="n">
        <v>0</v>
      </c>
      <c r="EU19" s="11" t="n">
        <f aca="false">SUMIFS('Исходные данные'!$I$2:$I$964,'Исходные данные'!$D$2:$D$964,EU$1,'Исходные данные'!$F$2:$F$964,$A19)</f>
        <v>0</v>
      </c>
      <c r="EV19" s="11" t="n">
        <f aca="false">SUMIFS('Исходные данные'!$J$2:$J$964,'Исходные данные'!$D$2:$D$964,EU$1,'Исходные данные'!$F$2:$F$964,$A19)</f>
        <v>0</v>
      </c>
      <c r="EW19" s="7" t="n">
        <v>0</v>
      </c>
      <c r="EX19" s="7" t="n">
        <v>0</v>
      </c>
      <c r="EY19" s="11" t="n">
        <f aca="false">SUMIFS('Исходные данные'!$I$2:$I$964,'Исходные данные'!$D$2:$D$964,EY$1,'Исходные данные'!$F$2:$F$964,$A19)</f>
        <v>0</v>
      </c>
      <c r="EZ19" s="11" t="n">
        <f aca="false">SUMIFS('Исходные данные'!$J$2:$J$964,'Исходные данные'!$D$2:$D$964,EY$1,'Исходные данные'!$F$2:$F$964,$A19)</f>
        <v>0</v>
      </c>
      <c r="FA19" s="7" t="n">
        <v>0</v>
      </c>
      <c r="FB19" s="7" t="n">
        <v>0</v>
      </c>
      <c r="FC19" s="11" t="n">
        <f aca="false">SUMIFS('Исходные данные'!$I$2:$I$964,'Исходные данные'!$D$2:$D$964,FC$1,'Исходные данные'!$F$2:$F$964,$A19)</f>
        <v>0</v>
      </c>
      <c r="FD19" s="11" t="n">
        <f aca="false">SUMIFS('Исходные данные'!$J$2:$J$964,'Исходные данные'!$D$2:$D$964,FC$1,'Исходные данные'!$F$2:$F$964,$A19)</f>
        <v>0</v>
      </c>
      <c r="FE19" s="7" t="n">
        <v>0</v>
      </c>
      <c r="FF19" s="7" t="n">
        <v>0</v>
      </c>
      <c r="FG19" s="11" t="n">
        <f aca="false">SUMIFS('Исходные данные'!$I$2:$I$964,'Исходные данные'!$D$2:$D$964,FG$1,'Исходные данные'!$F$2:$F$964,$A19)</f>
        <v>0</v>
      </c>
      <c r="FH19" s="11" t="n">
        <f aca="false">SUMIFS('Исходные данные'!$J$2:$J$964,'Исходные данные'!$D$2:$D$964,FG$1,'Исходные данные'!$F$2:$F$964,$A19)</f>
        <v>0</v>
      </c>
    </row>
    <row r="20" customFormat="false" ht="15" hidden="false" customHeight="false" outlineLevel="0" collapsed="false">
      <c r="A20" s="10" t="s">
        <v>83</v>
      </c>
      <c r="B20" s="11" t="s">
        <v>84</v>
      </c>
      <c r="C20" s="6" t="n">
        <v>1</v>
      </c>
      <c r="D20" s="6" t="n">
        <f aca="false">I20+J20+M20+N20+Q20+R20+U20+V20+Y20+Z20+AC20+AD20+AG20+AH20+AK20+AL20+AO20+AP20+AS20+AT20+AW20+AX20+BA20+BB20+BE20+BF20+BI20+BJ20+BM20+BN20+BQ20+BR20+BU20+BV20+BY20+BZ20+CC20+CD20+CG20+CH20+CK20+CL20+CO20+CP20+CS20+CT20+CW20+CX20+DA20+DB20+DE20+DF20+DI20+DJ20+DM20+DN20+DQ20+DR20+DU20+DV20+DY20+DZ20+EC20+ED20+EG20+EH20+EK20+EL20+EO20+EP20+ES20+ET20+EW20+EX20+FA20+FB20+FE20+FF20</f>
        <v>1</v>
      </c>
      <c r="E20" s="6" t="n">
        <f aca="false">G20+H20</f>
        <v>1</v>
      </c>
      <c r="F20" s="6" t="n">
        <f aca="false">E20-C20</f>
        <v>0</v>
      </c>
      <c r="G20" s="6" t="n">
        <f aca="false">K20+O20+S20+W20+AA20+AE20+AI20+AM20+AQ20+AU20+AY20+BC20+BG20+BK20+BO20+BS20+BW20+CA20+CE20+CI20+CM20+CQ20+CU20+CY20+DC20+DG20+DK20+DO20+DS20+DW20+EA20+EE20+EI20+EM20+EQ20+EU20+EY20+FC20+FG20</f>
        <v>1</v>
      </c>
      <c r="H20" s="6" t="n">
        <f aca="false">L20+P20+T20+X20+AB20+AF20+AJ20+AN20+AR20+AV20+AZ20+BD20+BH20+BL20+BP20+BT20+BX20+CB20+CF20+CJ20+CN20+CR20+CV20+CZ20+DD20+DH20+DL20+DP20+DT20+DX20+EB20+EF20+EJ20+EN20+ER20+EV20+EZ20+FD20+FH20</f>
        <v>0</v>
      </c>
      <c r="I20" s="7" t="n">
        <v>0</v>
      </c>
      <c r="J20" s="7" t="n">
        <v>0</v>
      </c>
      <c r="K20" s="11" t="n">
        <f aca="false">SUMIFS('Исходные данные'!$I$2:$I$964,'Исходные данные'!$D$2:$D$964,K$1,'Исходные данные'!$F$2:$F$964,$A20)</f>
        <v>0</v>
      </c>
      <c r="L20" s="11" t="n">
        <f aca="false">SUMIFS('Исходные данные'!$J$2:$J$964,'Исходные данные'!$D$2:$D$964,K$1,'Исходные данные'!$F$2:$F$964,$A20)</f>
        <v>0</v>
      </c>
      <c r="M20" s="7" t="n">
        <v>0</v>
      </c>
      <c r="N20" s="7" t="n">
        <v>0</v>
      </c>
      <c r="O20" s="11" t="n">
        <f aca="false">SUMIFS('Исходные данные'!$I$2:$I$964,'Исходные данные'!$D$2:$D$964,O$1,'Исходные данные'!$F$2:$F$964,$A20)</f>
        <v>0</v>
      </c>
      <c r="P20" s="11" t="n">
        <f aca="false">SUMIFS('Исходные данные'!$J$2:$J$964,'Исходные данные'!$D$2:$D$964,O$1,'Исходные данные'!$F$2:$F$964,$A20)</f>
        <v>0</v>
      </c>
      <c r="Q20" s="7" t="n">
        <v>0</v>
      </c>
      <c r="R20" s="7" t="n">
        <v>0</v>
      </c>
      <c r="S20" s="11" t="n">
        <f aca="false">SUMIFS('Исходные данные'!$I$2:$I$964,'Исходные данные'!$D$2:$D$964,S$1,'Исходные данные'!$F$2:$F$964,$A20)</f>
        <v>0</v>
      </c>
      <c r="T20" s="11" t="n">
        <f aca="false">SUMIFS('Исходные данные'!$J$2:$J$964,'Исходные данные'!$D$2:$D$964,S$1,'Исходные данные'!$F$2:$F$964,$A20)</f>
        <v>0</v>
      </c>
      <c r="U20" s="7" t="n">
        <v>0</v>
      </c>
      <c r="V20" s="7" t="n">
        <v>0</v>
      </c>
      <c r="W20" s="11" t="n">
        <f aca="false">SUMIFS('Исходные данные'!$I$2:$I$964,'Исходные данные'!$D$2:$D$964,W$1,'Исходные данные'!$F$2:$F$964,$A20)</f>
        <v>0</v>
      </c>
      <c r="X20" s="11" t="n">
        <f aca="false">SUMIFS('Исходные данные'!$J$2:$J$964,'Исходные данные'!$D$2:$D$964,W$1,'Исходные данные'!$F$2:$F$964,$A20)</f>
        <v>0</v>
      </c>
      <c r="Y20" s="7" t="n">
        <v>0</v>
      </c>
      <c r="Z20" s="7" t="n">
        <v>0</v>
      </c>
      <c r="AA20" s="11" t="n">
        <f aca="false">SUMIFS('Исходные данные'!$I$2:$I$964,'Исходные данные'!$D$2:$D$964,AA$1,'Исходные данные'!$F$2:$F$964,$A20)</f>
        <v>0</v>
      </c>
      <c r="AB20" s="11" t="n">
        <f aca="false">SUMIFS('Исходные данные'!$J$2:$J$964,'Исходные данные'!$D$2:$D$964,AA$1,'Исходные данные'!$F$2:$F$964,$A20)</f>
        <v>0</v>
      </c>
      <c r="AC20" s="7" t="n">
        <v>0</v>
      </c>
      <c r="AD20" s="7" t="n">
        <v>0</v>
      </c>
      <c r="AE20" s="11" t="n">
        <f aca="false">SUMIFS('Исходные данные'!$I$2:$I$964,'Исходные данные'!$D$2:$D$964,AE$1,'Исходные данные'!$F$2:$F$964,$A20)</f>
        <v>0</v>
      </c>
      <c r="AF20" s="11" t="n">
        <f aca="false">SUMIFS('Исходные данные'!$J$2:$J$964,'Исходные данные'!$D$2:$D$964,AE$1,'Исходные данные'!$F$2:$F$964,$A20)</f>
        <v>0</v>
      </c>
      <c r="AG20" s="7" t="n">
        <v>0</v>
      </c>
      <c r="AH20" s="7" t="n">
        <v>0</v>
      </c>
      <c r="AI20" s="11" t="n">
        <f aca="false">SUMIFS('Исходные данные'!$I$2:$I$964,'Исходные данные'!$D$2:$D$964,AI$1,'Исходные данные'!$F$2:$F$964,$A20)</f>
        <v>0</v>
      </c>
      <c r="AJ20" s="11" t="n">
        <f aca="false">SUMIFS('Исходные данные'!$J$2:$J$964,'Исходные данные'!$D$2:$D$964,AI$1,'Исходные данные'!$F$2:$F$964,$A20)</f>
        <v>0</v>
      </c>
      <c r="AK20" s="7" t="n">
        <v>0</v>
      </c>
      <c r="AL20" s="7" t="n">
        <v>0</v>
      </c>
      <c r="AM20" s="11" t="n">
        <f aca="false">SUMIFS('Исходные данные'!$I$2:$I$964,'Исходные данные'!$D$2:$D$964,AM$1,'Исходные данные'!$F$2:$F$964,$A20)</f>
        <v>0</v>
      </c>
      <c r="AN20" s="11" t="n">
        <f aca="false">SUMIFS('Исходные данные'!$J$2:$J$964,'Исходные данные'!$D$2:$D$964,AM$1,'Исходные данные'!$F$2:$F$964,$A20)</f>
        <v>0</v>
      </c>
      <c r="AO20" s="7" t="n">
        <v>0</v>
      </c>
      <c r="AP20" s="7" t="n">
        <v>0</v>
      </c>
      <c r="AQ20" s="11" t="n">
        <f aca="false">SUMIFS('Исходные данные'!$I$2:$I$964,'Исходные данные'!$D$2:$D$964,AQ$1,'Исходные данные'!$F$2:$F$964,$A20)</f>
        <v>0</v>
      </c>
      <c r="AR20" s="11" t="n">
        <f aca="false">SUMIFS('Исходные данные'!$J$2:$J$964,'Исходные данные'!$D$2:$D$964,AQ$1,'Исходные данные'!$F$2:$F$964,$A20)</f>
        <v>0</v>
      </c>
      <c r="AS20" s="7" t="n">
        <v>1</v>
      </c>
      <c r="AT20" s="7" t="n">
        <v>0</v>
      </c>
      <c r="AU20" s="11" t="n">
        <f aca="false">SUMIFS('Исходные данные'!$I$2:$I$964,'Исходные данные'!$D$2:$D$964,AU$1,'Исходные данные'!$F$2:$F$964,$A20)</f>
        <v>1</v>
      </c>
      <c r="AV20" s="11" t="n">
        <f aca="false">SUMIFS('Исходные данные'!$J$2:$J$964,'Исходные данные'!$D$2:$D$964,AU$1,'Исходные данные'!$F$2:$F$964,$A20)</f>
        <v>0</v>
      </c>
      <c r="AW20" s="7" t="n">
        <v>0</v>
      </c>
      <c r="AX20" s="7" t="n">
        <v>0</v>
      </c>
      <c r="AY20" s="11" t="n">
        <f aca="false">SUMIFS('Исходные данные'!$I$2:$I$964,'Исходные данные'!$D$2:$D$964,AY$1,'Исходные данные'!$F$2:$F$964,$A20)</f>
        <v>0</v>
      </c>
      <c r="AZ20" s="11" t="n">
        <f aca="false">SUMIFS('Исходные данные'!$J$2:$J$964,'Исходные данные'!$D$2:$D$964,AY$1,'Исходные данные'!$F$2:$F$964,$A20)</f>
        <v>0</v>
      </c>
      <c r="BA20" s="7" t="n">
        <v>0</v>
      </c>
      <c r="BB20" s="7" t="n">
        <v>0</v>
      </c>
      <c r="BC20" s="11" t="n">
        <f aca="false">SUMIFS('Исходные данные'!$I$2:$I$964,'Исходные данные'!$D$2:$D$964,BC$1,'Исходные данные'!$F$2:$F$964,$A20)</f>
        <v>0</v>
      </c>
      <c r="BD20" s="11" t="n">
        <f aca="false">SUMIFS('Исходные данные'!$J$2:$J$964,'Исходные данные'!$D$2:$D$964,BC$1,'Исходные данные'!$F$2:$F$964,$A20)</f>
        <v>0</v>
      </c>
      <c r="BE20" s="7" t="n">
        <v>0</v>
      </c>
      <c r="BF20" s="7" t="n">
        <v>0</v>
      </c>
      <c r="BG20" s="11" t="n">
        <f aca="false">SUMIFS('Исходные данные'!$I$2:$I$964,'Исходные данные'!$D$2:$D$964,BG$1,'Исходные данные'!$F$2:$F$964,$A20)</f>
        <v>0</v>
      </c>
      <c r="BH20" s="11" t="n">
        <f aca="false">SUMIFS('Исходные данные'!$J$2:$J$964,'Исходные данные'!$D$2:$D$964,BG$1,'Исходные данные'!$F$2:$F$964,$A20)</f>
        <v>0</v>
      </c>
      <c r="BI20" s="7" t="n">
        <v>0</v>
      </c>
      <c r="BJ20" s="7" t="n">
        <v>0</v>
      </c>
      <c r="BK20" s="11" t="n">
        <f aca="false">SUMIFS('Исходные данные'!$I$2:$I$964,'Исходные данные'!$D$2:$D$964,BK$1,'Исходные данные'!$F$2:$F$964,$A20)</f>
        <v>0</v>
      </c>
      <c r="BL20" s="11" t="n">
        <f aca="false">SUMIFS('Исходные данные'!$J$2:$J$964,'Исходные данные'!$D$2:$D$964,BK$1,'Исходные данные'!$F$2:$F$964,$A20)</f>
        <v>0</v>
      </c>
      <c r="BM20" s="7" t="n">
        <v>0</v>
      </c>
      <c r="BN20" s="7" t="n">
        <v>0</v>
      </c>
      <c r="BO20" s="11" t="n">
        <f aca="false">SUMIFS('Исходные данные'!$I$2:$I$964,'Исходные данные'!$D$2:$D$964,BO$1,'Исходные данные'!$F$2:$F$964,$A20)</f>
        <v>0</v>
      </c>
      <c r="BP20" s="11" t="n">
        <f aca="false">SUMIFS('Исходные данные'!$J$2:$J$964,'Исходные данные'!$D$2:$D$964,BO$1,'Исходные данные'!$F$2:$F$964,$A20)</f>
        <v>0</v>
      </c>
      <c r="BQ20" s="7" t="n">
        <v>0</v>
      </c>
      <c r="BR20" s="7" t="n">
        <v>0</v>
      </c>
      <c r="BS20" s="11" t="n">
        <f aca="false">SUMIFS('Исходные данные'!$I$2:$I$964,'Исходные данные'!$D$2:$D$964,BS$1,'Исходные данные'!$F$2:$F$964,$A20)</f>
        <v>0</v>
      </c>
      <c r="BT20" s="11" t="n">
        <f aca="false">SUMIFS('Исходные данные'!$J$2:$J$964,'Исходные данные'!$D$2:$D$964,BS$1,'Исходные данные'!$F$2:$F$964,$A20)</f>
        <v>0</v>
      </c>
      <c r="BU20" s="7" t="n">
        <v>0</v>
      </c>
      <c r="BV20" s="7" t="n">
        <v>0</v>
      </c>
      <c r="BW20" s="11" t="n">
        <f aca="false">SUMIFS('Исходные данные'!$I$2:$I$964,'Исходные данные'!$D$2:$D$964,BW$1,'Исходные данные'!$F$2:$F$964,$A20)</f>
        <v>0</v>
      </c>
      <c r="BX20" s="11" t="n">
        <f aca="false">SUMIFS('Исходные данные'!$J$2:$J$964,'Исходные данные'!$D$2:$D$964,BW$1,'Исходные данные'!$F$2:$F$964,$A20)</f>
        <v>0</v>
      </c>
      <c r="BY20" s="7" t="n">
        <v>0</v>
      </c>
      <c r="BZ20" s="7" t="n">
        <v>0</v>
      </c>
      <c r="CA20" s="11" t="n">
        <f aca="false">SUMIFS('Исходные данные'!$I$2:$I$964,'Исходные данные'!$D$2:$D$964,CA$1,'Исходные данные'!$F$2:$F$964,$A20)</f>
        <v>0</v>
      </c>
      <c r="CB20" s="11" t="n">
        <f aca="false">SUMIFS('Исходные данные'!$J$2:$J$964,'Исходные данные'!$D$2:$D$964,CA$1,'Исходные данные'!$F$2:$F$964,$A20)</f>
        <v>0</v>
      </c>
      <c r="CC20" s="7" t="n">
        <v>0</v>
      </c>
      <c r="CD20" s="7" t="n">
        <v>0</v>
      </c>
      <c r="CE20" s="11" t="n">
        <f aca="false">SUMIFS('Исходные данные'!$I$2:$I$964,'Исходные данные'!$D$2:$D$964,CE$1,'Исходные данные'!$F$2:$F$964,$A20)</f>
        <v>0</v>
      </c>
      <c r="CF20" s="11" t="n">
        <f aca="false">SUMIFS('Исходные данные'!$J$2:$J$964,'Исходные данные'!$D$2:$D$964,CE$1,'Исходные данные'!$F$2:$F$964,$A20)</f>
        <v>0</v>
      </c>
      <c r="CG20" s="7" t="n">
        <v>0</v>
      </c>
      <c r="CH20" s="7" t="n">
        <v>0</v>
      </c>
      <c r="CI20" s="11" t="n">
        <f aca="false">SUMIFS('Исходные данные'!$I$2:$I$964,'Исходные данные'!$D$2:$D$964,CI$1,'Исходные данные'!$F$2:$F$964,$A20)</f>
        <v>0</v>
      </c>
      <c r="CJ20" s="11" t="n">
        <f aca="false">SUMIFS('Исходные данные'!$J$2:$J$964,'Исходные данные'!$D$2:$D$964,CI$1,'Исходные данные'!$F$2:$F$964,$A20)</f>
        <v>0</v>
      </c>
      <c r="CK20" s="7" t="n">
        <v>0</v>
      </c>
      <c r="CL20" s="7" t="n">
        <v>0</v>
      </c>
      <c r="CM20" s="11" t="n">
        <f aca="false">SUMIFS('Исходные данные'!$I$2:$I$964,'Исходные данные'!$D$2:$D$964,CM$1,'Исходные данные'!$F$2:$F$964,$A20)</f>
        <v>0</v>
      </c>
      <c r="CN20" s="11" t="n">
        <f aca="false">SUMIFS('Исходные данные'!$J$2:$J$964,'Исходные данные'!$D$2:$D$964,CM$1,'Исходные данные'!$F$2:$F$964,$A20)</f>
        <v>0</v>
      </c>
      <c r="CO20" s="7" t="n">
        <v>0</v>
      </c>
      <c r="CP20" s="7" t="n">
        <v>0</v>
      </c>
      <c r="CQ20" s="11" t="n">
        <f aca="false">SUMIFS('Исходные данные'!$I$2:$I$964,'Исходные данные'!$D$2:$D$964,CQ$1,'Исходные данные'!$F$2:$F$964,$A20)</f>
        <v>0</v>
      </c>
      <c r="CR20" s="11" t="n">
        <f aca="false">SUMIFS('Исходные данные'!$J$2:$J$964,'Исходные данные'!$D$2:$D$964,CQ$1,'Исходные данные'!$F$2:$F$964,$A20)</f>
        <v>0</v>
      </c>
      <c r="CS20" s="7" t="n">
        <v>0</v>
      </c>
      <c r="CT20" s="7" t="n">
        <v>0</v>
      </c>
      <c r="CU20" s="11" t="n">
        <f aca="false">SUMIFS('Исходные данные'!$I$2:$I$964,'Исходные данные'!$D$2:$D$964,CU$1,'Исходные данные'!$F$2:$F$964,$A20)</f>
        <v>0</v>
      </c>
      <c r="CV20" s="11" t="n">
        <f aca="false">SUMIFS('Исходные данные'!$J$2:$J$964,'Исходные данные'!$D$2:$D$964,CU$1,'Исходные данные'!$F$2:$F$964,$A20)</f>
        <v>0</v>
      </c>
      <c r="CW20" s="7" t="n">
        <v>0</v>
      </c>
      <c r="CX20" s="7" t="n">
        <v>0</v>
      </c>
      <c r="CY20" s="11" t="n">
        <f aca="false">SUMIFS('Исходные данные'!$I$2:$I$964,'Исходные данные'!$D$2:$D$964,CY$1,'Исходные данные'!$F$2:$F$964,$A20)</f>
        <v>0</v>
      </c>
      <c r="CZ20" s="11" t="n">
        <f aca="false">SUMIFS('Исходные данные'!$J$2:$J$964,'Исходные данные'!$D$2:$D$964,CY$1,'Исходные данные'!$F$2:$F$964,$A20)</f>
        <v>0</v>
      </c>
      <c r="DA20" s="7" t="n">
        <v>0</v>
      </c>
      <c r="DB20" s="7" t="n">
        <v>0</v>
      </c>
      <c r="DC20" s="11" t="n">
        <f aca="false">SUMIFS('Исходные данные'!$I$2:$I$964,'Исходные данные'!$D$2:$D$964,DC$1,'Исходные данные'!$F$2:$F$964,$A20)</f>
        <v>0</v>
      </c>
      <c r="DD20" s="11" t="n">
        <f aca="false">SUMIFS('Исходные данные'!$J$2:$J$964,'Исходные данные'!$D$2:$D$964,DC$1,'Исходные данные'!$F$2:$F$964,$A20)</f>
        <v>0</v>
      </c>
      <c r="DE20" s="7" t="n">
        <v>0</v>
      </c>
      <c r="DF20" s="7" t="n">
        <v>0</v>
      </c>
      <c r="DG20" s="11" t="n">
        <f aca="false">SUMIFS('Исходные данные'!$I$2:$I$964,'Исходные данные'!$D$2:$D$964,DG$1,'Исходные данные'!$F$2:$F$964,$A20)</f>
        <v>0</v>
      </c>
      <c r="DH20" s="11" t="n">
        <f aca="false">SUMIFS('Исходные данные'!$J$2:$J$964,'Исходные данные'!$D$2:$D$964,DG$1,'Исходные данные'!$F$2:$F$964,$A20)</f>
        <v>0</v>
      </c>
      <c r="DI20" s="7" t="n">
        <v>0</v>
      </c>
      <c r="DJ20" s="7" t="n">
        <v>0</v>
      </c>
      <c r="DK20" s="11" t="n">
        <f aca="false">SUMIFS('Исходные данные'!$I$2:$I$964,'Исходные данные'!$D$2:$D$964,DK$1,'Исходные данные'!$F$2:$F$964,$A20)</f>
        <v>0</v>
      </c>
      <c r="DL20" s="11" t="n">
        <f aca="false">SUMIFS('Исходные данные'!$J$2:$J$964,'Исходные данные'!$D$2:$D$964,DK$1,'Исходные данные'!$F$2:$F$964,$A20)</f>
        <v>0</v>
      </c>
      <c r="DM20" s="7" t="n">
        <v>0</v>
      </c>
      <c r="DN20" s="7" t="n">
        <v>0</v>
      </c>
      <c r="DO20" s="11" t="n">
        <f aca="false">SUMIFS('Исходные данные'!$I$2:$I$964,'Исходные данные'!$D$2:$D$964,DO$1,'Исходные данные'!$F$2:$F$964,$A20)</f>
        <v>0</v>
      </c>
      <c r="DP20" s="11" t="n">
        <f aca="false">SUMIFS('Исходные данные'!$J$2:$J$964,'Исходные данные'!$D$2:$D$964,DO$1,'Исходные данные'!$F$2:$F$964,$A20)</f>
        <v>0</v>
      </c>
      <c r="DQ20" s="7" t="n">
        <v>0</v>
      </c>
      <c r="DR20" s="7" t="n">
        <v>0</v>
      </c>
      <c r="DS20" s="11" t="n">
        <f aca="false">SUMIFS('Исходные данные'!$I$2:$I$964,'Исходные данные'!$D$2:$D$964,DS$1,'Исходные данные'!$F$2:$F$964,$A20)</f>
        <v>0</v>
      </c>
      <c r="DT20" s="11" t="n">
        <f aca="false">SUMIFS('Исходные данные'!$J$2:$J$964,'Исходные данные'!$D$2:$D$964,DS$1,'Исходные данные'!$F$2:$F$964,$A20)</f>
        <v>0</v>
      </c>
      <c r="DU20" s="7" t="n">
        <v>0</v>
      </c>
      <c r="DV20" s="7" t="n">
        <v>0</v>
      </c>
      <c r="DW20" s="11" t="n">
        <f aca="false">SUMIFS('Исходные данные'!$I$2:$I$964,'Исходные данные'!$D$2:$D$964,DW$1,'Исходные данные'!$F$2:$F$964,$A20)</f>
        <v>0</v>
      </c>
      <c r="DX20" s="11" t="n">
        <f aca="false">SUMIFS('Исходные данные'!$J$2:$J$964,'Исходные данные'!$D$2:$D$964,DW$1,'Исходные данные'!$F$2:$F$964,$A20)</f>
        <v>0</v>
      </c>
      <c r="DY20" s="7" t="n">
        <v>0</v>
      </c>
      <c r="DZ20" s="7" t="n">
        <v>0</v>
      </c>
      <c r="EA20" s="11" t="n">
        <f aca="false">SUMIFS('Исходные данные'!$I$2:$I$964,'Исходные данные'!$D$2:$D$964,EA$1,'Исходные данные'!$F$2:$F$964,$A20)</f>
        <v>0</v>
      </c>
      <c r="EB20" s="11" t="n">
        <f aca="false">SUMIFS('Исходные данные'!$J$2:$J$964,'Исходные данные'!$D$2:$D$964,EA$1,'Исходные данные'!$F$2:$F$964,$A20)</f>
        <v>0</v>
      </c>
      <c r="EC20" s="7" t="n">
        <v>0</v>
      </c>
      <c r="ED20" s="7" t="n">
        <v>0</v>
      </c>
      <c r="EE20" s="11" t="n">
        <f aca="false">SUMIFS('Исходные данные'!$I$2:$I$964,'Исходные данные'!$D$2:$D$964,EE$1,'Исходные данные'!$F$2:$F$964,$A20)</f>
        <v>0</v>
      </c>
      <c r="EF20" s="11" t="n">
        <f aca="false">SUMIFS('Исходные данные'!$J$2:$J$964,'Исходные данные'!$D$2:$D$964,EE$1,'Исходные данные'!$F$2:$F$964,$A20)</f>
        <v>0</v>
      </c>
      <c r="EG20" s="7" t="n">
        <v>0</v>
      </c>
      <c r="EH20" s="7" t="n">
        <v>0</v>
      </c>
      <c r="EI20" s="11" t="n">
        <f aca="false">SUMIFS('Исходные данные'!$I$2:$I$964,'Исходные данные'!$D$2:$D$964,EI$1,'Исходные данные'!$F$2:$F$964,$A20)</f>
        <v>0</v>
      </c>
      <c r="EJ20" s="11" t="n">
        <f aca="false">SUMIFS('Исходные данные'!$J$2:$J$964,'Исходные данные'!$D$2:$D$964,EI$1,'Исходные данные'!$F$2:$F$964,$A20)</f>
        <v>0</v>
      </c>
      <c r="EK20" s="7" t="n">
        <v>0</v>
      </c>
      <c r="EL20" s="7" t="n">
        <v>0</v>
      </c>
      <c r="EM20" s="11" t="n">
        <f aca="false">SUMIFS('Исходные данные'!$I$2:$I$964,'Исходные данные'!$D$2:$D$964,EM$1,'Исходные данные'!$F$2:$F$964,$A20)</f>
        <v>0</v>
      </c>
      <c r="EN20" s="11" t="n">
        <f aca="false">SUMIFS('Исходные данные'!$J$2:$J$964,'Исходные данные'!$D$2:$D$964,EM$1,'Исходные данные'!$F$2:$F$964,$A20)</f>
        <v>0</v>
      </c>
      <c r="EO20" s="7" t="n">
        <v>0</v>
      </c>
      <c r="EP20" s="7" t="n">
        <v>0</v>
      </c>
      <c r="EQ20" s="11" t="n">
        <f aca="false">SUMIFS('Исходные данные'!$I$2:$I$964,'Исходные данные'!$D$2:$D$964,EQ$1,'Исходные данные'!$F$2:$F$964,$A20)</f>
        <v>0</v>
      </c>
      <c r="ER20" s="11" t="n">
        <f aca="false">SUMIFS('Исходные данные'!$J$2:$J$964,'Исходные данные'!$D$2:$D$964,EQ$1,'Исходные данные'!$F$2:$F$964,$A20)</f>
        <v>0</v>
      </c>
      <c r="ES20" s="7" t="n">
        <v>0</v>
      </c>
      <c r="ET20" s="7" t="n">
        <v>0</v>
      </c>
      <c r="EU20" s="11" t="n">
        <f aca="false">SUMIFS('Исходные данные'!$I$2:$I$964,'Исходные данные'!$D$2:$D$964,EU$1,'Исходные данные'!$F$2:$F$964,$A20)</f>
        <v>0</v>
      </c>
      <c r="EV20" s="11" t="n">
        <f aca="false">SUMIFS('Исходные данные'!$J$2:$J$964,'Исходные данные'!$D$2:$D$964,EU$1,'Исходные данные'!$F$2:$F$964,$A20)</f>
        <v>0</v>
      </c>
      <c r="EW20" s="7" t="n">
        <v>0</v>
      </c>
      <c r="EX20" s="7" t="n">
        <v>0</v>
      </c>
      <c r="EY20" s="11" t="n">
        <f aca="false">SUMIFS('Исходные данные'!$I$2:$I$964,'Исходные данные'!$D$2:$D$964,EY$1,'Исходные данные'!$F$2:$F$964,$A20)</f>
        <v>0</v>
      </c>
      <c r="EZ20" s="11" t="n">
        <f aca="false">SUMIFS('Исходные данные'!$J$2:$J$964,'Исходные данные'!$D$2:$D$964,EY$1,'Исходные данные'!$F$2:$F$964,$A20)</f>
        <v>0</v>
      </c>
      <c r="FA20" s="7" t="n">
        <v>0</v>
      </c>
      <c r="FB20" s="7" t="n">
        <v>0</v>
      </c>
      <c r="FC20" s="11" t="n">
        <f aca="false">SUMIFS('Исходные данные'!$I$2:$I$964,'Исходные данные'!$D$2:$D$964,FC$1,'Исходные данные'!$F$2:$F$964,$A20)</f>
        <v>0</v>
      </c>
      <c r="FD20" s="11" t="n">
        <f aca="false">SUMIFS('Исходные данные'!$J$2:$J$964,'Исходные данные'!$D$2:$D$964,FC$1,'Исходные данные'!$F$2:$F$964,$A20)</f>
        <v>0</v>
      </c>
      <c r="FE20" s="7" t="n">
        <v>0</v>
      </c>
      <c r="FF20" s="7" t="n">
        <v>0</v>
      </c>
      <c r="FG20" s="11" t="n">
        <f aca="false">SUMIFS('Исходные данные'!$I$2:$I$964,'Исходные данные'!$D$2:$D$964,FG$1,'Исходные данные'!$F$2:$F$964,$A20)</f>
        <v>0</v>
      </c>
      <c r="FH20" s="11" t="n">
        <f aca="false">SUMIFS('Исходные данные'!$J$2:$J$964,'Исходные данные'!$D$2:$D$964,FG$1,'Исходные данные'!$F$2:$F$964,$A20)</f>
        <v>0</v>
      </c>
    </row>
    <row r="21" customFormat="false" ht="15" hidden="false" customHeight="false" outlineLevel="0" collapsed="false">
      <c r="A21" s="10" t="s">
        <v>85</v>
      </c>
      <c r="B21" s="11" t="s">
        <v>86</v>
      </c>
      <c r="C21" s="6" t="n">
        <v>0</v>
      </c>
      <c r="D21" s="6" t="n">
        <f aca="false">I21+J21+M21+N21+Q21+R21+U21+V21+Y21+Z21+AC21+AD21+AG21+AH21+AK21+AL21+AO21+AP21+AS21+AT21+AW21+AX21+BA21+BB21+BE21+BF21+BI21+BJ21+BM21+BN21+BQ21+BR21+BU21+BV21+BY21+BZ21+CC21+CD21+CG21+CH21+CK21+CL21+CO21+CP21+CS21+CT21+CW21+CX21+DA21+DB21+DE21+DF21+DI21+DJ21+DM21+DN21+DQ21+DR21+DU21+DV21+DY21+DZ21+EC21+ED21+EG21+EH21+EK21+EL21+EO21+EP21+ES21+ET21+EW21+EX21+FA21+FB21+FE21+FF21</f>
        <v>0</v>
      </c>
      <c r="E21" s="6" t="n">
        <f aca="false">G21+H21</f>
        <v>0</v>
      </c>
      <c r="F21" s="6" t="n">
        <f aca="false">E21-C21</f>
        <v>0</v>
      </c>
      <c r="G21" s="6" t="n">
        <f aca="false">K21+O21+S21+W21+AA21+AE21+AI21+AM21+AQ21+AU21+AY21+BC21+BG21+BK21+BO21+BS21+BW21+CA21+CE21+CI21+CM21+CQ21+CU21+CY21+DC21+DG21+DK21+DO21+DS21+DW21+EA21+EE21+EI21+EM21+EQ21+EU21+EY21+FC21+FG21</f>
        <v>0</v>
      </c>
      <c r="H21" s="6" t="n">
        <f aca="false">L21+P21+T21+X21+AB21+AF21+AJ21+AN21+AR21+AV21+AZ21+BD21+BH21+BL21+BP21+BT21+BX21+CB21+CF21+CJ21+CN21+CR21+CV21+CZ21+DD21+DH21+DL21+DP21+DT21+DX21+EB21+EF21+EJ21+EN21+ER21+EV21+EZ21+FD21+FH21</f>
        <v>0</v>
      </c>
      <c r="I21" s="7" t="n">
        <v>0</v>
      </c>
      <c r="J21" s="7" t="n">
        <v>0</v>
      </c>
      <c r="K21" s="11" t="n">
        <f aca="false">SUMIFS('Исходные данные'!$I$2:$I$964,'Исходные данные'!$D$2:$D$964,K$1,'Исходные данные'!$F$2:$F$964,$A21)</f>
        <v>0</v>
      </c>
      <c r="L21" s="11" t="n">
        <f aca="false">SUMIFS('Исходные данные'!$J$2:$J$964,'Исходные данные'!$D$2:$D$964,K$1,'Исходные данные'!$F$2:$F$964,$A21)</f>
        <v>0</v>
      </c>
      <c r="M21" s="7" t="n">
        <v>0</v>
      </c>
      <c r="N21" s="7" t="n">
        <v>0</v>
      </c>
      <c r="O21" s="11" t="n">
        <f aca="false">SUMIFS('Исходные данные'!$I$2:$I$964,'Исходные данные'!$D$2:$D$964,O$1,'Исходные данные'!$F$2:$F$964,$A21)</f>
        <v>0</v>
      </c>
      <c r="P21" s="11" t="n">
        <f aca="false">SUMIFS('Исходные данные'!$J$2:$J$964,'Исходные данные'!$D$2:$D$964,O$1,'Исходные данные'!$F$2:$F$964,$A21)</f>
        <v>0</v>
      </c>
      <c r="Q21" s="7" t="n">
        <v>0</v>
      </c>
      <c r="R21" s="7" t="n">
        <v>0</v>
      </c>
      <c r="S21" s="11" t="n">
        <f aca="false">SUMIFS('Исходные данные'!$I$2:$I$964,'Исходные данные'!$D$2:$D$964,S$1,'Исходные данные'!$F$2:$F$964,$A21)</f>
        <v>0</v>
      </c>
      <c r="T21" s="11" t="n">
        <f aca="false">SUMIFS('Исходные данные'!$J$2:$J$964,'Исходные данные'!$D$2:$D$964,S$1,'Исходные данные'!$F$2:$F$964,$A21)</f>
        <v>0</v>
      </c>
      <c r="U21" s="7" t="n">
        <v>0</v>
      </c>
      <c r="V21" s="7" t="n">
        <v>0</v>
      </c>
      <c r="W21" s="11" t="n">
        <f aca="false">SUMIFS('Исходные данные'!$I$2:$I$964,'Исходные данные'!$D$2:$D$964,W$1,'Исходные данные'!$F$2:$F$964,$A21)</f>
        <v>0</v>
      </c>
      <c r="X21" s="11" t="n">
        <f aca="false">SUMIFS('Исходные данные'!$J$2:$J$964,'Исходные данные'!$D$2:$D$964,W$1,'Исходные данные'!$F$2:$F$964,$A21)</f>
        <v>0</v>
      </c>
      <c r="Y21" s="7" t="n">
        <v>0</v>
      </c>
      <c r="Z21" s="7" t="n">
        <v>0</v>
      </c>
      <c r="AA21" s="11" t="n">
        <f aca="false">SUMIFS('Исходные данные'!$I$2:$I$964,'Исходные данные'!$D$2:$D$964,AA$1,'Исходные данные'!$F$2:$F$964,$A21)</f>
        <v>0</v>
      </c>
      <c r="AB21" s="11" t="n">
        <f aca="false">SUMIFS('Исходные данные'!$J$2:$J$964,'Исходные данные'!$D$2:$D$964,AA$1,'Исходные данные'!$F$2:$F$964,$A21)</f>
        <v>0</v>
      </c>
      <c r="AC21" s="7" t="n">
        <v>0</v>
      </c>
      <c r="AD21" s="7" t="n">
        <v>0</v>
      </c>
      <c r="AE21" s="11" t="n">
        <f aca="false">SUMIFS('Исходные данные'!$I$2:$I$964,'Исходные данные'!$D$2:$D$964,AE$1,'Исходные данные'!$F$2:$F$964,$A21)</f>
        <v>0</v>
      </c>
      <c r="AF21" s="11" t="n">
        <f aca="false">SUMIFS('Исходные данные'!$J$2:$J$964,'Исходные данные'!$D$2:$D$964,AE$1,'Исходные данные'!$F$2:$F$964,$A21)</f>
        <v>0</v>
      </c>
      <c r="AG21" s="7" t="n">
        <v>0</v>
      </c>
      <c r="AH21" s="7" t="n">
        <v>0</v>
      </c>
      <c r="AI21" s="11" t="n">
        <f aca="false">SUMIFS('Исходные данные'!$I$2:$I$964,'Исходные данные'!$D$2:$D$964,AI$1,'Исходные данные'!$F$2:$F$964,$A21)</f>
        <v>0</v>
      </c>
      <c r="AJ21" s="11" t="n">
        <f aca="false">SUMIFS('Исходные данные'!$J$2:$J$964,'Исходные данные'!$D$2:$D$964,AI$1,'Исходные данные'!$F$2:$F$964,$A21)</f>
        <v>0</v>
      </c>
      <c r="AK21" s="7" t="n">
        <v>0</v>
      </c>
      <c r="AL21" s="7" t="n">
        <v>0</v>
      </c>
      <c r="AM21" s="11" t="n">
        <f aca="false">SUMIFS('Исходные данные'!$I$2:$I$964,'Исходные данные'!$D$2:$D$964,AM$1,'Исходные данные'!$F$2:$F$964,$A21)</f>
        <v>0</v>
      </c>
      <c r="AN21" s="11" t="n">
        <f aca="false">SUMIFS('Исходные данные'!$J$2:$J$964,'Исходные данные'!$D$2:$D$964,AM$1,'Исходные данные'!$F$2:$F$964,$A21)</f>
        <v>0</v>
      </c>
      <c r="AO21" s="7" t="n">
        <v>0</v>
      </c>
      <c r="AP21" s="7" t="n">
        <v>0</v>
      </c>
      <c r="AQ21" s="11" t="n">
        <f aca="false">SUMIFS('Исходные данные'!$I$2:$I$964,'Исходные данные'!$D$2:$D$964,AQ$1,'Исходные данные'!$F$2:$F$964,$A21)</f>
        <v>0</v>
      </c>
      <c r="AR21" s="11" t="n">
        <f aca="false">SUMIFS('Исходные данные'!$J$2:$J$964,'Исходные данные'!$D$2:$D$964,AQ$1,'Исходные данные'!$F$2:$F$964,$A21)</f>
        <v>0</v>
      </c>
      <c r="AS21" s="7" t="n">
        <v>0</v>
      </c>
      <c r="AT21" s="7" t="n">
        <v>0</v>
      </c>
      <c r="AU21" s="11" t="n">
        <f aca="false">SUMIFS('Исходные данные'!$I$2:$I$964,'Исходные данные'!$D$2:$D$964,AU$1,'Исходные данные'!$F$2:$F$964,$A21)</f>
        <v>0</v>
      </c>
      <c r="AV21" s="11" t="n">
        <f aca="false">SUMIFS('Исходные данные'!$J$2:$J$964,'Исходные данные'!$D$2:$D$964,AU$1,'Исходные данные'!$F$2:$F$964,$A21)</f>
        <v>0</v>
      </c>
      <c r="AW21" s="7" t="n">
        <v>0</v>
      </c>
      <c r="AX21" s="7" t="n">
        <v>0</v>
      </c>
      <c r="AY21" s="11" t="n">
        <f aca="false">SUMIFS('Исходные данные'!$I$2:$I$964,'Исходные данные'!$D$2:$D$964,AY$1,'Исходные данные'!$F$2:$F$964,$A21)</f>
        <v>0</v>
      </c>
      <c r="AZ21" s="11" t="n">
        <f aca="false">SUMIFS('Исходные данные'!$J$2:$J$964,'Исходные данные'!$D$2:$D$964,AY$1,'Исходные данные'!$F$2:$F$964,$A21)</f>
        <v>0</v>
      </c>
      <c r="BA21" s="7" t="n">
        <v>0</v>
      </c>
      <c r="BB21" s="7" t="n">
        <v>0</v>
      </c>
      <c r="BC21" s="11" t="n">
        <f aca="false">SUMIFS('Исходные данные'!$I$2:$I$964,'Исходные данные'!$D$2:$D$964,BC$1,'Исходные данные'!$F$2:$F$964,$A21)</f>
        <v>0</v>
      </c>
      <c r="BD21" s="11" t="n">
        <f aca="false">SUMIFS('Исходные данные'!$J$2:$J$964,'Исходные данные'!$D$2:$D$964,BC$1,'Исходные данные'!$F$2:$F$964,$A21)</f>
        <v>0</v>
      </c>
      <c r="BE21" s="7" t="n">
        <v>0</v>
      </c>
      <c r="BF21" s="7" t="n">
        <v>0</v>
      </c>
      <c r="BG21" s="11" t="n">
        <f aca="false">SUMIFS('Исходные данные'!$I$2:$I$964,'Исходные данные'!$D$2:$D$964,BG$1,'Исходные данные'!$F$2:$F$964,$A21)</f>
        <v>0</v>
      </c>
      <c r="BH21" s="11" t="n">
        <f aca="false">SUMIFS('Исходные данные'!$J$2:$J$964,'Исходные данные'!$D$2:$D$964,BG$1,'Исходные данные'!$F$2:$F$964,$A21)</f>
        <v>0</v>
      </c>
      <c r="BI21" s="7" t="n">
        <v>0</v>
      </c>
      <c r="BJ21" s="7" t="n">
        <v>0</v>
      </c>
      <c r="BK21" s="11" t="n">
        <f aca="false">SUMIFS('Исходные данные'!$I$2:$I$964,'Исходные данные'!$D$2:$D$964,BK$1,'Исходные данные'!$F$2:$F$964,$A21)</f>
        <v>0</v>
      </c>
      <c r="BL21" s="11" t="n">
        <f aca="false">SUMIFS('Исходные данные'!$J$2:$J$964,'Исходные данные'!$D$2:$D$964,BK$1,'Исходные данные'!$F$2:$F$964,$A21)</f>
        <v>0</v>
      </c>
      <c r="BM21" s="7" t="n">
        <v>0</v>
      </c>
      <c r="BN21" s="7" t="n">
        <v>0</v>
      </c>
      <c r="BO21" s="11" t="n">
        <f aca="false">SUMIFS('Исходные данные'!$I$2:$I$964,'Исходные данные'!$D$2:$D$964,BO$1,'Исходные данные'!$F$2:$F$964,$A21)</f>
        <v>0</v>
      </c>
      <c r="BP21" s="11" t="n">
        <f aca="false">SUMIFS('Исходные данные'!$J$2:$J$964,'Исходные данные'!$D$2:$D$964,BO$1,'Исходные данные'!$F$2:$F$964,$A21)</f>
        <v>0</v>
      </c>
      <c r="BQ21" s="7" t="n">
        <v>0</v>
      </c>
      <c r="BR21" s="7" t="n">
        <v>0</v>
      </c>
      <c r="BS21" s="11" t="n">
        <f aca="false">SUMIFS('Исходные данные'!$I$2:$I$964,'Исходные данные'!$D$2:$D$964,BS$1,'Исходные данные'!$F$2:$F$964,$A21)</f>
        <v>0</v>
      </c>
      <c r="BT21" s="11" t="n">
        <f aca="false">SUMIFS('Исходные данные'!$J$2:$J$964,'Исходные данные'!$D$2:$D$964,BS$1,'Исходные данные'!$F$2:$F$964,$A21)</f>
        <v>0</v>
      </c>
      <c r="BU21" s="7" t="n">
        <v>0</v>
      </c>
      <c r="BV21" s="7" t="n">
        <v>0</v>
      </c>
      <c r="BW21" s="11" t="n">
        <f aca="false">SUMIFS('Исходные данные'!$I$2:$I$964,'Исходные данные'!$D$2:$D$964,BW$1,'Исходные данные'!$F$2:$F$964,$A21)</f>
        <v>0</v>
      </c>
      <c r="BX21" s="11" t="n">
        <f aca="false">SUMIFS('Исходные данные'!$J$2:$J$964,'Исходные данные'!$D$2:$D$964,BW$1,'Исходные данные'!$F$2:$F$964,$A21)</f>
        <v>0</v>
      </c>
      <c r="BY21" s="7" t="n">
        <v>0</v>
      </c>
      <c r="BZ21" s="7" t="n">
        <v>0</v>
      </c>
      <c r="CA21" s="11" t="n">
        <f aca="false">SUMIFS('Исходные данные'!$I$2:$I$964,'Исходные данные'!$D$2:$D$964,CA$1,'Исходные данные'!$F$2:$F$964,$A21)</f>
        <v>0</v>
      </c>
      <c r="CB21" s="11" t="n">
        <f aca="false">SUMIFS('Исходные данные'!$J$2:$J$964,'Исходные данные'!$D$2:$D$964,CA$1,'Исходные данные'!$F$2:$F$964,$A21)</f>
        <v>0</v>
      </c>
      <c r="CC21" s="7" t="n">
        <v>0</v>
      </c>
      <c r="CD21" s="7" t="n">
        <v>0</v>
      </c>
      <c r="CE21" s="11" t="n">
        <f aca="false">SUMIFS('Исходные данные'!$I$2:$I$964,'Исходные данные'!$D$2:$D$964,CE$1,'Исходные данные'!$F$2:$F$964,$A21)</f>
        <v>0</v>
      </c>
      <c r="CF21" s="11" t="n">
        <f aca="false">SUMIFS('Исходные данные'!$J$2:$J$964,'Исходные данные'!$D$2:$D$964,CE$1,'Исходные данные'!$F$2:$F$964,$A21)</f>
        <v>0</v>
      </c>
      <c r="CG21" s="7" t="n">
        <v>0</v>
      </c>
      <c r="CH21" s="7" t="n">
        <v>0</v>
      </c>
      <c r="CI21" s="11" t="n">
        <f aca="false">SUMIFS('Исходные данные'!$I$2:$I$964,'Исходные данные'!$D$2:$D$964,CI$1,'Исходные данные'!$F$2:$F$964,$A21)</f>
        <v>0</v>
      </c>
      <c r="CJ21" s="11" t="n">
        <f aca="false">SUMIFS('Исходные данные'!$J$2:$J$964,'Исходные данные'!$D$2:$D$964,CI$1,'Исходные данные'!$F$2:$F$964,$A21)</f>
        <v>0</v>
      </c>
      <c r="CK21" s="7" t="n">
        <v>0</v>
      </c>
      <c r="CL21" s="7" t="n">
        <v>0</v>
      </c>
      <c r="CM21" s="11" t="n">
        <f aca="false">SUMIFS('Исходные данные'!$I$2:$I$964,'Исходные данные'!$D$2:$D$964,CM$1,'Исходные данные'!$F$2:$F$964,$A21)</f>
        <v>0</v>
      </c>
      <c r="CN21" s="11" t="n">
        <f aca="false">SUMIFS('Исходные данные'!$J$2:$J$964,'Исходные данные'!$D$2:$D$964,CM$1,'Исходные данные'!$F$2:$F$964,$A21)</f>
        <v>0</v>
      </c>
      <c r="CO21" s="7" t="n">
        <v>0</v>
      </c>
      <c r="CP21" s="7" t="n">
        <v>0</v>
      </c>
      <c r="CQ21" s="11" t="n">
        <f aca="false">SUMIFS('Исходные данные'!$I$2:$I$964,'Исходные данные'!$D$2:$D$964,CQ$1,'Исходные данные'!$F$2:$F$964,$A21)</f>
        <v>0</v>
      </c>
      <c r="CR21" s="11" t="n">
        <f aca="false">SUMIFS('Исходные данные'!$J$2:$J$964,'Исходные данные'!$D$2:$D$964,CQ$1,'Исходные данные'!$F$2:$F$964,$A21)</f>
        <v>0</v>
      </c>
      <c r="CS21" s="7" t="n">
        <v>0</v>
      </c>
      <c r="CT21" s="7" t="n">
        <v>0</v>
      </c>
      <c r="CU21" s="11" t="n">
        <f aca="false">SUMIFS('Исходные данные'!$I$2:$I$964,'Исходные данные'!$D$2:$D$964,CU$1,'Исходные данные'!$F$2:$F$964,$A21)</f>
        <v>0</v>
      </c>
      <c r="CV21" s="11" t="n">
        <f aca="false">SUMIFS('Исходные данные'!$J$2:$J$964,'Исходные данные'!$D$2:$D$964,CU$1,'Исходные данные'!$F$2:$F$964,$A21)</f>
        <v>0</v>
      </c>
      <c r="CW21" s="7" t="n">
        <v>0</v>
      </c>
      <c r="CX21" s="7" t="n">
        <v>0</v>
      </c>
      <c r="CY21" s="11" t="n">
        <f aca="false">SUMIFS('Исходные данные'!$I$2:$I$964,'Исходные данные'!$D$2:$D$964,CY$1,'Исходные данные'!$F$2:$F$964,$A21)</f>
        <v>0</v>
      </c>
      <c r="CZ21" s="11" t="n">
        <f aca="false">SUMIFS('Исходные данные'!$J$2:$J$964,'Исходные данные'!$D$2:$D$964,CY$1,'Исходные данные'!$F$2:$F$964,$A21)</f>
        <v>0</v>
      </c>
      <c r="DA21" s="7" t="n">
        <v>0</v>
      </c>
      <c r="DB21" s="7" t="n">
        <v>0</v>
      </c>
      <c r="DC21" s="11" t="n">
        <f aca="false">SUMIFS('Исходные данные'!$I$2:$I$964,'Исходные данные'!$D$2:$D$964,DC$1,'Исходные данные'!$F$2:$F$964,$A21)</f>
        <v>0</v>
      </c>
      <c r="DD21" s="11" t="n">
        <f aca="false">SUMIFS('Исходные данные'!$J$2:$J$964,'Исходные данные'!$D$2:$D$964,DC$1,'Исходные данные'!$F$2:$F$964,$A21)</f>
        <v>0</v>
      </c>
      <c r="DE21" s="7" t="n">
        <v>0</v>
      </c>
      <c r="DF21" s="7" t="n">
        <v>0</v>
      </c>
      <c r="DG21" s="11" t="n">
        <f aca="false">SUMIFS('Исходные данные'!$I$2:$I$964,'Исходные данные'!$D$2:$D$964,DG$1,'Исходные данные'!$F$2:$F$964,$A21)</f>
        <v>0</v>
      </c>
      <c r="DH21" s="11" t="n">
        <f aca="false">SUMIFS('Исходные данные'!$J$2:$J$964,'Исходные данные'!$D$2:$D$964,DG$1,'Исходные данные'!$F$2:$F$964,$A21)</f>
        <v>0</v>
      </c>
      <c r="DI21" s="7" t="n">
        <v>0</v>
      </c>
      <c r="DJ21" s="7" t="n">
        <v>0</v>
      </c>
      <c r="DK21" s="11" t="n">
        <f aca="false">SUMIFS('Исходные данные'!$I$2:$I$964,'Исходные данные'!$D$2:$D$964,DK$1,'Исходные данные'!$F$2:$F$964,$A21)</f>
        <v>0</v>
      </c>
      <c r="DL21" s="11" t="n">
        <f aca="false">SUMIFS('Исходные данные'!$J$2:$J$964,'Исходные данные'!$D$2:$D$964,DK$1,'Исходные данные'!$F$2:$F$964,$A21)</f>
        <v>0</v>
      </c>
      <c r="DM21" s="7" t="n">
        <v>0</v>
      </c>
      <c r="DN21" s="7" t="n">
        <v>0</v>
      </c>
      <c r="DO21" s="11" t="n">
        <f aca="false">SUMIFS('Исходные данные'!$I$2:$I$964,'Исходные данные'!$D$2:$D$964,DO$1,'Исходные данные'!$F$2:$F$964,$A21)</f>
        <v>0</v>
      </c>
      <c r="DP21" s="11" t="n">
        <f aca="false">SUMIFS('Исходные данные'!$J$2:$J$964,'Исходные данные'!$D$2:$D$964,DO$1,'Исходные данные'!$F$2:$F$964,$A21)</f>
        <v>0</v>
      </c>
      <c r="DQ21" s="7" t="n">
        <v>0</v>
      </c>
      <c r="DR21" s="7" t="n">
        <v>0</v>
      </c>
      <c r="DS21" s="11" t="n">
        <f aca="false">SUMIFS('Исходные данные'!$I$2:$I$964,'Исходные данные'!$D$2:$D$964,DS$1,'Исходные данные'!$F$2:$F$964,$A21)</f>
        <v>0</v>
      </c>
      <c r="DT21" s="11" t="n">
        <f aca="false">SUMIFS('Исходные данные'!$J$2:$J$964,'Исходные данные'!$D$2:$D$964,DS$1,'Исходные данные'!$F$2:$F$964,$A21)</f>
        <v>0</v>
      </c>
      <c r="DU21" s="7" t="n">
        <v>0</v>
      </c>
      <c r="DV21" s="7" t="n">
        <v>0</v>
      </c>
      <c r="DW21" s="11" t="n">
        <f aca="false">SUMIFS('Исходные данные'!$I$2:$I$964,'Исходные данные'!$D$2:$D$964,DW$1,'Исходные данные'!$F$2:$F$964,$A21)</f>
        <v>0</v>
      </c>
      <c r="DX21" s="11" t="n">
        <f aca="false">SUMIFS('Исходные данные'!$J$2:$J$964,'Исходные данные'!$D$2:$D$964,DW$1,'Исходные данные'!$F$2:$F$964,$A21)</f>
        <v>0</v>
      </c>
      <c r="DY21" s="7" t="n">
        <v>0</v>
      </c>
      <c r="DZ21" s="7" t="n">
        <v>0</v>
      </c>
      <c r="EA21" s="11" t="n">
        <f aca="false">SUMIFS('Исходные данные'!$I$2:$I$964,'Исходные данные'!$D$2:$D$964,EA$1,'Исходные данные'!$F$2:$F$964,$A21)</f>
        <v>0</v>
      </c>
      <c r="EB21" s="11" t="n">
        <f aca="false">SUMIFS('Исходные данные'!$J$2:$J$964,'Исходные данные'!$D$2:$D$964,EA$1,'Исходные данные'!$F$2:$F$964,$A21)</f>
        <v>0</v>
      </c>
      <c r="EC21" s="7" t="n">
        <v>0</v>
      </c>
      <c r="ED21" s="7" t="n">
        <v>0</v>
      </c>
      <c r="EE21" s="11" t="n">
        <f aca="false">SUMIFS('Исходные данные'!$I$2:$I$964,'Исходные данные'!$D$2:$D$964,EE$1,'Исходные данные'!$F$2:$F$964,$A21)</f>
        <v>0</v>
      </c>
      <c r="EF21" s="11" t="n">
        <f aca="false">SUMIFS('Исходные данные'!$J$2:$J$964,'Исходные данные'!$D$2:$D$964,EE$1,'Исходные данные'!$F$2:$F$964,$A21)</f>
        <v>0</v>
      </c>
      <c r="EG21" s="7" t="n">
        <v>0</v>
      </c>
      <c r="EH21" s="7" t="n">
        <v>0</v>
      </c>
      <c r="EI21" s="11" t="n">
        <f aca="false">SUMIFS('Исходные данные'!$I$2:$I$964,'Исходные данные'!$D$2:$D$964,EI$1,'Исходные данные'!$F$2:$F$964,$A21)</f>
        <v>0</v>
      </c>
      <c r="EJ21" s="11" t="n">
        <f aca="false">SUMIFS('Исходные данные'!$J$2:$J$964,'Исходные данные'!$D$2:$D$964,EI$1,'Исходные данные'!$F$2:$F$964,$A21)</f>
        <v>0</v>
      </c>
      <c r="EK21" s="7" t="n">
        <v>0</v>
      </c>
      <c r="EL21" s="7" t="n">
        <v>0</v>
      </c>
      <c r="EM21" s="11" t="n">
        <f aca="false">SUMIFS('Исходные данные'!$I$2:$I$964,'Исходные данные'!$D$2:$D$964,EM$1,'Исходные данные'!$F$2:$F$964,$A21)</f>
        <v>0</v>
      </c>
      <c r="EN21" s="11" t="n">
        <f aca="false">SUMIFS('Исходные данные'!$J$2:$J$964,'Исходные данные'!$D$2:$D$964,EM$1,'Исходные данные'!$F$2:$F$964,$A21)</f>
        <v>0</v>
      </c>
      <c r="EO21" s="7" t="n">
        <v>0</v>
      </c>
      <c r="EP21" s="7" t="n">
        <v>0</v>
      </c>
      <c r="EQ21" s="11" t="n">
        <f aca="false">SUMIFS('Исходные данные'!$I$2:$I$964,'Исходные данные'!$D$2:$D$964,EQ$1,'Исходные данные'!$F$2:$F$964,$A21)</f>
        <v>0</v>
      </c>
      <c r="ER21" s="11" t="n">
        <f aca="false">SUMIFS('Исходные данные'!$J$2:$J$964,'Исходные данные'!$D$2:$D$964,EQ$1,'Исходные данные'!$F$2:$F$964,$A21)</f>
        <v>0</v>
      </c>
      <c r="ES21" s="7" t="n">
        <v>0</v>
      </c>
      <c r="ET21" s="7" t="n">
        <v>0</v>
      </c>
      <c r="EU21" s="11" t="n">
        <f aca="false">SUMIFS('Исходные данные'!$I$2:$I$964,'Исходные данные'!$D$2:$D$964,EU$1,'Исходные данные'!$F$2:$F$964,$A21)</f>
        <v>0</v>
      </c>
      <c r="EV21" s="11" t="n">
        <f aca="false">SUMIFS('Исходные данные'!$J$2:$J$964,'Исходные данные'!$D$2:$D$964,EU$1,'Исходные данные'!$F$2:$F$964,$A21)</f>
        <v>0</v>
      </c>
      <c r="EW21" s="7" t="n">
        <v>0</v>
      </c>
      <c r="EX21" s="7" t="n">
        <v>0</v>
      </c>
      <c r="EY21" s="11" t="n">
        <f aca="false">SUMIFS('Исходные данные'!$I$2:$I$964,'Исходные данные'!$D$2:$D$964,EY$1,'Исходные данные'!$F$2:$F$964,$A21)</f>
        <v>0</v>
      </c>
      <c r="EZ21" s="11" t="n">
        <f aca="false">SUMIFS('Исходные данные'!$J$2:$J$964,'Исходные данные'!$D$2:$D$964,EY$1,'Исходные данные'!$F$2:$F$964,$A21)</f>
        <v>0</v>
      </c>
      <c r="FA21" s="7" t="n">
        <v>0</v>
      </c>
      <c r="FB21" s="7" t="n">
        <v>0</v>
      </c>
      <c r="FC21" s="11" t="n">
        <f aca="false">SUMIFS('Исходные данные'!$I$2:$I$964,'Исходные данные'!$D$2:$D$964,FC$1,'Исходные данные'!$F$2:$F$964,$A21)</f>
        <v>0</v>
      </c>
      <c r="FD21" s="11" t="n">
        <f aca="false">SUMIFS('Исходные данные'!$J$2:$J$964,'Исходные данные'!$D$2:$D$964,FC$1,'Исходные данные'!$F$2:$F$964,$A21)</f>
        <v>0</v>
      </c>
      <c r="FE21" s="7" t="n">
        <v>0</v>
      </c>
      <c r="FF21" s="7" t="n">
        <v>0</v>
      </c>
      <c r="FG21" s="11" t="n">
        <f aca="false">SUMIFS('Исходные данные'!$I$2:$I$964,'Исходные данные'!$D$2:$D$964,FG$1,'Исходные данные'!$F$2:$F$964,$A21)</f>
        <v>0</v>
      </c>
      <c r="FH21" s="11" t="n">
        <f aca="false">SUMIFS('Исходные данные'!$J$2:$J$964,'Исходные данные'!$D$2:$D$964,FG$1,'Исходные данные'!$F$2:$F$964,$A21)</f>
        <v>0</v>
      </c>
    </row>
    <row r="22" customFormat="false" ht="15" hidden="false" customHeight="false" outlineLevel="0" collapsed="false">
      <c r="A22" s="10" t="s">
        <v>87</v>
      </c>
      <c r="B22" s="11" t="s">
        <v>88</v>
      </c>
      <c r="C22" s="6" t="n">
        <v>62</v>
      </c>
      <c r="D22" s="6" t="n">
        <f aca="false">I22+J22+M22+N22+Q22+R22+U22+V22+Y22+Z22+AC22+AD22+AG22+AH22+AK22+AL22+AO22+AP22+AS22+AT22+AW22+AX22+BA22+BB22+BE22+BF22+BI22+BJ22+BM22+BN22+BQ22+BR22+BU22+BV22+BY22+BZ22+CC22+CD22+CG22+CH22+CK22+CL22+CO22+CP22+CS22+CT22+CW22+CX22+DA22+DB22+DE22+DF22+DI22+DJ22+DM22+DN22+DQ22+DR22+DU22+DV22+DY22+DZ22+EC22+ED22+EG22+EH22+EK22+EL22+EO22+EP22+ES22+ET22+EW22+EX22+FA22+FB22+FE22+FF22</f>
        <v>62</v>
      </c>
      <c r="E22" s="6" t="n">
        <f aca="false">G22+H22</f>
        <v>60</v>
      </c>
      <c r="F22" s="6" t="n">
        <f aca="false">E22-C22</f>
        <v>-2</v>
      </c>
      <c r="G22" s="6" t="n">
        <f aca="false">K22+O22+S22+W22+AA22+AE22+AI22+AM22+AQ22+AU22+AY22+BC22+BG22+BK22+BO22+BS22+BW22+CA22+CE22+CI22+CM22+CQ22+CU22+CY22+DC22+DG22+DK22+DO22+DS22+DW22+EA22+EE22+EI22+EM22+EQ22+EU22+EY22+FC22+FG22</f>
        <v>58</v>
      </c>
      <c r="H22" s="6" t="n">
        <f aca="false">L22+P22+T22+X22+AB22+AF22+AJ22+AN22+AR22+AV22+AZ22+BD22+BH22+BL22+BP22+BT22+BX22+CB22+CF22+CJ22+CN22+CR22+CV22+CZ22+DD22+DH22+DL22+DP22+DT22+DX22+EB22+EF22+EJ22+EN22+ER22+EV22+EZ22+FD22+FH22</f>
        <v>2</v>
      </c>
      <c r="I22" s="7" t="n">
        <v>3</v>
      </c>
      <c r="J22" s="7" t="n">
        <v>0</v>
      </c>
      <c r="K22" s="11" t="n">
        <f aca="false">SUMIFS('Исходные данные'!$I$2:$I$964,'Исходные данные'!$D$2:$D$964,K$1,'Исходные данные'!$F$2:$F$964,$A22)</f>
        <v>3</v>
      </c>
      <c r="L22" s="11" t="n">
        <f aca="false">SUMIFS('Исходные данные'!$J$2:$J$964,'Исходные данные'!$D$2:$D$964,K$1,'Исходные данные'!$F$2:$F$964,$A22)</f>
        <v>0</v>
      </c>
      <c r="M22" s="7" t="n">
        <v>4</v>
      </c>
      <c r="N22" s="7" t="n">
        <v>0</v>
      </c>
      <c r="O22" s="11" t="n">
        <f aca="false">SUMIFS('Исходные данные'!$I$2:$I$964,'Исходные данные'!$D$2:$D$964,O$1,'Исходные данные'!$F$2:$F$964,$A22)</f>
        <v>4</v>
      </c>
      <c r="P22" s="11" t="n">
        <f aca="false">SUMIFS('Исходные данные'!$J$2:$J$964,'Исходные данные'!$D$2:$D$964,O$1,'Исходные данные'!$F$2:$F$964,$A22)</f>
        <v>0</v>
      </c>
      <c r="Q22" s="7" t="n">
        <v>4</v>
      </c>
      <c r="R22" s="7" t="n">
        <v>0</v>
      </c>
      <c r="S22" s="11" t="n">
        <f aca="false">SUMIFS('Исходные данные'!$I$2:$I$964,'Исходные данные'!$D$2:$D$964,S$1,'Исходные данные'!$F$2:$F$964,$A22)</f>
        <v>4</v>
      </c>
      <c r="T22" s="11" t="n">
        <f aca="false">SUMIFS('Исходные данные'!$J$2:$J$964,'Исходные данные'!$D$2:$D$964,S$1,'Исходные данные'!$F$2:$F$964,$A22)</f>
        <v>0</v>
      </c>
      <c r="U22" s="7" t="n">
        <v>1</v>
      </c>
      <c r="V22" s="7" t="n">
        <v>0</v>
      </c>
      <c r="W22" s="11" t="n">
        <f aca="false">SUMIFS('Исходные данные'!$I$2:$I$964,'Исходные данные'!$D$2:$D$964,W$1,'Исходные данные'!$F$2:$F$964,$A22)</f>
        <v>1</v>
      </c>
      <c r="X22" s="11" t="n">
        <f aca="false">SUMIFS('Исходные данные'!$J$2:$J$964,'Исходные данные'!$D$2:$D$964,W$1,'Исходные данные'!$F$2:$F$964,$A22)</f>
        <v>0</v>
      </c>
      <c r="Y22" s="7" t="n">
        <v>3</v>
      </c>
      <c r="Z22" s="7" t="n">
        <v>0</v>
      </c>
      <c r="AA22" s="11" t="n">
        <f aca="false">SUMIFS('Исходные данные'!$I$2:$I$964,'Исходные данные'!$D$2:$D$964,AA$1,'Исходные данные'!$F$2:$F$964,$A22)</f>
        <v>3</v>
      </c>
      <c r="AB22" s="11" t="n">
        <f aca="false">SUMIFS('Исходные данные'!$J$2:$J$964,'Исходные данные'!$D$2:$D$964,AA$1,'Исходные данные'!$F$2:$F$964,$A22)</f>
        <v>0</v>
      </c>
      <c r="AC22" s="7" t="n">
        <v>3</v>
      </c>
      <c r="AD22" s="7" t="n">
        <v>0</v>
      </c>
      <c r="AE22" s="11" t="n">
        <f aca="false">SUMIFS('Исходные данные'!$I$2:$I$964,'Исходные данные'!$D$2:$D$964,AE$1,'Исходные данные'!$F$2:$F$964,$A22)</f>
        <v>3</v>
      </c>
      <c r="AF22" s="11" t="n">
        <f aca="false">SUMIFS('Исходные данные'!$J$2:$J$964,'Исходные данные'!$D$2:$D$964,AE$1,'Исходные данные'!$F$2:$F$964,$A22)</f>
        <v>0</v>
      </c>
      <c r="AG22" s="7" t="n">
        <v>0</v>
      </c>
      <c r="AH22" s="7" t="n">
        <v>0</v>
      </c>
      <c r="AI22" s="11" t="n">
        <f aca="false">SUMIFS('Исходные данные'!$I$2:$I$964,'Исходные данные'!$D$2:$D$964,AI$1,'Исходные данные'!$F$2:$F$964,$A22)</f>
        <v>0</v>
      </c>
      <c r="AJ22" s="11" t="n">
        <f aca="false">SUMIFS('Исходные данные'!$J$2:$J$964,'Исходные данные'!$D$2:$D$964,AI$1,'Исходные данные'!$F$2:$F$964,$A22)</f>
        <v>0</v>
      </c>
      <c r="AK22" s="7" t="n">
        <v>2</v>
      </c>
      <c r="AL22" s="7" t="n">
        <v>0</v>
      </c>
      <c r="AM22" s="11" t="n">
        <f aca="false">SUMIFS('Исходные данные'!$I$2:$I$964,'Исходные данные'!$D$2:$D$964,AM$1,'Исходные данные'!$F$2:$F$964,$A22)</f>
        <v>2</v>
      </c>
      <c r="AN22" s="11" t="n">
        <f aca="false">SUMIFS('Исходные данные'!$J$2:$J$964,'Исходные данные'!$D$2:$D$964,AM$1,'Исходные данные'!$F$2:$F$964,$A22)</f>
        <v>0</v>
      </c>
      <c r="AO22" s="7" t="n">
        <v>0</v>
      </c>
      <c r="AP22" s="7" t="n">
        <v>0</v>
      </c>
      <c r="AQ22" s="11" t="n">
        <f aca="false">SUMIFS('Исходные данные'!$I$2:$I$964,'Исходные данные'!$D$2:$D$964,AQ$1,'Исходные данные'!$F$2:$F$964,$A22)</f>
        <v>0</v>
      </c>
      <c r="AR22" s="11" t="n">
        <f aca="false">SUMIFS('Исходные данные'!$J$2:$J$964,'Исходные данные'!$D$2:$D$964,AQ$1,'Исходные данные'!$F$2:$F$964,$A22)</f>
        <v>0</v>
      </c>
      <c r="AS22" s="7" t="n">
        <v>6</v>
      </c>
      <c r="AT22" s="7" t="n">
        <v>0</v>
      </c>
      <c r="AU22" s="11" t="n">
        <f aca="false">SUMIFS('Исходные данные'!$I$2:$I$964,'Исходные данные'!$D$2:$D$964,AU$1,'Исходные данные'!$F$2:$F$964,$A22)</f>
        <v>6</v>
      </c>
      <c r="AV22" s="11" t="n">
        <f aca="false">SUMIFS('Исходные данные'!$J$2:$J$964,'Исходные данные'!$D$2:$D$964,AU$1,'Исходные данные'!$F$2:$F$964,$A22)</f>
        <v>0</v>
      </c>
      <c r="AW22" s="7" t="n">
        <v>1</v>
      </c>
      <c r="AX22" s="7" t="n">
        <v>0</v>
      </c>
      <c r="AY22" s="11" t="n">
        <f aca="false">SUMIFS('Исходные данные'!$I$2:$I$964,'Исходные данные'!$D$2:$D$964,AY$1,'Исходные данные'!$F$2:$F$964,$A22)</f>
        <v>1</v>
      </c>
      <c r="AZ22" s="11" t="n">
        <f aca="false">SUMIFS('Исходные данные'!$J$2:$J$964,'Исходные данные'!$D$2:$D$964,AY$1,'Исходные данные'!$F$2:$F$964,$A22)</f>
        <v>0</v>
      </c>
      <c r="BA22" s="7" t="n">
        <v>6</v>
      </c>
      <c r="BB22" s="7" t="n">
        <v>0</v>
      </c>
      <c r="BC22" s="11" t="n">
        <f aca="false">SUMIFS('Исходные данные'!$I$2:$I$964,'Исходные данные'!$D$2:$D$964,BC$1,'Исходные данные'!$F$2:$F$964,$A22)</f>
        <v>6</v>
      </c>
      <c r="BD22" s="11" t="n">
        <f aca="false">SUMIFS('Исходные данные'!$J$2:$J$964,'Исходные данные'!$D$2:$D$964,BC$1,'Исходные данные'!$F$2:$F$964,$A22)</f>
        <v>0</v>
      </c>
      <c r="BE22" s="7" t="n">
        <v>1</v>
      </c>
      <c r="BF22" s="7" t="n">
        <v>0</v>
      </c>
      <c r="BG22" s="11" t="n">
        <f aca="false">SUMIFS('Исходные данные'!$I$2:$I$964,'Исходные данные'!$D$2:$D$964,BG$1,'Исходные данные'!$F$2:$F$964,$A22)</f>
        <v>1</v>
      </c>
      <c r="BH22" s="11" t="n">
        <f aca="false">SUMIFS('Исходные данные'!$J$2:$J$964,'Исходные данные'!$D$2:$D$964,BG$1,'Исходные данные'!$F$2:$F$964,$A22)</f>
        <v>0</v>
      </c>
      <c r="BI22" s="7" t="n">
        <v>6</v>
      </c>
      <c r="BJ22" s="7" t="n">
        <v>0</v>
      </c>
      <c r="BK22" s="11" t="n">
        <f aca="false">SUMIFS('Исходные данные'!$I$2:$I$964,'Исходные данные'!$D$2:$D$964,BK$1,'Исходные данные'!$F$2:$F$964,$A22)</f>
        <v>6</v>
      </c>
      <c r="BL22" s="11" t="n">
        <f aca="false">SUMIFS('Исходные данные'!$J$2:$J$964,'Исходные данные'!$D$2:$D$964,BK$1,'Исходные данные'!$F$2:$F$964,$A22)</f>
        <v>0</v>
      </c>
      <c r="BM22" s="7" t="n">
        <v>5</v>
      </c>
      <c r="BN22" s="7" t="n">
        <v>0</v>
      </c>
      <c r="BO22" s="11" t="n">
        <f aca="false">SUMIFS('Исходные данные'!$I$2:$I$964,'Исходные данные'!$D$2:$D$964,BO$1,'Исходные данные'!$F$2:$F$964,$A22)</f>
        <v>6</v>
      </c>
      <c r="BP22" s="11" t="n">
        <f aca="false">SUMIFS('Исходные данные'!$J$2:$J$964,'Исходные данные'!$D$2:$D$964,BO$1,'Исходные данные'!$F$2:$F$964,$A22)</f>
        <v>1</v>
      </c>
      <c r="BQ22" s="7" t="n">
        <v>6</v>
      </c>
      <c r="BR22" s="7" t="n">
        <v>1</v>
      </c>
      <c r="BS22" s="11" t="n">
        <f aca="false">SUMIFS('Исходные данные'!$I$2:$I$964,'Исходные данные'!$D$2:$D$964,BS$1,'Исходные данные'!$F$2:$F$964,$A22)</f>
        <v>6</v>
      </c>
      <c r="BT22" s="11" t="n">
        <f aca="false">SUMIFS('Исходные данные'!$J$2:$J$964,'Исходные данные'!$D$2:$D$964,BS$1,'Исходные данные'!$F$2:$F$964,$A22)</f>
        <v>1</v>
      </c>
      <c r="BU22" s="7" t="n">
        <v>2</v>
      </c>
      <c r="BV22" s="7" t="n">
        <v>0</v>
      </c>
      <c r="BW22" s="11" t="n">
        <f aca="false">SUMIFS('Исходные данные'!$I$2:$I$964,'Исходные данные'!$D$2:$D$964,BW$1,'Исходные данные'!$F$2:$F$964,$A22)</f>
        <v>2</v>
      </c>
      <c r="BX22" s="11" t="n">
        <f aca="false">SUMIFS('Исходные данные'!$J$2:$J$964,'Исходные данные'!$D$2:$D$964,BW$1,'Исходные данные'!$F$2:$F$964,$A22)</f>
        <v>0</v>
      </c>
      <c r="BY22" s="7" t="n">
        <v>0</v>
      </c>
      <c r="BZ22" s="7" t="n">
        <v>0</v>
      </c>
      <c r="CA22" s="11" t="n">
        <f aca="false">SUMIFS('Исходные данные'!$I$2:$I$964,'Исходные данные'!$D$2:$D$964,CA$1,'Исходные данные'!$F$2:$F$964,$A22)</f>
        <v>0</v>
      </c>
      <c r="CB22" s="11" t="n">
        <f aca="false">SUMIFS('Исходные данные'!$J$2:$J$964,'Исходные данные'!$D$2:$D$964,CA$1,'Исходные данные'!$F$2:$F$964,$A22)</f>
        <v>0</v>
      </c>
      <c r="CC22" s="7" t="n">
        <v>1</v>
      </c>
      <c r="CD22" s="7" t="n">
        <v>0</v>
      </c>
      <c r="CE22" s="11" t="n">
        <f aca="false">SUMIFS('Исходные данные'!$I$2:$I$964,'Исходные данные'!$D$2:$D$964,CE$1,'Исходные данные'!$F$2:$F$964,$A22)</f>
        <v>1</v>
      </c>
      <c r="CF22" s="11" t="n">
        <f aca="false">SUMIFS('Исходные данные'!$J$2:$J$964,'Исходные данные'!$D$2:$D$964,CE$1,'Исходные данные'!$F$2:$F$964,$A22)</f>
        <v>0</v>
      </c>
      <c r="CG22" s="7" t="n">
        <v>0</v>
      </c>
      <c r="CH22" s="7" t="n">
        <v>0</v>
      </c>
      <c r="CI22" s="11" t="n">
        <f aca="false">SUMIFS('Исходные данные'!$I$2:$I$964,'Исходные данные'!$D$2:$D$964,CI$1,'Исходные данные'!$F$2:$F$964,$A22)</f>
        <v>0</v>
      </c>
      <c r="CJ22" s="11" t="n">
        <f aca="false">SUMIFS('Исходные данные'!$J$2:$J$964,'Исходные данные'!$D$2:$D$964,CI$1,'Исходные данные'!$F$2:$F$964,$A22)</f>
        <v>0</v>
      </c>
      <c r="CK22" s="7" t="n">
        <v>1</v>
      </c>
      <c r="CL22" s="7" t="n">
        <v>0</v>
      </c>
      <c r="CM22" s="11" t="n">
        <f aca="false">SUMIFS('Исходные данные'!$I$2:$I$964,'Исходные данные'!$D$2:$D$964,CM$1,'Исходные данные'!$F$2:$F$964,$A22)</f>
        <v>1</v>
      </c>
      <c r="CN22" s="11" t="n">
        <f aca="false">SUMIFS('Исходные данные'!$J$2:$J$964,'Исходные данные'!$D$2:$D$964,CM$1,'Исходные данные'!$F$2:$F$964,$A22)</f>
        <v>0</v>
      </c>
      <c r="CO22" s="7" t="n">
        <v>0</v>
      </c>
      <c r="CP22" s="7" t="n">
        <v>0</v>
      </c>
      <c r="CQ22" s="11" t="n">
        <f aca="false">SUMIFS('Исходные данные'!$I$2:$I$964,'Исходные данные'!$D$2:$D$964,CQ$1,'Исходные данные'!$F$2:$F$964,$A22)</f>
        <v>0</v>
      </c>
      <c r="CR22" s="11" t="n">
        <f aca="false">SUMIFS('Исходные данные'!$J$2:$J$964,'Исходные данные'!$D$2:$D$964,CQ$1,'Исходные данные'!$F$2:$F$964,$A22)</f>
        <v>0</v>
      </c>
      <c r="CS22" s="7" t="n">
        <v>0</v>
      </c>
      <c r="CT22" s="7" t="n">
        <v>0</v>
      </c>
      <c r="CU22" s="11" t="n">
        <f aca="false">SUMIFS('Исходные данные'!$I$2:$I$964,'Исходные данные'!$D$2:$D$964,CU$1,'Исходные данные'!$F$2:$F$964,$A22)</f>
        <v>0</v>
      </c>
      <c r="CV22" s="11" t="n">
        <f aca="false">SUMIFS('Исходные данные'!$J$2:$J$964,'Исходные данные'!$D$2:$D$964,CU$1,'Исходные данные'!$F$2:$F$964,$A22)</f>
        <v>0</v>
      </c>
      <c r="CW22" s="7" t="n">
        <v>0</v>
      </c>
      <c r="CX22" s="7" t="n">
        <v>0</v>
      </c>
      <c r="CY22" s="11" t="n">
        <f aca="false">SUMIFS('Исходные данные'!$I$2:$I$964,'Исходные данные'!$D$2:$D$964,CY$1,'Исходные данные'!$F$2:$F$964,$A22)</f>
        <v>0</v>
      </c>
      <c r="CZ22" s="11" t="n">
        <f aca="false">SUMIFS('Исходные данные'!$J$2:$J$964,'Исходные данные'!$D$2:$D$964,CY$1,'Исходные данные'!$F$2:$F$964,$A22)</f>
        <v>0</v>
      </c>
      <c r="DA22" s="7" t="n">
        <v>0</v>
      </c>
      <c r="DB22" s="7" t="n">
        <v>0</v>
      </c>
      <c r="DC22" s="11" t="n">
        <f aca="false">SUMIFS('Исходные данные'!$I$2:$I$964,'Исходные данные'!$D$2:$D$964,DC$1,'Исходные данные'!$F$2:$F$964,$A22)</f>
        <v>0</v>
      </c>
      <c r="DD22" s="11" t="n">
        <f aca="false">SUMIFS('Исходные данные'!$J$2:$J$964,'Исходные данные'!$D$2:$D$964,DC$1,'Исходные данные'!$F$2:$F$964,$A22)</f>
        <v>0</v>
      </c>
      <c r="DE22" s="7" t="n">
        <v>1</v>
      </c>
      <c r="DF22" s="7" t="n">
        <v>0</v>
      </c>
      <c r="DG22" s="11" t="n">
        <f aca="false">SUMIFS('Исходные данные'!$I$2:$I$964,'Исходные данные'!$D$2:$D$964,DG$1,'Исходные данные'!$F$2:$F$964,$A22)</f>
        <v>1</v>
      </c>
      <c r="DH22" s="11" t="n">
        <f aca="false">SUMIFS('Исходные данные'!$J$2:$J$964,'Исходные данные'!$D$2:$D$964,DG$1,'Исходные данные'!$F$2:$F$964,$A22)</f>
        <v>0</v>
      </c>
      <c r="DI22" s="7" t="n">
        <v>0</v>
      </c>
      <c r="DJ22" s="7" t="n">
        <v>0</v>
      </c>
      <c r="DK22" s="11" t="n">
        <f aca="false">SUMIFS('Исходные данные'!$I$2:$I$964,'Исходные данные'!$D$2:$D$964,DK$1,'Исходные данные'!$F$2:$F$964,$A22)</f>
        <v>0</v>
      </c>
      <c r="DL22" s="11" t="n">
        <f aca="false">SUMIFS('Исходные данные'!$J$2:$J$964,'Исходные данные'!$D$2:$D$964,DK$1,'Исходные данные'!$F$2:$F$964,$A22)</f>
        <v>0</v>
      </c>
      <c r="DM22" s="7" t="n">
        <v>0</v>
      </c>
      <c r="DN22" s="7" t="n">
        <v>0</v>
      </c>
      <c r="DO22" s="11" t="n">
        <f aca="false">SUMIFS('Исходные данные'!$I$2:$I$964,'Исходные данные'!$D$2:$D$964,DO$1,'Исходные данные'!$F$2:$F$964,$A22)</f>
        <v>0</v>
      </c>
      <c r="DP22" s="11" t="n">
        <f aca="false">SUMIFS('Исходные данные'!$J$2:$J$964,'Исходные данные'!$D$2:$D$964,DO$1,'Исходные данные'!$F$2:$F$964,$A22)</f>
        <v>0</v>
      </c>
      <c r="DQ22" s="7" t="n">
        <v>1</v>
      </c>
      <c r="DR22" s="7" t="n">
        <v>0</v>
      </c>
      <c r="DS22" s="11" t="n">
        <f aca="false">SUMIFS('Исходные данные'!$I$2:$I$964,'Исходные данные'!$D$2:$D$964,DS$1,'Исходные данные'!$F$2:$F$964,$A22)</f>
        <v>1</v>
      </c>
      <c r="DT22" s="11" t="n">
        <f aca="false">SUMIFS('Исходные данные'!$J$2:$J$964,'Исходные данные'!$D$2:$D$964,DS$1,'Исходные данные'!$F$2:$F$964,$A22)</f>
        <v>0</v>
      </c>
      <c r="DU22" s="7" t="n">
        <v>0</v>
      </c>
      <c r="DV22" s="7" t="n">
        <v>0</v>
      </c>
      <c r="DW22" s="11" t="n">
        <f aca="false">SUMIFS('Исходные данные'!$I$2:$I$964,'Исходные данные'!$D$2:$D$964,DW$1,'Исходные данные'!$F$2:$F$964,$A22)</f>
        <v>0</v>
      </c>
      <c r="DX22" s="11" t="n">
        <f aca="false">SUMIFS('Исходные данные'!$J$2:$J$964,'Исходные данные'!$D$2:$D$964,DW$1,'Исходные данные'!$F$2:$F$964,$A22)</f>
        <v>0</v>
      </c>
      <c r="DY22" s="7" t="n">
        <v>0</v>
      </c>
      <c r="DZ22" s="7" t="n">
        <v>0</v>
      </c>
      <c r="EA22" s="11" t="n">
        <f aca="false">SUMIFS('Исходные данные'!$I$2:$I$964,'Исходные данные'!$D$2:$D$964,EA$1,'Исходные данные'!$F$2:$F$964,$A22)</f>
        <v>0</v>
      </c>
      <c r="EB22" s="11" t="n">
        <f aca="false">SUMIFS('Исходные данные'!$J$2:$J$964,'Исходные данные'!$D$2:$D$964,EA$1,'Исходные данные'!$F$2:$F$964,$A22)</f>
        <v>0</v>
      </c>
      <c r="EC22" s="7" t="n">
        <v>0</v>
      </c>
      <c r="ED22" s="7" t="n">
        <v>0</v>
      </c>
      <c r="EE22" s="11" t="n">
        <f aca="false">SUMIFS('Исходные данные'!$I$2:$I$964,'Исходные данные'!$D$2:$D$964,EE$1,'Исходные данные'!$F$2:$F$964,$A22)</f>
        <v>0</v>
      </c>
      <c r="EF22" s="11" t="n">
        <f aca="false">SUMIFS('Исходные данные'!$J$2:$J$964,'Исходные данные'!$D$2:$D$964,EE$1,'Исходные данные'!$F$2:$F$964,$A22)</f>
        <v>0</v>
      </c>
      <c r="EG22" s="7" t="n">
        <v>0</v>
      </c>
      <c r="EH22" s="7" t="n">
        <v>0</v>
      </c>
      <c r="EI22" s="11" t="n">
        <f aca="false">SUMIFS('Исходные данные'!$I$2:$I$964,'Исходные данные'!$D$2:$D$964,EI$1,'Исходные данные'!$F$2:$F$964,$A22)</f>
        <v>0</v>
      </c>
      <c r="EJ22" s="11" t="n">
        <f aca="false">SUMIFS('Исходные данные'!$J$2:$J$964,'Исходные данные'!$D$2:$D$964,EI$1,'Исходные данные'!$F$2:$F$964,$A22)</f>
        <v>0</v>
      </c>
      <c r="EK22" s="7" t="n">
        <v>3</v>
      </c>
      <c r="EL22" s="7" t="n">
        <v>1</v>
      </c>
      <c r="EM22" s="11" t="n">
        <f aca="false">SUMIFS('Исходные данные'!$I$2:$I$964,'Исходные данные'!$D$2:$D$964,EM$1,'Исходные данные'!$F$2:$F$964,$A22)</f>
        <v>0</v>
      </c>
      <c r="EN22" s="11" t="n">
        <f aca="false">SUMIFS('Исходные данные'!$J$2:$J$964,'Исходные данные'!$D$2:$D$964,EM$1,'Исходные данные'!$F$2:$F$964,$A22)</f>
        <v>0</v>
      </c>
      <c r="EO22" s="7" t="n">
        <v>0</v>
      </c>
      <c r="EP22" s="7" t="n">
        <v>0</v>
      </c>
      <c r="EQ22" s="11" t="n">
        <f aca="false">SUMIFS('Исходные данные'!$I$2:$I$964,'Исходные данные'!$D$2:$D$964,EQ$1,'Исходные данные'!$F$2:$F$964,$A22)</f>
        <v>0</v>
      </c>
      <c r="ER22" s="11" t="n">
        <f aca="false">SUMIFS('Исходные данные'!$J$2:$J$964,'Исходные данные'!$D$2:$D$964,EQ$1,'Исходные данные'!$F$2:$F$964,$A22)</f>
        <v>0</v>
      </c>
      <c r="ES22" s="7" t="n">
        <v>0</v>
      </c>
      <c r="ET22" s="7" t="n">
        <v>0</v>
      </c>
      <c r="EU22" s="11" t="n">
        <f aca="false">SUMIFS('Исходные данные'!$I$2:$I$964,'Исходные данные'!$D$2:$D$964,EU$1,'Исходные данные'!$F$2:$F$964,$A22)</f>
        <v>0</v>
      </c>
      <c r="EV22" s="11" t="n">
        <f aca="false">SUMIFS('Исходные данные'!$J$2:$J$964,'Исходные данные'!$D$2:$D$964,EU$1,'Исходные данные'!$F$2:$F$964,$A22)</f>
        <v>0</v>
      </c>
      <c r="EW22" s="7" t="n">
        <v>0</v>
      </c>
      <c r="EX22" s="7" t="n">
        <v>0</v>
      </c>
      <c r="EY22" s="11" t="n">
        <f aca="false">SUMIFS('Исходные данные'!$I$2:$I$964,'Исходные данные'!$D$2:$D$964,EY$1,'Исходные данные'!$F$2:$F$964,$A22)</f>
        <v>0</v>
      </c>
      <c r="EZ22" s="11" t="n">
        <f aca="false">SUMIFS('Исходные данные'!$J$2:$J$964,'Исходные данные'!$D$2:$D$964,EY$1,'Исходные данные'!$F$2:$F$964,$A22)</f>
        <v>0</v>
      </c>
      <c r="FA22" s="7" t="n">
        <v>0</v>
      </c>
      <c r="FB22" s="7" t="n">
        <v>0</v>
      </c>
      <c r="FC22" s="11" t="n">
        <f aca="false">SUMIFS('Исходные данные'!$I$2:$I$964,'Исходные данные'!$D$2:$D$964,FC$1,'Исходные данные'!$F$2:$F$964,$A22)</f>
        <v>0</v>
      </c>
      <c r="FD22" s="11" t="n">
        <f aca="false">SUMIFS('Исходные данные'!$J$2:$J$964,'Исходные данные'!$D$2:$D$964,FC$1,'Исходные данные'!$F$2:$F$964,$A22)</f>
        <v>0</v>
      </c>
      <c r="FE22" s="7" t="n">
        <v>0</v>
      </c>
      <c r="FF22" s="7" t="n">
        <v>0</v>
      </c>
      <c r="FG22" s="11" t="n">
        <f aca="false">SUMIFS('Исходные данные'!$I$2:$I$964,'Исходные данные'!$D$2:$D$964,FG$1,'Исходные данные'!$F$2:$F$964,$A22)</f>
        <v>0</v>
      </c>
      <c r="FH22" s="11" t="n">
        <f aca="false">SUMIFS('Исходные данные'!$J$2:$J$964,'Исходные данные'!$D$2:$D$964,FG$1,'Исходные данные'!$F$2:$F$964,$A22)</f>
        <v>0</v>
      </c>
    </row>
    <row r="23" customFormat="false" ht="15" hidden="false" customHeight="false" outlineLevel="0" collapsed="false">
      <c r="A23" s="10" t="s">
        <v>89</v>
      </c>
      <c r="B23" s="11" t="s">
        <v>90</v>
      </c>
      <c r="C23" s="6" t="n">
        <v>31</v>
      </c>
      <c r="D23" s="6" t="n">
        <f aca="false">I23+J23+M23+N23+Q23+R23+U23+V23+Y23+Z23+AC23+AD23+AG23+AH23+AK23+AL23+AO23+AP23+AS23+AT23+AW23+AX23+BA23+BB23+BE23+BF23+BI23+BJ23+BM23+BN23+BQ23+BR23+BU23+BV23+BY23+BZ23+CC23+CD23+CG23+CH23+CK23+CL23+CO23+CP23+CS23+CT23+CW23+CX23+DA23+DB23+DE23+DF23+DI23+DJ23+DM23+DN23+DQ23+DR23+DU23+DV23+DY23+DZ23+EC23+ED23+EG23+EH23+EK23+EL23+EO23+EP23+ES23+ET23+EW23+EX23+FA23+FB23+FE23+FF23</f>
        <v>31</v>
      </c>
      <c r="E23" s="6" t="n">
        <f aca="false">G23+H23</f>
        <v>32</v>
      </c>
      <c r="F23" s="6" t="n">
        <f aca="false">E23-C23</f>
        <v>1</v>
      </c>
      <c r="G23" s="6" t="n">
        <f aca="false">K23+O23+S23+W23+AA23+AE23+AI23+AM23+AQ23+AU23+AY23+BC23+BG23+BK23+BO23+BS23+BW23+CA23+CE23+CI23+CM23+CQ23+CU23+CY23+DC23+DG23+DK23+DO23+DS23+DW23+EA23+EE23+EI23+EM23+EQ23+EU23+EY23+FC23+FG23</f>
        <v>29</v>
      </c>
      <c r="H23" s="6" t="n">
        <f aca="false">L23+P23+T23+X23+AB23+AF23+AJ23+AN23+AR23+AV23+AZ23+BD23+BH23+BL23+BP23+BT23+BX23+CB23+CF23+CJ23+CN23+CR23+CV23+CZ23+DD23+DH23+DL23+DP23+DT23+DX23+EB23+EF23+EJ23+EN23+ER23+EV23+EZ23+FD23+FH23</f>
        <v>3</v>
      </c>
      <c r="I23" s="7" t="n">
        <v>0</v>
      </c>
      <c r="J23" s="7" t="n">
        <v>0</v>
      </c>
      <c r="K23" s="11" t="n">
        <f aca="false">SUMIFS('Исходные данные'!$I$2:$I$964,'Исходные данные'!$D$2:$D$964,K$1,'Исходные данные'!$F$2:$F$964,$A23)</f>
        <v>0</v>
      </c>
      <c r="L23" s="11" t="n">
        <f aca="false">SUMIFS('Исходные данные'!$J$2:$J$964,'Исходные данные'!$D$2:$D$964,K$1,'Исходные данные'!$F$2:$F$964,$A23)</f>
        <v>0</v>
      </c>
      <c r="M23" s="7" t="n">
        <v>0</v>
      </c>
      <c r="N23" s="7" t="n">
        <v>0</v>
      </c>
      <c r="O23" s="11" t="n">
        <f aca="false">SUMIFS('Исходные данные'!$I$2:$I$964,'Исходные данные'!$D$2:$D$964,O$1,'Исходные данные'!$F$2:$F$964,$A23)</f>
        <v>0</v>
      </c>
      <c r="P23" s="11" t="n">
        <f aca="false">SUMIFS('Исходные данные'!$J$2:$J$964,'Исходные данные'!$D$2:$D$964,O$1,'Исходные данные'!$F$2:$F$964,$A23)</f>
        <v>0</v>
      </c>
      <c r="Q23" s="7" t="n">
        <v>0</v>
      </c>
      <c r="R23" s="7" t="n">
        <v>0</v>
      </c>
      <c r="S23" s="11" t="n">
        <f aca="false">SUMIFS('Исходные данные'!$I$2:$I$964,'Исходные данные'!$D$2:$D$964,S$1,'Исходные данные'!$F$2:$F$964,$A23)</f>
        <v>0</v>
      </c>
      <c r="T23" s="11" t="n">
        <f aca="false">SUMIFS('Исходные данные'!$J$2:$J$964,'Исходные данные'!$D$2:$D$964,S$1,'Исходные данные'!$F$2:$F$964,$A23)</f>
        <v>0</v>
      </c>
      <c r="U23" s="7" t="n">
        <v>0</v>
      </c>
      <c r="V23" s="7" t="n">
        <v>0</v>
      </c>
      <c r="W23" s="11" t="n">
        <f aca="false">SUMIFS('Исходные данные'!$I$2:$I$964,'Исходные данные'!$D$2:$D$964,W$1,'Исходные данные'!$F$2:$F$964,$A23)</f>
        <v>0</v>
      </c>
      <c r="X23" s="11" t="n">
        <f aca="false">SUMIFS('Исходные данные'!$J$2:$J$964,'Исходные данные'!$D$2:$D$964,W$1,'Исходные данные'!$F$2:$F$964,$A23)</f>
        <v>0</v>
      </c>
      <c r="Y23" s="7" t="n">
        <v>0</v>
      </c>
      <c r="Z23" s="7" t="n">
        <v>0</v>
      </c>
      <c r="AA23" s="11" t="n">
        <f aca="false">SUMIFS('Исходные данные'!$I$2:$I$964,'Исходные данные'!$D$2:$D$964,AA$1,'Исходные данные'!$F$2:$F$964,$A23)</f>
        <v>0</v>
      </c>
      <c r="AB23" s="11" t="n">
        <f aca="false">SUMIFS('Исходные данные'!$J$2:$J$964,'Исходные данные'!$D$2:$D$964,AA$1,'Исходные данные'!$F$2:$F$964,$A23)</f>
        <v>0</v>
      </c>
      <c r="AC23" s="7" t="n">
        <v>0</v>
      </c>
      <c r="AD23" s="7" t="n">
        <v>0</v>
      </c>
      <c r="AE23" s="11" t="n">
        <f aca="false">SUMIFS('Исходные данные'!$I$2:$I$964,'Исходные данные'!$D$2:$D$964,AE$1,'Исходные данные'!$F$2:$F$964,$A23)</f>
        <v>0</v>
      </c>
      <c r="AF23" s="11" t="n">
        <f aca="false">SUMIFS('Исходные данные'!$J$2:$J$964,'Исходные данные'!$D$2:$D$964,AE$1,'Исходные данные'!$F$2:$F$964,$A23)</f>
        <v>0</v>
      </c>
      <c r="AG23" s="7" t="n">
        <v>0</v>
      </c>
      <c r="AH23" s="7" t="n">
        <v>0</v>
      </c>
      <c r="AI23" s="11" t="n">
        <f aca="false">SUMIFS('Исходные данные'!$I$2:$I$964,'Исходные данные'!$D$2:$D$964,AI$1,'Исходные данные'!$F$2:$F$964,$A23)</f>
        <v>0</v>
      </c>
      <c r="AJ23" s="11" t="n">
        <f aca="false">SUMIFS('Исходные данные'!$J$2:$J$964,'Исходные данные'!$D$2:$D$964,AI$1,'Исходные данные'!$F$2:$F$964,$A23)</f>
        <v>0</v>
      </c>
      <c r="AK23" s="7" t="n">
        <v>0</v>
      </c>
      <c r="AL23" s="7" t="n">
        <v>0</v>
      </c>
      <c r="AM23" s="11" t="n">
        <f aca="false">SUMIFS('Исходные данные'!$I$2:$I$964,'Исходные данные'!$D$2:$D$964,AM$1,'Исходные данные'!$F$2:$F$964,$A23)</f>
        <v>0</v>
      </c>
      <c r="AN23" s="11" t="n">
        <f aca="false">SUMIFS('Исходные данные'!$J$2:$J$964,'Исходные данные'!$D$2:$D$964,AM$1,'Исходные данные'!$F$2:$F$964,$A23)</f>
        <v>0</v>
      </c>
      <c r="AO23" s="7" t="n">
        <v>0</v>
      </c>
      <c r="AP23" s="7" t="n">
        <v>0</v>
      </c>
      <c r="AQ23" s="11" t="n">
        <f aca="false">SUMIFS('Исходные данные'!$I$2:$I$964,'Исходные данные'!$D$2:$D$964,AQ$1,'Исходные данные'!$F$2:$F$964,$A23)</f>
        <v>0</v>
      </c>
      <c r="AR23" s="11" t="n">
        <f aca="false">SUMIFS('Исходные данные'!$J$2:$J$964,'Исходные данные'!$D$2:$D$964,AQ$1,'Исходные данные'!$F$2:$F$964,$A23)</f>
        <v>0</v>
      </c>
      <c r="AS23" s="7" t="n">
        <v>23</v>
      </c>
      <c r="AT23" s="7" t="n">
        <v>2</v>
      </c>
      <c r="AU23" s="11" t="n">
        <f aca="false">SUMIFS('Исходные данные'!$I$2:$I$964,'Исходные данные'!$D$2:$D$964,AU$1,'Исходные данные'!$F$2:$F$964,$A23)</f>
        <v>24</v>
      </c>
      <c r="AV23" s="11" t="n">
        <f aca="false">SUMIFS('Исходные данные'!$J$2:$J$964,'Исходные данные'!$D$2:$D$964,AU$1,'Исходные данные'!$F$2:$F$964,$A23)</f>
        <v>2</v>
      </c>
      <c r="AW23" s="7" t="n">
        <v>0</v>
      </c>
      <c r="AX23" s="7" t="n">
        <v>0</v>
      </c>
      <c r="AY23" s="11" t="n">
        <f aca="false">SUMIFS('Исходные данные'!$I$2:$I$964,'Исходные данные'!$D$2:$D$964,AY$1,'Исходные данные'!$F$2:$F$964,$A23)</f>
        <v>0</v>
      </c>
      <c r="AZ23" s="11" t="n">
        <f aca="false">SUMIFS('Исходные данные'!$J$2:$J$964,'Исходные данные'!$D$2:$D$964,AY$1,'Исходные данные'!$F$2:$F$964,$A23)</f>
        <v>0</v>
      </c>
      <c r="BA23" s="7" t="n">
        <v>0</v>
      </c>
      <c r="BB23" s="7" t="n">
        <v>0</v>
      </c>
      <c r="BC23" s="11" t="n">
        <f aca="false">SUMIFS('Исходные данные'!$I$2:$I$964,'Исходные данные'!$D$2:$D$964,BC$1,'Исходные данные'!$F$2:$F$964,$A23)</f>
        <v>0</v>
      </c>
      <c r="BD23" s="11" t="n">
        <f aca="false">SUMIFS('Исходные данные'!$J$2:$J$964,'Исходные данные'!$D$2:$D$964,BC$1,'Исходные данные'!$F$2:$F$964,$A23)</f>
        <v>0</v>
      </c>
      <c r="BE23" s="7" t="n">
        <v>0</v>
      </c>
      <c r="BF23" s="7" t="n">
        <v>0</v>
      </c>
      <c r="BG23" s="11" t="n">
        <f aca="false">SUMIFS('Исходные данные'!$I$2:$I$964,'Исходные данные'!$D$2:$D$964,BG$1,'Исходные данные'!$F$2:$F$964,$A23)</f>
        <v>0</v>
      </c>
      <c r="BH23" s="11" t="n">
        <f aca="false">SUMIFS('Исходные данные'!$J$2:$J$964,'Исходные данные'!$D$2:$D$964,BG$1,'Исходные данные'!$F$2:$F$964,$A23)</f>
        <v>0</v>
      </c>
      <c r="BI23" s="7" t="n">
        <v>0</v>
      </c>
      <c r="BJ23" s="7" t="n">
        <v>0</v>
      </c>
      <c r="BK23" s="11" t="n">
        <f aca="false">SUMIFS('Исходные данные'!$I$2:$I$964,'Исходные данные'!$D$2:$D$964,BK$1,'Исходные данные'!$F$2:$F$964,$A23)</f>
        <v>0</v>
      </c>
      <c r="BL23" s="11" t="n">
        <f aca="false">SUMIFS('Исходные данные'!$J$2:$J$964,'Исходные данные'!$D$2:$D$964,BK$1,'Исходные данные'!$F$2:$F$964,$A23)</f>
        <v>0</v>
      </c>
      <c r="BM23" s="7" t="n">
        <v>0</v>
      </c>
      <c r="BN23" s="7" t="n">
        <v>0</v>
      </c>
      <c r="BO23" s="11" t="n">
        <f aca="false">SUMIFS('Исходные данные'!$I$2:$I$964,'Исходные данные'!$D$2:$D$964,BO$1,'Исходные данные'!$F$2:$F$964,$A23)</f>
        <v>0</v>
      </c>
      <c r="BP23" s="11" t="n">
        <f aca="false">SUMIFS('Исходные данные'!$J$2:$J$964,'Исходные данные'!$D$2:$D$964,BO$1,'Исходные данные'!$F$2:$F$964,$A23)</f>
        <v>0</v>
      </c>
      <c r="BQ23" s="7" t="n">
        <v>1</v>
      </c>
      <c r="BR23" s="7" t="n">
        <v>1</v>
      </c>
      <c r="BS23" s="11" t="n">
        <f aca="false">SUMIFS('Исходные данные'!$I$2:$I$964,'Исходные данные'!$D$2:$D$964,BS$1,'Исходные данные'!$F$2:$F$964,$A23)</f>
        <v>1</v>
      </c>
      <c r="BT23" s="11" t="n">
        <f aca="false">SUMIFS('Исходные данные'!$J$2:$J$964,'Исходные данные'!$D$2:$D$964,BS$1,'Исходные данные'!$F$2:$F$964,$A23)</f>
        <v>1</v>
      </c>
      <c r="BU23" s="7" t="n">
        <v>0</v>
      </c>
      <c r="BV23" s="7" t="n">
        <v>0</v>
      </c>
      <c r="BW23" s="11" t="n">
        <f aca="false">SUMIFS('Исходные данные'!$I$2:$I$964,'Исходные данные'!$D$2:$D$964,BW$1,'Исходные данные'!$F$2:$F$964,$A23)</f>
        <v>0</v>
      </c>
      <c r="BX23" s="11" t="n">
        <f aca="false">SUMIFS('Исходные данные'!$J$2:$J$964,'Исходные данные'!$D$2:$D$964,BW$1,'Исходные данные'!$F$2:$F$964,$A23)</f>
        <v>0</v>
      </c>
      <c r="BY23" s="7" t="n">
        <v>0</v>
      </c>
      <c r="BZ23" s="7" t="n">
        <v>0</v>
      </c>
      <c r="CA23" s="11" t="n">
        <f aca="false">SUMIFS('Исходные данные'!$I$2:$I$964,'Исходные данные'!$D$2:$D$964,CA$1,'Исходные данные'!$F$2:$F$964,$A23)</f>
        <v>0</v>
      </c>
      <c r="CB23" s="11" t="n">
        <f aca="false">SUMIFS('Исходные данные'!$J$2:$J$964,'Исходные данные'!$D$2:$D$964,CA$1,'Исходные данные'!$F$2:$F$964,$A23)</f>
        <v>0</v>
      </c>
      <c r="CC23" s="7" t="n">
        <v>0</v>
      </c>
      <c r="CD23" s="7" t="n">
        <v>0</v>
      </c>
      <c r="CE23" s="11" t="n">
        <f aca="false">SUMIFS('Исходные данные'!$I$2:$I$964,'Исходные данные'!$D$2:$D$964,CE$1,'Исходные данные'!$F$2:$F$964,$A23)</f>
        <v>0</v>
      </c>
      <c r="CF23" s="11" t="n">
        <f aca="false">SUMIFS('Исходные данные'!$J$2:$J$964,'Исходные данные'!$D$2:$D$964,CE$1,'Исходные данные'!$F$2:$F$964,$A23)</f>
        <v>0</v>
      </c>
      <c r="CG23" s="7" t="n">
        <v>0</v>
      </c>
      <c r="CH23" s="7" t="n">
        <v>0</v>
      </c>
      <c r="CI23" s="11" t="n">
        <f aca="false">SUMIFS('Исходные данные'!$I$2:$I$964,'Исходные данные'!$D$2:$D$964,CI$1,'Исходные данные'!$F$2:$F$964,$A23)</f>
        <v>0</v>
      </c>
      <c r="CJ23" s="11" t="n">
        <f aca="false">SUMIFS('Исходные данные'!$J$2:$J$964,'Исходные данные'!$D$2:$D$964,CI$1,'Исходные данные'!$F$2:$F$964,$A23)</f>
        <v>0</v>
      </c>
      <c r="CK23" s="7" t="n">
        <v>0</v>
      </c>
      <c r="CL23" s="7" t="n">
        <v>0</v>
      </c>
      <c r="CM23" s="11" t="n">
        <f aca="false">SUMIFS('Исходные данные'!$I$2:$I$964,'Исходные данные'!$D$2:$D$964,CM$1,'Исходные данные'!$F$2:$F$964,$A23)</f>
        <v>0</v>
      </c>
      <c r="CN23" s="11" t="n">
        <f aca="false">SUMIFS('Исходные данные'!$J$2:$J$964,'Исходные данные'!$D$2:$D$964,CM$1,'Исходные данные'!$F$2:$F$964,$A23)</f>
        <v>0</v>
      </c>
      <c r="CO23" s="7" t="n">
        <v>0</v>
      </c>
      <c r="CP23" s="7" t="n">
        <v>0</v>
      </c>
      <c r="CQ23" s="11" t="n">
        <f aca="false">SUMIFS('Исходные данные'!$I$2:$I$964,'Исходные данные'!$D$2:$D$964,CQ$1,'Исходные данные'!$F$2:$F$964,$A23)</f>
        <v>0</v>
      </c>
      <c r="CR23" s="11" t="n">
        <f aca="false">SUMIFS('Исходные данные'!$J$2:$J$964,'Исходные данные'!$D$2:$D$964,CQ$1,'Исходные данные'!$F$2:$F$964,$A23)</f>
        <v>0</v>
      </c>
      <c r="CS23" s="7" t="n">
        <v>0</v>
      </c>
      <c r="CT23" s="7" t="n">
        <v>0</v>
      </c>
      <c r="CU23" s="11" t="n">
        <f aca="false">SUMIFS('Исходные данные'!$I$2:$I$964,'Исходные данные'!$D$2:$D$964,CU$1,'Исходные данные'!$F$2:$F$964,$A23)</f>
        <v>0</v>
      </c>
      <c r="CV23" s="11" t="n">
        <f aca="false">SUMIFS('Исходные данные'!$J$2:$J$964,'Исходные данные'!$D$2:$D$964,CU$1,'Исходные данные'!$F$2:$F$964,$A23)</f>
        <v>0</v>
      </c>
      <c r="CW23" s="7" t="n">
        <v>0</v>
      </c>
      <c r="CX23" s="7" t="n">
        <v>0</v>
      </c>
      <c r="CY23" s="11" t="n">
        <f aca="false">SUMIFS('Исходные данные'!$I$2:$I$964,'Исходные данные'!$D$2:$D$964,CY$1,'Исходные данные'!$F$2:$F$964,$A23)</f>
        <v>0</v>
      </c>
      <c r="CZ23" s="11" t="n">
        <f aca="false">SUMIFS('Исходные данные'!$J$2:$J$964,'Исходные данные'!$D$2:$D$964,CY$1,'Исходные данные'!$F$2:$F$964,$A23)</f>
        <v>0</v>
      </c>
      <c r="DA23" s="7" t="n">
        <v>0</v>
      </c>
      <c r="DB23" s="7" t="n">
        <v>0</v>
      </c>
      <c r="DC23" s="11" t="n">
        <f aca="false">SUMIFS('Исходные данные'!$I$2:$I$964,'Исходные данные'!$D$2:$D$964,DC$1,'Исходные данные'!$F$2:$F$964,$A23)</f>
        <v>0</v>
      </c>
      <c r="DD23" s="11" t="n">
        <f aca="false">SUMIFS('Исходные данные'!$J$2:$J$964,'Исходные данные'!$D$2:$D$964,DC$1,'Исходные данные'!$F$2:$F$964,$A23)</f>
        <v>0</v>
      </c>
      <c r="DE23" s="7" t="n">
        <v>0</v>
      </c>
      <c r="DF23" s="7" t="n">
        <v>0</v>
      </c>
      <c r="DG23" s="11" t="n">
        <f aca="false">SUMIFS('Исходные данные'!$I$2:$I$964,'Исходные данные'!$D$2:$D$964,DG$1,'Исходные данные'!$F$2:$F$964,$A23)</f>
        <v>0</v>
      </c>
      <c r="DH23" s="11" t="n">
        <f aca="false">SUMIFS('Исходные данные'!$J$2:$J$964,'Исходные данные'!$D$2:$D$964,DG$1,'Исходные данные'!$F$2:$F$964,$A23)</f>
        <v>0</v>
      </c>
      <c r="DI23" s="7" t="n">
        <v>0</v>
      </c>
      <c r="DJ23" s="7" t="n">
        <v>0</v>
      </c>
      <c r="DK23" s="11" t="n">
        <f aca="false">SUMIFS('Исходные данные'!$I$2:$I$964,'Исходные данные'!$D$2:$D$964,DK$1,'Исходные данные'!$F$2:$F$964,$A23)</f>
        <v>0</v>
      </c>
      <c r="DL23" s="11" t="n">
        <f aca="false">SUMIFS('Исходные данные'!$J$2:$J$964,'Исходные данные'!$D$2:$D$964,DK$1,'Исходные данные'!$F$2:$F$964,$A23)</f>
        <v>0</v>
      </c>
      <c r="DM23" s="7" t="n">
        <v>0</v>
      </c>
      <c r="DN23" s="7" t="n">
        <v>0</v>
      </c>
      <c r="DO23" s="11" t="n">
        <f aca="false">SUMIFS('Исходные данные'!$I$2:$I$964,'Исходные данные'!$D$2:$D$964,DO$1,'Исходные данные'!$F$2:$F$964,$A23)</f>
        <v>0</v>
      </c>
      <c r="DP23" s="11" t="n">
        <f aca="false">SUMIFS('Исходные данные'!$J$2:$J$964,'Исходные данные'!$D$2:$D$964,DO$1,'Исходные данные'!$F$2:$F$964,$A23)</f>
        <v>0</v>
      </c>
      <c r="DQ23" s="7" t="n">
        <v>0</v>
      </c>
      <c r="DR23" s="7" t="n">
        <v>0</v>
      </c>
      <c r="DS23" s="11" t="n">
        <f aca="false">SUMIFS('Исходные данные'!$I$2:$I$964,'Исходные данные'!$D$2:$D$964,DS$1,'Исходные данные'!$F$2:$F$964,$A23)</f>
        <v>0</v>
      </c>
      <c r="DT23" s="11" t="n">
        <f aca="false">SUMIFS('Исходные данные'!$J$2:$J$964,'Исходные данные'!$D$2:$D$964,DS$1,'Исходные данные'!$F$2:$F$964,$A23)</f>
        <v>0</v>
      </c>
      <c r="DU23" s="7" t="n">
        <v>0</v>
      </c>
      <c r="DV23" s="7" t="n">
        <v>0</v>
      </c>
      <c r="DW23" s="11" t="n">
        <f aca="false">SUMIFS('Исходные данные'!$I$2:$I$964,'Исходные данные'!$D$2:$D$964,DW$1,'Исходные данные'!$F$2:$F$964,$A23)</f>
        <v>0</v>
      </c>
      <c r="DX23" s="11" t="n">
        <f aca="false">SUMIFS('Исходные данные'!$J$2:$J$964,'Исходные данные'!$D$2:$D$964,DW$1,'Исходные данные'!$F$2:$F$964,$A23)</f>
        <v>0</v>
      </c>
      <c r="DY23" s="7" t="n">
        <v>0</v>
      </c>
      <c r="DZ23" s="7" t="n">
        <v>0</v>
      </c>
      <c r="EA23" s="11" t="n">
        <f aca="false">SUMIFS('Исходные данные'!$I$2:$I$964,'Исходные данные'!$D$2:$D$964,EA$1,'Исходные данные'!$F$2:$F$964,$A23)</f>
        <v>0</v>
      </c>
      <c r="EB23" s="11" t="n">
        <f aca="false">SUMIFS('Исходные данные'!$J$2:$J$964,'Исходные данные'!$D$2:$D$964,EA$1,'Исходные данные'!$F$2:$F$964,$A23)</f>
        <v>0</v>
      </c>
      <c r="EC23" s="7" t="n">
        <v>0</v>
      </c>
      <c r="ED23" s="7" t="n">
        <v>0</v>
      </c>
      <c r="EE23" s="11" t="n">
        <f aca="false">SUMIFS('Исходные данные'!$I$2:$I$964,'Исходные данные'!$D$2:$D$964,EE$1,'Исходные данные'!$F$2:$F$964,$A23)</f>
        <v>0</v>
      </c>
      <c r="EF23" s="11" t="n">
        <f aca="false">SUMIFS('Исходные данные'!$J$2:$J$964,'Исходные данные'!$D$2:$D$964,EE$1,'Исходные данные'!$F$2:$F$964,$A23)</f>
        <v>0</v>
      </c>
      <c r="EG23" s="7" t="n">
        <v>0</v>
      </c>
      <c r="EH23" s="7" t="n">
        <v>0</v>
      </c>
      <c r="EI23" s="11" t="n">
        <f aca="false">SUMIFS('Исходные данные'!$I$2:$I$964,'Исходные данные'!$D$2:$D$964,EI$1,'Исходные данные'!$F$2:$F$964,$A23)</f>
        <v>0</v>
      </c>
      <c r="EJ23" s="11" t="n">
        <f aca="false">SUMIFS('Исходные данные'!$J$2:$J$964,'Исходные данные'!$D$2:$D$964,EI$1,'Исходные данные'!$F$2:$F$964,$A23)</f>
        <v>0</v>
      </c>
      <c r="EK23" s="7" t="n">
        <v>0</v>
      </c>
      <c r="EL23" s="7" t="n">
        <v>0</v>
      </c>
      <c r="EM23" s="11" t="n">
        <f aca="false">SUMIFS('Исходные данные'!$I$2:$I$964,'Исходные данные'!$D$2:$D$964,EM$1,'Исходные данные'!$F$2:$F$964,$A23)</f>
        <v>0</v>
      </c>
      <c r="EN23" s="11" t="n">
        <f aca="false">SUMIFS('Исходные данные'!$J$2:$J$964,'Исходные данные'!$D$2:$D$964,EM$1,'Исходные данные'!$F$2:$F$964,$A23)</f>
        <v>0</v>
      </c>
      <c r="EO23" s="7" t="n">
        <v>4</v>
      </c>
      <c r="EP23" s="7" t="n">
        <v>0</v>
      </c>
      <c r="EQ23" s="11" t="n">
        <f aca="false">SUMIFS('Исходные данные'!$I$2:$I$964,'Исходные данные'!$D$2:$D$964,EQ$1,'Исходные данные'!$F$2:$F$964,$A23)</f>
        <v>4</v>
      </c>
      <c r="ER23" s="11" t="n">
        <f aca="false">SUMIFS('Исходные данные'!$J$2:$J$964,'Исходные данные'!$D$2:$D$964,EQ$1,'Исходные данные'!$F$2:$F$964,$A23)</f>
        <v>0</v>
      </c>
      <c r="ES23" s="7" t="n">
        <v>0</v>
      </c>
      <c r="ET23" s="7" t="n">
        <v>0</v>
      </c>
      <c r="EU23" s="11" t="n">
        <f aca="false">SUMIFS('Исходные данные'!$I$2:$I$964,'Исходные данные'!$D$2:$D$964,EU$1,'Исходные данные'!$F$2:$F$964,$A23)</f>
        <v>0</v>
      </c>
      <c r="EV23" s="11" t="n">
        <f aca="false">SUMIFS('Исходные данные'!$J$2:$J$964,'Исходные данные'!$D$2:$D$964,EU$1,'Исходные данные'!$F$2:$F$964,$A23)</f>
        <v>0</v>
      </c>
      <c r="EW23" s="7" t="n">
        <v>0</v>
      </c>
      <c r="EX23" s="7" t="n">
        <v>0</v>
      </c>
      <c r="EY23" s="11" t="n">
        <f aca="false">SUMIFS('Исходные данные'!$I$2:$I$964,'Исходные данные'!$D$2:$D$964,EY$1,'Исходные данные'!$F$2:$F$964,$A23)</f>
        <v>0</v>
      </c>
      <c r="EZ23" s="11" t="n">
        <f aca="false">SUMIFS('Исходные данные'!$J$2:$J$964,'Исходные данные'!$D$2:$D$964,EY$1,'Исходные данные'!$F$2:$F$964,$A23)</f>
        <v>0</v>
      </c>
      <c r="FA23" s="7" t="n">
        <v>0</v>
      </c>
      <c r="FB23" s="7" t="n">
        <v>0</v>
      </c>
      <c r="FC23" s="11" t="n">
        <f aca="false">SUMIFS('Исходные данные'!$I$2:$I$964,'Исходные данные'!$D$2:$D$964,FC$1,'Исходные данные'!$F$2:$F$964,$A23)</f>
        <v>0</v>
      </c>
      <c r="FD23" s="11" t="n">
        <f aca="false">SUMIFS('Исходные данные'!$J$2:$J$964,'Исходные данные'!$D$2:$D$964,FC$1,'Исходные данные'!$F$2:$F$964,$A23)</f>
        <v>0</v>
      </c>
      <c r="FE23" s="7" t="n">
        <v>0</v>
      </c>
      <c r="FF23" s="7" t="n">
        <v>0</v>
      </c>
      <c r="FG23" s="11" t="n">
        <f aca="false">SUMIFS('Исходные данные'!$I$2:$I$964,'Исходные данные'!$D$2:$D$964,FG$1,'Исходные данные'!$F$2:$F$964,$A23)</f>
        <v>0</v>
      </c>
      <c r="FH23" s="11" t="n">
        <f aca="false">SUMIFS('Исходные данные'!$J$2:$J$964,'Исходные данные'!$D$2:$D$964,FG$1,'Исходные данные'!$F$2:$F$964,$A23)</f>
        <v>0</v>
      </c>
    </row>
    <row r="24" customFormat="false" ht="15" hidden="false" customHeight="false" outlineLevel="0" collapsed="false">
      <c r="A24" s="10" t="s">
        <v>91</v>
      </c>
      <c r="B24" s="11" t="s">
        <v>92</v>
      </c>
      <c r="C24" s="6" t="n">
        <v>1</v>
      </c>
      <c r="D24" s="6" t="n">
        <f aca="false">I24+J24+M24+N24+Q24+R24+U24+V24+Y24+Z24+AC24+AD24+AG24+AH24+AK24+AL24+AO24+AP24+AS24+AT24+AW24+AX24+BA24+BB24+BE24+BF24+BI24+BJ24+BM24+BN24+BQ24+BR24+BU24+BV24+BY24+BZ24+CC24+CD24+CG24+CH24+CK24+CL24+CO24+CP24+CS24+CT24+CW24+CX24+DA24+DB24+DE24+DF24+DI24+DJ24+DM24+DN24+DQ24+DR24+DU24+DV24+DY24+DZ24+EC24+ED24+EG24+EH24+EK24+EL24+EO24+EP24+ES24+ET24+EW24+EX24+FA24+FB24+FE24+FF24</f>
        <v>1</v>
      </c>
      <c r="E24" s="6" t="n">
        <f aca="false">G24+H24</f>
        <v>0</v>
      </c>
      <c r="F24" s="6" t="n">
        <f aca="false">E24-C24</f>
        <v>-1</v>
      </c>
      <c r="G24" s="6" t="n">
        <f aca="false">K24+O24+S24+W24+AA24+AE24+AI24+AM24+AQ24+AU24+AY24+BC24+BG24+BK24+BO24+BS24+BW24+CA24+CE24+CI24+CM24+CQ24+CU24+CY24+DC24+DG24+DK24+DO24+DS24+DW24+EA24+EE24+EI24+EM24+EQ24+EU24+EY24+FC24+FG24</f>
        <v>0</v>
      </c>
      <c r="H24" s="6" t="n">
        <f aca="false">L24+P24+T24+X24+AB24+AF24+AJ24+AN24+AR24+AV24+AZ24+BD24+BH24+BL24+BP24+BT24+BX24+CB24+CF24+CJ24+CN24+CR24+CV24+CZ24+DD24+DH24+DL24+DP24+DT24+DX24+EB24+EF24+EJ24+EN24+ER24+EV24+EZ24+FD24+FH24</f>
        <v>0</v>
      </c>
      <c r="I24" s="7" t="n">
        <v>0</v>
      </c>
      <c r="J24" s="7" t="n">
        <v>0</v>
      </c>
      <c r="K24" s="11" t="n">
        <f aca="false">SUMIFS('Исходные данные'!$I$2:$I$964,'Исходные данные'!$D$2:$D$964,K$1,'Исходные данные'!$F$2:$F$964,$A24)</f>
        <v>0</v>
      </c>
      <c r="L24" s="11" t="n">
        <f aca="false">SUMIFS('Исходные данные'!$J$2:$J$964,'Исходные данные'!$D$2:$D$964,K$1,'Исходные данные'!$F$2:$F$964,$A24)</f>
        <v>0</v>
      </c>
      <c r="M24" s="7" t="n">
        <v>0</v>
      </c>
      <c r="N24" s="7" t="n">
        <v>0</v>
      </c>
      <c r="O24" s="11" t="n">
        <f aca="false">SUMIFS('Исходные данные'!$I$2:$I$964,'Исходные данные'!$D$2:$D$964,O$1,'Исходные данные'!$F$2:$F$964,$A24)</f>
        <v>0</v>
      </c>
      <c r="P24" s="11" t="n">
        <f aca="false">SUMIFS('Исходные данные'!$J$2:$J$964,'Исходные данные'!$D$2:$D$964,O$1,'Исходные данные'!$F$2:$F$964,$A24)</f>
        <v>0</v>
      </c>
      <c r="Q24" s="7" t="n">
        <v>0</v>
      </c>
      <c r="R24" s="7" t="n">
        <v>0</v>
      </c>
      <c r="S24" s="11" t="n">
        <f aca="false">SUMIFS('Исходные данные'!$I$2:$I$964,'Исходные данные'!$D$2:$D$964,S$1,'Исходные данные'!$F$2:$F$964,$A24)</f>
        <v>0</v>
      </c>
      <c r="T24" s="11" t="n">
        <f aca="false">SUMIFS('Исходные данные'!$J$2:$J$964,'Исходные данные'!$D$2:$D$964,S$1,'Исходные данные'!$F$2:$F$964,$A24)</f>
        <v>0</v>
      </c>
      <c r="U24" s="7" t="n">
        <v>0</v>
      </c>
      <c r="V24" s="7" t="n">
        <v>0</v>
      </c>
      <c r="W24" s="11" t="n">
        <f aca="false">SUMIFS('Исходные данные'!$I$2:$I$964,'Исходные данные'!$D$2:$D$964,W$1,'Исходные данные'!$F$2:$F$964,$A24)</f>
        <v>0</v>
      </c>
      <c r="X24" s="11" t="n">
        <f aca="false">SUMIFS('Исходные данные'!$J$2:$J$964,'Исходные данные'!$D$2:$D$964,W$1,'Исходные данные'!$F$2:$F$964,$A24)</f>
        <v>0</v>
      </c>
      <c r="Y24" s="7" t="n">
        <v>0</v>
      </c>
      <c r="Z24" s="7" t="n">
        <v>0</v>
      </c>
      <c r="AA24" s="11" t="n">
        <f aca="false">SUMIFS('Исходные данные'!$I$2:$I$964,'Исходные данные'!$D$2:$D$964,AA$1,'Исходные данные'!$F$2:$F$964,$A24)</f>
        <v>0</v>
      </c>
      <c r="AB24" s="11" t="n">
        <f aca="false">SUMIFS('Исходные данные'!$J$2:$J$964,'Исходные данные'!$D$2:$D$964,AA$1,'Исходные данные'!$F$2:$F$964,$A24)</f>
        <v>0</v>
      </c>
      <c r="AC24" s="7" t="n">
        <v>0</v>
      </c>
      <c r="AD24" s="7" t="n">
        <v>0</v>
      </c>
      <c r="AE24" s="11" t="n">
        <f aca="false">SUMIFS('Исходные данные'!$I$2:$I$964,'Исходные данные'!$D$2:$D$964,AE$1,'Исходные данные'!$F$2:$F$964,$A24)</f>
        <v>0</v>
      </c>
      <c r="AF24" s="11" t="n">
        <f aca="false">SUMIFS('Исходные данные'!$J$2:$J$964,'Исходные данные'!$D$2:$D$964,AE$1,'Исходные данные'!$F$2:$F$964,$A24)</f>
        <v>0</v>
      </c>
      <c r="AG24" s="7" t="n">
        <v>0</v>
      </c>
      <c r="AH24" s="7" t="n">
        <v>0</v>
      </c>
      <c r="AI24" s="11" t="n">
        <f aca="false">SUMIFS('Исходные данные'!$I$2:$I$964,'Исходные данные'!$D$2:$D$964,AI$1,'Исходные данные'!$F$2:$F$964,$A24)</f>
        <v>0</v>
      </c>
      <c r="AJ24" s="11" t="n">
        <f aca="false">SUMIFS('Исходные данные'!$J$2:$J$964,'Исходные данные'!$D$2:$D$964,AI$1,'Исходные данные'!$F$2:$F$964,$A24)</f>
        <v>0</v>
      </c>
      <c r="AK24" s="7" t="n">
        <v>0</v>
      </c>
      <c r="AL24" s="7" t="n">
        <v>0</v>
      </c>
      <c r="AM24" s="11" t="n">
        <f aca="false">SUMIFS('Исходные данные'!$I$2:$I$964,'Исходные данные'!$D$2:$D$964,AM$1,'Исходные данные'!$F$2:$F$964,$A24)</f>
        <v>0</v>
      </c>
      <c r="AN24" s="11" t="n">
        <f aca="false">SUMIFS('Исходные данные'!$J$2:$J$964,'Исходные данные'!$D$2:$D$964,AM$1,'Исходные данные'!$F$2:$F$964,$A24)</f>
        <v>0</v>
      </c>
      <c r="AO24" s="7" t="n">
        <v>0</v>
      </c>
      <c r="AP24" s="7" t="n">
        <v>0</v>
      </c>
      <c r="AQ24" s="11" t="n">
        <f aca="false">SUMIFS('Исходные данные'!$I$2:$I$964,'Исходные данные'!$D$2:$D$964,AQ$1,'Исходные данные'!$F$2:$F$964,$A24)</f>
        <v>0</v>
      </c>
      <c r="AR24" s="11" t="n">
        <f aca="false">SUMIFS('Исходные данные'!$J$2:$J$964,'Исходные данные'!$D$2:$D$964,AQ$1,'Исходные данные'!$F$2:$F$964,$A24)</f>
        <v>0</v>
      </c>
      <c r="AS24" s="7" t="n">
        <v>0</v>
      </c>
      <c r="AT24" s="7" t="n">
        <v>0</v>
      </c>
      <c r="AU24" s="11" t="n">
        <f aca="false">SUMIFS('Исходные данные'!$I$2:$I$964,'Исходные данные'!$D$2:$D$964,AU$1,'Исходные данные'!$F$2:$F$964,$A24)</f>
        <v>0</v>
      </c>
      <c r="AV24" s="11" t="n">
        <f aca="false">SUMIFS('Исходные данные'!$J$2:$J$964,'Исходные данные'!$D$2:$D$964,AU$1,'Исходные данные'!$F$2:$F$964,$A24)</f>
        <v>0</v>
      </c>
      <c r="AW24" s="7" t="n">
        <v>0</v>
      </c>
      <c r="AX24" s="7" t="n">
        <v>0</v>
      </c>
      <c r="AY24" s="11" t="n">
        <f aca="false">SUMIFS('Исходные данные'!$I$2:$I$964,'Исходные данные'!$D$2:$D$964,AY$1,'Исходные данные'!$F$2:$F$964,$A24)</f>
        <v>0</v>
      </c>
      <c r="AZ24" s="11" t="n">
        <f aca="false">SUMIFS('Исходные данные'!$J$2:$J$964,'Исходные данные'!$D$2:$D$964,AY$1,'Исходные данные'!$F$2:$F$964,$A24)</f>
        <v>0</v>
      </c>
      <c r="BA24" s="7" t="n">
        <v>0</v>
      </c>
      <c r="BB24" s="7" t="n">
        <v>0</v>
      </c>
      <c r="BC24" s="11" t="n">
        <f aca="false">SUMIFS('Исходные данные'!$I$2:$I$964,'Исходные данные'!$D$2:$D$964,BC$1,'Исходные данные'!$F$2:$F$964,$A24)</f>
        <v>0</v>
      </c>
      <c r="BD24" s="11" t="n">
        <f aca="false">SUMIFS('Исходные данные'!$J$2:$J$964,'Исходные данные'!$D$2:$D$964,BC$1,'Исходные данные'!$F$2:$F$964,$A24)</f>
        <v>0</v>
      </c>
      <c r="BE24" s="7" t="n">
        <v>0</v>
      </c>
      <c r="BF24" s="7" t="n">
        <v>0</v>
      </c>
      <c r="BG24" s="11" t="n">
        <f aca="false">SUMIFS('Исходные данные'!$I$2:$I$964,'Исходные данные'!$D$2:$D$964,BG$1,'Исходные данные'!$F$2:$F$964,$A24)</f>
        <v>0</v>
      </c>
      <c r="BH24" s="11" t="n">
        <f aca="false">SUMIFS('Исходные данные'!$J$2:$J$964,'Исходные данные'!$D$2:$D$964,BG$1,'Исходные данные'!$F$2:$F$964,$A24)</f>
        <v>0</v>
      </c>
      <c r="BI24" s="7" t="n">
        <v>0</v>
      </c>
      <c r="BJ24" s="7" t="n">
        <v>0</v>
      </c>
      <c r="BK24" s="11" t="n">
        <f aca="false">SUMIFS('Исходные данные'!$I$2:$I$964,'Исходные данные'!$D$2:$D$964,BK$1,'Исходные данные'!$F$2:$F$964,$A24)</f>
        <v>0</v>
      </c>
      <c r="BL24" s="11" t="n">
        <f aca="false">SUMIFS('Исходные данные'!$J$2:$J$964,'Исходные данные'!$D$2:$D$964,BK$1,'Исходные данные'!$F$2:$F$964,$A24)</f>
        <v>0</v>
      </c>
      <c r="BM24" s="7" t="n">
        <v>0</v>
      </c>
      <c r="BN24" s="7" t="n">
        <v>0</v>
      </c>
      <c r="BO24" s="11" t="n">
        <f aca="false">SUMIFS('Исходные данные'!$I$2:$I$964,'Исходные данные'!$D$2:$D$964,BO$1,'Исходные данные'!$F$2:$F$964,$A24)</f>
        <v>0</v>
      </c>
      <c r="BP24" s="11" t="n">
        <f aca="false">SUMIFS('Исходные данные'!$J$2:$J$964,'Исходные данные'!$D$2:$D$964,BO$1,'Исходные данные'!$F$2:$F$964,$A24)</f>
        <v>0</v>
      </c>
      <c r="BQ24" s="7" t="n">
        <v>1</v>
      </c>
      <c r="BR24" s="7" t="n">
        <v>0</v>
      </c>
      <c r="BS24" s="11" t="n">
        <f aca="false">SUMIFS('Исходные данные'!$I$2:$I$964,'Исходные данные'!$D$2:$D$964,BS$1,'Исходные данные'!$F$2:$F$964,$A24)</f>
        <v>0</v>
      </c>
      <c r="BT24" s="11" t="n">
        <f aca="false">SUMIFS('Исходные данные'!$J$2:$J$964,'Исходные данные'!$D$2:$D$964,BS$1,'Исходные данные'!$F$2:$F$964,$A24)</f>
        <v>0</v>
      </c>
      <c r="BU24" s="7" t="n">
        <v>0</v>
      </c>
      <c r="BV24" s="7" t="n">
        <v>0</v>
      </c>
      <c r="BW24" s="11" t="n">
        <f aca="false">SUMIFS('Исходные данные'!$I$2:$I$964,'Исходные данные'!$D$2:$D$964,BW$1,'Исходные данные'!$F$2:$F$964,$A24)</f>
        <v>0</v>
      </c>
      <c r="BX24" s="11" t="n">
        <f aca="false">SUMIFS('Исходные данные'!$J$2:$J$964,'Исходные данные'!$D$2:$D$964,BW$1,'Исходные данные'!$F$2:$F$964,$A24)</f>
        <v>0</v>
      </c>
      <c r="BY24" s="7" t="n">
        <v>0</v>
      </c>
      <c r="BZ24" s="7" t="n">
        <v>0</v>
      </c>
      <c r="CA24" s="11" t="n">
        <f aca="false">SUMIFS('Исходные данные'!$I$2:$I$964,'Исходные данные'!$D$2:$D$964,CA$1,'Исходные данные'!$F$2:$F$964,$A24)</f>
        <v>0</v>
      </c>
      <c r="CB24" s="11" t="n">
        <f aca="false">SUMIFS('Исходные данные'!$J$2:$J$964,'Исходные данные'!$D$2:$D$964,CA$1,'Исходные данные'!$F$2:$F$964,$A24)</f>
        <v>0</v>
      </c>
      <c r="CC24" s="7" t="n">
        <v>0</v>
      </c>
      <c r="CD24" s="7" t="n">
        <v>0</v>
      </c>
      <c r="CE24" s="11" t="n">
        <f aca="false">SUMIFS('Исходные данные'!$I$2:$I$964,'Исходные данные'!$D$2:$D$964,CE$1,'Исходные данные'!$F$2:$F$964,$A24)</f>
        <v>0</v>
      </c>
      <c r="CF24" s="11" t="n">
        <f aca="false">SUMIFS('Исходные данные'!$J$2:$J$964,'Исходные данные'!$D$2:$D$964,CE$1,'Исходные данные'!$F$2:$F$964,$A24)</f>
        <v>0</v>
      </c>
      <c r="CG24" s="7" t="n">
        <v>0</v>
      </c>
      <c r="CH24" s="7" t="n">
        <v>0</v>
      </c>
      <c r="CI24" s="11" t="n">
        <f aca="false">SUMIFS('Исходные данные'!$I$2:$I$964,'Исходные данные'!$D$2:$D$964,CI$1,'Исходные данные'!$F$2:$F$964,$A24)</f>
        <v>0</v>
      </c>
      <c r="CJ24" s="11" t="n">
        <f aca="false">SUMIFS('Исходные данные'!$J$2:$J$964,'Исходные данные'!$D$2:$D$964,CI$1,'Исходные данные'!$F$2:$F$964,$A24)</f>
        <v>0</v>
      </c>
      <c r="CK24" s="7" t="n">
        <v>0</v>
      </c>
      <c r="CL24" s="7" t="n">
        <v>0</v>
      </c>
      <c r="CM24" s="11" t="n">
        <f aca="false">SUMIFS('Исходные данные'!$I$2:$I$964,'Исходные данные'!$D$2:$D$964,CM$1,'Исходные данные'!$F$2:$F$964,$A24)</f>
        <v>0</v>
      </c>
      <c r="CN24" s="11" t="n">
        <f aca="false">SUMIFS('Исходные данные'!$J$2:$J$964,'Исходные данные'!$D$2:$D$964,CM$1,'Исходные данные'!$F$2:$F$964,$A24)</f>
        <v>0</v>
      </c>
      <c r="CO24" s="7" t="n">
        <v>0</v>
      </c>
      <c r="CP24" s="7" t="n">
        <v>0</v>
      </c>
      <c r="CQ24" s="11" t="n">
        <f aca="false">SUMIFS('Исходные данные'!$I$2:$I$964,'Исходные данные'!$D$2:$D$964,CQ$1,'Исходные данные'!$F$2:$F$964,$A24)</f>
        <v>0</v>
      </c>
      <c r="CR24" s="11" t="n">
        <f aca="false">SUMIFS('Исходные данные'!$J$2:$J$964,'Исходные данные'!$D$2:$D$964,CQ$1,'Исходные данные'!$F$2:$F$964,$A24)</f>
        <v>0</v>
      </c>
      <c r="CS24" s="7" t="n">
        <v>0</v>
      </c>
      <c r="CT24" s="7" t="n">
        <v>0</v>
      </c>
      <c r="CU24" s="11" t="n">
        <f aca="false">SUMIFS('Исходные данные'!$I$2:$I$964,'Исходные данные'!$D$2:$D$964,CU$1,'Исходные данные'!$F$2:$F$964,$A24)</f>
        <v>0</v>
      </c>
      <c r="CV24" s="11" t="n">
        <f aca="false">SUMIFS('Исходные данные'!$J$2:$J$964,'Исходные данные'!$D$2:$D$964,CU$1,'Исходные данные'!$F$2:$F$964,$A24)</f>
        <v>0</v>
      </c>
      <c r="CW24" s="7" t="n">
        <v>0</v>
      </c>
      <c r="CX24" s="7" t="n">
        <v>0</v>
      </c>
      <c r="CY24" s="11" t="n">
        <f aca="false">SUMIFS('Исходные данные'!$I$2:$I$964,'Исходные данные'!$D$2:$D$964,CY$1,'Исходные данные'!$F$2:$F$964,$A24)</f>
        <v>0</v>
      </c>
      <c r="CZ24" s="11" t="n">
        <f aca="false">SUMIFS('Исходные данные'!$J$2:$J$964,'Исходные данные'!$D$2:$D$964,CY$1,'Исходные данные'!$F$2:$F$964,$A24)</f>
        <v>0</v>
      </c>
      <c r="DA24" s="7" t="n">
        <v>0</v>
      </c>
      <c r="DB24" s="7" t="n">
        <v>0</v>
      </c>
      <c r="DC24" s="11" t="n">
        <f aca="false">SUMIFS('Исходные данные'!$I$2:$I$964,'Исходные данные'!$D$2:$D$964,DC$1,'Исходные данные'!$F$2:$F$964,$A24)</f>
        <v>0</v>
      </c>
      <c r="DD24" s="11" t="n">
        <f aca="false">SUMIFS('Исходные данные'!$J$2:$J$964,'Исходные данные'!$D$2:$D$964,DC$1,'Исходные данные'!$F$2:$F$964,$A24)</f>
        <v>0</v>
      </c>
      <c r="DE24" s="7" t="n">
        <v>0</v>
      </c>
      <c r="DF24" s="7" t="n">
        <v>0</v>
      </c>
      <c r="DG24" s="11" t="n">
        <f aca="false">SUMIFS('Исходные данные'!$I$2:$I$964,'Исходные данные'!$D$2:$D$964,DG$1,'Исходные данные'!$F$2:$F$964,$A24)</f>
        <v>0</v>
      </c>
      <c r="DH24" s="11" t="n">
        <f aca="false">SUMIFS('Исходные данные'!$J$2:$J$964,'Исходные данные'!$D$2:$D$964,DG$1,'Исходные данные'!$F$2:$F$964,$A24)</f>
        <v>0</v>
      </c>
      <c r="DI24" s="7" t="n">
        <v>0</v>
      </c>
      <c r="DJ24" s="7" t="n">
        <v>0</v>
      </c>
      <c r="DK24" s="11" t="n">
        <f aca="false">SUMIFS('Исходные данные'!$I$2:$I$964,'Исходные данные'!$D$2:$D$964,DK$1,'Исходные данные'!$F$2:$F$964,$A24)</f>
        <v>0</v>
      </c>
      <c r="DL24" s="11" t="n">
        <f aca="false">SUMIFS('Исходные данные'!$J$2:$J$964,'Исходные данные'!$D$2:$D$964,DK$1,'Исходные данные'!$F$2:$F$964,$A24)</f>
        <v>0</v>
      </c>
      <c r="DM24" s="7" t="n">
        <v>0</v>
      </c>
      <c r="DN24" s="7" t="n">
        <v>0</v>
      </c>
      <c r="DO24" s="11" t="n">
        <f aca="false">SUMIFS('Исходные данные'!$I$2:$I$964,'Исходные данные'!$D$2:$D$964,DO$1,'Исходные данные'!$F$2:$F$964,$A24)</f>
        <v>0</v>
      </c>
      <c r="DP24" s="11" t="n">
        <f aca="false">SUMIFS('Исходные данные'!$J$2:$J$964,'Исходные данные'!$D$2:$D$964,DO$1,'Исходные данные'!$F$2:$F$964,$A24)</f>
        <v>0</v>
      </c>
      <c r="DQ24" s="7" t="n">
        <v>0</v>
      </c>
      <c r="DR24" s="7" t="n">
        <v>0</v>
      </c>
      <c r="DS24" s="11" t="n">
        <f aca="false">SUMIFS('Исходные данные'!$I$2:$I$964,'Исходные данные'!$D$2:$D$964,DS$1,'Исходные данные'!$F$2:$F$964,$A24)</f>
        <v>0</v>
      </c>
      <c r="DT24" s="11" t="n">
        <f aca="false">SUMIFS('Исходные данные'!$J$2:$J$964,'Исходные данные'!$D$2:$D$964,DS$1,'Исходные данные'!$F$2:$F$964,$A24)</f>
        <v>0</v>
      </c>
      <c r="DU24" s="7" t="n">
        <v>0</v>
      </c>
      <c r="DV24" s="7" t="n">
        <v>0</v>
      </c>
      <c r="DW24" s="11" t="n">
        <f aca="false">SUMIFS('Исходные данные'!$I$2:$I$964,'Исходные данные'!$D$2:$D$964,DW$1,'Исходные данные'!$F$2:$F$964,$A24)</f>
        <v>0</v>
      </c>
      <c r="DX24" s="11" t="n">
        <f aca="false">SUMIFS('Исходные данные'!$J$2:$J$964,'Исходные данные'!$D$2:$D$964,DW$1,'Исходные данные'!$F$2:$F$964,$A24)</f>
        <v>0</v>
      </c>
      <c r="DY24" s="7" t="n">
        <v>0</v>
      </c>
      <c r="DZ24" s="7" t="n">
        <v>0</v>
      </c>
      <c r="EA24" s="11" t="n">
        <f aca="false">SUMIFS('Исходные данные'!$I$2:$I$964,'Исходные данные'!$D$2:$D$964,EA$1,'Исходные данные'!$F$2:$F$964,$A24)</f>
        <v>0</v>
      </c>
      <c r="EB24" s="11" t="n">
        <f aca="false">SUMIFS('Исходные данные'!$J$2:$J$964,'Исходные данные'!$D$2:$D$964,EA$1,'Исходные данные'!$F$2:$F$964,$A24)</f>
        <v>0</v>
      </c>
      <c r="EC24" s="7" t="n">
        <v>0</v>
      </c>
      <c r="ED24" s="7" t="n">
        <v>0</v>
      </c>
      <c r="EE24" s="11" t="n">
        <f aca="false">SUMIFS('Исходные данные'!$I$2:$I$964,'Исходные данные'!$D$2:$D$964,EE$1,'Исходные данные'!$F$2:$F$964,$A24)</f>
        <v>0</v>
      </c>
      <c r="EF24" s="11" t="n">
        <f aca="false">SUMIFS('Исходные данные'!$J$2:$J$964,'Исходные данные'!$D$2:$D$964,EE$1,'Исходные данные'!$F$2:$F$964,$A24)</f>
        <v>0</v>
      </c>
      <c r="EG24" s="7" t="n">
        <v>0</v>
      </c>
      <c r="EH24" s="7" t="n">
        <v>0</v>
      </c>
      <c r="EI24" s="11" t="n">
        <f aca="false">SUMIFS('Исходные данные'!$I$2:$I$964,'Исходные данные'!$D$2:$D$964,EI$1,'Исходные данные'!$F$2:$F$964,$A24)</f>
        <v>0</v>
      </c>
      <c r="EJ24" s="11" t="n">
        <f aca="false">SUMIFS('Исходные данные'!$J$2:$J$964,'Исходные данные'!$D$2:$D$964,EI$1,'Исходные данные'!$F$2:$F$964,$A24)</f>
        <v>0</v>
      </c>
      <c r="EK24" s="7" t="n">
        <v>0</v>
      </c>
      <c r="EL24" s="7" t="n">
        <v>0</v>
      </c>
      <c r="EM24" s="11" t="n">
        <f aca="false">SUMIFS('Исходные данные'!$I$2:$I$964,'Исходные данные'!$D$2:$D$964,EM$1,'Исходные данные'!$F$2:$F$964,$A24)</f>
        <v>0</v>
      </c>
      <c r="EN24" s="11" t="n">
        <f aca="false">SUMIFS('Исходные данные'!$J$2:$J$964,'Исходные данные'!$D$2:$D$964,EM$1,'Исходные данные'!$F$2:$F$964,$A24)</f>
        <v>0</v>
      </c>
      <c r="EO24" s="7" t="n">
        <v>0</v>
      </c>
      <c r="EP24" s="7" t="n">
        <v>0</v>
      </c>
      <c r="EQ24" s="11" t="n">
        <f aca="false">SUMIFS('Исходные данные'!$I$2:$I$964,'Исходные данные'!$D$2:$D$964,EQ$1,'Исходные данные'!$F$2:$F$964,$A24)</f>
        <v>0</v>
      </c>
      <c r="ER24" s="11" t="n">
        <f aca="false">SUMIFS('Исходные данные'!$J$2:$J$964,'Исходные данные'!$D$2:$D$964,EQ$1,'Исходные данные'!$F$2:$F$964,$A24)</f>
        <v>0</v>
      </c>
      <c r="ES24" s="7" t="n">
        <v>0</v>
      </c>
      <c r="ET24" s="7" t="n">
        <v>0</v>
      </c>
      <c r="EU24" s="11" t="n">
        <f aca="false">SUMIFS('Исходные данные'!$I$2:$I$964,'Исходные данные'!$D$2:$D$964,EU$1,'Исходные данные'!$F$2:$F$964,$A24)</f>
        <v>0</v>
      </c>
      <c r="EV24" s="11" t="n">
        <f aca="false">SUMIFS('Исходные данные'!$J$2:$J$964,'Исходные данные'!$D$2:$D$964,EU$1,'Исходные данные'!$F$2:$F$964,$A24)</f>
        <v>0</v>
      </c>
      <c r="EW24" s="7" t="n">
        <v>0</v>
      </c>
      <c r="EX24" s="7" t="n">
        <v>0</v>
      </c>
      <c r="EY24" s="11" t="n">
        <f aca="false">SUMIFS('Исходные данные'!$I$2:$I$964,'Исходные данные'!$D$2:$D$964,EY$1,'Исходные данные'!$F$2:$F$964,$A24)</f>
        <v>0</v>
      </c>
      <c r="EZ24" s="11" t="n">
        <f aca="false">SUMIFS('Исходные данные'!$J$2:$J$964,'Исходные данные'!$D$2:$D$964,EY$1,'Исходные данные'!$F$2:$F$964,$A24)</f>
        <v>0</v>
      </c>
      <c r="FA24" s="7" t="n">
        <v>0</v>
      </c>
      <c r="FB24" s="7" t="n">
        <v>0</v>
      </c>
      <c r="FC24" s="11" t="n">
        <f aca="false">SUMIFS('Исходные данные'!$I$2:$I$964,'Исходные данные'!$D$2:$D$964,FC$1,'Исходные данные'!$F$2:$F$964,$A24)</f>
        <v>0</v>
      </c>
      <c r="FD24" s="11" t="n">
        <f aca="false">SUMIFS('Исходные данные'!$J$2:$J$964,'Исходные данные'!$D$2:$D$964,FC$1,'Исходные данные'!$F$2:$F$964,$A24)</f>
        <v>0</v>
      </c>
      <c r="FE24" s="7" t="n">
        <v>0</v>
      </c>
      <c r="FF24" s="7" t="n">
        <v>0</v>
      </c>
      <c r="FG24" s="11" t="n">
        <f aca="false">SUMIFS('Исходные данные'!$I$2:$I$964,'Исходные данные'!$D$2:$D$964,FG$1,'Исходные данные'!$F$2:$F$964,$A24)</f>
        <v>0</v>
      </c>
      <c r="FH24" s="11" t="n">
        <f aca="false">SUMIFS('Исходные данные'!$J$2:$J$964,'Исходные данные'!$D$2:$D$964,FG$1,'Исходные данные'!$F$2:$F$964,$A24)</f>
        <v>0</v>
      </c>
    </row>
    <row r="25" customFormat="false" ht="15" hidden="false" customHeight="false" outlineLevel="0" collapsed="false">
      <c r="A25" s="10" t="s">
        <v>93</v>
      </c>
      <c r="B25" s="11" t="s">
        <v>94</v>
      </c>
      <c r="C25" s="6" t="n">
        <v>6</v>
      </c>
      <c r="D25" s="6" t="n">
        <f aca="false">I25+J25+M25+N25+Q25+R25+U25+V25+Y25+Z25+AC25+AD25+AG25+AH25+AK25+AL25+AO25+AP25+AS25+AT25+AW25+AX25+BA25+BB25+BE25+BF25+BI25+BJ25+BM25+BN25+BQ25+BR25+BU25+BV25+BY25+BZ25+CC25+CD25+CG25+CH25+CK25+CL25+CO25+CP25+CS25+CT25+CW25+CX25+DA25+DB25+DE25+DF25+DI25+DJ25+DM25+DN25+DQ25+DR25+DU25+DV25+DY25+DZ25+EC25+ED25+EG25+EH25+EK25+EL25+EO25+EP25+ES25+ET25+EW25+EX25+FA25+FB25+FE25+FF25</f>
        <v>6</v>
      </c>
      <c r="E25" s="6" t="n">
        <f aca="false">G25+H25</f>
        <v>6</v>
      </c>
      <c r="F25" s="6" t="n">
        <f aca="false">E25-C25</f>
        <v>0</v>
      </c>
      <c r="G25" s="6" t="n">
        <f aca="false">K25+O25+S25+W25+AA25+AE25+AI25+AM25+AQ25+AU25+AY25+BC25+BG25+BK25+BO25+BS25+BW25+CA25+CE25+CI25+CM25+CQ25+CU25+CY25+DC25+DG25+DK25+DO25+DS25+DW25+EA25+EE25+EI25+EM25+EQ25+EU25+EY25+FC25+FG25</f>
        <v>3</v>
      </c>
      <c r="H25" s="6" t="n">
        <f aca="false">L25+P25+T25+X25+AB25+AF25+AJ25+AN25+AR25+AV25+AZ25+BD25+BH25+BL25+BP25+BT25+BX25+CB25+CF25+CJ25+CN25+CR25+CV25+CZ25+DD25+DH25+DL25+DP25+DT25+DX25+EB25+EF25+EJ25+EN25+ER25+EV25+EZ25+FD25+FH25</f>
        <v>3</v>
      </c>
      <c r="I25" s="7" t="n">
        <v>0</v>
      </c>
      <c r="J25" s="7" t="n">
        <v>0</v>
      </c>
      <c r="K25" s="11" t="n">
        <f aca="false">SUMIFS('Исходные данные'!$I$2:$I$964,'Исходные данные'!$D$2:$D$964,K$1,'Исходные данные'!$F$2:$F$964,$A25)</f>
        <v>0</v>
      </c>
      <c r="L25" s="11" t="n">
        <f aca="false">SUMIFS('Исходные данные'!$J$2:$J$964,'Исходные данные'!$D$2:$D$964,K$1,'Исходные данные'!$F$2:$F$964,$A25)</f>
        <v>0</v>
      </c>
      <c r="M25" s="7" t="n">
        <v>0</v>
      </c>
      <c r="N25" s="7" t="n">
        <v>0</v>
      </c>
      <c r="O25" s="11" t="n">
        <f aca="false">SUMIFS('Исходные данные'!$I$2:$I$964,'Исходные данные'!$D$2:$D$964,O$1,'Исходные данные'!$F$2:$F$964,$A25)</f>
        <v>0</v>
      </c>
      <c r="P25" s="11" t="n">
        <f aca="false">SUMIFS('Исходные данные'!$J$2:$J$964,'Исходные данные'!$D$2:$D$964,O$1,'Исходные данные'!$F$2:$F$964,$A25)</f>
        <v>0</v>
      </c>
      <c r="Q25" s="7" t="n">
        <v>0</v>
      </c>
      <c r="R25" s="7" t="n">
        <v>0</v>
      </c>
      <c r="S25" s="11" t="n">
        <f aca="false">SUMIFS('Исходные данные'!$I$2:$I$964,'Исходные данные'!$D$2:$D$964,S$1,'Исходные данные'!$F$2:$F$964,$A25)</f>
        <v>0</v>
      </c>
      <c r="T25" s="11" t="n">
        <f aca="false">SUMIFS('Исходные данные'!$J$2:$J$964,'Исходные данные'!$D$2:$D$964,S$1,'Исходные данные'!$F$2:$F$964,$A25)</f>
        <v>0</v>
      </c>
      <c r="U25" s="7" t="n">
        <v>0</v>
      </c>
      <c r="V25" s="7" t="n">
        <v>0</v>
      </c>
      <c r="W25" s="11" t="n">
        <f aca="false">SUMIFS('Исходные данные'!$I$2:$I$964,'Исходные данные'!$D$2:$D$964,W$1,'Исходные данные'!$F$2:$F$964,$A25)</f>
        <v>0</v>
      </c>
      <c r="X25" s="11" t="n">
        <f aca="false">SUMIFS('Исходные данные'!$J$2:$J$964,'Исходные данные'!$D$2:$D$964,W$1,'Исходные данные'!$F$2:$F$964,$A25)</f>
        <v>0</v>
      </c>
      <c r="Y25" s="7" t="n">
        <v>0</v>
      </c>
      <c r="Z25" s="7" t="n">
        <v>0</v>
      </c>
      <c r="AA25" s="11" t="n">
        <f aca="false">SUMIFS('Исходные данные'!$I$2:$I$964,'Исходные данные'!$D$2:$D$964,AA$1,'Исходные данные'!$F$2:$F$964,$A25)</f>
        <v>0</v>
      </c>
      <c r="AB25" s="11" t="n">
        <f aca="false">SUMIFS('Исходные данные'!$J$2:$J$964,'Исходные данные'!$D$2:$D$964,AA$1,'Исходные данные'!$F$2:$F$964,$A25)</f>
        <v>0</v>
      </c>
      <c r="AC25" s="7" t="n">
        <v>0</v>
      </c>
      <c r="AD25" s="7" t="n">
        <v>0</v>
      </c>
      <c r="AE25" s="11" t="n">
        <f aca="false">SUMIFS('Исходные данные'!$I$2:$I$964,'Исходные данные'!$D$2:$D$964,AE$1,'Исходные данные'!$F$2:$F$964,$A25)</f>
        <v>0</v>
      </c>
      <c r="AF25" s="11" t="n">
        <f aca="false">SUMIFS('Исходные данные'!$J$2:$J$964,'Исходные данные'!$D$2:$D$964,AE$1,'Исходные данные'!$F$2:$F$964,$A25)</f>
        <v>0</v>
      </c>
      <c r="AG25" s="7" t="n">
        <v>0</v>
      </c>
      <c r="AH25" s="7" t="n">
        <v>0</v>
      </c>
      <c r="AI25" s="11" t="n">
        <f aca="false">SUMIFS('Исходные данные'!$I$2:$I$964,'Исходные данные'!$D$2:$D$964,AI$1,'Исходные данные'!$F$2:$F$964,$A25)</f>
        <v>0</v>
      </c>
      <c r="AJ25" s="11" t="n">
        <f aca="false">SUMIFS('Исходные данные'!$J$2:$J$964,'Исходные данные'!$D$2:$D$964,AI$1,'Исходные данные'!$F$2:$F$964,$A25)</f>
        <v>0</v>
      </c>
      <c r="AK25" s="7" t="n">
        <v>0</v>
      </c>
      <c r="AL25" s="7" t="n">
        <v>0</v>
      </c>
      <c r="AM25" s="11" t="n">
        <f aca="false">SUMIFS('Исходные данные'!$I$2:$I$964,'Исходные данные'!$D$2:$D$964,AM$1,'Исходные данные'!$F$2:$F$964,$A25)</f>
        <v>0</v>
      </c>
      <c r="AN25" s="11" t="n">
        <f aca="false">SUMIFS('Исходные данные'!$J$2:$J$964,'Исходные данные'!$D$2:$D$964,AM$1,'Исходные данные'!$F$2:$F$964,$A25)</f>
        <v>0</v>
      </c>
      <c r="AO25" s="7" t="n">
        <v>0</v>
      </c>
      <c r="AP25" s="7" t="n">
        <v>0</v>
      </c>
      <c r="AQ25" s="11" t="n">
        <f aca="false">SUMIFS('Исходные данные'!$I$2:$I$964,'Исходные данные'!$D$2:$D$964,AQ$1,'Исходные данные'!$F$2:$F$964,$A25)</f>
        <v>0</v>
      </c>
      <c r="AR25" s="11" t="n">
        <f aca="false">SUMIFS('Исходные данные'!$J$2:$J$964,'Исходные данные'!$D$2:$D$964,AQ$1,'Исходные данные'!$F$2:$F$964,$A25)</f>
        <v>0</v>
      </c>
      <c r="AS25" s="7" t="n">
        <v>0</v>
      </c>
      <c r="AT25" s="7" t="n">
        <v>0</v>
      </c>
      <c r="AU25" s="11" t="n">
        <f aca="false">SUMIFS('Исходные данные'!$I$2:$I$964,'Исходные данные'!$D$2:$D$964,AU$1,'Исходные данные'!$F$2:$F$964,$A25)</f>
        <v>0</v>
      </c>
      <c r="AV25" s="11" t="n">
        <f aca="false">SUMIFS('Исходные данные'!$J$2:$J$964,'Исходные данные'!$D$2:$D$964,AU$1,'Исходные данные'!$F$2:$F$964,$A25)</f>
        <v>0</v>
      </c>
      <c r="AW25" s="7" t="n">
        <v>0</v>
      </c>
      <c r="AX25" s="7" t="n">
        <v>0</v>
      </c>
      <c r="AY25" s="11" t="n">
        <f aca="false">SUMIFS('Исходные данные'!$I$2:$I$964,'Исходные данные'!$D$2:$D$964,AY$1,'Исходные данные'!$F$2:$F$964,$A25)</f>
        <v>0</v>
      </c>
      <c r="AZ25" s="11" t="n">
        <f aca="false">SUMIFS('Исходные данные'!$J$2:$J$964,'Исходные данные'!$D$2:$D$964,AY$1,'Исходные данные'!$F$2:$F$964,$A25)</f>
        <v>0</v>
      </c>
      <c r="BA25" s="7" t="n">
        <v>0</v>
      </c>
      <c r="BB25" s="7" t="n">
        <v>0</v>
      </c>
      <c r="BC25" s="11" t="n">
        <f aca="false">SUMIFS('Исходные данные'!$I$2:$I$964,'Исходные данные'!$D$2:$D$964,BC$1,'Исходные данные'!$F$2:$F$964,$A25)</f>
        <v>0</v>
      </c>
      <c r="BD25" s="11" t="n">
        <f aca="false">SUMIFS('Исходные данные'!$J$2:$J$964,'Исходные данные'!$D$2:$D$964,BC$1,'Исходные данные'!$F$2:$F$964,$A25)</f>
        <v>0</v>
      </c>
      <c r="BE25" s="7" t="n">
        <v>0</v>
      </c>
      <c r="BF25" s="7" t="n">
        <v>0</v>
      </c>
      <c r="BG25" s="11" t="n">
        <f aca="false">SUMIFS('Исходные данные'!$I$2:$I$964,'Исходные данные'!$D$2:$D$964,BG$1,'Исходные данные'!$F$2:$F$964,$A25)</f>
        <v>0</v>
      </c>
      <c r="BH25" s="11" t="n">
        <f aca="false">SUMIFS('Исходные данные'!$J$2:$J$964,'Исходные данные'!$D$2:$D$964,BG$1,'Исходные данные'!$F$2:$F$964,$A25)</f>
        <v>0</v>
      </c>
      <c r="BI25" s="7" t="n">
        <v>2</v>
      </c>
      <c r="BJ25" s="7" t="n">
        <v>2</v>
      </c>
      <c r="BK25" s="11" t="n">
        <f aca="false">SUMIFS('Исходные данные'!$I$2:$I$964,'Исходные данные'!$D$2:$D$964,BK$1,'Исходные данные'!$F$2:$F$964,$A25)</f>
        <v>2</v>
      </c>
      <c r="BL25" s="11" t="n">
        <f aca="false">SUMIFS('Исходные данные'!$J$2:$J$964,'Исходные данные'!$D$2:$D$964,BK$1,'Исходные данные'!$F$2:$F$964,$A25)</f>
        <v>2</v>
      </c>
      <c r="BM25" s="7" t="n">
        <v>1</v>
      </c>
      <c r="BN25" s="7" t="n">
        <v>1</v>
      </c>
      <c r="BO25" s="11" t="n">
        <f aca="false">SUMIFS('Исходные данные'!$I$2:$I$964,'Исходные данные'!$D$2:$D$964,BO$1,'Исходные данные'!$F$2:$F$964,$A25)</f>
        <v>1</v>
      </c>
      <c r="BP25" s="11" t="n">
        <f aca="false">SUMIFS('Исходные данные'!$J$2:$J$964,'Исходные данные'!$D$2:$D$964,BO$1,'Исходные данные'!$F$2:$F$964,$A25)</f>
        <v>1</v>
      </c>
      <c r="BQ25" s="7" t="n">
        <v>0</v>
      </c>
      <c r="BR25" s="7" t="n">
        <v>0</v>
      </c>
      <c r="BS25" s="11" t="n">
        <f aca="false">SUMIFS('Исходные данные'!$I$2:$I$964,'Исходные данные'!$D$2:$D$964,BS$1,'Исходные данные'!$F$2:$F$964,$A25)</f>
        <v>0</v>
      </c>
      <c r="BT25" s="11" t="n">
        <f aca="false">SUMIFS('Исходные данные'!$J$2:$J$964,'Исходные данные'!$D$2:$D$964,BS$1,'Исходные данные'!$F$2:$F$964,$A25)</f>
        <v>0</v>
      </c>
      <c r="BU25" s="7" t="n">
        <v>0</v>
      </c>
      <c r="BV25" s="7" t="n">
        <v>0</v>
      </c>
      <c r="BW25" s="11" t="n">
        <f aca="false">SUMIFS('Исходные данные'!$I$2:$I$964,'Исходные данные'!$D$2:$D$964,BW$1,'Исходные данные'!$F$2:$F$964,$A25)</f>
        <v>0</v>
      </c>
      <c r="BX25" s="11" t="n">
        <f aca="false">SUMIFS('Исходные данные'!$J$2:$J$964,'Исходные данные'!$D$2:$D$964,BW$1,'Исходные данные'!$F$2:$F$964,$A25)</f>
        <v>0</v>
      </c>
      <c r="BY25" s="7" t="n">
        <v>0</v>
      </c>
      <c r="BZ25" s="7" t="n">
        <v>0</v>
      </c>
      <c r="CA25" s="11" t="n">
        <f aca="false">SUMIFS('Исходные данные'!$I$2:$I$964,'Исходные данные'!$D$2:$D$964,CA$1,'Исходные данные'!$F$2:$F$964,$A25)</f>
        <v>0</v>
      </c>
      <c r="CB25" s="11" t="n">
        <f aca="false">SUMIFS('Исходные данные'!$J$2:$J$964,'Исходные данные'!$D$2:$D$964,CA$1,'Исходные данные'!$F$2:$F$964,$A25)</f>
        <v>0</v>
      </c>
      <c r="CC25" s="7" t="n">
        <v>0</v>
      </c>
      <c r="CD25" s="7" t="n">
        <v>0</v>
      </c>
      <c r="CE25" s="11" t="n">
        <f aca="false">SUMIFS('Исходные данные'!$I$2:$I$964,'Исходные данные'!$D$2:$D$964,CE$1,'Исходные данные'!$F$2:$F$964,$A25)</f>
        <v>0</v>
      </c>
      <c r="CF25" s="11" t="n">
        <f aca="false">SUMIFS('Исходные данные'!$J$2:$J$964,'Исходные данные'!$D$2:$D$964,CE$1,'Исходные данные'!$F$2:$F$964,$A25)</f>
        <v>0</v>
      </c>
      <c r="CG25" s="7" t="n">
        <v>0</v>
      </c>
      <c r="CH25" s="7" t="n">
        <v>0</v>
      </c>
      <c r="CI25" s="11" t="n">
        <f aca="false">SUMIFS('Исходные данные'!$I$2:$I$964,'Исходные данные'!$D$2:$D$964,CI$1,'Исходные данные'!$F$2:$F$964,$A25)</f>
        <v>0</v>
      </c>
      <c r="CJ25" s="11" t="n">
        <f aca="false">SUMIFS('Исходные данные'!$J$2:$J$964,'Исходные данные'!$D$2:$D$964,CI$1,'Исходные данные'!$F$2:$F$964,$A25)</f>
        <v>0</v>
      </c>
      <c r="CK25" s="7" t="n">
        <v>0</v>
      </c>
      <c r="CL25" s="7" t="n">
        <v>0</v>
      </c>
      <c r="CM25" s="11" t="n">
        <f aca="false">SUMIFS('Исходные данные'!$I$2:$I$964,'Исходные данные'!$D$2:$D$964,CM$1,'Исходные данные'!$F$2:$F$964,$A25)</f>
        <v>0</v>
      </c>
      <c r="CN25" s="11" t="n">
        <f aca="false">SUMIFS('Исходные данные'!$J$2:$J$964,'Исходные данные'!$D$2:$D$964,CM$1,'Исходные данные'!$F$2:$F$964,$A25)</f>
        <v>0</v>
      </c>
      <c r="CO25" s="7" t="n">
        <v>0</v>
      </c>
      <c r="CP25" s="7" t="n">
        <v>0</v>
      </c>
      <c r="CQ25" s="11" t="n">
        <f aca="false">SUMIFS('Исходные данные'!$I$2:$I$964,'Исходные данные'!$D$2:$D$964,CQ$1,'Исходные данные'!$F$2:$F$964,$A25)</f>
        <v>0</v>
      </c>
      <c r="CR25" s="11" t="n">
        <f aca="false">SUMIFS('Исходные данные'!$J$2:$J$964,'Исходные данные'!$D$2:$D$964,CQ$1,'Исходные данные'!$F$2:$F$964,$A25)</f>
        <v>0</v>
      </c>
      <c r="CS25" s="7" t="n">
        <v>0</v>
      </c>
      <c r="CT25" s="7" t="n">
        <v>0</v>
      </c>
      <c r="CU25" s="11" t="n">
        <f aca="false">SUMIFS('Исходные данные'!$I$2:$I$964,'Исходные данные'!$D$2:$D$964,CU$1,'Исходные данные'!$F$2:$F$964,$A25)</f>
        <v>0</v>
      </c>
      <c r="CV25" s="11" t="n">
        <f aca="false">SUMIFS('Исходные данные'!$J$2:$J$964,'Исходные данные'!$D$2:$D$964,CU$1,'Исходные данные'!$F$2:$F$964,$A25)</f>
        <v>0</v>
      </c>
      <c r="CW25" s="7" t="n">
        <v>0</v>
      </c>
      <c r="CX25" s="7" t="n">
        <v>0</v>
      </c>
      <c r="CY25" s="11" t="n">
        <f aca="false">SUMIFS('Исходные данные'!$I$2:$I$964,'Исходные данные'!$D$2:$D$964,CY$1,'Исходные данные'!$F$2:$F$964,$A25)</f>
        <v>0</v>
      </c>
      <c r="CZ25" s="11" t="n">
        <f aca="false">SUMIFS('Исходные данные'!$J$2:$J$964,'Исходные данные'!$D$2:$D$964,CY$1,'Исходные данные'!$F$2:$F$964,$A25)</f>
        <v>0</v>
      </c>
      <c r="DA25" s="7" t="n">
        <v>0</v>
      </c>
      <c r="DB25" s="7" t="n">
        <v>0</v>
      </c>
      <c r="DC25" s="11" t="n">
        <f aca="false">SUMIFS('Исходные данные'!$I$2:$I$964,'Исходные данные'!$D$2:$D$964,DC$1,'Исходные данные'!$F$2:$F$964,$A25)</f>
        <v>0</v>
      </c>
      <c r="DD25" s="11" t="n">
        <f aca="false">SUMIFS('Исходные данные'!$J$2:$J$964,'Исходные данные'!$D$2:$D$964,DC$1,'Исходные данные'!$F$2:$F$964,$A25)</f>
        <v>0</v>
      </c>
      <c r="DE25" s="7" t="n">
        <v>0</v>
      </c>
      <c r="DF25" s="7" t="n">
        <v>0</v>
      </c>
      <c r="DG25" s="11" t="n">
        <f aca="false">SUMIFS('Исходные данные'!$I$2:$I$964,'Исходные данные'!$D$2:$D$964,DG$1,'Исходные данные'!$F$2:$F$964,$A25)</f>
        <v>0</v>
      </c>
      <c r="DH25" s="11" t="n">
        <f aca="false">SUMIFS('Исходные данные'!$J$2:$J$964,'Исходные данные'!$D$2:$D$964,DG$1,'Исходные данные'!$F$2:$F$964,$A25)</f>
        <v>0</v>
      </c>
      <c r="DI25" s="7" t="n">
        <v>0</v>
      </c>
      <c r="DJ25" s="7" t="n">
        <v>0</v>
      </c>
      <c r="DK25" s="11" t="n">
        <f aca="false">SUMIFS('Исходные данные'!$I$2:$I$964,'Исходные данные'!$D$2:$D$964,DK$1,'Исходные данные'!$F$2:$F$964,$A25)</f>
        <v>0</v>
      </c>
      <c r="DL25" s="11" t="n">
        <f aca="false">SUMIFS('Исходные данные'!$J$2:$J$964,'Исходные данные'!$D$2:$D$964,DK$1,'Исходные данные'!$F$2:$F$964,$A25)</f>
        <v>0</v>
      </c>
      <c r="DM25" s="7" t="n">
        <v>0</v>
      </c>
      <c r="DN25" s="7" t="n">
        <v>0</v>
      </c>
      <c r="DO25" s="11" t="n">
        <f aca="false">SUMIFS('Исходные данные'!$I$2:$I$964,'Исходные данные'!$D$2:$D$964,DO$1,'Исходные данные'!$F$2:$F$964,$A25)</f>
        <v>0</v>
      </c>
      <c r="DP25" s="11" t="n">
        <f aca="false">SUMIFS('Исходные данные'!$J$2:$J$964,'Исходные данные'!$D$2:$D$964,DO$1,'Исходные данные'!$F$2:$F$964,$A25)</f>
        <v>0</v>
      </c>
      <c r="DQ25" s="7" t="n">
        <v>0</v>
      </c>
      <c r="DR25" s="7" t="n">
        <v>0</v>
      </c>
      <c r="DS25" s="11" t="n">
        <f aca="false">SUMIFS('Исходные данные'!$I$2:$I$964,'Исходные данные'!$D$2:$D$964,DS$1,'Исходные данные'!$F$2:$F$964,$A25)</f>
        <v>0</v>
      </c>
      <c r="DT25" s="11" t="n">
        <f aca="false">SUMIFS('Исходные данные'!$J$2:$J$964,'Исходные данные'!$D$2:$D$964,DS$1,'Исходные данные'!$F$2:$F$964,$A25)</f>
        <v>0</v>
      </c>
      <c r="DU25" s="7" t="n">
        <v>0</v>
      </c>
      <c r="DV25" s="7" t="n">
        <v>0</v>
      </c>
      <c r="DW25" s="11" t="n">
        <f aca="false">SUMIFS('Исходные данные'!$I$2:$I$964,'Исходные данные'!$D$2:$D$964,DW$1,'Исходные данные'!$F$2:$F$964,$A25)</f>
        <v>0</v>
      </c>
      <c r="DX25" s="11" t="n">
        <f aca="false">SUMIFS('Исходные данные'!$J$2:$J$964,'Исходные данные'!$D$2:$D$964,DW$1,'Исходные данные'!$F$2:$F$964,$A25)</f>
        <v>0</v>
      </c>
      <c r="DY25" s="7" t="n">
        <v>0</v>
      </c>
      <c r="DZ25" s="7" t="n">
        <v>0</v>
      </c>
      <c r="EA25" s="11" t="n">
        <f aca="false">SUMIFS('Исходные данные'!$I$2:$I$964,'Исходные данные'!$D$2:$D$964,EA$1,'Исходные данные'!$F$2:$F$964,$A25)</f>
        <v>0</v>
      </c>
      <c r="EB25" s="11" t="n">
        <f aca="false">SUMIFS('Исходные данные'!$J$2:$J$964,'Исходные данные'!$D$2:$D$964,EA$1,'Исходные данные'!$F$2:$F$964,$A25)</f>
        <v>0</v>
      </c>
      <c r="EC25" s="7" t="n">
        <v>0</v>
      </c>
      <c r="ED25" s="7" t="n">
        <v>0</v>
      </c>
      <c r="EE25" s="11" t="n">
        <f aca="false">SUMIFS('Исходные данные'!$I$2:$I$964,'Исходные данные'!$D$2:$D$964,EE$1,'Исходные данные'!$F$2:$F$964,$A25)</f>
        <v>0</v>
      </c>
      <c r="EF25" s="11" t="n">
        <f aca="false">SUMIFS('Исходные данные'!$J$2:$J$964,'Исходные данные'!$D$2:$D$964,EE$1,'Исходные данные'!$F$2:$F$964,$A25)</f>
        <v>0</v>
      </c>
      <c r="EG25" s="7" t="n">
        <v>0</v>
      </c>
      <c r="EH25" s="7" t="n">
        <v>0</v>
      </c>
      <c r="EI25" s="11" t="n">
        <f aca="false">SUMIFS('Исходные данные'!$I$2:$I$964,'Исходные данные'!$D$2:$D$964,EI$1,'Исходные данные'!$F$2:$F$964,$A25)</f>
        <v>0</v>
      </c>
      <c r="EJ25" s="11" t="n">
        <f aca="false">SUMIFS('Исходные данные'!$J$2:$J$964,'Исходные данные'!$D$2:$D$964,EI$1,'Исходные данные'!$F$2:$F$964,$A25)</f>
        <v>0</v>
      </c>
      <c r="EK25" s="7" t="n">
        <v>0</v>
      </c>
      <c r="EL25" s="7" t="n">
        <v>0</v>
      </c>
      <c r="EM25" s="11" t="n">
        <f aca="false">SUMIFS('Исходные данные'!$I$2:$I$964,'Исходные данные'!$D$2:$D$964,EM$1,'Исходные данные'!$F$2:$F$964,$A25)</f>
        <v>0</v>
      </c>
      <c r="EN25" s="11" t="n">
        <f aca="false">SUMIFS('Исходные данные'!$J$2:$J$964,'Исходные данные'!$D$2:$D$964,EM$1,'Исходные данные'!$F$2:$F$964,$A25)</f>
        <v>0</v>
      </c>
      <c r="EO25" s="7" t="n">
        <v>0</v>
      </c>
      <c r="EP25" s="7" t="n">
        <v>0</v>
      </c>
      <c r="EQ25" s="11" t="n">
        <f aca="false">SUMIFS('Исходные данные'!$I$2:$I$964,'Исходные данные'!$D$2:$D$964,EQ$1,'Исходные данные'!$F$2:$F$964,$A25)</f>
        <v>0</v>
      </c>
      <c r="ER25" s="11" t="n">
        <f aca="false">SUMIFS('Исходные данные'!$J$2:$J$964,'Исходные данные'!$D$2:$D$964,EQ$1,'Исходные данные'!$F$2:$F$964,$A25)</f>
        <v>0</v>
      </c>
      <c r="ES25" s="7" t="n">
        <v>0</v>
      </c>
      <c r="ET25" s="7" t="n">
        <v>0</v>
      </c>
      <c r="EU25" s="11" t="n">
        <f aca="false">SUMIFS('Исходные данные'!$I$2:$I$964,'Исходные данные'!$D$2:$D$964,EU$1,'Исходные данные'!$F$2:$F$964,$A25)</f>
        <v>0</v>
      </c>
      <c r="EV25" s="11" t="n">
        <f aca="false">SUMIFS('Исходные данные'!$J$2:$J$964,'Исходные данные'!$D$2:$D$964,EU$1,'Исходные данные'!$F$2:$F$964,$A25)</f>
        <v>0</v>
      </c>
      <c r="EW25" s="7" t="n">
        <v>0</v>
      </c>
      <c r="EX25" s="7" t="n">
        <v>0</v>
      </c>
      <c r="EY25" s="11" t="n">
        <f aca="false">SUMIFS('Исходные данные'!$I$2:$I$964,'Исходные данные'!$D$2:$D$964,EY$1,'Исходные данные'!$F$2:$F$964,$A25)</f>
        <v>0</v>
      </c>
      <c r="EZ25" s="11" t="n">
        <f aca="false">SUMIFS('Исходные данные'!$J$2:$J$964,'Исходные данные'!$D$2:$D$964,EY$1,'Исходные данные'!$F$2:$F$964,$A25)</f>
        <v>0</v>
      </c>
      <c r="FA25" s="7" t="n">
        <v>0</v>
      </c>
      <c r="FB25" s="7" t="n">
        <v>0</v>
      </c>
      <c r="FC25" s="11" t="n">
        <f aca="false">SUMIFS('Исходные данные'!$I$2:$I$964,'Исходные данные'!$D$2:$D$964,FC$1,'Исходные данные'!$F$2:$F$964,$A25)</f>
        <v>0</v>
      </c>
      <c r="FD25" s="11" t="n">
        <f aca="false">SUMIFS('Исходные данные'!$J$2:$J$964,'Исходные данные'!$D$2:$D$964,FC$1,'Исходные данные'!$F$2:$F$964,$A25)</f>
        <v>0</v>
      </c>
      <c r="FE25" s="7" t="n">
        <v>0</v>
      </c>
      <c r="FF25" s="7" t="n">
        <v>0</v>
      </c>
      <c r="FG25" s="11" t="n">
        <f aca="false">SUMIFS('Исходные данные'!$I$2:$I$964,'Исходные данные'!$D$2:$D$964,FG$1,'Исходные данные'!$F$2:$F$964,$A25)</f>
        <v>0</v>
      </c>
      <c r="FH25" s="11" t="n">
        <f aca="false">SUMIFS('Исходные данные'!$J$2:$J$964,'Исходные данные'!$D$2:$D$964,FG$1,'Исходные данные'!$F$2:$F$964,$A25)</f>
        <v>0</v>
      </c>
    </row>
    <row r="26" customFormat="false" ht="15" hidden="false" customHeight="false" outlineLevel="0" collapsed="false">
      <c r="A26" s="10" t="s">
        <v>95</v>
      </c>
      <c r="B26" s="11" t="s">
        <v>96</v>
      </c>
      <c r="C26" s="6" t="n">
        <v>0</v>
      </c>
      <c r="D26" s="6" t="n">
        <f aca="false">I26+J26+M26+N26+Q26+R26+U26+V26+Y26+Z26+AC26+AD26+AG26+AH26+AK26+AL26+AO26+AP26+AS26+AT26+AW26+AX26+BA26+BB26+BE26+BF26+BI26+BJ26+BM26+BN26+BQ26+BR26+BU26+BV26+BY26+BZ26+CC26+CD26+CG26+CH26+CK26+CL26+CO26+CP26+CS26+CT26+CW26+CX26+DA26+DB26+DE26+DF26+DI26+DJ26+DM26+DN26+DQ26+DR26+DU26+DV26+DY26+DZ26+EC26+ED26+EG26+EH26+EK26+EL26+EO26+EP26+ES26+ET26+EW26+EX26+FA26+FB26+FE26+FF26</f>
        <v>0</v>
      </c>
      <c r="E26" s="6" t="n">
        <f aca="false">G26+H26</f>
        <v>0</v>
      </c>
      <c r="F26" s="6" t="n">
        <f aca="false">E26-C26</f>
        <v>0</v>
      </c>
      <c r="G26" s="6" t="n">
        <f aca="false">K26+O26+S26+W26+AA26+AE26+AI26+AM26+AQ26+AU26+AY26+BC26+BG26+BK26+BO26+BS26+BW26+CA26+CE26+CI26+CM26+CQ26+CU26+CY26+DC26+DG26+DK26+DO26+DS26+DW26+EA26+EE26+EI26+EM26+EQ26+EU26+EY26+FC26+FG26</f>
        <v>0</v>
      </c>
      <c r="H26" s="6" t="n">
        <f aca="false">L26+P26+T26+X26+AB26+AF26+AJ26+AN26+AR26+AV26+AZ26+BD26+BH26+BL26+BP26+BT26+BX26+CB26+CF26+CJ26+CN26+CR26+CV26+CZ26+DD26+DH26+DL26+DP26+DT26+DX26+EB26+EF26+EJ26+EN26+ER26+EV26+EZ26+FD26+FH26</f>
        <v>0</v>
      </c>
      <c r="I26" s="7" t="n">
        <v>0</v>
      </c>
      <c r="J26" s="7" t="n">
        <v>0</v>
      </c>
      <c r="K26" s="11" t="n">
        <f aca="false">SUMIFS('Исходные данные'!$I$2:$I$964,'Исходные данные'!$D$2:$D$964,K$1,'Исходные данные'!$F$2:$F$964,$A26)</f>
        <v>0</v>
      </c>
      <c r="L26" s="11" t="n">
        <f aca="false">SUMIFS('Исходные данные'!$J$2:$J$964,'Исходные данные'!$D$2:$D$964,K$1,'Исходные данные'!$F$2:$F$964,$A26)</f>
        <v>0</v>
      </c>
      <c r="M26" s="7" t="n">
        <v>0</v>
      </c>
      <c r="N26" s="7" t="n">
        <v>0</v>
      </c>
      <c r="O26" s="11" t="n">
        <f aca="false">SUMIFS('Исходные данные'!$I$2:$I$964,'Исходные данные'!$D$2:$D$964,O$1,'Исходные данные'!$F$2:$F$964,$A26)</f>
        <v>0</v>
      </c>
      <c r="P26" s="11" t="n">
        <f aca="false">SUMIFS('Исходные данные'!$J$2:$J$964,'Исходные данные'!$D$2:$D$964,O$1,'Исходные данные'!$F$2:$F$964,$A26)</f>
        <v>0</v>
      </c>
      <c r="Q26" s="7" t="n">
        <v>0</v>
      </c>
      <c r="R26" s="7" t="n">
        <v>0</v>
      </c>
      <c r="S26" s="11" t="n">
        <f aca="false">SUMIFS('Исходные данные'!$I$2:$I$964,'Исходные данные'!$D$2:$D$964,S$1,'Исходные данные'!$F$2:$F$964,$A26)</f>
        <v>0</v>
      </c>
      <c r="T26" s="11" t="n">
        <f aca="false">SUMIFS('Исходные данные'!$J$2:$J$964,'Исходные данные'!$D$2:$D$964,S$1,'Исходные данные'!$F$2:$F$964,$A26)</f>
        <v>0</v>
      </c>
      <c r="U26" s="7" t="n">
        <v>0</v>
      </c>
      <c r="V26" s="7" t="n">
        <v>0</v>
      </c>
      <c r="W26" s="11" t="n">
        <f aca="false">SUMIFS('Исходные данные'!$I$2:$I$964,'Исходные данные'!$D$2:$D$964,W$1,'Исходные данные'!$F$2:$F$964,$A26)</f>
        <v>0</v>
      </c>
      <c r="X26" s="11" t="n">
        <f aca="false">SUMIFS('Исходные данные'!$J$2:$J$964,'Исходные данные'!$D$2:$D$964,W$1,'Исходные данные'!$F$2:$F$964,$A26)</f>
        <v>0</v>
      </c>
      <c r="Y26" s="7" t="n">
        <v>0</v>
      </c>
      <c r="Z26" s="7" t="n">
        <v>0</v>
      </c>
      <c r="AA26" s="11" t="n">
        <f aca="false">SUMIFS('Исходные данные'!$I$2:$I$964,'Исходные данные'!$D$2:$D$964,AA$1,'Исходные данные'!$F$2:$F$964,$A26)</f>
        <v>0</v>
      </c>
      <c r="AB26" s="11" t="n">
        <f aca="false">SUMIFS('Исходные данные'!$J$2:$J$964,'Исходные данные'!$D$2:$D$964,AA$1,'Исходные данные'!$F$2:$F$964,$A26)</f>
        <v>0</v>
      </c>
      <c r="AC26" s="7" t="n">
        <v>0</v>
      </c>
      <c r="AD26" s="7" t="n">
        <v>0</v>
      </c>
      <c r="AE26" s="11" t="n">
        <f aca="false">SUMIFS('Исходные данные'!$I$2:$I$964,'Исходные данные'!$D$2:$D$964,AE$1,'Исходные данные'!$F$2:$F$964,$A26)</f>
        <v>0</v>
      </c>
      <c r="AF26" s="11" t="n">
        <f aca="false">SUMIFS('Исходные данные'!$J$2:$J$964,'Исходные данные'!$D$2:$D$964,AE$1,'Исходные данные'!$F$2:$F$964,$A26)</f>
        <v>0</v>
      </c>
      <c r="AG26" s="7" t="n">
        <v>0</v>
      </c>
      <c r="AH26" s="7" t="n">
        <v>0</v>
      </c>
      <c r="AI26" s="11" t="n">
        <f aca="false">SUMIFS('Исходные данные'!$I$2:$I$964,'Исходные данные'!$D$2:$D$964,AI$1,'Исходные данные'!$F$2:$F$964,$A26)</f>
        <v>0</v>
      </c>
      <c r="AJ26" s="11" t="n">
        <f aca="false">SUMIFS('Исходные данные'!$J$2:$J$964,'Исходные данные'!$D$2:$D$964,AI$1,'Исходные данные'!$F$2:$F$964,$A26)</f>
        <v>0</v>
      </c>
      <c r="AK26" s="7" t="n">
        <v>0</v>
      </c>
      <c r="AL26" s="7" t="n">
        <v>0</v>
      </c>
      <c r="AM26" s="11" t="n">
        <f aca="false">SUMIFS('Исходные данные'!$I$2:$I$964,'Исходные данные'!$D$2:$D$964,AM$1,'Исходные данные'!$F$2:$F$964,$A26)</f>
        <v>0</v>
      </c>
      <c r="AN26" s="11" t="n">
        <f aca="false">SUMIFS('Исходные данные'!$J$2:$J$964,'Исходные данные'!$D$2:$D$964,AM$1,'Исходные данные'!$F$2:$F$964,$A26)</f>
        <v>0</v>
      </c>
      <c r="AO26" s="7" t="n">
        <v>0</v>
      </c>
      <c r="AP26" s="7" t="n">
        <v>0</v>
      </c>
      <c r="AQ26" s="11" t="n">
        <f aca="false">SUMIFS('Исходные данные'!$I$2:$I$964,'Исходные данные'!$D$2:$D$964,AQ$1,'Исходные данные'!$F$2:$F$964,$A26)</f>
        <v>0</v>
      </c>
      <c r="AR26" s="11" t="n">
        <f aca="false">SUMIFS('Исходные данные'!$J$2:$J$964,'Исходные данные'!$D$2:$D$964,AQ$1,'Исходные данные'!$F$2:$F$964,$A26)</f>
        <v>0</v>
      </c>
      <c r="AS26" s="7" t="n">
        <v>0</v>
      </c>
      <c r="AT26" s="7" t="n">
        <v>0</v>
      </c>
      <c r="AU26" s="11" t="n">
        <f aca="false">SUMIFS('Исходные данные'!$I$2:$I$964,'Исходные данные'!$D$2:$D$964,AU$1,'Исходные данные'!$F$2:$F$964,$A26)</f>
        <v>0</v>
      </c>
      <c r="AV26" s="11" t="n">
        <f aca="false">SUMIFS('Исходные данные'!$J$2:$J$964,'Исходные данные'!$D$2:$D$964,AU$1,'Исходные данные'!$F$2:$F$964,$A26)</f>
        <v>0</v>
      </c>
      <c r="AW26" s="7" t="n">
        <v>0</v>
      </c>
      <c r="AX26" s="7" t="n">
        <v>0</v>
      </c>
      <c r="AY26" s="11" t="n">
        <f aca="false">SUMIFS('Исходные данные'!$I$2:$I$964,'Исходные данные'!$D$2:$D$964,AY$1,'Исходные данные'!$F$2:$F$964,$A26)</f>
        <v>0</v>
      </c>
      <c r="AZ26" s="11" t="n">
        <f aca="false">SUMIFS('Исходные данные'!$J$2:$J$964,'Исходные данные'!$D$2:$D$964,AY$1,'Исходные данные'!$F$2:$F$964,$A26)</f>
        <v>0</v>
      </c>
      <c r="BA26" s="7" t="n">
        <v>0</v>
      </c>
      <c r="BB26" s="7" t="n">
        <v>0</v>
      </c>
      <c r="BC26" s="11" t="n">
        <f aca="false">SUMIFS('Исходные данные'!$I$2:$I$964,'Исходные данные'!$D$2:$D$964,BC$1,'Исходные данные'!$F$2:$F$964,$A26)</f>
        <v>0</v>
      </c>
      <c r="BD26" s="11" t="n">
        <f aca="false">SUMIFS('Исходные данные'!$J$2:$J$964,'Исходные данные'!$D$2:$D$964,BC$1,'Исходные данные'!$F$2:$F$964,$A26)</f>
        <v>0</v>
      </c>
      <c r="BE26" s="7" t="n">
        <v>0</v>
      </c>
      <c r="BF26" s="7" t="n">
        <v>0</v>
      </c>
      <c r="BG26" s="11" t="n">
        <f aca="false">SUMIFS('Исходные данные'!$I$2:$I$964,'Исходные данные'!$D$2:$D$964,BG$1,'Исходные данные'!$F$2:$F$964,$A26)</f>
        <v>0</v>
      </c>
      <c r="BH26" s="11" t="n">
        <f aca="false">SUMIFS('Исходные данные'!$J$2:$J$964,'Исходные данные'!$D$2:$D$964,BG$1,'Исходные данные'!$F$2:$F$964,$A26)</f>
        <v>0</v>
      </c>
      <c r="BI26" s="7" t="n">
        <v>0</v>
      </c>
      <c r="BJ26" s="7" t="n">
        <v>0</v>
      </c>
      <c r="BK26" s="11" t="n">
        <f aca="false">SUMIFS('Исходные данные'!$I$2:$I$964,'Исходные данные'!$D$2:$D$964,BK$1,'Исходные данные'!$F$2:$F$964,$A26)</f>
        <v>0</v>
      </c>
      <c r="BL26" s="11" t="n">
        <f aca="false">SUMIFS('Исходные данные'!$J$2:$J$964,'Исходные данные'!$D$2:$D$964,BK$1,'Исходные данные'!$F$2:$F$964,$A26)</f>
        <v>0</v>
      </c>
      <c r="BM26" s="7" t="n">
        <v>0</v>
      </c>
      <c r="BN26" s="7" t="n">
        <v>0</v>
      </c>
      <c r="BO26" s="11" t="n">
        <f aca="false">SUMIFS('Исходные данные'!$I$2:$I$964,'Исходные данные'!$D$2:$D$964,BO$1,'Исходные данные'!$F$2:$F$964,$A26)</f>
        <v>0</v>
      </c>
      <c r="BP26" s="11" t="n">
        <f aca="false">SUMIFS('Исходные данные'!$J$2:$J$964,'Исходные данные'!$D$2:$D$964,BO$1,'Исходные данные'!$F$2:$F$964,$A26)</f>
        <v>0</v>
      </c>
      <c r="BQ26" s="7" t="n">
        <v>0</v>
      </c>
      <c r="BR26" s="7" t="n">
        <v>0</v>
      </c>
      <c r="BS26" s="11" t="n">
        <f aca="false">SUMIFS('Исходные данные'!$I$2:$I$964,'Исходные данные'!$D$2:$D$964,BS$1,'Исходные данные'!$F$2:$F$964,$A26)</f>
        <v>0</v>
      </c>
      <c r="BT26" s="11" t="n">
        <f aca="false">SUMIFS('Исходные данные'!$J$2:$J$964,'Исходные данные'!$D$2:$D$964,BS$1,'Исходные данные'!$F$2:$F$964,$A26)</f>
        <v>0</v>
      </c>
      <c r="BU26" s="7" t="n">
        <v>0</v>
      </c>
      <c r="BV26" s="7" t="n">
        <v>0</v>
      </c>
      <c r="BW26" s="11" t="n">
        <f aca="false">SUMIFS('Исходные данные'!$I$2:$I$964,'Исходные данные'!$D$2:$D$964,BW$1,'Исходные данные'!$F$2:$F$964,$A26)</f>
        <v>0</v>
      </c>
      <c r="BX26" s="11" t="n">
        <f aca="false">SUMIFS('Исходные данные'!$J$2:$J$964,'Исходные данные'!$D$2:$D$964,BW$1,'Исходные данные'!$F$2:$F$964,$A26)</f>
        <v>0</v>
      </c>
      <c r="BY26" s="7" t="n">
        <v>0</v>
      </c>
      <c r="BZ26" s="7" t="n">
        <v>0</v>
      </c>
      <c r="CA26" s="11" t="n">
        <f aca="false">SUMIFS('Исходные данные'!$I$2:$I$964,'Исходные данные'!$D$2:$D$964,CA$1,'Исходные данные'!$F$2:$F$964,$A26)</f>
        <v>0</v>
      </c>
      <c r="CB26" s="11" t="n">
        <f aca="false">SUMIFS('Исходные данные'!$J$2:$J$964,'Исходные данные'!$D$2:$D$964,CA$1,'Исходные данные'!$F$2:$F$964,$A26)</f>
        <v>0</v>
      </c>
      <c r="CC26" s="7" t="n">
        <v>0</v>
      </c>
      <c r="CD26" s="7" t="n">
        <v>0</v>
      </c>
      <c r="CE26" s="11" t="n">
        <f aca="false">SUMIFS('Исходные данные'!$I$2:$I$964,'Исходные данные'!$D$2:$D$964,CE$1,'Исходные данные'!$F$2:$F$964,$A26)</f>
        <v>0</v>
      </c>
      <c r="CF26" s="11" t="n">
        <f aca="false">SUMIFS('Исходные данные'!$J$2:$J$964,'Исходные данные'!$D$2:$D$964,CE$1,'Исходные данные'!$F$2:$F$964,$A26)</f>
        <v>0</v>
      </c>
      <c r="CG26" s="7" t="n">
        <v>0</v>
      </c>
      <c r="CH26" s="7" t="n">
        <v>0</v>
      </c>
      <c r="CI26" s="11" t="n">
        <f aca="false">SUMIFS('Исходные данные'!$I$2:$I$964,'Исходные данные'!$D$2:$D$964,CI$1,'Исходные данные'!$F$2:$F$964,$A26)</f>
        <v>0</v>
      </c>
      <c r="CJ26" s="11" t="n">
        <f aca="false">SUMIFS('Исходные данные'!$J$2:$J$964,'Исходные данные'!$D$2:$D$964,CI$1,'Исходные данные'!$F$2:$F$964,$A26)</f>
        <v>0</v>
      </c>
      <c r="CK26" s="7" t="n">
        <v>0</v>
      </c>
      <c r="CL26" s="7" t="n">
        <v>0</v>
      </c>
      <c r="CM26" s="11" t="n">
        <f aca="false">SUMIFS('Исходные данные'!$I$2:$I$964,'Исходные данные'!$D$2:$D$964,CM$1,'Исходные данные'!$F$2:$F$964,$A26)</f>
        <v>0</v>
      </c>
      <c r="CN26" s="11" t="n">
        <f aca="false">SUMIFS('Исходные данные'!$J$2:$J$964,'Исходные данные'!$D$2:$D$964,CM$1,'Исходные данные'!$F$2:$F$964,$A26)</f>
        <v>0</v>
      </c>
      <c r="CO26" s="7" t="n">
        <v>0</v>
      </c>
      <c r="CP26" s="7" t="n">
        <v>0</v>
      </c>
      <c r="CQ26" s="11" t="n">
        <f aca="false">SUMIFS('Исходные данные'!$I$2:$I$964,'Исходные данные'!$D$2:$D$964,CQ$1,'Исходные данные'!$F$2:$F$964,$A26)</f>
        <v>0</v>
      </c>
      <c r="CR26" s="11" t="n">
        <f aca="false">SUMIFS('Исходные данные'!$J$2:$J$964,'Исходные данные'!$D$2:$D$964,CQ$1,'Исходные данные'!$F$2:$F$964,$A26)</f>
        <v>0</v>
      </c>
      <c r="CS26" s="7" t="n">
        <v>0</v>
      </c>
      <c r="CT26" s="7" t="n">
        <v>0</v>
      </c>
      <c r="CU26" s="11" t="n">
        <f aca="false">SUMIFS('Исходные данные'!$I$2:$I$964,'Исходные данные'!$D$2:$D$964,CU$1,'Исходные данные'!$F$2:$F$964,$A26)</f>
        <v>0</v>
      </c>
      <c r="CV26" s="11" t="n">
        <f aca="false">SUMIFS('Исходные данные'!$J$2:$J$964,'Исходные данные'!$D$2:$D$964,CU$1,'Исходные данные'!$F$2:$F$964,$A26)</f>
        <v>0</v>
      </c>
      <c r="CW26" s="7" t="n">
        <v>0</v>
      </c>
      <c r="CX26" s="7" t="n">
        <v>0</v>
      </c>
      <c r="CY26" s="11" t="n">
        <f aca="false">SUMIFS('Исходные данные'!$I$2:$I$964,'Исходные данные'!$D$2:$D$964,CY$1,'Исходные данные'!$F$2:$F$964,$A26)</f>
        <v>0</v>
      </c>
      <c r="CZ26" s="11" t="n">
        <f aca="false">SUMIFS('Исходные данные'!$J$2:$J$964,'Исходные данные'!$D$2:$D$964,CY$1,'Исходные данные'!$F$2:$F$964,$A26)</f>
        <v>0</v>
      </c>
      <c r="DA26" s="7" t="n">
        <v>0</v>
      </c>
      <c r="DB26" s="7" t="n">
        <v>0</v>
      </c>
      <c r="DC26" s="11" t="n">
        <f aca="false">SUMIFS('Исходные данные'!$I$2:$I$964,'Исходные данные'!$D$2:$D$964,DC$1,'Исходные данные'!$F$2:$F$964,$A26)</f>
        <v>0</v>
      </c>
      <c r="DD26" s="11" t="n">
        <f aca="false">SUMIFS('Исходные данные'!$J$2:$J$964,'Исходные данные'!$D$2:$D$964,DC$1,'Исходные данные'!$F$2:$F$964,$A26)</f>
        <v>0</v>
      </c>
      <c r="DE26" s="7" t="n">
        <v>0</v>
      </c>
      <c r="DF26" s="7" t="n">
        <v>0</v>
      </c>
      <c r="DG26" s="11" t="n">
        <f aca="false">SUMIFS('Исходные данные'!$I$2:$I$964,'Исходные данные'!$D$2:$D$964,DG$1,'Исходные данные'!$F$2:$F$964,$A26)</f>
        <v>0</v>
      </c>
      <c r="DH26" s="11" t="n">
        <f aca="false">SUMIFS('Исходные данные'!$J$2:$J$964,'Исходные данные'!$D$2:$D$964,DG$1,'Исходные данные'!$F$2:$F$964,$A26)</f>
        <v>0</v>
      </c>
      <c r="DI26" s="7" t="n">
        <v>0</v>
      </c>
      <c r="DJ26" s="7" t="n">
        <v>0</v>
      </c>
      <c r="DK26" s="11" t="n">
        <f aca="false">SUMIFS('Исходные данные'!$I$2:$I$964,'Исходные данные'!$D$2:$D$964,DK$1,'Исходные данные'!$F$2:$F$964,$A26)</f>
        <v>0</v>
      </c>
      <c r="DL26" s="11" t="n">
        <f aca="false">SUMIFS('Исходные данные'!$J$2:$J$964,'Исходные данные'!$D$2:$D$964,DK$1,'Исходные данные'!$F$2:$F$964,$A26)</f>
        <v>0</v>
      </c>
      <c r="DM26" s="7" t="n">
        <v>0</v>
      </c>
      <c r="DN26" s="7" t="n">
        <v>0</v>
      </c>
      <c r="DO26" s="11" t="n">
        <f aca="false">SUMIFS('Исходные данные'!$I$2:$I$964,'Исходные данные'!$D$2:$D$964,DO$1,'Исходные данные'!$F$2:$F$964,$A26)</f>
        <v>0</v>
      </c>
      <c r="DP26" s="11" t="n">
        <f aca="false">SUMIFS('Исходные данные'!$J$2:$J$964,'Исходные данные'!$D$2:$D$964,DO$1,'Исходные данные'!$F$2:$F$964,$A26)</f>
        <v>0</v>
      </c>
      <c r="DQ26" s="7" t="n">
        <v>0</v>
      </c>
      <c r="DR26" s="7" t="n">
        <v>0</v>
      </c>
      <c r="DS26" s="11" t="n">
        <f aca="false">SUMIFS('Исходные данные'!$I$2:$I$964,'Исходные данные'!$D$2:$D$964,DS$1,'Исходные данные'!$F$2:$F$964,$A26)</f>
        <v>0</v>
      </c>
      <c r="DT26" s="11" t="n">
        <f aca="false">SUMIFS('Исходные данные'!$J$2:$J$964,'Исходные данные'!$D$2:$D$964,DS$1,'Исходные данные'!$F$2:$F$964,$A26)</f>
        <v>0</v>
      </c>
      <c r="DU26" s="7" t="n">
        <v>0</v>
      </c>
      <c r="DV26" s="7" t="n">
        <v>0</v>
      </c>
      <c r="DW26" s="11" t="n">
        <f aca="false">SUMIFS('Исходные данные'!$I$2:$I$964,'Исходные данные'!$D$2:$D$964,DW$1,'Исходные данные'!$F$2:$F$964,$A26)</f>
        <v>0</v>
      </c>
      <c r="DX26" s="11" t="n">
        <f aca="false">SUMIFS('Исходные данные'!$J$2:$J$964,'Исходные данные'!$D$2:$D$964,DW$1,'Исходные данные'!$F$2:$F$964,$A26)</f>
        <v>0</v>
      </c>
      <c r="DY26" s="7" t="n">
        <v>0</v>
      </c>
      <c r="DZ26" s="7" t="n">
        <v>0</v>
      </c>
      <c r="EA26" s="11" t="n">
        <f aca="false">SUMIFS('Исходные данные'!$I$2:$I$964,'Исходные данные'!$D$2:$D$964,EA$1,'Исходные данные'!$F$2:$F$964,$A26)</f>
        <v>0</v>
      </c>
      <c r="EB26" s="11" t="n">
        <f aca="false">SUMIFS('Исходные данные'!$J$2:$J$964,'Исходные данные'!$D$2:$D$964,EA$1,'Исходные данные'!$F$2:$F$964,$A26)</f>
        <v>0</v>
      </c>
      <c r="EC26" s="7" t="n">
        <v>0</v>
      </c>
      <c r="ED26" s="7" t="n">
        <v>0</v>
      </c>
      <c r="EE26" s="11" t="n">
        <f aca="false">SUMIFS('Исходные данные'!$I$2:$I$964,'Исходные данные'!$D$2:$D$964,EE$1,'Исходные данные'!$F$2:$F$964,$A26)</f>
        <v>0</v>
      </c>
      <c r="EF26" s="11" t="n">
        <f aca="false">SUMIFS('Исходные данные'!$J$2:$J$964,'Исходные данные'!$D$2:$D$964,EE$1,'Исходные данные'!$F$2:$F$964,$A26)</f>
        <v>0</v>
      </c>
      <c r="EG26" s="7" t="n">
        <v>0</v>
      </c>
      <c r="EH26" s="7" t="n">
        <v>0</v>
      </c>
      <c r="EI26" s="11" t="n">
        <f aca="false">SUMIFS('Исходные данные'!$I$2:$I$964,'Исходные данные'!$D$2:$D$964,EI$1,'Исходные данные'!$F$2:$F$964,$A26)</f>
        <v>0</v>
      </c>
      <c r="EJ26" s="11" t="n">
        <f aca="false">SUMIFS('Исходные данные'!$J$2:$J$964,'Исходные данные'!$D$2:$D$964,EI$1,'Исходные данные'!$F$2:$F$964,$A26)</f>
        <v>0</v>
      </c>
      <c r="EK26" s="7" t="n">
        <v>0</v>
      </c>
      <c r="EL26" s="7" t="n">
        <v>0</v>
      </c>
      <c r="EM26" s="11" t="n">
        <f aca="false">SUMIFS('Исходные данные'!$I$2:$I$964,'Исходные данные'!$D$2:$D$964,EM$1,'Исходные данные'!$F$2:$F$964,$A26)</f>
        <v>0</v>
      </c>
      <c r="EN26" s="11" t="n">
        <f aca="false">SUMIFS('Исходные данные'!$J$2:$J$964,'Исходные данные'!$D$2:$D$964,EM$1,'Исходные данные'!$F$2:$F$964,$A26)</f>
        <v>0</v>
      </c>
      <c r="EO26" s="7" t="n">
        <v>0</v>
      </c>
      <c r="EP26" s="7" t="n">
        <v>0</v>
      </c>
      <c r="EQ26" s="11" t="n">
        <f aca="false">SUMIFS('Исходные данные'!$I$2:$I$964,'Исходные данные'!$D$2:$D$964,EQ$1,'Исходные данные'!$F$2:$F$964,$A26)</f>
        <v>0</v>
      </c>
      <c r="ER26" s="11" t="n">
        <f aca="false">SUMIFS('Исходные данные'!$J$2:$J$964,'Исходные данные'!$D$2:$D$964,EQ$1,'Исходные данные'!$F$2:$F$964,$A26)</f>
        <v>0</v>
      </c>
      <c r="ES26" s="7" t="n">
        <v>0</v>
      </c>
      <c r="ET26" s="7" t="n">
        <v>0</v>
      </c>
      <c r="EU26" s="11" t="n">
        <f aca="false">SUMIFS('Исходные данные'!$I$2:$I$964,'Исходные данные'!$D$2:$D$964,EU$1,'Исходные данные'!$F$2:$F$964,$A26)</f>
        <v>0</v>
      </c>
      <c r="EV26" s="11" t="n">
        <f aca="false">SUMIFS('Исходные данные'!$J$2:$J$964,'Исходные данные'!$D$2:$D$964,EU$1,'Исходные данные'!$F$2:$F$964,$A26)</f>
        <v>0</v>
      </c>
      <c r="EW26" s="7" t="n">
        <v>0</v>
      </c>
      <c r="EX26" s="7" t="n">
        <v>0</v>
      </c>
      <c r="EY26" s="11" t="n">
        <f aca="false">SUMIFS('Исходные данные'!$I$2:$I$964,'Исходные данные'!$D$2:$D$964,EY$1,'Исходные данные'!$F$2:$F$964,$A26)</f>
        <v>0</v>
      </c>
      <c r="EZ26" s="11" t="n">
        <f aca="false">SUMIFS('Исходные данные'!$J$2:$J$964,'Исходные данные'!$D$2:$D$964,EY$1,'Исходные данные'!$F$2:$F$964,$A26)</f>
        <v>0</v>
      </c>
      <c r="FA26" s="7" t="n">
        <v>0</v>
      </c>
      <c r="FB26" s="7" t="n">
        <v>0</v>
      </c>
      <c r="FC26" s="11" t="n">
        <f aca="false">SUMIFS('Исходные данные'!$I$2:$I$964,'Исходные данные'!$D$2:$D$964,FC$1,'Исходные данные'!$F$2:$F$964,$A26)</f>
        <v>0</v>
      </c>
      <c r="FD26" s="11" t="n">
        <f aca="false">SUMIFS('Исходные данные'!$J$2:$J$964,'Исходные данные'!$D$2:$D$964,FC$1,'Исходные данные'!$F$2:$F$964,$A26)</f>
        <v>0</v>
      </c>
      <c r="FE26" s="7" t="n">
        <v>0</v>
      </c>
      <c r="FF26" s="7" t="n">
        <v>0</v>
      </c>
      <c r="FG26" s="11" t="n">
        <f aca="false">SUMIFS('Исходные данные'!$I$2:$I$964,'Исходные данные'!$D$2:$D$964,FG$1,'Исходные данные'!$F$2:$F$964,$A26)</f>
        <v>0</v>
      </c>
      <c r="FH26" s="11" t="n">
        <f aca="false">SUMIFS('Исходные данные'!$J$2:$J$964,'Исходные данные'!$D$2:$D$964,FG$1,'Исходные данные'!$F$2:$F$964,$A26)</f>
        <v>0</v>
      </c>
    </row>
    <row r="27" customFormat="false" ht="15" hidden="false" customHeight="false" outlineLevel="0" collapsed="false">
      <c r="A27" s="10" t="s">
        <v>97</v>
      </c>
      <c r="B27" s="11" t="s">
        <v>98</v>
      </c>
      <c r="C27" s="6" t="n">
        <v>1</v>
      </c>
      <c r="D27" s="6" t="n">
        <f aca="false">I27+J27+M27+N27+Q27+R27+U27+V27+Y27+Z27+AC27+AD27+AG27+AH27+AK27+AL27+AO27+AP27+AS27+AT27+AW27+AX27+BA27+BB27+BE27+BF27+BI27+BJ27+BM27+BN27+BQ27+BR27+BU27+BV27+BY27+BZ27+CC27+CD27+CG27+CH27+CK27+CL27+CO27+CP27+CS27+CT27+CW27+CX27+DA27+DB27+DE27+DF27+DI27+DJ27+DM27+DN27+DQ27+DR27+DU27+DV27+DY27+DZ27+EC27+ED27+EG27+EH27+EK27+EL27+EO27+EP27+ES27+ET27+EW27+EX27+FA27+FB27+FE27+FF27</f>
        <v>1</v>
      </c>
      <c r="E27" s="6" t="n">
        <f aca="false">G27+H27</f>
        <v>1</v>
      </c>
      <c r="F27" s="6" t="n">
        <f aca="false">E27-C27</f>
        <v>0</v>
      </c>
      <c r="G27" s="6" t="n">
        <f aca="false">K27+O27+S27+W27+AA27+AE27+AI27+AM27+AQ27+AU27+AY27+BC27+BG27+BK27+BO27+BS27+BW27+CA27+CE27+CI27+CM27+CQ27+CU27+CY27+DC27+DG27+DK27+DO27+DS27+DW27+EA27+EE27+EI27+EM27+EQ27+EU27+EY27+FC27+FG27</f>
        <v>1</v>
      </c>
      <c r="H27" s="6" t="n">
        <f aca="false">L27+P27+T27+X27+AB27+AF27+AJ27+AN27+AR27+AV27+AZ27+BD27+BH27+BL27+BP27+BT27+BX27+CB27+CF27+CJ27+CN27+CR27+CV27+CZ27+DD27+DH27+DL27+DP27+DT27+DX27+EB27+EF27+EJ27+EN27+ER27+EV27+EZ27+FD27+FH27</f>
        <v>0</v>
      </c>
      <c r="I27" s="7" t="n">
        <v>0</v>
      </c>
      <c r="J27" s="7" t="n">
        <v>0</v>
      </c>
      <c r="K27" s="11" t="n">
        <f aca="false">SUMIFS('Исходные данные'!$I$2:$I$964,'Исходные данные'!$D$2:$D$964,K$1,'Исходные данные'!$F$2:$F$964,$A27)</f>
        <v>0</v>
      </c>
      <c r="L27" s="11" t="n">
        <f aca="false">SUMIFS('Исходные данные'!$J$2:$J$964,'Исходные данные'!$D$2:$D$964,K$1,'Исходные данные'!$F$2:$F$964,$A27)</f>
        <v>0</v>
      </c>
      <c r="M27" s="7" t="n">
        <v>0</v>
      </c>
      <c r="N27" s="7" t="n">
        <v>0</v>
      </c>
      <c r="O27" s="11" t="n">
        <f aca="false">SUMIFS('Исходные данные'!$I$2:$I$964,'Исходные данные'!$D$2:$D$964,O$1,'Исходные данные'!$F$2:$F$964,$A27)</f>
        <v>0</v>
      </c>
      <c r="P27" s="11" t="n">
        <f aca="false">SUMIFS('Исходные данные'!$J$2:$J$964,'Исходные данные'!$D$2:$D$964,O$1,'Исходные данные'!$F$2:$F$964,$A27)</f>
        <v>0</v>
      </c>
      <c r="Q27" s="7" t="n">
        <v>0</v>
      </c>
      <c r="R27" s="7" t="n">
        <v>0</v>
      </c>
      <c r="S27" s="11" t="n">
        <f aca="false">SUMIFS('Исходные данные'!$I$2:$I$964,'Исходные данные'!$D$2:$D$964,S$1,'Исходные данные'!$F$2:$F$964,$A27)</f>
        <v>0</v>
      </c>
      <c r="T27" s="11" t="n">
        <f aca="false">SUMIFS('Исходные данные'!$J$2:$J$964,'Исходные данные'!$D$2:$D$964,S$1,'Исходные данные'!$F$2:$F$964,$A27)</f>
        <v>0</v>
      </c>
      <c r="U27" s="7" t="n">
        <v>0</v>
      </c>
      <c r="V27" s="7" t="n">
        <v>0</v>
      </c>
      <c r="W27" s="11" t="n">
        <f aca="false">SUMIFS('Исходные данные'!$I$2:$I$964,'Исходные данные'!$D$2:$D$964,W$1,'Исходные данные'!$F$2:$F$964,$A27)</f>
        <v>0</v>
      </c>
      <c r="X27" s="11" t="n">
        <f aca="false">SUMIFS('Исходные данные'!$J$2:$J$964,'Исходные данные'!$D$2:$D$964,W$1,'Исходные данные'!$F$2:$F$964,$A27)</f>
        <v>0</v>
      </c>
      <c r="Y27" s="7" t="n">
        <v>0</v>
      </c>
      <c r="Z27" s="7" t="n">
        <v>0</v>
      </c>
      <c r="AA27" s="11" t="n">
        <f aca="false">SUMIFS('Исходные данные'!$I$2:$I$964,'Исходные данные'!$D$2:$D$964,AA$1,'Исходные данные'!$F$2:$F$964,$A27)</f>
        <v>0</v>
      </c>
      <c r="AB27" s="11" t="n">
        <f aca="false">SUMIFS('Исходные данные'!$J$2:$J$964,'Исходные данные'!$D$2:$D$964,AA$1,'Исходные данные'!$F$2:$F$964,$A27)</f>
        <v>0</v>
      </c>
      <c r="AC27" s="7" t="n">
        <v>0</v>
      </c>
      <c r="AD27" s="7" t="n">
        <v>0</v>
      </c>
      <c r="AE27" s="11" t="n">
        <f aca="false">SUMIFS('Исходные данные'!$I$2:$I$964,'Исходные данные'!$D$2:$D$964,AE$1,'Исходные данные'!$F$2:$F$964,$A27)</f>
        <v>0</v>
      </c>
      <c r="AF27" s="11" t="n">
        <f aca="false">SUMIFS('Исходные данные'!$J$2:$J$964,'Исходные данные'!$D$2:$D$964,AE$1,'Исходные данные'!$F$2:$F$964,$A27)</f>
        <v>0</v>
      </c>
      <c r="AG27" s="7" t="n">
        <v>0</v>
      </c>
      <c r="AH27" s="7" t="n">
        <v>0</v>
      </c>
      <c r="AI27" s="11" t="n">
        <f aca="false">SUMIFS('Исходные данные'!$I$2:$I$964,'Исходные данные'!$D$2:$D$964,AI$1,'Исходные данные'!$F$2:$F$964,$A27)</f>
        <v>0</v>
      </c>
      <c r="AJ27" s="11" t="n">
        <f aca="false">SUMIFS('Исходные данные'!$J$2:$J$964,'Исходные данные'!$D$2:$D$964,AI$1,'Исходные данные'!$F$2:$F$964,$A27)</f>
        <v>0</v>
      </c>
      <c r="AK27" s="7" t="n">
        <v>0</v>
      </c>
      <c r="AL27" s="7" t="n">
        <v>0</v>
      </c>
      <c r="AM27" s="11" t="n">
        <f aca="false">SUMIFS('Исходные данные'!$I$2:$I$964,'Исходные данные'!$D$2:$D$964,AM$1,'Исходные данные'!$F$2:$F$964,$A27)</f>
        <v>0</v>
      </c>
      <c r="AN27" s="11" t="n">
        <f aca="false">SUMIFS('Исходные данные'!$J$2:$J$964,'Исходные данные'!$D$2:$D$964,AM$1,'Исходные данные'!$F$2:$F$964,$A27)</f>
        <v>0</v>
      </c>
      <c r="AO27" s="7" t="n">
        <v>0</v>
      </c>
      <c r="AP27" s="7" t="n">
        <v>0</v>
      </c>
      <c r="AQ27" s="11" t="n">
        <f aca="false">SUMIFS('Исходные данные'!$I$2:$I$964,'Исходные данные'!$D$2:$D$964,AQ$1,'Исходные данные'!$F$2:$F$964,$A27)</f>
        <v>0</v>
      </c>
      <c r="AR27" s="11" t="n">
        <f aca="false">SUMIFS('Исходные данные'!$J$2:$J$964,'Исходные данные'!$D$2:$D$964,AQ$1,'Исходные данные'!$F$2:$F$964,$A27)</f>
        <v>0</v>
      </c>
      <c r="AS27" s="7" t="n">
        <v>0</v>
      </c>
      <c r="AT27" s="7" t="n">
        <v>0</v>
      </c>
      <c r="AU27" s="11" t="n">
        <f aca="false">SUMIFS('Исходные данные'!$I$2:$I$964,'Исходные данные'!$D$2:$D$964,AU$1,'Исходные данные'!$F$2:$F$964,$A27)</f>
        <v>0</v>
      </c>
      <c r="AV27" s="11" t="n">
        <f aca="false">SUMIFS('Исходные данные'!$J$2:$J$964,'Исходные данные'!$D$2:$D$964,AU$1,'Исходные данные'!$F$2:$F$964,$A27)</f>
        <v>0</v>
      </c>
      <c r="AW27" s="7" t="n">
        <v>0</v>
      </c>
      <c r="AX27" s="7" t="n">
        <v>0</v>
      </c>
      <c r="AY27" s="11" t="n">
        <f aca="false">SUMIFS('Исходные данные'!$I$2:$I$964,'Исходные данные'!$D$2:$D$964,AY$1,'Исходные данные'!$F$2:$F$964,$A27)</f>
        <v>0</v>
      </c>
      <c r="AZ27" s="11" t="n">
        <f aca="false">SUMIFS('Исходные данные'!$J$2:$J$964,'Исходные данные'!$D$2:$D$964,AY$1,'Исходные данные'!$F$2:$F$964,$A27)</f>
        <v>0</v>
      </c>
      <c r="BA27" s="7" t="n">
        <v>0</v>
      </c>
      <c r="BB27" s="7" t="n">
        <v>0</v>
      </c>
      <c r="BC27" s="11" t="n">
        <f aca="false">SUMIFS('Исходные данные'!$I$2:$I$964,'Исходные данные'!$D$2:$D$964,BC$1,'Исходные данные'!$F$2:$F$964,$A27)</f>
        <v>0</v>
      </c>
      <c r="BD27" s="11" t="n">
        <f aca="false">SUMIFS('Исходные данные'!$J$2:$J$964,'Исходные данные'!$D$2:$D$964,BC$1,'Исходные данные'!$F$2:$F$964,$A27)</f>
        <v>0</v>
      </c>
      <c r="BE27" s="7" t="n">
        <v>1</v>
      </c>
      <c r="BF27" s="7" t="n">
        <v>0</v>
      </c>
      <c r="BG27" s="11" t="n">
        <f aca="false">SUMIFS('Исходные данные'!$I$2:$I$964,'Исходные данные'!$D$2:$D$964,BG$1,'Исходные данные'!$F$2:$F$964,$A27)</f>
        <v>1</v>
      </c>
      <c r="BH27" s="11" t="n">
        <f aca="false">SUMIFS('Исходные данные'!$J$2:$J$964,'Исходные данные'!$D$2:$D$964,BG$1,'Исходные данные'!$F$2:$F$964,$A27)</f>
        <v>0</v>
      </c>
      <c r="BI27" s="7" t="n">
        <v>0</v>
      </c>
      <c r="BJ27" s="7" t="n">
        <v>0</v>
      </c>
      <c r="BK27" s="11" t="n">
        <f aca="false">SUMIFS('Исходные данные'!$I$2:$I$964,'Исходные данные'!$D$2:$D$964,BK$1,'Исходные данные'!$F$2:$F$964,$A27)</f>
        <v>0</v>
      </c>
      <c r="BL27" s="11" t="n">
        <f aca="false">SUMIFS('Исходные данные'!$J$2:$J$964,'Исходные данные'!$D$2:$D$964,BK$1,'Исходные данные'!$F$2:$F$964,$A27)</f>
        <v>0</v>
      </c>
      <c r="BM27" s="7" t="n">
        <v>0</v>
      </c>
      <c r="BN27" s="7" t="n">
        <v>0</v>
      </c>
      <c r="BO27" s="11" t="n">
        <f aca="false">SUMIFS('Исходные данные'!$I$2:$I$964,'Исходные данные'!$D$2:$D$964,BO$1,'Исходные данные'!$F$2:$F$964,$A27)</f>
        <v>0</v>
      </c>
      <c r="BP27" s="11" t="n">
        <f aca="false">SUMIFS('Исходные данные'!$J$2:$J$964,'Исходные данные'!$D$2:$D$964,BO$1,'Исходные данные'!$F$2:$F$964,$A27)</f>
        <v>0</v>
      </c>
      <c r="BQ27" s="7" t="n">
        <v>0</v>
      </c>
      <c r="BR27" s="7" t="n">
        <v>0</v>
      </c>
      <c r="BS27" s="11" t="n">
        <f aca="false">SUMIFS('Исходные данные'!$I$2:$I$964,'Исходные данные'!$D$2:$D$964,BS$1,'Исходные данные'!$F$2:$F$964,$A27)</f>
        <v>0</v>
      </c>
      <c r="BT27" s="11" t="n">
        <f aca="false">SUMIFS('Исходные данные'!$J$2:$J$964,'Исходные данные'!$D$2:$D$964,BS$1,'Исходные данные'!$F$2:$F$964,$A27)</f>
        <v>0</v>
      </c>
      <c r="BU27" s="7" t="n">
        <v>0</v>
      </c>
      <c r="BV27" s="7" t="n">
        <v>0</v>
      </c>
      <c r="BW27" s="11" t="n">
        <f aca="false">SUMIFS('Исходные данные'!$I$2:$I$964,'Исходные данные'!$D$2:$D$964,BW$1,'Исходные данные'!$F$2:$F$964,$A27)</f>
        <v>0</v>
      </c>
      <c r="BX27" s="11" t="n">
        <f aca="false">SUMIFS('Исходные данные'!$J$2:$J$964,'Исходные данные'!$D$2:$D$964,BW$1,'Исходные данные'!$F$2:$F$964,$A27)</f>
        <v>0</v>
      </c>
      <c r="BY27" s="7" t="n">
        <v>0</v>
      </c>
      <c r="BZ27" s="7" t="n">
        <v>0</v>
      </c>
      <c r="CA27" s="11" t="n">
        <f aca="false">SUMIFS('Исходные данные'!$I$2:$I$964,'Исходные данные'!$D$2:$D$964,CA$1,'Исходные данные'!$F$2:$F$964,$A27)</f>
        <v>0</v>
      </c>
      <c r="CB27" s="11" t="n">
        <f aca="false">SUMIFS('Исходные данные'!$J$2:$J$964,'Исходные данные'!$D$2:$D$964,CA$1,'Исходные данные'!$F$2:$F$964,$A27)</f>
        <v>0</v>
      </c>
      <c r="CC27" s="7" t="n">
        <v>0</v>
      </c>
      <c r="CD27" s="7" t="n">
        <v>0</v>
      </c>
      <c r="CE27" s="11" t="n">
        <f aca="false">SUMIFS('Исходные данные'!$I$2:$I$964,'Исходные данные'!$D$2:$D$964,CE$1,'Исходные данные'!$F$2:$F$964,$A27)</f>
        <v>0</v>
      </c>
      <c r="CF27" s="11" t="n">
        <f aca="false">SUMIFS('Исходные данные'!$J$2:$J$964,'Исходные данные'!$D$2:$D$964,CE$1,'Исходные данные'!$F$2:$F$964,$A27)</f>
        <v>0</v>
      </c>
      <c r="CG27" s="7" t="n">
        <v>0</v>
      </c>
      <c r="CH27" s="7" t="n">
        <v>0</v>
      </c>
      <c r="CI27" s="11" t="n">
        <f aca="false">SUMIFS('Исходные данные'!$I$2:$I$964,'Исходные данные'!$D$2:$D$964,CI$1,'Исходные данные'!$F$2:$F$964,$A27)</f>
        <v>0</v>
      </c>
      <c r="CJ27" s="11" t="n">
        <f aca="false">SUMIFS('Исходные данные'!$J$2:$J$964,'Исходные данные'!$D$2:$D$964,CI$1,'Исходные данные'!$F$2:$F$964,$A27)</f>
        <v>0</v>
      </c>
      <c r="CK27" s="7" t="n">
        <v>0</v>
      </c>
      <c r="CL27" s="7" t="n">
        <v>0</v>
      </c>
      <c r="CM27" s="11" t="n">
        <f aca="false">SUMIFS('Исходные данные'!$I$2:$I$964,'Исходные данные'!$D$2:$D$964,CM$1,'Исходные данные'!$F$2:$F$964,$A27)</f>
        <v>0</v>
      </c>
      <c r="CN27" s="11" t="n">
        <f aca="false">SUMIFS('Исходные данные'!$J$2:$J$964,'Исходные данные'!$D$2:$D$964,CM$1,'Исходные данные'!$F$2:$F$964,$A27)</f>
        <v>0</v>
      </c>
      <c r="CO27" s="7" t="n">
        <v>0</v>
      </c>
      <c r="CP27" s="7" t="n">
        <v>0</v>
      </c>
      <c r="CQ27" s="11" t="n">
        <f aca="false">SUMIFS('Исходные данные'!$I$2:$I$964,'Исходные данные'!$D$2:$D$964,CQ$1,'Исходные данные'!$F$2:$F$964,$A27)</f>
        <v>0</v>
      </c>
      <c r="CR27" s="11" t="n">
        <f aca="false">SUMIFS('Исходные данные'!$J$2:$J$964,'Исходные данные'!$D$2:$D$964,CQ$1,'Исходные данные'!$F$2:$F$964,$A27)</f>
        <v>0</v>
      </c>
      <c r="CS27" s="7" t="n">
        <v>0</v>
      </c>
      <c r="CT27" s="7" t="n">
        <v>0</v>
      </c>
      <c r="CU27" s="11" t="n">
        <f aca="false">SUMIFS('Исходные данные'!$I$2:$I$964,'Исходные данные'!$D$2:$D$964,CU$1,'Исходные данные'!$F$2:$F$964,$A27)</f>
        <v>0</v>
      </c>
      <c r="CV27" s="11" t="n">
        <f aca="false">SUMIFS('Исходные данные'!$J$2:$J$964,'Исходные данные'!$D$2:$D$964,CU$1,'Исходные данные'!$F$2:$F$964,$A27)</f>
        <v>0</v>
      </c>
      <c r="CW27" s="7" t="n">
        <v>0</v>
      </c>
      <c r="CX27" s="7" t="n">
        <v>0</v>
      </c>
      <c r="CY27" s="11" t="n">
        <f aca="false">SUMIFS('Исходные данные'!$I$2:$I$964,'Исходные данные'!$D$2:$D$964,CY$1,'Исходные данные'!$F$2:$F$964,$A27)</f>
        <v>0</v>
      </c>
      <c r="CZ27" s="11" t="n">
        <f aca="false">SUMIFS('Исходные данные'!$J$2:$J$964,'Исходные данные'!$D$2:$D$964,CY$1,'Исходные данные'!$F$2:$F$964,$A27)</f>
        <v>0</v>
      </c>
      <c r="DA27" s="7" t="n">
        <v>0</v>
      </c>
      <c r="DB27" s="7" t="n">
        <v>0</v>
      </c>
      <c r="DC27" s="11" t="n">
        <f aca="false">SUMIFS('Исходные данные'!$I$2:$I$964,'Исходные данные'!$D$2:$D$964,DC$1,'Исходные данные'!$F$2:$F$964,$A27)</f>
        <v>0</v>
      </c>
      <c r="DD27" s="11" t="n">
        <f aca="false">SUMIFS('Исходные данные'!$J$2:$J$964,'Исходные данные'!$D$2:$D$964,DC$1,'Исходные данные'!$F$2:$F$964,$A27)</f>
        <v>0</v>
      </c>
      <c r="DE27" s="7" t="n">
        <v>0</v>
      </c>
      <c r="DF27" s="7" t="n">
        <v>0</v>
      </c>
      <c r="DG27" s="11" t="n">
        <f aca="false">SUMIFS('Исходные данные'!$I$2:$I$964,'Исходные данные'!$D$2:$D$964,DG$1,'Исходные данные'!$F$2:$F$964,$A27)</f>
        <v>0</v>
      </c>
      <c r="DH27" s="11" t="n">
        <f aca="false">SUMIFS('Исходные данные'!$J$2:$J$964,'Исходные данные'!$D$2:$D$964,DG$1,'Исходные данные'!$F$2:$F$964,$A27)</f>
        <v>0</v>
      </c>
      <c r="DI27" s="7" t="n">
        <v>0</v>
      </c>
      <c r="DJ27" s="7" t="n">
        <v>0</v>
      </c>
      <c r="DK27" s="11" t="n">
        <f aca="false">SUMIFS('Исходные данные'!$I$2:$I$964,'Исходные данные'!$D$2:$D$964,DK$1,'Исходные данные'!$F$2:$F$964,$A27)</f>
        <v>0</v>
      </c>
      <c r="DL27" s="11" t="n">
        <f aca="false">SUMIFS('Исходные данные'!$J$2:$J$964,'Исходные данные'!$D$2:$D$964,DK$1,'Исходные данные'!$F$2:$F$964,$A27)</f>
        <v>0</v>
      </c>
      <c r="DM27" s="7" t="n">
        <v>0</v>
      </c>
      <c r="DN27" s="7" t="n">
        <v>0</v>
      </c>
      <c r="DO27" s="11" t="n">
        <f aca="false">SUMIFS('Исходные данные'!$I$2:$I$964,'Исходные данные'!$D$2:$D$964,DO$1,'Исходные данные'!$F$2:$F$964,$A27)</f>
        <v>0</v>
      </c>
      <c r="DP27" s="11" t="n">
        <f aca="false">SUMIFS('Исходные данные'!$J$2:$J$964,'Исходные данные'!$D$2:$D$964,DO$1,'Исходные данные'!$F$2:$F$964,$A27)</f>
        <v>0</v>
      </c>
      <c r="DQ27" s="7" t="n">
        <v>0</v>
      </c>
      <c r="DR27" s="7" t="n">
        <v>0</v>
      </c>
      <c r="DS27" s="11" t="n">
        <f aca="false">SUMIFS('Исходные данные'!$I$2:$I$964,'Исходные данные'!$D$2:$D$964,DS$1,'Исходные данные'!$F$2:$F$964,$A27)</f>
        <v>0</v>
      </c>
      <c r="DT27" s="11" t="n">
        <f aca="false">SUMIFS('Исходные данные'!$J$2:$J$964,'Исходные данные'!$D$2:$D$964,DS$1,'Исходные данные'!$F$2:$F$964,$A27)</f>
        <v>0</v>
      </c>
      <c r="DU27" s="7" t="n">
        <v>0</v>
      </c>
      <c r="DV27" s="7" t="n">
        <v>0</v>
      </c>
      <c r="DW27" s="11" t="n">
        <f aca="false">SUMIFS('Исходные данные'!$I$2:$I$964,'Исходные данные'!$D$2:$D$964,DW$1,'Исходные данные'!$F$2:$F$964,$A27)</f>
        <v>0</v>
      </c>
      <c r="DX27" s="11" t="n">
        <f aca="false">SUMIFS('Исходные данные'!$J$2:$J$964,'Исходные данные'!$D$2:$D$964,DW$1,'Исходные данные'!$F$2:$F$964,$A27)</f>
        <v>0</v>
      </c>
      <c r="DY27" s="7" t="n">
        <v>0</v>
      </c>
      <c r="DZ27" s="7" t="n">
        <v>0</v>
      </c>
      <c r="EA27" s="11" t="n">
        <f aca="false">SUMIFS('Исходные данные'!$I$2:$I$964,'Исходные данные'!$D$2:$D$964,EA$1,'Исходные данные'!$F$2:$F$964,$A27)</f>
        <v>0</v>
      </c>
      <c r="EB27" s="11" t="n">
        <f aca="false">SUMIFS('Исходные данные'!$J$2:$J$964,'Исходные данные'!$D$2:$D$964,EA$1,'Исходные данные'!$F$2:$F$964,$A27)</f>
        <v>0</v>
      </c>
      <c r="EC27" s="7" t="n">
        <v>0</v>
      </c>
      <c r="ED27" s="7" t="n">
        <v>0</v>
      </c>
      <c r="EE27" s="11" t="n">
        <f aca="false">SUMIFS('Исходные данные'!$I$2:$I$964,'Исходные данные'!$D$2:$D$964,EE$1,'Исходные данные'!$F$2:$F$964,$A27)</f>
        <v>0</v>
      </c>
      <c r="EF27" s="11" t="n">
        <f aca="false">SUMIFS('Исходные данные'!$J$2:$J$964,'Исходные данные'!$D$2:$D$964,EE$1,'Исходные данные'!$F$2:$F$964,$A27)</f>
        <v>0</v>
      </c>
      <c r="EG27" s="7" t="n">
        <v>0</v>
      </c>
      <c r="EH27" s="7" t="n">
        <v>0</v>
      </c>
      <c r="EI27" s="11" t="n">
        <f aca="false">SUMIFS('Исходные данные'!$I$2:$I$964,'Исходные данные'!$D$2:$D$964,EI$1,'Исходные данные'!$F$2:$F$964,$A27)</f>
        <v>0</v>
      </c>
      <c r="EJ27" s="11" t="n">
        <f aca="false">SUMIFS('Исходные данные'!$J$2:$J$964,'Исходные данные'!$D$2:$D$964,EI$1,'Исходные данные'!$F$2:$F$964,$A27)</f>
        <v>0</v>
      </c>
      <c r="EK27" s="7" t="n">
        <v>0</v>
      </c>
      <c r="EL27" s="7" t="n">
        <v>0</v>
      </c>
      <c r="EM27" s="11" t="n">
        <f aca="false">SUMIFS('Исходные данные'!$I$2:$I$964,'Исходные данные'!$D$2:$D$964,EM$1,'Исходные данные'!$F$2:$F$964,$A27)</f>
        <v>0</v>
      </c>
      <c r="EN27" s="11" t="n">
        <f aca="false">SUMIFS('Исходные данные'!$J$2:$J$964,'Исходные данные'!$D$2:$D$964,EM$1,'Исходные данные'!$F$2:$F$964,$A27)</f>
        <v>0</v>
      </c>
      <c r="EO27" s="7" t="n">
        <v>0</v>
      </c>
      <c r="EP27" s="7" t="n">
        <v>0</v>
      </c>
      <c r="EQ27" s="11" t="n">
        <f aca="false">SUMIFS('Исходные данные'!$I$2:$I$964,'Исходные данные'!$D$2:$D$964,EQ$1,'Исходные данные'!$F$2:$F$964,$A27)</f>
        <v>0</v>
      </c>
      <c r="ER27" s="11" t="n">
        <f aca="false">SUMIFS('Исходные данные'!$J$2:$J$964,'Исходные данные'!$D$2:$D$964,EQ$1,'Исходные данные'!$F$2:$F$964,$A27)</f>
        <v>0</v>
      </c>
      <c r="ES27" s="7" t="n">
        <v>0</v>
      </c>
      <c r="ET27" s="7" t="n">
        <v>0</v>
      </c>
      <c r="EU27" s="11" t="n">
        <f aca="false">SUMIFS('Исходные данные'!$I$2:$I$964,'Исходные данные'!$D$2:$D$964,EU$1,'Исходные данные'!$F$2:$F$964,$A27)</f>
        <v>0</v>
      </c>
      <c r="EV27" s="11" t="n">
        <f aca="false">SUMIFS('Исходные данные'!$J$2:$J$964,'Исходные данные'!$D$2:$D$964,EU$1,'Исходные данные'!$F$2:$F$964,$A27)</f>
        <v>0</v>
      </c>
      <c r="EW27" s="7" t="n">
        <v>0</v>
      </c>
      <c r="EX27" s="7" t="n">
        <v>0</v>
      </c>
      <c r="EY27" s="11" t="n">
        <f aca="false">SUMIFS('Исходные данные'!$I$2:$I$964,'Исходные данные'!$D$2:$D$964,EY$1,'Исходные данные'!$F$2:$F$964,$A27)</f>
        <v>0</v>
      </c>
      <c r="EZ27" s="11" t="n">
        <f aca="false">SUMIFS('Исходные данные'!$J$2:$J$964,'Исходные данные'!$D$2:$D$964,EY$1,'Исходные данные'!$F$2:$F$964,$A27)</f>
        <v>0</v>
      </c>
      <c r="FA27" s="7" t="n">
        <v>0</v>
      </c>
      <c r="FB27" s="7" t="n">
        <v>0</v>
      </c>
      <c r="FC27" s="11" t="n">
        <f aca="false">SUMIFS('Исходные данные'!$I$2:$I$964,'Исходные данные'!$D$2:$D$964,FC$1,'Исходные данные'!$F$2:$F$964,$A27)</f>
        <v>0</v>
      </c>
      <c r="FD27" s="11" t="n">
        <f aca="false">SUMIFS('Исходные данные'!$J$2:$J$964,'Исходные данные'!$D$2:$D$964,FC$1,'Исходные данные'!$F$2:$F$964,$A27)</f>
        <v>0</v>
      </c>
      <c r="FE27" s="7" t="n">
        <v>0</v>
      </c>
      <c r="FF27" s="7" t="n">
        <v>0</v>
      </c>
      <c r="FG27" s="11" t="n">
        <f aca="false">SUMIFS('Исходные данные'!$I$2:$I$964,'Исходные данные'!$D$2:$D$964,FG$1,'Исходные данные'!$F$2:$F$964,$A27)</f>
        <v>0</v>
      </c>
      <c r="FH27" s="11" t="n">
        <f aca="false">SUMIFS('Исходные данные'!$J$2:$J$964,'Исходные данные'!$D$2:$D$964,FG$1,'Исходные данные'!$F$2:$F$964,$A27)</f>
        <v>0</v>
      </c>
    </row>
    <row r="28" customFormat="false" ht="15" hidden="false" customHeight="false" outlineLevel="0" collapsed="false">
      <c r="A28" s="10" t="s">
        <v>99</v>
      </c>
      <c r="B28" s="11" t="s">
        <v>100</v>
      </c>
      <c r="C28" s="6" t="n">
        <v>2</v>
      </c>
      <c r="D28" s="6" t="n">
        <f aca="false">I28+J28+M28+N28+Q28+R28+U28+V28+Y28+Z28+AC28+AD28+AG28+AH28+AK28+AL28+AO28+AP28+AS28+AT28+AW28+AX28+BA28+BB28+BE28+BF28+BI28+BJ28+BM28+BN28+BQ28+BR28+BU28+BV28+BY28+BZ28+CC28+CD28+CG28+CH28+CK28+CL28+CO28+CP28+CS28+CT28+CW28+CX28+DA28+DB28+DE28+DF28+DI28+DJ28+DM28+DN28+DQ28+DR28+DU28+DV28+DY28+DZ28+EC28+ED28+EG28+EH28+EK28+EL28+EO28+EP28+ES28+ET28+EW28+EX28+FA28+FB28+FE28+FF28</f>
        <v>2</v>
      </c>
      <c r="E28" s="6" t="n">
        <f aca="false">G28+H28</f>
        <v>2</v>
      </c>
      <c r="F28" s="6" t="n">
        <f aca="false">E28-C28</f>
        <v>0</v>
      </c>
      <c r="G28" s="6" t="n">
        <f aca="false">K28+O28+S28+W28+AA28+AE28+AI28+AM28+AQ28+AU28+AY28+BC28+BG28+BK28+BO28+BS28+BW28+CA28+CE28+CI28+CM28+CQ28+CU28+CY28+DC28+DG28+DK28+DO28+DS28+DW28+EA28+EE28+EI28+EM28+EQ28+EU28+EY28+FC28+FG28</f>
        <v>2</v>
      </c>
      <c r="H28" s="6" t="n">
        <f aca="false">L28+P28+T28+X28+AB28+AF28+AJ28+AN28+AR28+AV28+AZ28+BD28+BH28+BL28+BP28+BT28+BX28+CB28+CF28+CJ28+CN28+CR28+CV28+CZ28+DD28+DH28+DL28+DP28+DT28+DX28+EB28+EF28+EJ28+EN28+ER28+EV28+EZ28+FD28+FH28</f>
        <v>0</v>
      </c>
      <c r="I28" s="7" t="n">
        <v>0</v>
      </c>
      <c r="J28" s="7" t="n">
        <v>0</v>
      </c>
      <c r="K28" s="11" t="n">
        <f aca="false">SUMIFS('Исходные данные'!$I$2:$I$964,'Исходные данные'!$D$2:$D$964,K$1,'Исходные данные'!$F$2:$F$964,$A28)</f>
        <v>0</v>
      </c>
      <c r="L28" s="11" t="n">
        <f aca="false">SUMIFS('Исходные данные'!$J$2:$J$964,'Исходные данные'!$D$2:$D$964,K$1,'Исходные данные'!$F$2:$F$964,$A28)</f>
        <v>0</v>
      </c>
      <c r="M28" s="7" t="n">
        <v>0</v>
      </c>
      <c r="N28" s="7" t="n">
        <v>0</v>
      </c>
      <c r="O28" s="11" t="n">
        <f aca="false">SUMIFS('Исходные данные'!$I$2:$I$964,'Исходные данные'!$D$2:$D$964,O$1,'Исходные данные'!$F$2:$F$964,$A28)</f>
        <v>0</v>
      </c>
      <c r="P28" s="11" t="n">
        <f aca="false">SUMIFS('Исходные данные'!$J$2:$J$964,'Исходные данные'!$D$2:$D$964,O$1,'Исходные данные'!$F$2:$F$964,$A28)</f>
        <v>0</v>
      </c>
      <c r="Q28" s="7" t="n">
        <v>0</v>
      </c>
      <c r="R28" s="7" t="n">
        <v>0</v>
      </c>
      <c r="S28" s="11" t="n">
        <f aca="false">SUMIFS('Исходные данные'!$I$2:$I$964,'Исходные данные'!$D$2:$D$964,S$1,'Исходные данные'!$F$2:$F$964,$A28)</f>
        <v>0</v>
      </c>
      <c r="T28" s="11" t="n">
        <f aca="false">SUMIFS('Исходные данные'!$J$2:$J$964,'Исходные данные'!$D$2:$D$964,S$1,'Исходные данные'!$F$2:$F$964,$A28)</f>
        <v>0</v>
      </c>
      <c r="U28" s="7" t="n">
        <v>0</v>
      </c>
      <c r="V28" s="7" t="n">
        <v>0</v>
      </c>
      <c r="W28" s="11" t="n">
        <f aca="false">SUMIFS('Исходные данные'!$I$2:$I$964,'Исходные данные'!$D$2:$D$964,W$1,'Исходные данные'!$F$2:$F$964,$A28)</f>
        <v>0</v>
      </c>
      <c r="X28" s="11" t="n">
        <f aca="false">SUMIFS('Исходные данные'!$J$2:$J$964,'Исходные данные'!$D$2:$D$964,W$1,'Исходные данные'!$F$2:$F$964,$A28)</f>
        <v>0</v>
      </c>
      <c r="Y28" s="7" t="n">
        <v>0</v>
      </c>
      <c r="Z28" s="7" t="n">
        <v>0</v>
      </c>
      <c r="AA28" s="11" t="n">
        <f aca="false">SUMIFS('Исходные данные'!$I$2:$I$964,'Исходные данные'!$D$2:$D$964,AA$1,'Исходные данные'!$F$2:$F$964,$A28)</f>
        <v>0</v>
      </c>
      <c r="AB28" s="11" t="n">
        <f aca="false">SUMIFS('Исходные данные'!$J$2:$J$964,'Исходные данные'!$D$2:$D$964,AA$1,'Исходные данные'!$F$2:$F$964,$A28)</f>
        <v>0</v>
      </c>
      <c r="AC28" s="7" t="n">
        <v>0</v>
      </c>
      <c r="AD28" s="7" t="n">
        <v>0</v>
      </c>
      <c r="AE28" s="11" t="n">
        <f aca="false">SUMIFS('Исходные данные'!$I$2:$I$964,'Исходные данные'!$D$2:$D$964,AE$1,'Исходные данные'!$F$2:$F$964,$A28)</f>
        <v>0</v>
      </c>
      <c r="AF28" s="11" t="n">
        <f aca="false">SUMIFS('Исходные данные'!$J$2:$J$964,'Исходные данные'!$D$2:$D$964,AE$1,'Исходные данные'!$F$2:$F$964,$A28)</f>
        <v>0</v>
      </c>
      <c r="AG28" s="7" t="n">
        <v>1</v>
      </c>
      <c r="AH28" s="7" t="n">
        <v>0</v>
      </c>
      <c r="AI28" s="11" t="n">
        <f aca="false">SUMIFS('Исходные данные'!$I$2:$I$964,'Исходные данные'!$D$2:$D$964,AI$1,'Исходные данные'!$F$2:$F$964,$A28)</f>
        <v>1</v>
      </c>
      <c r="AJ28" s="11" t="n">
        <f aca="false">SUMIFS('Исходные данные'!$J$2:$J$964,'Исходные данные'!$D$2:$D$964,AI$1,'Исходные данные'!$F$2:$F$964,$A28)</f>
        <v>0</v>
      </c>
      <c r="AK28" s="7" t="n">
        <v>0</v>
      </c>
      <c r="AL28" s="7" t="n">
        <v>0</v>
      </c>
      <c r="AM28" s="11" t="n">
        <f aca="false">SUMIFS('Исходные данные'!$I$2:$I$964,'Исходные данные'!$D$2:$D$964,AM$1,'Исходные данные'!$F$2:$F$964,$A28)</f>
        <v>0</v>
      </c>
      <c r="AN28" s="11" t="n">
        <f aca="false">SUMIFS('Исходные данные'!$J$2:$J$964,'Исходные данные'!$D$2:$D$964,AM$1,'Исходные данные'!$F$2:$F$964,$A28)</f>
        <v>0</v>
      </c>
      <c r="AO28" s="7" t="n">
        <v>0</v>
      </c>
      <c r="AP28" s="7" t="n">
        <v>0</v>
      </c>
      <c r="AQ28" s="11" t="n">
        <f aca="false">SUMIFS('Исходные данные'!$I$2:$I$964,'Исходные данные'!$D$2:$D$964,AQ$1,'Исходные данные'!$F$2:$F$964,$A28)</f>
        <v>0</v>
      </c>
      <c r="AR28" s="11" t="n">
        <f aca="false">SUMIFS('Исходные данные'!$J$2:$J$964,'Исходные данные'!$D$2:$D$964,AQ$1,'Исходные данные'!$F$2:$F$964,$A28)</f>
        <v>0</v>
      </c>
      <c r="AS28" s="7" t="n">
        <v>0</v>
      </c>
      <c r="AT28" s="7" t="n">
        <v>0</v>
      </c>
      <c r="AU28" s="11" t="n">
        <f aca="false">SUMIFS('Исходные данные'!$I$2:$I$964,'Исходные данные'!$D$2:$D$964,AU$1,'Исходные данные'!$F$2:$F$964,$A28)</f>
        <v>0</v>
      </c>
      <c r="AV28" s="11" t="n">
        <f aca="false">SUMIFS('Исходные данные'!$J$2:$J$964,'Исходные данные'!$D$2:$D$964,AU$1,'Исходные данные'!$F$2:$F$964,$A28)</f>
        <v>0</v>
      </c>
      <c r="AW28" s="7" t="n">
        <v>0</v>
      </c>
      <c r="AX28" s="7" t="n">
        <v>0</v>
      </c>
      <c r="AY28" s="11" t="n">
        <f aca="false">SUMIFS('Исходные данные'!$I$2:$I$964,'Исходные данные'!$D$2:$D$964,AY$1,'Исходные данные'!$F$2:$F$964,$A28)</f>
        <v>0</v>
      </c>
      <c r="AZ28" s="11" t="n">
        <f aca="false">SUMIFS('Исходные данные'!$J$2:$J$964,'Исходные данные'!$D$2:$D$964,AY$1,'Исходные данные'!$F$2:$F$964,$A28)</f>
        <v>0</v>
      </c>
      <c r="BA28" s="7" t="n">
        <v>0</v>
      </c>
      <c r="BB28" s="7" t="n">
        <v>0</v>
      </c>
      <c r="BC28" s="11" t="n">
        <f aca="false">SUMIFS('Исходные данные'!$I$2:$I$964,'Исходные данные'!$D$2:$D$964,BC$1,'Исходные данные'!$F$2:$F$964,$A28)</f>
        <v>0</v>
      </c>
      <c r="BD28" s="11" t="n">
        <f aca="false">SUMIFS('Исходные данные'!$J$2:$J$964,'Исходные данные'!$D$2:$D$964,BC$1,'Исходные данные'!$F$2:$F$964,$A28)</f>
        <v>0</v>
      </c>
      <c r="BE28" s="7" t="n">
        <v>0</v>
      </c>
      <c r="BF28" s="7" t="n">
        <v>0</v>
      </c>
      <c r="BG28" s="11" t="n">
        <f aca="false">SUMIFS('Исходные данные'!$I$2:$I$964,'Исходные данные'!$D$2:$D$964,BG$1,'Исходные данные'!$F$2:$F$964,$A28)</f>
        <v>0</v>
      </c>
      <c r="BH28" s="11" t="n">
        <f aca="false">SUMIFS('Исходные данные'!$J$2:$J$964,'Исходные данные'!$D$2:$D$964,BG$1,'Исходные данные'!$F$2:$F$964,$A28)</f>
        <v>0</v>
      </c>
      <c r="BI28" s="7" t="n">
        <v>1</v>
      </c>
      <c r="BJ28" s="7" t="n">
        <v>0</v>
      </c>
      <c r="BK28" s="11" t="n">
        <f aca="false">SUMIFS('Исходные данные'!$I$2:$I$964,'Исходные данные'!$D$2:$D$964,BK$1,'Исходные данные'!$F$2:$F$964,$A28)</f>
        <v>1</v>
      </c>
      <c r="BL28" s="11" t="n">
        <f aca="false">SUMIFS('Исходные данные'!$J$2:$J$964,'Исходные данные'!$D$2:$D$964,BK$1,'Исходные данные'!$F$2:$F$964,$A28)</f>
        <v>0</v>
      </c>
      <c r="BM28" s="7" t="n">
        <v>0</v>
      </c>
      <c r="BN28" s="7" t="n">
        <v>0</v>
      </c>
      <c r="BO28" s="11" t="n">
        <f aca="false">SUMIFS('Исходные данные'!$I$2:$I$964,'Исходные данные'!$D$2:$D$964,BO$1,'Исходные данные'!$F$2:$F$964,$A28)</f>
        <v>0</v>
      </c>
      <c r="BP28" s="11" t="n">
        <f aca="false">SUMIFS('Исходные данные'!$J$2:$J$964,'Исходные данные'!$D$2:$D$964,BO$1,'Исходные данные'!$F$2:$F$964,$A28)</f>
        <v>0</v>
      </c>
      <c r="BQ28" s="7" t="n">
        <v>0</v>
      </c>
      <c r="BR28" s="7" t="n">
        <v>0</v>
      </c>
      <c r="BS28" s="11" t="n">
        <f aca="false">SUMIFS('Исходные данные'!$I$2:$I$964,'Исходные данные'!$D$2:$D$964,BS$1,'Исходные данные'!$F$2:$F$964,$A28)</f>
        <v>0</v>
      </c>
      <c r="BT28" s="11" t="n">
        <f aca="false">SUMIFS('Исходные данные'!$J$2:$J$964,'Исходные данные'!$D$2:$D$964,BS$1,'Исходные данные'!$F$2:$F$964,$A28)</f>
        <v>0</v>
      </c>
      <c r="BU28" s="7" t="n">
        <v>0</v>
      </c>
      <c r="BV28" s="7" t="n">
        <v>0</v>
      </c>
      <c r="BW28" s="11" t="n">
        <f aca="false">SUMIFS('Исходные данные'!$I$2:$I$964,'Исходные данные'!$D$2:$D$964,BW$1,'Исходные данные'!$F$2:$F$964,$A28)</f>
        <v>0</v>
      </c>
      <c r="BX28" s="11" t="n">
        <f aca="false">SUMIFS('Исходные данные'!$J$2:$J$964,'Исходные данные'!$D$2:$D$964,BW$1,'Исходные данные'!$F$2:$F$964,$A28)</f>
        <v>0</v>
      </c>
      <c r="BY28" s="7" t="n">
        <v>0</v>
      </c>
      <c r="BZ28" s="7" t="n">
        <v>0</v>
      </c>
      <c r="CA28" s="11" t="n">
        <f aca="false">SUMIFS('Исходные данные'!$I$2:$I$964,'Исходные данные'!$D$2:$D$964,CA$1,'Исходные данные'!$F$2:$F$964,$A28)</f>
        <v>0</v>
      </c>
      <c r="CB28" s="11" t="n">
        <f aca="false">SUMIFS('Исходные данные'!$J$2:$J$964,'Исходные данные'!$D$2:$D$964,CA$1,'Исходные данные'!$F$2:$F$964,$A28)</f>
        <v>0</v>
      </c>
      <c r="CC28" s="7" t="n">
        <v>0</v>
      </c>
      <c r="CD28" s="7" t="n">
        <v>0</v>
      </c>
      <c r="CE28" s="11" t="n">
        <f aca="false">SUMIFS('Исходные данные'!$I$2:$I$964,'Исходные данные'!$D$2:$D$964,CE$1,'Исходные данные'!$F$2:$F$964,$A28)</f>
        <v>0</v>
      </c>
      <c r="CF28" s="11" t="n">
        <f aca="false">SUMIFS('Исходные данные'!$J$2:$J$964,'Исходные данные'!$D$2:$D$964,CE$1,'Исходные данные'!$F$2:$F$964,$A28)</f>
        <v>0</v>
      </c>
      <c r="CG28" s="7" t="n">
        <v>0</v>
      </c>
      <c r="CH28" s="7" t="n">
        <v>0</v>
      </c>
      <c r="CI28" s="11" t="n">
        <f aca="false">SUMIFS('Исходные данные'!$I$2:$I$964,'Исходные данные'!$D$2:$D$964,CI$1,'Исходные данные'!$F$2:$F$964,$A28)</f>
        <v>0</v>
      </c>
      <c r="CJ28" s="11" t="n">
        <f aca="false">SUMIFS('Исходные данные'!$J$2:$J$964,'Исходные данные'!$D$2:$D$964,CI$1,'Исходные данные'!$F$2:$F$964,$A28)</f>
        <v>0</v>
      </c>
      <c r="CK28" s="7" t="n">
        <v>0</v>
      </c>
      <c r="CL28" s="7" t="n">
        <v>0</v>
      </c>
      <c r="CM28" s="11" t="n">
        <f aca="false">SUMIFS('Исходные данные'!$I$2:$I$964,'Исходные данные'!$D$2:$D$964,CM$1,'Исходные данные'!$F$2:$F$964,$A28)</f>
        <v>0</v>
      </c>
      <c r="CN28" s="11" t="n">
        <f aca="false">SUMIFS('Исходные данные'!$J$2:$J$964,'Исходные данные'!$D$2:$D$964,CM$1,'Исходные данные'!$F$2:$F$964,$A28)</f>
        <v>0</v>
      </c>
      <c r="CO28" s="7" t="n">
        <v>0</v>
      </c>
      <c r="CP28" s="7" t="n">
        <v>0</v>
      </c>
      <c r="CQ28" s="11" t="n">
        <f aca="false">SUMIFS('Исходные данные'!$I$2:$I$964,'Исходные данные'!$D$2:$D$964,CQ$1,'Исходные данные'!$F$2:$F$964,$A28)</f>
        <v>0</v>
      </c>
      <c r="CR28" s="11" t="n">
        <f aca="false">SUMIFS('Исходные данные'!$J$2:$J$964,'Исходные данные'!$D$2:$D$964,CQ$1,'Исходные данные'!$F$2:$F$964,$A28)</f>
        <v>0</v>
      </c>
      <c r="CS28" s="7" t="n">
        <v>0</v>
      </c>
      <c r="CT28" s="7" t="n">
        <v>0</v>
      </c>
      <c r="CU28" s="11" t="n">
        <f aca="false">SUMIFS('Исходные данные'!$I$2:$I$964,'Исходные данные'!$D$2:$D$964,CU$1,'Исходные данные'!$F$2:$F$964,$A28)</f>
        <v>0</v>
      </c>
      <c r="CV28" s="11" t="n">
        <f aca="false">SUMIFS('Исходные данные'!$J$2:$J$964,'Исходные данные'!$D$2:$D$964,CU$1,'Исходные данные'!$F$2:$F$964,$A28)</f>
        <v>0</v>
      </c>
      <c r="CW28" s="7" t="n">
        <v>0</v>
      </c>
      <c r="CX28" s="7" t="n">
        <v>0</v>
      </c>
      <c r="CY28" s="11" t="n">
        <f aca="false">SUMIFS('Исходные данные'!$I$2:$I$964,'Исходные данные'!$D$2:$D$964,CY$1,'Исходные данные'!$F$2:$F$964,$A28)</f>
        <v>0</v>
      </c>
      <c r="CZ28" s="11" t="n">
        <f aca="false">SUMIFS('Исходные данные'!$J$2:$J$964,'Исходные данные'!$D$2:$D$964,CY$1,'Исходные данные'!$F$2:$F$964,$A28)</f>
        <v>0</v>
      </c>
      <c r="DA28" s="7" t="n">
        <v>0</v>
      </c>
      <c r="DB28" s="7" t="n">
        <v>0</v>
      </c>
      <c r="DC28" s="11" t="n">
        <f aca="false">SUMIFS('Исходные данные'!$I$2:$I$964,'Исходные данные'!$D$2:$D$964,DC$1,'Исходные данные'!$F$2:$F$964,$A28)</f>
        <v>0</v>
      </c>
      <c r="DD28" s="11" t="n">
        <f aca="false">SUMIFS('Исходные данные'!$J$2:$J$964,'Исходные данные'!$D$2:$D$964,DC$1,'Исходные данные'!$F$2:$F$964,$A28)</f>
        <v>0</v>
      </c>
      <c r="DE28" s="7" t="n">
        <v>0</v>
      </c>
      <c r="DF28" s="7" t="n">
        <v>0</v>
      </c>
      <c r="DG28" s="11" t="n">
        <f aca="false">SUMIFS('Исходные данные'!$I$2:$I$964,'Исходные данные'!$D$2:$D$964,DG$1,'Исходные данные'!$F$2:$F$964,$A28)</f>
        <v>0</v>
      </c>
      <c r="DH28" s="11" t="n">
        <f aca="false">SUMIFS('Исходные данные'!$J$2:$J$964,'Исходные данные'!$D$2:$D$964,DG$1,'Исходные данные'!$F$2:$F$964,$A28)</f>
        <v>0</v>
      </c>
      <c r="DI28" s="7" t="n">
        <v>0</v>
      </c>
      <c r="DJ28" s="7" t="n">
        <v>0</v>
      </c>
      <c r="DK28" s="11" t="n">
        <f aca="false">SUMIFS('Исходные данные'!$I$2:$I$964,'Исходные данные'!$D$2:$D$964,DK$1,'Исходные данные'!$F$2:$F$964,$A28)</f>
        <v>0</v>
      </c>
      <c r="DL28" s="11" t="n">
        <f aca="false">SUMIFS('Исходные данные'!$J$2:$J$964,'Исходные данные'!$D$2:$D$964,DK$1,'Исходные данные'!$F$2:$F$964,$A28)</f>
        <v>0</v>
      </c>
      <c r="DM28" s="7" t="n">
        <v>0</v>
      </c>
      <c r="DN28" s="7" t="n">
        <v>0</v>
      </c>
      <c r="DO28" s="11" t="n">
        <f aca="false">SUMIFS('Исходные данные'!$I$2:$I$964,'Исходные данные'!$D$2:$D$964,DO$1,'Исходные данные'!$F$2:$F$964,$A28)</f>
        <v>0</v>
      </c>
      <c r="DP28" s="11" t="n">
        <f aca="false">SUMIFS('Исходные данные'!$J$2:$J$964,'Исходные данные'!$D$2:$D$964,DO$1,'Исходные данные'!$F$2:$F$964,$A28)</f>
        <v>0</v>
      </c>
      <c r="DQ28" s="7" t="n">
        <v>0</v>
      </c>
      <c r="DR28" s="7" t="n">
        <v>0</v>
      </c>
      <c r="DS28" s="11" t="n">
        <f aca="false">SUMIFS('Исходные данные'!$I$2:$I$964,'Исходные данные'!$D$2:$D$964,DS$1,'Исходные данные'!$F$2:$F$964,$A28)</f>
        <v>0</v>
      </c>
      <c r="DT28" s="11" t="n">
        <f aca="false">SUMIFS('Исходные данные'!$J$2:$J$964,'Исходные данные'!$D$2:$D$964,DS$1,'Исходные данные'!$F$2:$F$964,$A28)</f>
        <v>0</v>
      </c>
      <c r="DU28" s="7" t="n">
        <v>0</v>
      </c>
      <c r="DV28" s="7" t="n">
        <v>0</v>
      </c>
      <c r="DW28" s="11" t="n">
        <f aca="false">SUMIFS('Исходные данные'!$I$2:$I$964,'Исходные данные'!$D$2:$D$964,DW$1,'Исходные данные'!$F$2:$F$964,$A28)</f>
        <v>0</v>
      </c>
      <c r="DX28" s="11" t="n">
        <f aca="false">SUMIFS('Исходные данные'!$J$2:$J$964,'Исходные данные'!$D$2:$D$964,DW$1,'Исходные данные'!$F$2:$F$964,$A28)</f>
        <v>0</v>
      </c>
      <c r="DY28" s="7" t="n">
        <v>0</v>
      </c>
      <c r="DZ28" s="7" t="n">
        <v>0</v>
      </c>
      <c r="EA28" s="11" t="n">
        <f aca="false">SUMIFS('Исходные данные'!$I$2:$I$964,'Исходные данные'!$D$2:$D$964,EA$1,'Исходные данные'!$F$2:$F$964,$A28)</f>
        <v>0</v>
      </c>
      <c r="EB28" s="11" t="n">
        <f aca="false">SUMIFS('Исходные данные'!$J$2:$J$964,'Исходные данные'!$D$2:$D$964,EA$1,'Исходные данные'!$F$2:$F$964,$A28)</f>
        <v>0</v>
      </c>
      <c r="EC28" s="7" t="n">
        <v>0</v>
      </c>
      <c r="ED28" s="7" t="n">
        <v>0</v>
      </c>
      <c r="EE28" s="11" t="n">
        <f aca="false">SUMIFS('Исходные данные'!$I$2:$I$964,'Исходные данные'!$D$2:$D$964,EE$1,'Исходные данные'!$F$2:$F$964,$A28)</f>
        <v>0</v>
      </c>
      <c r="EF28" s="11" t="n">
        <f aca="false">SUMIFS('Исходные данные'!$J$2:$J$964,'Исходные данные'!$D$2:$D$964,EE$1,'Исходные данные'!$F$2:$F$964,$A28)</f>
        <v>0</v>
      </c>
      <c r="EG28" s="7" t="n">
        <v>0</v>
      </c>
      <c r="EH28" s="7" t="n">
        <v>0</v>
      </c>
      <c r="EI28" s="11" t="n">
        <f aca="false">SUMIFS('Исходные данные'!$I$2:$I$964,'Исходные данные'!$D$2:$D$964,EI$1,'Исходные данные'!$F$2:$F$964,$A28)</f>
        <v>0</v>
      </c>
      <c r="EJ28" s="11" t="n">
        <f aca="false">SUMIFS('Исходные данные'!$J$2:$J$964,'Исходные данные'!$D$2:$D$964,EI$1,'Исходные данные'!$F$2:$F$964,$A28)</f>
        <v>0</v>
      </c>
      <c r="EK28" s="7" t="n">
        <v>0</v>
      </c>
      <c r="EL28" s="7" t="n">
        <v>0</v>
      </c>
      <c r="EM28" s="11" t="n">
        <f aca="false">SUMIFS('Исходные данные'!$I$2:$I$964,'Исходные данные'!$D$2:$D$964,EM$1,'Исходные данные'!$F$2:$F$964,$A28)</f>
        <v>0</v>
      </c>
      <c r="EN28" s="11" t="n">
        <f aca="false">SUMIFS('Исходные данные'!$J$2:$J$964,'Исходные данные'!$D$2:$D$964,EM$1,'Исходные данные'!$F$2:$F$964,$A28)</f>
        <v>0</v>
      </c>
      <c r="EO28" s="7" t="n">
        <v>0</v>
      </c>
      <c r="EP28" s="7" t="n">
        <v>0</v>
      </c>
      <c r="EQ28" s="11" t="n">
        <f aca="false">SUMIFS('Исходные данные'!$I$2:$I$964,'Исходные данные'!$D$2:$D$964,EQ$1,'Исходные данные'!$F$2:$F$964,$A28)</f>
        <v>0</v>
      </c>
      <c r="ER28" s="11" t="n">
        <f aca="false">SUMIFS('Исходные данные'!$J$2:$J$964,'Исходные данные'!$D$2:$D$964,EQ$1,'Исходные данные'!$F$2:$F$964,$A28)</f>
        <v>0</v>
      </c>
      <c r="ES28" s="7" t="n">
        <v>0</v>
      </c>
      <c r="ET28" s="7" t="n">
        <v>0</v>
      </c>
      <c r="EU28" s="11" t="n">
        <f aca="false">SUMIFS('Исходные данные'!$I$2:$I$964,'Исходные данные'!$D$2:$D$964,EU$1,'Исходные данные'!$F$2:$F$964,$A28)</f>
        <v>0</v>
      </c>
      <c r="EV28" s="11" t="n">
        <f aca="false">SUMIFS('Исходные данные'!$J$2:$J$964,'Исходные данные'!$D$2:$D$964,EU$1,'Исходные данные'!$F$2:$F$964,$A28)</f>
        <v>0</v>
      </c>
      <c r="EW28" s="7" t="n">
        <v>0</v>
      </c>
      <c r="EX28" s="7" t="n">
        <v>0</v>
      </c>
      <c r="EY28" s="11" t="n">
        <f aca="false">SUMIFS('Исходные данные'!$I$2:$I$964,'Исходные данные'!$D$2:$D$964,EY$1,'Исходные данные'!$F$2:$F$964,$A28)</f>
        <v>0</v>
      </c>
      <c r="EZ28" s="11" t="n">
        <f aca="false">SUMIFS('Исходные данные'!$J$2:$J$964,'Исходные данные'!$D$2:$D$964,EY$1,'Исходные данные'!$F$2:$F$964,$A28)</f>
        <v>0</v>
      </c>
      <c r="FA28" s="7" t="n">
        <v>0</v>
      </c>
      <c r="FB28" s="7" t="n">
        <v>0</v>
      </c>
      <c r="FC28" s="11" t="n">
        <f aca="false">SUMIFS('Исходные данные'!$I$2:$I$964,'Исходные данные'!$D$2:$D$964,FC$1,'Исходные данные'!$F$2:$F$964,$A28)</f>
        <v>0</v>
      </c>
      <c r="FD28" s="11" t="n">
        <f aca="false">SUMIFS('Исходные данные'!$J$2:$J$964,'Исходные данные'!$D$2:$D$964,FC$1,'Исходные данные'!$F$2:$F$964,$A28)</f>
        <v>0</v>
      </c>
      <c r="FE28" s="7" t="n">
        <v>0</v>
      </c>
      <c r="FF28" s="7" t="n">
        <v>0</v>
      </c>
      <c r="FG28" s="11" t="n">
        <f aca="false">SUMIFS('Исходные данные'!$I$2:$I$964,'Исходные данные'!$D$2:$D$964,FG$1,'Исходные данные'!$F$2:$F$964,$A28)</f>
        <v>0</v>
      </c>
      <c r="FH28" s="11" t="n">
        <f aca="false">SUMIFS('Исходные данные'!$J$2:$J$964,'Исходные данные'!$D$2:$D$964,FG$1,'Исходные данные'!$F$2:$F$964,$A28)</f>
        <v>0</v>
      </c>
    </row>
    <row r="29" customFormat="false" ht="15" hidden="false" customHeight="false" outlineLevel="0" collapsed="false">
      <c r="A29" s="10" t="s">
        <v>101</v>
      </c>
      <c r="B29" s="11" t="s">
        <v>102</v>
      </c>
      <c r="C29" s="6" t="n">
        <v>2</v>
      </c>
      <c r="D29" s="6" t="n">
        <f aca="false">I29+J29+M29+N29+Q29+R29+U29+V29+Y29+Z29+AC29+AD29+AG29+AH29+AK29+AL29+AO29+AP29+AS29+AT29+AW29+AX29+BA29+BB29+BE29+BF29+BI29+BJ29+BM29+BN29+BQ29+BR29+BU29+BV29+BY29+BZ29+CC29+CD29+CG29+CH29+CK29+CL29+CO29+CP29+CS29+CT29+CW29+CX29+DA29+DB29+DE29+DF29+DI29+DJ29+DM29+DN29+DQ29+DR29+DU29+DV29+DY29+DZ29+EC29+ED29+EG29+EH29+EK29+EL29+EO29+EP29+ES29+ET29+EW29+EX29+FA29+FB29+FE29+FF29</f>
        <v>2</v>
      </c>
      <c r="E29" s="6" t="n">
        <f aca="false">G29+H29</f>
        <v>1</v>
      </c>
      <c r="F29" s="6" t="n">
        <f aca="false">E29-C29</f>
        <v>-1</v>
      </c>
      <c r="G29" s="6" t="n">
        <f aca="false">K29+O29+S29+W29+AA29+AE29+AI29+AM29+AQ29+AU29+AY29+BC29+BG29+BK29+BO29+BS29+BW29+CA29+CE29+CI29+CM29+CQ29+CU29+CY29+DC29+DG29+DK29+DO29+DS29+DW29+EA29+EE29+EI29+EM29+EQ29+EU29+EY29+FC29+FG29</f>
        <v>1</v>
      </c>
      <c r="H29" s="6" t="n">
        <f aca="false">L29+P29+T29+X29+AB29+AF29+AJ29+AN29+AR29+AV29+AZ29+BD29+BH29+BL29+BP29+BT29+BX29+CB29+CF29+CJ29+CN29+CR29+CV29+CZ29+DD29+DH29+DL29+DP29+DT29+DX29+EB29+EF29+EJ29+EN29+ER29+EV29+EZ29+FD29+FH29</f>
        <v>0</v>
      </c>
      <c r="I29" s="7" t="n">
        <v>1</v>
      </c>
      <c r="J29" s="7" t="n">
        <v>0</v>
      </c>
      <c r="K29" s="11" t="n">
        <f aca="false">SUMIFS('Исходные данные'!$I$2:$I$964,'Исходные данные'!$D$2:$D$964,K$1,'Исходные данные'!$F$2:$F$964,$A29)</f>
        <v>1</v>
      </c>
      <c r="L29" s="11" t="n">
        <f aca="false">SUMIFS('Исходные данные'!$J$2:$J$964,'Исходные данные'!$D$2:$D$964,K$1,'Исходные данные'!$F$2:$F$964,$A29)</f>
        <v>0</v>
      </c>
      <c r="M29" s="7" t="n">
        <v>0</v>
      </c>
      <c r="N29" s="7" t="n">
        <v>0</v>
      </c>
      <c r="O29" s="11" t="n">
        <f aca="false">SUMIFS('Исходные данные'!$I$2:$I$964,'Исходные данные'!$D$2:$D$964,O$1,'Исходные данные'!$F$2:$F$964,$A29)</f>
        <v>0</v>
      </c>
      <c r="P29" s="11" t="n">
        <f aca="false">SUMIFS('Исходные данные'!$J$2:$J$964,'Исходные данные'!$D$2:$D$964,O$1,'Исходные данные'!$F$2:$F$964,$A29)</f>
        <v>0</v>
      </c>
      <c r="Q29" s="7" t="n">
        <v>1</v>
      </c>
      <c r="R29" s="7" t="n">
        <v>0</v>
      </c>
      <c r="S29" s="11" t="n">
        <f aca="false">SUMIFS('Исходные данные'!$I$2:$I$964,'Исходные данные'!$D$2:$D$964,S$1,'Исходные данные'!$F$2:$F$964,$A29)</f>
        <v>0</v>
      </c>
      <c r="T29" s="11" t="n">
        <f aca="false">SUMIFS('Исходные данные'!$J$2:$J$964,'Исходные данные'!$D$2:$D$964,S$1,'Исходные данные'!$F$2:$F$964,$A29)</f>
        <v>0</v>
      </c>
      <c r="U29" s="7" t="n">
        <v>0</v>
      </c>
      <c r="V29" s="7" t="n">
        <v>0</v>
      </c>
      <c r="W29" s="11" t="n">
        <f aca="false">SUMIFS('Исходные данные'!$I$2:$I$964,'Исходные данные'!$D$2:$D$964,W$1,'Исходные данные'!$F$2:$F$964,$A29)</f>
        <v>0</v>
      </c>
      <c r="X29" s="11" t="n">
        <f aca="false">SUMIFS('Исходные данные'!$J$2:$J$964,'Исходные данные'!$D$2:$D$964,W$1,'Исходные данные'!$F$2:$F$964,$A29)</f>
        <v>0</v>
      </c>
      <c r="Y29" s="7" t="n">
        <v>0</v>
      </c>
      <c r="Z29" s="7" t="n">
        <v>0</v>
      </c>
      <c r="AA29" s="11" t="n">
        <f aca="false">SUMIFS('Исходные данные'!$I$2:$I$964,'Исходные данные'!$D$2:$D$964,AA$1,'Исходные данные'!$F$2:$F$964,$A29)</f>
        <v>0</v>
      </c>
      <c r="AB29" s="11" t="n">
        <f aca="false">SUMIFS('Исходные данные'!$J$2:$J$964,'Исходные данные'!$D$2:$D$964,AA$1,'Исходные данные'!$F$2:$F$964,$A29)</f>
        <v>0</v>
      </c>
      <c r="AC29" s="7" t="n">
        <v>0</v>
      </c>
      <c r="AD29" s="7" t="n">
        <v>0</v>
      </c>
      <c r="AE29" s="11" t="n">
        <f aca="false">SUMIFS('Исходные данные'!$I$2:$I$964,'Исходные данные'!$D$2:$D$964,AE$1,'Исходные данные'!$F$2:$F$964,$A29)</f>
        <v>0</v>
      </c>
      <c r="AF29" s="11" t="n">
        <f aca="false">SUMIFS('Исходные данные'!$J$2:$J$964,'Исходные данные'!$D$2:$D$964,AE$1,'Исходные данные'!$F$2:$F$964,$A29)</f>
        <v>0</v>
      </c>
      <c r="AG29" s="7" t="n">
        <v>0</v>
      </c>
      <c r="AH29" s="7" t="n">
        <v>0</v>
      </c>
      <c r="AI29" s="11" t="n">
        <f aca="false">SUMIFS('Исходные данные'!$I$2:$I$964,'Исходные данные'!$D$2:$D$964,AI$1,'Исходные данные'!$F$2:$F$964,$A29)</f>
        <v>0</v>
      </c>
      <c r="AJ29" s="11" t="n">
        <f aca="false">SUMIFS('Исходные данные'!$J$2:$J$964,'Исходные данные'!$D$2:$D$964,AI$1,'Исходные данные'!$F$2:$F$964,$A29)</f>
        <v>0</v>
      </c>
      <c r="AK29" s="7" t="n">
        <v>0</v>
      </c>
      <c r="AL29" s="7" t="n">
        <v>0</v>
      </c>
      <c r="AM29" s="11" t="n">
        <f aca="false">SUMIFS('Исходные данные'!$I$2:$I$964,'Исходные данные'!$D$2:$D$964,AM$1,'Исходные данные'!$F$2:$F$964,$A29)</f>
        <v>0</v>
      </c>
      <c r="AN29" s="11" t="n">
        <f aca="false">SUMIFS('Исходные данные'!$J$2:$J$964,'Исходные данные'!$D$2:$D$964,AM$1,'Исходные данные'!$F$2:$F$964,$A29)</f>
        <v>0</v>
      </c>
      <c r="AO29" s="7" t="n">
        <v>0</v>
      </c>
      <c r="AP29" s="7" t="n">
        <v>0</v>
      </c>
      <c r="AQ29" s="11" t="n">
        <f aca="false">SUMIFS('Исходные данные'!$I$2:$I$964,'Исходные данные'!$D$2:$D$964,AQ$1,'Исходные данные'!$F$2:$F$964,$A29)</f>
        <v>0</v>
      </c>
      <c r="AR29" s="11" t="n">
        <f aca="false">SUMIFS('Исходные данные'!$J$2:$J$964,'Исходные данные'!$D$2:$D$964,AQ$1,'Исходные данные'!$F$2:$F$964,$A29)</f>
        <v>0</v>
      </c>
      <c r="AS29" s="7" t="n">
        <v>0</v>
      </c>
      <c r="AT29" s="7" t="n">
        <v>0</v>
      </c>
      <c r="AU29" s="11" t="n">
        <f aca="false">SUMIFS('Исходные данные'!$I$2:$I$964,'Исходные данные'!$D$2:$D$964,AU$1,'Исходные данные'!$F$2:$F$964,$A29)</f>
        <v>0</v>
      </c>
      <c r="AV29" s="11" t="n">
        <f aca="false">SUMIFS('Исходные данные'!$J$2:$J$964,'Исходные данные'!$D$2:$D$964,AU$1,'Исходные данные'!$F$2:$F$964,$A29)</f>
        <v>0</v>
      </c>
      <c r="AW29" s="7" t="n">
        <v>0</v>
      </c>
      <c r="AX29" s="7" t="n">
        <v>0</v>
      </c>
      <c r="AY29" s="11" t="n">
        <f aca="false">SUMIFS('Исходные данные'!$I$2:$I$964,'Исходные данные'!$D$2:$D$964,AY$1,'Исходные данные'!$F$2:$F$964,$A29)</f>
        <v>0</v>
      </c>
      <c r="AZ29" s="11" t="n">
        <f aca="false">SUMIFS('Исходные данные'!$J$2:$J$964,'Исходные данные'!$D$2:$D$964,AY$1,'Исходные данные'!$F$2:$F$964,$A29)</f>
        <v>0</v>
      </c>
      <c r="BA29" s="7" t="n">
        <v>0</v>
      </c>
      <c r="BB29" s="7" t="n">
        <v>0</v>
      </c>
      <c r="BC29" s="11" t="n">
        <f aca="false">SUMIFS('Исходные данные'!$I$2:$I$964,'Исходные данные'!$D$2:$D$964,BC$1,'Исходные данные'!$F$2:$F$964,$A29)</f>
        <v>0</v>
      </c>
      <c r="BD29" s="11" t="n">
        <f aca="false">SUMIFS('Исходные данные'!$J$2:$J$964,'Исходные данные'!$D$2:$D$964,BC$1,'Исходные данные'!$F$2:$F$964,$A29)</f>
        <v>0</v>
      </c>
      <c r="BE29" s="7" t="n">
        <v>0</v>
      </c>
      <c r="BF29" s="7" t="n">
        <v>0</v>
      </c>
      <c r="BG29" s="11" t="n">
        <f aca="false">SUMIFS('Исходные данные'!$I$2:$I$964,'Исходные данные'!$D$2:$D$964,BG$1,'Исходные данные'!$F$2:$F$964,$A29)</f>
        <v>0</v>
      </c>
      <c r="BH29" s="11" t="n">
        <f aca="false">SUMIFS('Исходные данные'!$J$2:$J$964,'Исходные данные'!$D$2:$D$964,BG$1,'Исходные данные'!$F$2:$F$964,$A29)</f>
        <v>0</v>
      </c>
      <c r="BI29" s="7" t="n">
        <v>0</v>
      </c>
      <c r="BJ29" s="7" t="n">
        <v>0</v>
      </c>
      <c r="BK29" s="11" t="n">
        <f aca="false">SUMIFS('Исходные данные'!$I$2:$I$964,'Исходные данные'!$D$2:$D$964,BK$1,'Исходные данные'!$F$2:$F$964,$A29)</f>
        <v>0</v>
      </c>
      <c r="BL29" s="11" t="n">
        <f aca="false">SUMIFS('Исходные данные'!$J$2:$J$964,'Исходные данные'!$D$2:$D$964,BK$1,'Исходные данные'!$F$2:$F$964,$A29)</f>
        <v>0</v>
      </c>
      <c r="BM29" s="7" t="n">
        <v>0</v>
      </c>
      <c r="BN29" s="7" t="n">
        <v>0</v>
      </c>
      <c r="BO29" s="11" t="n">
        <f aca="false">SUMIFS('Исходные данные'!$I$2:$I$964,'Исходные данные'!$D$2:$D$964,BO$1,'Исходные данные'!$F$2:$F$964,$A29)</f>
        <v>0</v>
      </c>
      <c r="BP29" s="11" t="n">
        <f aca="false">SUMIFS('Исходные данные'!$J$2:$J$964,'Исходные данные'!$D$2:$D$964,BO$1,'Исходные данные'!$F$2:$F$964,$A29)</f>
        <v>0</v>
      </c>
      <c r="BQ29" s="7" t="n">
        <v>0</v>
      </c>
      <c r="BR29" s="7" t="n">
        <v>0</v>
      </c>
      <c r="BS29" s="11" t="n">
        <f aca="false">SUMIFS('Исходные данные'!$I$2:$I$964,'Исходные данные'!$D$2:$D$964,BS$1,'Исходные данные'!$F$2:$F$964,$A29)</f>
        <v>0</v>
      </c>
      <c r="BT29" s="11" t="n">
        <f aca="false">SUMIFS('Исходные данные'!$J$2:$J$964,'Исходные данные'!$D$2:$D$964,BS$1,'Исходные данные'!$F$2:$F$964,$A29)</f>
        <v>0</v>
      </c>
      <c r="BU29" s="7" t="n">
        <v>0</v>
      </c>
      <c r="BV29" s="7" t="n">
        <v>0</v>
      </c>
      <c r="BW29" s="11" t="n">
        <f aca="false">SUMIFS('Исходные данные'!$I$2:$I$964,'Исходные данные'!$D$2:$D$964,BW$1,'Исходные данные'!$F$2:$F$964,$A29)</f>
        <v>0</v>
      </c>
      <c r="BX29" s="11" t="n">
        <f aca="false">SUMIFS('Исходные данные'!$J$2:$J$964,'Исходные данные'!$D$2:$D$964,BW$1,'Исходные данные'!$F$2:$F$964,$A29)</f>
        <v>0</v>
      </c>
      <c r="BY29" s="7" t="n">
        <v>0</v>
      </c>
      <c r="BZ29" s="7" t="n">
        <v>0</v>
      </c>
      <c r="CA29" s="11" t="n">
        <f aca="false">SUMIFS('Исходные данные'!$I$2:$I$964,'Исходные данные'!$D$2:$D$964,CA$1,'Исходные данные'!$F$2:$F$964,$A29)</f>
        <v>0</v>
      </c>
      <c r="CB29" s="11" t="n">
        <f aca="false">SUMIFS('Исходные данные'!$J$2:$J$964,'Исходные данные'!$D$2:$D$964,CA$1,'Исходные данные'!$F$2:$F$964,$A29)</f>
        <v>0</v>
      </c>
      <c r="CC29" s="7" t="n">
        <v>0</v>
      </c>
      <c r="CD29" s="7" t="n">
        <v>0</v>
      </c>
      <c r="CE29" s="11" t="n">
        <f aca="false">SUMIFS('Исходные данные'!$I$2:$I$964,'Исходные данные'!$D$2:$D$964,CE$1,'Исходные данные'!$F$2:$F$964,$A29)</f>
        <v>0</v>
      </c>
      <c r="CF29" s="11" t="n">
        <f aca="false">SUMIFS('Исходные данные'!$J$2:$J$964,'Исходные данные'!$D$2:$D$964,CE$1,'Исходные данные'!$F$2:$F$964,$A29)</f>
        <v>0</v>
      </c>
      <c r="CG29" s="7" t="n">
        <v>0</v>
      </c>
      <c r="CH29" s="7" t="n">
        <v>0</v>
      </c>
      <c r="CI29" s="11" t="n">
        <f aca="false">SUMIFS('Исходные данные'!$I$2:$I$964,'Исходные данные'!$D$2:$D$964,CI$1,'Исходные данные'!$F$2:$F$964,$A29)</f>
        <v>0</v>
      </c>
      <c r="CJ29" s="11" t="n">
        <f aca="false">SUMIFS('Исходные данные'!$J$2:$J$964,'Исходные данные'!$D$2:$D$964,CI$1,'Исходные данные'!$F$2:$F$964,$A29)</f>
        <v>0</v>
      </c>
      <c r="CK29" s="7" t="n">
        <v>0</v>
      </c>
      <c r="CL29" s="7" t="n">
        <v>0</v>
      </c>
      <c r="CM29" s="11" t="n">
        <f aca="false">SUMIFS('Исходные данные'!$I$2:$I$964,'Исходные данные'!$D$2:$D$964,CM$1,'Исходные данные'!$F$2:$F$964,$A29)</f>
        <v>0</v>
      </c>
      <c r="CN29" s="11" t="n">
        <f aca="false">SUMIFS('Исходные данные'!$J$2:$J$964,'Исходные данные'!$D$2:$D$964,CM$1,'Исходные данные'!$F$2:$F$964,$A29)</f>
        <v>0</v>
      </c>
      <c r="CO29" s="7" t="n">
        <v>0</v>
      </c>
      <c r="CP29" s="7" t="n">
        <v>0</v>
      </c>
      <c r="CQ29" s="11" t="n">
        <f aca="false">SUMIFS('Исходные данные'!$I$2:$I$964,'Исходные данные'!$D$2:$D$964,CQ$1,'Исходные данные'!$F$2:$F$964,$A29)</f>
        <v>0</v>
      </c>
      <c r="CR29" s="11" t="n">
        <f aca="false">SUMIFS('Исходные данные'!$J$2:$J$964,'Исходные данные'!$D$2:$D$964,CQ$1,'Исходные данные'!$F$2:$F$964,$A29)</f>
        <v>0</v>
      </c>
      <c r="CS29" s="7" t="n">
        <v>0</v>
      </c>
      <c r="CT29" s="7" t="n">
        <v>0</v>
      </c>
      <c r="CU29" s="11" t="n">
        <f aca="false">SUMIFS('Исходные данные'!$I$2:$I$964,'Исходные данные'!$D$2:$D$964,CU$1,'Исходные данные'!$F$2:$F$964,$A29)</f>
        <v>0</v>
      </c>
      <c r="CV29" s="11" t="n">
        <f aca="false">SUMIFS('Исходные данные'!$J$2:$J$964,'Исходные данные'!$D$2:$D$964,CU$1,'Исходные данные'!$F$2:$F$964,$A29)</f>
        <v>0</v>
      </c>
      <c r="CW29" s="7" t="n">
        <v>0</v>
      </c>
      <c r="CX29" s="7" t="n">
        <v>0</v>
      </c>
      <c r="CY29" s="11" t="n">
        <f aca="false">SUMIFS('Исходные данные'!$I$2:$I$964,'Исходные данные'!$D$2:$D$964,CY$1,'Исходные данные'!$F$2:$F$964,$A29)</f>
        <v>0</v>
      </c>
      <c r="CZ29" s="11" t="n">
        <f aca="false">SUMIFS('Исходные данные'!$J$2:$J$964,'Исходные данные'!$D$2:$D$964,CY$1,'Исходные данные'!$F$2:$F$964,$A29)</f>
        <v>0</v>
      </c>
      <c r="DA29" s="7" t="n">
        <v>0</v>
      </c>
      <c r="DB29" s="7" t="n">
        <v>0</v>
      </c>
      <c r="DC29" s="11" t="n">
        <f aca="false">SUMIFS('Исходные данные'!$I$2:$I$964,'Исходные данные'!$D$2:$D$964,DC$1,'Исходные данные'!$F$2:$F$964,$A29)</f>
        <v>0</v>
      </c>
      <c r="DD29" s="11" t="n">
        <f aca="false">SUMIFS('Исходные данные'!$J$2:$J$964,'Исходные данные'!$D$2:$D$964,DC$1,'Исходные данные'!$F$2:$F$964,$A29)</f>
        <v>0</v>
      </c>
      <c r="DE29" s="7" t="n">
        <v>0</v>
      </c>
      <c r="DF29" s="7" t="n">
        <v>0</v>
      </c>
      <c r="DG29" s="11" t="n">
        <f aca="false">SUMIFS('Исходные данные'!$I$2:$I$964,'Исходные данные'!$D$2:$D$964,DG$1,'Исходные данные'!$F$2:$F$964,$A29)</f>
        <v>0</v>
      </c>
      <c r="DH29" s="11" t="n">
        <f aca="false">SUMIFS('Исходные данные'!$J$2:$J$964,'Исходные данные'!$D$2:$D$964,DG$1,'Исходные данные'!$F$2:$F$964,$A29)</f>
        <v>0</v>
      </c>
      <c r="DI29" s="7" t="n">
        <v>0</v>
      </c>
      <c r="DJ29" s="7" t="n">
        <v>0</v>
      </c>
      <c r="DK29" s="11" t="n">
        <f aca="false">SUMIFS('Исходные данные'!$I$2:$I$964,'Исходные данные'!$D$2:$D$964,DK$1,'Исходные данные'!$F$2:$F$964,$A29)</f>
        <v>0</v>
      </c>
      <c r="DL29" s="11" t="n">
        <f aca="false">SUMIFS('Исходные данные'!$J$2:$J$964,'Исходные данные'!$D$2:$D$964,DK$1,'Исходные данные'!$F$2:$F$964,$A29)</f>
        <v>0</v>
      </c>
      <c r="DM29" s="7" t="n">
        <v>0</v>
      </c>
      <c r="DN29" s="7" t="n">
        <v>0</v>
      </c>
      <c r="DO29" s="11" t="n">
        <f aca="false">SUMIFS('Исходные данные'!$I$2:$I$964,'Исходные данные'!$D$2:$D$964,DO$1,'Исходные данные'!$F$2:$F$964,$A29)</f>
        <v>0</v>
      </c>
      <c r="DP29" s="11" t="n">
        <f aca="false">SUMIFS('Исходные данные'!$J$2:$J$964,'Исходные данные'!$D$2:$D$964,DO$1,'Исходные данные'!$F$2:$F$964,$A29)</f>
        <v>0</v>
      </c>
      <c r="DQ29" s="7" t="n">
        <v>0</v>
      </c>
      <c r="DR29" s="7" t="n">
        <v>0</v>
      </c>
      <c r="DS29" s="11" t="n">
        <f aca="false">SUMIFS('Исходные данные'!$I$2:$I$964,'Исходные данные'!$D$2:$D$964,DS$1,'Исходные данные'!$F$2:$F$964,$A29)</f>
        <v>0</v>
      </c>
      <c r="DT29" s="11" t="n">
        <f aca="false">SUMIFS('Исходные данные'!$J$2:$J$964,'Исходные данные'!$D$2:$D$964,DS$1,'Исходные данные'!$F$2:$F$964,$A29)</f>
        <v>0</v>
      </c>
      <c r="DU29" s="7" t="n">
        <v>0</v>
      </c>
      <c r="DV29" s="7" t="n">
        <v>0</v>
      </c>
      <c r="DW29" s="11" t="n">
        <f aca="false">SUMIFS('Исходные данные'!$I$2:$I$964,'Исходные данные'!$D$2:$D$964,DW$1,'Исходные данные'!$F$2:$F$964,$A29)</f>
        <v>0</v>
      </c>
      <c r="DX29" s="11" t="n">
        <f aca="false">SUMIFS('Исходные данные'!$J$2:$J$964,'Исходные данные'!$D$2:$D$964,DW$1,'Исходные данные'!$F$2:$F$964,$A29)</f>
        <v>0</v>
      </c>
      <c r="DY29" s="7" t="n">
        <v>0</v>
      </c>
      <c r="DZ29" s="7" t="n">
        <v>0</v>
      </c>
      <c r="EA29" s="11" t="n">
        <f aca="false">SUMIFS('Исходные данные'!$I$2:$I$964,'Исходные данные'!$D$2:$D$964,EA$1,'Исходные данные'!$F$2:$F$964,$A29)</f>
        <v>0</v>
      </c>
      <c r="EB29" s="11" t="n">
        <f aca="false">SUMIFS('Исходные данные'!$J$2:$J$964,'Исходные данные'!$D$2:$D$964,EA$1,'Исходные данные'!$F$2:$F$964,$A29)</f>
        <v>0</v>
      </c>
      <c r="EC29" s="7" t="n">
        <v>0</v>
      </c>
      <c r="ED29" s="7" t="n">
        <v>0</v>
      </c>
      <c r="EE29" s="11" t="n">
        <f aca="false">SUMIFS('Исходные данные'!$I$2:$I$964,'Исходные данные'!$D$2:$D$964,EE$1,'Исходные данные'!$F$2:$F$964,$A29)</f>
        <v>0</v>
      </c>
      <c r="EF29" s="11" t="n">
        <f aca="false">SUMIFS('Исходные данные'!$J$2:$J$964,'Исходные данные'!$D$2:$D$964,EE$1,'Исходные данные'!$F$2:$F$964,$A29)</f>
        <v>0</v>
      </c>
      <c r="EG29" s="7" t="n">
        <v>0</v>
      </c>
      <c r="EH29" s="7" t="n">
        <v>0</v>
      </c>
      <c r="EI29" s="11" t="n">
        <f aca="false">SUMIFS('Исходные данные'!$I$2:$I$964,'Исходные данные'!$D$2:$D$964,EI$1,'Исходные данные'!$F$2:$F$964,$A29)</f>
        <v>0</v>
      </c>
      <c r="EJ29" s="11" t="n">
        <f aca="false">SUMIFS('Исходные данные'!$J$2:$J$964,'Исходные данные'!$D$2:$D$964,EI$1,'Исходные данные'!$F$2:$F$964,$A29)</f>
        <v>0</v>
      </c>
      <c r="EK29" s="7" t="n">
        <v>0</v>
      </c>
      <c r="EL29" s="7" t="n">
        <v>0</v>
      </c>
      <c r="EM29" s="11" t="n">
        <f aca="false">SUMIFS('Исходные данные'!$I$2:$I$964,'Исходные данные'!$D$2:$D$964,EM$1,'Исходные данные'!$F$2:$F$964,$A29)</f>
        <v>0</v>
      </c>
      <c r="EN29" s="11" t="n">
        <f aca="false">SUMIFS('Исходные данные'!$J$2:$J$964,'Исходные данные'!$D$2:$D$964,EM$1,'Исходные данные'!$F$2:$F$964,$A29)</f>
        <v>0</v>
      </c>
      <c r="EO29" s="7" t="n">
        <v>0</v>
      </c>
      <c r="EP29" s="7" t="n">
        <v>0</v>
      </c>
      <c r="EQ29" s="11" t="n">
        <f aca="false">SUMIFS('Исходные данные'!$I$2:$I$964,'Исходные данные'!$D$2:$D$964,EQ$1,'Исходные данные'!$F$2:$F$964,$A29)</f>
        <v>0</v>
      </c>
      <c r="ER29" s="11" t="n">
        <f aca="false">SUMIFS('Исходные данные'!$J$2:$J$964,'Исходные данные'!$D$2:$D$964,EQ$1,'Исходные данные'!$F$2:$F$964,$A29)</f>
        <v>0</v>
      </c>
      <c r="ES29" s="7" t="n">
        <v>0</v>
      </c>
      <c r="ET29" s="7" t="n">
        <v>0</v>
      </c>
      <c r="EU29" s="11" t="n">
        <f aca="false">SUMIFS('Исходные данные'!$I$2:$I$964,'Исходные данные'!$D$2:$D$964,EU$1,'Исходные данные'!$F$2:$F$964,$A29)</f>
        <v>0</v>
      </c>
      <c r="EV29" s="11" t="n">
        <f aca="false">SUMIFS('Исходные данные'!$J$2:$J$964,'Исходные данные'!$D$2:$D$964,EU$1,'Исходные данные'!$F$2:$F$964,$A29)</f>
        <v>0</v>
      </c>
      <c r="EW29" s="7" t="n">
        <v>0</v>
      </c>
      <c r="EX29" s="7" t="n">
        <v>0</v>
      </c>
      <c r="EY29" s="11" t="n">
        <f aca="false">SUMIFS('Исходные данные'!$I$2:$I$964,'Исходные данные'!$D$2:$D$964,EY$1,'Исходные данные'!$F$2:$F$964,$A29)</f>
        <v>0</v>
      </c>
      <c r="EZ29" s="11" t="n">
        <f aca="false">SUMIFS('Исходные данные'!$J$2:$J$964,'Исходные данные'!$D$2:$D$964,EY$1,'Исходные данные'!$F$2:$F$964,$A29)</f>
        <v>0</v>
      </c>
      <c r="FA29" s="7" t="n">
        <v>0</v>
      </c>
      <c r="FB29" s="7" t="n">
        <v>0</v>
      </c>
      <c r="FC29" s="11" t="n">
        <f aca="false">SUMIFS('Исходные данные'!$I$2:$I$964,'Исходные данные'!$D$2:$D$964,FC$1,'Исходные данные'!$F$2:$F$964,$A29)</f>
        <v>0</v>
      </c>
      <c r="FD29" s="11" t="n">
        <f aca="false">SUMIFS('Исходные данные'!$J$2:$J$964,'Исходные данные'!$D$2:$D$964,FC$1,'Исходные данные'!$F$2:$F$964,$A29)</f>
        <v>0</v>
      </c>
      <c r="FE29" s="7" t="n">
        <v>0</v>
      </c>
      <c r="FF29" s="7" t="n">
        <v>0</v>
      </c>
      <c r="FG29" s="11" t="n">
        <f aca="false">SUMIFS('Исходные данные'!$I$2:$I$964,'Исходные данные'!$D$2:$D$964,FG$1,'Исходные данные'!$F$2:$F$964,$A29)</f>
        <v>0</v>
      </c>
      <c r="FH29" s="11" t="n">
        <f aca="false">SUMIFS('Исходные данные'!$J$2:$J$964,'Исходные данные'!$D$2:$D$964,FG$1,'Исходные данные'!$F$2:$F$964,$A29)</f>
        <v>0</v>
      </c>
    </row>
    <row r="30" customFormat="false" ht="15" hidden="false" customHeight="false" outlineLevel="0" collapsed="false">
      <c r="A30" s="10" t="s">
        <v>103</v>
      </c>
      <c r="B30" s="11" t="s">
        <v>104</v>
      </c>
      <c r="C30" s="6" t="n">
        <v>2</v>
      </c>
      <c r="D30" s="6" t="n">
        <f aca="false">I30+J30+M30+N30+Q30+R30+U30+V30+Y30+Z30+AC30+AD30+AG30+AH30+AK30+AL30+AO30+AP30+AS30+AT30+AW30+AX30+BA30+BB30+BE30+BF30+BI30+BJ30+BM30+BN30+BQ30+BR30+BU30+BV30+BY30+BZ30+CC30+CD30+CG30+CH30+CK30+CL30+CO30+CP30+CS30+CT30+CW30+CX30+DA30+DB30+DE30+DF30+DI30+DJ30+DM30+DN30+DQ30+DR30+DU30+DV30+DY30+DZ30+EC30+ED30+EG30+EH30+EK30+EL30+EO30+EP30+ES30+ET30+EW30+EX30+FA30+FB30+FE30+FF30</f>
        <v>2</v>
      </c>
      <c r="E30" s="6" t="n">
        <f aca="false">G30+H30</f>
        <v>2</v>
      </c>
      <c r="F30" s="6" t="n">
        <f aca="false">E30-C30</f>
        <v>0</v>
      </c>
      <c r="G30" s="6" t="n">
        <f aca="false">K30+O30+S30+W30+AA30+AE30+AI30+AM30+AQ30+AU30+AY30+BC30+BG30+BK30+BO30+BS30+BW30+CA30+CE30+CI30+CM30+CQ30+CU30+CY30+DC30+DG30+DK30+DO30+DS30+DW30+EA30+EE30+EI30+EM30+EQ30+EU30+EY30+FC30+FG30</f>
        <v>1</v>
      </c>
      <c r="H30" s="6" t="n">
        <f aca="false">L30+P30+T30+X30+AB30+AF30+AJ30+AN30+AR30+AV30+AZ30+BD30+BH30+BL30+BP30+BT30+BX30+CB30+CF30+CJ30+CN30+CR30+CV30+CZ30+DD30+DH30+DL30+DP30+DT30+DX30+EB30+EF30+EJ30+EN30+ER30+EV30+EZ30+FD30+FH30</f>
        <v>1</v>
      </c>
      <c r="I30" s="7" t="n">
        <v>1</v>
      </c>
      <c r="J30" s="7" t="n">
        <v>0</v>
      </c>
      <c r="K30" s="11" t="n">
        <f aca="false">SUMIFS('Исходные данные'!$I$2:$I$964,'Исходные данные'!$D$2:$D$964,K$1,'Исходные данные'!$F$2:$F$964,$A30)</f>
        <v>1</v>
      </c>
      <c r="L30" s="11" t="n">
        <f aca="false">SUMIFS('Исходные данные'!$J$2:$J$964,'Исходные данные'!$D$2:$D$964,K$1,'Исходные данные'!$F$2:$F$964,$A30)</f>
        <v>0</v>
      </c>
      <c r="M30" s="7" t="n">
        <v>0</v>
      </c>
      <c r="N30" s="7" t="n">
        <v>0</v>
      </c>
      <c r="O30" s="11" t="n">
        <f aca="false">SUMIFS('Исходные данные'!$I$2:$I$964,'Исходные данные'!$D$2:$D$964,O$1,'Исходные данные'!$F$2:$F$964,$A30)</f>
        <v>0</v>
      </c>
      <c r="P30" s="11" t="n">
        <f aca="false">SUMIFS('Исходные данные'!$J$2:$J$964,'Исходные данные'!$D$2:$D$964,O$1,'Исходные данные'!$F$2:$F$964,$A30)</f>
        <v>0</v>
      </c>
      <c r="Q30" s="7" t="n">
        <v>0</v>
      </c>
      <c r="R30" s="7" t="n">
        <v>0</v>
      </c>
      <c r="S30" s="11" t="n">
        <f aca="false">SUMIFS('Исходные данные'!$I$2:$I$964,'Исходные данные'!$D$2:$D$964,S$1,'Исходные данные'!$F$2:$F$964,$A30)</f>
        <v>0</v>
      </c>
      <c r="T30" s="11" t="n">
        <f aca="false">SUMIFS('Исходные данные'!$J$2:$J$964,'Исходные данные'!$D$2:$D$964,S$1,'Исходные данные'!$F$2:$F$964,$A30)</f>
        <v>0</v>
      </c>
      <c r="U30" s="7" t="n">
        <v>0</v>
      </c>
      <c r="V30" s="7" t="n">
        <v>0</v>
      </c>
      <c r="W30" s="11" t="n">
        <f aca="false">SUMIFS('Исходные данные'!$I$2:$I$964,'Исходные данные'!$D$2:$D$964,W$1,'Исходные данные'!$F$2:$F$964,$A30)</f>
        <v>0</v>
      </c>
      <c r="X30" s="11" t="n">
        <f aca="false">SUMIFS('Исходные данные'!$J$2:$J$964,'Исходные данные'!$D$2:$D$964,W$1,'Исходные данные'!$F$2:$F$964,$A30)</f>
        <v>0</v>
      </c>
      <c r="Y30" s="7" t="n">
        <v>0</v>
      </c>
      <c r="Z30" s="7" t="n">
        <v>0</v>
      </c>
      <c r="AA30" s="11" t="n">
        <f aca="false">SUMIFS('Исходные данные'!$I$2:$I$964,'Исходные данные'!$D$2:$D$964,AA$1,'Исходные данные'!$F$2:$F$964,$A30)</f>
        <v>0</v>
      </c>
      <c r="AB30" s="11" t="n">
        <f aca="false">SUMIFS('Исходные данные'!$J$2:$J$964,'Исходные данные'!$D$2:$D$964,AA$1,'Исходные данные'!$F$2:$F$964,$A30)</f>
        <v>0</v>
      </c>
      <c r="AC30" s="7" t="n">
        <v>0</v>
      </c>
      <c r="AD30" s="7" t="n">
        <v>0</v>
      </c>
      <c r="AE30" s="11" t="n">
        <f aca="false">SUMIFS('Исходные данные'!$I$2:$I$964,'Исходные данные'!$D$2:$D$964,AE$1,'Исходные данные'!$F$2:$F$964,$A30)</f>
        <v>0</v>
      </c>
      <c r="AF30" s="11" t="n">
        <f aca="false">SUMIFS('Исходные данные'!$J$2:$J$964,'Исходные данные'!$D$2:$D$964,AE$1,'Исходные данные'!$F$2:$F$964,$A30)</f>
        <v>0</v>
      </c>
      <c r="AG30" s="7" t="n">
        <v>0</v>
      </c>
      <c r="AH30" s="7" t="n">
        <v>1</v>
      </c>
      <c r="AI30" s="11" t="n">
        <f aca="false">SUMIFS('Исходные данные'!$I$2:$I$964,'Исходные данные'!$D$2:$D$964,AI$1,'Исходные данные'!$F$2:$F$964,$A30)</f>
        <v>0</v>
      </c>
      <c r="AJ30" s="11" t="n">
        <f aca="false">SUMIFS('Исходные данные'!$J$2:$J$964,'Исходные данные'!$D$2:$D$964,AI$1,'Исходные данные'!$F$2:$F$964,$A30)</f>
        <v>1</v>
      </c>
      <c r="AK30" s="7" t="n">
        <v>0</v>
      </c>
      <c r="AL30" s="7" t="n">
        <v>0</v>
      </c>
      <c r="AM30" s="11" t="n">
        <f aca="false">SUMIFS('Исходные данные'!$I$2:$I$964,'Исходные данные'!$D$2:$D$964,AM$1,'Исходные данные'!$F$2:$F$964,$A30)</f>
        <v>0</v>
      </c>
      <c r="AN30" s="11" t="n">
        <f aca="false">SUMIFS('Исходные данные'!$J$2:$J$964,'Исходные данные'!$D$2:$D$964,AM$1,'Исходные данные'!$F$2:$F$964,$A30)</f>
        <v>0</v>
      </c>
      <c r="AO30" s="7" t="n">
        <v>0</v>
      </c>
      <c r="AP30" s="7" t="n">
        <v>0</v>
      </c>
      <c r="AQ30" s="11" t="n">
        <f aca="false">SUMIFS('Исходные данные'!$I$2:$I$964,'Исходные данные'!$D$2:$D$964,AQ$1,'Исходные данные'!$F$2:$F$964,$A30)</f>
        <v>0</v>
      </c>
      <c r="AR30" s="11" t="n">
        <f aca="false">SUMIFS('Исходные данные'!$J$2:$J$964,'Исходные данные'!$D$2:$D$964,AQ$1,'Исходные данные'!$F$2:$F$964,$A30)</f>
        <v>0</v>
      </c>
      <c r="AS30" s="7" t="n">
        <v>0</v>
      </c>
      <c r="AT30" s="7" t="n">
        <v>0</v>
      </c>
      <c r="AU30" s="11" t="n">
        <f aca="false">SUMIFS('Исходные данные'!$I$2:$I$964,'Исходные данные'!$D$2:$D$964,AU$1,'Исходные данные'!$F$2:$F$964,$A30)</f>
        <v>0</v>
      </c>
      <c r="AV30" s="11" t="n">
        <f aca="false">SUMIFS('Исходные данные'!$J$2:$J$964,'Исходные данные'!$D$2:$D$964,AU$1,'Исходные данные'!$F$2:$F$964,$A30)</f>
        <v>0</v>
      </c>
      <c r="AW30" s="7" t="n">
        <v>0</v>
      </c>
      <c r="AX30" s="7" t="n">
        <v>0</v>
      </c>
      <c r="AY30" s="11" t="n">
        <f aca="false">SUMIFS('Исходные данные'!$I$2:$I$964,'Исходные данные'!$D$2:$D$964,AY$1,'Исходные данные'!$F$2:$F$964,$A30)</f>
        <v>0</v>
      </c>
      <c r="AZ30" s="11" t="n">
        <f aca="false">SUMIFS('Исходные данные'!$J$2:$J$964,'Исходные данные'!$D$2:$D$964,AY$1,'Исходные данные'!$F$2:$F$964,$A30)</f>
        <v>0</v>
      </c>
      <c r="BA30" s="7" t="n">
        <v>0</v>
      </c>
      <c r="BB30" s="7" t="n">
        <v>0</v>
      </c>
      <c r="BC30" s="11" t="n">
        <f aca="false">SUMIFS('Исходные данные'!$I$2:$I$964,'Исходные данные'!$D$2:$D$964,BC$1,'Исходные данные'!$F$2:$F$964,$A30)</f>
        <v>0</v>
      </c>
      <c r="BD30" s="11" t="n">
        <f aca="false">SUMIFS('Исходные данные'!$J$2:$J$964,'Исходные данные'!$D$2:$D$964,BC$1,'Исходные данные'!$F$2:$F$964,$A30)</f>
        <v>0</v>
      </c>
      <c r="BE30" s="7" t="n">
        <v>0</v>
      </c>
      <c r="BF30" s="7" t="n">
        <v>0</v>
      </c>
      <c r="BG30" s="11" t="n">
        <f aca="false">SUMIFS('Исходные данные'!$I$2:$I$964,'Исходные данные'!$D$2:$D$964,BG$1,'Исходные данные'!$F$2:$F$964,$A30)</f>
        <v>0</v>
      </c>
      <c r="BH30" s="11" t="n">
        <f aca="false">SUMIFS('Исходные данные'!$J$2:$J$964,'Исходные данные'!$D$2:$D$964,BG$1,'Исходные данные'!$F$2:$F$964,$A30)</f>
        <v>0</v>
      </c>
      <c r="BI30" s="7" t="n">
        <v>0</v>
      </c>
      <c r="BJ30" s="7" t="n">
        <v>0</v>
      </c>
      <c r="BK30" s="11" t="n">
        <f aca="false">SUMIFS('Исходные данные'!$I$2:$I$964,'Исходные данные'!$D$2:$D$964,BK$1,'Исходные данные'!$F$2:$F$964,$A30)</f>
        <v>0</v>
      </c>
      <c r="BL30" s="11" t="n">
        <f aca="false">SUMIFS('Исходные данные'!$J$2:$J$964,'Исходные данные'!$D$2:$D$964,BK$1,'Исходные данные'!$F$2:$F$964,$A30)</f>
        <v>0</v>
      </c>
      <c r="BM30" s="7" t="n">
        <v>0</v>
      </c>
      <c r="BN30" s="7" t="n">
        <v>0</v>
      </c>
      <c r="BO30" s="11" t="n">
        <f aca="false">SUMIFS('Исходные данные'!$I$2:$I$964,'Исходные данные'!$D$2:$D$964,BO$1,'Исходные данные'!$F$2:$F$964,$A30)</f>
        <v>0</v>
      </c>
      <c r="BP30" s="11" t="n">
        <f aca="false">SUMIFS('Исходные данные'!$J$2:$J$964,'Исходные данные'!$D$2:$D$964,BO$1,'Исходные данные'!$F$2:$F$964,$A30)</f>
        <v>0</v>
      </c>
      <c r="BQ30" s="7" t="n">
        <v>0</v>
      </c>
      <c r="BR30" s="7" t="n">
        <v>0</v>
      </c>
      <c r="BS30" s="11" t="n">
        <f aca="false">SUMIFS('Исходные данные'!$I$2:$I$964,'Исходные данные'!$D$2:$D$964,BS$1,'Исходные данные'!$F$2:$F$964,$A30)</f>
        <v>0</v>
      </c>
      <c r="BT30" s="11" t="n">
        <f aca="false">SUMIFS('Исходные данные'!$J$2:$J$964,'Исходные данные'!$D$2:$D$964,BS$1,'Исходные данные'!$F$2:$F$964,$A30)</f>
        <v>0</v>
      </c>
      <c r="BU30" s="7" t="n">
        <v>0</v>
      </c>
      <c r="BV30" s="7" t="n">
        <v>0</v>
      </c>
      <c r="BW30" s="11" t="n">
        <f aca="false">SUMIFS('Исходные данные'!$I$2:$I$964,'Исходные данные'!$D$2:$D$964,BW$1,'Исходные данные'!$F$2:$F$964,$A30)</f>
        <v>0</v>
      </c>
      <c r="BX30" s="11" t="n">
        <f aca="false">SUMIFS('Исходные данные'!$J$2:$J$964,'Исходные данные'!$D$2:$D$964,BW$1,'Исходные данные'!$F$2:$F$964,$A30)</f>
        <v>0</v>
      </c>
      <c r="BY30" s="7" t="n">
        <v>0</v>
      </c>
      <c r="BZ30" s="7" t="n">
        <v>0</v>
      </c>
      <c r="CA30" s="11" t="n">
        <f aca="false">SUMIFS('Исходные данные'!$I$2:$I$964,'Исходные данные'!$D$2:$D$964,CA$1,'Исходные данные'!$F$2:$F$964,$A30)</f>
        <v>0</v>
      </c>
      <c r="CB30" s="11" t="n">
        <f aca="false">SUMIFS('Исходные данные'!$J$2:$J$964,'Исходные данные'!$D$2:$D$964,CA$1,'Исходные данные'!$F$2:$F$964,$A30)</f>
        <v>0</v>
      </c>
      <c r="CC30" s="7" t="n">
        <v>0</v>
      </c>
      <c r="CD30" s="7" t="n">
        <v>0</v>
      </c>
      <c r="CE30" s="11" t="n">
        <f aca="false">SUMIFS('Исходные данные'!$I$2:$I$964,'Исходные данные'!$D$2:$D$964,CE$1,'Исходные данные'!$F$2:$F$964,$A30)</f>
        <v>0</v>
      </c>
      <c r="CF30" s="11" t="n">
        <f aca="false">SUMIFS('Исходные данные'!$J$2:$J$964,'Исходные данные'!$D$2:$D$964,CE$1,'Исходные данные'!$F$2:$F$964,$A30)</f>
        <v>0</v>
      </c>
      <c r="CG30" s="7" t="n">
        <v>0</v>
      </c>
      <c r="CH30" s="7" t="n">
        <v>0</v>
      </c>
      <c r="CI30" s="11" t="n">
        <f aca="false">SUMIFS('Исходные данные'!$I$2:$I$964,'Исходные данные'!$D$2:$D$964,CI$1,'Исходные данные'!$F$2:$F$964,$A30)</f>
        <v>0</v>
      </c>
      <c r="CJ30" s="11" t="n">
        <f aca="false">SUMIFS('Исходные данные'!$J$2:$J$964,'Исходные данные'!$D$2:$D$964,CI$1,'Исходные данные'!$F$2:$F$964,$A30)</f>
        <v>0</v>
      </c>
      <c r="CK30" s="7" t="n">
        <v>0</v>
      </c>
      <c r="CL30" s="7" t="n">
        <v>0</v>
      </c>
      <c r="CM30" s="11" t="n">
        <f aca="false">SUMIFS('Исходные данные'!$I$2:$I$964,'Исходные данные'!$D$2:$D$964,CM$1,'Исходные данные'!$F$2:$F$964,$A30)</f>
        <v>0</v>
      </c>
      <c r="CN30" s="11" t="n">
        <f aca="false">SUMIFS('Исходные данные'!$J$2:$J$964,'Исходные данные'!$D$2:$D$964,CM$1,'Исходные данные'!$F$2:$F$964,$A30)</f>
        <v>0</v>
      </c>
      <c r="CO30" s="7" t="n">
        <v>0</v>
      </c>
      <c r="CP30" s="7" t="n">
        <v>0</v>
      </c>
      <c r="CQ30" s="11" t="n">
        <f aca="false">SUMIFS('Исходные данные'!$I$2:$I$964,'Исходные данные'!$D$2:$D$964,CQ$1,'Исходные данные'!$F$2:$F$964,$A30)</f>
        <v>0</v>
      </c>
      <c r="CR30" s="11" t="n">
        <f aca="false">SUMIFS('Исходные данные'!$J$2:$J$964,'Исходные данные'!$D$2:$D$964,CQ$1,'Исходные данные'!$F$2:$F$964,$A30)</f>
        <v>0</v>
      </c>
      <c r="CS30" s="7" t="n">
        <v>0</v>
      </c>
      <c r="CT30" s="7" t="n">
        <v>0</v>
      </c>
      <c r="CU30" s="11" t="n">
        <f aca="false">SUMIFS('Исходные данные'!$I$2:$I$964,'Исходные данные'!$D$2:$D$964,CU$1,'Исходные данные'!$F$2:$F$964,$A30)</f>
        <v>0</v>
      </c>
      <c r="CV30" s="11" t="n">
        <f aca="false">SUMIFS('Исходные данные'!$J$2:$J$964,'Исходные данные'!$D$2:$D$964,CU$1,'Исходные данные'!$F$2:$F$964,$A30)</f>
        <v>0</v>
      </c>
      <c r="CW30" s="7" t="n">
        <v>0</v>
      </c>
      <c r="CX30" s="7" t="n">
        <v>0</v>
      </c>
      <c r="CY30" s="11" t="n">
        <f aca="false">SUMIFS('Исходные данные'!$I$2:$I$964,'Исходные данные'!$D$2:$D$964,CY$1,'Исходные данные'!$F$2:$F$964,$A30)</f>
        <v>0</v>
      </c>
      <c r="CZ30" s="11" t="n">
        <f aca="false">SUMIFS('Исходные данные'!$J$2:$J$964,'Исходные данные'!$D$2:$D$964,CY$1,'Исходные данные'!$F$2:$F$964,$A30)</f>
        <v>0</v>
      </c>
      <c r="DA30" s="7" t="n">
        <v>0</v>
      </c>
      <c r="DB30" s="7" t="n">
        <v>0</v>
      </c>
      <c r="DC30" s="11" t="n">
        <f aca="false">SUMIFS('Исходные данные'!$I$2:$I$964,'Исходные данные'!$D$2:$D$964,DC$1,'Исходные данные'!$F$2:$F$964,$A30)</f>
        <v>0</v>
      </c>
      <c r="DD30" s="11" t="n">
        <f aca="false">SUMIFS('Исходные данные'!$J$2:$J$964,'Исходные данные'!$D$2:$D$964,DC$1,'Исходные данные'!$F$2:$F$964,$A30)</f>
        <v>0</v>
      </c>
      <c r="DE30" s="7" t="n">
        <v>0</v>
      </c>
      <c r="DF30" s="7" t="n">
        <v>0</v>
      </c>
      <c r="DG30" s="11" t="n">
        <f aca="false">SUMIFS('Исходные данные'!$I$2:$I$964,'Исходные данные'!$D$2:$D$964,DG$1,'Исходные данные'!$F$2:$F$964,$A30)</f>
        <v>0</v>
      </c>
      <c r="DH30" s="11" t="n">
        <f aca="false">SUMIFS('Исходные данные'!$J$2:$J$964,'Исходные данные'!$D$2:$D$964,DG$1,'Исходные данные'!$F$2:$F$964,$A30)</f>
        <v>0</v>
      </c>
      <c r="DI30" s="7" t="n">
        <v>0</v>
      </c>
      <c r="DJ30" s="7" t="n">
        <v>0</v>
      </c>
      <c r="DK30" s="11" t="n">
        <f aca="false">SUMIFS('Исходные данные'!$I$2:$I$964,'Исходные данные'!$D$2:$D$964,DK$1,'Исходные данные'!$F$2:$F$964,$A30)</f>
        <v>0</v>
      </c>
      <c r="DL30" s="11" t="n">
        <f aca="false">SUMIFS('Исходные данные'!$J$2:$J$964,'Исходные данные'!$D$2:$D$964,DK$1,'Исходные данные'!$F$2:$F$964,$A30)</f>
        <v>0</v>
      </c>
      <c r="DM30" s="7" t="n">
        <v>0</v>
      </c>
      <c r="DN30" s="7" t="n">
        <v>0</v>
      </c>
      <c r="DO30" s="11" t="n">
        <f aca="false">SUMIFS('Исходные данные'!$I$2:$I$964,'Исходные данные'!$D$2:$D$964,DO$1,'Исходные данные'!$F$2:$F$964,$A30)</f>
        <v>0</v>
      </c>
      <c r="DP30" s="11" t="n">
        <f aca="false">SUMIFS('Исходные данные'!$J$2:$J$964,'Исходные данные'!$D$2:$D$964,DO$1,'Исходные данные'!$F$2:$F$964,$A30)</f>
        <v>0</v>
      </c>
      <c r="DQ30" s="7" t="n">
        <v>0</v>
      </c>
      <c r="DR30" s="7" t="n">
        <v>0</v>
      </c>
      <c r="DS30" s="11" t="n">
        <f aca="false">SUMIFS('Исходные данные'!$I$2:$I$964,'Исходные данные'!$D$2:$D$964,DS$1,'Исходные данные'!$F$2:$F$964,$A30)</f>
        <v>0</v>
      </c>
      <c r="DT30" s="11" t="n">
        <f aca="false">SUMIFS('Исходные данные'!$J$2:$J$964,'Исходные данные'!$D$2:$D$964,DS$1,'Исходные данные'!$F$2:$F$964,$A30)</f>
        <v>0</v>
      </c>
      <c r="DU30" s="7" t="n">
        <v>0</v>
      </c>
      <c r="DV30" s="7" t="n">
        <v>0</v>
      </c>
      <c r="DW30" s="11" t="n">
        <f aca="false">SUMIFS('Исходные данные'!$I$2:$I$964,'Исходные данные'!$D$2:$D$964,DW$1,'Исходные данные'!$F$2:$F$964,$A30)</f>
        <v>0</v>
      </c>
      <c r="DX30" s="11" t="n">
        <f aca="false">SUMIFS('Исходные данные'!$J$2:$J$964,'Исходные данные'!$D$2:$D$964,DW$1,'Исходные данные'!$F$2:$F$964,$A30)</f>
        <v>0</v>
      </c>
      <c r="DY30" s="7" t="n">
        <v>0</v>
      </c>
      <c r="DZ30" s="7" t="n">
        <v>0</v>
      </c>
      <c r="EA30" s="11" t="n">
        <f aca="false">SUMIFS('Исходные данные'!$I$2:$I$964,'Исходные данные'!$D$2:$D$964,EA$1,'Исходные данные'!$F$2:$F$964,$A30)</f>
        <v>0</v>
      </c>
      <c r="EB30" s="11" t="n">
        <f aca="false">SUMIFS('Исходные данные'!$J$2:$J$964,'Исходные данные'!$D$2:$D$964,EA$1,'Исходные данные'!$F$2:$F$964,$A30)</f>
        <v>0</v>
      </c>
      <c r="EC30" s="7" t="n">
        <v>0</v>
      </c>
      <c r="ED30" s="7" t="n">
        <v>0</v>
      </c>
      <c r="EE30" s="11" t="n">
        <f aca="false">SUMIFS('Исходные данные'!$I$2:$I$964,'Исходные данные'!$D$2:$D$964,EE$1,'Исходные данные'!$F$2:$F$964,$A30)</f>
        <v>0</v>
      </c>
      <c r="EF30" s="11" t="n">
        <f aca="false">SUMIFS('Исходные данные'!$J$2:$J$964,'Исходные данные'!$D$2:$D$964,EE$1,'Исходные данные'!$F$2:$F$964,$A30)</f>
        <v>0</v>
      </c>
      <c r="EG30" s="7" t="n">
        <v>0</v>
      </c>
      <c r="EH30" s="7" t="n">
        <v>0</v>
      </c>
      <c r="EI30" s="11" t="n">
        <f aca="false">SUMIFS('Исходные данные'!$I$2:$I$964,'Исходные данные'!$D$2:$D$964,EI$1,'Исходные данные'!$F$2:$F$964,$A30)</f>
        <v>0</v>
      </c>
      <c r="EJ30" s="11" t="n">
        <f aca="false">SUMIFS('Исходные данные'!$J$2:$J$964,'Исходные данные'!$D$2:$D$964,EI$1,'Исходные данные'!$F$2:$F$964,$A30)</f>
        <v>0</v>
      </c>
      <c r="EK30" s="7" t="n">
        <v>0</v>
      </c>
      <c r="EL30" s="7" t="n">
        <v>0</v>
      </c>
      <c r="EM30" s="11" t="n">
        <f aca="false">SUMIFS('Исходные данные'!$I$2:$I$964,'Исходные данные'!$D$2:$D$964,EM$1,'Исходные данные'!$F$2:$F$964,$A30)</f>
        <v>0</v>
      </c>
      <c r="EN30" s="11" t="n">
        <f aca="false">SUMIFS('Исходные данные'!$J$2:$J$964,'Исходные данные'!$D$2:$D$964,EM$1,'Исходные данные'!$F$2:$F$964,$A30)</f>
        <v>0</v>
      </c>
      <c r="EO30" s="7" t="n">
        <v>0</v>
      </c>
      <c r="EP30" s="7" t="n">
        <v>0</v>
      </c>
      <c r="EQ30" s="11" t="n">
        <f aca="false">SUMIFS('Исходные данные'!$I$2:$I$964,'Исходные данные'!$D$2:$D$964,EQ$1,'Исходные данные'!$F$2:$F$964,$A30)</f>
        <v>0</v>
      </c>
      <c r="ER30" s="11" t="n">
        <f aca="false">SUMIFS('Исходные данные'!$J$2:$J$964,'Исходные данные'!$D$2:$D$964,EQ$1,'Исходные данные'!$F$2:$F$964,$A30)</f>
        <v>0</v>
      </c>
      <c r="ES30" s="7" t="n">
        <v>0</v>
      </c>
      <c r="ET30" s="7" t="n">
        <v>0</v>
      </c>
      <c r="EU30" s="11" t="n">
        <f aca="false">SUMIFS('Исходные данные'!$I$2:$I$964,'Исходные данные'!$D$2:$D$964,EU$1,'Исходные данные'!$F$2:$F$964,$A30)</f>
        <v>0</v>
      </c>
      <c r="EV30" s="11" t="n">
        <f aca="false">SUMIFS('Исходные данные'!$J$2:$J$964,'Исходные данные'!$D$2:$D$964,EU$1,'Исходные данные'!$F$2:$F$964,$A30)</f>
        <v>0</v>
      </c>
      <c r="EW30" s="7" t="n">
        <v>0</v>
      </c>
      <c r="EX30" s="7" t="n">
        <v>0</v>
      </c>
      <c r="EY30" s="11" t="n">
        <f aca="false">SUMIFS('Исходные данные'!$I$2:$I$964,'Исходные данные'!$D$2:$D$964,EY$1,'Исходные данные'!$F$2:$F$964,$A30)</f>
        <v>0</v>
      </c>
      <c r="EZ30" s="11" t="n">
        <f aca="false">SUMIFS('Исходные данные'!$J$2:$J$964,'Исходные данные'!$D$2:$D$964,EY$1,'Исходные данные'!$F$2:$F$964,$A30)</f>
        <v>0</v>
      </c>
      <c r="FA30" s="7" t="n">
        <v>0</v>
      </c>
      <c r="FB30" s="7" t="n">
        <v>0</v>
      </c>
      <c r="FC30" s="11" t="n">
        <f aca="false">SUMIFS('Исходные данные'!$I$2:$I$964,'Исходные данные'!$D$2:$D$964,FC$1,'Исходные данные'!$F$2:$F$964,$A30)</f>
        <v>0</v>
      </c>
      <c r="FD30" s="11" t="n">
        <f aca="false">SUMIFS('Исходные данные'!$J$2:$J$964,'Исходные данные'!$D$2:$D$964,FC$1,'Исходные данные'!$F$2:$F$964,$A30)</f>
        <v>0</v>
      </c>
      <c r="FE30" s="7" t="n">
        <v>0</v>
      </c>
      <c r="FF30" s="7" t="n">
        <v>0</v>
      </c>
      <c r="FG30" s="11" t="n">
        <f aca="false">SUMIFS('Исходные данные'!$I$2:$I$964,'Исходные данные'!$D$2:$D$964,FG$1,'Исходные данные'!$F$2:$F$964,$A30)</f>
        <v>0</v>
      </c>
      <c r="FH30" s="11" t="n">
        <f aca="false">SUMIFS('Исходные данные'!$J$2:$J$964,'Исходные данные'!$D$2:$D$964,FG$1,'Исходные данные'!$F$2:$F$964,$A30)</f>
        <v>0</v>
      </c>
    </row>
    <row r="31" customFormat="false" ht="15" hidden="false" customHeight="false" outlineLevel="0" collapsed="false">
      <c r="A31" s="10" t="s">
        <v>105</v>
      </c>
      <c r="B31" s="11" t="s">
        <v>106</v>
      </c>
      <c r="C31" s="6" t="n">
        <v>4</v>
      </c>
      <c r="D31" s="6" t="n">
        <f aca="false">I31+J31+M31+N31+Q31+R31+U31+V31+Y31+Z31+AC31+AD31+AG31+AH31+AK31+AL31+AO31+AP31+AS31+AT31+AW31+AX31+BA31+BB31+BE31+BF31+BI31+BJ31+BM31+BN31+BQ31+BR31+BU31+BV31+BY31+BZ31+CC31+CD31+CG31+CH31+CK31+CL31+CO31+CP31+CS31+CT31+CW31+CX31+DA31+DB31+DE31+DF31+DI31+DJ31+DM31+DN31+DQ31+DR31+DU31+DV31+DY31+DZ31+EC31+ED31+EG31+EH31+EK31+EL31+EO31+EP31+ES31+ET31+EW31+EX31+FA31+FB31+FE31+FF31</f>
        <v>4</v>
      </c>
      <c r="E31" s="6" t="n">
        <f aca="false">G31+H31</f>
        <v>4</v>
      </c>
      <c r="F31" s="6" t="n">
        <f aca="false">E31-C31</f>
        <v>0</v>
      </c>
      <c r="G31" s="6" t="n">
        <f aca="false">K31+O31+S31+W31+AA31+AE31+AI31+AM31+AQ31+AU31+AY31+BC31+BG31+BK31+BO31+BS31+BW31+CA31+CE31+CI31+CM31+CQ31+CU31+CY31+DC31+DG31+DK31+DO31+DS31+DW31+EA31+EE31+EI31+EM31+EQ31+EU31+EY31+FC31+FG31</f>
        <v>2</v>
      </c>
      <c r="H31" s="6" t="n">
        <f aca="false">L31+P31+T31+X31+AB31+AF31+AJ31+AN31+AR31+AV31+AZ31+BD31+BH31+BL31+BP31+BT31+BX31+CB31+CF31+CJ31+CN31+CR31+CV31+CZ31+DD31+DH31+DL31+DP31+DT31+DX31+EB31+EF31+EJ31+EN31+ER31+EV31+EZ31+FD31+FH31</f>
        <v>2</v>
      </c>
      <c r="I31" s="7" t="n">
        <v>0</v>
      </c>
      <c r="J31" s="7" t="n">
        <v>0</v>
      </c>
      <c r="K31" s="11" t="n">
        <f aca="false">SUMIFS('Исходные данные'!$I$2:$I$964,'Исходные данные'!$D$2:$D$964,K$1,'Исходные данные'!$F$2:$F$964,$A31)</f>
        <v>0</v>
      </c>
      <c r="L31" s="11" t="n">
        <f aca="false">SUMIFS('Исходные данные'!$J$2:$J$964,'Исходные данные'!$D$2:$D$964,K$1,'Исходные данные'!$F$2:$F$964,$A31)</f>
        <v>0</v>
      </c>
      <c r="M31" s="7" t="n">
        <v>0</v>
      </c>
      <c r="N31" s="7" t="n">
        <v>0</v>
      </c>
      <c r="O31" s="11" t="n">
        <f aca="false">SUMIFS('Исходные данные'!$I$2:$I$964,'Исходные данные'!$D$2:$D$964,O$1,'Исходные данные'!$F$2:$F$964,$A31)</f>
        <v>0</v>
      </c>
      <c r="P31" s="11" t="n">
        <f aca="false">SUMIFS('Исходные данные'!$J$2:$J$964,'Исходные данные'!$D$2:$D$964,O$1,'Исходные данные'!$F$2:$F$964,$A31)</f>
        <v>0</v>
      </c>
      <c r="Q31" s="7" t="n">
        <v>0</v>
      </c>
      <c r="R31" s="7" t="n">
        <v>0</v>
      </c>
      <c r="S31" s="11" t="n">
        <f aca="false">SUMIFS('Исходные данные'!$I$2:$I$964,'Исходные данные'!$D$2:$D$964,S$1,'Исходные данные'!$F$2:$F$964,$A31)</f>
        <v>0</v>
      </c>
      <c r="T31" s="11" t="n">
        <f aca="false">SUMIFS('Исходные данные'!$J$2:$J$964,'Исходные данные'!$D$2:$D$964,S$1,'Исходные данные'!$F$2:$F$964,$A31)</f>
        <v>0</v>
      </c>
      <c r="U31" s="7" t="n">
        <v>0</v>
      </c>
      <c r="V31" s="7" t="n">
        <v>0</v>
      </c>
      <c r="W31" s="11" t="n">
        <f aca="false">SUMIFS('Исходные данные'!$I$2:$I$964,'Исходные данные'!$D$2:$D$964,W$1,'Исходные данные'!$F$2:$F$964,$A31)</f>
        <v>0</v>
      </c>
      <c r="X31" s="11" t="n">
        <f aca="false">SUMIFS('Исходные данные'!$J$2:$J$964,'Исходные данные'!$D$2:$D$964,W$1,'Исходные данные'!$F$2:$F$964,$A31)</f>
        <v>0</v>
      </c>
      <c r="Y31" s="7" t="n">
        <v>0</v>
      </c>
      <c r="Z31" s="7" t="n">
        <v>0</v>
      </c>
      <c r="AA31" s="11" t="n">
        <f aca="false">SUMIFS('Исходные данные'!$I$2:$I$964,'Исходные данные'!$D$2:$D$964,AA$1,'Исходные данные'!$F$2:$F$964,$A31)</f>
        <v>0</v>
      </c>
      <c r="AB31" s="11" t="n">
        <f aca="false">SUMIFS('Исходные данные'!$J$2:$J$964,'Исходные данные'!$D$2:$D$964,AA$1,'Исходные данные'!$F$2:$F$964,$A31)</f>
        <v>0</v>
      </c>
      <c r="AC31" s="7" t="n">
        <v>0</v>
      </c>
      <c r="AD31" s="7" t="n">
        <v>0</v>
      </c>
      <c r="AE31" s="11" t="n">
        <f aca="false">SUMIFS('Исходные данные'!$I$2:$I$964,'Исходные данные'!$D$2:$D$964,AE$1,'Исходные данные'!$F$2:$F$964,$A31)</f>
        <v>0</v>
      </c>
      <c r="AF31" s="11" t="n">
        <f aca="false">SUMIFS('Исходные данные'!$J$2:$J$964,'Исходные данные'!$D$2:$D$964,AE$1,'Исходные данные'!$F$2:$F$964,$A31)</f>
        <v>0</v>
      </c>
      <c r="AG31" s="7" t="n">
        <v>0</v>
      </c>
      <c r="AH31" s="7" t="n">
        <v>0</v>
      </c>
      <c r="AI31" s="11" t="n">
        <f aca="false">SUMIFS('Исходные данные'!$I$2:$I$964,'Исходные данные'!$D$2:$D$964,AI$1,'Исходные данные'!$F$2:$F$964,$A31)</f>
        <v>0</v>
      </c>
      <c r="AJ31" s="11" t="n">
        <f aca="false">SUMIFS('Исходные данные'!$J$2:$J$964,'Исходные данные'!$D$2:$D$964,AI$1,'Исходные данные'!$F$2:$F$964,$A31)</f>
        <v>0</v>
      </c>
      <c r="AK31" s="7" t="n">
        <v>0</v>
      </c>
      <c r="AL31" s="7" t="n">
        <v>0</v>
      </c>
      <c r="AM31" s="11" t="n">
        <f aca="false">SUMIFS('Исходные данные'!$I$2:$I$964,'Исходные данные'!$D$2:$D$964,AM$1,'Исходные данные'!$F$2:$F$964,$A31)</f>
        <v>0</v>
      </c>
      <c r="AN31" s="11" t="n">
        <f aca="false">SUMIFS('Исходные данные'!$J$2:$J$964,'Исходные данные'!$D$2:$D$964,AM$1,'Исходные данные'!$F$2:$F$964,$A31)</f>
        <v>0</v>
      </c>
      <c r="AO31" s="7" t="n">
        <v>0</v>
      </c>
      <c r="AP31" s="7" t="n">
        <v>0</v>
      </c>
      <c r="AQ31" s="11" t="n">
        <f aca="false">SUMIFS('Исходные данные'!$I$2:$I$964,'Исходные данные'!$D$2:$D$964,AQ$1,'Исходные данные'!$F$2:$F$964,$A31)</f>
        <v>0</v>
      </c>
      <c r="AR31" s="11" t="n">
        <f aca="false">SUMIFS('Исходные данные'!$J$2:$J$964,'Исходные данные'!$D$2:$D$964,AQ$1,'Исходные данные'!$F$2:$F$964,$A31)</f>
        <v>0</v>
      </c>
      <c r="AS31" s="7" t="n">
        <v>0</v>
      </c>
      <c r="AT31" s="7" t="n">
        <v>0</v>
      </c>
      <c r="AU31" s="11" t="n">
        <f aca="false">SUMIFS('Исходные данные'!$I$2:$I$964,'Исходные данные'!$D$2:$D$964,AU$1,'Исходные данные'!$F$2:$F$964,$A31)</f>
        <v>0</v>
      </c>
      <c r="AV31" s="11" t="n">
        <f aca="false">SUMIFS('Исходные данные'!$J$2:$J$964,'Исходные данные'!$D$2:$D$964,AU$1,'Исходные данные'!$F$2:$F$964,$A31)</f>
        <v>0</v>
      </c>
      <c r="AW31" s="7" t="n">
        <v>0</v>
      </c>
      <c r="AX31" s="7" t="n">
        <v>0</v>
      </c>
      <c r="AY31" s="11" t="n">
        <f aca="false">SUMIFS('Исходные данные'!$I$2:$I$964,'Исходные данные'!$D$2:$D$964,AY$1,'Исходные данные'!$F$2:$F$964,$A31)</f>
        <v>0</v>
      </c>
      <c r="AZ31" s="11" t="n">
        <f aca="false">SUMIFS('Исходные данные'!$J$2:$J$964,'Исходные данные'!$D$2:$D$964,AY$1,'Исходные данные'!$F$2:$F$964,$A31)</f>
        <v>0</v>
      </c>
      <c r="BA31" s="7" t="n">
        <v>0</v>
      </c>
      <c r="BB31" s="7" t="n">
        <v>0</v>
      </c>
      <c r="BC31" s="11" t="n">
        <f aca="false">SUMIFS('Исходные данные'!$I$2:$I$964,'Исходные данные'!$D$2:$D$964,BC$1,'Исходные данные'!$F$2:$F$964,$A31)</f>
        <v>0</v>
      </c>
      <c r="BD31" s="11" t="n">
        <f aca="false">SUMIFS('Исходные данные'!$J$2:$J$964,'Исходные данные'!$D$2:$D$964,BC$1,'Исходные данные'!$F$2:$F$964,$A31)</f>
        <v>0</v>
      </c>
      <c r="BE31" s="7" t="n">
        <v>0</v>
      </c>
      <c r="BF31" s="7" t="n">
        <v>0</v>
      </c>
      <c r="BG31" s="11" t="n">
        <f aca="false">SUMIFS('Исходные данные'!$I$2:$I$964,'Исходные данные'!$D$2:$D$964,BG$1,'Исходные данные'!$F$2:$F$964,$A31)</f>
        <v>0</v>
      </c>
      <c r="BH31" s="11" t="n">
        <f aca="false">SUMIFS('Исходные данные'!$J$2:$J$964,'Исходные данные'!$D$2:$D$964,BG$1,'Исходные данные'!$F$2:$F$964,$A31)</f>
        <v>0</v>
      </c>
      <c r="BI31" s="7" t="n">
        <v>2</v>
      </c>
      <c r="BJ31" s="7" t="n">
        <v>2</v>
      </c>
      <c r="BK31" s="11" t="n">
        <f aca="false">SUMIFS('Исходные данные'!$I$2:$I$964,'Исходные данные'!$D$2:$D$964,BK$1,'Исходные данные'!$F$2:$F$964,$A31)</f>
        <v>2</v>
      </c>
      <c r="BL31" s="11" t="n">
        <f aca="false">SUMIFS('Исходные данные'!$J$2:$J$964,'Исходные данные'!$D$2:$D$964,BK$1,'Исходные данные'!$F$2:$F$964,$A31)</f>
        <v>2</v>
      </c>
      <c r="BM31" s="7" t="n">
        <v>0</v>
      </c>
      <c r="BN31" s="7" t="n">
        <v>0</v>
      </c>
      <c r="BO31" s="11" t="n">
        <f aca="false">SUMIFS('Исходные данные'!$I$2:$I$964,'Исходные данные'!$D$2:$D$964,BO$1,'Исходные данные'!$F$2:$F$964,$A31)</f>
        <v>0</v>
      </c>
      <c r="BP31" s="11" t="n">
        <f aca="false">SUMIFS('Исходные данные'!$J$2:$J$964,'Исходные данные'!$D$2:$D$964,BO$1,'Исходные данные'!$F$2:$F$964,$A31)</f>
        <v>0</v>
      </c>
      <c r="BQ31" s="7" t="n">
        <v>0</v>
      </c>
      <c r="BR31" s="7" t="n">
        <v>0</v>
      </c>
      <c r="BS31" s="11" t="n">
        <f aca="false">SUMIFS('Исходные данные'!$I$2:$I$964,'Исходные данные'!$D$2:$D$964,BS$1,'Исходные данные'!$F$2:$F$964,$A31)</f>
        <v>0</v>
      </c>
      <c r="BT31" s="11" t="n">
        <f aca="false">SUMIFS('Исходные данные'!$J$2:$J$964,'Исходные данные'!$D$2:$D$964,BS$1,'Исходные данные'!$F$2:$F$964,$A31)</f>
        <v>0</v>
      </c>
      <c r="BU31" s="7" t="n">
        <v>0</v>
      </c>
      <c r="BV31" s="7" t="n">
        <v>0</v>
      </c>
      <c r="BW31" s="11" t="n">
        <f aca="false">SUMIFS('Исходные данные'!$I$2:$I$964,'Исходные данные'!$D$2:$D$964,BW$1,'Исходные данные'!$F$2:$F$964,$A31)</f>
        <v>0</v>
      </c>
      <c r="BX31" s="11" t="n">
        <f aca="false">SUMIFS('Исходные данные'!$J$2:$J$964,'Исходные данные'!$D$2:$D$964,BW$1,'Исходные данные'!$F$2:$F$964,$A31)</f>
        <v>0</v>
      </c>
      <c r="BY31" s="7" t="n">
        <v>0</v>
      </c>
      <c r="BZ31" s="7" t="n">
        <v>0</v>
      </c>
      <c r="CA31" s="11" t="n">
        <f aca="false">SUMIFS('Исходные данные'!$I$2:$I$964,'Исходные данные'!$D$2:$D$964,CA$1,'Исходные данные'!$F$2:$F$964,$A31)</f>
        <v>0</v>
      </c>
      <c r="CB31" s="11" t="n">
        <f aca="false">SUMIFS('Исходные данные'!$J$2:$J$964,'Исходные данные'!$D$2:$D$964,CA$1,'Исходные данные'!$F$2:$F$964,$A31)</f>
        <v>0</v>
      </c>
      <c r="CC31" s="7" t="n">
        <v>0</v>
      </c>
      <c r="CD31" s="7" t="n">
        <v>0</v>
      </c>
      <c r="CE31" s="11" t="n">
        <f aca="false">SUMIFS('Исходные данные'!$I$2:$I$964,'Исходные данные'!$D$2:$D$964,CE$1,'Исходные данные'!$F$2:$F$964,$A31)</f>
        <v>0</v>
      </c>
      <c r="CF31" s="11" t="n">
        <f aca="false">SUMIFS('Исходные данные'!$J$2:$J$964,'Исходные данные'!$D$2:$D$964,CE$1,'Исходные данные'!$F$2:$F$964,$A31)</f>
        <v>0</v>
      </c>
      <c r="CG31" s="7" t="n">
        <v>0</v>
      </c>
      <c r="CH31" s="7" t="n">
        <v>0</v>
      </c>
      <c r="CI31" s="11" t="n">
        <f aca="false">SUMIFS('Исходные данные'!$I$2:$I$964,'Исходные данные'!$D$2:$D$964,CI$1,'Исходные данные'!$F$2:$F$964,$A31)</f>
        <v>0</v>
      </c>
      <c r="CJ31" s="11" t="n">
        <f aca="false">SUMIFS('Исходные данные'!$J$2:$J$964,'Исходные данные'!$D$2:$D$964,CI$1,'Исходные данные'!$F$2:$F$964,$A31)</f>
        <v>0</v>
      </c>
      <c r="CK31" s="7" t="n">
        <v>0</v>
      </c>
      <c r="CL31" s="7" t="n">
        <v>0</v>
      </c>
      <c r="CM31" s="11" t="n">
        <f aca="false">SUMIFS('Исходные данные'!$I$2:$I$964,'Исходные данные'!$D$2:$D$964,CM$1,'Исходные данные'!$F$2:$F$964,$A31)</f>
        <v>0</v>
      </c>
      <c r="CN31" s="11" t="n">
        <f aca="false">SUMIFS('Исходные данные'!$J$2:$J$964,'Исходные данные'!$D$2:$D$964,CM$1,'Исходные данные'!$F$2:$F$964,$A31)</f>
        <v>0</v>
      </c>
      <c r="CO31" s="7" t="n">
        <v>0</v>
      </c>
      <c r="CP31" s="7" t="n">
        <v>0</v>
      </c>
      <c r="CQ31" s="11" t="n">
        <f aca="false">SUMIFS('Исходные данные'!$I$2:$I$964,'Исходные данные'!$D$2:$D$964,CQ$1,'Исходные данные'!$F$2:$F$964,$A31)</f>
        <v>0</v>
      </c>
      <c r="CR31" s="11" t="n">
        <f aca="false">SUMIFS('Исходные данные'!$J$2:$J$964,'Исходные данные'!$D$2:$D$964,CQ$1,'Исходные данные'!$F$2:$F$964,$A31)</f>
        <v>0</v>
      </c>
      <c r="CS31" s="7" t="n">
        <v>0</v>
      </c>
      <c r="CT31" s="7" t="n">
        <v>0</v>
      </c>
      <c r="CU31" s="11" t="n">
        <f aca="false">SUMIFS('Исходные данные'!$I$2:$I$964,'Исходные данные'!$D$2:$D$964,CU$1,'Исходные данные'!$F$2:$F$964,$A31)</f>
        <v>0</v>
      </c>
      <c r="CV31" s="11" t="n">
        <f aca="false">SUMIFS('Исходные данные'!$J$2:$J$964,'Исходные данные'!$D$2:$D$964,CU$1,'Исходные данные'!$F$2:$F$964,$A31)</f>
        <v>0</v>
      </c>
      <c r="CW31" s="7" t="n">
        <v>0</v>
      </c>
      <c r="CX31" s="7" t="n">
        <v>0</v>
      </c>
      <c r="CY31" s="11" t="n">
        <f aca="false">SUMIFS('Исходные данные'!$I$2:$I$964,'Исходные данные'!$D$2:$D$964,CY$1,'Исходные данные'!$F$2:$F$964,$A31)</f>
        <v>0</v>
      </c>
      <c r="CZ31" s="11" t="n">
        <f aca="false">SUMIFS('Исходные данные'!$J$2:$J$964,'Исходные данные'!$D$2:$D$964,CY$1,'Исходные данные'!$F$2:$F$964,$A31)</f>
        <v>0</v>
      </c>
      <c r="DA31" s="7" t="n">
        <v>0</v>
      </c>
      <c r="DB31" s="7" t="n">
        <v>0</v>
      </c>
      <c r="DC31" s="11" t="n">
        <f aca="false">SUMIFS('Исходные данные'!$I$2:$I$964,'Исходные данные'!$D$2:$D$964,DC$1,'Исходные данные'!$F$2:$F$964,$A31)</f>
        <v>0</v>
      </c>
      <c r="DD31" s="11" t="n">
        <f aca="false">SUMIFS('Исходные данные'!$J$2:$J$964,'Исходные данные'!$D$2:$D$964,DC$1,'Исходные данные'!$F$2:$F$964,$A31)</f>
        <v>0</v>
      </c>
      <c r="DE31" s="7" t="n">
        <v>0</v>
      </c>
      <c r="DF31" s="7" t="n">
        <v>0</v>
      </c>
      <c r="DG31" s="11" t="n">
        <f aca="false">SUMIFS('Исходные данные'!$I$2:$I$964,'Исходные данные'!$D$2:$D$964,DG$1,'Исходные данные'!$F$2:$F$964,$A31)</f>
        <v>0</v>
      </c>
      <c r="DH31" s="11" t="n">
        <f aca="false">SUMIFS('Исходные данные'!$J$2:$J$964,'Исходные данные'!$D$2:$D$964,DG$1,'Исходные данные'!$F$2:$F$964,$A31)</f>
        <v>0</v>
      </c>
      <c r="DI31" s="7" t="n">
        <v>0</v>
      </c>
      <c r="DJ31" s="7" t="n">
        <v>0</v>
      </c>
      <c r="DK31" s="11" t="n">
        <f aca="false">SUMIFS('Исходные данные'!$I$2:$I$964,'Исходные данные'!$D$2:$D$964,DK$1,'Исходные данные'!$F$2:$F$964,$A31)</f>
        <v>0</v>
      </c>
      <c r="DL31" s="11" t="n">
        <f aca="false">SUMIFS('Исходные данные'!$J$2:$J$964,'Исходные данные'!$D$2:$D$964,DK$1,'Исходные данные'!$F$2:$F$964,$A31)</f>
        <v>0</v>
      </c>
      <c r="DM31" s="7" t="n">
        <v>0</v>
      </c>
      <c r="DN31" s="7" t="n">
        <v>0</v>
      </c>
      <c r="DO31" s="11" t="n">
        <f aca="false">SUMIFS('Исходные данные'!$I$2:$I$964,'Исходные данные'!$D$2:$D$964,DO$1,'Исходные данные'!$F$2:$F$964,$A31)</f>
        <v>0</v>
      </c>
      <c r="DP31" s="11" t="n">
        <f aca="false">SUMIFS('Исходные данные'!$J$2:$J$964,'Исходные данные'!$D$2:$D$964,DO$1,'Исходные данные'!$F$2:$F$964,$A31)</f>
        <v>0</v>
      </c>
      <c r="DQ31" s="7" t="n">
        <v>0</v>
      </c>
      <c r="DR31" s="7" t="n">
        <v>0</v>
      </c>
      <c r="DS31" s="11" t="n">
        <f aca="false">SUMIFS('Исходные данные'!$I$2:$I$964,'Исходные данные'!$D$2:$D$964,DS$1,'Исходные данные'!$F$2:$F$964,$A31)</f>
        <v>0</v>
      </c>
      <c r="DT31" s="11" t="n">
        <f aca="false">SUMIFS('Исходные данные'!$J$2:$J$964,'Исходные данные'!$D$2:$D$964,DS$1,'Исходные данные'!$F$2:$F$964,$A31)</f>
        <v>0</v>
      </c>
      <c r="DU31" s="7" t="n">
        <v>0</v>
      </c>
      <c r="DV31" s="7" t="n">
        <v>0</v>
      </c>
      <c r="DW31" s="11" t="n">
        <f aca="false">SUMIFS('Исходные данные'!$I$2:$I$964,'Исходные данные'!$D$2:$D$964,DW$1,'Исходные данные'!$F$2:$F$964,$A31)</f>
        <v>0</v>
      </c>
      <c r="DX31" s="11" t="n">
        <f aca="false">SUMIFS('Исходные данные'!$J$2:$J$964,'Исходные данные'!$D$2:$D$964,DW$1,'Исходные данные'!$F$2:$F$964,$A31)</f>
        <v>0</v>
      </c>
      <c r="DY31" s="7" t="n">
        <v>0</v>
      </c>
      <c r="DZ31" s="7" t="n">
        <v>0</v>
      </c>
      <c r="EA31" s="11" t="n">
        <f aca="false">SUMIFS('Исходные данные'!$I$2:$I$964,'Исходные данные'!$D$2:$D$964,EA$1,'Исходные данные'!$F$2:$F$964,$A31)</f>
        <v>0</v>
      </c>
      <c r="EB31" s="11" t="n">
        <f aca="false">SUMIFS('Исходные данные'!$J$2:$J$964,'Исходные данные'!$D$2:$D$964,EA$1,'Исходные данные'!$F$2:$F$964,$A31)</f>
        <v>0</v>
      </c>
      <c r="EC31" s="7" t="n">
        <v>0</v>
      </c>
      <c r="ED31" s="7" t="n">
        <v>0</v>
      </c>
      <c r="EE31" s="11" t="n">
        <f aca="false">SUMIFS('Исходные данные'!$I$2:$I$964,'Исходные данные'!$D$2:$D$964,EE$1,'Исходные данные'!$F$2:$F$964,$A31)</f>
        <v>0</v>
      </c>
      <c r="EF31" s="11" t="n">
        <f aca="false">SUMIFS('Исходные данные'!$J$2:$J$964,'Исходные данные'!$D$2:$D$964,EE$1,'Исходные данные'!$F$2:$F$964,$A31)</f>
        <v>0</v>
      </c>
      <c r="EG31" s="7" t="n">
        <v>0</v>
      </c>
      <c r="EH31" s="7" t="n">
        <v>0</v>
      </c>
      <c r="EI31" s="11" t="n">
        <f aca="false">SUMIFS('Исходные данные'!$I$2:$I$964,'Исходные данные'!$D$2:$D$964,EI$1,'Исходные данные'!$F$2:$F$964,$A31)</f>
        <v>0</v>
      </c>
      <c r="EJ31" s="11" t="n">
        <f aca="false">SUMIFS('Исходные данные'!$J$2:$J$964,'Исходные данные'!$D$2:$D$964,EI$1,'Исходные данные'!$F$2:$F$964,$A31)</f>
        <v>0</v>
      </c>
      <c r="EK31" s="7" t="n">
        <v>0</v>
      </c>
      <c r="EL31" s="7" t="n">
        <v>0</v>
      </c>
      <c r="EM31" s="11" t="n">
        <f aca="false">SUMIFS('Исходные данные'!$I$2:$I$964,'Исходные данные'!$D$2:$D$964,EM$1,'Исходные данные'!$F$2:$F$964,$A31)</f>
        <v>0</v>
      </c>
      <c r="EN31" s="11" t="n">
        <f aca="false">SUMIFS('Исходные данные'!$J$2:$J$964,'Исходные данные'!$D$2:$D$964,EM$1,'Исходные данные'!$F$2:$F$964,$A31)</f>
        <v>0</v>
      </c>
      <c r="EO31" s="7" t="n">
        <v>0</v>
      </c>
      <c r="EP31" s="7" t="n">
        <v>0</v>
      </c>
      <c r="EQ31" s="11" t="n">
        <f aca="false">SUMIFS('Исходные данные'!$I$2:$I$964,'Исходные данные'!$D$2:$D$964,EQ$1,'Исходные данные'!$F$2:$F$964,$A31)</f>
        <v>0</v>
      </c>
      <c r="ER31" s="11" t="n">
        <f aca="false">SUMIFS('Исходные данные'!$J$2:$J$964,'Исходные данные'!$D$2:$D$964,EQ$1,'Исходные данные'!$F$2:$F$964,$A31)</f>
        <v>0</v>
      </c>
      <c r="ES31" s="7" t="n">
        <v>0</v>
      </c>
      <c r="ET31" s="7" t="n">
        <v>0</v>
      </c>
      <c r="EU31" s="11" t="n">
        <f aca="false">SUMIFS('Исходные данные'!$I$2:$I$964,'Исходные данные'!$D$2:$D$964,EU$1,'Исходные данные'!$F$2:$F$964,$A31)</f>
        <v>0</v>
      </c>
      <c r="EV31" s="11" t="n">
        <f aca="false">SUMIFS('Исходные данные'!$J$2:$J$964,'Исходные данные'!$D$2:$D$964,EU$1,'Исходные данные'!$F$2:$F$964,$A31)</f>
        <v>0</v>
      </c>
      <c r="EW31" s="7" t="n">
        <v>0</v>
      </c>
      <c r="EX31" s="7" t="n">
        <v>0</v>
      </c>
      <c r="EY31" s="11" t="n">
        <f aca="false">SUMIFS('Исходные данные'!$I$2:$I$964,'Исходные данные'!$D$2:$D$964,EY$1,'Исходные данные'!$F$2:$F$964,$A31)</f>
        <v>0</v>
      </c>
      <c r="EZ31" s="11" t="n">
        <f aca="false">SUMIFS('Исходные данные'!$J$2:$J$964,'Исходные данные'!$D$2:$D$964,EY$1,'Исходные данные'!$F$2:$F$964,$A31)</f>
        <v>0</v>
      </c>
      <c r="FA31" s="7" t="n">
        <v>0</v>
      </c>
      <c r="FB31" s="7" t="n">
        <v>0</v>
      </c>
      <c r="FC31" s="11" t="n">
        <f aca="false">SUMIFS('Исходные данные'!$I$2:$I$964,'Исходные данные'!$D$2:$D$964,FC$1,'Исходные данные'!$F$2:$F$964,$A31)</f>
        <v>0</v>
      </c>
      <c r="FD31" s="11" t="n">
        <f aca="false">SUMIFS('Исходные данные'!$J$2:$J$964,'Исходные данные'!$D$2:$D$964,FC$1,'Исходные данные'!$F$2:$F$964,$A31)</f>
        <v>0</v>
      </c>
      <c r="FE31" s="7" t="n">
        <v>0</v>
      </c>
      <c r="FF31" s="7" t="n">
        <v>0</v>
      </c>
      <c r="FG31" s="11" t="n">
        <f aca="false">SUMIFS('Исходные данные'!$I$2:$I$964,'Исходные данные'!$D$2:$D$964,FG$1,'Исходные данные'!$F$2:$F$964,$A31)</f>
        <v>0</v>
      </c>
      <c r="FH31" s="11" t="n">
        <f aca="false">SUMIFS('Исходные данные'!$J$2:$J$964,'Исходные данные'!$D$2:$D$964,FG$1,'Исходные данные'!$F$2:$F$964,$A31)</f>
        <v>0</v>
      </c>
    </row>
    <row r="32" customFormat="false" ht="15" hidden="false" customHeight="false" outlineLevel="0" collapsed="false">
      <c r="A32" s="10" t="s">
        <v>107</v>
      </c>
      <c r="B32" s="11" t="s">
        <v>108</v>
      </c>
      <c r="C32" s="6" t="n">
        <v>4</v>
      </c>
      <c r="D32" s="6" t="n">
        <f aca="false">I32+J32+M32+N32+Q32+R32+U32+V32+Y32+Z32+AC32+AD32+AG32+AH32+AK32+AL32+AO32+AP32+AS32+AT32+AW32+AX32+BA32+BB32+BE32+BF32+BI32+BJ32+BM32+BN32+BQ32+BR32+BU32+BV32+BY32+BZ32+CC32+CD32+CG32+CH32+CK32+CL32+CO32+CP32+CS32+CT32+CW32+CX32+DA32+DB32+DE32+DF32+DI32+DJ32+DM32+DN32+DQ32+DR32+DU32+DV32+DY32+DZ32+EC32+ED32+EG32+EH32+EK32+EL32+EO32+EP32+ES32+ET32+EW32+EX32+FA32+FB32+FE32+FF32</f>
        <v>4</v>
      </c>
      <c r="E32" s="6" t="n">
        <f aca="false">G32+H32</f>
        <v>4</v>
      </c>
      <c r="F32" s="6" t="n">
        <f aca="false">E32-C32</f>
        <v>0</v>
      </c>
      <c r="G32" s="6" t="n">
        <f aca="false">K32+O32+S32+W32+AA32+AE32+AI32+AM32+AQ32+AU32+AY32+BC32+BG32+BK32+BO32+BS32+BW32+CA32+CE32+CI32+CM32+CQ32+CU32+CY32+DC32+DG32+DK32+DO32+DS32+DW32+EA32+EE32+EI32+EM32+EQ32+EU32+EY32+FC32+FG32</f>
        <v>3</v>
      </c>
      <c r="H32" s="6" t="n">
        <f aca="false">L32+P32+T32+X32+AB32+AF32+AJ32+AN32+AR32+AV32+AZ32+BD32+BH32+BL32+BP32+BT32+BX32+CB32+CF32+CJ32+CN32+CR32+CV32+CZ32+DD32+DH32+DL32+DP32+DT32+DX32+EB32+EF32+EJ32+EN32+ER32+EV32+EZ32+FD32+FH32</f>
        <v>1</v>
      </c>
      <c r="I32" s="7" t="n">
        <v>0</v>
      </c>
      <c r="J32" s="7" t="n">
        <v>0</v>
      </c>
      <c r="K32" s="11" t="n">
        <f aca="false">SUMIFS('Исходные данные'!$I$2:$I$964,'Исходные данные'!$D$2:$D$964,K$1,'Исходные данные'!$F$2:$F$964,$A32)</f>
        <v>0</v>
      </c>
      <c r="L32" s="11" t="n">
        <f aca="false">SUMIFS('Исходные данные'!$J$2:$J$964,'Исходные данные'!$D$2:$D$964,K$1,'Исходные данные'!$F$2:$F$964,$A32)</f>
        <v>0</v>
      </c>
      <c r="M32" s="7" t="n">
        <v>0</v>
      </c>
      <c r="N32" s="7" t="n">
        <v>0</v>
      </c>
      <c r="O32" s="11" t="n">
        <f aca="false">SUMIFS('Исходные данные'!$I$2:$I$964,'Исходные данные'!$D$2:$D$964,O$1,'Исходные данные'!$F$2:$F$964,$A32)</f>
        <v>0</v>
      </c>
      <c r="P32" s="11" t="n">
        <f aca="false">SUMIFS('Исходные данные'!$J$2:$J$964,'Исходные данные'!$D$2:$D$964,O$1,'Исходные данные'!$F$2:$F$964,$A32)</f>
        <v>0</v>
      </c>
      <c r="Q32" s="7" t="n">
        <v>0</v>
      </c>
      <c r="R32" s="7" t="n">
        <v>0</v>
      </c>
      <c r="S32" s="11" t="n">
        <f aca="false">SUMIFS('Исходные данные'!$I$2:$I$964,'Исходные данные'!$D$2:$D$964,S$1,'Исходные данные'!$F$2:$F$964,$A32)</f>
        <v>0</v>
      </c>
      <c r="T32" s="11" t="n">
        <f aca="false">SUMIFS('Исходные данные'!$J$2:$J$964,'Исходные данные'!$D$2:$D$964,S$1,'Исходные данные'!$F$2:$F$964,$A32)</f>
        <v>0</v>
      </c>
      <c r="U32" s="7" t="n">
        <v>0</v>
      </c>
      <c r="V32" s="7" t="n">
        <v>0</v>
      </c>
      <c r="W32" s="11" t="n">
        <f aca="false">SUMIFS('Исходные данные'!$I$2:$I$964,'Исходные данные'!$D$2:$D$964,W$1,'Исходные данные'!$F$2:$F$964,$A32)</f>
        <v>0</v>
      </c>
      <c r="X32" s="11" t="n">
        <f aca="false">SUMIFS('Исходные данные'!$J$2:$J$964,'Исходные данные'!$D$2:$D$964,W$1,'Исходные данные'!$F$2:$F$964,$A32)</f>
        <v>0</v>
      </c>
      <c r="Y32" s="7" t="n">
        <v>0</v>
      </c>
      <c r="Z32" s="7" t="n">
        <v>0</v>
      </c>
      <c r="AA32" s="11" t="n">
        <f aca="false">SUMIFS('Исходные данные'!$I$2:$I$964,'Исходные данные'!$D$2:$D$964,AA$1,'Исходные данные'!$F$2:$F$964,$A32)</f>
        <v>0</v>
      </c>
      <c r="AB32" s="11" t="n">
        <f aca="false">SUMIFS('Исходные данные'!$J$2:$J$964,'Исходные данные'!$D$2:$D$964,AA$1,'Исходные данные'!$F$2:$F$964,$A32)</f>
        <v>0</v>
      </c>
      <c r="AC32" s="7" t="n">
        <v>0</v>
      </c>
      <c r="AD32" s="7" t="n">
        <v>0</v>
      </c>
      <c r="AE32" s="11" t="n">
        <f aca="false">SUMIFS('Исходные данные'!$I$2:$I$964,'Исходные данные'!$D$2:$D$964,AE$1,'Исходные данные'!$F$2:$F$964,$A32)</f>
        <v>0</v>
      </c>
      <c r="AF32" s="11" t="n">
        <f aca="false">SUMIFS('Исходные данные'!$J$2:$J$964,'Исходные данные'!$D$2:$D$964,AE$1,'Исходные данные'!$F$2:$F$964,$A32)</f>
        <v>0</v>
      </c>
      <c r="AG32" s="7" t="n">
        <v>0</v>
      </c>
      <c r="AH32" s="7" t="n">
        <v>0</v>
      </c>
      <c r="AI32" s="11" t="n">
        <f aca="false">SUMIFS('Исходные данные'!$I$2:$I$964,'Исходные данные'!$D$2:$D$964,AI$1,'Исходные данные'!$F$2:$F$964,$A32)</f>
        <v>0</v>
      </c>
      <c r="AJ32" s="11" t="n">
        <f aca="false">SUMIFS('Исходные данные'!$J$2:$J$964,'Исходные данные'!$D$2:$D$964,AI$1,'Исходные данные'!$F$2:$F$964,$A32)</f>
        <v>0</v>
      </c>
      <c r="AK32" s="7" t="n">
        <v>0</v>
      </c>
      <c r="AL32" s="7" t="n">
        <v>0</v>
      </c>
      <c r="AM32" s="11" t="n">
        <f aca="false">SUMIFS('Исходные данные'!$I$2:$I$964,'Исходные данные'!$D$2:$D$964,AM$1,'Исходные данные'!$F$2:$F$964,$A32)</f>
        <v>0</v>
      </c>
      <c r="AN32" s="11" t="n">
        <f aca="false">SUMIFS('Исходные данные'!$J$2:$J$964,'Исходные данные'!$D$2:$D$964,AM$1,'Исходные данные'!$F$2:$F$964,$A32)</f>
        <v>0</v>
      </c>
      <c r="AO32" s="7" t="n">
        <v>2</v>
      </c>
      <c r="AP32" s="7" t="n">
        <v>1</v>
      </c>
      <c r="AQ32" s="11" t="n">
        <f aca="false">SUMIFS('Исходные данные'!$I$2:$I$964,'Исходные данные'!$D$2:$D$964,AQ$1,'Исходные данные'!$F$2:$F$964,$A32)</f>
        <v>2</v>
      </c>
      <c r="AR32" s="11" t="n">
        <f aca="false">SUMIFS('Исходные данные'!$J$2:$J$964,'Исходные данные'!$D$2:$D$964,AQ$1,'Исходные данные'!$F$2:$F$964,$A32)</f>
        <v>1</v>
      </c>
      <c r="AS32" s="7" t="n">
        <v>0</v>
      </c>
      <c r="AT32" s="7" t="n">
        <v>0</v>
      </c>
      <c r="AU32" s="11" t="n">
        <f aca="false">SUMIFS('Исходные данные'!$I$2:$I$964,'Исходные данные'!$D$2:$D$964,AU$1,'Исходные данные'!$F$2:$F$964,$A32)</f>
        <v>0</v>
      </c>
      <c r="AV32" s="11" t="n">
        <f aca="false">SUMIFS('Исходные данные'!$J$2:$J$964,'Исходные данные'!$D$2:$D$964,AU$1,'Исходные данные'!$F$2:$F$964,$A32)</f>
        <v>0</v>
      </c>
      <c r="AW32" s="7" t="n">
        <v>0</v>
      </c>
      <c r="AX32" s="7" t="n">
        <v>0</v>
      </c>
      <c r="AY32" s="11" t="n">
        <f aca="false">SUMIFS('Исходные данные'!$I$2:$I$964,'Исходные данные'!$D$2:$D$964,AY$1,'Исходные данные'!$F$2:$F$964,$A32)</f>
        <v>0</v>
      </c>
      <c r="AZ32" s="11" t="n">
        <f aca="false">SUMIFS('Исходные данные'!$J$2:$J$964,'Исходные данные'!$D$2:$D$964,AY$1,'Исходные данные'!$F$2:$F$964,$A32)</f>
        <v>0</v>
      </c>
      <c r="BA32" s="7" t="n">
        <v>0</v>
      </c>
      <c r="BB32" s="7" t="n">
        <v>0</v>
      </c>
      <c r="BC32" s="11" t="n">
        <f aca="false">SUMIFS('Исходные данные'!$I$2:$I$964,'Исходные данные'!$D$2:$D$964,BC$1,'Исходные данные'!$F$2:$F$964,$A32)</f>
        <v>0</v>
      </c>
      <c r="BD32" s="11" t="n">
        <f aca="false">SUMIFS('Исходные данные'!$J$2:$J$964,'Исходные данные'!$D$2:$D$964,BC$1,'Исходные данные'!$F$2:$F$964,$A32)</f>
        <v>0</v>
      </c>
      <c r="BE32" s="7" t="n">
        <v>0</v>
      </c>
      <c r="BF32" s="7" t="n">
        <v>0</v>
      </c>
      <c r="BG32" s="11" t="n">
        <f aca="false">SUMIFS('Исходные данные'!$I$2:$I$964,'Исходные данные'!$D$2:$D$964,BG$1,'Исходные данные'!$F$2:$F$964,$A32)</f>
        <v>0</v>
      </c>
      <c r="BH32" s="11" t="n">
        <f aca="false">SUMIFS('Исходные данные'!$J$2:$J$964,'Исходные данные'!$D$2:$D$964,BG$1,'Исходные данные'!$F$2:$F$964,$A32)</f>
        <v>0</v>
      </c>
      <c r="BI32" s="7" t="n">
        <v>1</v>
      </c>
      <c r="BJ32" s="7" t="n">
        <v>0</v>
      </c>
      <c r="BK32" s="11" t="n">
        <f aca="false">SUMIFS('Исходные данные'!$I$2:$I$964,'Исходные данные'!$D$2:$D$964,BK$1,'Исходные данные'!$F$2:$F$964,$A32)</f>
        <v>1</v>
      </c>
      <c r="BL32" s="11" t="n">
        <f aca="false">SUMIFS('Исходные данные'!$J$2:$J$964,'Исходные данные'!$D$2:$D$964,BK$1,'Исходные данные'!$F$2:$F$964,$A32)</f>
        <v>0</v>
      </c>
      <c r="BM32" s="7" t="n">
        <v>0</v>
      </c>
      <c r="BN32" s="7" t="n">
        <v>0</v>
      </c>
      <c r="BO32" s="11" t="n">
        <f aca="false">SUMIFS('Исходные данные'!$I$2:$I$964,'Исходные данные'!$D$2:$D$964,BO$1,'Исходные данные'!$F$2:$F$964,$A32)</f>
        <v>0</v>
      </c>
      <c r="BP32" s="11" t="n">
        <f aca="false">SUMIFS('Исходные данные'!$J$2:$J$964,'Исходные данные'!$D$2:$D$964,BO$1,'Исходные данные'!$F$2:$F$964,$A32)</f>
        <v>0</v>
      </c>
      <c r="BQ32" s="7" t="n">
        <v>0</v>
      </c>
      <c r="BR32" s="7" t="n">
        <v>0</v>
      </c>
      <c r="BS32" s="11" t="n">
        <f aca="false">SUMIFS('Исходные данные'!$I$2:$I$964,'Исходные данные'!$D$2:$D$964,BS$1,'Исходные данные'!$F$2:$F$964,$A32)</f>
        <v>0</v>
      </c>
      <c r="BT32" s="11" t="n">
        <f aca="false">SUMIFS('Исходные данные'!$J$2:$J$964,'Исходные данные'!$D$2:$D$964,BS$1,'Исходные данные'!$F$2:$F$964,$A32)</f>
        <v>0</v>
      </c>
      <c r="BU32" s="7" t="n">
        <v>0</v>
      </c>
      <c r="BV32" s="7" t="n">
        <v>0</v>
      </c>
      <c r="BW32" s="11" t="n">
        <f aca="false">SUMIFS('Исходные данные'!$I$2:$I$964,'Исходные данные'!$D$2:$D$964,BW$1,'Исходные данные'!$F$2:$F$964,$A32)</f>
        <v>0</v>
      </c>
      <c r="BX32" s="11" t="n">
        <f aca="false">SUMIFS('Исходные данные'!$J$2:$J$964,'Исходные данные'!$D$2:$D$964,BW$1,'Исходные данные'!$F$2:$F$964,$A32)</f>
        <v>0</v>
      </c>
      <c r="BY32" s="7" t="n">
        <v>0</v>
      </c>
      <c r="BZ32" s="7" t="n">
        <v>0</v>
      </c>
      <c r="CA32" s="11" t="n">
        <f aca="false">SUMIFS('Исходные данные'!$I$2:$I$964,'Исходные данные'!$D$2:$D$964,CA$1,'Исходные данные'!$F$2:$F$964,$A32)</f>
        <v>0</v>
      </c>
      <c r="CB32" s="11" t="n">
        <f aca="false">SUMIFS('Исходные данные'!$J$2:$J$964,'Исходные данные'!$D$2:$D$964,CA$1,'Исходные данные'!$F$2:$F$964,$A32)</f>
        <v>0</v>
      </c>
      <c r="CC32" s="7" t="n">
        <v>0</v>
      </c>
      <c r="CD32" s="7" t="n">
        <v>0</v>
      </c>
      <c r="CE32" s="11" t="n">
        <f aca="false">SUMIFS('Исходные данные'!$I$2:$I$964,'Исходные данные'!$D$2:$D$964,CE$1,'Исходные данные'!$F$2:$F$964,$A32)</f>
        <v>0</v>
      </c>
      <c r="CF32" s="11" t="n">
        <f aca="false">SUMIFS('Исходные данные'!$J$2:$J$964,'Исходные данные'!$D$2:$D$964,CE$1,'Исходные данные'!$F$2:$F$964,$A32)</f>
        <v>0</v>
      </c>
      <c r="CG32" s="7" t="n">
        <v>0</v>
      </c>
      <c r="CH32" s="7" t="n">
        <v>0</v>
      </c>
      <c r="CI32" s="11" t="n">
        <f aca="false">SUMIFS('Исходные данные'!$I$2:$I$964,'Исходные данные'!$D$2:$D$964,CI$1,'Исходные данные'!$F$2:$F$964,$A32)</f>
        <v>0</v>
      </c>
      <c r="CJ32" s="11" t="n">
        <f aca="false">SUMIFS('Исходные данные'!$J$2:$J$964,'Исходные данные'!$D$2:$D$964,CI$1,'Исходные данные'!$F$2:$F$964,$A32)</f>
        <v>0</v>
      </c>
      <c r="CK32" s="7" t="n">
        <v>0</v>
      </c>
      <c r="CL32" s="7" t="n">
        <v>0</v>
      </c>
      <c r="CM32" s="11" t="n">
        <f aca="false">SUMIFS('Исходные данные'!$I$2:$I$964,'Исходные данные'!$D$2:$D$964,CM$1,'Исходные данные'!$F$2:$F$964,$A32)</f>
        <v>0</v>
      </c>
      <c r="CN32" s="11" t="n">
        <f aca="false">SUMIFS('Исходные данные'!$J$2:$J$964,'Исходные данные'!$D$2:$D$964,CM$1,'Исходные данные'!$F$2:$F$964,$A32)</f>
        <v>0</v>
      </c>
      <c r="CO32" s="7" t="n">
        <v>0</v>
      </c>
      <c r="CP32" s="7" t="n">
        <v>0</v>
      </c>
      <c r="CQ32" s="11" t="n">
        <f aca="false">SUMIFS('Исходные данные'!$I$2:$I$964,'Исходные данные'!$D$2:$D$964,CQ$1,'Исходные данные'!$F$2:$F$964,$A32)</f>
        <v>0</v>
      </c>
      <c r="CR32" s="11" t="n">
        <f aca="false">SUMIFS('Исходные данные'!$J$2:$J$964,'Исходные данные'!$D$2:$D$964,CQ$1,'Исходные данные'!$F$2:$F$964,$A32)</f>
        <v>0</v>
      </c>
      <c r="CS32" s="7" t="n">
        <v>0</v>
      </c>
      <c r="CT32" s="7" t="n">
        <v>0</v>
      </c>
      <c r="CU32" s="11" t="n">
        <f aca="false">SUMIFS('Исходные данные'!$I$2:$I$964,'Исходные данные'!$D$2:$D$964,CU$1,'Исходные данные'!$F$2:$F$964,$A32)</f>
        <v>0</v>
      </c>
      <c r="CV32" s="11" t="n">
        <f aca="false">SUMIFS('Исходные данные'!$J$2:$J$964,'Исходные данные'!$D$2:$D$964,CU$1,'Исходные данные'!$F$2:$F$964,$A32)</f>
        <v>0</v>
      </c>
      <c r="CW32" s="7" t="n">
        <v>0</v>
      </c>
      <c r="CX32" s="7" t="n">
        <v>0</v>
      </c>
      <c r="CY32" s="11" t="n">
        <f aca="false">SUMIFS('Исходные данные'!$I$2:$I$964,'Исходные данные'!$D$2:$D$964,CY$1,'Исходные данные'!$F$2:$F$964,$A32)</f>
        <v>0</v>
      </c>
      <c r="CZ32" s="11" t="n">
        <f aca="false">SUMIFS('Исходные данные'!$J$2:$J$964,'Исходные данные'!$D$2:$D$964,CY$1,'Исходные данные'!$F$2:$F$964,$A32)</f>
        <v>0</v>
      </c>
      <c r="DA32" s="7" t="n">
        <v>0</v>
      </c>
      <c r="DB32" s="7" t="n">
        <v>0</v>
      </c>
      <c r="DC32" s="11" t="n">
        <f aca="false">SUMIFS('Исходные данные'!$I$2:$I$964,'Исходные данные'!$D$2:$D$964,DC$1,'Исходные данные'!$F$2:$F$964,$A32)</f>
        <v>0</v>
      </c>
      <c r="DD32" s="11" t="n">
        <f aca="false">SUMIFS('Исходные данные'!$J$2:$J$964,'Исходные данные'!$D$2:$D$964,DC$1,'Исходные данные'!$F$2:$F$964,$A32)</f>
        <v>0</v>
      </c>
      <c r="DE32" s="7" t="n">
        <v>0</v>
      </c>
      <c r="DF32" s="7" t="n">
        <v>0</v>
      </c>
      <c r="DG32" s="11" t="n">
        <f aca="false">SUMIFS('Исходные данные'!$I$2:$I$964,'Исходные данные'!$D$2:$D$964,DG$1,'Исходные данные'!$F$2:$F$964,$A32)</f>
        <v>0</v>
      </c>
      <c r="DH32" s="11" t="n">
        <f aca="false">SUMIFS('Исходные данные'!$J$2:$J$964,'Исходные данные'!$D$2:$D$964,DG$1,'Исходные данные'!$F$2:$F$964,$A32)</f>
        <v>0</v>
      </c>
      <c r="DI32" s="7" t="n">
        <v>0</v>
      </c>
      <c r="DJ32" s="7" t="n">
        <v>0</v>
      </c>
      <c r="DK32" s="11" t="n">
        <f aca="false">SUMIFS('Исходные данные'!$I$2:$I$964,'Исходные данные'!$D$2:$D$964,DK$1,'Исходные данные'!$F$2:$F$964,$A32)</f>
        <v>0</v>
      </c>
      <c r="DL32" s="11" t="n">
        <f aca="false">SUMIFS('Исходные данные'!$J$2:$J$964,'Исходные данные'!$D$2:$D$964,DK$1,'Исходные данные'!$F$2:$F$964,$A32)</f>
        <v>0</v>
      </c>
      <c r="DM32" s="7" t="n">
        <v>0</v>
      </c>
      <c r="DN32" s="7" t="n">
        <v>0</v>
      </c>
      <c r="DO32" s="11" t="n">
        <f aca="false">SUMIFS('Исходные данные'!$I$2:$I$964,'Исходные данные'!$D$2:$D$964,DO$1,'Исходные данные'!$F$2:$F$964,$A32)</f>
        <v>0</v>
      </c>
      <c r="DP32" s="11" t="n">
        <f aca="false">SUMIFS('Исходные данные'!$J$2:$J$964,'Исходные данные'!$D$2:$D$964,DO$1,'Исходные данные'!$F$2:$F$964,$A32)</f>
        <v>0</v>
      </c>
      <c r="DQ32" s="7" t="n">
        <v>0</v>
      </c>
      <c r="DR32" s="7" t="n">
        <v>0</v>
      </c>
      <c r="DS32" s="11" t="n">
        <f aca="false">SUMIFS('Исходные данные'!$I$2:$I$964,'Исходные данные'!$D$2:$D$964,DS$1,'Исходные данные'!$F$2:$F$964,$A32)</f>
        <v>0</v>
      </c>
      <c r="DT32" s="11" t="n">
        <f aca="false">SUMIFS('Исходные данные'!$J$2:$J$964,'Исходные данные'!$D$2:$D$964,DS$1,'Исходные данные'!$F$2:$F$964,$A32)</f>
        <v>0</v>
      </c>
      <c r="DU32" s="7" t="n">
        <v>0</v>
      </c>
      <c r="DV32" s="7" t="n">
        <v>0</v>
      </c>
      <c r="DW32" s="11" t="n">
        <f aca="false">SUMIFS('Исходные данные'!$I$2:$I$964,'Исходные данные'!$D$2:$D$964,DW$1,'Исходные данные'!$F$2:$F$964,$A32)</f>
        <v>0</v>
      </c>
      <c r="DX32" s="11" t="n">
        <f aca="false">SUMIFS('Исходные данные'!$J$2:$J$964,'Исходные данные'!$D$2:$D$964,DW$1,'Исходные данные'!$F$2:$F$964,$A32)</f>
        <v>0</v>
      </c>
      <c r="DY32" s="7" t="n">
        <v>0</v>
      </c>
      <c r="DZ32" s="7" t="n">
        <v>0</v>
      </c>
      <c r="EA32" s="11" t="n">
        <f aca="false">SUMIFS('Исходные данные'!$I$2:$I$964,'Исходные данные'!$D$2:$D$964,EA$1,'Исходные данные'!$F$2:$F$964,$A32)</f>
        <v>0</v>
      </c>
      <c r="EB32" s="11" t="n">
        <f aca="false">SUMIFS('Исходные данные'!$J$2:$J$964,'Исходные данные'!$D$2:$D$964,EA$1,'Исходные данные'!$F$2:$F$964,$A32)</f>
        <v>0</v>
      </c>
      <c r="EC32" s="7" t="n">
        <v>0</v>
      </c>
      <c r="ED32" s="7" t="n">
        <v>0</v>
      </c>
      <c r="EE32" s="11" t="n">
        <f aca="false">SUMIFS('Исходные данные'!$I$2:$I$964,'Исходные данные'!$D$2:$D$964,EE$1,'Исходные данные'!$F$2:$F$964,$A32)</f>
        <v>0</v>
      </c>
      <c r="EF32" s="11" t="n">
        <f aca="false">SUMIFS('Исходные данные'!$J$2:$J$964,'Исходные данные'!$D$2:$D$964,EE$1,'Исходные данные'!$F$2:$F$964,$A32)</f>
        <v>0</v>
      </c>
      <c r="EG32" s="7" t="n">
        <v>0</v>
      </c>
      <c r="EH32" s="7" t="n">
        <v>0</v>
      </c>
      <c r="EI32" s="11" t="n">
        <f aca="false">SUMIFS('Исходные данные'!$I$2:$I$964,'Исходные данные'!$D$2:$D$964,EI$1,'Исходные данные'!$F$2:$F$964,$A32)</f>
        <v>0</v>
      </c>
      <c r="EJ32" s="11" t="n">
        <f aca="false">SUMIFS('Исходные данные'!$J$2:$J$964,'Исходные данные'!$D$2:$D$964,EI$1,'Исходные данные'!$F$2:$F$964,$A32)</f>
        <v>0</v>
      </c>
      <c r="EK32" s="7" t="n">
        <v>0</v>
      </c>
      <c r="EL32" s="7" t="n">
        <v>0</v>
      </c>
      <c r="EM32" s="11" t="n">
        <f aca="false">SUMIFS('Исходные данные'!$I$2:$I$964,'Исходные данные'!$D$2:$D$964,EM$1,'Исходные данные'!$F$2:$F$964,$A32)</f>
        <v>0</v>
      </c>
      <c r="EN32" s="11" t="n">
        <f aca="false">SUMIFS('Исходные данные'!$J$2:$J$964,'Исходные данные'!$D$2:$D$964,EM$1,'Исходные данные'!$F$2:$F$964,$A32)</f>
        <v>0</v>
      </c>
      <c r="EO32" s="7" t="n">
        <v>0</v>
      </c>
      <c r="EP32" s="7" t="n">
        <v>0</v>
      </c>
      <c r="EQ32" s="11" t="n">
        <f aca="false">SUMIFS('Исходные данные'!$I$2:$I$964,'Исходные данные'!$D$2:$D$964,EQ$1,'Исходные данные'!$F$2:$F$964,$A32)</f>
        <v>0</v>
      </c>
      <c r="ER32" s="11" t="n">
        <f aca="false">SUMIFS('Исходные данные'!$J$2:$J$964,'Исходные данные'!$D$2:$D$964,EQ$1,'Исходные данные'!$F$2:$F$964,$A32)</f>
        <v>0</v>
      </c>
      <c r="ES32" s="7" t="n">
        <v>0</v>
      </c>
      <c r="ET32" s="7" t="n">
        <v>0</v>
      </c>
      <c r="EU32" s="11" t="n">
        <f aca="false">SUMIFS('Исходные данные'!$I$2:$I$964,'Исходные данные'!$D$2:$D$964,EU$1,'Исходные данные'!$F$2:$F$964,$A32)</f>
        <v>0</v>
      </c>
      <c r="EV32" s="11" t="n">
        <f aca="false">SUMIFS('Исходные данные'!$J$2:$J$964,'Исходные данные'!$D$2:$D$964,EU$1,'Исходные данные'!$F$2:$F$964,$A32)</f>
        <v>0</v>
      </c>
      <c r="EW32" s="7" t="n">
        <v>0</v>
      </c>
      <c r="EX32" s="7" t="n">
        <v>0</v>
      </c>
      <c r="EY32" s="11" t="n">
        <f aca="false">SUMIFS('Исходные данные'!$I$2:$I$964,'Исходные данные'!$D$2:$D$964,EY$1,'Исходные данные'!$F$2:$F$964,$A32)</f>
        <v>0</v>
      </c>
      <c r="EZ32" s="11" t="n">
        <f aca="false">SUMIFS('Исходные данные'!$J$2:$J$964,'Исходные данные'!$D$2:$D$964,EY$1,'Исходные данные'!$F$2:$F$964,$A32)</f>
        <v>0</v>
      </c>
      <c r="FA32" s="7" t="n">
        <v>0</v>
      </c>
      <c r="FB32" s="7" t="n">
        <v>0</v>
      </c>
      <c r="FC32" s="11" t="n">
        <f aca="false">SUMIFS('Исходные данные'!$I$2:$I$964,'Исходные данные'!$D$2:$D$964,FC$1,'Исходные данные'!$F$2:$F$964,$A32)</f>
        <v>0</v>
      </c>
      <c r="FD32" s="11" t="n">
        <f aca="false">SUMIFS('Исходные данные'!$J$2:$J$964,'Исходные данные'!$D$2:$D$964,FC$1,'Исходные данные'!$F$2:$F$964,$A32)</f>
        <v>0</v>
      </c>
      <c r="FE32" s="7" t="n">
        <v>0</v>
      </c>
      <c r="FF32" s="7" t="n">
        <v>0</v>
      </c>
      <c r="FG32" s="11" t="n">
        <f aca="false">SUMIFS('Исходные данные'!$I$2:$I$964,'Исходные данные'!$D$2:$D$964,FG$1,'Исходные данные'!$F$2:$F$964,$A32)</f>
        <v>0</v>
      </c>
      <c r="FH32" s="11" t="n">
        <f aca="false">SUMIFS('Исходные данные'!$J$2:$J$964,'Исходные данные'!$D$2:$D$964,FG$1,'Исходные данные'!$F$2:$F$964,$A32)</f>
        <v>0</v>
      </c>
    </row>
    <row r="33" customFormat="false" ht="15" hidden="false" customHeight="false" outlineLevel="0" collapsed="false">
      <c r="A33" s="10" t="s">
        <v>109</v>
      </c>
      <c r="B33" s="11" t="s">
        <v>110</v>
      </c>
      <c r="C33" s="6" t="n">
        <v>4</v>
      </c>
      <c r="D33" s="6" t="n">
        <f aca="false">I33+J33+M33+N33+Q33+R33+U33+V33+Y33+Z33+AC33+AD33+AG33+AH33+AK33+AL33+AO33+AP33+AS33+AT33+AW33+AX33+BA33+BB33+BE33+BF33+BI33+BJ33+BM33+BN33+BQ33+BR33+BU33+BV33+BY33+BZ33+CC33+CD33+CG33+CH33+CK33+CL33+CO33+CP33+CS33+CT33+CW33+CX33+DA33+DB33+DE33+DF33+DI33+DJ33+DM33+DN33+DQ33+DR33+DU33+DV33+DY33+DZ33+EC33+ED33+EG33+EH33+EK33+EL33+EO33+EP33+ES33+ET33+EW33+EX33+FA33+FB33+FE33+FF33</f>
        <v>4</v>
      </c>
      <c r="E33" s="6" t="n">
        <f aca="false">G33+H33</f>
        <v>4</v>
      </c>
      <c r="F33" s="6" t="n">
        <f aca="false">E33-C33</f>
        <v>0</v>
      </c>
      <c r="G33" s="6" t="n">
        <f aca="false">K33+O33+S33+W33+AA33+AE33+AI33+AM33+AQ33+AU33+AY33+BC33+BG33+BK33+BO33+BS33+BW33+CA33+CE33+CI33+CM33+CQ33+CU33+CY33+DC33+DG33+DK33+DO33+DS33+DW33+EA33+EE33+EI33+EM33+EQ33+EU33+EY33+FC33+FG33</f>
        <v>4</v>
      </c>
      <c r="H33" s="6" t="n">
        <f aca="false">L33+P33+T33+X33+AB33+AF33+AJ33+AN33+AR33+AV33+AZ33+BD33+BH33+BL33+BP33+BT33+BX33+CB33+CF33+CJ33+CN33+CR33+CV33+CZ33+DD33+DH33+DL33+DP33+DT33+DX33+EB33+EF33+EJ33+EN33+ER33+EV33+EZ33+FD33+FH33</f>
        <v>0</v>
      </c>
      <c r="I33" s="7" t="n">
        <v>0</v>
      </c>
      <c r="J33" s="7" t="n">
        <v>0</v>
      </c>
      <c r="K33" s="11" t="n">
        <f aca="false">SUMIFS('Исходные данные'!$I$2:$I$964,'Исходные данные'!$D$2:$D$964,K$1,'Исходные данные'!$F$2:$F$964,$A33)</f>
        <v>0</v>
      </c>
      <c r="L33" s="11" t="n">
        <f aca="false">SUMIFS('Исходные данные'!$J$2:$J$964,'Исходные данные'!$D$2:$D$964,K$1,'Исходные данные'!$F$2:$F$964,$A33)</f>
        <v>0</v>
      </c>
      <c r="M33" s="7" t="n">
        <v>0</v>
      </c>
      <c r="N33" s="7" t="n">
        <v>0</v>
      </c>
      <c r="O33" s="11" t="n">
        <f aca="false">SUMIFS('Исходные данные'!$I$2:$I$964,'Исходные данные'!$D$2:$D$964,O$1,'Исходные данные'!$F$2:$F$964,$A33)</f>
        <v>0</v>
      </c>
      <c r="P33" s="11" t="n">
        <f aca="false">SUMIFS('Исходные данные'!$J$2:$J$964,'Исходные данные'!$D$2:$D$964,O$1,'Исходные данные'!$F$2:$F$964,$A33)</f>
        <v>0</v>
      </c>
      <c r="Q33" s="7" t="n">
        <v>0</v>
      </c>
      <c r="R33" s="7" t="n">
        <v>0</v>
      </c>
      <c r="S33" s="11" t="n">
        <f aca="false">SUMIFS('Исходные данные'!$I$2:$I$964,'Исходные данные'!$D$2:$D$964,S$1,'Исходные данные'!$F$2:$F$964,$A33)</f>
        <v>0</v>
      </c>
      <c r="T33" s="11" t="n">
        <f aca="false">SUMIFS('Исходные данные'!$J$2:$J$964,'Исходные данные'!$D$2:$D$964,S$1,'Исходные данные'!$F$2:$F$964,$A33)</f>
        <v>0</v>
      </c>
      <c r="U33" s="7" t="n">
        <v>0</v>
      </c>
      <c r="V33" s="7" t="n">
        <v>0</v>
      </c>
      <c r="W33" s="11" t="n">
        <f aca="false">SUMIFS('Исходные данные'!$I$2:$I$964,'Исходные данные'!$D$2:$D$964,W$1,'Исходные данные'!$F$2:$F$964,$A33)</f>
        <v>0</v>
      </c>
      <c r="X33" s="11" t="n">
        <f aca="false">SUMIFS('Исходные данные'!$J$2:$J$964,'Исходные данные'!$D$2:$D$964,W$1,'Исходные данные'!$F$2:$F$964,$A33)</f>
        <v>0</v>
      </c>
      <c r="Y33" s="7" t="n">
        <v>0</v>
      </c>
      <c r="Z33" s="7" t="n">
        <v>0</v>
      </c>
      <c r="AA33" s="11" t="n">
        <f aca="false">SUMIFS('Исходные данные'!$I$2:$I$964,'Исходные данные'!$D$2:$D$964,AA$1,'Исходные данные'!$F$2:$F$964,$A33)</f>
        <v>0</v>
      </c>
      <c r="AB33" s="11" t="n">
        <f aca="false">SUMIFS('Исходные данные'!$J$2:$J$964,'Исходные данные'!$D$2:$D$964,AA$1,'Исходные данные'!$F$2:$F$964,$A33)</f>
        <v>0</v>
      </c>
      <c r="AC33" s="7" t="n">
        <v>0</v>
      </c>
      <c r="AD33" s="7" t="n">
        <v>0</v>
      </c>
      <c r="AE33" s="11" t="n">
        <f aca="false">SUMIFS('Исходные данные'!$I$2:$I$964,'Исходные данные'!$D$2:$D$964,AE$1,'Исходные данные'!$F$2:$F$964,$A33)</f>
        <v>0</v>
      </c>
      <c r="AF33" s="11" t="n">
        <f aca="false">SUMIFS('Исходные данные'!$J$2:$J$964,'Исходные данные'!$D$2:$D$964,AE$1,'Исходные данные'!$F$2:$F$964,$A33)</f>
        <v>0</v>
      </c>
      <c r="AG33" s="7" t="n">
        <v>0</v>
      </c>
      <c r="AH33" s="7" t="n">
        <v>0</v>
      </c>
      <c r="AI33" s="11" t="n">
        <f aca="false">SUMIFS('Исходные данные'!$I$2:$I$964,'Исходные данные'!$D$2:$D$964,AI$1,'Исходные данные'!$F$2:$F$964,$A33)</f>
        <v>0</v>
      </c>
      <c r="AJ33" s="11" t="n">
        <f aca="false">SUMIFS('Исходные данные'!$J$2:$J$964,'Исходные данные'!$D$2:$D$964,AI$1,'Исходные данные'!$F$2:$F$964,$A33)</f>
        <v>0</v>
      </c>
      <c r="AK33" s="7" t="n">
        <v>0</v>
      </c>
      <c r="AL33" s="7" t="n">
        <v>0</v>
      </c>
      <c r="AM33" s="11" t="n">
        <f aca="false">SUMIFS('Исходные данные'!$I$2:$I$964,'Исходные данные'!$D$2:$D$964,AM$1,'Исходные данные'!$F$2:$F$964,$A33)</f>
        <v>0</v>
      </c>
      <c r="AN33" s="11" t="n">
        <f aca="false">SUMIFS('Исходные данные'!$J$2:$J$964,'Исходные данные'!$D$2:$D$964,AM$1,'Исходные данные'!$F$2:$F$964,$A33)</f>
        <v>0</v>
      </c>
      <c r="AO33" s="7" t="n">
        <v>0</v>
      </c>
      <c r="AP33" s="7" t="n">
        <v>0</v>
      </c>
      <c r="AQ33" s="11" t="n">
        <f aca="false">SUMIFS('Исходные данные'!$I$2:$I$964,'Исходные данные'!$D$2:$D$964,AQ$1,'Исходные данные'!$F$2:$F$964,$A33)</f>
        <v>0</v>
      </c>
      <c r="AR33" s="11" t="n">
        <f aca="false">SUMIFS('Исходные данные'!$J$2:$J$964,'Исходные данные'!$D$2:$D$964,AQ$1,'Исходные данные'!$F$2:$F$964,$A33)</f>
        <v>0</v>
      </c>
      <c r="AS33" s="7" t="n">
        <v>0</v>
      </c>
      <c r="AT33" s="7" t="n">
        <v>0</v>
      </c>
      <c r="AU33" s="11" t="n">
        <f aca="false">SUMIFS('Исходные данные'!$I$2:$I$964,'Исходные данные'!$D$2:$D$964,AU$1,'Исходные данные'!$F$2:$F$964,$A33)</f>
        <v>0</v>
      </c>
      <c r="AV33" s="11" t="n">
        <f aca="false">SUMIFS('Исходные данные'!$J$2:$J$964,'Исходные данные'!$D$2:$D$964,AU$1,'Исходные данные'!$F$2:$F$964,$A33)</f>
        <v>0</v>
      </c>
      <c r="AW33" s="7" t="n">
        <v>0</v>
      </c>
      <c r="AX33" s="7" t="n">
        <v>0</v>
      </c>
      <c r="AY33" s="11" t="n">
        <f aca="false">SUMIFS('Исходные данные'!$I$2:$I$964,'Исходные данные'!$D$2:$D$964,AY$1,'Исходные данные'!$F$2:$F$964,$A33)</f>
        <v>0</v>
      </c>
      <c r="AZ33" s="11" t="n">
        <f aca="false">SUMIFS('Исходные данные'!$J$2:$J$964,'Исходные данные'!$D$2:$D$964,AY$1,'Исходные данные'!$F$2:$F$964,$A33)</f>
        <v>0</v>
      </c>
      <c r="BA33" s="7" t="n">
        <v>0</v>
      </c>
      <c r="BB33" s="7" t="n">
        <v>0</v>
      </c>
      <c r="BC33" s="11" t="n">
        <f aca="false">SUMIFS('Исходные данные'!$I$2:$I$964,'Исходные данные'!$D$2:$D$964,BC$1,'Исходные данные'!$F$2:$F$964,$A33)</f>
        <v>0</v>
      </c>
      <c r="BD33" s="11" t="n">
        <f aca="false">SUMIFS('Исходные данные'!$J$2:$J$964,'Исходные данные'!$D$2:$D$964,BC$1,'Исходные данные'!$F$2:$F$964,$A33)</f>
        <v>0</v>
      </c>
      <c r="BE33" s="7" t="n">
        <v>3</v>
      </c>
      <c r="BF33" s="7" t="n">
        <v>0</v>
      </c>
      <c r="BG33" s="11" t="n">
        <f aca="false">SUMIFS('Исходные данные'!$I$2:$I$964,'Исходные данные'!$D$2:$D$964,BG$1,'Исходные данные'!$F$2:$F$964,$A33)</f>
        <v>3</v>
      </c>
      <c r="BH33" s="11" t="n">
        <f aca="false">SUMIFS('Исходные данные'!$J$2:$J$964,'Исходные данные'!$D$2:$D$964,BG$1,'Исходные данные'!$F$2:$F$964,$A33)</f>
        <v>0</v>
      </c>
      <c r="BI33" s="7" t="n">
        <v>1</v>
      </c>
      <c r="BJ33" s="7" t="n">
        <v>0</v>
      </c>
      <c r="BK33" s="11" t="n">
        <f aca="false">SUMIFS('Исходные данные'!$I$2:$I$964,'Исходные данные'!$D$2:$D$964,BK$1,'Исходные данные'!$F$2:$F$964,$A33)</f>
        <v>1</v>
      </c>
      <c r="BL33" s="11" t="n">
        <f aca="false">SUMIFS('Исходные данные'!$J$2:$J$964,'Исходные данные'!$D$2:$D$964,BK$1,'Исходные данные'!$F$2:$F$964,$A33)</f>
        <v>0</v>
      </c>
      <c r="BM33" s="7" t="n">
        <v>0</v>
      </c>
      <c r="BN33" s="7" t="n">
        <v>0</v>
      </c>
      <c r="BO33" s="11" t="n">
        <f aca="false">SUMIFS('Исходные данные'!$I$2:$I$964,'Исходные данные'!$D$2:$D$964,BO$1,'Исходные данные'!$F$2:$F$964,$A33)</f>
        <v>0</v>
      </c>
      <c r="BP33" s="11" t="n">
        <f aca="false">SUMIFS('Исходные данные'!$J$2:$J$964,'Исходные данные'!$D$2:$D$964,BO$1,'Исходные данные'!$F$2:$F$964,$A33)</f>
        <v>0</v>
      </c>
      <c r="BQ33" s="7" t="n">
        <v>0</v>
      </c>
      <c r="BR33" s="7" t="n">
        <v>0</v>
      </c>
      <c r="BS33" s="11" t="n">
        <f aca="false">SUMIFS('Исходные данные'!$I$2:$I$964,'Исходные данные'!$D$2:$D$964,BS$1,'Исходные данные'!$F$2:$F$964,$A33)</f>
        <v>0</v>
      </c>
      <c r="BT33" s="11" t="n">
        <f aca="false">SUMIFS('Исходные данные'!$J$2:$J$964,'Исходные данные'!$D$2:$D$964,BS$1,'Исходные данные'!$F$2:$F$964,$A33)</f>
        <v>0</v>
      </c>
      <c r="BU33" s="7" t="n">
        <v>0</v>
      </c>
      <c r="BV33" s="7" t="n">
        <v>0</v>
      </c>
      <c r="BW33" s="11" t="n">
        <f aca="false">SUMIFS('Исходные данные'!$I$2:$I$964,'Исходные данные'!$D$2:$D$964,BW$1,'Исходные данные'!$F$2:$F$964,$A33)</f>
        <v>0</v>
      </c>
      <c r="BX33" s="11" t="n">
        <f aca="false">SUMIFS('Исходные данные'!$J$2:$J$964,'Исходные данные'!$D$2:$D$964,BW$1,'Исходные данные'!$F$2:$F$964,$A33)</f>
        <v>0</v>
      </c>
      <c r="BY33" s="7" t="n">
        <v>0</v>
      </c>
      <c r="BZ33" s="7" t="n">
        <v>0</v>
      </c>
      <c r="CA33" s="11" t="n">
        <f aca="false">SUMIFS('Исходные данные'!$I$2:$I$964,'Исходные данные'!$D$2:$D$964,CA$1,'Исходные данные'!$F$2:$F$964,$A33)</f>
        <v>0</v>
      </c>
      <c r="CB33" s="11" t="n">
        <f aca="false">SUMIFS('Исходные данные'!$J$2:$J$964,'Исходные данные'!$D$2:$D$964,CA$1,'Исходные данные'!$F$2:$F$964,$A33)</f>
        <v>0</v>
      </c>
      <c r="CC33" s="7" t="n">
        <v>0</v>
      </c>
      <c r="CD33" s="7" t="n">
        <v>0</v>
      </c>
      <c r="CE33" s="11" t="n">
        <f aca="false">SUMIFS('Исходные данные'!$I$2:$I$964,'Исходные данные'!$D$2:$D$964,CE$1,'Исходные данные'!$F$2:$F$964,$A33)</f>
        <v>0</v>
      </c>
      <c r="CF33" s="11" t="n">
        <f aca="false">SUMIFS('Исходные данные'!$J$2:$J$964,'Исходные данные'!$D$2:$D$964,CE$1,'Исходные данные'!$F$2:$F$964,$A33)</f>
        <v>0</v>
      </c>
      <c r="CG33" s="7" t="n">
        <v>0</v>
      </c>
      <c r="CH33" s="7" t="n">
        <v>0</v>
      </c>
      <c r="CI33" s="11" t="n">
        <f aca="false">SUMIFS('Исходные данные'!$I$2:$I$964,'Исходные данные'!$D$2:$D$964,CI$1,'Исходные данные'!$F$2:$F$964,$A33)</f>
        <v>0</v>
      </c>
      <c r="CJ33" s="11" t="n">
        <f aca="false">SUMIFS('Исходные данные'!$J$2:$J$964,'Исходные данные'!$D$2:$D$964,CI$1,'Исходные данные'!$F$2:$F$964,$A33)</f>
        <v>0</v>
      </c>
      <c r="CK33" s="7" t="n">
        <v>0</v>
      </c>
      <c r="CL33" s="7" t="n">
        <v>0</v>
      </c>
      <c r="CM33" s="11" t="n">
        <f aca="false">SUMIFS('Исходные данные'!$I$2:$I$964,'Исходные данные'!$D$2:$D$964,CM$1,'Исходные данные'!$F$2:$F$964,$A33)</f>
        <v>0</v>
      </c>
      <c r="CN33" s="11" t="n">
        <f aca="false">SUMIFS('Исходные данные'!$J$2:$J$964,'Исходные данные'!$D$2:$D$964,CM$1,'Исходные данные'!$F$2:$F$964,$A33)</f>
        <v>0</v>
      </c>
      <c r="CO33" s="7" t="n">
        <v>0</v>
      </c>
      <c r="CP33" s="7" t="n">
        <v>0</v>
      </c>
      <c r="CQ33" s="11" t="n">
        <f aca="false">SUMIFS('Исходные данные'!$I$2:$I$964,'Исходные данные'!$D$2:$D$964,CQ$1,'Исходные данные'!$F$2:$F$964,$A33)</f>
        <v>0</v>
      </c>
      <c r="CR33" s="11" t="n">
        <f aca="false">SUMIFS('Исходные данные'!$J$2:$J$964,'Исходные данные'!$D$2:$D$964,CQ$1,'Исходные данные'!$F$2:$F$964,$A33)</f>
        <v>0</v>
      </c>
      <c r="CS33" s="7" t="n">
        <v>0</v>
      </c>
      <c r="CT33" s="7" t="n">
        <v>0</v>
      </c>
      <c r="CU33" s="11" t="n">
        <f aca="false">SUMIFS('Исходные данные'!$I$2:$I$964,'Исходные данные'!$D$2:$D$964,CU$1,'Исходные данные'!$F$2:$F$964,$A33)</f>
        <v>0</v>
      </c>
      <c r="CV33" s="11" t="n">
        <f aca="false">SUMIFS('Исходные данные'!$J$2:$J$964,'Исходные данные'!$D$2:$D$964,CU$1,'Исходные данные'!$F$2:$F$964,$A33)</f>
        <v>0</v>
      </c>
      <c r="CW33" s="7" t="n">
        <v>0</v>
      </c>
      <c r="CX33" s="7" t="n">
        <v>0</v>
      </c>
      <c r="CY33" s="11" t="n">
        <f aca="false">SUMIFS('Исходные данные'!$I$2:$I$964,'Исходные данные'!$D$2:$D$964,CY$1,'Исходные данные'!$F$2:$F$964,$A33)</f>
        <v>0</v>
      </c>
      <c r="CZ33" s="11" t="n">
        <f aca="false">SUMIFS('Исходные данные'!$J$2:$J$964,'Исходные данные'!$D$2:$D$964,CY$1,'Исходные данные'!$F$2:$F$964,$A33)</f>
        <v>0</v>
      </c>
      <c r="DA33" s="7" t="n">
        <v>0</v>
      </c>
      <c r="DB33" s="7" t="n">
        <v>0</v>
      </c>
      <c r="DC33" s="11" t="n">
        <f aca="false">SUMIFS('Исходные данные'!$I$2:$I$964,'Исходные данные'!$D$2:$D$964,DC$1,'Исходные данные'!$F$2:$F$964,$A33)</f>
        <v>0</v>
      </c>
      <c r="DD33" s="11" t="n">
        <f aca="false">SUMIFS('Исходные данные'!$J$2:$J$964,'Исходные данные'!$D$2:$D$964,DC$1,'Исходные данные'!$F$2:$F$964,$A33)</f>
        <v>0</v>
      </c>
      <c r="DE33" s="7" t="n">
        <v>0</v>
      </c>
      <c r="DF33" s="7" t="n">
        <v>0</v>
      </c>
      <c r="DG33" s="11" t="n">
        <f aca="false">SUMIFS('Исходные данные'!$I$2:$I$964,'Исходные данные'!$D$2:$D$964,DG$1,'Исходные данные'!$F$2:$F$964,$A33)</f>
        <v>0</v>
      </c>
      <c r="DH33" s="11" t="n">
        <f aca="false">SUMIFS('Исходные данные'!$J$2:$J$964,'Исходные данные'!$D$2:$D$964,DG$1,'Исходные данные'!$F$2:$F$964,$A33)</f>
        <v>0</v>
      </c>
      <c r="DI33" s="7" t="n">
        <v>0</v>
      </c>
      <c r="DJ33" s="7" t="n">
        <v>0</v>
      </c>
      <c r="DK33" s="11" t="n">
        <f aca="false">SUMIFS('Исходные данные'!$I$2:$I$964,'Исходные данные'!$D$2:$D$964,DK$1,'Исходные данные'!$F$2:$F$964,$A33)</f>
        <v>0</v>
      </c>
      <c r="DL33" s="11" t="n">
        <f aca="false">SUMIFS('Исходные данные'!$J$2:$J$964,'Исходные данные'!$D$2:$D$964,DK$1,'Исходные данные'!$F$2:$F$964,$A33)</f>
        <v>0</v>
      </c>
      <c r="DM33" s="7" t="n">
        <v>0</v>
      </c>
      <c r="DN33" s="7" t="n">
        <v>0</v>
      </c>
      <c r="DO33" s="11" t="n">
        <f aca="false">SUMIFS('Исходные данные'!$I$2:$I$964,'Исходные данные'!$D$2:$D$964,DO$1,'Исходные данные'!$F$2:$F$964,$A33)</f>
        <v>0</v>
      </c>
      <c r="DP33" s="11" t="n">
        <f aca="false">SUMIFS('Исходные данные'!$J$2:$J$964,'Исходные данные'!$D$2:$D$964,DO$1,'Исходные данные'!$F$2:$F$964,$A33)</f>
        <v>0</v>
      </c>
      <c r="DQ33" s="7" t="n">
        <v>0</v>
      </c>
      <c r="DR33" s="7" t="n">
        <v>0</v>
      </c>
      <c r="DS33" s="11" t="n">
        <f aca="false">SUMIFS('Исходные данные'!$I$2:$I$964,'Исходные данные'!$D$2:$D$964,DS$1,'Исходные данные'!$F$2:$F$964,$A33)</f>
        <v>0</v>
      </c>
      <c r="DT33" s="11" t="n">
        <f aca="false">SUMIFS('Исходные данные'!$J$2:$J$964,'Исходные данные'!$D$2:$D$964,DS$1,'Исходные данные'!$F$2:$F$964,$A33)</f>
        <v>0</v>
      </c>
      <c r="DU33" s="7" t="n">
        <v>0</v>
      </c>
      <c r="DV33" s="7" t="n">
        <v>0</v>
      </c>
      <c r="DW33" s="11" t="n">
        <f aca="false">SUMIFS('Исходные данные'!$I$2:$I$964,'Исходные данные'!$D$2:$D$964,DW$1,'Исходные данные'!$F$2:$F$964,$A33)</f>
        <v>0</v>
      </c>
      <c r="DX33" s="11" t="n">
        <f aca="false">SUMIFS('Исходные данные'!$J$2:$J$964,'Исходные данные'!$D$2:$D$964,DW$1,'Исходные данные'!$F$2:$F$964,$A33)</f>
        <v>0</v>
      </c>
      <c r="DY33" s="7" t="n">
        <v>0</v>
      </c>
      <c r="DZ33" s="7" t="n">
        <v>0</v>
      </c>
      <c r="EA33" s="11" t="n">
        <f aca="false">SUMIFS('Исходные данные'!$I$2:$I$964,'Исходные данные'!$D$2:$D$964,EA$1,'Исходные данные'!$F$2:$F$964,$A33)</f>
        <v>0</v>
      </c>
      <c r="EB33" s="11" t="n">
        <f aca="false">SUMIFS('Исходные данные'!$J$2:$J$964,'Исходные данные'!$D$2:$D$964,EA$1,'Исходные данные'!$F$2:$F$964,$A33)</f>
        <v>0</v>
      </c>
      <c r="EC33" s="7" t="n">
        <v>0</v>
      </c>
      <c r="ED33" s="7" t="n">
        <v>0</v>
      </c>
      <c r="EE33" s="11" t="n">
        <f aca="false">SUMIFS('Исходные данные'!$I$2:$I$964,'Исходные данные'!$D$2:$D$964,EE$1,'Исходные данные'!$F$2:$F$964,$A33)</f>
        <v>0</v>
      </c>
      <c r="EF33" s="11" t="n">
        <f aca="false">SUMIFS('Исходные данные'!$J$2:$J$964,'Исходные данные'!$D$2:$D$964,EE$1,'Исходные данные'!$F$2:$F$964,$A33)</f>
        <v>0</v>
      </c>
      <c r="EG33" s="7" t="n">
        <v>0</v>
      </c>
      <c r="EH33" s="7" t="n">
        <v>0</v>
      </c>
      <c r="EI33" s="11" t="n">
        <f aca="false">SUMIFS('Исходные данные'!$I$2:$I$964,'Исходные данные'!$D$2:$D$964,EI$1,'Исходные данные'!$F$2:$F$964,$A33)</f>
        <v>0</v>
      </c>
      <c r="EJ33" s="11" t="n">
        <f aca="false">SUMIFS('Исходные данные'!$J$2:$J$964,'Исходные данные'!$D$2:$D$964,EI$1,'Исходные данные'!$F$2:$F$964,$A33)</f>
        <v>0</v>
      </c>
      <c r="EK33" s="7" t="n">
        <v>0</v>
      </c>
      <c r="EL33" s="7" t="n">
        <v>0</v>
      </c>
      <c r="EM33" s="11" t="n">
        <f aca="false">SUMIFS('Исходные данные'!$I$2:$I$964,'Исходные данные'!$D$2:$D$964,EM$1,'Исходные данные'!$F$2:$F$964,$A33)</f>
        <v>0</v>
      </c>
      <c r="EN33" s="11" t="n">
        <f aca="false">SUMIFS('Исходные данные'!$J$2:$J$964,'Исходные данные'!$D$2:$D$964,EM$1,'Исходные данные'!$F$2:$F$964,$A33)</f>
        <v>0</v>
      </c>
      <c r="EO33" s="7" t="n">
        <v>0</v>
      </c>
      <c r="EP33" s="7" t="n">
        <v>0</v>
      </c>
      <c r="EQ33" s="11" t="n">
        <f aca="false">SUMIFS('Исходные данные'!$I$2:$I$964,'Исходные данные'!$D$2:$D$964,EQ$1,'Исходные данные'!$F$2:$F$964,$A33)</f>
        <v>0</v>
      </c>
      <c r="ER33" s="11" t="n">
        <f aca="false">SUMIFS('Исходные данные'!$J$2:$J$964,'Исходные данные'!$D$2:$D$964,EQ$1,'Исходные данные'!$F$2:$F$964,$A33)</f>
        <v>0</v>
      </c>
      <c r="ES33" s="7" t="n">
        <v>0</v>
      </c>
      <c r="ET33" s="7" t="n">
        <v>0</v>
      </c>
      <c r="EU33" s="11" t="n">
        <f aca="false">SUMIFS('Исходные данные'!$I$2:$I$964,'Исходные данные'!$D$2:$D$964,EU$1,'Исходные данные'!$F$2:$F$964,$A33)</f>
        <v>0</v>
      </c>
      <c r="EV33" s="11" t="n">
        <f aca="false">SUMIFS('Исходные данные'!$J$2:$J$964,'Исходные данные'!$D$2:$D$964,EU$1,'Исходные данные'!$F$2:$F$964,$A33)</f>
        <v>0</v>
      </c>
      <c r="EW33" s="7" t="n">
        <v>0</v>
      </c>
      <c r="EX33" s="7" t="n">
        <v>0</v>
      </c>
      <c r="EY33" s="11" t="n">
        <f aca="false">SUMIFS('Исходные данные'!$I$2:$I$964,'Исходные данные'!$D$2:$D$964,EY$1,'Исходные данные'!$F$2:$F$964,$A33)</f>
        <v>0</v>
      </c>
      <c r="EZ33" s="11" t="n">
        <f aca="false">SUMIFS('Исходные данные'!$J$2:$J$964,'Исходные данные'!$D$2:$D$964,EY$1,'Исходные данные'!$F$2:$F$964,$A33)</f>
        <v>0</v>
      </c>
      <c r="FA33" s="7" t="n">
        <v>0</v>
      </c>
      <c r="FB33" s="7" t="n">
        <v>0</v>
      </c>
      <c r="FC33" s="11" t="n">
        <f aca="false">SUMIFS('Исходные данные'!$I$2:$I$964,'Исходные данные'!$D$2:$D$964,FC$1,'Исходные данные'!$F$2:$F$964,$A33)</f>
        <v>0</v>
      </c>
      <c r="FD33" s="11" t="n">
        <f aca="false">SUMIFS('Исходные данные'!$J$2:$J$964,'Исходные данные'!$D$2:$D$964,FC$1,'Исходные данные'!$F$2:$F$964,$A33)</f>
        <v>0</v>
      </c>
      <c r="FE33" s="7" t="n">
        <v>0</v>
      </c>
      <c r="FF33" s="7" t="n">
        <v>0</v>
      </c>
      <c r="FG33" s="11" t="n">
        <f aca="false">SUMIFS('Исходные данные'!$I$2:$I$964,'Исходные данные'!$D$2:$D$964,FG$1,'Исходные данные'!$F$2:$F$964,$A33)</f>
        <v>0</v>
      </c>
      <c r="FH33" s="11" t="n">
        <f aca="false">SUMIFS('Исходные данные'!$J$2:$J$964,'Исходные данные'!$D$2:$D$964,FG$1,'Исходные данные'!$F$2:$F$964,$A33)</f>
        <v>0</v>
      </c>
    </row>
    <row r="34" customFormat="false" ht="15" hidden="false" customHeight="false" outlineLevel="0" collapsed="false">
      <c r="A34" s="10" t="s">
        <v>111</v>
      </c>
      <c r="B34" s="11" t="s">
        <v>112</v>
      </c>
      <c r="C34" s="6" t="n">
        <v>7</v>
      </c>
      <c r="D34" s="6" t="n">
        <f aca="false">I34+J34+M34+N34+Q34+R34+U34+V34+Y34+Z34+AC34+AD34+AG34+AH34+AK34+AL34+AO34+AP34+AS34+AT34+AW34+AX34+BA34+BB34+BE34+BF34+BI34+BJ34+BM34+BN34+BQ34+BR34+BU34+BV34+BY34+BZ34+CC34+CD34+CG34+CH34+CK34+CL34+CO34+CP34+CS34+CT34+CW34+CX34+DA34+DB34+DE34+DF34+DI34+DJ34+DM34+DN34+DQ34+DR34+DU34+DV34+DY34+DZ34+EC34+ED34+EG34+EH34+EK34+EL34+EO34+EP34+ES34+ET34+EW34+EX34+FA34+FB34+FE34+FF34</f>
        <v>7</v>
      </c>
      <c r="E34" s="6" t="n">
        <f aca="false">G34+H34</f>
        <v>7</v>
      </c>
      <c r="F34" s="6" t="n">
        <f aca="false">E34-C34</f>
        <v>0</v>
      </c>
      <c r="G34" s="6" t="n">
        <f aca="false">K34+O34+S34+W34+AA34+AE34+AI34+AM34+AQ34+AU34+AY34+BC34+BG34+BK34+BO34+BS34+BW34+CA34+CE34+CI34+CM34+CQ34+CU34+CY34+DC34+DG34+DK34+DO34+DS34+DW34+EA34+EE34+EI34+EM34+EQ34+EU34+EY34+FC34+FG34</f>
        <v>6</v>
      </c>
      <c r="H34" s="6" t="n">
        <f aca="false">L34+P34+T34+X34+AB34+AF34+AJ34+AN34+AR34+AV34+AZ34+BD34+BH34+BL34+BP34+BT34+BX34+CB34+CF34+CJ34+CN34+CR34+CV34+CZ34+DD34+DH34+DL34+DP34+DT34+DX34+EB34+EF34+EJ34+EN34+ER34+EV34+EZ34+FD34+FH34</f>
        <v>1</v>
      </c>
      <c r="I34" s="7" t="n">
        <v>1</v>
      </c>
      <c r="J34" s="7" t="n">
        <v>1</v>
      </c>
      <c r="K34" s="11" t="n">
        <f aca="false">SUMIFS('Исходные данные'!$I$2:$I$964,'Исходные данные'!$D$2:$D$964,K$1,'Исходные данные'!$F$2:$F$964,$A34)</f>
        <v>1</v>
      </c>
      <c r="L34" s="11" t="n">
        <f aca="false">SUMIFS('Исходные данные'!$J$2:$J$964,'Исходные данные'!$D$2:$D$964,K$1,'Исходные данные'!$F$2:$F$964,$A34)</f>
        <v>1</v>
      </c>
      <c r="M34" s="7" t="n">
        <v>0</v>
      </c>
      <c r="N34" s="7" t="n">
        <v>0</v>
      </c>
      <c r="O34" s="11" t="n">
        <f aca="false">SUMIFS('Исходные данные'!$I$2:$I$964,'Исходные данные'!$D$2:$D$964,O$1,'Исходные данные'!$F$2:$F$964,$A34)</f>
        <v>0</v>
      </c>
      <c r="P34" s="11" t="n">
        <f aca="false">SUMIFS('Исходные данные'!$J$2:$J$964,'Исходные данные'!$D$2:$D$964,O$1,'Исходные данные'!$F$2:$F$964,$A34)</f>
        <v>0</v>
      </c>
      <c r="Q34" s="7" t="n">
        <v>1</v>
      </c>
      <c r="R34" s="7" t="n">
        <v>0</v>
      </c>
      <c r="S34" s="11" t="n">
        <f aca="false">SUMIFS('Исходные данные'!$I$2:$I$964,'Исходные данные'!$D$2:$D$964,S$1,'Исходные данные'!$F$2:$F$964,$A34)</f>
        <v>1</v>
      </c>
      <c r="T34" s="11" t="n">
        <f aca="false">SUMIFS('Исходные данные'!$J$2:$J$964,'Исходные данные'!$D$2:$D$964,S$1,'Исходные данные'!$F$2:$F$964,$A34)</f>
        <v>0</v>
      </c>
      <c r="U34" s="7" t="n">
        <v>0</v>
      </c>
      <c r="V34" s="7" t="n">
        <v>0</v>
      </c>
      <c r="W34" s="11" t="n">
        <f aca="false">SUMIFS('Исходные данные'!$I$2:$I$964,'Исходные данные'!$D$2:$D$964,W$1,'Исходные данные'!$F$2:$F$964,$A34)</f>
        <v>0</v>
      </c>
      <c r="X34" s="11" t="n">
        <f aca="false">SUMIFS('Исходные данные'!$J$2:$J$964,'Исходные данные'!$D$2:$D$964,W$1,'Исходные данные'!$F$2:$F$964,$A34)</f>
        <v>0</v>
      </c>
      <c r="Y34" s="7" t="n">
        <v>0</v>
      </c>
      <c r="Z34" s="7" t="n">
        <v>0</v>
      </c>
      <c r="AA34" s="11" t="n">
        <f aca="false">SUMIFS('Исходные данные'!$I$2:$I$964,'Исходные данные'!$D$2:$D$964,AA$1,'Исходные данные'!$F$2:$F$964,$A34)</f>
        <v>0</v>
      </c>
      <c r="AB34" s="11" t="n">
        <f aca="false">SUMIFS('Исходные данные'!$J$2:$J$964,'Исходные данные'!$D$2:$D$964,AA$1,'Исходные данные'!$F$2:$F$964,$A34)</f>
        <v>0</v>
      </c>
      <c r="AC34" s="7" t="n">
        <v>4</v>
      </c>
      <c r="AD34" s="7" t="n">
        <v>0</v>
      </c>
      <c r="AE34" s="11" t="n">
        <f aca="false">SUMIFS('Исходные данные'!$I$2:$I$964,'Исходные данные'!$D$2:$D$964,AE$1,'Исходные данные'!$F$2:$F$964,$A34)</f>
        <v>4</v>
      </c>
      <c r="AF34" s="11" t="n">
        <f aca="false">SUMIFS('Исходные данные'!$J$2:$J$964,'Исходные данные'!$D$2:$D$964,AE$1,'Исходные данные'!$F$2:$F$964,$A34)</f>
        <v>0</v>
      </c>
      <c r="AG34" s="7" t="n">
        <v>0</v>
      </c>
      <c r="AH34" s="7" t="n">
        <v>0</v>
      </c>
      <c r="AI34" s="11" t="n">
        <f aca="false">SUMIFS('Исходные данные'!$I$2:$I$964,'Исходные данные'!$D$2:$D$964,AI$1,'Исходные данные'!$F$2:$F$964,$A34)</f>
        <v>0</v>
      </c>
      <c r="AJ34" s="11" t="n">
        <f aca="false">SUMIFS('Исходные данные'!$J$2:$J$964,'Исходные данные'!$D$2:$D$964,AI$1,'Исходные данные'!$F$2:$F$964,$A34)</f>
        <v>0</v>
      </c>
      <c r="AK34" s="7" t="n">
        <v>0</v>
      </c>
      <c r="AL34" s="7" t="n">
        <v>0</v>
      </c>
      <c r="AM34" s="11" t="n">
        <f aca="false">SUMIFS('Исходные данные'!$I$2:$I$964,'Исходные данные'!$D$2:$D$964,AM$1,'Исходные данные'!$F$2:$F$964,$A34)</f>
        <v>0</v>
      </c>
      <c r="AN34" s="11" t="n">
        <f aca="false">SUMIFS('Исходные данные'!$J$2:$J$964,'Исходные данные'!$D$2:$D$964,AM$1,'Исходные данные'!$F$2:$F$964,$A34)</f>
        <v>0</v>
      </c>
      <c r="AO34" s="7" t="n">
        <v>0</v>
      </c>
      <c r="AP34" s="7" t="n">
        <v>0</v>
      </c>
      <c r="AQ34" s="11" t="n">
        <f aca="false">SUMIFS('Исходные данные'!$I$2:$I$964,'Исходные данные'!$D$2:$D$964,AQ$1,'Исходные данные'!$F$2:$F$964,$A34)</f>
        <v>0</v>
      </c>
      <c r="AR34" s="11" t="n">
        <f aca="false">SUMIFS('Исходные данные'!$J$2:$J$964,'Исходные данные'!$D$2:$D$964,AQ$1,'Исходные данные'!$F$2:$F$964,$A34)</f>
        <v>0</v>
      </c>
      <c r="AS34" s="7" t="n">
        <v>0</v>
      </c>
      <c r="AT34" s="7" t="n">
        <v>0</v>
      </c>
      <c r="AU34" s="11" t="n">
        <f aca="false">SUMIFS('Исходные данные'!$I$2:$I$964,'Исходные данные'!$D$2:$D$964,AU$1,'Исходные данные'!$F$2:$F$964,$A34)</f>
        <v>0</v>
      </c>
      <c r="AV34" s="11" t="n">
        <f aca="false">SUMIFS('Исходные данные'!$J$2:$J$964,'Исходные данные'!$D$2:$D$964,AU$1,'Исходные данные'!$F$2:$F$964,$A34)</f>
        <v>0</v>
      </c>
      <c r="AW34" s="7" t="n">
        <v>0</v>
      </c>
      <c r="AX34" s="7" t="n">
        <v>0</v>
      </c>
      <c r="AY34" s="11" t="n">
        <f aca="false">SUMIFS('Исходные данные'!$I$2:$I$964,'Исходные данные'!$D$2:$D$964,AY$1,'Исходные данные'!$F$2:$F$964,$A34)</f>
        <v>0</v>
      </c>
      <c r="AZ34" s="11" t="n">
        <f aca="false">SUMIFS('Исходные данные'!$J$2:$J$964,'Исходные данные'!$D$2:$D$964,AY$1,'Исходные данные'!$F$2:$F$964,$A34)</f>
        <v>0</v>
      </c>
      <c r="BA34" s="7" t="n">
        <v>0</v>
      </c>
      <c r="BB34" s="7" t="n">
        <v>0</v>
      </c>
      <c r="BC34" s="11" t="n">
        <f aca="false">SUMIFS('Исходные данные'!$I$2:$I$964,'Исходные данные'!$D$2:$D$964,BC$1,'Исходные данные'!$F$2:$F$964,$A34)</f>
        <v>0</v>
      </c>
      <c r="BD34" s="11" t="n">
        <f aca="false">SUMIFS('Исходные данные'!$J$2:$J$964,'Исходные данные'!$D$2:$D$964,BC$1,'Исходные данные'!$F$2:$F$964,$A34)</f>
        <v>0</v>
      </c>
      <c r="BE34" s="7" t="n">
        <v>0</v>
      </c>
      <c r="BF34" s="7" t="n">
        <v>0</v>
      </c>
      <c r="BG34" s="11" t="n">
        <f aca="false">SUMIFS('Исходные данные'!$I$2:$I$964,'Исходные данные'!$D$2:$D$964,BG$1,'Исходные данные'!$F$2:$F$964,$A34)</f>
        <v>0</v>
      </c>
      <c r="BH34" s="11" t="n">
        <f aca="false">SUMIFS('Исходные данные'!$J$2:$J$964,'Исходные данные'!$D$2:$D$964,BG$1,'Исходные данные'!$F$2:$F$964,$A34)</f>
        <v>0</v>
      </c>
      <c r="BI34" s="7" t="n">
        <v>0</v>
      </c>
      <c r="BJ34" s="7" t="n">
        <v>0</v>
      </c>
      <c r="BK34" s="11" t="n">
        <f aca="false">SUMIFS('Исходные данные'!$I$2:$I$964,'Исходные данные'!$D$2:$D$964,BK$1,'Исходные данные'!$F$2:$F$964,$A34)</f>
        <v>0</v>
      </c>
      <c r="BL34" s="11" t="n">
        <f aca="false">SUMIFS('Исходные данные'!$J$2:$J$964,'Исходные данные'!$D$2:$D$964,BK$1,'Исходные данные'!$F$2:$F$964,$A34)</f>
        <v>0</v>
      </c>
      <c r="BM34" s="7" t="n">
        <v>0</v>
      </c>
      <c r="BN34" s="7" t="n">
        <v>0</v>
      </c>
      <c r="BO34" s="11" t="n">
        <f aca="false">SUMIFS('Исходные данные'!$I$2:$I$964,'Исходные данные'!$D$2:$D$964,BO$1,'Исходные данные'!$F$2:$F$964,$A34)</f>
        <v>0</v>
      </c>
      <c r="BP34" s="11" t="n">
        <f aca="false">SUMIFS('Исходные данные'!$J$2:$J$964,'Исходные данные'!$D$2:$D$964,BO$1,'Исходные данные'!$F$2:$F$964,$A34)</f>
        <v>0</v>
      </c>
      <c r="BQ34" s="7" t="n">
        <v>0</v>
      </c>
      <c r="BR34" s="7" t="n">
        <v>0</v>
      </c>
      <c r="BS34" s="11" t="n">
        <f aca="false">SUMIFS('Исходные данные'!$I$2:$I$964,'Исходные данные'!$D$2:$D$964,BS$1,'Исходные данные'!$F$2:$F$964,$A34)</f>
        <v>0</v>
      </c>
      <c r="BT34" s="11" t="n">
        <f aca="false">SUMIFS('Исходные данные'!$J$2:$J$964,'Исходные данные'!$D$2:$D$964,BS$1,'Исходные данные'!$F$2:$F$964,$A34)</f>
        <v>0</v>
      </c>
      <c r="BU34" s="7" t="n">
        <v>0</v>
      </c>
      <c r="BV34" s="7" t="n">
        <v>0</v>
      </c>
      <c r="BW34" s="11" t="n">
        <f aca="false">SUMIFS('Исходные данные'!$I$2:$I$964,'Исходные данные'!$D$2:$D$964,BW$1,'Исходные данные'!$F$2:$F$964,$A34)</f>
        <v>0</v>
      </c>
      <c r="BX34" s="11" t="n">
        <f aca="false">SUMIFS('Исходные данные'!$J$2:$J$964,'Исходные данные'!$D$2:$D$964,BW$1,'Исходные данные'!$F$2:$F$964,$A34)</f>
        <v>0</v>
      </c>
      <c r="BY34" s="7" t="n">
        <v>0</v>
      </c>
      <c r="BZ34" s="7" t="n">
        <v>0</v>
      </c>
      <c r="CA34" s="11" t="n">
        <f aca="false">SUMIFS('Исходные данные'!$I$2:$I$964,'Исходные данные'!$D$2:$D$964,CA$1,'Исходные данные'!$F$2:$F$964,$A34)</f>
        <v>0</v>
      </c>
      <c r="CB34" s="11" t="n">
        <f aca="false">SUMIFS('Исходные данные'!$J$2:$J$964,'Исходные данные'!$D$2:$D$964,CA$1,'Исходные данные'!$F$2:$F$964,$A34)</f>
        <v>0</v>
      </c>
      <c r="CC34" s="7" t="n">
        <v>0</v>
      </c>
      <c r="CD34" s="7" t="n">
        <v>0</v>
      </c>
      <c r="CE34" s="11" t="n">
        <f aca="false">SUMIFS('Исходные данные'!$I$2:$I$964,'Исходные данные'!$D$2:$D$964,CE$1,'Исходные данные'!$F$2:$F$964,$A34)</f>
        <v>0</v>
      </c>
      <c r="CF34" s="11" t="n">
        <f aca="false">SUMIFS('Исходные данные'!$J$2:$J$964,'Исходные данные'!$D$2:$D$964,CE$1,'Исходные данные'!$F$2:$F$964,$A34)</f>
        <v>0</v>
      </c>
      <c r="CG34" s="7" t="n">
        <v>0</v>
      </c>
      <c r="CH34" s="7" t="n">
        <v>0</v>
      </c>
      <c r="CI34" s="11" t="n">
        <f aca="false">SUMIFS('Исходные данные'!$I$2:$I$964,'Исходные данные'!$D$2:$D$964,CI$1,'Исходные данные'!$F$2:$F$964,$A34)</f>
        <v>0</v>
      </c>
      <c r="CJ34" s="11" t="n">
        <f aca="false">SUMIFS('Исходные данные'!$J$2:$J$964,'Исходные данные'!$D$2:$D$964,CI$1,'Исходные данные'!$F$2:$F$964,$A34)</f>
        <v>0</v>
      </c>
      <c r="CK34" s="7" t="n">
        <v>0</v>
      </c>
      <c r="CL34" s="7" t="n">
        <v>0</v>
      </c>
      <c r="CM34" s="11" t="n">
        <f aca="false">SUMIFS('Исходные данные'!$I$2:$I$964,'Исходные данные'!$D$2:$D$964,CM$1,'Исходные данные'!$F$2:$F$964,$A34)</f>
        <v>0</v>
      </c>
      <c r="CN34" s="11" t="n">
        <f aca="false">SUMIFS('Исходные данные'!$J$2:$J$964,'Исходные данные'!$D$2:$D$964,CM$1,'Исходные данные'!$F$2:$F$964,$A34)</f>
        <v>0</v>
      </c>
      <c r="CO34" s="7" t="n">
        <v>0</v>
      </c>
      <c r="CP34" s="7" t="n">
        <v>0</v>
      </c>
      <c r="CQ34" s="11" t="n">
        <f aca="false">SUMIFS('Исходные данные'!$I$2:$I$964,'Исходные данные'!$D$2:$D$964,CQ$1,'Исходные данные'!$F$2:$F$964,$A34)</f>
        <v>0</v>
      </c>
      <c r="CR34" s="11" t="n">
        <f aca="false">SUMIFS('Исходные данные'!$J$2:$J$964,'Исходные данные'!$D$2:$D$964,CQ$1,'Исходные данные'!$F$2:$F$964,$A34)</f>
        <v>0</v>
      </c>
      <c r="CS34" s="7" t="n">
        <v>0</v>
      </c>
      <c r="CT34" s="7" t="n">
        <v>0</v>
      </c>
      <c r="CU34" s="11" t="n">
        <f aca="false">SUMIFS('Исходные данные'!$I$2:$I$964,'Исходные данные'!$D$2:$D$964,CU$1,'Исходные данные'!$F$2:$F$964,$A34)</f>
        <v>0</v>
      </c>
      <c r="CV34" s="11" t="n">
        <f aca="false">SUMIFS('Исходные данные'!$J$2:$J$964,'Исходные данные'!$D$2:$D$964,CU$1,'Исходные данные'!$F$2:$F$964,$A34)</f>
        <v>0</v>
      </c>
      <c r="CW34" s="7" t="n">
        <v>0</v>
      </c>
      <c r="CX34" s="7" t="n">
        <v>0</v>
      </c>
      <c r="CY34" s="11" t="n">
        <f aca="false">SUMIFS('Исходные данные'!$I$2:$I$964,'Исходные данные'!$D$2:$D$964,CY$1,'Исходные данные'!$F$2:$F$964,$A34)</f>
        <v>0</v>
      </c>
      <c r="CZ34" s="11" t="n">
        <f aca="false">SUMIFS('Исходные данные'!$J$2:$J$964,'Исходные данные'!$D$2:$D$964,CY$1,'Исходные данные'!$F$2:$F$964,$A34)</f>
        <v>0</v>
      </c>
      <c r="DA34" s="7" t="n">
        <v>0</v>
      </c>
      <c r="DB34" s="7" t="n">
        <v>0</v>
      </c>
      <c r="DC34" s="11" t="n">
        <f aca="false">SUMIFS('Исходные данные'!$I$2:$I$964,'Исходные данные'!$D$2:$D$964,DC$1,'Исходные данные'!$F$2:$F$964,$A34)</f>
        <v>0</v>
      </c>
      <c r="DD34" s="11" t="n">
        <f aca="false">SUMIFS('Исходные данные'!$J$2:$J$964,'Исходные данные'!$D$2:$D$964,DC$1,'Исходные данные'!$F$2:$F$964,$A34)</f>
        <v>0</v>
      </c>
      <c r="DE34" s="7" t="n">
        <v>0</v>
      </c>
      <c r="DF34" s="7" t="n">
        <v>0</v>
      </c>
      <c r="DG34" s="11" t="n">
        <f aca="false">SUMIFS('Исходные данные'!$I$2:$I$964,'Исходные данные'!$D$2:$D$964,DG$1,'Исходные данные'!$F$2:$F$964,$A34)</f>
        <v>0</v>
      </c>
      <c r="DH34" s="11" t="n">
        <f aca="false">SUMIFS('Исходные данные'!$J$2:$J$964,'Исходные данные'!$D$2:$D$964,DG$1,'Исходные данные'!$F$2:$F$964,$A34)</f>
        <v>0</v>
      </c>
      <c r="DI34" s="7" t="n">
        <v>0</v>
      </c>
      <c r="DJ34" s="7" t="n">
        <v>0</v>
      </c>
      <c r="DK34" s="11" t="n">
        <f aca="false">SUMIFS('Исходные данные'!$I$2:$I$964,'Исходные данные'!$D$2:$D$964,DK$1,'Исходные данные'!$F$2:$F$964,$A34)</f>
        <v>0</v>
      </c>
      <c r="DL34" s="11" t="n">
        <f aca="false">SUMIFS('Исходные данные'!$J$2:$J$964,'Исходные данные'!$D$2:$D$964,DK$1,'Исходные данные'!$F$2:$F$964,$A34)</f>
        <v>0</v>
      </c>
      <c r="DM34" s="7" t="n">
        <v>0</v>
      </c>
      <c r="DN34" s="7" t="n">
        <v>0</v>
      </c>
      <c r="DO34" s="11" t="n">
        <f aca="false">SUMIFS('Исходные данные'!$I$2:$I$964,'Исходные данные'!$D$2:$D$964,DO$1,'Исходные данные'!$F$2:$F$964,$A34)</f>
        <v>0</v>
      </c>
      <c r="DP34" s="11" t="n">
        <f aca="false">SUMIFS('Исходные данные'!$J$2:$J$964,'Исходные данные'!$D$2:$D$964,DO$1,'Исходные данные'!$F$2:$F$964,$A34)</f>
        <v>0</v>
      </c>
      <c r="DQ34" s="7" t="n">
        <v>0</v>
      </c>
      <c r="DR34" s="7" t="n">
        <v>0</v>
      </c>
      <c r="DS34" s="11" t="n">
        <f aca="false">SUMIFS('Исходные данные'!$I$2:$I$964,'Исходные данные'!$D$2:$D$964,DS$1,'Исходные данные'!$F$2:$F$964,$A34)</f>
        <v>0</v>
      </c>
      <c r="DT34" s="11" t="n">
        <f aca="false">SUMIFS('Исходные данные'!$J$2:$J$964,'Исходные данные'!$D$2:$D$964,DS$1,'Исходные данные'!$F$2:$F$964,$A34)</f>
        <v>0</v>
      </c>
      <c r="DU34" s="7" t="n">
        <v>0</v>
      </c>
      <c r="DV34" s="7" t="n">
        <v>0</v>
      </c>
      <c r="DW34" s="11" t="n">
        <f aca="false">SUMIFS('Исходные данные'!$I$2:$I$964,'Исходные данные'!$D$2:$D$964,DW$1,'Исходные данные'!$F$2:$F$964,$A34)</f>
        <v>0</v>
      </c>
      <c r="DX34" s="11" t="n">
        <f aca="false">SUMIFS('Исходные данные'!$J$2:$J$964,'Исходные данные'!$D$2:$D$964,DW$1,'Исходные данные'!$F$2:$F$964,$A34)</f>
        <v>0</v>
      </c>
      <c r="DY34" s="7" t="n">
        <v>0</v>
      </c>
      <c r="DZ34" s="7" t="n">
        <v>0</v>
      </c>
      <c r="EA34" s="11" t="n">
        <f aca="false">SUMIFS('Исходные данные'!$I$2:$I$964,'Исходные данные'!$D$2:$D$964,EA$1,'Исходные данные'!$F$2:$F$964,$A34)</f>
        <v>0</v>
      </c>
      <c r="EB34" s="11" t="n">
        <f aca="false">SUMIFS('Исходные данные'!$J$2:$J$964,'Исходные данные'!$D$2:$D$964,EA$1,'Исходные данные'!$F$2:$F$964,$A34)</f>
        <v>0</v>
      </c>
      <c r="EC34" s="7" t="n">
        <v>0</v>
      </c>
      <c r="ED34" s="7" t="n">
        <v>0</v>
      </c>
      <c r="EE34" s="11" t="n">
        <f aca="false">SUMIFS('Исходные данные'!$I$2:$I$964,'Исходные данные'!$D$2:$D$964,EE$1,'Исходные данные'!$F$2:$F$964,$A34)</f>
        <v>0</v>
      </c>
      <c r="EF34" s="11" t="n">
        <f aca="false">SUMIFS('Исходные данные'!$J$2:$J$964,'Исходные данные'!$D$2:$D$964,EE$1,'Исходные данные'!$F$2:$F$964,$A34)</f>
        <v>0</v>
      </c>
      <c r="EG34" s="7" t="n">
        <v>0</v>
      </c>
      <c r="EH34" s="7" t="n">
        <v>0</v>
      </c>
      <c r="EI34" s="11" t="n">
        <f aca="false">SUMIFS('Исходные данные'!$I$2:$I$964,'Исходные данные'!$D$2:$D$964,EI$1,'Исходные данные'!$F$2:$F$964,$A34)</f>
        <v>0</v>
      </c>
      <c r="EJ34" s="11" t="n">
        <f aca="false">SUMIFS('Исходные данные'!$J$2:$J$964,'Исходные данные'!$D$2:$D$964,EI$1,'Исходные данные'!$F$2:$F$964,$A34)</f>
        <v>0</v>
      </c>
      <c r="EK34" s="7" t="n">
        <v>0</v>
      </c>
      <c r="EL34" s="7" t="n">
        <v>0</v>
      </c>
      <c r="EM34" s="11" t="n">
        <f aca="false">SUMIFS('Исходные данные'!$I$2:$I$964,'Исходные данные'!$D$2:$D$964,EM$1,'Исходные данные'!$F$2:$F$964,$A34)</f>
        <v>0</v>
      </c>
      <c r="EN34" s="11" t="n">
        <f aca="false">SUMIFS('Исходные данные'!$J$2:$J$964,'Исходные данные'!$D$2:$D$964,EM$1,'Исходные данные'!$F$2:$F$964,$A34)</f>
        <v>0</v>
      </c>
      <c r="EO34" s="7" t="n">
        <v>0</v>
      </c>
      <c r="EP34" s="7" t="n">
        <v>0</v>
      </c>
      <c r="EQ34" s="11" t="n">
        <f aca="false">SUMIFS('Исходные данные'!$I$2:$I$964,'Исходные данные'!$D$2:$D$964,EQ$1,'Исходные данные'!$F$2:$F$964,$A34)</f>
        <v>0</v>
      </c>
      <c r="ER34" s="11" t="n">
        <f aca="false">SUMIFS('Исходные данные'!$J$2:$J$964,'Исходные данные'!$D$2:$D$964,EQ$1,'Исходные данные'!$F$2:$F$964,$A34)</f>
        <v>0</v>
      </c>
      <c r="ES34" s="7" t="n">
        <v>0</v>
      </c>
      <c r="ET34" s="7" t="n">
        <v>0</v>
      </c>
      <c r="EU34" s="11" t="n">
        <f aca="false">SUMIFS('Исходные данные'!$I$2:$I$964,'Исходные данные'!$D$2:$D$964,EU$1,'Исходные данные'!$F$2:$F$964,$A34)</f>
        <v>0</v>
      </c>
      <c r="EV34" s="11" t="n">
        <f aca="false">SUMIFS('Исходные данные'!$J$2:$J$964,'Исходные данные'!$D$2:$D$964,EU$1,'Исходные данные'!$F$2:$F$964,$A34)</f>
        <v>0</v>
      </c>
      <c r="EW34" s="7" t="n">
        <v>0</v>
      </c>
      <c r="EX34" s="7" t="n">
        <v>0</v>
      </c>
      <c r="EY34" s="11" t="n">
        <f aca="false">SUMIFS('Исходные данные'!$I$2:$I$964,'Исходные данные'!$D$2:$D$964,EY$1,'Исходные данные'!$F$2:$F$964,$A34)</f>
        <v>0</v>
      </c>
      <c r="EZ34" s="11" t="n">
        <f aca="false">SUMIFS('Исходные данные'!$J$2:$J$964,'Исходные данные'!$D$2:$D$964,EY$1,'Исходные данные'!$F$2:$F$964,$A34)</f>
        <v>0</v>
      </c>
      <c r="FA34" s="7" t="n">
        <v>0</v>
      </c>
      <c r="FB34" s="7" t="n">
        <v>0</v>
      </c>
      <c r="FC34" s="11" t="n">
        <f aca="false">SUMIFS('Исходные данные'!$I$2:$I$964,'Исходные данные'!$D$2:$D$964,FC$1,'Исходные данные'!$F$2:$F$964,$A34)</f>
        <v>0</v>
      </c>
      <c r="FD34" s="11" t="n">
        <f aca="false">SUMIFS('Исходные данные'!$J$2:$J$964,'Исходные данные'!$D$2:$D$964,FC$1,'Исходные данные'!$F$2:$F$964,$A34)</f>
        <v>0</v>
      </c>
      <c r="FE34" s="7" t="n">
        <v>0</v>
      </c>
      <c r="FF34" s="7" t="n">
        <v>0</v>
      </c>
      <c r="FG34" s="11" t="n">
        <f aca="false">SUMIFS('Исходные данные'!$I$2:$I$964,'Исходные данные'!$D$2:$D$964,FG$1,'Исходные данные'!$F$2:$F$964,$A34)</f>
        <v>0</v>
      </c>
      <c r="FH34" s="11" t="n">
        <f aca="false">SUMIFS('Исходные данные'!$J$2:$J$964,'Исходные данные'!$D$2:$D$964,FG$1,'Исходные данные'!$F$2:$F$964,$A34)</f>
        <v>0</v>
      </c>
    </row>
    <row r="35" customFormat="false" ht="15" hidden="false" customHeight="false" outlineLevel="0" collapsed="false">
      <c r="A35" s="10" t="s">
        <v>113</v>
      </c>
      <c r="B35" s="11" t="s">
        <v>114</v>
      </c>
      <c r="C35" s="6" t="n">
        <v>4</v>
      </c>
      <c r="D35" s="6" t="n">
        <f aca="false">I35+J35+M35+N35+Q35+R35+U35+V35+Y35+Z35+AC35+AD35+AG35+AH35+AK35+AL35+AO35+AP35+AS35+AT35+AW35+AX35+BA35+BB35+BE35+BF35+BI35+BJ35+BM35+BN35+BQ35+BR35+BU35+BV35+BY35+BZ35+CC35+CD35+CG35+CH35+CK35+CL35+CO35+CP35+CS35+CT35+CW35+CX35+DA35+DB35+DE35+DF35+DI35+DJ35+DM35+DN35+DQ35+DR35+DU35+DV35+DY35+DZ35+EC35+ED35+EG35+EH35+EK35+EL35+EO35+EP35+ES35+ET35+EW35+EX35+FA35+FB35+FE35+FF35</f>
        <v>4</v>
      </c>
      <c r="E35" s="6" t="n">
        <f aca="false">G35+H35</f>
        <v>4</v>
      </c>
      <c r="F35" s="6" t="n">
        <f aca="false">E35-C35</f>
        <v>0</v>
      </c>
      <c r="G35" s="6" t="n">
        <f aca="false">K35+O35+S35+W35+AA35+AE35+AI35+AM35+AQ35+AU35+AY35+BC35+BG35+BK35+BO35+BS35+BW35+CA35+CE35+CI35+CM35+CQ35+CU35+CY35+DC35+DG35+DK35+DO35+DS35+DW35+EA35+EE35+EI35+EM35+EQ35+EU35+EY35+FC35+FG35</f>
        <v>4</v>
      </c>
      <c r="H35" s="6" t="n">
        <f aca="false">L35+P35+T35+X35+AB35+AF35+AJ35+AN35+AR35+AV35+AZ35+BD35+BH35+BL35+BP35+BT35+BX35+CB35+CF35+CJ35+CN35+CR35+CV35+CZ35+DD35+DH35+DL35+DP35+DT35+DX35+EB35+EF35+EJ35+EN35+ER35+EV35+EZ35+FD35+FH35</f>
        <v>0</v>
      </c>
      <c r="I35" s="7" t="n">
        <v>0</v>
      </c>
      <c r="J35" s="7" t="n">
        <v>0</v>
      </c>
      <c r="K35" s="11" t="n">
        <f aca="false">SUMIFS('Исходные данные'!$I$2:$I$964,'Исходные данные'!$D$2:$D$964,K$1,'Исходные данные'!$F$2:$F$964,$A35)</f>
        <v>0</v>
      </c>
      <c r="L35" s="11" t="n">
        <f aca="false">SUMIFS('Исходные данные'!$J$2:$J$964,'Исходные данные'!$D$2:$D$964,K$1,'Исходные данные'!$F$2:$F$964,$A35)</f>
        <v>0</v>
      </c>
      <c r="M35" s="7" t="n">
        <v>0</v>
      </c>
      <c r="N35" s="7" t="n">
        <v>0</v>
      </c>
      <c r="O35" s="11" t="n">
        <f aca="false">SUMIFS('Исходные данные'!$I$2:$I$964,'Исходные данные'!$D$2:$D$964,O$1,'Исходные данные'!$F$2:$F$964,$A35)</f>
        <v>0</v>
      </c>
      <c r="P35" s="11" t="n">
        <f aca="false">SUMIFS('Исходные данные'!$J$2:$J$964,'Исходные данные'!$D$2:$D$964,O$1,'Исходные данные'!$F$2:$F$964,$A35)</f>
        <v>0</v>
      </c>
      <c r="Q35" s="7" t="n">
        <v>0</v>
      </c>
      <c r="R35" s="7" t="n">
        <v>0</v>
      </c>
      <c r="S35" s="11" t="n">
        <f aca="false">SUMIFS('Исходные данные'!$I$2:$I$964,'Исходные данные'!$D$2:$D$964,S$1,'Исходные данные'!$F$2:$F$964,$A35)</f>
        <v>0</v>
      </c>
      <c r="T35" s="11" t="n">
        <f aca="false">SUMIFS('Исходные данные'!$J$2:$J$964,'Исходные данные'!$D$2:$D$964,S$1,'Исходные данные'!$F$2:$F$964,$A35)</f>
        <v>0</v>
      </c>
      <c r="U35" s="7" t="n">
        <v>0</v>
      </c>
      <c r="V35" s="7" t="n">
        <v>0</v>
      </c>
      <c r="W35" s="11" t="n">
        <f aca="false">SUMIFS('Исходные данные'!$I$2:$I$964,'Исходные данные'!$D$2:$D$964,W$1,'Исходные данные'!$F$2:$F$964,$A35)</f>
        <v>0</v>
      </c>
      <c r="X35" s="11" t="n">
        <f aca="false">SUMIFS('Исходные данные'!$J$2:$J$964,'Исходные данные'!$D$2:$D$964,W$1,'Исходные данные'!$F$2:$F$964,$A35)</f>
        <v>0</v>
      </c>
      <c r="Y35" s="7" t="n">
        <v>0</v>
      </c>
      <c r="Z35" s="7" t="n">
        <v>0</v>
      </c>
      <c r="AA35" s="11" t="n">
        <f aca="false">SUMIFS('Исходные данные'!$I$2:$I$964,'Исходные данные'!$D$2:$D$964,AA$1,'Исходные данные'!$F$2:$F$964,$A35)</f>
        <v>0</v>
      </c>
      <c r="AB35" s="11" t="n">
        <f aca="false">SUMIFS('Исходные данные'!$J$2:$J$964,'Исходные данные'!$D$2:$D$964,AA$1,'Исходные данные'!$F$2:$F$964,$A35)</f>
        <v>0</v>
      </c>
      <c r="AC35" s="7" t="n">
        <v>0</v>
      </c>
      <c r="AD35" s="7" t="n">
        <v>0</v>
      </c>
      <c r="AE35" s="11" t="n">
        <f aca="false">SUMIFS('Исходные данные'!$I$2:$I$964,'Исходные данные'!$D$2:$D$964,AE$1,'Исходные данные'!$F$2:$F$964,$A35)</f>
        <v>0</v>
      </c>
      <c r="AF35" s="11" t="n">
        <f aca="false">SUMIFS('Исходные данные'!$J$2:$J$964,'Исходные данные'!$D$2:$D$964,AE$1,'Исходные данные'!$F$2:$F$964,$A35)</f>
        <v>0</v>
      </c>
      <c r="AG35" s="7" t="n">
        <v>0</v>
      </c>
      <c r="AH35" s="7" t="n">
        <v>0</v>
      </c>
      <c r="AI35" s="11" t="n">
        <f aca="false">SUMIFS('Исходные данные'!$I$2:$I$964,'Исходные данные'!$D$2:$D$964,AI$1,'Исходные данные'!$F$2:$F$964,$A35)</f>
        <v>0</v>
      </c>
      <c r="AJ35" s="11" t="n">
        <f aca="false">SUMIFS('Исходные данные'!$J$2:$J$964,'Исходные данные'!$D$2:$D$964,AI$1,'Исходные данные'!$F$2:$F$964,$A35)</f>
        <v>0</v>
      </c>
      <c r="AK35" s="7" t="n">
        <v>0</v>
      </c>
      <c r="AL35" s="7" t="n">
        <v>0</v>
      </c>
      <c r="AM35" s="11" t="n">
        <f aca="false">SUMIFS('Исходные данные'!$I$2:$I$964,'Исходные данные'!$D$2:$D$964,AM$1,'Исходные данные'!$F$2:$F$964,$A35)</f>
        <v>0</v>
      </c>
      <c r="AN35" s="11" t="n">
        <f aca="false">SUMIFS('Исходные данные'!$J$2:$J$964,'Исходные данные'!$D$2:$D$964,AM$1,'Исходные данные'!$F$2:$F$964,$A35)</f>
        <v>0</v>
      </c>
      <c r="AO35" s="7" t="n">
        <v>0</v>
      </c>
      <c r="AP35" s="7" t="n">
        <v>0</v>
      </c>
      <c r="AQ35" s="11" t="n">
        <f aca="false">SUMIFS('Исходные данные'!$I$2:$I$964,'Исходные данные'!$D$2:$D$964,AQ$1,'Исходные данные'!$F$2:$F$964,$A35)</f>
        <v>0</v>
      </c>
      <c r="AR35" s="11" t="n">
        <f aca="false">SUMIFS('Исходные данные'!$J$2:$J$964,'Исходные данные'!$D$2:$D$964,AQ$1,'Исходные данные'!$F$2:$F$964,$A35)</f>
        <v>0</v>
      </c>
      <c r="AS35" s="7" t="n">
        <v>0</v>
      </c>
      <c r="AT35" s="7" t="n">
        <v>0</v>
      </c>
      <c r="AU35" s="11" t="n">
        <f aca="false">SUMIFS('Исходные данные'!$I$2:$I$964,'Исходные данные'!$D$2:$D$964,AU$1,'Исходные данные'!$F$2:$F$964,$A35)</f>
        <v>0</v>
      </c>
      <c r="AV35" s="11" t="n">
        <f aca="false">SUMIFS('Исходные данные'!$J$2:$J$964,'Исходные данные'!$D$2:$D$964,AU$1,'Исходные данные'!$F$2:$F$964,$A35)</f>
        <v>0</v>
      </c>
      <c r="AW35" s="7" t="n">
        <v>0</v>
      </c>
      <c r="AX35" s="7" t="n">
        <v>0</v>
      </c>
      <c r="AY35" s="11" t="n">
        <f aca="false">SUMIFS('Исходные данные'!$I$2:$I$964,'Исходные данные'!$D$2:$D$964,AY$1,'Исходные данные'!$F$2:$F$964,$A35)</f>
        <v>0</v>
      </c>
      <c r="AZ35" s="11" t="n">
        <f aca="false">SUMIFS('Исходные данные'!$J$2:$J$964,'Исходные данные'!$D$2:$D$964,AY$1,'Исходные данные'!$F$2:$F$964,$A35)</f>
        <v>0</v>
      </c>
      <c r="BA35" s="7" t="n">
        <v>0</v>
      </c>
      <c r="BB35" s="7" t="n">
        <v>0</v>
      </c>
      <c r="BC35" s="11" t="n">
        <f aca="false">SUMIFS('Исходные данные'!$I$2:$I$964,'Исходные данные'!$D$2:$D$964,BC$1,'Исходные данные'!$F$2:$F$964,$A35)</f>
        <v>0</v>
      </c>
      <c r="BD35" s="11" t="n">
        <f aca="false">SUMIFS('Исходные данные'!$J$2:$J$964,'Исходные данные'!$D$2:$D$964,BC$1,'Исходные данные'!$F$2:$F$964,$A35)</f>
        <v>0</v>
      </c>
      <c r="BE35" s="7" t="n">
        <v>0</v>
      </c>
      <c r="BF35" s="7" t="n">
        <v>0</v>
      </c>
      <c r="BG35" s="11" t="n">
        <f aca="false">SUMIFS('Исходные данные'!$I$2:$I$964,'Исходные данные'!$D$2:$D$964,BG$1,'Исходные данные'!$F$2:$F$964,$A35)</f>
        <v>0</v>
      </c>
      <c r="BH35" s="11" t="n">
        <f aca="false">SUMIFS('Исходные данные'!$J$2:$J$964,'Исходные данные'!$D$2:$D$964,BG$1,'Исходные данные'!$F$2:$F$964,$A35)</f>
        <v>0</v>
      </c>
      <c r="BI35" s="7" t="n">
        <v>0</v>
      </c>
      <c r="BJ35" s="7" t="n">
        <v>0</v>
      </c>
      <c r="BK35" s="11" t="n">
        <f aca="false">SUMIFS('Исходные данные'!$I$2:$I$964,'Исходные данные'!$D$2:$D$964,BK$1,'Исходные данные'!$F$2:$F$964,$A35)</f>
        <v>0</v>
      </c>
      <c r="BL35" s="11" t="n">
        <f aca="false">SUMIFS('Исходные данные'!$J$2:$J$964,'Исходные данные'!$D$2:$D$964,BK$1,'Исходные данные'!$F$2:$F$964,$A35)</f>
        <v>0</v>
      </c>
      <c r="BM35" s="7" t="n">
        <v>0</v>
      </c>
      <c r="BN35" s="7" t="n">
        <v>0</v>
      </c>
      <c r="BO35" s="11" t="n">
        <f aca="false">SUMIFS('Исходные данные'!$I$2:$I$964,'Исходные данные'!$D$2:$D$964,BO$1,'Исходные данные'!$F$2:$F$964,$A35)</f>
        <v>0</v>
      </c>
      <c r="BP35" s="11" t="n">
        <f aca="false">SUMIFS('Исходные данные'!$J$2:$J$964,'Исходные данные'!$D$2:$D$964,BO$1,'Исходные данные'!$F$2:$F$964,$A35)</f>
        <v>0</v>
      </c>
      <c r="BQ35" s="7" t="n">
        <v>0</v>
      </c>
      <c r="BR35" s="7" t="n">
        <v>0</v>
      </c>
      <c r="BS35" s="11" t="n">
        <f aca="false">SUMIFS('Исходные данные'!$I$2:$I$964,'Исходные данные'!$D$2:$D$964,BS$1,'Исходные данные'!$F$2:$F$964,$A35)</f>
        <v>0</v>
      </c>
      <c r="BT35" s="11" t="n">
        <f aca="false">SUMIFS('Исходные данные'!$J$2:$J$964,'Исходные данные'!$D$2:$D$964,BS$1,'Исходные данные'!$F$2:$F$964,$A35)</f>
        <v>0</v>
      </c>
      <c r="BU35" s="7" t="n">
        <v>0</v>
      </c>
      <c r="BV35" s="7" t="n">
        <v>0</v>
      </c>
      <c r="BW35" s="11" t="n">
        <f aca="false">SUMIFS('Исходные данные'!$I$2:$I$964,'Исходные данные'!$D$2:$D$964,BW$1,'Исходные данные'!$F$2:$F$964,$A35)</f>
        <v>0</v>
      </c>
      <c r="BX35" s="11" t="n">
        <f aca="false">SUMIFS('Исходные данные'!$J$2:$J$964,'Исходные данные'!$D$2:$D$964,BW$1,'Исходные данные'!$F$2:$F$964,$A35)</f>
        <v>0</v>
      </c>
      <c r="BY35" s="7" t="n">
        <v>0</v>
      </c>
      <c r="BZ35" s="7" t="n">
        <v>0</v>
      </c>
      <c r="CA35" s="11" t="n">
        <f aca="false">SUMIFS('Исходные данные'!$I$2:$I$964,'Исходные данные'!$D$2:$D$964,CA$1,'Исходные данные'!$F$2:$F$964,$A35)</f>
        <v>0</v>
      </c>
      <c r="CB35" s="11" t="n">
        <f aca="false">SUMIFS('Исходные данные'!$J$2:$J$964,'Исходные данные'!$D$2:$D$964,CA$1,'Исходные данные'!$F$2:$F$964,$A35)</f>
        <v>0</v>
      </c>
      <c r="CC35" s="7" t="n">
        <v>0</v>
      </c>
      <c r="CD35" s="7" t="n">
        <v>0</v>
      </c>
      <c r="CE35" s="11" t="n">
        <f aca="false">SUMIFS('Исходные данные'!$I$2:$I$964,'Исходные данные'!$D$2:$D$964,CE$1,'Исходные данные'!$F$2:$F$964,$A35)</f>
        <v>0</v>
      </c>
      <c r="CF35" s="11" t="n">
        <f aca="false">SUMIFS('Исходные данные'!$J$2:$J$964,'Исходные данные'!$D$2:$D$964,CE$1,'Исходные данные'!$F$2:$F$964,$A35)</f>
        <v>0</v>
      </c>
      <c r="CG35" s="7" t="n">
        <v>4</v>
      </c>
      <c r="CH35" s="7" t="n">
        <v>0</v>
      </c>
      <c r="CI35" s="11" t="n">
        <f aca="false">SUMIFS('Исходные данные'!$I$2:$I$964,'Исходные данные'!$D$2:$D$964,CI$1,'Исходные данные'!$F$2:$F$964,$A35)</f>
        <v>4</v>
      </c>
      <c r="CJ35" s="11" t="n">
        <f aca="false">SUMIFS('Исходные данные'!$J$2:$J$964,'Исходные данные'!$D$2:$D$964,CI$1,'Исходные данные'!$F$2:$F$964,$A35)</f>
        <v>0</v>
      </c>
      <c r="CK35" s="7" t="n">
        <v>0</v>
      </c>
      <c r="CL35" s="7" t="n">
        <v>0</v>
      </c>
      <c r="CM35" s="11" t="n">
        <f aca="false">SUMIFS('Исходные данные'!$I$2:$I$964,'Исходные данные'!$D$2:$D$964,CM$1,'Исходные данные'!$F$2:$F$964,$A35)</f>
        <v>0</v>
      </c>
      <c r="CN35" s="11" t="n">
        <f aca="false">SUMIFS('Исходные данные'!$J$2:$J$964,'Исходные данные'!$D$2:$D$964,CM$1,'Исходные данные'!$F$2:$F$964,$A35)</f>
        <v>0</v>
      </c>
      <c r="CO35" s="7" t="n">
        <v>0</v>
      </c>
      <c r="CP35" s="7" t="n">
        <v>0</v>
      </c>
      <c r="CQ35" s="11" t="n">
        <f aca="false">SUMIFS('Исходные данные'!$I$2:$I$964,'Исходные данные'!$D$2:$D$964,CQ$1,'Исходные данные'!$F$2:$F$964,$A35)</f>
        <v>0</v>
      </c>
      <c r="CR35" s="11" t="n">
        <f aca="false">SUMIFS('Исходные данные'!$J$2:$J$964,'Исходные данные'!$D$2:$D$964,CQ$1,'Исходные данные'!$F$2:$F$964,$A35)</f>
        <v>0</v>
      </c>
      <c r="CS35" s="7" t="n">
        <v>0</v>
      </c>
      <c r="CT35" s="7" t="n">
        <v>0</v>
      </c>
      <c r="CU35" s="11" t="n">
        <f aca="false">SUMIFS('Исходные данные'!$I$2:$I$964,'Исходные данные'!$D$2:$D$964,CU$1,'Исходные данные'!$F$2:$F$964,$A35)</f>
        <v>0</v>
      </c>
      <c r="CV35" s="11" t="n">
        <f aca="false">SUMIFS('Исходные данные'!$J$2:$J$964,'Исходные данные'!$D$2:$D$964,CU$1,'Исходные данные'!$F$2:$F$964,$A35)</f>
        <v>0</v>
      </c>
      <c r="CW35" s="7" t="n">
        <v>0</v>
      </c>
      <c r="CX35" s="7" t="n">
        <v>0</v>
      </c>
      <c r="CY35" s="11" t="n">
        <f aca="false">SUMIFS('Исходные данные'!$I$2:$I$964,'Исходные данные'!$D$2:$D$964,CY$1,'Исходные данные'!$F$2:$F$964,$A35)</f>
        <v>0</v>
      </c>
      <c r="CZ35" s="11" t="n">
        <f aca="false">SUMIFS('Исходные данные'!$J$2:$J$964,'Исходные данные'!$D$2:$D$964,CY$1,'Исходные данные'!$F$2:$F$964,$A35)</f>
        <v>0</v>
      </c>
      <c r="DA35" s="7" t="n">
        <v>0</v>
      </c>
      <c r="DB35" s="7" t="n">
        <v>0</v>
      </c>
      <c r="DC35" s="11" t="n">
        <f aca="false">SUMIFS('Исходные данные'!$I$2:$I$964,'Исходные данные'!$D$2:$D$964,DC$1,'Исходные данные'!$F$2:$F$964,$A35)</f>
        <v>0</v>
      </c>
      <c r="DD35" s="11" t="n">
        <f aca="false">SUMIFS('Исходные данные'!$J$2:$J$964,'Исходные данные'!$D$2:$D$964,DC$1,'Исходные данные'!$F$2:$F$964,$A35)</f>
        <v>0</v>
      </c>
      <c r="DE35" s="7" t="n">
        <v>0</v>
      </c>
      <c r="DF35" s="7" t="n">
        <v>0</v>
      </c>
      <c r="DG35" s="11" t="n">
        <f aca="false">SUMIFS('Исходные данные'!$I$2:$I$964,'Исходные данные'!$D$2:$D$964,DG$1,'Исходные данные'!$F$2:$F$964,$A35)</f>
        <v>0</v>
      </c>
      <c r="DH35" s="11" t="n">
        <f aca="false">SUMIFS('Исходные данные'!$J$2:$J$964,'Исходные данные'!$D$2:$D$964,DG$1,'Исходные данные'!$F$2:$F$964,$A35)</f>
        <v>0</v>
      </c>
      <c r="DI35" s="7" t="n">
        <v>0</v>
      </c>
      <c r="DJ35" s="7" t="n">
        <v>0</v>
      </c>
      <c r="DK35" s="11" t="n">
        <f aca="false">SUMIFS('Исходные данные'!$I$2:$I$964,'Исходные данные'!$D$2:$D$964,DK$1,'Исходные данные'!$F$2:$F$964,$A35)</f>
        <v>0</v>
      </c>
      <c r="DL35" s="11" t="n">
        <f aca="false">SUMIFS('Исходные данные'!$J$2:$J$964,'Исходные данные'!$D$2:$D$964,DK$1,'Исходные данные'!$F$2:$F$964,$A35)</f>
        <v>0</v>
      </c>
      <c r="DM35" s="7" t="n">
        <v>0</v>
      </c>
      <c r="DN35" s="7" t="n">
        <v>0</v>
      </c>
      <c r="DO35" s="11" t="n">
        <f aca="false">SUMIFS('Исходные данные'!$I$2:$I$964,'Исходные данные'!$D$2:$D$964,DO$1,'Исходные данные'!$F$2:$F$964,$A35)</f>
        <v>0</v>
      </c>
      <c r="DP35" s="11" t="n">
        <f aca="false">SUMIFS('Исходные данные'!$J$2:$J$964,'Исходные данные'!$D$2:$D$964,DO$1,'Исходные данные'!$F$2:$F$964,$A35)</f>
        <v>0</v>
      </c>
      <c r="DQ35" s="7" t="n">
        <v>0</v>
      </c>
      <c r="DR35" s="7" t="n">
        <v>0</v>
      </c>
      <c r="DS35" s="11" t="n">
        <f aca="false">SUMIFS('Исходные данные'!$I$2:$I$964,'Исходные данные'!$D$2:$D$964,DS$1,'Исходные данные'!$F$2:$F$964,$A35)</f>
        <v>0</v>
      </c>
      <c r="DT35" s="11" t="n">
        <f aca="false">SUMIFS('Исходные данные'!$J$2:$J$964,'Исходные данные'!$D$2:$D$964,DS$1,'Исходные данные'!$F$2:$F$964,$A35)</f>
        <v>0</v>
      </c>
      <c r="DU35" s="7" t="n">
        <v>0</v>
      </c>
      <c r="DV35" s="7" t="n">
        <v>0</v>
      </c>
      <c r="DW35" s="11" t="n">
        <f aca="false">SUMIFS('Исходные данные'!$I$2:$I$964,'Исходные данные'!$D$2:$D$964,DW$1,'Исходные данные'!$F$2:$F$964,$A35)</f>
        <v>0</v>
      </c>
      <c r="DX35" s="11" t="n">
        <f aca="false">SUMIFS('Исходные данные'!$J$2:$J$964,'Исходные данные'!$D$2:$D$964,DW$1,'Исходные данные'!$F$2:$F$964,$A35)</f>
        <v>0</v>
      </c>
      <c r="DY35" s="7" t="n">
        <v>0</v>
      </c>
      <c r="DZ35" s="7" t="n">
        <v>0</v>
      </c>
      <c r="EA35" s="11" t="n">
        <f aca="false">SUMIFS('Исходные данные'!$I$2:$I$964,'Исходные данные'!$D$2:$D$964,EA$1,'Исходные данные'!$F$2:$F$964,$A35)</f>
        <v>0</v>
      </c>
      <c r="EB35" s="11" t="n">
        <f aca="false">SUMIFS('Исходные данные'!$J$2:$J$964,'Исходные данные'!$D$2:$D$964,EA$1,'Исходные данные'!$F$2:$F$964,$A35)</f>
        <v>0</v>
      </c>
      <c r="EC35" s="7" t="n">
        <v>0</v>
      </c>
      <c r="ED35" s="7" t="n">
        <v>0</v>
      </c>
      <c r="EE35" s="11" t="n">
        <f aca="false">SUMIFS('Исходные данные'!$I$2:$I$964,'Исходные данные'!$D$2:$D$964,EE$1,'Исходные данные'!$F$2:$F$964,$A35)</f>
        <v>0</v>
      </c>
      <c r="EF35" s="11" t="n">
        <f aca="false">SUMIFS('Исходные данные'!$J$2:$J$964,'Исходные данные'!$D$2:$D$964,EE$1,'Исходные данные'!$F$2:$F$964,$A35)</f>
        <v>0</v>
      </c>
      <c r="EG35" s="7" t="n">
        <v>0</v>
      </c>
      <c r="EH35" s="7" t="n">
        <v>0</v>
      </c>
      <c r="EI35" s="11" t="n">
        <f aca="false">SUMIFS('Исходные данные'!$I$2:$I$964,'Исходные данные'!$D$2:$D$964,EI$1,'Исходные данные'!$F$2:$F$964,$A35)</f>
        <v>0</v>
      </c>
      <c r="EJ35" s="11" t="n">
        <f aca="false">SUMIFS('Исходные данные'!$J$2:$J$964,'Исходные данные'!$D$2:$D$964,EI$1,'Исходные данные'!$F$2:$F$964,$A35)</f>
        <v>0</v>
      </c>
      <c r="EK35" s="7" t="n">
        <v>0</v>
      </c>
      <c r="EL35" s="7" t="n">
        <v>0</v>
      </c>
      <c r="EM35" s="11" t="n">
        <f aca="false">SUMIFS('Исходные данные'!$I$2:$I$964,'Исходные данные'!$D$2:$D$964,EM$1,'Исходные данные'!$F$2:$F$964,$A35)</f>
        <v>0</v>
      </c>
      <c r="EN35" s="11" t="n">
        <f aca="false">SUMIFS('Исходные данные'!$J$2:$J$964,'Исходные данные'!$D$2:$D$964,EM$1,'Исходные данные'!$F$2:$F$964,$A35)</f>
        <v>0</v>
      </c>
      <c r="EO35" s="7" t="n">
        <v>0</v>
      </c>
      <c r="EP35" s="7" t="n">
        <v>0</v>
      </c>
      <c r="EQ35" s="11" t="n">
        <f aca="false">SUMIFS('Исходные данные'!$I$2:$I$964,'Исходные данные'!$D$2:$D$964,EQ$1,'Исходные данные'!$F$2:$F$964,$A35)</f>
        <v>0</v>
      </c>
      <c r="ER35" s="11" t="n">
        <f aca="false">SUMIFS('Исходные данные'!$J$2:$J$964,'Исходные данные'!$D$2:$D$964,EQ$1,'Исходные данные'!$F$2:$F$964,$A35)</f>
        <v>0</v>
      </c>
      <c r="ES35" s="7" t="n">
        <v>0</v>
      </c>
      <c r="ET35" s="7" t="n">
        <v>0</v>
      </c>
      <c r="EU35" s="11" t="n">
        <f aca="false">SUMIFS('Исходные данные'!$I$2:$I$964,'Исходные данные'!$D$2:$D$964,EU$1,'Исходные данные'!$F$2:$F$964,$A35)</f>
        <v>0</v>
      </c>
      <c r="EV35" s="11" t="n">
        <f aca="false">SUMIFS('Исходные данные'!$J$2:$J$964,'Исходные данные'!$D$2:$D$964,EU$1,'Исходные данные'!$F$2:$F$964,$A35)</f>
        <v>0</v>
      </c>
      <c r="EW35" s="7" t="n">
        <v>0</v>
      </c>
      <c r="EX35" s="7" t="n">
        <v>0</v>
      </c>
      <c r="EY35" s="11" t="n">
        <f aca="false">SUMIFS('Исходные данные'!$I$2:$I$964,'Исходные данные'!$D$2:$D$964,EY$1,'Исходные данные'!$F$2:$F$964,$A35)</f>
        <v>0</v>
      </c>
      <c r="EZ35" s="11" t="n">
        <f aca="false">SUMIFS('Исходные данные'!$J$2:$J$964,'Исходные данные'!$D$2:$D$964,EY$1,'Исходные данные'!$F$2:$F$964,$A35)</f>
        <v>0</v>
      </c>
      <c r="FA35" s="7" t="n">
        <v>0</v>
      </c>
      <c r="FB35" s="7" t="n">
        <v>0</v>
      </c>
      <c r="FC35" s="11" t="n">
        <f aca="false">SUMIFS('Исходные данные'!$I$2:$I$964,'Исходные данные'!$D$2:$D$964,FC$1,'Исходные данные'!$F$2:$F$964,$A35)</f>
        <v>0</v>
      </c>
      <c r="FD35" s="11" t="n">
        <f aca="false">SUMIFS('Исходные данные'!$J$2:$J$964,'Исходные данные'!$D$2:$D$964,FC$1,'Исходные данные'!$F$2:$F$964,$A35)</f>
        <v>0</v>
      </c>
      <c r="FE35" s="7" t="n">
        <v>0</v>
      </c>
      <c r="FF35" s="7" t="n">
        <v>0</v>
      </c>
      <c r="FG35" s="11" t="n">
        <f aca="false">SUMIFS('Исходные данные'!$I$2:$I$964,'Исходные данные'!$D$2:$D$964,FG$1,'Исходные данные'!$F$2:$F$964,$A35)</f>
        <v>0</v>
      </c>
      <c r="FH35" s="11" t="n">
        <f aca="false">SUMIFS('Исходные данные'!$J$2:$J$964,'Исходные данные'!$D$2:$D$964,FG$1,'Исходные данные'!$F$2:$F$964,$A35)</f>
        <v>0</v>
      </c>
    </row>
    <row r="36" customFormat="false" ht="15" hidden="false" customHeight="false" outlineLevel="0" collapsed="false">
      <c r="A36" s="10" t="s">
        <v>115</v>
      </c>
      <c r="B36" s="11" t="s">
        <v>116</v>
      </c>
      <c r="C36" s="6" t="n">
        <v>0</v>
      </c>
      <c r="D36" s="6" t="n">
        <f aca="false">I36+J36+M36+N36+Q36+R36+U36+V36+Y36+Z36+AC36+AD36+AG36+AH36+AK36+AL36+AO36+AP36+AS36+AT36+AW36+AX36+BA36+BB36+BE36+BF36+BI36+BJ36+BM36+BN36+BQ36+BR36+BU36+BV36+BY36+BZ36+CC36+CD36+CG36+CH36+CK36+CL36+CO36+CP36+CS36+CT36+CW36+CX36+DA36+DB36+DE36+DF36+DI36+DJ36+DM36+DN36+DQ36+DR36+DU36+DV36+DY36+DZ36+EC36+ED36+EG36+EH36+EK36+EL36+EO36+EP36+ES36+ET36+EW36+EX36+FA36+FB36+FE36+FF36</f>
        <v>0</v>
      </c>
      <c r="E36" s="6" t="n">
        <f aca="false">G36+H36</f>
        <v>0</v>
      </c>
      <c r="F36" s="6" t="n">
        <f aca="false">E36-C36</f>
        <v>0</v>
      </c>
      <c r="G36" s="6" t="n">
        <f aca="false">K36+O36+S36+W36+AA36+AE36+AI36+AM36+AQ36+AU36+AY36+BC36+BG36+BK36+BO36+BS36+BW36+CA36+CE36+CI36+CM36+CQ36+CU36+CY36+DC36+DG36+DK36+DO36+DS36+DW36+EA36+EE36+EI36+EM36+EQ36+EU36+EY36+FC36+FG36</f>
        <v>0</v>
      </c>
      <c r="H36" s="6" t="n">
        <f aca="false">L36+P36+T36+X36+AB36+AF36+AJ36+AN36+AR36+AV36+AZ36+BD36+BH36+BL36+BP36+BT36+BX36+CB36+CF36+CJ36+CN36+CR36+CV36+CZ36+DD36+DH36+DL36+DP36+DT36+DX36+EB36+EF36+EJ36+EN36+ER36+EV36+EZ36+FD36+FH36</f>
        <v>0</v>
      </c>
      <c r="I36" s="7" t="n">
        <v>0</v>
      </c>
      <c r="J36" s="7" t="n">
        <v>0</v>
      </c>
      <c r="K36" s="11" t="n">
        <f aca="false">SUMIFS('Исходные данные'!$I$2:$I$964,'Исходные данные'!$D$2:$D$964,K$1,'Исходные данные'!$F$2:$F$964,$A36)</f>
        <v>0</v>
      </c>
      <c r="L36" s="11" t="n">
        <f aca="false">SUMIFS('Исходные данные'!$J$2:$J$964,'Исходные данные'!$D$2:$D$964,K$1,'Исходные данные'!$F$2:$F$964,$A36)</f>
        <v>0</v>
      </c>
      <c r="M36" s="7" t="n">
        <v>0</v>
      </c>
      <c r="N36" s="7" t="n">
        <v>0</v>
      </c>
      <c r="O36" s="11" t="n">
        <f aca="false">SUMIFS('Исходные данные'!$I$2:$I$964,'Исходные данные'!$D$2:$D$964,O$1,'Исходные данные'!$F$2:$F$964,$A36)</f>
        <v>0</v>
      </c>
      <c r="P36" s="11" t="n">
        <f aca="false">SUMIFS('Исходные данные'!$J$2:$J$964,'Исходные данные'!$D$2:$D$964,O$1,'Исходные данные'!$F$2:$F$964,$A36)</f>
        <v>0</v>
      </c>
      <c r="Q36" s="7" t="n">
        <v>0</v>
      </c>
      <c r="R36" s="7" t="n">
        <v>0</v>
      </c>
      <c r="S36" s="11" t="n">
        <f aca="false">SUMIFS('Исходные данные'!$I$2:$I$964,'Исходные данные'!$D$2:$D$964,S$1,'Исходные данные'!$F$2:$F$964,$A36)</f>
        <v>0</v>
      </c>
      <c r="T36" s="11" t="n">
        <f aca="false">SUMIFS('Исходные данные'!$J$2:$J$964,'Исходные данные'!$D$2:$D$964,S$1,'Исходные данные'!$F$2:$F$964,$A36)</f>
        <v>0</v>
      </c>
      <c r="U36" s="7" t="n">
        <v>0</v>
      </c>
      <c r="V36" s="7" t="n">
        <v>0</v>
      </c>
      <c r="W36" s="11" t="n">
        <f aca="false">SUMIFS('Исходные данные'!$I$2:$I$964,'Исходные данные'!$D$2:$D$964,W$1,'Исходные данные'!$F$2:$F$964,$A36)</f>
        <v>0</v>
      </c>
      <c r="X36" s="11" t="n">
        <f aca="false">SUMIFS('Исходные данные'!$J$2:$J$964,'Исходные данные'!$D$2:$D$964,W$1,'Исходные данные'!$F$2:$F$964,$A36)</f>
        <v>0</v>
      </c>
      <c r="Y36" s="7" t="n">
        <v>0</v>
      </c>
      <c r="Z36" s="7" t="n">
        <v>0</v>
      </c>
      <c r="AA36" s="11" t="n">
        <f aca="false">SUMIFS('Исходные данные'!$I$2:$I$964,'Исходные данные'!$D$2:$D$964,AA$1,'Исходные данные'!$F$2:$F$964,$A36)</f>
        <v>0</v>
      </c>
      <c r="AB36" s="11" t="n">
        <f aca="false">SUMIFS('Исходные данные'!$J$2:$J$964,'Исходные данные'!$D$2:$D$964,AA$1,'Исходные данные'!$F$2:$F$964,$A36)</f>
        <v>0</v>
      </c>
      <c r="AC36" s="7" t="n">
        <v>0</v>
      </c>
      <c r="AD36" s="7" t="n">
        <v>0</v>
      </c>
      <c r="AE36" s="11" t="n">
        <f aca="false">SUMIFS('Исходные данные'!$I$2:$I$964,'Исходные данные'!$D$2:$D$964,AE$1,'Исходные данные'!$F$2:$F$964,$A36)</f>
        <v>0</v>
      </c>
      <c r="AF36" s="11" t="n">
        <f aca="false">SUMIFS('Исходные данные'!$J$2:$J$964,'Исходные данные'!$D$2:$D$964,AE$1,'Исходные данные'!$F$2:$F$964,$A36)</f>
        <v>0</v>
      </c>
      <c r="AG36" s="7" t="n">
        <v>0</v>
      </c>
      <c r="AH36" s="7" t="n">
        <v>0</v>
      </c>
      <c r="AI36" s="11" t="n">
        <f aca="false">SUMIFS('Исходные данные'!$I$2:$I$964,'Исходные данные'!$D$2:$D$964,AI$1,'Исходные данные'!$F$2:$F$964,$A36)</f>
        <v>0</v>
      </c>
      <c r="AJ36" s="11" t="n">
        <f aca="false">SUMIFS('Исходные данные'!$J$2:$J$964,'Исходные данные'!$D$2:$D$964,AI$1,'Исходные данные'!$F$2:$F$964,$A36)</f>
        <v>0</v>
      </c>
      <c r="AK36" s="7" t="n">
        <v>0</v>
      </c>
      <c r="AL36" s="7" t="n">
        <v>0</v>
      </c>
      <c r="AM36" s="11" t="n">
        <f aca="false">SUMIFS('Исходные данные'!$I$2:$I$964,'Исходные данные'!$D$2:$D$964,AM$1,'Исходные данные'!$F$2:$F$964,$A36)</f>
        <v>0</v>
      </c>
      <c r="AN36" s="11" t="n">
        <f aca="false">SUMIFS('Исходные данные'!$J$2:$J$964,'Исходные данные'!$D$2:$D$964,AM$1,'Исходные данные'!$F$2:$F$964,$A36)</f>
        <v>0</v>
      </c>
      <c r="AO36" s="7" t="n">
        <v>0</v>
      </c>
      <c r="AP36" s="7" t="n">
        <v>0</v>
      </c>
      <c r="AQ36" s="11" t="n">
        <f aca="false">SUMIFS('Исходные данные'!$I$2:$I$964,'Исходные данные'!$D$2:$D$964,AQ$1,'Исходные данные'!$F$2:$F$964,$A36)</f>
        <v>0</v>
      </c>
      <c r="AR36" s="11" t="n">
        <f aca="false">SUMIFS('Исходные данные'!$J$2:$J$964,'Исходные данные'!$D$2:$D$964,AQ$1,'Исходные данные'!$F$2:$F$964,$A36)</f>
        <v>0</v>
      </c>
      <c r="AS36" s="7" t="n">
        <v>0</v>
      </c>
      <c r="AT36" s="7" t="n">
        <v>0</v>
      </c>
      <c r="AU36" s="11" t="n">
        <f aca="false">SUMIFS('Исходные данные'!$I$2:$I$964,'Исходные данные'!$D$2:$D$964,AU$1,'Исходные данные'!$F$2:$F$964,$A36)</f>
        <v>0</v>
      </c>
      <c r="AV36" s="11" t="n">
        <f aca="false">SUMIFS('Исходные данные'!$J$2:$J$964,'Исходные данные'!$D$2:$D$964,AU$1,'Исходные данные'!$F$2:$F$964,$A36)</f>
        <v>0</v>
      </c>
      <c r="AW36" s="7" t="n">
        <v>0</v>
      </c>
      <c r="AX36" s="7" t="n">
        <v>0</v>
      </c>
      <c r="AY36" s="11" t="n">
        <f aca="false">SUMIFS('Исходные данные'!$I$2:$I$964,'Исходные данные'!$D$2:$D$964,AY$1,'Исходные данные'!$F$2:$F$964,$A36)</f>
        <v>0</v>
      </c>
      <c r="AZ36" s="11" t="n">
        <f aca="false">SUMIFS('Исходные данные'!$J$2:$J$964,'Исходные данные'!$D$2:$D$964,AY$1,'Исходные данные'!$F$2:$F$964,$A36)</f>
        <v>0</v>
      </c>
      <c r="BA36" s="7" t="n">
        <v>0</v>
      </c>
      <c r="BB36" s="7" t="n">
        <v>0</v>
      </c>
      <c r="BC36" s="11" t="n">
        <f aca="false">SUMIFS('Исходные данные'!$I$2:$I$964,'Исходные данные'!$D$2:$D$964,BC$1,'Исходные данные'!$F$2:$F$964,$A36)</f>
        <v>0</v>
      </c>
      <c r="BD36" s="11" t="n">
        <f aca="false">SUMIFS('Исходные данные'!$J$2:$J$964,'Исходные данные'!$D$2:$D$964,BC$1,'Исходные данные'!$F$2:$F$964,$A36)</f>
        <v>0</v>
      </c>
      <c r="BE36" s="7" t="n">
        <v>0</v>
      </c>
      <c r="BF36" s="7" t="n">
        <v>0</v>
      </c>
      <c r="BG36" s="11" t="n">
        <f aca="false">SUMIFS('Исходные данные'!$I$2:$I$964,'Исходные данные'!$D$2:$D$964,BG$1,'Исходные данные'!$F$2:$F$964,$A36)</f>
        <v>0</v>
      </c>
      <c r="BH36" s="11" t="n">
        <f aca="false">SUMIFS('Исходные данные'!$J$2:$J$964,'Исходные данные'!$D$2:$D$964,BG$1,'Исходные данные'!$F$2:$F$964,$A36)</f>
        <v>0</v>
      </c>
      <c r="BI36" s="7" t="n">
        <v>0</v>
      </c>
      <c r="BJ36" s="7" t="n">
        <v>0</v>
      </c>
      <c r="BK36" s="11" t="n">
        <f aca="false">SUMIFS('Исходные данные'!$I$2:$I$964,'Исходные данные'!$D$2:$D$964,BK$1,'Исходные данные'!$F$2:$F$964,$A36)</f>
        <v>0</v>
      </c>
      <c r="BL36" s="11" t="n">
        <f aca="false">SUMIFS('Исходные данные'!$J$2:$J$964,'Исходные данные'!$D$2:$D$964,BK$1,'Исходные данные'!$F$2:$F$964,$A36)</f>
        <v>0</v>
      </c>
      <c r="BM36" s="7" t="n">
        <v>0</v>
      </c>
      <c r="BN36" s="7" t="n">
        <v>0</v>
      </c>
      <c r="BO36" s="11" t="n">
        <f aca="false">SUMIFS('Исходные данные'!$I$2:$I$964,'Исходные данные'!$D$2:$D$964,BO$1,'Исходные данные'!$F$2:$F$964,$A36)</f>
        <v>0</v>
      </c>
      <c r="BP36" s="11" t="n">
        <f aca="false">SUMIFS('Исходные данные'!$J$2:$J$964,'Исходные данные'!$D$2:$D$964,BO$1,'Исходные данные'!$F$2:$F$964,$A36)</f>
        <v>0</v>
      </c>
      <c r="BQ36" s="7" t="n">
        <v>0</v>
      </c>
      <c r="BR36" s="7" t="n">
        <v>0</v>
      </c>
      <c r="BS36" s="11" t="n">
        <f aca="false">SUMIFS('Исходные данные'!$I$2:$I$964,'Исходные данные'!$D$2:$D$964,BS$1,'Исходные данные'!$F$2:$F$964,$A36)</f>
        <v>0</v>
      </c>
      <c r="BT36" s="11" t="n">
        <f aca="false">SUMIFS('Исходные данные'!$J$2:$J$964,'Исходные данные'!$D$2:$D$964,BS$1,'Исходные данные'!$F$2:$F$964,$A36)</f>
        <v>0</v>
      </c>
      <c r="BU36" s="7" t="n">
        <v>0</v>
      </c>
      <c r="BV36" s="7" t="n">
        <v>0</v>
      </c>
      <c r="BW36" s="11" t="n">
        <f aca="false">SUMIFS('Исходные данные'!$I$2:$I$964,'Исходные данные'!$D$2:$D$964,BW$1,'Исходные данные'!$F$2:$F$964,$A36)</f>
        <v>0</v>
      </c>
      <c r="BX36" s="11" t="n">
        <f aca="false">SUMIFS('Исходные данные'!$J$2:$J$964,'Исходные данные'!$D$2:$D$964,BW$1,'Исходные данные'!$F$2:$F$964,$A36)</f>
        <v>0</v>
      </c>
      <c r="BY36" s="7" t="n">
        <v>0</v>
      </c>
      <c r="BZ36" s="7" t="n">
        <v>0</v>
      </c>
      <c r="CA36" s="11" t="n">
        <f aca="false">SUMIFS('Исходные данные'!$I$2:$I$964,'Исходные данные'!$D$2:$D$964,CA$1,'Исходные данные'!$F$2:$F$964,$A36)</f>
        <v>0</v>
      </c>
      <c r="CB36" s="11" t="n">
        <f aca="false">SUMIFS('Исходные данные'!$J$2:$J$964,'Исходные данные'!$D$2:$D$964,CA$1,'Исходные данные'!$F$2:$F$964,$A36)</f>
        <v>0</v>
      </c>
      <c r="CC36" s="7" t="n">
        <v>0</v>
      </c>
      <c r="CD36" s="7" t="n">
        <v>0</v>
      </c>
      <c r="CE36" s="11" t="n">
        <f aca="false">SUMIFS('Исходные данные'!$I$2:$I$964,'Исходные данные'!$D$2:$D$964,CE$1,'Исходные данные'!$F$2:$F$964,$A36)</f>
        <v>0</v>
      </c>
      <c r="CF36" s="11" t="n">
        <f aca="false">SUMIFS('Исходные данные'!$J$2:$J$964,'Исходные данные'!$D$2:$D$964,CE$1,'Исходные данные'!$F$2:$F$964,$A36)</f>
        <v>0</v>
      </c>
      <c r="CG36" s="7" t="n">
        <v>0</v>
      </c>
      <c r="CH36" s="7" t="n">
        <v>0</v>
      </c>
      <c r="CI36" s="11" t="n">
        <f aca="false">SUMIFS('Исходные данные'!$I$2:$I$964,'Исходные данные'!$D$2:$D$964,CI$1,'Исходные данные'!$F$2:$F$964,$A36)</f>
        <v>0</v>
      </c>
      <c r="CJ36" s="11" t="n">
        <f aca="false">SUMIFS('Исходные данные'!$J$2:$J$964,'Исходные данные'!$D$2:$D$964,CI$1,'Исходные данные'!$F$2:$F$964,$A36)</f>
        <v>0</v>
      </c>
      <c r="CK36" s="7" t="n">
        <v>0</v>
      </c>
      <c r="CL36" s="7" t="n">
        <v>0</v>
      </c>
      <c r="CM36" s="11" t="n">
        <f aca="false">SUMIFS('Исходные данные'!$I$2:$I$964,'Исходные данные'!$D$2:$D$964,CM$1,'Исходные данные'!$F$2:$F$964,$A36)</f>
        <v>0</v>
      </c>
      <c r="CN36" s="11" t="n">
        <f aca="false">SUMIFS('Исходные данные'!$J$2:$J$964,'Исходные данные'!$D$2:$D$964,CM$1,'Исходные данные'!$F$2:$F$964,$A36)</f>
        <v>0</v>
      </c>
      <c r="CO36" s="7" t="n">
        <v>0</v>
      </c>
      <c r="CP36" s="7" t="n">
        <v>0</v>
      </c>
      <c r="CQ36" s="11" t="n">
        <f aca="false">SUMIFS('Исходные данные'!$I$2:$I$964,'Исходные данные'!$D$2:$D$964,CQ$1,'Исходные данные'!$F$2:$F$964,$A36)</f>
        <v>0</v>
      </c>
      <c r="CR36" s="11" t="n">
        <f aca="false">SUMIFS('Исходные данные'!$J$2:$J$964,'Исходные данные'!$D$2:$D$964,CQ$1,'Исходные данные'!$F$2:$F$964,$A36)</f>
        <v>0</v>
      </c>
      <c r="CS36" s="7" t="n">
        <v>0</v>
      </c>
      <c r="CT36" s="7" t="n">
        <v>0</v>
      </c>
      <c r="CU36" s="11" t="n">
        <f aca="false">SUMIFS('Исходные данные'!$I$2:$I$964,'Исходные данные'!$D$2:$D$964,CU$1,'Исходные данные'!$F$2:$F$964,$A36)</f>
        <v>0</v>
      </c>
      <c r="CV36" s="11" t="n">
        <f aca="false">SUMIFS('Исходные данные'!$J$2:$J$964,'Исходные данные'!$D$2:$D$964,CU$1,'Исходные данные'!$F$2:$F$964,$A36)</f>
        <v>0</v>
      </c>
      <c r="CW36" s="7" t="n">
        <v>0</v>
      </c>
      <c r="CX36" s="7" t="n">
        <v>0</v>
      </c>
      <c r="CY36" s="11" t="n">
        <f aca="false">SUMIFS('Исходные данные'!$I$2:$I$964,'Исходные данные'!$D$2:$D$964,CY$1,'Исходные данные'!$F$2:$F$964,$A36)</f>
        <v>0</v>
      </c>
      <c r="CZ36" s="11" t="n">
        <f aca="false">SUMIFS('Исходные данные'!$J$2:$J$964,'Исходные данные'!$D$2:$D$964,CY$1,'Исходные данные'!$F$2:$F$964,$A36)</f>
        <v>0</v>
      </c>
      <c r="DA36" s="7" t="n">
        <v>0</v>
      </c>
      <c r="DB36" s="7" t="n">
        <v>0</v>
      </c>
      <c r="DC36" s="11" t="n">
        <f aca="false">SUMIFS('Исходные данные'!$I$2:$I$964,'Исходные данные'!$D$2:$D$964,DC$1,'Исходные данные'!$F$2:$F$964,$A36)</f>
        <v>0</v>
      </c>
      <c r="DD36" s="11" t="n">
        <f aca="false">SUMIFS('Исходные данные'!$J$2:$J$964,'Исходные данные'!$D$2:$D$964,DC$1,'Исходные данные'!$F$2:$F$964,$A36)</f>
        <v>0</v>
      </c>
      <c r="DE36" s="7" t="n">
        <v>0</v>
      </c>
      <c r="DF36" s="7" t="n">
        <v>0</v>
      </c>
      <c r="DG36" s="11" t="n">
        <f aca="false">SUMIFS('Исходные данные'!$I$2:$I$964,'Исходные данные'!$D$2:$D$964,DG$1,'Исходные данные'!$F$2:$F$964,$A36)</f>
        <v>0</v>
      </c>
      <c r="DH36" s="11" t="n">
        <f aca="false">SUMIFS('Исходные данные'!$J$2:$J$964,'Исходные данные'!$D$2:$D$964,DG$1,'Исходные данные'!$F$2:$F$964,$A36)</f>
        <v>0</v>
      </c>
      <c r="DI36" s="7" t="n">
        <v>0</v>
      </c>
      <c r="DJ36" s="7" t="n">
        <v>0</v>
      </c>
      <c r="DK36" s="11" t="n">
        <f aca="false">SUMIFS('Исходные данные'!$I$2:$I$964,'Исходные данные'!$D$2:$D$964,DK$1,'Исходные данные'!$F$2:$F$964,$A36)</f>
        <v>0</v>
      </c>
      <c r="DL36" s="11" t="n">
        <f aca="false">SUMIFS('Исходные данные'!$J$2:$J$964,'Исходные данные'!$D$2:$D$964,DK$1,'Исходные данные'!$F$2:$F$964,$A36)</f>
        <v>0</v>
      </c>
      <c r="DM36" s="7" t="n">
        <v>0</v>
      </c>
      <c r="DN36" s="7" t="n">
        <v>0</v>
      </c>
      <c r="DO36" s="11" t="n">
        <f aca="false">SUMIFS('Исходные данные'!$I$2:$I$964,'Исходные данные'!$D$2:$D$964,DO$1,'Исходные данные'!$F$2:$F$964,$A36)</f>
        <v>0</v>
      </c>
      <c r="DP36" s="11" t="n">
        <f aca="false">SUMIFS('Исходные данные'!$J$2:$J$964,'Исходные данные'!$D$2:$D$964,DO$1,'Исходные данные'!$F$2:$F$964,$A36)</f>
        <v>0</v>
      </c>
      <c r="DQ36" s="7" t="n">
        <v>0</v>
      </c>
      <c r="DR36" s="7" t="n">
        <v>0</v>
      </c>
      <c r="DS36" s="11" t="n">
        <f aca="false">SUMIFS('Исходные данные'!$I$2:$I$964,'Исходные данные'!$D$2:$D$964,DS$1,'Исходные данные'!$F$2:$F$964,$A36)</f>
        <v>0</v>
      </c>
      <c r="DT36" s="11" t="n">
        <f aca="false">SUMIFS('Исходные данные'!$J$2:$J$964,'Исходные данные'!$D$2:$D$964,DS$1,'Исходные данные'!$F$2:$F$964,$A36)</f>
        <v>0</v>
      </c>
      <c r="DU36" s="7" t="n">
        <v>0</v>
      </c>
      <c r="DV36" s="7" t="n">
        <v>0</v>
      </c>
      <c r="DW36" s="11" t="n">
        <f aca="false">SUMIFS('Исходные данные'!$I$2:$I$964,'Исходные данные'!$D$2:$D$964,DW$1,'Исходные данные'!$F$2:$F$964,$A36)</f>
        <v>0</v>
      </c>
      <c r="DX36" s="11" t="n">
        <f aca="false">SUMIFS('Исходные данные'!$J$2:$J$964,'Исходные данные'!$D$2:$D$964,DW$1,'Исходные данные'!$F$2:$F$964,$A36)</f>
        <v>0</v>
      </c>
      <c r="DY36" s="7" t="n">
        <v>0</v>
      </c>
      <c r="DZ36" s="7" t="n">
        <v>0</v>
      </c>
      <c r="EA36" s="11" t="n">
        <f aca="false">SUMIFS('Исходные данные'!$I$2:$I$964,'Исходные данные'!$D$2:$D$964,EA$1,'Исходные данные'!$F$2:$F$964,$A36)</f>
        <v>0</v>
      </c>
      <c r="EB36" s="11" t="n">
        <f aca="false">SUMIFS('Исходные данные'!$J$2:$J$964,'Исходные данные'!$D$2:$D$964,EA$1,'Исходные данные'!$F$2:$F$964,$A36)</f>
        <v>0</v>
      </c>
      <c r="EC36" s="7" t="n">
        <v>0</v>
      </c>
      <c r="ED36" s="7" t="n">
        <v>0</v>
      </c>
      <c r="EE36" s="11" t="n">
        <f aca="false">SUMIFS('Исходные данные'!$I$2:$I$964,'Исходные данные'!$D$2:$D$964,EE$1,'Исходные данные'!$F$2:$F$964,$A36)</f>
        <v>0</v>
      </c>
      <c r="EF36" s="11" t="n">
        <f aca="false">SUMIFS('Исходные данные'!$J$2:$J$964,'Исходные данные'!$D$2:$D$964,EE$1,'Исходные данные'!$F$2:$F$964,$A36)</f>
        <v>0</v>
      </c>
      <c r="EG36" s="7" t="n">
        <v>0</v>
      </c>
      <c r="EH36" s="7" t="n">
        <v>0</v>
      </c>
      <c r="EI36" s="11" t="n">
        <f aca="false">SUMIFS('Исходные данные'!$I$2:$I$964,'Исходные данные'!$D$2:$D$964,EI$1,'Исходные данные'!$F$2:$F$964,$A36)</f>
        <v>0</v>
      </c>
      <c r="EJ36" s="11" t="n">
        <f aca="false">SUMIFS('Исходные данные'!$J$2:$J$964,'Исходные данные'!$D$2:$D$964,EI$1,'Исходные данные'!$F$2:$F$964,$A36)</f>
        <v>0</v>
      </c>
      <c r="EK36" s="7" t="n">
        <v>0</v>
      </c>
      <c r="EL36" s="7" t="n">
        <v>0</v>
      </c>
      <c r="EM36" s="11" t="n">
        <f aca="false">SUMIFS('Исходные данные'!$I$2:$I$964,'Исходные данные'!$D$2:$D$964,EM$1,'Исходные данные'!$F$2:$F$964,$A36)</f>
        <v>0</v>
      </c>
      <c r="EN36" s="11" t="n">
        <f aca="false">SUMIFS('Исходные данные'!$J$2:$J$964,'Исходные данные'!$D$2:$D$964,EM$1,'Исходные данные'!$F$2:$F$964,$A36)</f>
        <v>0</v>
      </c>
      <c r="EO36" s="7" t="n">
        <v>0</v>
      </c>
      <c r="EP36" s="7" t="n">
        <v>0</v>
      </c>
      <c r="EQ36" s="11" t="n">
        <f aca="false">SUMIFS('Исходные данные'!$I$2:$I$964,'Исходные данные'!$D$2:$D$964,EQ$1,'Исходные данные'!$F$2:$F$964,$A36)</f>
        <v>0</v>
      </c>
      <c r="ER36" s="11" t="n">
        <f aca="false">SUMIFS('Исходные данные'!$J$2:$J$964,'Исходные данные'!$D$2:$D$964,EQ$1,'Исходные данные'!$F$2:$F$964,$A36)</f>
        <v>0</v>
      </c>
      <c r="ES36" s="7" t="n">
        <v>0</v>
      </c>
      <c r="ET36" s="7" t="n">
        <v>0</v>
      </c>
      <c r="EU36" s="11" t="n">
        <f aca="false">SUMIFS('Исходные данные'!$I$2:$I$964,'Исходные данные'!$D$2:$D$964,EU$1,'Исходные данные'!$F$2:$F$964,$A36)</f>
        <v>0</v>
      </c>
      <c r="EV36" s="11" t="n">
        <f aca="false">SUMIFS('Исходные данные'!$J$2:$J$964,'Исходные данные'!$D$2:$D$964,EU$1,'Исходные данные'!$F$2:$F$964,$A36)</f>
        <v>0</v>
      </c>
      <c r="EW36" s="7" t="n">
        <v>0</v>
      </c>
      <c r="EX36" s="7" t="n">
        <v>0</v>
      </c>
      <c r="EY36" s="11" t="n">
        <f aca="false">SUMIFS('Исходные данные'!$I$2:$I$964,'Исходные данные'!$D$2:$D$964,EY$1,'Исходные данные'!$F$2:$F$964,$A36)</f>
        <v>0</v>
      </c>
      <c r="EZ36" s="11" t="n">
        <f aca="false">SUMIFS('Исходные данные'!$J$2:$J$964,'Исходные данные'!$D$2:$D$964,EY$1,'Исходные данные'!$F$2:$F$964,$A36)</f>
        <v>0</v>
      </c>
      <c r="FA36" s="7" t="n">
        <v>0</v>
      </c>
      <c r="FB36" s="7" t="n">
        <v>0</v>
      </c>
      <c r="FC36" s="11" t="n">
        <f aca="false">SUMIFS('Исходные данные'!$I$2:$I$964,'Исходные данные'!$D$2:$D$964,FC$1,'Исходные данные'!$F$2:$F$964,$A36)</f>
        <v>0</v>
      </c>
      <c r="FD36" s="11" t="n">
        <f aca="false">SUMIFS('Исходные данные'!$J$2:$J$964,'Исходные данные'!$D$2:$D$964,FC$1,'Исходные данные'!$F$2:$F$964,$A36)</f>
        <v>0</v>
      </c>
      <c r="FE36" s="7" t="n">
        <v>0</v>
      </c>
      <c r="FF36" s="7" t="n">
        <v>0</v>
      </c>
      <c r="FG36" s="11" t="n">
        <f aca="false">SUMIFS('Исходные данные'!$I$2:$I$964,'Исходные данные'!$D$2:$D$964,FG$1,'Исходные данные'!$F$2:$F$964,$A36)</f>
        <v>0</v>
      </c>
      <c r="FH36" s="11" t="n">
        <f aca="false">SUMIFS('Исходные данные'!$J$2:$J$964,'Исходные данные'!$D$2:$D$964,FG$1,'Исходные данные'!$F$2:$F$964,$A36)</f>
        <v>0</v>
      </c>
    </row>
    <row r="37" customFormat="false" ht="15" hidden="false" customHeight="false" outlineLevel="0" collapsed="false">
      <c r="A37" s="10" t="s">
        <v>117</v>
      </c>
      <c r="B37" s="11" t="s">
        <v>118</v>
      </c>
      <c r="C37" s="6" t="n">
        <v>2</v>
      </c>
      <c r="D37" s="6" t="n">
        <f aca="false">I37+J37+M37+N37+Q37+R37+U37+V37+Y37+Z37+AC37+AD37+AG37+AH37+AK37+AL37+AO37+AP37+AS37+AT37+AW37+AX37+BA37+BB37+BE37+BF37+BI37+BJ37+BM37+BN37+BQ37+BR37+BU37+BV37+BY37+BZ37+CC37+CD37+CG37+CH37+CK37+CL37+CO37+CP37+CS37+CT37+CW37+CX37+DA37+DB37+DE37+DF37+DI37+DJ37+DM37+DN37+DQ37+DR37+DU37+DV37+DY37+DZ37+EC37+ED37+EG37+EH37+EK37+EL37+EO37+EP37+ES37+ET37+EW37+EX37+FA37+FB37+FE37+FF37</f>
        <v>4</v>
      </c>
      <c r="E37" s="6" t="n">
        <f aca="false">G37+H37</f>
        <v>4</v>
      </c>
      <c r="F37" s="6" t="n">
        <f aca="false">E37-C37</f>
        <v>2</v>
      </c>
      <c r="G37" s="6" t="n">
        <f aca="false">K37+O37+S37+W37+AA37+AE37+AI37+AM37+AQ37+AU37+AY37+BC37+BG37+BK37+BO37+BS37+BW37+CA37+CE37+CI37+CM37+CQ37+CU37+CY37+DC37+DG37+DK37+DO37+DS37+DW37+EA37+EE37+EI37+EM37+EQ37+EU37+EY37+FC37+FG37</f>
        <v>3</v>
      </c>
      <c r="H37" s="6" t="n">
        <f aca="false">L37+P37+T37+X37+AB37+AF37+AJ37+AN37+AR37+AV37+AZ37+BD37+BH37+BL37+BP37+BT37+BX37+CB37+CF37+CJ37+CN37+CR37+CV37+CZ37+DD37+DH37+DL37+DP37+DT37+DX37+EB37+EF37+EJ37+EN37+ER37+EV37+EZ37+FD37+FH37</f>
        <v>1</v>
      </c>
      <c r="I37" s="7" t="n">
        <v>0</v>
      </c>
      <c r="J37" s="7" t="n">
        <v>0</v>
      </c>
      <c r="K37" s="11" t="n">
        <f aca="false">SUMIFS('Исходные данные'!$I$2:$I$964,'Исходные данные'!$D$2:$D$964,K$1,'Исходные данные'!$F$2:$F$964,$A37)</f>
        <v>0</v>
      </c>
      <c r="L37" s="11" t="n">
        <f aca="false">SUMIFS('Исходные данные'!$J$2:$J$964,'Исходные данные'!$D$2:$D$964,K$1,'Исходные данные'!$F$2:$F$964,$A37)</f>
        <v>0</v>
      </c>
      <c r="M37" s="7" t="n">
        <v>0</v>
      </c>
      <c r="N37" s="7" t="n">
        <v>0</v>
      </c>
      <c r="O37" s="11" t="n">
        <f aca="false">SUMIFS('Исходные данные'!$I$2:$I$964,'Исходные данные'!$D$2:$D$964,O$1,'Исходные данные'!$F$2:$F$964,$A37)</f>
        <v>0</v>
      </c>
      <c r="P37" s="11" t="n">
        <f aca="false">SUMIFS('Исходные данные'!$J$2:$J$964,'Исходные данные'!$D$2:$D$964,O$1,'Исходные данные'!$F$2:$F$964,$A37)</f>
        <v>0</v>
      </c>
      <c r="Q37" s="7" t="n">
        <v>0</v>
      </c>
      <c r="R37" s="7" t="n">
        <v>0</v>
      </c>
      <c r="S37" s="11" t="n">
        <f aca="false">SUMIFS('Исходные данные'!$I$2:$I$964,'Исходные данные'!$D$2:$D$964,S$1,'Исходные данные'!$F$2:$F$964,$A37)</f>
        <v>0</v>
      </c>
      <c r="T37" s="11" t="n">
        <f aca="false">SUMIFS('Исходные данные'!$J$2:$J$964,'Исходные данные'!$D$2:$D$964,S$1,'Исходные данные'!$F$2:$F$964,$A37)</f>
        <v>0</v>
      </c>
      <c r="U37" s="7" t="n">
        <v>0</v>
      </c>
      <c r="V37" s="7" t="n">
        <v>0</v>
      </c>
      <c r="W37" s="11" t="n">
        <f aca="false">SUMIFS('Исходные данные'!$I$2:$I$964,'Исходные данные'!$D$2:$D$964,W$1,'Исходные данные'!$F$2:$F$964,$A37)</f>
        <v>0</v>
      </c>
      <c r="X37" s="11" t="n">
        <f aca="false">SUMIFS('Исходные данные'!$J$2:$J$964,'Исходные данные'!$D$2:$D$964,W$1,'Исходные данные'!$F$2:$F$964,$A37)</f>
        <v>0</v>
      </c>
      <c r="Y37" s="7" t="n">
        <v>0</v>
      </c>
      <c r="Z37" s="7" t="n">
        <v>0</v>
      </c>
      <c r="AA37" s="11" t="n">
        <f aca="false">SUMIFS('Исходные данные'!$I$2:$I$964,'Исходные данные'!$D$2:$D$964,AA$1,'Исходные данные'!$F$2:$F$964,$A37)</f>
        <v>0</v>
      </c>
      <c r="AB37" s="11" t="n">
        <f aca="false">SUMIFS('Исходные данные'!$J$2:$J$964,'Исходные данные'!$D$2:$D$964,AA$1,'Исходные данные'!$F$2:$F$964,$A37)</f>
        <v>0</v>
      </c>
      <c r="AC37" s="7" t="n">
        <v>0</v>
      </c>
      <c r="AD37" s="7" t="n">
        <v>0</v>
      </c>
      <c r="AE37" s="11" t="n">
        <f aca="false">SUMIFS('Исходные данные'!$I$2:$I$964,'Исходные данные'!$D$2:$D$964,AE$1,'Исходные данные'!$F$2:$F$964,$A37)</f>
        <v>0</v>
      </c>
      <c r="AF37" s="11" t="n">
        <f aca="false">SUMIFS('Исходные данные'!$J$2:$J$964,'Исходные данные'!$D$2:$D$964,AE$1,'Исходные данные'!$F$2:$F$964,$A37)</f>
        <v>0</v>
      </c>
      <c r="AG37" s="7" t="n">
        <v>0</v>
      </c>
      <c r="AH37" s="7" t="n">
        <v>0</v>
      </c>
      <c r="AI37" s="11" t="n">
        <f aca="false">SUMIFS('Исходные данные'!$I$2:$I$964,'Исходные данные'!$D$2:$D$964,AI$1,'Исходные данные'!$F$2:$F$964,$A37)</f>
        <v>0</v>
      </c>
      <c r="AJ37" s="11" t="n">
        <f aca="false">SUMIFS('Исходные данные'!$J$2:$J$964,'Исходные данные'!$D$2:$D$964,AI$1,'Исходные данные'!$F$2:$F$964,$A37)</f>
        <v>0</v>
      </c>
      <c r="AK37" s="7" t="n">
        <v>0</v>
      </c>
      <c r="AL37" s="7" t="n">
        <v>0</v>
      </c>
      <c r="AM37" s="11" t="n">
        <f aca="false">SUMIFS('Исходные данные'!$I$2:$I$964,'Исходные данные'!$D$2:$D$964,AM$1,'Исходные данные'!$F$2:$F$964,$A37)</f>
        <v>0</v>
      </c>
      <c r="AN37" s="11" t="n">
        <f aca="false">SUMIFS('Исходные данные'!$J$2:$J$964,'Исходные данные'!$D$2:$D$964,AM$1,'Исходные данные'!$F$2:$F$964,$A37)</f>
        <v>0</v>
      </c>
      <c r="AO37" s="7" t="n">
        <v>0</v>
      </c>
      <c r="AP37" s="7" t="n">
        <v>0</v>
      </c>
      <c r="AQ37" s="11" t="n">
        <f aca="false">SUMIFS('Исходные данные'!$I$2:$I$964,'Исходные данные'!$D$2:$D$964,AQ$1,'Исходные данные'!$F$2:$F$964,$A37)</f>
        <v>0</v>
      </c>
      <c r="AR37" s="11" t="n">
        <f aca="false">SUMIFS('Исходные данные'!$J$2:$J$964,'Исходные данные'!$D$2:$D$964,AQ$1,'Исходные данные'!$F$2:$F$964,$A37)</f>
        <v>0</v>
      </c>
      <c r="AS37" s="7" t="n">
        <v>0</v>
      </c>
      <c r="AT37" s="7" t="n">
        <v>0</v>
      </c>
      <c r="AU37" s="11" t="n">
        <f aca="false">SUMIFS('Исходные данные'!$I$2:$I$964,'Исходные данные'!$D$2:$D$964,AU$1,'Исходные данные'!$F$2:$F$964,$A37)</f>
        <v>0</v>
      </c>
      <c r="AV37" s="11" t="n">
        <f aca="false">SUMIFS('Исходные данные'!$J$2:$J$964,'Исходные данные'!$D$2:$D$964,AU$1,'Исходные данные'!$F$2:$F$964,$A37)</f>
        <v>0</v>
      </c>
      <c r="AW37" s="7" t="n">
        <v>0</v>
      </c>
      <c r="AX37" s="7" t="n">
        <v>0</v>
      </c>
      <c r="AY37" s="11" t="n">
        <f aca="false">SUMIFS('Исходные данные'!$I$2:$I$964,'Исходные данные'!$D$2:$D$964,AY$1,'Исходные данные'!$F$2:$F$964,$A37)</f>
        <v>0</v>
      </c>
      <c r="AZ37" s="11" t="n">
        <f aca="false">SUMIFS('Исходные данные'!$J$2:$J$964,'Исходные данные'!$D$2:$D$964,AY$1,'Исходные данные'!$F$2:$F$964,$A37)</f>
        <v>0</v>
      </c>
      <c r="BA37" s="7" t="n">
        <v>0</v>
      </c>
      <c r="BB37" s="7" t="n">
        <v>0</v>
      </c>
      <c r="BC37" s="11" t="n">
        <f aca="false">SUMIFS('Исходные данные'!$I$2:$I$964,'Исходные данные'!$D$2:$D$964,BC$1,'Исходные данные'!$F$2:$F$964,$A37)</f>
        <v>0</v>
      </c>
      <c r="BD37" s="11" t="n">
        <f aca="false">SUMIFS('Исходные данные'!$J$2:$J$964,'Исходные данные'!$D$2:$D$964,BC$1,'Исходные данные'!$F$2:$F$964,$A37)</f>
        <v>0</v>
      </c>
      <c r="BE37" s="7" t="n">
        <v>0</v>
      </c>
      <c r="BF37" s="7" t="n">
        <v>0</v>
      </c>
      <c r="BG37" s="11" t="n">
        <f aca="false">SUMIFS('Исходные данные'!$I$2:$I$964,'Исходные данные'!$D$2:$D$964,BG$1,'Исходные данные'!$F$2:$F$964,$A37)</f>
        <v>0</v>
      </c>
      <c r="BH37" s="11" t="n">
        <f aca="false">SUMIFS('Исходные данные'!$J$2:$J$964,'Исходные данные'!$D$2:$D$964,BG$1,'Исходные данные'!$F$2:$F$964,$A37)</f>
        <v>0</v>
      </c>
      <c r="BI37" s="7" t="n">
        <v>0</v>
      </c>
      <c r="BJ37" s="7" t="n">
        <v>0</v>
      </c>
      <c r="BK37" s="11" t="n">
        <f aca="false">SUMIFS('Исходные данные'!$I$2:$I$964,'Исходные данные'!$D$2:$D$964,BK$1,'Исходные данные'!$F$2:$F$964,$A37)</f>
        <v>0</v>
      </c>
      <c r="BL37" s="11" t="n">
        <f aca="false">SUMIFS('Исходные данные'!$J$2:$J$964,'Исходные данные'!$D$2:$D$964,BK$1,'Исходные данные'!$F$2:$F$964,$A37)</f>
        <v>0</v>
      </c>
      <c r="BM37" s="7" t="n">
        <v>0</v>
      </c>
      <c r="BN37" s="7" t="n">
        <v>0</v>
      </c>
      <c r="BO37" s="11" t="n">
        <f aca="false">SUMIFS('Исходные данные'!$I$2:$I$964,'Исходные данные'!$D$2:$D$964,BO$1,'Исходные данные'!$F$2:$F$964,$A37)</f>
        <v>0</v>
      </c>
      <c r="BP37" s="11" t="n">
        <f aca="false">SUMIFS('Исходные данные'!$J$2:$J$964,'Исходные данные'!$D$2:$D$964,BO$1,'Исходные данные'!$F$2:$F$964,$A37)</f>
        <v>0</v>
      </c>
      <c r="BQ37" s="7" t="n">
        <v>0</v>
      </c>
      <c r="BR37" s="7" t="n">
        <v>0</v>
      </c>
      <c r="BS37" s="11" t="n">
        <f aca="false">SUMIFS('Исходные данные'!$I$2:$I$964,'Исходные данные'!$D$2:$D$964,BS$1,'Исходные данные'!$F$2:$F$964,$A37)</f>
        <v>0</v>
      </c>
      <c r="BT37" s="11" t="n">
        <f aca="false">SUMIFS('Исходные данные'!$J$2:$J$964,'Исходные данные'!$D$2:$D$964,BS$1,'Исходные данные'!$F$2:$F$964,$A37)</f>
        <v>0</v>
      </c>
      <c r="BU37" s="7" t="n">
        <v>3</v>
      </c>
      <c r="BV37" s="7" t="n">
        <v>1</v>
      </c>
      <c r="BW37" s="11" t="n">
        <f aca="false">SUMIFS('Исходные данные'!$I$2:$I$964,'Исходные данные'!$D$2:$D$964,BW$1,'Исходные данные'!$F$2:$F$964,$A37)</f>
        <v>3</v>
      </c>
      <c r="BX37" s="11" t="n">
        <f aca="false">SUMIFS('Исходные данные'!$J$2:$J$964,'Исходные данные'!$D$2:$D$964,BW$1,'Исходные данные'!$F$2:$F$964,$A37)</f>
        <v>1</v>
      </c>
      <c r="BY37" s="7" t="n">
        <v>0</v>
      </c>
      <c r="BZ37" s="7" t="n">
        <v>0</v>
      </c>
      <c r="CA37" s="11" t="n">
        <f aca="false">SUMIFS('Исходные данные'!$I$2:$I$964,'Исходные данные'!$D$2:$D$964,CA$1,'Исходные данные'!$F$2:$F$964,$A37)</f>
        <v>0</v>
      </c>
      <c r="CB37" s="11" t="n">
        <f aca="false">SUMIFS('Исходные данные'!$J$2:$J$964,'Исходные данные'!$D$2:$D$964,CA$1,'Исходные данные'!$F$2:$F$964,$A37)</f>
        <v>0</v>
      </c>
      <c r="CC37" s="7" t="n">
        <v>0</v>
      </c>
      <c r="CD37" s="7" t="n">
        <v>0</v>
      </c>
      <c r="CE37" s="11" t="n">
        <f aca="false">SUMIFS('Исходные данные'!$I$2:$I$964,'Исходные данные'!$D$2:$D$964,CE$1,'Исходные данные'!$F$2:$F$964,$A37)</f>
        <v>0</v>
      </c>
      <c r="CF37" s="11" t="n">
        <f aca="false">SUMIFS('Исходные данные'!$J$2:$J$964,'Исходные данные'!$D$2:$D$964,CE$1,'Исходные данные'!$F$2:$F$964,$A37)</f>
        <v>0</v>
      </c>
      <c r="CG37" s="7" t="n">
        <v>0</v>
      </c>
      <c r="CH37" s="7" t="n">
        <v>0</v>
      </c>
      <c r="CI37" s="11" t="n">
        <f aca="false">SUMIFS('Исходные данные'!$I$2:$I$964,'Исходные данные'!$D$2:$D$964,CI$1,'Исходные данные'!$F$2:$F$964,$A37)</f>
        <v>0</v>
      </c>
      <c r="CJ37" s="11" t="n">
        <f aca="false">SUMIFS('Исходные данные'!$J$2:$J$964,'Исходные данные'!$D$2:$D$964,CI$1,'Исходные данные'!$F$2:$F$964,$A37)</f>
        <v>0</v>
      </c>
      <c r="CK37" s="7" t="n">
        <v>0</v>
      </c>
      <c r="CL37" s="7" t="n">
        <v>0</v>
      </c>
      <c r="CM37" s="11" t="n">
        <f aca="false">SUMIFS('Исходные данные'!$I$2:$I$964,'Исходные данные'!$D$2:$D$964,CM$1,'Исходные данные'!$F$2:$F$964,$A37)</f>
        <v>0</v>
      </c>
      <c r="CN37" s="11" t="n">
        <f aca="false">SUMIFS('Исходные данные'!$J$2:$J$964,'Исходные данные'!$D$2:$D$964,CM$1,'Исходные данные'!$F$2:$F$964,$A37)</f>
        <v>0</v>
      </c>
      <c r="CO37" s="7" t="n">
        <v>0</v>
      </c>
      <c r="CP37" s="7" t="n">
        <v>0</v>
      </c>
      <c r="CQ37" s="11" t="n">
        <f aca="false">SUMIFS('Исходные данные'!$I$2:$I$964,'Исходные данные'!$D$2:$D$964,CQ$1,'Исходные данные'!$F$2:$F$964,$A37)</f>
        <v>0</v>
      </c>
      <c r="CR37" s="11" t="n">
        <f aca="false">SUMIFS('Исходные данные'!$J$2:$J$964,'Исходные данные'!$D$2:$D$964,CQ$1,'Исходные данные'!$F$2:$F$964,$A37)</f>
        <v>0</v>
      </c>
      <c r="CS37" s="7" t="n">
        <v>0</v>
      </c>
      <c r="CT37" s="7" t="n">
        <v>0</v>
      </c>
      <c r="CU37" s="11" t="n">
        <f aca="false">SUMIFS('Исходные данные'!$I$2:$I$964,'Исходные данные'!$D$2:$D$964,CU$1,'Исходные данные'!$F$2:$F$964,$A37)</f>
        <v>0</v>
      </c>
      <c r="CV37" s="11" t="n">
        <f aca="false">SUMIFS('Исходные данные'!$J$2:$J$964,'Исходные данные'!$D$2:$D$964,CU$1,'Исходные данные'!$F$2:$F$964,$A37)</f>
        <v>0</v>
      </c>
      <c r="CW37" s="7" t="n">
        <v>0</v>
      </c>
      <c r="CX37" s="7" t="n">
        <v>0</v>
      </c>
      <c r="CY37" s="11" t="n">
        <f aca="false">SUMIFS('Исходные данные'!$I$2:$I$964,'Исходные данные'!$D$2:$D$964,CY$1,'Исходные данные'!$F$2:$F$964,$A37)</f>
        <v>0</v>
      </c>
      <c r="CZ37" s="11" t="n">
        <f aca="false">SUMIFS('Исходные данные'!$J$2:$J$964,'Исходные данные'!$D$2:$D$964,CY$1,'Исходные данные'!$F$2:$F$964,$A37)</f>
        <v>0</v>
      </c>
      <c r="DA37" s="7" t="n">
        <v>0</v>
      </c>
      <c r="DB37" s="7" t="n">
        <v>0</v>
      </c>
      <c r="DC37" s="11" t="n">
        <f aca="false">SUMIFS('Исходные данные'!$I$2:$I$964,'Исходные данные'!$D$2:$D$964,DC$1,'Исходные данные'!$F$2:$F$964,$A37)</f>
        <v>0</v>
      </c>
      <c r="DD37" s="11" t="n">
        <f aca="false">SUMIFS('Исходные данные'!$J$2:$J$964,'Исходные данные'!$D$2:$D$964,DC$1,'Исходные данные'!$F$2:$F$964,$A37)</f>
        <v>0</v>
      </c>
      <c r="DE37" s="7" t="n">
        <v>0</v>
      </c>
      <c r="DF37" s="7" t="n">
        <v>0</v>
      </c>
      <c r="DG37" s="11" t="n">
        <f aca="false">SUMIFS('Исходные данные'!$I$2:$I$964,'Исходные данные'!$D$2:$D$964,DG$1,'Исходные данные'!$F$2:$F$964,$A37)</f>
        <v>0</v>
      </c>
      <c r="DH37" s="11" t="n">
        <f aca="false">SUMIFS('Исходные данные'!$J$2:$J$964,'Исходные данные'!$D$2:$D$964,DG$1,'Исходные данные'!$F$2:$F$964,$A37)</f>
        <v>0</v>
      </c>
      <c r="DI37" s="7" t="n">
        <v>0</v>
      </c>
      <c r="DJ37" s="7" t="n">
        <v>0</v>
      </c>
      <c r="DK37" s="11" t="n">
        <f aca="false">SUMIFS('Исходные данные'!$I$2:$I$964,'Исходные данные'!$D$2:$D$964,DK$1,'Исходные данные'!$F$2:$F$964,$A37)</f>
        <v>0</v>
      </c>
      <c r="DL37" s="11" t="n">
        <f aca="false">SUMIFS('Исходные данные'!$J$2:$J$964,'Исходные данные'!$D$2:$D$964,DK$1,'Исходные данные'!$F$2:$F$964,$A37)</f>
        <v>0</v>
      </c>
      <c r="DM37" s="7" t="n">
        <v>0</v>
      </c>
      <c r="DN37" s="7" t="n">
        <v>0</v>
      </c>
      <c r="DO37" s="11" t="n">
        <f aca="false">SUMIFS('Исходные данные'!$I$2:$I$964,'Исходные данные'!$D$2:$D$964,DO$1,'Исходные данные'!$F$2:$F$964,$A37)</f>
        <v>0</v>
      </c>
      <c r="DP37" s="11" t="n">
        <f aca="false">SUMIFS('Исходные данные'!$J$2:$J$964,'Исходные данные'!$D$2:$D$964,DO$1,'Исходные данные'!$F$2:$F$964,$A37)</f>
        <v>0</v>
      </c>
      <c r="DQ37" s="7" t="n">
        <v>0</v>
      </c>
      <c r="DR37" s="7" t="n">
        <v>0</v>
      </c>
      <c r="DS37" s="11" t="n">
        <f aca="false">SUMIFS('Исходные данные'!$I$2:$I$964,'Исходные данные'!$D$2:$D$964,DS$1,'Исходные данные'!$F$2:$F$964,$A37)</f>
        <v>0</v>
      </c>
      <c r="DT37" s="11" t="n">
        <f aca="false">SUMIFS('Исходные данные'!$J$2:$J$964,'Исходные данные'!$D$2:$D$964,DS$1,'Исходные данные'!$F$2:$F$964,$A37)</f>
        <v>0</v>
      </c>
      <c r="DU37" s="7" t="n">
        <v>0</v>
      </c>
      <c r="DV37" s="7" t="n">
        <v>0</v>
      </c>
      <c r="DW37" s="11" t="n">
        <f aca="false">SUMIFS('Исходные данные'!$I$2:$I$964,'Исходные данные'!$D$2:$D$964,DW$1,'Исходные данные'!$F$2:$F$964,$A37)</f>
        <v>0</v>
      </c>
      <c r="DX37" s="11" t="n">
        <f aca="false">SUMIFS('Исходные данные'!$J$2:$J$964,'Исходные данные'!$D$2:$D$964,DW$1,'Исходные данные'!$F$2:$F$964,$A37)</f>
        <v>0</v>
      </c>
      <c r="DY37" s="7" t="n">
        <v>0</v>
      </c>
      <c r="DZ37" s="7" t="n">
        <v>0</v>
      </c>
      <c r="EA37" s="11" t="n">
        <f aca="false">SUMIFS('Исходные данные'!$I$2:$I$964,'Исходные данные'!$D$2:$D$964,EA$1,'Исходные данные'!$F$2:$F$964,$A37)</f>
        <v>0</v>
      </c>
      <c r="EB37" s="11" t="n">
        <f aca="false">SUMIFS('Исходные данные'!$J$2:$J$964,'Исходные данные'!$D$2:$D$964,EA$1,'Исходные данные'!$F$2:$F$964,$A37)</f>
        <v>0</v>
      </c>
      <c r="EC37" s="7" t="n">
        <v>0</v>
      </c>
      <c r="ED37" s="7" t="n">
        <v>0</v>
      </c>
      <c r="EE37" s="11" t="n">
        <f aca="false">SUMIFS('Исходные данные'!$I$2:$I$964,'Исходные данные'!$D$2:$D$964,EE$1,'Исходные данные'!$F$2:$F$964,$A37)</f>
        <v>0</v>
      </c>
      <c r="EF37" s="11" t="n">
        <f aca="false">SUMIFS('Исходные данные'!$J$2:$J$964,'Исходные данные'!$D$2:$D$964,EE$1,'Исходные данные'!$F$2:$F$964,$A37)</f>
        <v>0</v>
      </c>
      <c r="EG37" s="7" t="n">
        <v>0</v>
      </c>
      <c r="EH37" s="7" t="n">
        <v>0</v>
      </c>
      <c r="EI37" s="11" t="n">
        <f aca="false">SUMIFS('Исходные данные'!$I$2:$I$964,'Исходные данные'!$D$2:$D$964,EI$1,'Исходные данные'!$F$2:$F$964,$A37)</f>
        <v>0</v>
      </c>
      <c r="EJ37" s="11" t="n">
        <f aca="false">SUMIFS('Исходные данные'!$J$2:$J$964,'Исходные данные'!$D$2:$D$964,EI$1,'Исходные данные'!$F$2:$F$964,$A37)</f>
        <v>0</v>
      </c>
      <c r="EK37" s="7" t="n">
        <v>0</v>
      </c>
      <c r="EL37" s="7" t="n">
        <v>0</v>
      </c>
      <c r="EM37" s="11" t="n">
        <f aca="false">SUMIFS('Исходные данные'!$I$2:$I$964,'Исходные данные'!$D$2:$D$964,EM$1,'Исходные данные'!$F$2:$F$964,$A37)</f>
        <v>0</v>
      </c>
      <c r="EN37" s="11" t="n">
        <f aca="false">SUMIFS('Исходные данные'!$J$2:$J$964,'Исходные данные'!$D$2:$D$964,EM$1,'Исходные данные'!$F$2:$F$964,$A37)</f>
        <v>0</v>
      </c>
      <c r="EO37" s="7" t="n">
        <v>0</v>
      </c>
      <c r="EP37" s="7" t="n">
        <v>0</v>
      </c>
      <c r="EQ37" s="11" t="n">
        <f aca="false">SUMIFS('Исходные данные'!$I$2:$I$964,'Исходные данные'!$D$2:$D$964,EQ$1,'Исходные данные'!$F$2:$F$964,$A37)</f>
        <v>0</v>
      </c>
      <c r="ER37" s="11" t="n">
        <f aca="false">SUMIFS('Исходные данные'!$J$2:$J$964,'Исходные данные'!$D$2:$D$964,EQ$1,'Исходные данные'!$F$2:$F$964,$A37)</f>
        <v>0</v>
      </c>
      <c r="ES37" s="7" t="n">
        <v>0</v>
      </c>
      <c r="ET37" s="7" t="n">
        <v>0</v>
      </c>
      <c r="EU37" s="11" t="n">
        <f aca="false">SUMIFS('Исходные данные'!$I$2:$I$964,'Исходные данные'!$D$2:$D$964,EU$1,'Исходные данные'!$F$2:$F$964,$A37)</f>
        <v>0</v>
      </c>
      <c r="EV37" s="11" t="n">
        <f aca="false">SUMIFS('Исходные данные'!$J$2:$J$964,'Исходные данные'!$D$2:$D$964,EU$1,'Исходные данные'!$F$2:$F$964,$A37)</f>
        <v>0</v>
      </c>
      <c r="EW37" s="7" t="n">
        <v>0</v>
      </c>
      <c r="EX37" s="7" t="n">
        <v>0</v>
      </c>
      <c r="EY37" s="11" t="n">
        <f aca="false">SUMIFS('Исходные данные'!$I$2:$I$964,'Исходные данные'!$D$2:$D$964,EY$1,'Исходные данные'!$F$2:$F$964,$A37)</f>
        <v>0</v>
      </c>
      <c r="EZ37" s="11" t="n">
        <f aca="false">SUMIFS('Исходные данные'!$J$2:$J$964,'Исходные данные'!$D$2:$D$964,EY$1,'Исходные данные'!$F$2:$F$964,$A37)</f>
        <v>0</v>
      </c>
      <c r="FA37" s="7" t="n">
        <v>0</v>
      </c>
      <c r="FB37" s="7" t="n">
        <v>0</v>
      </c>
      <c r="FC37" s="11" t="n">
        <f aca="false">SUMIFS('Исходные данные'!$I$2:$I$964,'Исходные данные'!$D$2:$D$964,FC$1,'Исходные данные'!$F$2:$F$964,$A37)</f>
        <v>0</v>
      </c>
      <c r="FD37" s="11" t="n">
        <f aca="false">SUMIFS('Исходные данные'!$J$2:$J$964,'Исходные данные'!$D$2:$D$964,FC$1,'Исходные данные'!$F$2:$F$964,$A37)</f>
        <v>0</v>
      </c>
      <c r="FE37" s="7" t="n">
        <v>0</v>
      </c>
      <c r="FF37" s="7" t="n">
        <v>0</v>
      </c>
      <c r="FG37" s="11" t="n">
        <f aca="false">SUMIFS('Исходные данные'!$I$2:$I$964,'Исходные данные'!$D$2:$D$964,FG$1,'Исходные данные'!$F$2:$F$964,$A37)</f>
        <v>0</v>
      </c>
      <c r="FH37" s="11" t="n">
        <f aca="false">SUMIFS('Исходные данные'!$J$2:$J$964,'Исходные данные'!$D$2:$D$964,FG$1,'Исходные данные'!$F$2:$F$964,$A37)</f>
        <v>0</v>
      </c>
    </row>
    <row r="38" customFormat="false" ht="15" hidden="false" customHeight="false" outlineLevel="0" collapsed="false">
      <c r="A38" s="10" t="s">
        <v>119</v>
      </c>
      <c r="B38" s="11" t="s">
        <v>120</v>
      </c>
      <c r="C38" s="6" t="n">
        <v>2</v>
      </c>
      <c r="D38" s="6" t="n">
        <f aca="false">I38+J38+M38+N38+Q38+R38+U38+V38+Y38+Z38+AC38+AD38+AG38+AH38+AK38+AL38+AO38+AP38+AS38+AT38+AW38+AX38+BA38+BB38+BE38+BF38+BI38+BJ38+BM38+BN38+BQ38+BR38+BU38+BV38+BY38+BZ38+CC38+CD38+CG38+CH38+CK38+CL38+CO38+CP38+CS38+CT38+CW38+CX38+DA38+DB38+DE38+DF38+DI38+DJ38+DM38+DN38+DQ38+DR38+DU38+DV38+DY38+DZ38+EC38+ED38+EG38+EH38+EK38+EL38+EO38+EP38+ES38+ET38+EW38+EX38+FA38+FB38+FE38+FF38</f>
        <v>0</v>
      </c>
      <c r="E38" s="6" t="n">
        <f aca="false">G38+H38</f>
        <v>0</v>
      </c>
      <c r="F38" s="6" t="n">
        <f aca="false">E38-C38</f>
        <v>-2</v>
      </c>
      <c r="G38" s="6" t="n">
        <f aca="false">K38+O38+S38+W38+AA38+AE38+AI38+AM38+AQ38+AU38+AY38+BC38+BG38+BK38+BO38+BS38+BW38+CA38+CE38+CI38+CM38+CQ38+CU38+CY38+DC38+DG38+DK38+DO38+DS38+DW38+EA38+EE38+EI38+EM38+EQ38+EU38+EY38+FC38+FG38</f>
        <v>0</v>
      </c>
      <c r="H38" s="6" t="n">
        <f aca="false">L38+P38+T38+X38+AB38+AF38+AJ38+AN38+AR38+AV38+AZ38+BD38+BH38+BL38+BP38+BT38+BX38+CB38+CF38+CJ38+CN38+CR38+CV38+CZ38+DD38+DH38+DL38+DP38+DT38+DX38+EB38+EF38+EJ38+EN38+ER38+EV38+EZ38+FD38+FH38</f>
        <v>0</v>
      </c>
      <c r="I38" s="7" t="n">
        <v>0</v>
      </c>
      <c r="J38" s="7" t="n">
        <v>0</v>
      </c>
      <c r="K38" s="11" t="n">
        <f aca="false">SUMIFS('Исходные данные'!$I$2:$I$964,'Исходные данные'!$D$2:$D$964,K$1,'Исходные данные'!$F$2:$F$964,$A38)</f>
        <v>0</v>
      </c>
      <c r="L38" s="11" t="n">
        <f aca="false">SUMIFS('Исходные данные'!$J$2:$J$964,'Исходные данные'!$D$2:$D$964,K$1,'Исходные данные'!$F$2:$F$964,$A38)</f>
        <v>0</v>
      </c>
      <c r="M38" s="7" t="n">
        <v>0</v>
      </c>
      <c r="N38" s="7" t="n">
        <v>0</v>
      </c>
      <c r="O38" s="11" t="n">
        <f aca="false">SUMIFS('Исходные данные'!$I$2:$I$964,'Исходные данные'!$D$2:$D$964,O$1,'Исходные данные'!$F$2:$F$964,$A38)</f>
        <v>0</v>
      </c>
      <c r="P38" s="11" t="n">
        <f aca="false">SUMIFS('Исходные данные'!$J$2:$J$964,'Исходные данные'!$D$2:$D$964,O$1,'Исходные данные'!$F$2:$F$964,$A38)</f>
        <v>0</v>
      </c>
      <c r="Q38" s="7" t="n">
        <v>0</v>
      </c>
      <c r="R38" s="7" t="n">
        <v>0</v>
      </c>
      <c r="S38" s="11" t="n">
        <f aca="false">SUMIFS('Исходные данные'!$I$2:$I$964,'Исходные данные'!$D$2:$D$964,S$1,'Исходные данные'!$F$2:$F$964,$A38)</f>
        <v>0</v>
      </c>
      <c r="T38" s="11" t="n">
        <f aca="false">SUMIFS('Исходные данные'!$J$2:$J$964,'Исходные данные'!$D$2:$D$964,S$1,'Исходные данные'!$F$2:$F$964,$A38)</f>
        <v>0</v>
      </c>
      <c r="U38" s="7" t="n">
        <v>0</v>
      </c>
      <c r="V38" s="7" t="n">
        <v>0</v>
      </c>
      <c r="W38" s="11" t="n">
        <f aca="false">SUMIFS('Исходные данные'!$I$2:$I$964,'Исходные данные'!$D$2:$D$964,W$1,'Исходные данные'!$F$2:$F$964,$A38)</f>
        <v>0</v>
      </c>
      <c r="X38" s="11" t="n">
        <f aca="false">SUMIFS('Исходные данные'!$J$2:$J$964,'Исходные данные'!$D$2:$D$964,W$1,'Исходные данные'!$F$2:$F$964,$A38)</f>
        <v>0</v>
      </c>
      <c r="Y38" s="7" t="n">
        <v>0</v>
      </c>
      <c r="Z38" s="7" t="n">
        <v>0</v>
      </c>
      <c r="AA38" s="11" t="n">
        <f aca="false">SUMIFS('Исходные данные'!$I$2:$I$964,'Исходные данные'!$D$2:$D$964,AA$1,'Исходные данные'!$F$2:$F$964,$A38)</f>
        <v>0</v>
      </c>
      <c r="AB38" s="11" t="n">
        <f aca="false">SUMIFS('Исходные данные'!$J$2:$J$964,'Исходные данные'!$D$2:$D$964,AA$1,'Исходные данные'!$F$2:$F$964,$A38)</f>
        <v>0</v>
      </c>
      <c r="AC38" s="7" t="n">
        <v>0</v>
      </c>
      <c r="AD38" s="7" t="n">
        <v>0</v>
      </c>
      <c r="AE38" s="11" t="n">
        <f aca="false">SUMIFS('Исходные данные'!$I$2:$I$964,'Исходные данные'!$D$2:$D$964,AE$1,'Исходные данные'!$F$2:$F$964,$A38)</f>
        <v>0</v>
      </c>
      <c r="AF38" s="11" t="n">
        <f aca="false">SUMIFS('Исходные данные'!$J$2:$J$964,'Исходные данные'!$D$2:$D$964,AE$1,'Исходные данные'!$F$2:$F$964,$A38)</f>
        <v>0</v>
      </c>
      <c r="AG38" s="7" t="n">
        <v>0</v>
      </c>
      <c r="AH38" s="7" t="n">
        <v>0</v>
      </c>
      <c r="AI38" s="11" t="n">
        <f aca="false">SUMIFS('Исходные данные'!$I$2:$I$964,'Исходные данные'!$D$2:$D$964,AI$1,'Исходные данные'!$F$2:$F$964,$A38)</f>
        <v>0</v>
      </c>
      <c r="AJ38" s="11" t="n">
        <f aca="false">SUMIFS('Исходные данные'!$J$2:$J$964,'Исходные данные'!$D$2:$D$964,AI$1,'Исходные данные'!$F$2:$F$964,$A38)</f>
        <v>0</v>
      </c>
      <c r="AK38" s="7" t="n">
        <v>0</v>
      </c>
      <c r="AL38" s="7" t="n">
        <v>0</v>
      </c>
      <c r="AM38" s="11" t="n">
        <f aca="false">SUMIFS('Исходные данные'!$I$2:$I$964,'Исходные данные'!$D$2:$D$964,AM$1,'Исходные данные'!$F$2:$F$964,$A38)</f>
        <v>0</v>
      </c>
      <c r="AN38" s="11" t="n">
        <f aca="false">SUMIFS('Исходные данные'!$J$2:$J$964,'Исходные данные'!$D$2:$D$964,AM$1,'Исходные данные'!$F$2:$F$964,$A38)</f>
        <v>0</v>
      </c>
      <c r="AO38" s="7" t="n">
        <v>0</v>
      </c>
      <c r="AP38" s="7" t="n">
        <v>0</v>
      </c>
      <c r="AQ38" s="11" t="n">
        <f aca="false">SUMIFS('Исходные данные'!$I$2:$I$964,'Исходные данные'!$D$2:$D$964,AQ$1,'Исходные данные'!$F$2:$F$964,$A38)</f>
        <v>0</v>
      </c>
      <c r="AR38" s="11" t="n">
        <f aca="false">SUMIFS('Исходные данные'!$J$2:$J$964,'Исходные данные'!$D$2:$D$964,AQ$1,'Исходные данные'!$F$2:$F$964,$A38)</f>
        <v>0</v>
      </c>
      <c r="AS38" s="7" t="n">
        <v>0</v>
      </c>
      <c r="AT38" s="7" t="n">
        <v>0</v>
      </c>
      <c r="AU38" s="11" t="n">
        <f aca="false">SUMIFS('Исходные данные'!$I$2:$I$964,'Исходные данные'!$D$2:$D$964,AU$1,'Исходные данные'!$F$2:$F$964,$A38)</f>
        <v>0</v>
      </c>
      <c r="AV38" s="11" t="n">
        <f aca="false">SUMIFS('Исходные данные'!$J$2:$J$964,'Исходные данные'!$D$2:$D$964,AU$1,'Исходные данные'!$F$2:$F$964,$A38)</f>
        <v>0</v>
      </c>
      <c r="AW38" s="7" t="n">
        <v>0</v>
      </c>
      <c r="AX38" s="7" t="n">
        <v>0</v>
      </c>
      <c r="AY38" s="11" t="n">
        <f aca="false">SUMIFS('Исходные данные'!$I$2:$I$964,'Исходные данные'!$D$2:$D$964,AY$1,'Исходные данные'!$F$2:$F$964,$A38)</f>
        <v>0</v>
      </c>
      <c r="AZ38" s="11" t="n">
        <f aca="false">SUMIFS('Исходные данные'!$J$2:$J$964,'Исходные данные'!$D$2:$D$964,AY$1,'Исходные данные'!$F$2:$F$964,$A38)</f>
        <v>0</v>
      </c>
      <c r="BA38" s="7" t="n">
        <v>0</v>
      </c>
      <c r="BB38" s="7" t="n">
        <v>0</v>
      </c>
      <c r="BC38" s="11" t="n">
        <f aca="false">SUMIFS('Исходные данные'!$I$2:$I$964,'Исходные данные'!$D$2:$D$964,BC$1,'Исходные данные'!$F$2:$F$964,$A38)</f>
        <v>0</v>
      </c>
      <c r="BD38" s="11" t="n">
        <f aca="false">SUMIFS('Исходные данные'!$J$2:$J$964,'Исходные данные'!$D$2:$D$964,BC$1,'Исходные данные'!$F$2:$F$964,$A38)</f>
        <v>0</v>
      </c>
      <c r="BE38" s="7" t="n">
        <v>0</v>
      </c>
      <c r="BF38" s="7" t="n">
        <v>0</v>
      </c>
      <c r="BG38" s="11" t="n">
        <f aca="false">SUMIFS('Исходные данные'!$I$2:$I$964,'Исходные данные'!$D$2:$D$964,BG$1,'Исходные данные'!$F$2:$F$964,$A38)</f>
        <v>0</v>
      </c>
      <c r="BH38" s="11" t="n">
        <f aca="false">SUMIFS('Исходные данные'!$J$2:$J$964,'Исходные данные'!$D$2:$D$964,BG$1,'Исходные данные'!$F$2:$F$964,$A38)</f>
        <v>0</v>
      </c>
      <c r="BI38" s="7" t="n">
        <v>0</v>
      </c>
      <c r="BJ38" s="7" t="n">
        <v>0</v>
      </c>
      <c r="BK38" s="11" t="n">
        <f aca="false">SUMIFS('Исходные данные'!$I$2:$I$964,'Исходные данные'!$D$2:$D$964,BK$1,'Исходные данные'!$F$2:$F$964,$A38)</f>
        <v>0</v>
      </c>
      <c r="BL38" s="11" t="n">
        <f aca="false">SUMIFS('Исходные данные'!$J$2:$J$964,'Исходные данные'!$D$2:$D$964,BK$1,'Исходные данные'!$F$2:$F$964,$A38)</f>
        <v>0</v>
      </c>
      <c r="BM38" s="7" t="n">
        <v>0</v>
      </c>
      <c r="BN38" s="7" t="n">
        <v>0</v>
      </c>
      <c r="BO38" s="11" t="n">
        <f aca="false">SUMIFS('Исходные данные'!$I$2:$I$964,'Исходные данные'!$D$2:$D$964,BO$1,'Исходные данные'!$F$2:$F$964,$A38)</f>
        <v>0</v>
      </c>
      <c r="BP38" s="11" t="n">
        <f aca="false">SUMIFS('Исходные данные'!$J$2:$J$964,'Исходные данные'!$D$2:$D$964,BO$1,'Исходные данные'!$F$2:$F$964,$A38)</f>
        <v>0</v>
      </c>
      <c r="BQ38" s="7" t="n">
        <v>0</v>
      </c>
      <c r="BR38" s="7" t="n">
        <v>0</v>
      </c>
      <c r="BS38" s="11" t="n">
        <f aca="false">SUMIFS('Исходные данные'!$I$2:$I$964,'Исходные данные'!$D$2:$D$964,BS$1,'Исходные данные'!$F$2:$F$964,$A38)</f>
        <v>0</v>
      </c>
      <c r="BT38" s="11" t="n">
        <f aca="false">SUMIFS('Исходные данные'!$J$2:$J$964,'Исходные данные'!$D$2:$D$964,BS$1,'Исходные данные'!$F$2:$F$964,$A38)</f>
        <v>0</v>
      </c>
      <c r="BU38" s="7" t="n">
        <v>0</v>
      </c>
      <c r="BV38" s="7" t="n">
        <v>0</v>
      </c>
      <c r="BW38" s="11" t="n">
        <f aca="false">SUMIFS('Исходные данные'!$I$2:$I$964,'Исходные данные'!$D$2:$D$964,BW$1,'Исходные данные'!$F$2:$F$964,$A38)</f>
        <v>0</v>
      </c>
      <c r="BX38" s="11" t="n">
        <f aca="false">SUMIFS('Исходные данные'!$J$2:$J$964,'Исходные данные'!$D$2:$D$964,BW$1,'Исходные данные'!$F$2:$F$964,$A38)</f>
        <v>0</v>
      </c>
      <c r="BY38" s="7" t="n">
        <v>0</v>
      </c>
      <c r="BZ38" s="7" t="n">
        <v>0</v>
      </c>
      <c r="CA38" s="11" t="n">
        <f aca="false">SUMIFS('Исходные данные'!$I$2:$I$964,'Исходные данные'!$D$2:$D$964,CA$1,'Исходные данные'!$F$2:$F$964,$A38)</f>
        <v>0</v>
      </c>
      <c r="CB38" s="11" t="n">
        <f aca="false">SUMIFS('Исходные данные'!$J$2:$J$964,'Исходные данные'!$D$2:$D$964,CA$1,'Исходные данные'!$F$2:$F$964,$A38)</f>
        <v>0</v>
      </c>
      <c r="CC38" s="7" t="n">
        <v>0</v>
      </c>
      <c r="CD38" s="7" t="n">
        <v>0</v>
      </c>
      <c r="CE38" s="11" t="n">
        <f aca="false">SUMIFS('Исходные данные'!$I$2:$I$964,'Исходные данные'!$D$2:$D$964,CE$1,'Исходные данные'!$F$2:$F$964,$A38)</f>
        <v>0</v>
      </c>
      <c r="CF38" s="11" t="n">
        <f aca="false">SUMIFS('Исходные данные'!$J$2:$J$964,'Исходные данные'!$D$2:$D$964,CE$1,'Исходные данные'!$F$2:$F$964,$A38)</f>
        <v>0</v>
      </c>
      <c r="CG38" s="7" t="n">
        <v>0</v>
      </c>
      <c r="CH38" s="7" t="n">
        <v>0</v>
      </c>
      <c r="CI38" s="11" t="n">
        <f aca="false">SUMIFS('Исходные данные'!$I$2:$I$964,'Исходные данные'!$D$2:$D$964,CI$1,'Исходные данные'!$F$2:$F$964,$A38)</f>
        <v>0</v>
      </c>
      <c r="CJ38" s="11" t="n">
        <f aca="false">SUMIFS('Исходные данные'!$J$2:$J$964,'Исходные данные'!$D$2:$D$964,CI$1,'Исходные данные'!$F$2:$F$964,$A38)</f>
        <v>0</v>
      </c>
      <c r="CK38" s="7" t="n">
        <v>0</v>
      </c>
      <c r="CL38" s="7" t="n">
        <v>0</v>
      </c>
      <c r="CM38" s="11" t="n">
        <f aca="false">SUMIFS('Исходные данные'!$I$2:$I$964,'Исходные данные'!$D$2:$D$964,CM$1,'Исходные данные'!$F$2:$F$964,$A38)</f>
        <v>0</v>
      </c>
      <c r="CN38" s="11" t="n">
        <f aca="false">SUMIFS('Исходные данные'!$J$2:$J$964,'Исходные данные'!$D$2:$D$964,CM$1,'Исходные данные'!$F$2:$F$964,$A38)</f>
        <v>0</v>
      </c>
      <c r="CO38" s="7" t="n">
        <v>0</v>
      </c>
      <c r="CP38" s="7" t="n">
        <v>0</v>
      </c>
      <c r="CQ38" s="11" t="n">
        <f aca="false">SUMIFS('Исходные данные'!$I$2:$I$964,'Исходные данные'!$D$2:$D$964,CQ$1,'Исходные данные'!$F$2:$F$964,$A38)</f>
        <v>0</v>
      </c>
      <c r="CR38" s="11" t="n">
        <f aca="false">SUMIFS('Исходные данные'!$J$2:$J$964,'Исходные данные'!$D$2:$D$964,CQ$1,'Исходные данные'!$F$2:$F$964,$A38)</f>
        <v>0</v>
      </c>
      <c r="CS38" s="7" t="n">
        <v>0</v>
      </c>
      <c r="CT38" s="7" t="n">
        <v>0</v>
      </c>
      <c r="CU38" s="11" t="n">
        <f aca="false">SUMIFS('Исходные данные'!$I$2:$I$964,'Исходные данные'!$D$2:$D$964,CU$1,'Исходные данные'!$F$2:$F$964,$A38)</f>
        <v>0</v>
      </c>
      <c r="CV38" s="11" t="n">
        <f aca="false">SUMIFS('Исходные данные'!$J$2:$J$964,'Исходные данные'!$D$2:$D$964,CU$1,'Исходные данные'!$F$2:$F$964,$A38)</f>
        <v>0</v>
      </c>
      <c r="CW38" s="7" t="n">
        <v>0</v>
      </c>
      <c r="CX38" s="7" t="n">
        <v>0</v>
      </c>
      <c r="CY38" s="11" t="n">
        <f aca="false">SUMIFS('Исходные данные'!$I$2:$I$964,'Исходные данные'!$D$2:$D$964,CY$1,'Исходные данные'!$F$2:$F$964,$A38)</f>
        <v>0</v>
      </c>
      <c r="CZ38" s="11" t="n">
        <f aca="false">SUMIFS('Исходные данные'!$J$2:$J$964,'Исходные данные'!$D$2:$D$964,CY$1,'Исходные данные'!$F$2:$F$964,$A38)</f>
        <v>0</v>
      </c>
      <c r="DA38" s="7" t="n">
        <v>0</v>
      </c>
      <c r="DB38" s="7" t="n">
        <v>0</v>
      </c>
      <c r="DC38" s="11" t="n">
        <f aca="false">SUMIFS('Исходные данные'!$I$2:$I$964,'Исходные данные'!$D$2:$D$964,DC$1,'Исходные данные'!$F$2:$F$964,$A38)</f>
        <v>0</v>
      </c>
      <c r="DD38" s="11" t="n">
        <f aca="false">SUMIFS('Исходные данные'!$J$2:$J$964,'Исходные данные'!$D$2:$D$964,DC$1,'Исходные данные'!$F$2:$F$964,$A38)</f>
        <v>0</v>
      </c>
      <c r="DE38" s="7" t="n">
        <v>0</v>
      </c>
      <c r="DF38" s="7" t="n">
        <v>0</v>
      </c>
      <c r="DG38" s="11" t="n">
        <f aca="false">SUMIFS('Исходные данные'!$I$2:$I$964,'Исходные данные'!$D$2:$D$964,DG$1,'Исходные данные'!$F$2:$F$964,$A38)</f>
        <v>0</v>
      </c>
      <c r="DH38" s="11" t="n">
        <f aca="false">SUMIFS('Исходные данные'!$J$2:$J$964,'Исходные данные'!$D$2:$D$964,DG$1,'Исходные данные'!$F$2:$F$964,$A38)</f>
        <v>0</v>
      </c>
      <c r="DI38" s="7" t="n">
        <v>0</v>
      </c>
      <c r="DJ38" s="7" t="n">
        <v>0</v>
      </c>
      <c r="DK38" s="11" t="n">
        <f aca="false">SUMIFS('Исходные данные'!$I$2:$I$964,'Исходные данные'!$D$2:$D$964,DK$1,'Исходные данные'!$F$2:$F$964,$A38)</f>
        <v>0</v>
      </c>
      <c r="DL38" s="11" t="n">
        <f aca="false">SUMIFS('Исходные данные'!$J$2:$J$964,'Исходные данные'!$D$2:$D$964,DK$1,'Исходные данные'!$F$2:$F$964,$A38)</f>
        <v>0</v>
      </c>
      <c r="DM38" s="7" t="n">
        <v>0</v>
      </c>
      <c r="DN38" s="7" t="n">
        <v>0</v>
      </c>
      <c r="DO38" s="11" t="n">
        <f aca="false">SUMIFS('Исходные данные'!$I$2:$I$964,'Исходные данные'!$D$2:$D$964,DO$1,'Исходные данные'!$F$2:$F$964,$A38)</f>
        <v>0</v>
      </c>
      <c r="DP38" s="11" t="n">
        <f aca="false">SUMIFS('Исходные данные'!$J$2:$J$964,'Исходные данные'!$D$2:$D$964,DO$1,'Исходные данные'!$F$2:$F$964,$A38)</f>
        <v>0</v>
      </c>
      <c r="DQ38" s="7" t="n">
        <v>0</v>
      </c>
      <c r="DR38" s="7" t="n">
        <v>0</v>
      </c>
      <c r="DS38" s="11" t="n">
        <f aca="false">SUMIFS('Исходные данные'!$I$2:$I$964,'Исходные данные'!$D$2:$D$964,DS$1,'Исходные данные'!$F$2:$F$964,$A38)</f>
        <v>0</v>
      </c>
      <c r="DT38" s="11" t="n">
        <f aca="false">SUMIFS('Исходные данные'!$J$2:$J$964,'Исходные данные'!$D$2:$D$964,DS$1,'Исходные данные'!$F$2:$F$964,$A38)</f>
        <v>0</v>
      </c>
      <c r="DU38" s="7" t="n">
        <v>0</v>
      </c>
      <c r="DV38" s="7" t="n">
        <v>0</v>
      </c>
      <c r="DW38" s="11" t="n">
        <f aca="false">SUMIFS('Исходные данные'!$I$2:$I$964,'Исходные данные'!$D$2:$D$964,DW$1,'Исходные данные'!$F$2:$F$964,$A38)</f>
        <v>0</v>
      </c>
      <c r="DX38" s="11" t="n">
        <f aca="false">SUMIFS('Исходные данные'!$J$2:$J$964,'Исходные данные'!$D$2:$D$964,DW$1,'Исходные данные'!$F$2:$F$964,$A38)</f>
        <v>0</v>
      </c>
      <c r="DY38" s="7" t="n">
        <v>0</v>
      </c>
      <c r="DZ38" s="7" t="n">
        <v>0</v>
      </c>
      <c r="EA38" s="11" t="n">
        <f aca="false">SUMIFS('Исходные данные'!$I$2:$I$964,'Исходные данные'!$D$2:$D$964,EA$1,'Исходные данные'!$F$2:$F$964,$A38)</f>
        <v>0</v>
      </c>
      <c r="EB38" s="11" t="n">
        <f aca="false">SUMIFS('Исходные данные'!$J$2:$J$964,'Исходные данные'!$D$2:$D$964,EA$1,'Исходные данные'!$F$2:$F$964,$A38)</f>
        <v>0</v>
      </c>
      <c r="EC38" s="7" t="n">
        <v>0</v>
      </c>
      <c r="ED38" s="7" t="n">
        <v>0</v>
      </c>
      <c r="EE38" s="11" t="n">
        <f aca="false">SUMIFS('Исходные данные'!$I$2:$I$964,'Исходные данные'!$D$2:$D$964,EE$1,'Исходные данные'!$F$2:$F$964,$A38)</f>
        <v>0</v>
      </c>
      <c r="EF38" s="11" t="n">
        <f aca="false">SUMIFS('Исходные данные'!$J$2:$J$964,'Исходные данные'!$D$2:$D$964,EE$1,'Исходные данные'!$F$2:$F$964,$A38)</f>
        <v>0</v>
      </c>
      <c r="EG38" s="7" t="n">
        <v>0</v>
      </c>
      <c r="EH38" s="7" t="n">
        <v>0</v>
      </c>
      <c r="EI38" s="11" t="n">
        <f aca="false">SUMIFS('Исходные данные'!$I$2:$I$964,'Исходные данные'!$D$2:$D$964,EI$1,'Исходные данные'!$F$2:$F$964,$A38)</f>
        <v>0</v>
      </c>
      <c r="EJ38" s="11" t="n">
        <f aca="false">SUMIFS('Исходные данные'!$J$2:$J$964,'Исходные данные'!$D$2:$D$964,EI$1,'Исходные данные'!$F$2:$F$964,$A38)</f>
        <v>0</v>
      </c>
      <c r="EK38" s="7" t="n">
        <v>0</v>
      </c>
      <c r="EL38" s="7" t="n">
        <v>0</v>
      </c>
      <c r="EM38" s="11" t="n">
        <f aca="false">SUMIFS('Исходные данные'!$I$2:$I$964,'Исходные данные'!$D$2:$D$964,EM$1,'Исходные данные'!$F$2:$F$964,$A38)</f>
        <v>0</v>
      </c>
      <c r="EN38" s="11" t="n">
        <f aca="false">SUMIFS('Исходные данные'!$J$2:$J$964,'Исходные данные'!$D$2:$D$964,EM$1,'Исходные данные'!$F$2:$F$964,$A38)</f>
        <v>0</v>
      </c>
      <c r="EO38" s="7" t="n">
        <v>0</v>
      </c>
      <c r="EP38" s="7" t="n">
        <v>0</v>
      </c>
      <c r="EQ38" s="11" t="n">
        <f aca="false">SUMIFS('Исходные данные'!$I$2:$I$964,'Исходные данные'!$D$2:$D$964,EQ$1,'Исходные данные'!$F$2:$F$964,$A38)</f>
        <v>0</v>
      </c>
      <c r="ER38" s="11" t="n">
        <f aca="false">SUMIFS('Исходные данные'!$J$2:$J$964,'Исходные данные'!$D$2:$D$964,EQ$1,'Исходные данные'!$F$2:$F$964,$A38)</f>
        <v>0</v>
      </c>
      <c r="ES38" s="7" t="n">
        <v>0</v>
      </c>
      <c r="ET38" s="7" t="n">
        <v>0</v>
      </c>
      <c r="EU38" s="11" t="n">
        <f aca="false">SUMIFS('Исходные данные'!$I$2:$I$964,'Исходные данные'!$D$2:$D$964,EU$1,'Исходные данные'!$F$2:$F$964,$A38)</f>
        <v>0</v>
      </c>
      <c r="EV38" s="11" t="n">
        <f aca="false">SUMIFS('Исходные данные'!$J$2:$J$964,'Исходные данные'!$D$2:$D$964,EU$1,'Исходные данные'!$F$2:$F$964,$A38)</f>
        <v>0</v>
      </c>
      <c r="EW38" s="7" t="n">
        <v>0</v>
      </c>
      <c r="EX38" s="7" t="n">
        <v>0</v>
      </c>
      <c r="EY38" s="11" t="n">
        <f aca="false">SUMIFS('Исходные данные'!$I$2:$I$964,'Исходные данные'!$D$2:$D$964,EY$1,'Исходные данные'!$F$2:$F$964,$A38)</f>
        <v>0</v>
      </c>
      <c r="EZ38" s="11" t="n">
        <f aca="false">SUMIFS('Исходные данные'!$J$2:$J$964,'Исходные данные'!$D$2:$D$964,EY$1,'Исходные данные'!$F$2:$F$964,$A38)</f>
        <v>0</v>
      </c>
      <c r="FA38" s="7" t="n">
        <v>0</v>
      </c>
      <c r="FB38" s="7" t="n">
        <v>0</v>
      </c>
      <c r="FC38" s="11" t="n">
        <f aca="false">SUMIFS('Исходные данные'!$I$2:$I$964,'Исходные данные'!$D$2:$D$964,FC$1,'Исходные данные'!$F$2:$F$964,$A38)</f>
        <v>0</v>
      </c>
      <c r="FD38" s="11" t="n">
        <f aca="false">SUMIFS('Исходные данные'!$J$2:$J$964,'Исходные данные'!$D$2:$D$964,FC$1,'Исходные данные'!$F$2:$F$964,$A38)</f>
        <v>0</v>
      </c>
      <c r="FE38" s="7" t="n">
        <v>0</v>
      </c>
      <c r="FF38" s="7" t="n">
        <v>0</v>
      </c>
      <c r="FG38" s="11" t="n">
        <f aca="false">SUMIFS('Исходные данные'!$I$2:$I$964,'Исходные данные'!$D$2:$D$964,FG$1,'Исходные данные'!$F$2:$F$964,$A38)</f>
        <v>0</v>
      </c>
      <c r="FH38" s="11" t="n">
        <f aca="false">SUMIFS('Исходные данные'!$J$2:$J$964,'Исходные данные'!$D$2:$D$964,FG$1,'Исходные данные'!$F$2:$F$964,$A38)</f>
        <v>0</v>
      </c>
    </row>
    <row r="39" customFormat="false" ht="15" hidden="false" customHeight="false" outlineLevel="0" collapsed="false">
      <c r="A39" s="10" t="s">
        <v>121</v>
      </c>
      <c r="B39" s="11" t="s">
        <v>122</v>
      </c>
      <c r="C39" s="6" t="n">
        <v>0</v>
      </c>
      <c r="D39" s="6" t="n">
        <f aca="false">I39+J39+M39+N39+Q39+R39+U39+V39+Y39+Z39+AC39+AD39+AG39+AH39+AK39+AL39+AO39+AP39+AS39+AT39+AW39+AX39+BA39+BB39+BE39+BF39+BI39+BJ39+BM39+BN39+BQ39+BR39+BU39+BV39+BY39+BZ39+CC39+CD39+CG39+CH39+CK39+CL39+CO39+CP39+CS39+CT39+CW39+CX39+DA39+DB39+DE39+DF39+DI39+DJ39+DM39+DN39+DQ39+DR39+DU39+DV39+DY39+DZ39+EC39+ED39+EG39+EH39+EK39+EL39+EO39+EP39+ES39+ET39+EW39+EX39+FA39+FB39+FE39+FF39</f>
        <v>0</v>
      </c>
      <c r="E39" s="6" t="n">
        <f aca="false">G39+H39</f>
        <v>0</v>
      </c>
      <c r="F39" s="6" t="n">
        <f aca="false">E39-C39</f>
        <v>0</v>
      </c>
      <c r="G39" s="6" t="n">
        <f aca="false">K39+O39+S39+W39+AA39+AE39+AI39+AM39+AQ39+AU39+AY39+BC39+BG39+BK39+BO39+BS39+BW39+CA39+CE39+CI39+CM39+CQ39+CU39+CY39+DC39+DG39+DK39+DO39+DS39+DW39+EA39+EE39+EI39+EM39+EQ39+EU39+EY39+FC39+FG39</f>
        <v>0</v>
      </c>
      <c r="H39" s="6" t="n">
        <f aca="false">L39+P39+T39+X39+AB39+AF39+AJ39+AN39+AR39+AV39+AZ39+BD39+BH39+BL39+BP39+BT39+BX39+CB39+CF39+CJ39+CN39+CR39+CV39+CZ39+DD39+DH39+DL39+DP39+DT39+DX39+EB39+EF39+EJ39+EN39+ER39+EV39+EZ39+FD39+FH39</f>
        <v>0</v>
      </c>
      <c r="I39" s="7" t="n">
        <v>0</v>
      </c>
      <c r="J39" s="7" t="n">
        <v>0</v>
      </c>
      <c r="K39" s="11" t="n">
        <f aca="false">SUMIFS('Исходные данные'!$I$2:$I$964,'Исходные данные'!$D$2:$D$964,K$1,'Исходные данные'!$F$2:$F$964,$A39)</f>
        <v>0</v>
      </c>
      <c r="L39" s="11" t="n">
        <f aca="false">SUMIFS('Исходные данные'!$J$2:$J$964,'Исходные данные'!$D$2:$D$964,K$1,'Исходные данные'!$F$2:$F$964,$A39)</f>
        <v>0</v>
      </c>
      <c r="M39" s="7" t="n">
        <v>0</v>
      </c>
      <c r="N39" s="7" t="n">
        <v>0</v>
      </c>
      <c r="O39" s="11" t="n">
        <f aca="false">SUMIFS('Исходные данные'!$I$2:$I$964,'Исходные данные'!$D$2:$D$964,O$1,'Исходные данные'!$F$2:$F$964,$A39)</f>
        <v>0</v>
      </c>
      <c r="P39" s="11" t="n">
        <f aca="false">SUMIFS('Исходные данные'!$J$2:$J$964,'Исходные данные'!$D$2:$D$964,O$1,'Исходные данные'!$F$2:$F$964,$A39)</f>
        <v>0</v>
      </c>
      <c r="Q39" s="7" t="n">
        <v>0</v>
      </c>
      <c r="R39" s="7" t="n">
        <v>0</v>
      </c>
      <c r="S39" s="11" t="n">
        <f aca="false">SUMIFS('Исходные данные'!$I$2:$I$964,'Исходные данные'!$D$2:$D$964,S$1,'Исходные данные'!$F$2:$F$964,$A39)</f>
        <v>0</v>
      </c>
      <c r="T39" s="11" t="n">
        <f aca="false">SUMIFS('Исходные данные'!$J$2:$J$964,'Исходные данные'!$D$2:$D$964,S$1,'Исходные данные'!$F$2:$F$964,$A39)</f>
        <v>0</v>
      </c>
      <c r="U39" s="7" t="n">
        <v>0</v>
      </c>
      <c r="V39" s="7" t="n">
        <v>0</v>
      </c>
      <c r="W39" s="11" t="n">
        <f aca="false">SUMIFS('Исходные данные'!$I$2:$I$964,'Исходные данные'!$D$2:$D$964,W$1,'Исходные данные'!$F$2:$F$964,$A39)</f>
        <v>0</v>
      </c>
      <c r="X39" s="11" t="n">
        <f aca="false">SUMIFS('Исходные данные'!$J$2:$J$964,'Исходные данные'!$D$2:$D$964,W$1,'Исходные данные'!$F$2:$F$964,$A39)</f>
        <v>0</v>
      </c>
      <c r="Y39" s="7" t="n">
        <v>0</v>
      </c>
      <c r="Z39" s="7" t="n">
        <v>0</v>
      </c>
      <c r="AA39" s="11" t="n">
        <f aca="false">SUMIFS('Исходные данные'!$I$2:$I$964,'Исходные данные'!$D$2:$D$964,AA$1,'Исходные данные'!$F$2:$F$964,$A39)</f>
        <v>0</v>
      </c>
      <c r="AB39" s="11" t="n">
        <f aca="false">SUMIFS('Исходные данные'!$J$2:$J$964,'Исходные данные'!$D$2:$D$964,AA$1,'Исходные данные'!$F$2:$F$964,$A39)</f>
        <v>0</v>
      </c>
      <c r="AC39" s="7" t="n">
        <v>0</v>
      </c>
      <c r="AD39" s="7" t="n">
        <v>0</v>
      </c>
      <c r="AE39" s="11" t="n">
        <f aca="false">SUMIFS('Исходные данные'!$I$2:$I$964,'Исходные данные'!$D$2:$D$964,AE$1,'Исходные данные'!$F$2:$F$964,$A39)</f>
        <v>0</v>
      </c>
      <c r="AF39" s="11" t="n">
        <f aca="false">SUMIFS('Исходные данные'!$J$2:$J$964,'Исходные данные'!$D$2:$D$964,AE$1,'Исходные данные'!$F$2:$F$964,$A39)</f>
        <v>0</v>
      </c>
      <c r="AG39" s="7" t="n">
        <v>0</v>
      </c>
      <c r="AH39" s="7" t="n">
        <v>0</v>
      </c>
      <c r="AI39" s="11" t="n">
        <f aca="false">SUMIFS('Исходные данные'!$I$2:$I$964,'Исходные данные'!$D$2:$D$964,AI$1,'Исходные данные'!$F$2:$F$964,$A39)</f>
        <v>0</v>
      </c>
      <c r="AJ39" s="11" t="n">
        <f aca="false">SUMIFS('Исходные данные'!$J$2:$J$964,'Исходные данные'!$D$2:$D$964,AI$1,'Исходные данные'!$F$2:$F$964,$A39)</f>
        <v>0</v>
      </c>
      <c r="AK39" s="7" t="n">
        <v>0</v>
      </c>
      <c r="AL39" s="7" t="n">
        <v>0</v>
      </c>
      <c r="AM39" s="11" t="n">
        <f aca="false">SUMIFS('Исходные данные'!$I$2:$I$964,'Исходные данные'!$D$2:$D$964,AM$1,'Исходные данные'!$F$2:$F$964,$A39)</f>
        <v>0</v>
      </c>
      <c r="AN39" s="11" t="n">
        <f aca="false">SUMIFS('Исходные данные'!$J$2:$J$964,'Исходные данные'!$D$2:$D$964,AM$1,'Исходные данные'!$F$2:$F$964,$A39)</f>
        <v>0</v>
      </c>
      <c r="AO39" s="7" t="n">
        <v>0</v>
      </c>
      <c r="AP39" s="7" t="n">
        <v>0</v>
      </c>
      <c r="AQ39" s="11" t="n">
        <f aca="false">SUMIFS('Исходные данные'!$I$2:$I$964,'Исходные данные'!$D$2:$D$964,AQ$1,'Исходные данные'!$F$2:$F$964,$A39)</f>
        <v>0</v>
      </c>
      <c r="AR39" s="11" t="n">
        <f aca="false">SUMIFS('Исходные данные'!$J$2:$J$964,'Исходные данные'!$D$2:$D$964,AQ$1,'Исходные данные'!$F$2:$F$964,$A39)</f>
        <v>0</v>
      </c>
      <c r="AS39" s="7" t="n">
        <v>0</v>
      </c>
      <c r="AT39" s="7" t="n">
        <v>0</v>
      </c>
      <c r="AU39" s="11" t="n">
        <f aca="false">SUMIFS('Исходные данные'!$I$2:$I$964,'Исходные данные'!$D$2:$D$964,AU$1,'Исходные данные'!$F$2:$F$964,$A39)</f>
        <v>0</v>
      </c>
      <c r="AV39" s="11" t="n">
        <f aca="false">SUMIFS('Исходные данные'!$J$2:$J$964,'Исходные данные'!$D$2:$D$964,AU$1,'Исходные данные'!$F$2:$F$964,$A39)</f>
        <v>0</v>
      </c>
      <c r="AW39" s="7" t="n">
        <v>0</v>
      </c>
      <c r="AX39" s="7" t="n">
        <v>0</v>
      </c>
      <c r="AY39" s="11" t="n">
        <f aca="false">SUMIFS('Исходные данные'!$I$2:$I$964,'Исходные данные'!$D$2:$D$964,AY$1,'Исходные данные'!$F$2:$F$964,$A39)</f>
        <v>0</v>
      </c>
      <c r="AZ39" s="11" t="n">
        <f aca="false">SUMIFS('Исходные данные'!$J$2:$J$964,'Исходные данные'!$D$2:$D$964,AY$1,'Исходные данные'!$F$2:$F$964,$A39)</f>
        <v>0</v>
      </c>
      <c r="BA39" s="7" t="n">
        <v>0</v>
      </c>
      <c r="BB39" s="7" t="n">
        <v>0</v>
      </c>
      <c r="BC39" s="11" t="n">
        <f aca="false">SUMIFS('Исходные данные'!$I$2:$I$964,'Исходные данные'!$D$2:$D$964,BC$1,'Исходные данные'!$F$2:$F$964,$A39)</f>
        <v>0</v>
      </c>
      <c r="BD39" s="11" t="n">
        <f aca="false">SUMIFS('Исходные данные'!$J$2:$J$964,'Исходные данные'!$D$2:$D$964,BC$1,'Исходные данные'!$F$2:$F$964,$A39)</f>
        <v>0</v>
      </c>
      <c r="BE39" s="7" t="n">
        <v>0</v>
      </c>
      <c r="BF39" s="7" t="n">
        <v>0</v>
      </c>
      <c r="BG39" s="11" t="n">
        <f aca="false">SUMIFS('Исходные данные'!$I$2:$I$964,'Исходные данные'!$D$2:$D$964,BG$1,'Исходные данные'!$F$2:$F$964,$A39)</f>
        <v>0</v>
      </c>
      <c r="BH39" s="11" t="n">
        <f aca="false">SUMIFS('Исходные данные'!$J$2:$J$964,'Исходные данные'!$D$2:$D$964,BG$1,'Исходные данные'!$F$2:$F$964,$A39)</f>
        <v>0</v>
      </c>
      <c r="BI39" s="7" t="n">
        <v>0</v>
      </c>
      <c r="BJ39" s="7" t="n">
        <v>0</v>
      </c>
      <c r="BK39" s="11" t="n">
        <f aca="false">SUMIFS('Исходные данные'!$I$2:$I$964,'Исходные данные'!$D$2:$D$964,BK$1,'Исходные данные'!$F$2:$F$964,$A39)</f>
        <v>0</v>
      </c>
      <c r="BL39" s="11" t="n">
        <f aca="false">SUMIFS('Исходные данные'!$J$2:$J$964,'Исходные данные'!$D$2:$D$964,BK$1,'Исходные данные'!$F$2:$F$964,$A39)</f>
        <v>0</v>
      </c>
      <c r="BM39" s="7" t="n">
        <v>0</v>
      </c>
      <c r="BN39" s="7" t="n">
        <v>0</v>
      </c>
      <c r="BO39" s="11" t="n">
        <f aca="false">SUMIFS('Исходные данные'!$I$2:$I$964,'Исходные данные'!$D$2:$D$964,BO$1,'Исходные данные'!$F$2:$F$964,$A39)</f>
        <v>0</v>
      </c>
      <c r="BP39" s="11" t="n">
        <f aca="false">SUMIFS('Исходные данные'!$J$2:$J$964,'Исходные данные'!$D$2:$D$964,BO$1,'Исходные данные'!$F$2:$F$964,$A39)</f>
        <v>0</v>
      </c>
      <c r="BQ39" s="7" t="n">
        <v>0</v>
      </c>
      <c r="BR39" s="7" t="n">
        <v>0</v>
      </c>
      <c r="BS39" s="11" t="n">
        <f aca="false">SUMIFS('Исходные данные'!$I$2:$I$964,'Исходные данные'!$D$2:$D$964,BS$1,'Исходные данные'!$F$2:$F$964,$A39)</f>
        <v>0</v>
      </c>
      <c r="BT39" s="11" t="n">
        <f aca="false">SUMIFS('Исходные данные'!$J$2:$J$964,'Исходные данные'!$D$2:$D$964,BS$1,'Исходные данные'!$F$2:$F$964,$A39)</f>
        <v>0</v>
      </c>
      <c r="BU39" s="7" t="n">
        <v>0</v>
      </c>
      <c r="BV39" s="7" t="n">
        <v>0</v>
      </c>
      <c r="BW39" s="11" t="n">
        <f aca="false">SUMIFS('Исходные данные'!$I$2:$I$964,'Исходные данные'!$D$2:$D$964,BW$1,'Исходные данные'!$F$2:$F$964,$A39)</f>
        <v>0</v>
      </c>
      <c r="BX39" s="11" t="n">
        <f aca="false">SUMIFS('Исходные данные'!$J$2:$J$964,'Исходные данные'!$D$2:$D$964,BW$1,'Исходные данные'!$F$2:$F$964,$A39)</f>
        <v>0</v>
      </c>
      <c r="BY39" s="7" t="n">
        <v>0</v>
      </c>
      <c r="BZ39" s="7" t="n">
        <v>0</v>
      </c>
      <c r="CA39" s="11" t="n">
        <f aca="false">SUMIFS('Исходные данные'!$I$2:$I$964,'Исходные данные'!$D$2:$D$964,CA$1,'Исходные данные'!$F$2:$F$964,$A39)</f>
        <v>0</v>
      </c>
      <c r="CB39" s="11" t="n">
        <f aca="false">SUMIFS('Исходные данные'!$J$2:$J$964,'Исходные данные'!$D$2:$D$964,CA$1,'Исходные данные'!$F$2:$F$964,$A39)</f>
        <v>0</v>
      </c>
      <c r="CC39" s="7" t="n">
        <v>0</v>
      </c>
      <c r="CD39" s="7" t="n">
        <v>0</v>
      </c>
      <c r="CE39" s="11" t="n">
        <f aca="false">SUMIFS('Исходные данные'!$I$2:$I$964,'Исходные данные'!$D$2:$D$964,CE$1,'Исходные данные'!$F$2:$F$964,$A39)</f>
        <v>0</v>
      </c>
      <c r="CF39" s="11" t="n">
        <f aca="false">SUMIFS('Исходные данные'!$J$2:$J$964,'Исходные данные'!$D$2:$D$964,CE$1,'Исходные данные'!$F$2:$F$964,$A39)</f>
        <v>0</v>
      </c>
      <c r="CG39" s="7" t="n">
        <v>0</v>
      </c>
      <c r="CH39" s="7" t="n">
        <v>0</v>
      </c>
      <c r="CI39" s="11" t="n">
        <f aca="false">SUMIFS('Исходные данные'!$I$2:$I$964,'Исходные данные'!$D$2:$D$964,CI$1,'Исходные данные'!$F$2:$F$964,$A39)</f>
        <v>0</v>
      </c>
      <c r="CJ39" s="11" t="n">
        <f aca="false">SUMIFS('Исходные данные'!$J$2:$J$964,'Исходные данные'!$D$2:$D$964,CI$1,'Исходные данные'!$F$2:$F$964,$A39)</f>
        <v>0</v>
      </c>
      <c r="CK39" s="7" t="n">
        <v>0</v>
      </c>
      <c r="CL39" s="7" t="n">
        <v>0</v>
      </c>
      <c r="CM39" s="11" t="n">
        <f aca="false">SUMIFS('Исходные данные'!$I$2:$I$964,'Исходные данные'!$D$2:$D$964,CM$1,'Исходные данные'!$F$2:$F$964,$A39)</f>
        <v>0</v>
      </c>
      <c r="CN39" s="11" t="n">
        <f aca="false">SUMIFS('Исходные данные'!$J$2:$J$964,'Исходные данные'!$D$2:$D$964,CM$1,'Исходные данные'!$F$2:$F$964,$A39)</f>
        <v>0</v>
      </c>
      <c r="CO39" s="7" t="n">
        <v>0</v>
      </c>
      <c r="CP39" s="7" t="n">
        <v>0</v>
      </c>
      <c r="CQ39" s="11" t="n">
        <f aca="false">SUMIFS('Исходные данные'!$I$2:$I$964,'Исходные данные'!$D$2:$D$964,CQ$1,'Исходные данные'!$F$2:$F$964,$A39)</f>
        <v>0</v>
      </c>
      <c r="CR39" s="11" t="n">
        <f aca="false">SUMIFS('Исходные данные'!$J$2:$J$964,'Исходные данные'!$D$2:$D$964,CQ$1,'Исходные данные'!$F$2:$F$964,$A39)</f>
        <v>0</v>
      </c>
      <c r="CS39" s="7" t="n">
        <v>0</v>
      </c>
      <c r="CT39" s="7" t="n">
        <v>0</v>
      </c>
      <c r="CU39" s="11" t="n">
        <f aca="false">SUMIFS('Исходные данные'!$I$2:$I$964,'Исходные данные'!$D$2:$D$964,CU$1,'Исходные данные'!$F$2:$F$964,$A39)</f>
        <v>0</v>
      </c>
      <c r="CV39" s="11" t="n">
        <f aca="false">SUMIFS('Исходные данные'!$J$2:$J$964,'Исходные данные'!$D$2:$D$964,CU$1,'Исходные данные'!$F$2:$F$964,$A39)</f>
        <v>0</v>
      </c>
      <c r="CW39" s="7" t="n">
        <v>0</v>
      </c>
      <c r="CX39" s="7" t="n">
        <v>0</v>
      </c>
      <c r="CY39" s="11" t="n">
        <f aca="false">SUMIFS('Исходные данные'!$I$2:$I$964,'Исходные данные'!$D$2:$D$964,CY$1,'Исходные данные'!$F$2:$F$964,$A39)</f>
        <v>0</v>
      </c>
      <c r="CZ39" s="11" t="n">
        <f aca="false">SUMIFS('Исходные данные'!$J$2:$J$964,'Исходные данные'!$D$2:$D$964,CY$1,'Исходные данные'!$F$2:$F$964,$A39)</f>
        <v>0</v>
      </c>
      <c r="DA39" s="7" t="n">
        <v>0</v>
      </c>
      <c r="DB39" s="7" t="n">
        <v>0</v>
      </c>
      <c r="DC39" s="11" t="n">
        <f aca="false">SUMIFS('Исходные данные'!$I$2:$I$964,'Исходные данные'!$D$2:$D$964,DC$1,'Исходные данные'!$F$2:$F$964,$A39)</f>
        <v>0</v>
      </c>
      <c r="DD39" s="11" t="n">
        <f aca="false">SUMIFS('Исходные данные'!$J$2:$J$964,'Исходные данные'!$D$2:$D$964,DC$1,'Исходные данные'!$F$2:$F$964,$A39)</f>
        <v>0</v>
      </c>
      <c r="DE39" s="7" t="n">
        <v>0</v>
      </c>
      <c r="DF39" s="7" t="n">
        <v>0</v>
      </c>
      <c r="DG39" s="11" t="n">
        <f aca="false">SUMIFS('Исходные данные'!$I$2:$I$964,'Исходные данные'!$D$2:$D$964,DG$1,'Исходные данные'!$F$2:$F$964,$A39)</f>
        <v>0</v>
      </c>
      <c r="DH39" s="11" t="n">
        <f aca="false">SUMIFS('Исходные данные'!$J$2:$J$964,'Исходные данные'!$D$2:$D$964,DG$1,'Исходные данные'!$F$2:$F$964,$A39)</f>
        <v>0</v>
      </c>
      <c r="DI39" s="7" t="n">
        <v>0</v>
      </c>
      <c r="DJ39" s="7" t="n">
        <v>0</v>
      </c>
      <c r="DK39" s="11" t="n">
        <f aca="false">SUMIFS('Исходные данные'!$I$2:$I$964,'Исходные данные'!$D$2:$D$964,DK$1,'Исходные данные'!$F$2:$F$964,$A39)</f>
        <v>0</v>
      </c>
      <c r="DL39" s="11" t="n">
        <f aca="false">SUMIFS('Исходные данные'!$J$2:$J$964,'Исходные данные'!$D$2:$D$964,DK$1,'Исходные данные'!$F$2:$F$964,$A39)</f>
        <v>0</v>
      </c>
      <c r="DM39" s="7" t="n">
        <v>0</v>
      </c>
      <c r="DN39" s="7" t="n">
        <v>0</v>
      </c>
      <c r="DO39" s="11" t="n">
        <f aca="false">SUMIFS('Исходные данные'!$I$2:$I$964,'Исходные данные'!$D$2:$D$964,DO$1,'Исходные данные'!$F$2:$F$964,$A39)</f>
        <v>0</v>
      </c>
      <c r="DP39" s="11" t="n">
        <f aca="false">SUMIFS('Исходные данные'!$J$2:$J$964,'Исходные данные'!$D$2:$D$964,DO$1,'Исходные данные'!$F$2:$F$964,$A39)</f>
        <v>0</v>
      </c>
      <c r="DQ39" s="7" t="n">
        <v>0</v>
      </c>
      <c r="DR39" s="7" t="n">
        <v>0</v>
      </c>
      <c r="DS39" s="11" t="n">
        <f aca="false">SUMIFS('Исходные данные'!$I$2:$I$964,'Исходные данные'!$D$2:$D$964,DS$1,'Исходные данные'!$F$2:$F$964,$A39)</f>
        <v>0</v>
      </c>
      <c r="DT39" s="11" t="n">
        <f aca="false">SUMIFS('Исходные данные'!$J$2:$J$964,'Исходные данные'!$D$2:$D$964,DS$1,'Исходные данные'!$F$2:$F$964,$A39)</f>
        <v>0</v>
      </c>
      <c r="DU39" s="7" t="n">
        <v>0</v>
      </c>
      <c r="DV39" s="7" t="n">
        <v>0</v>
      </c>
      <c r="DW39" s="11" t="n">
        <f aca="false">SUMIFS('Исходные данные'!$I$2:$I$964,'Исходные данные'!$D$2:$D$964,DW$1,'Исходные данные'!$F$2:$F$964,$A39)</f>
        <v>0</v>
      </c>
      <c r="DX39" s="11" t="n">
        <f aca="false">SUMIFS('Исходные данные'!$J$2:$J$964,'Исходные данные'!$D$2:$D$964,DW$1,'Исходные данные'!$F$2:$F$964,$A39)</f>
        <v>0</v>
      </c>
      <c r="DY39" s="7" t="n">
        <v>0</v>
      </c>
      <c r="DZ39" s="7" t="n">
        <v>0</v>
      </c>
      <c r="EA39" s="11" t="n">
        <f aca="false">SUMIFS('Исходные данные'!$I$2:$I$964,'Исходные данные'!$D$2:$D$964,EA$1,'Исходные данные'!$F$2:$F$964,$A39)</f>
        <v>0</v>
      </c>
      <c r="EB39" s="11" t="n">
        <f aca="false">SUMIFS('Исходные данные'!$J$2:$J$964,'Исходные данные'!$D$2:$D$964,EA$1,'Исходные данные'!$F$2:$F$964,$A39)</f>
        <v>0</v>
      </c>
      <c r="EC39" s="7" t="n">
        <v>0</v>
      </c>
      <c r="ED39" s="7" t="n">
        <v>0</v>
      </c>
      <c r="EE39" s="11" t="n">
        <f aca="false">SUMIFS('Исходные данные'!$I$2:$I$964,'Исходные данные'!$D$2:$D$964,EE$1,'Исходные данные'!$F$2:$F$964,$A39)</f>
        <v>0</v>
      </c>
      <c r="EF39" s="11" t="n">
        <f aca="false">SUMIFS('Исходные данные'!$J$2:$J$964,'Исходные данные'!$D$2:$D$964,EE$1,'Исходные данные'!$F$2:$F$964,$A39)</f>
        <v>0</v>
      </c>
      <c r="EG39" s="7" t="n">
        <v>0</v>
      </c>
      <c r="EH39" s="7" t="n">
        <v>0</v>
      </c>
      <c r="EI39" s="11" t="n">
        <f aca="false">SUMIFS('Исходные данные'!$I$2:$I$964,'Исходные данные'!$D$2:$D$964,EI$1,'Исходные данные'!$F$2:$F$964,$A39)</f>
        <v>0</v>
      </c>
      <c r="EJ39" s="11" t="n">
        <f aca="false">SUMIFS('Исходные данные'!$J$2:$J$964,'Исходные данные'!$D$2:$D$964,EI$1,'Исходные данные'!$F$2:$F$964,$A39)</f>
        <v>0</v>
      </c>
      <c r="EK39" s="7" t="n">
        <v>0</v>
      </c>
      <c r="EL39" s="7" t="n">
        <v>0</v>
      </c>
      <c r="EM39" s="11" t="n">
        <f aca="false">SUMIFS('Исходные данные'!$I$2:$I$964,'Исходные данные'!$D$2:$D$964,EM$1,'Исходные данные'!$F$2:$F$964,$A39)</f>
        <v>0</v>
      </c>
      <c r="EN39" s="11" t="n">
        <f aca="false">SUMIFS('Исходные данные'!$J$2:$J$964,'Исходные данные'!$D$2:$D$964,EM$1,'Исходные данные'!$F$2:$F$964,$A39)</f>
        <v>0</v>
      </c>
      <c r="EO39" s="7" t="n">
        <v>0</v>
      </c>
      <c r="EP39" s="7" t="n">
        <v>0</v>
      </c>
      <c r="EQ39" s="11" t="n">
        <f aca="false">SUMIFS('Исходные данные'!$I$2:$I$964,'Исходные данные'!$D$2:$D$964,EQ$1,'Исходные данные'!$F$2:$F$964,$A39)</f>
        <v>0</v>
      </c>
      <c r="ER39" s="11" t="n">
        <f aca="false">SUMIFS('Исходные данные'!$J$2:$J$964,'Исходные данные'!$D$2:$D$964,EQ$1,'Исходные данные'!$F$2:$F$964,$A39)</f>
        <v>0</v>
      </c>
      <c r="ES39" s="7" t="n">
        <v>0</v>
      </c>
      <c r="ET39" s="7" t="n">
        <v>0</v>
      </c>
      <c r="EU39" s="11" t="n">
        <f aca="false">SUMIFS('Исходные данные'!$I$2:$I$964,'Исходные данные'!$D$2:$D$964,EU$1,'Исходные данные'!$F$2:$F$964,$A39)</f>
        <v>0</v>
      </c>
      <c r="EV39" s="11" t="n">
        <f aca="false">SUMIFS('Исходные данные'!$J$2:$J$964,'Исходные данные'!$D$2:$D$964,EU$1,'Исходные данные'!$F$2:$F$964,$A39)</f>
        <v>0</v>
      </c>
      <c r="EW39" s="7" t="n">
        <v>0</v>
      </c>
      <c r="EX39" s="7" t="n">
        <v>0</v>
      </c>
      <c r="EY39" s="11" t="n">
        <f aca="false">SUMIFS('Исходные данные'!$I$2:$I$964,'Исходные данные'!$D$2:$D$964,EY$1,'Исходные данные'!$F$2:$F$964,$A39)</f>
        <v>0</v>
      </c>
      <c r="EZ39" s="11" t="n">
        <f aca="false">SUMIFS('Исходные данные'!$J$2:$J$964,'Исходные данные'!$D$2:$D$964,EY$1,'Исходные данные'!$F$2:$F$964,$A39)</f>
        <v>0</v>
      </c>
      <c r="FA39" s="7" t="n">
        <v>0</v>
      </c>
      <c r="FB39" s="7" t="n">
        <v>0</v>
      </c>
      <c r="FC39" s="11" t="n">
        <f aca="false">SUMIFS('Исходные данные'!$I$2:$I$964,'Исходные данные'!$D$2:$D$964,FC$1,'Исходные данные'!$F$2:$F$964,$A39)</f>
        <v>0</v>
      </c>
      <c r="FD39" s="11" t="n">
        <f aca="false">SUMIFS('Исходные данные'!$J$2:$J$964,'Исходные данные'!$D$2:$D$964,FC$1,'Исходные данные'!$F$2:$F$964,$A39)</f>
        <v>0</v>
      </c>
      <c r="FE39" s="7" t="n">
        <v>0</v>
      </c>
      <c r="FF39" s="7" t="n">
        <v>0</v>
      </c>
      <c r="FG39" s="11" t="n">
        <f aca="false">SUMIFS('Исходные данные'!$I$2:$I$964,'Исходные данные'!$D$2:$D$964,FG$1,'Исходные данные'!$F$2:$F$964,$A39)</f>
        <v>0</v>
      </c>
      <c r="FH39" s="11" t="n">
        <f aca="false">SUMIFS('Исходные данные'!$J$2:$J$964,'Исходные данные'!$D$2:$D$964,FG$1,'Исходные данные'!$F$2:$F$964,$A39)</f>
        <v>0</v>
      </c>
    </row>
    <row r="40" customFormat="false" ht="15" hidden="false" customHeight="false" outlineLevel="0" collapsed="false">
      <c r="A40" s="10" t="s">
        <v>123</v>
      </c>
      <c r="B40" s="11" t="s">
        <v>124</v>
      </c>
      <c r="C40" s="6" t="n">
        <v>6</v>
      </c>
      <c r="D40" s="6" t="n">
        <f aca="false">I40+J40+M40+N40+Q40+R40+U40+V40+Y40+Z40+AC40+AD40+AG40+AH40+AK40+AL40+AO40+AP40+AS40+AT40+AW40+AX40+BA40+BB40+BE40+BF40+BI40+BJ40+BM40+BN40+BQ40+BR40+BU40+BV40+BY40+BZ40+CC40+CD40+CG40+CH40+CK40+CL40+CO40+CP40+CS40+CT40+CW40+CX40+DA40+DB40+DE40+DF40+DI40+DJ40+DM40+DN40+DQ40+DR40+DU40+DV40+DY40+DZ40+EC40+ED40+EG40+EH40+EK40+EL40+EO40+EP40+ES40+ET40+EW40+EX40+FA40+FB40+FE40+FF40</f>
        <v>6</v>
      </c>
      <c r="E40" s="6" t="n">
        <f aca="false">G40+H40</f>
        <v>6</v>
      </c>
      <c r="F40" s="6" t="n">
        <f aca="false">E40-C40</f>
        <v>0</v>
      </c>
      <c r="G40" s="6" t="n">
        <f aca="false">K40+O40+S40+W40+AA40+AE40+AI40+AM40+AQ40+AU40+AY40+BC40+BG40+BK40+BO40+BS40+BW40+CA40+CE40+CI40+CM40+CQ40+CU40+CY40+DC40+DG40+DK40+DO40+DS40+DW40+EA40+EE40+EI40+EM40+EQ40+EU40+EY40+FC40+FG40</f>
        <v>3</v>
      </c>
      <c r="H40" s="6" t="n">
        <f aca="false">L40+P40+T40+X40+AB40+AF40+AJ40+AN40+AR40+AV40+AZ40+BD40+BH40+BL40+BP40+BT40+BX40+CB40+CF40+CJ40+CN40+CR40+CV40+CZ40+DD40+DH40+DL40+DP40+DT40+DX40+EB40+EF40+EJ40+EN40+ER40+EV40+EZ40+FD40+FH40</f>
        <v>3</v>
      </c>
      <c r="I40" s="7" t="n">
        <v>0</v>
      </c>
      <c r="J40" s="7" t="n">
        <v>0</v>
      </c>
      <c r="K40" s="11" t="n">
        <f aca="false">SUMIFS('Исходные данные'!$I$2:$I$964,'Исходные данные'!$D$2:$D$964,K$1,'Исходные данные'!$F$2:$F$964,$A40)</f>
        <v>0</v>
      </c>
      <c r="L40" s="11" t="n">
        <f aca="false">SUMIFS('Исходные данные'!$J$2:$J$964,'Исходные данные'!$D$2:$D$964,K$1,'Исходные данные'!$F$2:$F$964,$A40)</f>
        <v>0</v>
      </c>
      <c r="M40" s="7" t="n">
        <v>0</v>
      </c>
      <c r="N40" s="7" t="n">
        <v>0</v>
      </c>
      <c r="O40" s="11" t="n">
        <f aca="false">SUMIFS('Исходные данные'!$I$2:$I$964,'Исходные данные'!$D$2:$D$964,O$1,'Исходные данные'!$F$2:$F$964,$A40)</f>
        <v>0</v>
      </c>
      <c r="P40" s="11" t="n">
        <f aca="false">SUMIFS('Исходные данные'!$J$2:$J$964,'Исходные данные'!$D$2:$D$964,O$1,'Исходные данные'!$F$2:$F$964,$A40)</f>
        <v>0</v>
      </c>
      <c r="Q40" s="7" t="n">
        <v>0</v>
      </c>
      <c r="R40" s="7" t="n">
        <v>0</v>
      </c>
      <c r="S40" s="11" t="n">
        <f aca="false">SUMIFS('Исходные данные'!$I$2:$I$964,'Исходные данные'!$D$2:$D$964,S$1,'Исходные данные'!$F$2:$F$964,$A40)</f>
        <v>0</v>
      </c>
      <c r="T40" s="11" t="n">
        <f aca="false">SUMIFS('Исходные данные'!$J$2:$J$964,'Исходные данные'!$D$2:$D$964,S$1,'Исходные данные'!$F$2:$F$964,$A40)</f>
        <v>0</v>
      </c>
      <c r="U40" s="7" t="n">
        <v>0</v>
      </c>
      <c r="V40" s="7" t="n">
        <v>0</v>
      </c>
      <c r="W40" s="11" t="n">
        <f aca="false">SUMIFS('Исходные данные'!$I$2:$I$964,'Исходные данные'!$D$2:$D$964,W$1,'Исходные данные'!$F$2:$F$964,$A40)</f>
        <v>0</v>
      </c>
      <c r="X40" s="11" t="n">
        <f aca="false">SUMIFS('Исходные данные'!$J$2:$J$964,'Исходные данные'!$D$2:$D$964,W$1,'Исходные данные'!$F$2:$F$964,$A40)</f>
        <v>0</v>
      </c>
      <c r="Y40" s="7" t="n">
        <v>0</v>
      </c>
      <c r="Z40" s="7" t="n">
        <v>0</v>
      </c>
      <c r="AA40" s="11" t="n">
        <f aca="false">SUMIFS('Исходные данные'!$I$2:$I$964,'Исходные данные'!$D$2:$D$964,AA$1,'Исходные данные'!$F$2:$F$964,$A40)</f>
        <v>0</v>
      </c>
      <c r="AB40" s="11" t="n">
        <f aca="false">SUMIFS('Исходные данные'!$J$2:$J$964,'Исходные данные'!$D$2:$D$964,AA$1,'Исходные данные'!$F$2:$F$964,$A40)</f>
        <v>0</v>
      </c>
      <c r="AC40" s="7" t="n">
        <v>0</v>
      </c>
      <c r="AD40" s="7" t="n">
        <v>0</v>
      </c>
      <c r="AE40" s="11" t="n">
        <f aca="false">SUMIFS('Исходные данные'!$I$2:$I$964,'Исходные данные'!$D$2:$D$964,AE$1,'Исходные данные'!$F$2:$F$964,$A40)</f>
        <v>0</v>
      </c>
      <c r="AF40" s="11" t="n">
        <f aca="false">SUMIFS('Исходные данные'!$J$2:$J$964,'Исходные данные'!$D$2:$D$964,AE$1,'Исходные данные'!$F$2:$F$964,$A40)</f>
        <v>0</v>
      </c>
      <c r="AG40" s="7" t="n">
        <v>0</v>
      </c>
      <c r="AH40" s="7" t="n">
        <v>0</v>
      </c>
      <c r="AI40" s="11" t="n">
        <f aca="false">SUMIFS('Исходные данные'!$I$2:$I$964,'Исходные данные'!$D$2:$D$964,AI$1,'Исходные данные'!$F$2:$F$964,$A40)</f>
        <v>0</v>
      </c>
      <c r="AJ40" s="11" t="n">
        <f aca="false">SUMIFS('Исходные данные'!$J$2:$J$964,'Исходные данные'!$D$2:$D$964,AI$1,'Исходные данные'!$F$2:$F$964,$A40)</f>
        <v>0</v>
      </c>
      <c r="AK40" s="7" t="n">
        <v>0</v>
      </c>
      <c r="AL40" s="7" t="n">
        <v>0</v>
      </c>
      <c r="AM40" s="11" t="n">
        <f aca="false">SUMIFS('Исходные данные'!$I$2:$I$964,'Исходные данные'!$D$2:$D$964,AM$1,'Исходные данные'!$F$2:$F$964,$A40)</f>
        <v>0</v>
      </c>
      <c r="AN40" s="11" t="n">
        <f aca="false">SUMIFS('Исходные данные'!$J$2:$J$964,'Исходные данные'!$D$2:$D$964,AM$1,'Исходные данные'!$F$2:$F$964,$A40)</f>
        <v>0</v>
      </c>
      <c r="AO40" s="7" t="n">
        <v>0</v>
      </c>
      <c r="AP40" s="7" t="n">
        <v>0</v>
      </c>
      <c r="AQ40" s="11" t="n">
        <f aca="false">SUMIFS('Исходные данные'!$I$2:$I$964,'Исходные данные'!$D$2:$D$964,AQ$1,'Исходные данные'!$F$2:$F$964,$A40)</f>
        <v>0</v>
      </c>
      <c r="AR40" s="11" t="n">
        <f aca="false">SUMIFS('Исходные данные'!$J$2:$J$964,'Исходные данные'!$D$2:$D$964,AQ$1,'Исходные данные'!$F$2:$F$964,$A40)</f>
        <v>0</v>
      </c>
      <c r="AS40" s="7" t="n">
        <v>0</v>
      </c>
      <c r="AT40" s="7" t="n">
        <v>0</v>
      </c>
      <c r="AU40" s="11" t="n">
        <f aca="false">SUMIFS('Исходные данные'!$I$2:$I$964,'Исходные данные'!$D$2:$D$964,AU$1,'Исходные данные'!$F$2:$F$964,$A40)</f>
        <v>0</v>
      </c>
      <c r="AV40" s="11" t="n">
        <f aca="false">SUMIFS('Исходные данные'!$J$2:$J$964,'Исходные данные'!$D$2:$D$964,AU$1,'Исходные данные'!$F$2:$F$964,$A40)</f>
        <v>0</v>
      </c>
      <c r="AW40" s="7" t="n">
        <v>0</v>
      </c>
      <c r="AX40" s="7" t="n">
        <v>0</v>
      </c>
      <c r="AY40" s="11" t="n">
        <f aca="false">SUMIFS('Исходные данные'!$I$2:$I$964,'Исходные данные'!$D$2:$D$964,AY$1,'Исходные данные'!$F$2:$F$964,$A40)</f>
        <v>0</v>
      </c>
      <c r="AZ40" s="11" t="n">
        <f aca="false">SUMIFS('Исходные данные'!$J$2:$J$964,'Исходные данные'!$D$2:$D$964,AY$1,'Исходные данные'!$F$2:$F$964,$A40)</f>
        <v>0</v>
      </c>
      <c r="BA40" s="7" t="n">
        <v>0</v>
      </c>
      <c r="BB40" s="7" t="n">
        <v>0</v>
      </c>
      <c r="BC40" s="11" t="n">
        <f aca="false">SUMIFS('Исходные данные'!$I$2:$I$964,'Исходные данные'!$D$2:$D$964,BC$1,'Исходные данные'!$F$2:$F$964,$A40)</f>
        <v>0</v>
      </c>
      <c r="BD40" s="11" t="n">
        <f aca="false">SUMIFS('Исходные данные'!$J$2:$J$964,'Исходные данные'!$D$2:$D$964,BC$1,'Исходные данные'!$F$2:$F$964,$A40)</f>
        <v>0</v>
      </c>
      <c r="BE40" s="7" t="n">
        <v>0</v>
      </c>
      <c r="BF40" s="7" t="n">
        <v>0</v>
      </c>
      <c r="BG40" s="11" t="n">
        <f aca="false">SUMIFS('Исходные данные'!$I$2:$I$964,'Исходные данные'!$D$2:$D$964,BG$1,'Исходные данные'!$F$2:$F$964,$A40)</f>
        <v>0</v>
      </c>
      <c r="BH40" s="11" t="n">
        <f aca="false">SUMIFS('Исходные данные'!$J$2:$J$964,'Исходные данные'!$D$2:$D$964,BG$1,'Исходные данные'!$F$2:$F$964,$A40)</f>
        <v>0</v>
      </c>
      <c r="BI40" s="7" t="n">
        <v>2</v>
      </c>
      <c r="BJ40" s="7" t="n">
        <v>2</v>
      </c>
      <c r="BK40" s="11" t="n">
        <f aca="false">SUMIFS('Исходные данные'!$I$2:$I$964,'Исходные данные'!$D$2:$D$964,BK$1,'Исходные данные'!$F$2:$F$964,$A40)</f>
        <v>2</v>
      </c>
      <c r="BL40" s="11" t="n">
        <f aca="false">SUMIFS('Исходные данные'!$J$2:$J$964,'Исходные данные'!$D$2:$D$964,BK$1,'Исходные данные'!$F$2:$F$964,$A40)</f>
        <v>2</v>
      </c>
      <c r="BM40" s="7" t="n">
        <v>1</v>
      </c>
      <c r="BN40" s="7" t="n">
        <v>1</v>
      </c>
      <c r="BO40" s="11" t="n">
        <f aca="false">SUMIFS('Исходные данные'!$I$2:$I$964,'Исходные данные'!$D$2:$D$964,BO$1,'Исходные данные'!$F$2:$F$964,$A40)</f>
        <v>1</v>
      </c>
      <c r="BP40" s="11" t="n">
        <f aca="false">SUMIFS('Исходные данные'!$J$2:$J$964,'Исходные данные'!$D$2:$D$964,BO$1,'Исходные данные'!$F$2:$F$964,$A40)</f>
        <v>1</v>
      </c>
      <c r="BQ40" s="7" t="n">
        <v>0</v>
      </c>
      <c r="BR40" s="7" t="n">
        <v>0</v>
      </c>
      <c r="BS40" s="11" t="n">
        <f aca="false">SUMIFS('Исходные данные'!$I$2:$I$964,'Исходные данные'!$D$2:$D$964,BS$1,'Исходные данные'!$F$2:$F$964,$A40)</f>
        <v>0</v>
      </c>
      <c r="BT40" s="11" t="n">
        <f aca="false">SUMIFS('Исходные данные'!$J$2:$J$964,'Исходные данные'!$D$2:$D$964,BS$1,'Исходные данные'!$F$2:$F$964,$A40)</f>
        <v>0</v>
      </c>
      <c r="BU40" s="7" t="n">
        <v>0</v>
      </c>
      <c r="BV40" s="7" t="n">
        <v>0</v>
      </c>
      <c r="BW40" s="11" t="n">
        <f aca="false">SUMIFS('Исходные данные'!$I$2:$I$964,'Исходные данные'!$D$2:$D$964,BW$1,'Исходные данные'!$F$2:$F$964,$A40)</f>
        <v>0</v>
      </c>
      <c r="BX40" s="11" t="n">
        <f aca="false">SUMIFS('Исходные данные'!$J$2:$J$964,'Исходные данные'!$D$2:$D$964,BW$1,'Исходные данные'!$F$2:$F$964,$A40)</f>
        <v>0</v>
      </c>
      <c r="BY40" s="7" t="n">
        <v>0</v>
      </c>
      <c r="BZ40" s="7" t="n">
        <v>0</v>
      </c>
      <c r="CA40" s="11" t="n">
        <f aca="false">SUMIFS('Исходные данные'!$I$2:$I$964,'Исходные данные'!$D$2:$D$964,CA$1,'Исходные данные'!$F$2:$F$964,$A40)</f>
        <v>0</v>
      </c>
      <c r="CB40" s="11" t="n">
        <f aca="false">SUMIFS('Исходные данные'!$J$2:$J$964,'Исходные данные'!$D$2:$D$964,CA$1,'Исходные данные'!$F$2:$F$964,$A40)</f>
        <v>0</v>
      </c>
      <c r="CC40" s="7" t="n">
        <v>0</v>
      </c>
      <c r="CD40" s="7" t="n">
        <v>0</v>
      </c>
      <c r="CE40" s="11" t="n">
        <f aca="false">SUMIFS('Исходные данные'!$I$2:$I$964,'Исходные данные'!$D$2:$D$964,CE$1,'Исходные данные'!$F$2:$F$964,$A40)</f>
        <v>0</v>
      </c>
      <c r="CF40" s="11" t="n">
        <f aca="false">SUMIFS('Исходные данные'!$J$2:$J$964,'Исходные данные'!$D$2:$D$964,CE$1,'Исходные данные'!$F$2:$F$964,$A40)</f>
        <v>0</v>
      </c>
      <c r="CG40" s="7" t="n">
        <v>0</v>
      </c>
      <c r="CH40" s="7" t="n">
        <v>0</v>
      </c>
      <c r="CI40" s="11" t="n">
        <f aca="false">SUMIFS('Исходные данные'!$I$2:$I$964,'Исходные данные'!$D$2:$D$964,CI$1,'Исходные данные'!$F$2:$F$964,$A40)</f>
        <v>0</v>
      </c>
      <c r="CJ40" s="11" t="n">
        <f aca="false">SUMIFS('Исходные данные'!$J$2:$J$964,'Исходные данные'!$D$2:$D$964,CI$1,'Исходные данные'!$F$2:$F$964,$A40)</f>
        <v>0</v>
      </c>
      <c r="CK40" s="7" t="n">
        <v>0</v>
      </c>
      <c r="CL40" s="7" t="n">
        <v>0</v>
      </c>
      <c r="CM40" s="11" t="n">
        <f aca="false">SUMIFS('Исходные данные'!$I$2:$I$964,'Исходные данные'!$D$2:$D$964,CM$1,'Исходные данные'!$F$2:$F$964,$A40)</f>
        <v>0</v>
      </c>
      <c r="CN40" s="11" t="n">
        <f aca="false">SUMIFS('Исходные данные'!$J$2:$J$964,'Исходные данные'!$D$2:$D$964,CM$1,'Исходные данные'!$F$2:$F$964,$A40)</f>
        <v>0</v>
      </c>
      <c r="CO40" s="7" t="n">
        <v>0</v>
      </c>
      <c r="CP40" s="7" t="n">
        <v>0</v>
      </c>
      <c r="CQ40" s="11" t="n">
        <f aca="false">SUMIFS('Исходные данные'!$I$2:$I$964,'Исходные данные'!$D$2:$D$964,CQ$1,'Исходные данные'!$F$2:$F$964,$A40)</f>
        <v>0</v>
      </c>
      <c r="CR40" s="11" t="n">
        <f aca="false">SUMIFS('Исходные данные'!$J$2:$J$964,'Исходные данные'!$D$2:$D$964,CQ$1,'Исходные данные'!$F$2:$F$964,$A40)</f>
        <v>0</v>
      </c>
      <c r="CS40" s="7" t="n">
        <v>0</v>
      </c>
      <c r="CT40" s="7" t="n">
        <v>0</v>
      </c>
      <c r="CU40" s="11" t="n">
        <f aca="false">SUMIFS('Исходные данные'!$I$2:$I$964,'Исходные данные'!$D$2:$D$964,CU$1,'Исходные данные'!$F$2:$F$964,$A40)</f>
        <v>0</v>
      </c>
      <c r="CV40" s="11" t="n">
        <f aca="false">SUMIFS('Исходные данные'!$J$2:$J$964,'Исходные данные'!$D$2:$D$964,CU$1,'Исходные данные'!$F$2:$F$964,$A40)</f>
        <v>0</v>
      </c>
      <c r="CW40" s="7" t="n">
        <v>0</v>
      </c>
      <c r="CX40" s="7" t="n">
        <v>0</v>
      </c>
      <c r="CY40" s="11" t="n">
        <f aca="false">SUMIFS('Исходные данные'!$I$2:$I$964,'Исходные данные'!$D$2:$D$964,CY$1,'Исходные данные'!$F$2:$F$964,$A40)</f>
        <v>0</v>
      </c>
      <c r="CZ40" s="11" t="n">
        <f aca="false">SUMIFS('Исходные данные'!$J$2:$J$964,'Исходные данные'!$D$2:$D$964,CY$1,'Исходные данные'!$F$2:$F$964,$A40)</f>
        <v>0</v>
      </c>
      <c r="DA40" s="7" t="n">
        <v>0</v>
      </c>
      <c r="DB40" s="7" t="n">
        <v>0</v>
      </c>
      <c r="DC40" s="11" t="n">
        <f aca="false">SUMIFS('Исходные данные'!$I$2:$I$964,'Исходные данные'!$D$2:$D$964,DC$1,'Исходные данные'!$F$2:$F$964,$A40)</f>
        <v>0</v>
      </c>
      <c r="DD40" s="11" t="n">
        <f aca="false">SUMIFS('Исходные данные'!$J$2:$J$964,'Исходные данные'!$D$2:$D$964,DC$1,'Исходные данные'!$F$2:$F$964,$A40)</f>
        <v>0</v>
      </c>
      <c r="DE40" s="7" t="n">
        <v>0</v>
      </c>
      <c r="DF40" s="7" t="n">
        <v>0</v>
      </c>
      <c r="DG40" s="11" t="n">
        <f aca="false">SUMIFS('Исходные данные'!$I$2:$I$964,'Исходные данные'!$D$2:$D$964,DG$1,'Исходные данные'!$F$2:$F$964,$A40)</f>
        <v>0</v>
      </c>
      <c r="DH40" s="11" t="n">
        <f aca="false">SUMIFS('Исходные данные'!$J$2:$J$964,'Исходные данные'!$D$2:$D$964,DG$1,'Исходные данные'!$F$2:$F$964,$A40)</f>
        <v>0</v>
      </c>
      <c r="DI40" s="7" t="n">
        <v>0</v>
      </c>
      <c r="DJ40" s="7" t="n">
        <v>0</v>
      </c>
      <c r="DK40" s="11" t="n">
        <f aca="false">SUMIFS('Исходные данные'!$I$2:$I$964,'Исходные данные'!$D$2:$D$964,DK$1,'Исходные данные'!$F$2:$F$964,$A40)</f>
        <v>0</v>
      </c>
      <c r="DL40" s="11" t="n">
        <f aca="false">SUMIFS('Исходные данные'!$J$2:$J$964,'Исходные данные'!$D$2:$D$964,DK$1,'Исходные данные'!$F$2:$F$964,$A40)</f>
        <v>0</v>
      </c>
      <c r="DM40" s="7" t="n">
        <v>0</v>
      </c>
      <c r="DN40" s="7" t="n">
        <v>0</v>
      </c>
      <c r="DO40" s="11" t="n">
        <f aca="false">SUMIFS('Исходные данные'!$I$2:$I$964,'Исходные данные'!$D$2:$D$964,DO$1,'Исходные данные'!$F$2:$F$964,$A40)</f>
        <v>0</v>
      </c>
      <c r="DP40" s="11" t="n">
        <f aca="false">SUMIFS('Исходные данные'!$J$2:$J$964,'Исходные данные'!$D$2:$D$964,DO$1,'Исходные данные'!$F$2:$F$964,$A40)</f>
        <v>0</v>
      </c>
      <c r="DQ40" s="7" t="n">
        <v>0</v>
      </c>
      <c r="DR40" s="7" t="n">
        <v>0</v>
      </c>
      <c r="DS40" s="11" t="n">
        <f aca="false">SUMIFS('Исходные данные'!$I$2:$I$964,'Исходные данные'!$D$2:$D$964,DS$1,'Исходные данные'!$F$2:$F$964,$A40)</f>
        <v>0</v>
      </c>
      <c r="DT40" s="11" t="n">
        <f aca="false">SUMIFS('Исходные данные'!$J$2:$J$964,'Исходные данные'!$D$2:$D$964,DS$1,'Исходные данные'!$F$2:$F$964,$A40)</f>
        <v>0</v>
      </c>
      <c r="DU40" s="7" t="n">
        <v>0</v>
      </c>
      <c r="DV40" s="7" t="n">
        <v>0</v>
      </c>
      <c r="DW40" s="11" t="n">
        <f aca="false">SUMIFS('Исходные данные'!$I$2:$I$964,'Исходные данные'!$D$2:$D$964,DW$1,'Исходные данные'!$F$2:$F$964,$A40)</f>
        <v>0</v>
      </c>
      <c r="DX40" s="11" t="n">
        <f aca="false">SUMIFS('Исходные данные'!$J$2:$J$964,'Исходные данные'!$D$2:$D$964,DW$1,'Исходные данные'!$F$2:$F$964,$A40)</f>
        <v>0</v>
      </c>
      <c r="DY40" s="7" t="n">
        <v>0</v>
      </c>
      <c r="DZ40" s="7" t="n">
        <v>0</v>
      </c>
      <c r="EA40" s="11" t="n">
        <f aca="false">SUMIFS('Исходные данные'!$I$2:$I$964,'Исходные данные'!$D$2:$D$964,EA$1,'Исходные данные'!$F$2:$F$964,$A40)</f>
        <v>0</v>
      </c>
      <c r="EB40" s="11" t="n">
        <f aca="false">SUMIFS('Исходные данные'!$J$2:$J$964,'Исходные данные'!$D$2:$D$964,EA$1,'Исходные данные'!$F$2:$F$964,$A40)</f>
        <v>0</v>
      </c>
      <c r="EC40" s="7" t="n">
        <v>0</v>
      </c>
      <c r="ED40" s="7" t="n">
        <v>0</v>
      </c>
      <c r="EE40" s="11" t="n">
        <f aca="false">SUMIFS('Исходные данные'!$I$2:$I$964,'Исходные данные'!$D$2:$D$964,EE$1,'Исходные данные'!$F$2:$F$964,$A40)</f>
        <v>0</v>
      </c>
      <c r="EF40" s="11" t="n">
        <f aca="false">SUMIFS('Исходные данные'!$J$2:$J$964,'Исходные данные'!$D$2:$D$964,EE$1,'Исходные данные'!$F$2:$F$964,$A40)</f>
        <v>0</v>
      </c>
      <c r="EG40" s="7" t="n">
        <v>0</v>
      </c>
      <c r="EH40" s="7" t="n">
        <v>0</v>
      </c>
      <c r="EI40" s="11" t="n">
        <f aca="false">SUMIFS('Исходные данные'!$I$2:$I$964,'Исходные данные'!$D$2:$D$964,EI$1,'Исходные данные'!$F$2:$F$964,$A40)</f>
        <v>0</v>
      </c>
      <c r="EJ40" s="11" t="n">
        <f aca="false">SUMIFS('Исходные данные'!$J$2:$J$964,'Исходные данные'!$D$2:$D$964,EI$1,'Исходные данные'!$F$2:$F$964,$A40)</f>
        <v>0</v>
      </c>
      <c r="EK40" s="7" t="n">
        <v>0</v>
      </c>
      <c r="EL40" s="7" t="n">
        <v>0</v>
      </c>
      <c r="EM40" s="11" t="n">
        <f aca="false">SUMIFS('Исходные данные'!$I$2:$I$964,'Исходные данные'!$D$2:$D$964,EM$1,'Исходные данные'!$F$2:$F$964,$A40)</f>
        <v>0</v>
      </c>
      <c r="EN40" s="11" t="n">
        <f aca="false">SUMIFS('Исходные данные'!$J$2:$J$964,'Исходные данные'!$D$2:$D$964,EM$1,'Исходные данные'!$F$2:$F$964,$A40)</f>
        <v>0</v>
      </c>
      <c r="EO40" s="7" t="n">
        <v>0</v>
      </c>
      <c r="EP40" s="7" t="n">
        <v>0</v>
      </c>
      <c r="EQ40" s="11" t="n">
        <f aca="false">SUMIFS('Исходные данные'!$I$2:$I$964,'Исходные данные'!$D$2:$D$964,EQ$1,'Исходные данные'!$F$2:$F$964,$A40)</f>
        <v>0</v>
      </c>
      <c r="ER40" s="11" t="n">
        <f aca="false">SUMIFS('Исходные данные'!$J$2:$J$964,'Исходные данные'!$D$2:$D$964,EQ$1,'Исходные данные'!$F$2:$F$964,$A40)</f>
        <v>0</v>
      </c>
      <c r="ES40" s="7" t="n">
        <v>0</v>
      </c>
      <c r="ET40" s="7" t="n">
        <v>0</v>
      </c>
      <c r="EU40" s="11" t="n">
        <f aca="false">SUMIFS('Исходные данные'!$I$2:$I$964,'Исходные данные'!$D$2:$D$964,EU$1,'Исходные данные'!$F$2:$F$964,$A40)</f>
        <v>0</v>
      </c>
      <c r="EV40" s="11" t="n">
        <f aca="false">SUMIFS('Исходные данные'!$J$2:$J$964,'Исходные данные'!$D$2:$D$964,EU$1,'Исходные данные'!$F$2:$F$964,$A40)</f>
        <v>0</v>
      </c>
      <c r="EW40" s="7" t="n">
        <v>0</v>
      </c>
      <c r="EX40" s="7" t="n">
        <v>0</v>
      </c>
      <c r="EY40" s="11" t="n">
        <f aca="false">SUMIFS('Исходные данные'!$I$2:$I$964,'Исходные данные'!$D$2:$D$964,EY$1,'Исходные данные'!$F$2:$F$964,$A40)</f>
        <v>0</v>
      </c>
      <c r="EZ40" s="11" t="n">
        <f aca="false">SUMIFS('Исходные данные'!$J$2:$J$964,'Исходные данные'!$D$2:$D$964,EY$1,'Исходные данные'!$F$2:$F$964,$A40)</f>
        <v>0</v>
      </c>
      <c r="FA40" s="7" t="n">
        <v>0</v>
      </c>
      <c r="FB40" s="7" t="n">
        <v>0</v>
      </c>
      <c r="FC40" s="11" t="n">
        <f aca="false">SUMIFS('Исходные данные'!$I$2:$I$964,'Исходные данные'!$D$2:$D$964,FC$1,'Исходные данные'!$F$2:$F$964,$A40)</f>
        <v>0</v>
      </c>
      <c r="FD40" s="11" t="n">
        <f aca="false">SUMIFS('Исходные данные'!$J$2:$J$964,'Исходные данные'!$D$2:$D$964,FC$1,'Исходные данные'!$F$2:$F$964,$A40)</f>
        <v>0</v>
      </c>
      <c r="FE40" s="7" t="n">
        <v>0</v>
      </c>
      <c r="FF40" s="7" t="n">
        <v>0</v>
      </c>
      <c r="FG40" s="11" t="n">
        <f aca="false">SUMIFS('Исходные данные'!$I$2:$I$964,'Исходные данные'!$D$2:$D$964,FG$1,'Исходные данные'!$F$2:$F$964,$A40)</f>
        <v>0</v>
      </c>
      <c r="FH40" s="11" t="n">
        <f aca="false">SUMIFS('Исходные данные'!$J$2:$J$964,'Исходные данные'!$D$2:$D$964,FG$1,'Исходные данные'!$F$2:$F$964,$A40)</f>
        <v>0</v>
      </c>
    </row>
    <row r="41" customFormat="false" ht="15" hidden="false" customHeight="false" outlineLevel="0" collapsed="false">
      <c r="A41" s="10" t="s">
        <v>125</v>
      </c>
      <c r="B41" s="11" t="s">
        <v>126</v>
      </c>
      <c r="C41" s="6" t="n">
        <v>1</v>
      </c>
      <c r="D41" s="6" t="n">
        <f aca="false">I41+J41+M41+N41+Q41+R41+U41+V41+Y41+Z41+AC41+AD41+AG41+AH41+AK41+AL41+AO41+AP41+AS41+AT41+AW41+AX41+BA41+BB41+BE41+BF41+BI41+BJ41+BM41+BN41+BQ41+BR41+BU41+BV41+BY41+BZ41+CC41+CD41+CG41+CH41+CK41+CL41+CO41+CP41+CS41+CT41+CW41+CX41+DA41+DB41+DE41+DF41+DI41+DJ41+DM41+DN41+DQ41+DR41+DU41+DV41+DY41+DZ41+EC41+ED41+EG41+EH41+EK41+EL41+EO41+EP41+ES41+ET41+EW41+EX41+FA41+FB41+FE41+FF41</f>
        <v>1</v>
      </c>
      <c r="E41" s="6" t="n">
        <f aca="false">G41+H41</f>
        <v>1</v>
      </c>
      <c r="F41" s="6" t="n">
        <f aca="false">E41-C41</f>
        <v>0</v>
      </c>
      <c r="G41" s="6" t="n">
        <f aca="false">K41+O41+S41+W41+AA41+AE41+AI41+AM41+AQ41+AU41+AY41+BC41+BG41+BK41+BO41+BS41+BW41+CA41+CE41+CI41+CM41+CQ41+CU41+CY41+DC41+DG41+DK41+DO41+DS41+DW41+EA41+EE41+EI41+EM41+EQ41+EU41+EY41+FC41+FG41</f>
        <v>1</v>
      </c>
      <c r="H41" s="6" t="n">
        <f aca="false">L41+P41+T41+X41+AB41+AF41+AJ41+AN41+AR41+AV41+AZ41+BD41+BH41+BL41+BP41+BT41+BX41+CB41+CF41+CJ41+CN41+CR41+CV41+CZ41+DD41+DH41+DL41+DP41+DT41+DX41+EB41+EF41+EJ41+EN41+ER41+EV41+EZ41+FD41+FH41</f>
        <v>0</v>
      </c>
      <c r="I41" s="7" t="n">
        <v>0</v>
      </c>
      <c r="J41" s="7" t="n">
        <v>0</v>
      </c>
      <c r="K41" s="11" t="n">
        <f aca="false">SUMIFS('Исходные данные'!$I$2:$I$964,'Исходные данные'!$D$2:$D$964,K$1,'Исходные данные'!$F$2:$F$964,$A41)</f>
        <v>0</v>
      </c>
      <c r="L41" s="11" t="n">
        <f aca="false">SUMIFS('Исходные данные'!$J$2:$J$964,'Исходные данные'!$D$2:$D$964,K$1,'Исходные данные'!$F$2:$F$964,$A41)</f>
        <v>0</v>
      </c>
      <c r="M41" s="7" t="n">
        <v>0</v>
      </c>
      <c r="N41" s="7" t="n">
        <v>0</v>
      </c>
      <c r="O41" s="11" t="n">
        <f aca="false">SUMIFS('Исходные данные'!$I$2:$I$964,'Исходные данные'!$D$2:$D$964,O$1,'Исходные данные'!$F$2:$F$964,$A41)</f>
        <v>0</v>
      </c>
      <c r="P41" s="11" t="n">
        <f aca="false">SUMIFS('Исходные данные'!$J$2:$J$964,'Исходные данные'!$D$2:$D$964,O$1,'Исходные данные'!$F$2:$F$964,$A41)</f>
        <v>0</v>
      </c>
      <c r="Q41" s="7" t="n">
        <v>0</v>
      </c>
      <c r="R41" s="7" t="n">
        <v>0</v>
      </c>
      <c r="S41" s="11" t="n">
        <f aca="false">SUMIFS('Исходные данные'!$I$2:$I$964,'Исходные данные'!$D$2:$D$964,S$1,'Исходные данные'!$F$2:$F$964,$A41)</f>
        <v>0</v>
      </c>
      <c r="T41" s="11" t="n">
        <f aca="false">SUMIFS('Исходные данные'!$J$2:$J$964,'Исходные данные'!$D$2:$D$964,S$1,'Исходные данные'!$F$2:$F$964,$A41)</f>
        <v>0</v>
      </c>
      <c r="U41" s="7" t="n">
        <v>0</v>
      </c>
      <c r="V41" s="7" t="n">
        <v>0</v>
      </c>
      <c r="W41" s="11" t="n">
        <f aca="false">SUMIFS('Исходные данные'!$I$2:$I$964,'Исходные данные'!$D$2:$D$964,W$1,'Исходные данные'!$F$2:$F$964,$A41)</f>
        <v>0</v>
      </c>
      <c r="X41" s="11" t="n">
        <f aca="false">SUMIFS('Исходные данные'!$J$2:$J$964,'Исходные данные'!$D$2:$D$964,W$1,'Исходные данные'!$F$2:$F$964,$A41)</f>
        <v>0</v>
      </c>
      <c r="Y41" s="7" t="n">
        <v>0</v>
      </c>
      <c r="Z41" s="7" t="n">
        <v>0</v>
      </c>
      <c r="AA41" s="11" t="n">
        <f aca="false">SUMIFS('Исходные данные'!$I$2:$I$964,'Исходные данные'!$D$2:$D$964,AA$1,'Исходные данные'!$F$2:$F$964,$A41)</f>
        <v>0</v>
      </c>
      <c r="AB41" s="11" t="n">
        <f aca="false">SUMIFS('Исходные данные'!$J$2:$J$964,'Исходные данные'!$D$2:$D$964,AA$1,'Исходные данные'!$F$2:$F$964,$A41)</f>
        <v>0</v>
      </c>
      <c r="AC41" s="7" t="n">
        <v>1</v>
      </c>
      <c r="AD41" s="7" t="n">
        <v>0</v>
      </c>
      <c r="AE41" s="11" t="n">
        <f aca="false">SUMIFS('Исходные данные'!$I$2:$I$964,'Исходные данные'!$D$2:$D$964,AE$1,'Исходные данные'!$F$2:$F$964,$A41)</f>
        <v>1</v>
      </c>
      <c r="AF41" s="11" t="n">
        <f aca="false">SUMIFS('Исходные данные'!$J$2:$J$964,'Исходные данные'!$D$2:$D$964,AE$1,'Исходные данные'!$F$2:$F$964,$A41)</f>
        <v>0</v>
      </c>
      <c r="AG41" s="7" t="n">
        <v>0</v>
      </c>
      <c r="AH41" s="7" t="n">
        <v>0</v>
      </c>
      <c r="AI41" s="11" t="n">
        <f aca="false">SUMIFS('Исходные данные'!$I$2:$I$964,'Исходные данные'!$D$2:$D$964,AI$1,'Исходные данные'!$F$2:$F$964,$A41)</f>
        <v>0</v>
      </c>
      <c r="AJ41" s="11" t="n">
        <f aca="false">SUMIFS('Исходные данные'!$J$2:$J$964,'Исходные данные'!$D$2:$D$964,AI$1,'Исходные данные'!$F$2:$F$964,$A41)</f>
        <v>0</v>
      </c>
      <c r="AK41" s="7" t="n">
        <v>0</v>
      </c>
      <c r="AL41" s="7" t="n">
        <v>0</v>
      </c>
      <c r="AM41" s="11" t="n">
        <f aca="false">SUMIFS('Исходные данные'!$I$2:$I$964,'Исходные данные'!$D$2:$D$964,AM$1,'Исходные данные'!$F$2:$F$964,$A41)</f>
        <v>0</v>
      </c>
      <c r="AN41" s="11" t="n">
        <f aca="false">SUMIFS('Исходные данные'!$J$2:$J$964,'Исходные данные'!$D$2:$D$964,AM$1,'Исходные данные'!$F$2:$F$964,$A41)</f>
        <v>0</v>
      </c>
      <c r="AO41" s="7" t="n">
        <v>0</v>
      </c>
      <c r="AP41" s="7" t="n">
        <v>0</v>
      </c>
      <c r="AQ41" s="11" t="n">
        <f aca="false">SUMIFS('Исходные данные'!$I$2:$I$964,'Исходные данные'!$D$2:$D$964,AQ$1,'Исходные данные'!$F$2:$F$964,$A41)</f>
        <v>0</v>
      </c>
      <c r="AR41" s="11" t="n">
        <f aca="false">SUMIFS('Исходные данные'!$J$2:$J$964,'Исходные данные'!$D$2:$D$964,AQ$1,'Исходные данные'!$F$2:$F$964,$A41)</f>
        <v>0</v>
      </c>
      <c r="AS41" s="7" t="n">
        <v>0</v>
      </c>
      <c r="AT41" s="7" t="n">
        <v>0</v>
      </c>
      <c r="AU41" s="11" t="n">
        <f aca="false">SUMIFS('Исходные данные'!$I$2:$I$964,'Исходные данные'!$D$2:$D$964,AU$1,'Исходные данные'!$F$2:$F$964,$A41)</f>
        <v>0</v>
      </c>
      <c r="AV41" s="11" t="n">
        <f aca="false">SUMIFS('Исходные данные'!$J$2:$J$964,'Исходные данные'!$D$2:$D$964,AU$1,'Исходные данные'!$F$2:$F$964,$A41)</f>
        <v>0</v>
      </c>
      <c r="AW41" s="7" t="n">
        <v>0</v>
      </c>
      <c r="AX41" s="7" t="n">
        <v>0</v>
      </c>
      <c r="AY41" s="11" t="n">
        <f aca="false">SUMIFS('Исходные данные'!$I$2:$I$964,'Исходные данные'!$D$2:$D$964,AY$1,'Исходные данные'!$F$2:$F$964,$A41)</f>
        <v>0</v>
      </c>
      <c r="AZ41" s="11" t="n">
        <f aca="false">SUMIFS('Исходные данные'!$J$2:$J$964,'Исходные данные'!$D$2:$D$964,AY$1,'Исходные данные'!$F$2:$F$964,$A41)</f>
        <v>0</v>
      </c>
      <c r="BA41" s="7" t="n">
        <v>0</v>
      </c>
      <c r="BB41" s="7" t="n">
        <v>0</v>
      </c>
      <c r="BC41" s="11" t="n">
        <f aca="false">SUMIFS('Исходные данные'!$I$2:$I$964,'Исходные данные'!$D$2:$D$964,BC$1,'Исходные данные'!$F$2:$F$964,$A41)</f>
        <v>0</v>
      </c>
      <c r="BD41" s="11" t="n">
        <f aca="false">SUMIFS('Исходные данные'!$J$2:$J$964,'Исходные данные'!$D$2:$D$964,BC$1,'Исходные данные'!$F$2:$F$964,$A41)</f>
        <v>0</v>
      </c>
      <c r="BE41" s="7" t="n">
        <v>0</v>
      </c>
      <c r="BF41" s="7" t="n">
        <v>0</v>
      </c>
      <c r="BG41" s="11" t="n">
        <f aca="false">SUMIFS('Исходные данные'!$I$2:$I$964,'Исходные данные'!$D$2:$D$964,BG$1,'Исходные данные'!$F$2:$F$964,$A41)</f>
        <v>0</v>
      </c>
      <c r="BH41" s="11" t="n">
        <f aca="false">SUMIFS('Исходные данные'!$J$2:$J$964,'Исходные данные'!$D$2:$D$964,BG$1,'Исходные данные'!$F$2:$F$964,$A41)</f>
        <v>0</v>
      </c>
      <c r="BI41" s="7" t="n">
        <v>0</v>
      </c>
      <c r="BJ41" s="7" t="n">
        <v>0</v>
      </c>
      <c r="BK41" s="11" t="n">
        <f aca="false">SUMIFS('Исходные данные'!$I$2:$I$964,'Исходные данные'!$D$2:$D$964,BK$1,'Исходные данные'!$F$2:$F$964,$A41)</f>
        <v>0</v>
      </c>
      <c r="BL41" s="11" t="n">
        <f aca="false">SUMIFS('Исходные данные'!$J$2:$J$964,'Исходные данные'!$D$2:$D$964,BK$1,'Исходные данные'!$F$2:$F$964,$A41)</f>
        <v>0</v>
      </c>
      <c r="BM41" s="7" t="n">
        <v>0</v>
      </c>
      <c r="BN41" s="7" t="n">
        <v>0</v>
      </c>
      <c r="BO41" s="11" t="n">
        <f aca="false">SUMIFS('Исходные данные'!$I$2:$I$964,'Исходные данные'!$D$2:$D$964,BO$1,'Исходные данные'!$F$2:$F$964,$A41)</f>
        <v>0</v>
      </c>
      <c r="BP41" s="11" t="n">
        <f aca="false">SUMIFS('Исходные данные'!$J$2:$J$964,'Исходные данные'!$D$2:$D$964,BO$1,'Исходные данные'!$F$2:$F$964,$A41)</f>
        <v>0</v>
      </c>
      <c r="BQ41" s="7" t="n">
        <v>0</v>
      </c>
      <c r="BR41" s="7" t="n">
        <v>0</v>
      </c>
      <c r="BS41" s="11" t="n">
        <f aca="false">SUMIFS('Исходные данные'!$I$2:$I$964,'Исходные данные'!$D$2:$D$964,BS$1,'Исходные данные'!$F$2:$F$964,$A41)</f>
        <v>0</v>
      </c>
      <c r="BT41" s="11" t="n">
        <f aca="false">SUMIFS('Исходные данные'!$J$2:$J$964,'Исходные данные'!$D$2:$D$964,BS$1,'Исходные данные'!$F$2:$F$964,$A41)</f>
        <v>0</v>
      </c>
      <c r="BU41" s="7" t="n">
        <v>0</v>
      </c>
      <c r="BV41" s="7" t="n">
        <v>0</v>
      </c>
      <c r="BW41" s="11" t="n">
        <f aca="false">SUMIFS('Исходные данные'!$I$2:$I$964,'Исходные данные'!$D$2:$D$964,BW$1,'Исходные данные'!$F$2:$F$964,$A41)</f>
        <v>0</v>
      </c>
      <c r="BX41" s="11" t="n">
        <f aca="false">SUMIFS('Исходные данные'!$J$2:$J$964,'Исходные данные'!$D$2:$D$964,BW$1,'Исходные данные'!$F$2:$F$964,$A41)</f>
        <v>0</v>
      </c>
      <c r="BY41" s="7" t="n">
        <v>0</v>
      </c>
      <c r="BZ41" s="7" t="n">
        <v>0</v>
      </c>
      <c r="CA41" s="11" t="n">
        <f aca="false">SUMIFS('Исходные данные'!$I$2:$I$964,'Исходные данные'!$D$2:$D$964,CA$1,'Исходные данные'!$F$2:$F$964,$A41)</f>
        <v>0</v>
      </c>
      <c r="CB41" s="11" t="n">
        <f aca="false">SUMIFS('Исходные данные'!$J$2:$J$964,'Исходные данные'!$D$2:$D$964,CA$1,'Исходные данные'!$F$2:$F$964,$A41)</f>
        <v>0</v>
      </c>
      <c r="CC41" s="7" t="n">
        <v>0</v>
      </c>
      <c r="CD41" s="7" t="n">
        <v>0</v>
      </c>
      <c r="CE41" s="11" t="n">
        <f aca="false">SUMIFS('Исходные данные'!$I$2:$I$964,'Исходные данные'!$D$2:$D$964,CE$1,'Исходные данные'!$F$2:$F$964,$A41)</f>
        <v>0</v>
      </c>
      <c r="CF41" s="11" t="n">
        <f aca="false">SUMIFS('Исходные данные'!$J$2:$J$964,'Исходные данные'!$D$2:$D$964,CE$1,'Исходные данные'!$F$2:$F$964,$A41)</f>
        <v>0</v>
      </c>
      <c r="CG41" s="7" t="n">
        <v>0</v>
      </c>
      <c r="CH41" s="7" t="n">
        <v>0</v>
      </c>
      <c r="CI41" s="11" t="n">
        <f aca="false">SUMIFS('Исходные данные'!$I$2:$I$964,'Исходные данные'!$D$2:$D$964,CI$1,'Исходные данные'!$F$2:$F$964,$A41)</f>
        <v>0</v>
      </c>
      <c r="CJ41" s="11" t="n">
        <f aca="false">SUMIFS('Исходные данные'!$J$2:$J$964,'Исходные данные'!$D$2:$D$964,CI$1,'Исходные данные'!$F$2:$F$964,$A41)</f>
        <v>0</v>
      </c>
      <c r="CK41" s="7" t="n">
        <v>0</v>
      </c>
      <c r="CL41" s="7" t="n">
        <v>0</v>
      </c>
      <c r="CM41" s="11" t="n">
        <f aca="false">SUMIFS('Исходные данные'!$I$2:$I$964,'Исходные данные'!$D$2:$D$964,CM$1,'Исходные данные'!$F$2:$F$964,$A41)</f>
        <v>0</v>
      </c>
      <c r="CN41" s="11" t="n">
        <f aca="false">SUMIFS('Исходные данные'!$J$2:$J$964,'Исходные данные'!$D$2:$D$964,CM$1,'Исходные данные'!$F$2:$F$964,$A41)</f>
        <v>0</v>
      </c>
      <c r="CO41" s="7" t="n">
        <v>0</v>
      </c>
      <c r="CP41" s="7" t="n">
        <v>0</v>
      </c>
      <c r="CQ41" s="11" t="n">
        <f aca="false">SUMIFS('Исходные данные'!$I$2:$I$964,'Исходные данные'!$D$2:$D$964,CQ$1,'Исходные данные'!$F$2:$F$964,$A41)</f>
        <v>0</v>
      </c>
      <c r="CR41" s="11" t="n">
        <f aca="false">SUMIFS('Исходные данные'!$J$2:$J$964,'Исходные данные'!$D$2:$D$964,CQ$1,'Исходные данные'!$F$2:$F$964,$A41)</f>
        <v>0</v>
      </c>
      <c r="CS41" s="7" t="n">
        <v>0</v>
      </c>
      <c r="CT41" s="7" t="n">
        <v>0</v>
      </c>
      <c r="CU41" s="11" t="n">
        <f aca="false">SUMIFS('Исходные данные'!$I$2:$I$964,'Исходные данные'!$D$2:$D$964,CU$1,'Исходные данные'!$F$2:$F$964,$A41)</f>
        <v>0</v>
      </c>
      <c r="CV41" s="11" t="n">
        <f aca="false">SUMIFS('Исходные данные'!$J$2:$J$964,'Исходные данные'!$D$2:$D$964,CU$1,'Исходные данные'!$F$2:$F$964,$A41)</f>
        <v>0</v>
      </c>
      <c r="CW41" s="7" t="n">
        <v>0</v>
      </c>
      <c r="CX41" s="7" t="n">
        <v>0</v>
      </c>
      <c r="CY41" s="11" t="n">
        <f aca="false">SUMIFS('Исходные данные'!$I$2:$I$964,'Исходные данные'!$D$2:$D$964,CY$1,'Исходные данные'!$F$2:$F$964,$A41)</f>
        <v>0</v>
      </c>
      <c r="CZ41" s="11" t="n">
        <f aca="false">SUMIFS('Исходные данные'!$J$2:$J$964,'Исходные данные'!$D$2:$D$964,CY$1,'Исходные данные'!$F$2:$F$964,$A41)</f>
        <v>0</v>
      </c>
      <c r="DA41" s="7" t="n">
        <v>0</v>
      </c>
      <c r="DB41" s="7" t="n">
        <v>0</v>
      </c>
      <c r="DC41" s="11" t="n">
        <f aca="false">SUMIFS('Исходные данные'!$I$2:$I$964,'Исходные данные'!$D$2:$D$964,DC$1,'Исходные данные'!$F$2:$F$964,$A41)</f>
        <v>0</v>
      </c>
      <c r="DD41" s="11" t="n">
        <f aca="false">SUMIFS('Исходные данные'!$J$2:$J$964,'Исходные данные'!$D$2:$D$964,DC$1,'Исходные данные'!$F$2:$F$964,$A41)</f>
        <v>0</v>
      </c>
      <c r="DE41" s="7" t="n">
        <v>0</v>
      </c>
      <c r="DF41" s="7" t="n">
        <v>0</v>
      </c>
      <c r="DG41" s="11" t="n">
        <f aca="false">SUMIFS('Исходные данные'!$I$2:$I$964,'Исходные данные'!$D$2:$D$964,DG$1,'Исходные данные'!$F$2:$F$964,$A41)</f>
        <v>0</v>
      </c>
      <c r="DH41" s="11" t="n">
        <f aca="false">SUMIFS('Исходные данные'!$J$2:$J$964,'Исходные данные'!$D$2:$D$964,DG$1,'Исходные данные'!$F$2:$F$964,$A41)</f>
        <v>0</v>
      </c>
      <c r="DI41" s="7" t="n">
        <v>0</v>
      </c>
      <c r="DJ41" s="7" t="n">
        <v>0</v>
      </c>
      <c r="DK41" s="11" t="n">
        <f aca="false">SUMIFS('Исходные данные'!$I$2:$I$964,'Исходные данные'!$D$2:$D$964,DK$1,'Исходные данные'!$F$2:$F$964,$A41)</f>
        <v>0</v>
      </c>
      <c r="DL41" s="11" t="n">
        <f aca="false">SUMIFS('Исходные данные'!$J$2:$J$964,'Исходные данные'!$D$2:$D$964,DK$1,'Исходные данные'!$F$2:$F$964,$A41)</f>
        <v>0</v>
      </c>
      <c r="DM41" s="7" t="n">
        <v>0</v>
      </c>
      <c r="DN41" s="7" t="n">
        <v>0</v>
      </c>
      <c r="DO41" s="11" t="n">
        <f aca="false">SUMIFS('Исходные данные'!$I$2:$I$964,'Исходные данные'!$D$2:$D$964,DO$1,'Исходные данные'!$F$2:$F$964,$A41)</f>
        <v>0</v>
      </c>
      <c r="DP41" s="11" t="n">
        <f aca="false">SUMIFS('Исходные данные'!$J$2:$J$964,'Исходные данные'!$D$2:$D$964,DO$1,'Исходные данные'!$F$2:$F$964,$A41)</f>
        <v>0</v>
      </c>
      <c r="DQ41" s="7" t="n">
        <v>0</v>
      </c>
      <c r="DR41" s="7" t="n">
        <v>0</v>
      </c>
      <c r="DS41" s="11" t="n">
        <f aca="false">SUMIFS('Исходные данные'!$I$2:$I$964,'Исходные данные'!$D$2:$D$964,DS$1,'Исходные данные'!$F$2:$F$964,$A41)</f>
        <v>0</v>
      </c>
      <c r="DT41" s="11" t="n">
        <f aca="false">SUMIFS('Исходные данные'!$J$2:$J$964,'Исходные данные'!$D$2:$D$964,DS$1,'Исходные данные'!$F$2:$F$964,$A41)</f>
        <v>0</v>
      </c>
      <c r="DU41" s="7" t="n">
        <v>0</v>
      </c>
      <c r="DV41" s="7" t="n">
        <v>0</v>
      </c>
      <c r="DW41" s="11" t="n">
        <f aca="false">SUMIFS('Исходные данные'!$I$2:$I$964,'Исходные данные'!$D$2:$D$964,DW$1,'Исходные данные'!$F$2:$F$964,$A41)</f>
        <v>0</v>
      </c>
      <c r="DX41" s="11" t="n">
        <f aca="false">SUMIFS('Исходные данные'!$J$2:$J$964,'Исходные данные'!$D$2:$D$964,DW$1,'Исходные данные'!$F$2:$F$964,$A41)</f>
        <v>0</v>
      </c>
      <c r="DY41" s="7" t="n">
        <v>0</v>
      </c>
      <c r="DZ41" s="7" t="n">
        <v>0</v>
      </c>
      <c r="EA41" s="11" t="n">
        <f aca="false">SUMIFS('Исходные данные'!$I$2:$I$964,'Исходные данные'!$D$2:$D$964,EA$1,'Исходные данные'!$F$2:$F$964,$A41)</f>
        <v>0</v>
      </c>
      <c r="EB41" s="11" t="n">
        <f aca="false">SUMIFS('Исходные данные'!$J$2:$J$964,'Исходные данные'!$D$2:$D$964,EA$1,'Исходные данные'!$F$2:$F$964,$A41)</f>
        <v>0</v>
      </c>
      <c r="EC41" s="7" t="n">
        <v>0</v>
      </c>
      <c r="ED41" s="7" t="n">
        <v>0</v>
      </c>
      <c r="EE41" s="11" t="n">
        <f aca="false">SUMIFS('Исходные данные'!$I$2:$I$964,'Исходные данные'!$D$2:$D$964,EE$1,'Исходные данные'!$F$2:$F$964,$A41)</f>
        <v>0</v>
      </c>
      <c r="EF41" s="11" t="n">
        <f aca="false">SUMIFS('Исходные данные'!$J$2:$J$964,'Исходные данные'!$D$2:$D$964,EE$1,'Исходные данные'!$F$2:$F$964,$A41)</f>
        <v>0</v>
      </c>
      <c r="EG41" s="7" t="n">
        <v>0</v>
      </c>
      <c r="EH41" s="7" t="n">
        <v>0</v>
      </c>
      <c r="EI41" s="11" t="n">
        <f aca="false">SUMIFS('Исходные данные'!$I$2:$I$964,'Исходные данные'!$D$2:$D$964,EI$1,'Исходные данные'!$F$2:$F$964,$A41)</f>
        <v>0</v>
      </c>
      <c r="EJ41" s="11" t="n">
        <f aca="false">SUMIFS('Исходные данные'!$J$2:$J$964,'Исходные данные'!$D$2:$D$964,EI$1,'Исходные данные'!$F$2:$F$964,$A41)</f>
        <v>0</v>
      </c>
      <c r="EK41" s="7" t="n">
        <v>0</v>
      </c>
      <c r="EL41" s="7" t="n">
        <v>0</v>
      </c>
      <c r="EM41" s="11" t="n">
        <f aca="false">SUMIFS('Исходные данные'!$I$2:$I$964,'Исходные данные'!$D$2:$D$964,EM$1,'Исходные данные'!$F$2:$F$964,$A41)</f>
        <v>0</v>
      </c>
      <c r="EN41" s="11" t="n">
        <f aca="false">SUMIFS('Исходные данные'!$J$2:$J$964,'Исходные данные'!$D$2:$D$964,EM$1,'Исходные данные'!$F$2:$F$964,$A41)</f>
        <v>0</v>
      </c>
      <c r="EO41" s="7" t="n">
        <v>0</v>
      </c>
      <c r="EP41" s="7" t="n">
        <v>0</v>
      </c>
      <c r="EQ41" s="11" t="n">
        <f aca="false">SUMIFS('Исходные данные'!$I$2:$I$964,'Исходные данные'!$D$2:$D$964,EQ$1,'Исходные данные'!$F$2:$F$964,$A41)</f>
        <v>0</v>
      </c>
      <c r="ER41" s="11" t="n">
        <f aca="false">SUMIFS('Исходные данные'!$J$2:$J$964,'Исходные данные'!$D$2:$D$964,EQ$1,'Исходные данные'!$F$2:$F$964,$A41)</f>
        <v>0</v>
      </c>
      <c r="ES41" s="7" t="n">
        <v>0</v>
      </c>
      <c r="ET41" s="7" t="n">
        <v>0</v>
      </c>
      <c r="EU41" s="11" t="n">
        <f aca="false">SUMIFS('Исходные данные'!$I$2:$I$964,'Исходные данные'!$D$2:$D$964,EU$1,'Исходные данные'!$F$2:$F$964,$A41)</f>
        <v>0</v>
      </c>
      <c r="EV41" s="11" t="n">
        <f aca="false">SUMIFS('Исходные данные'!$J$2:$J$964,'Исходные данные'!$D$2:$D$964,EU$1,'Исходные данные'!$F$2:$F$964,$A41)</f>
        <v>0</v>
      </c>
      <c r="EW41" s="7" t="n">
        <v>0</v>
      </c>
      <c r="EX41" s="7" t="n">
        <v>0</v>
      </c>
      <c r="EY41" s="11" t="n">
        <f aca="false">SUMIFS('Исходные данные'!$I$2:$I$964,'Исходные данные'!$D$2:$D$964,EY$1,'Исходные данные'!$F$2:$F$964,$A41)</f>
        <v>0</v>
      </c>
      <c r="EZ41" s="11" t="n">
        <f aca="false">SUMIFS('Исходные данные'!$J$2:$J$964,'Исходные данные'!$D$2:$D$964,EY$1,'Исходные данные'!$F$2:$F$964,$A41)</f>
        <v>0</v>
      </c>
      <c r="FA41" s="7" t="n">
        <v>0</v>
      </c>
      <c r="FB41" s="7" t="n">
        <v>0</v>
      </c>
      <c r="FC41" s="11" t="n">
        <f aca="false">SUMIFS('Исходные данные'!$I$2:$I$964,'Исходные данные'!$D$2:$D$964,FC$1,'Исходные данные'!$F$2:$F$964,$A41)</f>
        <v>0</v>
      </c>
      <c r="FD41" s="11" t="n">
        <f aca="false">SUMIFS('Исходные данные'!$J$2:$J$964,'Исходные данные'!$D$2:$D$964,FC$1,'Исходные данные'!$F$2:$F$964,$A41)</f>
        <v>0</v>
      </c>
      <c r="FE41" s="7" t="n">
        <v>0</v>
      </c>
      <c r="FF41" s="7" t="n">
        <v>0</v>
      </c>
      <c r="FG41" s="11" t="n">
        <f aca="false">SUMIFS('Исходные данные'!$I$2:$I$964,'Исходные данные'!$D$2:$D$964,FG$1,'Исходные данные'!$F$2:$F$964,$A41)</f>
        <v>0</v>
      </c>
      <c r="FH41" s="11" t="n">
        <f aca="false">SUMIFS('Исходные данные'!$J$2:$J$964,'Исходные данные'!$D$2:$D$964,FG$1,'Исходные данные'!$F$2:$F$964,$A41)</f>
        <v>0</v>
      </c>
    </row>
    <row r="42" customFormat="false" ht="15" hidden="false" customHeight="false" outlineLevel="0" collapsed="false">
      <c r="A42" s="10" t="s">
        <v>127</v>
      </c>
      <c r="B42" s="11" t="s">
        <v>128</v>
      </c>
      <c r="C42" s="6" t="n">
        <v>3</v>
      </c>
      <c r="D42" s="6" t="n">
        <f aca="false">I42+J42+M42+N42+Q42+R42+U42+V42+Y42+Z42+AC42+AD42+AG42+AH42+AK42+AL42+AO42+AP42+AS42+AT42+AW42+AX42+BA42+BB42+BE42+BF42+BI42+BJ42+BM42+BN42+BQ42+BR42+BU42+BV42+BY42+BZ42+CC42+CD42+CG42+CH42+CK42+CL42+CO42+CP42+CS42+CT42+CW42+CX42+DA42+DB42+DE42+DF42+DI42+DJ42+DM42+DN42+DQ42+DR42+DU42+DV42+DY42+DZ42+EC42+ED42+EG42+EH42+EK42+EL42+EO42+EP42+ES42+ET42+EW42+EX42+FA42+FB42+FE42+FF42</f>
        <v>3</v>
      </c>
      <c r="E42" s="6" t="n">
        <f aca="false">G42+H42</f>
        <v>3</v>
      </c>
      <c r="F42" s="6" t="n">
        <f aca="false">E42-C42</f>
        <v>0</v>
      </c>
      <c r="G42" s="6" t="n">
        <f aca="false">K42+O42+S42+W42+AA42+AE42+AI42+AM42+AQ42+AU42+AY42+BC42+BG42+BK42+BO42+BS42+BW42+CA42+CE42+CI42+CM42+CQ42+CU42+CY42+DC42+DG42+DK42+DO42+DS42+DW42+EA42+EE42+EI42+EM42+EQ42+EU42+EY42+FC42+FG42</f>
        <v>3</v>
      </c>
      <c r="H42" s="6" t="n">
        <f aca="false">L42+P42+T42+X42+AB42+AF42+AJ42+AN42+AR42+AV42+AZ42+BD42+BH42+BL42+BP42+BT42+BX42+CB42+CF42+CJ42+CN42+CR42+CV42+CZ42+DD42+DH42+DL42+DP42+DT42+DX42+EB42+EF42+EJ42+EN42+ER42+EV42+EZ42+FD42+FH42</f>
        <v>0</v>
      </c>
      <c r="I42" s="7" t="n">
        <v>0</v>
      </c>
      <c r="J42" s="7" t="n">
        <v>0</v>
      </c>
      <c r="K42" s="11" t="n">
        <f aca="false">SUMIFS('Исходные данные'!$I$2:$I$964,'Исходные данные'!$D$2:$D$964,K$1,'Исходные данные'!$F$2:$F$964,$A42)</f>
        <v>0</v>
      </c>
      <c r="L42" s="11" t="n">
        <f aca="false">SUMIFS('Исходные данные'!$J$2:$J$964,'Исходные данные'!$D$2:$D$964,K$1,'Исходные данные'!$F$2:$F$964,$A42)</f>
        <v>0</v>
      </c>
      <c r="M42" s="7" t="n">
        <v>0</v>
      </c>
      <c r="N42" s="7" t="n">
        <v>0</v>
      </c>
      <c r="O42" s="11" t="n">
        <f aca="false">SUMIFS('Исходные данные'!$I$2:$I$964,'Исходные данные'!$D$2:$D$964,O$1,'Исходные данные'!$F$2:$F$964,$A42)</f>
        <v>0</v>
      </c>
      <c r="P42" s="11" t="n">
        <f aca="false">SUMIFS('Исходные данные'!$J$2:$J$964,'Исходные данные'!$D$2:$D$964,O$1,'Исходные данные'!$F$2:$F$964,$A42)</f>
        <v>0</v>
      </c>
      <c r="Q42" s="7" t="n">
        <v>0</v>
      </c>
      <c r="R42" s="7" t="n">
        <v>0</v>
      </c>
      <c r="S42" s="11" t="n">
        <f aca="false">SUMIFS('Исходные данные'!$I$2:$I$964,'Исходные данные'!$D$2:$D$964,S$1,'Исходные данные'!$F$2:$F$964,$A42)</f>
        <v>0</v>
      </c>
      <c r="T42" s="11" t="n">
        <f aca="false">SUMIFS('Исходные данные'!$J$2:$J$964,'Исходные данные'!$D$2:$D$964,S$1,'Исходные данные'!$F$2:$F$964,$A42)</f>
        <v>0</v>
      </c>
      <c r="U42" s="7" t="n">
        <v>0</v>
      </c>
      <c r="V42" s="7" t="n">
        <v>0</v>
      </c>
      <c r="W42" s="11" t="n">
        <f aca="false">SUMIFS('Исходные данные'!$I$2:$I$964,'Исходные данные'!$D$2:$D$964,W$1,'Исходные данные'!$F$2:$F$964,$A42)</f>
        <v>0</v>
      </c>
      <c r="X42" s="11" t="n">
        <f aca="false">SUMIFS('Исходные данные'!$J$2:$J$964,'Исходные данные'!$D$2:$D$964,W$1,'Исходные данные'!$F$2:$F$964,$A42)</f>
        <v>0</v>
      </c>
      <c r="Y42" s="7" t="n">
        <v>0</v>
      </c>
      <c r="Z42" s="7" t="n">
        <v>0</v>
      </c>
      <c r="AA42" s="11" t="n">
        <f aca="false">SUMIFS('Исходные данные'!$I$2:$I$964,'Исходные данные'!$D$2:$D$964,AA$1,'Исходные данные'!$F$2:$F$964,$A42)</f>
        <v>0</v>
      </c>
      <c r="AB42" s="11" t="n">
        <f aca="false">SUMIFS('Исходные данные'!$J$2:$J$964,'Исходные данные'!$D$2:$D$964,AA$1,'Исходные данные'!$F$2:$F$964,$A42)</f>
        <v>0</v>
      </c>
      <c r="AC42" s="7" t="n">
        <v>0</v>
      </c>
      <c r="AD42" s="7" t="n">
        <v>0</v>
      </c>
      <c r="AE42" s="11" t="n">
        <f aca="false">SUMIFS('Исходные данные'!$I$2:$I$964,'Исходные данные'!$D$2:$D$964,AE$1,'Исходные данные'!$F$2:$F$964,$A42)</f>
        <v>0</v>
      </c>
      <c r="AF42" s="11" t="n">
        <f aca="false">SUMIFS('Исходные данные'!$J$2:$J$964,'Исходные данные'!$D$2:$D$964,AE$1,'Исходные данные'!$F$2:$F$964,$A42)</f>
        <v>0</v>
      </c>
      <c r="AG42" s="7" t="n">
        <v>2</v>
      </c>
      <c r="AH42" s="7" t="n">
        <v>0</v>
      </c>
      <c r="AI42" s="11" t="n">
        <f aca="false">SUMIFS('Исходные данные'!$I$2:$I$964,'Исходные данные'!$D$2:$D$964,AI$1,'Исходные данные'!$F$2:$F$964,$A42)</f>
        <v>2</v>
      </c>
      <c r="AJ42" s="11" t="n">
        <f aca="false">SUMIFS('Исходные данные'!$J$2:$J$964,'Исходные данные'!$D$2:$D$964,AI$1,'Исходные данные'!$F$2:$F$964,$A42)</f>
        <v>0</v>
      </c>
      <c r="AK42" s="7" t="n">
        <v>0</v>
      </c>
      <c r="AL42" s="7" t="n">
        <v>0</v>
      </c>
      <c r="AM42" s="11" t="n">
        <f aca="false">SUMIFS('Исходные данные'!$I$2:$I$964,'Исходные данные'!$D$2:$D$964,AM$1,'Исходные данные'!$F$2:$F$964,$A42)</f>
        <v>0</v>
      </c>
      <c r="AN42" s="11" t="n">
        <f aca="false">SUMIFS('Исходные данные'!$J$2:$J$964,'Исходные данные'!$D$2:$D$964,AM$1,'Исходные данные'!$F$2:$F$964,$A42)</f>
        <v>0</v>
      </c>
      <c r="AO42" s="7" t="n">
        <v>0</v>
      </c>
      <c r="AP42" s="7" t="n">
        <v>0</v>
      </c>
      <c r="AQ42" s="11" t="n">
        <f aca="false">SUMIFS('Исходные данные'!$I$2:$I$964,'Исходные данные'!$D$2:$D$964,AQ$1,'Исходные данные'!$F$2:$F$964,$A42)</f>
        <v>0</v>
      </c>
      <c r="AR42" s="11" t="n">
        <f aca="false">SUMIFS('Исходные данные'!$J$2:$J$964,'Исходные данные'!$D$2:$D$964,AQ$1,'Исходные данные'!$F$2:$F$964,$A42)</f>
        <v>0</v>
      </c>
      <c r="AS42" s="7" t="n">
        <v>0</v>
      </c>
      <c r="AT42" s="7" t="n">
        <v>0</v>
      </c>
      <c r="AU42" s="11" t="n">
        <f aca="false">SUMIFS('Исходные данные'!$I$2:$I$964,'Исходные данные'!$D$2:$D$964,AU$1,'Исходные данные'!$F$2:$F$964,$A42)</f>
        <v>0</v>
      </c>
      <c r="AV42" s="11" t="n">
        <f aca="false">SUMIFS('Исходные данные'!$J$2:$J$964,'Исходные данные'!$D$2:$D$964,AU$1,'Исходные данные'!$F$2:$F$964,$A42)</f>
        <v>0</v>
      </c>
      <c r="AW42" s="7" t="n">
        <v>0</v>
      </c>
      <c r="AX42" s="7" t="n">
        <v>0</v>
      </c>
      <c r="AY42" s="11" t="n">
        <f aca="false">SUMIFS('Исходные данные'!$I$2:$I$964,'Исходные данные'!$D$2:$D$964,AY$1,'Исходные данные'!$F$2:$F$964,$A42)</f>
        <v>0</v>
      </c>
      <c r="AZ42" s="11" t="n">
        <f aca="false">SUMIFS('Исходные данные'!$J$2:$J$964,'Исходные данные'!$D$2:$D$964,AY$1,'Исходные данные'!$F$2:$F$964,$A42)</f>
        <v>0</v>
      </c>
      <c r="BA42" s="7" t="n">
        <v>0</v>
      </c>
      <c r="BB42" s="7" t="n">
        <v>0</v>
      </c>
      <c r="BC42" s="11" t="n">
        <f aca="false">SUMIFS('Исходные данные'!$I$2:$I$964,'Исходные данные'!$D$2:$D$964,BC$1,'Исходные данные'!$F$2:$F$964,$A42)</f>
        <v>0</v>
      </c>
      <c r="BD42" s="11" t="n">
        <f aca="false">SUMIFS('Исходные данные'!$J$2:$J$964,'Исходные данные'!$D$2:$D$964,BC$1,'Исходные данные'!$F$2:$F$964,$A42)</f>
        <v>0</v>
      </c>
      <c r="BE42" s="7" t="n">
        <v>0</v>
      </c>
      <c r="BF42" s="7" t="n">
        <v>0</v>
      </c>
      <c r="BG42" s="11" t="n">
        <f aca="false">SUMIFS('Исходные данные'!$I$2:$I$964,'Исходные данные'!$D$2:$D$964,BG$1,'Исходные данные'!$F$2:$F$964,$A42)</f>
        <v>0</v>
      </c>
      <c r="BH42" s="11" t="n">
        <f aca="false">SUMIFS('Исходные данные'!$J$2:$J$964,'Исходные данные'!$D$2:$D$964,BG$1,'Исходные данные'!$F$2:$F$964,$A42)</f>
        <v>0</v>
      </c>
      <c r="BI42" s="7" t="n">
        <v>0</v>
      </c>
      <c r="BJ42" s="7" t="n">
        <v>0</v>
      </c>
      <c r="BK42" s="11" t="n">
        <f aca="false">SUMIFS('Исходные данные'!$I$2:$I$964,'Исходные данные'!$D$2:$D$964,BK$1,'Исходные данные'!$F$2:$F$964,$A42)</f>
        <v>0</v>
      </c>
      <c r="BL42" s="11" t="n">
        <f aca="false">SUMIFS('Исходные данные'!$J$2:$J$964,'Исходные данные'!$D$2:$D$964,BK$1,'Исходные данные'!$F$2:$F$964,$A42)</f>
        <v>0</v>
      </c>
      <c r="BM42" s="7" t="n">
        <v>0</v>
      </c>
      <c r="BN42" s="7" t="n">
        <v>0</v>
      </c>
      <c r="BO42" s="11" t="n">
        <f aca="false">SUMIFS('Исходные данные'!$I$2:$I$964,'Исходные данные'!$D$2:$D$964,BO$1,'Исходные данные'!$F$2:$F$964,$A42)</f>
        <v>0</v>
      </c>
      <c r="BP42" s="11" t="n">
        <f aca="false">SUMIFS('Исходные данные'!$J$2:$J$964,'Исходные данные'!$D$2:$D$964,BO$1,'Исходные данные'!$F$2:$F$964,$A42)</f>
        <v>0</v>
      </c>
      <c r="BQ42" s="7" t="n">
        <v>0</v>
      </c>
      <c r="BR42" s="7" t="n">
        <v>0</v>
      </c>
      <c r="BS42" s="11" t="n">
        <f aca="false">SUMIFS('Исходные данные'!$I$2:$I$964,'Исходные данные'!$D$2:$D$964,BS$1,'Исходные данные'!$F$2:$F$964,$A42)</f>
        <v>0</v>
      </c>
      <c r="BT42" s="11" t="n">
        <f aca="false">SUMIFS('Исходные данные'!$J$2:$J$964,'Исходные данные'!$D$2:$D$964,BS$1,'Исходные данные'!$F$2:$F$964,$A42)</f>
        <v>0</v>
      </c>
      <c r="BU42" s="7" t="n">
        <v>0</v>
      </c>
      <c r="BV42" s="7" t="n">
        <v>0</v>
      </c>
      <c r="BW42" s="11" t="n">
        <f aca="false">SUMIFS('Исходные данные'!$I$2:$I$964,'Исходные данные'!$D$2:$D$964,BW$1,'Исходные данные'!$F$2:$F$964,$A42)</f>
        <v>0</v>
      </c>
      <c r="BX42" s="11" t="n">
        <f aca="false">SUMIFS('Исходные данные'!$J$2:$J$964,'Исходные данные'!$D$2:$D$964,BW$1,'Исходные данные'!$F$2:$F$964,$A42)</f>
        <v>0</v>
      </c>
      <c r="BY42" s="7" t="n">
        <v>0</v>
      </c>
      <c r="BZ42" s="7" t="n">
        <v>0</v>
      </c>
      <c r="CA42" s="11" t="n">
        <f aca="false">SUMIFS('Исходные данные'!$I$2:$I$964,'Исходные данные'!$D$2:$D$964,CA$1,'Исходные данные'!$F$2:$F$964,$A42)</f>
        <v>0</v>
      </c>
      <c r="CB42" s="11" t="n">
        <f aca="false">SUMIFS('Исходные данные'!$J$2:$J$964,'Исходные данные'!$D$2:$D$964,CA$1,'Исходные данные'!$F$2:$F$964,$A42)</f>
        <v>0</v>
      </c>
      <c r="CC42" s="7" t="n">
        <v>0</v>
      </c>
      <c r="CD42" s="7" t="n">
        <v>0</v>
      </c>
      <c r="CE42" s="11" t="n">
        <f aca="false">SUMIFS('Исходные данные'!$I$2:$I$964,'Исходные данные'!$D$2:$D$964,CE$1,'Исходные данные'!$F$2:$F$964,$A42)</f>
        <v>0</v>
      </c>
      <c r="CF42" s="11" t="n">
        <f aca="false">SUMIFS('Исходные данные'!$J$2:$J$964,'Исходные данные'!$D$2:$D$964,CE$1,'Исходные данные'!$F$2:$F$964,$A42)</f>
        <v>0</v>
      </c>
      <c r="CG42" s="7" t="n">
        <v>1</v>
      </c>
      <c r="CH42" s="7" t="n">
        <v>0</v>
      </c>
      <c r="CI42" s="11" t="n">
        <f aca="false">SUMIFS('Исходные данные'!$I$2:$I$964,'Исходные данные'!$D$2:$D$964,CI$1,'Исходные данные'!$F$2:$F$964,$A42)</f>
        <v>1</v>
      </c>
      <c r="CJ42" s="11" t="n">
        <f aca="false">SUMIFS('Исходные данные'!$J$2:$J$964,'Исходные данные'!$D$2:$D$964,CI$1,'Исходные данные'!$F$2:$F$964,$A42)</f>
        <v>0</v>
      </c>
      <c r="CK42" s="7" t="n">
        <v>0</v>
      </c>
      <c r="CL42" s="7" t="n">
        <v>0</v>
      </c>
      <c r="CM42" s="11" t="n">
        <f aca="false">SUMIFS('Исходные данные'!$I$2:$I$964,'Исходные данные'!$D$2:$D$964,CM$1,'Исходные данные'!$F$2:$F$964,$A42)</f>
        <v>0</v>
      </c>
      <c r="CN42" s="11" t="n">
        <f aca="false">SUMIFS('Исходные данные'!$J$2:$J$964,'Исходные данные'!$D$2:$D$964,CM$1,'Исходные данные'!$F$2:$F$964,$A42)</f>
        <v>0</v>
      </c>
      <c r="CO42" s="7" t="n">
        <v>0</v>
      </c>
      <c r="CP42" s="7" t="n">
        <v>0</v>
      </c>
      <c r="CQ42" s="11" t="n">
        <f aca="false">SUMIFS('Исходные данные'!$I$2:$I$964,'Исходные данные'!$D$2:$D$964,CQ$1,'Исходные данные'!$F$2:$F$964,$A42)</f>
        <v>0</v>
      </c>
      <c r="CR42" s="11" t="n">
        <f aca="false">SUMIFS('Исходные данные'!$J$2:$J$964,'Исходные данные'!$D$2:$D$964,CQ$1,'Исходные данные'!$F$2:$F$964,$A42)</f>
        <v>0</v>
      </c>
      <c r="CS42" s="7" t="n">
        <v>0</v>
      </c>
      <c r="CT42" s="7" t="n">
        <v>0</v>
      </c>
      <c r="CU42" s="11" t="n">
        <f aca="false">SUMIFS('Исходные данные'!$I$2:$I$964,'Исходные данные'!$D$2:$D$964,CU$1,'Исходные данные'!$F$2:$F$964,$A42)</f>
        <v>0</v>
      </c>
      <c r="CV42" s="11" t="n">
        <f aca="false">SUMIFS('Исходные данные'!$J$2:$J$964,'Исходные данные'!$D$2:$D$964,CU$1,'Исходные данные'!$F$2:$F$964,$A42)</f>
        <v>0</v>
      </c>
      <c r="CW42" s="7" t="n">
        <v>0</v>
      </c>
      <c r="CX42" s="7" t="n">
        <v>0</v>
      </c>
      <c r="CY42" s="11" t="n">
        <f aca="false">SUMIFS('Исходные данные'!$I$2:$I$964,'Исходные данные'!$D$2:$D$964,CY$1,'Исходные данные'!$F$2:$F$964,$A42)</f>
        <v>0</v>
      </c>
      <c r="CZ42" s="11" t="n">
        <f aca="false">SUMIFS('Исходные данные'!$J$2:$J$964,'Исходные данные'!$D$2:$D$964,CY$1,'Исходные данные'!$F$2:$F$964,$A42)</f>
        <v>0</v>
      </c>
      <c r="DA42" s="7" t="n">
        <v>0</v>
      </c>
      <c r="DB42" s="7" t="n">
        <v>0</v>
      </c>
      <c r="DC42" s="11" t="n">
        <f aca="false">SUMIFS('Исходные данные'!$I$2:$I$964,'Исходные данные'!$D$2:$D$964,DC$1,'Исходные данные'!$F$2:$F$964,$A42)</f>
        <v>0</v>
      </c>
      <c r="DD42" s="11" t="n">
        <f aca="false">SUMIFS('Исходные данные'!$J$2:$J$964,'Исходные данные'!$D$2:$D$964,DC$1,'Исходные данные'!$F$2:$F$964,$A42)</f>
        <v>0</v>
      </c>
      <c r="DE42" s="7" t="n">
        <v>0</v>
      </c>
      <c r="DF42" s="7" t="n">
        <v>0</v>
      </c>
      <c r="DG42" s="11" t="n">
        <f aca="false">SUMIFS('Исходные данные'!$I$2:$I$964,'Исходные данные'!$D$2:$D$964,DG$1,'Исходные данные'!$F$2:$F$964,$A42)</f>
        <v>0</v>
      </c>
      <c r="DH42" s="11" t="n">
        <f aca="false">SUMIFS('Исходные данные'!$J$2:$J$964,'Исходные данные'!$D$2:$D$964,DG$1,'Исходные данные'!$F$2:$F$964,$A42)</f>
        <v>0</v>
      </c>
      <c r="DI42" s="7" t="n">
        <v>0</v>
      </c>
      <c r="DJ42" s="7" t="n">
        <v>0</v>
      </c>
      <c r="DK42" s="11" t="n">
        <f aca="false">SUMIFS('Исходные данные'!$I$2:$I$964,'Исходные данные'!$D$2:$D$964,DK$1,'Исходные данные'!$F$2:$F$964,$A42)</f>
        <v>0</v>
      </c>
      <c r="DL42" s="11" t="n">
        <f aca="false">SUMIFS('Исходные данные'!$J$2:$J$964,'Исходные данные'!$D$2:$D$964,DK$1,'Исходные данные'!$F$2:$F$964,$A42)</f>
        <v>0</v>
      </c>
      <c r="DM42" s="7" t="n">
        <v>0</v>
      </c>
      <c r="DN42" s="7" t="n">
        <v>0</v>
      </c>
      <c r="DO42" s="11" t="n">
        <f aca="false">SUMIFS('Исходные данные'!$I$2:$I$964,'Исходные данные'!$D$2:$D$964,DO$1,'Исходные данные'!$F$2:$F$964,$A42)</f>
        <v>0</v>
      </c>
      <c r="DP42" s="11" t="n">
        <f aca="false">SUMIFS('Исходные данные'!$J$2:$J$964,'Исходные данные'!$D$2:$D$964,DO$1,'Исходные данные'!$F$2:$F$964,$A42)</f>
        <v>0</v>
      </c>
      <c r="DQ42" s="7" t="n">
        <v>0</v>
      </c>
      <c r="DR42" s="7" t="n">
        <v>0</v>
      </c>
      <c r="DS42" s="11" t="n">
        <f aca="false">SUMIFS('Исходные данные'!$I$2:$I$964,'Исходные данные'!$D$2:$D$964,DS$1,'Исходные данные'!$F$2:$F$964,$A42)</f>
        <v>0</v>
      </c>
      <c r="DT42" s="11" t="n">
        <f aca="false">SUMIFS('Исходные данные'!$J$2:$J$964,'Исходные данные'!$D$2:$D$964,DS$1,'Исходные данные'!$F$2:$F$964,$A42)</f>
        <v>0</v>
      </c>
      <c r="DU42" s="7" t="n">
        <v>0</v>
      </c>
      <c r="DV42" s="7" t="n">
        <v>0</v>
      </c>
      <c r="DW42" s="11" t="n">
        <f aca="false">SUMIFS('Исходные данные'!$I$2:$I$964,'Исходные данные'!$D$2:$D$964,DW$1,'Исходные данные'!$F$2:$F$964,$A42)</f>
        <v>0</v>
      </c>
      <c r="DX42" s="11" t="n">
        <f aca="false">SUMIFS('Исходные данные'!$J$2:$J$964,'Исходные данные'!$D$2:$D$964,DW$1,'Исходные данные'!$F$2:$F$964,$A42)</f>
        <v>0</v>
      </c>
      <c r="DY42" s="7" t="n">
        <v>0</v>
      </c>
      <c r="DZ42" s="7" t="n">
        <v>0</v>
      </c>
      <c r="EA42" s="11" t="n">
        <f aca="false">SUMIFS('Исходные данные'!$I$2:$I$964,'Исходные данные'!$D$2:$D$964,EA$1,'Исходные данные'!$F$2:$F$964,$A42)</f>
        <v>0</v>
      </c>
      <c r="EB42" s="11" t="n">
        <f aca="false">SUMIFS('Исходные данные'!$J$2:$J$964,'Исходные данные'!$D$2:$D$964,EA$1,'Исходные данные'!$F$2:$F$964,$A42)</f>
        <v>0</v>
      </c>
      <c r="EC42" s="7" t="n">
        <v>0</v>
      </c>
      <c r="ED42" s="7" t="n">
        <v>0</v>
      </c>
      <c r="EE42" s="11" t="n">
        <f aca="false">SUMIFS('Исходные данные'!$I$2:$I$964,'Исходные данные'!$D$2:$D$964,EE$1,'Исходные данные'!$F$2:$F$964,$A42)</f>
        <v>0</v>
      </c>
      <c r="EF42" s="11" t="n">
        <f aca="false">SUMIFS('Исходные данные'!$J$2:$J$964,'Исходные данные'!$D$2:$D$964,EE$1,'Исходные данные'!$F$2:$F$964,$A42)</f>
        <v>0</v>
      </c>
      <c r="EG42" s="7" t="n">
        <v>0</v>
      </c>
      <c r="EH42" s="7" t="n">
        <v>0</v>
      </c>
      <c r="EI42" s="11" t="n">
        <f aca="false">SUMIFS('Исходные данные'!$I$2:$I$964,'Исходные данные'!$D$2:$D$964,EI$1,'Исходные данные'!$F$2:$F$964,$A42)</f>
        <v>0</v>
      </c>
      <c r="EJ42" s="11" t="n">
        <f aca="false">SUMIFS('Исходные данные'!$J$2:$J$964,'Исходные данные'!$D$2:$D$964,EI$1,'Исходные данные'!$F$2:$F$964,$A42)</f>
        <v>0</v>
      </c>
      <c r="EK42" s="7" t="n">
        <v>0</v>
      </c>
      <c r="EL42" s="7" t="n">
        <v>0</v>
      </c>
      <c r="EM42" s="11" t="n">
        <f aca="false">SUMIFS('Исходные данные'!$I$2:$I$964,'Исходные данные'!$D$2:$D$964,EM$1,'Исходные данные'!$F$2:$F$964,$A42)</f>
        <v>0</v>
      </c>
      <c r="EN42" s="11" t="n">
        <f aca="false">SUMIFS('Исходные данные'!$J$2:$J$964,'Исходные данные'!$D$2:$D$964,EM$1,'Исходные данные'!$F$2:$F$964,$A42)</f>
        <v>0</v>
      </c>
      <c r="EO42" s="7" t="n">
        <v>0</v>
      </c>
      <c r="EP42" s="7" t="n">
        <v>0</v>
      </c>
      <c r="EQ42" s="11" t="n">
        <f aca="false">SUMIFS('Исходные данные'!$I$2:$I$964,'Исходные данные'!$D$2:$D$964,EQ$1,'Исходные данные'!$F$2:$F$964,$A42)</f>
        <v>0</v>
      </c>
      <c r="ER42" s="11" t="n">
        <f aca="false">SUMIFS('Исходные данные'!$J$2:$J$964,'Исходные данные'!$D$2:$D$964,EQ$1,'Исходные данные'!$F$2:$F$964,$A42)</f>
        <v>0</v>
      </c>
      <c r="ES42" s="7" t="n">
        <v>0</v>
      </c>
      <c r="ET42" s="7" t="n">
        <v>0</v>
      </c>
      <c r="EU42" s="11" t="n">
        <f aca="false">SUMIFS('Исходные данные'!$I$2:$I$964,'Исходные данные'!$D$2:$D$964,EU$1,'Исходные данные'!$F$2:$F$964,$A42)</f>
        <v>0</v>
      </c>
      <c r="EV42" s="11" t="n">
        <f aca="false">SUMIFS('Исходные данные'!$J$2:$J$964,'Исходные данные'!$D$2:$D$964,EU$1,'Исходные данные'!$F$2:$F$964,$A42)</f>
        <v>0</v>
      </c>
      <c r="EW42" s="7" t="n">
        <v>0</v>
      </c>
      <c r="EX42" s="7" t="n">
        <v>0</v>
      </c>
      <c r="EY42" s="11" t="n">
        <f aca="false">SUMIFS('Исходные данные'!$I$2:$I$964,'Исходные данные'!$D$2:$D$964,EY$1,'Исходные данные'!$F$2:$F$964,$A42)</f>
        <v>0</v>
      </c>
      <c r="EZ42" s="11" t="n">
        <f aca="false">SUMIFS('Исходные данные'!$J$2:$J$964,'Исходные данные'!$D$2:$D$964,EY$1,'Исходные данные'!$F$2:$F$964,$A42)</f>
        <v>0</v>
      </c>
      <c r="FA42" s="7" t="n">
        <v>0</v>
      </c>
      <c r="FB42" s="7" t="n">
        <v>0</v>
      </c>
      <c r="FC42" s="11" t="n">
        <f aca="false">SUMIFS('Исходные данные'!$I$2:$I$964,'Исходные данные'!$D$2:$D$964,FC$1,'Исходные данные'!$F$2:$F$964,$A42)</f>
        <v>0</v>
      </c>
      <c r="FD42" s="11" t="n">
        <f aca="false">SUMIFS('Исходные данные'!$J$2:$J$964,'Исходные данные'!$D$2:$D$964,FC$1,'Исходные данные'!$F$2:$F$964,$A42)</f>
        <v>0</v>
      </c>
      <c r="FE42" s="7" t="n">
        <v>0</v>
      </c>
      <c r="FF42" s="7" t="n">
        <v>0</v>
      </c>
      <c r="FG42" s="11" t="n">
        <f aca="false">SUMIFS('Исходные данные'!$I$2:$I$964,'Исходные данные'!$D$2:$D$964,FG$1,'Исходные данные'!$F$2:$F$964,$A42)</f>
        <v>0</v>
      </c>
      <c r="FH42" s="11" t="n">
        <f aca="false">SUMIFS('Исходные данные'!$J$2:$J$964,'Исходные данные'!$D$2:$D$964,FG$1,'Исходные данные'!$F$2:$F$964,$A42)</f>
        <v>0</v>
      </c>
    </row>
    <row r="43" customFormat="false" ht="15" hidden="false" customHeight="false" outlineLevel="0" collapsed="false">
      <c r="A43" s="10" t="s">
        <v>129</v>
      </c>
      <c r="B43" s="11" t="s">
        <v>130</v>
      </c>
      <c r="C43" s="6" t="n">
        <v>1</v>
      </c>
      <c r="D43" s="6" t="n">
        <f aca="false">I43+J43+M43+N43+Q43+R43+U43+V43+Y43+Z43+AC43+AD43+AG43+AH43+AK43+AL43+AO43+AP43+AS43+AT43+AW43+AX43+BA43+BB43+BE43+BF43+BI43+BJ43+BM43+BN43+BQ43+BR43+BU43+BV43+BY43+BZ43+CC43+CD43+CG43+CH43+CK43+CL43+CO43+CP43+CS43+CT43+CW43+CX43+DA43+DB43+DE43+DF43+DI43+DJ43+DM43+DN43+DQ43+DR43+DU43+DV43+DY43+DZ43+EC43+ED43+EG43+EH43+EK43+EL43+EO43+EP43+ES43+ET43+EW43+EX43+FA43+FB43+FE43+FF43</f>
        <v>1</v>
      </c>
      <c r="E43" s="6" t="n">
        <f aca="false">G43+H43</f>
        <v>1</v>
      </c>
      <c r="F43" s="6" t="n">
        <f aca="false">E43-C43</f>
        <v>0</v>
      </c>
      <c r="G43" s="6" t="n">
        <f aca="false">K43+O43+S43+W43+AA43+AE43+AI43+AM43+AQ43+AU43+AY43+BC43+BG43+BK43+BO43+BS43+BW43+CA43+CE43+CI43+CM43+CQ43+CU43+CY43+DC43+DG43+DK43+DO43+DS43+DW43+EA43+EE43+EI43+EM43+EQ43+EU43+EY43+FC43+FG43</f>
        <v>1</v>
      </c>
      <c r="H43" s="6" t="n">
        <f aca="false">L43+P43+T43+X43+AB43+AF43+AJ43+AN43+AR43+AV43+AZ43+BD43+BH43+BL43+BP43+BT43+BX43+CB43+CF43+CJ43+CN43+CR43+CV43+CZ43+DD43+DH43+DL43+DP43+DT43+DX43+EB43+EF43+EJ43+EN43+ER43+EV43+EZ43+FD43+FH43</f>
        <v>0</v>
      </c>
      <c r="I43" s="7" t="n">
        <v>0</v>
      </c>
      <c r="J43" s="7" t="n">
        <v>0</v>
      </c>
      <c r="K43" s="11" t="n">
        <f aca="false">SUMIFS('Исходные данные'!$I$2:$I$964,'Исходные данные'!$D$2:$D$964,K$1,'Исходные данные'!$F$2:$F$964,$A43)</f>
        <v>0</v>
      </c>
      <c r="L43" s="11" t="n">
        <f aca="false">SUMIFS('Исходные данные'!$J$2:$J$964,'Исходные данные'!$D$2:$D$964,K$1,'Исходные данные'!$F$2:$F$964,$A43)</f>
        <v>0</v>
      </c>
      <c r="M43" s="7" t="n">
        <v>0</v>
      </c>
      <c r="N43" s="7" t="n">
        <v>0</v>
      </c>
      <c r="O43" s="11" t="n">
        <f aca="false">SUMIFS('Исходные данные'!$I$2:$I$964,'Исходные данные'!$D$2:$D$964,O$1,'Исходные данные'!$F$2:$F$964,$A43)</f>
        <v>0</v>
      </c>
      <c r="P43" s="11" t="n">
        <f aca="false">SUMIFS('Исходные данные'!$J$2:$J$964,'Исходные данные'!$D$2:$D$964,O$1,'Исходные данные'!$F$2:$F$964,$A43)</f>
        <v>0</v>
      </c>
      <c r="Q43" s="7" t="n">
        <v>0</v>
      </c>
      <c r="R43" s="7" t="n">
        <v>0</v>
      </c>
      <c r="S43" s="11" t="n">
        <f aca="false">SUMIFS('Исходные данные'!$I$2:$I$964,'Исходные данные'!$D$2:$D$964,S$1,'Исходные данные'!$F$2:$F$964,$A43)</f>
        <v>0</v>
      </c>
      <c r="T43" s="11" t="n">
        <f aca="false">SUMIFS('Исходные данные'!$J$2:$J$964,'Исходные данные'!$D$2:$D$964,S$1,'Исходные данные'!$F$2:$F$964,$A43)</f>
        <v>0</v>
      </c>
      <c r="U43" s="7" t="n">
        <v>0</v>
      </c>
      <c r="V43" s="7" t="n">
        <v>0</v>
      </c>
      <c r="W43" s="11" t="n">
        <f aca="false">SUMIFS('Исходные данные'!$I$2:$I$964,'Исходные данные'!$D$2:$D$964,W$1,'Исходные данные'!$F$2:$F$964,$A43)</f>
        <v>0</v>
      </c>
      <c r="X43" s="11" t="n">
        <f aca="false">SUMIFS('Исходные данные'!$J$2:$J$964,'Исходные данные'!$D$2:$D$964,W$1,'Исходные данные'!$F$2:$F$964,$A43)</f>
        <v>0</v>
      </c>
      <c r="Y43" s="7" t="n">
        <v>0</v>
      </c>
      <c r="Z43" s="7" t="n">
        <v>0</v>
      </c>
      <c r="AA43" s="11" t="n">
        <f aca="false">SUMIFS('Исходные данные'!$I$2:$I$964,'Исходные данные'!$D$2:$D$964,AA$1,'Исходные данные'!$F$2:$F$964,$A43)</f>
        <v>0</v>
      </c>
      <c r="AB43" s="11" t="n">
        <f aca="false">SUMIFS('Исходные данные'!$J$2:$J$964,'Исходные данные'!$D$2:$D$964,AA$1,'Исходные данные'!$F$2:$F$964,$A43)</f>
        <v>0</v>
      </c>
      <c r="AC43" s="7" t="n">
        <v>1</v>
      </c>
      <c r="AD43" s="7" t="n">
        <v>0</v>
      </c>
      <c r="AE43" s="11" t="n">
        <f aca="false">SUMIFS('Исходные данные'!$I$2:$I$964,'Исходные данные'!$D$2:$D$964,AE$1,'Исходные данные'!$F$2:$F$964,$A43)</f>
        <v>1</v>
      </c>
      <c r="AF43" s="11" t="n">
        <f aca="false">SUMIFS('Исходные данные'!$J$2:$J$964,'Исходные данные'!$D$2:$D$964,AE$1,'Исходные данные'!$F$2:$F$964,$A43)</f>
        <v>0</v>
      </c>
      <c r="AG43" s="7" t="n">
        <v>0</v>
      </c>
      <c r="AH43" s="7" t="n">
        <v>0</v>
      </c>
      <c r="AI43" s="11" t="n">
        <f aca="false">SUMIFS('Исходные данные'!$I$2:$I$964,'Исходные данные'!$D$2:$D$964,AI$1,'Исходные данные'!$F$2:$F$964,$A43)</f>
        <v>0</v>
      </c>
      <c r="AJ43" s="11" t="n">
        <f aca="false">SUMIFS('Исходные данные'!$J$2:$J$964,'Исходные данные'!$D$2:$D$964,AI$1,'Исходные данные'!$F$2:$F$964,$A43)</f>
        <v>0</v>
      </c>
      <c r="AK43" s="7" t="n">
        <v>0</v>
      </c>
      <c r="AL43" s="7" t="n">
        <v>0</v>
      </c>
      <c r="AM43" s="11" t="n">
        <f aca="false">SUMIFS('Исходные данные'!$I$2:$I$964,'Исходные данные'!$D$2:$D$964,AM$1,'Исходные данные'!$F$2:$F$964,$A43)</f>
        <v>0</v>
      </c>
      <c r="AN43" s="11" t="n">
        <f aca="false">SUMIFS('Исходные данные'!$J$2:$J$964,'Исходные данные'!$D$2:$D$964,AM$1,'Исходные данные'!$F$2:$F$964,$A43)</f>
        <v>0</v>
      </c>
      <c r="AO43" s="7" t="n">
        <v>0</v>
      </c>
      <c r="AP43" s="7" t="n">
        <v>0</v>
      </c>
      <c r="AQ43" s="11" t="n">
        <f aca="false">SUMIFS('Исходные данные'!$I$2:$I$964,'Исходные данные'!$D$2:$D$964,AQ$1,'Исходные данные'!$F$2:$F$964,$A43)</f>
        <v>0</v>
      </c>
      <c r="AR43" s="11" t="n">
        <f aca="false">SUMIFS('Исходные данные'!$J$2:$J$964,'Исходные данные'!$D$2:$D$964,AQ$1,'Исходные данные'!$F$2:$F$964,$A43)</f>
        <v>0</v>
      </c>
      <c r="AS43" s="7" t="n">
        <v>0</v>
      </c>
      <c r="AT43" s="7" t="n">
        <v>0</v>
      </c>
      <c r="AU43" s="11" t="n">
        <f aca="false">SUMIFS('Исходные данные'!$I$2:$I$964,'Исходные данные'!$D$2:$D$964,AU$1,'Исходные данные'!$F$2:$F$964,$A43)</f>
        <v>0</v>
      </c>
      <c r="AV43" s="11" t="n">
        <f aca="false">SUMIFS('Исходные данные'!$J$2:$J$964,'Исходные данные'!$D$2:$D$964,AU$1,'Исходные данные'!$F$2:$F$964,$A43)</f>
        <v>0</v>
      </c>
      <c r="AW43" s="7" t="n">
        <v>0</v>
      </c>
      <c r="AX43" s="7" t="n">
        <v>0</v>
      </c>
      <c r="AY43" s="11" t="n">
        <f aca="false">SUMIFS('Исходные данные'!$I$2:$I$964,'Исходные данные'!$D$2:$D$964,AY$1,'Исходные данные'!$F$2:$F$964,$A43)</f>
        <v>0</v>
      </c>
      <c r="AZ43" s="11" t="n">
        <f aca="false">SUMIFS('Исходные данные'!$J$2:$J$964,'Исходные данные'!$D$2:$D$964,AY$1,'Исходные данные'!$F$2:$F$964,$A43)</f>
        <v>0</v>
      </c>
      <c r="BA43" s="7" t="n">
        <v>0</v>
      </c>
      <c r="BB43" s="7" t="n">
        <v>0</v>
      </c>
      <c r="BC43" s="11" t="n">
        <f aca="false">SUMIFS('Исходные данные'!$I$2:$I$964,'Исходные данные'!$D$2:$D$964,BC$1,'Исходные данные'!$F$2:$F$964,$A43)</f>
        <v>0</v>
      </c>
      <c r="BD43" s="11" t="n">
        <f aca="false">SUMIFS('Исходные данные'!$J$2:$J$964,'Исходные данные'!$D$2:$D$964,BC$1,'Исходные данные'!$F$2:$F$964,$A43)</f>
        <v>0</v>
      </c>
      <c r="BE43" s="7" t="n">
        <v>0</v>
      </c>
      <c r="BF43" s="7" t="n">
        <v>0</v>
      </c>
      <c r="BG43" s="11" t="n">
        <f aca="false">SUMIFS('Исходные данные'!$I$2:$I$964,'Исходные данные'!$D$2:$D$964,BG$1,'Исходные данные'!$F$2:$F$964,$A43)</f>
        <v>0</v>
      </c>
      <c r="BH43" s="11" t="n">
        <f aca="false">SUMIFS('Исходные данные'!$J$2:$J$964,'Исходные данные'!$D$2:$D$964,BG$1,'Исходные данные'!$F$2:$F$964,$A43)</f>
        <v>0</v>
      </c>
      <c r="BI43" s="7" t="n">
        <v>0</v>
      </c>
      <c r="BJ43" s="7" t="n">
        <v>0</v>
      </c>
      <c r="BK43" s="11" t="n">
        <f aca="false">SUMIFS('Исходные данные'!$I$2:$I$964,'Исходные данные'!$D$2:$D$964,BK$1,'Исходные данные'!$F$2:$F$964,$A43)</f>
        <v>0</v>
      </c>
      <c r="BL43" s="11" t="n">
        <f aca="false">SUMIFS('Исходные данные'!$J$2:$J$964,'Исходные данные'!$D$2:$D$964,BK$1,'Исходные данные'!$F$2:$F$964,$A43)</f>
        <v>0</v>
      </c>
      <c r="BM43" s="7" t="n">
        <v>0</v>
      </c>
      <c r="BN43" s="7" t="n">
        <v>0</v>
      </c>
      <c r="BO43" s="11" t="n">
        <f aca="false">SUMIFS('Исходные данные'!$I$2:$I$964,'Исходные данные'!$D$2:$D$964,BO$1,'Исходные данные'!$F$2:$F$964,$A43)</f>
        <v>0</v>
      </c>
      <c r="BP43" s="11" t="n">
        <f aca="false">SUMIFS('Исходные данные'!$J$2:$J$964,'Исходные данные'!$D$2:$D$964,BO$1,'Исходные данные'!$F$2:$F$964,$A43)</f>
        <v>0</v>
      </c>
      <c r="BQ43" s="7" t="n">
        <v>0</v>
      </c>
      <c r="BR43" s="7" t="n">
        <v>0</v>
      </c>
      <c r="BS43" s="11" t="n">
        <f aca="false">SUMIFS('Исходные данные'!$I$2:$I$964,'Исходные данные'!$D$2:$D$964,BS$1,'Исходные данные'!$F$2:$F$964,$A43)</f>
        <v>0</v>
      </c>
      <c r="BT43" s="11" t="n">
        <f aca="false">SUMIFS('Исходные данные'!$J$2:$J$964,'Исходные данные'!$D$2:$D$964,BS$1,'Исходные данные'!$F$2:$F$964,$A43)</f>
        <v>0</v>
      </c>
      <c r="BU43" s="7" t="n">
        <v>0</v>
      </c>
      <c r="BV43" s="7" t="n">
        <v>0</v>
      </c>
      <c r="BW43" s="11" t="n">
        <f aca="false">SUMIFS('Исходные данные'!$I$2:$I$964,'Исходные данные'!$D$2:$D$964,BW$1,'Исходные данные'!$F$2:$F$964,$A43)</f>
        <v>0</v>
      </c>
      <c r="BX43" s="11" t="n">
        <f aca="false">SUMIFS('Исходные данные'!$J$2:$J$964,'Исходные данные'!$D$2:$D$964,BW$1,'Исходные данные'!$F$2:$F$964,$A43)</f>
        <v>0</v>
      </c>
      <c r="BY43" s="7" t="n">
        <v>0</v>
      </c>
      <c r="BZ43" s="7" t="n">
        <v>0</v>
      </c>
      <c r="CA43" s="11" t="n">
        <f aca="false">SUMIFS('Исходные данные'!$I$2:$I$964,'Исходные данные'!$D$2:$D$964,CA$1,'Исходные данные'!$F$2:$F$964,$A43)</f>
        <v>0</v>
      </c>
      <c r="CB43" s="11" t="n">
        <f aca="false">SUMIFS('Исходные данные'!$J$2:$J$964,'Исходные данные'!$D$2:$D$964,CA$1,'Исходные данные'!$F$2:$F$964,$A43)</f>
        <v>0</v>
      </c>
      <c r="CC43" s="7" t="n">
        <v>0</v>
      </c>
      <c r="CD43" s="7" t="n">
        <v>0</v>
      </c>
      <c r="CE43" s="11" t="n">
        <f aca="false">SUMIFS('Исходные данные'!$I$2:$I$964,'Исходные данные'!$D$2:$D$964,CE$1,'Исходные данные'!$F$2:$F$964,$A43)</f>
        <v>0</v>
      </c>
      <c r="CF43" s="11" t="n">
        <f aca="false">SUMIFS('Исходные данные'!$J$2:$J$964,'Исходные данные'!$D$2:$D$964,CE$1,'Исходные данные'!$F$2:$F$964,$A43)</f>
        <v>0</v>
      </c>
      <c r="CG43" s="7" t="n">
        <v>0</v>
      </c>
      <c r="CH43" s="7" t="n">
        <v>0</v>
      </c>
      <c r="CI43" s="11" t="n">
        <f aca="false">SUMIFS('Исходные данные'!$I$2:$I$964,'Исходные данные'!$D$2:$D$964,CI$1,'Исходные данные'!$F$2:$F$964,$A43)</f>
        <v>0</v>
      </c>
      <c r="CJ43" s="11" t="n">
        <f aca="false">SUMIFS('Исходные данные'!$J$2:$J$964,'Исходные данные'!$D$2:$D$964,CI$1,'Исходные данные'!$F$2:$F$964,$A43)</f>
        <v>0</v>
      </c>
      <c r="CK43" s="7" t="n">
        <v>0</v>
      </c>
      <c r="CL43" s="7" t="n">
        <v>0</v>
      </c>
      <c r="CM43" s="11" t="n">
        <f aca="false">SUMIFS('Исходные данные'!$I$2:$I$964,'Исходные данные'!$D$2:$D$964,CM$1,'Исходные данные'!$F$2:$F$964,$A43)</f>
        <v>0</v>
      </c>
      <c r="CN43" s="11" t="n">
        <f aca="false">SUMIFS('Исходные данные'!$J$2:$J$964,'Исходные данные'!$D$2:$D$964,CM$1,'Исходные данные'!$F$2:$F$964,$A43)</f>
        <v>0</v>
      </c>
      <c r="CO43" s="7" t="n">
        <v>0</v>
      </c>
      <c r="CP43" s="7" t="n">
        <v>0</v>
      </c>
      <c r="CQ43" s="11" t="n">
        <f aca="false">SUMIFS('Исходные данные'!$I$2:$I$964,'Исходные данные'!$D$2:$D$964,CQ$1,'Исходные данные'!$F$2:$F$964,$A43)</f>
        <v>0</v>
      </c>
      <c r="CR43" s="11" t="n">
        <f aca="false">SUMIFS('Исходные данные'!$J$2:$J$964,'Исходные данные'!$D$2:$D$964,CQ$1,'Исходные данные'!$F$2:$F$964,$A43)</f>
        <v>0</v>
      </c>
      <c r="CS43" s="7" t="n">
        <v>0</v>
      </c>
      <c r="CT43" s="7" t="n">
        <v>0</v>
      </c>
      <c r="CU43" s="11" t="n">
        <f aca="false">SUMIFS('Исходные данные'!$I$2:$I$964,'Исходные данные'!$D$2:$D$964,CU$1,'Исходные данные'!$F$2:$F$964,$A43)</f>
        <v>0</v>
      </c>
      <c r="CV43" s="11" t="n">
        <f aca="false">SUMIFS('Исходные данные'!$J$2:$J$964,'Исходные данные'!$D$2:$D$964,CU$1,'Исходные данные'!$F$2:$F$964,$A43)</f>
        <v>0</v>
      </c>
      <c r="CW43" s="7" t="n">
        <v>0</v>
      </c>
      <c r="CX43" s="7" t="n">
        <v>0</v>
      </c>
      <c r="CY43" s="11" t="n">
        <f aca="false">SUMIFS('Исходные данные'!$I$2:$I$964,'Исходные данные'!$D$2:$D$964,CY$1,'Исходные данные'!$F$2:$F$964,$A43)</f>
        <v>0</v>
      </c>
      <c r="CZ43" s="11" t="n">
        <f aca="false">SUMIFS('Исходные данные'!$J$2:$J$964,'Исходные данные'!$D$2:$D$964,CY$1,'Исходные данные'!$F$2:$F$964,$A43)</f>
        <v>0</v>
      </c>
      <c r="DA43" s="7" t="n">
        <v>0</v>
      </c>
      <c r="DB43" s="7" t="n">
        <v>0</v>
      </c>
      <c r="DC43" s="11" t="n">
        <f aca="false">SUMIFS('Исходные данные'!$I$2:$I$964,'Исходные данные'!$D$2:$D$964,DC$1,'Исходные данные'!$F$2:$F$964,$A43)</f>
        <v>0</v>
      </c>
      <c r="DD43" s="11" t="n">
        <f aca="false">SUMIFS('Исходные данные'!$J$2:$J$964,'Исходные данные'!$D$2:$D$964,DC$1,'Исходные данные'!$F$2:$F$964,$A43)</f>
        <v>0</v>
      </c>
      <c r="DE43" s="7" t="n">
        <v>0</v>
      </c>
      <c r="DF43" s="7" t="n">
        <v>0</v>
      </c>
      <c r="DG43" s="11" t="n">
        <f aca="false">SUMIFS('Исходные данные'!$I$2:$I$964,'Исходные данные'!$D$2:$D$964,DG$1,'Исходные данные'!$F$2:$F$964,$A43)</f>
        <v>0</v>
      </c>
      <c r="DH43" s="11" t="n">
        <f aca="false">SUMIFS('Исходные данные'!$J$2:$J$964,'Исходные данные'!$D$2:$D$964,DG$1,'Исходные данные'!$F$2:$F$964,$A43)</f>
        <v>0</v>
      </c>
      <c r="DI43" s="7" t="n">
        <v>0</v>
      </c>
      <c r="DJ43" s="7" t="n">
        <v>0</v>
      </c>
      <c r="DK43" s="11" t="n">
        <f aca="false">SUMIFS('Исходные данные'!$I$2:$I$964,'Исходные данные'!$D$2:$D$964,DK$1,'Исходные данные'!$F$2:$F$964,$A43)</f>
        <v>0</v>
      </c>
      <c r="DL43" s="11" t="n">
        <f aca="false">SUMIFS('Исходные данные'!$J$2:$J$964,'Исходные данные'!$D$2:$D$964,DK$1,'Исходные данные'!$F$2:$F$964,$A43)</f>
        <v>0</v>
      </c>
      <c r="DM43" s="7" t="n">
        <v>0</v>
      </c>
      <c r="DN43" s="7" t="n">
        <v>0</v>
      </c>
      <c r="DO43" s="11" t="n">
        <f aca="false">SUMIFS('Исходные данные'!$I$2:$I$964,'Исходные данные'!$D$2:$D$964,DO$1,'Исходные данные'!$F$2:$F$964,$A43)</f>
        <v>0</v>
      </c>
      <c r="DP43" s="11" t="n">
        <f aca="false">SUMIFS('Исходные данные'!$J$2:$J$964,'Исходные данные'!$D$2:$D$964,DO$1,'Исходные данные'!$F$2:$F$964,$A43)</f>
        <v>0</v>
      </c>
      <c r="DQ43" s="7" t="n">
        <v>0</v>
      </c>
      <c r="DR43" s="7" t="n">
        <v>0</v>
      </c>
      <c r="DS43" s="11" t="n">
        <f aca="false">SUMIFS('Исходные данные'!$I$2:$I$964,'Исходные данные'!$D$2:$D$964,DS$1,'Исходные данные'!$F$2:$F$964,$A43)</f>
        <v>0</v>
      </c>
      <c r="DT43" s="11" t="n">
        <f aca="false">SUMIFS('Исходные данные'!$J$2:$J$964,'Исходные данные'!$D$2:$D$964,DS$1,'Исходные данные'!$F$2:$F$964,$A43)</f>
        <v>0</v>
      </c>
      <c r="DU43" s="7" t="n">
        <v>0</v>
      </c>
      <c r="DV43" s="7" t="n">
        <v>0</v>
      </c>
      <c r="DW43" s="11" t="n">
        <f aca="false">SUMIFS('Исходные данные'!$I$2:$I$964,'Исходные данные'!$D$2:$D$964,DW$1,'Исходные данные'!$F$2:$F$964,$A43)</f>
        <v>0</v>
      </c>
      <c r="DX43" s="11" t="n">
        <f aca="false">SUMIFS('Исходные данные'!$J$2:$J$964,'Исходные данные'!$D$2:$D$964,DW$1,'Исходные данные'!$F$2:$F$964,$A43)</f>
        <v>0</v>
      </c>
      <c r="DY43" s="7" t="n">
        <v>0</v>
      </c>
      <c r="DZ43" s="7" t="n">
        <v>0</v>
      </c>
      <c r="EA43" s="11" t="n">
        <f aca="false">SUMIFS('Исходные данные'!$I$2:$I$964,'Исходные данные'!$D$2:$D$964,EA$1,'Исходные данные'!$F$2:$F$964,$A43)</f>
        <v>0</v>
      </c>
      <c r="EB43" s="11" t="n">
        <f aca="false">SUMIFS('Исходные данные'!$J$2:$J$964,'Исходные данные'!$D$2:$D$964,EA$1,'Исходные данные'!$F$2:$F$964,$A43)</f>
        <v>0</v>
      </c>
      <c r="EC43" s="7" t="n">
        <v>0</v>
      </c>
      <c r="ED43" s="7" t="n">
        <v>0</v>
      </c>
      <c r="EE43" s="11" t="n">
        <f aca="false">SUMIFS('Исходные данные'!$I$2:$I$964,'Исходные данные'!$D$2:$D$964,EE$1,'Исходные данные'!$F$2:$F$964,$A43)</f>
        <v>0</v>
      </c>
      <c r="EF43" s="11" t="n">
        <f aca="false">SUMIFS('Исходные данные'!$J$2:$J$964,'Исходные данные'!$D$2:$D$964,EE$1,'Исходные данные'!$F$2:$F$964,$A43)</f>
        <v>0</v>
      </c>
      <c r="EG43" s="7" t="n">
        <v>0</v>
      </c>
      <c r="EH43" s="7" t="n">
        <v>0</v>
      </c>
      <c r="EI43" s="11" t="n">
        <f aca="false">SUMIFS('Исходные данные'!$I$2:$I$964,'Исходные данные'!$D$2:$D$964,EI$1,'Исходные данные'!$F$2:$F$964,$A43)</f>
        <v>0</v>
      </c>
      <c r="EJ43" s="11" t="n">
        <f aca="false">SUMIFS('Исходные данные'!$J$2:$J$964,'Исходные данные'!$D$2:$D$964,EI$1,'Исходные данные'!$F$2:$F$964,$A43)</f>
        <v>0</v>
      </c>
      <c r="EK43" s="7" t="n">
        <v>0</v>
      </c>
      <c r="EL43" s="7" t="n">
        <v>0</v>
      </c>
      <c r="EM43" s="11" t="n">
        <f aca="false">SUMIFS('Исходные данные'!$I$2:$I$964,'Исходные данные'!$D$2:$D$964,EM$1,'Исходные данные'!$F$2:$F$964,$A43)</f>
        <v>0</v>
      </c>
      <c r="EN43" s="11" t="n">
        <f aca="false">SUMIFS('Исходные данные'!$J$2:$J$964,'Исходные данные'!$D$2:$D$964,EM$1,'Исходные данные'!$F$2:$F$964,$A43)</f>
        <v>0</v>
      </c>
      <c r="EO43" s="7" t="n">
        <v>0</v>
      </c>
      <c r="EP43" s="7" t="n">
        <v>0</v>
      </c>
      <c r="EQ43" s="11" t="n">
        <f aca="false">SUMIFS('Исходные данные'!$I$2:$I$964,'Исходные данные'!$D$2:$D$964,EQ$1,'Исходные данные'!$F$2:$F$964,$A43)</f>
        <v>0</v>
      </c>
      <c r="ER43" s="11" t="n">
        <f aca="false">SUMIFS('Исходные данные'!$J$2:$J$964,'Исходные данные'!$D$2:$D$964,EQ$1,'Исходные данные'!$F$2:$F$964,$A43)</f>
        <v>0</v>
      </c>
      <c r="ES43" s="7" t="n">
        <v>0</v>
      </c>
      <c r="ET43" s="7" t="n">
        <v>0</v>
      </c>
      <c r="EU43" s="11" t="n">
        <f aca="false">SUMIFS('Исходные данные'!$I$2:$I$964,'Исходные данные'!$D$2:$D$964,EU$1,'Исходные данные'!$F$2:$F$964,$A43)</f>
        <v>0</v>
      </c>
      <c r="EV43" s="11" t="n">
        <f aca="false">SUMIFS('Исходные данные'!$J$2:$J$964,'Исходные данные'!$D$2:$D$964,EU$1,'Исходные данные'!$F$2:$F$964,$A43)</f>
        <v>0</v>
      </c>
      <c r="EW43" s="7" t="n">
        <v>0</v>
      </c>
      <c r="EX43" s="7" t="n">
        <v>0</v>
      </c>
      <c r="EY43" s="11" t="n">
        <f aca="false">SUMIFS('Исходные данные'!$I$2:$I$964,'Исходные данные'!$D$2:$D$964,EY$1,'Исходные данные'!$F$2:$F$964,$A43)</f>
        <v>0</v>
      </c>
      <c r="EZ43" s="11" t="n">
        <f aca="false">SUMIFS('Исходные данные'!$J$2:$J$964,'Исходные данные'!$D$2:$D$964,EY$1,'Исходные данные'!$F$2:$F$964,$A43)</f>
        <v>0</v>
      </c>
      <c r="FA43" s="7" t="n">
        <v>0</v>
      </c>
      <c r="FB43" s="7" t="n">
        <v>0</v>
      </c>
      <c r="FC43" s="11" t="n">
        <f aca="false">SUMIFS('Исходные данные'!$I$2:$I$964,'Исходные данные'!$D$2:$D$964,FC$1,'Исходные данные'!$F$2:$F$964,$A43)</f>
        <v>0</v>
      </c>
      <c r="FD43" s="11" t="n">
        <f aca="false">SUMIFS('Исходные данные'!$J$2:$J$964,'Исходные данные'!$D$2:$D$964,FC$1,'Исходные данные'!$F$2:$F$964,$A43)</f>
        <v>0</v>
      </c>
      <c r="FE43" s="7" t="n">
        <v>0</v>
      </c>
      <c r="FF43" s="7" t="n">
        <v>0</v>
      </c>
      <c r="FG43" s="11" t="n">
        <f aca="false">SUMIFS('Исходные данные'!$I$2:$I$964,'Исходные данные'!$D$2:$D$964,FG$1,'Исходные данные'!$F$2:$F$964,$A43)</f>
        <v>0</v>
      </c>
      <c r="FH43" s="11" t="n">
        <f aca="false">SUMIFS('Исходные данные'!$J$2:$J$964,'Исходные данные'!$D$2:$D$964,FG$1,'Исходные данные'!$F$2:$F$964,$A43)</f>
        <v>0</v>
      </c>
    </row>
    <row r="44" customFormat="false" ht="15" hidden="false" customHeight="false" outlineLevel="0" collapsed="false">
      <c r="A44" s="10" t="s">
        <v>131</v>
      </c>
      <c r="B44" s="11" t="s">
        <v>132</v>
      </c>
      <c r="C44" s="6" t="n">
        <v>4</v>
      </c>
      <c r="D44" s="6" t="n">
        <f aca="false">I44+J44+M44+N44+Q44+R44+U44+V44+Y44+Z44+AC44+AD44+AG44+AH44+AK44+AL44+AO44+AP44+AS44+AT44+AW44+AX44+BA44+BB44+BE44+BF44+BI44+BJ44+BM44+BN44+BQ44+BR44+BU44+BV44+BY44+BZ44+CC44+CD44+CG44+CH44+CK44+CL44+CO44+CP44+CS44+CT44+CW44+CX44+DA44+DB44+DE44+DF44+DI44+DJ44+DM44+DN44+DQ44+DR44+DU44+DV44+DY44+DZ44+EC44+ED44+EG44+EH44+EK44+EL44+EO44+EP44+ES44+ET44+EW44+EX44+FA44+FB44+FE44+FF44</f>
        <v>4</v>
      </c>
      <c r="E44" s="6" t="n">
        <f aca="false">G44+H44</f>
        <v>3</v>
      </c>
      <c r="F44" s="6" t="n">
        <f aca="false">E44-C44</f>
        <v>-1</v>
      </c>
      <c r="G44" s="6" t="n">
        <f aca="false">K44+O44+S44+W44+AA44+AE44+AI44+AM44+AQ44+AU44+AY44+BC44+BG44+BK44+BO44+BS44+BW44+CA44+CE44+CI44+CM44+CQ44+CU44+CY44+DC44+DG44+DK44+DO44+DS44+DW44+EA44+EE44+EI44+EM44+EQ44+EU44+EY44+FC44+FG44</f>
        <v>2</v>
      </c>
      <c r="H44" s="6" t="n">
        <f aca="false">L44+P44+T44+X44+AB44+AF44+AJ44+AN44+AR44+AV44+AZ44+BD44+BH44+BL44+BP44+BT44+BX44+CB44+CF44+CJ44+CN44+CR44+CV44+CZ44+DD44+DH44+DL44+DP44+DT44+DX44+EB44+EF44+EJ44+EN44+ER44+EV44+EZ44+FD44+FH44</f>
        <v>1</v>
      </c>
      <c r="I44" s="7" t="n">
        <v>0</v>
      </c>
      <c r="J44" s="7" t="n">
        <v>0</v>
      </c>
      <c r="K44" s="11" t="n">
        <f aca="false">SUMIFS('Исходные данные'!$I$2:$I$964,'Исходные данные'!$D$2:$D$964,K$1,'Исходные данные'!$F$2:$F$964,$A44)</f>
        <v>0</v>
      </c>
      <c r="L44" s="11" t="n">
        <f aca="false">SUMIFS('Исходные данные'!$J$2:$J$964,'Исходные данные'!$D$2:$D$964,K$1,'Исходные данные'!$F$2:$F$964,$A44)</f>
        <v>0</v>
      </c>
      <c r="M44" s="7" t="n">
        <v>0</v>
      </c>
      <c r="N44" s="7" t="n">
        <v>0</v>
      </c>
      <c r="O44" s="11" t="n">
        <f aca="false">SUMIFS('Исходные данные'!$I$2:$I$964,'Исходные данные'!$D$2:$D$964,O$1,'Исходные данные'!$F$2:$F$964,$A44)</f>
        <v>0</v>
      </c>
      <c r="P44" s="11" t="n">
        <f aca="false">SUMIFS('Исходные данные'!$J$2:$J$964,'Исходные данные'!$D$2:$D$964,O$1,'Исходные данные'!$F$2:$F$964,$A44)</f>
        <v>0</v>
      </c>
      <c r="Q44" s="7" t="n">
        <v>0</v>
      </c>
      <c r="R44" s="7" t="n">
        <v>0</v>
      </c>
      <c r="S44" s="11" t="n">
        <f aca="false">SUMIFS('Исходные данные'!$I$2:$I$964,'Исходные данные'!$D$2:$D$964,S$1,'Исходные данные'!$F$2:$F$964,$A44)</f>
        <v>0</v>
      </c>
      <c r="T44" s="11" t="n">
        <f aca="false">SUMIFS('Исходные данные'!$J$2:$J$964,'Исходные данные'!$D$2:$D$964,S$1,'Исходные данные'!$F$2:$F$964,$A44)</f>
        <v>0</v>
      </c>
      <c r="U44" s="7" t="n">
        <v>0</v>
      </c>
      <c r="V44" s="7" t="n">
        <v>0</v>
      </c>
      <c r="W44" s="11" t="n">
        <f aca="false">SUMIFS('Исходные данные'!$I$2:$I$964,'Исходные данные'!$D$2:$D$964,W$1,'Исходные данные'!$F$2:$F$964,$A44)</f>
        <v>0</v>
      </c>
      <c r="X44" s="11" t="n">
        <f aca="false">SUMIFS('Исходные данные'!$J$2:$J$964,'Исходные данные'!$D$2:$D$964,W$1,'Исходные данные'!$F$2:$F$964,$A44)</f>
        <v>0</v>
      </c>
      <c r="Y44" s="7" t="n">
        <v>0</v>
      </c>
      <c r="Z44" s="7" t="n">
        <v>0</v>
      </c>
      <c r="AA44" s="11" t="n">
        <f aca="false">SUMIFS('Исходные данные'!$I$2:$I$964,'Исходные данные'!$D$2:$D$964,AA$1,'Исходные данные'!$F$2:$F$964,$A44)</f>
        <v>0</v>
      </c>
      <c r="AB44" s="11" t="n">
        <f aca="false">SUMIFS('Исходные данные'!$J$2:$J$964,'Исходные данные'!$D$2:$D$964,AA$1,'Исходные данные'!$F$2:$F$964,$A44)</f>
        <v>0</v>
      </c>
      <c r="AC44" s="7" t="n">
        <v>0</v>
      </c>
      <c r="AD44" s="7" t="n">
        <v>0</v>
      </c>
      <c r="AE44" s="11" t="n">
        <f aca="false">SUMIFS('Исходные данные'!$I$2:$I$964,'Исходные данные'!$D$2:$D$964,AE$1,'Исходные данные'!$F$2:$F$964,$A44)</f>
        <v>0</v>
      </c>
      <c r="AF44" s="11" t="n">
        <f aca="false">SUMIFS('Исходные данные'!$J$2:$J$964,'Исходные данные'!$D$2:$D$964,AE$1,'Исходные данные'!$F$2:$F$964,$A44)</f>
        <v>0</v>
      </c>
      <c r="AG44" s="7" t="n">
        <v>0</v>
      </c>
      <c r="AH44" s="7" t="n">
        <v>0</v>
      </c>
      <c r="AI44" s="11" t="n">
        <f aca="false">SUMIFS('Исходные данные'!$I$2:$I$964,'Исходные данные'!$D$2:$D$964,AI$1,'Исходные данные'!$F$2:$F$964,$A44)</f>
        <v>0</v>
      </c>
      <c r="AJ44" s="11" t="n">
        <f aca="false">SUMIFS('Исходные данные'!$J$2:$J$964,'Исходные данные'!$D$2:$D$964,AI$1,'Исходные данные'!$F$2:$F$964,$A44)</f>
        <v>0</v>
      </c>
      <c r="AK44" s="7" t="n">
        <v>0</v>
      </c>
      <c r="AL44" s="7" t="n">
        <v>0</v>
      </c>
      <c r="AM44" s="11" t="n">
        <f aca="false">SUMIFS('Исходные данные'!$I$2:$I$964,'Исходные данные'!$D$2:$D$964,AM$1,'Исходные данные'!$F$2:$F$964,$A44)</f>
        <v>0</v>
      </c>
      <c r="AN44" s="11" t="n">
        <f aca="false">SUMIFS('Исходные данные'!$J$2:$J$964,'Исходные данные'!$D$2:$D$964,AM$1,'Исходные данные'!$F$2:$F$964,$A44)</f>
        <v>0</v>
      </c>
      <c r="AO44" s="7" t="n">
        <v>0</v>
      </c>
      <c r="AP44" s="7" t="n">
        <v>0</v>
      </c>
      <c r="AQ44" s="11" t="n">
        <f aca="false">SUMIFS('Исходные данные'!$I$2:$I$964,'Исходные данные'!$D$2:$D$964,AQ$1,'Исходные данные'!$F$2:$F$964,$A44)</f>
        <v>0</v>
      </c>
      <c r="AR44" s="11" t="n">
        <f aca="false">SUMIFS('Исходные данные'!$J$2:$J$964,'Исходные данные'!$D$2:$D$964,AQ$1,'Исходные данные'!$F$2:$F$964,$A44)</f>
        <v>0</v>
      </c>
      <c r="AS44" s="7" t="n">
        <v>0</v>
      </c>
      <c r="AT44" s="7" t="n">
        <v>0</v>
      </c>
      <c r="AU44" s="11" t="n">
        <f aca="false">SUMIFS('Исходные данные'!$I$2:$I$964,'Исходные данные'!$D$2:$D$964,AU$1,'Исходные данные'!$F$2:$F$964,$A44)</f>
        <v>0</v>
      </c>
      <c r="AV44" s="11" t="n">
        <f aca="false">SUMIFS('Исходные данные'!$J$2:$J$964,'Исходные данные'!$D$2:$D$964,AU$1,'Исходные данные'!$F$2:$F$964,$A44)</f>
        <v>0</v>
      </c>
      <c r="AW44" s="7" t="n">
        <v>0</v>
      </c>
      <c r="AX44" s="7" t="n">
        <v>0</v>
      </c>
      <c r="AY44" s="11" t="n">
        <f aca="false">SUMIFS('Исходные данные'!$I$2:$I$964,'Исходные данные'!$D$2:$D$964,AY$1,'Исходные данные'!$F$2:$F$964,$A44)</f>
        <v>0</v>
      </c>
      <c r="AZ44" s="11" t="n">
        <f aca="false">SUMIFS('Исходные данные'!$J$2:$J$964,'Исходные данные'!$D$2:$D$964,AY$1,'Исходные данные'!$F$2:$F$964,$A44)</f>
        <v>0</v>
      </c>
      <c r="BA44" s="7" t="n">
        <v>0</v>
      </c>
      <c r="BB44" s="7" t="n">
        <v>0</v>
      </c>
      <c r="BC44" s="11" t="n">
        <f aca="false">SUMIFS('Исходные данные'!$I$2:$I$964,'Исходные данные'!$D$2:$D$964,BC$1,'Исходные данные'!$F$2:$F$964,$A44)</f>
        <v>0</v>
      </c>
      <c r="BD44" s="11" t="n">
        <f aca="false">SUMIFS('Исходные данные'!$J$2:$J$964,'Исходные данные'!$D$2:$D$964,BC$1,'Исходные данные'!$F$2:$F$964,$A44)</f>
        <v>0</v>
      </c>
      <c r="BE44" s="7" t="n">
        <v>0</v>
      </c>
      <c r="BF44" s="7" t="n">
        <v>0</v>
      </c>
      <c r="BG44" s="11" t="n">
        <f aca="false">SUMIFS('Исходные данные'!$I$2:$I$964,'Исходные данные'!$D$2:$D$964,BG$1,'Исходные данные'!$F$2:$F$964,$A44)</f>
        <v>0</v>
      </c>
      <c r="BH44" s="11" t="n">
        <f aca="false">SUMIFS('Исходные данные'!$J$2:$J$964,'Исходные данные'!$D$2:$D$964,BG$1,'Исходные данные'!$F$2:$F$964,$A44)</f>
        <v>0</v>
      </c>
      <c r="BI44" s="7" t="n">
        <v>0</v>
      </c>
      <c r="BJ44" s="7" t="n">
        <v>0</v>
      </c>
      <c r="BK44" s="11" t="n">
        <f aca="false">SUMIFS('Исходные данные'!$I$2:$I$964,'Исходные данные'!$D$2:$D$964,BK$1,'Исходные данные'!$F$2:$F$964,$A44)</f>
        <v>0</v>
      </c>
      <c r="BL44" s="11" t="n">
        <f aca="false">SUMIFS('Исходные данные'!$J$2:$J$964,'Исходные данные'!$D$2:$D$964,BK$1,'Исходные данные'!$F$2:$F$964,$A44)</f>
        <v>0</v>
      </c>
      <c r="BM44" s="7" t="n">
        <v>0</v>
      </c>
      <c r="BN44" s="7" t="n">
        <v>0</v>
      </c>
      <c r="BO44" s="11" t="n">
        <f aca="false">SUMIFS('Исходные данные'!$I$2:$I$964,'Исходные данные'!$D$2:$D$964,BO$1,'Исходные данные'!$F$2:$F$964,$A44)</f>
        <v>0</v>
      </c>
      <c r="BP44" s="11" t="n">
        <f aca="false">SUMIFS('Исходные данные'!$J$2:$J$964,'Исходные данные'!$D$2:$D$964,BO$1,'Исходные данные'!$F$2:$F$964,$A44)</f>
        <v>0</v>
      </c>
      <c r="BQ44" s="7" t="n">
        <v>0</v>
      </c>
      <c r="BR44" s="7" t="n">
        <v>0</v>
      </c>
      <c r="BS44" s="11" t="n">
        <f aca="false">SUMIFS('Исходные данные'!$I$2:$I$964,'Исходные данные'!$D$2:$D$964,BS$1,'Исходные данные'!$F$2:$F$964,$A44)</f>
        <v>0</v>
      </c>
      <c r="BT44" s="11" t="n">
        <f aca="false">SUMIFS('Исходные данные'!$J$2:$J$964,'Исходные данные'!$D$2:$D$964,BS$1,'Исходные данные'!$F$2:$F$964,$A44)</f>
        <v>0</v>
      </c>
      <c r="BU44" s="7" t="n">
        <v>0</v>
      </c>
      <c r="BV44" s="7" t="n">
        <v>0</v>
      </c>
      <c r="BW44" s="11" t="n">
        <f aca="false">SUMIFS('Исходные данные'!$I$2:$I$964,'Исходные данные'!$D$2:$D$964,BW$1,'Исходные данные'!$F$2:$F$964,$A44)</f>
        <v>0</v>
      </c>
      <c r="BX44" s="11" t="n">
        <f aca="false">SUMIFS('Исходные данные'!$J$2:$J$964,'Исходные данные'!$D$2:$D$964,BW$1,'Исходные данные'!$F$2:$F$964,$A44)</f>
        <v>0</v>
      </c>
      <c r="BY44" s="7" t="n">
        <v>0</v>
      </c>
      <c r="BZ44" s="7" t="n">
        <v>0</v>
      </c>
      <c r="CA44" s="11" t="n">
        <f aca="false">SUMIFS('Исходные данные'!$I$2:$I$964,'Исходные данные'!$D$2:$D$964,CA$1,'Исходные данные'!$F$2:$F$964,$A44)</f>
        <v>0</v>
      </c>
      <c r="CB44" s="11" t="n">
        <f aca="false">SUMIFS('Исходные данные'!$J$2:$J$964,'Исходные данные'!$D$2:$D$964,CA$1,'Исходные данные'!$F$2:$F$964,$A44)</f>
        <v>0</v>
      </c>
      <c r="CC44" s="7" t="n">
        <v>0</v>
      </c>
      <c r="CD44" s="7" t="n">
        <v>0</v>
      </c>
      <c r="CE44" s="11" t="n">
        <f aca="false">SUMIFS('Исходные данные'!$I$2:$I$964,'Исходные данные'!$D$2:$D$964,CE$1,'Исходные данные'!$F$2:$F$964,$A44)</f>
        <v>0</v>
      </c>
      <c r="CF44" s="11" t="n">
        <f aca="false">SUMIFS('Исходные данные'!$J$2:$J$964,'Исходные данные'!$D$2:$D$964,CE$1,'Исходные данные'!$F$2:$F$964,$A44)</f>
        <v>0</v>
      </c>
      <c r="CG44" s="7" t="n">
        <v>0</v>
      </c>
      <c r="CH44" s="7" t="n">
        <v>0</v>
      </c>
      <c r="CI44" s="11" t="n">
        <f aca="false">SUMIFS('Исходные данные'!$I$2:$I$964,'Исходные данные'!$D$2:$D$964,CI$1,'Исходные данные'!$F$2:$F$964,$A44)</f>
        <v>0</v>
      </c>
      <c r="CJ44" s="11" t="n">
        <f aca="false">SUMIFS('Исходные данные'!$J$2:$J$964,'Исходные данные'!$D$2:$D$964,CI$1,'Исходные данные'!$F$2:$F$964,$A44)</f>
        <v>0</v>
      </c>
      <c r="CK44" s="7" t="n">
        <v>0</v>
      </c>
      <c r="CL44" s="7" t="n">
        <v>0</v>
      </c>
      <c r="CM44" s="11" t="n">
        <f aca="false">SUMIFS('Исходные данные'!$I$2:$I$964,'Исходные данные'!$D$2:$D$964,CM$1,'Исходные данные'!$F$2:$F$964,$A44)</f>
        <v>0</v>
      </c>
      <c r="CN44" s="11" t="n">
        <f aca="false">SUMIFS('Исходные данные'!$J$2:$J$964,'Исходные данные'!$D$2:$D$964,CM$1,'Исходные данные'!$F$2:$F$964,$A44)</f>
        <v>0</v>
      </c>
      <c r="CO44" s="7" t="n">
        <v>3</v>
      </c>
      <c r="CP44" s="7" t="n">
        <v>1</v>
      </c>
      <c r="CQ44" s="11" t="n">
        <f aca="false">SUMIFS('Исходные данные'!$I$2:$I$964,'Исходные данные'!$D$2:$D$964,CQ$1,'Исходные данные'!$F$2:$F$964,$A44)</f>
        <v>2</v>
      </c>
      <c r="CR44" s="11" t="n">
        <f aca="false">SUMIFS('Исходные данные'!$J$2:$J$964,'Исходные данные'!$D$2:$D$964,CQ$1,'Исходные данные'!$F$2:$F$964,$A44)</f>
        <v>1</v>
      </c>
      <c r="CS44" s="7" t="n">
        <v>0</v>
      </c>
      <c r="CT44" s="7" t="n">
        <v>0</v>
      </c>
      <c r="CU44" s="11" t="n">
        <f aca="false">SUMIFS('Исходные данные'!$I$2:$I$964,'Исходные данные'!$D$2:$D$964,CU$1,'Исходные данные'!$F$2:$F$964,$A44)</f>
        <v>0</v>
      </c>
      <c r="CV44" s="11" t="n">
        <f aca="false">SUMIFS('Исходные данные'!$J$2:$J$964,'Исходные данные'!$D$2:$D$964,CU$1,'Исходные данные'!$F$2:$F$964,$A44)</f>
        <v>0</v>
      </c>
      <c r="CW44" s="7" t="n">
        <v>0</v>
      </c>
      <c r="CX44" s="7" t="n">
        <v>0</v>
      </c>
      <c r="CY44" s="11" t="n">
        <f aca="false">SUMIFS('Исходные данные'!$I$2:$I$964,'Исходные данные'!$D$2:$D$964,CY$1,'Исходные данные'!$F$2:$F$964,$A44)</f>
        <v>0</v>
      </c>
      <c r="CZ44" s="11" t="n">
        <f aca="false">SUMIFS('Исходные данные'!$J$2:$J$964,'Исходные данные'!$D$2:$D$964,CY$1,'Исходные данные'!$F$2:$F$964,$A44)</f>
        <v>0</v>
      </c>
      <c r="DA44" s="7" t="n">
        <v>0</v>
      </c>
      <c r="DB44" s="7" t="n">
        <v>0</v>
      </c>
      <c r="DC44" s="11" t="n">
        <f aca="false">SUMIFS('Исходные данные'!$I$2:$I$964,'Исходные данные'!$D$2:$D$964,DC$1,'Исходные данные'!$F$2:$F$964,$A44)</f>
        <v>0</v>
      </c>
      <c r="DD44" s="11" t="n">
        <f aca="false">SUMIFS('Исходные данные'!$J$2:$J$964,'Исходные данные'!$D$2:$D$964,DC$1,'Исходные данные'!$F$2:$F$964,$A44)</f>
        <v>0</v>
      </c>
      <c r="DE44" s="7" t="n">
        <v>0</v>
      </c>
      <c r="DF44" s="7" t="n">
        <v>0</v>
      </c>
      <c r="DG44" s="11" t="n">
        <f aca="false">SUMIFS('Исходные данные'!$I$2:$I$964,'Исходные данные'!$D$2:$D$964,DG$1,'Исходные данные'!$F$2:$F$964,$A44)</f>
        <v>0</v>
      </c>
      <c r="DH44" s="11" t="n">
        <f aca="false">SUMIFS('Исходные данные'!$J$2:$J$964,'Исходные данные'!$D$2:$D$964,DG$1,'Исходные данные'!$F$2:$F$964,$A44)</f>
        <v>0</v>
      </c>
      <c r="DI44" s="7" t="n">
        <v>0</v>
      </c>
      <c r="DJ44" s="7" t="n">
        <v>0</v>
      </c>
      <c r="DK44" s="11" t="n">
        <f aca="false">SUMIFS('Исходные данные'!$I$2:$I$964,'Исходные данные'!$D$2:$D$964,DK$1,'Исходные данные'!$F$2:$F$964,$A44)</f>
        <v>0</v>
      </c>
      <c r="DL44" s="11" t="n">
        <f aca="false">SUMIFS('Исходные данные'!$J$2:$J$964,'Исходные данные'!$D$2:$D$964,DK$1,'Исходные данные'!$F$2:$F$964,$A44)</f>
        <v>0</v>
      </c>
      <c r="DM44" s="7" t="n">
        <v>0</v>
      </c>
      <c r="DN44" s="7" t="n">
        <v>0</v>
      </c>
      <c r="DO44" s="11" t="n">
        <f aca="false">SUMIFS('Исходные данные'!$I$2:$I$964,'Исходные данные'!$D$2:$D$964,DO$1,'Исходные данные'!$F$2:$F$964,$A44)</f>
        <v>0</v>
      </c>
      <c r="DP44" s="11" t="n">
        <f aca="false">SUMIFS('Исходные данные'!$J$2:$J$964,'Исходные данные'!$D$2:$D$964,DO$1,'Исходные данные'!$F$2:$F$964,$A44)</f>
        <v>0</v>
      </c>
      <c r="DQ44" s="7" t="n">
        <v>0</v>
      </c>
      <c r="DR44" s="7" t="n">
        <v>0</v>
      </c>
      <c r="DS44" s="11" t="n">
        <f aca="false">SUMIFS('Исходные данные'!$I$2:$I$964,'Исходные данные'!$D$2:$D$964,DS$1,'Исходные данные'!$F$2:$F$964,$A44)</f>
        <v>0</v>
      </c>
      <c r="DT44" s="11" t="n">
        <f aca="false">SUMIFS('Исходные данные'!$J$2:$J$964,'Исходные данные'!$D$2:$D$964,DS$1,'Исходные данные'!$F$2:$F$964,$A44)</f>
        <v>0</v>
      </c>
      <c r="DU44" s="7" t="n">
        <v>0</v>
      </c>
      <c r="DV44" s="7" t="n">
        <v>0</v>
      </c>
      <c r="DW44" s="11" t="n">
        <f aca="false">SUMIFS('Исходные данные'!$I$2:$I$964,'Исходные данные'!$D$2:$D$964,DW$1,'Исходные данные'!$F$2:$F$964,$A44)</f>
        <v>0</v>
      </c>
      <c r="DX44" s="11" t="n">
        <f aca="false">SUMIFS('Исходные данные'!$J$2:$J$964,'Исходные данные'!$D$2:$D$964,DW$1,'Исходные данные'!$F$2:$F$964,$A44)</f>
        <v>0</v>
      </c>
      <c r="DY44" s="7" t="n">
        <v>0</v>
      </c>
      <c r="DZ44" s="7" t="n">
        <v>0</v>
      </c>
      <c r="EA44" s="11" t="n">
        <f aca="false">SUMIFS('Исходные данные'!$I$2:$I$964,'Исходные данные'!$D$2:$D$964,EA$1,'Исходные данные'!$F$2:$F$964,$A44)</f>
        <v>0</v>
      </c>
      <c r="EB44" s="11" t="n">
        <f aca="false">SUMIFS('Исходные данные'!$J$2:$J$964,'Исходные данные'!$D$2:$D$964,EA$1,'Исходные данные'!$F$2:$F$964,$A44)</f>
        <v>0</v>
      </c>
      <c r="EC44" s="7" t="n">
        <v>0</v>
      </c>
      <c r="ED44" s="7" t="n">
        <v>0</v>
      </c>
      <c r="EE44" s="11" t="n">
        <f aca="false">SUMIFS('Исходные данные'!$I$2:$I$964,'Исходные данные'!$D$2:$D$964,EE$1,'Исходные данные'!$F$2:$F$964,$A44)</f>
        <v>0</v>
      </c>
      <c r="EF44" s="11" t="n">
        <f aca="false">SUMIFS('Исходные данные'!$J$2:$J$964,'Исходные данные'!$D$2:$D$964,EE$1,'Исходные данные'!$F$2:$F$964,$A44)</f>
        <v>0</v>
      </c>
      <c r="EG44" s="7" t="n">
        <v>0</v>
      </c>
      <c r="EH44" s="7" t="n">
        <v>0</v>
      </c>
      <c r="EI44" s="11" t="n">
        <f aca="false">SUMIFS('Исходные данные'!$I$2:$I$964,'Исходные данные'!$D$2:$D$964,EI$1,'Исходные данные'!$F$2:$F$964,$A44)</f>
        <v>0</v>
      </c>
      <c r="EJ44" s="11" t="n">
        <f aca="false">SUMIFS('Исходные данные'!$J$2:$J$964,'Исходные данные'!$D$2:$D$964,EI$1,'Исходные данные'!$F$2:$F$964,$A44)</f>
        <v>0</v>
      </c>
      <c r="EK44" s="7" t="n">
        <v>0</v>
      </c>
      <c r="EL44" s="7" t="n">
        <v>0</v>
      </c>
      <c r="EM44" s="11" t="n">
        <f aca="false">SUMIFS('Исходные данные'!$I$2:$I$964,'Исходные данные'!$D$2:$D$964,EM$1,'Исходные данные'!$F$2:$F$964,$A44)</f>
        <v>0</v>
      </c>
      <c r="EN44" s="11" t="n">
        <f aca="false">SUMIFS('Исходные данные'!$J$2:$J$964,'Исходные данные'!$D$2:$D$964,EM$1,'Исходные данные'!$F$2:$F$964,$A44)</f>
        <v>0</v>
      </c>
      <c r="EO44" s="7" t="n">
        <v>0</v>
      </c>
      <c r="EP44" s="7" t="n">
        <v>0</v>
      </c>
      <c r="EQ44" s="11" t="n">
        <f aca="false">SUMIFS('Исходные данные'!$I$2:$I$964,'Исходные данные'!$D$2:$D$964,EQ$1,'Исходные данные'!$F$2:$F$964,$A44)</f>
        <v>0</v>
      </c>
      <c r="ER44" s="11" t="n">
        <f aca="false">SUMIFS('Исходные данные'!$J$2:$J$964,'Исходные данные'!$D$2:$D$964,EQ$1,'Исходные данные'!$F$2:$F$964,$A44)</f>
        <v>0</v>
      </c>
      <c r="ES44" s="7" t="n">
        <v>0</v>
      </c>
      <c r="ET44" s="7" t="n">
        <v>0</v>
      </c>
      <c r="EU44" s="11" t="n">
        <f aca="false">SUMIFS('Исходные данные'!$I$2:$I$964,'Исходные данные'!$D$2:$D$964,EU$1,'Исходные данные'!$F$2:$F$964,$A44)</f>
        <v>0</v>
      </c>
      <c r="EV44" s="11" t="n">
        <f aca="false">SUMIFS('Исходные данные'!$J$2:$J$964,'Исходные данные'!$D$2:$D$964,EU$1,'Исходные данные'!$F$2:$F$964,$A44)</f>
        <v>0</v>
      </c>
      <c r="EW44" s="7" t="n">
        <v>0</v>
      </c>
      <c r="EX44" s="7" t="n">
        <v>0</v>
      </c>
      <c r="EY44" s="11" t="n">
        <f aca="false">SUMIFS('Исходные данные'!$I$2:$I$964,'Исходные данные'!$D$2:$D$964,EY$1,'Исходные данные'!$F$2:$F$964,$A44)</f>
        <v>0</v>
      </c>
      <c r="EZ44" s="11" t="n">
        <f aca="false">SUMIFS('Исходные данные'!$J$2:$J$964,'Исходные данные'!$D$2:$D$964,EY$1,'Исходные данные'!$F$2:$F$964,$A44)</f>
        <v>0</v>
      </c>
      <c r="FA44" s="7" t="n">
        <v>0</v>
      </c>
      <c r="FB44" s="7" t="n">
        <v>0</v>
      </c>
      <c r="FC44" s="11" t="n">
        <f aca="false">SUMIFS('Исходные данные'!$I$2:$I$964,'Исходные данные'!$D$2:$D$964,FC$1,'Исходные данные'!$F$2:$F$964,$A44)</f>
        <v>0</v>
      </c>
      <c r="FD44" s="11" t="n">
        <f aca="false">SUMIFS('Исходные данные'!$J$2:$J$964,'Исходные данные'!$D$2:$D$964,FC$1,'Исходные данные'!$F$2:$F$964,$A44)</f>
        <v>0</v>
      </c>
      <c r="FE44" s="7" t="n">
        <v>0</v>
      </c>
      <c r="FF44" s="7" t="n">
        <v>0</v>
      </c>
      <c r="FG44" s="11" t="n">
        <f aca="false">SUMIFS('Исходные данные'!$I$2:$I$964,'Исходные данные'!$D$2:$D$964,FG$1,'Исходные данные'!$F$2:$F$964,$A44)</f>
        <v>0</v>
      </c>
      <c r="FH44" s="11" t="n">
        <f aca="false">SUMIFS('Исходные данные'!$J$2:$J$964,'Исходные данные'!$D$2:$D$964,FG$1,'Исходные данные'!$F$2:$F$964,$A44)</f>
        <v>0</v>
      </c>
    </row>
    <row r="45" customFormat="false" ht="15" hidden="false" customHeight="false" outlineLevel="0" collapsed="false">
      <c r="A45" s="10" t="s">
        <v>133</v>
      </c>
      <c r="B45" s="11" t="s">
        <v>134</v>
      </c>
      <c r="C45" s="6" t="n">
        <v>2</v>
      </c>
      <c r="D45" s="6" t="n">
        <f aca="false">I45+J45+M45+N45+Q45+R45+U45+V45+Y45+Z45+AC45+AD45+AG45+AH45+AK45+AL45+AO45+AP45+AS45+AT45+AW45+AX45+BA45+BB45+BE45+BF45+BI45+BJ45+BM45+BN45+BQ45+BR45+BU45+BV45+BY45+BZ45+CC45+CD45+CG45+CH45+CK45+CL45+CO45+CP45+CS45+CT45+CW45+CX45+DA45+DB45+DE45+DF45+DI45+DJ45+DM45+DN45+DQ45+DR45+DU45+DV45+DY45+DZ45+EC45+ED45+EG45+EH45+EK45+EL45+EO45+EP45+ES45+ET45+EW45+EX45+FA45+FB45+FE45+FF45</f>
        <v>2</v>
      </c>
      <c r="E45" s="6" t="n">
        <f aca="false">G45+H45</f>
        <v>2</v>
      </c>
      <c r="F45" s="6" t="n">
        <f aca="false">E45-C45</f>
        <v>0</v>
      </c>
      <c r="G45" s="6" t="n">
        <f aca="false">K45+O45+S45+W45+AA45+AE45+AI45+AM45+AQ45+AU45+AY45+BC45+BG45+BK45+BO45+BS45+BW45+CA45+CE45+CI45+CM45+CQ45+CU45+CY45+DC45+DG45+DK45+DO45+DS45+DW45+EA45+EE45+EI45+EM45+EQ45+EU45+EY45+FC45+FG45</f>
        <v>2</v>
      </c>
      <c r="H45" s="6" t="n">
        <f aca="false">L45+P45+T45+X45+AB45+AF45+AJ45+AN45+AR45+AV45+AZ45+BD45+BH45+BL45+BP45+BT45+BX45+CB45+CF45+CJ45+CN45+CR45+CV45+CZ45+DD45+DH45+DL45+DP45+DT45+DX45+EB45+EF45+EJ45+EN45+ER45+EV45+EZ45+FD45+FH45</f>
        <v>0</v>
      </c>
      <c r="I45" s="7" t="n">
        <v>0</v>
      </c>
      <c r="J45" s="7" t="n">
        <v>0</v>
      </c>
      <c r="K45" s="11" t="n">
        <f aca="false">SUMIFS('Исходные данные'!$I$2:$I$964,'Исходные данные'!$D$2:$D$964,K$1,'Исходные данные'!$F$2:$F$964,$A45)</f>
        <v>0</v>
      </c>
      <c r="L45" s="11" t="n">
        <f aca="false">SUMIFS('Исходные данные'!$J$2:$J$964,'Исходные данные'!$D$2:$D$964,K$1,'Исходные данные'!$F$2:$F$964,$A45)</f>
        <v>0</v>
      </c>
      <c r="M45" s="7" t="n">
        <v>0</v>
      </c>
      <c r="N45" s="7" t="n">
        <v>0</v>
      </c>
      <c r="O45" s="11" t="n">
        <f aca="false">SUMIFS('Исходные данные'!$I$2:$I$964,'Исходные данные'!$D$2:$D$964,O$1,'Исходные данные'!$F$2:$F$964,$A45)</f>
        <v>0</v>
      </c>
      <c r="P45" s="11" t="n">
        <f aca="false">SUMIFS('Исходные данные'!$J$2:$J$964,'Исходные данные'!$D$2:$D$964,O$1,'Исходные данные'!$F$2:$F$964,$A45)</f>
        <v>0</v>
      </c>
      <c r="Q45" s="7" t="n">
        <v>0</v>
      </c>
      <c r="R45" s="7" t="n">
        <v>0</v>
      </c>
      <c r="S45" s="11" t="n">
        <f aca="false">SUMIFS('Исходные данные'!$I$2:$I$964,'Исходные данные'!$D$2:$D$964,S$1,'Исходные данные'!$F$2:$F$964,$A45)</f>
        <v>0</v>
      </c>
      <c r="T45" s="11" t="n">
        <f aca="false">SUMIFS('Исходные данные'!$J$2:$J$964,'Исходные данные'!$D$2:$D$964,S$1,'Исходные данные'!$F$2:$F$964,$A45)</f>
        <v>0</v>
      </c>
      <c r="U45" s="7" t="n">
        <v>0</v>
      </c>
      <c r="V45" s="7" t="n">
        <v>0</v>
      </c>
      <c r="W45" s="11" t="n">
        <f aca="false">SUMIFS('Исходные данные'!$I$2:$I$964,'Исходные данные'!$D$2:$D$964,W$1,'Исходные данные'!$F$2:$F$964,$A45)</f>
        <v>0</v>
      </c>
      <c r="X45" s="11" t="n">
        <f aca="false">SUMIFS('Исходные данные'!$J$2:$J$964,'Исходные данные'!$D$2:$D$964,W$1,'Исходные данные'!$F$2:$F$964,$A45)</f>
        <v>0</v>
      </c>
      <c r="Y45" s="7" t="n">
        <v>0</v>
      </c>
      <c r="Z45" s="7" t="n">
        <v>0</v>
      </c>
      <c r="AA45" s="11" t="n">
        <f aca="false">SUMIFS('Исходные данные'!$I$2:$I$964,'Исходные данные'!$D$2:$D$964,AA$1,'Исходные данные'!$F$2:$F$964,$A45)</f>
        <v>0</v>
      </c>
      <c r="AB45" s="11" t="n">
        <f aca="false">SUMIFS('Исходные данные'!$J$2:$J$964,'Исходные данные'!$D$2:$D$964,AA$1,'Исходные данные'!$F$2:$F$964,$A45)</f>
        <v>0</v>
      </c>
      <c r="AC45" s="7" t="n">
        <v>0</v>
      </c>
      <c r="AD45" s="7" t="n">
        <v>0</v>
      </c>
      <c r="AE45" s="11" t="n">
        <f aca="false">SUMIFS('Исходные данные'!$I$2:$I$964,'Исходные данные'!$D$2:$D$964,AE$1,'Исходные данные'!$F$2:$F$964,$A45)</f>
        <v>0</v>
      </c>
      <c r="AF45" s="11" t="n">
        <f aca="false">SUMIFS('Исходные данные'!$J$2:$J$964,'Исходные данные'!$D$2:$D$964,AE$1,'Исходные данные'!$F$2:$F$964,$A45)</f>
        <v>0</v>
      </c>
      <c r="AG45" s="7" t="n">
        <v>2</v>
      </c>
      <c r="AH45" s="7" t="n">
        <v>0</v>
      </c>
      <c r="AI45" s="11" t="n">
        <f aca="false">SUMIFS('Исходные данные'!$I$2:$I$964,'Исходные данные'!$D$2:$D$964,AI$1,'Исходные данные'!$F$2:$F$964,$A45)</f>
        <v>2</v>
      </c>
      <c r="AJ45" s="11" t="n">
        <f aca="false">SUMIFS('Исходные данные'!$J$2:$J$964,'Исходные данные'!$D$2:$D$964,AI$1,'Исходные данные'!$F$2:$F$964,$A45)</f>
        <v>0</v>
      </c>
      <c r="AK45" s="7" t="n">
        <v>0</v>
      </c>
      <c r="AL45" s="7" t="n">
        <v>0</v>
      </c>
      <c r="AM45" s="11" t="n">
        <f aca="false">SUMIFS('Исходные данные'!$I$2:$I$964,'Исходные данные'!$D$2:$D$964,AM$1,'Исходные данные'!$F$2:$F$964,$A45)</f>
        <v>0</v>
      </c>
      <c r="AN45" s="11" t="n">
        <f aca="false">SUMIFS('Исходные данные'!$J$2:$J$964,'Исходные данные'!$D$2:$D$964,AM$1,'Исходные данные'!$F$2:$F$964,$A45)</f>
        <v>0</v>
      </c>
      <c r="AO45" s="7" t="n">
        <v>0</v>
      </c>
      <c r="AP45" s="7" t="n">
        <v>0</v>
      </c>
      <c r="AQ45" s="11" t="n">
        <f aca="false">SUMIFS('Исходные данные'!$I$2:$I$964,'Исходные данные'!$D$2:$D$964,AQ$1,'Исходные данные'!$F$2:$F$964,$A45)</f>
        <v>0</v>
      </c>
      <c r="AR45" s="11" t="n">
        <f aca="false">SUMIFS('Исходные данные'!$J$2:$J$964,'Исходные данные'!$D$2:$D$964,AQ$1,'Исходные данные'!$F$2:$F$964,$A45)</f>
        <v>0</v>
      </c>
      <c r="AS45" s="7" t="n">
        <v>0</v>
      </c>
      <c r="AT45" s="7" t="n">
        <v>0</v>
      </c>
      <c r="AU45" s="11" t="n">
        <f aca="false">SUMIFS('Исходные данные'!$I$2:$I$964,'Исходные данные'!$D$2:$D$964,AU$1,'Исходные данные'!$F$2:$F$964,$A45)</f>
        <v>0</v>
      </c>
      <c r="AV45" s="11" t="n">
        <f aca="false">SUMIFS('Исходные данные'!$J$2:$J$964,'Исходные данные'!$D$2:$D$964,AU$1,'Исходные данные'!$F$2:$F$964,$A45)</f>
        <v>0</v>
      </c>
      <c r="AW45" s="7" t="n">
        <v>0</v>
      </c>
      <c r="AX45" s="7" t="n">
        <v>0</v>
      </c>
      <c r="AY45" s="11" t="n">
        <f aca="false">SUMIFS('Исходные данные'!$I$2:$I$964,'Исходные данные'!$D$2:$D$964,AY$1,'Исходные данные'!$F$2:$F$964,$A45)</f>
        <v>0</v>
      </c>
      <c r="AZ45" s="11" t="n">
        <f aca="false">SUMIFS('Исходные данные'!$J$2:$J$964,'Исходные данные'!$D$2:$D$964,AY$1,'Исходные данные'!$F$2:$F$964,$A45)</f>
        <v>0</v>
      </c>
      <c r="BA45" s="7" t="n">
        <v>0</v>
      </c>
      <c r="BB45" s="7" t="n">
        <v>0</v>
      </c>
      <c r="BC45" s="11" t="n">
        <f aca="false">SUMIFS('Исходные данные'!$I$2:$I$964,'Исходные данные'!$D$2:$D$964,BC$1,'Исходные данные'!$F$2:$F$964,$A45)</f>
        <v>0</v>
      </c>
      <c r="BD45" s="11" t="n">
        <f aca="false">SUMIFS('Исходные данные'!$J$2:$J$964,'Исходные данные'!$D$2:$D$964,BC$1,'Исходные данные'!$F$2:$F$964,$A45)</f>
        <v>0</v>
      </c>
      <c r="BE45" s="7" t="n">
        <v>0</v>
      </c>
      <c r="BF45" s="7" t="n">
        <v>0</v>
      </c>
      <c r="BG45" s="11" t="n">
        <f aca="false">SUMIFS('Исходные данные'!$I$2:$I$964,'Исходные данные'!$D$2:$D$964,BG$1,'Исходные данные'!$F$2:$F$964,$A45)</f>
        <v>0</v>
      </c>
      <c r="BH45" s="11" t="n">
        <f aca="false">SUMIFS('Исходные данные'!$J$2:$J$964,'Исходные данные'!$D$2:$D$964,BG$1,'Исходные данные'!$F$2:$F$964,$A45)</f>
        <v>0</v>
      </c>
      <c r="BI45" s="7" t="n">
        <v>0</v>
      </c>
      <c r="BJ45" s="7" t="n">
        <v>0</v>
      </c>
      <c r="BK45" s="11" t="n">
        <f aca="false">SUMIFS('Исходные данные'!$I$2:$I$964,'Исходные данные'!$D$2:$D$964,BK$1,'Исходные данные'!$F$2:$F$964,$A45)</f>
        <v>0</v>
      </c>
      <c r="BL45" s="11" t="n">
        <f aca="false">SUMIFS('Исходные данные'!$J$2:$J$964,'Исходные данные'!$D$2:$D$964,BK$1,'Исходные данные'!$F$2:$F$964,$A45)</f>
        <v>0</v>
      </c>
      <c r="BM45" s="7" t="n">
        <v>0</v>
      </c>
      <c r="BN45" s="7" t="n">
        <v>0</v>
      </c>
      <c r="BO45" s="11" t="n">
        <f aca="false">SUMIFS('Исходные данные'!$I$2:$I$964,'Исходные данные'!$D$2:$D$964,BO$1,'Исходные данные'!$F$2:$F$964,$A45)</f>
        <v>0</v>
      </c>
      <c r="BP45" s="11" t="n">
        <f aca="false">SUMIFS('Исходные данные'!$J$2:$J$964,'Исходные данные'!$D$2:$D$964,BO$1,'Исходные данные'!$F$2:$F$964,$A45)</f>
        <v>0</v>
      </c>
      <c r="BQ45" s="7" t="n">
        <v>0</v>
      </c>
      <c r="BR45" s="7" t="n">
        <v>0</v>
      </c>
      <c r="BS45" s="11" t="n">
        <f aca="false">SUMIFS('Исходные данные'!$I$2:$I$964,'Исходные данные'!$D$2:$D$964,BS$1,'Исходные данные'!$F$2:$F$964,$A45)</f>
        <v>0</v>
      </c>
      <c r="BT45" s="11" t="n">
        <f aca="false">SUMIFS('Исходные данные'!$J$2:$J$964,'Исходные данные'!$D$2:$D$964,BS$1,'Исходные данные'!$F$2:$F$964,$A45)</f>
        <v>0</v>
      </c>
      <c r="BU45" s="7" t="n">
        <v>0</v>
      </c>
      <c r="BV45" s="7" t="n">
        <v>0</v>
      </c>
      <c r="BW45" s="11" t="n">
        <f aca="false">SUMIFS('Исходные данные'!$I$2:$I$964,'Исходные данные'!$D$2:$D$964,BW$1,'Исходные данные'!$F$2:$F$964,$A45)</f>
        <v>0</v>
      </c>
      <c r="BX45" s="11" t="n">
        <f aca="false">SUMIFS('Исходные данные'!$J$2:$J$964,'Исходные данные'!$D$2:$D$964,BW$1,'Исходные данные'!$F$2:$F$964,$A45)</f>
        <v>0</v>
      </c>
      <c r="BY45" s="7" t="n">
        <v>0</v>
      </c>
      <c r="BZ45" s="7" t="n">
        <v>0</v>
      </c>
      <c r="CA45" s="11" t="n">
        <f aca="false">SUMIFS('Исходные данные'!$I$2:$I$964,'Исходные данные'!$D$2:$D$964,CA$1,'Исходные данные'!$F$2:$F$964,$A45)</f>
        <v>0</v>
      </c>
      <c r="CB45" s="11" t="n">
        <f aca="false">SUMIFS('Исходные данные'!$J$2:$J$964,'Исходные данные'!$D$2:$D$964,CA$1,'Исходные данные'!$F$2:$F$964,$A45)</f>
        <v>0</v>
      </c>
      <c r="CC45" s="7" t="n">
        <v>0</v>
      </c>
      <c r="CD45" s="7" t="n">
        <v>0</v>
      </c>
      <c r="CE45" s="11" t="n">
        <f aca="false">SUMIFS('Исходные данные'!$I$2:$I$964,'Исходные данные'!$D$2:$D$964,CE$1,'Исходные данные'!$F$2:$F$964,$A45)</f>
        <v>0</v>
      </c>
      <c r="CF45" s="11" t="n">
        <f aca="false">SUMIFS('Исходные данные'!$J$2:$J$964,'Исходные данные'!$D$2:$D$964,CE$1,'Исходные данные'!$F$2:$F$964,$A45)</f>
        <v>0</v>
      </c>
      <c r="CG45" s="7" t="n">
        <v>0</v>
      </c>
      <c r="CH45" s="7" t="n">
        <v>0</v>
      </c>
      <c r="CI45" s="11" t="n">
        <f aca="false">SUMIFS('Исходные данные'!$I$2:$I$964,'Исходные данные'!$D$2:$D$964,CI$1,'Исходные данные'!$F$2:$F$964,$A45)</f>
        <v>0</v>
      </c>
      <c r="CJ45" s="11" t="n">
        <f aca="false">SUMIFS('Исходные данные'!$J$2:$J$964,'Исходные данные'!$D$2:$D$964,CI$1,'Исходные данные'!$F$2:$F$964,$A45)</f>
        <v>0</v>
      </c>
      <c r="CK45" s="7" t="n">
        <v>0</v>
      </c>
      <c r="CL45" s="7" t="n">
        <v>0</v>
      </c>
      <c r="CM45" s="11" t="n">
        <f aca="false">SUMIFS('Исходные данные'!$I$2:$I$964,'Исходные данные'!$D$2:$D$964,CM$1,'Исходные данные'!$F$2:$F$964,$A45)</f>
        <v>0</v>
      </c>
      <c r="CN45" s="11" t="n">
        <f aca="false">SUMIFS('Исходные данные'!$J$2:$J$964,'Исходные данные'!$D$2:$D$964,CM$1,'Исходные данные'!$F$2:$F$964,$A45)</f>
        <v>0</v>
      </c>
      <c r="CO45" s="7" t="n">
        <v>0</v>
      </c>
      <c r="CP45" s="7" t="n">
        <v>0</v>
      </c>
      <c r="CQ45" s="11" t="n">
        <f aca="false">SUMIFS('Исходные данные'!$I$2:$I$964,'Исходные данные'!$D$2:$D$964,CQ$1,'Исходные данные'!$F$2:$F$964,$A45)</f>
        <v>0</v>
      </c>
      <c r="CR45" s="11" t="n">
        <f aca="false">SUMIFS('Исходные данные'!$J$2:$J$964,'Исходные данные'!$D$2:$D$964,CQ$1,'Исходные данные'!$F$2:$F$964,$A45)</f>
        <v>0</v>
      </c>
      <c r="CS45" s="7" t="n">
        <v>0</v>
      </c>
      <c r="CT45" s="7" t="n">
        <v>0</v>
      </c>
      <c r="CU45" s="11" t="n">
        <f aca="false">SUMIFS('Исходные данные'!$I$2:$I$964,'Исходные данные'!$D$2:$D$964,CU$1,'Исходные данные'!$F$2:$F$964,$A45)</f>
        <v>0</v>
      </c>
      <c r="CV45" s="11" t="n">
        <f aca="false">SUMIFS('Исходные данные'!$J$2:$J$964,'Исходные данные'!$D$2:$D$964,CU$1,'Исходные данные'!$F$2:$F$964,$A45)</f>
        <v>0</v>
      </c>
      <c r="CW45" s="7" t="n">
        <v>0</v>
      </c>
      <c r="CX45" s="7" t="n">
        <v>0</v>
      </c>
      <c r="CY45" s="11" t="n">
        <f aca="false">SUMIFS('Исходные данные'!$I$2:$I$964,'Исходные данные'!$D$2:$D$964,CY$1,'Исходные данные'!$F$2:$F$964,$A45)</f>
        <v>0</v>
      </c>
      <c r="CZ45" s="11" t="n">
        <f aca="false">SUMIFS('Исходные данные'!$J$2:$J$964,'Исходные данные'!$D$2:$D$964,CY$1,'Исходные данные'!$F$2:$F$964,$A45)</f>
        <v>0</v>
      </c>
      <c r="DA45" s="7" t="n">
        <v>0</v>
      </c>
      <c r="DB45" s="7" t="n">
        <v>0</v>
      </c>
      <c r="DC45" s="11" t="n">
        <f aca="false">SUMIFS('Исходные данные'!$I$2:$I$964,'Исходные данные'!$D$2:$D$964,DC$1,'Исходные данные'!$F$2:$F$964,$A45)</f>
        <v>0</v>
      </c>
      <c r="DD45" s="11" t="n">
        <f aca="false">SUMIFS('Исходные данные'!$J$2:$J$964,'Исходные данные'!$D$2:$D$964,DC$1,'Исходные данные'!$F$2:$F$964,$A45)</f>
        <v>0</v>
      </c>
      <c r="DE45" s="7" t="n">
        <v>0</v>
      </c>
      <c r="DF45" s="7" t="n">
        <v>0</v>
      </c>
      <c r="DG45" s="11" t="n">
        <f aca="false">SUMIFS('Исходные данные'!$I$2:$I$964,'Исходные данные'!$D$2:$D$964,DG$1,'Исходные данные'!$F$2:$F$964,$A45)</f>
        <v>0</v>
      </c>
      <c r="DH45" s="11" t="n">
        <f aca="false">SUMIFS('Исходные данные'!$J$2:$J$964,'Исходные данные'!$D$2:$D$964,DG$1,'Исходные данные'!$F$2:$F$964,$A45)</f>
        <v>0</v>
      </c>
      <c r="DI45" s="7" t="n">
        <v>0</v>
      </c>
      <c r="DJ45" s="7" t="n">
        <v>0</v>
      </c>
      <c r="DK45" s="11" t="n">
        <f aca="false">SUMIFS('Исходные данные'!$I$2:$I$964,'Исходные данные'!$D$2:$D$964,DK$1,'Исходные данные'!$F$2:$F$964,$A45)</f>
        <v>0</v>
      </c>
      <c r="DL45" s="11" t="n">
        <f aca="false">SUMIFS('Исходные данные'!$J$2:$J$964,'Исходные данные'!$D$2:$D$964,DK$1,'Исходные данные'!$F$2:$F$964,$A45)</f>
        <v>0</v>
      </c>
      <c r="DM45" s="7" t="n">
        <v>0</v>
      </c>
      <c r="DN45" s="7" t="n">
        <v>0</v>
      </c>
      <c r="DO45" s="11" t="n">
        <f aca="false">SUMIFS('Исходные данные'!$I$2:$I$964,'Исходные данные'!$D$2:$D$964,DO$1,'Исходные данные'!$F$2:$F$964,$A45)</f>
        <v>0</v>
      </c>
      <c r="DP45" s="11" t="n">
        <f aca="false">SUMIFS('Исходные данные'!$J$2:$J$964,'Исходные данные'!$D$2:$D$964,DO$1,'Исходные данные'!$F$2:$F$964,$A45)</f>
        <v>0</v>
      </c>
      <c r="DQ45" s="7" t="n">
        <v>0</v>
      </c>
      <c r="DR45" s="7" t="n">
        <v>0</v>
      </c>
      <c r="DS45" s="11" t="n">
        <f aca="false">SUMIFS('Исходные данные'!$I$2:$I$964,'Исходные данные'!$D$2:$D$964,DS$1,'Исходные данные'!$F$2:$F$964,$A45)</f>
        <v>0</v>
      </c>
      <c r="DT45" s="11" t="n">
        <f aca="false">SUMIFS('Исходные данные'!$J$2:$J$964,'Исходные данные'!$D$2:$D$964,DS$1,'Исходные данные'!$F$2:$F$964,$A45)</f>
        <v>0</v>
      </c>
      <c r="DU45" s="7" t="n">
        <v>0</v>
      </c>
      <c r="DV45" s="7" t="n">
        <v>0</v>
      </c>
      <c r="DW45" s="11" t="n">
        <f aca="false">SUMIFS('Исходные данные'!$I$2:$I$964,'Исходные данные'!$D$2:$D$964,DW$1,'Исходные данные'!$F$2:$F$964,$A45)</f>
        <v>0</v>
      </c>
      <c r="DX45" s="11" t="n">
        <f aca="false">SUMIFS('Исходные данные'!$J$2:$J$964,'Исходные данные'!$D$2:$D$964,DW$1,'Исходные данные'!$F$2:$F$964,$A45)</f>
        <v>0</v>
      </c>
      <c r="DY45" s="7" t="n">
        <v>0</v>
      </c>
      <c r="DZ45" s="7" t="n">
        <v>0</v>
      </c>
      <c r="EA45" s="11" t="n">
        <f aca="false">SUMIFS('Исходные данные'!$I$2:$I$964,'Исходные данные'!$D$2:$D$964,EA$1,'Исходные данные'!$F$2:$F$964,$A45)</f>
        <v>0</v>
      </c>
      <c r="EB45" s="11" t="n">
        <f aca="false">SUMIFS('Исходные данные'!$J$2:$J$964,'Исходные данные'!$D$2:$D$964,EA$1,'Исходные данные'!$F$2:$F$964,$A45)</f>
        <v>0</v>
      </c>
      <c r="EC45" s="7" t="n">
        <v>0</v>
      </c>
      <c r="ED45" s="7" t="n">
        <v>0</v>
      </c>
      <c r="EE45" s="11" t="n">
        <f aca="false">SUMIFS('Исходные данные'!$I$2:$I$964,'Исходные данные'!$D$2:$D$964,EE$1,'Исходные данные'!$F$2:$F$964,$A45)</f>
        <v>0</v>
      </c>
      <c r="EF45" s="11" t="n">
        <f aca="false">SUMIFS('Исходные данные'!$J$2:$J$964,'Исходные данные'!$D$2:$D$964,EE$1,'Исходные данные'!$F$2:$F$964,$A45)</f>
        <v>0</v>
      </c>
      <c r="EG45" s="7" t="n">
        <v>0</v>
      </c>
      <c r="EH45" s="7" t="n">
        <v>0</v>
      </c>
      <c r="EI45" s="11" t="n">
        <f aca="false">SUMIFS('Исходные данные'!$I$2:$I$964,'Исходные данные'!$D$2:$D$964,EI$1,'Исходные данные'!$F$2:$F$964,$A45)</f>
        <v>0</v>
      </c>
      <c r="EJ45" s="11" t="n">
        <f aca="false">SUMIFS('Исходные данные'!$J$2:$J$964,'Исходные данные'!$D$2:$D$964,EI$1,'Исходные данные'!$F$2:$F$964,$A45)</f>
        <v>0</v>
      </c>
      <c r="EK45" s="7" t="n">
        <v>0</v>
      </c>
      <c r="EL45" s="7" t="n">
        <v>0</v>
      </c>
      <c r="EM45" s="11" t="n">
        <f aca="false">SUMIFS('Исходные данные'!$I$2:$I$964,'Исходные данные'!$D$2:$D$964,EM$1,'Исходные данные'!$F$2:$F$964,$A45)</f>
        <v>0</v>
      </c>
      <c r="EN45" s="11" t="n">
        <f aca="false">SUMIFS('Исходные данные'!$J$2:$J$964,'Исходные данные'!$D$2:$D$964,EM$1,'Исходные данные'!$F$2:$F$964,$A45)</f>
        <v>0</v>
      </c>
      <c r="EO45" s="7" t="n">
        <v>0</v>
      </c>
      <c r="EP45" s="7" t="n">
        <v>0</v>
      </c>
      <c r="EQ45" s="11" t="n">
        <f aca="false">SUMIFS('Исходные данные'!$I$2:$I$964,'Исходные данные'!$D$2:$D$964,EQ$1,'Исходные данные'!$F$2:$F$964,$A45)</f>
        <v>0</v>
      </c>
      <c r="ER45" s="11" t="n">
        <f aca="false">SUMIFS('Исходные данные'!$J$2:$J$964,'Исходные данные'!$D$2:$D$964,EQ$1,'Исходные данные'!$F$2:$F$964,$A45)</f>
        <v>0</v>
      </c>
      <c r="ES45" s="7" t="n">
        <v>0</v>
      </c>
      <c r="ET45" s="7" t="n">
        <v>0</v>
      </c>
      <c r="EU45" s="11" t="n">
        <f aca="false">SUMIFS('Исходные данные'!$I$2:$I$964,'Исходные данные'!$D$2:$D$964,EU$1,'Исходные данные'!$F$2:$F$964,$A45)</f>
        <v>0</v>
      </c>
      <c r="EV45" s="11" t="n">
        <f aca="false">SUMIFS('Исходные данные'!$J$2:$J$964,'Исходные данные'!$D$2:$D$964,EU$1,'Исходные данные'!$F$2:$F$964,$A45)</f>
        <v>0</v>
      </c>
      <c r="EW45" s="7" t="n">
        <v>0</v>
      </c>
      <c r="EX45" s="7" t="n">
        <v>0</v>
      </c>
      <c r="EY45" s="11" t="n">
        <f aca="false">SUMIFS('Исходные данные'!$I$2:$I$964,'Исходные данные'!$D$2:$D$964,EY$1,'Исходные данные'!$F$2:$F$964,$A45)</f>
        <v>0</v>
      </c>
      <c r="EZ45" s="11" t="n">
        <f aca="false">SUMIFS('Исходные данные'!$J$2:$J$964,'Исходные данные'!$D$2:$D$964,EY$1,'Исходные данные'!$F$2:$F$964,$A45)</f>
        <v>0</v>
      </c>
      <c r="FA45" s="7" t="n">
        <v>0</v>
      </c>
      <c r="FB45" s="7" t="n">
        <v>0</v>
      </c>
      <c r="FC45" s="11" t="n">
        <f aca="false">SUMIFS('Исходные данные'!$I$2:$I$964,'Исходные данные'!$D$2:$D$964,FC$1,'Исходные данные'!$F$2:$F$964,$A45)</f>
        <v>0</v>
      </c>
      <c r="FD45" s="11" t="n">
        <f aca="false">SUMIFS('Исходные данные'!$J$2:$J$964,'Исходные данные'!$D$2:$D$964,FC$1,'Исходные данные'!$F$2:$F$964,$A45)</f>
        <v>0</v>
      </c>
      <c r="FE45" s="7" t="n">
        <v>0</v>
      </c>
      <c r="FF45" s="7" t="n">
        <v>0</v>
      </c>
      <c r="FG45" s="11" t="n">
        <f aca="false">SUMIFS('Исходные данные'!$I$2:$I$964,'Исходные данные'!$D$2:$D$964,FG$1,'Исходные данные'!$F$2:$F$964,$A45)</f>
        <v>0</v>
      </c>
      <c r="FH45" s="11" t="n">
        <f aca="false">SUMIFS('Исходные данные'!$J$2:$J$964,'Исходные данные'!$D$2:$D$964,FG$1,'Исходные данные'!$F$2:$F$964,$A45)</f>
        <v>0</v>
      </c>
    </row>
    <row r="46" customFormat="false" ht="15" hidden="false" customHeight="false" outlineLevel="0" collapsed="false">
      <c r="A46" s="10" t="s">
        <v>135</v>
      </c>
      <c r="B46" s="11" t="s">
        <v>136</v>
      </c>
      <c r="C46" s="6" t="n">
        <v>13</v>
      </c>
      <c r="D46" s="6" t="n">
        <f aca="false">I46+J46+M46+N46+Q46+R46+U46+V46+Y46+Z46+AC46+AD46+AG46+AH46+AK46+AL46+AO46+AP46+AS46+AT46+AW46+AX46+BA46+BB46+BE46+BF46+BI46+BJ46+BM46+BN46+BQ46+BR46+BU46+BV46+BY46+BZ46+CC46+CD46+CG46+CH46+CK46+CL46+CO46+CP46+CS46+CT46+CW46+CX46+DA46+DB46+DE46+DF46+DI46+DJ46+DM46+DN46+DQ46+DR46+DU46+DV46+DY46+DZ46+EC46+ED46+EG46+EH46+EK46+EL46+EO46+EP46+ES46+ET46+EW46+EX46+FA46+FB46+FE46+FF46</f>
        <v>13</v>
      </c>
      <c r="E46" s="6" t="n">
        <f aca="false">G46+H46</f>
        <v>13</v>
      </c>
      <c r="F46" s="6" t="n">
        <f aca="false">E46-C46</f>
        <v>0</v>
      </c>
      <c r="G46" s="6" t="n">
        <f aca="false">K46+O46+S46+W46+AA46+AE46+AI46+AM46+AQ46+AU46+AY46+BC46+BG46+BK46+BO46+BS46+BW46+CA46+CE46+CI46+CM46+CQ46+CU46+CY46+DC46+DG46+DK46+DO46+DS46+DW46+EA46+EE46+EI46+EM46+EQ46+EU46+EY46+FC46+FG46</f>
        <v>11</v>
      </c>
      <c r="H46" s="6" t="n">
        <f aca="false">L46+P46+T46+X46+AB46+AF46+AJ46+AN46+AR46+AV46+AZ46+BD46+BH46+BL46+BP46+BT46+BX46+CB46+CF46+CJ46+CN46+CR46+CV46+CZ46+DD46+DH46+DL46+DP46+DT46+DX46+EB46+EF46+EJ46+EN46+ER46+EV46+EZ46+FD46+FH46</f>
        <v>2</v>
      </c>
      <c r="I46" s="7" t="n">
        <v>0</v>
      </c>
      <c r="J46" s="7" t="n">
        <v>0</v>
      </c>
      <c r="K46" s="11" t="n">
        <f aca="false">SUMIFS('Исходные данные'!$I$2:$I$964,'Исходные данные'!$D$2:$D$964,K$1,'Исходные данные'!$F$2:$F$964,$A46)</f>
        <v>0</v>
      </c>
      <c r="L46" s="11" t="n">
        <f aca="false">SUMIFS('Исходные данные'!$J$2:$J$964,'Исходные данные'!$D$2:$D$964,K$1,'Исходные данные'!$F$2:$F$964,$A46)</f>
        <v>0</v>
      </c>
      <c r="M46" s="7" t="n">
        <v>0</v>
      </c>
      <c r="N46" s="7" t="n">
        <v>0</v>
      </c>
      <c r="O46" s="11" t="n">
        <f aca="false">SUMIFS('Исходные данные'!$I$2:$I$964,'Исходные данные'!$D$2:$D$964,O$1,'Исходные данные'!$F$2:$F$964,$A46)</f>
        <v>0</v>
      </c>
      <c r="P46" s="11" t="n">
        <f aca="false">SUMIFS('Исходные данные'!$J$2:$J$964,'Исходные данные'!$D$2:$D$964,O$1,'Исходные данные'!$F$2:$F$964,$A46)</f>
        <v>0</v>
      </c>
      <c r="Q46" s="7" t="n">
        <v>0</v>
      </c>
      <c r="R46" s="7" t="n">
        <v>0</v>
      </c>
      <c r="S46" s="11" t="n">
        <f aca="false">SUMIFS('Исходные данные'!$I$2:$I$964,'Исходные данные'!$D$2:$D$964,S$1,'Исходные данные'!$F$2:$F$964,$A46)</f>
        <v>0</v>
      </c>
      <c r="T46" s="11" t="n">
        <f aca="false">SUMIFS('Исходные данные'!$J$2:$J$964,'Исходные данные'!$D$2:$D$964,S$1,'Исходные данные'!$F$2:$F$964,$A46)</f>
        <v>0</v>
      </c>
      <c r="U46" s="7" t="n">
        <v>0</v>
      </c>
      <c r="V46" s="7" t="n">
        <v>0</v>
      </c>
      <c r="W46" s="11" t="n">
        <f aca="false">SUMIFS('Исходные данные'!$I$2:$I$964,'Исходные данные'!$D$2:$D$964,W$1,'Исходные данные'!$F$2:$F$964,$A46)</f>
        <v>0</v>
      </c>
      <c r="X46" s="11" t="n">
        <f aca="false">SUMIFS('Исходные данные'!$J$2:$J$964,'Исходные данные'!$D$2:$D$964,W$1,'Исходные данные'!$F$2:$F$964,$A46)</f>
        <v>0</v>
      </c>
      <c r="Y46" s="7" t="n">
        <v>1</v>
      </c>
      <c r="Z46" s="7" t="n">
        <v>0</v>
      </c>
      <c r="AA46" s="11" t="n">
        <f aca="false">SUMIFS('Исходные данные'!$I$2:$I$964,'Исходные данные'!$D$2:$D$964,AA$1,'Исходные данные'!$F$2:$F$964,$A46)</f>
        <v>1</v>
      </c>
      <c r="AB46" s="11" t="n">
        <f aca="false">SUMIFS('Исходные данные'!$J$2:$J$964,'Исходные данные'!$D$2:$D$964,AA$1,'Исходные данные'!$F$2:$F$964,$A46)</f>
        <v>0</v>
      </c>
      <c r="AC46" s="7" t="n">
        <v>0</v>
      </c>
      <c r="AD46" s="7" t="n">
        <v>0</v>
      </c>
      <c r="AE46" s="11" t="n">
        <f aca="false">SUMIFS('Исходные данные'!$I$2:$I$964,'Исходные данные'!$D$2:$D$964,AE$1,'Исходные данные'!$F$2:$F$964,$A46)</f>
        <v>0</v>
      </c>
      <c r="AF46" s="11" t="n">
        <f aca="false">SUMIFS('Исходные данные'!$J$2:$J$964,'Исходные данные'!$D$2:$D$964,AE$1,'Исходные данные'!$F$2:$F$964,$A46)</f>
        <v>0</v>
      </c>
      <c r="AG46" s="7" t="n">
        <v>1</v>
      </c>
      <c r="AH46" s="7" t="n">
        <v>0</v>
      </c>
      <c r="AI46" s="11" t="n">
        <f aca="false">SUMIFS('Исходные данные'!$I$2:$I$964,'Исходные данные'!$D$2:$D$964,AI$1,'Исходные данные'!$F$2:$F$964,$A46)</f>
        <v>1</v>
      </c>
      <c r="AJ46" s="11" t="n">
        <f aca="false">SUMIFS('Исходные данные'!$J$2:$J$964,'Исходные данные'!$D$2:$D$964,AI$1,'Исходные данные'!$F$2:$F$964,$A46)</f>
        <v>0</v>
      </c>
      <c r="AK46" s="7" t="n">
        <v>0</v>
      </c>
      <c r="AL46" s="7" t="n">
        <v>0</v>
      </c>
      <c r="AM46" s="11" t="n">
        <f aca="false">SUMIFS('Исходные данные'!$I$2:$I$964,'Исходные данные'!$D$2:$D$964,AM$1,'Исходные данные'!$F$2:$F$964,$A46)</f>
        <v>0</v>
      </c>
      <c r="AN46" s="11" t="n">
        <f aca="false">SUMIFS('Исходные данные'!$J$2:$J$964,'Исходные данные'!$D$2:$D$964,AM$1,'Исходные данные'!$F$2:$F$964,$A46)</f>
        <v>0</v>
      </c>
      <c r="AO46" s="7" t="n">
        <v>0</v>
      </c>
      <c r="AP46" s="7" t="n">
        <v>0</v>
      </c>
      <c r="AQ46" s="11" t="n">
        <f aca="false">SUMIFS('Исходные данные'!$I$2:$I$964,'Исходные данные'!$D$2:$D$964,AQ$1,'Исходные данные'!$F$2:$F$964,$A46)</f>
        <v>0</v>
      </c>
      <c r="AR46" s="11" t="n">
        <f aca="false">SUMIFS('Исходные данные'!$J$2:$J$964,'Исходные данные'!$D$2:$D$964,AQ$1,'Исходные данные'!$F$2:$F$964,$A46)</f>
        <v>0</v>
      </c>
      <c r="AS46" s="7" t="n">
        <v>1</v>
      </c>
      <c r="AT46" s="7" t="n">
        <v>0</v>
      </c>
      <c r="AU46" s="11" t="n">
        <f aca="false">SUMIFS('Исходные данные'!$I$2:$I$964,'Исходные данные'!$D$2:$D$964,AU$1,'Исходные данные'!$F$2:$F$964,$A46)</f>
        <v>1</v>
      </c>
      <c r="AV46" s="11" t="n">
        <f aca="false">SUMIFS('Исходные данные'!$J$2:$J$964,'Исходные данные'!$D$2:$D$964,AU$1,'Исходные данные'!$F$2:$F$964,$A46)</f>
        <v>0</v>
      </c>
      <c r="AW46" s="7" t="n">
        <v>0</v>
      </c>
      <c r="AX46" s="7" t="n">
        <v>0</v>
      </c>
      <c r="AY46" s="11" t="n">
        <f aca="false">SUMIFS('Исходные данные'!$I$2:$I$964,'Исходные данные'!$D$2:$D$964,AY$1,'Исходные данные'!$F$2:$F$964,$A46)</f>
        <v>0</v>
      </c>
      <c r="AZ46" s="11" t="n">
        <f aca="false">SUMIFS('Исходные данные'!$J$2:$J$964,'Исходные данные'!$D$2:$D$964,AY$1,'Исходные данные'!$F$2:$F$964,$A46)</f>
        <v>0</v>
      </c>
      <c r="BA46" s="7" t="n">
        <v>1</v>
      </c>
      <c r="BB46" s="7" t="n">
        <v>0</v>
      </c>
      <c r="BC46" s="11" t="n">
        <f aca="false">SUMIFS('Исходные данные'!$I$2:$I$964,'Исходные данные'!$D$2:$D$964,BC$1,'Исходные данные'!$F$2:$F$964,$A46)</f>
        <v>1</v>
      </c>
      <c r="BD46" s="11" t="n">
        <f aca="false">SUMIFS('Исходные данные'!$J$2:$J$964,'Исходные данные'!$D$2:$D$964,BC$1,'Исходные данные'!$F$2:$F$964,$A46)</f>
        <v>0</v>
      </c>
      <c r="BE46" s="7" t="n">
        <v>2</v>
      </c>
      <c r="BF46" s="7" t="n">
        <v>0</v>
      </c>
      <c r="BG46" s="11" t="n">
        <f aca="false">SUMIFS('Исходные данные'!$I$2:$I$964,'Исходные данные'!$D$2:$D$964,BG$1,'Исходные данные'!$F$2:$F$964,$A46)</f>
        <v>2</v>
      </c>
      <c r="BH46" s="11" t="n">
        <f aca="false">SUMIFS('Исходные данные'!$J$2:$J$964,'Исходные данные'!$D$2:$D$964,BG$1,'Исходные данные'!$F$2:$F$964,$A46)</f>
        <v>0</v>
      </c>
      <c r="BI46" s="7" t="n">
        <v>3</v>
      </c>
      <c r="BJ46" s="7" t="n">
        <v>1</v>
      </c>
      <c r="BK46" s="11" t="n">
        <f aca="false">SUMIFS('Исходные данные'!$I$2:$I$964,'Исходные данные'!$D$2:$D$964,BK$1,'Исходные данные'!$F$2:$F$964,$A46)</f>
        <v>3</v>
      </c>
      <c r="BL46" s="11" t="n">
        <f aca="false">SUMIFS('Исходные данные'!$J$2:$J$964,'Исходные данные'!$D$2:$D$964,BK$1,'Исходные данные'!$F$2:$F$964,$A46)</f>
        <v>1</v>
      </c>
      <c r="BM46" s="7" t="n">
        <v>0</v>
      </c>
      <c r="BN46" s="7" t="n">
        <v>0</v>
      </c>
      <c r="BO46" s="11" t="n">
        <f aca="false">SUMIFS('Исходные данные'!$I$2:$I$964,'Исходные данные'!$D$2:$D$964,BO$1,'Исходные данные'!$F$2:$F$964,$A46)</f>
        <v>0</v>
      </c>
      <c r="BP46" s="11" t="n">
        <f aca="false">SUMIFS('Исходные данные'!$J$2:$J$964,'Исходные данные'!$D$2:$D$964,BO$1,'Исходные данные'!$F$2:$F$964,$A46)</f>
        <v>0</v>
      </c>
      <c r="BQ46" s="7" t="n">
        <v>0</v>
      </c>
      <c r="BR46" s="7" t="n">
        <v>0</v>
      </c>
      <c r="BS46" s="11" t="n">
        <f aca="false">SUMIFS('Исходные данные'!$I$2:$I$964,'Исходные данные'!$D$2:$D$964,BS$1,'Исходные данные'!$F$2:$F$964,$A46)</f>
        <v>0</v>
      </c>
      <c r="BT46" s="11" t="n">
        <f aca="false">SUMIFS('Исходные данные'!$J$2:$J$964,'Исходные данные'!$D$2:$D$964,BS$1,'Исходные данные'!$F$2:$F$964,$A46)</f>
        <v>0</v>
      </c>
      <c r="BU46" s="7" t="n">
        <v>0</v>
      </c>
      <c r="BV46" s="7" t="n">
        <v>0</v>
      </c>
      <c r="BW46" s="11" t="n">
        <f aca="false">SUMIFS('Исходные данные'!$I$2:$I$964,'Исходные данные'!$D$2:$D$964,BW$1,'Исходные данные'!$F$2:$F$964,$A46)</f>
        <v>0</v>
      </c>
      <c r="BX46" s="11" t="n">
        <f aca="false">SUMIFS('Исходные данные'!$J$2:$J$964,'Исходные данные'!$D$2:$D$964,BW$1,'Исходные данные'!$F$2:$F$964,$A46)</f>
        <v>0</v>
      </c>
      <c r="BY46" s="7" t="n">
        <v>0</v>
      </c>
      <c r="BZ46" s="7" t="n">
        <v>0</v>
      </c>
      <c r="CA46" s="11" t="n">
        <f aca="false">SUMIFS('Исходные данные'!$I$2:$I$964,'Исходные данные'!$D$2:$D$964,CA$1,'Исходные данные'!$F$2:$F$964,$A46)</f>
        <v>0</v>
      </c>
      <c r="CB46" s="11" t="n">
        <f aca="false">SUMIFS('Исходные данные'!$J$2:$J$964,'Исходные данные'!$D$2:$D$964,CA$1,'Исходные данные'!$F$2:$F$964,$A46)</f>
        <v>0</v>
      </c>
      <c r="CC46" s="7" t="n">
        <v>0</v>
      </c>
      <c r="CD46" s="7" t="n">
        <v>0</v>
      </c>
      <c r="CE46" s="11" t="n">
        <f aca="false">SUMIFS('Исходные данные'!$I$2:$I$964,'Исходные данные'!$D$2:$D$964,CE$1,'Исходные данные'!$F$2:$F$964,$A46)</f>
        <v>0</v>
      </c>
      <c r="CF46" s="11" t="n">
        <f aca="false">SUMIFS('Исходные данные'!$J$2:$J$964,'Исходные данные'!$D$2:$D$964,CE$1,'Исходные данные'!$F$2:$F$964,$A46)</f>
        <v>0</v>
      </c>
      <c r="CG46" s="7" t="n">
        <v>1</v>
      </c>
      <c r="CH46" s="7" t="n">
        <v>0</v>
      </c>
      <c r="CI46" s="11" t="n">
        <f aca="false">SUMIFS('Исходные данные'!$I$2:$I$964,'Исходные данные'!$D$2:$D$964,CI$1,'Исходные данные'!$F$2:$F$964,$A46)</f>
        <v>1</v>
      </c>
      <c r="CJ46" s="11" t="n">
        <f aca="false">SUMIFS('Исходные данные'!$J$2:$J$964,'Исходные данные'!$D$2:$D$964,CI$1,'Исходные данные'!$F$2:$F$964,$A46)</f>
        <v>0</v>
      </c>
      <c r="CK46" s="7" t="n">
        <v>1</v>
      </c>
      <c r="CL46" s="7" t="n">
        <v>1</v>
      </c>
      <c r="CM46" s="11" t="n">
        <f aca="false">SUMIFS('Исходные данные'!$I$2:$I$964,'Исходные данные'!$D$2:$D$964,CM$1,'Исходные данные'!$F$2:$F$964,$A46)</f>
        <v>1</v>
      </c>
      <c r="CN46" s="11" t="n">
        <f aca="false">SUMIFS('Исходные данные'!$J$2:$J$964,'Исходные данные'!$D$2:$D$964,CM$1,'Исходные данные'!$F$2:$F$964,$A46)</f>
        <v>1</v>
      </c>
      <c r="CO46" s="7" t="n">
        <v>0</v>
      </c>
      <c r="CP46" s="7" t="n">
        <v>0</v>
      </c>
      <c r="CQ46" s="11" t="n">
        <f aca="false">SUMIFS('Исходные данные'!$I$2:$I$964,'Исходные данные'!$D$2:$D$964,CQ$1,'Исходные данные'!$F$2:$F$964,$A46)</f>
        <v>0</v>
      </c>
      <c r="CR46" s="11" t="n">
        <f aca="false">SUMIFS('Исходные данные'!$J$2:$J$964,'Исходные данные'!$D$2:$D$964,CQ$1,'Исходные данные'!$F$2:$F$964,$A46)</f>
        <v>0</v>
      </c>
      <c r="CS46" s="7" t="n">
        <v>0</v>
      </c>
      <c r="CT46" s="7" t="n">
        <v>0</v>
      </c>
      <c r="CU46" s="11" t="n">
        <f aca="false">SUMIFS('Исходные данные'!$I$2:$I$964,'Исходные данные'!$D$2:$D$964,CU$1,'Исходные данные'!$F$2:$F$964,$A46)</f>
        <v>0</v>
      </c>
      <c r="CV46" s="11" t="n">
        <f aca="false">SUMIFS('Исходные данные'!$J$2:$J$964,'Исходные данные'!$D$2:$D$964,CU$1,'Исходные данные'!$F$2:$F$964,$A46)</f>
        <v>0</v>
      </c>
      <c r="CW46" s="7" t="n">
        <v>0</v>
      </c>
      <c r="CX46" s="7" t="n">
        <v>0</v>
      </c>
      <c r="CY46" s="11" t="n">
        <f aca="false">SUMIFS('Исходные данные'!$I$2:$I$964,'Исходные данные'!$D$2:$D$964,CY$1,'Исходные данные'!$F$2:$F$964,$A46)</f>
        <v>0</v>
      </c>
      <c r="CZ46" s="11" t="n">
        <f aca="false">SUMIFS('Исходные данные'!$J$2:$J$964,'Исходные данные'!$D$2:$D$964,CY$1,'Исходные данные'!$F$2:$F$964,$A46)</f>
        <v>0</v>
      </c>
      <c r="DA46" s="7" t="n">
        <v>0</v>
      </c>
      <c r="DB46" s="7" t="n">
        <v>0</v>
      </c>
      <c r="DC46" s="11" t="n">
        <f aca="false">SUMIFS('Исходные данные'!$I$2:$I$964,'Исходные данные'!$D$2:$D$964,DC$1,'Исходные данные'!$F$2:$F$964,$A46)</f>
        <v>0</v>
      </c>
      <c r="DD46" s="11" t="n">
        <f aca="false">SUMIFS('Исходные данные'!$J$2:$J$964,'Исходные данные'!$D$2:$D$964,DC$1,'Исходные данные'!$F$2:$F$964,$A46)</f>
        <v>0</v>
      </c>
      <c r="DE46" s="7" t="n">
        <v>0</v>
      </c>
      <c r="DF46" s="7" t="n">
        <v>0</v>
      </c>
      <c r="DG46" s="11" t="n">
        <f aca="false">SUMIFS('Исходные данные'!$I$2:$I$964,'Исходные данные'!$D$2:$D$964,DG$1,'Исходные данные'!$F$2:$F$964,$A46)</f>
        <v>0</v>
      </c>
      <c r="DH46" s="11" t="n">
        <f aca="false">SUMIFS('Исходные данные'!$J$2:$J$964,'Исходные данные'!$D$2:$D$964,DG$1,'Исходные данные'!$F$2:$F$964,$A46)</f>
        <v>0</v>
      </c>
      <c r="DI46" s="7" t="n">
        <v>0</v>
      </c>
      <c r="DJ46" s="7" t="n">
        <v>0</v>
      </c>
      <c r="DK46" s="11" t="n">
        <f aca="false">SUMIFS('Исходные данные'!$I$2:$I$964,'Исходные данные'!$D$2:$D$964,DK$1,'Исходные данные'!$F$2:$F$964,$A46)</f>
        <v>0</v>
      </c>
      <c r="DL46" s="11" t="n">
        <f aca="false">SUMIFS('Исходные данные'!$J$2:$J$964,'Исходные данные'!$D$2:$D$964,DK$1,'Исходные данные'!$F$2:$F$964,$A46)</f>
        <v>0</v>
      </c>
      <c r="DM46" s="7" t="n">
        <v>0</v>
      </c>
      <c r="DN46" s="7" t="n">
        <v>0</v>
      </c>
      <c r="DO46" s="11" t="n">
        <f aca="false">SUMIFS('Исходные данные'!$I$2:$I$964,'Исходные данные'!$D$2:$D$964,DO$1,'Исходные данные'!$F$2:$F$964,$A46)</f>
        <v>0</v>
      </c>
      <c r="DP46" s="11" t="n">
        <f aca="false">SUMIFS('Исходные данные'!$J$2:$J$964,'Исходные данные'!$D$2:$D$964,DO$1,'Исходные данные'!$F$2:$F$964,$A46)</f>
        <v>0</v>
      </c>
      <c r="DQ46" s="7" t="n">
        <v>0</v>
      </c>
      <c r="DR46" s="7" t="n">
        <v>0</v>
      </c>
      <c r="DS46" s="11" t="n">
        <f aca="false">SUMIFS('Исходные данные'!$I$2:$I$964,'Исходные данные'!$D$2:$D$964,DS$1,'Исходные данные'!$F$2:$F$964,$A46)</f>
        <v>0</v>
      </c>
      <c r="DT46" s="11" t="n">
        <f aca="false">SUMIFS('Исходные данные'!$J$2:$J$964,'Исходные данные'!$D$2:$D$964,DS$1,'Исходные данные'!$F$2:$F$964,$A46)</f>
        <v>0</v>
      </c>
      <c r="DU46" s="7" t="n">
        <v>0</v>
      </c>
      <c r="DV46" s="7" t="n">
        <v>0</v>
      </c>
      <c r="DW46" s="11" t="n">
        <f aca="false">SUMIFS('Исходные данные'!$I$2:$I$964,'Исходные данные'!$D$2:$D$964,DW$1,'Исходные данные'!$F$2:$F$964,$A46)</f>
        <v>0</v>
      </c>
      <c r="DX46" s="11" t="n">
        <f aca="false">SUMIFS('Исходные данные'!$J$2:$J$964,'Исходные данные'!$D$2:$D$964,DW$1,'Исходные данные'!$F$2:$F$964,$A46)</f>
        <v>0</v>
      </c>
      <c r="DY46" s="7" t="n">
        <v>0</v>
      </c>
      <c r="DZ46" s="7" t="n">
        <v>0</v>
      </c>
      <c r="EA46" s="11" t="n">
        <f aca="false">SUMIFS('Исходные данные'!$I$2:$I$964,'Исходные данные'!$D$2:$D$964,EA$1,'Исходные данные'!$F$2:$F$964,$A46)</f>
        <v>0</v>
      </c>
      <c r="EB46" s="11" t="n">
        <f aca="false">SUMIFS('Исходные данные'!$J$2:$J$964,'Исходные данные'!$D$2:$D$964,EA$1,'Исходные данные'!$F$2:$F$964,$A46)</f>
        <v>0</v>
      </c>
      <c r="EC46" s="7" t="n">
        <v>0</v>
      </c>
      <c r="ED46" s="7" t="n">
        <v>0</v>
      </c>
      <c r="EE46" s="11" t="n">
        <f aca="false">SUMIFS('Исходные данные'!$I$2:$I$964,'Исходные данные'!$D$2:$D$964,EE$1,'Исходные данные'!$F$2:$F$964,$A46)</f>
        <v>0</v>
      </c>
      <c r="EF46" s="11" t="n">
        <f aca="false">SUMIFS('Исходные данные'!$J$2:$J$964,'Исходные данные'!$D$2:$D$964,EE$1,'Исходные данные'!$F$2:$F$964,$A46)</f>
        <v>0</v>
      </c>
      <c r="EG46" s="7" t="n">
        <v>0</v>
      </c>
      <c r="EH46" s="7" t="n">
        <v>0</v>
      </c>
      <c r="EI46" s="11" t="n">
        <f aca="false">SUMIFS('Исходные данные'!$I$2:$I$964,'Исходные данные'!$D$2:$D$964,EI$1,'Исходные данные'!$F$2:$F$964,$A46)</f>
        <v>0</v>
      </c>
      <c r="EJ46" s="11" t="n">
        <f aca="false">SUMIFS('Исходные данные'!$J$2:$J$964,'Исходные данные'!$D$2:$D$964,EI$1,'Исходные данные'!$F$2:$F$964,$A46)</f>
        <v>0</v>
      </c>
      <c r="EK46" s="7" t="n">
        <v>0</v>
      </c>
      <c r="EL46" s="7" t="n">
        <v>0</v>
      </c>
      <c r="EM46" s="11" t="n">
        <f aca="false">SUMIFS('Исходные данные'!$I$2:$I$964,'Исходные данные'!$D$2:$D$964,EM$1,'Исходные данные'!$F$2:$F$964,$A46)</f>
        <v>0</v>
      </c>
      <c r="EN46" s="11" t="n">
        <f aca="false">SUMIFS('Исходные данные'!$J$2:$J$964,'Исходные данные'!$D$2:$D$964,EM$1,'Исходные данные'!$F$2:$F$964,$A46)</f>
        <v>0</v>
      </c>
      <c r="EO46" s="7" t="n">
        <v>0</v>
      </c>
      <c r="EP46" s="7" t="n">
        <v>0</v>
      </c>
      <c r="EQ46" s="11" t="n">
        <f aca="false">SUMIFS('Исходные данные'!$I$2:$I$964,'Исходные данные'!$D$2:$D$964,EQ$1,'Исходные данные'!$F$2:$F$964,$A46)</f>
        <v>0</v>
      </c>
      <c r="ER46" s="11" t="n">
        <f aca="false">SUMIFS('Исходные данные'!$J$2:$J$964,'Исходные данные'!$D$2:$D$964,EQ$1,'Исходные данные'!$F$2:$F$964,$A46)</f>
        <v>0</v>
      </c>
      <c r="ES46" s="7" t="n">
        <v>0</v>
      </c>
      <c r="ET46" s="7" t="n">
        <v>0</v>
      </c>
      <c r="EU46" s="11" t="n">
        <f aca="false">SUMIFS('Исходные данные'!$I$2:$I$964,'Исходные данные'!$D$2:$D$964,EU$1,'Исходные данные'!$F$2:$F$964,$A46)</f>
        <v>0</v>
      </c>
      <c r="EV46" s="11" t="n">
        <f aca="false">SUMIFS('Исходные данные'!$J$2:$J$964,'Исходные данные'!$D$2:$D$964,EU$1,'Исходные данные'!$F$2:$F$964,$A46)</f>
        <v>0</v>
      </c>
      <c r="EW46" s="7" t="n">
        <v>0</v>
      </c>
      <c r="EX46" s="7" t="n">
        <v>0</v>
      </c>
      <c r="EY46" s="11" t="n">
        <f aca="false">SUMIFS('Исходные данные'!$I$2:$I$964,'Исходные данные'!$D$2:$D$964,EY$1,'Исходные данные'!$F$2:$F$964,$A46)</f>
        <v>0</v>
      </c>
      <c r="EZ46" s="11" t="n">
        <f aca="false">SUMIFS('Исходные данные'!$J$2:$J$964,'Исходные данные'!$D$2:$D$964,EY$1,'Исходные данные'!$F$2:$F$964,$A46)</f>
        <v>0</v>
      </c>
      <c r="FA46" s="7" t="n">
        <v>0</v>
      </c>
      <c r="FB46" s="7" t="n">
        <v>0</v>
      </c>
      <c r="FC46" s="11" t="n">
        <f aca="false">SUMIFS('Исходные данные'!$I$2:$I$964,'Исходные данные'!$D$2:$D$964,FC$1,'Исходные данные'!$F$2:$F$964,$A46)</f>
        <v>0</v>
      </c>
      <c r="FD46" s="11" t="n">
        <f aca="false">SUMIFS('Исходные данные'!$J$2:$J$964,'Исходные данные'!$D$2:$D$964,FC$1,'Исходные данные'!$F$2:$F$964,$A46)</f>
        <v>0</v>
      </c>
      <c r="FE46" s="7" t="n">
        <v>0</v>
      </c>
      <c r="FF46" s="7" t="n">
        <v>0</v>
      </c>
      <c r="FG46" s="11" t="n">
        <f aca="false">SUMIFS('Исходные данные'!$I$2:$I$964,'Исходные данные'!$D$2:$D$964,FG$1,'Исходные данные'!$F$2:$F$964,$A46)</f>
        <v>0</v>
      </c>
      <c r="FH46" s="11" t="n">
        <f aca="false">SUMIFS('Исходные данные'!$J$2:$J$964,'Исходные данные'!$D$2:$D$964,FG$1,'Исходные данные'!$F$2:$F$964,$A46)</f>
        <v>0</v>
      </c>
    </row>
    <row r="47" customFormat="false" ht="15" hidden="false" customHeight="false" outlineLevel="0" collapsed="false">
      <c r="A47" s="10" t="s">
        <v>137</v>
      </c>
      <c r="B47" s="11" t="s">
        <v>138</v>
      </c>
      <c r="C47" s="6" t="n">
        <v>5</v>
      </c>
      <c r="D47" s="6" t="n">
        <f aca="false">I47+J47+M47+N47+Q47+R47+U47+V47+Y47+Z47+AC47+AD47+AG47+AH47+AK47+AL47+AO47+AP47+AS47+AT47+AW47+AX47+BA47+BB47+BE47+BF47+BI47+BJ47+BM47+BN47+BQ47+BR47+BU47+BV47+BY47+BZ47+CC47+CD47+CG47+CH47+CK47+CL47+CO47+CP47+CS47+CT47+CW47+CX47+DA47+DB47+DE47+DF47+DI47+DJ47+DM47+DN47+DQ47+DR47+DU47+DV47+DY47+DZ47+EC47+ED47+EG47+EH47+EK47+EL47+EO47+EP47+ES47+ET47+EW47+EX47+FA47+FB47+FE47+FF47</f>
        <v>5</v>
      </c>
      <c r="E47" s="6" t="n">
        <f aca="false">G47+H47</f>
        <v>2</v>
      </c>
      <c r="F47" s="6" t="n">
        <f aca="false">E47-C47</f>
        <v>-3</v>
      </c>
      <c r="G47" s="6" t="n">
        <f aca="false">K47+O47+S47+W47+AA47+AE47+AI47+AM47+AQ47+AU47+AY47+BC47+BG47+BK47+BO47+BS47+BW47+CA47+CE47+CI47+CM47+CQ47+CU47+CY47+DC47+DG47+DK47+DO47+DS47+DW47+EA47+EE47+EI47+EM47+EQ47+EU47+EY47+FC47+FG47</f>
        <v>1</v>
      </c>
      <c r="H47" s="6" t="n">
        <f aca="false">L47+P47+T47+X47+AB47+AF47+AJ47+AN47+AR47+AV47+AZ47+BD47+BH47+BL47+BP47+BT47+BX47+CB47+CF47+CJ47+CN47+CR47+CV47+CZ47+DD47+DH47+DL47+DP47+DT47+DX47+EB47+EF47+EJ47+EN47+ER47+EV47+EZ47+FD47+FH47</f>
        <v>1</v>
      </c>
      <c r="I47" s="7" t="n">
        <v>0</v>
      </c>
      <c r="J47" s="7" t="n">
        <v>0</v>
      </c>
      <c r="K47" s="11" t="n">
        <f aca="false">SUMIFS('Исходные данные'!$I$2:$I$964,'Исходные данные'!$D$2:$D$964,K$1,'Исходные данные'!$F$2:$F$964,$A47)</f>
        <v>0</v>
      </c>
      <c r="L47" s="11" t="n">
        <f aca="false">SUMIFS('Исходные данные'!$J$2:$J$964,'Исходные данные'!$D$2:$D$964,K$1,'Исходные данные'!$F$2:$F$964,$A47)</f>
        <v>0</v>
      </c>
      <c r="M47" s="7" t="n">
        <v>0</v>
      </c>
      <c r="N47" s="7" t="n">
        <v>0</v>
      </c>
      <c r="O47" s="11" t="n">
        <f aca="false">SUMIFS('Исходные данные'!$I$2:$I$964,'Исходные данные'!$D$2:$D$964,O$1,'Исходные данные'!$F$2:$F$964,$A47)</f>
        <v>0</v>
      </c>
      <c r="P47" s="11" t="n">
        <f aca="false">SUMIFS('Исходные данные'!$J$2:$J$964,'Исходные данные'!$D$2:$D$964,O$1,'Исходные данные'!$F$2:$F$964,$A47)</f>
        <v>0</v>
      </c>
      <c r="Q47" s="7" t="n">
        <v>0</v>
      </c>
      <c r="R47" s="7" t="n">
        <v>0</v>
      </c>
      <c r="S47" s="11" t="n">
        <f aca="false">SUMIFS('Исходные данные'!$I$2:$I$964,'Исходные данные'!$D$2:$D$964,S$1,'Исходные данные'!$F$2:$F$964,$A47)</f>
        <v>0</v>
      </c>
      <c r="T47" s="11" t="n">
        <f aca="false">SUMIFS('Исходные данные'!$J$2:$J$964,'Исходные данные'!$D$2:$D$964,S$1,'Исходные данные'!$F$2:$F$964,$A47)</f>
        <v>0</v>
      </c>
      <c r="U47" s="7" t="n">
        <v>0</v>
      </c>
      <c r="V47" s="7" t="n">
        <v>0</v>
      </c>
      <c r="W47" s="11" t="n">
        <f aca="false">SUMIFS('Исходные данные'!$I$2:$I$964,'Исходные данные'!$D$2:$D$964,W$1,'Исходные данные'!$F$2:$F$964,$A47)</f>
        <v>0</v>
      </c>
      <c r="X47" s="11" t="n">
        <f aca="false">SUMIFS('Исходные данные'!$J$2:$J$964,'Исходные данные'!$D$2:$D$964,W$1,'Исходные данные'!$F$2:$F$964,$A47)</f>
        <v>0</v>
      </c>
      <c r="Y47" s="7" t="n">
        <v>0</v>
      </c>
      <c r="Z47" s="7" t="n">
        <v>0</v>
      </c>
      <c r="AA47" s="11" t="n">
        <f aca="false">SUMIFS('Исходные данные'!$I$2:$I$964,'Исходные данные'!$D$2:$D$964,AA$1,'Исходные данные'!$F$2:$F$964,$A47)</f>
        <v>0</v>
      </c>
      <c r="AB47" s="11" t="n">
        <f aca="false">SUMIFS('Исходные данные'!$J$2:$J$964,'Исходные данные'!$D$2:$D$964,AA$1,'Исходные данные'!$F$2:$F$964,$A47)</f>
        <v>0</v>
      </c>
      <c r="AC47" s="7" t="n">
        <v>0</v>
      </c>
      <c r="AD47" s="7" t="n">
        <v>0</v>
      </c>
      <c r="AE47" s="11" t="n">
        <f aca="false">SUMIFS('Исходные данные'!$I$2:$I$964,'Исходные данные'!$D$2:$D$964,AE$1,'Исходные данные'!$F$2:$F$964,$A47)</f>
        <v>0</v>
      </c>
      <c r="AF47" s="11" t="n">
        <f aca="false">SUMIFS('Исходные данные'!$J$2:$J$964,'Исходные данные'!$D$2:$D$964,AE$1,'Исходные данные'!$F$2:$F$964,$A47)</f>
        <v>0</v>
      </c>
      <c r="AG47" s="7" t="n">
        <v>0</v>
      </c>
      <c r="AH47" s="7" t="n">
        <v>0</v>
      </c>
      <c r="AI47" s="11" t="n">
        <f aca="false">SUMIFS('Исходные данные'!$I$2:$I$964,'Исходные данные'!$D$2:$D$964,AI$1,'Исходные данные'!$F$2:$F$964,$A47)</f>
        <v>0</v>
      </c>
      <c r="AJ47" s="11" t="n">
        <f aca="false">SUMIFS('Исходные данные'!$J$2:$J$964,'Исходные данные'!$D$2:$D$964,AI$1,'Исходные данные'!$F$2:$F$964,$A47)</f>
        <v>0</v>
      </c>
      <c r="AK47" s="7" t="n">
        <v>0</v>
      </c>
      <c r="AL47" s="7" t="n">
        <v>0</v>
      </c>
      <c r="AM47" s="11" t="n">
        <f aca="false">SUMIFS('Исходные данные'!$I$2:$I$964,'Исходные данные'!$D$2:$D$964,AM$1,'Исходные данные'!$F$2:$F$964,$A47)</f>
        <v>0</v>
      </c>
      <c r="AN47" s="11" t="n">
        <f aca="false">SUMIFS('Исходные данные'!$J$2:$J$964,'Исходные данные'!$D$2:$D$964,AM$1,'Исходные данные'!$F$2:$F$964,$A47)</f>
        <v>0</v>
      </c>
      <c r="AO47" s="7" t="n">
        <v>0</v>
      </c>
      <c r="AP47" s="7" t="n">
        <v>0</v>
      </c>
      <c r="AQ47" s="11" t="n">
        <f aca="false">SUMIFS('Исходные данные'!$I$2:$I$964,'Исходные данные'!$D$2:$D$964,AQ$1,'Исходные данные'!$F$2:$F$964,$A47)</f>
        <v>0</v>
      </c>
      <c r="AR47" s="11" t="n">
        <f aca="false">SUMIFS('Исходные данные'!$J$2:$J$964,'Исходные данные'!$D$2:$D$964,AQ$1,'Исходные данные'!$F$2:$F$964,$A47)</f>
        <v>0</v>
      </c>
      <c r="AS47" s="7" t="n">
        <v>0</v>
      </c>
      <c r="AT47" s="7" t="n">
        <v>0</v>
      </c>
      <c r="AU47" s="11" t="n">
        <f aca="false">SUMIFS('Исходные данные'!$I$2:$I$964,'Исходные данные'!$D$2:$D$964,AU$1,'Исходные данные'!$F$2:$F$964,$A47)</f>
        <v>0</v>
      </c>
      <c r="AV47" s="11" t="n">
        <f aca="false">SUMIFS('Исходные данные'!$J$2:$J$964,'Исходные данные'!$D$2:$D$964,AU$1,'Исходные данные'!$F$2:$F$964,$A47)</f>
        <v>0</v>
      </c>
      <c r="AW47" s="7" t="n">
        <v>0</v>
      </c>
      <c r="AX47" s="7" t="n">
        <v>0</v>
      </c>
      <c r="AY47" s="11" t="n">
        <f aca="false">SUMIFS('Исходные данные'!$I$2:$I$964,'Исходные данные'!$D$2:$D$964,AY$1,'Исходные данные'!$F$2:$F$964,$A47)</f>
        <v>0</v>
      </c>
      <c r="AZ47" s="11" t="n">
        <f aca="false">SUMIFS('Исходные данные'!$J$2:$J$964,'Исходные данные'!$D$2:$D$964,AY$1,'Исходные данные'!$F$2:$F$964,$A47)</f>
        <v>0</v>
      </c>
      <c r="BA47" s="7" t="n">
        <v>0</v>
      </c>
      <c r="BB47" s="7" t="n">
        <v>0</v>
      </c>
      <c r="BC47" s="11" t="n">
        <f aca="false">SUMIFS('Исходные данные'!$I$2:$I$964,'Исходные данные'!$D$2:$D$964,BC$1,'Исходные данные'!$F$2:$F$964,$A47)</f>
        <v>0</v>
      </c>
      <c r="BD47" s="11" t="n">
        <f aca="false">SUMIFS('Исходные данные'!$J$2:$J$964,'Исходные данные'!$D$2:$D$964,BC$1,'Исходные данные'!$F$2:$F$964,$A47)</f>
        <v>0</v>
      </c>
      <c r="BE47" s="7" t="n">
        <v>2</v>
      </c>
      <c r="BF47" s="7" t="n">
        <v>0</v>
      </c>
      <c r="BG47" s="11" t="n">
        <f aca="false">SUMIFS('Исходные данные'!$I$2:$I$964,'Исходные данные'!$D$2:$D$964,BG$1,'Исходные данные'!$F$2:$F$964,$A47)</f>
        <v>1</v>
      </c>
      <c r="BH47" s="11" t="n">
        <f aca="false">SUMIFS('Исходные данные'!$J$2:$J$964,'Исходные данные'!$D$2:$D$964,BG$1,'Исходные данные'!$F$2:$F$964,$A47)</f>
        <v>0</v>
      </c>
      <c r="BI47" s="7" t="n">
        <v>0</v>
      </c>
      <c r="BJ47" s="7" t="n">
        <v>0</v>
      </c>
      <c r="BK47" s="11" t="n">
        <f aca="false">SUMIFS('Исходные данные'!$I$2:$I$964,'Исходные данные'!$D$2:$D$964,BK$1,'Исходные данные'!$F$2:$F$964,$A47)</f>
        <v>0</v>
      </c>
      <c r="BL47" s="11" t="n">
        <f aca="false">SUMIFS('Исходные данные'!$J$2:$J$964,'Исходные данные'!$D$2:$D$964,BK$1,'Исходные данные'!$F$2:$F$964,$A47)</f>
        <v>0</v>
      </c>
      <c r="BM47" s="7" t="n">
        <v>0</v>
      </c>
      <c r="BN47" s="7" t="n">
        <v>0</v>
      </c>
      <c r="BO47" s="11" t="n">
        <f aca="false">SUMIFS('Исходные данные'!$I$2:$I$964,'Исходные данные'!$D$2:$D$964,BO$1,'Исходные данные'!$F$2:$F$964,$A47)</f>
        <v>0</v>
      </c>
      <c r="BP47" s="11" t="n">
        <f aca="false">SUMIFS('Исходные данные'!$J$2:$J$964,'Исходные данные'!$D$2:$D$964,BO$1,'Исходные данные'!$F$2:$F$964,$A47)</f>
        <v>0</v>
      </c>
      <c r="BQ47" s="7" t="n">
        <v>1</v>
      </c>
      <c r="BR47" s="7" t="n">
        <v>1</v>
      </c>
      <c r="BS47" s="11" t="n">
        <f aca="false">SUMIFS('Исходные данные'!$I$2:$I$964,'Исходные данные'!$D$2:$D$964,BS$1,'Исходные данные'!$F$2:$F$964,$A47)</f>
        <v>0</v>
      </c>
      <c r="BT47" s="11" t="n">
        <f aca="false">SUMIFS('Исходные данные'!$J$2:$J$964,'Исходные данные'!$D$2:$D$964,BS$1,'Исходные данные'!$F$2:$F$964,$A47)</f>
        <v>1</v>
      </c>
      <c r="BU47" s="7" t="n">
        <v>0</v>
      </c>
      <c r="BV47" s="7" t="n">
        <v>0</v>
      </c>
      <c r="BW47" s="11" t="n">
        <f aca="false">SUMIFS('Исходные данные'!$I$2:$I$964,'Исходные данные'!$D$2:$D$964,BW$1,'Исходные данные'!$F$2:$F$964,$A47)</f>
        <v>0</v>
      </c>
      <c r="BX47" s="11" t="n">
        <f aca="false">SUMIFS('Исходные данные'!$J$2:$J$964,'Исходные данные'!$D$2:$D$964,BW$1,'Исходные данные'!$F$2:$F$964,$A47)</f>
        <v>0</v>
      </c>
      <c r="BY47" s="7" t="n">
        <v>0</v>
      </c>
      <c r="BZ47" s="7" t="n">
        <v>0</v>
      </c>
      <c r="CA47" s="11" t="n">
        <f aca="false">SUMIFS('Исходные данные'!$I$2:$I$964,'Исходные данные'!$D$2:$D$964,CA$1,'Исходные данные'!$F$2:$F$964,$A47)</f>
        <v>0</v>
      </c>
      <c r="CB47" s="11" t="n">
        <f aca="false">SUMIFS('Исходные данные'!$J$2:$J$964,'Исходные данные'!$D$2:$D$964,CA$1,'Исходные данные'!$F$2:$F$964,$A47)</f>
        <v>0</v>
      </c>
      <c r="CC47" s="7" t="n">
        <v>0</v>
      </c>
      <c r="CD47" s="7" t="n">
        <v>0</v>
      </c>
      <c r="CE47" s="11" t="n">
        <f aca="false">SUMIFS('Исходные данные'!$I$2:$I$964,'Исходные данные'!$D$2:$D$964,CE$1,'Исходные данные'!$F$2:$F$964,$A47)</f>
        <v>0</v>
      </c>
      <c r="CF47" s="11" t="n">
        <f aca="false">SUMIFS('Исходные данные'!$J$2:$J$964,'Исходные данные'!$D$2:$D$964,CE$1,'Исходные данные'!$F$2:$F$964,$A47)</f>
        <v>0</v>
      </c>
      <c r="CG47" s="7" t="n">
        <v>0</v>
      </c>
      <c r="CH47" s="7" t="n">
        <v>0</v>
      </c>
      <c r="CI47" s="11" t="n">
        <f aca="false">SUMIFS('Исходные данные'!$I$2:$I$964,'Исходные данные'!$D$2:$D$964,CI$1,'Исходные данные'!$F$2:$F$964,$A47)</f>
        <v>0</v>
      </c>
      <c r="CJ47" s="11" t="n">
        <f aca="false">SUMIFS('Исходные данные'!$J$2:$J$964,'Исходные данные'!$D$2:$D$964,CI$1,'Исходные данные'!$F$2:$F$964,$A47)</f>
        <v>0</v>
      </c>
      <c r="CK47" s="7" t="n">
        <v>0</v>
      </c>
      <c r="CL47" s="7" t="n">
        <v>0</v>
      </c>
      <c r="CM47" s="11" t="n">
        <f aca="false">SUMIFS('Исходные данные'!$I$2:$I$964,'Исходные данные'!$D$2:$D$964,CM$1,'Исходные данные'!$F$2:$F$964,$A47)</f>
        <v>0</v>
      </c>
      <c r="CN47" s="11" t="n">
        <f aca="false">SUMIFS('Исходные данные'!$J$2:$J$964,'Исходные данные'!$D$2:$D$964,CM$1,'Исходные данные'!$F$2:$F$964,$A47)</f>
        <v>0</v>
      </c>
      <c r="CO47" s="7" t="n">
        <v>0</v>
      </c>
      <c r="CP47" s="7" t="n">
        <v>0</v>
      </c>
      <c r="CQ47" s="11" t="n">
        <f aca="false">SUMIFS('Исходные данные'!$I$2:$I$964,'Исходные данные'!$D$2:$D$964,CQ$1,'Исходные данные'!$F$2:$F$964,$A47)</f>
        <v>0</v>
      </c>
      <c r="CR47" s="11" t="n">
        <f aca="false">SUMIFS('Исходные данные'!$J$2:$J$964,'Исходные данные'!$D$2:$D$964,CQ$1,'Исходные данные'!$F$2:$F$964,$A47)</f>
        <v>0</v>
      </c>
      <c r="CS47" s="7" t="n">
        <v>0</v>
      </c>
      <c r="CT47" s="7" t="n">
        <v>0</v>
      </c>
      <c r="CU47" s="11" t="n">
        <f aca="false">SUMIFS('Исходные данные'!$I$2:$I$964,'Исходные данные'!$D$2:$D$964,CU$1,'Исходные данные'!$F$2:$F$964,$A47)</f>
        <v>0</v>
      </c>
      <c r="CV47" s="11" t="n">
        <f aca="false">SUMIFS('Исходные данные'!$J$2:$J$964,'Исходные данные'!$D$2:$D$964,CU$1,'Исходные данные'!$F$2:$F$964,$A47)</f>
        <v>0</v>
      </c>
      <c r="CW47" s="7" t="n">
        <v>0</v>
      </c>
      <c r="CX47" s="7" t="n">
        <v>0</v>
      </c>
      <c r="CY47" s="11" t="n">
        <f aca="false">SUMIFS('Исходные данные'!$I$2:$I$964,'Исходные данные'!$D$2:$D$964,CY$1,'Исходные данные'!$F$2:$F$964,$A47)</f>
        <v>0</v>
      </c>
      <c r="CZ47" s="11" t="n">
        <f aca="false">SUMIFS('Исходные данные'!$J$2:$J$964,'Исходные данные'!$D$2:$D$964,CY$1,'Исходные данные'!$F$2:$F$964,$A47)</f>
        <v>0</v>
      </c>
      <c r="DA47" s="7" t="n">
        <v>0</v>
      </c>
      <c r="DB47" s="7" t="n">
        <v>0</v>
      </c>
      <c r="DC47" s="11" t="n">
        <f aca="false">SUMIFS('Исходные данные'!$I$2:$I$964,'Исходные данные'!$D$2:$D$964,DC$1,'Исходные данные'!$F$2:$F$964,$A47)</f>
        <v>0</v>
      </c>
      <c r="DD47" s="11" t="n">
        <f aca="false">SUMIFS('Исходные данные'!$J$2:$J$964,'Исходные данные'!$D$2:$D$964,DC$1,'Исходные данные'!$F$2:$F$964,$A47)</f>
        <v>0</v>
      </c>
      <c r="DE47" s="7" t="n">
        <v>0</v>
      </c>
      <c r="DF47" s="7" t="n">
        <v>0</v>
      </c>
      <c r="DG47" s="11" t="n">
        <f aca="false">SUMIFS('Исходные данные'!$I$2:$I$964,'Исходные данные'!$D$2:$D$964,DG$1,'Исходные данные'!$F$2:$F$964,$A47)</f>
        <v>0</v>
      </c>
      <c r="DH47" s="11" t="n">
        <f aca="false">SUMIFS('Исходные данные'!$J$2:$J$964,'Исходные данные'!$D$2:$D$964,DG$1,'Исходные данные'!$F$2:$F$964,$A47)</f>
        <v>0</v>
      </c>
      <c r="DI47" s="7" t="n">
        <v>0</v>
      </c>
      <c r="DJ47" s="7" t="n">
        <v>0</v>
      </c>
      <c r="DK47" s="11" t="n">
        <f aca="false">SUMIFS('Исходные данные'!$I$2:$I$964,'Исходные данные'!$D$2:$D$964,DK$1,'Исходные данные'!$F$2:$F$964,$A47)</f>
        <v>0</v>
      </c>
      <c r="DL47" s="11" t="n">
        <f aca="false">SUMIFS('Исходные данные'!$J$2:$J$964,'Исходные данные'!$D$2:$D$964,DK$1,'Исходные данные'!$F$2:$F$964,$A47)</f>
        <v>0</v>
      </c>
      <c r="DM47" s="7" t="n">
        <v>0</v>
      </c>
      <c r="DN47" s="7" t="n">
        <v>0</v>
      </c>
      <c r="DO47" s="11" t="n">
        <f aca="false">SUMIFS('Исходные данные'!$I$2:$I$964,'Исходные данные'!$D$2:$D$964,DO$1,'Исходные данные'!$F$2:$F$964,$A47)</f>
        <v>0</v>
      </c>
      <c r="DP47" s="11" t="n">
        <f aca="false">SUMIFS('Исходные данные'!$J$2:$J$964,'Исходные данные'!$D$2:$D$964,DO$1,'Исходные данные'!$F$2:$F$964,$A47)</f>
        <v>0</v>
      </c>
      <c r="DQ47" s="7" t="n">
        <v>0</v>
      </c>
      <c r="DR47" s="7" t="n">
        <v>0</v>
      </c>
      <c r="DS47" s="11" t="n">
        <f aca="false">SUMIFS('Исходные данные'!$I$2:$I$964,'Исходные данные'!$D$2:$D$964,DS$1,'Исходные данные'!$F$2:$F$964,$A47)</f>
        <v>0</v>
      </c>
      <c r="DT47" s="11" t="n">
        <f aca="false">SUMIFS('Исходные данные'!$J$2:$J$964,'Исходные данные'!$D$2:$D$964,DS$1,'Исходные данные'!$F$2:$F$964,$A47)</f>
        <v>0</v>
      </c>
      <c r="DU47" s="7" t="n">
        <v>0</v>
      </c>
      <c r="DV47" s="7" t="n">
        <v>0</v>
      </c>
      <c r="DW47" s="11" t="n">
        <f aca="false">SUMIFS('Исходные данные'!$I$2:$I$964,'Исходные данные'!$D$2:$D$964,DW$1,'Исходные данные'!$F$2:$F$964,$A47)</f>
        <v>0</v>
      </c>
      <c r="DX47" s="11" t="n">
        <f aca="false">SUMIFS('Исходные данные'!$J$2:$J$964,'Исходные данные'!$D$2:$D$964,DW$1,'Исходные данные'!$F$2:$F$964,$A47)</f>
        <v>0</v>
      </c>
      <c r="DY47" s="7" t="n">
        <v>0</v>
      </c>
      <c r="DZ47" s="7" t="n">
        <v>0</v>
      </c>
      <c r="EA47" s="11" t="n">
        <f aca="false">SUMIFS('Исходные данные'!$I$2:$I$964,'Исходные данные'!$D$2:$D$964,EA$1,'Исходные данные'!$F$2:$F$964,$A47)</f>
        <v>0</v>
      </c>
      <c r="EB47" s="11" t="n">
        <f aca="false">SUMIFS('Исходные данные'!$J$2:$J$964,'Исходные данные'!$D$2:$D$964,EA$1,'Исходные данные'!$F$2:$F$964,$A47)</f>
        <v>0</v>
      </c>
      <c r="EC47" s="7" t="n">
        <v>0</v>
      </c>
      <c r="ED47" s="7" t="n">
        <v>0</v>
      </c>
      <c r="EE47" s="11" t="n">
        <f aca="false">SUMIFS('Исходные данные'!$I$2:$I$964,'Исходные данные'!$D$2:$D$964,EE$1,'Исходные данные'!$F$2:$F$964,$A47)</f>
        <v>0</v>
      </c>
      <c r="EF47" s="11" t="n">
        <f aca="false">SUMIFS('Исходные данные'!$J$2:$J$964,'Исходные данные'!$D$2:$D$964,EE$1,'Исходные данные'!$F$2:$F$964,$A47)</f>
        <v>0</v>
      </c>
      <c r="EG47" s="7" t="n">
        <v>0</v>
      </c>
      <c r="EH47" s="7" t="n">
        <v>0</v>
      </c>
      <c r="EI47" s="11" t="n">
        <f aca="false">SUMIFS('Исходные данные'!$I$2:$I$964,'Исходные данные'!$D$2:$D$964,EI$1,'Исходные данные'!$F$2:$F$964,$A47)</f>
        <v>0</v>
      </c>
      <c r="EJ47" s="11" t="n">
        <f aca="false">SUMIFS('Исходные данные'!$J$2:$J$964,'Исходные данные'!$D$2:$D$964,EI$1,'Исходные данные'!$F$2:$F$964,$A47)</f>
        <v>0</v>
      </c>
      <c r="EK47" s="7" t="n">
        <v>1</v>
      </c>
      <c r="EL47" s="7" t="n">
        <v>0</v>
      </c>
      <c r="EM47" s="11" t="n">
        <f aca="false">SUMIFS('Исходные данные'!$I$2:$I$964,'Исходные данные'!$D$2:$D$964,EM$1,'Исходные данные'!$F$2:$F$964,$A47)</f>
        <v>0</v>
      </c>
      <c r="EN47" s="11" t="n">
        <f aca="false">SUMIFS('Исходные данные'!$J$2:$J$964,'Исходные данные'!$D$2:$D$964,EM$1,'Исходные данные'!$F$2:$F$964,$A47)</f>
        <v>0</v>
      </c>
      <c r="EO47" s="7" t="n">
        <v>0</v>
      </c>
      <c r="EP47" s="7" t="n">
        <v>0</v>
      </c>
      <c r="EQ47" s="11" t="n">
        <f aca="false">SUMIFS('Исходные данные'!$I$2:$I$964,'Исходные данные'!$D$2:$D$964,EQ$1,'Исходные данные'!$F$2:$F$964,$A47)</f>
        <v>0</v>
      </c>
      <c r="ER47" s="11" t="n">
        <f aca="false">SUMIFS('Исходные данные'!$J$2:$J$964,'Исходные данные'!$D$2:$D$964,EQ$1,'Исходные данные'!$F$2:$F$964,$A47)</f>
        <v>0</v>
      </c>
      <c r="ES47" s="7" t="n">
        <v>0</v>
      </c>
      <c r="ET47" s="7" t="n">
        <v>0</v>
      </c>
      <c r="EU47" s="11" t="n">
        <f aca="false">SUMIFS('Исходные данные'!$I$2:$I$964,'Исходные данные'!$D$2:$D$964,EU$1,'Исходные данные'!$F$2:$F$964,$A47)</f>
        <v>0</v>
      </c>
      <c r="EV47" s="11" t="n">
        <f aca="false">SUMIFS('Исходные данные'!$J$2:$J$964,'Исходные данные'!$D$2:$D$964,EU$1,'Исходные данные'!$F$2:$F$964,$A47)</f>
        <v>0</v>
      </c>
      <c r="EW47" s="7" t="n">
        <v>0</v>
      </c>
      <c r="EX47" s="7" t="n">
        <v>0</v>
      </c>
      <c r="EY47" s="11" t="n">
        <f aca="false">SUMIFS('Исходные данные'!$I$2:$I$964,'Исходные данные'!$D$2:$D$964,EY$1,'Исходные данные'!$F$2:$F$964,$A47)</f>
        <v>0</v>
      </c>
      <c r="EZ47" s="11" t="n">
        <f aca="false">SUMIFS('Исходные данные'!$J$2:$J$964,'Исходные данные'!$D$2:$D$964,EY$1,'Исходные данные'!$F$2:$F$964,$A47)</f>
        <v>0</v>
      </c>
      <c r="FA47" s="7" t="n">
        <v>0</v>
      </c>
      <c r="FB47" s="7" t="n">
        <v>0</v>
      </c>
      <c r="FC47" s="11" t="n">
        <f aca="false">SUMIFS('Исходные данные'!$I$2:$I$964,'Исходные данные'!$D$2:$D$964,FC$1,'Исходные данные'!$F$2:$F$964,$A47)</f>
        <v>0</v>
      </c>
      <c r="FD47" s="11" t="n">
        <f aca="false">SUMIFS('Исходные данные'!$J$2:$J$964,'Исходные данные'!$D$2:$D$964,FC$1,'Исходные данные'!$F$2:$F$964,$A47)</f>
        <v>0</v>
      </c>
      <c r="FE47" s="7" t="n">
        <v>0</v>
      </c>
      <c r="FF47" s="7" t="n">
        <v>0</v>
      </c>
      <c r="FG47" s="11" t="n">
        <f aca="false">SUMIFS('Исходные данные'!$I$2:$I$964,'Исходные данные'!$D$2:$D$964,FG$1,'Исходные данные'!$F$2:$F$964,$A47)</f>
        <v>0</v>
      </c>
      <c r="FH47" s="11" t="n">
        <f aca="false">SUMIFS('Исходные данные'!$J$2:$J$964,'Исходные данные'!$D$2:$D$964,FG$1,'Исходные данные'!$F$2:$F$964,$A47)</f>
        <v>0</v>
      </c>
    </row>
    <row r="48" customFormat="false" ht="15" hidden="false" customHeight="false" outlineLevel="0" collapsed="false">
      <c r="A48" s="10" t="s">
        <v>139</v>
      </c>
      <c r="B48" s="11" t="s">
        <v>140</v>
      </c>
      <c r="C48" s="6" t="n">
        <v>1</v>
      </c>
      <c r="D48" s="6" t="n">
        <f aca="false">I48+J48+M48+N48+Q48+R48+U48+V48+Y48+Z48+AC48+AD48+AG48+AH48+AK48+AL48+AO48+AP48+AS48+AT48+AW48+AX48+BA48+BB48+BE48+BF48+BI48+BJ48+BM48+BN48+BQ48+BR48+BU48+BV48+BY48+BZ48+CC48+CD48+CG48+CH48+CK48+CL48+CO48+CP48+CS48+CT48+CW48+CX48+DA48+DB48+DE48+DF48+DI48+DJ48+DM48+DN48+DQ48+DR48+DU48+DV48+DY48+DZ48+EC48+ED48+EG48+EH48+EK48+EL48+EO48+EP48+ES48+ET48+EW48+EX48+FA48+FB48+FE48+FF48</f>
        <v>1</v>
      </c>
      <c r="E48" s="6" t="n">
        <f aca="false">G48+H48</f>
        <v>0</v>
      </c>
      <c r="F48" s="6" t="n">
        <f aca="false">E48-C48</f>
        <v>-1</v>
      </c>
      <c r="G48" s="6" t="n">
        <f aca="false">K48+O48+S48+W48+AA48+AE48+AI48+AM48+AQ48+AU48+AY48+BC48+BG48+BK48+BO48+BS48+BW48+CA48+CE48+CI48+CM48+CQ48+CU48+CY48+DC48+DG48+DK48+DO48+DS48+DW48+EA48+EE48+EI48+EM48+EQ48+EU48+EY48+FC48+FG48</f>
        <v>0</v>
      </c>
      <c r="H48" s="6" t="n">
        <f aca="false">L48+P48+T48+X48+AB48+AF48+AJ48+AN48+AR48+AV48+AZ48+BD48+BH48+BL48+BP48+BT48+BX48+CB48+CF48+CJ48+CN48+CR48+CV48+CZ48+DD48+DH48+DL48+DP48+DT48+DX48+EB48+EF48+EJ48+EN48+ER48+EV48+EZ48+FD48+FH48</f>
        <v>0</v>
      </c>
      <c r="I48" s="7" t="n">
        <v>0</v>
      </c>
      <c r="J48" s="7" t="n">
        <v>0</v>
      </c>
      <c r="K48" s="11" t="n">
        <f aca="false">SUMIFS('Исходные данные'!$I$2:$I$964,'Исходные данные'!$D$2:$D$964,K$1,'Исходные данные'!$F$2:$F$964,$A48)</f>
        <v>0</v>
      </c>
      <c r="L48" s="11" t="n">
        <f aca="false">SUMIFS('Исходные данные'!$J$2:$J$964,'Исходные данные'!$D$2:$D$964,K$1,'Исходные данные'!$F$2:$F$964,$A48)</f>
        <v>0</v>
      </c>
      <c r="M48" s="7" t="n">
        <v>0</v>
      </c>
      <c r="N48" s="7" t="n">
        <v>0</v>
      </c>
      <c r="O48" s="11" t="n">
        <f aca="false">SUMIFS('Исходные данные'!$I$2:$I$964,'Исходные данные'!$D$2:$D$964,O$1,'Исходные данные'!$F$2:$F$964,$A48)</f>
        <v>0</v>
      </c>
      <c r="P48" s="11" t="n">
        <f aca="false">SUMIFS('Исходные данные'!$J$2:$J$964,'Исходные данные'!$D$2:$D$964,O$1,'Исходные данные'!$F$2:$F$964,$A48)</f>
        <v>0</v>
      </c>
      <c r="Q48" s="7" t="n">
        <v>0</v>
      </c>
      <c r="R48" s="7" t="n">
        <v>0</v>
      </c>
      <c r="S48" s="11" t="n">
        <f aca="false">SUMIFS('Исходные данные'!$I$2:$I$964,'Исходные данные'!$D$2:$D$964,S$1,'Исходные данные'!$F$2:$F$964,$A48)</f>
        <v>0</v>
      </c>
      <c r="T48" s="11" t="n">
        <f aca="false">SUMIFS('Исходные данные'!$J$2:$J$964,'Исходные данные'!$D$2:$D$964,S$1,'Исходные данные'!$F$2:$F$964,$A48)</f>
        <v>0</v>
      </c>
      <c r="U48" s="7" t="n">
        <v>0</v>
      </c>
      <c r="V48" s="7" t="n">
        <v>0</v>
      </c>
      <c r="W48" s="11" t="n">
        <f aca="false">SUMIFS('Исходные данные'!$I$2:$I$964,'Исходные данные'!$D$2:$D$964,W$1,'Исходные данные'!$F$2:$F$964,$A48)</f>
        <v>0</v>
      </c>
      <c r="X48" s="11" t="n">
        <f aca="false">SUMIFS('Исходные данные'!$J$2:$J$964,'Исходные данные'!$D$2:$D$964,W$1,'Исходные данные'!$F$2:$F$964,$A48)</f>
        <v>0</v>
      </c>
      <c r="Y48" s="7" t="n">
        <v>0</v>
      </c>
      <c r="Z48" s="7" t="n">
        <v>0</v>
      </c>
      <c r="AA48" s="11" t="n">
        <f aca="false">SUMIFS('Исходные данные'!$I$2:$I$964,'Исходные данные'!$D$2:$D$964,AA$1,'Исходные данные'!$F$2:$F$964,$A48)</f>
        <v>0</v>
      </c>
      <c r="AB48" s="11" t="n">
        <f aca="false">SUMIFS('Исходные данные'!$J$2:$J$964,'Исходные данные'!$D$2:$D$964,AA$1,'Исходные данные'!$F$2:$F$964,$A48)</f>
        <v>0</v>
      </c>
      <c r="AC48" s="7" t="n">
        <v>0</v>
      </c>
      <c r="AD48" s="7" t="n">
        <v>0</v>
      </c>
      <c r="AE48" s="11" t="n">
        <f aca="false">SUMIFS('Исходные данные'!$I$2:$I$964,'Исходные данные'!$D$2:$D$964,AE$1,'Исходные данные'!$F$2:$F$964,$A48)</f>
        <v>0</v>
      </c>
      <c r="AF48" s="11" t="n">
        <f aca="false">SUMIFS('Исходные данные'!$J$2:$J$964,'Исходные данные'!$D$2:$D$964,AE$1,'Исходные данные'!$F$2:$F$964,$A48)</f>
        <v>0</v>
      </c>
      <c r="AG48" s="7" t="n">
        <v>0</v>
      </c>
      <c r="AH48" s="7" t="n">
        <v>0</v>
      </c>
      <c r="AI48" s="11" t="n">
        <f aca="false">SUMIFS('Исходные данные'!$I$2:$I$964,'Исходные данные'!$D$2:$D$964,AI$1,'Исходные данные'!$F$2:$F$964,$A48)</f>
        <v>0</v>
      </c>
      <c r="AJ48" s="11" t="n">
        <f aca="false">SUMIFS('Исходные данные'!$J$2:$J$964,'Исходные данные'!$D$2:$D$964,AI$1,'Исходные данные'!$F$2:$F$964,$A48)</f>
        <v>0</v>
      </c>
      <c r="AK48" s="7" t="n">
        <v>1</v>
      </c>
      <c r="AL48" s="7" t="n">
        <v>0</v>
      </c>
      <c r="AM48" s="11" t="n">
        <f aca="false">SUMIFS('Исходные данные'!$I$2:$I$964,'Исходные данные'!$D$2:$D$964,AM$1,'Исходные данные'!$F$2:$F$964,$A48)</f>
        <v>0</v>
      </c>
      <c r="AN48" s="11" t="n">
        <f aca="false">SUMIFS('Исходные данные'!$J$2:$J$964,'Исходные данные'!$D$2:$D$964,AM$1,'Исходные данные'!$F$2:$F$964,$A48)</f>
        <v>0</v>
      </c>
      <c r="AO48" s="7" t="n">
        <v>0</v>
      </c>
      <c r="AP48" s="7" t="n">
        <v>0</v>
      </c>
      <c r="AQ48" s="11" t="n">
        <f aca="false">SUMIFS('Исходные данные'!$I$2:$I$964,'Исходные данные'!$D$2:$D$964,AQ$1,'Исходные данные'!$F$2:$F$964,$A48)</f>
        <v>0</v>
      </c>
      <c r="AR48" s="11" t="n">
        <f aca="false">SUMIFS('Исходные данные'!$J$2:$J$964,'Исходные данные'!$D$2:$D$964,AQ$1,'Исходные данные'!$F$2:$F$964,$A48)</f>
        <v>0</v>
      </c>
      <c r="AS48" s="7" t="n">
        <v>0</v>
      </c>
      <c r="AT48" s="7" t="n">
        <v>0</v>
      </c>
      <c r="AU48" s="11" t="n">
        <f aca="false">SUMIFS('Исходные данные'!$I$2:$I$964,'Исходные данные'!$D$2:$D$964,AU$1,'Исходные данные'!$F$2:$F$964,$A48)</f>
        <v>0</v>
      </c>
      <c r="AV48" s="11" t="n">
        <f aca="false">SUMIFS('Исходные данные'!$J$2:$J$964,'Исходные данные'!$D$2:$D$964,AU$1,'Исходные данные'!$F$2:$F$964,$A48)</f>
        <v>0</v>
      </c>
      <c r="AW48" s="7" t="n">
        <v>0</v>
      </c>
      <c r="AX48" s="7" t="n">
        <v>0</v>
      </c>
      <c r="AY48" s="11" t="n">
        <f aca="false">SUMIFS('Исходные данные'!$I$2:$I$964,'Исходные данные'!$D$2:$D$964,AY$1,'Исходные данные'!$F$2:$F$964,$A48)</f>
        <v>0</v>
      </c>
      <c r="AZ48" s="11" t="n">
        <f aca="false">SUMIFS('Исходные данные'!$J$2:$J$964,'Исходные данные'!$D$2:$D$964,AY$1,'Исходные данные'!$F$2:$F$964,$A48)</f>
        <v>0</v>
      </c>
      <c r="BA48" s="7" t="n">
        <v>0</v>
      </c>
      <c r="BB48" s="7" t="n">
        <v>0</v>
      </c>
      <c r="BC48" s="11" t="n">
        <f aca="false">SUMIFS('Исходные данные'!$I$2:$I$964,'Исходные данные'!$D$2:$D$964,BC$1,'Исходные данные'!$F$2:$F$964,$A48)</f>
        <v>0</v>
      </c>
      <c r="BD48" s="11" t="n">
        <f aca="false">SUMIFS('Исходные данные'!$J$2:$J$964,'Исходные данные'!$D$2:$D$964,BC$1,'Исходные данные'!$F$2:$F$964,$A48)</f>
        <v>0</v>
      </c>
      <c r="BE48" s="7" t="n">
        <v>0</v>
      </c>
      <c r="BF48" s="7" t="n">
        <v>0</v>
      </c>
      <c r="BG48" s="11" t="n">
        <f aca="false">SUMIFS('Исходные данные'!$I$2:$I$964,'Исходные данные'!$D$2:$D$964,BG$1,'Исходные данные'!$F$2:$F$964,$A48)</f>
        <v>0</v>
      </c>
      <c r="BH48" s="11" t="n">
        <f aca="false">SUMIFS('Исходные данные'!$J$2:$J$964,'Исходные данные'!$D$2:$D$964,BG$1,'Исходные данные'!$F$2:$F$964,$A48)</f>
        <v>0</v>
      </c>
      <c r="BI48" s="7" t="n">
        <v>0</v>
      </c>
      <c r="BJ48" s="7" t="n">
        <v>0</v>
      </c>
      <c r="BK48" s="11" t="n">
        <f aca="false">SUMIFS('Исходные данные'!$I$2:$I$964,'Исходные данные'!$D$2:$D$964,BK$1,'Исходные данные'!$F$2:$F$964,$A48)</f>
        <v>0</v>
      </c>
      <c r="BL48" s="11" t="n">
        <f aca="false">SUMIFS('Исходные данные'!$J$2:$J$964,'Исходные данные'!$D$2:$D$964,BK$1,'Исходные данные'!$F$2:$F$964,$A48)</f>
        <v>0</v>
      </c>
      <c r="BM48" s="7" t="n">
        <v>0</v>
      </c>
      <c r="BN48" s="7" t="n">
        <v>0</v>
      </c>
      <c r="BO48" s="11" t="n">
        <f aca="false">SUMIFS('Исходные данные'!$I$2:$I$964,'Исходные данные'!$D$2:$D$964,BO$1,'Исходные данные'!$F$2:$F$964,$A48)</f>
        <v>0</v>
      </c>
      <c r="BP48" s="11" t="n">
        <f aca="false">SUMIFS('Исходные данные'!$J$2:$J$964,'Исходные данные'!$D$2:$D$964,BO$1,'Исходные данные'!$F$2:$F$964,$A48)</f>
        <v>0</v>
      </c>
      <c r="BQ48" s="7" t="n">
        <v>0</v>
      </c>
      <c r="BR48" s="7" t="n">
        <v>0</v>
      </c>
      <c r="BS48" s="11" t="n">
        <f aca="false">SUMIFS('Исходные данные'!$I$2:$I$964,'Исходные данные'!$D$2:$D$964,BS$1,'Исходные данные'!$F$2:$F$964,$A48)</f>
        <v>0</v>
      </c>
      <c r="BT48" s="11" t="n">
        <f aca="false">SUMIFS('Исходные данные'!$J$2:$J$964,'Исходные данные'!$D$2:$D$964,BS$1,'Исходные данные'!$F$2:$F$964,$A48)</f>
        <v>0</v>
      </c>
      <c r="BU48" s="7" t="n">
        <v>0</v>
      </c>
      <c r="BV48" s="7" t="n">
        <v>0</v>
      </c>
      <c r="BW48" s="11" t="n">
        <f aca="false">SUMIFS('Исходные данные'!$I$2:$I$964,'Исходные данные'!$D$2:$D$964,BW$1,'Исходные данные'!$F$2:$F$964,$A48)</f>
        <v>0</v>
      </c>
      <c r="BX48" s="11" t="n">
        <f aca="false">SUMIFS('Исходные данные'!$J$2:$J$964,'Исходные данные'!$D$2:$D$964,BW$1,'Исходные данные'!$F$2:$F$964,$A48)</f>
        <v>0</v>
      </c>
      <c r="BY48" s="7" t="n">
        <v>0</v>
      </c>
      <c r="BZ48" s="7" t="n">
        <v>0</v>
      </c>
      <c r="CA48" s="11" t="n">
        <f aca="false">SUMIFS('Исходные данные'!$I$2:$I$964,'Исходные данные'!$D$2:$D$964,CA$1,'Исходные данные'!$F$2:$F$964,$A48)</f>
        <v>0</v>
      </c>
      <c r="CB48" s="11" t="n">
        <f aca="false">SUMIFS('Исходные данные'!$J$2:$J$964,'Исходные данные'!$D$2:$D$964,CA$1,'Исходные данные'!$F$2:$F$964,$A48)</f>
        <v>0</v>
      </c>
      <c r="CC48" s="7" t="n">
        <v>0</v>
      </c>
      <c r="CD48" s="7" t="n">
        <v>0</v>
      </c>
      <c r="CE48" s="11" t="n">
        <f aca="false">SUMIFS('Исходные данные'!$I$2:$I$964,'Исходные данные'!$D$2:$D$964,CE$1,'Исходные данные'!$F$2:$F$964,$A48)</f>
        <v>0</v>
      </c>
      <c r="CF48" s="11" t="n">
        <f aca="false">SUMIFS('Исходные данные'!$J$2:$J$964,'Исходные данные'!$D$2:$D$964,CE$1,'Исходные данные'!$F$2:$F$964,$A48)</f>
        <v>0</v>
      </c>
      <c r="CG48" s="7" t="n">
        <v>0</v>
      </c>
      <c r="CH48" s="7" t="n">
        <v>0</v>
      </c>
      <c r="CI48" s="11" t="n">
        <f aca="false">SUMIFS('Исходные данные'!$I$2:$I$964,'Исходные данные'!$D$2:$D$964,CI$1,'Исходные данные'!$F$2:$F$964,$A48)</f>
        <v>0</v>
      </c>
      <c r="CJ48" s="11" t="n">
        <f aca="false">SUMIFS('Исходные данные'!$J$2:$J$964,'Исходные данные'!$D$2:$D$964,CI$1,'Исходные данные'!$F$2:$F$964,$A48)</f>
        <v>0</v>
      </c>
      <c r="CK48" s="7" t="n">
        <v>0</v>
      </c>
      <c r="CL48" s="7" t="n">
        <v>0</v>
      </c>
      <c r="CM48" s="11" t="n">
        <f aca="false">SUMIFS('Исходные данные'!$I$2:$I$964,'Исходные данные'!$D$2:$D$964,CM$1,'Исходные данные'!$F$2:$F$964,$A48)</f>
        <v>0</v>
      </c>
      <c r="CN48" s="11" t="n">
        <f aca="false">SUMIFS('Исходные данные'!$J$2:$J$964,'Исходные данные'!$D$2:$D$964,CM$1,'Исходные данные'!$F$2:$F$964,$A48)</f>
        <v>0</v>
      </c>
      <c r="CO48" s="7" t="n">
        <v>0</v>
      </c>
      <c r="CP48" s="7" t="n">
        <v>0</v>
      </c>
      <c r="CQ48" s="11" t="n">
        <f aca="false">SUMIFS('Исходные данные'!$I$2:$I$964,'Исходные данные'!$D$2:$D$964,CQ$1,'Исходные данные'!$F$2:$F$964,$A48)</f>
        <v>0</v>
      </c>
      <c r="CR48" s="11" t="n">
        <f aca="false">SUMIFS('Исходные данные'!$J$2:$J$964,'Исходные данные'!$D$2:$D$964,CQ$1,'Исходные данные'!$F$2:$F$964,$A48)</f>
        <v>0</v>
      </c>
      <c r="CS48" s="7" t="n">
        <v>0</v>
      </c>
      <c r="CT48" s="7" t="n">
        <v>0</v>
      </c>
      <c r="CU48" s="11" t="n">
        <f aca="false">SUMIFS('Исходные данные'!$I$2:$I$964,'Исходные данные'!$D$2:$D$964,CU$1,'Исходные данные'!$F$2:$F$964,$A48)</f>
        <v>0</v>
      </c>
      <c r="CV48" s="11" t="n">
        <f aca="false">SUMIFS('Исходные данные'!$J$2:$J$964,'Исходные данные'!$D$2:$D$964,CU$1,'Исходные данные'!$F$2:$F$964,$A48)</f>
        <v>0</v>
      </c>
      <c r="CW48" s="7" t="n">
        <v>0</v>
      </c>
      <c r="CX48" s="7" t="n">
        <v>0</v>
      </c>
      <c r="CY48" s="11" t="n">
        <f aca="false">SUMIFS('Исходные данные'!$I$2:$I$964,'Исходные данные'!$D$2:$D$964,CY$1,'Исходные данные'!$F$2:$F$964,$A48)</f>
        <v>0</v>
      </c>
      <c r="CZ48" s="11" t="n">
        <f aca="false">SUMIFS('Исходные данные'!$J$2:$J$964,'Исходные данные'!$D$2:$D$964,CY$1,'Исходные данные'!$F$2:$F$964,$A48)</f>
        <v>0</v>
      </c>
      <c r="DA48" s="7" t="n">
        <v>0</v>
      </c>
      <c r="DB48" s="7" t="n">
        <v>0</v>
      </c>
      <c r="DC48" s="11" t="n">
        <f aca="false">SUMIFS('Исходные данные'!$I$2:$I$964,'Исходные данные'!$D$2:$D$964,DC$1,'Исходные данные'!$F$2:$F$964,$A48)</f>
        <v>0</v>
      </c>
      <c r="DD48" s="11" t="n">
        <f aca="false">SUMIFS('Исходные данные'!$J$2:$J$964,'Исходные данные'!$D$2:$D$964,DC$1,'Исходные данные'!$F$2:$F$964,$A48)</f>
        <v>0</v>
      </c>
      <c r="DE48" s="7" t="n">
        <v>0</v>
      </c>
      <c r="DF48" s="7" t="n">
        <v>0</v>
      </c>
      <c r="DG48" s="11" t="n">
        <f aca="false">SUMIFS('Исходные данные'!$I$2:$I$964,'Исходные данные'!$D$2:$D$964,DG$1,'Исходные данные'!$F$2:$F$964,$A48)</f>
        <v>0</v>
      </c>
      <c r="DH48" s="11" t="n">
        <f aca="false">SUMIFS('Исходные данные'!$J$2:$J$964,'Исходные данные'!$D$2:$D$964,DG$1,'Исходные данные'!$F$2:$F$964,$A48)</f>
        <v>0</v>
      </c>
      <c r="DI48" s="7" t="n">
        <v>0</v>
      </c>
      <c r="DJ48" s="7" t="n">
        <v>0</v>
      </c>
      <c r="DK48" s="11" t="n">
        <f aca="false">SUMIFS('Исходные данные'!$I$2:$I$964,'Исходные данные'!$D$2:$D$964,DK$1,'Исходные данные'!$F$2:$F$964,$A48)</f>
        <v>0</v>
      </c>
      <c r="DL48" s="11" t="n">
        <f aca="false">SUMIFS('Исходные данные'!$J$2:$J$964,'Исходные данные'!$D$2:$D$964,DK$1,'Исходные данные'!$F$2:$F$964,$A48)</f>
        <v>0</v>
      </c>
      <c r="DM48" s="7" t="n">
        <v>0</v>
      </c>
      <c r="DN48" s="7" t="n">
        <v>0</v>
      </c>
      <c r="DO48" s="11" t="n">
        <f aca="false">SUMIFS('Исходные данные'!$I$2:$I$964,'Исходные данные'!$D$2:$D$964,DO$1,'Исходные данные'!$F$2:$F$964,$A48)</f>
        <v>0</v>
      </c>
      <c r="DP48" s="11" t="n">
        <f aca="false">SUMIFS('Исходные данные'!$J$2:$J$964,'Исходные данные'!$D$2:$D$964,DO$1,'Исходные данные'!$F$2:$F$964,$A48)</f>
        <v>0</v>
      </c>
      <c r="DQ48" s="7" t="n">
        <v>0</v>
      </c>
      <c r="DR48" s="7" t="n">
        <v>0</v>
      </c>
      <c r="DS48" s="11" t="n">
        <f aca="false">SUMIFS('Исходные данные'!$I$2:$I$964,'Исходные данные'!$D$2:$D$964,DS$1,'Исходные данные'!$F$2:$F$964,$A48)</f>
        <v>0</v>
      </c>
      <c r="DT48" s="11" t="n">
        <f aca="false">SUMIFS('Исходные данные'!$J$2:$J$964,'Исходные данные'!$D$2:$D$964,DS$1,'Исходные данные'!$F$2:$F$964,$A48)</f>
        <v>0</v>
      </c>
      <c r="DU48" s="7" t="n">
        <v>0</v>
      </c>
      <c r="DV48" s="7" t="n">
        <v>0</v>
      </c>
      <c r="DW48" s="11" t="n">
        <f aca="false">SUMIFS('Исходные данные'!$I$2:$I$964,'Исходные данные'!$D$2:$D$964,DW$1,'Исходные данные'!$F$2:$F$964,$A48)</f>
        <v>0</v>
      </c>
      <c r="DX48" s="11" t="n">
        <f aca="false">SUMIFS('Исходные данные'!$J$2:$J$964,'Исходные данные'!$D$2:$D$964,DW$1,'Исходные данные'!$F$2:$F$964,$A48)</f>
        <v>0</v>
      </c>
      <c r="DY48" s="7" t="n">
        <v>0</v>
      </c>
      <c r="DZ48" s="7" t="n">
        <v>0</v>
      </c>
      <c r="EA48" s="11" t="n">
        <f aca="false">SUMIFS('Исходные данные'!$I$2:$I$964,'Исходные данные'!$D$2:$D$964,EA$1,'Исходные данные'!$F$2:$F$964,$A48)</f>
        <v>0</v>
      </c>
      <c r="EB48" s="11" t="n">
        <f aca="false">SUMIFS('Исходные данные'!$J$2:$J$964,'Исходные данные'!$D$2:$D$964,EA$1,'Исходные данные'!$F$2:$F$964,$A48)</f>
        <v>0</v>
      </c>
      <c r="EC48" s="7" t="n">
        <v>0</v>
      </c>
      <c r="ED48" s="7" t="n">
        <v>0</v>
      </c>
      <c r="EE48" s="11" t="n">
        <f aca="false">SUMIFS('Исходные данные'!$I$2:$I$964,'Исходные данные'!$D$2:$D$964,EE$1,'Исходные данные'!$F$2:$F$964,$A48)</f>
        <v>0</v>
      </c>
      <c r="EF48" s="11" t="n">
        <f aca="false">SUMIFS('Исходные данные'!$J$2:$J$964,'Исходные данные'!$D$2:$D$964,EE$1,'Исходные данные'!$F$2:$F$964,$A48)</f>
        <v>0</v>
      </c>
      <c r="EG48" s="7" t="n">
        <v>0</v>
      </c>
      <c r="EH48" s="7" t="n">
        <v>0</v>
      </c>
      <c r="EI48" s="11" t="n">
        <f aca="false">SUMIFS('Исходные данные'!$I$2:$I$964,'Исходные данные'!$D$2:$D$964,EI$1,'Исходные данные'!$F$2:$F$964,$A48)</f>
        <v>0</v>
      </c>
      <c r="EJ48" s="11" t="n">
        <f aca="false">SUMIFS('Исходные данные'!$J$2:$J$964,'Исходные данные'!$D$2:$D$964,EI$1,'Исходные данные'!$F$2:$F$964,$A48)</f>
        <v>0</v>
      </c>
      <c r="EK48" s="7" t="n">
        <v>0</v>
      </c>
      <c r="EL48" s="7" t="n">
        <v>0</v>
      </c>
      <c r="EM48" s="11" t="n">
        <f aca="false">SUMIFS('Исходные данные'!$I$2:$I$964,'Исходные данные'!$D$2:$D$964,EM$1,'Исходные данные'!$F$2:$F$964,$A48)</f>
        <v>0</v>
      </c>
      <c r="EN48" s="11" t="n">
        <f aca="false">SUMIFS('Исходные данные'!$J$2:$J$964,'Исходные данные'!$D$2:$D$964,EM$1,'Исходные данные'!$F$2:$F$964,$A48)</f>
        <v>0</v>
      </c>
      <c r="EO48" s="7" t="n">
        <v>0</v>
      </c>
      <c r="EP48" s="7" t="n">
        <v>0</v>
      </c>
      <c r="EQ48" s="11" t="n">
        <f aca="false">SUMIFS('Исходные данные'!$I$2:$I$964,'Исходные данные'!$D$2:$D$964,EQ$1,'Исходные данные'!$F$2:$F$964,$A48)</f>
        <v>0</v>
      </c>
      <c r="ER48" s="11" t="n">
        <f aca="false">SUMIFS('Исходные данные'!$J$2:$J$964,'Исходные данные'!$D$2:$D$964,EQ$1,'Исходные данные'!$F$2:$F$964,$A48)</f>
        <v>0</v>
      </c>
      <c r="ES48" s="7" t="n">
        <v>0</v>
      </c>
      <c r="ET48" s="7" t="n">
        <v>0</v>
      </c>
      <c r="EU48" s="11" t="n">
        <f aca="false">SUMIFS('Исходные данные'!$I$2:$I$964,'Исходные данные'!$D$2:$D$964,EU$1,'Исходные данные'!$F$2:$F$964,$A48)</f>
        <v>0</v>
      </c>
      <c r="EV48" s="11" t="n">
        <f aca="false">SUMIFS('Исходные данные'!$J$2:$J$964,'Исходные данные'!$D$2:$D$964,EU$1,'Исходные данные'!$F$2:$F$964,$A48)</f>
        <v>0</v>
      </c>
      <c r="EW48" s="7" t="n">
        <v>0</v>
      </c>
      <c r="EX48" s="7" t="n">
        <v>0</v>
      </c>
      <c r="EY48" s="11" t="n">
        <f aca="false">SUMIFS('Исходные данные'!$I$2:$I$964,'Исходные данные'!$D$2:$D$964,EY$1,'Исходные данные'!$F$2:$F$964,$A48)</f>
        <v>0</v>
      </c>
      <c r="EZ48" s="11" t="n">
        <f aca="false">SUMIFS('Исходные данные'!$J$2:$J$964,'Исходные данные'!$D$2:$D$964,EY$1,'Исходные данные'!$F$2:$F$964,$A48)</f>
        <v>0</v>
      </c>
      <c r="FA48" s="7" t="n">
        <v>0</v>
      </c>
      <c r="FB48" s="7" t="n">
        <v>0</v>
      </c>
      <c r="FC48" s="11" t="n">
        <f aca="false">SUMIFS('Исходные данные'!$I$2:$I$964,'Исходные данные'!$D$2:$D$964,FC$1,'Исходные данные'!$F$2:$F$964,$A48)</f>
        <v>0</v>
      </c>
      <c r="FD48" s="11" t="n">
        <f aca="false">SUMIFS('Исходные данные'!$J$2:$J$964,'Исходные данные'!$D$2:$D$964,FC$1,'Исходные данные'!$F$2:$F$964,$A48)</f>
        <v>0</v>
      </c>
      <c r="FE48" s="7" t="n">
        <v>0</v>
      </c>
      <c r="FF48" s="7" t="n">
        <v>0</v>
      </c>
      <c r="FG48" s="11" t="n">
        <f aca="false">SUMIFS('Исходные данные'!$I$2:$I$964,'Исходные данные'!$D$2:$D$964,FG$1,'Исходные данные'!$F$2:$F$964,$A48)</f>
        <v>0</v>
      </c>
      <c r="FH48" s="11" t="n">
        <f aca="false">SUMIFS('Исходные данные'!$J$2:$J$964,'Исходные данные'!$D$2:$D$964,FG$1,'Исходные данные'!$F$2:$F$964,$A48)</f>
        <v>0</v>
      </c>
    </row>
    <row r="49" customFormat="false" ht="15" hidden="false" customHeight="false" outlineLevel="0" collapsed="false">
      <c r="A49" s="10" t="s">
        <v>141</v>
      </c>
      <c r="B49" s="11" t="s">
        <v>142</v>
      </c>
      <c r="C49" s="6" t="n">
        <v>4</v>
      </c>
      <c r="D49" s="6" t="n">
        <f aca="false">I49+J49+M49+N49+Q49+R49+U49+V49+Y49+Z49+AC49+AD49+AG49+AH49+AK49+AL49+AO49+AP49+AS49+AT49+AW49+AX49+BA49+BB49+BE49+BF49+BI49+BJ49+BM49+BN49+BQ49+BR49+BU49+BV49+BY49+BZ49+CC49+CD49+CG49+CH49+CK49+CL49+CO49+CP49+CS49+CT49+CW49+CX49+DA49+DB49+DE49+DF49+DI49+DJ49+DM49+DN49+DQ49+DR49+DU49+DV49+DY49+DZ49+EC49+ED49+EG49+EH49+EK49+EL49+EO49+EP49+ES49+ET49+EW49+EX49+FA49+FB49+FE49+FF49</f>
        <v>4</v>
      </c>
      <c r="E49" s="6" t="n">
        <f aca="false">G49+H49</f>
        <v>3</v>
      </c>
      <c r="F49" s="6" t="n">
        <f aca="false">E49-C49</f>
        <v>-1</v>
      </c>
      <c r="G49" s="6" t="n">
        <f aca="false">K49+O49+S49+W49+AA49+AE49+AI49+AM49+AQ49+AU49+AY49+BC49+BG49+BK49+BO49+BS49+BW49+CA49+CE49+CI49+CM49+CQ49+CU49+CY49+DC49+DG49+DK49+DO49+DS49+DW49+EA49+EE49+EI49+EM49+EQ49+EU49+EY49+FC49+FG49</f>
        <v>3</v>
      </c>
      <c r="H49" s="6" t="n">
        <f aca="false">L49+P49+T49+X49+AB49+AF49+AJ49+AN49+AR49+AV49+AZ49+BD49+BH49+BL49+BP49+BT49+BX49+CB49+CF49+CJ49+CN49+CR49+CV49+CZ49+DD49+DH49+DL49+DP49+DT49+DX49+EB49+EF49+EJ49+EN49+ER49+EV49+EZ49+FD49+FH49</f>
        <v>0</v>
      </c>
      <c r="I49" s="7" t="n">
        <v>0</v>
      </c>
      <c r="J49" s="7" t="n">
        <v>0</v>
      </c>
      <c r="K49" s="11" t="n">
        <f aca="false">SUMIFS('Исходные данные'!$I$2:$I$964,'Исходные данные'!$D$2:$D$964,K$1,'Исходные данные'!$F$2:$F$964,$A49)</f>
        <v>0</v>
      </c>
      <c r="L49" s="11" t="n">
        <f aca="false">SUMIFS('Исходные данные'!$J$2:$J$964,'Исходные данные'!$D$2:$D$964,K$1,'Исходные данные'!$F$2:$F$964,$A49)</f>
        <v>0</v>
      </c>
      <c r="M49" s="7" t="n">
        <v>0</v>
      </c>
      <c r="N49" s="7" t="n">
        <v>0</v>
      </c>
      <c r="O49" s="11" t="n">
        <f aca="false">SUMIFS('Исходные данные'!$I$2:$I$964,'Исходные данные'!$D$2:$D$964,O$1,'Исходные данные'!$F$2:$F$964,$A49)</f>
        <v>0</v>
      </c>
      <c r="P49" s="11" t="n">
        <f aca="false">SUMIFS('Исходные данные'!$J$2:$J$964,'Исходные данные'!$D$2:$D$964,O$1,'Исходные данные'!$F$2:$F$964,$A49)</f>
        <v>0</v>
      </c>
      <c r="Q49" s="7" t="n">
        <v>0</v>
      </c>
      <c r="R49" s="7" t="n">
        <v>0</v>
      </c>
      <c r="S49" s="11" t="n">
        <f aca="false">SUMIFS('Исходные данные'!$I$2:$I$964,'Исходные данные'!$D$2:$D$964,S$1,'Исходные данные'!$F$2:$F$964,$A49)</f>
        <v>0</v>
      </c>
      <c r="T49" s="11" t="n">
        <f aca="false">SUMIFS('Исходные данные'!$J$2:$J$964,'Исходные данные'!$D$2:$D$964,S$1,'Исходные данные'!$F$2:$F$964,$A49)</f>
        <v>0</v>
      </c>
      <c r="U49" s="7" t="n">
        <v>0</v>
      </c>
      <c r="V49" s="7" t="n">
        <v>0</v>
      </c>
      <c r="W49" s="11" t="n">
        <f aca="false">SUMIFS('Исходные данные'!$I$2:$I$964,'Исходные данные'!$D$2:$D$964,W$1,'Исходные данные'!$F$2:$F$964,$A49)</f>
        <v>0</v>
      </c>
      <c r="X49" s="11" t="n">
        <f aca="false">SUMIFS('Исходные данные'!$J$2:$J$964,'Исходные данные'!$D$2:$D$964,W$1,'Исходные данные'!$F$2:$F$964,$A49)</f>
        <v>0</v>
      </c>
      <c r="Y49" s="7" t="n">
        <v>0</v>
      </c>
      <c r="Z49" s="7" t="n">
        <v>0</v>
      </c>
      <c r="AA49" s="11" t="n">
        <f aca="false">SUMIFS('Исходные данные'!$I$2:$I$964,'Исходные данные'!$D$2:$D$964,AA$1,'Исходные данные'!$F$2:$F$964,$A49)</f>
        <v>0</v>
      </c>
      <c r="AB49" s="11" t="n">
        <f aca="false">SUMIFS('Исходные данные'!$J$2:$J$964,'Исходные данные'!$D$2:$D$964,AA$1,'Исходные данные'!$F$2:$F$964,$A49)</f>
        <v>0</v>
      </c>
      <c r="AC49" s="7" t="n">
        <v>0</v>
      </c>
      <c r="AD49" s="7" t="n">
        <v>0</v>
      </c>
      <c r="AE49" s="11" t="n">
        <f aca="false">SUMIFS('Исходные данные'!$I$2:$I$964,'Исходные данные'!$D$2:$D$964,AE$1,'Исходные данные'!$F$2:$F$964,$A49)</f>
        <v>0</v>
      </c>
      <c r="AF49" s="11" t="n">
        <f aca="false">SUMIFS('Исходные данные'!$J$2:$J$964,'Исходные данные'!$D$2:$D$964,AE$1,'Исходные данные'!$F$2:$F$964,$A49)</f>
        <v>0</v>
      </c>
      <c r="AG49" s="7" t="n">
        <v>4</v>
      </c>
      <c r="AH49" s="7" t="n">
        <v>0</v>
      </c>
      <c r="AI49" s="11" t="n">
        <f aca="false">SUMIFS('Исходные данные'!$I$2:$I$964,'Исходные данные'!$D$2:$D$964,AI$1,'Исходные данные'!$F$2:$F$964,$A49)</f>
        <v>3</v>
      </c>
      <c r="AJ49" s="11" t="n">
        <f aca="false">SUMIFS('Исходные данные'!$J$2:$J$964,'Исходные данные'!$D$2:$D$964,AI$1,'Исходные данные'!$F$2:$F$964,$A49)</f>
        <v>0</v>
      </c>
      <c r="AK49" s="7" t="n">
        <v>0</v>
      </c>
      <c r="AL49" s="7" t="n">
        <v>0</v>
      </c>
      <c r="AM49" s="11" t="n">
        <f aca="false">SUMIFS('Исходные данные'!$I$2:$I$964,'Исходные данные'!$D$2:$D$964,AM$1,'Исходные данные'!$F$2:$F$964,$A49)</f>
        <v>0</v>
      </c>
      <c r="AN49" s="11" t="n">
        <f aca="false">SUMIFS('Исходные данные'!$J$2:$J$964,'Исходные данные'!$D$2:$D$964,AM$1,'Исходные данные'!$F$2:$F$964,$A49)</f>
        <v>0</v>
      </c>
      <c r="AO49" s="7" t="n">
        <v>0</v>
      </c>
      <c r="AP49" s="7" t="n">
        <v>0</v>
      </c>
      <c r="AQ49" s="11" t="n">
        <f aca="false">SUMIFS('Исходные данные'!$I$2:$I$964,'Исходные данные'!$D$2:$D$964,AQ$1,'Исходные данные'!$F$2:$F$964,$A49)</f>
        <v>0</v>
      </c>
      <c r="AR49" s="11" t="n">
        <f aca="false">SUMIFS('Исходные данные'!$J$2:$J$964,'Исходные данные'!$D$2:$D$964,AQ$1,'Исходные данные'!$F$2:$F$964,$A49)</f>
        <v>0</v>
      </c>
      <c r="AS49" s="7" t="n">
        <v>0</v>
      </c>
      <c r="AT49" s="7" t="n">
        <v>0</v>
      </c>
      <c r="AU49" s="11" t="n">
        <f aca="false">SUMIFS('Исходные данные'!$I$2:$I$964,'Исходные данные'!$D$2:$D$964,AU$1,'Исходные данные'!$F$2:$F$964,$A49)</f>
        <v>0</v>
      </c>
      <c r="AV49" s="11" t="n">
        <f aca="false">SUMIFS('Исходные данные'!$J$2:$J$964,'Исходные данные'!$D$2:$D$964,AU$1,'Исходные данные'!$F$2:$F$964,$A49)</f>
        <v>0</v>
      </c>
      <c r="AW49" s="7" t="n">
        <v>0</v>
      </c>
      <c r="AX49" s="7" t="n">
        <v>0</v>
      </c>
      <c r="AY49" s="11" t="n">
        <f aca="false">SUMIFS('Исходные данные'!$I$2:$I$964,'Исходные данные'!$D$2:$D$964,AY$1,'Исходные данные'!$F$2:$F$964,$A49)</f>
        <v>0</v>
      </c>
      <c r="AZ49" s="11" t="n">
        <f aca="false">SUMIFS('Исходные данные'!$J$2:$J$964,'Исходные данные'!$D$2:$D$964,AY$1,'Исходные данные'!$F$2:$F$964,$A49)</f>
        <v>0</v>
      </c>
      <c r="BA49" s="7" t="n">
        <v>0</v>
      </c>
      <c r="BB49" s="7" t="n">
        <v>0</v>
      </c>
      <c r="BC49" s="11" t="n">
        <f aca="false">SUMIFS('Исходные данные'!$I$2:$I$964,'Исходные данные'!$D$2:$D$964,BC$1,'Исходные данные'!$F$2:$F$964,$A49)</f>
        <v>0</v>
      </c>
      <c r="BD49" s="11" t="n">
        <f aca="false">SUMIFS('Исходные данные'!$J$2:$J$964,'Исходные данные'!$D$2:$D$964,BC$1,'Исходные данные'!$F$2:$F$964,$A49)</f>
        <v>0</v>
      </c>
      <c r="BE49" s="7" t="n">
        <v>0</v>
      </c>
      <c r="BF49" s="7" t="n">
        <v>0</v>
      </c>
      <c r="BG49" s="11" t="n">
        <f aca="false">SUMIFS('Исходные данные'!$I$2:$I$964,'Исходные данные'!$D$2:$D$964,BG$1,'Исходные данные'!$F$2:$F$964,$A49)</f>
        <v>0</v>
      </c>
      <c r="BH49" s="11" t="n">
        <f aca="false">SUMIFS('Исходные данные'!$J$2:$J$964,'Исходные данные'!$D$2:$D$964,BG$1,'Исходные данные'!$F$2:$F$964,$A49)</f>
        <v>0</v>
      </c>
      <c r="BI49" s="7" t="n">
        <v>0</v>
      </c>
      <c r="BJ49" s="7" t="n">
        <v>0</v>
      </c>
      <c r="BK49" s="11" t="n">
        <f aca="false">SUMIFS('Исходные данные'!$I$2:$I$964,'Исходные данные'!$D$2:$D$964,BK$1,'Исходные данные'!$F$2:$F$964,$A49)</f>
        <v>0</v>
      </c>
      <c r="BL49" s="11" t="n">
        <f aca="false">SUMIFS('Исходные данные'!$J$2:$J$964,'Исходные данные'!$D$2:$D$964,BK$1,'Исходные данные'!$F$2:$F$964,$A49)</f>
        <v>0</v>
      </c>
      <c r="BM49" s="7" t="n">
        <v>0</v>
      </c>
      <c r="BN49" s="7" t="n">
        <v>0</v>
      </c>
      <c r="BO49" s="11" t="n">
        <f aca="false">SUMIFS('Исходные данные'!$I$2:$I$964,'Исходные данные'!$D$2:$D$964,BO$1,'Исходные данные'!$F$2:$F$964,$A49)</f>
        <v>0</v>
      </c>
      <c r="BP49" s="11" t="n">
        <f aca="false">SUMIFS('Исходные данные'!$J$2:$J$964,'Исходные данные'!$D$2:$D$964,BO$1,'Исходные данные'!$F$2:$F$964,$A49)</f>
        <v>0</v>
      </c>
      <c r="BQ49" s="7" t="n">
        <v>0</v>
      </c>
      <c r="BR49" s="7" t="n">
        <v>0</v>
      </c>
      <c r="BS49" s="11" t="n">
        <f aca="false">SUMIFS('Исходные данные'!$I$2:$I$964,'Исходные данные'!$D$2:$D$964,BS$1,'Исходные данные'!$F$2:$F$964,$A49)</f>
        <v>0</v>
      </c>
      <c r="BT49" s="11" t="n">
        <f aca="false">SUMIFS('Исходные данные'!$J$2:$J$964,'Исходные данные'!$D$2:$D$964,BS$1,'Исходные данные'!$F$2:$F$964,$A49)</f>
        <v>0</v>
      </c>
      <c r="BU49" s="7" t="n">
        <v>0</v>
      </c>
      <c r="BV49" s="7" t="n">
        <v>0</v>
      </c>
      <c r="BW49" s="11" t="n">
        <f aca="false">SUMIFS('Исходные данные'!$I$2:$I$964,'Исходные данные'!$D$2:$D$964,BW$1,'Исходные данные'!$F$2:$F$964,$A49)</f>
        <v>0</v>
      </c>
      <c r="BX49" s="11" t="n">
        <f aca="false">SUMIFS('Исходные данные'!$J$2:$J$964,'Исходные данные'!$D$2:$D$964,BW$1,'Исходные данные'!$F$2:$F$964,$A49)</f>
        <v>0</v>
      </c>
      <c r="BY49" s="7" t="n">
        <v>0</v>
      </c>
      <c r="BZ49" s="7" t="n">
        <v>0</v>
      </c>
      <c r="CA49" s="11" t="n">
        <f aca="false">SUMIFS('Исходные данные'!$I$2:$I$964,'Исходные данные'!$D$2:$D$964,CA$1,'Исходные данные'!$F$2:$F$964,$A49)</f>
        <v>0</v>
      </c>
      <c r="CB49" s="11" t="n">
        <f aca="false">SUMIFS('Исходные данные'!$J$2:$J$964,'Исходные данные'!$D$2:$D$964,CA$1,'Исходные данные'!$F$2:$F$964,$A49)</f>
        <v>0</v>
      </c>
      <c r="CC49" s="7" t="n">
        <v>0</v>
      </c>
      <c r="CD49" s="7" t="n">
        <v>0</v>
      </c>
      <c r="CE49" s="11" t="n">
        <f aca="false">SUMIFS('Исходные данные'!$I$2:$I$964,'Исходные данные'!$D$2:$D$964,CE$1,'Исходные данные'!$F$2:$F$964,$A49)</f>
        <v>0</v>
      </c>
      <c r="CF49" s="11" t="n">
        <f aca="false">SUMIFS('Исходные данные'!$J$2:$J$964,'Исходные данные'!$D$2:$D$964,CE$1,'Исходные данные'!$F$2:$F$964,$A49)</f>
        <v>0</v>
      </c>
      <c r="CG49" s="7" t="n">
        <v>0</v>
      </c>
      <c r="CH49" s="7" t="n">
        <v>0</v>
      </c>
      <c r="CI49" s="11" t="n">
        <f aca="false">SUMIFS('Исходные данные'!$I$2:$I$964,'Исходные данные'!$D$2:$D$964,CI$1,'Исходные данные'!$F$2:$F$964,$A49)</f>
        <v>0</v>
      </c>
      <c r="CJ49" s="11" t="n">
        <f aca="false">SUMIFS('Исходные данные'!$J$2:$J$964,'Исходные данные'!$D$2:$D$964,CI$1,'Исходные данные'!$F$2:$F$964,$A49)</f>
        <v>0</v>
      </c>
      <c r="CK49" s="7" t="n">
        <v>0</v>
      </c>
      <c r="CL49" s="7" t="n">
        <v>0</v>
      </c>
      <c r="CM49" s="11" t="n">
        <f aca="false">SUMIFS('Исходные данные'!$I$2:$I$964,'Исходные данные'!$D$2:$D$964,CM$1,'Исходные данные'!$F$2:$F$964,$A49)</f>
        <v>0</v>
      </c>
      <c r="CN49" s="11" t="n">
        <f aca="false">SUMIFS('Исходные данные'!$J$2:$J$964,'Исходные данные'!$D$2:$D$964,CM$1,'Исходные данные'!$F$2:$F$964,$A49)</f>
        <v>0</v>
      </c>
      <c r="CO49" s="7" t="n">
        <v>0</v>
      </c>
      <c r="CP49" s="7" t="n">
        <v>0</v>
      </c>
      <c r="CQ49" s="11" t="n">
        <f aca="false">SUMIFS('Исходные данные'!$I$2:$I$964,'Исходные данные'!$D$2:$D$964,CQ$1,'Исходные данные'!$F$2:$F$964,$A49)</f>
        <v>0</v>
      </c>
      <c r="CR49" s="11" t="n">
        <f aca="false">SUMIFS('Исходные данные'!$J$2:$J$964,'Исходные данные'!$D$2:$D$964,CQ$1,'Исходные данные'!$F$2:$F$964,$A49)</f>
        <v>0</v>
      </c>
      <c r="CS49" s="7" t="n">
        <v>0</v>
      </c>
      <c r="CT49" s="7" t="n">
        <v>0</v>
      </c>
      <c r="CU49" s="11" t="n">
        <f aca="false">SUMIFS('Исходные данные'!$I$2:$I$964,'Исходные данные'!$D$2:$D$964,CU$1,'Исходные данные'!$F$2:$F$964,$A49)</f>
        <v>0</v>
      </c>
      <c r="CV49" s="11" t="n">
        <f aca="false">SUMIFS('Исходные данные'!$J$2:$J$964,'Исходные данные'!$D$2:$D$964,CU$1,'Исходные данные'!$F$2:$F$964,$A49)</f>
        <v>0</v>
      </c>
      <c r="CW49" s="7" t="n">
        <v>0</v>
      </c>
      <c r="CX49" s="7" t="n">
        <v>0</v>
      </c>
      <c r="CY49" s="11" t="n">
        <f aca="false">SUMIFS('Исходные данные'!$I$2:$I$964,'Исходные данные'!$D$2:$D$964,CY$1,'Исходные данные'!$F$2:$F$964,$A49)</f>
        <v>0</v>
      </c>
      <c r="CZ49" s="11" t="n">
        <f aca="false">SUMIFS('Исходные данные'!$J$2:$J$964,'Исходные данные'!$D$2:$D$964,CY$1,'Исходные данные'!$F$2:$F$964,$A49)</f>
        <v>0</v>
      </c>
      <c r="DA49" s="7" t="n">
        <v>0</v>
      </c>
      <c r="DB49" s="7" t="n">
        <v>0</v>
      </c>
      <c r="DC49" s="11" t="n">
        <f aca="false">SUMIFS('Исходные данные'!$I$2:$I$964,'Исходные данные'!$D$2:$D$964,DC$1,'Исходные данные'!$F$2:$F$964,$A49)</f>
        <v>0</v>
      </c>
      <c r="DD49" s="11" t="n">
        <f aca="false">SUMIFS('Исходные данные'!$J$2:$J$964,'Исходные данные'!$D$2:$D$964,DC$1,'Исходные данные'!$F$2:$F$964,$A49)</f>
        <v>0</v>
      </c>
      <c r="DE49" s="7" t="n">
        <v>0</v>
      </c>
      <c r="DF49" s="7" t="n">
        <v>0</v>
      </c>
      <c r="DG49" s="11" t="n">
        <f aca="false">SUMIFS('Исходные данные'!$I$2:$I$964,'Исходные данные'!$D$2:$D$964,DG$1,'Исходные данные'!$F$2:$F$964,$A49)</f>
        <v>0</v>
      </c>
      <c r="DH49" s="11" t="n">
        <f aca="false">SUMIFS('Исходные данные'!$J$2:$J$964,'Исходные данные'!$D$2:$D$964,DG$1,'Исходные данные'!$F$2:$F$964,$A49)</f>
        <v>0</v>
      </c>
      <c r="DI49" s="7" t="n">
        <v>0</v>
      </c>
      <c r="DJ49" s="7" t="n">
        <v>0</v>
      </c>
      <c r="DK49" s="11" t="n">
        <f aca="false">SUMIFS('Исходные данные'!$I$2:$I$964,'Исходные данные'!$D$2:$D$964,DK$1,'Исходные данные'!$F$2:$F$964,$A49)</f>
        <v>0</v>
      </c>
      <c r="DL49" s="11" t="n">
        <f aca="false">SUMIFS('Исходные данные'!$J$2:$J$964,'Исходные данные'!$D$2:$D$964,DK$1,'Исходные данные'!$F$2:$F$964,$A49)</f>
        <v>0</v>
      </c>
      <c r="DM49" s="7" t="n">
        <v>0</v>
      </c>
      <c r="DN49" s="7" t="n">
        <v>0</v>
      </c>
      <c r="DO49" s="11" t="n">
        <f aca="false">SUMIFS('Исходные данные'!$I$2:$I$964,'Исходные данные'!$D$2:$D$964,DO$1,'Исходные данные'!$F$2:$F$964,$A49)</f>
        <v>0</v>
      </c>
      <c r="DP49" s="11" t="n">
        <f aca="false">SUMIFS('Исходные данные'!$J$2:$J$964,'Исходные данные'!$D$2:$D$964,DO$1,'Исходные данные'!$F$2:$F$964,$A49)</f>
        <v>0</v>
      </c>
      <c r="DQ49" s="7" t="n">
        <v>0</v>
      </c>
      <c r="DR49" s="7" t="n">
        <v>0</v>
      </c>
      <c r="DS49" s="11" t="n">
        <f aca="false">SUMIFS('Исходные данные'!$I$2:$I$964,'Исходные данные'!$D$2:$D$964,DS$1,'Исходные данные'!$F$2:$F$964,$A49)</f>
        <v>0</v>
      </c>
      <c r="DT49" s="11" t="n">
        <f aca="false">SUMIFS('Исходные данные'!$J$2:$J$964,'Исходные данные'!$D$2:$D$964,DS$1,'Исходные данные'!$F$2:$F$964,$A49)</f>
        <v>0</v>
      </c>
      <c r="DU49" s="7" t="n">
        <v>0</v>
      </c>
      <c r="DV49" s="7" t="n">
        <v>0</v>
      </c>
      <c r="DW49" s="11" t="n">
        <f aca="false">SUMIFS('Исходные данные'!$I$2:$I$964,'Исходные данные'!$D$2:$D$964,DW$1,'Исходные данные'!$F$2:$F$964,$A49)</f>
        <v>0</v>
      </c>
      <c r="DX49" s="11" t="n">
        <f aca="false">SUMIFS('Исходные данные'!$J$2:$J$964,'Исходные данные'!$D$2:$D$964,DW$1,'Исходные данные'!$F$2:$F$964,$A49)</f>
        <v>0</v>
      </c>
      <c r="DY49" s="7" t="n">
        <v>0</v>
      </c>
      <c r="DZ49" s="7" t="n">
        <v>0</v>
      </c>
      <c r="EA49" s="11" t="n">
        <f aca="false">SUMIFS('Исходные данные'!$I$2:$I$964,'Исходные данные'!$D$2:$D$964,EA$1,'Исходные данные'!$F$2:$F$964,$A49)</f>
        <v>0</v>
      </c>
      <c r="EB49" s="11" t="n">
        <f aca="false">SUMIFS('Исходные данные'!$J$2:$J$964,'Исходные данные'!$D$2:$D$964,EA$1,'Исходные данные'!$F$2:$F$964,$A49)</f>
        <v>0</v>
      </c>
      <c r="EC49" s="7" t="n">
        <v>0</v>
      </c>
      <c r="ED49" s="7" t="n">
        <v>0</v>
      </c>
      <c r="EE49" s="11" t="n">
        <f aca="false">SUMIFS('Исходные данные'!$I$2:$I$964,'Исходные данные'!$D$2:$D$964,EE$1,'Исходные данные'!$F$2:$F$964,$A49)</f>
        <v>0</v>
      </c>
      <c r="EF49" s="11" t="n">
        <f aca="false">SUMIFS('Исходные данные'!$J$2:$J$964,'Исходные данные'!$D$2:$D$964,EE$1,'Исходные данные'!$F$2:$F$964,$A49)</f>
        <v>0</v>
      </c>
      <c r="EG49" s="7" t="n">
        <v>0</v>
      </c>
      <c r="EH49" s="7" t="n">
        <v>0</v>
      </c>
      <c r="EI49" s="11" t="n">
        <f aca="false">SUMIFS('Исходные данные'!$I$2:$I$964,'Исходные данные'!$D$2:$D$964,EI$1,'Исходные данные'!$F$2:$F$964,$A49)</f>
        <v>0</v>
      </c>
      <c r="EJ49" s="11" t="n">
        <f aca="false">SUMIFS('Исходные данные'!$J$2:$J$964,'Исходные данные'!$D$2:$D$964,EI$1,'Исходные данные'!$F$2:$F$964,$A49)</f>
        <v>0</v>
      </c>
      <c r="EK49" s="7" t="n">
        <v>0</v>
      </c>
      <c r="EL49" s="7" t="n">
        <v>0</v>
      </c>
      <c r="EM49" s="11" t="n">
        <f aca="false">SUMIFS('Исходные данные'!$I$2:$I$964,'Исходные данные'!$D$2:$D$964,EM$1,'Исходные данные'!$F$2:$F$964,$A49)</f>
        <v>0</v>
      </c>
      <c r="EN49" s="11" t="n">
        <f aca="false">SUMIFS('Исходные данные'!$J$2:$J$964,'Исходные данные'!$D$2:$D$964,EM$1,'Исходные данные'!$F$2:$F$964,$A49)</f>
        <v>0</v>
      </c>
      <c r="EO49" s="7" t="n">
        <v>0</v>
      </c>
      <c r="EP49" s="7" t="n">
        <v>0</v>
      </c>
      <c r="EQ49" s="11" t="n">
        <f aca="false">SUMIFS('Исходные данные'!$I$2:$I$964,'Исходные данные'!$D$2:$D$964,EQ$1,'Исходные данные'!$F$2:$F$964,$A49)</f>
        <v>0</v>
      </c>
      <c r="ER49" s="11" t="n">
        <f aca="false">SUMIFS('Исходные данные'!$J$2:$J$964,'Исходные данные'!$D$2:$D$964,EQ$1,'Исходные данные'!$F$2:$F$964,$A49)</f>
        <v>0</v>
      </c>
      <c r="ES49" s="7" t="n">
        <v>0</v>
      </c>
      <c r="ET49" s="7" t="n">
        <v>0</v>
      </c>
      <c r="EU49" s="11" t="n">
        <f aca="false">SUMIFS('Исходные данные'!$I$2:$I$964,'Исходные данные'!$D$2:$D$964,EU$1,'Исходные данные'!$F$2:$F$964,$A49)</f>
        <v>0</v>
      </c>
      <c r="EV49" s="11" t="n">
        <f aca="false">SUMIFS('Исходные данные'!$J$2:$J$964,'Исходные данные'!$D$2:$D$964,EU$1,'Исходные данные'!$F$2:$F$964,$A49)</f>
        <v>0</v>
      </c>
      <c r="EW49" s="7" t="n">
        <v>0</v>
      </c>
      <c r="EX49" s="7" t="n">
        <v>0</v>
      </c>
      <c r="EY49" s="11" t="n">
        <f aca="false">SUMIFS('Исходные данные'!$I$2:$I$964,'Исходные данные'!$D$2:$D$964,EY$1,'Исходные данные'!$F$2:$F$964,$A49)</f>
        <v>0</v>
      </c>
      <c r="EZ49" s="11" t="n">
        <f aca="false">SUMIFS('Исходные данные'!$J$2:$J$964,'Исходные данные'!$D$2:$D$964,EY$1,'Исходные данные'!$F$2:$F$964,$A49)</f>
        <v>0</v>
      </c>
      <c r="FA49" s="7" t="n">
        <v>0</v>
      </c>
      <c r="FB49" s="7" t="n">
        <v>0</v>
      </c>
      <c r="FC49" s="11" t="n">
        <f aca="false">SUMIFS('Исходные данные'!$I$2:$I$964,'Исходные данные'!$D$2:$D$964,FC$1,'Исходные данные'!$F$2:$F$964,$A49)</f>
        <v>0</v>
      </c>
      <c r="FD49" s="11" t="n">
        <f aca="false">SUMIFS('Исходные данные'!$J$2:$J$964,'Исходные данные'!$D$2:$D$964,FC$1,'Исходные данные'!$F$2:$F$964,$A49)</f>
        <v>0</v>
      </c>
      <c r="FE49" s="7" t="n">
        <v>0</v>
      </c>
      <c r="FF49" s="7" t="n">
        <v>0</v>
      </c>
      <c r="FG49" s="11" t="n">
        <f aca="false">SUMIFS('Исходные данные'!$I$2:$I$964,'Исходные данные'!$D$2:$D$964,FG$1,'Исходные данные'!$F$2:$F$964,$A49)</f>
        <v>0</v>
      </c>
      <c r="FH49" s="11" t="n">
        <f aca="false">SUMIFS('Исходные данные'!$J$2:$J$964,'Исходные данные'!$D$2:$D$964,FG$1,'Исходные данные'!$F$2:$F$964,$A49)</f>
        <v>0</v>
      </c>
    </row>
    <row r="50" customFormat="false" ht="15" hidden="false" customHeight="false" outlineLevel="0" collapsed="false">
      <c r="A50" s="10" t="s">
        <v>143</v>
      </c>
      <c r="B50" s="11" t="s">
        <v>144</v>
      </c>
      <c r="C50" s="6" t="n">
        <v>1</v>
      </c>
      <c r="D50" s="6" t="n">
        <f aca="false">I50+J50+M50+N50+Q50+R50+U50+V50+Y50+Z50+AC50+AD50+AG50+AH50+AK50+AL50+AO50+AP50+AS50+AT50+AW50+AX50+BA50+BB50+BE50+BF50+BI50+BJ50+BM50+BN50+BQ50+BR50+BU50+BV50+BY50+BZ50+CC50+CD50+CG50+CH50+CK50+CL50+CO50+CP50+CS50+CT50+CW50+CX50+DA50+DB50+DE50+DF50+DI50+DJ50+DM50+DN50+DQ50+DR50+DU50+DV50+DY50+DZ50+EC50+ED50+EG50+EH50+EK50+EL50+EO50+EP50+ES50+ET50+EW50+EX50+FA50+FB50+FE50+FF50</f>
        <v>1</v>
      </c>
      <c r="E50" s="6" t="n">
        <f aca="false">G50+H50</f>
        <v>1</v>
      </c>
      <c r="F50" s="6" t="n">
        <f aca="false">E50-C50</f>
        <v>0</v>
      </c>
      <c r="G50" s="6" t="n">
        <f aca="false">K50+O50+S50+W50+AA50+AE50+AI50+AM50+AQ50+AU50+AY50+BC50+BG50+BK50+BO50+BS50+BW50+CA50+CE50+CI50+CM50+CQ50+CU50+CY50+DC50+DG50+DK50+DO50+DS50+DW50+EA50+EE50+EI50+EM50+EQ50+EU50+EY50+FC50+FG50</f>
        <v>1</v>
      </c>
      <c r="H50" s="6" t="n">
        <f aca="false">L50+P50+T50+X50+AB50+AF50+AJ50+AN50+AR50+AV50+AZ50+BD50+BH50+BL50+BP50+BT50+BX50+CB50+CF50+CJ50+CN50+CR50+CV50+CZ50+DD50+DH50+DL50+DP50+DT50+DX50+EB50+EF50+EJ50+EN50+ER50+EV50+EZ50+FD50+FH50</f>
        <v>0</v>
      </c>
      <c r="I50" s="7" t="n">
        <v>0</v>
      </c>
      <c r="J50" s="7" t="n">
        <v>0</v>
      </c>
      <c r="K50" s="11" t="n">
        <f aca="false">SUMIFS('Исходные данные'!$I$2:$I$964,'Исходные данные'!$D$2:$D$964,K$1,'Исходные данные'!$F$2:$F$964,$A50)</f>
        <v>0</v>
      </c>
      <c r="L50" s="11" t="n">
        <f aca="false">SUMIFS('Исходные данные'!$J$2:$J$964,'Исходные данные'!$D$2:$D$964,K$1,'Исходные данные'!$F$2:$F$964,$A50)</f>
        <v>0</v>
      </c>
      <c r="M50" s="7" t="n">
        <v>0</v>
      </c>
      <c r="N50" s="7" t="n">
        <v>0</v>
      </c>
      <c r="O50" s="11" t="n">
        <f aca="false">SUMIFS('Исходные данные'!$I$2:$I$964,'Исходные данные'!$D$2:$D$964,O$1,'Исходные данные'!$F$2:$F$964,$A50)</f>
        <v>0</v>
      </c>
      <c r="P50" s="11" t="n">
        <f aca="false">SUMIFS('Исходные данные'!$J$2:$J$964,'Исходные данные'!$D$2:$D$964,O$1,'Исходные данные'!$F$2:$F$964,$A50)</f>
        <v>0</v>
      </c>
      <c r="Q50" s="7" t="n">
        <v>0</v>
      </c>
      <c r="R50" s="7" t="n">
        <v>0</v>
      </c>
      <c r="S50" s="11" t="n">
        <f aca="false">SUMIFS('Исходные данные'!$I$2:$I$964,'Исходные данные'!$D$2:$D$964,S$1,'Исходные данные'!$F$2:$F$964,$A50)</f>
        <v>0</v>
      </c>
      <c r="T50" s="11" t="n">
        <f aca="false">SUMIFS('Исходные данные'!$J$2:$J$964,'Исходные данные'!$D$2:$D$964,S$1,'Исходные данные'!$F$2:$F$964,$A50)</f>
        <v>0</v>
      </c>
      <c r="U50" s="7" t="n">
        <v>0</v>
      </c>
      <c r="V50" s="7" t="n">
        <v>0</v>
      </c>
      <c r="W50" s="11" t="n">
        <f aca="false">SUMIFS('Исходные данные'!$I$2:$I$964,'Исходные данные'!$D$2:$D$964,W$1,'Исходные данные'!$F$2:$F$964,$A50)</f>
        <v>0</v>
      </c>
      <c r="X50" s="11" t="n">
        <f aca="false">SUMIFS('Исходные данные'!$J$2:$J$964,'Исходные данные'!$D$2:$D$964,W$1,'Исходные данные'!$F$2:$F$964,$A50)</f>
        <v>0</v>
      </c>
      <c r="Y50" s="7" t="n">
        <v>0</v>
      </c>
      <c r="Z50" s="7" t="n">
        <v>0</v>
      </c>
      <c r="AA50" s="11" t="n">
        <f aca="false">SUMIFS('Исходные данные'!$I$2:$I$964,'Исходные данные'!$D$2:$D$964,AA$1,'Исходные данные'!$F$2:$F$964,$A50)</f>
        <v>0</v>
      </c>
      <c r="AB50" s="11" t="n">
        <f aca="false">SUMIFS('Исходные данные'!$J$2:$J$964,'Исходные данные'!$D$2:$D$964,AA$1,'Исходные данные'!$F$2:$F$964,$A50)</f>
        <v>0</v>
      </c>
      <c r="AC50" s="7" t="n">
        <v>0</v>
      </c>
      <c r="AD50" s="7" t="n">
        <v>0</v>
      </c>
      <c r="AE50" s="11" t="n">
        <f aca="false">SUMIFS('Исходные данные'!$I$2:$I$964,'Исходные данные'!$D$2:$D$964,AE$1,'Исходные данные'!$F$2:$F$964,$A50)</f>
        <v>0</v>
      </c>
      <c r="AF50" s="11" t="n">
        <f aca="false">SUMIFS('Исходные данные'!$J$2:$J$964,'Исходные данные'!$D$2:$D$964,AE$1,'Исходные данные'!$F$2:$F$964,$A50)</f>
        <v>0</v>
      </c>
      <c r="AG50" s="7" t="n">
        <v>0</v>
      </c>
      <c r="AH50" s="7" t="n">
        <v>0</v>
      </c>
      <c r="AI50" s="11" t="n">
        <f aca="false">SUMIFS('Исходные данные'!$I$2:$I$964,'Исходные данные'!$D$2:$D$964,AI$1,'Исходные данные'!$F$2:$F$964,$A50)</f>
        <v>0</v>
      </c>
      <c r="AJ50" s="11" t="n">
        <f aca="false">SUMIFS('Исходные данные'!$J$2:$J$964,'Исходные данные'!$D$2:$D$964,AI$1,'Исходные данные'!$F$2:$F$964,$A50)</f>
        <v>0</v>
      </c>
      <c r="AK50" s="7" t="n">
        <v>1</v>
      </c>
      <c r="AL50" s="7" t="n">
        <v>0</v>
      </c>
      <c r="AM50" s="11" t="n">
        <f aca="false">SUMIFS('Исходные данные'!$I$2:$I$964,'Исходные данные'!$D$2:$D$964,AM$1,'Исходные данные'!$F$2:$F$964,$A50)</f>
        <v>1</v>
      </c>
      <c r="AN50" s="11" t="n">
        <f aca="false">SUMIFS('Исходные данные'!$J$2:$J$964,'Исходные данные'!$D$2:$D$964,AM$1,'Исходные данные'!$F$2:$F$964,$A50)</f>
        <v>0</v>
      </c>
      <c r="AO50" s="7" t="n">
        <v>0</v>
      </c>
      <c r="AP50" s="7" t="n">
        <v>0</v>
      </c>
      <c r="AQ50" s="11" t="n">
        <f aca="false">SUMIFS('Исходные данные'!$I$2:$I$964,'Исходные данные'!$D$2:$D$964,AQ$1,'Исходные данные'!$F$2:$F$964,$A50)</f>
        <v>0</v>
      </c>
      <c r="AR50" s="11" t="n">
        <f aca="false">SUMIFS('Исходные данные'!$J$2:$J$964,'Исходные данные'!$D$2:$D$964,AQ$1,'Исходные данные'!$F$2:$F$964,$A50)</f>
        <v>0</v>
      </c>
      <c r="AS50" s="7" t="n">
        <v>0</v>
      </c>
      <c r="AT50" s="7" t="n">
        <v>0</v>
      </c>
      <c r="AU50" s="11" t="n">
        <f aca="false">SUMIFS('Исходные данные'!$I$2:$I$964,'Исходные данные'!$D$2:$D$964,AU$1,'Исходные данные'!$F$2:$F$964,$A50)</f>
        <v>0</v>
      </c>
      <c r="AV50" s="11" t="n">
        <f aca="false">SUMIFS('Исходные данные'!$J$2:$J$964,'Исходные данные'!$D$2:$D$964,AU$1,'Исходные данные'!$F$2:$F$964,$A50)</f>
        <v>0</v>
      </c>
      <c r="AW50" s="7" t="n">
        <v>0</v>
      </c>
      <c r="AX50" s="7" t="n">
        <v>0</v>
      </c>
      <c r="AY50" s="11" t="n">
        <f aca="false">SUMIFS('Исходные данные'!$I$2:$I$964,'Исходные данные'!$D$2:$D$964,AY$1,'Исходные данные'!$F$2:$F$964,$A50)</f>
        <v>0</v>
      </c>
      <c r="AZ50" s="11" t="n">
        <f aca="false">SUMIFS('Исходные данные'!$J$2:$J$964,'Исходные данные'!$D$2:$D$964,AY$1,'Исходные данные'!$F$2:$F$964,$A50)</f>
        <v>0</v>
      </c>
      <c r="BA50" s="7" t="n">
        <v>0</v>
      </c>
      <c r="BB50" s="7" t="n">
        <v>0</v>
      </c>
      <c r="BC50" s="11" t="n">
        <f aca="false">SUMIFS('Исходные данные'!$I$2:$I$964,'Исходные данные'!$D$2:$D$964,BC$1,'Исходные данные'!$F$2:$F$964,$A50)</f>
        <v>0</v>
      </c>
      <c r="BD50" s="11" t="n">
        <f aca="false">SUMIFS('Исходные данные'!$J$2:$J$964,'Исходные данные'!$D$2:$D$964,BC$1,'Исходные данные'!$F$2:$F$964,$A50)</f>
        <v>0</v>
      </c>
      <c r="BE50" s="7" t="n">
        <v>0</v>
      </c>
      <c r="BF50" s="7" t="n">
        <v>0</v>
      </c>
      <c r="BG50" s="11" t="n">
        <f aca="false">SUMIFS('Исходные данные'!$I$2:$I$964,'Исходные данные'!$D$2:$D$964,BG$1,'Исходные данные'!$F$2:$F$964,$A50)</f>
        <v>0</v>
      </c>
      <c r="BH50" s="11" t="n">
        <f aca="false">SUMIFS('Исходные данные'!$J$2:$J$964,'Исходные данные'!$D$2:$D$964,BG$1,'Исходные данные'!$F$2:$F$964,$A50)</f>
        <v>0</v>
      </c>
      <c r="BI50" s="7" t="n">
        <v>0</v>
      </c>
      <c r="BJ50" s="7" t="n">
        <v>0</v>
      </c>
      <c r="BK50" s="11" t="n">
        <f aca="false">SUMIFS('Исходные данные'!$I$2:$I$964,'Исходные данные'!$D$2:$D$964,BK$1,'Исходные данные'!$F$2:$F$964,$A50)</f>
        <v>0</v>
      </c>
      <c r="BL50" s="11" t="n">
        <f aca="false">SUMIFS('Исходные данные'!$J$2:$J$964,'Исходные данные'!$D$2:$D$964,BK$1,'Исходные данные'!$F$2:$F$964,$A50)</f>
        <v>0</v>
      </c>
      <c r="BM50" s="7" t="n">
        <v>0</v>
      </c>
      <c r="BN50" s="7" t="n">
        <v>0</v>
      </c>
      <c r="BO50" s="11" t="n">
        <f aca="false">SUMIFS('Исходные данные'!$I$2:$I$964,'Исходные данные'!$D$2:$D$964,BO$1,'Исходные данные'!$F$2:$F$964,$A50)</f>
        <v>0</v>
      </c>
      <c r="BP50" s="11" t="n">
        <f aca="false">SUMIFS('Исходные данные'!$J$2:$J$964,'Исходные данные'!$D$2:$D$964,BO$1,'Исходные данные'!$F$2:$F$964,$A50)</f>
        <v>0</v>
      </c>
      <c r="BQ50" s="7" t="n">
        <v>0</v>
      </c>
      <c r="BR50" s="7" t="n">
        <v>0</v>
      </c>
      <c r="BS50" s="11" t="n">
        <f aca="false">SUMIFS('Исходные данные'!$I$2:$I$964,'Исходные данные'!$D$2:$D$964,BS$1,'Исходные данные'!$F$2:$F$964,$A50)</f>
        <v>0</v>
      </c>
      <c r="BT50" s="11" t="n">
        <f aca="false">SUMIFS('Исходные данные'!$J$2:$J$964,'Исходные данные'!$D$2:$D$964,BS$1,'Исходные данные'!$F$2:$F$964,$A50)</f>
        <v>0</v>
      </c>
      <c r="BU50" s="7" t="n">
        <v>0</v>
      </c>
      <c r="BV50" s="7" t="n">
        <v>0</v>
      </c>
      <c r="BW50" s="11" t="n">
        <f aca="false">SUMIFS('Исходные данные'!$I$2:$I$964,'Исходные данные'!$D$2:$D$964,BW$1,'Исходные данные'!$F$2:$F$964,$A50)</f>
        <v>0</v>
      </c>
      <c r="BX50" s="11" t="n">
        <f aca="false">SUMIFS('Исходные данные'!$J$2:$J$964,'Исходные данные'!$D$2:$D$964,BW$1,'Исходные данные'!$F$2:$F$964,$A50)</f>
        <v>0</v>
      </c>
      <c r="BY50" s="7" t="n">
        <v>0</v>
      </c>
      <c r="BZ50" s="7" t="n">
        <v>0</v>
      </c>
      <c r="CA50" s="11" t="n">
        <f aca="false">SUMIFS('Исходные данные'!$I$2:$I$964,'Исходные данные'!$D$2:$D$964,CA$1,'Исходные данные'!$F$2:$F$964,$A50)</f>
        <v>0</v>
      </c>
      <c r="CB50" s="11" t="n">
        <f aca="false">SUMIFS('Исходные данные'!$J$2:$J$964,'Исходные данные'!$D$2:$D$964,CA$1,'Исходные данные'!$F$2:$F$964,$A50)</f>
        <v>0</v>
      </c>
      <c r="CC50" s="7" t="n">
        <v>0</v>
      </c>
      <c r="CD50" s="7" t="n">
        <v>0</v>
      </c>
      <c r="CE50" s="11" t="n">
        <f aca="false">SUMIFS('Исходные данные'!$I$2:$I$964,'Исходные данные'!$D$2:$D$964,CE$1,'Исходные данные'!$F$2:$F$964,$A50)</f>
        <v>0</v>
      </c>
      <c r="CF50" s="11" t="n">
        <f aca="false">SUMIFS('Исходные данные'!$J$2:$J$964,'Исходные данные'!$D$2:$D$964,CE$1,'Исходные данные'!$F$2:$F$964,$A50)</f>
        <v>0</v>
      </c>
      <c r="CG50" s="7" t="n">
        <v>0</v>
      </c>
      <c r="CH50" s="7" t="n">
        <v>0</v>
      </c>
      <c r="CI50" s="11" t="n">
        <f aca="false">SUMIFS('Исходные данные'!$I$2:$I$964,'Исходные данные'!$D$2:$D$964,CI$1,'Исходные данные'!$F$2:$F$964,$A50)</f>
        <v>0</v>
      </c>
      <c r="CJ50" s="11" t="n">
        <f aca="false">SUMIFS('Исходные данные'!$J$2:$J$964,'Исходные данные'!$D$2:$D$964,CI$1,'Исходные данные'!$F$2:$F$964,$A50)</f>
        <v>0</v>
      </c>
      <c r="CK50" s="7" t="n">
        <v>0</v>
      </c>
      <c r="CL50" s="7" t="n">
        <v>0</v>
      </c>
      <c r="CM50" s="11" t="n">
        <f aca="false">SUMIFS('Исходные данные'!$I$2:$I$964,'Исходные данные'!$D$2:$D$964,CM$1,'Исходные данные'!$F$2:$F$964,$A50)</f>
        <v>0</v>
      </c>
      <c r="CN50" s="11" t="n">
        <f aca="false">SUMIFS('Исходные данные'!$J$2:$J$964,'Исходные данные'!$D$2:$D$964,CM$1,'Исходные данные'!$F$2:$F$964,$A50)</f>
        <v>0</v>
      </c>
      <c r="CO50" s="7" t="n">
        <v>0</v>
      </c>
      <c r="CP50" s="7" t="n">
        <v>0</v>
      </c>
      <c r="CQ50" s="11" t="n">
        <f aca="false">SUMIFS('Исходные данные'!$I$2:$I$964,'Исходные данные'!$D$2:$D$964,CQ$1,'Исходные данные'!$F$2:$F$964,$A50)</f>
        <v>0</v>
      </c>
      <c r="CR50" s="11" t="n">
        <f aca="false">SUMIFS('Исходные данные'!$J$2:$J$964,'Исходные данные'!$D$2:$D$964,CQ$1,'Исходные данные'!$F$2:$F$964,$A50)</f>
        <v>0</v>
      </c>
      <c r="CS50" s="7" t="n">
        <v>0</v>
      </c>
      <c r="CT50" s="7" t="n">
        <v>0</v>
      </c>
      <c r="CU50" s="11" t="n">
        <f aca="false">SUMIFS('Исходные данные'!$I$2:$I$964,'Исходные данные'!$D$2:$D$964,CU$1,'Исходные данные'!$F$2:$F$964,$A50)</f>
        <v>0</v>
      </c>
      <c r="CV50" s="11" t="n">
        <f aca="false">SUMIFS('Исходные данные'!$J$2:$J$964,'Исходные данные'!$D$2:$D$964,CU$1,'Исходные данные'!$F$2:$F$964,$A50)</f>
        <v>0</v>
      </c>
      <c r="CW50" s="7" t="n">
        <v>0</v>
      </c>
      <c r="CX50" s="7" t="n">
        <v>0</v>
      </c>
      <c r="CY50" s="11" t="n">
        <f aca="false">SUMIFS('Исходные данные'!$I$2:$I$964,'Исходные данные'!$D$2:$D$964,CY$1,'Исходные данные'!$F$2:$F$964,$A50)</f>
        <v>0</v>
      </c>
      <c r="CZ50" s="11" t="n">
        <f aca="false">SUMIFS('Исходные данные'!$J$2:$J$964,'Исходные данные'!$D$2:$D$964,CY$1,'Исходные данные'!$F$2:$F$964,$A50)</f>
        <v>0</v>
      </c>
      <c r="DA50" s="7" t="n">
        <v>0</v>
      </c>
      <c r="DB50" s="7" t="n">
        <v>0</v>
      </c>
      <c r="DC50" s="11" t="n">
        <f aca="false">SUMIFS('Исходные данные'!$I$2:$I$964,'Исходные данные'!$D$2:$D$964,DC$1,'Исходные данные'!$F$2:$F$964,$A50)</f>
        <v>0</v>
      </c>
      <c r="DD50" s="11" t="n">
        <f aca="false">SUMIFS('Исходные данные'!$J$2:$J$964,'Исходные данные'!$D$2:$D$964,DC$1,'Исходные данные'!$F$2:$F$964,$A50)</f>
        <v>0</v>
      </c>
      <c r="DE50" s="7" t="n">
        <v>0</v>
      </c>
      <c r="DF50" s="7" t="n">
        <v>0</v>
      </c>
      <c r="DG50" s="11" t="n">
        <f aca="false">SUMIFS('Исходные данные'!$I$2:$I$964,'Исходные данные'!$D$2:$D$964,DG$1,'Исходные данные'!$F$2:$F$964,$A50)</f>
        <v>0</v>
      </c>
      <c r="DH50" s="11" t="n">
        <f aca="false">SUMIFS('Исходные данные'!$J$2:$J$964,'Исходные данные'!$D$2:$D$964,DG$1,'Исходные данные'!$F$2:$F$964,$A50)</f>
        <v>0</v>
      </c>
      <c r="DI50" s="7" t="n">
        <v>0</v>
      </c>
      <c r="DJ50" s="7" t="n">
        <v>0</v>
      </c>
      <c r="DK50" s="11" t="n">
        <f aca="false">SUMIFS('Исходные данные'!$I$2:$I$964,'Исходные данные'!$D$2:$D$964,DK$1,'Исходные данные'!$F$2:$F$964,$A50)</f>
        <v>0</v>
      </c>
      <c r="DL50" s="11" t="n">
        <f aca="false">SUMIFS('Исходные данные'!$J$2:$J$964,'Исходные данные'!$D$2:$D$964,DK$1,'Исходные данные'!$F$2:$F$964,$A50)</f>
        <v>0</v>
      </c>
      <c r="DM50" s="7" t="n">
        <v>0</v>
      </c>
      <c r="DN50" s="7" t="n">
        <v>0</v>
      </c>
      <c r="DO50" s="11" t="n">
        <f aca="false">SUMIFS('Исходные данные'!$I$2:$I$964,'Исходные данные'!$D$2:$D$964,DO$1,'Исходные данные'!$F$2:$F$964,$A50)</f>
        <v>0</v>
      </c>
      <c r="DP50" s="11" t="n">
        <f aca="false">SUMIFS('Исходные данные'!$J$2:$J$964,'Исходные данные'!$D$2:$D$964,DO$1,'Исходные данные'!$F$2:$F$964,$A50)</f>
        <v>0</v>
      </c>
      <c r="DQ50" s="7" t="n">
        <v>0</v>
      </c>
      <c r="DR50" s="7" t="n">
        <v>0</v>
      </c>
      <c r="DS50" s="11" t="n">
        <f aca="false">SUMIFS('Исходные данные'!$I$2:$I$964,'Исходные данные'!$D$2:$D$964,DS$1,'Исходные данные'!$F$2:$F$964,$A50)</f>
        <v>0</v>
      </c>
      <c r="DT50" s="11" t="n">
        <f aca="false">SUMIFS('Исходные данные'!$J$2:$J$964,'Исходные данные'!$D$2:$D$964,DS$1,'Исходные данные'!$F$2:$F$964,$A50)</f>
        <v>0</v>
      </c>
      <c r="DU50" s="7" t="n">
        <v>0</v>
      </c>
      <c r="DV50" s="7" t="n">
        <v>0</v>
      </c>
      <c r="DW50" s="11" t="n">
        <f aca="false">SUMIFS('Исходные данные'!$I$2:$I$964,'Исходные данные'!$D$2:$D$964,DW$1,'Исходные данные'!$F$2:$F$964,$A50)</f>
        <v>0</v>
      </c>
      <c r="DX50" s="11" t="n">
        <f aca="false">SUMIFS('Исходные данные'!$J$2:$J$964,'Исходные данные'!$D$2:$D$964,DW$1,'Исходные данные'!$F$2:$F$964,$A50)</f>
        <v>0</v>
      </c>
      <c r="DY50" s="7" t="n">
        <v>0</v>
      </c>
      <c r="DZ50" s="7" t="n">
        <v>0</v>
      </c>
      <c r="EA50" s="11" t="n">
        <f aca="false">SUMIFS('Исходные данные'!$I$2:$I$964,'Исходные данные'!$D$2:$D$964,EA$1,'Исходные данные'!$F$2:$F$964,$A50)</f>
        <v>0</v>
      </c>
      <c r="EB50" s="11" t="n">
        <f aca="false">SUMIFS('Исходные данные'!$J$2:$J$964,'Исходные данные'!$D$2:$D$964,EA$1,'Исходные данные'!$F$2:$F$964,$A50)</f>
        <v>0</v>
      </c>
      <c r="EC50" s="7" t="n">
        <v>0</v>
      </c>
      <c r="ED50" s="7" t="n">
        <v>0</v>
      </c>
      <c r="EE50" s="11" t="n">
        <f aca="false">SUMIFS('Исходные данные'!$I$2:$I$964,'Исходные данные'!$D$2:$D$964,EE$1,'Исходные данные'!$F$2:$F$964,$A50)</f>
        <v>0</v>
      </c>
      <c r="EF50" s="11" t="n">
        <f aca="false">SUMIFS('Исходные данные'!$J$2:$J$964,'Исходные данные'!$D$2:$D$964,EE$1,'Исходные данные'!$F$2:$F$964,$A50)</f>
        <v>0</v>
      </c>
      <c r="EG50" s="7" t="n">
        <v>0</v>
      </c>
      <c r="EH50" s="7" t="n">
        <v>0</v>
      </c>
      <c r="EI50" s="11" t="n">
        <f aca="false">SUMIFS('Исходные данные'!$I$2:$I$964,'Исходные данные'!$D$2:$D$964,EI$1,'Исходные данные'!$F$2:$F$964,$A50)</f>
        <v>0</v>
      </c>
      <c r="EJ50" s="11" t="n">
        <f aca="false">SUMIFS('Исходные данные'!$J$2:$J$964,'Исходные данные'!$D$2:$D$964,EI$1,'Исходные данные'!$F$2:$F$964,$A50)</f>
        <v>0</v>
      </c>
      <c r="EK50" s="7" t="n">
        <v>0</v>
      </c>
      <c r="EL50" s="7" t="n">
        <v>0</v>
      </c>
      <c r="EM50" s="11" t="n">
        <f aca="false">SUMIFS('Исходные данные'!$I$2:$I$964,'Исходные данные'!$D$2:$D$964,EM$1,'Исходные данные'!$F$2:$F$964,$A50)</f>
        <v>0</v>
      </c>
      <c r="EN50" s="11" t="n">
        <f aca="false">SUMIFS('Исходные данные'!$J$2:$J$964,'Исходные данные'!$D$2:$D$964,EM$1,'Исходные данные'!$F$2:$F$964,$A50)</f>
        <v>0</v>
      </c>
      <c r="EO50" s="7" t="n">
        <v>0</v>
      </c>
      <c r="EP50" s="7" t="n">
        <v>0</v>
      </c>
      <c r="EQ50" s="11" t="n">
        <f aca="false">SUMIFS('Исходные данные'!$I$2:$I$964,'Исходные данные'!$D$2:$D$964,EQ$1,'Исходные данные'!$F$2:$F$964,$A50)</f>
        <v>0</v>
      </c>
      <c r="ER50" s="11" t="n">
        <f aca="false">SUMIFS('Исходные данные'!$J$2:$J$964,'Исходные данные'!$D$2:$D$964,EQ$1,'Исходные данные'!$F$2:$F$964,$A50)</f>
        <v>0</v>
      </c>
      <c r="ES50" s="7" t="n">
        <v>0</v>
      </c>
      <c r="ET50" s="7" t="n">
        <v>0</v>
      </c>
      <c r="EU50" s="11" t="n">
        <f aca="false">SUMIFS('Исходные данные'!$I$2:$I$964,'Исходные данные'!$D$2:$D$964,EU$1,'Исходные данные'!$F$2:$F$964,$A50)</f>
        <v>0</v>
      </c>
      <c r="EV50" s="11" t="n">
        <f aca="false">SUMIFS('Исходные данные'!$J$2:$J$964,'Исходные данные'!$D$2:$D$964,EU$1,'Исходные данные'!$F$2:$F$964,$A50)</f>
        <v>0</v>
      </c>
      <c r="EW50" s="7" t="n">
        <v>0</v>
      </c>
      <c r="EX50" s="7" t="n">
        <v>0</v>
      </c>
      <c r="EY50" s="11" t="n">
        <f aca="false">SUMIFS('Исходные данные'!$I$2:$I$964,'Исходные данные'!$D$2:$D$964,EY$1,'Исходные данные'!$F$2:$F$964,$A50)</f>
        <v>0</v>
      </c>
      <c r="EZ50" s="11" t="n">
        <f aca="false">SUMIFS('Исходные данные'!$J$2:$J$964,'Исходные данные'!$D$2:$D$964,EY$1,'Исходные данные'!$F$2:$F$964,$A50)</f>
        <v>0</v>
      </c>
      <c r="FA50" s="7" t="n">
        <v>0</v>
      </c>
      <c r="FB50" s="7" t="n">
        <v>0</v>
      </c>
      <c r="FC50" s="11" t="n">
        <f aca="false">SUMIFS('Исходные данные'!$I$2:$I$964,'Исходные данные'!$D$2:$D$964,FC$1,'Исходные данные'!$F$2:$F$964,$A50)</f>
        <v>0</v>
      </c>
      <c r="FD50" s="11" t="n">
        <f aca="false">SUMIFS('Исходные данные'!$J$2:$J$964,'Исходные данные'!$D$2:$D$964,FC$1,'Исходные данные'!$F$2:$F$964,$A50)</f>
        <v>0</v>
      </c>
      <c r="FE50" s="7" t="n">
        <v>0</v>
      </c>
      <c r="FF50" s="7" t="n">
        <v>0</v>
      </c>
      <c r="FG50" s="11" t="n">
        <f aca="false">SUMIFS('Исходные данные'!$I$2:$I$964,'Исходные данные'!$D$2:$D$964,FG$1,'Исходные данные'!$F$2:$F$964,$A50)</f>
        <v>0</v>
      </c>
      <c r="FH50" s="11" t="n">
        <f aca="false">SUMIFS('Исходные данные'!$J$2:$J$964,'Исходные данные'!$D$2:$D$964,FG$1,'Исходные данные'!$F$2:$F$964,$A50)</f>
        <v>0</v>
      </c>
    </row>
    <row r="51" customFormat="false" ht="15" hidden="false" customHeight="false" outlineLevel="0" collapsed="false">
      <c r="A51" s="10" t="s">
        <v>145</v>
      </c>
      <c r="B51" s="11" t="s">
        <v>146</v>
      </c>
      <c r="C51" s="6" t="n">
        <v>1</v>
      </c>
      <c r="D51" s="6" t="n">
        <f aca="false">I51+J51+M51+N51+Q51+R51+U51+V51+Y51+Z51+AC51+AD51+AG51+AH51+AK51+AL51+AO51+AP51+AS51+AT51+AW51+AX51+BA51+BB51+BE51+BF51+BI51+BJ51+BM51+BN51+BQ51+BR51+BU51+BV51+BY51+BZ51+CC51+CD51+CG51+CH51+CK51+CL51+CO51+CP51+CS51+CT51+CW51+CX51+DA51+DB51+DE51+DF51+DI51+DJ51+DM51+DN51+DQ51+DR51+DU51+DV51+DY51+DZ51+EC51+ED51+EG51+EH51+EK51+EL51+EO51+EP51+ES51+ET51+EW51+EX51+FA51+FB51+FE51+FF51</f>
        <v>1</v>
      </c>
      <c r="E51" s="6" t="n">
        <f aca="false">G51+H51</f>
        <v>1</v>
      </c>
      <c r="F51" s="6" t="n">
        <f aca="false">E51-C51</f>
        <v>0</v>
      </c>
      <c r="G51" s="6" t="n">
        <f aca="false">K51+O51+S51+W51+AA51+AE51+AI51+AM51+AQ51+AU51+AY51+BC51+BG51+BK51+BO51+BS51+BW51+CA51+CE51+CI51+CM51+CQ51+CU51+CY51+DC51+DG51+DK51+DO51+DS51+DW51+EA51+EE51+EI51+EM51+EQ51+EU51+EY51+FC51+FG51</f>
        <v>1</v>
      </c>
      <c r="H51" s="6" t="n">
        <f aca="false">L51+P51+T51+X51+AB51+AF51+AJ51+AN51+AR51+AV51+AZ51+BD51+BH51+BL51+BP51+BT51+BX51+CB51+CF51+CJ51+CN51+CR51+CV51+CZ51+DD51+DH51+DL51+DP51+DT51+DX51+EB51+EF51+EJ51+EN51+ER51+EV51+EZ51+FD51+FH51</f>
        <v>0</v>
      </c>
      <c r="I51" s="7" t="n">
        <v>0</v>
      </c>
      <c r="J51" s="7" t="n">
        <v>0</v>
      </c>
      <c r="K51" s="11" t="n">
        <f aca="false">SUMIFS('Исходные данные'!$I$2:$I$964,'Исходные данные'!$D$2:$D$964,K$1,'Исходные данные'!$F$2:$F$964,$A51)</f>
        <v>0</v>
      </c>
      <c r="L51" s="11" t="n">
        <f aca="false">SUMIFS('Исходные данные'!$J$2:$J$964,'Исходные данные'!$D$2:$D$964,K$1,'Исходные данные'!$F$2:$F$964,$A51)</f>
        <v>0</v>
      </c>
      <c r="M51" s="7" t="n">
        <v>0</v>
      </c>
      <c r="N51" s="7" t="n">
        <v>0</v>
      </c>
      <c r="O51" s="11" t="n">
        <f aca="false">SUMIFS('Исходные данные'!$I$2:$I$964,'Исходные данные'!$D$2:$D$964,O$1,'Исходные данные'!$F$2:$F$964,$A51)</f>
        <v>0</v>
      </c>
      <c r="P51" s="11" t="n">
        <f aca="false">SUMIFS('Исходные данные'!$J$2:$J$964,'Исходные данные'!$D$2:$D$964,O$1,'Исходные данные'!$F$2:$F$964,$A51)</f>
        <v>0</v>
      </c>
      <c r="Q51" s="7" t="n">
        <v>0</v>
      </c>
      <c r="R51" s="7" t="n">
        <v>0</v>
      </c>
      <c r="S51" s="11" t="n">
        <f aca="false">SUMIFS('Исходные данные'!$I$2:$I$964,'Исходные данные'!$D$2:$D$964,S$1,'Исходные данные'!$F$2:$F$964,$A51)</f>
        <v>0</v>
      </c>
      <c r="T51" s="11" t="n">
        <f aca="false">SUMIFS('Исходные данные'!$J$2:$J$964,'Исходные данные'!$D$2:$D$964,S$1,'Исходные данные'!$F$2:$F$964,$A51)</f>
        <v>0</v>
      </c>
      <c r="U51" s="7" t="n">
        <v>1</v>
      </c>
      <c r="V51" s="7" t="n">
        <v>0</v>
      </c>
      <c r="W51" s="11" t="n">
        <f aca="false">SUMIFS('Исходные данные'!$I$2:$I$964,'Исходные данные'!$D$2:$D$964,W$1,'Исходные данные'!$F$2:$F$964,$A51)</f>
        <v>1</v>
      </c>
      <c r="X51" s="11" t="n">
        <f aca="false">SUMIFS('Исходные данные'!$J$2:$J$964,'Исходные данные'!$D$2:$D$964,W$1,'Исходные данные'!$F$2:$F$964,$A51)</f>
        <v>0</v>
      </c>
      <c r="Y51" s="7" t="n">
        <v>0</v>
      </c>
      <c r="Z51" s="7" t="n">
        <v>0</v>
      </c>
      <c r="AA51" s="11" t="n">
        <f aca="false">SUMIFS('Исходные данные'!$I$2:$I$964,'Исходные данные'!$D$2:$D$964,AA$1,'Исходные данные'!$F$2:$F$964,$A51)</f>
        <v>0</v>
      </c>
      <c r="AB51" s="11" t="n">
        <f aca="false">SUMIFS('Исходные данные'!$J$2:$J$964,'Исходные данные'!$D$2:$D$964,AA$1,'Исходные данные'!$F$2:$F$964,$A51)</f>
        <v>0</v>
      </c>
      <c r="AC51" s="7" t="n">
        <v>0</v>
      </c>
      <c r="AD51" s="7" t="n">
        <v>0</v>
      </c>
      <c r="AE51" s="11" t="n">
        <f aca="false">SUMIFS('Исходные данные'!$I$2:$I$964,'Исходные данные'!$D$2:$D$964,AE$1,'Исходные данные'!$F$2:$F$964,$A51)</f>
        <v>0</v>
      </c>
      <c r="AF51" s="11" t="n">
        <f aca="false">SUMIFS('Исходные данные'!$J$2:$J$964,'Исходные данные'!$D$2:$D$964,AE$1,'Исходные данные'!$F$2:$F$964,$A51)</f>
        <v>0</v>
      </c>
      <c r="AG51" s="7" t="n">
        <v>0</v>
      </c>
      <c r="AH51" s="7" t="n">
        <v>0</v>
      </c>
      <c r="AI51" s="11" t="n">
        <f aca="false">SUMIFS('Исходные данные'!$I$2:$I$964,'Исходные данные'!$D$2:$D$964,AI$1,'Исходные данные'!$F$2:$F$964,$A51)</f>
        <v>0</v>
      </c>
      <c r="AJ51" s="11" t="n">
        <f aca="false">SUMIFS('Исходные данные'!$J$2:$J$964,'Исходные данные'!$D$2:$D$964,AI$1,'Исходные данные'!$F$2:$F$964,$A51)</f>
        <v>0</v>
      </c>
      <c r="AK51" s="7" t="n">
        <v>0</v>
      </c>
      <c r="AL51" s="7" t="n">
        <v>0</v>
      </c>
      <c r="AM51" s="11" t="n">
        <f aca="false">SUMIFS('Исходные данные'!$I$2:$I$964,'Исходные данные'!$D$2:$D$964,AM$1,'Исходные данные'!$F$2:$F$964,$A51)</f>
        <v>0</v>
      </c>
      <c r="AN51" s="11" t="n">
        <f aca="false">SUMIFS('Исходные данные'!$J$2:$J$964,'Исходные данные'!$D$2:$D$964,AM$1,'Исходные данные'!$F$2:$F$964,$A51)</f>
        <v>0</v>
      </c>
      <c r="AO51" s="7" t="n">
        <v>0</v>
      </c>
      <c r="AP51" s="7" t="n">
        <v>0</v>
      </c>
      <c r="AQ51" s="11" t="n">
        <f aca="false">SUMIFS('Исходные данные'!$I$2:$I$964,'Исходные данные'!$D$2:$D$964,AQ$1,'Исходные данные'!$F$2:$F$964,$A51)</f>
        <v>0</v>
      </c>
      <c r="AR51" s="11" t="n">
        <f aca="false">SUMIFS('Исходные данные'!$J$2:$J$964,'Исходные данные'!$D$2:$D$964,AQ$1,'Исходные данные'!$F$2:$F$964,$A51)</f>
        <v>0</v>
      </c>
      <c r="AS51" s="7" t="n">
        <v>0</v>
      </c>
      <c r="AT51" s="7" t="n">
        <v>0</v>
      </c>
      <c r="AU51" s="11" t="n">
        <f aca="false">SUMIFS('Исходные данные'!$I$2:$I$964,'Исходные данные'!$D$2:$D$964,AU$1,'Исходные данные'!$F$2:$F$964,$A51)</f>
        <v>0</v>
      </c>
      <c r="AV51" s="11" t="n">
        <f aca="false">SUMIFS('Исходные данные'!$J$2:$J$964,'Исходные данные'!$D$2:$D$964,AU$1,'Исходные данные'!$F$2:$F$964,$A51)</f>
        <v>0</v>
      </c>
      <c r="AW51" s="7" t="n">
        <v>0</v>
      </c>
      <c r="AX51" s="7" t="n">
        <v>0</v>
      </c>
      <c r="AY51" s="11" t="n">
        <f aca="false">SUMIFS('Исходные данные'!$I$2:$I$964,'Исходные данные'!$D$2:$D$964,AY$1,'Исходные данные'!$F$2:$F$964,$A51)</f>
        <v>0</v>
      </c>
      <c r="AZ51" s="11" t="n">
        <f aca="false">SUMIFS('Исходные данные'!$J$2:$J$964,'Исходные данные'!$D$2:$D$964,AY$1,'Исходные данные'!$F$2:$F$964,$A51)</f>
        <v>0</v>
      </c>
      <c r="BA51" s="7" t="n">
        <v>0</v>
      </c>
      <c r="BB51" s="7" t="n">
        <v>0</v>
      </c>
      <c r="BC51" s="11" t="n">
        <f aca="false">SUMIFS('Исходные данные'!$I$2:$I$964,'Исходные данные'!$D$2:$D$964,BC$1,'Исходные данные'!$F$2:$F$964,$A51)</f>
        <v>0</v>
      </c>
      <c r="BD51" s="11" t="n">
        <f aca="false">SUMIFS('Исходные данные'!$J$2:$J$964,'Исходные данные'!$D$2:$D$964,BC$1,'Исходные данные'!$F$2:$F$964,$A51)</f>
        <v>0</v>
      </c>
      <c r="BE51" s="7" t="n">
        <v>0</v>
      </c>
      <c r="BF51" s="7" t="n">
        <v>0</v>
      </c>
      <c r="BG51" s="11" t="n">
        <f aca="false">SUMIFS('Исходные данные'!$I$2:$I$964,'Исходные данные'!$D$2:$D$964,BG$1,'Исходные данные'!$F$2:$F$964,$A51)</f>
        <v>0</v>
      </c>
      <c r="BH51" s="11" t="n">
        <f aca="false">SUMIFS('Исходные данные'!$J$2:$J$964,'Исходные данные'!$D$2:$D$964,BG$1,'Исходные данные'!$F$2:$F$964,$A51)</f>
        <v>0</v>
      </c>
      <c r="BI51" s="7" t="n">
        <v>0</v>
      </c>
      <c r="BJ51" s="7" t="n">
        <v>0</v>
      </c>
      <c r="BK51" s="11" t="n">
        <f aca="false">SUMIFS('Исходные данные'!$I$2:$I$964,'Исходные данные'!$D$2:$D$964,BK$1,'Исходные данные'!$F$2:$F$964,$A51)</f>
        <v>0</v>
      </c>
      <c r="BL51" s="11" t="n">
        <f aca="false">SUMIFS('Исходные данные'!$J$2:$J$964,'Исходные данные'!$D$2:$D$964,BK$1,'Исходные данные'!$F$2:$F$964,$A51)</f>
        <v>0</v>
      </c>
      <c r="BM51" s="7" t="n">
        <v>0</v>
      </c>
      <c r="BN51" s="7" t="n">
        <v>0</v>
      </c>
      <c r="BO51" s="11" t="n">
        <f aca="false">SUMIFS('Исходные данные'!$I$2:$I$964,'Исходные данные'!$D$2:$D$964,BO$1,'Исходные данные'!$F$2:$F$964,$A51)</f>
        <v>0</v>
      </c>
      <c r="BP51" s="11" t="n">
        <f aca="false">SUMIFS('Исходные данные'!$J$2:$J$964,'Исходные данные'!$D$2:$D$964,BO$1,'Исходные данные'!$F$2:$F$964,$A51)</f>
        <v>0</v>
      </c>
      <c r="BQ51" s="7" t="n">
        <v>0</v>
      </c>
      <c r="BR51" s="7" t="n">
        <v>0</v>
      </c>
      <c r="BS51" s="11" t="n">
        <f aca="false">SUMIFS('Исходные данные'!$I$2:$I$964,'Исходные данные'!$D$2:$D$964,BS$1,'Исходные данные'!$F$2:$F$964,$A51)</f>
        <v>0</v>
      </c>
      <c r="BT51" s="11" t="n">
        <f aca="false">SUMIFS('Исходные данные'!$J$2:$J$964,'Исходные данные'!$D$2:$D$964,BS$1,'Исходные данные'!$F$2:$F$964,$A51)</f>
        <v>0</v>
      </c>
      <c r="BU51" s="7" t="n">
        <v>0</v>
      </c>
      <c r="BV51" s="7" t="n">
        <v>0</v>
      </c>
      <c r="BW51" s="11" t="n">
        <f aca="false">SUMIFS('Исходные данные'!$I$2:$I$964,'Исходные данные'!$D$2:$D$964,BW$1,'Исходные данные'!$F$2:$F$964,$A51)</f>
        <v>0</v>
      </c>
      <c r="BX51" s="11" t="n">
        <f aca="false">SUMIFS('Исходные данные'!$J$2:$J$964,'Исходные данные'!$D$2:$D$964,BW$1,'Исходные данные'!$F$2:$F$964,$A51)</f>
        <v>0</v>
      </c>
      <c r="BY51" s="7" t="n">
        <v>0</v>
      </c>
      <c r="BZ51" s="7" t="n">
        <v>0</v>
      </c>
      <c r="CA51" s="11" t="n">
        <f aca="false">SUMIFS('Исходные данные'!$I$2:$I$964,'Исходные данные'!$D$2:$D$964,CA$1,'Исходные данные'!$F$2:$F$964,$A51)</f>
        <v>0</v>
      </c>
      <c r="CB51" s="11" t="n">
        <f aca="false">SUMIFS('Исходные данные'!$J$2:$J$964,'Исходные данные'!$D$2:$D$964,CA$1,'Исходные данные'!$F$2:$F$964,$A51)</f>
        <v>0</v>
      </c>
      <c r="CC51" s="7" t="n">
        <v>0</v>
      </c>
      <c r="CD51" s="7" t="n">
        <v>0</v>
      </c>
      <c r="CE51" s="11" t="n">
        <f aca="false">SUMIFS('Исходные данные'!$I$2:$I$964,'Исходные данные'!$D$2:$D$964,CE$1,'Исходные данные'!$F$2:$F$964,$A51)</f>
        <v>0</v>
      </c>
      <c r="CF51" s="11" t="n">
        <f aca="false">SUMIFS('Исходные данные'!$J$2:$J$964,'Исходные данные'!$D$2:$D$964,CE$1,'Исходные данные'!$F$2:$F$964,$A51)</f>
        <v>0</v>
      </c>
      <c r="CG51" s="7" t="n">
        <v>0</v>
      </c>
      <c r="CH51" s="7" t="n">
        <v>0</v>
      </c>
      <c r="CI51" s="11" t="n">
        <f aca="false">SUMIFS('Исходные данные'!$I$2:$I$964,'Исходные данные'!$D$2:$D$964,CI$1,'Исходные данные'!$F$2:$F$964,$A51)</f>
        <v>0</v>
      </c>
      <c r="CJ51" s="11" t="n">
        <f aca="false">SUMIFS('Исходные данные'!$J$2:$J$964,'Исходные данные'!$D$2:$D$964,CI$1,'Исходные данные'!$F$2:$F$964,$A51)</f>
        <v>0</v>
      </c>
      <c r="CK51" s="7" t="n">
        <v>0</v>
      </c>
      <c r="CL51" s="7" t="n">
        <v>0</v>
      </c>
      <c r="CM51" s="11" t="n">
        <f aca="false">SUMIFS('Исходные данные'!$I$2:$I$964,'Исходные данные'!$D$2:$D$964,CM$1,'Исходные данные'!$F$2:$F$964,$A51)</f>
        <v>0</v>
      </c>
      <c r="CN51" s="11" t="n">
        <f aca="false">SUMIFS('Исходные данные'!$J$2:$J$964,'Исходные данные'!$D$2:$D$964,CM$1,'Исходные данные'!$F$2:$F$964,$A51)</f>
        <v>0</v>
      </c>
      <c r="CO51" s="7" t="n">
        <v>0</v>
      </c>
      <c r="CP51" s="7" t="n">
        <v>0</v>
      </c>
      <c r="CQ51" s="11" t="n">
        <f aca="false">SUMIFS('Исходные данные'!$I$2:$I$964,'Исходные данные'!$D$2:$D$964,CQ$1,'Исходные данные'!$F$2:$F$964,$A51)</f>
        <v>0</v>
      </c>
      <c r="CR51" s="11" t="n">
        <f aca="false">SUMIFS('Исходные данные'!$J$2:$J$964,'Исходные данные'!$D$2:$D$964,CQ$1,'Исходные данные'!$F$2:$F$964,$A51)</f>
        <v>0</v>
      </c>
      <c r="CS51" s="7" t="n">
        <v>0</v>
      </c>
      <c r="CT51" s="7" t="n">
        <v>0</v>
      </c>
      <c r="CU51" s="11" t="n">
        <f aca="false">SUMIFS('Исходные данные'!$I$2:$I$964,'Исходные данные'!$D$2:$D$964,CU$1,'Исходные данные'!$F$2:$F$964,$A51)</f>
        <v>0</v>
      </c>
      <c r="CV51" s="11" t="n">
        <f aca="false">SUMIFS('Исходные данные'!$J$2:$J$964,'Исходные данные'!$D$2:$D$964,CU$1,'Исходные данные'!$F$2:$F$964,$A51)</f>
        <v>0</v>
      </c>
      <c r="CW51" s="7" t="n">
        <v>0</v>
      </c>
      <c r="CX51" s="7" t="n">
        <v>0</v>
      </c>
      <c r="CY51" s="11" t="n">
        <f aca="false">SUMIFS('Исходные данные'!$I$2:$I$964,'Исходные данные'!$D$2:$D$964,CY$1,'Исходные данные'!$F$2:$F$964,$A51)</f>
        <v>0</v>
      </c>
      <c r="CZ51" s="11" t="n">
        <f aca="false">SUMIFS('Исходные данные'!$J$2:$J$964,'Исходные данные'!$D$2:$D$964,CY$1,'Исходные данные'!$F$2:$F$964,$A51)</f>
        <v>0</v>
      </c>
      <c r="DA51" s="7" t="n">
        <v>0</v>
      </c>
      <c r="DB51" s="7" t="n">
        <v>0</v>
      </c>
      <c r="DC51" s="11" t="n">
        <f aca="false">SUMIFS('Исходные данные'!$I$2:$I$964,'Исходные данные'!$D$2:$D$964,DC$1,'Исходные данные'!$F$2:$F$964,$A51)</f>
        <v>0</v>
      </c>
      <c r="DD51" s="11" t="n">
        <f aca="false">SUMIFS('Исходные данные'!$J$2:$J$964,'Исходные данные'!$D$2:$D$964,DC$1,'Исходные данные'!$F$2:$F$964,$A51)</f>
        <v>0</v>
      </c>
      <c r="DE51" s="7" t="n">
        <v>0</v>
      </c>
      <c r="DF51" s="7" t="n">
        <v>0</v>
      </c>
      <c r="DG51" s="11" t="n">
        <f aca="false">SUMIFS('Исходные данные'!$I$2:$I$964,'Исходные данные'!$D$2:$D$964,DG$1,'Исходные данные'!$F$2:$F$964,$A51)</f>
        <v>0</v>
      </c>
      <c r="DH51" s="11" t="n">
        <f aca="false">SUMIFS('Исходные данные'!$J$2:$J$964,'Исходные данные'!$D$2:$D$964,DG$1,'Исходные данные'!$F$2:$F$964,$A51)</f>
        <v>0</v>
      </c>
      <c r="DI51" s="7" t="n">
        <v>0</v>
      </c>
      <c r="DJ51" s="7" t="n">
        <v>0</v>
      </c>
      <c r="DK51" s="11" t="n">
        <f aca="false">SUMIFS('Исходные данные'!$I$2:$I$964,'Исходные данные'!$D$2:$D$964,DK$1,'Исходные данные'!$F$2:$F$964,$A51)</f>
        <v>0</v>
      </c>
      <c r="DL51" s="11" t="n">
        <f aca="false">SUMIFS('Исходные данные'!$J$2:$J$964,'Исходные данные'!$D$2:$D$964,DK$1,'Исходные данные'!$F$2:$F$964,$A51)</f>
        <v>0</v>
      </c>
      <c r="DM51" s="7" t="n">
        <v>0</v>
      </c>
      <c r="DN51" s="7" t="n">
        <v>0</v>
      </c>
      <c r="DO51" s="11" t="n">
        <f aca="false">SUMIFS('Исходные данные'!$I$2:$I$964,'Исходные данные'!$D$2:$D$964,DO$1,'Исходные данные'!$F$2:$F$964,$A51)</f>
        <v>0</v>
      </c>
      <c r="DP51" s="11" t="n">
        <f aca="false">SUMIFS('Исходные данные'!$J$2:$J$964,'Исходные данные'!$D$2:$D$964,DO$1,'Исходные данные'!$F$2:$F$964,$A51)</f>
        <v>0</v>
      </c>
      <c r="DQ51" s="7" t="n">
        <v>0</v>
      </c>
      <c r="DR51" s="7" t="n">
        <v>0</v>
      </c>
      <c r="DS51" s="11" t="n">
        <f aca="false">SUMIFS('Исходные данные'!$I$2:$I$964,'Исходные данные'!$D$2:$D$964,DS$1,'Исходные данные'!$F$2:$F$964,$A51)</f>
        <v>0</v>
      </c>
      <c r="DT51" s="11" t="n">
        <f aca="false">SUMIFS('Исходные данные'!$J$2:$J$964,'Исходные данные'!$D$2:$D$964,DS$1,'Исходные данные'!$F$2:$F$964,$A51)</f>
        <v>0</v>
      </c>
      <c r="DU51" s="7" t="n">
        <v>0</v>
      </c>
      <c r="DV51" s="7" t="n">
        <v>0</v>
      </c>
      <c r="DW51" s="11" t="n">
        <f aca="false">SUMIFS('Исходные данные'!$I$2:$I$964,'Исходные данные'!$D$2:$D$964,DW$1,'Исходные данные'!$F$2:$F$964,$A51)</f>
        <v>0</v>
      </c>
      <c r="DX51" s="11" t="n">
        <f aca="false">SUMIFS('Исходные данные'!$J$2:$J$964,'Исходные данные'!$D$2:$D$964,DW$1,'Исходные данные'!$F$2:$F$964,$A51)</f>
        <v>0</v>
      </c>
      <c r="DY51" s="7" t="n">
        <v>0</v>
      </c>
      <c r="DZ51" s="7" t="n">
        <v>0</v>
      </c>
      <c r="EA51" s="11" t="n">
        <f aca="false">SUMIFS('Исходные данные'!$I$2:$I$964,'Исходные данные'!$D$2:$D$964,EA$1,'Исходные данные'!$F$2:$F$964,$A51)</f>
        <v>0</v>
      </c>
      <c r="EB51" s="11" t="n">
        <f aca="false">SUMIFS('Исходные данные'!$J$2:$J$964,'Исходные данные'!$D$2:$D$964,EA$1,'Исходные данные'!$F$2:$F$964,$A51)</f>
        <v>0</v>
      </c>
      <c r="EC51" s="7" t="n">
        <v>0</v>
      </c>
      <c r="ED51" s="7" t="n">
        <v>0</v>
      </c>
      <c r="EE51" s="11" t="n">
        <f aca="false">SUMIFS('Исходные данные'!$I$2:$I$964,'Исходные данные'!$D$2:$D$964,EE$1,'Исходные данные'!$F$2:$F$964,$A51)</f>
        <v>0</v>
      </c>
      <c r="EF51" s="11" t="n">
        <f aca="false">SUMIFS('Исходные данные'!$J$2:$J$964,'Исходные данные'!$D$2:$D$964,EE$1,'Исходные данные'!$F$2:$F$964,$A51)</f>
        <v>0</v>
      </c>
      <c r="EG51" s="7" t="n">
        <v>0</v>
      </c>
      <c r="EH51" s="7" t="n">
        <v>0</v>
      </c>
      <c r="EI51" s="11" t="n">
        <f aca="false">SUMIFS('Исходные данные'!$I$2:$I$964,'Исходные данные'!$D$2:$D$964,EI$1,'Исходные данные'!$F$2:$F$964,$A51)</f>
        <v>0</v>
      </c>
      <c r="EJ51" s="11" t="n">
        <f aca="false">SUMIFS('Исходные данные'!$J$2:$J$964,'Исходные данные'!$D$2:$D$964,EI$1,'Исходные данные'!$F$2:$F$964,$A51)</f>
        <v>0</v>
      </c>
      <c r="EK51" s="7" t="n">
        <v>0</v>
      </c>
      <c r="EL51" s="7" t="n">
        <v>0</v>
      </c>
      <c r="EM51" s="11" t="n">
        <f aca="false">SUMIFS('Исходные данные'!$I$2:$I$964,'Исходные данные'!$D$2:$D$964,EM$1,'Исходные данные'!$F$2:$F$964,$A51)</f>
        <v>0</v>
      </c>
      <c r="EN51" s="11" t="n">
        <f aca="false">SUMIFS('Исходные данные'!$J$2:$J$964,'Исходные данные'!$D$2:$D$964,EM$1,'Исходные данные'!$F$2:$F$964,$A51)</f>
        <v>0</v>
      </c>
      <c r="EO51" s="7" t="n">
        <v>0</v>
      </c>
      <c r="EP51" s="7" t="n">
        <v>0</v>
      </c>
      <c r="EQ51" s="11" t="n">
        <f aca="false">SUMIFS('Исходные данные'!$I$2:$I$964,'Исходные данные'!$D$2:$D$964,EQ$1,'Исходные данные'!$F$2:$F$964,$A51)</f>
        <v>0</v>
      </c>
      <c r="ER51" s="11" t="n">
        <f aca="false">SUMIFS('Исходные данные'!$J$2:$J$964,'Исходные данные'!$D$2:$D$964,EQ$1,'Исходные данные'!$F$2:$F$964,$A51)</f>
        <v>0</v>
      </c>
      <c r="ES51" s="7" t="n">
        <v>0</v>
      </c>
      <c r="ET51" s="7" t="n">
        <v>0</v>
      </c>
      <c r="EU51" s="11" t="n">
        <f aca="false">SUMIFS('Исходные данные'!$I$2:$I$964,'Исходные данные'!$D$2:$D$964,EU$1,'Исходные данные'!$F$2:$F$964,$A51)</f>
        <v>0</v>
      </c>
      <c r="EV51" s="11" t="n">
        <f aca="false">SUMIFS('Исходные данные'!$J$2:$J$964,'Исходные данные'!$D$2:$D$964,EU$1,'Исходные данные'!$F$2:$F$964,$A51)</f>
        <v>0</v>
      </c>
      <c r="EW51" s="7" t="n">
        <v>0</v>
      </c>
      <c r="EX51" s="7" t="n">
        <v>0</v>
      </c>
      <c r="EY51" s="11" t="n">
        <f aca="false">SUMIFS('Исходные данные'!$I$2:$I$964,'Исходные данные'!$D$2:$D$964,EY$1,'Исходные данные'!$F$2:$F$964,$A51)</f>
        <v>0</v>
      </c>
      <c r="EZ51" s="11" t="n">
        <f aca="false">SUMIFS('Исходные данные'!$J$2:$J$964,'Исходные данные'!$D$2:$D$964,EY$1,'Исходные данные'!$F$2:$F$964,$A51)</f>
        <v>0</v>
      </c>
      <c r="FA51" s="7" t="n">
        <v>0</v>
      </c>
      <c r="FB51" s="7" t="n">
        <v>0</v>
      </c>
      <c r="FC51" s="11" t="n">
        <f aca="false">SUMIFS('Исходные данные'!$I$2:$I$964,'Исходные данные'!$D$2:$D$964,FC$1,'Исходные данные'!$F$2:$F$964,$A51)</f>
        <v>0</v>
      </c>
      <c r="FD51" s="11" t="n">
        <f aca="false">SUMIFS('Исходные данные'!$J$2:$J$964,'Исходные данные'!$D$2:$D$964,FC$1,'Исходные данные'!$F$2:$F$964,$A51)</f>
        <v>0</v>
      </c>
      <c r="FE51" s="7" t="n">
        <v>0</v>
      </c>
      <c r="FF51" s="7" t="n">
        <v>0</v>
      </c>
      <c r="FG51" s="11" t="n">
        <f aca="false">SUMIFS('Исходные данные'!$I$2:$I$964,'Исходные данные'!$D$2:$D$964,FG$1,'Исходные данные'!$F$2:$F$964,$A51)</f>
        <v>0</v>
      </c>
      <c r="FH51" s="11" t="n">
        <f aca="false">SUMIFS('Исходные данные'!$J$2:$J$964,'Исходные данные'!$D$2:$D$964,FG$1,'Исходные данные'!$F$2:$F$964,$A51)</f>
        <v>0</v>
      </c>
    </row>
    <row r="52" customFormat="false" ht="15" hidden="false" customHeight="false" outlineLevel="0" collapsed="false">
      <c r="A52" s="10" t="s">
        <v>147</v>
      </c>
      <c r="B52" s="11" t="s">
        <v>148</v>
      </c>
      <c r="C52" s="6" t="n">
        <v>5</v>
      </c>
      <c r="D52" s="6" t="n">
        <f aca="false">I52+J52+M52+N52+Q52+R52+U52+V52+Y52+Z52+AC52+AD52+AG52+AH52+AK52+AL52+AO52+AP52+AS52+AT52+AW52+AX52+BA52+BB52+BE52+BF52+BI52+BJ52+BM52+BN52+BQ52+BR52+BU52+BV52+BY52+BZ52+CC52+CD52+CG52+CH52+CK52+CL52+CO52+CP52+CS52+CT52+CW52+CX52+DA52+DB52+DE52+DF52+DI52+DJ52+DM52+DN52+DQ52+DR52+DU52+DV52+DY52+DZ52+EC52+ED52+EG52+EH52+EK52+EL52+EO52+EP52+ES52+ET52+EW52+EX52+FA52+FB52+FE52+FF52</f>
        <v>5</v>
      </c>
      <c r="E52" s="6" t="n">
        <f aca="false">G52+H52</f>
        <v>5</v>
      </c>
      <c r="F52" s="6" t="n">
        <f aca="false">E52-C52</f>
        <v>0</v>
      </c>
      <c r="G52" s="6" t="n">
        <f aca="false">K52+O52+S52+W52+AA52+AE52+AI52+AM52+AQ52+AU52+AY52+BC52+BG52+BK52+BO52+BS52+BW52+CA52+CE52+CI52+CM52+CQ52+CU52+CY52+DC52+DG52+DK52+DO52+DS52+DW52+EA52+EE52+EI52+EM52+EQ52+EU52+EY52+FC52+FG52</f>
        <v>5</v>
      </c>
      <c r="H52" s="6" t="n">
        <f aca="false">L52+P52+T52+X52+AB52+AF52+AJ52+AN52+AR52+AV52+AZ52+BD52+BH52+BL52+BP52+BT52+BX52+CB52+CF52+CJ52+CN52+CR52+CV52+CZ52+DD52+DH52+DL52+DP52+DT52+DX52+EB52+EF52+EJ52+EN52+ER52+EV52+EZ52+FD52+FH52</f>
        <v>0</v>
      </c>
      <c r="I52" s="7" t="n">
        <v>0</v>
      </c>
      <c r="J52" s="7" t="n">
        <v>0</v>
      </c>
      <c r="K52" s="11" t="n">
        <f aca="false">SUMIFS('Исходные данные'!$I$2:$I$964,'Исходные данные'!$D$2:$D$964,K$1,'Исходные данные'!$F$2:$F$964,$A52)</f>
        <v>0</v>
      </c>
      <c r="L52" s="11" t="n">
        <f aca="false">SUMIFS('Исходные данные'!$J$2:$J$964,'Исходные данные'!$D$2:$D$964,K$1,'Исходные данные'!$F$2:$F$964,$A52)</f>
        <v>0</v>
      </c>
      <c r="M52" s="7" t="n">
        <v>5</v>
      </c>
      <c r="N52" s="7" t="n">
        <v>0</v>
      </c>
      <c r="O52" s="11" t="n">
        <f aca="false">SUMIFS('Исходные данные'!$I$2:$I$964,'Исходные данные'!$D$2:$D$964,O$1,'Исходные данные'!$F$2:$F$964,$A52)</f>
        <v>5</v>
      </c>
      <c r="P52" s="11" t="n">
        <f aca="false">SUMIFS('Исходные данные'!$J$2:$J$964,'Исходные данные'!$D$2:$D$964,O$1,'Исходные данные'!$F$2:$F$964,$A52)</f>
        <v>0</v>
      </c>
      <c r="Q52" s="7" t="n">
        <v>0</v>
      </c>
      <c r="R52" s="7" t="n">
        <v>0</v>
      </c>
      <c r="S52" s="11" t="n">
        <f aca="false">SUMIFS('Исходные данные'!$I$2:$I$964,'Исходные данные'!$D$2:$D$964,S$1,'Исходные данные'!$F$2:$F$964,$A52)</f>
        <v>0</v>
      </c>
      <c r="T52" s="11" t="n">
        <f aca="false">SUMIFS('Исходные данные'!$J$2:$J$964,'Исходные данные'!$D$2:$D$964,S$1,'Исходные данные'!$F$2:$F$964,$A52)</f>
        <v>0</v>
      </c>
      <c r="U52" s="7" t="n">
        <v>0</v>
      </c>
      <c r="V52" s="7" t="n">
        <v>0</v>
      </c>
      <c r="W52" s="11" t="n">
        <f aca="false">SUMIFS('Исходные данные'!$I$2:$I$964,'Исходные данные'!$D$2:$D$964,W$1,'Исходные данные'!$F$2:$F$964,$A52)</f>
        <v>0</v>
      </c>
      <c r="X52" s="11" t="n">
        <f aca="false">SUMIFS('Исходные данные'!$J$2:$J$964,'Исходные данные'!$D$2:$D$964,W$1,'Исходные данные'!$F$2:$F$964,$A52)</f>
        <v>0</v>
      </c>
      <c r="Y52" s="7" t="n">
        <v>0</v>
      </c>
      <c r="Z52" s="7" t="n">
        <v>0</v>
      </c>
      <c r="AA52" s="11" t="n">
        <f aca="false">SUMIFS('Исходные данные'!$I$2:$I$964,'Исходные данные'!$D$2:$D$964,AA$1,'Исходные данные'!$F$2:$F$964,$A52)</f>
        <v>0</v>
      </c>
      <c r="AB52" s="11" t="n">
        <f aca="false">SUMIFS('Исходные данные'!$J$2:$J$964,'Исходные данные'!$D$2:$D$964,AA$1,'Исходные данные'!$F$2:$F$964,$A52)</f>
        <v>0</v>
      </c>
      <c r="AC52" s="7" t="n">
        <v>0</v>
      </c>
      <c r="AD52" s="7" t="n">
        <v>0</v>
      </c>
      <c r="AE52" s="11" t="n">
        <f aca="false">SUMIFS('Исходные данные'!$I$2:$I$964,'Исходные данные'!$D$2:$D$964,AE$1,'Исходные данные'!$F$2:$F$964,$A52)</f>
        <v>0</v>
      </c>
      <c r="AF52" s="11" t="n">
        <f aca="false">SUMIFS('Исходные данные'!$J$2:$J$964,'Исходные данные'!$D$2:$D$964,AE$1,'Исходные данные'!$F$2:$F$964,$A52)</f>
        <v>0</v>
      </c>
      <c r="AG52" s="7" t="n">
        <v>0</v>
      </c>
      <c r="AH52" s="7" t="n">
        <v>0</v>
      </c>
      <c r="AI52" s="11" t="n">
        <f aca="false">SUMIFS('Исходные данные'!$I$2:$I$964,'Исходные данные'!$D$2:$D$964,AI$1,'Исходные данные'!$F$2:$F$964,$A52)</f>
        <v>0</v>
      </c>
      <c r="AJ52" s="11" t="n">
        <f aca="false">SUMIFS('Исходные данные'!$J$2:$J$964,'Исходные данные'!$D$2:$D$964,AI$1,'Исходные данные'!$F$2:$F$964,$A52)</f>
        <v>0</v>
      </c>
      <c r="AK52" s="7" t="n">
        <v>0</v>
      </c>
      <c r="AL52" s="7" t="n">
        <v>0</v>
      </c>
      <c r="AM52" s="11" t="n">
        <f aca="false">SUMIFS('Исходные данные'!$I$2:$I$964,'Исходные данные'!$D$2:$D$964,AM$1,'Исходные данные'!$F$2:$F$964,$A52)</f>
        <v>0</v>
      </c>
      <c r="AN52" s="11" t="n">
        <f aca="false">SUMIFS('Исходные данные'!$J$2:$J$964,'Исходные данные'!$D$2:$D$964,AM$1,'Исходные данные'!$F$2:$F$964,$A52)</f>
        <v>0</v>
      </c>
      <c r="AO52" s="7" t="n">
        <v>0</v>
      </c>
      <c r="AP52" s="7" t="n">
        <v>0</v>
      </c>
      <c r="AQ52" s="11" t="n">
        <f aca="false">SUMIFS('Исходные данные'!$I$2:$I$964,'Исходные данные'!$D$2:$D$964,AQ$1,'Исходные данные'!$F$2:$F$964,$A52)</f>
        <v>0</v>
      </c>
      <c r="AR52" s="11" t="n">
        <f aca="false">SUMIFS('Исходные данные'!$J$2:$J$964,'Исходные данные'!$D$2:$D$964,AQ$1,'Исходные данные'!$F$2:$F$964,$A52)</f>
        <v>0</v>
      </c>
      <c r="AS52" s="7" t="n">
        <v>0</v>
      </c>
      <c r="AT52" s="7" t="n">
        <v>0</v>
      </c>
      <c r="AU52" s="11" t="n">
        <f aca="false">SUMIFS('Исходные данные'!$I$2:$I$964,'Исходные данные'!$D$2:$D$964,AU$1,'Исходные данные'!$F$2:$F$964,$A52)</f>
        <v>0</v>
      </c>
      <c r="AV52" s="11" t="n">
        <f aca="false">SUMIFS('Исходные данные'!$J$2:$J$964,'Исходные данные'!$D$2:$D$964,AU$1,'Исходные данные'!$F$2:$F$964,$A52)</f>
        <v>0</v>
      </c>
      <c r="AW52" s="7" t="n">
        <v>0</v>
      </c>
      <c r="AX52" s="7" t="n">
        <v>0</v>
      </c>
      <c r="AY52" s="11" t="n">
        <f aca="false">SUMIFS('Исходные данные'!$I$2:$I$964,'Исходные данные'!$D$2:$D$964,AY$1,'Исходные данные'!$F$2:$F$964,$A52)</f>
        <v>0</v>
      </c>
      <c r="AZ52" s="11" t="n">
        <f aca="false">SUMIFS('Исходные данные'!$J$2:$J$964,'Исходные данные'!$D$2:$D$964,AY$1,'Исходные данные'!$F$2:$F$964,$A52)</f>
        <v>0</v>
      </c>
      <c r="BA52" s="7" t="n">
        <v>0</v>
      </c>
      <c r="BB52" s="7" t="n">
        <v>0</v>
      </c>
      <c r="BC52" s="11" t="n">
        <f aca="false">SUMIFS('Исходные данные'!$I$2:$I$964,'Исходные данные'!$D$2:$D$964,BC$1,'Исходные данные'!$F$2:$F$964,$A52)</f>
        <v>0</v>
      </c>
      <c r="BD52" s="11" t="n">
        <f aca="false">SUMIFS('Исходные данные'!$J$2:$J$964,'Исходные данные'!$D$2:$D$964,BC$1,'Исходные данные'!$F$2:$F$964,$A52)</f>
        <v>0</v>
      </c>
      <c r="BE52" s="7" t="n">
        <v>0</v>
      </c>
      <c r="BF52" s="7" t="n">
        <v>0</v>
      </c>
      <c r="BG52" s="11" t="n">
        <f aca="false">SUMIFS('Исходные данные'!$I$2:$I$964,'Исходные данные'!$D$2:$D$964,BG$1,'Исходные данные'!$F$2:$F$964,$A52)</f>
        <v>0</v>
      </c>
      <c r="BH52" s="11" t="n">
        <f aca="false">SUMIFS('Исходные данные'!$J$2:$J$964,'Исходные данные'!$D$2:$D$964,BG$1,'Исходные данные'!$F$2:$F$964,$A52)</f>
        <v>0</v>
      </c>
      <c r="BI52" s="7" t="n">
        <v>0</v>
      </c>
      <c r="BJ52" s="7" t="n">
        <v>0</v>
      </c>
      <c r="BK52" s="11" t="n">
        <f aca="false">SUMIFS('Исходные данные'!$I$2:$I$964,'Исходные данные'!$D$2:$D$964,BK$1,'Исходные данные'!$F$2:$F$964,$A52)</f>
        <v>0</v>
      </c>
      <c r="BL52" s="11" t="n">
        <f aca="false">SUMIFS('Исходные данные'!$J$2:$J$964,'Исходные данные'!$D$2:$D$964,BK$1,'Исходные данные'!$F$2:$F$964,$A52)</f>
        <v>0</v>
      </c>
      <c r="BM52" s="7" t="n">
        <v>0</v>
      </c>
      <c r="BN52" s="7" t="n">
        <v>0</v>
      </c>
      <c r="BO52" s="11" t="n">
        <f aca="false">SUMIFS('Исходные данные'!$I$2:$I$964,'Исходные данные'!$D$2:$D$964,BO$1,'Исходные данные'!$F$2:$F$964,$A52)</f>
        <v>0</v>
      </c>
      <c r="BP52" s="11" t="n">
        <f aca="false">SUMIFS('Исходные данные'!$J$2:$J$964,'Исходные данные'!$D$2:$D$964,BO$1,'Исходные данные'!$F$2:$F$964,$A52)</f>
        <v>0</v>
      </c>
      <c r="BQ52" s="7" t="n">
        <v>0</v>
      </c>
      <c r="BR52" s="7" t="n">
        <v>0</v>
      </c>
      <c r="BS52" s="11" t="n">
        <f aca="false">SUMIFS('Исходные данные'!$I$2:$I$964,'Исходные данные'!$D$2:$D$964,BS$1,'Исходные данные'!$F$2:$F$964,$A52)</f>
        <v>0</v>
      </c>
      <c r="BT52" s="11" t="n">
        <f aca="false">SUMIFS('Исходные данные'!$J$2:$J$964,'Исходные данные'!$D$2:$D$964,BS$1,'Исходные данные'!$F$2:$F$964,$A52)</f>
        <v>0</v>
      </c>
      <c r="BU52" s="7" t="n">
        <v>0</v>
      </c>
      <c r="BV52" s="7" t="n">
        <v>0</v>
      </c>
      <c r="BW52" s="11" t="n">
        <f aca="false">SUMIFS('Исходные данные'!$I$2:$I$964,'Исходные данные'!$D$2:$D$964,BW$1,'Исходные данные'!$F$2:$F$964,$A52)</f>
        <v>0</v>
      </c>
      <c r="BX52" s="11" t="n">
        <f aca="false">SUMIFS('Исходные данные'!$J$2:$J$964,'Исходные данные'!$D$2:$D$964,BW$1,'Исходные данные'!$F$2:$F$964,$A52)</f>
        <v>0</v>
      </c>
      <c r="BY52" s="7" t="n">
        <v>0</v>
      </c>
      <c r="BZ52" s="7" t="n">
        <v>0</v>
      </c>
      <c r="CA52" s="11" t="n">
        <f aca="false">SUMIFS('Исходные данные'!$I$2:$I$964,'Исходные данные'!$D$2:$D$964,CA$1,'Исходные данные'!$F$2:$F$964,$A52)</f>
        <v>0</v>
      </c>
      <c r="CB52" s="11" t="n">
        <f aca="false">SUMIFS('Исходные данные'!$J$2:$J$964,'Исходные данные'!$D$2:$D$964,CA$1,'Исходные данные'!$F$2:$F$964,$A52)</f>
        <v>0</v>
      </c>
      <c r="CC52" s="7" t="n">
        <v>0</v>
      </c>
      <c r="CD52" s="7" t="n">
        <v>0</v>
      </c>
      <c r="CE52" s="11" t="n">
        <f aca="false">SUMIFS('Исходные данные'!$I$2:$I$964,'Исходные данные'!$D$2:$D$964,CE$1,'Исходные данные'!$F$2:$F$964,$A52)</f>
        <v>0</v>
      </c>
      <c r="CF52" s="11" t="n">
        <f aca="false">SUMIFS('Исходные данные'!$J$2:$J$964,'Исходные данные'!$D$2:$D$964,CE$1,'Исходные данные'!$F$2:$F$964,$A52)</f>
        <v>0</v>
      </c>
      <c r="CG52" s="7" t="n">
        <v>0</v>
      </c>
      <c r="CH52" s="7" t="n">
        <v>0</v>
      </c>
      <c r="CI52" s="11" t="n">
        <f aca="false">SUMIFS('Исходные данные'!$I$2:$I$964,'Исходные данные'!$D$2:$D$964,CI$1,'Исходные данные'!$F$2:$F$964,$A52)</f>
        <v>0</v>
      </c>
      <c r="CJ52" s="11" t="n">
        <f aca="false">SUMIFS('Исходные данные'!$J$2:$J$964,'Исходные данные'!$D$2:$D$964,CI$1,'Исходные данные'!$F$2:$F$964,$A52)</f>
        <v>0</v>
      </c>
      <c r="CK52" s="7" t="n">
        <v>0</v>
      </c>
      <c r="CL52" s="7" t="n">
        <v>0</v>
      </c>
      <c r="CM52" s="11" t="n">
        <f aca="false">SUMIFS('Исходные данные'!$I$2:$I$964,'Исходные данные'!$D$2:$D$964,CM$1,'Исходные данные'!$F$2:$F$964,$A52)</f>
        <v>0</v>
      </c>
      <c r="CN52" s="11" t="n">
        <f aca="false">SUMIFS('Исходные данные'!$J$2:$J$964,'Исходные данные'!$D$2:$D$964,CM$1,'Исходные данные'!$F$2:$F$964,$A52)</f>
        <v>0</v>
      </c>
      <c r="CO52" s="7" t="n">
        <v>0</v>
      </c>
      <c r="CP52" s="7" t="n">
        <v>0</v>
      </c>
      <c r="CQ52" s="11" t="n">
        <f aca="false">SUMIFS('Исходные данные'!$I$2:$I$964,'Исходные данные'!$D$2:$D$964,CQ$1,'Исходные данные'!$F$2:$F$964,$A52)</f>
        <v>0</v>
      </c>
      <c r="CR52" s="11" t="n">
        <f aca="false">SUMIFS('Исходные данные'!$J$2:$J$964,'Исходные данные'!$D$2:$D$964,CQ$1,'Исходные данные'!$F$2:$F$964,$A52)</f>
        <v>0</v>
      </c>
      <c r="CS52" s="7" t="n">
        <v>0</v>
      </c>
      <c r="CT52" s="7" t="n">
        <v>0</v>
      </c>
      <c r="CU52" s="11" t="n">
        <f aca="false">SUMIFS('Исходные данные'!$I$2:$I$964,'Исходные данные'!$D$2:$D$964,CU$1,'Исходные данные'!$F$2:$F$964,$A52)</f>
        <v>0</v>
      </c>
      <c r="CV52" s="11" t="n">
        <f aca="false">SUMIFS('Исходные данные'!$J$2:$J$964,'Исходные данные'!$D$2:$D$964,CU$1,'Исходные данные'!$F$2:$F$964,$A52)</f>
        <v>0</v>
      </c>
      <c r="CW52" s="7" t="n">
        <v>0</v>
      </c>
      <c r="CX52" s="7" t="n">
        <v>0</v>
      </c>
      <c r="CY52" s="11" t="n">
        <f aca="false">SUMIFS('Исходные данные'!$I$2:$I$964,'Исходные данные'!$D$2:$D$964,CY$1,'Исходные данные'!$F$2:$F$964,$A52)</f>
        <v>0</v>
      </c>
      <c r="CZ52" s="11" t="n">
        <f aca="false">SUMIFS('Исходные данные'!$J$2:$J$964,'Исходные данные'!$D$2:$D$964,CY$1,'Исходные данные'!$F$2:$F$964,$A52)</f>
        <v>0</v>
      </c>
      <c r="DA52" s="7" t="n">
        <v>0</v>
      </c>
      <c r="DB52" s="7" t="n">
        <v>0</v>
      </c>
      <c r="DC52" s="11" t="n">
        <f aca="false">SUMIFS('Исходные данные'!$I$2:$I$964,'Исходные данные'!$D$2:$D$964,DC$1,'Исходные данные'!$F$2:$F$964,$A52)</f>
        <v>0</v>
      </c>
      <c r="DD52" s="11" t="n">
        <f aca="false">SUMIFS('Исходные данные'!$J$2:$J$964,'Исходные данные'!$D$2:$D$964,DC$1,'Исходные данные'!$F$2:$F$964,$A52)</f>
        <v>0</v>
      </c>
      <c r="DE52" s="7" t="n">
        <v>0</v>
      </c>
      <c r="DF52" s="7" t="n">
        <v>0</v>
      </c>
      <c r="DG52" s="11" t="n">
        <f aca="false">SUMIFS('Исходные данные'!$I$2:$I$964,'Исходные данные'!$D$2:$D$964,DG$1,'Исходные данные'!$F$2:$F$964,$A52)</f>
        <v>0</v>
      </c>
      <c r="DH52" s="11" t="n">
        <f aca="false">SUMIFS('Исходные данные'!$J$2:$J$964,'Исходные данные'!$D$2:$D$964,DG$1,'Исходные данные'!$F$2:$F$964,$A52)</f>
        <v>0</v>
      </c>
      <c r="DI52" s="7" t="n">
        <v>0</v>
      </c>
      <c r="DJ52" s="7" t="n">
        <v>0</v>
      </c>
      <c r="DK52" s="11" t="n">
        <f aca="false">SUMIFS('Исходные данные'!$I$2:$I$964,'Исходные данные'!$D$2:$D$964,DK$1,'Исходные данные'!$F$2:$F$964,$A52)</f>
        <v>0</v>
      </c>
      <c r="DL52" s="11" t="n">
        <f aca="false">SUMIFS('Исходные данные'!$J$2:$J$964,'Исходные данные'!$D$2:$D$964,DK$1,'Исходные данные'!$F$2:$F$964,$A52)</f>
        <v>0</v>
      </c>
      <c r="DM52" s="7" t="n">
        <v>0</v>
      </c>
      <c r="DN52" s="7" t="n">
        <v>0</v>
      </c>
      <c r="DO52" s="11" t="n">
        <f aca="false">SUMIFS('Исходные данные'!$I$2:$I$964,'Исходные данные'!$D$2:$D$964,DO$1,'Исходные данные'!$F$2:$F$964,$A52)</f>
        <v>0</v>
      </c>
      <c r="DP52" s="11" t="n">
        <f aca="false">SUMIFS('Исходные данные'!$J$2:$J$964,'Исходные данные'!$D$2:$D$964,DO$1,'Исходные данные'!$F$2:$F$964,$A52)</f>
        <v>0</v>
      </c>
      <c r="DQ52" s="7" t="n">
        <v>0</v>
      </c>
      <c r="DR52" s="7" t="n">
        <v>0</v>
      </c>
      <c r="DS52" s="11" t="n">
        <f aca="false">SUMIFS('Исходные данные'!$I$2:$I$964,'Исходные данные'!$D$2:$D$964,DS$1,'Исходные данные'!$F$2:$F$964,$A52)</f>
        <v>0</v>
      </c>
      <c r="DT52" s="11" t="n">
        <f aca="false">SUMIFS('Исходные данные'!$J$2:$J$964,'Исходные данные'!$D$2:$D$964,DS$1,'Исходные данные'!$F$2:$F$964,$A52)</f>
        <v>0</v>
      </c>
      <c r="DU52" s="7" t="n">
        <v>0</v>
      </c>
      <c r="DV52" s="7" t="n">
        <v>0</v>
      </c>
      <c r="DW52" s="11" t="n">
        <f aca="false">SUMIFS('Исходные данные'!$I$2:$I$964,'Исходные данные'!$D$2:$D$964,DW$1,'Исходные данные'!$F$2:$F$964,$A52)</f>
        <v>0</v>
      </c>
      <c r="DX52" s="11" t="n">
        <f aca="false">SUMIFS('Исходные данные'!$J$2:$J$964,'Исходные данные'!$D$2:$D$964,DW$1,'Исходные данные'!$F$2:$F$964,$A52)</f>
        <v>0</v>
      </c>
      <c r="DY52" s="7" t="n">
        <v>0</v>
      </c>
      <c r="DZ52" s="7" t="n">
        <v>0</v>
      </c>
      <c r="EA52" s="11" t="n">
        <f aca="false">SUMIFS('Исходные данные'!$I$2:$I$964,'Исходные данные'!$D$2:$D$964,EA$1,'Исходные данные'!$F$2:$F$964,$A52)</f>
        <v>0</v>
      </c>
      <c r="EB52" s="11" t="n">
        <f aca="false">SUMIFS('Исходные данные'!$J$2:$J$964,'Исходные данные'!$D$2:$D$964,EA$1,'Исходные данные'!$F$2:$F$964,$A52)</f>
        <v>0</v>
      </c>
      <c r="EC52" s="7" t="n">
        <v>0</v>
      </c>
      <c r="ED52" s="7" t="n">
        <v>0</v>
      </c>
      <c r="EE52" s="11" t="n">
        <f aca="false">SUMIFS('Исходные данные'!$I$2:$I$964,'Исходные данные'!$D$2:$D$964,EE$1,'Исходные данные'!$F$2:$F$964,$A52)</f>
        <v>0</v>
      </c>
      <c r="EF52" s="11" t="n">
        <f aca="false">SUMIFS('Исходные данные'!$J$2:$J$964,'Исходные данные'!$D$2:$D$964,EE$1,'Исходные данные'!$F$2:$F$964,$A52)</f>
        <v>0</v>
      </c>
      <c r="EG52" s="7" t="n">
        <v>0</v>
      </c>
      <c r="EH52" s="7" t="n">
        <v>0</v>
      </c>
      <c r="EI52" s="11" t="n">
        <f aca="false">SUMIFS('Исходные данные'!$I$2:$I$964,'Исходные данные'!$D$2:$D$964,EI$1,'Исходные данные'!$F$2:$F$964,$A52)</f>
        <v>0</v>
      </c>
      <c r="EJ52" s="11" t="n">
        <f aca="false">SUMIFS('Исходные данные'!$J$2:$J$964,'Исходные данные'!$D$2:$D$964,EI$1,'Исходные данные'!$F$2:$F$964,$A52)</f>
        <v>0</v>
      </c>
      <c r="EK52" s="7" t="n">
        <v>0</v>
      </c>
      <c r="EL52" s="7" t="n">
        <v>0</v>
      </c>
      <c r="EM52" s="11" t="n">
        <f aca="false">SUMIFS('Исходные данные'!$I$2:$I$964,'Исходные данные'!$D$2:$D$964,EM$1,'Исходные данные'!$F$2:$F$964,$A52)</f>
        <v>0</v>
      </c>
      <c r="EN52" s="11" t="n">
        <f aca="false">SUMIFS('Исходные данные'!$J$2:$J$964,'Исходные данные'!$D$2:$D$964,EM$1,'Исходные данные'!$F$2:$F$964,$A52)</f>
        <v>0</v>
      </c>
      <c r="EO52" s="7" t="n">
        <v>0</v>
      </c>
      <c r="EP52" s="7" t="n">
        <v>0</v>
      </c>
      <c r="EQ52" s="11" t="n">
        <f aca="false">SUMIFS('Исходные данные'!$I$2:$I$964,'Исходные данные'!$D$2:$D$964,EQ$1,'Исходные данные'!$F$2:$F$964,$A52)</f>
        <v>0</v>
      </c>
      <c r="ER52" s="11" t="n">
        <f aca="false">SUMIFS('Исходные данные'!$J$2:$J$964,'Исходные данные'!$D$2:$D$964,EQ$1,'Исходные данные'!$F$2:$F$964,$A52)</f>
        <v>0</v>
      </c>
      <c r="ES52" s="7" t="n">
        <v>0</v>
      </c>
      <c r="ET52" s="7" t="n">
        <v>0</v>
      </c>
      <c r="EU52" s="11" t="n">
        <f aca="false">SUMIFS('Исходные данные'!$I$2:$I$964,'Исходные данные'!$D$2:$D$964,EU$1,'Исходные данные'!$F$2:$F$964,$A52)</f>
        <v>0</v>
      </c>
      <c r="EV52" s="11" t="n">
        <f aca="false">SUMIFS('Исходные данные'!$J$2:$J$964,'Исходные данные'!$D$2:$D$964,EU$1,'Исходные данные'!$F$2:$F$964,$A52)</f>
        <v>0</v>
      </c>
      <c r="EW52" s="7" t="n">
        <v>0</v>
      </c>
      <c r="EX52" s="7" t="n">
        <v>0</v>
      </c>
      <c r="EY52" s="11" t="n">
        <f aca="false">SUMIFS('Исходные данные'!$I$2:$I$964,'Исходные данные'!$D$2:$D$964,EY$1,'Исходные данные'!$F$2:$F$964,$A52)</f>
        <v>0</v>
      </c>
      <c r="EZ52" s="11" t="n">
        <f aca="false">SUMIFS('Исходные данные'!$J$2:$J$964,'Исходные данные'!$D$2:$D$964,EY$1,'Исходные данные'!$F$2:$F$964,$A52)</f>
        <v>0</v>
      </c>
      <c r="FA52" s="7" t="n">
        <v>0</v>
      </c>
      <c r="FB52" s="7" t="n">
        <v>0</v>
      </c>
      <c r="FC52" s="11" t="n">
        <f aca="false">SUMIFS('Исходные данные'!$I$2:$I$964,'Исходные данные'!$D$2:$D$964,FC$1,'Исходные данные'!$F$2:$F$964,$A52)</f>
        <v>0</v>
      </c>
      <c r="FD52" s="11" t="n">
        <f aca="false">SUMIFS('Исходные данные'!$J$2:$J$964,'Исходные данные'!$D$2:$D$964,FC$1,'Исходные данные'!$F$2:$F$964,$A52)</f>
        <v>0</v>
      </c>
      <c r="FE52" s="7" t="n">
        <v>0</v>
      </c>
      <c r="FF52" s="7" t="n">
        <v>0</v>
      </c>
      <c r="FG52" s="11" t="n">
        <f aca="false">SUMIFS('Исходные данные'!$I$2:$I$964,'Исходные данные'!$D$2:$D$964,FG$1,'Исходные данные'!$F$2:$F$964,$A52)</f>
        <v>0</v>
      </c>
      <c r="FH52" s="11" t="n">
        <f aca="false">SUMIFS('Исходные данные'!$J$2:$J$964,'Исходные данные'!$D$2:$D$964,FG$1,'Исходные данные'!$F$2:$F$964,$A52)</f>
        <v>0</v>
      </c>
    </row>
    <row r="53" customFormat="false" ht="15" hidden="false" customHeight="false" outlineLevel="0" collapsed="false">
      <c r="A53" s="10" t="s">
        <v>149</v>
      </c>
      <c r="B53" s="11" t="s">
        <v>150</v>
      </c>
      <c r="C53" s="6" t="n">
        <v>0</v>
      </c>
      <c r="D53" s="6" t="n">
        <f aca="false">I53+J53+M53+N53+Q53+R53+U53+V53+Y53+Z53+AC53+AD53+AG53+AH53+AK53+AL53+AO53+AP53+AS53+AT53+AW53+AX53+BA53+BB53+BE53+BF53+BI53+BJ53+BM53+BN53+BQ53+BR53+BU53+BV53+BY53+BZ53+CC53+CD53+CG53+CH53+CK53+CL53+CO53+CP53+CS53+CT53+CW53+CX53+DA53+DB53+DE53+DF53+DI53+DJ53+DM53+DN53+DQ53+DR53+DU53+DV53+DY53+DZ53+EC53+ED53+EG53+EH53+EK53+EL53+EO53+EP53+ES53+ET53+EW53+EX53+FA53+FB53+FE53+FF53</f>
        <v>0</v>
      </c>
      <c r="E53" s="6" t="n">
        <f aca="false">G53+H53</f>
        <v>0</v>
      </c>
      <c r="F53" s="6" t="n">
        <f aca="false">E53-C53</f>
        <v>0</v>
      </c>
      <c r="G53" s="6" t="n">
        <f aca="false">K53+O53+S53+W53+AA53+AE53+AI53+AM53+AQ53+AU53+AY53+BC53+BG53+BK53+BO53+BS53+BW53+CA53+CE53+CI53+CM53+CQ53+CU53+CY53+DC53+DG53+DK53+DO53+DS53+DW53+EA53+EE53+EI53+EM53+EQ53+EU53+EY53+FC53+FG53</f>
        <v>0</v>
      </c>
      <c r="H53" s="6" t="n">
        <f aca="false">L53+P53+T53+X53+AB53+AF53+AJ53+AN53+AR53+AV53+AZ53+BD53+BH53+BL53+BP53+BT53+BX53+CB53+CF53+CJ53+CN53+CR53+CV53+CZ53+DD53+DH53+DL53+DP53+DT53+DX53+EB53+EF53+EJ53+EN53+ER53+EV53+EZ53+FD53+FH53</f>
        <v>0</v>
      </c>
      <c r="I53" s="7" t="n">
        <v>0</v>
      </c>
      <c r="J53" s="7" t="n">
        <v>0</v>
      </c>
      <c r="K53" s="11" t="n">
        <f aca="false">SUMIFS('Исходные данные'!$I$2:$I$964,'Исходные данные'!$D$2:$D$964,K$1,'Исходные данные'!$F$2:$F$964,$A53)</f>
        <v>0</v>
      </c>
      <c r="L53" s="11" t="n">
        <f aca="false">SUMIFS('Исходные данные'!$J$2:$J$964,'Исходные данные'!$D$2:$D$964,K$1,'Исходные данные'!$F$2:$F$964,$A53)</f>
        <v>0</v>
      </c>
      <c r="M53" s="7" t="n">
        <v>0</v>
      </c>
      <c r="N53" s="7" t="n">
        <v>0</v>
      </c>
      <c r="O53" s="11" t="n">
        <f aca="false">SUMIFS('Исходные данные'!$I$2:$I$964,'Исходные данные'!$D$2:$D$964,O$1,'Исходные данные'!$F$2:$F$964,$A53)</f>
        <v>0</v>
      </c>
      <c r="P53" s="11" t="n">
        <f aca="false">SUMIFS('Исходные данные'!$J$2:$J$964,'Исходные данные'!$D$2:$D$964,O$1,'Исходные данные'!$F$2:$F$964,$A53)</f>
        <v>0</v>
      </c>
      <c r="Q53" s="7" t="n">
        <v>0</v>
      </c>
      <c r="R53" s="7" t="n">
        <v>0</v>
      </c>
      <c r="S53" s="11" t="n">
        <f aca="false">SUMIFS('Исходные данные'!$I$2:$I$964,'Исходные данные'!$D$2:$D$964,S$1,'Исходные данные'!$F$2:$F$964,$A53)</f>
        <v>0</v>
      </c>
      <c r="T53" s="11" t="n">
        <f aca="false">SUMIFS('Исходные данные'!$J$2:$J$964,'Исходные данные'!$D$2:$D$964,S$1,'Исходные данные'!$F$2:$F$964,$A53)</f>
        <v>0</v>
      </c>
      <c r="U53" s="7" t="n">
        <v>0</v>
      </c>
      <c r="V53" s="7" t="n">
        <v>0</v>
      </c>
      <c r="W53" s="11" t="n">
        <f aca="false">SUMIFS('Исходные данные'!$I$2:$I$964,'Исходные данные'!$D$2:$D$964,W$1,'Исходные данные'!$F$2:$F$964,$A53)</f>
        <v>0</v>
      </c>
      <c r="X53" s="11" t="n">
        <f aca="false">SUMIFS('Исходные данные'!$J$2:$J$964,'Исходные данные'!$D$2:$D$964,W$1,'Исходные данные'!$F$2:$F$964,$A53)</f>
        <v>0</v>
      </c>
      <c r="Y53" s="7" t="n">
        <v>0</v>
      </c>
      <c r="Z53" s="7" t="n">
        <v>0</v>
      </c>
      <c r="AA53" s="11" t="n">
        <f aca="false">SUMIFS('Исходные данные'!$I$2:$I$964,'Исходные данные'!$D$2:$D$964,AA$1,'Исходные данные'!$F$2:$F$964,$A53)</f>
        <v>0</v>
      </c>
      <c r="AB53" s="11" t="n">
        <f aca="false">SUMIFS('Исходные данные'!$J$2:$J$964,'Исходные данные'!$D$2:$D$964,AA$1,'Исходные данные'!$F$2:$F$964,$A53)</f>
        <v>0</v>
      </c>
      <c r="AC53" s="7" t="n">
        <v>0</v>
      </c>
      <c r="AD53" s="7" t="n">
        <v>0</v>
      </c>
      <c r="AE53" s="11" t="n">
        <f aca="false">SUMIFS('Исходные данные'!$I$2:$I$964,'Исходные данные'!$D$2:$D$964,AE$1,'Исходные данные'!$F$2:$F$964,$A53)</f>
        <v>0</v>
      </c>
      <c r="AF53" s="11" t="n">
        <f aca="false">SUMIFS('Исходные данные'!$J$2:$J$964,'Исходные данные'!$D$2:$D$964,AE$1,'Исходные данные'!$F$2:$F$964,$A53)</f>
        <v>0</v>
      </c>
      <c r="AG53" s="7" t="n">
        <v>0</v>
      </c>
      <c r="AH53" s="7" t="n">
        <v>0</v>
      </c>
      <c r="AI53" s="11" t="n">
        <f aca="false">SUMIFS('Исходные данные'!$I$2:$I$964,'Исходные данные'!$D$2:$D$964,AI$1,'Исходные данные'!$F$2:$F$964,$A53)</f>
        <v>0</v>
      </c>
      <c r="AJ53" s="11" t="n">
        <f aca="false">SUMIFS('Исходные данные'!$J$2:$J$964,'Исходные данные'!$D$2:$D$964,AI$1,'Исходные данные'!$F$2:$F$964,$A53)</f>
        <v>0</v>
      </c>
      <c r="AK53" s="7" t="n">
        <v>0</v>
      </c>
      <c r="AL53" s="7" t="n">
        <v>0</v>
      </c>
      <c r="AM53" s="11" t="n">
        <f aca="false">SUMIFS('Исходные данные'!$I$2:$I$964,'Исходные данные'!$D$2:$D$964,AM$1,'Исходные данные'!$F$2:$F$964,$A53)</f>
        <v>0</v>
      </c>
      <c r="AN53" s="11" t="n">
        <f aca="false">SUMIFS('Исходные данные'!$J$2:$J$964,'Исходные данные'!$D$2:$D$964,AM$1,'Исходные данные'!$F$2:$F$964,$A53)</f>
        <v>0</v>
      </c>
      <c r="AO53" s="7" t="n">
        <v>0</v>
      </c>
      <c r="AP53" s="7" t="n">
        <v>0</v>
      </c>
      <c r="AQ53" s="11" t="n">
        <f aca="false">SUMIFS('Исходные данные'!$I$2:$I$964,'Исходные данные'!$D$2:$D$964,AQ$1,'Исходные данные'!$F$2:$F$964,$A53)</f>
        <v>0</v>
      </c>
      <c r="AR53" s="11" t="n">
        <f aca="false">SUMIFS('Исходные данные'!$J$2:$J$964,'Исходные данные'!$D$2:$D$964,AQ$1,'Исходные данные'!$F$2:$F$964,$A53)</f>
        <v>0</v>
      </c>
      <c r="AS53" s="7" t="n">
        <v>0</v>
      </c>
      <c r="AT53" s="7" t="n">
        <v>0</v>
      </c>
      <c r="AU53" s="11" t="n">
        <f aca="false">SUMIFS('Исходные данные'!$I$2:$I$964,'Исходные данные'!$D$2:$D$964,AU$1,'Исходные данные'!$F$2:$F$964,$A53)</f>
        <v>0</v>
      </c>
      <c r="AV53" s="11" t="n">
        <f aca="false">SUMIFS('Исходные данные'!$J$2:$J$964,'Исходные данные'!$D$2:$D$964,AU$1,'Исходные данные'!$F$2:$F$964,$A53)</f>
        <v>0</v>
      </c>
      <c r="AW53" s="7" t="n">
        <v>0</v>
      </c>
      <c r="AX53" s="7" t="n">
        <v>0</v>
      </c>
      <c r="AY53" s="11" t="n">
        <f aca="false">SUMIFS('Исходные данные'!$I$2:$I$964,'Исходные данные'!$D$2:$D$964,AY$1,'Исходные данные'!$F$2:$F$964,$A53)</f>
        <v>0</v>
      </c>
      <c r="AZ53" s="11" t="n">
        <f aca="false">SUMIFS('Исходные данные'!$J$2:$J$964,'Исходные данные'!$D$2:$D$964,AY$1,'Исходные данные'!$F$2:$F$964,$A53)</f>
        <v>0</v>
      </c>
      <c r="BA53" s="7" t="n">
        <v>0</v>
      </c>
      <c r="BB53" s="7" t="n">
        <v>0</v>
      </c>
      <c r="BC53" s="11" t="n">
        <f aca="false">SUMIFS('Исходные данные'!$I$2:$I$964,'Исходные данные'!$D$2:$D$964,BC$1,'Исходные данные'!$F$2:$F$964,$A53)</f>
        <v>0</v>
      </c>
      <c r="BD53" s="11" t="n">
        <f aca="false">SUMIFS('Исходные данные'!$J$2:$J$964,'Исходные данные'!$D$2:$D$964,BC$1,'Исходные данные'!$F$2:$F$964,$A53)</f>
        <v>0</v>
      </c>
      <c r="BE53" s="7" t="n">
        <v>0</v>
      </c>
      <c r="BF53" s="7" t="n">
        <v>0</v>
      </c>
      <c r="BG53" s="11" t="n">
        <f aca="false">SUMIFS('Исходные данные'!$I$2:$I$964,'Исходные данные'!$D$2:$D$964,BG$1,'Исходные данные'!$F$2:$F$964,$A53)</f>
        <v>0</v>
      </c>
      <c r="BH53" s="11" t="n">
        <f aca="false">SUMIFS('Исходные данные'!$J$2:$J$964,'Исходные данные'!$D$2:$D$964,BG$1,'Исходные данные'!$F$2:$F$964,$A53)</f>
        <v>0</v>
      </c>
      <c r="BI53" s="7" t="n">
        <v>0</v>
      </c>
      <c r="BJ53" s="7" t="n">
        <v>0</v>
      </c>
      <c r="BK53" s="11" t="n">
        <f aca="false">SUMIFS('Исходные данные'!$I$2:$I$964,'Исходные данные'!$D$2:$D$964,BK$1,'Исходные данные'!$F$2:$F$964,$A53)</f>
        <v>0</v>
      </c>
      <c r="BL53" s="11" t="n">
        <f aca="false">SUMIFS('Исходные данные'!$J$2:$J$964,'Исходные данные'!$D$2:$D$964,BK$1,'Исходные данные'!$F$2:$F$964,$A53)</f>
        <v>0</v>
      </c>
      <c r="BM53" s="7" t="n">
        <v>0</v>
      </c>
      <c r="BN53" s="7" t="n">
        <v>0</v>
      </c>
      <c r="BO53" s="11" t="n">
        <f aca="false">SUMIFS('Исходные данные'!$I$2:$I$964,'Исходные данные'!$D$2:$D$964,BO$1,'Исходные данные'!$F$2:$F$964,$A53)</f>
        <v>0</v>
      </c>
      <c r="BP53" s="11" t="n">
        <f aca="false">SUMIFS('Исходные данные'!$J$2:$J$964,'Исходные данные'!$D$2:$D$964,BO$1,'Исходные данные'!$F$2:$F$964,$A53)</f>
        <v>0</v>
      </c>
      <c r="BQ53" s="7" t="n">
        <v>0</v>
      </c>
      <c r="BR53" s="7" t="n">
        <v>0</v>
      </c>
      <c r="BS53" s="11" t="n">
        <f aca="false">SUMIFS('Исходные данные'!$I$2:$I$964,'Исходные данные'!$D$2:$D$964,BS$1,'Исходные данные'!$F$2:$F$964,$A53)</f>
        <v>0</v>
      </c>
      <c r="BT53" s="11" t="n">
        <f aca="false">SUMIFS('Исходные данные'!$J$2:$J$964,'Исходные данные'!$D$2:$D$964,BS$1,'Исходные данные'!$F$2:$F$964,$A53)</f>
        <v>0</v>
      </c>
      <c r="BU53" s="7" t="n">
        <v>0</v>
      </c>
      <c r="BV53" s="7" t="n">
        <v>0</v>
      </c>
      <c r="BW53" s="11" t="n">
        <f aca="false">SUMIFS('Исходные данные'!$I$2:$I$964,'Исходные данные'!$D$2:$D$964,BW$1,'Исходные данные'!$F$2:$F$964,$A53)</f>
        <v>0</v>
      </c>
      <c r="BX53" s="11" t="n">
        <f aca="false">SUMIFS('Исходные данные'!$J$2:$J$964,'Исходные данные'!$D$2:$D$964,BW$1,'Исходные данные'!$F$2:$F$964,$A53)</f>
        <v>0</v>
      </c>
      <c r="BY53" s="7" t="n">
        <v>0</v>
      </c>
      <c r="BZ53" s="7" t="n">
        <v>0</v>
      </c>
      <c r="CA53" s="11" t="n">
        <f aca="false">SUMIFS('Исходные данные'!$I$2:$I$964,'Исходные данные'!$D$2:$D$964,CA$1,'Исходные данные'!$F$2:$F$964,$A53)</f>
        <v>0</v>
      </c>
      <c r="CB53" s="11" t="n">
        <f aca="false">SUMIFS('Исходные данные'!$J$2:$J$964,'Исходные данные'!$D$2:$D$964,CA$1,'Исходные данные'!$F$2:$F$964,$A53)</f>
        <v>0</v>
      </c>
      <c r="CC53" s="7" t="n">
        <v>0</v>
      </c>
      <c r="CD53" s="7" t="n">
        <v>0</v>
      </c>
      <c r="CE53" s="11" t="n">
        <f aca="false">SUMIFS('Исходные данные'!$I$2:$I$964,'Исходные данные'!$D$2:$D$964,CE$1,'Исходные данные'!$F$2:$F$964,$A53)</f>
        <v>0</v>
      </c>
      <c r="CF53" s="11" t="n">
        <f aca="false">SUMIFS('Исходные данные'!$J$2:$J$964,'Исходные данные'!$D$2:$D$964,CE$1,'Исходные данные'!$F$2:$F$964,$A53)</f>
        <v>0</v>
      </c>
      <c r="CG53" s="7" t="n">
        <v>0</v>
      </c>
      <c r="CH53" s="7" t="n">
        <v>0</v>
      </c>
      <c r="CI53" s="11" t="n">
        <f aca="false">SUMIFS('Исходные данные'!$I$2:$I$964,'Исходные данные'!$D$2:$D$964,CI$1,'Исходные данные'!$F$2:$F$964,$A53)</f>
        <v>0</v>
      </c>
      <c r="CJ53" s="11" t="n">
        <f aca="false">SUMIFS('Исходные данные'!$J$2:$J$964,'Исходные данные'!$D$2:$D$964,CI$1,'Исходные данные'!$F$2:$F$964,$A53)</f>
        <v>0</v>
      </c>
      <c r="CK53" s="7" t="n">
        <v>0</v>
      </c>
      <c r="CL53" s="7" t="n">
        <v>0</v>
      </c>
      <c r="CM53" s="11" t="n">
        <f aca="false">SUMIFS('Исходные данные'!$I$2:$I$964,'Исходные данные'!$D$2:$D$964,CM$1,'Исходные данные'!$F$2:$F$964,$A53)</f>
        <v>0</v>
      </c>
      <c r="CN53" s="11" t="n">
        <f aca="false">SUMIFS('Исходные данные'!$J$2:$J$964,'Исходные данные'!$D$2:$D$964,CM$1,'Исходные данные'!$F$2:$F$964,$A53)</f>
        <v>0</v>
      </c>
      <c r="CO53" s="7" t="n">
        <v>0</v>
      </c>
      <c r="CP53" s="7" t="n">
        <v>0</v>
      </c>
      <c r="CQ53" s="11" t="n">
        <f aca="false">SUMIFS('Исходные данные'!$I$2:$I$964,'Исходные данные'!$D$2:$D$964,CQ$1,'Исходные данные'!$F$2:$F$964,$A53)</f>
        <v>0</v>
      </c>
      <c r="CR53" s="11" t="n">
        <f aca="false">SUMIFS('Исходные данные'!$J$2:$J$964,'Исходные данные'!$D$2:$D$964,CQ$1,'Исходные данные'!$F$2:$F$964,$A53)</f>
        <v>0</v>
      </c>
      <c r="CS53" s="7" t="n">
        <v>0</v>
      </c>
      <c r="CT53" s="7" t="n">
        <v>0</v>
      </c>
      <c r="CU53" s="11" t="n">
        <f aca="false">SUMIFS('Исходные данные'!$I$2:$I$964,'Исходные данные'!$D$2:$D$964,CU$1,'Исходные данные'!$F$2:$F$964,$A53)</f>
        <v>0</v>
      </c>
      <c r="CV53" s="11" t="n">
        <f aca="false">SUMIFS('Исходные данные'!$J$2:$J$964,'Исходные данные'!$D$2:$D$964,CU$1,'Исходные данные'!$F$2:$F$964,$A53)</f>
        <v>0</v>
      </c>
      <c r="CW53" s="7" t="n">
        <v>0</v>
      </c>
      <c r="CX53" s="7" t="n">
        <v>0</v>
      </c>
      <c r="CY53" s="11" t="n">
        <f aca="false">SUMIFS('Исходные данные'!$I$2:$I$964,'Исходные данные'!$D$2:$D$964,CY$1,'Исходные данные'!$F$2:$F$964,$A53)</f>
        <v>0</v>
      </c>
      <c r="CZ53" s="11" t="n">
        <f aca="false">SUMIFS('Исходные данные'!$J$2:$J$964,'Исходные данные'!$D$2:$D$964,CY$1,'Исходные данные'!$F$2:$F$964,$A53)</f>
        <v>0</v>
      </c>
      <c r="DA53" s="7" t="n">
        <v>0</v>
      </c>
      <c r="DB53" s="7" t="n">
        <v>0</v>
      </c>
      <c r="DC53" s="11" t="n">
        <f aca="false">SUMIFS('Исходные данные'!$I$2:$I$964,'Исходные данные'!$D$2:$D$964,DC$1,'Исходные данные'!$F$2:$F$964,$A53)</f>
        <v>0</v>
      </c>
      <c r="DD53" s="11" t="n">
        <f aca="false">SUMIFS('Исходные данные'!$J$2:$J$964,'Исходные данные'!$D$2:$D$964,DC$1,'Исходные данные'!$F$2:$F$964,$A53)</f>
        <v>0</v>
      </c>
      <c r="DE53" s="7" t="n">
        <v>0</v>
      </c>
      <c r="DF53" s="7" t="n">
        <v>0</v>
      </c>
      <c r="DG53" s="11" t="n">
        <f aca="false">SUMIFS('Исходные данные'!$I$2:$I$964,'Исходные данные'!$D$2:$D$964,DG$1,'Исходные данные'!$F$2:$F$964,$A53)</f>
        <v>0</v>
      </c>
      <c r="DH53" s="11" t="n">
        <f aca="false">SUMIFS('Исходные данные'!$J$2:$J$964,'Исходные данные'!$D$2:$D$964,DG$1,'Исходные данные'!$F$2:$F$964,$A53)</f>
        <v>0</v>
      </c>
      <c r="DI53" s="7" t="n">
        <v>0</v>
      </c>
      <c r="DJ53" s="7" t="n">
        <v>0</v>
      </c>
      <c r="DK53" s="11" t="n">
        <f aca="false">SUMIFS('Исходные данные'!$I$2:$I$964,'Исходные данные'!$D$2:$D$964,DK$1,'Исходные данные'!$F$2:$F$964,$A53)</f>
        <v>0</v>
      </c>
      <c r="DL53" s="11" t="n">
        <f aca="false">SUMIFS('Исходные данные'!$J$2:$J$964,'Исходные данные'!$D$2:$D$964,DK$1,'Исходные данные'!$F$2:$F$964,$A53)</f>
        <v>0</v>
      </c>
      <c r="DM53" s="7" t="n">
        <v>0</v>
      </c>
      <c r="DN53" s="7" t="n">
        <v>0</v>
      </c>
      <c r="DO53" s="11" t="n">
        <f aca="false">SUMIFS('Исходные данные'!$I$2:$I$964,'Исходные данные'!$D$2:$D$964,DO$1,'Исходные данные'!$F$2:$F$964,$A53)</f>
        <v>0</v>
      </c>
      <c r="DP53" s="11" t="n">
        <f aca="false">SUMIFS('Исходные данные'!$J$2:$J$964,'Исходные данные'!$D$2:$D$964,DO$1,'Исходные данные'!$F$2:$F$964,$A53)</f>
        <v>0</v>
      </c>
      <c r="DQ53" s="7" t="n">
        <v>0</v>
      </c>
      <c r="DR53" s="7" t="n">
        <v>0</v>
      </c>
      <c r="DS53" s="11" t="n">
        <f aca="false">SUMIFS('Исходные данные'!$I$2:$I$964,'Исходные данные'!$D$2:$D$964,DS$1,'Исходные данные'!$F$2:$F$964,$A53)</f>
        <v>0</v>
      </c>
      <c r="DT53" s="11" t="n">
        <f aca="false">SUMIFS('Исходные данные'!$J$2:$J$964,'Исходные данные'!$D$2:$D$964,DS$1,'Исходные данные'!$F$2:$F$964,$A53)</f>
        <v>0</v>
      </c>
      <c r="DU53" s="7" t="n">
        <v>0</v>
      </c>
      <c r="DV53" s="7" t="n">
        <v>0</v>
      </c>
      <c r="DW53" s="11" t="n">
        <f aca="false">SUMIFS('Исходные данные'!$I$2:$I$964,'Исходные данные'!$D$2:$D$964,DW$1,'Исходные данные'!$F$2:$F$964,$A53)</f>
        <v>0</v>
      </c>
      <c r="DX53" s="11" t="n">
        <f aca="false">SUMIFS('Исходные данные'!$J$2:$J$964,'Исходные данные'!$D$2:$D$964,DW$1,'Исходные данные'!$F$2:$F$964,$A53)</f>
        <v>0</v>
      </c>
      <c r="DY53" s="7" t="n">
        <v>0</v>
      </c>
      <c r="DZ53" s="7" t="n">
        <v>0</v>
      </c>
      <c r="EA53" s="11" t="n">
        <f aca="false">SUMIFS('Исходные данные'!$I$2:$I$964,'Исходные данные'!$D$2:$D$964,EA$1,'Исходные данные'!$F$2:$F$964,$A53)</f>
        <v>0</v>
      </c>
      <c r="EB53" s="11" t="n">
        <f aca="false">SUMIFS('Исходные данные'!$J$2:$J$964,'Исходные данные'!$D$2:$D$964,EA$1,'Исходные данные'!$F$2:$F$964,$A53)</f>
        <v>0</v>
      </c>
      <c r="EC53" s="7" t="n">
        <v>0</v>
      </c>
      <c r="ED53" s="7" t="n">
        <v>0</v>
      </c>
      <c r="EE53" s="11" t="n">
        <f aca="false">SUMIFS('Исходные данные'!$I$2:$I$964,'Исходные данные'!$D$2:$D$964,EE$1,'Исходные данные'!$F$2:$F$964,$A53)</f>
        <v>0</v>
      </c>
      <c r="EF53" s="11" t="n">
        <f aca="false">SUMIFS('Исходные данные'!$J$2:$J$964,'Исходные данные'!$D$2:$D$964,EE$1,'Исходные данные'!$F$2:$F$964,$A53)</f>
        <v>0</v>
      </c>
      <c r="EG53" s="7" t="n">
        <v>0</v>
      </c>
      <c r="EH53" s="7" t="n">
        <v>0</v>
      </c>
      <c r="EI53" s="11" t="n">
        <f aca="false">SUMIFS('Исходные данные'!$I$2:$I$964,'Исходные данные'!$D$2:$D$964,EI$1,'Исходные данные'!$F$2:$F$964,$A53)</f>
        <v>0</v>
      </c>
      <c r="EJ53" s="11" t="n">
        <f aca="false">SUMIFS('Исходные данные'!$J$2:$J$964,'Исходные данные'!$D$2:$D$964,EI$1,'Исходные данные'!$F$2:$F$964,$A53)</f>
        <v>0</v>
      </c>
      <c r="EK53" s="7" t="n">
        <v>0</v>
      </c>
      <c r="EL53" s="7" t="n">
        <v>0</v>
      </c>
      <c r="EM53" s="11" t="n">
        <f aca="false">SUMIFS('Исходные данные'!$I$2:$I$964,'Исходные данные'!$D$2:$D$964,EM$1,'Исходные данные'!$F$2:$F$964,$A53)</f>
        <v>0</v>
      </c>
      <c r="EN53" s="11" t="n">
        <f aca="false">SUMIFS('Исходные данные'!$J$2:$J$964,'Исходные данные'!$D$2:$D$964,EM$1,'Исходные данные'!$F$2:$F$964,$A53)</f>
        <v>0</v>
      </c>
      <c r="EO53" s="7" t="n">
        <v>0</v>
      </c>
      <c r="EP53" s="7" t="n">
        <v>0</v>
      </c>
      <c r="EQ53" s="11" t="n">
        <f aca="false">SUMIFS('Исходные данные'!$I$2:$I$964,'Исходные данные'!$D$2:$D$964,EQ$1,'Исходные данные'!$F$2:$F$964,$A53)</f>
        <v>0</v>
      </c>
      <c r="ER53" s="11" t="n">
        <f aca="false">SUMIFS('Исходные данные'!$J$2:$J$964,'Исходные данные'!$D$2:$D$964,EQ$1,'Исходные данные'!$F$2:$F$964,$A53)</f>
        <v>0</v>
      </c>
      <c r="ES53" s="7" t="n">
        <v>0</v>
      </c>
      <c r="ET53" s="7" t="n">
        <v>0</v>
      </c>
      <c r="EU53" s="11" t="n">
        <f aca="false">SUMIFS('Исходные данные'!$I$2:$I$964,'Исходные данные'!$D$2:$D$964,EU$1,'Исходные данные'!$F$2:$F$964,$A53)</f>
        <v>0</v>
      </c>
      <c r="EV53" s="11" t="n">
        <f aca="false">SUMIFS('Исходные данные'!$J$2:$J$964,'Исходные данные'!$D$2:$D$964,EU$1,'Исходные данные'!$F$2:$F$964,$A53)</f>
        <v>0</v>
      </c>
      <c r="EW53" s="7" t="n">
        <v>0</v>
      </c>
      <c r="EX53" s="7" t="n">
        <v>0</v>
      </c>
      <c r="EY53" s="11" t="n">
        <f aca="false">SUMIFS('Исходные данные'!$I$2:$I$964,'Исходные данные'!$D$2:$D$964,EY$1,'Исходные данные'!$F$2:$F$964,$A53)</f>
        <v>0</v>
      </c>
      <c r="EZ53" s="11" t="n">
        <f aca="false">SUMIFS('Исходные данные'!$J$2:$J$964,'Исходные данные'!$D$2:$D$964,EY$1,'Исходные данные'!$F$2:$F$964,$A53)</f>
        <v>0</v>
      </c>
      <c r="FA53" s="7" t="n">
        <v>0</v>
      </c>
      <c r="FB53" s="7" t="n">
        <v>0</v>
      </c>
      <c r="FC53" s="11" t="n">
        <f aca="false">SUMIFS('Исходные данные'!$I$2:$I$964,'Исходные данные'!$D$2:$D$964,FC$1,'Исходные данные'!$F$2:$F$964,$A53)</f>
        <v>0</v>
      </c>
      <c r="FD53" s="11" t="n">
        <f aca="false">SUMIFS('Исходные данные'!$J$2:$J$964,'Исходные данные'!$D$2:$D$964,FC$1,'Исходные данные'!$F$2:$F$964,$A53)</f>
        <v>0</v>
      </c>
      <c r="FE53" s="7" t="n">
        <v>0</v>
      </c>
      <c r="FF53" s="7" t="n">
        <v>0</v>
      </c>
      <c r="FG53" s="11" t="n">
        <f aca="false">SUMIFS('Исходные данные'!$I$2:$I$964,'Исходные данные'!$D$2:$D$964,FG$1,'Исходные данные'!$F$2:$F$964,$A53)</f>
        <v>0</v>
      </c>
      <c r="FH53" s="11" t="n">
        <f aca="false">SUMIFS('Исходные данные'!$J$2:$J$964,'Исходные данные'!$D$2:$D$964,FG$1,'Исходные данные'!$F$2:$F$964,$A53)</f>
        <v>0</v>
      </c>
    </row>
    <row r="54" customFormat="false" ht="15" hidden="false" customHeight="false" outlineLevel="0" collapsed="false">
      <c r="A54" s="10" t="s">
        <v>151</v>
      </c>
      <c r="B54" s="11" t="s">
        <v>152</v>
      </c>
      <c r="C54" s="6" t="n">
        <v>3</v>
      </c>
      <c r="D54" s="6" t="n">
        <f aca="false">I54+J54+M54+N54+Q54+R54+U54+V54+Y54+Z54+AC54+AD54+AG54+AH54+AK54+AL54+AO54+AP54+AS54+AT54+AW54+AX54+BA54+BB54+BE54+BF54+BI54+BJ54+BM54+BN54+BQ54+BR54+BU54+BV54+BY54+BZ54+CC54+CD54+CG54+CH54+CK54+CL54+CO54+CP54+CS54+CT54+CW54+CX54+DA54+DB54+DE54+DF54+DI54+DJ54+DM54+DN54+DQ54+DR54+DU54+DV54+DY54+DZ54+EC54+ED54+EG54+EH54+EK54+EL54+EO54+EP54+ES54+ET54+EW54+EX54+FA54+FB54+FE54+FF54</f>
        <v>3</v>
      </c>
      <c r="E54" s="6" t="n">
        <f aca="false">G54+H54</f>
        <v>2</v>
      </c>
      <c r="F54" s="6" t="n">
        <f aca="false">E54-C54</f>
        <v>-1</v>
      </c>
      <c r="G54" s="6" t="n">
        <f aca="false">K54+O54+S54+W54+AA54+AE54+AI54+AM54+AQ54+AU54+AY54+BC54+BG54+BK54+BO54+BS54+BW54+CA54+CE54+CI54+CM54+CQ54+CU54+CY54+DC54+DG54+DK54+DO54+DS54+DW54+EA54+EE54+EI54+EM54+EQ54+EU54+EY54+FC54+FG54</f>
        <v>2</v>
      </c>
      <c r="H54" s="6" t="n">
        <f aca="false">L54+P54+T54+X54+AB54+AF54+AJ54+AN54+AR54+AV54+AZ54+BD54+BH54+BL54+BP54+BT54+BX54+CB54+CF54+CJ54+CN54+CR54+CV54+CZ54+DD54+DH54+DL54+DP54+DT54+DX54+EB54+EF54+EJ54+EN54+ER54+EV54+EZ54+FD54+FH54</f>
        <v>0</v>
      </c>
      <c r="I54" s="7" t="n">
        <v>0</v>
      </c>
      <c r="J54" s="7" t="n">
        <v>0</v>
      </c>
      <c r="K54" s="11" t="n">
        <f aca="false">SUMIFS('Исходные данные'!$I$2:$I$964,'Исходные данные'!$D$2:$D$964,K$1,'Исходные данные'!$F$2:$F$964,$A54)</f>
        <v>0</v>
      </c>
      <c r="L54" s="11" t="n">
        <f aca="false">SUMIFS('Исходные данные'!$J$2:$J$964,'Исходные данные'!$D$2:$D$964,K$1,'Исходные данные'!$F$2:$F$964,$A54)</f>
        <v>0</v>
      </c>
      <c r="M54" s="7" t="n">
        <v>0</v>
      </c>
      <c r="N54" s="7" t="n">
        <v>0</v>
      </c>
      <c r="O54" s="11" t="n">
        <f aca="false">SUMIFS('Исходные данные'!$I$2:$I$964,'Исходные данные'!$D$2:$D$964,O$1,'Исходные данные'!$F$2:$F$964,$A54)</f>
        <v>0</v>
      </c>
      <c r="P54" s="11" t="n">
        <f aca="false">SUMIFS('Исходные данные'!$J$2:$J$964,'Исходные данные'!$D$2:$D$964,O$1,'Исходные данные'!$F$2:$F$964,$A54)</f>
        <v>0</v>
      </c>
      <c r="Q54" s="7" t="n">
        <v>1</v>
      </c>
      <c r="R54" s="7" t="n">
        <v>0</v>
      </c>
      <c r="S54" s="11" t="n">
        <f aca="false">SUMIFS('Исходные данные'!$I$2:$I$964,'Исходные данные'!$D$2:$D$964,S$1,'Исходные данные'!$F$2:$F$964,$A54)</f>
        <v>1</v>
      </c>
      <c r="T54" s="11" t="n">
        <f aca="false">SUMIFS('Исходные данные'!$J$2:$J$964,'Исходные данные'!$D$2:$D$964,S$1,'Исходные данные'!$F$2:$F$964,$A54)</f>
        <v>0</v>
      </c>
      <c r="U54" s="7" t="n">
        <v>0</v>
      </c>
      <c r="V54" s="7" t="n">
        <v>0</v>
      </c>
      <c r="W54" s="11" t="n">
        <f aca="false">SUMIFS('Исходные данные'!$I$2:$I$964,'Исходные данные'!$D$2:$D$964,W$1,'Исходные данные'!$F$2:$F$964,$A54)</f>
        <v>0</v>
      </c>
      <c r="X54" s="11" t="n">
        <f aca="false">SUMIFS('Исходные данные'!$J$2:$J$964,'Исходные данные'!$D$2:$D$964,W$1,'Исходные данные'!$F$2:$F$964,$A54)</f>
        <v>0</v>
      </c>
      <c r="Y54" s="7" t="n">
        <v>0</v>
      </c>
      <c r="Z54" s="7" t="n">
        <v>0</v>
      </c>
      <c r="AA54" s="11" t="n">
        <f aca="false">SUMIFS('Исходные данные'!$I$2:$I$964,'Исходные данные'!$D$2:$D$964,AA$1,'Исходные данные'!$F$2:$F$964,$A54)</f>
        <v>0</v>
      </c>
      <c r="AB54" s="11" t="n">
        <f aca="false">SUMIFS('Исходные данные'!$J$2:$J$964,'Исходные данные'!$D$2:$D$964,AA$1,'Исходные данные'!$F$2:$F$964,$A54)</f>
        <v>0</v>
      </c>
      <c r="AC54" s="7" t="n">
        <v>0</v>
      </c>
      <c r="AD54" s="7" t="n">
        <v>0</v>
      </c>
      <c r="AE54" s="11" t="n">
        <f aca="false">SUMIFS('Исходные данные'!$I$2:$I$964,'Исходные данные'!$D$2:$D$964,AE$1,'Исходные данные'!$F$2:$F$964,$A54)</f>
        <v>0</v>
      </c>
      <c r="AF54" s="11" t="n">
        <f aca="false">SUMIFS('Исходные данные'!$J$2:$J$964,'Исходные данные'!$D$2:$D$964,AE$1,'Исходные данные'!$F$2:$F$964,$A54)</f>
        <v>0</v>
      </c>
      <c r="AG54" s="7" t="n">
        <v>0</v>
      </c>
      <c r="AH54" s="7" t="n">
        <v>0</v>
      </c>
      <c r="AI54" s="11" t="n">
        <f aca="false">SUMIFS('Исходные данные'!$I$2:$I$964,'Исходные данные'!$D$2:$D$964,AI$1,'Исходные данные'!$F$2:$F$964,$A54)</f>
        <v>0</v>
      </c>
      <c r="AJ54" s="11" t="n">
        <f aca="false">SUMIFS('Исходные данные'!$J$2:$J$964,'Исходные данные'!$D$2:$D$964,AI$1,'Исходные данные'!$F$2:$F$964,$A54)</f>
        <v>0</v>
      </c>
      <c r="AK54" s="7" t="n">
        <v>0</v>
      </c>
      <c r="AL54" s="7" t="n">
        <v>0</v>
      </c>
      <c r="AM54" s="11" t="n">
        <f aca="false">SUMIFS('Исходные данные'!$I$2:$I$964,'Исходные данные'!$D$2:$D$964,AM$1,'Исходные данные'!$F$2:$F$964,$A54)</f>
        <v>0</v>
      </c>
      <c r="AN54" s="11" t="n">
        <f aca="false">SUMIFS('Исходные данные'!$J$2:$J$964,'Исходные данные'!$D$2:$D$964,AM$1,'Исходные данные'!$F$2:$F$964,$A54)</f>
        <v>0</v>
      </c>
      <c r="AO54" s="7" t="n">
        <v>0</v>
      </c>
      <c r="AP54" s="7" t="n">
        <v>0</v>
      </c>
      <c r="AQ54" s="11" t="n">
        <f aca="false">SUMIFS('Исходные данные'!$I$2:$I$964,'Исходные данные'!$D$2:$D$964,AQ$1,'Исходные данные'!$F$2:$F$964,$A54)</f>
        <v>0</v>
      </c>
      <c r="AR54" s="11" t="n">
        <f aca="false">SUMIFS('Исходные данные'!$J$2:$J$964,'Исходные данные'!$D$2:$D$964,AQ$1,'Исходные данные'!$F$2:$F$964,$A54)</f>
        <v>0</v>
      </c>
      <c r="AS54" s="7" t="n">
        <v>0</v>
      </c>
      <c r="AT54" s="7" t="n">
        <v>0</v>
      </c>
      <c r="AU54" s="11" t="n">
        <f aca="false">SUMIFS('Исходные данные'!$I$2:$I$964,'Исходные данные'!$D$2:$D$964,AU$1,'Исходные данные'!$F$2:$F$964,$A54)</f>
        <v>0</v>
      </c>
      <c r="AV54" s="11" t="n">
        <f aca="false">SUMIFS('Исходные данные'!$J$2:$J$964,'Исходные данные'!$D$2:$D$964,AU$1,'Исходные данные'!$F$2:$F$964,$A54)</f>
        <v>0</v>
      </c>
      <c r="AW54" s="7" t="n">
        <v>0</v>
      </c>
      <c r="AX54" s="7" t="n">
        <v>0</v>
      </c>
      <c r="AY54" s="11" t="n">
        <f aca="false">SUMIFS('Исходные данные'!$I$2:$I$964,'Исходные данные'!$D$2:$D$964,AY$1,'Исходные данные'!$F$2:$F$964,$A54)</f>
        <v>0</v>
      </c>
      <c r="AZ54" s="11" t="n">
        <f aca="false">SUMIFS('Исходные данные'!$J$2:$J$964,'Исходные данные'!$D$2:$D$964,AY$1,'Исходные данные'!$F$2:$F$964,$A54)</f>
        <v>0</v>
      </c>
      <c r="BA54" s="7" t="n">
        <v>0</v>
      </c>
      <c r="BB54" s="7" t="n">
        <v>0</v>
      </c>
      <c r="BC54" s="11" t="n">
        <f aca="false">SUMIFS('Исходные данные'!$I$2:$I$964,'Исходные данные'!$D$2:$D$964,BC$1,'Исходные данные'!$F$2:$F$964,$A54)</f>
        <v>0</v>
      </c>
      <c r="BD54" s="11" t="n">
        <f aca="false">SUMIFS('Исходные данные'!$J$2:$J$964,'Исходные данные'!$D$2:$D$964,BC$1,'Исходные данные'!$F$2:$F$964,$A54)</f>
        <v>0</v>
      </c>
      <c r="BE54" s="7" t="n">
        <v>0</v>
      </c>
      <c r="BF54" s="7" t="n">
        <v>0</v>
      </c>
      <c r="BG54" s="11" t="n">
        <f aca="false">SUMIFS('Исходные данные'!$I$2:$I$964,'Исходные данные'!$D$2:$D$964,BG$1,'Исходные данные'!$F$2:$F$964,$A54)</f>
        <v>0</v>
      </c>
      <c r="BH54" s="11" t="n">
        <f aca="false">SUMIFS('Исходные данные'!$J$2:$J$964,'Исходные данные'!$D$2:$D$964,BG$1,'Исходные данные'!$F$2:$F$964,$A54)</f>
        <v>0</v>
      </c>
      <c r="BI54" s="7" t="n">
        <v>0</v>
      </c>
      <c r="BJ54" s="7" t="n">
        <v>0</v>
      </c>
      <c r="BK54" s="11" t="n">
        <f aca="false">SUMIFS('Исходные данные'!$I$2:$I$964,'Исходные данные'!$D$2:$D$964,BK$1,'Исходные данные'!$F$2:$F$964,$A54)</f>
        <v>0</v>
      </c>
      <c r="BL54" s="11" t="n">
        <f aca="false">SUMIFS('Исходные данные'!$J$2:$J$964,'Исходные данные'!$D$2:$D$964,BK$1,'Исходные данные'!$F$2:$F$964,$A54)</f>
        <v>0</v>
      </c>
      <c r="BM54" s="7" t="n">
        <v>1</v>
      </c>
      <c r="BN54" s="7" t="n">
        <v>1</v>
      </c>
      <c r="BO54" s="11" t="n">
        <f aca="false">SUMIFS('Исходные данные'!$I$2:$I$964,'Исходные данные'!$D$2:$D$964,BO$1,'Исходные данные'!$F$2:$F$964,$A54)</f>
        <v>1</v>
      </c>
      <c r="BP54" s="11" t="n">
        <f aca="false">SUMIFS('Исходные данные'!$J$2:$J$964,'Исходные данные'!$D$2:$D$964,BO$1,'Исходные данные'!$F$2:$F$964,$A54)</f>
        <v>0</v>
      </c>
      <c r="BQ54" s="7" t="n">
        <v>0</v>
      </c>
      <c r="BR54" s="7" t="n">
        <v>0</v>
      </c>
      <c r="BS54" s="11" t="n">
        <f aca="false">SUMIFS('Исходные данные'!$I$2:$I$964,'Исходные данные'!$D$2:$D$964,BS$1,'Исходные данные'!$F$2:$F$964,$A54)</f>
        <v>0</v>
      </c>
      <c r="BT54" s="11" t="n">
        <f aca="false">SUMIFS('Исходные данные'!$J$2:$J$964,'Исходные данные'!$D$2:$D$964,BS$1,'Исходные данные'!$F$2:$F$964,$A54)</f>
        <v>0</v>
      </c>
      <c r="BU54" s="7" t="n">
        <v>0</v>
      </c>
      <c r="BV54" s="7" t="n">
        <v>0</v>
      </c>
      <c r="BW54" s="11" t="n">
        <f aca="false">SUMIFS('Исходные данные'!$I$2:$I$964,'Исходные данные'!$D$2:$D$964,BW$1,'Исходные данные'!$F$2:$F$964,$A54)</f>
        <v>0</v>
      </c>
      <c r="BX54" s="11" t="n">
        <f aca="false">SUMIFS('Исходные данные'!$J$2:$J$964,'Исходные данные'!$D$2:$D$964,BW$1,'Исходные данные'!$F$2:$F$964,$A54)</f>
        <v>0</v>
      </c>
      <c r="BY54" s="7" t="n">
        <v>0</v>
      </c>
      <c r="BZ54" s="7" t="n">
        <v>0</v>
      </c>
      <c r="CA54" s="11" t="n">
        <f aca="false">SUMIFS('Исходные данные'!$I$2:$I$964,'Исходные данные'!$D$2:$D$964,CA$1,'Исходные данные'!$F$2:$F$964,$A54)</f>
        <v>0</v>
      </c>
      <c r="CB54" s="11" t="n">
        <f aca="false">SUMIFS('Исходные данные'!$J$2:$J$964,'Исходные данные'!$D$2:$D$964,CA$1,'Исходные данные'!$F$2:$F$964,$A54)</f>
        <v>0</v>
      </c>
      <c r="CC54" s="7" t="n">
        <v>0</v>
      </c>
      <c r="CD54" s="7" t="n">
        <v>0</v>
      </c>
      <c r="CE54" s="11" t="n">
        <f aca="false">SUMIFS('Исходные данные'!$I$2:$I$964,'Исходные данные'!$D$2:$D$964,CE$1,'Исходные данные'!$F$2:$F$964,$A54)</f>
        <v>0</v>
      </c>
      <c r="CF54" s="11" t="n">
        <f aca="false">SUMIFS('Исходные данные'!$J$2:$J$964,'Исходные данные'!$D$2:$D$964,CE$1,'Исходные данные'!$F$2:$F$964,$A54)</f>
        <v>0</v>
      </c>
      <c r="CG54" s="7" t="n">
        <v>0</v>
      </c>
      <c r="CH54" s="7" t="n">
        <v>0</v>
      </c>
      <c r="CI54" s="11" t="n">
        <f aca="false">SUMIFS('Исходные данные'!$I$2:$I$964,'Исходные данные'!$D$2:$D$964,CI$1,'Исходные данные'!$F$2:$F$964,$A54)</f>
        <v>0</v>
      </c>
      <c r="CJ54" s="11" t="n">
        <f aca="false">SUMIFS('Исходные данные'!$J$2:$J$964,'Исходные данные'!$D$2:$D$964,CI$1,'Исходные данные'!$F$2:$F$964,$A54)</f>
        <v>0</v>
      </c>
      <c r="CK54" s="7" t="n">
        <v>0</v>
      </c>
      <c r="CL54" s="7" t="n">
        <v>0</v>
      </c>
      <c r="CM54" s="11" t="n">
        <f aca="false">SUMIFS('Исходные данные'!$I$2:$I$964,'Исходные данные'!$D$2:$D$964,CM$1,'Исходные данные'!$F$2:$F$964,$A54)</f>
        <v>0</v>
      </c>
      <c r="CN54" s="11" t="n">
        <f aca="false">SUMIFS('Исходные данные'!$J$2:$J$964,'Исходные данные'!$D$2:$D$964,CM$1,'Исходные данные'!$F$2:$F$964,$A54)</f>
        <v>0</v>
      </c>
      <c r="CO54" s="7" t="n">
        <v>0</v>
      </c>
      <c r="CP54" s="7" t="n">
        <v>0</v>
      </c>
      <c r="CQ54" s="11" t="n">
        <f aca="false">SUMIFS('Исходные данные'!$I$2:$I$964,'Исходные данные'!$D$2:$D$964,CQ$1,'Исходные данные'!$F$2:$F$964,$A54)</f>
        <v>0</v>
      </c>
      <c r="CR54" s="11" t="n">
        <f aca="false">SUMIFS('Исходные данные'!$J$2:$J$964,'Исходные данные'!$D$2:$D$964,CQ$1,'Исходные данные'!$F$2:$F$964,$A54)</f>
        <v>0</v>
      </c>
      <c r="CS54" s="7" t="n">
        <v>0</v>
      </c>
      <c r="CT54" s="7" t="n">
        <v>0</v>
      </c>
      <c r="CU54" s="11" t="n">
        <f aca="false">SUMIFS('Исходные данные'!$I$2:$I$964,'Исходные данные'!$D$2:$D$964,CU$1,'Исходные данные'!$F$2:$F$964,$A54)</f>
        <v>0</v>
      </c>
      <c r="CV54" s="11" t="n">
        <f aca="false">SUMIFS('Исходные данные'!$J$2:$J$964,'Исходные данные'!$D$2:$D$964,CU$1,'Исходные данные'!$F$2:$F$964,$A54)</f>
        <v>0</v>
      </c>
      <c r="CW54" s="7" t="n">
        <v>0</v>
      </c>
      <c r="CX54" s="7" t="n">
        <v>0</v>
      </c>
      <c r="CY54" s="11" t="n">
        <f aca="false">SUMIFS('Исходные данные'!$I$2:$I$964,'Исходные данные'!$D$2:$D$964,CY$1,'Исходные данные'!$F$2:$F$964,$A54)</f>
        <v>0</v>
      </c>
      <c r="CZ54" s="11" t="n">
        <f aca="false">SUMIFS('Исходные данные'!$J$2:$J$964,'Исходные данные'!$D$2:$D$964,CY$1,'Исходные данные'!$F$2:$F$964,$A54)</f>
        <v>0</v>
      </c>
      <c r="DA54" s="7" t="n">
        <v>0</v>
      </c>
      <c r="DB54" s="7" t="n">
        <v>0</v>
      </c>
      <c r="DC54" s="11" t="n">
        <f aca="false">SUMIFS('Исходные данные'!$I$2:$I$964,'Исходные данные'!$D$2:$D$964,DC$1,'Исходные данные'!$F$2:$F$964,$A54)</f>
        <v>0</v>
      </c>
      <c r="DD54" s="11" t="n">
        <f aca="false">SUMIFS('Исходные данные'!$J$2:$J$964,'Исходные данные'!$D$2:$D$964,DC$1,'Исходные данные'!$F$2:$F$964,$A54)</f>
        <v>0</v>
      </c>
      <c r="DE54" s="7" t="n">
        <v>0</v>
      </c>
      <c r="DF54" s="7" t="n">
        <v>0</v>
      </c>
      <c r="DG54" s="11" t="n">
        <f aca="false">SUMIFS('Исходные данные'!$I$2:$I$964,'Исходные данные'!$D$2:$D$964,DG$1,'Исходные данные'!$F$2:$F$964,$A54)</f>
        <v>0</v>
      </c>
      <c r="DH54" s="11" t="n">
        <f aca="false">SUMIFS('Исходные данные'!$J$2:$J$964,'Исходные данные'!$D$2:$D$964,DG$1,'Исходные данные'!$F$2:$F$964,$A54)</f>
        <v>0</v>
      </c>
      <c r="DI54" s="7" t="n">
        <v>0</v>
      </c>
      <c r="DJ54" s="7" t="n">
        <v>0</v>
      </c>
      <c r="DK54" s="11" t="n">
        <f aca="false">SUMIFS('Исходные данные'!$I$2:$I$964,'Исходные данные'!$D$2:$D$964,DK$1,'Исходные данные'!$F$2:$F$964,$A54)</f>
        <v>0</v>
      </c>
      <c r="DL54" s="11" t="n">
        <f aca="false">SUMIFS('Исходные данные'!$J$2:$J$964,'Исходные данные'!$D$2:$D$964,DK$1,'Исходные данные'!$F$2:$F$964,$A54)</f>
        <v>0</v>
      </c>
      <c r="DM54" s="7" t="n">
        <v>0</v>
      </c>
      <c r="DN54" s="7" t="n">
        <v>0</v>
      </c>
      <c r="DO54" s="11" t="n">
        <f aca="false">SUMIFS('Исходные данные'!$I$2:$I$964,'Исходные данные'!$D$2:$D$964,DO$1,'Исходные данные'!$F$2:$F$964,$A54)</f>
        <v>0</v>
      </c>
      <c r="DP54" s="11" t="n">
        <f aca="false">SUMIFS('Исходные данные'!$J$2:$J$964,'Исходные данные'!$D$2:$D$964,DO$1,'Исходные данные'!$F$2:$F$964,$A54)</f>
        <v>0</v>
      </c>
      <c r="DQ54" s="7" t="n">
        <v>0</v>
      </c>
      <c r="DR54" s="7" t="n">
        <v>0</v>
      </c>
      <c r="DS54" s="11" t="n">
        <f aca="false">SUMIFS('Исходные данные'!$I$2:$I$964,'Исходные данные'!$D$2:$D$964,DS$1,'Исходные данные'!$F$2:$F$964,$A54)</f>
        <v>0</v>
      </c>
      <c r="DT54" s="11" t="n">
        <f aca="false">SUMIFS('Исходные данные'!$J$2:$J$964,'Исходные данные'!$D$2:$D$964,DS$1,'Исходные данные'!$F$2:$F$964,$A54)</f>
        <v>0</v>
      </c>
      <c r="DU54" s="7" t="n">
        <v>0</v>
      </c>
      <c r="DV54" s="7" t="n">
        <v>0</v>
      </c>
      <c r="DW54" s="11" t="n">
        <f aca="false">SUMIFS('Исходные данные'!$I$2:$I$964,'Исходные данные'!$D$2:$D$964,DW$1,'Исходные данные'!$F$2:$F$964,$A54)</f>
        <v>0</v>
      </c>
      <c r="DX54" s="11" t="n">
        <f aca="false">SUMIFS('Исходные данные'!$J$2:$J$964,'Исходные данные'!$D$2:$D$964,DW$1,'Исходные данные'!$F$2:$F$964,$A54)</f>
        <v>0</v>
      </c>
      <c r="DY54" s="7" t="n">
        <v>0</v>
      </c>
      <c r="DZ54" s="7" t="n">
        <v>0</v>
      </c>
      <c r="EA54" s="11" t="n">
        <f aca="false">SUMIFS('Исходные данные'!$I$2:$I$964,'Исходные данные'!$D$2:$D$964,EA$1,'Исходные данные'!$F$2:$F$964,$A54)</f>
        <v>0</v>
      </c>
      <c r="EB54" s="11" t="n">
        <f aca="false">SUMIFS('Исходные данные'!$J$2:$J$964,'Исходные данные'!$D$2:$D$964,EA$1,'Исходные данные'!$F$2:$F$964,$A54)</f>
        <v>0</v>
      </c>
      <c r="EC54" s="7" t="n">
        <v>0</v>
      </c>
      <c r="ED54" s="7" t="n">
        <v>0</v>
      </c>
      <c r="EE54" s="11" t="n">
        <f aca="false">SUMIFS('Исходные данные'!$I$2:$I$964,'Исходные данные'!$D$2:$D$964,EE$1,'Исходные данные'!$F$2:$F$964,$A54)</f>
        <v>0</v>
      </c>
      <c r="EF54" s="11" t="n">
        <f aca="false">SUMIFS('Исходные данные'!$J$2:$J$964,'Исходные данные'!$D$2:$D$964,EE$1,'Исходные данные'!$F$2:$F$964,$A54)</f>
        <v>0</v>
      </c>
      <c r="EG54" s="7" t="n">
        <v>0</v>
      </c>
      <c r="EH54" s="7" t="n">
        <v>0</v>
      </c>
      <c r="EI54" s="11" t="n">
        <f aca="false">SUMIFS('Исходные данные'!$I$2:$I$964,'Исходные данные'!$D$2:$D$964,EI$1,'Исходные данные'!$F$2:$F$964,$A54)</f>
        <v>0</v>
      </c>
      <c r="EJ54" s="11" t="n">
        <f aca="false">SUMIFS('Исходные данные'!$J$2:$J$964,'Исходные данные'!$D$2:$D$964,EI$1,'Исходные данные'!$F$2:$F$964,$A54)</f>
        <v>0</v>
      </c>
      <c r="EK54" s="7" t="n">
        <v>0</v>
      </c>
      <c r="EL54" s="7" t="n">
        <v>0</v>
      </c>
      <c r="EM54" s="11" t="n">
        <f aca="false">SUMIFS('Исходные данные'!$I$2:$I$964,'Исходные данные'!$D$2:$D$964,EM$1,'Исходные данные'!$F$2:$F$964,$A54)</f>
        <v>0</v>
      </c>
      <c r="EN54" s="11" t="n">
        <f aca="false">SUMIFS('Исходные данные'!$J$2:$J$964,'Исходные данные'!$D$2:$D$964,EM$1,'Исходные данные'!$F$2:$F$964,$A54)</f>
        <v>0</v>
      </c>
      <c r="EO54" s="7" t="n">
        <v>0</v>
      </c>
      <c r="EP54" s="7" t="n">
        <v>0</v>
      </c>
      <c r="EQ54" s="11" t="n">
        <f aca="false">SUMIFS('Исходные данные'!$I$2:$I$964,'Исходные данные'!$D$2:$D$964,EQ$1,'Исходные данные'!$F$2:$F$964,$A54)</f>
        <v>0</v>
      </c>
      <c r="ER54" s="11" t="n">
        <f aca="false">SUMIFS('Исходные данные'!$J$2:$J$964,'Исходные данные'!$D$2:$D$964,EQ$1,'Исходные данные'!$F$2:$F$964,$A54)</f>
        <v>0</v>
      </c>
      <c r="ES54" s="7" t="n">
        <v>0</v>
      </c>
      <c r="ET54" s="7" t="n">
        <v>0</v>
      </c>
      <c r="EU54" s="11" t="n">
        <f aca="false">SUMIFS('Исходные данные'!$I$2:$I$964,'Исходные данные'!$D$2:$D$964,EU$1,'Исходные данные'!$F$2:$F$964,$A54)</f>
        <v>0</v>
      </c>
      <c r="EV54" s="11" t="n">
        <f aca="false">SUMIFS('Исходные данные'!$J$2:$J$964,'Исходные данные'!$D$2:$D$964,EU$1,'Исходные данные'!$F$2:$F$964,$A54)</f>
        <v>0</v>
      </c>
      <c r="EW54" s="7" t="n">
        <v>0</v>
      </c>
      <c r="EX54" s="7" t="n">
        <v>0</v>
      </c>
      <c r="EY54" s="11" t="n">
        <f aca="false">SUMIFS('Исходные данные'!$I$2:$I$964,'Исходные данные'!$D$2:$D$964,EY$1,'Исходные данные'!$F$2:$F$964,$A54)</f>
        <v>0</v>
      </c>
      <c r="EZ54" s="11" t="n">
        <f aca="false">SUMIFS('Исходные данные'!$J$2:$J$964,'Исходные данные'!$D$2:$D$964,EY$1,'Исходные данные'!$F$2:$F$964,$A54)</f>
        <v>0</v>
      </c>
      <c r="FA54" s="7" t="n">
        <v>0</v>
      </c>
      <c r="FB54" s="7" t="n">
        <v>0</v>
      </c>
      <c r="FC54" s="11" t="n">
        <f aca="false">SUMIFS('Исходные данные'!$I$2:$I$964,'Исходные данные'!$D$2:$D$964,FC$1,'Исходные данные'!$F$2:$F$964,$A54)</f>
        <v>0</v>
      </c>
      <c r="FD54" s="11" t="n">
        <f aca="false">SUMIFS('Исходные данные'!$J$2:$J$964,'Исходные данные'!$D$2:$D$964,FC$1,'Исходные данные'!$F$2:$F$964,$A54)</f>
        <v>0</v>
      </c>
      <c r="FE54" s="7" t="n">
        <v>0</v>
      </c>
      <c r="FF54" s="7" t="n">
        <v>0</v>
      </c>
      <c r="FG54" s="11" t="n">
        <f aca="false">SUMIFS('Исходные данные'!$I$2:$I$964,'Исходные данные'!$D$2:$D$964,FG$1,'Исходные данные'!$F$2:$F$964,$A54)</f>
        <v>0</v>
      </c>
      <c r="FH54" s="11" t="n">
        <f aca="false">SUMIFS('Исходные данные'!$J$2:$J$964,'Исходные данные'!$D$2:$D$964,FG$1,'Исходные данные'!$F$2:$F$964,$A54)</f>
        <v>0</v>
      </c>
    </row>
    <row r="55" customFormat="false" ht="15" hidden="false" customHeight="false" outlineLevel="0" collapsed="false">
      <c r="A55" s="10" t="s">
        <v>153</v>
      </c>
      <c r="B55" s="11" t="s">
        <v>154</v>
      </c>
      <c r="C55" s="6" t="n">
        <v>1</v>
      </c>
      <c r="D55" s="6" t="n">
        <f aca="false">I55+J55+M55+N55+Q55+R55+U55+V55+Y55+Z55+AC55+AD55+AG55+AH55+AK55+AL55+AO55+AP55+AS55+AT55+AW55+AX55+BA55+BB55+BE55+BF55+BI55+BJ55+BM55+BN55+BQ55+BR55+BU55+BV55+BY55+BZ55+CC55+CD55+CG55+CH55+CK55+CL55+CO55+CP55+CS55+CT55+CW55+CX55+DA55+DB55+DE55+DF55+DI55+DJ55+DM55+DN55+DQ55+DR55+DU55+DV55+DY55+DZ55+EC55+ED55+EG55+EH55+EK55+EL55+EO55+EP55+ES55+ET55+EW55+EX55+FA55+FB55+FE55+FF55</f>
        <v>1</v>
      </c>
      <c r="E55" s="6" t="n">
        <f aca="false">G55+H55</f>
        <v>0</v>
      </c>
      <c r="F55" s="6" t="n">
        <f aca="false">E55-C55</f>
        <v>-1</v>
      </c>
      <c r="G55" s="6" t="n">
        <f aca="false">K55+O55+S55+W55+AA55+AE55+AI55+AM55+AQ55+AU55+AY55+BC55+BG55+BK55+BO55+BS55+BW55+CA55+CE55+CI55+CM55+CQ55+CU55+CY55+DC55+DG55+DK55+DO55+DS55+DW55+EA55+EE55+EI55+EM55+EQ55+EU55+EY55+FC55+FG55</f>
        <v>0</v>
      </c>
      <c r="H55" s="6" t="n">
        <f aca="false">L55+P55+T55+X55+AB55+AF55+AJ55+AN55+AR55+AV55+AZ55+BD55+BH55+BL55+BP55+BT55+BX55+CB55+CF55+CJ55+CN55+CR55+CV55+CZ55+DD55+DH55+DL55+DP55+DT55+DX55+EB55+EF55+EJ55+EN55+ER55+EV55+EZ55+FD55+FH55</f>
        <v>0</v>
      </c>
      <c r="I55" s="7" t="n">
        <v>0</v>
      </c>
      <c r="J55" s="7" t="n">
        <v>0</v>
      </c>
      <c r="K55" s="11" t="n">
        <f aca="false">SUMIFS('Исходные данные'!$I$2:$I$964,'Исходные данные'!$D$2:$D$964,K$1,'Исходные данные'!$F$2:$F$964,$A55)</f>
        <v>0</v>
      </c>
      <c r="L55" s="11" t="n">
        <f aca="false">SUMIFS('Исходные данные'!$J$2:$J$964,'Исходные данные'!$D$2:$D$964,K$1,'Исходные данные'!$F$2:$F$964,$A55)</f>
        <v>0</v>
      </c>
      <c r="M55" s="7" t="n">
        <v>0</v>
      </c>
      <c r="N55" s="7" t="n">
        <v>0</v>
      </c>
      <c r="O55" s="11" t="n">
        <f aca="false">SUMIFS('Исходные данные'!$I$2:$I$964,'Исходные данные'!$D$2:$D$964,O$1,'Исходные данные'!$F$2:$F$964,$A55)</f>
        <v>0</v>
      </c>
      <c r="P55" s="11" t="n">
        <f aca="false">SUMIFS('Исходные данные'!$J$2:$J$964,'Исходные данные'!$D$2:$D$964,O$1,'Исходные данные'!$F$2:$F$964,$A55)</f>
        <v>0</v>
      </c>
      <c r="Q55" s="7" t="n">
        <v>0</v>
      </c>
      <c r="R55" s="7" t="n">
        <v>0</v>
      </c>
      <c r="S55" s="11" t="n">
        <f aca="false">SUMIFS('Исходные данные'!$I$2:$I$964,'Исходные данные'!$D$2:$D$964,S$1,'Исходные данные'!$F$2:$F$964,$A55)</f>
        <v>0</v>
      </c>
      <c r="T55" s="11" t="n">
        <f aca="false">SUMIFS('Исходные данные'!$J$2:$J$964,'Исходные данные'!$D$2:$D$964,S$1,'Исходные данные'!$F$2:$F$964,$A55)</f>
        <v>0</v>
      </c>
      <c r="U55" s="7" t="n">
        <v>0</v>
      </c>
      <c r="V55" s="7" t="n">
        <v>0</v>
      </c>
      <c r="W55" s="11" t="n">
        <f aca="false">SUMIFS('Исходные данные'!$I$2:$I$964,'Исходные данные'!$D$2:$D$964,W$1,'Исходные данные'!$F$2:$F$964,$A55)</f>
        <v>0</v>
      </c>
      <c r="X55" s="11" t="n">
        <f aca="false">SUMIFS('Исходные данные'!$J$2:$J$964,'Исходные данные'!$D$2:$D$964,W$1,'Исходные данные'!$F$2:$F$964,$A55)</f>
        <v>0</v>
      </c>
      <c r="Y55" s="7" t="n">
        <v>0</v>
      </c>
      <c r="Z55" s="7" t="n">
        <v>0</v>
      </c>
      <c r="AA55" s="11" t="n">
        <f aca="false">SUMIFS('Исходные данные'!$I$2:$I$964,'Исходные данные'!$D$2:$D$964,AA$1,'Исходные данные'!$F$2:$F$964,$A55)</f>
        <v>0</v>
      </c>
      <c r="AB55" s="11" t="n">
        <f aca="false">SUMIFS('Исходные данные'!$J$2:$J$964,'Исходные данные'!$D$2:$D$964,AA$1,'Исходные данные'!$F$2:$F$964,$A55)</f>
        <v>0</v>
      </c>
      <c r="AC55" s="7" t="n">
        <v>0</v>
      </c>
      <c r="AD55" s="7" t="n">
        <v>0</v>
      </c>
      <c r="AE55" s="11" t="n">
        <f aca="false">SUMIFS('Исходные данные'!$I$2:$I$964,'Исходные данные'!$D$2:$D$964,AE$1,'Исходные данные'!$F$2:$F$964,$A55)</f>
        <v>0</v>
      </c>
      <c r="AF55" s="11" t="n">
        <f aca="false">SUMIFS('Исходные данные'!$J$2:$J$964,'Исходные данные'!$D$2:$D$964,AE$1,'Исходные данные'!$F$2:$F$964,$A55)</f>
        <v>0</v>
      </c>
      <c r="AG55" s="7" t="n">
        <v>0</v>
      </c>
      <c r="AH55" s="7" t="n">
        <v>0</v>
      </c>
      <c r="AI55" s="11" t="n">
        <f aca="false">SUMIFS('Исходные данные'!$I$2:$I$964,'Исходные данные'!$D$2:$D$964,AI$1,'Исходные данные'!$F$2:$F$964,$A55)</f>
        <v>0</v>
      </c>
      <c r="AJ55" s="11" t="n">
        <f aca="false">SUMIFS('Исходные данные'!$J$2:$J$964,'Исходные данные'!$D$2:$D$964,AI$1,'Исходные данные'!$F$2:$F$964,$A55)</f>
        <v>0</v>
      </c>
      <c r="AK55" s="7" t="n">
        <v>0</v>
      </c>
      <c r="AL55" s="7" t="n">
        <v>0</v>
      </c>
      <c r="AM55" s="11" t="n">
        <f aca="false">SUMIFS('Исходные данные'!$I$2:$I$964,'Исходные данные'!$D$2:$D$964,AM$1,'Исходные данные'!$F$2:$F$964,$A55)</f>
        <v>0</v>
      </c>
      <c r="AN55" s="11" t="n">
        <f aca="false">SUMIFS('Исходные данные'!$J$2:$J$964,'Исходные данные'!$D$2:$D$964,AM$1,'Исходные данные'!$F$2:$F$964,$A55)</f>
        <v>0</v>
      </c>
      <c r="AO55" s="7" t="n">
        <v>1</v>
      </c>
      <c r="AP55" s="7" t="n">
        <v>0</v>
      </c>
      <c r="AQ55" s="11" t="n">
        <f aca="false">SUMIFS('Исходные данные'!$I$2:$I$964,'Исходные данные'!$D$2:$D$964,AQ$1,'Исходные данные'!$F$2:$F$964,$A55)</f>
        <v>0</v>
      </c>
      <c r="AR55" s="11" t="n">
        <f aca="false">SUMIFS('Исходные данные'!$J$2:$J$964,'Исходные данные'!$D$2:$D$964,AQ$1,'Исходные данные'!$F$2:$F$964,$A55)</f>
        <v>0</v>
      </c>
      <c r="AS55" s="7" t="n">
        <v>0</v>
      </c>
      <c r="AT55" s="7" t="n">
        <v>0</v>
      </c>
      <c r="AU55" s="11" t="n">
        <f aca="false">SUMIFS('Исходные данные'!$I$2:$I$964,'Исходные данные'!$D$2:$D$964,AU$1,'Исходные данные'!$F$2:$F$964,$A55)</f>
        <v>0</v>
      </c>
      <c r="AV55" s="11" t="n">
        <f aca="false">SUMIFS('Исходные данные'!$J$2:$J$964,'Исходные данные'!$D$2:$D$964,AU$1,'Исходные данные'!$F$2:$F$964,$A55)</f>
        <v>0</v>
      </c>
      <c r="AW55" s="7" t="n">
        <v>0</v>
      </c>
      <c r="AX55" s="7" t="n">
        <v>0</v>
      </c>
      <c r="AY55" s="11" t="n">
        <f aca="false">SUMIFS('Исходные данные'!$I$2:$I$964,'Исходные данные'!$D$2:$D$964,AY$1,'Исходные данные'!$F$2:$F$964,$A55)</f>
        <v>0</v>
      </c>
      <c r="AZ55" s="11" t="n">
        <f aca="false">SUMIFS('Исходные данные'!$J$2:$J$964,'Исходные данные'!$D$2:$D$964,AY$1,'Исходные данные'!$F$2:$F$964,$A55)</f>
        <v>0</v>
      </c>
      <c r="BA55" s="7" t="n">
        <v>0</v>
      </c>
      <c r="BB55" s="7" t="n">
        <v>0</v>
      </c>
      <c r="BC55" s="11" t="n">
        <f aca="false">SUMIFS('Исходные данные'!$I$2:$I$964,'Исходные данные'!$D$2:$D$964,BC$1,'Исходные данные'!$F$2:$F$964,$A55)</f>
        <v>0</v>
      </c>
      <c r="BD55" s="11" t="n">
        <f aca="false">SUMIFS('Исходные данные'!$J$2:$J$964,'Исходные данные'!$D$2:$D$964,BC$1,'Исходные данные'!$F$2:$F$964,$A55)</f>
        <v>0</v>
      </c>
      <c r="BE55" s="7" t="n">
        <v>0</v>
      </c>
      <c r="BF55" s="7" t="n">
        <v>0</v>
      </c>
      <c r="BG55" s="11" t="n">
        <f aca="false">SUMIFS('Исходные данные'!$I$2:$I$964,'Исходные данные'!$D$2:$D$964,BG$1,'Исходные данные'!$F$2:$F$964,$A55)</f>
        <v>0</v>
      </c>
      <c r="BH55" s="11" t="n">
        <f aca="false">SUMIFS('Исходные данные'!$J$2:$J$964,'Исходные данные'!$D$2:$D$964,BG$1,'Исходные данные'!$F$2:$F$964,$A55)</f>
        <v>0</v>
      </c>
      <c r="BI55" s="7" t="n">
        <v>0</v>
      </c>
      <c r="BJ55" s="7" t="n">
        <v>0</v>
      </c>
      <c r="BK55" s="11" t="n">
        <f aca="false">SUMIFS('Исходные данные'!$I$2:$I$964,'Исходные данные'!$D$2:$D$964,BK$1,'Исходные данные'!$F$2:$F$964,$A55)</f>
        <v>0</v>
      </c>
      <c r="BL55" s="11" t="n">
        <f aca="false">SUMIFS('Исходные данные'!$J$2:$J$964,'Исходные данные'!$D$2:$D$964,BK$1,'Исходные данные'!$F$2:$F$964,$A55)</f>
        <v>0</v>
      </c>
      <c r="BM55" s="7" t="n">
        <v>0</v>
      </c>
      <c r="BN55" s="7" t="n">
        <v>0</v>
      </c>
      <c r="BO55" s="11" t="n">
        <f aca="false">SUMIFS('Исходные данные'!$I$2:$I$964,'Исходные данные'!$D$2:$D$964,BO$1,'Исходные данные'!$F$2:$F$964,$A55)</f>
        <v>0</v>
      </c>
      <c r="BP55" s="11" t="n">
        <f aca="false">SUMIFS('Исходные данные'!$J$2:$J$964,'Исходные данные'!$D$2:$D$964,BO$1,'Исходные данные'!$F$2:$F$964,$A55)</f>
        <v>0</v>
      </c>
      <c r="BQ55" s="7" t="n">
        <v>0</v>
      </c>
      <c r="BR55" s="7" t="n">
        <v>0</v>
      </c>
      <c r="BS55" s="11" t="n">
        <f aca="false">SUMIFS('Исходные данные'!$I$2:$I$964,'Исходные данные'!$D$2:$D$964,BS$1,'Исходные данные'!$F$2:$F$964,$A55)</f>
        <v>0</v>
      </c>
      <c r="BT55" s="11" t="n">
        <f aca="false">SUMIFS('Исходные данные'!$J$2:$J$964,'Исходные данные'!$D$2:$D$964,BS$1,'Исходные данные'!$F$2:$F$964,$A55)</f>
        <v>0</v>
      </c>
      <c r="BU55" s="7" t="n">
        <v>0</v>
      </c>
      <c r="BV55" s="7" t="n">
        <v>0</v>
      </c>
      <c r="BW55" s="11" t="n">
        <f aca="false">SUMIFS('Исходные данные'!$I$2:$I$964,'Исходные данные'!$D$2:$D$964,BW$1,'Исходные данные'!$F$2:$F$964,$A55)</f>
        <v>0</v>
      </c>
      <c r="BX55" s="11" t="n">
        <f aca="false">SUMIFS('Исходные данные'!$J$2:$J$964,'Исходные данные'!$D$2:$D$964,BW$1,'Исходные данные'!$F$2:$F$964,$A55)</f>
        <v>0</v>
      </c>
      <c r="BY55" s="7" t="n">
        <v>0</v>
      </c>
      <c r="BZ55" s="7" t="n">
        <v>0</v>
      </c>
      <c r="CA55" s="11" t="n">
        <f aca="false">SUMIFS('Исходные данные'!$I$2:$I$964,'Исходные данные'!$D$2:$D$964,CA$1,'Исходные данные'!$F$2:$F$964,$A55)</f>
        <v>0</v>
      </c>
      <c r="CB55" s="11" t="n">
        <f aca="false">SUMIFS('Исходные данные'!$J$2:$J$964,'Исходные данные'!$D$2:$D$964,CA$1,'Исходные данные'!$F$2:$F$964,$A55)</f>
        <v>0</v>
      </c>
      <c r="CC55" s="7" t="n">
        <v>0</v>
      </c>
      <c r="CD55" s="7" t="n">
        <v>0</v>
      </c>
      <c r="CE55" s="11" t="n">
        <f aca="false">SUMIFS('Исходные данные'!$I$2:$I$964,'Исходные данные'!$D$2:$D$964,CE$1,'Исходные данные'!$F$2:$F$964,$A55)</f>
        <v>0</v>
      </c>
      <c r="CF55" s="11" t="n">
        <f aca="false">SUMIFS('Исходные данные'!$J$2:$J$964,'Исходные данные'!$D$2:$D$964,CE$1,'Исходные данные'!$F$2:$F$964,$A55)</f>
        <v>0</v>
      </c>
      <c r="CG55" s="7" t="n">
        <v>0</v>
      </c>
      <c r="CH55" s="7" t="n">
        <v>0</v>
      </c>
      <c r="CI55" s="11" t="n">
        <f aca="false">SUMIFS('Исходные данные'!$I$2:$I$964,'Исходные данные'!$D$2:$D$964,CI$1,'Исходные данные'!$F$2:$F$964,$A55)</f>
        <v>0</v>
      </c>
      <c r="CJ55" s="11" t="n">
        <f aca="false">SUMIFS('Исходные данные'!$J$2:$J$964,'Исходные данные'!$D$2:$D$964,CI$1,'Исходные данные'!$F$2:$F$964,$A55)</f>
        <v>0</v>
      </c>
      <c r="CK55" s="7" t="n">
        <v>0</v>
      </c>
      <c r="CL55" s="7" t="n">
        <v>0</v>
      </c>
      <c r="CM55" s="11" t="n">
        <f aca="false">SUMIFS('Исходные данные'!$I$2:$I$964,'Исходные данные'!$D$2:$D$964,CM$1,'Исходные данные'!$F$2:$F$964,$A55)</f>
        <v>0</v>
      </c>
      <c r="CN55" s="11" t="n">
        <f aca="false">SUMIFS('Исходные данные'!$J$2:$J$964,'Исходные данные'!$D$2:$D$964,CM$1,'Исходные данные'!$F$2:$F$964,$A55)</f>
        <v>0</v>
      </c>
      <c r="CO55" s="7" t="n">
        <v>0</v>
      </c>
      <c r="CP55" s="7" t="n">
        <v>0</v>
      </c>
      <c r="CQ55" s="11" t="n">
        <f aca="false">SUMIFS('Исходные данные'!$I$2:$I$964,'Исходные данные'!$D$2:$D$964,CQ$1,'Исходные данные'!$F$2:$F$964,$A55)</f>
        <v>0</v>
      </c>
      <c r="CR55" s="11" t="n">
        <f aca="false">SUMIFS('Исходные данные'!$J$2:$J$964,'Исходные данные'!$D$2:$D$964,CQ$1,'Исходные данные'!$F$2:$F$964,$A55)</f>
        <v>0</v>
      </c>
      <c r="CS55" s="7" t="n">
        <v>0</v>
      </c>
      <c r="CT55" s="7" t="n">
        <v>0</v>
      </c>
      <c r="CU55" s="11" t="n">
        <f aca="false">SUMIFS('Исходные данные'!$I$2:$I$964,'Исходные данные'!$D$2:$D$964,CU$1,'Исходные данные'!$F$2:$F$964,$A55)</f>
        <v>0</v>
      </c>
      <c r="CV55" s="11" t="n">
        <f aca="false">SUMIFS('Исходные данные'!$J$2:$J$964,'Исходные данные'!$D$2:$D$964,CU$1,'Исходные данные'!$F$2:$F$964,$A55)</f>
        <v>0</v>
      </c>
      <c r="CW55" s="7" t="n">
        <v>0</v>
      </c>
      <c r="CX55" s="7" t="n">
        <v>0</v>
      </c>
      <c r="CY55" s="11" t="n">
        <f aca="false">SUMIFS('Исходные данные'!$I$2:$I$964,'Исходные данные'!$D$2:$D$964,CY$1,'Исходные данные'!$F$2:$F$964,$A55)</f>
        <v>0</v>
      </c>
      <c r="CZ55" s="11" t="n">
        <f aca="false">SUMIFS('Исходные данные'!$J$2:$J$964,'Исходные данные'!$D$2:$D$964,CY$1,'Исходные данные'!$F$2:$F$964,$A55)</f>
        <v>0</v>
      </c>
      <c r="DA55" s="7" t="n">
        <v>0</v>
      </c>
      <c r="DB55" s="7" t="n">
        <v>0</v>
      </c>
      <c r="DC55" s="11" t="n">
        <f aca="false">SUMIFS('Исходные данные'!$I$2:$I$964,'Исходные данные'!$D$2:$D$964,DC$1,'Исходные данные'!$F$2:$F$964,$A55)</f>
        <v>0</v>
      </c>
      <c r="DD55" s="11" t="n">
        <f aca="false">SUMIFS('Исходные данные'!$J$2:$J$964,'Исходные данные'!$D$2:$D$964,DC$1,'Исходные данные'!$F$2:$F$964,$A55)</f>
        <v>0</v>
      </c>
      <c r="DE55" s="7" t="n">
        <v>0</v>
      </c>
      <c r="DF55" s="7" t="n">
        <v>0</v>
      </c>
      <c r="DG55" s="11" t="n">
        <f aca="false">SUMIFS('Исходные данные'!$I$2:$I$964,'Исходные данные'!$D$2:$D$964,DG$1,'Исходные данные'!$F$2:$F$964,$A55)</f>
        <v>0</v>
      </c>
      <c r="DH55" s="11" t="n">
        <f aca="false">SUMIFS('Исходные данные'!$J$2:$J$964,'Исходные данные'!$D$2:$D$964,DG$1,'Исходные данные'!$F$2:$F$964,$A55)</f>
        <v>0</v>
      </c>
      <c r="DI55" s="7" t="n">
        <v>0</v>
      </c>
      <c r="DJ55" s="7" t="n">
        <v>0</v>
      </c>
      <c r="DK55" s="11" t="n">
        <f aca="false">SUMIFS('Исходные данные'!$I$2:$I$964,'Исходные данные'!$D$2:$D$964,DK$1,'Исходные данные'!$F$2:$F$964,$A55)</f>
        <v>0</v>
      </c>
      <c r="DL55" s="11" t="n">
        <f aca="false">SUMIFS('Исходные данные'!$J$2:$J$964,'Исходные данные'!$D$2:$D$964,DK$1,'Исходные данные'!$F$2:$F$964,$A55)</f>
        <v>0</v>
      </c>
      <c r="DM55" s="7" t="n">
        <v>0</v>
      </c>
      <c r="DN55" s="7" t="n">
        <v>0</v>
      </c>
      <c r="DO55" s="11" t="n">
        <f aca="false">SUMIFS('Исходные данные'!$I$2:$I$964,'Исходные данные'!$D$2:$D$964,DO$1,'Исходные данные'!$F$2:$F$964,$A55)</f>
        <v>0</v>
      </c>
      <c r="DP55" s="11" t="n">
        <f aca="false">SUMIFS('Исходные данные'!$J$2:$J$964,'Исходные данные'!$D$2:$D$964,DO$1,'Исходные данные'!$F$2:$F$964,$A55)</f>
        <v>0</v>
      </c>
      <c r="DQ55" s="7" t="n">
        <v>0</v>
      </c>
      <c r="DR55" s="7" t="n">
        <v>0</v>
      </c>
      <c r="DS55" s="11" t="n">
        <f aca="false">SUMIFS('Исходные данные'!$I$2:$I$964,'Исходные данные'!$D$2:$D$964,DS$1,'Исходные данные'!$F$2:$F$964,$A55)</f>
        <v>0</v>
      </c>
      <c r="DT55" s="11" t="n">
        <f aca="false">SUMIFS('Исходные данные'!$J$2:$J$964,'Исходные данные'!$D$2:$D$964,DS$1,'Исходные данные'!$F$2:$F$964,$A55)</f>
        <v>0</v>
      </c>
      <c r="DU55" s="7" t="n">
        <v>0</v>
      </c>
      <c r="DV55" s="7" t="n">
        <v>0</v>
      </c>
      <c r="DW55" s="11" t="n">
        <f aca="false">SUMIFS('Исходные данные'!$I$2:$I$964,'Исходные данные'!$D$2:$D$964,DW$1,'Исходные данные'!$F$2:$F$964,$A55)</f>
        <v>0</v>
      </c>
      <c r="DX55" s="11" t="n">
        <f aca="false">SUMIFS('Исходные данные'!$J$2:$J$964,'Исходные данные'!$D$2:$D$964,DW$1,'Исходные данные'!$F$2:$F$964,$A55)</f>
        <v>0</v>
      </c>
      <c r="DY55" s="7" t="n">
        <v>0</v>
      </c>
      <c r="DZ55" s="7" t="n">
        <v>0</v>
      </c>
      <c r="EA55" s="11" t="n">
        <f aca="false">SUMIFS('Исходные данные'!$I$2:$I$964,'Исходные данные'!$D$2:$D$964,EA$1,'Исходные данные'!$F$2:$F$964,$A55)</f>
        <v>0</v>
      </c>
      <c r="EB55" s="11" t="n">
        <f aca="false">SUMIFS('Исходные данные'!$J$2:$J$964,'Исходные данные'!$D$2:$D$964,EA$1,'Исходные данные'!$F$2:$F$964,$A55)</f>
        <v>0</v>
      </c>
      <c r="EC55" s="7" t="n">
        <v>0</v>
      </c>
      <c r="ED55" s="7" t="n">
        <v>0</v>
      </c>
      <c r="EE55" s="11" t="n">
        <f aca="false">SUMIFS('Исходные данные'!$I$2:$I$964,'Исходные данные'!$D$2:$D$964,EE$1,'Исходные данные'!$F$2:$F$964,$A55)</f>
        <v>0</v>
      </c>
      <c r="EF55" s="11" t="n">
        <f aca="false">SUMIFS('Исходные данные'!$J$2:$J$964,'Исходные данные'!$D$2:$D$964,EE$1,'Исходные данные'!$F$2:$F$964,$A55)</f>
        <v>0</v>
      </c>
      <c r="EG55" s="7" t="n">
        <v>0</v>
      </c>
      <c r="EH55" s="7" t="n">
        <v>0</v>
      </c>
      <c r="EI55" s="11" t="n">
        <f aca="false">SUMIFS('Исходные данные'!$I$2:$I$964,'Исходные данные'!$D$2:$D$964,EI$1,'Исходные данные'!$F$2:$F$964,$A55)</f>
        <v>0</v>
      </c>
      <c r="EJ55" s="11" t="n">
        <f aca="false">SUMIFS('Исходные данные'!$J$2:$J$964,'Исходные данные'!$D$2:$D$964,EI$1,'Исходные данные'!$F$2:$F$964,$A55)</f>
        <v>0</v>
      </c>
      <c r="EK55" s="7" t="n">
        <v>0</v>
      </c>
      <c r="EL55" s="7" t="n">
        <v>0</v>
      </c>
      <c r="EM55" s="11" t="n">
        <f aca="false">SUMIFS('Исходные данные'!$I$2:$I$964,'Исходные данные'!$D$2:$D$964,EM$1,'Исходные данные'!$F$2:$F$964,$A55)</f>
        <v>0</v>
      </c>
      <c r="EN55" s="11" t="n">
        <f aca="false">SUMIFS('Исходные данные'!$J$2:$J$964,'Исходные данные'!$D$2:$D$964,EM$1,'Исходные данные'!$F$2:$F$964,$A55)</f>
        <v>0</v>
      </c>
      <c r="EO55" s="7" t="n">
        <v>0</v>
      </c>
      <c r="EP55" s="7" t="n">
        <v>0</v>
      </c>
      <c r="EQ55" s="11" t="n">
        <f aca="false">SUMIFS('Исходные данные'!$I$2:$I$964,'Исходные данные'!$D$2:$D$964,EQ$1,'Исходные данные'!$F$2:$F$964,$A55)</f>
        <v>0</v>
      </c>
      <c r="ER55" s="11" t="n">
        <f aca="false">SUMIFS('Исходные данные'!$J$2:$J$964,'Исходные данные'!$D$2:$D$964,EQ$1,'Исходные данные'!$F$2:$F$964,$A55)</f>
        <v>0</v>
      </c>
      <c r="ES55" s="7" t="n">
        <v>0</v>
      </c>
      <c r="ET55" s="7" t="n">
        <v>0</v>
      </c>
      <c r="EU55" s="11" t="n">
        <f aca="false">SUMIFS('Исходные данные'!$I$2:$I$964,'Исходные данные'!$D$2:$D$964,EU$1,'Исходные данные'!$F$2:$F$964,$A55)</f>
        <v>0</v>
      </c>
      <c r="EV55" s="11" t="n">
        <f aca="false">SUMIFS('Исходные данные'!$J$2:$J$964,'Исходные данные'!$D$2:$D$964,EU$1,'Исходные данные'!$F$2:$F$964,$A55)</f>
        <v>0</v>
      </c>
      <c r="EW55" s="7" t="n">
        <v>0</v>
      </c>
      <c r="EX55" s="7" t="n">
        <v>0</v>
      </c>
      <c r="EY55" s="11" t="n">
        <f aca="false">SUMIFS('Исходные данные'!$I$2:$I$964,'Исходные данные'!$D$2:$D$964,EY$1,'Исходные данные'!$F$2:$F$964,$A55)</f>
        <v>0</v>
      </c>
      <c r="EZ55" s="11" t="n">
        <f aca="false">SUMIFS('Исходные данные'!$J$2:$J$964,'Исходные данные'!$D$2:$D$964,EY$1,'Исходные данные'!$F$2:$F$964,$A55)</f>
        <v>0</v>
      </c>
      <c r="FA55" s="7" t="n">
        <v>0</v>
      </c>
      <c r="FB55" s="7" t="n">
        <v>0</v>
      </c>
      <c r="FC55" s="11" t="n">
        <f aca="false">SUMIFS('Исходные данные'!$I$2:$I$964,'Исходные данные'!$D$2:$D$964,FC$1,'Исходные данные'!$F$2:$F$964,$A55)</f>
        <v>0</v>
      </c>
      <c r="FD55" s="11" t="n">
        <f aca="false">SUMIFS('Исходные данные'!$J$2:$J$964,'Исходные данные'!$D$2:$D$964,FC$1,'Исходные данные'!$F$2:$F$964,$A55)</f>
        <v>0</v>
      </c>
      <c r="FE55" s="7" t="n">
        <v>0</v>
      </c>
      <c r="FF55" s="7" t="n">
        <v>0</v>
      </c>
      <c r="FG55" s="11" t="n">
        <f aca="false">SUMIFS('Исходные данные'!$I$2:$I$964,'Исходные данные'!$D$2:$D$964,FG$1,'Исходные данные'!$F$2:$F$964,$A55)</f>
        <v>0</v>
      </c>
      <c r="FH55" s="11" t="n">
        <f aca="false">SUMIFS('Исходные данные'!$J$2:$J$964,'Исходные данные'!$D$2:$D$964,FG$1,'Исходные данные'!$F$2:$F$964,$A55)</f>
        <v>0</v>
      </c>
    </row>
    <row r="56" customFormat="false" ht="15" hidden="false" customHeight="false" outlineLevel="0" collapsed="false">
      <c r="A56" s="12"/>
      <c r="B56" s="12" t="s">
        <v>155</v>
      </c>
      <c r="C56" s="9" t="n">
        <f aca="false">SUM(C3:C55)</f>
        <v>711</v>
      </c>
      <c r="D56" s="9" t="n">
        <f aca="false">SUM(D3:D55)</f>
        <v>710</v>
      </c>
      <c r="E56" s="9" t="n">
        <f aca="false">SUM(E3:E55)</f>
        <v>687</v>
      </c>
      <c r="F56" s="9" t="n">
        <f aca="false">SUM(F3:F55)</f>
        <v>-24</v>
      </c>
      <c r="G56" s="9" t="n">
        <f aca="false">SUM(G3:G55)</f>
        <v>536</v>
      </c>
      <c r="H56" s="9" t="n">
        <f aca="false">SUM(H3:H55)</f>
        <v>151</v>
      </c>
      <c r="I56" s="12" t="n">
        <f aca="false">SUM(I3:I55)</f>
        <v>46</v>
      </c>
      <c r="J56" s="12" t="n">
        <f aca="false">SUM(J3:J55)</f>
        <v>15</v>
      </c>
      <c r="K56" s="12" t="n">
        <f aca="false">SUM(K3:K55)</f>
        <v>45</v>
      </c>
      <c r="L56" s="12" t="n">
        <f aca="false">SUM(L3:L55)</f>
        <v>14</v>
      </c>
      <c r="M56" s="12" t="n">
        <f aca="false">SUM(M3:M55)</f>
        <v>35</v>
      </c>
      <c r="N56" s="12" t="n">
        <f aca="false">SUM(N3:N55)</f>
        <v>7</v>
      </c>
      <c r="O56" s="12" t="n">
        <f aca="false">SUM(O3:O55)</f>
        <v>33</v>
      </c>
      <c r="P56" s="12" t="n">
        <f aca="false">SUM(P3:P55)</f>
        <v>6</v>
      </c>
      <c r="Q56" s="12" t="n">
        <f aca="false">SUM(Q3:Q55)</f>
        <v>66</v>
      </c>
      <c r="R56" s="12" t="n">
        <f aca="false">SUM(R3:R55)</f>
        <v>15</v>
      </c>
      <c r="S56" s="12" t="n">
        <f aca="false">SUM(S3:S55)</f>
        <v>65</v>
      </c>
      <c r="T56" s="12" t="n">
        <f aca="false">SUM(T3:T55)</f>
        <v>15</v>
      </c>
      <c r="U56" s="12" t="n">
        <f aca="false">SUM(U3:U55)</f>
        <v>4</v>
      </c>
      <c r="V56" s="12" t="n">
        <f aca="false">SUM(V3:V55)</f>
        <v>0</v>
      </c>
      <c r="W56" s="12" t="n">
        <f aca="false">SUM(W3:W55)</f>
        <v>6</v>
      </c>
      <c r="X56" s="12" t="n">
        <f aca="false">SUM(X3:X55)</f>
        <v>0</v>
      </c>
      <c r="Y56" s="12" t="n">
        <f aca="false">SUM(Y3:Y55)</f>
        <v>20</v>
      </c>
      <c r="Z56" s="12" t="n">
        <f aca="false">SUM(Z3:Z55)</f>
        <v>1</v>
      </c>
      <c r="AA56" s="12" t="n">
        <f aca="false">SUM(AA3:AA55)</f>
        <v>20</v>
      </c>
      <c r="AB56" s="12" t="n">
        <f aca="false">SUM(AB3:AB55)</f>
        <v>1</v>
      </c>
      <c r="AC56" s="12" t="n">
        <f aca="false">SUM(AC3:AC55)</f>
        <v>30</v>
      </c>
      <c r="AD56" s="12" t="n">
        <f aca="false">SUM(AD3:AD55)</f>
        <v>4</v>
      </c>
      <c r="AE56" s="12" t="n">
        <f aca="false">SUM(AE3:AE55)</f>
        <v>29</v>
      </c>
      <c r="AF56" s="12" t="n">
        <f aca="false">SUM(AF3:AF55)</f>
        <v>4</v>
      </c>
      <c r="AG56" s="12" t="n">
        <f aca="false">SUM(AG3:AG55)</f>
        <v>26</v>
      </c>
      <c r="AH56" s="12" t="n">
        <f aca="false">SUM(AH3:AH55)</f>
        <v>2</v>
      </c>
      <c r="AI56" s="12" t="n">
        <f aca="false">SUM(AI3:AI55)</f>
        <v>23</v>
      </c>
      <c r="AJ56" s="12" t="n">
        <f aca="false">SUM(AJ3:AJ55)</f>
        <v>2</v>
      </c>
      <c r="AK56" s="12" t="n">
        <f aca="false">SUM(AK3:AK55)</f>
        <v>13</v>
      </c>
      <c r="AL56" s="12" t="n">
        <f aca="false">SUM(AL3:AL55)</f>
        <v>0</v>
      </c>
      <c r="AM56" s="12" t="n">
        <f aca="false">SUM(AM3:AM55)</f>
        <v>12</v>
      </c>
      <c r="AN56" s="12" t="n">
        <f aca="false">SUM(AN3:AN55)</f>
        <v>0</v>
      </c>
      <c r="AO56" s="12" t="n">
        <f aca="false">SUM(AO3:AO55)</f>
        <v>15</v>
      </c>
      <c r="AP56" s="12" t="n">
        <f aca="false">SUM(AP3:AP55)</f>
        <v>1</v>
      </c>
      <c r="AQ56" s="12" t="n">
        <f aca="false">SUM(AQ3:AQ55)</f>
        <v>11</v>
      </c>
      <c r="AR56" s="12" t="n">
        <f aca="false">SUM(AR3:AR55)</f>
        <v>1</v>
      </c>
      <c r="AS56" s="12" t="n">
        <f aca="false">SUM(AS3:AS55)</f>
        <v>41</v>
      </c>
      <c r="AT56" s="12" t="n">
        <f aca="false">SUM(AT3:AT55)</f>
        <v>2</v>
      </c>
      <c r="AU56" s="12" t="n">
        <f aca="false">SUM(AU3:AU55)</f>
        <v>42</v>
      </c>
      <c r="AV56" s="12" t="n">
        <f aca="false">SUM(AV3:AV55)</f>
        <v>2</v>
      </c>
      <c r="AW56" s="12" t="n">
        <f aca="false">SUM(AW3:AW55)</f>
        <v>8</v>
      </c>
      <c r="AX56" s="12" t="n">
        <f aca="false">SUM(AX3:AX55)</f>
        <v>2</v>
      </c>
      <c r="AY56" s="12" t="n">
        <f aca="false">SUM(AY3:AY55)</f>
        <v>9</v>
      </c>
      <c r="AZ56" s="12" t="n">
        <f aca="false">SUM(AZ3:AZ55)</f>
        <v>2</v>
      </c>
      <c r="BA56" s="12" t="n">
        <f aca="false">SUM(BA3:BA55)</f>
        <v>15</v>
      </c>
      <c r="BB56" s="12" t="n">
        <f aca="false">SUM(BB3:BB55)</f>
        <v>3</v>
      </c>
      <c r="BC56" s="12" t="n">
        <f aca="false">SUM(BC3:BC55)</f>
        <v>17</v>
      </c>
      <c r="BD56" s="12" t="n">
        <f aca="false">SUM(BD3:BD55)</f>
        <v>3</v>
      </c>
      <c r="BE56" s="12" t="n">
        <f aca="false">SUM(BE3:BE55)</f>
        <v>15</v>
      </c>
      <c r="BF56" s="12" t="n">
        <f aca="false">SUM(BF3:BF55)</f>
        <v>0</v>
      </c>
      <c r="BG56" s="12" t="n">
        <f aca="false">SUM(BG3:BG55)</f>
        <v>14</v>
      </c>
      <c r="BH56" s="12" t="n">
        <f aca="false">SUM(BH3:BH55)</f>
        <v>0</v>
      </c>
      <c r="BI56" s="12" t="n">
        <f aca="false">SUM(BI3:BI55)</f>
        <v>68</v>
      </c>
      <c r="BJ56" s="12" t="n">
        <f aca="false">SUM(BJ3:BJ55)</f>
        <v>47</v>
      </c>
      <c r="BK56" s="12" t="n">
        <f aca="false">SUM(BK3:BK55)</f>
        <v>64</v>
      </c>
      <c r="BL56" s="12" t="n">
        <f aca="false">SUM(BL3:BL55)</f>
        <v>47</v>
      </c>
      <c r="BM56" s="12" t="n">
        <f aca="false">SUM(BM3:BM55)</f>
        <v>40</v>
      </c>
      <c r="BN56" s="12" t="n">
        <f aca="false">SUM(BN3:BN55)</f>
        <v>29</v>
      </c>
      <c r="BO56" s="12" t="n">
        <f aca="false">SUM(BO3:BO55)</f>
        <v>43</v>
      </c>
      <c r="BP56" s="12" t="n">
        <f aca="false">SUM(BP3:BP55)</f>
        <v>29</v>
      </c>
      <c r="BQ56" s="12" t="n">
        <f aca="false">SUM(BQ3:BQ55)</f>
        <v>20</v>
      </c>
      <c r="BR56" s="12" t="n">
        <f aca="false">SUM(BR3:BR55)</f>
        <v>4</v>
      </c>
      <c r="BS56" s="12" t="n">
        <f aca="false">SUM(BS3:BS55)</f>
        <v>17</v>
      </c>
      <c r="BT56" s="12" t="n">
        <f aca="false">SUM(BT3:BT55)</f>
        <v>4</v>
      </c>
      <c r="BU56" s="12" t="n">
        <f aca="false">SUM(BU3:BU55)</f>
        <v>10</v>
      </c>
      <c r="BV56" s="12" t="n">
        <f aca="false">SUM(BV3:BV55)</f>
        <v>3</v>
      </c>
      <c r="BW56" s="12" t="n">
        <f aca="false">SUM(BW3:BW55)</f>
        <v>10</v>
      </c>
      <c r="BX56" s="12" t="n">
        <f aca="false">SUM(BX3:BX55)</f>
        <v>3</v>
      </c>
      <c r="BY56" s="12" t="n">
        <f aca="false">SUM(BY3:BY55)</f>
        <v>6</v>
      </c>
      <c r="BZ56" s="12" t="n">
        <f aca="false">SUM(BZ3:BZ55)</f>
        <v>4</v>
      </c>
      <c r="CA56" s="12" t="n">
        <f aca="false">SUM(CA3:CA55)</f>
        <v>6</v>
      </c>
      <c r="CB56" s="12" t="n">
        <f aca="false">SUM(CB3:CB55)</f>
        <v>4</v>
      </c>
      <c r="CC56" s="12" t="n">
        <f aca="false">SUM(CC3:CC55)</f>
        <v>8</v>
      </c>
      <c r="CD56" s="12" t="n">
        <f aca="false">SUM(CD3:CD55)</f>
        <v>1</v>
      </c>
      <c r="CE56" s="12" t="n">
        <f aca="false">SUM(CE3:CE55)</f>
        <v>8</v>
      </c>
      <c r="CF56" s="12" t="n">
        <f aca="false">SUM(CF3:CF55)</f>
        <v>1</v>
      </c>
      <c r="CG56" s="12" t="n">
        <f aca="false">SUM(CG3:CG55)</f>
        <v>8</v>
      </c>
      <c r="CH56" s="12" t="n">
        <f aca="false">SUM(CH3:CH55)</f>
        <v>0</v>
      </c>
      <c r="CI56" s="12" t="n">
        <f aca="false">SUM(CI3:CI55)</f>
        <v>8</v>
      </c>
      <c r="CJ56" s="12" t="n">
        <f aca="false">SUM(CJ3:CJ55)</f>
        <v>0</v>
      </c>
      <c r="CK56" s="12" t="n">
        <f aca="false">SUM(CK3:CK55)</f>
        <v>5</v>
      </c>
      <c r="CL56" s="12" t="n">
        <f aca="false">SUM(CL3:CL55)</f>
        <v>2</v>
      </c>
      <c r="CM56" s="12" t="n">
        <f aca="false">SUM(CM3:CM55)</f>
        <v>5</v>
      </c>
      <c r="CN56" s="12" t="n">
        <f aca="false">SUM(CN3:CN55)</f>
        <v>2</v>
      </c>
      <c r="CO56" s="12" t="n">
        <f aca="false">SUM(CO3:CO55)</f>
        <v>6</v>
      </c>
      <c r="CP56" s="12" t="n">
        <f aca="false">SUM(CP3:CP55)</f>
        <v>1</v>
      </c>
      <c r="CQ56" s="12" t="n">
        <f aca="false">SUM(CQ3:CQ55)</f>
        <v>5</v>
      </c>
      <c r="CR56" s="12" t="n">
        <f aca="false">SUM(CR3:CR55)</f>
        <v>1</v>
      </c>
      <c r="CS56" s="12" t="n">
        <f aca="false">SUM(CS3:CS55)</f>
        <v>7</v>
      </c>
      <c r="CT56" s="12" t="n">
        <f aca="false">SUM(CT3:CT55)</f>
        <v>0</v>
      </c>
      <c r="CU56" s="12" t="n">
        <f aca="false">SUM(CU3:CU55)</f>
        <v>7</v>
      </c>
      <c r="CV56" s="12" t="n">
        <f aca="false">SUM(CV3:CV55)</f>
        <v>0</v>
      </c>
      <c r="CW56" s="12" t="n">
        <f aca="false">SUM(CW3:CW55)</f>
        <v>5</v>
      </c>
      <c r="CX56" s="12" t="n">
        <f aca="false">SUM(CX3:CX55)</f>
        <v>1</v>
      </c>
      <c r="CY56" s="12" t="n">
        <f aca="false">SUM(CY3:CY55)</f>
        <v>5</v>
      </c>
      <c r="CZ56" s="12" t="n">
        <f aca="false">SUM(CZ3:CZ55)</f>
        <v>1</v>
      </c>
      <c r="DA56" s="12" t="n">
        <f aca="false">SUM(DA3:DA55)</f>
        <v>2</v>
      </c>
      <c r="DB56" s="12" t="n">
        <f aca="false">SUM(DB3:DB55)</f>
        <v>1</v>
      </c>
      <c r="DC56" s="12" t="n">
        <f aca="false">SUM(DC3:DC55)</f>
        <v>2</v>
      </c>
      <c r="DD56" s="12" t="n">
        <f aca="false">SUM(DD3:DD55)</f>
        <v>1</v>
      </c>
      <c r="DE56" s="12" t="n">
        <f aca="false">SUM(DE3:DE55)</f>
        <v>3</v>
      </c>
      <c r="DF56" s="12" t="n">
        <f aca="false">SUM(DF3:DF55)</f>
        <v>0</v>
      </c>
      <c r="DG56" s="12" t="n">
        <f aca="false">SUM(DG3:DG55)</f>
        <v>3</v>
      </c>
      <c r="DH56" s="12" t="n">
        <f aca="false">SUM(DH3:DH55)</f>
        <v>0</v>
      </c>
      <c r="DI56" s="12" t="n">
        <f aca="false">SUM(DI3:DI55)</f>
        <v>1</v>
      </c>
      <c r="DJ56" s="12" t="n">
        <f aca="false">SUM(DJ3:DJ55)</f>
        <v>0</v>
      </c>
      <c r="DK56" s="12" t="n">
        <f aca="false">SUM(DK3:DK55)</f>
        <v>1</v>
      </c>
      <c r="DL56" s="12" t="n">
        <f aca="false">SUM(DL3:DL55)</f>
        <v>0</v>
      </c>
      <c r="DM56" s="12" t="n">
        <f aca="false">SUM(DM3:DM55)</f>
        <v>2</v>
      </c>
      <c r="DN56" s="12" t="n">
        <f aca="false">SUM(DN3:DN55)</f>
        <v>0</v>
      </c>
      <c r="DO56" s="12" t="n">
        <f aca="false">SUM(DO3:DO55)</f>
        <v>2</v>
      </c>
      <c r="DP56" s="12" t="n">
        <f aca="false">SUM(DP3:DP55)</f>
        <v>0</v>
      </c>
      <c r="DQ56" s="12" t="n">
        <f aca="false">SUM(DQ3:DQ55)</f>
        <v>1</v>
      </c>
      <c r="DR56" s="12" t="n">
        <f aca="false">SUM(DR3:DR55)</f>
        <v>0</v>
      </c>
      <c r="DS56" s="12" t="n">
        <f aca="false">SUM(DS3:DS55)</f>
        <v>2</v>
      </c>
      <c r="DT56" s="12" t="n">
        <f aca="false">SUM(DT3:DT55)</f>
        <v>0</v>
      </c>
      <c r="DU56" s="12" t="n">
        <f aca="false">SUM(DU3:DU55)</f>
        <v>2</v>
      </c>
      <c r="DV56" s="12" t="n">
        <f aca="false">SUM(DV3:DV55)</f>
        <v>0</v>
      </c>
      <c r="DW56" s="12" t="n">
        <f aca="false">SUM(DW3:DW55)</f>
        <v>2</v>
      </c>
      <c r="DX56" s="12" t="n">
        <f aca="false">SUM(DX3:DX55)</f>
        <v>0</v>
      </c>
      <c r="DY56" s="12" t="n">
        <f aca="false">SUM(DY3:DY55)</f>
        <v>1</v>
      </c>
      <c r="DZ56" s="12" t="n">
        <f aca="false">SUM(DZ3:DZ55)</f>
        <v>0</v>
      </c>
      <c r="EA56" s="12" t="n">
        <f aca="false">SUM(EA3:EA55)</f>
        <v>1</v>
      </c>
      <c r="EB56" s="12" t="n">
        <f aca="false">SUM(EB3:EB55)</f>
        <v>0</v>
      </c>
      <c r="EC56" s="12" t="n">
        <f aca="false">SUM(EC3:EC55)</f>
        <v>1</v>
      </c>
      <c r="ED56" s="12" t="n">
        <f aca="false">SUM(ED3:ED55)</f>
        <v>0</v>
      </c>
      <c r="EE56" s="12" t="n">
        <f aca="false">SUM(EE3:EE55)</f>
        <v>1</v>
      </c>
      <c r="EF56" s="12" t="n">
        <f aca="false">SUM(EF3:EF55)</f>
        <v>0</v>
      </c>
      <c r="EG56" s="12" t="n">
        <f aca="false">SUM(EG3:EG55)</f>
        <v>1</v>
      </c>
      <c r="EH56" s="12" t="n">
        <f aca="false">SUM(EH3:EH55)</f>
        <v>0</v>
      </c>
      <c r="EI56" s="12" t="n">
        <f aca="false">SUM(EI3:EI55)</f>
        <v>1</v>
      </c>
      <c r="EJ56" s="12" t="n">
        <f aca="false">SUM(EJ3:EJ55)</f>
        <v>0</v>
      </c>
      <c r="EK56" s="12" t="n">
        <f aca="false">SUM(EK3:EK55)</f>
        <v>8</v>
      </c>
      <c r="EL56" s="12" t="n">
        <f aca="false">SUM(EL3:EL55)</f>
        <v>2</v>
      </c>
      <c r="EM56" s="12" t="n">
        <f aca="false">SUM(EM3:EM55)</f>
        <v>0</v>
      </c>
      <c r="EN56" s="12" t="n">
        <f aca="false">SUM(EN3:EN55)</f>
        <v>1</v>
      </c>
      <c r="EO56" s="12" t="n">
        <f aca="false">SUM(EO3:EO55)</f>
        <v>4</v>
      </c>
      <c r="EP56" s="12" t="n">
        <f aca="false">SUM(EP3:EP55)</f>
        <v>0</v>
      </c>
      <c r="EQ56" s="12" t="n">
        <f aca="false">SUM(EQ3:EQ55)</f>
        <v>4</v>
      </c>
      <c r="ER56" s="12" t="n">
        <f aca="false">SUM(ER3:ER55)</f>
        <v>0</v>
      </c>
      <c r="ES56" s="12" t="n">
        <f aca="false">SUM(ES3:ES55)</f>
        <v>3</v>
      </c>
      <c r="ET56" s="12" t="n">
        <f aca="false">SUM(ET3:ET55)</f>
        <v>1</v>
      </c>
      <c r="EU56" s="12" t="n">
        <f aca="false">SUM(EU3:EU55)</f>
        <v>3</v>
      </c>
      <c r="EV56" s="12" t="n">
        <f aca="false">SUM(EV3:EV55)</f>
        <v>1</v>
      </c>
      <c r="EW56" s="12" t="n">
        <f aca="false">SUM(EW3:EW55)</f>
        <v>1</v>
      </c>
      <c r="EX56" s="12" t="n">
        <f aca="false">SUM(EX3:EX55)</f>
        <v>0</v>
      </c>
      <c r="EY56" s="12" t="n">
        <f aca="false">SUM(EY3:EY55)</f>
        <v>1</v>
      </c>
      <c r="EZ56" s="12" t="n">
        <f aca="false">SUM(EZ3:EZ55)</f>
        <v>0</v>
      </c>
      <c r="FA56" s="12" t="n">
        <f aca="false">SUM(FA3:FA55)</f>
        <v>1</v>
      </c>
      <c r="FB56" s="12" t="n">
        <f aca="false">SUM(FB3:FB55)</f>
        <v>0</v>
      </c>
      <c r="FC56" s="12" t="n">
        <f aca="false">SUM(FC3:FC55)</f>
        <v>1</v>
      </c>
      <c r="FD56" s="12" t="n">
        <f aca="false">SUM(FD3:FD55)</f>
        <v>0</v>
      </c>
      <c r="FE56" s="12" t="n">
        <f aca="false">SUM(FE3:FE55)</f>
        <v>8</v>
      </c>
      <c r="FF56" s="12" t="n">
        <f aca="false">SUM(FF3:FF55)</f>
        <v>6</v>
      </c>
      <c r="FG56" s="12" t="n">
        <f aca="false">SUM(FG3:FG55)</f>
        <v>8</v>
      </c>
      <c r="FH56" s="12" t="n">
        <f aca="false">SUM(FH3:FH55)</f>
        <v>6</v>
      </c>
    </row>
    <row r="57" customFormat="false" ht="15" hidden="false" customHeight="false" outlineLevel="0" collapsed="false">
      <c r="A57" s="12"/>
      <c r="B57" s="12" t="s">
        <v>156</v>
      </c>
      <c r="C57" s="9"/>
      <c r="D57" s="9" t="n">
        <f aca="false">I56+J56+M56+N56+Q56+R56+U56+V56+Y56+Z56+AC56+AD56+AG56+AH56+AK56+AL56+AO56+AP56+AS56+AT56+AW56+AX56+BA56+BB56+BE56+BF56+BI56+BJ56+BM56+BN56+BQ56+BR56+BU56+BV56+BY56+BZ56+CC56+CD56+CG56+CH56+CK56+CL56+CO56+CP56+CS56+CT56+CW56+CX56+DA56+DB56+DE56+DF56+DI56+DJ56+DM56+DN56+DQ56+DR56+DU56+DV56+DY56+DZ56+EC56+ED56+EG56+EH56+EK56+EL56+EO56+EP56+ES56+ET56+EW56+EX56+FA56+FB56+FE56+FF56</f>
        <v>710</v>
      </c>
      <c r="E57" s="9" t="n">
        <f aca="false">E56</f>
        <v>687</v>
      </c>
      <c r="F57" s="9"/>
      <c r="G57" s="9"/>
      <c r="H57" s="9"/>
      <c r="I57" s="13" t="n">
        <f aca="false">I56+J56</f>
        <v>61</v>
      </c>
      <c r="J57" s="13"/>
      <c r="K57" s="13" t="n">
        <f aca="false">K56+L56</f>
        <v>59</v>
      </c>
      <c r="L57" s="13"/>
      <c r="M57" s="13" t="n">
        <f aca="false">M56+N56</f>
        <v>42</v>
      </c>
      <c r="N57" s="13"/>
      <c r="O57" s="13" t="n">
        <f aca="false">O56+P56</f>
        <v>39</v>
      </c>
      <c r="P57" s="13"/>
      <c r="Q57" s="13" t="n">
        <f aca="false">Q56+R56</f>
        <v>81</v>
      </c>
      <c r="R57" s="13"/>
      <c r="S57" s="13" t="n">
        <f aca="false">S56+T56</f>
        <v>80</v>
      </c>
      <c r="T57" s="13"/>
      <c r="U57" s="13" t="n">
        <f aca="false">U56+V56</f>
        <v>4</v>
      </c>
      <c r="V57" s="13"/>
      <c r="W57" s="13" t="n">
        <f aca="false">W56+X56</f>
        <v>6</v>
      </c>
      <c r="X57" s="13"/>
      <c r="Y57" s="13" t="n">
        <f aca="false">Y56+Z56</f>
        <v>21</v>
      </c>
      <c r="Z57" s="13"/>
      <c r="AA57" s="13" t="n">
        <f aca="false">AA56+AB56</f>
        <v>21</v>
      </c>
      <c r="AB57" s="13"/>
      <c r="AC57" s="13" t="n">
        <f aca="false">AC56+AD56</f>
        <v>34</v>
      </c>
      <c r="AD57" s="13"/>
      <c r="AE57" s="13" t="n">
        <f aca="false">AE56+AF56</f>
        <v>33</v>
      </c>
      <c r="AF57" s="13"/>
      <c r="AG57" s="13" t="n">
        <f aca="false">AG56+AH56</f>
        <v>28</v>
      </c>
      <c r="AH57" s="13"/>
      <c r="AI57" s="13" t="n">
        <f aca="false">AI56+AJ56</f>
        <v>25</v>
      </c>
      <c r="AJ57" s="13"/>
      <c r="AK57" s="13" t="n">
        <f aca="false">AK56+AL56</f>
        <v>13</v>
      </c>
      <c r="AL57" s="13"/>
      <c r="AM57" s="13" t="n">
        <f aca="false">AM56+AN56</f>
        <v>12</v>
      </c>
      <c r="AN57" s="13"/>
      <c r="AO57" s="13" t="n">
        <f aca="false">AO56+AP56</f>
        <v>16</v>
      </c>
      <c r="AP57" s="13"/>
      <c r="AQ57" s="13" t="n">
        <f aca="false">AQ56+AR56</f>
        <v>12</v>
      </c>
      <c r="AR57" s="13"/>
      <c r="AS57" s="13" t="n">
        <f aca="false">AS56+AT56</f>
        <v>43</v>
      </c>
      <c r="AT57" s="13"/>
      <c r="AU57" s="13" t="n">
        <f aca="false">AU56+AV56</f>
        <v>44</v>
      </c>
      <c r="AV57" s="13"/>
      <c r="AW57" s="13" t="n">
        <f aca="false">AW56+AX56</f>
        <v>10</v>
      </c>
      <c r="AX57" s="13"/>
      <c r="AY57" s="13" t="n">
        <f aca="false">AY56+AZ56</f>
        <v>11</v>
      </c>
      <c r="AZ57" s="13"/>
      <c r="BA57" s="13" t="n">
        <f aca="false">BA56+BB56</f>
        <v>18</v>
      </c>
      <c r="BB57" s="13"/>
      <c r="BC57" s="13" t="n">
        <f aca="false">BC56+BD56</f>
        <v>20</v>
      </c>
      <c r="BD57" s="13"/>
      <c r="BE57" s="13" t="n">
        <f aca="false">BE56+BF56</f>
        <v>15</v>
      </c>
      <c r="BF57" s="13"/>
      <c r="BG57" s="13" t="n">
        <f aca="false">BG56+BH56</f>
        <v>14</v>
      </c>
      <c r="BH57" s="13"/>
      <c r="BI57" s="13" t="n">
        <f aca="false">BI56+BJ56</f>
        <v>115</v>
      </c>
      <c r="BJ57" s="13"/>
      <c r="BK57" s="13" t="n">
        <f aca="false">BK56+BL56</f>
        <v>111</v>
      </c>
      <c r="BL57" s="13"/>
      <c r="BM57" s="13" t="n">
        <f aca="false">BM56+BN56</f>
        <v>69</v>
      </c>
      <c r="BN57" s="13"/>
      <c r="BO57" s="13" t="n">
        <f aca="false">BO56+BP56</f>
        <v>72</v>
      </c>
      <c r="BP57" s="13"/>
      <c r="BQ57" s="13" t="n">
        <f aca="false">BQ56+BR56</f>
        <v>24</v>
      </c>
      <c r="BR57" s="13"/>
      <c r="BS57" s="13" t="n">
        <f aca="false">BS56+BT56</f>
        <v>21</v>
      </c>
      <c r="BT57" s="13"/>
      <c r="BU57" s="13" t="n">
        <f aca="false">BU56+BV56</f>
        <v>13</v>
      </c>
      <c r="BV57" s="13"/>
      <c r="BW57" s="13" t="n">
        <f aca="false">BW56+BX56</f>
        <v>13</v>
      </c>
      <c r="BX57" s="13"/>
      <c r="BY57" s="13" t="n">
        <f aca="false">BY56+BZ56</f>
        <v>10</v>
      </c>
      <c r="BZ57" s="13"/>
      <c r="CA57" s="13" t="n">
        <f aca="false">CA56+CB56</f>
        <v>10</v>
      </c>
      <c r="CB57" s="13"/>
      <c r="CC57" s="13" t="n">
        <f aca="false">CC56+CD56</f>
        <v>9</v>
      </c>
      <c r="CD57" s="13"/>
      <c r="CE57" s="13" t="n">
        <f aca="false">CE56+CF56</f>
        <v>9</v>
      </c>
      <c r="CF57" s="13"/>
      <c r="CG57" s="13" t="n">
        <f aca="false">CG56+CH56</f>
        <v>8</v>
      </c>
      <c r="CH57" s="13"/>
      <c r="CI57" s="13" t="n">
        <f aca="false">CI56+CJ56</f>
        <v>8</v>
      </c>
      <c r="CJ57" s="13"/>
      <c r="CK57" s="13" t="n">
        <f aca="false">CK56+CL56</f>
        <v>7</v>
      </c>
      <c r="CL57" s="13"/>
      <c r="CM57" s="13" t="n">
        <f aca="false">CM56+CN56</f>
        <v>7</v>
      </c>
      <c r="CN57" s="13"/>
      <c r="CO57" s="13" t="n">
        <f aca="false">CO56+CP56</f>
        <v>7</v>
      </c>
      <c r="CP57" s="13"/>
      <c r="CQ57" s="13" t="n">
        <f aca="false">CQ56+CR56</f>
        <v>6</v>
      </c>
      <c r="CR57" s="13"/>
      <c r="CS57" s="13" t="n">
        <f aca="false">CS56+CT56</f>
        <v>7</v>
      </c>
      <c r="CT57" s="13"/>
      <c r="CU57" s="13" t="n">
        <f aca="false">CU56+CV56</f>
        <v>7</v>
      </c>
      <c r="CV57" s="13"/>
      <c r="CW57" s="13" t="n">
        <f aca="false">CW56+CX56</f>
        <v>6</v>
      </c>
      <c r="CX57" s="13"/>
      <c r="CY57" s="13" t="n">
        <f aca="false">CY56+CZ56</f>
        <v>6</v>
      </c>
      <c r="CZ57" s="13"/>
      <c r="DA57" s="13" t="n">
        <f aca="false">DA56+DB56</f>
        <v>3</v>
      </c>
      <c r="DB57" s="13"/>
      <c r="DC57" s="13" t="n">
        <f aca="false">DC56+DD56</f>
        <v>3</v>
      </c>
      <c r="DD57" s="13"/>
      <c r="DE57" s="13" t="n">
        <f aca="false">DE56+DF56</f>
        <v>3</v>
      </c>
      <c r="DF57" s="13"/>
      <c r="DG57" s="13" t="n">
        <f aca="false">DG56+DH56</f>
        <v>3</v>
      </c>
      <c r="DH57" s="13"/>
      <c r="DI57" s="13" t="n">
        <f aca="false">DI56+DJ56</f>
        <v>1</v>
      </c>
      <c r="DJ57" s="13"/>
      <c r="DK57" s="13" t="n">
        <f aca="false">DK56+DL56</f>
        <v>1</v>
      </c>
      <c r="DL57" s="13"/>
      <c r="DM57" s="13" t="n">
        <f aca="false">DM56+DN56</f>
        <v>2</v>
      </c>
      <c r="DN57" s="13"/>
      <c r="DO57" s="13" t="n">
        <f aca="false">DO56+DP56</f>
        <v>2</v>
      </c>
      <c r="DP57" s="13"/>
      <c r="DQ57" s="13" t="n">
        <f aca="false">DQ56+DR56</f>
        <v>1</v>
      </c>
      <c r="DR57" s="13"/>
      <c r="DS57" s="13" t="n">
        <f aca="false">DS56+DT56</f>
        <v>2</v>
      </c>
      <c r="DT57" s="13"/>
      <c r="DU57" s="13" t="n">
        <f aca="false">DU56+DV56</f>
        <v>2</v>
      </c>
      <c r="DV57" s="13"/>
      <c r="DW57" s="13" t="n">
        <f aca="false">DW56+DX56</f>
        <v>2</v>
      </c>
      <c r="DX57" s="13"/>
      <c r="DY57" s="13" t="n">
        <f aca="false">DY56+DZ56</f>
        <v>1</v>
      </c>
      <c r="DZ57" s="13"/>
      <c r="EA57" s="13" t="n">
        <f aca="false">EA56+EB56</f>
        <v>1</v>
      </c>
      <c r="EB57" s="13"/>
      <c r="EC57" s="13" t="n">
        <f aca="false">EC56+ED56</f>
        <v>1</v>
      </c>
      <c r="ED57" s="13"/>
      <c r="EE57" s="13" t="n">
        <f aca="false">EE56+EF56</f>
        <v>1</v>
      </c>
      <c r="EF57" s="13"/>
      <c r="EG57" s="13" t="n">
        <f aca="false">EG56+EH56</f>
        <v>1</v>
      </c>
      <c r="EH57" s="13"/>
      <c r="EI57" s="13" t="n">
        <f aca="false">EI56+EJ56</f>
        <v>1</v>
      </c>
      <c r="EJ57" s="13"/>
      <c r="EK57" s="13" t="n">
        <f aca="false">EK56+EL56</f>
        <v>10</v>
      </c>
      <c r="EL57" s="13"/>
      <c r="EM57" s="13" t="n">
        <f aca="false">EM56+EN56</f>
        <v>1</v>
      </c>
      <c r="EN57" s="13"/>
      <c r="EO57" s="13" t="n">
        <f aca="false">EO56+EP56</f>
        <v>4</v>
      </c>
      <c r="EP57" s="13"/>
      <c r="EQ57" s="13" t="n">
        <f aca="false">EQ56+ER56</f>
        <v>4</v>
      </c>
      <c r="ER57" s="13"/>
      <c r="ES57" s="13" t="n">
        <f aca="false">ES56+ET56</f>
        <v>4</v>
      </c>
      <c r="ET57" s="13"/>
      <c r="EU57" s="13" t="n">
        <f aca="false">EU56+EV56</f>
        <v>4</v>
      </c>
      <c r="EV57" s="13"/>
      <c r="EW57" s="13" t="n">
        <f aca="false">EW56+EX56</f>
        <v>1</v>
      </c>
      <c r="EX57" s="13"/>
      <c r="EY57" s="13" t="n">
        <f aca="false">EY56+EZ56</f>
        <v>1</v>
      </c>
      <c r="EZ57" s="13"/>
      <c r="FA57" s="13" t="n">
        <f aca="false">FA56+FB56</f>
        <v>1</v>
      </c>
      <c r="FB57" s="13"/>
      <c r="FC57" s="13" t="n">
        <f aca="false">FC56+FD56</f>
        <v>1</v>
      </c>
      <c r="FD57" s="13"/>
      <c r="FE57" s="13" t="n">
        <f aca="false">FE56+FF56</f>
        <v>14</v>
      </c>
      <c r="FF57" s="13"/>
      <c r="FG57" s="13" t="n">
        <f aca="false">FG56+FH56</f>
        <v>14</v>
      </c>
      <c r="FH57" s="13"/>
    </row>
  </sheetData>
  <mergeCells count="164">
    <mergeCell ref="A1:A2"/>
    <mergeCell ref="B1:B2"/>
    <mergeCell ref="C1:C2"/>
    <mergeCell ref="D1:D2"/>
    <mergeCell ref="E1:E2"/>
    <mergeCell ref="F1:F2"/>
    <mergeCell ref="G1:G2"/>
    <mergeCell ref="H1:H2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U57:AV57"/>
    <mergeCell ref="AW57:AX57"/>
    <mergeCell ref="AY57:AZ57"/>
    <mergeCell ref="BA57:BB57"/>
    <mergeCell ref="BC57:BD57"/>
    <mergeCell ref="BE57:BF57"/>
    <mergeCell ref="BG57:BH57"/>
    <mergeCell ref="BI57:BJ57"/>
    <mergeCell ref="BK57:BL57"/>
    <mergeCell ref="BM57:BN57"/>
    <mergeCell ref="BO57:BP57"/>
    <mergeCell ref="BQ57:BR57"/>
    <mergeCell ref="BS57:BT57"/>
    <mergeCell ref="BU57:BV57"/>
    <mergeCell ref="BW57:BX57"/>
    <mergeCell ref="BY57:BZ57"/>
    <mergeCell ref="CA57:CB57"/>
    <mergeCell ref="CC57:CD57"/>
    <mergeCell ref="CE57:CF57"/>
    <mergeCell ref="CG57:CH57"/>
    <mergeCell ref="CI57:CJ57"/>
    <mergeCell ref="CK57:CL57"/>
    <mergeCell ref="CM57:CN57"/>
    <mergeCell ref="CO57:CP57"/>
    <mergeCell ref="CQ57:CR57"/>
    <mergeCell ref="CS57:CT57"/>
    <mergeCell ref="CU57:CV57"/>
    <mergeCell ref="CW57:CX57"/>
    <mergeCell ref="CY57:CZ57"/>
    <mergeCell ref="DA57:DB57"/>
    <mergeCell ref="DC57:DD57"/>
    <mergeCell ref="DE57:DF57"/>
    <mergeCell ref="DG57:DH57"/>
    <mergeCell ref="DI57:DJ57"/>
    <mergeCell ref="DK57:DL57"/>
    <mergeCell ref="DM57:DN57"/>
    <mergeCell ref="DO57:DP57"/>
    <mergeCell ref="DQ57:DR57"/>
    <mergeCell ref="DS57:DT57"/>
    <mergeCell ref="DU57:DV57"/>
    <mergeCell ref="DW57:DX57"/>
    <mergeCell ref="DY57:DZ57"/>
    <mergeCell ref="EA57:EB57"/>
    <mergeCell ref="EC57:ED57"/>
    <mergeCell ref="EE57:EF57"/>
    <mergeCell ref="EG57:EH57"/>
    <mergeCell ref="EI57:EJ57"/>
    <mergeCell ref="EK57:EL57"/>
    <mergeCell ref="EM57:EN57"/>
    <mergeCell ref="EO57:EP57"/>
    <mergeCell ref="EQ57:ER57"/>
    <mergeCell ref="ES57:ET57"/>
    <mergeCell ref="EU57:EV57"/>
    <mergeCell ref="EW57:EX57"/>
    <mergeCell ref="EY57:EZ57"/>
    <mergeCell ref="FA57:FB57"/>
    <mergeCell ref="FC57:FD57"/>
    <mergeCell ref="FE57:FF57"/>
    <mergeCell ref="FG57:FH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U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4.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3"/>
    <col collapsed="false" customWidth="true" hidden="false" outlineLevel="0" max="9" min="9" style="0" width="21.43"/>
    <col collapsed="false" customWidth="true" hidden="false" outlineLevel="0" max="30" min="15" style="0" width="16.72"/>
    <col collapsed="false" customWidth="true" hidden="false" outlineLevel="0" max="47" min="31" style="0" width="9"/>
  </cols>
  <sheetData>
    <row r="1" customFormat="false" ht="13.5" hidden="false" customHeight="true" outlineLevel="0" collapsed="false">
      <c r="A1" s="14" t="s">
        <v>157</v>
      </c>
      <c r="B1" s="14"/>
      <c r="C1" s="14"/>
      <c r="D1" s="14"/>
      <c r="E1" s="14"/>
      <c r="F1" s="14"/>
      <c r="G1" s="14"/>
      <c r="H1" s="15" t="s">
        <v>158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customFormat="false" ht="9" hidden="false" customHeight="true" outlineLevel="0" collapsed="false">
      <c r="A2" s="14"/>
      <c r="B2" s="14"/>
      <c r="C2" s="14"/>
      <c r="D2" s="14"/>
      <c r="E2" s="14"/>
      <c r="F2" s="14"/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 t="s">
        <v>159</v>
      </c>
    </row>
    <row r="3" customFormat="false" ht="25.5" hidden="false" customHeight="true" outlineLevel="0" collapsed="false">
      <c r="A3" s="17" t="n">
        <v>1</v>
      </c>
      <c r="B3" s="18" t="s">
        <v>160</v>
      </c>
      <c r="C3" s="19"/>
      <c r="D3" s="20"/>
      <c r="E3" s="19" t="s">
        <v>161</v>
      </c>
      <c r="F3" s="19"/>
      <c r="G3" s="21"/>
      <c r="H3" s="22"/>
      <c r="I3" s="23" t="s">
        <v>162</v>
      </c>
      <c r="J3" s="24" t="s">
        <v>2</v>
      </c>
      <c r="K3" s="25" t="s">
        <v>4</v>
      </c>
      <c r="L3" s="26" t="s">
        <v>5</v>
      </c>
      <c r="M3" s="27" t="s">
        <v>163</v>
      </c>
      <c r="N3" s="27" t="s">
        <v>164</v>
      </c>
      <c r="O3" s="28" t="s">
        <v>8</v>
      </c>
      <c r="P3" s="23" t="s">
        <v>9</v>
      </c>
      <c r="Q3" s="28" t="s">
        <v>10</v>
      </c>
      <c r="R3" s="23" t="s">
        <v>11</v>
      </c>
      <c r="S3" s="28" t="s">
        <v>12</v>
      </c>
      <c r="T3" s="23" t="s">
        <v>13</v>
      </c>
      <c r="U3" s="29" t="s">
        <v>14</v>
      </c>
      <c r="V3" s="23" t="s">
        <v>15</v>
      </c>
      <c r="W3" s="23" t="s">
        <v>19</v>
      </c>
      <c r="X3" s="28" t="s">
        <v>16</v>
      </c>
      <c r="Y3" s="23" t="s">
        <v>17</v>
      </c>
      <c r="Z3" s="28" t="s">
        <v>18</v>
      </c>
      <c r="AA3" s="23" t="s">
        <v>20</v>
      </c>
      <c r="AB3" s="23" t="s">
        <v>28</v>
      </c>
      <c r="AC3" s="28" t="s">
        <v>21</v>
      </c>
      <c r="AD3" s="23" t="s">
        <v>22</v>
      </c>
      <c r="AE3" s="30" t="s">
        <v>8</v>
      </c>
      <c r="AF3" s="30" t="s">
        <v>9</v>
      </c>
      <c r="AG3" s="30" t="s">
        <v>10</v>
      </c>
      <c r="AH3" s="30" t="s">
        <v>11</v>
      </c>
      <c r="AI3" s="30" t="s">
        <v>12</v>
      </c>
      <c r="AJ3" s="30" t="s">
        <v>13</v>
      </c>
      <c r="AK3" s="30" t="s">
        <v>14</v>
      </c>
      <c r="AL3" s="30" t="s">
        <v>15</v>
      </c>
      <c r="AM3" s="30" t="s">
        <v>16</v>
      </c>
      <c r="AN3" s="30" t="s">
        <v>17</v>
      </c>
      <c r="AO3" s="30" t="s">
        <v>18</v>
      </c>
      <c r="AP3" s="30" t="s">
        <v>19</v>
      </c>
      <c r="AQ3" s="30" t="s">
        <v>20</v>
      </c>
      <c r="AR3" s="30" t="s">
        <v>21</v>
      </c>
      <c r="AS3" s="30" t="s">
        <v>22</v>
      </c>
      <c r="AT3" s="30" t="s">
        <v>27</v>
      </c>
      <c r="AU3" s="30" t="s">
        <v>28</v>
      </c>
    </row>
    <row r="4" customFormat="false" ht="25.5" hidden="false" customHeight="true" outlineLevel="0" collapsed="false">
      <c r="A4" s="31" t="n">
        <v>2</v>
      </c>
      <c r="B4" s="32" t="s">
        <v>165</v>
      </c>
      <c r="C4" s="33" t="s">
        <v>8</v>
      </c>
      <c r="D4" s="34"/>
      <c r="E4" s="34" t="s">
        <v>166</v>
      </c>
      <c r="F4" s="34" t="s">
        <v>21</v>
      </c>
      <c r="G4" s="35"/>
      <c r="H4" s="36"/>
      <c r="I4" s="37"/>
      <c r="J4" s="38"/>
      <c r="K4" s="39"/>
      <c r="L4" s="40"/>
      <c r="M4" s="41"/>
      <c r="N4" s="41"/>
      <c r="O4" s="42" t="str">
        <f aca="false">IF(SUMIFS('Исходные данные'!$I$2:$I$964,'Исходные данные'!$D$2:$D$964,O$3,'Исходные данные'!$F$2:$F$964,$H5&amp;"",'Исходные данные'!$L$2:$L$964,"УТТ")+SUMIFS('Исходные данные'!$J$2:$J$964,'Исходные данные'!$D$2:$D$964,O$3,'Исходные данные'!$F$2:$F$964,$H5&amp;"",'Исходные данные'!$L$2:$L$964,"УТТ")=0,"","утт-"&amp;(SUMIFS('Исходные данные'!$I$2:$I$964,'Исходные данные'!$D$2:$D$964,O$3,'Исходные данные'!$F$2:$F$964,$H5&amp;"",'Исходные данные'!$L$2:$L$964,"УТТ")+SUMIFS('Исходные данные'!$J$2:$J$964,'Исходные данные'!$D$2:$D$964,O$3,'Исходные данные'!$F$2:$F$964,$H5&amp;"",'Исходные данные'!$L$2:$L$964,"УТТ")))</f>
        <v>утт-1</v>
      </c>
      <c r="P4" s="43" t="str">
        <f aca="false">IF(SUMIFS('Исходные данные'!$I$2:$I$964,'Исходные данные'!$D$2:$D$964,P$3,'Исходные данные'!$F$2:$F$964,$H5&amp;"",'Исходные данные'!$L$2:$L$964,"УТТ")+SUMIFS('Исходные данные'!$J$2:$J$964,'Исходные данные'!$D$2:$D$964,P$3,'Исходные данные'!$F$2:$F$964,$H5&amp;"",'Исходные данные'!$L$2:$L$964,"УТТ")=0,"","утт-"&amp;(SUMIFS('Исходные данные'!$I$2:$I$964,'Исходные данные'!$D$2:$D$964,P$3,'Исходные данные'!$F$2:$F$964,$H5&amp;"",'Исходные данные'!$L$2:$L$964,"УТТ")+SUMIFS('Исходные данные'!$J$2:$J$964,'Исходные данные'!$D$2:$D$964,P$3,'Исходные данные'!$F$2:$F$964,$H5&amp;"",'Исходные данные'!$L$2:$L$964,"УТТ")))</f>
        <v>утт-1</v>
      </c>
      <c r="Q4" s="42" t="str">
        <f aca="false">IF(SUMIFS('Исходные данные'!$I$2:$I$964,'Исходные данные'!$D$2:$D$964,Q$3,'Исходные данные'!$F$2:$F$964,$H5&amp;"",'Исходные данные'!$L$2:$L$964,"УТТ")+SUMIFS('Исходные данные'!$J$2:$J$964,'Исходные данные'!$D$2:$D$964,Q$3,'Исходные данные'!$F$2:$F$964,$H5&amp;"",'Исходные данные'!$L$2:$L$964,"УТТ")=0,"","утт-"&amp;(SUMIFS('Исходные данные'!$I$2:$I$964,'Исходные данные'!$D$2:$D$964,Q$3,'Исходные данные'!$F$2:$F$964,$H5&amp;"",'Исходные данные'!$L$2:$L$964,"УТТ")+SUMIFS('Исходные данные'!$J$2:$J$964,'Исходные данные'!$D$2:$D$964,Q$3,'Исходные данные'!$F$2:$F$964,$H5&amp;"",'Исходные данные'!$L$2:$L$964,"УТТ")))</f>
        <v/>
      </c>
      <c r="R4" s="44" t="str">
        <f aca="false">IF(SUMIFS('Исходные данные'!$I$2:$I$964,'Исходные данные'!$D$2:$D$964,R$3,'Исходные данные'!$F$2:$F$964,$H5&amp;"",'Исходные данные'!$L$2:$L$964,"УТТ")+SUMIFS('Исходные данные'!$J$2:$J$964,'Исходные данные'!$D$2:$D$964,R$3,'Исходные данные'!$F$2:$F$964,$H5&amp;"",'Исходные данные'!$L$2:$L$964,"УТТ")=0,"","утт-"&amp;(SUMIFS('Исходные данные'!$I$2:$I$964,'Исходные данные'!$D$2:$D$964,R$3,'Исходные данные'!$F$2:$F$964,$H5&amp;"",'Исходные данные'!$L$2:$L$964,"УТТ")+SUMIFS('Исходные данные'!$J$2:$J$964,'Исходные данные'!$D$2:$D$964,R$3,'Исходные данные'!$F$2:$F$964,$H5&amp;"",'Исходные данные'!$L$2:$L$964,"УТТ")))</f>
        <v/>
      </c>
      <c r="S4" s="45" t="str">
        <f aca="false">IF(SUMIFS('Исходные данные'!$I$2:$I$964,'Исходные данные'!$D$2:$D$964,S$3,'Исходные данные'!$F$2:$F$964,$H5&amp;"",'Исходные данные'!$L$2:$L$964,"УТТ")+SUMIFS('Исходные данные'!$J$2:$J$964,'Исходные данные'!$D$2:$D$964,S$3,'Исходные данные'!$F$2:$F$964,$H5&amp;"",'Исходные данные'!$L$2:$L$964,"УТТ")=0,"","утт-"&amp;(SUMIFS('Исходные данные'!$I$2:$I$964,'Исходные данные'!$D$2:$D$964,S$3,'Исходные данные'!$F$2:$F$964,$H5&amp;"",'Исходные данные'!$L$2:$L$964,"УТТ")+SUMIFS('Исходные данные'!$J$2:$J$964,'Исходные данные'!$D$2:$D$964,S$3,'Исходные данные'!$F$2:$F$964,$H5&amp;"",'Исходные данные'!$L$2:$L$964,"УТТ")))</f>
        <v/>
      </c>
      <c r="T4" s="42" t="str">
        <f aca="false">IF(SUMIFS('Исходные данные'!$I$2:$I$964,'Исходные данные'!$D$2:$D$964,T$3,'Исходные данные'!$F$2:$F$964,$H5&amp;"",'Исходные данные'!$L$2:$L$964,"УТТ")+SUMIFS('Исходные данные'!$J$2:$J$964,'Исходные данные'!$D$2:$D$964,T$3,'Исходные данные'!$F$2:$F$964,$H5&amp;"",'Исходные данные'!$L$2:$L$964,"УТТ")=0,"","утт-"&amp;(SUMIFS('Исходные данные'!$I$2:$I$964,'Исходные данные'!$D$2:$D$964,T$3,'Исходные данные'!$F$2:$F$964,$H5&amp;"",'Исходные данные'!$L$2:$L$964,"УТТ")+SUMIFS('Исходные данные'!$J$2:$J$964,'Исходные данные'!$D$2:$D$964,T$3,'Исходные данные'!$F$2:$F$964,$H5&amp;"",'Исходные данные'!$L$2:$L$964,"УТТ")))</f>
        <v/>
      </c>
      <c r="U4" s="45" t="str">
        <f aca="false">IF(SUMIFS('Исходные данные'!$I$2:$I$964,'Исходные данные'!$D$2:$D$964,U$3,'Исходные данные'!$F$2:$F$964,$H5&amp;"",'Исходные данные'!$L$2:$L$964,"УТТ")+SUMIFS('Исходные данные'!$J$2:$J$964,'Исходные данные'!$D$2:$D$964,U$3,'Исходные данные'!$F$2:$F$964,$H5&amp;"",'Исходные данные'!$L$2:$L$964,"УТТ")=0,"","утт-"&amp;(SUMIFS('Исходные данные'!$I$2:$I$964,'Исходные данные'!$D$2:$D$964,U$3,'Исходные данные'!$F$2:$F$964,$H5&amp;"",'Исходные данные'!$L$2:$L$964,"УТТ")+SUMIFS('Исходные данные'!$J$2:$J$964,'Исходные данные'!$D$2:$D$964,U$3,'Исходные данные'!$F$2:$F$964,$H5&amp;"",'Исходные данные'!$L$2:$L$964,"УТТ")))</f>
        <v/>
      </c>
      <c r="V4" s="42" t="str">
        <f aca="false">IF(SUMIFS('Исходные данные'!$I$2:$I$964,'Исходные данные'!$D$2:$D$964,V$3,'Исходные данные'!$F$2:$F$964,$H5&amp;"",'Исходные данные'!$L$2:$L$964,"УТТ")+SUMIFS('Исходные данные'!$J$2:$J$964,'Исходные данные'!$D$2:$D$964,V$3,'Исходные данные'!$F$2:$F$964,$H5&amp;"",'Исходные данные'!$L$2:$L$964,"УТТ")=0,"","утт-"&amp;(SUMIFS('Исходные данные'!$I$2:$I$964,'Исходные данные'!$D$2:$D$964,V$3,'Исходные данные'!$F$2:$F$964,$H5&amp;"",'Исходные данные'!$L$2:$L$964,"УТТ")+SUMIFS('Исходные данные'!$J$2:$J$964,'Исходные данные'!$D$2:$D$964,V$3,'Исходные данные'!$F$2:$F$964,$H5&amp;"",'Исходные данные'!$L$2:$L$964,"УТТ")))</f>
        <v/>
      </c>
      <c r="W4" s="45" t="str">
        <f aca="false">IF(SUMIFS('Исходные данные'!$I$2:$I$964,'Исходные данные'!$D$2:$D$964,W$3,'Исходные данные'!$F$2:$F$964,$H5&amp;"",'Исходные данные'!$L$2:$L$964,"УТТ")+SUMIFS('Исходные данные'!$J$2:$J$964,'Исходные данные'!$D$2:$D$964,W$3,'Исходные данные'!$F$2:$F$964,$H5&amp;"",'Исходные данные'!$L$2:$L$964,"УТТ")=0,"","утт-"&amp;(SUMIFS('Исходные данные'!$I$2:$I$964,'Исходные данные'!$D$2:$D$964,W$3,'Исходные данные'!$F$2:$F$964,$H5&amp;"",'Исходные данные'!$L$2:$L$964,"УТТ")+SUMIFS('Исходные данные'!$J$2:$J$964,'Исходные данные'!$D$2:$D$964,W$3,'Исходные данные'!$F$2:$F$964,$H5&amp;"",'Исходные данные'!$L$2:$L$964,"УТТ")))</f>
        <v/>
      </c>
      <c r="X4" s="45" t="str">
        <f aca="false">IF(SUMIFS('Исходные данные'!$I$2:$I$964,'Исходные данные'!$D$2:$D$964,X$3,'Исходные данные'!$F$2:$F$964,$H5&amp;"",'Исходные данные'!$L$2:$L$964,"УТТ")+SUMIFS('Исходные данные'!$J$2:$J$964,'Исходные данные'!$D$2:$D$964,X$3,'Исходные данные'!$F$2:$F$964,$H5&amp;"",'Исходные данные'!$L$2:$L$964,"УТТ")=0,"","утт-"&amp;(SUMIFS('Исходные данные'!$I$2:$I$964,'Исходные данные'!$D$2:$D$964,X$3,'Исходные данные'!$F$2:$F$964,$H5&amp;"",'Исходные данные'!$L$2:$L$964,"УТТ")+SUMIFS('Исходные данные'!$J$2:$J$964,'Исходные данные'!$D$2:$D$964,X$3,'Исходные данные'!$F$2:$F$964,$H5&amp;"",'Исходные данные'!$L$2:$L$964,"УТТ")))</f>
        <v/>
      </c>
      <c r="Y4" s="46" t="str">
        <f aca="false">IF(SUMIFS('Исходные данные'!$I$2:$I$964,'Исходные данные'!$D$2:$D$964,Y$3,'Исходные данные'!$F$2:$F$964,$H5&amp;"",'Исходные данные'!$L$2:$L$964,"УТТ")+SUMIFS('Исходные данные'!$J$2:$J$964,'Исходные данные'!$D$2:$D$964,Y$3,'Исходные данные'!$F$2:$F$964,$H5&amp;"",'Исходные данные'!$L$2:$L$964,"УТТ")=0,"","утт-"&amp;(SUMIFS('Исходные данные'!$I$2:$I$964,'Исходные данные'!$D$2:$D$964,Y$3,'Исходные данные'!$F$2:$F$964,$H5&amp;"",'Исходные данные'!$L$2:$L$964,"УТТ")+SUMIFS('Исходные данные'!$J$2:$J$964,'Исходные данные'!$D$2:$D$964,Y$3,'Исходные данные'!$F$2:$F$964,$H5&amp;"",'Исходные данные'!$L$2:$L$964,"УТТ")))</f>
        <v/>
      </c>
      <c r="Z4" s="42" t="str">
        <f aca="false">IF(SUMIFS('Исходные данные'!$I$2:$I$964,'Исходные данные'!$D$2:$D$964,Z$3,'Исходные данные'!$F$2:$F$964,$H5&amp;"",'Исходные данные'!$L$2:$L$964,"УТТ")+SUMIFS('Исходные данные'!$J$2:$J$964,'Исходные данные'!$D$2:$D$964,Z$3,'Исходные данные'!$F$2:$F$964,$H5&amp;"",'Исходные данные'!$L$2:$L$964,"УТТ")=0,"","утт-"&amp;(SUMIFS('Исходные данные'!$I$2:$I$964,'Исходные данные'!$D$2:$D$964,Z$3,'Исходные данные'!$F$2:$F$964,$H5&amp;"",'Исходные данные'!$L$2:$L$964,"УТТ")+SUMIFS('Исходные данные'!$J$2:$J$964,'Исходные данные'!$D$2:$D$964,Z$3,'Исходные данные'!$F$2:$F$964,$H5&amp;"",'Исходные данные'!$L$2:$L$964,"УТТ")))</f>
        <v/>
      </c>
      <c r="AA4" s="43" t="str">
        <f aca="false">IF(SUMIFS('Исходные данные'!$I$2:$I$964,'Исходные данные'!$D$2:$D$964,AA$3,'Исходные данные'!$F$2:$F$964,$H5&amp;"",'Исходные данные'!$L$2:$L$964,"УТТ")+SUMIFS('Исходные данные'!$J$2:$J$964,'Исходные данные'!$D$2:$D$964,AA$3,'Исходные данные'!$F$2:$F$964,$H5&amp;"",'Исходные данные'!$L$2:$L$964,"УТТ")=0,"","утт-"&amp;(SUMIFS('Исходные данные'!$I$2:$I$964,'Исходные данные'!$D$2:$D$964,AA$3,'Исходные данные'!$F$2:$F$964,$H5&amp;"",'Исходные данные'!$L$2:$L$964,"УТТ")+SUMIFS('Исходные данные'!$J$2:$J$964,'Исходные данные'!$D$2:$D$964,AA$3,'Исходные данные'!$F$2:$F$964,$H5&amp;"",'Исходные данные'!$L$2:$L$964,"УТТ")))</f>
        <v/>
      </c>
      <c r="AB4" s="43" t="str">
        <f aca="false">IF(SUMIFS('Исходные данные'!$I$2:$I$964,'Исходные данные'!$D$2:$D$964,AB$3,'Исходные данные'!$F$2:$F$964,$H5&amp;"",'Исходные данные'!$L$2:$L$964,"УТТ")+SUMIFS('Исходные данные'!$J$2:$J$964,'Исходные данные'!$D$2:$D$964,AB$3,'Исходные данные'!$F$2:$F$964,$H5&amp;"",'Исходные данные'!$L$2:$L$964,"УТТ")=0,"","утт-"&amp;(SUMIFS('Исходные данные'!$I$2:$I$964,'Исходные данные'!$D$2:$D$964,AB$3,'Исходные данные'!$F$2:$F$964,$H5&amp;"",'Исходные данные'!$L$2:$L$964,"УТТ")+SUMIFS('Исходные данные'!$J$2:$J$964,'Исходные данные'!$D$2:$D$964,AB$3,'Исходные данные'!$F$2:$F$964,$H5&amp;"",'Исходные данные'!$L$2:$L$964,"УТТ")))</f>
        <v/>
      </c>
      <c r="AC4" s="42" t="str">
        <f aca="false">IF(SUMIFS('Исходные данные'!$I$2:$I$964,'Исходные данные'!$D$2:$D$964,AC$3,'Исходные данные'!$F$2:$F$964,$H5&amp;"",'Исходные данные'!$L$2:$L$964,"УТТ")+SUMIFS('Исходные данные'!$J$2:$J$964,'Исходные данные'!$D$2:$D$964,AC$3,'Исходные данные'!$F$2:$F$964,$H5&amp;"",'Исходные данные'!$L$2:$L$964,"УТТ")=0,"","утт-"&amp;(SUMIFS('Исходные данные'!$I$2:$I$964,'Исходные данные'!$D$2:$D$964,AC$3,'Исходные данные'!$F$2:$F$964,$H5&amp;"",'Исходные данные'!$L$2:$L$964,"УТТ")+SUMIFS('Исходные данные'!$J$2:$J$964,'Исходные данные'!$D$2:$D$964,AC$3,'Исходные данные'!$F$2:$F$964,$H5&amp;"",'Исходные данные'!$L$2:$L$964,"УТТ")))</f>
        <v/>
      </c>
      <c r="AD4" s="43" t="str">
        <f aca="false">IF(SUMIFS('Исходные данные'!$I$2:$I$964,'Исходные данные'!$D$2:$D$964,AD$3,'Исходные данные'!$F$2:$F$964,$H5&amp;"",'Исходные данные'!$L$2:$L$964,"УТТ")+SUMIFS('Исходные данные'!$J$2:$J$964,'Исходные данные'!$D$2:$D$964,AD$3,'Исходные данные'!$F$2:$F$964,$H5&amp;"",'Исходные данные'!$L$2:$L$964,"УТТ")=0,"","утт-"&amp;(SUMIFS('Исходные данные'!$I$2:$I$964,'Исходные данные'!$D$2:$D$964,AD$3,'Исходные данные'!$F$2:$F$964,$H5&amp;"",'Исходные данные'!$L$2:$L$964,"УТТ")+SUMIFS('Исходные данные'!$J$2:$J$964,'Исходные данные'!$D$2:$D$964,AD$3,'Исходные данные'!$F$2:$F$964,$H5&amp;"",'Исходные данные'!$L$2:$L$964,"УТТ")))</f>
        <v>утт-7</v>
      </c>
    </row>
    <row r="5" customFormat="false" ht="25.5" hidden="false" customHeight="true" outlineLevel="0" collapsed="false">
      <c r="A5" s="47" t="n">
        <v>3</v>
      </c>
      <c r="B5" s="32" t="s">
        <v>167</v>
      </c>
      <c r="C5" s="33" t="s">
        <v>8</v>
      </c>
      <c r="D5" s="34"/>
      <c r="E5" s="34" t="s">
        <v>168</v>
      </c>
      <c r="F5" s="34" t="s">
        <v>21</v>
      </c>
      <c r="G5" s="35"/>
      <c r="H5" s="36" t="n">
        <v>34</v>
      </c>
      <c r="I5" s="48" t="s">
        <v>160</v>
      </c>
      <c r="J5" s="49" t="n">
        <f aca="false">IFERROR(INDEX('Выход ТС'!$C:$C,MATCH($H5&amp;"",'Выход ТС'!$A:$A,0)),"")</f>
        <v>29</v>
      </c>
      <c r="K5" s="50" t="n">
        <f aca="false">IFERROR(INDEX('Выход ТС'!$E:$E,MATCH($H5&amp;"",'Выход ТС'!$A:$A,0)),"")</f>
        <v>27</v>
      </c>
      <c r="L5" s="51" t="n">
        <f aca="false">IFERROR(INDEX('Выход ТС'!$F:$F,MATCH($H5&amp;"",'Выход ТС'!$A:$A,0)),"")</f>
        <v>-2</v>
      </c>
      <c r="M5" s="52" t="n">
        <f aca="false">IFERROR(IF(INDEX('Выход ТС'!$G:$G,MATCH($H5&amp;"",'Выход ТС'!$A:$A,0))=0,"",INDEX('Выход ТС'!$G:$G,MATCH($H5&amp;"",'Выход ТС'!$A:$A,0))),"")</f>
        <v>19</v>
      </c>
      <c r="N5" s="52" t="n">
        <f aca="false">IFERROR(IF(INDEX('Выход ТС'!$H:$H,MATCH($H5&amp;"",'Выход ТС'!$A:$A,0))=0,"",INDEX('Выход ТС'!$H:$H,MATCH($H5&amp;"",'Выход ТС'!$A:$A,0))),"")</f>
        <v>8</v>
      </c>
      <c r="O5" s="53" t="str">
        <f aca="false">IF(SUMIFS('Исходные данные'!$I$2:$I$964,'Исходные данные'!$D$2:$D$964,O$3,'Исходные данные'!$F$2:$F$964,$H5&amp;"")+SUMIFS('Исходные данные'!$J$2:$J$964,'Исходные данные'!$D$2:$D$964,O$3,'Исходные данные'!$F$2:$F$964,$H5&amp;"")=0,"",IF(SUMIFS('Исходные данные'!$J$2:$J$964,'Исходные данные'!$D$2:$D$964,O$3,'Исходные данные'!$F$2:$F$964,$H5&amp;"")=0,SUMIFS('Исходные данные'!$I$2:$I$964,'Исходные данные'!$D$2:$D$964,O$3,'Исходные данные'!$F$2:$F$964,$H5&amp;""),IF(SUMIFS('Исходные данные'!$I$2:$I$964,'Исходные данные'!$D$2:$D$964,O$3,'Исходные данные'!$F$2:$F$964,$H5&amp;"")=0,"0+"&amp;SUMIFS('Исходные данные'!$J$2:$J$964,'Исходные данные'!$D$2:$D$964,O$3,'Исходные данные'!$F$2:$F$964,$H5&amp;"")&amp;"="&amp;SUMIFS('Исходные данные'!$J$2:$J$964,'Исходные данные'!$D$2:$D$964,O$3,'Исходные данные'!$F$2:$F$964,$H5&amp;""),SUMIFS('Исходные данные'!$I$2:$I$964,'Исходные данные'!$D$2:$D$964,O$3,'Исходные данные'!$F$2:$F$964,$H5&amp;"")&amp;"+"&amp;SUMIFS('Исходные данные'!$J$2:$J$964,'Исходные данные'!$D$2:$D$964,O$3,'Исходные данные'!$F$2:$F$964,$H5&amp;"")&amp;"="&amp;(SUMIFS('Исходные данные'!$I$2:$I$964,'Исходные данные'!$D$2:$D$964,O$3,'Исходные данные'!$F$2:$F$964,$H5&amp;"")+SUMIFS('Исходные данные'!$J$2:$J$964,'Исходные данные'!$D$2:$D$964,O$3,'Исходные данные'!$F$2:$F$964,$H5&amp;"")))))</f>
        <v>3+1=4</v>
      </c>
      <c r="P5" s="54" t="n">
        <f aca="false">IF(SUMIFS('Исходные данные'!$I$2:$I$964,'Исходные данные'!$D$2:$D$964,P$3,'Исходные данные'!$F$2:$F$964,$H5&amp;"")+SUMIFS('Исходные данные'!$J$2:$J$964,'Исходные данные'!$D$2:$D$964,P$3,'Исходные данные'!$F$2:$F$964,$H5&amp;"")=0,"",IF(SUMIFS('Исходные данные'!$J$2:$J$964,'Исходные данные'!$D$2:$D$964,P$3,'Исходные данные'!$F$2:$F$964,$H5&amp;"")=0,SUMIFS('Исходные данные'!$I$2:$I$964,'Исходные данные'!$D$2:$D$964,P$3,'Исходные данные'!$F$2:$F$964,$H5&amp;""),IF(SUMIFS('Исходные данные'!$I$2:$I$964,'Исходные данные'!$D$2:$D$964,P$3,'Исходные данные'!$F$2:$F$964,$H5&amp;"")=0,"0+"&amp;SUMIFS('Исходные данные'!$J$2:$J$964,'Исходные данные'!$D$2:$D$964,P$3,'Исходные данные'!$F$2:$F$964,$H5&amp;"")&amp;"="&amp;SUMIFS('Исходные данные'!$J$2:$J$964,'Исходные данные'!$D$2:$D$964,P$3,'Исходные данные'!$F$2:$F$964,$H5&amp;""),SUMIFS('Исходные данные'!$I$2:$I$964,'Исходные данные'!$D$2:$D$964,P$3,'Исходные данные'!$F$2:$F$964,$H5&amp;"")&amp;"+"&amp;SUMIFS('Исходные данные'!$J$2:$J$964,'Исходные данные'!$D$2:$D$964,P$3,'Исходные данные'!$F$2:$F$964,$H5&amp;"")&amp;"="&amp;(SUMIFS('Исходные данные'!$I$2:$I$964,'Исходные данные'!$D$2:$D$964,P$3,'Исходные данные'!$F$2:$F$964,$H5&amp;"")+SUMIFS('Исходные данные'!$J$2:$J$964,'Исходные данные'!$D$2:$D$964,P$3,'Исходные данные'!$F$2:$F$964,$H5&amp;"")))))</f>
        <v>2</v>
      </c>
      <c r="Q5" s="53" t="str">
        <f aca="false">IF(SUMIFS('Исходные данные'!$I$2:$I$964,'Исходные данные'!$D$2:$D$964,Q$3,'Исходные данные'!$F$2:$F$964,$H5&amp;"")+SUMIFS('Исходные данные'!$J$2:$J$964,'Исходные данные'!$D$2:$D$964,Q$3,'Исходные данные'!$F$2:$F$964,$H5&amp;"")=0,"",IF(SUMIFS('Исходные данные'!$J$2:$J$964,'Исходные данные'!$D$2:$D$964,Q$3,'Исходные данные'!$F$2:$F$964,$H5&amp;"")=0,SUMIFS('Исходные данные'!$I$2:$I$964,'Исходные данные'!$D$2:$D$964,Q$3,'Исходные данные'!$F$2:$F$964,$H5&amp;""),IF(SUMIFS('Исходные данные'!$I$2:$I$964,'Исходные данные'!$D$2:$D$964,Q$3,'Исходные данные'!$F$2:$F$964,$H5&amp;"")=0,"0+"&amp;SUMIFS('Исходные данные'!$J$2:$J$964,'Исходные данные'!$D$2:$D$964,Q$3,'Исходные данные'!$F$2:$F$964,$H5&amp;"")&amp;"="&amp;SUMIFS('Исходные данные'!$J$2:$J$964,'Исходные данные'!$D$2:$D$964,Q$3,'Исходные данные'!$F$2:$F$964,$H5&amp;""),SUMIFS('Исходные данные'!$I$2:$I$964,'Исходные данные'!$D$2:$D$964,Q$3,'Исходные данные'!$F$2:$F$964,$H5&amp;"")&amp;"+"&amp;SUMIFS('Исходные данные'!$J$2:$J$964,'Исходные данные'!$D$2:$D$964,Q$3,'Исходные данные'!$F$2:$F$964,$H5&amp;"")&amp;"="&amp;(SUMIFS('Исходные данные'!$I$2:$I$964,'Исходные данные'!$D$2:$D$964,Q$3,'Исходные данные'!$F$2:$F$964,$H5&amp;"")+SUMIFS('Исходные данные'!$J$2:$J$964,'Исходные данные'!$D$2:$D$964,Q$3,'Исходные данные'!$F$2:$F$964,$H5&amp;"")))))</f>
        <v>3+1=4</v>
      </c>
      <c r="R5" s="55" t="n">
        <f aca="false">IF(SUMIFS('Исходные данные'!$I$2:$I$964,'Исходные данные'!$D$2:$D$964,R$3,'Исходные данные'!$F$2:$F$964,$H5&amp;"")+SUMIFS('Исходные данные'!$J$2:$J$964,'Исходные данные'!$D$2:$D$964,R$3,'Исходные данные'!$F$2:$F$964,$H5&amp;"")=0,"",IF(SUMIFS('Исходные данные'!$J$2:$J$964,'Исходные данные'!$D$2:$D$964,R$3,'Исходные данные'!$F$2:$F$964,$H5&amp;"")=0,SUMIFS('Исходные данные'!$I$2:$I$964,'Исходные данные'!$D$2:$D$964,R$3,'Исходные данные'!$F$2:$F$964,$H5&amp;""),IF(SUMIFS('Исходные данные'!$I$2:$I$964,'Исходные данные'!$D$2:$D$964,R$3,'Исходные данные'!$F$2:$F$964,$H5&amp;"")=0,"0+"&amp;SUMIFS('Исходные данные'!$J$2:$J$964,'Исходные данные'!$D$2:$D$964,R$3,'Исходные данные'!$F$2:$F$964,$H5&amp;"")&amp;"="&amp;SUMIFS('Исходные данные'!$J$2:$J$964,'Исходные данные'!$D$2:$D$964,R$3,'Исходные данные'!$F$2:$F$964,$H5&amp;""),SUMIFS('Исходные данные'!$I$2:$I$964,'Исходные данные'!$D$2:$D$964,R$3,'Исходные данные'!$F$2:$F$964,$H5&amp;"")&amp;"+"&amp;SUMIFS('Исходные данные'!$J$2:$J$964,'Исходные данные'!$D$2:$D$964,R$3,'Исходные данные'!$F$2:$F$964,$H5&amp;"")&amp;"="&amp;(SUMIFS('Исходные данные'!$I$2:$I$964,'Исходные данные'!$D$2:$D$964,R$3,'Исходные данные'!$F$2:$F$964,$H5&amp;"")+SUMIFS('Исходные данные'!$J$2:$J$964,'Исходные данные'!$D$2:$D$964,R$3,'Исходные данные'!$F$2:$F$964,$H5&amp;"")))))</f>
        <v>1</v>
      </c>
      <c r="S5" s="54" t="n">
        <f aca="false">IF(SUMIFS('Исходные данные'!$I$2:$I$964,'Исходные данные'!$D$2:$D$964,S$3,'Исходные данные'!$F$2:$F$964,$H5&amp;"")+SUMIFS('Исходные данные'!$J$2:$J$964,'Исходные данные'!$D$2:$D$964,S$3,'Исходные данные'!$F$2:$F$964,$H5&amp;"")=0,"",IF(SUMIFS('Исходные данные'!$J$2:$J$964,'Исходные данные'!$D$2:$D$964,S$3,'Исходные данные'!$F$2:$F$964,$H5&amp;"")=0,SUMIFS('Исходные данные'!$I$2:$I$964,'Исходные данные'!$D$2:$D$964,S$3,'Исходные данные'!$F$2:$F$964,$H5&amp;""),IF(SUMIFS('Исходные данные'!$I$2:$I$964,'Исходные данные'!$D$2:$D$964,S$3,'Исходные данные'!$F$2:$F$964,$H5&amp;"")=0,"0+"&amp;SUMIFS('Исходные данные'!$J$2:$J$964,'Исходные данные'!$D$2:$D$964,S$3,'Исходные данные'!$F$2:$F$964,$H5&amp;"")&amp;"="&amp;SUMIFS('Исходные данные'!$J$2:$J$964,'Исходные данные'!$D$2:$D$964,S$3,'Исходные данные'!$F$2:$F$964,$H5&amp;""),SUMIFS('Исходные данные'!$I$2:$I$964,'Исходные данные'!$D$2:$D$964,S$3,'Исходные данные'!$F$2:$F$964,$H5&amp;"")&amp;"+"&amp;SUMIFS('Исходные данные'!$J$2:$J$964,'Исходные данные'!$D$2:$D$964,S$3,'Исходные данные'!$F$2:$F$964,$H5&amp;"")&amp;"="&amp;(SUMIFS('Исходные данные'!$I$2:$I$964,'Исходные данные'!$D$2:$D$964,S$3,'Исходные данные'!$F$2:$F$964,$H5&amp;"")+SUMIFS('Исходные данные'!$J$2:$J$964,'Исходные данные'!$D$2:$D$964,S$3,'Исходные данные'!$F$2:$F$964,$H5&amp;"")))))</f>
        <v>1</v>
      </c>
      <c r="T5" s="53" t="str">
        <f aca="false">IF(SUMIFS('Исходные данные'!$I$2:$I$964,'Исходные данные'!$D$2:$D$964,T$3,'Исходные данные'!$F$2:$F$964,$H5&amp;"")+SUMIFS('Исходные данные'!$J$2:$J$964,'Исходные данные'!$D$2:$D$964,T$3,'Исходные данные'!$F$2:$F$964,$H5&amp;"")=0,"",IF(SUMIFS('Исходные данные'!$J$2:$J$964,'Исходные данные'!$D$2:$D$964,T$3,'Исходные данные'!$F$2:$F$964,$H5&amp;"")=0,SUMIFS('Исходные данные'!$I$2:$I$964,'Исходные данные'!$D$2:$D$964,T$3,'Исходные данные'!$F$2:$F$964,$H5&amp;""),IF(SUMIFS('Исходные данные'!$I$2:$I$964,'Исходные данные'!$D$2:$D$964,T$3,'Исходные данные'!$F$2:$F$964,$H5&amp;"")=0,"0+"&amp;SUMIFS('Исходные данные'!$J$2:$J$964,'Исходные данные'!$D$2:$D$964,T$3,'Исходные данные'!$F$2:$F$964,$H5&amp;"")&amp;"="&amp;SUMIFS('Исходные данные'!$J$2:$J$964,'Исходные данные'!$D$2:$D$964,T$3,'Исходные данные'!$F$2:$F$964,$H5&amp;""),SUMIFS('Исходные данные'!$I$2:$I$964,'Исходные данные'!$D$2:$D$964,T$3,'Исходные данные'!$F$2:$F$964,$H5&amp;"")&amp;"+"&amp;SUMIFS('Исходные данные'!$J$2:$J$964,'Исходные данные'!$D$2:$D$964,T$3,'Исходные данные'!$F$2:$F$964,$H5&amp;"")&amp;"="&amp;(SUMIFS('Исходные данные'!$I$2:$I$964,'Исходные данные'!$D$2:$D$964,T$3,'Исходные данные'!$F$2:$F$964,$H5&amp;"")+SUMIFS('Исходные данные'!$J$2:$J$964,'Исходные данные'!$D$2:$D$964,T$3,'Исходные данные'!$F$2:$F$964,$H5&amp;"")))))</f>
        <v/>
      </c>
      <c r="U5" s="54" t="str">
        <f aca="false">IF(SUMIFS('Исходные данные'!$I$2:$I$964,'Исходные данные'!$D$2:$D$964,U$3,'Исходные данные'!$F$2:$F$964,$H5&amp;"")+SUMIFS('Исходные данные'!$J$2:$J$964,'Исходные данные'!$D$2:$D$964,U$3,'Исходные данные'!$F$2:$F$964,$H5&amp;"")=0,"",IF(SUMIFS('Исходные данные'!$J$2:$J$964,'Исходные данные'!$D$2:$D$964,U$3,'Исходные данные'!$F$2:$F$964,$H5&amp;"")=0,SUMIFS('Исходные данные'!$I$2:$I$964,'Исходные данные'!$D$2:$D$964,U$3,'Исходные данные'!$F$2:$F$964,$H5&amp;""),IF(SUMIFS('Исходные данные'!$I$2:$I$964,'Исходные данные'!$D$2:$D$964,U$3,'Исходные данные'!$F$2:$F$964,$H5&amp;"")=0,"0+"&amp;SUMIFS('Исходные данные'!$J$2:$J$964,'Исходные данные'!$D$2:$D$964,U$3,'Исходные данные'!$F$2:$F$964,$H5&amp;"")&amp;"="&amp;SUMIFS('Исходные данные'!$J$2:$J$964,'Исходные данные'!$D$2:$D$964,U$3,'Исходные данные'!$F$2:$F$964,$H5&amp;""),SUMIFS('Исходные данные'!$I$2:$I$964,'Исходные данные'!$D$2:$D$964,U$3,'Исходные данные'!$F$2:$F$964,$H5&amp;"")&amp;"+"&amp;SUMIFS('Исходные данные'!$J$2:$J$964,'Исходные данные'!$D$2:$D$964,U$3,'Исходные данные'!$F$2:$F$964,$H5&amp;"")&amp;"="&amp;(SUMIFS('Исходные данные'!$I$2:$I$964,'Исходные данные'!$D$2:$D$964,U$3,'Исходные данные'!$F$2:$F$964,$H5&amp;"")+SUMIFS('Исходные данные'!$J$2:$J$964,'Исходные данные'!$D$2:$D$964,U$3,'Исходные данные'!$F$2:$F$964,$H5&amp;"")))))</f>
        <v/>
      </c>
      <c r="V5" s="53" t="str">
        <f aca="false">IF(SUMIFS('Исходные данные'!$I$2:$I$964,'Исходные данные'!$D$2:$D$964,V$3,'Исходные данные'!$F$2:$F$964,$H5&amp;"")+SUMIFS('Исходные данные'!$J$2:$J$964,'Исходные данные'!$D$2:$D$964,V$3,'Исходные данные'!$F$2:$F$964,$H5&amp;"")=0,"",IF(SUMIFS('Исходные данные'!$J$2:$J$964,'Исходные данные'!$D$2:$D$964,V$3,'Исходные данные'!$F$2:$F$964,$H5&amp;"")=0,SUMIFS('Исходные данные'!$I$2:$I$964,'Исходные данные'!$D$2:$D$964,V$3,'Исходные данные'!$F$2:$F$964,$H5&amp;""),IF(SUMIFS('Исходные данные'!$I$2:$I$964,'Исходные данные'!$D$2:$D$964,V$3,'Исходные данные'!$F$2:$F$964,$H5&amp;"")=0,"0+"&amp;SUMIFS('Исходные данные'!$J$2:$J$964,'Исходные данные'!$D$2:$D$964,V$3,'Исходные данные'!$F$2:$F$964,$H5&amp;"")&amp;"="&amp;SUMIFS('Исходные данные'!$J$2:$J$964,'Исходные данные'!$D$2:$D$964,V$3,'Исходные данные'!$F$2:$F$964,$H5&amp;""),SUMIFS('Исходные данные'!$I$2:$I$964,'Исходные данные'!$D$2:$D$964,V$3,'Исходные данные'!$F$2:$F$964,$H5&amp;"")&amp;"+"&amp;SUMIFS('Исходные данные'!$J$2:$J$964,'Исходные данные'!$D$2:$D$964,V$3,'Исходные данные'!$F$2:$F$964,$H5&amp;"")&amp;"="&amp;(SUMIFS('Исходные данные'!$I$2:$I$964,'Исходные данные'!$D$2:$D$964,V$3,'Исходные данные'!$F$2:$F$964,$H5&amp;"")+SUMIFS('Исходные данные'!$J$2:$J$964,'Исходные данные'!$D$2:$D$964,V$3,'Исходные данные'!$F$2:$F$964,$H5&amp;"")))))</f>
        <v/>
      </c>
      <c r="W5" s="54" t="str">
        <f aca="false">IF(SUMIFS('Исходные данные'!$I$2:$I$964,'Исходные данные'!$D$2:$D$964,W$3,'Исходные данные'!$F$2:$F$964,$H5&amp;"")+SUMIFS('Исходные данные'!$J$2:$J$964,'Исходные данные'!$D$2:$D$964,W$3,'Исходные данные'!$F$2:$F$964,$H5&amp;"")=0,"",IF(SUMIFS('Исходные данные'!$J$2:$J$964,'Исходные данные'!$D$2:$D$964,W$3,'Исходные данные'!$F$2:$F$964,$H5&amp;"")=0,SUMIFS('Исходные данные'!$I$2:$I$964,'Исходные данные'!$D$2:$D$964,W$3,'Исходные данные'!$F$2:$F$964,$H5&amp;""),IF(SUMIFS('Исходные данные'!$I$2:$I$964,'Исходные данные'!$D$2:$D$964,W$3,'Исходные данные'!$F$2:$F$964,$H5&amp;"")=0,"0+"&amp;SUMIFS('Исходные данные'!$J$2:$J$964,'Исходные данные'!$D$2:$D$964,W$3,'Исходные данные'!$F$2:$F$964,$H5&amp;"")&amp;"="&amp;SUMIFS('Исходные данные'!$J$2:$J$964,'Исходные данные'!$D$2:$D$964,W$3,'Исходные данные'!$F$2:$F$964,$H5&amp;""),SUMIFS('Исходные данные'!$I$2:$I$964,'Исходные данные'!$D$2:$D$964,W$3,'Исходные данные'!$F$2:$F$964,$H5&amp;"")&amp;"+"&amp;SUMIFS('Исходные данные'!$J$2:$J$964,'Исходные данные'!$D$2:$D$964,W$3,'Исходные данные'!$F$2:$F$964,$H5&amp;"")&amp;"="&amp;(SUMIFS('Исходные данные'!$I$2:$I$964,'Исходные данные'!$D$2:$D$964,W$3,'Исходные данные'!$F$2:$F$964,$H5&amp;"")+SUMIFS('Исходные данные'!$J$2:$J$964,'Исходные данные'!$D$2:$D$964,W$3,'Исходные данные'!$F$2:$F$964,$H5&amp;"")))))</f>
        <v/>
      </c>
      <c r="X5" s="54" t="str">
        <f aca="false">IF(SUMIFS('Исходные данные'!$I$2:$I$964,'Исходные данные'!$D$2:$D$964,X$3,'Исходные данные'!$F$2:$F$964,$H5&amp;"")+SUMIFS('Исходные данные'!$J$2:$J$964,'Исходные данные'!$D$2:$D$964,X$3,'Исходные данные'!$F$2:$F$964,$H5&amp;"")=0,"",IF(SUMIFS('Исходные данные'!$J$2:$J$964,'Исходные данные'!$D$2:$D$964,X$3,'Исходные данные'!$F$2:$F$964,$H5&amp;"")=0,SUMIFS('Исходные данные'!$I$2:$I$964,'Исходные данные'!$D$2:$D$964,X$3,'Исходные данные'!$F$2:$F$964,$H5&amp;""),IF(SUMIFS('Исходные данные'!$I$2:$I$964,'Исходные данные'!$D$2:$D$964,X$3,'Исходные данные'!$F$2:$F$964,$H5&amp;"")=0,"0+"&amp;SUMIFS('Исходные данные'!$J$2:$J$964,'Исходные данные'!$D$2:$D$964,X$3,'Исходные данные'!$F$2:$F$964,$H5&amp;"")&amp;"="&amp;SUMIFS('Исходные данные'!$J$2:$J$964,'Исходные данные'!$D$2:$D$964,X$3,'Исходные данные'!$F$2:$F$964,$H5&amp;""),SUMIFS('Исходные данные'!$I$2:$I$964,'Исходные данные'!$D$2:$D$964,X$3,'Исходные данные'!$F$2:$F$964,$H5&amp;"")&amp;"+"&amp;SUMIFS('Исходные данные'!$J$2:$J$964,'Исходные данные'!$D$2:$D$964,X$3,'Исходные данные'!$F$2:$F$964,$H5&amp;"")&amp;"="&amp;(SUMIFS('Исходные данные'!$I$2:$I$964,'Исходные данные'!$D$2:$D$964,X$3,'Исходные данные'!$F$2:$F$964,$H5&amp;"")+SUMIFS('Исходные данные'!$J$2:$J$964,'Исходные данные'!$D$2:$D$964,X$3,'Исходные данные'!$F$2:$F$964,$H5&amp;"")))))</f>
        <v/>
      </c>
      <c r="Y5" s="56" t="str">
        <f aca="false">IF(SUMIFS('Исходные данные'!$I$2:$I$964,'Исходные данные'!$D$2:$D$964,Y$3,'Исходные данные'!$F$2:$F$964,$H5&amp;"")+SUMIFS('Исходные данные'!$J$2:$J$964,'Исходные данные'!$D$2:$D$964,Y$3,'Исходные данные'!$F$2:$F$964,$H5&amp;"")=0,"",IF(SUMIFS('Исходные данные'!$J$2:$J$964,'Исходные данные'!$D$2:$D$964,Y$3,'Исходные данные'!$F$2:$F$964,$H5&amp;"")=0,SUMIFS('Исходные данные'!$I$2:$I$964,'Исходные данные'!$D$2:$D$964,Y$3,'Исходные данные'!$F$2:$F$964,$H5&amp;""),IF(SUMIFS('Исходные данные'!$I$2:$I$964,'Исходные данные'!$D$2:$D$964,Y$3,'Исходные данные'!$F$2:$F$964,$H5&amp;"")=0,"0+"&amp;SUMIFS('Исходные данные'!$J$2:$J$964,'Исходные данные'!$D$2:$D$964,Y$3,'Исходные данные'!$F$2:$F$964,$H5&amp;"")&amp;"="&amp;SUMIFS('Исходные данные'!$J$2:$J$964,'Исходные данные'!$D$2:$D$964,Y$3,'Исходные данные'!$F$2:$F$964,$H5&amp;""),SUMIFS('Исходные данные'!$I$2:$I$964,'Исходные данные'!$D$2:$D$964,Y$3,'Исходные данные'!$F$2:$F$964,$H5&amp;"")&amp;"+"&amp;SUMIFS('Исходные данные'!$J$2:$J$964,'Исходные данные'!$D$2:$D$964,Y$3,'Исходные данные'!$F$2:$F$964,$H5&amp;"")&amp;"="&amp;(SUMIFS('Исходные данные'!$I$2:$I$964,'Исходные данные'!$D$2:$D$964,Y$3,'Исходные данные'!$F$2:$F$964,$H5&amp;"")+SUMIFS('Исходные данные'!$J$2:$J$964,'Исходные данные'!$D$2:$D$964,Y$3,'Исходные данные'!$F$2:$F$964,$H5&amp;"")))))</f>
        <v/>
      </c>
      <c r="Z5" s="53" t="str">
        <f aca="false">IF(SUMIFS('Исходные данные'!$I$2:$I$964,'Исходные данные'!$D$2:$D$964,Z$3,'Исходные данные'!$F$2:$F$964,$H5&amp;"")+SUMIFS('Исходные данные'!$J$2:$J$964,'Исходные данные'!$D$2:$D$964,Z$3,'Исходные данные'!$F$2:$F$964,$H5&amp;"")=0,"",IF(SUMIFS('Исходные данные'!$J$2:$J$964,'Исходные данные'!$D$2:$D$964,Z$3,'Исходные данные'!$F$2:$F$964,$H5&amp;"")=0,SUMIFS('Исходные данные'!$I$2:$I$964,'Исходные данные'!$D$2:$D$964,Z$3,'Исходные данные'!$F$2:$F$964,$H5&amp;""),IF(SUMIFS('Исходные данные'!$I$2:$I$964,'Исходные данные'!$D$2:$D$964,Z$3,'Исходные данные'!$F$2:$F$964,$H5&amp;"")=0,"0+"&amp;SUMIFS('Исходные данные'!$J$2:$J$964,'Исходные данные'!$D$2:$D$964,Z$3,'Исходные данные'!$F$2:$F$964,$H5&amp;"")&amp;"="&amp;SUMIFS('Исходные данные'!$J$2:$J$964,'Исходные данные'!$D$2:$D$964,Z$3,'Исходные данные'!$F$2:$F$964,$H5&amp;""),SUMIFS('Исходные данные'!$I$2:$I$964,'Исходные данные'!$D$2:$D$964,Z$3,'Исходные данные'!$F$2:$F$964,$H5&amp;"")&amp;"+"&amp;SUMIFS('Исходные данные'!$J$2:$J$964,'Исходные данные'!$D$2:$D$964,Z$3,'Исходные данные'!$F$2:$F$964,$H5&amp;"")&amp;"="&amp;(SUMIFS('Исходные данные'!$I$2:$I$964,'Исходные данные'!$D$2:$D$964,Z$3,'Исходные данные'!$F$2:$F$964,$H5&amp;"")+SUMIFS('Исходные данные'!$J$2:$J$964,'Исходные данные'!$D$2:$D$964,Z$3,'Исходные данные'!$F$2:$F$964,$H5&amp;"")))))</f>
        <v/>
      </c>
      <c r="AA5" s="54" t="str">
        <f aca="false">IF(SUMIFS('Исходные данные'!$I$2:$I$964,'Исходные данные'!$D$2:$D$964,AA$3,'Исходные данные'!$F$2:$F$964,$H5&amp;"")+SUMIFS('Исходные данные'!$J$2:$J$964,'Исходные данные'!$D$2:$D$964,AA$3,'Исходные данные'!$F$2:$F$964,$H5&amp;"")=0,"",IF(SUMIFS('Исходные данные'!$J$2:$J$964,'Исходные данные'!$D$2:$D$964,AA$3,'Исходные данные'!$F$2:$F$964,$H5&amp;"")=0,SUMIFS('Исходные данные'!$I$2:$I$964,'Исходные данные'!$D$2:$D$964,AA$3,'Исходные данные'!$F$2:$F$964,$H5&amp;""),IF(SUMIFS('Исходные данные'!$I$2:$I$964,'Исходные данные'!$D$2:$D$964,AA$3,'Исходные данные'!$F$2:$F$964,$H5&amp;"")=0,"0+"&amp;SUMIFS('Исходные данные'!$J$2:$J$964,'Исходные данные'!$D$2:$D$964,AA$3,'Исходные данные'!$F$2:$F$964,$H5&amp;"")&amp;"="&amp;SUMIFS('Исходные данные'!$J$2:$J$964,'Исходные данные'!$D$2:$D$964,AA$3,'Исходные данные'!$F$2:$F$964,$H5&amp;""),SUMIFS('Исходные данные'!$I$2:$I$964,'Исходные данные'!$D$2:$D$964,AA$3,'Исходные данные'!$F$2:$F$964,$H5&amp;"")&amp;"+"&amp;SUMIFS('Исходные данные'!$J$2:$J$964,'Исходные данные'!$D$2:$D$964,AA$3,'Исходные данные'!$F$2:$F$964,$H5&amp;"")&amp;"="&amp;(SUMIFS('Исходные данные'!$I$2:$I$964,'Исходные данные'!$D$2:$D$964,AA$3,'Исходные данные'!$F$2:$F$964,$H5&amp;"")+SUMIFS('Исходные данные'!$J$2:$J$964,'Исходные данные'!$D$2:$D$964,AA$3,'Исходные данные'!$F$2:$F$964,$H5&amp;"")))))</f>
        <v/>
      </c>
      <c r="AB5" s="54" t="str">
        <f aca="false">IF(SUMIFS('Исходные данные'!$I$2:$I$964,'Исходные данные'!$D$2:$D$964,AB$3,'Исходные данные'!$F$2:$F$964,$H5&amp;"")+SUMIFS('Исходные данные'!$J$2:$J$964,'Исходные данные'!$D$2:$D$964,AB$3,'Исходные данные'!$F$2:$F$964,$H5&amp;"")=0,"",IF(SUMIFS('Исходные данные'!$J$2:$J$964,'Исходные данные'!$D$2:$D$964,AB$3,'Исходные данные'!$F$2:$F$964,$H5&amp;"")=0,SUMIFS('Исходные данные'!$I$2:$I$964,'Исходные данные'!$D$2:$D$964,AB$3,'Исходные данные'!$F$2:$F$964,$H5&amp;""),IF(SUMIFS('Исходные данные'!$I$2:$I$964,'Исходные данные'!$D$2:$D$964,AB$3,'Исходные данные'!$F$2:$F$964,$H5&amp;"")=0,"0+"&amp;SUMIFS('Исходные данные'!$J$2:$J$964,'Исходные данные'!$D$2:$D$964,AB$3,'Исходные данные'!$F$2:$F$964,$H5&amp;"")&amp;"="&amp;SUMIFS('Исходные данные'!$J$2:$J$964,'Исходные данные'!$D$2:$D$964,AB$3,'Исходные данные'!$F$2:$F$964,$H5&amp;""),SUMIFS('Исходные данные'!$I$2:$I$964,'Исходные данные'!$D$2:$D$964,AB$3,'Исходные данные'!$F$2:$F$964,$H5&amp;"")&amp;"+"&amp;SUMIFS('Исходные данные'!$J$2:$J$964,'Исходные данные'!$D$2:$D$964,AB$3,'Исходные данные'!$F$2:$F$964,$H5&amp;"")&amp;"="&amp;(SUMIFS('Исходные данные'!$I$2:$I$964,'Исходные данные'!$D$2:$D$964,AB$3,'Исходные данные'!$F$2:$F$964,$H5&amp;"")+SUMIFS('Исходные данные'!$J$2:$J$964,'Исходные данные'!$D$2:$D$964,AB$3,'Исходные данные'!$F$2:$F$964,$H5&amp;"")))))</f>
        <v/>
      </c>
      <c r="AC5" s="56" t="str">
        <f aca="false">IF(SUMIFS('Исходные данные'!$I$2:$I$964,'Исходные данные'!$D$2:$D$964,AC$3,'Исходные данные'!$F$2:$F$964,$H5&amp;"")+SUMIFS('Исходные данные'!$J$2:$J$964,'Исходные данные'!$D$2:$D$964,AC$3,'Исходные данные'!$F$2:$F$964,$H5&amp;"")=0,"",IF(SUMIFS('Исходные данные'!$J$2:$J$964,'Исходные данные'!$D$2:$D$964,AC$3,'Исходные данные'!$F$2:$F$964,$H5&amp;"")=0,SUMIFS('Исходные данные'!$I$2:$I$964,'Исходные данные'!$D$2:$D$964,AC$3,'Исходные данные'!$F$2:$F$964,$H5&amp;""),IF(SUMIFS('Исходные данные'!$I$2:$I$964,'Исходные данные'!$D$2:$D$964,AC$3,'Исходные данные'!$F$2:$F$964,$H5&amp;"")=0,"0+"&amp;SUMIFS('Исходные данные'!$J$2:$J$964,'Исходные данные'!$D$2:$D$964,AC$3,'Исходные данные'!$F$2:$F$964,$H5&amp;"")&amp;"="&amp;SUMIFS('Исходные данные'!$J$2:$J$964,'Исходные данные'!$D$2:$D$964,AC$3,'Исходные данные'!$F$2:$F$964,$H5&amp;""),SUMIFS('Исходные данные'!$I$2:$I$964,'Исходные данные'!$D$2:$D$964,AC$3,'Исходные данные'!$F$2:$F$964,$H5&amp;"")&amp;"+"&amp;SUMIFS('Исходные данные'!$J$2:$J$964,'Исходные данные'!$D$2:$D$964,AC$3,'Исходные данные'!$F$2:$F$964,$H5&amp;"")&amp;"="&amp;(SUMIFS('Исходные данные'!$I$2:$I$964,'Исходные данные'!$D$2:$D$964,AC$3,'Исходные данные'!$F$2:$F$964,$H5&amp;"")+SUMIFS('Исходные данные'!$J$2:$J$964,'Исходные данные'!$D$2:$D$964,AC$3,'Исходные данные'!$F$2:$F$964,$H5&amp;"")))))</f>
        <v>5+3=8</v>
      </c>
      <c r="AD5" s="54" t="str">
        <f aca="false">IF(SUMIFS('Исходные данные'!$I$2:$I$964,'Исходные данные'!$D$2:$D$964,AD$3,'Исходные данные'!$F$2:$F$964,$H5&amp;"")+SUMIFS('Исходные данные'!$J$2:$J$964,'Исходные данные'!$D$2:$D$964,AD$3,'Исходные данные'!$F$2:$F$964,$H5&amp;"")=0,"",IF(SUMIFS('Исходные данные'!$J$2:$J$964,'Исходные данные'!$D$2:$D$964,AD$3,'Исходные данные'!$F$2:$F$964,$H5&amp;"")=0,SUMIFS('Исходные данные'!$I$2:$I$964,'Исходные данные'!$D$2:$D$964,AD$3,'Исходные данные'!$F$2:$F$964,$H5&amp;""),IF(SUMIFS('Исходные данные'!$I$2:$I$964,'Исходные данные'!$D$2:$D$964,AD$3,'Исходные данные'!$F$2:$F$964,$H5&amp;"")=0,"0+"&amp;SUMIFS('Исходные данные'!$J$2:$J$964,'Исходные данные'!$D$2:$D$964,AD$3,'Исходные данные'!$F$2:$F$964,$H5&amp;"")&amp;"="&amp;SUMIFS('Исходные данные'!$J$2:$J$964,'Исходные данные'!$D$2:$D$964,AD$3,'Исходные данные'!$F$2:$F$964,$H5&amp;""),SUMIFS('Исходные данные'!$I$2:$I$964,'Исходные данные'!$D$2:$D$964,AD$3,'Исходные данные'!$F$2:$F$964,$H5&amp;"")&amp;"+"&amp;SUMIFS('Исходные данные'!$J$2:$J$964,'Исходные данные'!$D$2:$D$964,AD$3,'Исходные данные'!$F$2:$F$964,$H5&amp;"")&amp;"="&amp;(SUMIFS('Исходные данные'!$I$2:$I$964,'Исходные данные'!$D$2:$D$964,AD$3,'Исходные данные'!$F$2:$F$964,$H5&amp;"")+SUMIFS('Исходные данные'!$J$2:$J$964,'Исходные данные'!$D$2:$D$964,AD$3,'Исходные данные'!$F$2:$F$964,$H5&amp;"")))))</f>
        <v>4+3=7</v>
      </c>
      <c r="AE5" s="57" t="n">
        <f aca="false">IFERROR(INDEX('Выход ТС'!$K:$K,MATCH($H5&amp;"",'Выход ТС'!$A:$A,0))+INDEX('Выход ТС'!$L:$L,MATCH($H5&amp;"",'Выход ТС'!$A:$A,0))-INDEX('Выход ТС'!$I:$I,MATCH($H5&amp;"",'Выход ТС'!$A:$A,0))-INDEX('Выход ТС'!$J:$J,MATCH($H5&amp;"",'Выход ТС'!$A:$A,0)),"")</f>
        <v>-1</v>
      </c>
      <c r="AF5" s="57" t="n">
        <f aca="false">IFERROR(INDEX('Выход ТС'!$O:$O,MATCH($H5&amp;"",'Выход ТС'!$A:$A,0))+INDEX('Выход ТС'!$P:$P,MATCH($H5&amp;"",'Выход ТС'!$A:$A,0))-INDEX('Выход ТС'!$M:$M,MATCH($H5&amp;"",'Выход ТС'!$A:$A,0))-INDEX('Выход ТС'!$N:$N,MATCH($H5&amp;"",'Выход ТС'!$A:$A,0)),"")</f>
        <v>-1</v>
      </c>
      <c r="AG5" s="57" t="n">
        <f aca="false">IFERROR(INDEX('Выход ТС'!$S:$S,MATCH($H5&amp;"",'Выход ТС'!$A:$A,0))+INDEX('Выход ТС'!$T:$T,MATCH($H5&amp;"",'Выход ТС'!$A:$A,0))-INDEX('Выход ТС'!$Q:$Q,MATCH($H5&amp;"",'Выход ТС'!$A:$A,0))-INDEX('Выход ТС'!$R:$R,MATCH($H5&amp;"",'Выход ТС'!$A:$A,0)),"")</f>
        <v>-1</v>
      </c>
      <c r="AH5" s="57" t="n">
        <f aca="false">IFERROR(INDEX('Выход ТС'!$W:$W,MATCH($H5&amp;"",'Выход ТС'!$A:$A,0))+INDEX('Выход ТС'!$X:$X,MATCH($H5&amp;"",'Выход ТС'!$A:$A,0))-INDEX('Выход ТС'!$U:$U,MATCH($H5&amp;"",'Выход ТС'!$A:$A,0))-INDEX('Выход ТС'!$V:$V,MATCH($H5&amp;"",'Выход ТС'!$A:$A,0)),"")</f>
        <v>1</v>
      </c>
      <c r="AI5" s="57" t="n">
        <f aca="false">IFERROR(INDEX('Выход ТС'!$AA:$AA,MATCH($H5&amp;"",'Выход ТС'!$A:$A,0))+INDEX('Выход ТС'!$AB:$AB,MATCH($H5&amp;"",'Выход ТС'!$A:$A,0))-INDEX('Выход ТС'!$Y:$Y,MATCH($H5&amp;"",'Выход ТС'!$A:$A,0))-INDEX('Выход ТС'!$Z:$Z,MATCH($H5&amp;"",'Выход ТС'!$A:$A,0)),"")</f>
        <v>0</v>
      </c>
      <c r="AJ5" s="57" t="n">
        <f aca="false">IFERROR(INDEX('Выход ТС'!$AE:$AE,MATCH($H5&amp;"",'Выход ТС'!$A:$A,0))+INDEX('Выход ТС'!$AF:$AF,MATCH($H5&amp;"",'Выход ТС'!$A:$A,0))-INDEX('Выход ТС'!$AC:$AC,MATCH($H5&amp;"",'Выход ТС'!$A:$A,0))-INDEX('Выход ТС'!$AD:$AD,MATCH($H5&amp;"",'Выход ТС'!$A:$A,0)),"")</f>
        <v>0</v>
      </c>
      <c r="AK5" s="57" t="n">
        <f aca="false">IFERROR(INDEX('Выход ТС'!$AI:$AI,MATCH($H5&amp;"",'Выход ТС'!$A:$A,0))+INDEX('Выход ТС'!$AJ:$AJ,MATCH($H5&amp;"",'Выход ТС'!$A:$A,0))-INDEX('Выход ТС'!$AG:$AG,MATCH($H5&amp;"",'Выход ТС'!$A:$A,0))-INDEX('Выход ТС'!$AH:$AH,MATCH($H5&amp;"",'Выход ТС'!$A:$A,0)),"")</f>
        <v>0</v>
      </c>
      <c r="AL5" s="57" t="n">
        <f aca="false">IFERROR(INDEX('Выход ТС'!$AM:$AM,MATCH($H5&amp;"",'Выход ТС'!$A:$A,0))+INDEX('Выход ТС'!$AN:$AN,MATCH($H5&amp;"",'Выход ТС'!$A:$A,0))-INDEX('Выход ТС'!$AK:$AK,MATCH($H5&amp;"",'Выход ТС'!$A:$A,0))-INDEX('Выход ТС'!$AL:$AL,MATCH($H5&amp;"",'Выход ТС'!$A:$A,0)),"")</f>
        <v>0</v>
      </c>
      <c r="AM5" s="57" t="n">
        <f aca="false">IFERROR(INDEX('Выход ТС'!$AQ:$AQ,MATCH($H5&amp;"",'Выход ТС'!$A:$A,0))+INDEX('Выход ТС'!$AR:$AR,MATCH($H5&amp;"",'Выход ТС'!$A:$A,0))-INDEX('Выход ТС'!$AO:$AO,MATCH($H5&amp;"",'Выход ТС'!$A:$A,0))-INDEX('Выход ТС'!$AP:$AP,MATCH($H5&amp;"",'Выход ТС'!$A:$A,0)),"")</f>
        <v>0</v>
      </c>
      <c r="AN5" s="57" t="n">
        <f aca="false">IFERROR(INDEX('Выход ТС'!$AU:$AU,MATCH($H5&amp;"",'Выход ТС'!$A:$A,0))+INDEX('Выход ТС'!$AV:$AV,MATCH($H5&amp;"",'Выход ТС'!$A:$A,0))-INDEX('Выход ТС'!$AS:$AS,MATCH($H5&amp;"",'Выход ТС'!$A:$A,0))-INDEX('Выход ТС'!$AT:$AT,MATCH($H5&amp;"",'Выход ТС'!$A:$A,0)),"")</f>
        <v>0</v>
      </c>
      <c r="AO5" s="57" t="n">
        <f aca="false">IFERROR(INDEX('Выход ТС'!$AY:$AY,MATCH($H5&amp;"",'Выход ТС'!$A:$A,0))+INDEX('Выход ТС'!$AZ:$AZ,MATCH($H5&amp;"",'Выход ТС'!$A:$A,0))-INDEX('Выход ТС'!$AW:$AW,MATCH($H5&amp;"",'Выход ТС'!$A:$A,0))-INDEX('Выход ТС'!$AX:$AX,MATCH($H5&amp;"",'Выход ТС'!$A:$A,0)),"")</f>
        <v>0</v>
      </c>
      <c r="AP5" s="57" t="n">
        <f aca="false">IFERROR(INDEX('Выход ТС'!$BC:$BC,MATCH($H5&amp;"",'Выход ТС'!$A:$A,0))+INDEX('Выход ТС'!$BD:$BD,MATCH($H5&amp;"",'Выход ТС'!$A:$A,0))-INDEX('Выход ТС'!$BA:$BA,MATCH($H5&amp;"",'Выход ТС'!$A:$A,0))-INDEX('Выход ТС'!$BB:$BB,MATCH($H5&amp;"",'Выход ТС'!$A:$A,0)),"")</f>
        <v>0</v>
      </c>
      <c r="AQ5" s="57" t="n">
        <f aca="false">IFERROR(INDEX('Выход ТС'!$BG:$BG,MATCH($H5&amp;"",'Выход ТС'!$A:$A,0))+INDEX('Выход ТС'!$BH:$BH,MATCH($H5&amp;"",'Выход ТС'!$A:$A,0))-INDEX('Выход ТС'!$BE:$BE,MATCH($H5&amp;"",'Выход ТС'!$A:$A,0))-INDEX('Выход ТС'!$BF:$BF,MATCH($H5&amp;"",'Выход ТС'!$A:$A,0)),"")</f>
        <v>0</v>
      </c>
      <c r="AR5" s="57" t="n">
        <f aca="false">IFERROR(INDEX('Выход ТС'!$BK:$BK,MATCH($H5&amp;"",'Выход ТС'!$A:$A,0))+INDEX('Выход ТС'!$BL:$BL,MATCH($H5&amp;"",'Выход ТС'!$A:$A,0))-INDEX('Выход ТС'!$BI:$BI,MATCH($H5&amp;"",'Выход ТС'!$A:$A,0))-INDEX('Выход ТС'!$BJ:$BJ,MATCH($H5&amp;"",'Выход ТС'!$A:$A,0)),"")</f>
        <v>0</v>
      </c>
      <c r="AS5" s="57" t="n">
        <f aca="false">IFERROR(INDEX('Выход ТС'!$BO:$BO,MATCH($H5&amp;"",'Выход ТС'!$A:$A,0))+INDEX('Выход ТС'!$BP:$BP,MATCH($H5&amp;"",'Выход ТС'!$A:$A,0))-INDEX('Выход ТС'!$BM:$BM,MATCH($H5&amp;"",'Выход ТС'!$A:$A,0))-INDEX('Выход ТС'!$BN:$BN,MATCH($H5&amp;"",'Выход ТС'!$A:$A,0)),"")</f>
        <v>0</v>
      </c>
      <c r="AT5" s="57" t="n">
        <f aca="false">IFERROR(INDEX('Выход ТС'!$CI:$CI,MATCH($H5&amp;"",'Выход ТС'!$A:$A,0))+INDEX('Выход ТС'!$CJ:$CJ,MATCH($H5&amp;"",'Выход ТС'!$A:$A,0))-INDEX('Выход ТС'!$CG:$CG,MATCH($H5&amp;"",'Выход ТС'!$A:$A,0))-INDEX('Выход ТС'!$CH:$CH,MATCH($H5&amp;"",'Выход ТС'!$A:$A,0)),"")</f>
        <v>0</v>
      </c>
      <c r="AU5" s="57" t="n">
        <f aca="false">IFERROR(INDEX('Выход ТС'!$CM:$CM,MATCH($H5&amp;"",'Выход ТС'!$A:$A,0))+INDEX('Выход ТС'!$CN:$CN,MATCH($H5&amp;"",'Выход ТС'!$A:$A,0))-INDEX('Выход ТС'!$CK:$CK,MATCH($H5&amp;"",'Выход ТС'!$A:$A,0))-INDEX('Выход ТС'!$CL:$CL,MATCH($H5&amp;"",'Выход ТС'!$A:$A,0)),"")</f>
        <v>0</v>
      </c>
    </row>
    <row r="6" customFormat="false" ht="25.5" hidden="false" customHeight="true" outlineLevel="0" collapsed="false">
      <c r="A6" s="58" t="n">
        <v>4</v>
      </c>
      <c r="B6" s="32" t="s">
        <v>169</v>
      </c>
      <c r="C6" s="33" t="s">
        <v>8</v>
      </c>
      <c r="D6" s="59"/>
      <c r="E6" s="34" t="s">
        <v>170</v>
      </c>
      <c r="F6" s="34" t="s">
        <v>21</v>
      </c>
      <c r="G6" s="35"/>
      <c r="H6" s="36"/>
      <c r="I6" s="60"/>
      <c r="J6" s="61"/>
      <c r="K6" s="62"/>
      <c r="L6" s="63"/>
      <c r="M6" s="64"/>
      <c r="N6" s="64"/>
      <c r="O6" s="65" t="str">
        <f aca="false">IF(SUMIFS('Исходные данные'!$I$2:$I$964,'Исходные данные'!$D$2:$D$964,O$3,'Исходные данные'!$F$2:$F$964,$H7&amp;"",'Исходные данные'!$L$2:$L$964,"УТТ")+SUMIFS('Исходные данные'!$J$2:$J$964,'Исходные данные'!$D$2:$D$964,O$3,'Исходные данные'!$F$2:$F$964,$H7&amp;"",'Исходные данные'!$L$2:$L$964,"УТТ")=0,"","утт-"&amp;(SUMIFS('Исходные данные'!$I$2:$I$964,'Исходные данные'!$D$2:$D$964,O$3,'Исходные данные'!$F$2:$F$964,$H7&amp;"",'Исходные данные'!$L$2:$L$964,"УТТ")+SUMIFS('Исходные данные'!$J$2:$J$964,'Исходные данные'!$D$2:$D$964,O$3,'Исходные данные'!$F$2:$F$964,$H7&amp;"",'Исходные данные'!$L$2:$L$964,"УТТ")))</f>
        <v/>
      </c>
      <c r="P6" s="66" t="str">
        <f aca="false">IF(SUMIFS('Исходные данные'!$I$2:$I$964,'Исходные данные'!$D$2:$D$964,P$3,'Исходные данные'!$F$2:$F$964,$H7&amp;"",'Исходные данные'!$L$2:$L$964,"УТТ")+SUMIFS('Исходные данные'!$J$2:$J$964,'Исходные данные'!$D$2:$D$964,P$3,'Исходные данные'!$F$2:$F$964,$H7&amp;"",'Исходные данные'!$L$2:$L$964,"УТТ")=0,"","утт-"&amp;(SUMIFS('Исходные данные'!$I$2:$I$964,'Исходные данные'!$D$2:$D$964,P$3,'Исходные данные'!$F$2:$F$964,$H7&amp;"",'Исходные данные'!$L$2:$L$964,"УТТ")+SUMIFS('Исходные данные'!$J$2:$J$964,'Исходные данные'!$D$2:$D$964,P$3,'Исходные данные'!$F$2:$F$964,$H7&amp;"",'Исходные данные'!$L$2:$L$964,"УТТ")))</f>
        <v/>
      </c>
      <c r="Q6" s="65" t="str">
        <f aca="false">IF(SUMIFS('Исходные данные'!$I$2:$I$964,'Исходные данные'!$D$2:$D$964,Q$3,'Исходные данные'!$F$2:$F$964,$H7&amp;"",'Исходные данные'!$L$2:$L$964,"УТТ")+SUMIFS('Исходные данные'!$J$2:$J$964,'Исходные данные'!$D$2:$D$964,Q$3,'Исходные данные'!$F$2:$F$964,$H7&amp;"",'Исходные данные'!$L$2:$L$964,"УТТ")=0,"","утт-"&amp;(SUMIFS('Исходные данные'!$I$2:$I$964,'Исходные данные'!$D$2:$D$964,Q$3,'Исходные данные'!$F$2:$F$964,$H7&amp;"",'Исходные данные'!$L$2:$L$964,"УТТ")+SUMIFS('Исходные данные'!$J$2:$J$964,'Исходные данные'!$D$2:$D$964,Q$3,'Исходные данные'!$F$2:$F$964,$H7&amp;"",'Исходные данные'!$L$2:$L$964,"УТТ")))</f>
        <v/>
      </c>
      <c r="R6" s="67" t="str">
        <f aca="false">IF(SUMIFS('Исходные данные'!$I$2:$I$964,'Исходные данные'!$D$2:$D$964,R$3,'Исходные данные'!$F$2:$F$964,$H7&amp;"",'Исходные данные'!$L$2:$L$964,"УТТ")+SUMIFS('Исходные данные'!$J$2:$J$964,'Исходные данные'!$D$2:$D$964,R$3,'Исходные данные'!$F$2:$F$964,$H7&amp;"",'Исходные данные'!$L$2:$L$964,"УТТ")=0,"","утт-"&amp;(SUMIFS('Исходные данные'!$I$2:$I$964,'Исходные данные'!$D$2:$D$964,R$3,'Исходные данные'!$F$2:$F$964,$H7&amp;"",'Исходные данные'!$L$2:$L$964,"УТТ")+SUMIFS('Исходные данные'!$J$2:$J$964,'Исходные данные'!$D$2:$D$964,R$3,'Исходные данные'!$F$2:$F$964,$H7&amp;"",'Исходные данные'!$L$2:$L$964,"УТТ")))</f>
        <v/>
      </c>
      <c r="S6" s="66" t="str">
        <f aca="false">IF(SUMIFS('Исходные данные'!$I$2:$I$964,'Исходные данные'!$D$2:$D$964,S$3,'Исходные данные'!$F$2:$F$964,$H7&amp;"",'Исходные данные'!$L$2:$L$964,"УТТ")+SUMIFS('Исходные данные'!$J$2:$J$964,'Исходные данные'!$D$2:$D$964,S$3,'Исходные данные'!$F$2:$F$964,$H7&amp;"",'Исходные данные'!$L$2:$L$964,"УТТ")=0,"","утт-"&amp;(SUMIFS('Исходные данные'!$I$2:$I$964,'Исходные данные'!$D$2:$D$964,S$3,'Исходные данные'!$F$2:$F$964,$H7&amp;"",'Исходные данные'!$L$2:$L$964,"УТТ")+SUMIFS('Исходные данные'!$J$2:$J$964,'Исходные данные'!$D$2:$D$964,S$3,'Исходные данные'!$F$2:$F$964,$H7&amp;"",'Исходные данные'!$L$2:$L$964,"УТТ")))</f>
        <v/>
      </c>
      <c r="T6" s="65" t="str">
        <f aca="false">IF(SUMIFS('Исходные данные'!$I$2:$I$964,'Исходные данные'!$D$2:$D$964,T$3,'Исходные данные'!$F$2:$F$964,$H7&amp;"",'Исходные данные'!$L$2:$L$964,"УТТ")+SUMIFS('Исходные данные'!$J$2:$J$964,'Исходные данные'!$D$2:$D$964,T$3,'Исходные данные'!$F$2:$F$964,$H7&amp;"",'Исходные данные'!$L$2:$L$964,"УТТ")=0,"","утт-"&amp;(SUMIFS('Исходные данные'!$I$2:$I$964,'Исходные данные'!$D$2:$D$964,T$3,'Исходные данные'!$F$2:$F$964,$H7&amp;"",'Исходные данные'!$L$2:$L$964,"УТТ")+SUMIFS('Исходные данные'!$J$2:$J$964,'Исходные данные'!$D$2:$D$964,T$3,'Исходные данные'!$F$2:$F$964,$H7&amp;"",'Исходные данные'!$L$2:$L$964,"УТТ")))</f>
        <v/>
      </c>
      <c r="U6" s="66" t="str">
        <f aca="false">IF(SUMIFS('Исходные данные'!$I$2:$I$964,'Исходные данные'!$D$2:$D$964,U$3,'Исходные данные'!$F$2:$F$964,$H7&amp;"",'Исходные данные'!$L$2:$L$964,"УТТ")+SUMIFS('Исходные данные'!$J$2:$J$964,'Исходные данные'!$D$2:$D$964,U$3,'Исходные данные'!$F$2:$F$964,$H7&amp;"",'Исходные данные'!$L$2:$L$964,"УТТ")=0,"","утт-"&amp;(SUMIFS('Исходные данные'!$I$2:$I$964,'Исходные данные'!$D$2:$D$964,U$3,'Исходные данные'!$F$2:$F$964,$H7&amp;"",'Исходные данные'!$L$2:$L$964,"УТТ")+SUMIFS('Исходные данные'!$J$2:$J$964,'Исходные данные'!$D$2:$D$964,U$3,'Исходные данные'!$F$2:$F$964,$H7&amp;"",'Исходные данные'!$L$2:$L$964,"УТТ")))</f>
        <v/>
      </c>
      <c r="V6" s="65" t="str">
        <f aca="false">IF(SUMIFS('Исходные данные'!$I$2:$I$964,'Исходные данные'!$D$2:$D$964,V$3,'Исходные данные'!$F$2:$F$964,$H7&amp;"",'Исходные данные'!$L$2:$L$964,"УТТ")+SUMIFS('Исходные данные'!$J$2:$J$964,'Исходные данные'!$D$2:$D$964,V$3,'Исходные данные'!$F$2:$F$964,$H7&amp;"",'Исходные данные'!$L$2:$L$964,"УТТ")=0,"","утт-"&amp;(SUMIFS('Исходные данные'!$I$2:$I$964,'Исходные данные'!$D$2:$D$964,V$3,'Исходные данные'!$F$2:$F$964,$H7&amp;"",'Исходные данные'!$L$2:$L$964,"УТТ")+SUMIFS('Исходные данные'!$J$2:$J$964,'Исходные данные'!$D$2:$D$964,V$3,'Исходные данные'!$F$2:$F$964,$H7&amp;"",'Исходные данные'!$L$2:$L$964,"УТТ")))</f>
        <v/>
      </c>
      <c r="W6" s="66" t="str">
        <f aca="false">IF(SUMIFS('Исходные данные'!$I$2:$I$964,'Исходные данные'!$D$2:$D$964,W$3,'Исходные данные'!$F$2:$F$964,$H7&amp;"",'Исходные данные'!$L$2:$L$964,"УТТ")+SUMIFS('Исходные данные'!$J$2:$J$964,'Исходные данные'!$D$2:$D$964,W$3,'Исходные данные'!$F$2:$F$964,$H7&amp;"",'Исходные данные'!$L$2:$L$964,"УТТ")=0,"","утт-"&amp;(SUMIFS('Исходные данные'!$I$2:$I$964,'Исходные данные'!$D$2:$D$964,W$3,'Исходные данные'!$F$2:$F$964,$H7&amp;"",'Исходные данные'!$L$2:$L$964,"УТТ")+SUMIFS('Исходные данные'!$J$2:$J$964,'Исходные данные'!$D$2:$D$964,W$3,'Исходные данные'!$F$2:$F$964,$H7&amp;"",'Исходные данные'!$L$2:$L$964,"УТТ")))</f>
        <v/>
      </c>
      <c r="X6" s="66" t="str">
        <f aca="false">IF(SUMIFS('Исходные данные'!$I$2:$I$964,'Исходные данные'!$D$2:$D$964,X$3,'Исходные данные'!$F$2:$F$964,$H7&amp;"",'Исходные данные'!$L$2:$L$964,"УТТ")+SUMIFS('Исходные данные'!$J$2:$J$964,'Исходные данные'!$D$2:$D$964,X$3,'Исходные данные'!$F$2:$F$964,$H7&amp;"",'Исходные данные'!$L$2:$L$964,"УТТ")=0,"","утт-"&amp;(SUMIFS('Исходные данные'!$I$2:$I$964,'Исходные данные'!$D$2:$D$964,X$3,'Исходные данные'!$F$2:$F$964,$H7&amp;"",'Исходные данные'!$L$2:$L$964,"УТТ")+SUMIFS('Исходные данные'!$J$2:$J$964,'Исходные данные'!$D$2:$D$964,X$3,'Исходные данные'!$F$2:$F$964,$H7&amp;"",'Исходные данные'!$L$2:$L$964,"УТТ")))</f>
        <v/>
      </c>
      <c r="Y6" s="68" t="str">
        <f aca="false">IF(SUMIFS('Исходные данные'!$I$2:$I$964,'Исходные данные'!$D$2:$D$964,Y$3,'Исходные данные'!$F$2:$F$964,$H7&amp;"",'Исходные данные'!$L$2:$L$964,"УТТ")+SUMIFS('Исходные данные'!$J$2:$J$964,'Исходные данные'!$D$2:$D$964,Y$3,'Исходные данные'!$F$2:$F$964,$H7&amp;"",'Исходные данные'!$L$2:$L$964,"УТТ")=0,"","утт-"&amp;(SUMIFS('Исходные данные'!$I$2:$I$964,'Исходные данные'!$D$2:$D$964,Y$3,'Исходные данные'!$F$2:$F$964,$H7&amp;"",'Исходные данные'!$L$2:$L$964,"УТТ")+SUMIFS('Исходные данные'!$J$2:$J$964,'Исходные данные'!$D$2:$D$964,Y$3,'Исходные данные'!$F$2:$F$964,$H7&amp;"",'Исходные данные'!$L$2:$L$964,"УТТ")))</f>
        <v/>
      </c>
      <c r="Z6" s="65" t="str">
        <f aca="false">IF(SUMIFS('Исходные данные'!$I$2:$I$964,'Исходные данные'!$D$2:$D$964,Z$3,'Исходные данные'!$F$2:$F$964,$H7&amp;"",'Исходные данные'!$L$2:$L$964,"УТТ")+SUMIFS('Исходные данные'!$J$2:$J$964,'Исходные данные'!$D$2:$D$964,Z$3,'Исходные данные'!$F$2:$F$964,$H7&amp;"",'Исходные данные'!$L$2:$L$964,"УТТ")=0,"","утт-"&amp;(SUMIFS('Исходные данные'!$I$2:$I$964,'Исходные данные'!$D$2:$D$964,Z$3,'Исходные данные'!$F$2:$F$964,$H7&amp;"",'Исходные данные'!$L$2:$L$964,"УТТ")+SUMIFS('Исходные данные'!$J$2:$J$964,'Исходные данные'!$D$2:$D$964,Z$3,'Исходные данные'!$F$2:$F$964,$H7&amp;"",'Исходные данные'!$L$2:$L$964,"УТТ")))</f>
        <v/>
      </c>
      <c r="AA6" s="66" t="str">
        <f aca="false">IF(SUMIFS('Исходные данные'!$I$2:$I$964,'Исходные данные'!$D$2:$D$964,AA$3,'Исходные данные'!$F$2:$F$964,$H7&amp;"",'Исходные данные'!$L$2:$L$964,"УТТ")+SUMIFS('Исходные данные'!$J$2:$J$964,'Исходные данные'!$D$2:$D$964,AA$3,'Исходные данные'!$F$2:$F$964,$H7&amp;"",'Исходные данные'!$L$2:$L$964,"УТТ")=0,"","утт-"&amp;(SUMIFS('Исходные данные'!$I$2:$I$964,'Исходные данные'!$D$2:$D$964,AA$3,'Исходные данные'!$F$2:$F$964,$H7&amp;"",'Исходные данные'!$L$2:$L$964,"УТТ")+SUMIFS('Исходные данные'!$J$2:$J$964,'Исходные данные'!$D$2:$D$964,AA$3,'Исходные данные'!$F$2:$F$964,$H7&amp;"",'Исходные данные'!$L$2:$L$964,"УТТ")))</f>
        <v/>
      </c>
      <c r="AB6" s="66" t="str">
        <f aca="false">IF(SUMIFS('Исходные данные'!$I$2:$I$964,'Исходные данные'!$D$2:$D$964,AB$3,'Исходные данные'!$F$2:$F$964,$H7&amp;"",'Исходные данные'!$L$2:$L$964,"УТТ")+SUMIFS('Исходные данные'!$J$2:$J$964,'Исходные данные'!$D$2:$D$964,AB$3,'Исходные данные'!$F$2:$F$964,$H7&amp;"",'Исходные данные'!$L$2:$L$964,"УТТ")=0,"","утт-"&amp;(SUMIFS('Исходные данные'!$I$2:$I$964,'Исходные данные'!$D$2:$D$964,AB$3,'Исходные данные'!$F$2:$F$964,$H7&amp;"",'Исходные данные'!$L$2:$L$964,"УТТ")+SUMIFS('Исходные данные'!$J$2:$J$964,'Исходные данные'!$D$2:$D$964,AB$3,'Исходные данные'!$F$2:$F$964,$H7&amp;"",'Исходные данные'!$L$2:$L$964,"УТТ")))</f>
        <v/>
      </c>
      <c r="AC6" s="65" t="str">
        <f aca="false">IF(SUMIFS('Исходные данные'!$I$2:$I$964,'Исходные данные'!$D$2:$D$964,AC$3,'Исходные данные'!$F$2:$F$964,$H7&amp;"",'Исходные данные'!$L$2:$L$964,"УТТ")+SUMIFS('Исходные данные'!$J$2:$J$964,'Исходные данные'!$D$2:$D$964,AC$3,'Исходные данные'!$F$2:$F$964,$H7&amp;"",'Исходные данные'!$L$2:$L$964,"УТТ")=0,"","утт-"&amp;(SUMIFS('Исходные данные'!$I$2:$I$964,'Исходные данные'!$D$2:$D$964,AC$3,'Исходные данные'!$F$2:$F$964,$H7&amp;"",'Исходные данные'!$L$2:$L$964,"УТТ")+SUMIFS('Исходные данные'!$J$2:$J$964,'Исходные данные'!$D$2:$D$964,AC$3,'Исходные данные'!$F$2:$F$964,$H7&amp;"",'Исходные данные'!$L$2:$L$964,"УТТ")))</f>
        <v/>
      </c>
      <c r="AD6" s="66" t="str">
        <f aca="false">IF(SUMIFS('Исходные данные'!$I$2:$I$964,'Исходные данные'!$D$2:$D$964,AD$3,'Исходные данные'!$F$2:$F$964,$H7&amp;"",'Исходные данные'!$L$2:$L$964,"УТТ")+SUMIFS('Исходные данные'!$J$2:$J$964,'Исходные данные'!$D$2:$D$964,AD$3,'Исходные данные'!$F$2:$F$964,$H7&amp;"",'Исходные данные'!$L$2:$L$964,"УТТ")=0,"","утт-"&amp;(SUMIFS('Исходные данные'!$I$2:$I$964,'Исходные данные'!$D$2:$D$964,AD$3,'Исходные данные'!$F$2:$F$964,$H7&amp;"",'Исходные данные'!$L$2:$L$964,"УТТ")+SUMIFS('Исходные данные'!$J$2:$J$964,'Исходные данные'!$D$2:$D$964,AD$3,'Исходные данные'!$F$2:$F$964,$H7&amp;"",'Исходные данные'!$L$2:$L$964,"УТТ")))</f>
        <v/>
      </c>
    </row>
    <row r="7" customFormat="false" ht="25.5" hidden="false" customHeight="true" outlineLevel="0" collapsed="false">
      <c r="A7" s="31" t="n">
        <v>5</v>
      </c>
      <c r="B7" s="32" t="s">
        <v>171</v>
      </c>
      <c r="C7" s="33" t="s">
        <v>8</v>
      </c>
      <c r="D7" s="34"/>
      <c r="E7" s="34" t="s">
        <v>172</v>
      </c>
      <c r="F7" s="34" t="s">
        <v>21</v>
      </c>
      <c r="G7" s="69"/>
      <c r="H7" s="36" t="n">
        <v>47</v>
      </c>
      <c r="I7" s="48" t="s">
        <v>173</v>
      </c>
      <c r="J7" s="49" t="n">
        <f aca="false">IFERROR(INDEX('Выход ТС'!$C:$C,MATCH($H7&amp;"",'Выход ТС'!$A:$A,0)),"")</f>
        <v>10</v>
      </c>
      <c r="K7" s="50" t="n">
        <f aca="false">IFERROR(INDEX('Выход ТС'!$E:$E,MATCH($H7&amp;"",'Выход ТС'!$A:$A,0)),"")</f>
        <v>8</v>
      </c>
      <c r="L7" s="51" t="n">
        <f aca="false">IFERROR(INDEX('Выход ТС'!$F:$F,MATCH($H7&amp;"",'Выход ТС'!$A:$A,0)),"")</f>
        <v>-2</v>
      </c>
      <c r="M7" s="52" t="n">
        <f aca="false">IFERROR(IF(INDEX('Выход ТС'!$G:$G,MATCH($H7&amp;"",'Выход ТС'!$A:$A,0))=0,"",INDEX('Выход ТС'!$G:$G,MATCH($H7&amp;"",'Выход ТС'!$A:$A,0))),"")</f>
        <v>8</v>
      </c>
      <c r="N7" s="64" t="str">
        <f aca="false">IFERROR(IF(INDEX('Выход ТС'!$H:$H,MATCH($H7&amp;"",'Выход ТС'!$A:$A,0))=0,"",INDEX('Выход ТС'!$H:$H,MATCH($H7&amp;"",'Выход ТС'!$A:$A,0))),"")</f>
        <v/>
      </c>
      <c r="O7" s="53" t="n">
        <f aca="false">IF(SUMIFS('Исходные данные'!$I$2:$I$964,'Исходные данные'!$D$2:$D$964,O$3,'Исходные данные'!$F$2:$F$964,$H7&amp;"")+SUMIFS('Исходные данные'!$J$2:$J$964,'Исходные данные'!$D$2:$D$964,O$3,'Исходные данные'!$F$2:$F$964,$H7&amp;"")=0,"",IF(SUMIFS('Исходные данные'!$J$2:$J$964,'Исходные данные'!$D$2:$D$964,O$3,'Исходные данные'!$F$2:$F$964,$H7&amp;"")=0,SUMIFS('Исходные данные'!$I$2:$I$964,'Исходные данные'!$D$2:$D$964,O$3,'Исходные данные'!$F$2:$F$964,$H7&amp;""),IF(SUMIFS('Исходные данные'!$I$2:$I$964,'Исходные данные'!$D$2:$D$964,O$3,'Исходные данные'!$F$2:$F$964,$H7&amp;"")=0,"0+"&amp;SUMIFS('Исходные данные'!$J$2:$J$964,'Исходные данные'!$D$2:$D$964,O$3,'Исходные данные'!$F$2:$F$964,$H7&amp;"")&amp;"="&amp;SUMIFS('Исходные данные'!$J$2:$J$964,'Исходные данные'!$D$2:$D$964,O$3,'Исходные данные'!$F$2:$F$964,$H7&amp;""),SUMIFS('Исходные данные'!$I$2:$I$964,'Исходные данные'!$D$2:$D$964,O$3,'Исходные данные'!$F$2:$F$964,$H7&amp;"")&amp;"+"&amp;SUMIFS('Исходные данные'!$J$2:$J$964,'Исходные данные'!$D$2:$D$964,O$3,'Исходные данные'!$F$2:$F$964,$H7&amp;"")&amp;"="&amp;(SUMIFS('Исходные данные'!$I$2:$I$964,'Исходные данные'!$D$2:$D$964,O$3,'Исходные данные'!$F$2:$F$964,$H7&amp;"")+SUMIFS('Исходные данные'!$J$2:$J$964,'Исходные данные'!$D$2:$D$964,O$3,'Исходные данные'!$F$2:$F$964,$H7&amp;"")))))</f>
        <v>1</v>
      </c>
      <c r="P7" s="54" t="n">
        <f aca="false">IF(SUMIFS('Исходные данные'!$I$2:$I$964,'Исходные данные'!$D$2:$D$964,P$3,'Исходные данные'!$F$2:$F$964,$H7&amp;"")+SUMIFS('Исходные данные'!$J$2:$J$964,'Исходные данные'!$D$2:$D$964,P$3,'Исходные данные'!$F$2:$F$964,$H7&amp;"")=0,"",IF(SUMIFS('Исходные данные'!$J$2:$J$964,'Исходные данные'!$D$2:$D$964,P$3,'Исходные данные'!$F$2:$F$964,$H7&amp;"")=0,SUMIFS('Исходные данные'!$I$2:$I$964,'Исходные данные'!$D$2:$D$964,P$3,'Исходные данные'!$F$2:$F$964,$H7&amp;""),IF(SUMIFS('Исходные данные'!$I$2:$I$964,'Исходные данные'!$D$2:$D$964,P$3,'Исходные данные'!$F$2:$F$964,$H7&amp;"")=0,"0+"&amp;SUMIFS('Исходные данные'!$J$2:$J$964,'Исходные данные'!$D$2:$D$964,P$3,'Исходные данные'!$F$2:$F$964,$H7&amp;"")&amp;"="&amp;SUMIFS('Исходные данные'!$J$2:$J$964,'Исходные данные'!$D$2:$D$964,P$3,'Исходные данные'!$F$2:$F$964,$H7&amp;""),SUMIFS('Исходные данные'!$I$2:$I$964,'Исходные данные'!$D$2:$D$964,P$3,'Исходные данные'!$F$2:$F$964,$H7&amp;"")&amp;"+"&amp;SUMIFS('Исходные данные'!$J$2:$J$964,'Исходные данные'!$D$2:$D$964,P$3,'Исходные данные'!$F$2:$F$964,$H7&amp;"")&amp;"="&amp;(SUMIFS('Исходные данные'!$I$2:$I$964,'Исходные данные'!$D$2:$D$964,P$3,'Исходные данные'!$F$2:$F$964,$H7&amp;"")+SUMIFS('Исходные данные'!$J$2:$J$964,'Исходные данные'!$D$2:$D$964,P$3,'Исходные данные'!$F$2:$F$964,$H7&amp;"")))))</f>
        <v>1</v>
      </c>
      <c r="Q7" s="53" t="n">
        <f aca="false">IF(SUMIFS('Исходные данные'!$I$2:$I$964,'Исходные данные'!$D$2:$D$964,Q$3,'Исходные данные'!$F$2:$F$964,$H7&amp;"")+SUMIFS('Исходные данные'!$J$2:$J$964,'Исходные данные'!$D$2:$D$964,Q$3,'Исходные данные'!$F$2:$F$964,$H7&amp;"")=0,"",IF(SUMIFS('Исходные данные'!$J$2:$J$964,'Исходные данные'!$D$2:$D$964,Q$3,'Исходные данные'!$F$2:$F$964,$H7&amp;"")=0,SUMIFS('Исходные данные'!$I$2:$I$964,'Исходные данные'!$D$2:$D$964,Q$3,'Исходные данные'!$F$2:$F$964,$H7&amp;""),IF(SUMIFS('Исходные данные'!$I$2:$I$964,'Исходные данные'!$D$2:$D$964,Q$3,'Исходные данные'!$F$2:$F$964,$H7&amp;"")=0,"0+"&amp;SUMIFS('Исходные данные'!$J$2:$J$964,'Исходные данные'!$D$2:$D$964,Q$3,'Исходные данные'!$F$2:$F$964,$H7&amp;"")&amp;"="&amp;SUMIFS('Исходные данные'!$J$2:$J$964,'Исходные данные'!$D$2:$D$964,Q$3,'Исходные данные'!$F$2:$F$964,$H7&amp;""),SUMIFS('Исходные данные'!$I$2:$I$964,'Исходные данные'!$D$2:$D$964,Q$3,'Исходные данные'!$F$2:$F$964,$H7&amp;"")&amp;"+"&amp;SUMIFS('Исходные данные'!$J$2:$J$964,'Исходные данные'!$D$2:$D$964,Q$3,'Исходные данные'!$F$2:$F$964,$H7&amp;"")&amp;"="&amp;(SUMIFS('Исходные данные'!$I$2:$I$964,'Исходные данные'!$D$2:$D$964,Q$3,'Исходные данные'!$F$2:$F$964,$H7&amp;"")+SUMIFS('Исходные данные'!$J$2:$J$964,'Исходные данные'!$D$2:$D$964,Q$3,'Исходные данные'!$F$2:$F$964,$H7&amp;"")))))</f>
        <v>2</v>
      </c>
      <c r="R7" s="55" t="str">
        <f aca="false">IF(SUMIFS('Исходные данные'!$I$2:$I$964,'Исходные данные'!$D$2:$D$964,R$3,'Исходные данные'!$F$2:$F$964,$H7&amp;"")+SUMIFS('Исходные данные'!$J$2:$J$964,'Исходные данные'!$D$2:$D$964,R$3,'Исходные данные'!$F$2:$F$964,$H7&amp;"")=0,"",IF(SUMIFS('Исходные данные'!$J$2:$J$964,'Исходные данные'!$D$2:$D$964,R$3,'Исходные данные'!$F$2:$F$964,$H7&amp;"")=0,SUMIFS('Исходные данные'!$I$2:$I$964,'Исходные данные'!$D$2:$D$964,R$3,'Исходные данные'!$F$2:$F$964,$H7&amp;""),IF(SUMIFS('Исходные данные'!$I$2:$I$964,'Исходные данные'!$D$2:$D$964,R$3,'Исходные данные'!$F$2:$F$964,$H7&amp;"")=0,"0+"&amp;SUMIFS('Исходные данные'!$J$2:$J$964,'Исходные данные'!$D$2:$D$964,R$3,'Исходные данные'!$F$2:$F$964,$H7&amp;"")&amp;"="&amp;SUMIFS('Исходные данные'!$J$2:$J$964,'Исходные данные'!$D$2:$D$964,R$3,'Исходные данные'!$F$2:$F$964,$H7&amp;""),SUMIFS('Исходные данные'!$I$2:$I$964,'Исходные данные'!$D$2:$D$964,R$3,'Исходные данные'!$F$2:$F$964,$H7&amp;"")&amp;"+"&amp;SUMIFS('Исходные данные'!$J$2:$J$964,'Исходные данные'!$D$2:$D$964,R$3,'Исходные данные'!$F$2:$F$964,$H7&amp;"")&amp;"="&amp;(SUMIFS('Исходные данные'!$I$2:$I$964,'Исходные данные'!$D$2:$D$964,R$3,'Исходные данные'!$F$2:$F$964,$H7&amp;"")+SUMIFS('Исходные данные'!$J$2:$J$964,'Исходные данные'!$D$2:$D$964,R$3,'Исходные данные'!$F$2:$F$964,$H7&amp;"")))))</f>
        <v/>
      </c>
      <c r="S7" s="54" t="n">
        <f aca="false">IF(SUMIFS('Исходные данные'!$I$2:$I$964,'Исходные данные'!$D$2:$D$964,S$3,'Исходные данные'!$F$2:$F$964,$H7&amp;"")+SUMIFS('Исходные данные'!$J$2:$J$964,'Исходные данные'!$D$2:$D$964,S$3,'Исходные данные'!$F$2:$F$964,$H7&amp;"")=0,"",IF(SUMIFS('Исходные данные'!$J$2:$J$964,'Исходные данные'!$D$2:$D$964,S$3,'Исходные данные'!$F$2:$F$964,$H7&amp;"")=0,SUMIFS('Исходные данные'!$I$2:$I$964,'Исходные данные'!$D$2:$D$964,S$3,'Исходные данные'!$F$2:$F$964,$H7&amp;""),IF(SUMIFS('Исходные данные'!$I$2:$I$964,'Исходные данные'!$D$2:$D$964,S$3,'Исходные данные'!$F$2:$F$964,$H7&amp;"")=0,"0+"&amp;SUMIFS('Исходные данные'!$J$2:$J$964,'Исходные данные'!$D$2:$D$964,S$3,'Исходные данные'!$F$2:$F$964,$H7&amp;"")&amp;"="&amp;SUMIFS('Исходные данные'!$J$2:$J$964,'Исходные данные'!$D$2:$D$964,S$3,'Исходные данные'!$F$2:$F$964,$H7&amp;""),SUMIFS('Исходные данные'!$I$2:$I$964,'Исходные данные'!$D$2:$D$964,S$3,'Исходные данные'!$F$2:$F$964,$H7&amp;"")&amp;"+"&amp;SUMIFS('Исходные данные'!$J$2:$J$964,'Исходные данные'!$D$2:$D$964,S$3,'Исходные данные'!$F$2:$F$964,$H7&amp;"")&amp;"="&amp;(SUMIFS('Исходные данные'!$I$2:$I$964,'Исходные данные'!$D$2:$D$964,S$3,'Исходные данные'!$F$2:$F$964,$H7&amp;"")+SUMIFS('Исходные данные'!$J$2:$J$964,'Исходные данные'!$D$2:$D$964,S$3,'Исходные данные'!$F$2:$F$964,$H7&amp;"")))))</f>
        <v>1</v>
      </c>
      <c r="T7" s="53" t="str">
        <f aca="false">IF(SUMIFS('Исходные данные'!$I$2:$I$964,'Исходные данные'!$D$2:$D$964,T$3,'Исходные данные'!$F$2:$F$964,$H7&amp;"")+SUMIFS('Исходные данные'!$J$2:$J$964,'Исходные данные'!$D$2:$D$964,T$3,'Исходные данные'!$F$2:$F$964,$H7&amp;"")=0,"",IF(SUMIFS('Исходные данные'!$J$2:$J$964,'Исходные данные'!$D$2:$D$964,T$3,'Исходные данные'!$F$2:$F$964,$H7&amp;"")=0,SUMIFS('Исходные данные'!$I$2:$I$964,'Исходные данные'!$D$2:$D$964,T$3,'Исходные данные'!$F$2:$F$964,$H7&amp;""),IF(SUMIFS('Исходные данные'!$I$2:$I$964,'Исходные данные'!$D$2:$D$964,T$3,'Исходные данные'!$F$2:$F$964,$H7&amp;"")=0,"0+"&amp;SUMIFS('Исходные данные'!$J$2:$J$964,'Исходные данные'!$D$2:$D$964,T$3,'Исходные данные'!$F$2:$F$964,$H7&amp;"")&amp;"="&amp;SUMIFS('Исходные данные'!$J$2:$J$964,'Исходные данные'!$D$2:$D$964,T$3,'Исходные данные'!$F$2:$F$964,$H7&amp;""),SUMIFS('Исходные данные'!$I$2:$I$964,'Исходные данные'!$D$2:$D$964,T$3,'Исходные данные'!$F$2:$F$964,$H7&amp;"")&amp;"+"&amp;SUMIFS('Исходные данные'!$J$2:$J$964,'Исходные данные'!$D$2:$D$964,T$3,'Исходные данные'!$F$2:$F$964,$H7&amp;"")&amp;"="&amp;(SUMIFS('Исходные данные'!$I$2:$I$964,'Исходные данные'!$D$2:$D$964,T$3,'Исходные данные'!$F$2:$F$964,$H7&amp;"")+SUMIFS('Исходные данные'!$J$2:$J$964,'Исходные данные'!$D$2:$D$964,T$3,'Исходные данные'!$F$2:$F$964,$H7&amp;"")))))</f>
        <v/>
      </c>
      <c r="U7" s="54" t="n">
        <f aca="false">IF(SUMIFS('Исходные данные'!$I$2:$I$964,'Исходные данные'!$D$2:$D$964,U$3,'Исходные данные'!$F$2:$F$964,$H7&amp;"")+SUMIFS('Исходные данные'!$J$2:$J$964,'Исходные данные'!$D$2:$D$964,U$3,'Исходные данные'!$F$2:$F$964,$H7&amp;"")=0,"",IF(SUMIFS('Исходные данные'!$J$2:$J$964,'Исходные данные'!$D$2:$D$964,U$3,'Исходные данные'!$F$2:$F$964,$H7&amp;"")=0,SUMIFS('Исходные данные'!$I$2:$I$964,'Исходные данные'!$D$2:$D$964,U$3,'Исходные данные'!$F$2:$F$964,$H7&amp;""),IF(SUMIFS('Исходные данные'!$I$2:$I$964,'Исходные данные'!$D$2:$D$964,U$3,'Исходные данные'!$F$2:$F$964,$H7&amp;"")=0,"0+"&amp;SUMIFS('Исходные данные'!$J$2:$J$964,'Исходные данные'!$D$2:$D$964,U$3,'Исходные данные'!$F$2:$F$964,$H7&amp;"")&amp;"="&amp;SUMIFS('Исходные данные'!$J$2:$J$964,'Исходные данные'!$D$2:$D$964,U$3,'Исходные данные'!$F$2:$F$964,$H7&amp;""),SUMIFS('Исходные данные'!$I$2:$I$964,'Исходные данные'!$D$2:$D$964,U$3,'Исходные данные'!$F$2:$F$964,$H7&amp;"")&amp;"+"&amp;SUMIFS('Исходные данные'!$J$2:$J$964,'Исходные данные'!$D$2:$D$964,U$3,'Исходные данные'!$F$2:$F$964,$H7&amp;"")&amp;"="&amp;(SUMIFS('Исходные данные'!$I$2:$I$964,'Исходные данные'!$D$2:$D$964,U$3,'Исходные данные'!$F$2:$F$964,$H7&amp;"")+SUMIFS('Исходные данные'!$J$2:$J$964,'Исходные данные'!$D$2:$D$964,U$3,'Исходные данные'!$F$2:$F$964,$H7&amp;"")))))</f>
        <v>2</v>
      </c>
      <c r="V7" s="53" t="n">
        <f aca="false">IF(SUMIFS('Исходные данные'!$I$2:$I$964,'Исходные данные'!$D$2:$D$964,V$3,'Исходные данные'!$F$2:$F$964,$H7&amp;"")+SUMIFS('Исходные данные'!$J$2:$J$964,'Исходные данные'!$D$2:$D$964,V$3,'Исходные данные'!$F$2:$F$964,$H7&amp;"")=0,"",IF(SUMIFS('Исходные данные'!$J$2:$J$964,'Исходные данные'!$D$2:$D$964,V$3,'Исходные данные'!$F$2:$F$964,$H7&amp;"")=0,SUMIFS('Исходные данные'!$I$2:$I$964,'Исходные данные'!$D$2:$D$964,V$3,'Исходные данные'!$F$2:$F$964,$H7&amp;""),IF(SUMIFS('Исходные данные'!$I$2:$I$964,'Исходные данные'!$D$2:$D$964,V$3,'Исходные данные'!$F$2:$F$964,$H7&amp;"")=0,"0+"&amp;SUMIFS('Исходные данные'!$J$2:$J$964,'Исходные данные'!$D$2:$D$964,V$3,'Исходные данные'!$F$2:$F$964,$H7&amp;"")&amp;"="&amp;SUMIFS('Исходные данные'!$J$2:$J$964,'Исходные данные'!$D$2:$D$964,V$3,'Исходные данные'!$F$2:$F$964,$H7&amp;""),SUMIFS('Исходные данные'!$I$2:$I$964,'Исходные данные'!$D$2:$D$964,V$3,'Исходные данные'!$F$2:$F$964,$H7&amp;"")&amp;"+"&amp;SUMIFS('Исходные данные'!$J$2:$J$964,'Исходные данные'!$D$2:$D$964,V$3,'Исходные данные'!$F$2:$F$964,$H7&amp;"")&amp;"="&amp;(SUMIFS('Исходные данные'!$I$2:$I$964,'Исходные данные'!$D$2:$D$964,V$3,'Исходные данные'!$F$2:$F$964,$H7&amp;"")+SUMIFS('Исходные данные'!$J$2:$J$964,'Исходные данные'!$D$2:$D$964,V$3,'Исходные данные'!$F$2:$F$964,$H7&amp;"")))))</f>
        <v>1</v>
      </c>
      <c r="W7" s="54" t="str">
        <f aca="false">IF(SUMIFS('Исходные данные'!$I$2:$I$964,'Исходные данные'!$D$2:$D$964,W$3,'Исходные данные'!$F$2:$F$964,$H7&amp;"")+SUMIFS('Исходные данные'!$J$2:$J$964,'Исходные данные'!$D$2:$D$964,W$3,'Исходные данные'!$F$2:$F$964,$H7&amp;"")=0,"",IF(SUMIFS('Исходные данные'!$J$2:$J$964,'Исходные данные'!$D$2:$D$964,W$3,'Исходные данные'!$F$2:$F$964,$H7&amp;"")=0,SUMIFS('Исходные данные'!$I$2:$I$964,'Исходные данные'!$D$2:$D$964,W$3,'Исходные данные'!$F$2:$F$964,$H7&amp;""),IF(SUMIFS('Исходные данные'!$I$2:$I$964,'Исходные данные'!$D$2:$D$964,W$3,'Исходные данные'!$F$2:$F$964,$H7&amp;"")=0,"0+"&amp;SUMIFS('Исходные данные'!$J$2:$J$964,'Исходные данные'!$D$2:$D$964,W$3,'Исходные данные'!$F$2:$F$964,$H7&amp;"")&amp;"="&amp;SUMIFS('Исходные данные'!$J$2:$J$964,'Исходные данные'!$D$2:$D$964,W$3,'Исходные данные'!$F$2:$F$964,$H7&amp;""),SUMIFS('Исходные данные'!$I$2:$I$964,'Исходные данные'!$D$2:$D$964,W$3,'Исходные данные'!$F$2:$F$964,$H7&amp;"")&amp;"+"&amp;SUMIFS('Исходные данные'!$J$2:$J$964,'Исходные данные'!$D$2:$D$964,W$3,'Исходные данные'!$F$2:$F$964,$H7&amp;"")&amp;"="&amp;(SUMIFS('Исходные данные'!$I$2:$I$964,'Исходные данные'!$D$2:$D$964,W$3,'Исходные данные'!$F$2:$F$964,$H7&amp;"")+SUMIFS('Исходные данные'!$J$2:$J$964,'Исходные данные'!$D$2:$D$964,W$3,'Исходные данные'!$F$2:$F$964,$H7&amp;"")))))</f>
        <v/>
      </c>
      <c r="X7" s="54" t="str">
        <f aca="false">IF(SUMIFS('Исходные данные'!$I$2:$I$964,'Исходные данные'!$D$2:$D$964,X$3,'Исходные данные'!$F$2:$F$964,$H7&amp;"")+SUMIFS('Исходные данные'!$J$2:$J$964,'Исходные данные'!$D$2:$D$964,X$3,'Исходные данные'!$F$2:$F$964,$H7&amp;"")=0,"",IF(SUMIFS('Исходные данные'!$J$2:$J$964,'Исходные данные'!$D$2:$D$964,X$3,'Исходные данные'!$F$2:$F$964,$H7&amp;"")=0,SUMIFS('Исходные данные'!$I$2:$I$964,'Исходные данные'!$D$2:$D$964,X$3,'Исходные данные'!$F$2:$F$964,$H7&amp;""),IF(SUMIFS('Исходные данные'!$I$2:$I$964,'Исходные данные'!$D$2:$D$964,X$3,'Исходные данные'!$F$2:$F$964,$H7&amp;"")=0,"0+"&amp;SUMIFS('Исходные данные'!$J$2:$J$964,'Исходные данные'!$D$2:$D$964,X$3,'Исходные данные'!$F$2:$F$964,$H7&amp;"")&amp;"="&amp;SUMIFS('Исходные данные'!$J$2:$J$964,'Исходные данные'!$D$2:$D$964,X$3,'Исходные данные'!$F$2:$F$964,$H7&amp;""),SUMIFS('Исходные данные'!$I$2:$I$964,'Исходные данные'!$D$2:$D$964,X$3,'Исходные данные'!$F$2:$F$964,$H7&amp;"")&amp;"+"&amp;SUMIFS('Исходные данные'!$J$2:$J$964,'Исходные данные'!$D$2:$D$964,X$3,'Исходные данные'!$F$2:$F$964,$H7&amp;"")&amp;"="&amp;(SUMIFS('Исходные данные'!$I$2:$I$964,'Исходные данные'!$D$2:$D$964,X$3,'Исходные данные'!$F$2:$F$964,$H7&amp;"")+SUMIFS('Исходные данные'!$J$2:$J$964,'Исходные данные'!$D$2:$D$964,X$3,'Исходные данные'!$F$2:$F$964,$H7&amp;"")))))</f>
        <v/>
      </c>
      <c r="Y7" s="56" t="str">
        <f aca="false">IF(SUMIFS('Исходные данные'!$I$2:$I$964,'Исходные данные'!$D$2:$D$964,Y$3,'Исходные данные'!$F$2:$F$964,$H7&amp;"")+SUMIFS('Исходные данные'!$J$2:$J$964,'Исходные данные'!$D$2:$D$964,Y$3,'Исходные данные'!$F$2:$F$964,$H7&amp;"")=0,"",IF(SUMIFS('Исходные данные'!$J$2:$J$964,'Исходные данные'!$D$2:$D$964,Y$3,'Исходные данные'!$F$2:$F$964,$H7&amp;"")=0,SUMIFS('Исходные данные'!$I$2:$I$964,'Исходные данные'!$D$2:$D$964,Y$3,'Исходные данные'!$F$2:$F$964,$H7&amp;""),IF(SUMIFS('Исходные данные'!$I$2:$I$964,'Исходные данные'!$D$2:$D$964,Y$3,'Исходные данные'!$F$2:$F$964,$H7&amp;"")=0,"0+"&amp;SUMIFS('Исходные данные'!$J$2:$J$964,'Исходные данные'!$D$2:$D$964,Y$3,'Исходные данные'!$F$2:$F$964,$H7&amp;"")&amp;"="&amp;SUMIFS('Исходные данные'!$J$2:$J$964,'Исходные данные'!$D$2:$D$964,Y$3,'Исходные данные'!$F$2:$F$964,$H7&amp;""),SUMIFS('Исходные данные'!$I$2:$I$964,'Исходные данные'!$D$2:$D$964,Y$3,'Исходные данные'!$F$2:$F$964,$H7&amp;"")&amp;"+"&amp;SUMIFS('Исходные данные'!$J$2:$J$964,'Исходные данные'!$D$2:$D$964,Y$3,'Исходные данные'!$F$2:$F$964,$H7&amp;"")&amp;"="&amp;(SUMIFS('Исходные данные'!$I$2:$I$964,'Исходные данные'!$D$2:$D$964,Y$3,'Исходные данные'!$F$2:$F$964,$H7&amp;"")+SUMIFS('Исходные данные'!$J$2:$J$964,'Исходные данные'!$D$2:$D$964,Y$3,'Исходные данные'!$F$2:$F$964,$H7&amp;"")))))</f>
        <v/>
      </c>
      <c r="Z7" s="53" t="str">
        <f aca="false">IF(SUMIFS('Исходные данные'!$I$2:$I$964,'Исходные данные'!$D$2:$D$964,Z$3,'Исходные данные'!$F$2:$F$964,$H7&amp;"")+SUMIFS('Исходные данные'!$J$2:$J$964,'Исходные данные'!$D$2:$D$964,Z$3,'Исходные данные'!$F$2:$F$964,$H7&amp;"")=0,"",IF(SUMIFS('Исходные данные'!$J$2:$J$964,'Исходные данные'!$D$2:$D$964,Z$3,'Исходные данные'!$F$2:$F$964,$H7&amp;"")=0,SUMIFS('Исходные данные'!$I$2:$I$964,'Исходные данные'!$D$2:$D$964,Z$3,'Исходные данные'!$F$2:$F$964,$H7&amp;""),IF(SUMIFS('Исходные данные'!$I$2:$I$964,'Исходные данные'!$D$2:$D$964,Z$3,'Исходные данные'!$F$2:$F$964,$H7&amp;"")=0,"0+"&amp;SUMIFS('Исходные данные'!$J$2:$J$964,'Исходные данные'!$D$2:$D$964,Z$3,'Исходные данные'!$F$2:$F$964,$H7&amp;"")&amp;"="&amp;SUMIFS('Исходные данные'!$J$2:$J$964,'Исходные данные'!$D$2:$D$964,Z$3,'Исходные данные'!$F$2:$F$964,$H7&amp;""),SUMIFS('Исходные данные'!$I$2:$I$964,'Исходные данные'!$D$2:$D$964,Z$3,'Исходные данные'!$F$2:$F$964,$H7&amp;"")&amp;"+"&amp;SUMIFS('Исходные данные'!$J$2:$J$964,'Исходные данные'!$D$2:$D$964,Z$3,'Исходные данные'!$F$2:$F$964,$H7&amp;"")&amp;"="&amp;(SUMIFS('Исходные данные'!$I$2:$I$964,'Исходные данные'!$D$2:$D$964,Z$3,'Исходные данные'!$F$2:$F$964,$H7&amp;"")+SUMIFS('Исходные данные'!$J$2:$J$964,'Исходные данные'!$D$2:$D$964,Z$3,'Исходные данные'!$F$2:$F$964,$H7&amp;"")))))</f>
        <v/>
      </c>
      <c r="AA7" s="54" t="str">
        <f aca="false">IF(SUMIFS('Исходные данные'!$I$2:$I$964,'Исходные данные'!$D$2:$D$964,AA$3,'Исходные данные'!$F$2:$F$964,$H7&amp;"")+SUMIFS('Исходные данные'!$J$2:$J$964,'Исходные данные'!$D$2:$D$964,AA$3,'Исходные данные'!$F$2:$F$964,$H7&amp;"")=0,"",IF(SUMIFS('Исходные данные'!$J$2:$J$964,'Исходные данные'!$D$2:$D$964,AA$3,'Исходные данные'!$F$2:$F$964,$H7&amp;"")=0,SUMIFS('Исходные данные'!$I$2:$I$964,'Исходные данные'!$D$2:$D$964,AA$3,'Исходные данные'!$F$2:$F$964,$H7&amp;""),IF(SUMIFS('Исходные данные'!$I$2:$I$964,'Исходные данные'!$D$2:$D$964,AA$3,'Исходные данные'!$F$2:$F$964,$H7&amp;"")=0,"0+"&amp;SUMIFS('Исходные данные'!$J$2:$J$964,'Исходные данные'!$D$2:$D$964,AA$3,'Исходные данные'!$F$2:$F$964,$H7&amp;"")&amp;"="&amp;SUMIFS('Исходные данные'!$J$2:$J$964,'Исходные данные'!$D$2:$D$964,AA$3,'Исходные данные'!$F$2:$F$964,$H7&amp;""),SUMIFS('Исходные данные'!$I$2:$I$964,'Исходные данные'!$D$2:$D$964,AA$3,'Исходные данные'!$F$2:$F$964,$H7&amp;"")&amp;"+"&amp;SUMIFS('Исходные данные'!$J$2:$J$964,'Исходные данные'!$D$2:$D$964,AA$3,'Исходные данные'!$F$2:$F$964,$H7&amp;"")&amp;"="&amp;(SUMIFS('Исходные данные'!$I$2:$I$964,'Исходные данные'!$D$2:$D$964,AA$3,'Исходные данные'!$F$2:$F$964,$H7&amp;"")+SUMIFS('Исходные данные'!$J$2:$J$964,'Исходные данные'!$D$2:$D$964,AA$3,'Исходные данные'!$F$2:$F$964,$H7&amp;"")))))</f>
        <v/>
      </c>
      <c r="AB7" s="54" t="str">
        <f aca="false">IF(SUMIFS('Исходные данные'!$I$2:$I$964,'Исходные данные'!$D$2:$D$964,AB$3,'Исходные данные'!$F$2:$F$964,$H7&amp;"")+SUMIFS('Исходные данные'!$J$2:$J$964,'Исходные данные'!$D$2:$D$964,AB$3,'Исходные данные'!$F$2:$F$964,$H7&amp;"")=0,"",IF(SUMIFS('Исходные данные'!$J$2:$J$964,'Исходные данные'!$D$2:$D$964,AB$3,'Исходные данные'!$F$2:$F$964,$H7&amp;"")=0,SUMIFS('Исходные данные'!$I$2:$I$964,'Исходные данные'!$D$2:$D$964,AB$3,'Исходные данные'!$F$2:$F$964,$H7&amp;""),IF(SUMIFS('Исходные данные'!$I$2:$I$964,'Исходные данные'!$D$2:$D$964,AB$3,'Исходные данные'!$F$2:$F$964,$H7&amp;"")=0,"0+"&amp;SUMIFS('Исходные данные'!$J$2:$J$964,'Исходные данные'!$D$2:$D$964,AB$3,'Исходные данные'!$F$2:$F$964,$H7&amp;"")&amp;"="&amp;SUMIFS('Исходные данные'!$J$2:$J$964,'Исходные данные'!$D$2:$D$964,AB$3,'Исходные данные'!$F$2:$F$964,$H7&amp;""),SUMIFS('Исходные данные'!$I$2:$I$964,'Исходные данные'!$D$2:$D$964,AB$3,'Исходные данные'!$F$2:$F$964,$H7&amp;"")&amp;"+"&amp;SUMIFS('Исходные данные'!$J$2:$J$964,'Исходные данные'!$D$2:$D$964,AB$3,'Исходные данные'!$F$2:$F$964,$H7&amp;"")&amp;"="&amp;(SUMIFS('Исходные данные'!$I$2:$I$964,'Исходные данные'!$D$2:$D$964,AB$3,'Исходные данные'!$F$2:$F$964,$H7&amp;"")+SUMIFS('Исходные данные'!$J$2:$J$964,'Исходные данные'!$D$2:$D$964,AB$3,'Исходные данные'!$F$2:$F$964,$H7&amp;"")))))</f>
        <v/>
      </c>
      <c r="AC7" s="53" t="str">
        <f aca="false">IF(SUMIFS('Исходные данные'!$I$2:$I$964,'Исходные данные'!$D$2:$D$964,AC$3,'Исходные данные'!$F$2:$F$964,$H7&amp;"")+SUMIFS('Исходные данные'!$J$2:$J$964,'Исходные данные'!$D$2:$D$964,AC$3,'Исходные данные'!$F$2:$F$964,$H7&amp;"")=0,"",IF(SUMIFS('Исходные данные'!$J$2:$J$964,'Исходные данные'!$D$2:$D$964,AC$3,'Исходные данные'!$F$2:$F$964,$H7&amp;"")=0,SUMIFS('Исходные данные'!$I$2:$I$964,'Исходные данные'!$D$2:$D$964,AC$3,'Исходные данные'!$F$2:$F$964,$H7&amp;""),IF(SUMIFS('Исходные данные'!$I$2:$I$964,'Исходные данные'!$D$2:$D$964,AC$3,'Исходные данные'!$F$2:$F$964,$H7&amp;"")=0,"0+"&amp;SUMIFS('Исходные данные'!$J$2:$J$964,'Исходные данные'!$D$2:$D$964,AC$3,'Исходные данные'!$F$2:$F$964,$H7&amp;"")&amp;"="&amp;SUMIFS('Исходные данные'!$J$2:$J$964,'Исходные данные'!$D$2:$D$964,AC$3,'Исходные данные'!$F$2:$F$964,$H7&amp;""),SUMIFS('Исходные данные'!$I$2:$I$964,'Исходные данные'!$D$2:$D$964,AC$3,'Исходные данные'!$F$2:$F$964,$H7&amp;"")&amp;"+"&amp;SUMIFS('Исходные данные'!$J$2:$J$964,'Исходные данные'!$D$2:$D$964,AC$3,'Исходные данные'!$F$2:$F$964,$H7&amp;"")&amp;"="&amp;(SUMIFS('Исходные данные'!$I$2:$I$964,'Исходные данные'!$D$2:$D$964,AC$3,'Исходные данные'!$F$2:$F$964,$H7&amp;"")+SUMIFS('Исходные данные'!$J$2:$J$964,'Исходные данные'!$D$2:$D$964,AC$3,'Исходные данные'!$F$2:$F$964,$H7&amp;"")))))</f>
        <v/>
      </c>
      <c r="AD7" s="54" t="str">
        <f aca="false">IF(SUMIFS('Исходные данные'!$I$2:$I$964,'Исходные данные'!$D$2:$D$964,AD$3,'Исходные данные'!$F$2:$F$964,$H7&amp;"")+SUMIFS('Исходные данные'!$J$2:$J$964,'Исходные данные'!$D$2:$D$964,AD$3,'Исходные данные'!$F$2:$F$964,$H7&amp;"")=0,"",IF(SUMIFS('Исходные данные'!$J$2:$J$964,'Исходные данные'!$D$2:$D$964,AD$3,'Исходные данные'!$F$2:$F$964,$H7&amp;"")=0,SUMIFS('Исходные данные'!$I$2:$I$964,'Исходные данные'!$D$2:$D$964,AD$3,'Исходные данные'!$F$2:$F$964,$H7&amp;""),IF(SUMIFS('Исходные данные'!$I$2:$I$964,'Исходные данные'!$D$2:$D$964,AD$3,'Исходные данные'!$F$2:$F$964,$H7&amp;"")=0,"0+"&amp;SUMIFS('Исходные данные'!$J$2:$J$964,'Исходные данные'!$D$2:$D$964,AD$3,'Исходные данные'!$F$2:$F$964,$H7&amp;"")&amp;"="&amp;SUMIFS('Исходные данные'!$J$2:$J$964,'Исходные данные'!$D$2:$D$964,AD$3,'Исходные данные'!$F$2:$F$964,$H7&amp;""),SUMIFS('Исходные данные'!$I$2:$I$964,'Исходные данные'!$D$2:$D$964,AD$3,'Исходные данные'!$F$2:$F$964,$H7&amp;"")&amp;"+"&amp;SUMIFS('Исходные данные'!$J$2:$J$964,'Исходные данные'!$D$2:$D$964,AD$3,'Исходные данные'!$F$2:$F$964,$H7&amp;"")&amp;"="&amp;(SUMIFS('Исходные данные'!$I$2:$I$964,'Исходные данные'!$D$2:$D$964,AD$3,'Исходные данные'!$F$2:$F$964,$H7&amp;"")+SUMIFS('Исходные данные'!$J$2:$J$964,'Исходные данные'!$D$2:$D$964,AD$3,'Исходные данные'!$F$2:$F$964,$H7&amp;"")))))</f>
        <v/>
      </c>
      <c r="AE7" s="57" t="n">
        <f aca="false">IFERROR(INDEX('Выход ТС'!$K:$K,MATCH($H7&amp;"",'Выход ТС'!$A:$A,0))+INDEX('Выход ТС'!$L:$L,MATCH($H7&amp;"",'Выход ТС'!$A:$A,0))-INDEX('Выход ТС'!$I:$I,MATCH($H7&amp;"",'Выход ТС'!$A:$A,0))-INDEX('Выход ТС'!$J:$J,MATCH($H7&amp;"",'Выход ТС'!$A:$A,0)),"")</f>
        <v>0</v>
      </c>
      <c r="AF7" s="57" t="n">
        <f aca="false">IFERROR(INDEX('Выход ТС'!$O:$O,MATCH($H7&amp;"",'Выход ТС'!$A:$A,0))+INDEX('Выход ТС'!$P:$P,MATCH($H7&amp;"",'Выход ТС'!$A:$A,0))-INDEX('Выход ТС'!$M:$M,MATCH($H7&amp;"",'Выход ТС'!$A:$A,0))-INDEX('Выход ТС'!$N:$N,MATCH($H7&amp;"",'Выход ТС'!$A:$A,0)),"")</f>
        <v>0</v>
      </c>
      <c r="AG7" s="57" t="n">
        <f aca="false">IFERROR(INDEX('Выход ТС'!$S:$S,MATCH($H7&amp;"",'Выход ТС'!$A:$A,0))+INDEX('Выход ТС'!$T:$T,MATCH($H7&amp;"",'Выход ТС'!$A:$A,0))-INDEX('Выход ТС'!$Q:$Q,MATCH($H7&amp;"",'Выход ТС'!$A:$A,0))-INDEX('Выход ТС'!$R:$R,MATCH($H7&amp;"",'Выход ТС'!$A:$A,0)),"")</f>
        <v>0</v>
      </c>
      <c r="AH7" s="57" t="n">
        <f aca="false">IFERROR(INDEX('Выход ТС'!$W:$W,MATCH($H7&amp;"",'Выход ТС'!$A:$A,0))+INDEX('Выход ТС'!$X:$X,MATCH($H7&amp;"",'Выход ТС'!$A:$A,0))-INDEX('Выход ТС'!$U:$U,MATCH($H7&amp;"",'Выход ТС'!$A:$A,0))-INDEX('Выход ТС'!$V:$V,MATCH($H7&amp;"",'Выход ТС'!$A:$A,0)),"")</f>
        <v>0</v>
      </c>
      <c r="AI7" s="57" t="n">
        <f aca="false">IFERROR(INDEX('Выход ТС'!$AA:$AA,MATCH($H7&amp;"",'Выход ТС'!$A:$A,0))+INDEX('Выход ТС'!$AB:$AB,MATCH($H7&amp;"",'Выход ТС'!$A:$A,0))-INDEX('Выход ТС'!$Y:$Y,MATCH($H7&amp;"",'Выход ТС'!$A:$A,0))-INDEX('Выход ТС'!$Z:$Z,MATCH($H7&amp;"",'Выход ТС'!$A:$A,0)),"")</f>
        <v>0</v>
      </c>
      <c r="AJ7" s="57" t="n">
        <f aca="false">IFERROR(INDEX('Выход ТС'!$AE:$AE,MATCH($H7&amp;"",'Выход ТС'!$A:$A,0))+INDEX('Выход ТС'!$AF:$AF,MATCH($H7&amp;"",'Выход ТС'!$A:$A,0))-INDEX('Выход ТС'!$AC:$AC,MATCH($H7&amp;"",'Выход ТС'!$A:$A,0))-INDEX('Выход ТС'!$AD:$AD,MATCH($H7&amp;"",'Выход ТС'!$A:$A,0)),"")</f>
        <v>0</v>
      </c>
      <c r="AK7" s="57" t="n">
        <f aca="false">IFERROR(INDEX('Выход ТС'!$AI:$AI,MATCH($H7&amp;"",'Выход ТС'!$A:$A,0))+INDEX('Выход ТС'!$AJ:$AJ,MATCH($H7&amp;"",'Выход ТС'!$A:$A,0))-INDEX('Выход ТС'!$AG:$AG,MATCH($H7&amp;"",'Выход ТС'!$A:$A,0))-INDEX('Выход ТС'!$AH:$AH,MATCH($H7&amp;"",'Выход ТС'!$A:$A,0)),"")</f>
        <v>-2</v>
      </c>
      <c r="AL7" s="57" t="n">
        <f aca="false">IFERROR(INDEX('Выход ТС'!$AM:$AM,MATCH($H7&amp;"",'Выход ТС'!$A:$A,0))+INDEX('Выход ТС'!$AN:$AN,MATCH($H7&amp;"",'Выход ТС'!$A:$A,0))-INDEX('Выход ТС'!$AK:$AK,MATCH($H7&amp;"",'Выход ТС'!$A:$A,0))-INDEX('Выход ТС'!$AL:$AL,MATCH($H7&amp;"",'Выход ТС'!$A:$A,0)),"")</f>
        <v>0</v>
      </c>
      <c r="AM7" s="57" t="n">
        <f aca="false">IFERROR(INDEX('Выход ТС'!$AQ:$AQ,MATCH($H7&amp;"",'Выход ТС'!$A:$A,0))+INDEX('Выход ТС'!$AR:$AR,MATCH($H7&amp;"",'Выход ТС'!$A:$A,0))-INDEX('Выход ТС'!$AO:$AO,MATCH($H7&amp;"",'Выход ТС'!$A:$A,0))-INDEX('Выход ТС'!$AP:$AP,MATCH($H7&amp;"",'Выход ТС'!$A:$A,0)),"")</f>
        <v>0</v>
      </c>
      <c r="AN7" s="57" t="n">
        <f aca="false">IFERROR(INDEX('Выход ТС'!$AU:$AU,MATCH($H7&amp;"",'Выход ТС'!$A:$A,0))+INDEX('Выход ТС'!$AV:$AV,MATCH($H7&amp;"",'Выход ТС'!$A:$A,0))-INDEX('Выход ТС'!$AS:$AS,MATCH($H7&amp;"",'Выход ТС'!$A:$A,0))-INDEX('Выход ТС'!$AT:$AT,MATCH($H7&amp;"",'Выход ТС'!$A:$A,0)),"")</f>
        <v>0</v>
      </c>
      <c r="AO7" s="57" t="n">
        <f aca="false">IFERROR(INDEX('Выход ТС'!$AY:$AY,MATCH($H7&amp;"",'Выход ТС'!$A:$A,0))+INDEX('Выход ТС'!$AZ:$AZ,MATCH($H7&amp;"",'Выход ТС'!$A:$A,0))-INDEX('Выход ТС'!$AW:$AW,MATCH($H7&amp;"",'Выход ТС'!$A:$A,0))-INDEX('Выход ТС'!$AX:$AX,MATCH($H7&amp;"",'Выход ТС'!$A:$A,0)),"")</f>
        <v>0</v>
      </c>
      <c r="AP7" s="57" t="n">
        <f aca="false">IFERROR(INDEX('Выход ТС'!$BC:$BC,MATCH($H7&amp;"",'Выход ТС'!$A:$A,0))+INDEX('Выход ТС'!$BD:$BD,MATCH($H7&amp;"",'Выход ТС'!$A:$A,0))-INDEX('Выход ТС'!$BA:$BA,MATCH($H7&amp;"",'Выход ТС'!$A:$A,0))-INDEX('Выход ТС'!$BB:$BB,MATCH($H7&amp;"",'Выход ТС'!$A:$A,0)),"")</f>
        <v>0</v>
      </c>
      <c r="AQ7" s="57" t="n">
        <f aca="false">IFERROR(INDEX('Выход ТС'!$BG:$BG,MATCH($H7&amp;"",'Выход ТС'!$A:$A,0))+INDEX('Выход ТС'!$BH:$BH,MATCH($H7&amp;"",'Выход ТС'!$A:$A,0))-INDEX('Выход ТС'!$BE:$BE,MATCH($H7&amp;"",'Выход ТС'!$A:$A,0))-INDEX('Выход ТС'!$BF:$BF,MATCH($H7&amp;"",'Выход ТС'!$A:$A,0)),"")</f>
        <v>0</v>
      </c>
      <c r="AR7" s="57" t="n">
        <f aca="false">IFERROR(INDEX('Выход ТС'!$BK:$BK,MATCH($H7&amp;"",'Выход ТС'!$A:$A,0))+INDEX('Выход ТС'!$BL:$BL,MATCH($H7&amp;"",'Выход ТС'!$A:$A,0))-INDEX('Выход ТС'!$BI:$BI,MATCH($H7&amp;"",'Выход ТС'!$A:$A,0))-INDEX('Выход ТС'!$BJ:$BJ,MATCH($H7&amp;"",'Выход ТС'!$A:$A,0)),"")</f>
        <v>0</v>
      </c>
      <c r="AS7" s="57" t="n">
        <f aca="false">IFERROR(INDEX('Выход ТС'!$BO:$BO,MATCH($H7&amp;"",'Выход ТС'!$A:$A,0))+INDEX('Выход ТС'!$BP:$BP,MATCH($H7&amp;"",'Выход ТС'!$A:$A,0))-INDEX('Выход ТС'!$BM:$BM,MATCH($H7&amp;"",'Выход ТС'!$A:$A,0))-INDEX('Выход ТС'!$BN:$BN,MATCH($H7&amp;"",'Выход ТС'!$A:$A,0)),"")</f>
        <v>0</v>
      </c>
      <c r="AT7" s="57" t="n">
        <f aca="false">IFERROR(INDEX('Выход ТС'!$CI:$CI,MATCH($H7&amp;"",'Выход ТС'!$A:$A,0))+INDEX('Выход ТС'!$CJ:$CJ,MATCH($H7&amp;"",'Выход ТС'!$A:$A,0))-INDEX('Выход ТС'!$CG:$CG,MATCH($H7&amp;"",'Выход ТС'!$A:$A,0))-INDEX('Выход ТС'!$CH:$CH,MATCH($H7&amp;"",'Выход ТС'!$A:$A,0)),"")</f>
        <v>0</v>
      </c>
      <c r="AU7" s="57" t="n">
        <f aca="false">IFERROR(INDEX('Выход ТС'!$CM:$CM,MATCH($H7&amp;"",'Выход ТС'!$A:$A,0))+INDEX('Выход ТС'!$CN:$CN,MATCH($H7&amp;"",'Выход ТС'!$A:$A,0))-INDEX('Выход ТС'!$CK:$CK,MATCH($H7&amp;"",'Выход ТС'!$A:$A,0))-INDEX('Выход ТС'!$CL:$CL,MATCH($H7&amp;"",'Выход ТС'!$A:$A,0)),"")</f>
        <v>0</v>
      </c>
    </row>
    <row r="8" customFormat="false" ht="25.5" hidden="false" customHeight="true" outlineLevel="0" collapsed="false">
      <c r="A8" s="47" t="n">
        <v>6</v>
      </c>
      <c r="B8" s="32" t="s">
        <v>174</v>
      </c>
      <c r="C8" s="33" t="s">
        <v>9</v>
      </c>
      <c r="D8" s="34"/>
      <c r="E8" s="34" t="s">
        <v>175</v>
      </c>
      <c r="F8" s="34" t="s">
        <v>22</v>
      </c>
      <c r="G8" s="69"/>
      <c r="H8" s="36"/>
      <c r="I8" s="60"/>
      <c r="J8" s="61"/>
      <c r="K8" s="62"/>
      <c r="L8" s="63"/>
      <c r="M8" s="64"/>
      <c r="N8" s="64"/>
      <c r="O8" s="65" t="str">
        <f aca="false">IF(SUMIFS('Исходные данные'!$I$2:$I$964,'Исходные данные'!$D$2:$D$964,O$3,'Исходные данные'!$F$2:$F$964,$H9&amp;"",'Исходные данные'!$L$2:$L$964,"УТТ")+SUMIFS('Исходные данные'!$J$2:$J$964,'Исходные данные'!$D$2:$D$964,O$3,'Исходные данные'!$F$2:$F$964,$H9&amp;"",'Исходные данные'!$L$2:$L$964,"УТТ")=0,"","утт-"&amp;(SUMIFS('Исходные данные'!$I$2:$I$964,'Исходные данные'!$D$2:$D$964,O$3,'Исходные данные'!$F$2:$F$964,$H9&amp;"",'Исходные данные'!$L$2:$L$964,"УТТ")+SUMIFS('Исходные данные'!$J$2:$J$964,'Исходные данные'!$D$2:$D$964,O$3,'Исходные данные'!$F$2:$F$964,$H9&amp;"",'Исходные данные'!$L$2:$L$964,"УТТ")))</f>
        <v/>
      </c>
      <c r="P8" s="66" t="str">
        <f aca="false">IF(SUMIFS('Исходные данные'!$I$2:$I$964,'Исходные данные'!$D$2:$D$964,P$3,'Исходные данные'!$F$2:$F$964,$H9&amp;"",'Исходные данные'!$L$2:$L$964,"УТТ")+SUMIFS('Исходные данные'!$J$2:$J$964,'Исходные данные'!$D$2:$D$964,P$3,'Исходные данные'!$F$2:$F$964,$H9&amp;"",'Исходные данные'!$L$2:$L$964,"УТТ")=0,"","утт-"&amp;(SUMIFS('Исходные данные'!$I$2:$I$964,'Исходные данные'!$D$2:$D$964,P$3,'Исходные данные'!$F$2:$F$964,$H9&amp;"",'Исходные данные'!$L$2:$L$964,"УТТ")+SUMIFS('Исходные данные'!$J$2:$J$964,'Исходные данные'!$D$2:$D$964,P$3,'Исходные данные'!$F$2:$F$964,$H9&amp;"",'Исходные данные'!$L$2:$L$964,"УТТ")))</f>
        <v/>
      </c>
      <c r="Q8" s="65" t="str">
        <f aca="false">IF(SUMIFS('Исходные данные'!$I$2:$I$964,'Исходные данные'!$D$2:$D$964,Q$3,'Исходные данные'!$F$2:$F$964,$H9&amp;"",'Исходные данные'!$L$2:$L$964,"УТТ")+SUMIFS('Исходные данные'!$J$2:$J$964,'Исходные данные'!$D$2:$D$964,Q$3,'Исходные данные'!$F$2:$F$964,$H9&amp;"",'Исходные данные'!$L$2:$L$964,"УТТ")=0,"","утт-"&amp;(SUMIFS('Исходные данные'!$I$2:$I$964,'Исходные данные'!$D$2:$D$964,Q$3,'Исходные данные'!$F$2:$F$964,$H9&amp;"",'Исходные данные'!$L$2:$L$964,"УТТ")+SUMIFS('Исходные данные'!$J$2:$J$964,'Исходные данные'!$D$2:$D$964,Q$3,'Исходные данные'!$F$2:$F$964,$H9&amp;"",'Исходные данные'!$L$2:$L$964,"УТТ")))</f>
        <v/>
      </c>
      <c r="R8" s="67" t="str">
        <f aca="false">IF(SUMIFS('Исходные данные'!$I$2:$I$964,'Исходные данные'!$D$2:$D$964,R$3,'Исходные данные'!$F$2:$F$964,$H9&amp;"",'Исходные данные'!$L$2:$L$964,"УТТ")+SUMIFS('Исходные данные'!$J$2:$J$964,'Исходные данные'!$D$2:$D$964,R$3,'Исходные данные'!$F$2:$F$964,$H9&amp;"",'Исходные данные'!$L$2:$L$964,"УТТ")=0,"","утт-"&amp;(SUMIFS('Исходные данные'!$I$2:$I$964,'Исходные данные'!$D$2:$D$964,R$3,'Исходные данные'!$F$2:$F$964,$H9&amp;"",'Исходные данные'!$L$2:$L$964,"УТТ")+SUMIFS('Исходные данные'!$J$2:$J$964,'Исходные данные'!$D$2:$D$964,R$3,'Исходные данные'!$F$2:$F$964,$H9&amp;"",'Исходные данные'!$L$2:$L$964,"УТТ")))</f>
        <v/>
      </c>
      <c r="S8" s="66" t="str">
        <f aca="false">IF(SUMIFS('Исходные данные'!$I$2:$I$964,'Исходные данные'!$D$2:$D$964,S$3,'Исходные данные'!$F$2:$F$964,$H9&amp;"",'Исходные данные'!$L$2:$L$964,"УТТ")+SUMIFS('Исходные данные'!$J$2:$J$964,'Исходные данные'!$D$2:$D$964,S$3,'Исходные данные'!$F$2:$F$964,$H9&amp;"",'Исходные данные'!$L$2:$L$964,"УТТ")=0,"","утт-"&amp;(SUMIFS('Исходные данные'!$I$2:$I$964,'Исходные данные'!$D$2:$D$964,S$3,'Исходные данные'!$F$2:$F$964,$H9&amp;"",'Исходные данные'!$L$2:$L$964,"УТТ")+SUMIFS('Исходные данные'!$J$2:$J$964,'Исходные данные'!$D$2:$D$964,S$3,'Исходные данные'!$F$2:$F$964,$H9&amp;"",'Исходные данные'!$L$2:$L$964,"УТТ")))</f>
        <v/>
      </c>
      <c r="T8" s="65" t="str">
        <f aca="false">IF(SUMIFS('Исходные данные'!$I$2:$I$964,'Исходные данные'!$D$2:$D$964,T$3,'Исходные данные'!$F$2:$F$964,$H9&amp;"",'Исходные данные'!$L$2:$L$964,"УТТ")+SUMIFS('Исходные данные'!$J$2:$J$964,'Исходные данные'!$D$2:$D$964,T$3,'Исходные данные'!$F$2:$F$964,$H9&amp;"",'Исходные данные'!$L$2:$L$964,"УТТ")=0,"","утт-"&amp;(SUMIFS('Исходные данные'!$I$2:$I$964,'Исходные данные'!$D$2:$D$964,T$3,'Исходные данные'!$F$2:$F$964,$H9&amp;"",'Исходные данные'!$L$2:$L$964,"УТТ")+SUMIFS('Исходные данные'!$J$2:$J$964,'Исходные данные'!$D$2:$D$964,T$3,'Исходные данные'!$F$2:$F$964,$H9&amp;"",'Исходные данные'!$L$2:$L$964,"УТТ")))</f>
        <v/>
      </c>
      <c r="U8" s="66" t="str">
        <f aca="false">IF(SUMIFS('Исходные данные'!$I$2:$I$964,'Исходные данные'!$D$2:$D$964,U$3,'Исходные данные'!$F$2:$F$964,$H9&amp;"",'Исходные данные'!$L$2:$L$964,"УТТ")+SUMIFS('Исходные данные'!$J$2:$J$964,'Исходные данные'!$D$2:$D$964,U$3,'Исходные данные'!$F$2:$F$964,$H9&amp;"",'Исходные данные'!$L$2:$L$964,"УТТ")=0,"","утт-"&amp;(SUMIFS('Исходные данные'!$I$2:$I$964,'Исходные данные'!$D$2:$D$964,U$3,'Исходные данные'!$F$2:$F$964,$H9&amp;"",'Исходные данные'!$L$2:$L$964,"УТТ")+SUMIFS('Исходные данные'!$J$2:$J$964,'Исходные данные'!$D$2:$D$964,U$3,'Исходные данные'!$F$2:$F$964,$H9&amp;"",'Исходные данные'!$L$2:$L$964,"УТТ")))</f>
        <v/>
      </c>
      <c r="V8" s="65" t="str">
        <f aca="false">IF(SUMIFS('Исходные данные'!$I$2:$I$964,'Исходные данные'!$D$2:$D$964,V$3,'Исходные данные'!$F$2:$F$964,$H9&amp;"",'Исходные данные'!$L$2:$L$964,"УТТ")+SUMIFS('Исходные данные'!$J$2:$J$964,'Исходные данные'!$D$2:$D$964,V$3,'Исходные данные'!$F$2:$F$964,$H9&amp;"",'Исходные данные'!$L$2:$L$964,"УТТ")=0,"","утт-"&amp;(SUMIFS('Исходные данные'!$I$2:$I$964,'Исходные данные'!$D$2:$D$964,V$3,'Исходные данные'!$F$2:$F$964,$H9&amp;"",'Исходные данные'!$L$2:$L$964,"УТТ")+SUMIFS('Исходные данные'!$J$2:$J$964,'Исходные данные'!$D$2:$D$964,V$3,'Исходные данные'!$F$2:$F$964,$H9&amp;"",'Исходные данные'!$L$2:$L$964,"УТТ")))</f>
        <v/>
      </c>
      <c r="W8" s="66" t="str">
        <f aca="false">IF(SUMIFS('Исходные данные'!$I$2:$I$964,'Исходные данные'!$D$2:$D$964,W$3,'Исходные данные'!$F$2:$F$964,$H9&amp;"",'Исходные данные'!$L$2:$L$964,"УТТ")+SUMIFS('Исходные данные'!$J$2:$J$964,'Исходные данные'!$D$2:$D$964,W$3,'Исходные данные'!$F$2:$F$964,$H9&amp;"",'Исходные данные'!$L$2:$L$964,"УТТ")=0,"","утт-"&amp;(SUMIFS('Исходные данные'!$I$2:$I$964,'Исходные данные'!$D$2:$D$964,W$3,'Исходные данные'!$F$2:$F$964,$H9&amp;"",'Исходные данные'!$L$2:$L$964,"УТТ")+SUMIFS('Исходные данные'!$J$2:$J$964,'Исходные данные'!$D$2:$D$964,W$3,'Исходные данные'!$F$2:$F$964,$H9&amp;"",'Исходные данные'!$L$2:$L$964,"УТТ")))</f>
        <v/>
      </c>
      <c r="X8" s="66" t="str">
        <f aca="false">IF(SUMIFS('Исходные данные'!$I$2:$I$964,'Исходные данные'!$D$2:$D$964,X$3,'Исходные данные'!$F$2:$F$964,$H9&amp;"",'Исходные данные'!$L$2:$L$964,"УТТ")+SUMIFS('Исходные данные'!$J$2:$J$964,'Исходные данные'!$D$2:$D$964,X$3,'Исходные данные'!$F$2:$F$964,$H9&amp;"",'Исходные данные'!$L$2:$L$964,"УТТ")=0,"","утт-"&amp;(SUMIFS('Исходные данные'!$I$2:$I$964,'Исходные данные'!$D$2:$D$964,X$3,'Исходные данные'!$F$2:$F$964,$H9&amp;"",'Исходные данные'!$L$2:$L$964,"УТТ")+SUMIFS('Исходные данные'!$J$2:$J$964,'Исходные данные'!$D$2:$D$964,X$3,'Исходные данные'!$F$2:$F$964,$H9&amp;"",'Исходные данные'!$L$2:$L$964,"УТТ")))</f>
        <v/>
      </c>
      <c r="Y8" s="68" t="str">
        <f aca="false">IF(SUMIFS('Исходные данные'!$I$2:$I$964,'Исходные данные'!$D$2:$D$964,Y$3,'Исходные данные'!$F$2:$F$964,$H9&amp;"",'Исходные данные'!$L$2:$L$964,"УТТ")+SUMIFS('Исходные данные'!$J$2:$J$964,'Исходные данные'!$D$2:$D$964,Y$3,'Исходные данные'!$F$2:$F$964,$H9&amp;"",'Исходные данные'!$L$2:$L$964,"УТТ")=0,"","утт-"&amp;(SUMIFS('Исходные данные'!$I$2:$I$964,'Исходные данные'!$D$2:$D$964,Y$3,'Исходные данные'!$F$2:$F$964,$H9&amp;"",'Исходные данные'!$L$2:$L$964,"УТТ")+SUMIFS('Исходные данные'!$J$2:$J$964,'Исходные данные'!$D$2:$D$964,Y$3,'Исходные данные'!$F$2:$F$964,$H9&amp;"",'Исходные данные'!$L$2:$L$964,"УТТ")))</f>
        <v/>
      </c>
      <c r="Z8" s="65" t="str">
        <f aca="false">IF(SUMIFS('Исходные данные'!$I$2:$I$964,'Исходные данные'!$D$2:$D$964,Z$3,'Исходные данные'!$F$2:$F$964,$H9&amp;"",'Исходные данные'!$L$2:$L$964,"УТТ")+SUMIFS('Исходные данные'!$J$2:$J$964,'Исходные данные'!$D$2:$D$964,Z$3,'Исходные данные'!$F$2:$F$964,$H9&amp;"",'Исходные данные'!$L$2:$L$964,"УТТ")=0,"","утт-"&amp;(SUMIFS('Исходные данные'!$I$2:$I$964,'Исходные данные'!$D$2:$D$964,Z$3,'Исходные данные'!$F$2:$F$964,$H9&amp;"",'Исходные данные'!$L$2:$L$964,"УТТ")+SUMIFS('Исходные данные'!$J$2:$J$964,'Исходные данные'!$D$2:$D$964,Z$3,'Исходные данные'!$F$2:$F$964,$H9&amp;"",'Исходные данные'!$L$2:$L$964,"УТТ")))</f>
        <v/>
      </c>
      <c r="AA8" s="66" t="str">
        <f aca="false">IF(SUMIFS('Исходные данные'!$I$2:$I$964,'Исходные данные'!$D$2:$D$964,AA$3,'Исходные данные'!$F$2:$F$964,$H9&amp;"",'Исходные данные'!$L$2:$L$964,"УТТ")+SUMIFS('Исходные данные'!$J$2:$J$964,'Исходные данные'!$D$2:$D$964,AA$3,'Исходные данные'!$F$2:$F$964,$H9&amp;"",'Исходные данные'!$L$2:$L$964,"УТТ")=0,"","утт-"&amp;(SUMIFS('Исходные данные'!$I$2:$I$964,'Исходные данные'!$D$2:$D$964,AA$3,'Исходные данные'!$F$2:$F$964,$H9&amp;"",'Исходные данные'!$L$2:$L$964,"УТТ")+SUMIFS('Исходные данные'!$J$2:$J$964,'Исходные данные'!$D$2:$D$964,AA$3,'Исходные данные'!$F$2:$F$964,$H9&amp;"",'Исходные данные'!$L$2:$L$964,"УТТ")))</f>
        <v/>
      </c>
      <c r="AB8" s="66" t="str">
        <f aca="false">IF(SUMIFS('Исходные данные'!$I$2:$I$964,'Исходные данные'!$D$2:$D$964,AB$3,'Исходные данные'!$F$2:$F$964,$H9&amp;"",'Исходные данные'!$L$2:$L$964,"УТТ")+SUMIFS('Исходные данные'!$J$2:$J$964,'Исходные данные'!$D$2:$D$964,AB$3,'Исходные данные'!$F$2:$F$964,$H9&amp;"",'Исходные данные'!$L$2:$L$964,"УТТ")=0,"","утт-"&amp;(SUMIFS('Исходные данные'!$I$2:$I$964,'Исходные данные'!$D$2:$D$964,AB$3,'Исходные данные'!$F$2:$F$964,$H9&amp;"",'Исходные данные'!$L$2:$L$964,"УТТ")+SUMIFS('Исходные данные'!$J$2:$J$964,'Исходные данные'!$D$2:$D$964,AB$3,'Исходные данные'!$F$2:$F$964,$H9&amp;"",'Исходные данные'!$L$2:$L$964,"УТТ")))</f>
        <v/>
      </c>
      <c r="AC8" s="65" t="str">
        <f aca="false">IF(SUMIFS('Исходные данные'!$I$2:$I$964,'Исходные данные'!$D$2:$D$964,AC$3,'Исходные данные'!$F$2:$F$964,$H9&amp;"",'Исходные данные'!$L$2:$L$964,"УТТ")+SUMIFS('Исходные данные'!$J$2:$J$964,'Исходные данные'!$D$2:$D$964,AC$3,'Исходные данные'!$F$2:$F$964,$H9&amp;"",'Исходные данные'!$L$2:$L$964,"УТТ")=0,"","утт-"&amp;(SUMIFS('Исходные данные'!$I$2:$I$964,'Исходные данные'!$D$2:$D$964,AC$3,'Исходные данные'!$F$2:$F$964,$H9&amp;"",'Исходные данные'!$L$2:$L$964,"УТТ")+SUMIFS('Исходные данные'!$J$2:$J$964,'Исходные данные'!$D$2:$D$964,AC$3,'Исходные данные'!$F$2:$F$964,$H9&amp;"",'Исходные данные'!$L$2:$L$964,"УТТ")))</f>
        <v/>
      </c>
      <c r="AD8" s="66" t="str">
        <f aca="false">IF(SUMIFS('Исходные данные'!$I$2:$I$964,'Исходные данные'!$D$2:$D$964,AD$3,'Исходные данные'!$F$2:$F$964,$H9&amp;"",'Исходные данные'!$L$2:$L$964,"УТТ")+SUMIFS('Исходные данные'!$J$2:$J$964,'Исходные данные'!$D$2:$D$964,AD$3,'Исходные данные'!$F$2:$F$964,$H9&amp;"",'Исходные данные'!$L$2:$L$964,"УТТ")=0,"","утт-"&amp;(SUMIFS('Исходные данные'!$I$2:$I$964,'Исходные данные'!$D$2:$D$964,AD$3,'Исходные данные'!$F$2:$F$964,$H9&amp;"",'Исходные данные'!$L$2:$L$964,"УТТ")+SUMIFS('Исходные данные'!$J$2:$J$964,'Исходные данные'!$D$2:$D$964,AD$3,'Исходные данные'!$F$2:$F$964,$H9&amp;"",'Исходные данные'!$L$2:$L$964,"УТТ")))</f>
        <v>утт-1</v>
      </c>
    </row>
    <row r="9" customFormat="false" ht="25.5" hidden="false" customHeight="true" outlineLevel="0" collapsed="false">
      <c r="A9" s="31" t="n">
        <v>7</v>
      </c>
      <c r="B9" s="32" t="s">
        <v>176</v>
      </c>
      <c r="C9" s="33" t="s">
        <v>9</v>
      </c>
      <c r="D9" s="34"/>
      <c r="E9" s="34" t="s">
        <v>177</v>
      </c>
      <c r="F9" s="34" t="s">
        <v>22</v>
      </c>
      <c r="G9" s="69"/>
      <c r="H9" s="36" t="n">
        <v>49</v>
      </c>
      <c r="I9" s="48" t="s">
        <v>178</v>
      </c>
      <c r="J9" s="49" t="n">
        <f aca="false">IFERROR(INDEX('Выход ТС'!$C:$C,MATCH($H9&amp;"",'Выход ТС'!$A:$A,0)),"")</f>
        <v>15</v>
      </c>
      <c r="K9" s="50" t="n">
        <f aca="false">IFERROR(INDEX('Выход ТС'!$E:$E,MATCH($H9&amp;"",'Выход ТС'!$A:$A,0)),"")</f>
        <v>13</v>
      </c>
      <c r="L9" s="51" t="n">
        <f aca="false">IFERROR(INDEX('Выход ТС'!$F:$F,MATCH($H9&amp;"",'Выход ТС'!$A:$A,0)),"")</f>
        <v>-2</v>
      </c>
      <c r="M9" s="52" t="n">
        <f aca="false">IFERROR(IF(INDEX('Выход ТС'!$G:$G,MATCH($H9&amp;"",'Выход ТС'!$A:$A,0))=0,"",INDEX('Выход ТС'!$G:$G,MATCH($H9&amp;"",'Выход ТС'!$A:$A,0))),"")</f>
        <v>7</v>
      </c>
      <c r="N9" s="52" t="n">
        <f aca="false">IFERROR(IF(INDEX('Выход ТС'!$H:$H,MATCH($H9&amp;"",'Выход ТС'!$A:$A,0))=0,"",INDEX('Выход ТС'!$H:$H,MATCH($H9&amp;"",'Выход ТС'!$A:$A,0))),"")</f>
        <v>6</v>
      </c>
      <c r="O9" s="56" t="str">
        <f aca="false">IF(SUMIFS('Исходные данные'!$I$2:$I$964,'Исходные данные'!$D$2:$D$964,O$3,'Исходные данные'!$F$2:$F$964,$H9&amp;"")+SUMIFS('Исходные данные'!$J$2:$J$964,'Исходные данные'!$D$2:$D$964,O$3,'Исходные данные'!$F$2:$F$964,$H9&amp;"")=0,"",IF(SUMIFS('Исходные данные'!$J$2:$J$964,'Исходные данные'!$D$2:$D$964,O$3,'Исходные данные'!$F$2:$F$964,$H9&amp;"")=0,SUMIFS('Исходные данные'!$I$2:$I$964,'Исходные данные'!$D$2:$D$964,O$3,'Исходные данные'!$F$2:$F$964,$H9&amp;""),IF(SUMIFS('Исходные данные'!$I$2:$I$964,'Исходные данные'!$D$2:$D$964,O$3,'Исходные данные'!$F$2:$F$964,$H9&amp;"")=0,"0+"&amp;SUMIFS('Исходные данные'!$J$2:$J$964,'Исходные данные'!$D$2:$D$964,O$3,'Исходные данные'!$F$2:$F$964,$H9&amp;"")&amp;"="&amp;SUMIFS('Исходные данные'!$J$2:$J$964,'Исходные данные'!$D$2:$D$964,O$3,'Исходные данные'!$F$2:$F$964,$H9&amp;""),SUMIFS('Исходные данные'!$I$2:$I$964,'Исходные данные'!$D$2:$D$964,O$3,'Исходные данные'!$F$2:$F$964,$H9&amp;"")&amp;"+"&amp;SUMIFS('Исходные данные'!$J$2:$J$964,'Исходные данные'!$D$2:$D$964,O$3,'Исходные данные'!$F$2:$F$964,$H9&amp;"")&amp;"="&amp;(SUMIFS('Исходные данные'!$I$2:$I$964,'Исходные данные'!$D$2:$D$964,O$3,'Исходные данные'!$F$2:$F$964,$H9&amp;"")+SUMIFS('Исходные данные'!$J$2:$J$964,'Исходные данные'!$D$2:$D$964,O$3,'Исходные данные'!$F$2:$F$964,$H9&amp;"")))))</f>
        <v>2+2=4</v>
      </c>
      <c r="P9" s="54" t="n">
        <f aca="false">IF(SUMIFS('Исходные данные'!$I$2:$I$964,'Исходные данные'!$D$2:$D$964,P$3,'Исходные данные'!$F$2:$F$964,$H9&amp;"")+SUMIFS('Исходные данные'!$J$2:$J$964,'Исходные данные'!$D$2:$D$964,P$3,'Исходные данные'!$F$2:$F$964,$H9&amp;"")=0,"",IF(SUMIFS('Исходные данные'!$J$2:$J$964,'Исходные данные'!$D$2:$D$964,P$3,'Исходные данные'!$F$2:$F$964,$H9&amp;"")=0,SUMIFS('Исходные данные'!$I$2:$I$964,'Исходные данные'!$D$2:$D$964,P$3,'Исходные данные'!$F$2:$F$964,$H9&amp;""),IF(SUMIFS('Исходные данные'!$I$2:$I$964,'Исходные данные'!$D$2:$D$964,P$3,'Исходные данные'!$F$2:$F$964,$H9&amp;"")=0,"0+"&amp;SUMIFS('Исходные данные'!$J$2:$J$964,'Исходные данные'!$D$2:$D$964,P$3,'Исходные данные'!$F$2:$F$964,$H9&amp;"")&amp;"="&amp;SUMIFS('Исходные данные'!$J$2:$J$964,'Исходные данные'!$D$2:$D$964,P$3,'Исходные данные'!$F$2:$F$964,$H9&amp;""),SUMIFS('Исходные данные'!$I$2:$I$964,'Исходные данные'!$D$2:$D$964,P$3,'Исходные данные'!$F$2:$F$964,$H9&amp;"")&amp;"+"&amp;SUMIFS('Исходные данные'!$J$2:$J$964,'Исходные данные'!$D$2:$D$964,P$3,'Исходные данные'!$F$2:$F$964,$H9&amp;"")&amp;"="&amp;(SUMIFS('Исходные данные'!$I$2:$I$964,'Исходные данные'!$D$2:$D$964,P$3,'Исходные данные'!$F$2:$F$964,$H9&amp;"")+SUMIFS('Исходные данные'!$J$2:$J$964,'Исходные данные'!$D$2:$D$964,P$3,'Исходные данные'!$F$2:$F$964,$H9&amp;"")))))</f>
        <v>1</v>
      </c>
      <c r="Q9" s="54" t="str">
        <f aca="false">IF(SUMIFS('Исходные данные'!$I$2:$I$964,'Исходные данные'!$D$2:$D$964,Q$3,'Исходные данные'!$F$2:$F$964,$H9&amp;"")+SUMIFS('Исходные данные'!$J$2:$J$964,'Исходные данные'!$D$2:$D$964,Q$3,'Исходные данные'!$F$2:$F$964,$H9&amp;"")=0,"",IF(SUMIFS('Исходные данные'!$J$2:$J$964,'Исходные данные'!$D$2:$D$964,Q$3,'Исходные данные'!$F$2:$F$964,$H9&amp;"")=0,SUMIFS('Исходные данные'!$I$2:$I$964,'Исходные данные'!$D$2:$D$964,Q$3,'Исходные данные'!$F$2:$F$964,$H9&amp;""),IF(SUMIFS('Исходные данные'!$I$2:$I$964,'Исходные данные'!$D$2:$D$964,Q$3,'Исходные данные'!$F$2:$F$964,$H9&amp;"")=0,"0+"&amp;SUMIFS('Исходные данные'!$J$2:$J$964,'Исходные данные'!$D$2:$D$964,Q$3,'Исходные данные'!$F$2:$F$964,$H9&amp;"")&amp;"="&amp;SUMIFS('Исходные данные'!$J$2:$J$964,'Исходные данные'!$D$2:$D$964,Q$3,'Исходные данные'!$F$2:$F$964,$H9&amp;""),SUMIFS('Исходные данные'!$I$2:$I$964,'Исходные данные'!$D$2:$D$964,Q$3,'Исходные данные'!$F$2:$F$964,$H9&amp;"")&amp;"+"&amp;SUMIFS('Исходные данные'!$J$2:$J$964,'Исходные данные'!$D$2:$D$964,Q$3,'Исходные данные'!$F$2:$F$964,$H9&amp;"")&amp;"="&amp;(SUMIFS('Исходные данные'!$I$2:$I$964,'Исходные данные'!$D$2:$D$964,Q$3,'Исходные данные'!$F$2:$F$964,$H9&amp;"")+SUMIFS('Исходные данные'!$J$2:$J$964,'Исходные данные'!$D$2:$D$964,Q$3,'Исходные данные'!$F$2:$F$964,$H9&amp;"")))))</f>
        <v>2+1=3</v>
      </c>
      <c r="R9" s="55" t="str">
        <f aca="false">IF(SUMIFS('Исходные данные'!$I$2:$I$964,'Исходные данные'!$D$2:$D$964,R$3,'Исходные данные'!$F$2:$F$964,$H9&amp;"")+SUMIFS('Исходные данные'!$J$2:$J$964,'Исходные данные'!$D$2:$D$964,R$3,'Исходные данные'!$F$2:$F$964,$H9&amp;"")=0,"",IF(SUMIFS('Исходные данные'!$J$2:$J$964,'Исходные данные'!$D$2:$D$964,R$3,'Исходные данные'!$F$2:$F$964,$H9&amp;"")=0,SUMIFS('Исходные данные'!$I$2:$I$964,'Исходные данные'!$D$2:$D$964,R$3,'Исходные данные'!$F$2:$F$964,$H9&amp;""),IF(SUMIFS('Исходные данные'!$I$2:$I$964,'Исходные данные'!$D$2:$D$964,R$3,'Исходные данные'!$F$2:$F$964,$H9&amp;"")=0,"0+"&amp;SUMIFS('Исходные данные'!$J$2:$J$964,'Исходные данные'!$D$2:$D$964,R$3,'Исходные данные'!$F$2:$F$964,$H9&amp;"")&amp;"="&amp;SUMIFS('Исходные данные'!$J$2:$J$964,'Исходные данные'!$D$2:$D$964,R$3,'Исходные данные'!$F$2:$F$964,$H9&amp;""),SUMIFS('Исходные данные'!$I$2:$I$964,'Исходные данные'!$D$2:$D$964,R$3,'Исходные данные'!$F$2:$F$964,$H9&amp;"")&amp;"+"&amp;SUMIFS('Исходные данные'!$J$2:$J$964,'Исходные данные'!$D$2:$D$964,R$3,'Исходные данные'!$F$2:$F$964,$H9&amp;"")&amp;"="&amp;(SUMIFS('Исходные данные'!$I$2:$I$964,'Исходные данные'!$D$2:$D$964,R$3,'Исходные данные'!$F$2:$F$964,$H9&amp;"")+SUMIFS('Исходные данные'!$J$2:$J$964,'Исходные данные'!$D$2:$D$964,R$3,'Исходные данные'!$F$2:$F$964,$H9&amp;"")))))</f>
        <v/>
      </c>
      <c r="S9" s="54" t="str">
        <f aca="false">IF(SUMIFS('Исходные данные'!$I$2:$I$964,'Исходные данные'!$D$2:$D$964,S$3,'Исходные данные'!$F$2:$F$964,$H9&amp;"")+SUMIFS('Исходные данные'!$J$2:$J$964,'Исходные данные'!$D$2:$D$964,S$3,'Исходные данные'!$F$2:$F$964,$H9&amp;"")=0,"",IF(SUMIFS('Исходные данные'!$J$2:$J$964,'Исходные данные'!$D$2:$D$964,S$3,'Исходные данные'!$F$2:$F$964,$H9&amp;"")=0,SUMIFS('Исходные данные'!$I$2:$I$964,'Исходные данные'!$D$2:$D$964,S$3,'Исходные данные'!$F$2:$F$964,$H9&amp;""),IF(SUMIFS('Исходные данные'!$I$2:$I$964,'Исходные данные'!$D$2:$D$964,S$3,'Исходные данные'!$F$2:$F$964,$H9&amp;"")=0,"0+"&amp;SUMIFS('Исходные данные'!$J$2:$J$964,'Исходные данные'!$D$2:$D$964,S$3,'Исходные данные'!$F$2:$F$964,$H9&amp;"")&amp;"="&amp;SUMIFS('Исходные данные'!$J$2:$J$964,'Исходные данные'!$D$2:$D$964,S$3,'Исходные данные'!$F$2:$F$964,$H9&amp;""),SUMIFS('Исходные данные'!$I$2:$I$964,'Исходные данные'!$D$2:$D$964,S$3,'Исходные данные'!$F$2:$F$964,$H9&amp;"")&amp;"+"&amp;SUMIFS('Исходные данные'!$J$2:$J$964,'Исходные данные'!$D$2:$D$964,S$3,'Исходные данные'!$F$2:$F$964,$H9&amp;"")&amp;"="&amp;(SUMIFS('Исходные данные'!$I$2:$I$964,'Исходные данные'!$D$2:$D$964,S$3,'Исходные данные'!$F$2:$F$964,$H9&amp;"")+SUMIFS('Исходные данные'!$J$2:$J$964,'Исходные данные'!$D$2:$D$964,S$3,'Исходные данные'!$F$2:$F$964,$H9&amp;"")))))</f>
        <v/>
      </c>
      <c r="T9" s="53" t="str">
        <f aca="false">IF(SUMIFS('Исходные данные'!$I$2:$I$964,'Исходные данные'!$D$2:$D$964,T$3,'Исходные данные'!$F$2:$F$964,$H9&amp;"")+SUMIFS('Исходные данные'!$J$2:$J$964,'Исходные данные'!$D$2:$D$964,T$3,'Исходные данные'!$F$2:$F$964,$H9&amp;"")=0,"",IF(SUMIFS('Исходные данные'!$J$2:$J$964,'Исходные данные'!$D$2:$D$964,T$3,'Исходные данные'!$F$2:$F$964,$H9&amp;"")=0,SUMIFS('Исходные данные'!$I$2:$I$964,'Исходные данные'!$D$2:$D$964,T$3,'Исходные данные'!$F$2:$F$964,$H9&amp;""),IF(SUMIFS('Исходные данные'!$I$2:$I$964,'Исходные данные'!$D$2:$D$964,T$3,'Исходные данные'!$F$2:$F$964,$H9&amp;"")=0,"0+"&amp;SUMIFS('Исходные данные'!$J$2:$J$964,'Исходные данные'!$D$2:$D$964,T$3,'Исходные данные'!$F$2:$F$964,$H9&amp;"")&amp;"="&amp;SUMIFS('Исходные данные'!$J$2:$J$964,'Исходные данные'!$D$2:$D$964,T$3,'Исходные данные'!$F$2:$F$964,$H9&amp;""),SUMIFS('Исходные данные'!$I$2:$I$964,'Исходные данные'!$D$2:$D$964,T$3,'Исходные данные'!$F$2:$F$964,$H9&amp;"")&amp;"+"&amp;SUMIFS('Исходные данные'!$J$2:$J$964,'Исходные данные'!$D$2:$D$964,T$3,'Исходные данные'!$F$2:$F$964,$H9&amp;"")&amp;"="&amp;(SUMIFS('Исходные данные'!$I$2:$I$964,'Исходные данные'!$D$2:$D$964,T$3,'Исходные данные'!$F$2:$F$964,$H9&amp;"")+SUMIFS('Исходные данные'!$J$2:$J$964,'Исходные данные'!$D$2:$D$964,T$3,'Исходные данные'!$F$2:$F$964,$H9&amp;"")))))</f>
        <v/>
      </c>
      <c r="U9" s="54" t="str">
        <f aca="false">IF(SUMIFS('Исходные данные'!$I$2:$I$964,'Исходные данные'!$D$2:$D$964,U$3,'Исходные данные'!$F$2:$F$964,$H9&amp;"")+SUMIFS('Исходные данные'!$J$2:$J$964,'Исходные данные'!$D$2:$D$964,U$3,'Исходные данные'!$F$2:$F$964,$H9&amp;"")=0,"",IF(SUMIFS('Исходные данные'!$J$2:$J$964,'Исходные данные'!$D$2:$D$964,U$3,'Исходные данные'!$F$2:$F$964,$H9&amp;"")=0,SUMIFS('Исходные данные'!$I$2:$I$964,'Исходные данные'!$D$2:$D$964,U$3,'Исходные данные'!$F$2:$F$964,$H9&amp;""),IF(SUMIFS('Исходные данные'!$I$2:$I$964,'Исходные данные'!$D$2:$D$964,U$3,'Исходные данные'!$F$2:$F$964,$H9&amp;"")=0,"0+"&amp;SUMIFS('Исходные данные'!$J$2:$J$964,'Исходные данные'!$D$2:$D$964,U$3,'Исходные данные'!$F$2:$F$964,$H9&amp;"")&amp;"="&amp;SUMIFS('Исходные данные'!$J$2:$J$964,'Исходные данные'!$D$2:$D$964,U$3,'Исходные данные'!$F$2:$F$964,$H9&amp;""),SUMIFS('Исходные данные'!$I$2:$I$964,'Исходные данные'!$D$2:$D$964,U$3,'Исходные данные'!$F$2:$F$964,$H9&amp;"")&amp;"+"&amp;SUMIFS('Исходные данные'!$J$2:$J$964,'Исходные данные'!$D$2:$D$964,U$3,'Исходные данные'!$F$2:$F$964,$H9&amp;"")&amp;"="&amp;(SUMIFS('Исходные данные'!$I$2:$I$964,'Исходные данные'!$D$2:$D$964,U$3,'Исходные данные'!$F$2:$F$964,$H9&amp;"")+SUMIFS('Исходные данные'!$J$2:$J$964,'Исходные данные'!$D$2:$D$964,U$3,'Исходные данные'!$F$2:$F$964,$H9&amp;"")))))</f>
        <v/>
      </c>
      <c r="V9" s="53" t="str">
        <f aca="false">IF(SUMIFS('Исходные данные'!$I$2:$I$964,'Исходные данные'!$D$2:$D$964,V$3,'Исходные данные'!$F$2:$F$964,$H9&amp;"")+SUMIFS('Исходные данные'!$J$2:$J$964,'Исходные данные'!$D$2:$D$964,V$3,'Исходные данные'!$F$2:$F$964,$H9&amp;"")=0,"",IF(SUMIFS('Исходные данные'!$J$2:$J$964,'Исходные данные'!$D$2:$D$964,V$3,'Исходные данные'!$F$2:$F$964,$H9&amp;"")=0,SUMIFS('Исходные данные'!$I$2:$I$964,'Исходные данные'!$D$2:$D$964,V$3,'Исходные данные'!$F$2:$F$964,$H9&amp;""),IF(SUMIFS('Исходные данные'!$I$2:$I$964,'Исходные данные'!$D$2:$D$964,V$3,'Исходные данные'!$F$2:$F$964,$H9&amp;"")=0,"0+"&amp;SUMIFS('Исходные данные'!$J$2:$J$964,'Исходные данные'!$D$2:$D$964,V$3,'Исходные данные'!$F$2:$F$964,$H9&amp;"")&amp;"="&amp;SUMIFS('Исходные данные'!$J$2:$J$964,'Исходные данные'!$D$2:$D$964,V$3,'Исходные данные'!$F$2:$F$964,$H9&amp;""),SUMIFS('Исходные данные'!$I$2:$I$964,'Исходные данные'!$D$2:$D$964,V$3,'Исходные данные'!$F$2:$F$964,$H9&amp;"")&amp;"+"&amp;SUMIFS('Исходные данные'!$J$2:$J$964,'Исходные данные'!$D$2:$D$964,V$3,'Исходные данные'!$F$2:$F$964,$H9&amp;"")&amp;"="&amp;(SUMIFS('Исходные данные'!$I$2:$I$964,'Исходные данные'!$D$2:$D$964,V$3,'Исходные данные'!$F$2:$F$964,$H9&amp;"")+SUMIFS('Исходные данные'!$J$2:$J$964,'Исходные данные'!$D$2:$D$964,V$3,'Исходные данные'!$F$2:$F$964,$H9&amp;"")))))</f>
        <v/>
      </c>
      <c r="W9" s="54" t="str">
        <f aca="false">IF(SUMIFS('Исходные данные'!$I$2:$I$964,'Исходные данные'!$D$2:$D$964,W$3,'Исходные данные'!$F$2:$F$964,$H9&amp;"")+SUMIFS('Исходные данные'!$J$2:$J$964,'Исходные данные'!$D$2:$D$964,W$3,'Исходные данные'!$F$2:$F$964,$H9&amp;"")=0,"",IF(SUMIFS('Исходные данные'!$J$2:$J$964,'Исходные данные'!$D$2:$D$964,W$3,'Исходные данные'!$F$2:$F$964,$H9&amp;"")=0,SUMIFS('Исходные данные'!$I$2:$I$964,'Исходные данные'!$D$2:$D$964,W$3,'Исходные данные'!$F$2:$F$964,$H9&amp;""),IF(SUMIFS('Исходные данные'!$I$2:$I$964,'Исходные данные'!$D$2:$D$964,W$3,'Исходные данные'!$F$2:$F$964,$H9&amp;"")=0,"0+"&amp;SUMIFS('Исходные данные'!$J$2:$J$964,'Исходные данные'!$D$2:$D$964,W$3,'Исходные данные'!$F$2:$F$964,$H9&amp;"")&amp;"="&amp;SUMIFS('Исходные данные'!$J$2:$J$964,'Исходные данные'!$D$2:$D$964,W$3,'Исходные данные'!$F$2:$F$964,$H9&amp;""),SUMIFS('Исходные данные'!$I$2:$I$964,'Исходные данные'!$D$2:$D$964,W$3,'Исходные данные'!$F$2:$F$964,$H9&amp;"")&amp;"+"&amp;SUMIFS('Исходные данные'!$J$2:$J$964,'Исходные данные'!$D$2:$D$964,W$3,'Исходные данные'!$F$2:$F$964,$H9&amp;"")&amp;"="&amp;(SUMIFS('Исходные данные'!$I$2:$I$964,'Исходные данные'!$D$2:$D$964,W$3,'Исходные данные'!$F$2:$F$964,$H9&amp;"")+SUMIFS('Исходные данные'!$J$2:$J$964,'Исходные данные'!$D$2:$D$964,W$3,'Исходные данные'!$F$2:$F$964,$H9&amp;"")))))</f>
        <v/>
      </c>
      <c r="X9" s="54" t="n">
        <f aca="false">IF(SUMIFS('Исходные данные'!$I$2:$I$964,'Исходные данные'!$D$2:$D$964,X$3,'Исходные данные'!$F$2:$F$964,$H9&amp;"")+SUMIFS('Исходные данные'!$J$2:$J$964,'Исходные данные'!$D$2:$D$964,X$3,'Исходные данные'!$F$2:$F$964,$H9&amp;"")=0,"",IF(SUMIFS('Исходные данные'!$J$2:$J$964,'Исходные данные'!$D$2:$D$964,X$3,'Исходные данные'!$F$2:$F$964,$H9&amp;"")=0,SUMIFS('Исходные данные'!$I$2:$I$964,'Исходные данные'!$D$2:$D$964,X$3,'Исходные данные'!$F$2:$F$964,$H9&amp;""),IF(SUMIFS('Исходные данные'!$I$2:$I$964,'Исходные данные'!$D$2:$D$964,X$3,'Исходные данные'!$F$2:$F$964,$H9&amp;"")=0,"0+"&amp;SUMIFS('Исходные данные'!$J$2:$J$964,'Исходные данные'!$D$2:$D$964,X$3,'Исходные данные'!$F$2:$F$964,$H9&amp;"")&amp;"="&amp;SUMIFS('Исходные данные'!$J$2:$J$964,'Исходные данные'!$D$2:$D$964,X$3,'Исходные данные'!$F$2:$F$964,$H9&amp;""),SUMIFS('Исходные данные'!$I$2:$I$964,'Исходные данные'!$D$2:$D$964,X$3,'Исходные данные'!$F$2:$F$964,$H9&amp;"")&amp;"+"&amp;SUMIFS('Исходные данные'!$J$2:$J$964,'Исходные данные'!$D$2:$D$964,X$3,'Исходные данные'!$F$2:$F$964,$H9&amp;"")&amp;"="&amp;(SUMIFS('Исходные данные'!$I$2:$I$964,'Исходные данные'!$D$2:$D$964,X$3,'Исходные данные'!$F$2:$F$964,$H9&amp;"")+SUMIFS('Исходные данные'!$J$2:$J$964,'Исходные данные'!$D$2:$D$964,X$3,'Исходные данные'!$F$2:$F$964,$H9&amp;"")))))</f>
        <v>1</v>
      </c>
      <c r="Y9" s="56" t="str">
        <f aca="false">IF(SUMIFS('Исходные данные'!$I$2:$I$964,'Исходные данные'!$D$2:$D$964,Y$3,'Исходные данные'!$F$2:$F$964,$H9&amp;"")+SUMIFS('Исходные данные'!$J$2:$J$964,'Исходные данные'!$D$2:$D$964,Y$3,'Исходные данные'!$F$2:$F$964,$H9&amp;"")=0,"",IF(SUMIFS('Исходные данные'!$J$2:$J$964,'Исходные данные'!$D$2:$D$964,Y$3,'Исходные данные'!$F$2:$F$964,$H9&amp;"")=0,SUMIFS('Исходные данные'!$I$2:$I$964,'Исходные данные'!$D$2:$D$964,Y$3,'Исходные данные'!$F$2:$F$964,$H9&amp;""),IF(SUMIFS('Исходные данные'!$I$2:$I$964,'Исходные данные'!$D$2:$D$964,Y$3,'Исходные данные'!$F$2:$F$964,$H9&amp;"")=0,"0+"&amp;SUMIFS('Исходные данные'!$J$2:$J$964,'Исходные данные'!$D$2:$D$964,Y$3,'Исходные данные'!$F$2:$F$964,$H9&amp;"")&amp;"="&amp;SUMIFS('Исходные данные'!$J$2:$J$964,'Исходные данные'!$D$2:$D$964,Y$3,'Исходные данные'!$F$2:$F$964,$H9&amp;""),SUMIFS('Исходные данные'!$I$2:$I$964,'Исходные данные'!$D$2:$D$964,Y$3,'Исходные данные'!$F$2:$F$964,$H9&amp;"")&amp;"+"&amp;SUMIFS('Исходные данные'!$J$2:$J$964,'Исходные данные'!$D$2:$D$964,Y$3,'Исходные данные'!$F$2:$F$964,$H9&amp;"")&amp;"="&amp;(SUMIFS('Исходные данные'!$I$2:$I$964,'Исходные данные'!$D$2:$D$964,Y$3,'Исходные данные'!$F$2:$F$964,$H9&amp;"")+SUMIFS('Исходные данные'!$J$2:$J$964,'Исходные данные'!$D$2:$D$964,Y$3,'Исходные данные'!$F$2:$F$964,$H9&amp;"")))))</f>
        <v/>
      </c>
      <c r="Z9" s="53" t="str">
        <f aca="false">IF(SUMIFS('Исходные данные'!$I$2:$I$964,'Исходные данные'!$D$2:$D$964,Z$3,'Исходные данные'!$F$2:$F$964,$H9&amp;"")+SUMIFS('Исходные данные'!$J$2:$J$964,'Исходные данные'!$D$2:$D$964,Z$3,'Исходные данные'!$F$2:$F$964,$H9&amp;"")=0,"",IF(SUMIFS('Исходные данные'!$J$2:$J$964,'Исходные данные'!$D$2:$D$964,Z$3,'Исходные данные'!$F$2:$F$964,$H9&amp;"")=0,SUMIFS('Исходные данные'!$I$2:$I$964,'Исходные данные'!$D$2:$D$964,Z$3,'Исходные данные'!$F$2:$F$964,$H9&amp;""),IF(SUMIFS('Исходные данные'!$I$2:$I$964,'Исходные данные'!$D$2:$D$964,Z$3,'Исходные данные'!$F$2:$F$964,$H9&amp;"")=0,"0+"&amp;SUMIFS('Исходные данные'!$J$2:$J$964,'Исходные данные'!$D$2:$D$964,Z$3,'Исходные данные'!$F$2:$F$964,$H9&amp;"")&amp;"="&amp;SUMIFS('Исходные данные'!$J$2:$J$964,'Исходные данные'!$D$2:$D$964,Z$3,'Исходные данные'!$F$2:$F$964,$H9&amp;""),SUMIFS('Исходные данные'!$I$2:$I$964,'Исходные данные'!$D$2:$D$964,Z$3,'Исходные данные'!$F$2:$F$964,$H9&amp;"")&amp;"+"&amp;SUMIFS('Исходные данные'!$J$2:$J$964,'Исходные данные'!$D$2:$D$964,Z$3,'Исходные данные'!$F$2:$F$964,$H9&amp;"")&amp;"="&amp;(SUMIFS('Исходные данные'!$I$2:$I$964,'Исходные данные'!$D$2:$D$964,Z$3,'Исходные данные'!$F$2:$F$964,$H9&amp;"")+SUMIFS('Исходные данные'!$J$2:$J$964,'Исходные данные'!$D$2:$D$964,Z$3,'Исходные данные'!$F$2:$F$964,$H9&amp;"")))))</f>
        <v/>
      </c>
      <c r="AA9" s="54" t="str">
        <f aca="false">IF(SUMIFS('Исходные данные'!$I$2:$I$964,'Исходные данные'!$D$2:$D$964,AA$3,'Исходные данные'!$F$2:$F$964,$H9&amp;"")+SUMIFS('Исходные данные'!$J$2:$J$964,'Исходные данные'!$D$2:$D$964,AA$3,'Исходные данные'!$F$2:$F$964,$H9&amp;"")=0,"",IF(SUMIFS('Исходные данные'!$J$2:$J$964,'Исходные данные'!$D$2:$D$964,AA$3,'Исходные данные'!$F$2:$F$964,$H9&amp;"")=0,SUMIFS('Исходные данные'!$I$2:$I$964,'Исходные данные'!$D$2:$D$964,AA$3,'Исходные данные'!$F$2:$F$964,$H9&amp;""),IF(SUMIFS('Исходные данные'!$I$2:$I$964,'Исходные данные'!$D$2:$D$964,AA$3,'Исходные данные'!$F$2:$F$964,$H9&amp;"")=0,"0+"&amp;SUMIFS('Исходные данные'!$J$2:$J$964,'Исходные данные'!$D$2:$D$964,AA$3,'Исходные данные'!$F$2:$F$964,$H9&amp;"")&amp;"="&amp;SUMIFS('Исходные данные'!$J$2:$J$964,'Исходные данные'!$D$2:$D$964,AA$3,'Исходные данные'!$F$2:$F$964,$H9&amp;""),SUMIFS('Исходные данные'!$I$2:$I$964,'Исходные данные'!$D$2:$D$964,AA$3,'Исходные данные'!$F$2:$F$964,$H9&amp;"")&amp;"+"&amp;SUMIFS('Исходные данные'!$J$2:$J$964,'Исходные данные'!$D$2:$D$964,AA$3,'Исходные данные'!$F$2:$F$964,$H9&amp;"")&amp;"="&amp;(SUMIFS('Исходные данные'!$I$2:$I$964,'Исходные данные'!$D$2:$D$964,AA$3,'Исходные данные'!$F$2:$F$964,$H9&amp;"")+SUMIFS('Исходные данные'!$J$2:$J$964,'Исходные данные'!$D$2:$D$964,AA$3,'Исходные данные'!$F$2:$F$964,$H9&amp;"")))))</f>
        <v/>
      </c>
      <c r="AB9" s="54" t="str">
        <f aca="false">IF(SUMIFS('Исходные данные'!$I$2:$I$964,'Исходные данные'!$D$2:$D$964,AB$3,'Исходные данные'!$F$2:$F$964,$H9&amp;"")+SUMIFS('Исходные данные'!$J$2:$J$964,'Исходные данные'!$D$2:$D$964,AB$3,'Исходные данные'!$F$2:$F$964,$H9&amp;"")=0,"",IF(SUMIFS('Исходные данные'!$J$2:$J$964,'Исходные данные'!$D$2:$D$964,AB$3,'Исходные данные'!$F$2:$F$964,$H9&amp;"")=0,SUMIFS('Исходные данные'!$I$2:$I$964,'Исходные данные'!$D$2:$D$964,AB$3,'Исходные данные'!$F$2:$F$964,$H9&amp;""),IF(SUMIFS('Исходные данные'!$I$2:$I$964,'Исходные данные'!$D$2:$D$964,AB$3,'Исходные данные'!$F$2:$F$964,$H9&amp;"")=0,"0+"&amp;SUMIFS('Исходные данные'!$J$2:$J$964,'Исходные данные'!$D$2:$D$964,AB$3,'Исходные данные'!$F$2:$F$964,$H9&amp;"")&amp;"="&amp;SUMIFS('Исходные данные'!$J$2:$J$964,'Исходные данные'!$D$2:$D$964,AB$3,'Исходные данные'!$F$2:$F$964,$H9&amp;""),SUMIFS('Исходные данные'!$I$2:$I$964,'Исходные данные'!$D$2:$D$964,AB$3,'Исходные данные'!$F$2:$F$964,$H9&amp;"")&amp;"+"&amp;SUMIFS('Исходные данные'!$J$2:$J$964,'Исходные данные'!$D$2:$D$964,AB$3,'Исходные данные'!$F$2:$F$964,$H9&amp;"")&amp;"="&amp;(SUMIFS('Исходные данные'!$I$2:$I$964,'Исходные данные'!$D$2:$D$964,AB$3,'Исходные данные'!$F$2:$F$964,$H9&amp;"")+SUMIFS('Исходные данные'!$J$2:$J$964,'Исходные данные'!$D$2:$D$964,AB$3,'Исходные данные'!$F$2:$F$964,$H9&amp;"")))))</f>
        <v/>
      </c>
      <c r="AC9" s="56" t="str">
        <f aca="false">IF(SUMIFS('Исходные данные'!$I$2:$I$964,'Исходные данные'!$D$2:$D$964,AC$3,'Исходные данные'!$F$2:$F$964,$H9&amp;"")+SUMIFS('Исходные данные'!$J$2:$J$964,'Исходные данные'!$D$2:$D$964,AC$3,'Исходные данные'!$F$2:$F$964,$H9&amp;"")=0,"",IF(SUMIFS('Исходные данные'!$J$2:$J$964,'Исходные данные'!$D$2:$D$964,AC$3,'Исходные данные'!$F$2:$F$964,$H9&amp;"")=0,SUMIFS('Исходные данные'!$I$2:$I$964,'Исходные данные'!$D$2:$D$964,AC$3,'Исходные данные'!$F$2:$F$964,$H9&amp;""),IF(SUMIFS('Исходные данные'!$I$2:$I$964,'Исходные данные'!$D$2:$D$964,AC$3,'Исходные данные'!$F$2:$F$964,$H9&amp;"")=0,"0+"&amp;SUMIFS('Исходные данные'!$J$2:$J$964,'Исходные данные'!$D$2:$D$964,AC$3,'Исходные данные'!$F$2:$F$964,$H9&amp;"")&amp;"="&amp;SUMIFS('Исходные данные'!$J$2:$J$964,'Исходные данные'!$D$2:$D$964,AC$3,'Исходные данные'!$F$2:$F$964,$H9&amp;""),SUMIFS('Исходные данные'!$I$2:$I$964,'Исходные данные'!$D$2:$D$964,AC$3,'Исходные данные'!$F$2:$F$964,$H9&amp;"")&amp;"+"&amp;SUMIFS('Исходные данные'!$J$2:$J$964,'Исходные данные'!$D$2:$D$964,AC$3,'Исходные данные'!$F$2:$F$964,$H9&amp;"")&amp;"="&amp;(SUMIFS('Исходные данные'!$I$2:$I$964,'Исходные данные'!$D$2:$D$964,AC$3,'Исходные данные'!$F$2:$F$964,$H9&amp;"")+SUMIFS('Исходные данные'!$J$2:$J$964,'Исходные данные'!$D$2:$D$964,AC$3,'Исходные данные'!$F$2:$F$964,$H9&amp;"")))))</f>
        <v>1+2=3</v>
      </c>
      <c r="AD9" s="54" t="str">
        <f aca="false">IF(SUMIFS('Исходные данные'!$I$2:$I$964,'Исходные данные'!$D$2:$D$964,AD$3,'Исходные данные'!$F$2:$F$964,$H9&amp;"")+SUMIFS('Исходные данные'!$J$2:$J$964,'Исходные данные'!$D$2:$D$964,AD$3,'Исходные данные'!$F$2:$F$964,$H9&amp;"")=0,"",IF(SUMIFS('Исходные данные'!$J$2:$J$964,'Исходные данные'!$D$2:$D$964,AD$3,'Исходные данные'!$F$2:$F$964,$H9&amp;"")=0,SUMIFS('Исходные данные'!$I$2:$I$964,'Исходные данные'!$D$2:$D$964,AD$3,'Исходные данные'!$F$2:$F$964,$H9&amp;""),IF(SUMIFS('Исходные данные'!$I$2:$I$964,'Исходные данные'!$D$2:$D$964,AD$3,'Исходные данные'!$F$2:$F$964,$H9&amp;"")=0,"0+"&amp;SUMIFS('Исходные данные'!$J$2:$J$964,'Исходные данные'!$D$2:$D$964,AD$3,'Исходные данные'!$F$2:$F$964,$H9&amp;"")&amp;"="&amp;SUMIFS('Исходные данные'!$J$2:$J$964,'Исходные данные'!$D$2:$D$964,AD$3,'Исходные данные'!$F$2:$F$964,$H9&amp;""),SUMIFS('Исходные данные'!$I$2:$I$964,'Исходные данные'!$D$2:$D$964,AD$3,'Исходные данные'!$F$2:$F$964,$H9&amp;"")&amp;"+"&amp;SUMIFS('Исходные данные'!$J$2:$J$964,'Исходные данные'!$D$2:$D$964,AD$3,'Исходные данные'!$F$2:$F$964,$H9&amp;"")&amp;"="&amp;(SUMIFS('Исходные данные'!$I$2:$I$964,'Исходные данные'!$D$2:$D$964,AD$3,'Исходные данные'!$F$2:$F$964,$H9&amp;"")+SUMIFS('Исходные данные'!$J$2:$J$964,'Исходные данные'!$D$2:$D$964,AD$3,'Исходные данные'!$F$2:$F$964,$H9&amp;"")))))</f>
        <v>0+1=1</v>
      </c>
      <c r="AE9" s="57" t="n">
        <f aca="false">IFERROR(INDEX('Выход ТС'!$K:$K,MATCH($H9&amp;"",'Выход ТС'!$A:$A,0))+INDEX('Выход ТС'!$L:$L,MATCH($H9&amp;"",'Выход ТС'!$A:$A,0))-INDEX('Выход ТС'!$I:$I,MATCH($H9&amp;"",'Выход ТС'!$A:$A,0))-INDEX('Выход ТС'!$J:$J,MATCH($H9&amp;"",'Выход ТС'!$A:$A,0)),"")</f>
        <v>0</v>
      </c>
      <c r="AF9" s="57" t="n">
        <f aca="false">IFERROR(INDEX('Выход ТС'!$O:$O,MATCH($H9&amp;"",'Выход ТС'!$A:$A,0))+INDEX('Выход ТС'!$P:$P,MATCH($H9&amp;"",'Выход ТС'!$A:$A,0))-INDEX('Выход ТС'!$M:$M,MATCH($H9&amp;"",'Выход ТС'!$A:$A,0))-INDEX('Выход ТС'!$N:$N,MATCH($H9&amp;"",'Выход ТС'!$A:$A,0)),"")</f>
        <v>0</v>
      </c>
      <c r="AG9" s="57" t="n">
        <f aca="false">IFERROR(INDEX('Выход ТС'!$S:$S,MATCH($H9&amp;"",'Выход ТС'!$A:$A,0))+INDEX('Выход ТС'!$T:$T,MATCH($H9&amp;"",'Выход ТС'!$A:$A,0))-INDEX('Выход ТС'!$Q:$Q,MATCH($H9&amp;"",'Выход ТС'!$A:$A,0))-INDEX('Выход ТС'!$R:$R,MATCH($H9&amp;"",'Выход ТС'!$A:$A,0)),"")</f>
        <v>0</v>
      </c>
      <c r="AH9" s="57" t="n">
        <f aca="false">IFERROR(INDEX('Выход ТС'!$W:$W,MATCH($H9&amp;"",'Выход ТС'!$A:$A,0))+INDEX('Выход ТС'!$X:$X,MATCH($H9&amp;"",'Выход ТС'!$A:$A,0))-INDEX('Выход ТС'!$U:$U,MATCH($H9&amp;"",'Выход ТС'!$A:$A,0))-INDEX('Выход ТС'!$V:$V,MATCH($H9&amp;"",'Выход ТС'!$A:$A,0)),"")</f>
        <v>0</v>
      </c>
      <c r="AI9" s="57" t="n">
        <f aca="false">IFERROR(INDEX('Выход ТС'!$AA:$AA,MATCH($H9&amp;"",'Выход ТС'!$A:$A,0))+INDEX('Выход ТС'!$AB:$AB,MATCH($H9&amp;"",'Выход ТС'!$A:$A,0))-INDEX('Выход ТС'!$Y:$Y,MATCH($H9&amp;"",'Выход ТС'!$A:$A,0))-INDEX('Выход ТС'!$Z:$Z,MATCH($H9&amp;"",'Выход ТС'!$A:$A,0)),"")</f>
        <v>0</v>
      </c>
      <c r="AJ9" s="57" t="n">
        <f aca="false">IFERROR(INDEX('Выход ТС'!$AE:$AE,MATCH($H9&amp;"",'Выход ТС'!$A:$A,0))+INDEX('Выход ТС'!$AF:$AF,MATCH($H9&amp;"",'Выход ТС'!$A:$A,0))-INDEX('Выход ТС'!$AC:$AC,MATCH($H9&amp;"",'Выход ТС'!$A:$A,0))-INDEX('Выход ТС'!$AD:$AD,MATCH($H9&amp;"",'Выход ТС'!$A:$A,0)),"")</f>
        <v>0</v>
      </c>
      <c r="AK9" s="57" t="n">
        <f aca="false">IFERROR(INDEX('Выход ТС'!$AI:$AI,MATCH($H9&amp;"",'Выход ТС'!$A:$A,0))+INDEX('Выход ТС'!$AJ:$AJ,MATCH($H9&amp;"",'Выход ТС'!$A:$A,0))-INDEX('Выход ТС'!$AG:$AG,MATCH($H9&amp;"",'Выход ТС'!$A:$A,0))-INDEX('Выход ТС'!$AH:$AH,MATCH($H9&amp;"",'Выход ТС'!$A:$A,0)),"")</f>
        <v>0</v>
      </c>
      <c r="AL9" s="57" t="n">
        <f aca="false">IFERROR(INDEX('Выход ТС'!$AM:$AM,MATCH($H9&amp;"",'Выход ТС'!$A:$A,0))+INDEX('Выход ТС'!$AN:$AN,MATCH($H9&amp;"",'Выход ТС'!$A:$A,0))-INDEX('Выход ТС'!$AK:$AK,MATCH($H9&amp;"",'Выход ТС'!$A:$A,0))-INDEX('Выход ТС'!$AL:$AL,MATCH($H9&amp;"",'Выход ТС'!$A:$A,0)),"")</f>
        <v>0</v>
      </c>
      <c r="AM9" s="57" t="n">
        <f aca="false">IFERROR(INDEX('Выход ТС'!$AQ:$AQ,MATCH($H9&amp;"",'Выход ТС'!$A:$A,0))+INDEX('Выход ТС'!$AR:$AR,MATCH($H9&amp;"",'Выход ТС'!$A:$A,0))-INDEX('Выход ТС'!$AO:$AO,MATCH($H9&amp;"",'Выход ТС'!$A:$A,0))-INDEX('Выход ТС'!$AP:$AP,MATCH($H9&amp;"",'Выход ТС'!$A:$A,0)),"")</f>
        <v>0</v>
      </c>
      <c r="AN9" s="57" t="n">
        <f aca="false">IFERROR(INDEX('Выход ТС'!$AU:$AU,MATCH($H9&amp;"",'Выход ТС'!$A:$A,0))+INDEX('Выход ТС'!$AV:$AV,MATCH($H9&amp;"",'Выход ТС'!$A:$A,0))-INDEX('Выход ТС'!$AS:$AS,MATCH($H9&amp;"",'Выход ТС'!$A:$A,0))-INDEX('Выход ТС'!$AT:$AT,MATCH($H9&amp;"",'Выход ТС'!$A:$A,0)),"")</f>
        <v>0</v>
      </c>
      <c r="AO9" s="57" t="n">
        <f aca="false">IFERROR(INDEX('Выход ТС'!$AY:$AY,MATCH($H9&amp;"",'Выход ТС'!$A:$A,0))+INDEX('Выход ТС'!$AZ:$AZ,MATCH($H9&amp;"",'Выход ТС'!$A:$A,0))-INDEX('Выход ТС'!$AW:$AW,MATCH($H9&amp;"",'Выход ТС'!$A:$A,0))-INDEX('Выход ТС'!$AX:$AX,MATCH($H9&amp;"",'Выход ТС'!$A:$A,0)),"")</f>
        <v>0</v>
      </c>
      <c r="AP9" s="57" t="n">
        <f aca="false">IFERROR(INDEX('Выход ТС'!$BC:$BC,MATCH($H9&amp;"",'Выход ТС'!$A:$A,0))+INDEX('Выход ТС'!$BD:$BD,MATCH($H9&amp;"",'Выход ТС'!$A:$A,0))-INDEX('Выход ТС'!$BA:$BA,MATCH($H9&amp;"",'Выход ТС'!$A:$A,0))-INDEX('Выход ТС'!$BB:$BB,MATCH($H9&amp;"",'Выход ТС'!$A:$A,0)),"")</f>
        <v>0</v>
      </c>
      <c r="AQ9" s="57" t="n">
        <f aca="false">IFERROR(INDEX('Выход ТС'!$BG:$BG,MATCH($H9&amp;"",'Выход ТС'!$A:$A,0))+INDEX('Выход ТС'!$BH:$BH,MATCH($H9&amp;"",'Выход ТС'!$A:$A,0))-INDEX('Выход ТС'!$BE:$BE,MATCH($H9&amp;"",'Выход ТС'!$A:$A,0))-INDEX('Выход ТС'!$BF:$BF,MATCH($H9&amp;"",'Выход ТС'!$A:$A,0)),"")</f>
        <v>0</v>
      </c>
      <c r="AR9" s="57" t="n">
        <f aca="false">IFERROR(INDEX('Выход ТС'!$BK:$BK,MATCH($H9&amp;"",'Выход ТС'!$A:$A,0))+INDEX('Выход ТС'!$BL:$BL,MATCH($H9&amp;"",'Выход ТС'!$A:$A,0))-INDEX('Выход ТС'!$BI:$BI,MATCH($H9&amp;"",'Выход ТС'!$A:$A,0))-INDEX('Выход ТС'!$BJ:$BJ,MATCH($H9&amp;"",'Выход ТС'!$A:$A,0)),"")</f>
        <v>-1</v>
      </c>
      <c r="AS9" s="57" t="n">
        <f aca="false">IFERROR(INDEX('Выход ТС'!$BO:$BO,MATCH($H9&amp;"",'Выход ТС'!$A:$A,0))+INDEX('Выход ТС'!$BP:$BP,MATCH($H9&amp;"",'Выход ТС'!$A:$A,0))-INDEX('Выход ТС'!$BM:$BM,MATCH($H9&amp;"",'Выход ТС'!$A:$A,0))-INDEX('Выход ТС'!$BN:$BN,MATCH($H9&amp;"",'Выход ТС'!$A:$A,0)),"")</f>
        <v>-1</v>
      </c>
      <c r="AT9" s="57" t="n">
        <f aca="false">IFERROR(INDEX('Выход ТС'!$CI:$CI,MATCH($H9&amp;"",'Выход ТС'!$A:$A,0))+INDEX('Выход ТС'!$CJ:$CJ,MATCH($H9&amp;"",'Выход ТС'!$A:$A,0))-INDEX('Выход ТС'!$CG:$CG,MATCH($H9&amp;"",'Выход ТС'!$A:$A,0))-INDEX('Выход ТС'!$CH:$CH,MATCH($H9&amp;"",'Выход ТС'!$A:$A,0)),"")</f>
        <v>0</v>
      </c>
      <c r="AU9" s="57" t="n">
        <f aca="false">IFERROR(INDEX('Выход ТС'!$CM:$CM,MATCH($H9&amp;"",'Выход ТС'!$A:$A,0))+INDEX('Выход ТС'!$CN:$CN,MATCH($H9&amp;"",'Выход ТС'!$A:$A,0))-INDEX('Выход ТС'!$CK:$CK,MATCH($H9&amp;"",'Выход ТС'!$A:$A,0))-INDEX('Выход ТС'!$CL:$CL,MATCH($H9&amp;"",'Выход ТС'!$A:$A,0)),"")</f>
        <v>0</v>
      </c>
    </row>
    <row r="10" customFormat="false" ht="25.5" hidden="false" customHeight="true" outlineLevel="0" collapsed="false">
      <c r="A10" s="31" t="n">
        <v>8</v>
      </c>
      <c r="B10" s="32" t="s">
        <v>179</v>
      </c>
      <c r="C10" s="33" t="s">
        <v>10</v>
      </c>
      <c r="D10" s="34"/>
      <c r="E10" s="34" t="s">
        <v>180</v>
      </c>
      <c r="F10" s="34" t="s">
        <v>22</v>
      </c>
      <c r="G10" s="69"/>
      <c r="H10" s="36"/>
      <c r="I10" s="60"/>
      <c r="J10" s="61"/>
      <c r="K10" s="62"/>
      <c r="L10" s="63"/>
      <c r="M10" s="64"/>
      <c r="N10" s="64"/>
      <c r="O10" s="65" t="str">
        <f aca="false">IF(SUMIFS('Исходные данные'!$I$2:$I$964,'Исходные данные'!$D$2:$D$964,O$3,'Исходные данные'!$F$2:$F$964,$H11&amp;"",'Исходные данные'!$L$2:$L$964,"УТТ")+SUMIFS('Исходные данные'!$J$2:$J$964,'Исходные данные'!$D$2:$D$964,O$3,'Исходные данные'!$F$2:$F$964,$H11&amp;"",'Исходные данные'!$L$2:$L$964,"УТТ")=0,"","утт-"&amp;(SUMIFS('Исходные данные'!$I$2:$I$964,'Исходные данные'!$D$2:$D$964,O$3,'Исходные данные'!$F$2:$F$964,$H11&amp;"",'Исходные данные'!$L$2:$L$964,"УТТ")+SUMIFS('Исходные данные'!$J$2:$J$964,'Исходные данные'!$D$2:$D$964,O$3,'Исходные данные'!$F$2:$F$964,$H11&amp;"",'Исходные данные'!$L$2:$L$964,"УТТ")))</f>
        <v/>
      </c>
      <c r="P10" s="66" t="str">
        <f aca="false">IF(SUMIFS('Исходные данные'!$I$2:$I$964,'Исходные данные'!$D$2:$D$964,P$3,'Исходные данные'!$F$2:$F$964,$H11&amp;"",'Исходные данные'!$L$2:$L$964,"УТТ")+SUMIFS('Исходные данные'!$J$2:$J$964,'Исходные данные'!$D$2:$D$964,P$3,'Исходные данные'!$F$2:$F$964,$H11&amp;"",'Исходные данные'!$L$2:$L$964,"УТТ")=0,"","утт-"&amp;(SUMIFS('Исходные данные'!$I$2:$I$964,'Исходные данные'!$D$2:$D$964,P$3,'Исходные данные'!$F$2:$F$964,$H11&amp;"",'Исходные данные'!$L$2:$L$964,"УТТ")+SUMIFS('Исходные данные'!$J$2:$J$964,'Исходные данные'!$D$2:$D$964,P$3,'Исходные данные'!$F$2:$F$964,$H11&amp;"",'Исходные данные'!$L$2:$L$964,"УТТ")))</f>
        <v/>
      </c>
      <c r="Q10" s="65" t="str">
        <f aca="false">IF(SUMIFS('Исходные данные'!$I$2:$I$964,'Исходные данные'!$D$2:$D$964,Q$3,'Исходные данные'!$F$2:$F$964,$H11&amp;"",'Исходные данные'!$L$2:$L$964,"УТТ")+SUMIFS('Исходные данные'!$J$2:$J$964,'Исходные данные'!$D$2:$D$964,Q$3,'Исходные данные'!$F$2:$F$964,$H11&amp;"",'Исходные данные'!$L$2:$L$964,"УТТ")=0,"","утт-"&amp;(SUMIFS('Исходные данные'!$I$2:$I$964,'Исходные данные'!$D$2:$D$964,Q$3,'Исходные данные'!$F$2:$F$964,$H11&amp;"",'Исходные данные'!$L$2:$L$964,"УТТ")+SUMIFS('Исходные данные'!$J$2:$J$964,'Исходные данные'!$D$2:$D$964,Q$3,'Исходные данные'!$F$2:$F$964,$H11&amp;"",'Исходные данные'!$L$2:$L$964,"УТТ")))</f>
        <v/>
      </c>
      <c r="R10" s="67" t="str">
        <f aca="false">IF(SUMIFS('Исходные данные'!$I$2:$I$964,'Исходные данные'!$D$2:$D$964,R$3,'Исходные данные'!$F$2:$F$964,$H11&amp;"",'Исходные данные'!$L$2:$L$964,"УТТ")+SUMIFS('Исходные данные'!$J$2:$J$964,'Исходные данные'!$D$2:$D$964,R$3,'Исходные данные'!$F$2:$F$964,$H11&amp;"",'Исходные данные'!$L$2:$L$964,"УТТ")=0,"","утт-"&amp;(SUMIFS('Исходные данные'!$I$2:$I$964,'Исходные данные'!$D$2:$D$964,R$3,'Исходные данные'!$F$2:$F$964,$H11&amp;"",'Исходные данные'!$L$2:$L$964,"УТТ")+SUMIFS('Исходные данные'!$J$2:$J$964,'Исходные данные'!$D$2:$D$964,R$3,'Исходные данные'!$F$2:$F$964,$H11&amp;"",'Исходные данные'!$L$2:$L$964,"УТТ")))</f>
        <v/>
      </c>
      <c r="S10" s="66" t="str">
        <f aca="false">IF(SUMIFS('Исходные данные'!$I$2:$I$964,'Исходные данные'!$D$2:$D$964,S$3,'Исходные данные'!$F$2:$F$964,$H11&amp;"",'Исходные данные'!$L$2:$L$964,"УТТ")+SUMIFS('Исходные данные'!$J$2:$J$964,'Исходные данные'!$D$2:$D$964,S$3,'Исходные данные'!$F$2:$F$964,$H11&amp;"",'Исходные данные'!$L$2:$L$964,"УТТ")=0,"","утт-"&amp;(SUMIFS('Исходные данные'!$I$2:$I$964,'Исходные данные'!$D$2:$D$964,S$3,'Исходные данные'!$F$2:$F$964,$H11&amp;"",'Исходные данные'!$L$2:$L$964,"УТТ")+SUMIFS('Исходные данные'!$J$2:$J$964,'Исходные данные'!$D$2:$D$964,S$3,'Исходные данные'!$F$2:$F$964,$H11&amp;"",'Исходные данные'!$L$2:$L$964,"УТТ")))</f>
        <v/>
      </c>
      <c r="T10" s="65" t="str">
        <f aca="false">IF(SUMIFS('Исходные данные'!$I$2:$I$964,'Исходные данные'!$D$2:$D$964,T$3,'Исходные данные'!$F$2:$F$964,$H11&amp;"",'Исходные данные'!$L$2:$L$964,"УТТ")+SUMIFS('Исходные данные'!$J$2:$J$964,'Исходные данные'!$D$2:$D$964,T$3,'Исходные данные'!$F$2:$F$964,$H11&amp;"",'Исходные данные'!$L$2:$L$964,"УТТ")=0,"","утт-"&amp;(SUMIFS('Исходные данные'!$I$2:$I$964,'Исходные данные'!$D$2:$D$964,T$3,'Исходные данные'!$F$2:$F$964,$H11&amp;"",'Исходные данные'!$L$2:$L$964,"УТТ")+SUMIFS('Исходные данные'!$J$2:$J$964,'Исходные данные'!$D$2:$D$964,T$3,'Исходные данные'!$F$2:$F$964,$H11&amp;"",'Исходные данные'!$L$2:$L$964,"УТТ")))</f>
        <v/>
      </c>
      <c r="U10" s="66" t="str">
        <f aca="false">IF(SUMIFS('Исходные данные'!$I$2:$I$964,'Исходные данные'!$D$2:$D$964,U$3,'Исходные данные'!$F$2:$F$964,$H11&amp;"",'Исходные данные'!$L$2:$L$964,"УТТ")+SUMIFS('Исходные данные'!$J$2:$J$964,'Исходные данные'!$D$2:$D$964,U$3,'Исходные данные'!$F$2:$F$964,$H11&amp;"",'Исходные данные'!$L$2:$L$964,"УТТ")=0,"","утт-"&amp;(SUMIFS('Исходные данные'!$I$2:$I$964,'Исходные данные'!$D$2:$D$964,U$3,'Исходные данные'!$F$2:$F$964,$H11&amp;"",'Исходные данные'!$L$2:$L$964,"УТТ")+SUMIFS('Исходные данные'!$J$2:$J$964,'Исходные данные'!$D$2:$D$964,U$3,'Исходные данные'!$F$2:$F$964,$H11&amp;"",'Исходные данные'!$L$2:$L$964,"УТТ")))</f>
        <v/>
      </c>
      <c r="V10" s="65" t="str">
        <f aca="false">IF(SUMIFS('Исходные данные'!$I$2:$I$964,'Исходные данные'!$D$2:$D$964,V$3,'Исходные данные'!$F$2:$F$964,$H11&amp;"",'Исходные данные'!$L$2:$L$964,"УТТ")+SUMIFS('Исходные данные'!$J$2:$J$964,'Исходные данные'!$D$2:$D$964,V$3,'Исходные данные'!$F$2:$F$964,$H11&amp;"",'Исходные данные'!$L$2:$L$964,"УТТ")=0,"","утт-"&amp;(SUMIFS('Исходные данные'!$I$2:$I$964,'Исходные данные'!$D$2:$D$964,V$3,'Исходные данные'!$F$2:$F$964,$H11&amp;"",'Исходные данные'!$L$2:$L$964,"УТТ")+SUMIFS('Исходные данные'!$J$2:$J$964,'Исходные данные'!$D$2:$D$964,V$3,'Исходные данные'!$F$2:$F$964,$H11&amp;"",'Исходные данные'!$L$2:$L$964,"УТТ")))</f>
        <v/>
      </c>
      <c r="W10" s="66" t="str">
        <f aca="false">IF(SUMIFS('Исходные данные'!$I$2:$I$964,'Исходные данные'!$D$2:$D$964,W$3,'Исходные данные'!$F$2:$F$964,$H11&amp;"",'Исходные данные'!$L$2:$L$964,"УТТ")+SUMIFS('Исходные данные'!$J$2:$J$964,'Исходные данные'!$D$2:$D$964,W$3,'Исходные данные'!$F$2:$F$964,$H11&amp;"",'Исходные данные'!$L$2:$L$964,"УТТ")=0,"","утт-"&amp;(SUMIFS('Исходные данные'!$I$2:$I$964,'Исходные данные'!$D$2:$D$964,W$3,'Исходные данные'!$F$2:$F$964,$H11&amp;"",'Исходные данные'!$L$2:$L$964,"УТТ")+SUMIFS('Исходные данные'!$J$2:$J$964,'Исходные данные'!$D$2:$D$964,W$3,'Исходные данные'!$F$2:$F$964,$H11&amp;"",'Исходные данные'!$L$2:$L$964,"УТТ")))</f>
        <v/>
      </c>
      <c r="X10" s="66" t="str">
        <f aca="false">IF(SUMIFS('Исходные данные'!$I$2:$I$964,'Исходные данные'!$D$2:$D$964,X$3,'Исходные данные'!$F$2:$F$964,$H11&amp;"",'Исходные данные'!$L$2:$L$964,"УТТ")+SUMIFS('Исходные данные'!$J$2:$J$964,'Исходные данные'!$D$2:$D$964,X$3,'Исходные данные'!$F$2:$F$964,$H11&amp;"",'Исходные данные'!$L$2:$L$964,"УТТ")=0,"","утт-"&amp;(SUMIFS('Исходные данные'!$I$2:$I$964,'Исходные данные'!$D$2:$D$964,X$3,'Исходные данные'!$F$2:$F$964,$H11&amp;"",'Исходные данные'!$L$2:$L$964,"УТТ")+SUMIFS('Исходные данные'!$J$2:$J$964,'Исходные данные'!$D$2:$D$964,X$3,'Исходные данные'!$F$2:$F$964,$H11&amp;"",'Исходные данные'!$L$2:$L$964,"УТТ")))</f>
        <v/>
      </c>
      <c r="Y10" s="68" t="str">
        <f aca="false">IF(SUMIFS('Исходные данные'!$I$2:$I$964,'Исходные данные'!$D$2:$D$964,Y$3,'Исходные данные'!$F$2:$F$964,$H11&amp;"",'Исходные данные'!$L$2:$L$964,"УТТ")+SUMIFS('Исходные данные'!$J$2:$J$964,'Исходные данные'!$D$2:$D$964,Y$3,'Исходные данные'!$F$2:$F$964,$H11&amp;"",'Исходные данные'!$L$2:$L$964,"УТТ")=0,"","утт-"&amp;(SUMIFS('Исходные данные'!$I$2:$I$964,'Исходные данные'!$D$2:$D$964,Y$3,'Исходные данные'!$F$2:$F$964,$H11&amp;"",'Исходные данные'!$L$2:$L$964,"УТТ")+SUMIFS('Исходные данные'!$J$2:$J$964,'Исходные данные'!$D$2:$D$964,Y$3,'Исходные данные'!$F$2:$F$964,$H11&amp;"",'Исходные данные'!$L$2:$L$964,"УТТ")))</f>
        <v/>
      </c>
      <c r="Z10" s="65" t="str">
        <f aca="false">IF(SUMIFS('Исходные данные'!$I$2:$I$964,'Исходные данные'!$D$2:$D$964,Z$3,'Исходные данные'!$F$2:$F$964,$H11&amp;"",'Исходные данные'!$L$2:$L$964,"УТТ")+SUMIFS('Исходные данные'!$J$2:$J$964,'Исходные данные'!$D$2:$D$964,Z$3,'Исходные данные'!$F$2:$F$964,$H11&amp;"",'Исходные данные'!$L$2:$L$964,"УТТ")=0,"","утт-"&amp;(SUMIFS('Исходные данные'!$I$2:$I$964,'Исходные данные'!$D$2:$D$964,Z$3,'Исходные данные'!$F$2:$F$964,$H11&amp;"",'Исходные данные'!$L$2:$L$964,"УТТ")+SUMIFS('Исходные данные'!$J$2:$J$964,'Исходные данные'!$D$2:$D$964,Z$3,'Исходные данные'!$F$2:$F$964,$H11&amp;"",'Исходные данные'!$L$2:$L$964,"УТТ")))</f>
        <v/>
      </c>
      <c r="AA10" s="66" t="str">
        <f aca="false">IF(SUMIFS('Исходные данные'!$I$2:$I$964,'Исходные данные'!$D$2:$D$964,AA$3,'Исходные данные'!$F$2:$F$964,$H11&amp;"",'Исходные данные'!$L$2:$L$964,"УТТ")+SUMIFS('Исходные данные'!$J$2:$J$964,'Исходные данные'!$D$2:$D$964,AA$3,'Исходные данные'!$F$2:$F$964,$H11&amp;"",'Исходные данные'!$L$2:$L$964,"УТТ")=0,"","утт-"&amp;(SUMIFS('Исходные данные'!$I$2:$I$964,'Исходные данные'!$D$2:$D$964,AA$3,'Исходные данные'!$F$2:$F$964,$H11&amp;"",'Исходные данные'!$L$2:$L$964,"УТТ")+SUMIFS('Исходные данные'!$J$2:$J$964,'Исходные данные'!$D$2:$D$964,AA$3,'Исходные данные'!$F$2:$F$964,$H11&amp;"",'Исходные данные'!$L$2:$L$964,"УТТ")))</f>
        <v/>
      </c>
      <c r="AB10" s="66" t="str">
        <f aca="false">IF(SUMIFS('Исходные данные'!$I$2:$I$964,'Исходные данные'!$D$2:$D$964,AB$3,'Исходные данные'!$F$2:$F$964,$H11&amp;"",'Исходные данные'!$L$2:$L$964,"УТТ")+SUMIFS('Исходные данные'!$J$2:$J$964,'Исходные данные'!$D$2:$D$964,AB$3,'Исходные данные'!$F$2:$F$964,$H11&amp;"",'Исходные данные'!$L$2:$L$964,"УТТ")=0,"","утт-"&amp;(SUMIFS('Исходные данные'!$I$2:$I$964,'Исходные данные'!$D$2:$D$964,AB$3,'Исходные данные'!$F$2:$F$964,$H11&amp;"",'Исходные данные'!$L$2:$L$964,"УТТ")+SUMIFS('Исходные данные'!$J$2:$J$964,'Исходные данные'!$D$2:$D$964,AB$3,'Исходные данные'!$F$2:$F$964,$H11&amp;"",'Исходные данные'!$L$2:$L$964,"УТТ")))</f>
        <v/>
      </c>
      <c r="AC10" s="65" t="str">
        <f aca="false">IF(SUMIFS('Исходные данные'!$I$2:$I$964,'Исходные данные'!$D$2:$D$964,AC$3,'Исходные данные'!$F$2:$F$964,$H11&amp;"",'Исходные данные'!$L$2:$L$964,"УТТ")+SUMIFS('Исходные данные'!$J$2:$J$964,'Исходные данные'!$D$2:$D$964,AC$3,'Исходные данные'!$F$2:$F$964,$H11&amp;"",'Исходные данные'!$L$2:$L$964,"УТТ")=0,"","утт-"&amp;(SUMIFS('Исходные данные'!$I$2:$I$964,'Исходные данные'!$D$2:$D$964,AC$3,'Исходные данные'!$F$2:$F$964,$H11&amp;"",'Исходные данные'!$L$2:$L$964,"УТТ")+SUMIFS('Исходные данные'!$J$2:$J$964,'Исходные данные'!$D$2:$D$964,AC$3,'Исходные данные'!$F$2:$F$964,$H11&amp;"",'Исходные данные'!$L$2:$L$964,"УТТ")))</f>
        <v/>
      </c>
      <c r="AD10" s="66" t="str">
        <f aca="false">IF(SUMIFS('Исходные данные'!$I$2:$I$964,'Исходные данные'!$D$2:$D$964,AD$3,'Исходные данные'!$F$2:$F$964,$H11&amp;"",'Исходные данные'!$L$2:$L$964,"УТТ")+SUMIFS('Исходные данные'!$J$2:$J$964,'Исходные данные'!$D$2:$D$964,AD$3,'Исходные данные'!$F$2:$F$964,$H11&amp;"",'Исходные данные'!$L$2:$L$964,"УТТ")=0,"","утт-"&amp;(SUMIFS('Исходные данные'!$I$2:$I$964,'Исходные данные'!$D$2:$D$964,AD$3,'Исходные данные'!$F$2:$F$964,$H11&amp;"",'Исходные данные'!$L$2:$L$964,"УТТ")+SUMIFS('Исходные данные'!$J$2:$J$964,'Исходные данные'!$D$2:$D$964,AD$3,'Исходные данные'!$F$2:$F$964,$H11&amp;"",'Исходные данные'!$L$2:$L$964,"УТТ")))</f>
        <v>утт-5</v>
      </c>
    </row>
    <row r="11" customFormat="false" ht="25.5" hidden="false" customHeight="true" outlineLevel="0" collapsed="false">
      <c r="A11" s="47" t="n">
        <v>9</v>
      </c>
      <c r="B11" s="32" t="s">
        <v>181</v>
      </c>
      <c r="C11" s="33" t="s">
        <v>10</v>
      </c>
      <c r="D11" s="34"/>
      <c r="E11" s="34" t="s">
        <v>182</v>
      </c>
      <c r="F11" s="34" t="s">
        <v>22</v>
      </c>
      <c r="G11" s="69"/>
      <c r="H11" s="36" t="n">
        <v>28</v>
      </c>
      <c r="I11" s="48" t="s">
        <v>183</v>
      </c>
      <c r="J11" s="49" t="n">
        <f aca="false">IFERROR(INDEX('Выход ТС'!$C:$C,MATCH($H11&amp;"",'Выход ТС'!$A:$A,0)),"")</f>
        <v>25</v>
      </c>
      <c r="K11" s="50" t="n">
        <f aca="false">IFERROR(INDEX('Выход ТС'!$E:$E,MATCH($H11&amp;"",'Выход ТС'!$A:$A,0)),"")</f>
        <v>23</v>
      </c>
      <c r="L11" s="51" t="n">
        <f aca="false">IFERROR(INDEX('Выход ТС'!$F:$F,MATCH($H11&amp;"",'Выход ТС'!$A:$A,0)),"")</f>
        <v>-2</v>
      </c>
      <c r="M11" s="52" t="n">
        <f aca="false">IFERROR(IF(INDEX('Выход ТС'!$G:$G,MATCH($H11&amp;"",'Выход ТС'!$A:$A,0))=0,"",INDEX('Выход ТС'!$G:$G,MATCH($H11&amp;"",'Выход ТС'!$A:$A,0))),"")</f>
        <v>16</v>
      </c>
      <c r="N11" s="52" t="n">
        <f aca="false">IFERROR(IF(INDEX('Выход ТС'!$H:$H,MATCH($H11&amp;"",'Выход ТС'!$A:$A,0))=0,"",INDEX('Выход ТС'!$H:$H,MATCH($H11&amp;"",'Выход ТС'!$A:$A,0))),"")</f>
        <v>7</v>
      </c>
      <c r="O11" s="53" t="n">
        <f aca="false">IF(SUMIFS('Исходные данные'!$I$2:$I$964,'Исходные данные'!$D$2:$D$964,O$3,'Исходные данные'!$F$2:$F$964,$H11&amp;"")+SUMIFS('Исходные данные'!$J$2:$J$964,'Исходные данные'!$D$2:$D$964,O$3,'Исходные данные'!$F$2:$F$964,$H11&amp;"")=0,"",IF(SUMIFS('Исходные данные'!$J$2:$J$964,'Исходные данные'!$D$2:$D$964,O$3,'Исходные данные'!$F$2:$F$964,$H11&amp;"")=0,SUMIFS('Исходные данные'!$I$2:$I$964,'Исходные данные'!$D$2:$D$964,O$3,'Исходные данные'!$F$2:$F$964,$H11&amp;""),IF(SUMIFS('Исходные данные'!$I$2:$I$964,'Исходные данные'!$D$2:$D$964,O$3,'Исходные данные'!$F$2:$F$964,$H11&amp;"")=0,"0+"&amp;SUMIFS('Исходные данные'!$J$2:$J$964,'Исходные данные'!$D$2:$D$964,O$3,'Исходные данные'!$F$2:$F$964,$H11&amp;"")&amp;"="&amp;SUMIFS('Исходные данные'!$J$2:$J$964,'Исходные данные'!$D$2:$D$964,O$3,'Исходные данные'!$F$2:$F$964,$H11&amp;""),SUMIFS('Исходные данные'!$I$2:$I$964,'Исходные данные'!$D$2:$D$964,O$3,'Исходные данные'!$F$2:$F$964,$H11&amp;"")&amp;"+"&amp;SUMIFS('Исходные данные'!$J$2:$J$964,'Исходные данные'!$D$2:$D$964,O$3,'Исходные данные'!$F$2:$F$964,$H11&amp;"")&amp;"="&amp;(SUMIFS('Исходные данные'!$I$2:$I$964,'Исходные данные'!$D$2:$D$964,O$3,'Исходные данные'!$F$2:$F$964,$H11&amp;"")+SUMIFS('Исходные данные'!$J$2:$J$964,'Исходные данные'!$D$2:$D$964,O$3,'Исходные данные'!$F$2:$F$964,$H11&amp;"")))))</f>
        <v>1</v>
      </c>
      <c r="P11" s="54" t="n">
        <f aca="false">IF(SUMIFS('Исходные данные'!$I$2:$I$964,'Исходные данные'!$D$2:$D$964,P$3,'Исходные данные'!$F$2:$F$964,$H11&amp;"")+SUMIFS('Исходные данные'!$J$2:$J$964,'Исходные данные'!$D$2:$D$964,P$3,'Исходные данные'!$F$2:$F$964,$H11&amp;"")=0,"",IF(SUMIFS('Исходные данные'!$J$2:$J$964,'Исходные данные'!$D$2:$D$964,P$3,'Исходные данные'!$F$2:$F$964,$H11&amp;"")=0,SUMIFS('Исходные данные'!$I$2:$I$964,'Исходные данные'!$D$2:$D$964,P$3,'Исходные данные'!$F$2:$F$964,$H11&amp;""),IF(SUMIFS('Исходные данные'!$I$2:$I$964,'Исходные данные'!$D$2:$D$964,P$3,'Исходные данные'!$F$2:$F$964,$H11&amp;"")=0,"0+"&amp;SUMIFS('Исходные данные'!$J$2:$J$964,'Исходные данные'!$D$2:$D$964,P$3,'Исходные данные'!$F$2:$F$964,$H11&amp;"")&amp;"="&amp;SUMIFS('Исходные данные'!$J$2:$J$964,'Исходные данные'!$D$2:$D$964,P$3,'Исходные данные'!$F$2:$F$964,$H11&amp;""),SUMIFS('Исходные данные'!$I$2:$I$964,'Исходные данные'!$D$2:$D$964,P$3,'Исходные данные'!$F$2:$F$964,$H11&amp;"")&amp;"+"&amp;SUMIFS('Исходные данные'!$J$2:$J$964,'Исходные данные'!$D$2:$D$964,P$3,'Исходные данные'!$F$2:$F$964,$H11&amp;"")&amp;"="&amp;(SUMIFS('Исходные данные'!$I$2:$I$964,'Исходные данные'!$D$2:$D$964,P$3,'Исходные данные'!$F$2:$F$964,$H11&amp;"")+SUMIFS('Исходные данные'!$J$2:$J$964,'Исходные данные'!$D$2:$D$964,P$3,'Исходные данные'!$F$2:$F$964,$H11&amp;"")))))</f>
        <v>1</v>
      </c>
      <c r="Q11" s="53" t="n">
        <f aca="false">IF(SUMIFS('Исходные данные'!$I$2:$I$964,'Исходные данные'!$D$2:$D$964,Q$3,'Исходные данные'!$F$2:$F$964,$H11&amp;"")+SUMIFS('Исходные данные'!$J$2:$J$964,'Исходные данные'!$D$2:$D$964,Q$3,'Исходные данные'!$F$2:$F$964,$H11&amp;"")=0,"",IF(SUMIFS('Исходные данные'!$J$2:$J$964,'Исходные данные'!$D$2:$D$964,Q$3,'Исходные данные'!$F$2:$F$964,$H11&amp;"")=0,SUMIFS('Исходные данные'!$I$2:$I$964,'Исходные данные'!$D$2:$D$964,Q$3,'Исходные данные'!$F$2:$F$964,$H11&amp;""),IF(SUMIFS('Исходные данные'!$I$2:$I$964,'Исходные данные'!$D$2:$D$964,Q$3,'Исходные данные'!$F$2:$F$964,$H11&amp;"")=0,"0+"&amp;SUMIFS('Исходные данные'!$J$2:$J$964,'Исходные данные'!$D$2:$D$964,Q$3,'Исходные данные'!$F$2:$F$964,$H11&amp;"")&amp;"="&amp;SUMIFS('Исходные данные'!$J$2:$J$964,'Исходные данные'!$D$2:$D$964,Q$3,'Исходные данные'!$F$2:$F$964,$H11&amp;""),SUMIFS('Исходные данные'!$I$2:$I$964,'Исходные данные'!$D$2:$D$964,Q$3,'Исходные данные'!$F$2:$F$964,$H11&amp;"")&amp;"+"&amp;SUMIFS('Исходные данные'!$J$2:$J$964,'Исходные данные'!$D$2:$D$964,Q$3,'Исходные данные'!$F$2:$F$964,$H11&amp;"")&amp;"="&amp;(SUMIFS('Исходные данные'!$I$2:$I$964,'Исходные данные'!$D$2:$D$964,Q$3,'Исходные данные'!$F$2:$F$964,$H11&amp;"")+SUMIFS('Исходные данные'!$J$2:$J$964,'Исходные данные'!$D$2:$D$964,Q$3,'Исходные данные'!$F$2:$F$964,$H11&amp;"")))))</f>
        <v>2</v>
      </c>
      <c r="R11" s="55" t="n">
        <f aca="false">IF(SUMIFS('Исходные данные'!$I$2:$I$964,'Исходные данные'!$D$2:$D$964,R$3,'Исходные данные'!$F$2:$F$964,$H11&amp;"")+SUMIFS('Исходные данные'!$J$2:$J$964,'Исходные данные'!$D$2:$D$964,R$3,'Исходные данные'!$F$2:$F$964,$H11&amp;"")=0,"",IF(SUMIFS('Исходные данные'!$J$2:$J$964,'Исходные данные'!$D$2:$D$964,R$3,'Исходные данные'!$F$2:$F$964,$H11&amp;"")=0,SUMIFS('Исходные данные'!$I$2:$I$964,'Исходные данные'!$D$2:$D$964,R$3,'Исходные данные'!$F$2:$F$964,$H11&amp;""),IF(SUMIFS('Исходные данные'!$I$2:$I$964,'Исходные данные'!$D$2:$D$964,R$3,'Исходные данные'!$F$2:$F$964,$H11&amp;"")=0,"0+"&amp;SUMIFS('Исходные данные'!$J$2:$J$964,'Исходные данные'!$D$2:$D$964,R$3,'Исходные данные'!$F$2:$F$964,$H11&amp;"")&amp;"="&amp;SUMIFS('Исходные данные'!$J$2:$J$964,'Исходные данные'!$D$2:$D$964,R$3,'Исходные данные'!$F$2:$F$964,$H11&amp;""),SUMIFS('Исходные данные'!$I$2:$I$964,'Исходные данные'!$D$2:$D$964,R$3,'Исходные данные'!$F$2:$F$964,$H11&amp;"")&amp;"+"&amp;SUMIFS('Исходные данные'!$J$2:$J$964,'Исходные данные'!$D$2:$D$964,R$3,'Исходные данные'!$F$2:$F$964,$H11&amp;"")&amp;"="&amp;(SUMIFS('Исходные данные'!$I$2:$I$964,'Исходные данные'!$D$2:$D$964,R$3,'Исходные данные'!$F$2:$F$964,$H11&amp;"")+SUMIFS('Исходные данные'!$J$2:$J$964,'Исходные данные'!$D$2:$D$964,R$3,'Исходные данные'!$F$2:$F$964,$H11&amp;"")))))</f>
        <v>1</v>
      </c>
      <c r="S11" s="54" t="str">
        <f aca="false">IF(SUMIFS('Исходные данные'!$I$2:$I$964,'Исходные данные'!$D$2:$D$964,S$3,'Исходные данные'!$F$2:$F$964,$H11&amp;"")+SUMIFS('Исходные данные'!$J$2:$J$964,'Исходные данные'!$D$2:$D$964,S$3,'Исходные данные'!$F$2:$F$964,$H11&amp;"")=0,"",IF(SUMIFS('Исходные данные'!$J$2:$J$964,'Исходные данные'!$D$2:$D$964,S$3,'Исходные данные'!$F$2:$F$964,$H11&amp;"")=0,SUMIFS('Исходные данные'!$I$2:$I$964,'Исходные данные'!$D$2:$D$964,S$3,'Исходные данные'!$F$2:$F$964,$H11&amp;""),IF(SUMIFS('Исходные данные'!$I$2:$I$964,'Исходные данные'!$D$2:$D$964,S$3,'Исходные данные'!$F$2:$F$964,$H11&amp;"")=0,"0+"&amp;SUMIFS('Исходные данные'!$J$2:$J$964,'Исходные данные'!$D$2:$D$964,S$3,'Исходные данные'!$F$2:$F$964,$H11&amp;"")&amp;"="&amp;SUMIFS('Исходные данные'!$J$2:$J$964,'Исходные данные'!$D$2:$D$964,S$3,'Исходные данные'!$F$2:$F$964,$H11&amp;""),SUMIFS('Исходные данные'!$I$2:$I$964,'Исходные данные'!$D$2:$D$964,S$3,'Исходные данные'!$F$2:$F$964,$H11&amp;"")&amp;"+"&amp;SUMIFS('Исходные данные'!$J$2:$J$964,'Исходные данные'!$D$2:$D$964,S$3,'Исходные данные'!$F$2:$F$964,$H11&amp;"")&amp;"="&amp;(SUMIFS('Исходные данные'!$I$2:$I$964,'Исходные данные'!$D$2:$D$964,S$3,'Исходные данные'!$F$2:$F$964,$H11&amp;"")+SUMIFS('Исходные данные'!$J$2:$J$964,'Исходные данные'!$D$2:$D$964,S$3,'Исходные данные'!$F$2:$F$964,$H11&amp;"")))))</f>
        <v/>
      </c>
      <c r="T11" s="53" t="n">
        <f aca="false">IF(SUMIFS('Исходные данные'!$I$2:$I$964,'Исходные данные'!$D$2:$D$964,T$3,'Исходные данные'!$F$2:$F$964,$H11&amp;"")+SUMIFS('Исходные данные'!$J$2:$J$964,'Исходные данные'!$D$2:$D$964,T$3,'Исходные данные'!$F$2:$F$964,$H11&amp;"")=0,"",IF(SUMIFS('Исходные данные'!$J$2:$J$964,'Исходные данные'!$D$2:$D$964,T$3,'Исходные данные'!$F$2:$F$964,$H11&amp;"")=0,SUMIFS('Исходные данные'!$I$2:$I$964,'Исходные данные'!$D$2:$D$964,T$3,'Исходные данные'!$F$2:$F$964,$H11&amp;""),IF(SUMIFS('Исходные данные'!$I$2:$I$964,'Исходные данные'!$D$2:$D$964,T$3,'Исходные данные'!$F$2:$F$964,$H11&amp;"")=0,"0+"&amp;SUMIFS('Исходные данные'!$J$2:$J$964,'Исходные данные'!$D$2:$D$964,T$3,'Исходные данные'!$F$2:$F$964,$H11&amp;"")&amp;"="&amp;SUMIFS('Исходные данные'!$J$2:$J$964,'Исходные данные'!$D$2:$D$964,T$3,'Исходные данные'!$F$2:$F$964,$H11&amp;""),SUMIFS('Исходные данные'!$I$2:$I$964,'Исходные данные'!$D$2:$D$964,T$3,'Исходные данные'!$F$2:$F$964,$H11&amp;"")&amp;"+"&amp;SUMIFS('Исходные данные'!$J$2:$J$964,'Исходные данные'!$D$2:$D$964,T$3,'Исходные данные'!$F$2:$F$964,$H11&amp;"")&amp;"="&amp;(SUMIFS('Исходные данные'!$I$2:$I$964,'Исходные данные'!$D$2:$D$964,T$3,'Исходные данные'!$F$2:$F$964,$H11&amp;"")+SUMIFS('Исходные данные'!$J$2:$J$964,'Исходные данные'!$D$2:$D$964,T$3,'Исходные данные'!$F$2:$F$964,$H11&amp;"")))))</f>
        <v>1</v>
      </c>
      <c r="U11" s="54" t="str">
        <f aca="false">IF(SUMIFS('Исходные данные'!$I$2:$I$964,'Исходные данные'!$D$2:$D$964,U$3,'Исходные данные'!$F$2:$F$964,$H11&amp;"")+SUMIFS('Исходные данные'!$J$2:$J$964,'Исходные данные'!$D$2:$D$964,U$3,'Исходные данные'!$F$2:$F$964,$H11&amp;"")=0,"",IF(SUMIFS('Исходные данные'!$J$2:$J$964,'Исходные данные'!$D$2:$D$964,U$3,'Исходные данные'!$F$2:$F$964,$H11&amp;"")=0,SUMIFS('Исходные данные'!$I$2:$I$964,'Исходные данные'!$D$2:$D$964,U$3,'Исходные данные'!$F$2:$F$964,$H11&amp;""),IF(SUMIFS('Исходные данные'!$I$2:$I$964,'Исходные данные'!$D$2:$D$964,U$3,'Исходные данные'!$F$2:$F$964,$H11&amp;"")=0,"0+"&amp;SUMIFS('Исходные данные'!$J$2:$J$964,'Исходные данные'!$D$2:$D$964,U$3,'Исходные данные'!$F$2:$F$964,$H11&amp;"")&amp;"="&amp;SUMIFS('Исходные данные'!$J$2:$J$964,'Исходные данные'!$D$2:$D$964,U$3,'Исходные данные'!$F$2:$F$964,$H11&amp;""),SUMIFS('Исходные данные'!$I$2:$I$964,'Исходные данные'!$D$2:$D$964,U$3,'Исходные данные'!$F$2:$F$964,$H11&amp;"")&amp;"+"&amp;SUMIFS('Исходные данные'!$J$2:$J$964,'Исходные данные'!$D$2:$D$964,U$3,'Исходные данные'!$F$2:$F$964,$H11&amp;"")&amp;"="&amp;(SUMIFS('Исходные данные'!$I$2:$I$964,'Исходные данные'!$D$2:$D$964,U$3,'Исходные данные'!$F$2:$F$964,$H11&amp;"")+SUMIFS('Исходные данные'!$J$2:$J$964,'Исходные данные'!$D$2:$D$964,U$3,'Исходные данные'!$F$2:$F$964,$H11&amp;"")))))</f>
        <v/>
      </c>
      <c r="V11" s="53" t="n">
        <f aca="false">IF(SUMIFS('Исходные данные'!$I$2:$I$964,'Исходные данные'!$D$2:$D$964,V$3,'Исходные данные'!$F$2:$F$964,$H11&amp;"")+SUMIFS('Исходные данные'!$J$2:$J$964,'Исходные данные'!$D$2:$D$964,V$3,'Исходные данные'!$F$2:$F$964,$H11&amp;"")=0,"",IF(SUMIFS('Исходные данные'!$J$2:$J$964,'Исходные данные'!$D$2:$D$964,V$3,'Исходные данные'!$F$2:$F$964,$H11&amp;"")=0,SUMIFS('Исходные данные'!$I$2:$I$964,'Исходные данные'!$D$2:$D$964,V$3,'Исходные данные'!$F$2:$F$964,$H11&amp;""),IF(SUMIFS('Исходные данные'!$I$2:$I$964,'Исходные данные'!$D$2:$D$964,V$3,'Исходные данные'!$F$2:$F$964,$H11&amp;"")=0,"0+"&amp;SUMIFS('Исходные данные'!$J$2:$J$964,'Исходные данные'!$D$2:$D$964,V$3,'Исходные данные'!$F$2:$F$964,$H11&amp;"")&amp;"="&amp;SUMIFS('Исходные данные'!$J$2:$J$964,'Исходные данные'!$D$2:$D$964,V$3,'Исходные данные'!$F$2:$F$964,$H11&amp;""),SUMIFS('Исходные данные'!$I$2:$I$964,'Исходные данные'!$D$2:$D$964,V$3,'Исходные данные'!$F$2:$F$964,$H11&amp;"")&amp;"+"&amp;SUMIFS('Исходные данные'!$J$2:$J$964,'Исходные данные'!$D$2:$D$964,V$3,'Исходные данные'!$F$2:$F$964,$H11&amp;"")&amp;"="&amp;(SUMIFS('Исходные данные'!$I$2:$I$964,'Исходные данные'!$D$2:$D$964,V$3,'Исходные данные'!$F$2:$F$964,$H11&amp;"")+SUMIFS('Исходные данные'!$J$2:$J$964,'Исходные данные'!$D$2:$D$964,V$3,'Исходные данные'!$F$2:$F$964,$H11&amp;"")))))</f>
        <v>1</v>
      </c>
      <c r="W11" s="54" t="n">
        <f aca="false">IF(SUMIFS('Исходные данные'!$I$2:$I$964,'Исходные данные'!$D$2:$D$964,W$3,'Исходные данные'!$F$2:$F$964,$H11&amp;"")+SUMIFS('Исходные данные'!$J$2:$J$964,'Исходные данные'!$D$2:$D$964,W$3,'Исходные данные'!$F$2:$F$964,$H11&amp;"")=0,"",IF(SUMIFS('Исходные данные'!$J$2:$J$964,'Исходные данные'!$D$2:$D$964,W$3,'Исходные данные'!$F$2:$F$964,$H11&amp;"")=0,SUMIFS('Исходные данные'!$I$2:$I$964,'Исходные данные'!$D$2:$D$964,W$3,'Исходные данные'!$F$2:$F$964,$H11&amp;""),IF(SUMIFS('Исходные данные'!$I$2:$I$964,'Исходные данные'!$D$2:$D$964,W$3,'Исходные данные'!$F$2:$F$964,$H11&amp;"")=0,"0+"&amp;SUMIFS('Исходные данные'!$J$2:$J$964,'Исходные данные'!$D$2:$D$964,W$3,'Исходные данные'!$F$2:$F$964,$H11&amp;"")&amp;"="&amp;SUMIFS('Исходные данные'!$J$2:$J$964,'Исходные данные'!$D$2:$D$964,W$3,'Исходные данные'!$F$2:$F$964,$H11&amp;""),SUMIFS('Исходные данные'!$I$2:$I$964,'Исходные данные'!$D$2:$D$964,W$3,'Исходные данные'!$F$2:$F$964,$H11&amp;"")&amp;"+"&amp;SUMIFS('Исходные данные'!$J$2:$J$964,'Исходные данные'!$D$2:$D$964,W$3,'Исходные данные'!$F$2:$F$964,$H11&amp;"")&amp;"="&amp;(SUMIFS('Исходные данные'!$I$2:$I$964,'Исходные данные'!$D$2:$D$964,W$3,'Исходные данные'!$F$2:$F$964,$H11&amp;"")+SUMIFS('Исходные данные'!$J$2:$J$964,'Исходные данные'!$D$2:$D$964,W$3,'Исходные данные'!$F$2:$F$964,$H11&amp;"")))))</f>
        <v>1</v>
      </c>
      <c r="X11" s="54" t="n">
        <f aca="false">IF(SUMIFS('Исходные данные'!$I$2:$I$964,'Исходные данные'!$D$2:$D$964,X$3,'Исходные данные'!$F$2:$F$964,$H11&amp;"")+SUMIFS('Исходные данные'!$J$2:$J$964,'Исходные данные'!$D$2:$D$964,X$3,'Исходные данные'!$F$2:$F$964,$H11&amp;"")=0,"",IF(SUMIFS('Исходные данные'!$J$2:$J$964,'Исходные данные'!$D$2:$D$964,X$3,'Исходные данные'!$F$2:$F$964,$H11&amp;"")=0,SUMIFS('Исходные данные'!$I$2:$I$964,'Исходные данные'!$D$2:$D$964,X$3,'Исходные данные'!$F$2:$F$964,$H11&amp;""),IF(SUMIFS('Исходные данные'!$I$2:$I$964,'Исходные данные'!$D$2:$D$964,X$3,'Исходные данные'!$F$2:$F$964,$H11&amp;"")=0,"0+"&amp;SUMIFS('Исходные данные'!$J$2:$J$964,'Исходные данные'!$D$2:$D$964,X$3,'Исходные данные'!$F$2:$F$964,$H11&amp;"")&amp;"="&amp;SUMIFS('Исходные данные'!$J$2:$J$964,'Исходные данные'!$D$2:$D$964,X$3,'Исходные данные'!$F$2:$F$964,$H11&amp;""),SUMIFS('Исходные данные'!$I$2:$I$964,'Исходные данные'!$D$2:$D$964,X$3,'Исходные данные'!$F$2:$F$964,$H11&amp;"")&amp;"+"&amp;SUMIFS('Исходные данные'!$J$2:$J$964,'Исходные данные'!$D$2:$D$964,X$3,'Исходные данные'!$F$2:$F$964,$H11&amp;"")&amp;"="&amp;(SUMIFS('Исходные данные'!$I$2:$I$964,'Исходные данные'!$D$2:$D$964,X$3,'Исходные данные'!$F$2:$F$964,$H11&amp;"")+SUMIFS('Исходные данные'!$J$2:$J$964,'Исходные данные'!$D$2:$D$964,X$3,'Исходные данные'!$F$2:$F$964,$H11&amp;"")))))</f>
        <v>1</v>
      </c>
      <c r="Y11" s="56" t="str">
        <f aca="false">IF(SUMIFS('Исходные данные'!$I$2:$I$964,'Исходные данные'!$D$2:$D$964,Y$3,'Исходные данные'!$F$2:$F$964,$H11&amp;"")+SUMIFS('Исходные данные'!$J$2:$J$964,'Исходные данные'!$D$2:$D$964,Y$3,'Исходные данные'!$F$2:$F$964,$H11&amp;"")=0,"",IF(SUMIFS('Исходные данные'!$J$2:$J$964,'Исходные данные'!$D$2:$D$964,Y$3,'Исходные данные'!$F$2:$F$964,$H11&amp;"")=0,SUMIFS('Исходные данные'!$I$2:$I$964,'Исходные данные'!$D$2:$D$964,Y$3,'Исходные данные'!$F$2:$F$964,$H11&amp;""),IF(SUMIFS('Исходные данные'!$I$2:$I$964,'Исходные данные'!$D$2:$D$964,Y$3,'Исходные данные'!$F$2:$F$964,$H11&amp;"")=0,"0+"&amp;SUMIFS('Исходные данные'!$J$2:$J$964,'Исходные данные'!$D$2:$D$964,Y$3,'Исходные данные'!$F$2:$F$964,$H11&amp;"")&amp;"="&amp;SUMIFS('Исходные данные'!$J$2:$J$964,'Исходные данные'!$D$2:$D$964,Y$3,'Исходные данные'!$F$2:$F$964,$H11&amp;""),SUMIFS('Исходные данные'!$I$2:$I$964,'Исходные данные'!$D$2:$D$964,Y$3,'Исходные данные'!$F$2:$F$964,$H11&amp;"")&amp;"+"&amp;SUMIFS('Исходные данные'!$J$2:$J$964,'Исходные данные'!$D$2:$D$964,Y$3,'Исходные данные'!$F$2:$F$964,$H11&amp;"")&amp;"="&amp;(SUMIFS('Исходные данные'!$I$2:$I$964,'Исходные данные'!$D$2:$D$964,Y$3,'Исходные данные'!$F$2:$F$964,$H11&amp;"")+SUMIFS('Исходные данные'!$J$2:$J$964,'Исходные данные'!$D$2:$D$964,Y$3,'Исходные данные'!$F$2:$F$964,$H11&amp;"")))))</f>
        <v/>
      </c>
      <c r="Z11" s="53" t="str">
        <f aca="false">IF(SUMIFS('Исходные данные'!$I$2:$I$964,'Исходные данные'!$D$2:$D$964,Z$3,'Исходные данные'!$F$2:$F$964,$H11&amp;"")+SUMIFS('Исходные данные'!$J$2:$J$964,'Исходные данные'!$D$2:$D$964,Z$3,'Исходные данные'!$F$2:$F$964,$H11&amp;"")=0,"",IF(SUMIFS('Исходные данные'!$J$2:$J$964,'Исходные данные'!$D$2:$D$964,Z$3,'Исходные данные'!$F$2:$F$964,$H11&amp;"")=0,SUMIFS('Исходные данные'!$I$2:$I$964,'Исходные данные'!$D$2:$D$964,Z$3,'Исходные данные'!$F$2:$F$964,$H11&amp;""),IF(SUMIFS('Исходные данные'!$I$2:$I$964,'Исходные данные'!$D$2:$D$964,Z$3,'Исходные данные'!$F$2:$F$964,$H11&amp;"")=0,"0+"&amp;SUMIFS('Исходные данные'!$J$2:$J$964,'Исходные данные'!$D$2:$D$964,Z$3,'Исходные данные'!$F$2:$F$964,$H11&amp;"")&amp;"="&amp;SUMIFS('Исходные данные'!$J$2:$J$964,'Исходные данные'!$D$2:$D$964,Z$3,'Исходные данные'!$F$2:$F$964,$H11&amp;""),SUMIFS('Исходные данные'!$I$2:$I$964,'Исходные данные'!$D$2:$D$964,Z$3,'Исходные данные'!$F$2:$F$964,$H11&amp;"")&amp;"+"&amp;SUMIFS('Исходные данные'!$J$2:$J$964,'Исходные данные'!$D$2:$D$964,Z$3,'Исходные данные'!$F$2:$F$964,$H11&amp;"")&amp;"="&amp;(SUMIFS('Исходные данные'!$I$2:$I$964,'Исходные данные'!$D$2:$D$964,Z$3,'Исходные данные'!$F$2:$F$964,$H11&amp;"")+SUMIFS('Исходные данные'!$J$2:$J$964,'Исходные данные'!$D$2:$D$964,Z$3,'Исходные данные'!$F$2:$F$964,$H11&amp;"")))))</f>
        <v/>
      </c>
      <c r="AA11" s="54" t="str">
        <f aca="false">IF(SUMIFS('Исходные данные'!$I$2:$I$964,'Исходные данные'!$D$2:$D$964,AA$3,'Исходные данные'!$F$2:$F$964,$H11&amp;"")+SUMIFS('Исходные данные'!$J$2:$J$964,'Исходные данные'!$D$2:$D$964,AA$3,'Исходные данные'!$F$2:$F$964,$H11&amp;"")=0,"",IF(SUMIFS('Исходные данные'!$J$2:$J$964,'Исходные данные'!$D$2:$D$964,AA$3,'Исходные данные'!$F$2:$F$964,$H11&amp;"")=0,SUMIFS('Исходные данные'!$I$2:$I$964,'Исходные данные'!$D$2:$D$964,AA$3,'Исходные данные'!$F$2:$F$964,$H11&amp;""),IF(SUMIFS('Исходные данные'!$I$2:$I$964,'Исходные данные'!$D$2:$D$964,AA$3,'Исходные данные'!$F$2:$F$964,$H11&amp;"")=0,"0+"&amp;SUMIFS('Исходные данные'!$J$2:$J$964,'Исходные данные'!$D$2:$D$964,AA$3,'Исходные данные'!$F$2:$F$964,$H11&amp;"")&amp;"="&amp;SUMIFS('Исходные данные'!$J$2:$J$964,'Исходные данные'!$D$2:$D$964,AA$3,'Исходные данные'!$F$2:$F$964,$H11&amp;""),SUMIFS('Исходные данные'!$I$2:$I$964,'Исходные данные'!$D$2:$D$964,AA$3,'Исходные данные'!$F$2:$F$964,$H11&amp;"")&amp;"+"&amp;SUMIFS('Исходные данные'!$J$2:$J$964,'Исходные данные'!$D$2:$D$964,AA$3,'Исходные данные'!$F$2:$F$964,$H11&amp;"")&amp;"="&amp;(SUMIFS('Исходные данные'!$I$2:$I$964,'Исходные данные'!$D$2:$D$964,AA$3,'Исходные данные'!$F$2:$F$964,$H11&amp;"")+SUMIFS('Исходные данные'!$J$2:$J$964,'Исходные данные'!$D$2:$D$964,AA$3,'Исходные данные'!$F$2:$F$964,$H11&amp;"")))))</f>
        <v/>
      </c>
      <c r="AB11" s="54" t="str">
        <f aca="false">IF(SUMIFS('Исходные данные'!$I$2:$I$964,'Исходные данные'!$D$2:$D$964,AB$3,'Исходные данные'!$F$2:$F$964,$H11&amp;"")+SUMIFS('Исходные данные'!$J$2:$J$964,'Исходные данные'!$D$2:$D$964,AB$3,'Исходные данные'!$F$2:$F$964,$H11&amp;"")=0,"",IF(SUMIFS('Исходные данные'!$J$2:$J$964,'Исходные данные'!$D$2:$D$964,AB$3,'Исходные данные'!$F$2:$F$964,$H11&amp;"")=0,SUMIFS('Исходные данные'!$I$2:$I$964,'Исходные данные'!$D$2:$D$964,AB$3,'Исходные данные'!$F$2:$F$964,$H11&amp;""),IF(SUMIFS('Исходные данные'!$I$2:$I$964,'Исходные данные'!$D$2:$D$964,AB$3,'Исходные данные'!$F$2:$F$964,$H11&amp;"")=0,"0+"&amp;SUMIFS('Исходные данные'!$J$2:$J$964,'Исходные данные'!$D$2:$D$964,AB$3,'Исходные данные'!$F$2:$F$964,$H11&amp;"")&amp;"="&amp;SUMIFS('Исходные данные'!$J$2:$J$964,'Исходные данные'!$D$2:$D$964,AB$3,'Исходные данные'!$F$2:$F$964,$H11&amp;""),SUMIFS('Исходные данные'!$I$2:$I$964,'Исходные данные'!$D$2:$D$964,AB$3,'Исходные данные'!$F$2:$F$964,$H11&amp;"")&amp;"+"&amp;SUMIFS('Исходные данные'!$J$2:$J$964,'Исходные данные'!$D$2:$D$964,AB$3,'Исходные данные'!$F$2:$F$964,$H11&amp;"")&amp;"="&amp;(SUMIFS('Исходные данные'!$I$2:$I$964,'Исходные данные'!$D$2:$D$964,AB$3,'Исходные данные'!$F$2:$F$964,$H11&amp;"")+SUMIFS('Исходные данные'!$J$2:$J$964,'Исходные данные'!$D$2:$D$964,AB$3,'Исходные данные'!$F$2:$F$964,$H11&amp;"")))))</f>
        <v/>
      </c>
      <c r="AC11" s="56" t="str">
        <f aca="false">IF(SUMIFS('Исходные данные'!$I$2:$I$964,'Исходные данные'!$D$2:$D$964,AC$3,'Исходные данные'!$F$2:$F$964,$H11&amp;"")+SUMIFS('Исходные данные'!$J$2:$J$964,'Исходные данные'!$D$2:$D$964,AC$3,'Исходные данные'!$F$2:$F$964,$H11&amp;"")=0,"",IF(SUMIFS('Исходные данные'!$J$2:$J$964,'Исходные данные'!$D$2:$D$964,AC$3,'Исходные данные'!$F$2:$F$964,$H11&amp;"")=0,SUMIFS('Исходные данные'!$I$2:$I$964,'Исходные данные'!$D$2:$D$964,AC$3,'Исходные данные'!$F$2:$F$964,$H11&amp;""),IF(SUMIFS('Исходные данные'!$I$2:$I$964,'Исходные данные'!$D$2:$D$964,AC$3,'Исходные данные'!$F$2:$F$964,$H11&amp;"")=0,"0+"&amp;SUMIFS('Исходные данные'!$J$2:$J$964,'Исходные данные'!$D$2:$D$964,AC$3,'Исходные данные'!$F$2:$F$964,$H11&amp;"")&amp;"="&amp;SUMIFS('Исходные данные'!$J$2:$J$964,'Исходные данные'!$D$2:$D$964,AC$3,'Исходные данные'!$F$2:$F$964,$H11&amp;""),SUMIFS('Исходные данные'!$I$2:$I$964,'Исходные данные'!$D$2:$D$964,AC$3,'Исходные данные'!$F$2:$F$964,$H11&amp;"")&amp;"+"&amp;SUMIFS('Исходные данные'!$J$2:$J$964,'Исходные данные'!$D$2:$D$964,AC$3,'Исходные данные'!$F$2:$F$964,$H11&amp;"")&amp;"="&amp;(SUMIFS('Исходные данные'!$I$2:$I$964,'Исходные данные'!$D$2:$D$964,AC$3,'Исходные данные'!$F$2:$F$964,$H11&amp;"")+SUMIFS('Исходные данные'!$J$2:$J$964,'Исходные данные'!$D$2:$D$964,AC$3,'Исходные данные'!$F$2:$F$964,$H11&amp;"")))))</f>
        <v>4+5=9</v>
      </c>
      <c r="AD11" s="54" t="str">
        <f aca="false">IF(SUMIFS('Исходные данные'!$I$2:$I$964,'Исходные данные'!$D$2:$D$964,AD$3,'Исходные данные'!$F$2:$F$964,$H11&amp;"")+SUMIFS('Исходные данные'!$J$2:$J$964,'Исходные данные'!$D$2:$D$964,AD$3,'Исходные данные'!$F$2:$F$964,$H11&amp;"")=0,"",IF(SUMIFS('Исходные данные'!$J$2:$J$964,'Исходные данные'!$D$2:$D$964,AD$3,'Исходные данные'!$F$2:$F$964,$H11&amp;"")=0,SUMIFS('Исходные данные'!$I$2:$I$964,'Исходные данные'!$D$2:$D$964,AD$3,'Исходные данные'!$F$2:$F$964,$H11&amp;""),IF(SUMIFS('Исходные данные'!$I$2:$I$964,'Исходные данные'!$D$2:$D$964,AD$3,'Исходные данные'!$F$2:$F$964,$H11&amp;"")=0,"0+"&amp;SUMIFS('Исходные данные'!$J$2:$J$964,'Исходные данные'!$D$2:$D$964,AD$3,'Исходные данные'!$F$2:$F$964,$H11&amp;"")&amp;"="&amp;SUMIFS('Исходные данные'!$J$2:$J$964,'Исходные данные'!$D$2:$D$964,AD$3,'Исходные данные'!$F$2:$F$964,$H11&amp;""),SUMIFS('Исходные данные'!$I$2:$I$964,'Исходные данные'!$D$2:$D$964,AD$3,'Исходные данные'!$F$2:$F$964,$H11&amp;"")&amp;"+"&amp;SUMIFS('Исходные данные'!$J$2:$J$964,'Исходные данные'!$D$2:$D$964,AD$3,'Исходные данные'!$F$2:$F$964,$H11&amp;"")&amp;"="&amp;(SUMIFS('Исходные данные'!$I$2:$I$964,'Исходные данные'!$D$2:$D$964,AD$3,'Исходные данные'!$F$2:$F$964,$H11&amp;"")+SUMIFS('Исходные данные'!$J$2:$J$964,'Исходные данные'!$D$2:$D$964,AD$3,'Исходные данные'!$F$2:$F$964,$H11&amp;"")))))</f>
        <v>3+2=5</v>
      </c>
      <c r="AE11" s="57" t="n">
        <f aca="false">IFERROR(INDEX('Выход ТС'!$K:$K,MATCH($H11&amp;"",'Выход ТС'!$A:$A,0))+INDEX('Выход ТС'!$L:$L,MATCH($H11&amp;"",'Выход ТС'!$A:$A,0))-INDEX('Выход ТС'!$I:$I,MATCH($H11&amp;"",'Выход ТС'!$A:$A,0))-INDEX('Выход ТС'!$J:$J,MATCH($H11&amp;"",'Выход ТС'!$A:$A,0)),"")</f>
        <v>0</v>
      </c>
      <c r="AF11" s="57" t="n">
        <f aca="false">IFERROR(INDEX('Выход ТС'!$O:$O,MATCH($H11&amp;"",'Выход ТС'!$A:$A,0))+INDEX('Выход ТС'!$P:$P,MATCH($H11&amp;"",'Выход ТС'!$A:$A,0))-INDEX('Выход ТС'!$M:$M,MATCH($H11&amp;"",'Выход ТС'!$A:$A,0))-INDEX('Выход ТС'!$N:$N,MATCH($H11&amp;"",'Выход ТС'!$A:$A,0)),"")</f>
        <v>0</v>
      </c>
      <c r="AG11" s="57" t="n">
        <f aca="false">IFERROR(INDEX('Выход ТС'!$S:$S,MATCH($H11&amp;"",'Выход ТС'!$A:$A,0))+INDEX('Выход ТС'!$T:$T,MATCH($H11&amp;"",'Выход ТС'!$A:$A,0))-INDEX('Выход ТС'!$Q:$Q,MATCH($H11&amp;"",'Выход ТС'!$A:$A,0))-INDEX('Выход ТС'!$R:$R,MATCH($H11&amp;"",'Выход ТС'!$A:$A,0)),"")</f>
        <v>0</v>
      </c>
      <c r="AH11" s="57" t="n">
        <f aca="false">IFERROR(INDEX('Выход ТС'!$W:$W,MATCH($H11&amp;"",'Выход ТС'!$A:$A,0))+INDEX('Выход ТС'!$X:$X,MATCH($H11&amp;"",'Выход ТС'!$A:$A,0))-INDEX('Выход ТС'!$U:$U,MATCH($H11&amp;"",'Выход ТС'!$A:$A,0))-INDEX('Выход ТС'!$V:$V,MATCH($H11&amp;"",'Выход ТС'!$A:$A,0)),"")</f>
        <v>0</v>
      </c>
      <c r="AI11" s="57" t="n">
        <f aca="false">IFERROR(INDEX('Выход ТС'!$AA:$AA,MATCH($H11&amp;"",'Выход ТС'!$A:$A,0))+INDEX('Выход ТС'!$AB:$AB,MATCH($H11&amp;"",'Выход ТС'!$A:$A,0))-INDEX('Выход ТС'!$Y:$Y,MATCH($H11&amp;"",'Выход ТС'!$A:$A,0))-INDEX('Выход ТС'!$Z:$Z,MATCH($H11&amp;"",'Выход ТС'!$A:$A,0)),"")</f>
        <v>0</v>
      </c>
      <c r="AJ11" s="57" t="n">
        <f aca="false">IFERROR(INDEX('Выход ТС'!$AE:$AE,MATCH($H11&amp;"",'Выход ТС'!$A:$A,0))+INDEX('Выход ТС'!$AF:$AF,MATCH($H11&amp;"",'Выход ТС'!$A:$A,0))-INDEX('Выход ТС'!$AC:$AC,MATCH($H11&amp;"",'Выход ТС'!$A:$A,0))-INDEX('Выход ТС'!$AD:$AD,MATCH($H11&amp;"",'Выход ТС'!$A:$A,0)),"")</f>
        <v>0</v>
      </c>
      <c r="AK11" s="57" t="n">
        <f aca="false">IFERROR(INDEX('Выход ТС'!$AI:$AI,MATCH($H11&amp;"",'Выход ТС'!$A:$A,0))+INDEX('Выход ТС'!$AJ:$AJ,MATCH($H11&amp;"",'Выход ТС'!$A:$A,0))-INDEX('Выход ТС'!$AG:$AG,MATCH($H11&amp;"",'Выход ТС'!$A:$A,0))-INDEX('Выход ТС'!$AH:$AH,MATCH($H11&amp;"",'Выход ТС'!$A:$A,0)),"")</f>
        <v>-1</v>
      </c>
      <c r="AL11" s="57" t="n">
        <f aca="false">IFERROR(INDEX('Выход ТС'!$AM:$AM,MATCH($H11&amp;"",'Выход ТС'!$A:$A,0))+INDEX('Выход ТС'!$AN:$AN,MATCH($H11&amp;"",'Выход ТС'!$A:$A,0))-INDEX('Выход ТС'!$AK:$AK,MATCH($H11&amp;"",'Выход ТС'!$A:$A,0))-INDEX('Выход ТС'!$AL:$AL,MATCH($H11&amp;"",'Выход ТС'!$A:$A,0)),"")</f>
        <v>0</v>
      </c>
      <c r="AM11" s="57" t="n">
        <f aca="false">IFERROR(INDEX('Выход ТС'!$AQ:$AQ,MATCH($H11&amp;"",'Выход ТС'!$A:$A,0))+INDEX('Выход ТС'!$AR:$AR,MATCH($H11&amp;"",'Выход ТС'!$A:$A,0))-INDEX('Выход ТС'!$AO:$AO,MATCH($H11&amp;"",'Выход ТС'!$A:$A,0))-INDEX('Выход ТС'!$AP:$AP,MATCH($H11&amp;"",'Выход ТС'!$A:$A,0)),"")</f>
        <v>0</v>
      </c>
      <c r="AN11" s="57" t="n">
        <f aca="false">IFERROR(INDEX('Выход ТС'!$AU:$AU,MATCH($H11&amp;"",'Выход ТС'!$A:$A,0))+INDEX('Выход ТС'!$AV:$AV,MATCH($H11&amp;"",'Выход ТС'!$A:$A,0))-INDEX('Выход ТС'!$AS:$AS,MATCH($H11&amp;"",'Выход ТС'!$A:$A,0))-INDEX('Выход ТС'!$AT:$AT,MATCH($H11&amp;"",'Выход ТС'!$A:$A,0)),"")</f>
        <v>0</v>
      </c>
      <c r="AO11" s="57" t="n">
        <f aca="false">IFERROR(INDEX('Выход ТС'!$AY:$AY,MATCH($H11&amp;"",'Выход ТС'!$A:$A,0))+INDEX('Выход ТС'!$AZ:$AZ,MATCH($H11&amp;"",'Выход ТС'!$A:$A,0))-INDEX('Выход ТС'!$AW:$AW,MATCH($H11&amp;"",'Выход ТС'!$A:$A,0))-INDEX('Выход ТС'!$AX:$AX,MATCH($H11&amp;"",'Выход ТС'!$A:$A,0)),"")</f>
        <v>0</v>
      </c>
      <c r="AP11" s="57" t="n">
        <f aca="false">IFERROR(INDEX('Выход ТС'!$BC:$BC,MATCH($H11&amp;"",'Выход ТС'!$A:$A,0))+INDEX('Выход ТС'!$BD:$BD,MATCH($H11&amp;"",'Выход ТС'!$A:$A,0))-INDEX('Выход ТС'!$BA:$BA,MATCH($H11&amp;"",'Выход ТС'!$A:$A,0))-INDEX('Выход ТС'!$BB:$BB,MATCH($H11&amp;"",'Выход ТС'!$A:$A,0)),"")</f>
        <v>1</v>
      </c>
      <c r="AQ11" s="57" t="n">
        <f aca="false">IFERROR(INDEX('Выход ТС'!$BG:$BG,MATCH($H11&amp;"",'Выход ТС'!$A:$A,0))+INDEX('Выход ТС'!$BH:$BH,MATCH($H11&amp;"",'Выход ТС'!$A:$A,0))-INDEX('Выход ТС'!$BE:$BE,MATCH($H11&amp;"",'Выход ТС'!$A:$A,0))-INDEX('Выход ТС'!$BF:$BF,MATCH($H11&amp;"",'Выход ТС'!$A:$A,0)),"")</f>
        <v>0</v>
      </c>
      <c r="AR11" s="57" t="n">
        <f aca="false">IFERROR(INDEX('Выход ТС'!$BK:$BK,MATCH($H11&amp;"",'Выход ТС'!$A:$A,0))+INDEX('Выход ТС'!$BL:$BL,MATCH($H11&amp;"",'Выход ТС'!$A:$A,0))-INDEX('Выход ТС'!$BI:$BI,MATCH($H11&amp;"",'Выход ТС'!$A:$A,0))-INDEX('Выход ТС'!$BJ:$BJ,MATCH($H11&amp;"",'Выход ТС'!$A:$A,0)),"")</f>
        <v>-1</v>
      </c>
      <c r="AS11" s="57" t="n">
        <f aca="false">IFERROR(INDEX('Выход ТС'!$BO:$BO,MATCH($H11&amp;"",'Выход ТС'!$A:$A,0))+INDEX('Выход ТС'!$BP:$BP,MATCH($H11&amp;"",'Выход ТС'!$A:$A,0))-INDEX('Выход ТС'!$BM:$BM,MATCH($H11&amp;"",'Выход ТС'!$A:$A,0))-INDEX('Выход ТС'!$BN:$BN,MATCH($H11&amp;"",'Выход ТС'!$A:$A,0)),"")</f>
        <v>-1</v>
      </c>
      <c r="AT11" s="57" t="n">
        <f aca="false">IFERROR(INDEX('Выход ТС'!$CI:$CI,MATCH($H11&amp;"",'Выход ТС'!$A:$A,0))+INDEX('Выход ТС'!$CJ:$CJ,MATCH($H11&amp;"",'Выход ТС'!$A:$A,0))-INDEX('Выход ТС'!$CG:$CG,MATCH($H11&amp;"",'Выход ТС'!$A:$A,0))-INDEX('Выход ТС'!$CH:$CH,MATCH($H11&amp;"",'Выход ТС'!$A:$A,0)),"")</f>
        <v>0</v>
      </c>
      <c r="AU11" s="57" t="n">
        <f aca="false">IFERROR(INDEX('Выход ТС'!$CM:$CM,MATCH($H11&amp;"",'Выход ТС'!$A:$A,0))+INDEX('Выход ТС'!$CN:$CN,MATCH($H11&amp;"",'Выход ТС'!$A:$A,0))-INDEX('Выход ТС'!$CK:$CK,MATCH($H11&amp;"",'Выход ТС'!$A:$A,0))-INDEX('Выход ТС'!$CL:$CL,MATCH($H11&amp;"",'Выход ТС'!$A:$A,0)),"")</f>
        <v>0</v>
      </c>
    </row>
    <row r="12" customFormat="false" ht="25.5" hidden="false" customHeight="true" outlineLevel="0" collapsed="false">
      <c r="A12" s="31" t="n">
        <v>10</v>
      </c>
      <c r="B12" s="32" t="s">
        <v>184</v>
      </c>
      <c r="C12" s="33" t="s">
        <v>10</v>
      </c>
      <c r="D12" s="34"/>
      <c r="E12" s="34" t="s">
        <v>185</v>
      </c>
      <c r="F12" s="34" t="s">
        <v>22</v>
      </c>
      <c r="G12" s="69"/>
      <c r="H12" s="36"/>
      <c r="I12" s="60"/>
      <c r="J12" s="61"/>
      <c r="K12" s="62"/>
      <c r="L12" s="63"/>
      <c r="M12" s="64"/>
      <c r="N12" s="64"/>
      <c r="O12" s="65" t="str">
        <f aca="false">IF(SUMIFS('Исходные данные'!$I$2:$I$964,'Исходные данные'!$D$2:$D$964,O$3,'Исходные данные'!$F$2:$F$964,$H13&amp;"",'Исходные данные'!$L$2:$L$964,"УТТ")+SUMIFS('Исходные данные'!$J$2:$J$964,'Исходные данные'!$D$2:$D$964,O$3,'Исходные данные'!$F$2:$F$964,$H13&amp;"",'Исходные данные'!$L$2:$L$964,"УТТ")=0,"","утт-"&amp;(SUMIFS('Исходные данные'!$I$2:$I$964,'Исходные данные'!$D$2:$D$964,O$3,'Исходные данные'!$F$2:$F$964,$H13&amp;"",'Исходные данные'!$L$2:$L$964,"УТТ")+SUMIFS('Исходные данные'!$J$2:$J$964,'Исходные данные'!$D$2:$D$964,O$3,'Исходные данные'!$F$2:$F$964,$H13&amp;"",'Исходные данные'!$L$2:$L$964,"УТТ")))</f>
        <v/>
      </c>
      <c r="P12" s="66" t="str">
        <f aca="false">IF(SUMIFS('Исходные данные'!$I$2:$I$964,'Исходные данные'!$D$2:$D$964,P$3,'Исходные данные'!$F$2:$F$964,$H13&amp;"",'Исходные данные'!$L$2:$L$964,"УТТ")+SUMIFS('Исходные данные'!$J$2:$J$964,'Исходные данные'!$D$2:$D$964,P$3,'Исходные данные'!$F$2:$F$964,$H13&amp;"",'Исходные данные'!$L$2:$L$964,"УТТ")=0,"","утт-"&amp;(SUMIFS('Исходные данные'!$I$2:$I$964,'Исходные данные'!$D$2:$D$964,P$3,'Исходные данные'!$F$2:$F$964,$H13&amp;"",'Исходные данные'!$L$2:$L$964,"УТТ")+SUMIFS('Исходные данные'!$J$2:$J$964,'Исходные данные'!$D$2:$D$964,P$3,'Исходные данные'!$F$2:$F$964,$H13&amp;"",'Исходные данные'!$L$2:$L$964,"УТТ")))</f>
        <v/>
      </c>
      <c r="Q12" s="65" t="str">
        <f aca="false">IF(SUMIFS('Исходные данные'!$I$2:$I$964,'Исходные данные'!$D$2:$D$964,Q$3,'Исходные данные'!$F$2:$F$964,$H13&amp;"",'Исходные данные'!$L$2:$L$964,"УТТ")+SUMIFS('Исходные данные'!$J$2:$J$964,'Исходные данные'!$D$2:$D$964,Q$3,'Исходные данные'!$F$2:$F$964,$H13&amp;"",'Исходные данные'!$L$2:$L$964,"УТТ")=0,"","утт-"&amp;(SUMIFS('Исходные данные'!$I$2:$I$964,'Исходные данные'!$D$2:$D$964,Q$3,'Исходные данные'!$F$2:$F$964,$H13&amp;"",'Исходные данные'!$L$2:$L$964,"УТТ")+SUMIFS('Исходные данные'!$J$2:$J$964,'Исходные данные'!$D$2:$D$964,Q$3,'Исходные данные'!$F$2:$F$964,$H13&amp;"",'Исходные данные'!$L$2:$L$964,"УТТ")))</f>
        <v/>
      </c>
      <c r="R12" s="67" t="str">
        <f aca="false">IF(SUMIFS('Исходные данные'!$I$2:$I$964,'Исходные данные'!$D$2:$D$964,R$3,'Исходные данные'!$F$2:$F$964,$H13&amp;"",'Исходные данные'!$L$2:$L$964,"УТТ")+SUMIFS('Исходные данные'!$J$2:$J$964,'Исходные данные'!$D$2:$D$964,R$3,'Исходные данные'!$F$2:$F$964,$H13&amp;"",'Исходные данные'!$L$2:$L$964,"УТТ")=0,"","утт-"&amp;(SUMIFS('Исходные данные'!$I$2:$I$964,'Исходные данные'!$D$2:$D$964,R$3,'Исходные данные'!$F$2:$F$964,$H13&amp;"",'Исходные данные'!$L$2:$L$964,"УТТ")+SUMIFS('Исходные данные'!$J$2:$J$964,'Исходные данные'!$D$2:$D$964,R$3,'Исходные данные'!$F$2:$F$964,$H13&amp;"",'Исходные данные'!$L$2:$L$964,"УТТ")))</f>
        <v/>
      </c>
      <c r="S12" s="66" t="str">
        <f aca="false">IF(SUMIFS('Исходные данные'!$I$2:$I$964,'Исходные данные'!$D$2:$D$964,S$3,'Исходные данные'!$F$2:$F$964,$H13&amp;"",'Исходные данные'!$L$2:$L$964,"УТТ")+SUMIFS('Исходные данные'!$J$2:$J$964,'Исходные данные'!$D$2:$D$964,S$3,'Исходные данные'!$F$2:$F$964,$H13&amp;"",'Исходные данные'!$L$2:$L$964,"УТТ")=0,"","утт-"&amp;(SUMIFS('Исходные данные'!$I$2:$I$964,'Исходные данные'!$D$2:$D$964,S$3,'Исходные данные'!$F$2:$F$964,$H13&amp;"",'Исходные данные'!$L$2:$L$964,"УТТ")+SUMIFS('Исходные данные'!$J$2:$J$964,'Исходные данные'!$D$2:$D$964,S$3,'Исходные данные'!$F$2:$F$964,$H13&amp;"",'Исходные данные'!$L$2:$L$964,"УТТ")))</f>
        <v/>
      </c>
      <c r="T12" s="65" t="str">
        <f aca="false">IF(SUMIFS('Исходные данные'!$I$2:$I$964,'Исходные данные'!$D$2:$D$964,T$3,'Исходные данные'!$F$2:$F$964,$H13&amp;"",'Исходные данные'!$L$2:$L$964,"УТТ")+SUMIFS('Исходные данные'!$J$2:$J$964,'Исходные данные'!$D$2:$D$964,T$3,'Исходные данные'!$F$2:$F$964,$H13&amp;"",'Исходные данные'!$L$2:$L$964,"УТТ")=0,"","утт-"&amp;(SUMIFS('Исходные данные'!$I$2:$I$964,'Исходные данные'!$D$2:$D$964,T$3,'Исходные данные'!$F$2:$F$964,$H13&amp;"",'Исходные данные'!$L$2:$L$964,"УТТ")+SUMIFS('Исходные данные'!$J$2:$J$964,'Исходные данные'!$D$2:$D$964,T$3,'Исходные данные'!$F$2:$F$964,$H13&amp;"",'Исходные данные'!$L$2:$L$964,"УТТ")))</f>
        <v/>
      </c>
      <c r="U12" s="66" t="str">
        <f aca="false">IF(SUMIFS('Исходные данные'!$I$2:$I$964,'Исходные данные'!$D$2:$D$964,U$3,'Исходные данные'!$F$2:$F$964,$H13&amp;"",'Исходные данные'!$L$2:$L$964,"УТТ")+SUMIFS('Исходные данные'!$J$2:$J$964,'Исходные данные'!$D$2:$D$964,U$3,'Исходные данные'!$F$2:$F$964,$H13&amp;"",'Исходные данные'!$L$2:$L$964,"УТТ")=0,"","утт-"&amp;(SUMIFS('Исходные данные'!$I$2:$I$964,'Исходные данные'!$D$2:$D$964,U$3,'Исходные данные'!$F$2:$F$964,$H13&amp;"",'Исходные данные'!$L$2:$L$964,"УТТ")+SUMIFS('Исходные данные'!$J$2:$J$964,'Исходные данные'!$D$2:$D$964,U$3,'Исходные данные'!$F$2:$F$964,$H13&amp;"",'Исходные данные'!$L$2:$L$964,"УТТ")))</f>
        <v/>
      </c>
      <c r="V12" s="65" t="str">
        <f aca="false">IF(SUMIFS('Исходные данные'!$I$2:$I$964,'Исходные данные'!$D$2:$D$964,V$3,'Исходные данные'!$F$2:$F$964,$H13&amp;"",'Исходные данные'!$L$2:$L$964,"УТТ")+SUMIFS('Исходные данные'!$J$2:$J$964,'Исходные данные'!$D$2:$D$964,V$3,'Исходные данные'!$F$2:$F$964,$H13&amp;"",'Исходные данные'!$L$2:$L$964,"УТТ")=0,"","утт-"&amp;(SUMIFS('Исходные данные'!$I$2:$I$964,'Исходные данные'!$D$2:$D$964,V$3,'Исходные данные'!$F$2:$F$964,$H13&amp;"",'Исходные данные'!$L$2:$L$964,"УТТ")+SUMIFS('Исходные данные'!$J$2:$J$964,'Исходные данные'!$D$2:$D$964,V$3,'Исходные данные'!$F$2:$F$964,$H13&amp;"",'Исходные данные'!$L$2:$L$964,"УТТ")))</f>
        <v/>
      </c>
      <c r="W12" s="66" t="str">
        <f aca="false">IF(SUMIFS('Исходные данные'!$I$2:$I$964,'Исходные данные'!$D$2:$D$964,W$3,'Исходные данные'!$F$2:$F$964,$H13&amp;"",'Исходные данные'!$L$2:$L$964,"УТТ")+SUMIFS('Исходные данные'!$J$2:$J$964,'Исходные данные'!$D$2:$D$964,W$3,'Исходные данные'!$F$2:$F$964,$H13&amp;"",'Исходные данные'!$L$2:$L$964,"УТТ")=0,"","утт-"&amp;(SUMIFS('Исходные данные'!$I$2:$I$964,'Исходные данные'!$D$2:$D$964,W$3,'Исходные данные'!$F$2:$F$964,$H13&amp;"",'Исходные данные'!$L$2:$L$964,"УТТ")+SUMIFS('Исходные данные'!$J$2:$J$964,'Исходные данные'!$D$2:$D$964,W$3,'Исходные данные'!$F$2:$F$964,$H13&amp;"",'Исходные данные'!$L$2:$L$964,"УТТ")))</f>
        <v/>
      </c>
      <c r="X12" s="66" t="str">
        <f aca="false">IF(SUMIFS('Исходные данные'!$I$2:$I$964,'Исходные данные'!$D$2:$D$964,X$3,'Исходные данные'!$F$2:$F$964,$H13&amp;"",'Исходные данные'!$L$2:$L$964,"УТТ")+SUMIFS('Исходные данные'!$J$2:$J$964,'Исходные данные'!$D$2:$D$964,X$3,'Исходные данные'!$F$2:$F$964,$H13&amp;"",'Исходные данные'!$L$2:$L$964,"УТТ")=0,"","утт-"&amp;(SUMIFS('Исходные данные'!$I$2:$I$964,'Исходные данные'!$D$2:$D$964,X$3,'Исходные данные'!$F$2:$F$964,$H13&amp;"",'Исходные данные'!$L$2:$L$964,"УТТ")+SUMIFS('Исходные данные'!$J$2:$J$964,'Исходные данные'!$D$2:$D$964,X$3,'Исходные данные'!$F$2:$F$964,$H13&amp;"",'Исходные данные'!$L$2:$L$964,"УТТ")))</f>
        <v/>
      </c>
      <c r="Y12" s="68" t="str">
        <f aca="false">IF(SUMIFS('Исходные данные'!$I$2:$I$964,'Исходные данные'!$D$2:$D$964,Y$3,'Исходные данные'!$F$2:$F$964,$H13&amp;"",'Исходные данные'!$L$2:$L$964,"УТТ")+SUMIFS('Исходные данные'!$J$2:$J$964,'Исходные данные'!$D$2:$D$964,Y$3,'Исходные данные'!$F$2:$F$964,$H13&amp;"",'Исходные данные'!$L$2:$L$964,"УТТ")=0,"","утт-"&amp;(SUMIFS('Исходные данные'!$I$2:$I$964,'Исходные данные'!$D$2:$D$964,Y$3,'Исходные данные'!$F$2:$F$964,$H13&amp;"",'Исходные данные'!$L$2:$L$964,"УТТ")+SUMIFS('Исходные данные'!$J$2:$J$964,'Исходные данные'!$D$2:$D$964,Y$3,'Исходные данные'!$F$2:$F$964,$H13&amp;"",'Исходные данные'!$L$2:$L$964,"УТТ")))</f>
        <v/>
      </c>
      <c r="Z12" s="65" t="str">
        <f aca="false">IF(SUMIFS('Исходные данные'!$I$2:$I$964,'Исходные данные'!$D$2:$D$964,Z$3,'Исходные данные'!$F$2:$F$964,$H13&amp;"",'Исходные данные'!$L$2:$L$964,"УТТ")+SUMIFS('Исходные данные'!$J$2:$J$964,'Исходные данные'!$D$2:$D$964,Z$3,'Исходные данные'!$F$2:$F$964,$H13&amp;"",'Исходные данные'!$L$2:$L$964,"УТТ")=0,"","утт-"&amp;(SUMIFS('Исходные данные'!$I$2:$I$964,'Исходные данные'!$D$2:$D$964,Z$3,'Исходные данные'!$F$2:$F$964,$H13&amp;"",'Исходные данные'!$L$2:$L$964,"УТТ")+SUMIFS('Исходные данные'!$J$2:$J$964,'Исходные данные'!$D$2:$D$964,Z$3,'Исходные данные'!$F$2:$F$964,$H13&amp;"",'Исходные данные'!$L$2:$L$964,"УТТ")))</f>
        <v/>
      </c>
      <c r="AA12" s="66" t="str">
        <f aca="false">IF(SUMIFS('Исходные данные'!$I$2:$I$964,'Исходные данные'!$D$2:$D$964,AA$3,'Исходные данные'!$F$2:$F$964,$H13&amp;"",'Исходные данные'!$L$2:$L$964,"УТТ")+SUMIFS('Исходные данные'!$J$2:$J$964,'Исходные данные'!$D$2:$D$964,AA$3,'Исходные данные'!$F$2:$F$964,$H13&amp;"",'Исходные данные'!$L$2:$L$964,"УТТ")=0,"","утт-"&amp;(SUMIFS('Исходные данные'!$I$2:$I$964,'Исходные данные'!$D$2:$D$964,AA$3,'Исходные данные'!$F$2:$F$964,$H13&amp;"",'Исходные данные'!$L$2:$L$964,"УТТ")+SUMIFS('Исходные данные'!$J$2:$J$964,'Исходные данные'!$D$2:$D$964,AA$3,'Исходные данные'!$F$2:$F$964,$H13&amp;"",'Исходные данные'!$L$2:$L$964,"УТТ")))</f>
        <v/>
      </c>
      <c r="AB12" s="66" t="str">
        <f aca="false">IF(SUMIFS('Исходные данные'!$I$2:$I$964,'Исходные данные'!$D$2:$D$964,AB$3,'Исходные данные'!$F$2:$F$964,$H13&amp;"",'Исходные данные'!$L$2:$L$964,"УТТ")+SUMIFS('Исходные данные'!$J$2:$J$964,'Исходные данные'!$D$2:$D$964,AB$3,'Исходные данные'!$F$2:$F$964,$H13&amp;"",'Исходные данные'!$L$2:$L$964,"УТТ")=0,"","утт-"&amp;(SUMIFS('Исходные данные'!$I$2:$I$964,'Исходные данные'!$D$2:$D$964,AB$3,'Исходные данные'!$F$2:$F$964,$H13&amp;"",'Исходные данные'!$L$2:$L$964,"УТТ")+SUMIFS('Исходные данные'!$J$2:$J$964,'Исходные данные'!$D$2:$D$964,AB$3,'Исходные данные'!$F$2:$F$964,$H13&amp;"",'Исходные данные'!$L$2:$L$964,"УТТ")))</f>
        <v/>
      </c>
      <c r="AC12" s="65" t="str">
        <f aca="false">IF(SUMIFS('Исходные данные'!$I$2:$I$964,'Исходные данные'!$D$2:$D$964,AC$3,'Исходные данные'!$F$2:$F$964,$H13&amp;"",'Исходные данные'!$L$2:$L$964,"УТТ")+SUMIFS('Исходные данные'!$J$2:$J$964,'Исходные данные'!$D$2:$D$964,AC$3,'Исходные данные'!$F$2:$F$964,$H13&amp;"",'Исходные данные'!$L$2:$L$964,"УТТ")=0,"","утт-"&amp;(SUMIFS('Исходные данные'!$I$2:$I$964,'Исходные данные'!$D$2:$D$964,AC$3,'Исходные данные'!$F$2:$F$964,$H13&amp;"",'Исходные данные'!$L$2:$L$964,"УТТ")+SUMIFS('Исходные данные'!$J$2:$J$964,'Исходные данные'!$D$2:$D$964,AC$3,'Исходные данные'!$F$2:$F$964,$H13&amp;"",'Исходные данные'!$L$2:$L$964,"УТТ")))</f>
        <v/>
      </c>
      <c r="AD12" s="66" t="str">
        <f aca="false">IF(SUMIFS('Исходные данные'!$I$2:$I$964,'Исходные данные'!$D$2:$D$964,AD$3,'Исходные данные'!$F$2:$F$964,$H13&amp;"",'Исходные данные'!$L$2:$L$964,"УТТ")+SUMIFS('Исходные данные'!$J$2:$J$964,'Исходные данные'!$D$2:$D$964,AD$3,'Исходные данные'!$F$2:$F$964,$H13&amp;"",'Исходные данные'!$L$2:$L$964,"УТТ")=0,"","утт-"&amp;(SUMIFS('Исходные данные'!$I$2:$I$964,'Исходные данные'!$D$2:$D$964,AD$3,'Исходные данные'!$F$2:$F$964,$H13&amp;"",'Исходные данные'!$L$2:$L$964,"УТТ")+SUMIFS('Исходные данные'!$J$2:$J$964,'Исходные данные'!$D$2:$D$964,AD$3,'Исходные данные'!$F$2:$F$964,$H13&amp;"",'Исходные данные'!$L$2:$L$964,"УТТ")))</f>
        <v>утт-7</v>
      </c>
    </row>
    <row r="13" customFormat="false" ht="25.5" hidden="false" customHeight="true" outlineLevel="0" collapsed="false">
      <c r="A13" s="31" t="n">
        <v>11</v>
      </c>
      <c r="B13" s="32" t="s">
        <v>186</v>
      </c>
      <c r="C13" s="33" t="s">
        <v>10</v>
      </c>
      <c r="D13" s="34"/>
      <c r="E13" s="34"/>
      <c r="F13" s="34"/>
      <c r="G13" s="69"/>
      <c r="H13" s="36" t="n">
        <v>22</v>
      </c>
      <c r="I13" s="48" t="s">
        <v>187</v>
      </c>
      <c r="J13" s="49" t="n">
        <f aca="false">IFERROR(INDEX('Выход ТС'!$C:$C,MATCH($H13&amp;"",'Выход ТС'!$A:$A,0)),"")</f>
        <v>23</v>
      </c>
      <c r="K13" s="50" t="n">
        <f aca="false">IFERROR(INDEX('Выход ТС'!$E:$E,MATCH($H13&amp;"",'Выход ТС'!$A:$A,0)),"")</f>
        <v>20</v>
      </c>
      <c r="L13" s="51" t="n">
        <f aca="false">IFERROR(INDEX('Выход ТС'!$F:$F,MATCH($H13&amp;"",'Выход ТС'!$A:$A,0)),"")</f>
        <v>-3</v>
      </c>
      <c r="M13" s="52" t="n">
        <f aca="false">IFERROR(IF(INDEX('Выход ТС'!$G:$G,MATCH($H13&amp;"",'Выход ТС'!$A:$A,0))=0,"",INDEX('Выход ТС'!$G:$G,MATCH($H13&amp;"",'Выход ТС'!$A:$A,0))),"")</f>
        <v>13</v>
      </c>
      <c r="N13" s="52" t="n">
        <f aca="false">IFERROR(IF(INDEX('Выход ТС'!$H:$H,MATCH($H13&amp;"",'Выход ТС'!$A:$A,0))=0,"",INDEX('Выход ТС'!$H:$H,MATCH($H13&amp;"",'Выход ТС'!$A:$A,0))),"")</f>
        <v>7</v>
      </c>
      <c r="O13" s="56" t="str">
        <f aca="false">IF(SUMIFS('Исходные данные'!$I$2:$I$964,'Исходные данные'!$D$2:$D$964,O$3,'Исходные данные'!$F$2:$F$964,$H13&amp;"")+SUMIFS('Исходные данные'!$J$2:$J$964,'Исходные данные'!$D$2:$D$964,O$3,'Исходные данные'!$F$2:$F$964,$H13&amp;"")=0,"",IF(SUMIFS('Исходные данные'!$J$2:$J$964,'Исходные данные'!$D$2:$D$964,O$3,'Исходные данные'!$F$2:$F$964,$H13&amp;"")=0,SUMIFS('Исходные данные'!$I$2:$I$964,'Исходные данные'!$D$2:$D$964,O$3,'Исходные данные'!$F$2:$F$964,$H13&amp;""),IF(SUMIFS('Исходные данные'!$I$2:$I$964,'Исходные данные'!$D$2:$D$964,O$3,'Исходные данные'!$F$2:$F$964,$H13&amp;"")=0,"0+"&amp;SUMIFS('Исходные данные'!$J$2:$J$964,'Исходные данные'!$D$2:$D$964,O$3,'Исходные данные'!$F$2:$F$964,$H13&amp;"")&amp;"="&amp;SUMIFS('Исходные данные'!$J$2:$J$964,'Исходные данные'!$D$2:$D$964,O$3,'Исходные данные'!$F$2:$F$964,$H13&amp;""),SUMIFS('Исходные данные'!$I$2:$I$964,'Исходные данные'!$D$2:$D$964,O$3,'Исходные данные'!$F$2:$F$964,$H13&amp;"")&amp;"+"&amp;SUMIFS('Исходные данные'!$J$2:$J$964,'Исходные данные'!$D$2:$D$964,O$3,'Исходные данные'!$F$2:$F$964,$H13&amp;"")&amp;"="&amp;(SUMIFS('Исходные данные'!$I$2:$I$964,'Исходные данные'!$D$2:$D$964,O$3,'Исходные данные'!$F$2:$F$964,$H13&amp;"")+SUMIFS('Исходные данные'!$J$2:$J$964,'Исходные данные'!$D$2:$D$964,O$3,'Исходные данные'!$F$2:$F$964,$H13&amp;"")))))</f>
        <v/>
      </c>
      <c r="P13" s="54" t="n">
        <f aca="false">IF(SUMIFS('Исходные данные'!$I$2:$I$964,'Исходные данные'!$D$2:$D$964,P$3,'Исходные данные'!$F$2:$F$964,$H13&amp;"")+SUMIFS('Исходные данные'!$J$2:$J$964,'Исходные данные'!$D$2:$D$964,P$3,'Исходные данные'!$F$2:$F$964,$H13&amp;"")=0,"",IF(SUMIFS('Исходные данные'!$J$2:$J$964,'Исходные данные'!$D$2:$D$964,P$3,'Исходные данные'!$F$2:$F$964,$H13&amp;"")=0,SUMIFS('Исходные данные'!$I$2:$I$964,'Исходные данные'!$D$2:$D$964,P$3,'Исходные данные'!$F$2:$F$964,$H13&amp;""),IF(SUMIFS('Исходные данные'!$I$2:$I$964,'Исходные данные'!$D$2:$D$964,P$3,'Исходные данные'!$F$2:$F$964,$H13&amp;"")=0,"0+"&amp;SUMIFS('Исходные данные'!$J$2:$J$964,'Исходные данные'!$D$2:$D$964,P$3,'Исходные данные'!$F$2:$F$964,$H13&amp;"")&amp;"="&amp;SUMIFS('Исходные данные'!$J$2:$J$964,'Исходные данные'!$D$2:$D$964,P$3,'Исходные данные'!$F$2:$F$964,$H13&amp;""),SUMIFS('Исходные данные'!$I$2:$I$964,'Исходные данные'!$D$2:$D$964,P$3,'Исходные данные'!$F$2:$F$964,$H13&amp;"")&amp;"+"&amp;SUMIFS('Исходные данные'!$J$2:$J$964,'Исходные данные'!$D$2:$D$964,P$3,'Исходные данные'!$F$2:$F$964,$H13&amp;"")&amp;"="&amp;(SUMIFS('Исходные данные'!$I$2:$I$964,'Исходные данные'!$D$2:$D$964,P$3,'Исходные данные'!$F$2:$F$964,$H13&amp;"")+SUMIFS('Исходные данные'!$J$2:$J$964,'Исходные данные'!$D$2:$D$964,P$3,'Исходные данные'!$F$2:$F$964,$H13&amp;"")))))</f>
        <v>1</v>
      </c>
      <c r="Q13" s="54" t="n">
        <f aca="false">IF(SUMIFS('Исходные данные'!$I$2:$I$964,'Исходные данные'!$D$2:$D$964,Q$3,'Исходные данные'!$F$2:$F$964,$H13&amp;"")+SUMIFS('Исходные данные'!$J$2:$J$964,'Исходные данные'!$D$2:$D$964,Q$3,'Исходные данные'!$F$2:$F$964,$H13&amp;"")=0,"",IF(SUMIFS('Исходные данные'!$J$2:$J$964,'Исходные данные'!$D$2:$D$964,Q$3,'Исходные данные'!$F$2:$F$964,$H13&amp;"")=0,SUMIFS('Исходные данные'!$I$2:$I$964,'Исходные данные'!$D$2:$D$964,Q$3,'Исходные данные'!$F$2:$F$964,$H13&amp;""),IF(SUMIFS('Исходные данные'!$I$2:$I$964,'Исходные данные'!$D$2:$D$964,Q$3,'Исходные данные'!$F$2:$F$964,$H13&amp;"")=0,"0+"&amp;SUMIFS('Исходные данные'!$J$2:$J$964,'Исходные данные'!$D$2:$D$964,Q$3,'Исходные данные'!$F$2:$F$964,$H13&amp;"")&amp;"="&amp;SUMIFS('Исходные данные'!$J$2:$J$964,'Исходные данные'!$D$2:$D$964,Q$3,'Исходные данные'!$F$2:$F$964,$H13&amp;""),SUMIFS('Исходные данные'!$I$2:$I$964,'Исходные данные'!$D$2:$D$964,Q$3,'Исходные данные'!$F$2:$F$964,$H13&amp;"")&amp;"+"&amp;SUMIFS('Исходные данные'!$J$2:$J$964,'Исходные данные'!$D$2:$D$964,Q$3,'Исходные данные'!$F$2:$F$964,$H13&amp;"")&amp;"="&amp;(SUMIFS('Исходные данные'!$I$2:$I$964,'Исходные данные'!$D$2:$D$964,Q$3,'Исходные данные'!$F$2:$F$964,$H13&amp;"")+SUMIFS('Исходные данные'!$J$2:$J$964,'Исходные данные'!$D$2:$D$964,Q$3,'Исходные данные'!$F$2:$F$964,$H13&amp;"")))))</f>
        <v>1</v>
      </c>
      <c r="R13" s="55" t="str">
        <f aca="false">IF(SUMIFS('Исходные данные'!$I$2:$I$964,'Исходные данные'!$D$2:$D$964,R$3,'Исходные данные'!$F$2:$F$964,$H13&amp;"")+SUMIFS('Исходные данные'!$J$2:$J$964,'Исходные данные'!$D$2:$D$964,R$3,'Исходные данные'!$F$2:$F$964,$H13&amp;"")=0,"",IF(SUMIFS('Исходные данные'!$J$2:$J$964,'Исходные данные'!$D$2:$D$964,R$3,'Исходные данные'!$F$2:$F$964,$H13&amp;"")=0,SUMIFS('Исходные данные'!$I$2:$I$964,'Исходные данные'!$D$2:$D$964,R$3,'Исходные данные'!$F$2:$F$964,$H13&amp;""),IF(SUMIFS('Исходные данные'!$I$2:$I$964,'Исходные данные'!$D$2:$D$964,R$3,'Исходные данные'!$F$2:$F$964,$H13&amp;"")=0,"0+"&amp;SUMIFS('Исходные данные'!$J$2:$J$964,'Исходные данные'!$D$2:$D$964,R$3,'Исходные данные'!$F$2:$F$964,$H13&amp;"")&amp;"="&amp;SUMIFS('Исходные данные'!$J$2:$J$964,'Исходные данные'!$D$2:$D$964,R$3,'Исходные данные'!$F$2:$F$964,$H13&amp;""),SUMIFS('Исходные данные'!$I$2:$I$964,'Исходные данные'!$D$2:$D$964,R$3,'Исходные данные'!$F$2:$F$964,$H13&amp;"")&amp;"+"&amp;SUMIFS('Исходные данные'!$J$2:$J$964,'Исходные данные'!$D$2:$D$964,R$3,'Исходные данные'!$F$2:$F$964,$H13&amp;"")&amp;"="&amp;(SUMIFS('Исходные данные'!$I$2:$I$964,'Исходные данные'!$D$2:$D$964,R$3,'Исходные данные'!$F$2:$F$964,$H13&amp;"")+SUMIFS('Исходные данные'!$J$2:$J$964,'Исходные данные'!$D$2:$D$964,R$3,'Исходные данные'!$F$2:$F$964,$H13&amp;"")))))</f>
        <v/>
      </c>
      <c r="S13" s="54" t="str">
        <f aca="false">IF(SUMIFS('Исходные данные'!$I$2:$I$964,'Исходные данные'!$D$2:$D$964,S$3,'Исходные данные'!$F$2:$F$964,$H13&amp;"")+SUMIFS('Исходные данные'!$J$2:$J$964,'Исходные данные'!$D$2:$D$964,S$3,'Исходные данные'!$F$2:$F$964,$H13&amp;"")=0,"",IF(SUMIFS('Исходные данные'!$J$2:$J$964,'Исходные данные'!$D$2:$D$964,S$3,'Исходные данные'!$F$2:$F$964,$H13&amp;"")=0,SUMIFS('Исходные данные'!$I$2:$I$964,'Исходные данные'!$D$2:$D$964,S$3,'Исходные данные'!$F$2:$F$964,$H13&amp;""),IF(SUMIFS('Исходные данные'!$I$2:$I$964,'Исходные данные'!$D$2:$D$964,S$3,'Исходные данные'!$F$2:$F$964,$H13&amp;"")=0,"0+"&amp;SUMIFS('Исходные данные'!$J$2:$J$964,'Исходные данные'!$D$2:$D$964,S$3,'Исходные данные'!$F$2:$F$964,$H13&amp;"")&amp;"="&amp;SUMIFS('Исходные данные'!$J$2:$J$964,'Исходные данные'!$D$2:$D$964,S$3,'Исходные данные'!$F$2:$F$964,$H13&amp;""),SUMIFS('Исходные данные'!$I$2:$I$964,'Исходные данные'!$D$2:$D$964,S$3,'Исходные данные'!$F$2:$F$964,$H13&amp;"")&amp;"+"&amp;SUMIFS('Исходные данные'!$J$2:$J$964,'Исходные данные'!$D$2:$D$964,S$3,'Исходные данные'!$F$2:$F$964,$H13&amp;"")&amp;"="&amp;(SUMIFS('Исходные данные'!$I$2:$I$964,'Исходные данные'!$D$2:$D$964,S$3,'Исходные данные'!$F$2:$F$964,$H13&amp;"")+SUMIFS('Исходные данные'!$J$2:$J$964,'Исходные данные'!$D$2:$D$964,S$3,'Исходные данные'!$F$2:$F$964,$H13&amp;"")))))</f>
        <v/>
      </c>
      <c r="T13" s="53" t="n">
        <f aca="false">IF(SUMIFS('Исходные данные'!$I$2:$I$964,'Исходные данные'!$D$2:$D$964,T$3,'Исходные данные'!$F$2:$F$964,$H13&amp;"")+SUMIFS('Исходные данные'!$J$2:$J$964,'Исходные данные'!$D$2:$D$964,T$3,'Исходные данные'!$F$2:$F$964,$H13&amp;"")=0,"",IF(SUMIFS('Исходные данные'!$J$2:$J$964,'Исходные данные'!$D$2:$D$964,T$3,'Исходные данные'!$F$2:$F$964,$H13&amp;"")=0,SUMIFS('Исходные данные'!$I$2:$I$964,'Исходные данные'!$D$2:$D$964,T$3,'Исходные данные'!$F$2:$F$964,$H13&amp;""),IF(SUMIFS('Исходные данные'!$I$2:$I$964,'Исходные данные'!$D$2:$D$964,T$3,'Исходные данные'!$F$2:$F$964,$H13&amp;"")=0,"0+"&amp;SUMIFS('Исходные данные'!$J$2:$J$964,'Исходные данные'!$D$2:$D$964,T$3,'Исходные данные'!$F$2:$F$964,$H13&amp;"")&amp;"="&amp;SUMIFS('Исходные данные'!$J$2:$J$964,'Исходные данные'!$D$2:$D$964,T$3,'Исходные данные'!$F$2:$F$964,$H13&amp;""),SUMIFS('Исходные данные'!$I$2:$I$964,'Исходные данные'!$D$2:$D$964,T$3,'Исходные данные'!$F$2:$F$964,$H13&amp;"")&amp;"+"&amp;SUMIFS('Исходные данные'!$J$2:$J$964,'Исходные данные'!$D$2:$D$964,T$3,'Исходные данные'!$F$2:$F$964,$H13&amp;"")&amp;"="&amp;(SUMIFS('Исходные данные'!$I$2:$I$964,'Исходные данные'!$D$2:$D$964,T$3,'Исходные данные'!$F$2:$F$964,$H13&amp;"")+SUMIFS('Исходные данные'!$J$2:$J$964,'Исходные данные'!$D$2:$D$964,T$3,'Исходные данные'!$F$2:$F$964,$H13&amp;"")))))</f>
        <v>1</v>
      </c>
      <c r="U13" s="54" t="str">
        <f aca="false">IF(SUMIFS('Исходные данные'!$I$2:$I$964,'Исходные данные'!$D$2:$D$964,U$3,'Исходные данные'!$F$2:$F$964,$H13&amp;"")+SUMIFS('Исходные данные'!$J$2:$J$964,'Исходные данные'!$D$2:$D$964,U$3,'Исходные данные'!$F$2:$F$964,$H13&amp;"")=0,"",IF(SUMIFS('Исходные данные'!$J$2:$J$964,'Исходные данные'!$D$2:$D$964,U$3,'Исходные данные'!$F$2:$F$964,$H13&amp;"")=0,SUMIFS('Исходные данные'!$I$2:$I$964,'Исходные данные'!$D$2:$D$964,U$3,'Исходные данные'!$F$2:$F$964,$H13&amp;""),IF(SUMIFS('Исходные данные'!$I$2:$I$964,'Исходные данные'!$D$2:$D$964,U$3,'Исходные данные'!$F$2:$F$964,$H13&amp;"")=0,"0+"&amp;SUMIFS('Исходные данные'!$J$2:$J$964,'Исходные данные'!$D$2:$D$964,U$3,'Исходные данные'!$F$2:$F$964,$H13&amp;"")&amp;"="&amp;SUMIFS('Исходные данные'!$J$2:$J$964,'Исходные данные'!$D$2:$D$964,U$3,'Исходные данные'!$F$2:$F$964,$H13&amp;""),SUMIFS('Исходные данные'!$I$2:$I$964,'Исходные данные'!$D$2:$D$964,U$3,'Исходные данные'!$F$2:$F$964,$H13&amp;"")&amp;"+"&amp;SUMIFS('Исходные данные'!$J$2:$J$964,'Исходные данные'!$D$2:$D$964,U$3,'Исходные данные'!$F$2:$F$964,$H13&amp;"")&amp;"="&amp;(SUMIFS('Исходные данные'!$I$2:$I$964,'Исходные данные'!$D$2:$D$964,U$3,'Исходные данные'!$F$2:$F$964,$H13&amp;"")+SUMIFS('Исходные данные'!$J$2:$J$964,'Исходные данные'!$D$2:$D$964,U$3,'Исходные данные'!$F$2:$F$964,$H13&amp;"")))))</f>
        <v/>
      </c>
      <c r="V13" s="53" t="str">
        <f aca="false">IF(SUMIFS('Исходные данные'!$I$2:$I$964,'Исходные данные'!$D$2:$D$964,V$3,'Исходные данные'!$F$2:$F$964,$H13&amp;"")+SUMIFS('Исходные данные'!$J$2:$J$964,'Исходные данные'!$D$2:$D$964,V$3,'Исходные данные'!$F$2:$F$964,$H13&amp;"")=0,"",IF(SUMIFS('Исходные данные'!$J$2:$J$964,'Исходные данные'!$D$2:$D$964,V$3,'Исходные данные'!$F$2:$F$964,$H13&amp;"")=0,SUMIFS('Исходные данные'!$I$2:$I$964,'Исходные данные'!$D$2:$D$964,V$3,'Исходные данные'!$F$2:$F$964,$H13&amp;""),IF(SUMIFS('Исходные данные'!$I$2:$I$964,'Исходные данные'!$D$2:$D$964,V$3,'Исходные данные'!$F$2:$F$964,$H13&amp;"")=0,"0+"&amp;SUMIFS('Исходные данные'!$J$2:$J$964,'Исходные данные'!$D$2:$D$964,V$3,'Исходные данные'!$F$2:$F$964,$H13&amp;"")&amp;"="&amp;SUMIFS('Исходные данные'!$J$2:$J$964,'Исходные данные'!$D$2:$D$964,V$3,'Исходные данные'!$F$2:$F$964,$H13&amp;""),SUMIFS('Исходные данные'!$I$2:$I$964,'Исходные данные'!$D$2:$D$964,V$3,'Исходные данные'!$F$2:$F$964,$H13&amp;"")&amp;"+"&amp;SUMIFS('Исходные данные'!$J$2:$J$964,'Исходные данные'!$D$2:$D$964,V$3,'Исходные данные'!$F$2:$F$964,$H13&amp;"")&amp;"="&amp;(SUMIFS('Исходные данные'!$I$2:$I$964,'Исходные данные'!$D$2:$D$964,V$3,'Исходные данные'!$F$2:$F$964,$H13&amp;"")+SUMIFS('Исходные данные'!$J$2:$J$964,'Исходные данные'!$D$2:$D$964,V$3,'Исходные данные'!$F$2:$F$964,$H13&amp;"")))))</f>
        <v/>
      </c>
      <c r="W13" s="54" t="str">
        <f aca="false">IF(SUMIFS('Исходные данные'!$I$2:$I$964,'Исходные данные'!$D$2:$D$964,W$3,'Исходные данные'!$F$2:$F$964,$H13&amp;"")+SUMIFS('Исходные данные'!$J$2:$J$964,'Исходные данные'!$D$2:$D$964,W$3,'Исходные данные'!$F$2:$F$964,$H13&amp;"")=0,"",IF(SUMIFS('Исходные данные'!$J$2:$J$964,'Исходные данные'!$D$2:$D$964,W$3,'Исходные данные'!$F$2:$F$964,$H13&amp;"")=0,SUMIFS('Исходные данные'!$I$2:$I$964,'Исходные данные'!$D$2:$D$964,W$3,'Исходные данные'!$F$2:$F$964,$H13&amp;""),IF(SUMIFS('Исходные данные'!$I$2:$I$964,'Исходные данные'!$D$2:$D$964,W$3,'Исходные данные'!$F$2:$F$964,$H13&amp;"")=0,"0+"&amp;SUMIFS('Исходные данные'!$J$2:$J$964,'Исходные данные'!$D$2:$D$964,W$3,'Исходные данные'!$F$2:$F$964,$H13&amp;"")&amp;"="&amp;SUMIFS('Исходные данные'!$J$2:$J$964,'Исходные данные'!$D$2:$D$964,W$3,'Исходные данные'!$F$2:$F$964,$H13&amp;""),SUMIFS('Исходные данные'!$I$2:$I$964,'Исходные данные'!$D$2:$D$964,W$3,'Исходные данные'!$F$2:$F$964,$H13&amp;"")&amp;"+"&amp;SUMIFS('Исходные данные'!$J$2:$J$964,'Исходные данные'!$D$2:$D$964,W$3,'Исходные данные'!$F$2:$F$964,$H13&amp;"")&amp;"="&amp;(SUMIFS('Исходные данные'!$I$2:$I$964,'Исходные данные'!$D$2:$D$964,W$3,'Исходные данные'!$F$2:$F$964,$H13&amp;"")+SUMIFS('Исходные данные'!$J$2:$J$964,'Исходные данные'!$D$2:$D$964,W$3,'Исходные данные'!$F$2:$F$964,$H13&amp;"")))))</f>
        <v/>
      </c>
      <c r="X13" s="54" t="str">
        <f aca="false">IF(SUMIFS('Исходные данные'!$I$2:$I$964,'Исходные данные'!$D$2:$D$964,X$3,'Исходные данные'!$F$2:$F$964,$H13&amp;"")+SUMIFS('Исходные данные'!$J$2:$J$964,'Исходные данные'!$D$2:$D$964,X$3,'Исходные данные'!$F$2:$F$964,$H13&amp;"")=0,"",IF(SUMIFS('Исходные данные'!$J$2:$J$964,'Исходные данные'!$D$2:$D$964,X$3,'Исходные данные'!$F$2:$F$964,$H13&amp;"")=0,SUMIFS('Исходные данные'!$I$2:$I$964,'Исходные данные'!$D$2:$D$964,X$3,'Исходные данные'!$F$2:$F$964,$H13&amp;""),IF(SUMIFS('Исходные данные'!$I$2:$I$964,'Исходные данные'!$D$2:$D$964,X$3,'Исходные данные'!$F$2:$F$964,$H13&amp;"")=0,"0+"&amp;SUMIFS('Исходные данные'!$J$2:$J$964,'Исходные данные'!$D$2:$D$964,X$3,'Исходные данные'!$F$2:$F$964,$H13&amp;"")&amp;"="&amp;SUMIFS('Исходные данные'!$J$2:$J$964,'Исходные данные'!$D$2:$D$964,X$3,'Исходные данные'!$F$2:$F$964,$H13&amp;""),SUMIFS('Исходные данные'!$I$2:$I$964,'Исходные данные'!$D$2:$D$964,X$3,'Исходные данные'!$F$2:$F$964,$H13&amp;"")&amp;"+"&amp;SUMIFS('Исходные данные'!$J$2:$J$964,'Исходные данные'!$D$2:$D$964,X$3,'Исходные данные'!$F$2:$F$964,$H13&amp;"")&amp;"="&amp;(SUMIFS('Исходные данные'!$I$2:$I$964,'Исходные данные'!$D$2:$D$964,X$3,'Исходные данные'!$F$2:$F$964,$H13&amp;"")+SUMIFS('Исходные данные'!$J$2:$J$964,'Исходные данные'!$D$2:$D$964,X$3,'Исходные данные'!$F$2:$F$964,$H13&amp;"")))))</f>
        <v/>
      </c>
      <c r="Y13" s="56" t="str">
        <f aca="false">IF(SUMIFS('Исходные данные'!$I$2:$I$964,'Исходные данные'!$D$2:$D$964,Y$3,'Исходные данные'!$F$2:$F$964,$H13&amp;"")+SUMIFS('Исходные данные'!$J$2:$J$964,'Исходные данные'!$D$2:$D$964,Y$3,'Исходные данные'!$F$2:$F$964,$H13&amp;"")=0,"",IF(SUMIFS('Исходные данные'!$J$2:$J$964,'Исходные данные'!$D$2:$D$964,Y$3,'Исходные данные'!$F$2:$F$964,$H13&amp;"")=0,SUMIFS('Исходные данные'!$I$2:$I$964,'Исходные данные'!$D$2:$D$964,Y$3,'Исходные данные'!$F$2:$F$964,$H13&amp;""),IF(SUMIFS('Исходные данные'!$I$2:$I$964,'Исходные данные'!$D$2:$D$964,Y$3,'Исходные данные'!$F$2:$F$964,$H13&amp;"")=0,"0+"&amp;SUMIFS('Исходные данные'!$J$2:$J$964,'Исходные данные'!$D$2:$D$964,Y$3,'Исходные данные'!$F$2:$F$964,$H13&amp;"")&amp;"="&amp;SUMIFS('Исходные данные'!$J$2:$J$964,'Исходные данные'!$D$2:$D$964,Y$3,'Исходные данные'!$F$2:$F$964,$H13&amp;""),SUMIFS('Исходные данные'!$I$2:$I$964,'Исходные данные'!$D$2:$D$964,Y$3,'Исходные данные'!$F$2:$F$964,$H13&amp;"")&amp;"+"&amp;SUMIFS('Исходные данные'!$J$2:$J$964,'Исходные данные'!$D$2:$D$964,Y$3,'Исходные данные'!$F$2:$F$964,$H13&amp;"")&amp;"="&amp;(SUMIFS('Исходные данные'!$I$2:$I$964,'Исходные данные'!$D$2:$D$964,Y$3,'Исходные данные'!$F$2:$F$964,$H13&amp;"")+SUMIFS('Исходные данные'!$J$2:$J$964,'Исходные данные'!$D$2:$D$964,Y$3,'Исходные данные'!$F$2:$F$964,$H13&amp;"")))))</f>
        <v/>
      </c>
      <c r="Z13" s="53" t="str">
        <f aca="false">IF(SUMIFS('Исходные данные'!$I$2:$I$964,'Исходные данные'!$D$2:$D$964,Z$3,'Исходные данные'!$F$2:$F$964,$H13&amp;"")+SUMIFS('Исходные данные'!$J$2:$J$964,'Исходные данные'!$D$2:$D$964,Z$3,'Исходные данные'!$F$2:$F$964,$H13&amp;"")=0,"",IF(SUMIFS('Исходные данные'!$J$2:$J$964,'Исходные данные'!$D$2:$D$964,Z$3,'Исходные данные'!$F$2:$F$964,$H13&amp;"")=0,SUMIFS('Исходные данные'!$I$2:$I$964,'Исходные данные'!$D$2:$D$964,Z$3,'Исходные данные'!$F$2:$F$964,$H13&amp;""),IF(SUMIFS('Исходные данные'!$I$2:$I$964,'Исходные данные'!$D$2:$D$964,Z$3,'Исходные данные'!$F$2:$F$964,$H13&amp;"")=0,"0+"&amp;SUMIFS('Исходные данные'!$J$2:$J$964,'Исходные данные'!$D$2:$D$964,Z$3,'Исходные данные'!$F$2:$F$964,$H13&amp;"")&amp;"="&amp;SUMIFS('Исходные данные'!$J$2:$J$964,'Исходные данные'!$D$2:$D$964,Z$3,'Исходные данные'!$F$2:$F$964,$H13&amp;""),SUMIFS('Исходные данные'!$I$2:$I$964,'Исходные данные'!$D$2:$D$964,Z$3,'Исходные данные'!$F$2:$F$964,$H13&amp;"")&amp;"+"&amp;SUMIFS('Исходные данные'!$J$2:$J$964,'Исходные данные'!$D$2:$D$964,Z$3,'Исходные данные'!$F$2:$F$964,$H13&amp;"")&amp;"="&amp;(SUMIFS('Исходные данные'!$I$2:$I$964,'Исходные данные'!$D$2:$D$964,Z$3,'Исходные данные'!$F$2:$F$964,$H13&amp;"")+SUMIFS('Исходные данные'!$J$2:$J$964,'Исходные данные'!$D$2:$D$964,Z$3,'Исходные данные'!$F$2:$F$964,$H13&amp;"")))))</f>
        <v/>
      </c>
      <c r="AA13" s="54" t="n">
        <f aca="false">IF(SUMIFS('Исходные данные'!$I$2:$I$964,'Исходные данные'!$D$2:$D$964,AA$3,'Исходные данные'!$F$2:$F$964,$H13&amp;"")+SUMIFS('Исходные данные'!$J$2:$J$964,'Исходные данные'!$D$2:$D$964,AA$3,'Исходные данные'!$F$2:$F$964,$H13&amp;"")=0,"",IF(SUMIFS('Исходные данные'!$J$2:$J$964,'Исходные данные'!$D$2:$D$964,AA$3,'Исходные данные'!$F$2:$F$964,$H13&amp;"")=0,SUMIFS('Исходные данные'!$I$2:$I$964,'Исходные данные'!$D$2:$D$964,AA$3,'Исходные данные'!$F$2:$F$964,$H13&amp;""),IF(SUMIFS('Исходные данные'!$I$2:$I$964,'Исходные данные'!$D$2:$D$964,AA$3,'Исходные данные'!$F$2:$F$964,$H13&amp;"")=0,"0+"&amp;SUMIFS('Исходные данные'!$J$2:$J$964,'Исходные данные'!$D$2:$D$964,AA$3,'Исходные данные'!$F$2:$F$964,$H13&amp;"")&amp;"="&amp;SUMIFS('Исходные данные'!$J$2:$J$964,'Исходные данные'!$D$2:$D$964,AA$3,'Исходные данные'!$F$2:$F$964,$H13&amp;""),SUMIFS('Исходные данные'!$I$2:$I$964,'Исходные данные'!$D$2:$D$964,AA$3,'Исходные данные'!$F$2:$F$964,$H13&amp;"")&amp;"+"&amp;SUMIFS('Исходные данные'!$J$2:$J$964,'Исходные данные'!$D$2:$D$964,AA$3,'Исходные данные'!$F$2:$F$964,$H13&amp;"")&amp;"="&amp;(SUMIFS('Исходные данные'!$I$2:$I$964,'Исходные данные'!$D$2:$D$964,AA$3,'Исходные данные'!$F$2:$F$964,$H13&amp;"")+SUMIFS('Исходные данные'!$J$2:$J$964,'Исходные данные'!$D$2:$D$964,AA$3,'Исходные данные'!$F$2:$F$964,$H13&amp;"")))))</f>
        <v>2</v>
      </c>
      <c r="AB13" s="54" t="str">
        <f aca="false">IF(SUMIFS('Исходные данные'!$I$2:$I$964,'Исходные данные'!$D$2:$D$964,AB$3,'Исходные данные'!$F$2:$F$964,$H13&amp;"")+SUMIFS('Исходные данные'!$J$2:$J$964,'Исходные данные'!$D$2:$D$964,AB$3,'Исходные данные'!$F$2:$F$964,$H13&amp;"")=0,"",IF(SUMIFS('Исходные данные'!$J$2:$J$964,'Исходные данные'!$D$2:$D$964,AB$3,'Исходные данные'!$F$2:$F$964,$H13&amp;"")=0,SUMIFS('Исходные данные'!$I$2:$I$964,'Исходные данные'!$D$2:$D$964,AB$3,'Исходные данные'!$F$2:$F$964,$H13&amp;""),IF(SUMIFS('Исходные данные'!$I$2:$I$964,'Исходные данные'!$D$2:$D$964,AB$3,'Исходные данные'!$F$2:$F$964,$H13&amp;"")=0,"0+"&amp;SUMIFS('Исходные данные'!$J$2:$J$964,'Исходные данные'!$D$2:$D$964,AB$3,'Исходные данные'!$F$2:$F$964,$H13&amp;"")&amp;"="&amp;SUMIFS('Исходные данные'!$J$2:$J$964,'Исходные данные'!$D$2:$D$964,AB$3,'Исходные данные'!$F$2:$F$964,$H13&amp;""),SUMIFS('Исходные данные'!$I$2:$I$964,'Исходные данные'!$D$2:$D$964,AB$3,'Исходные данные'!$F$2:$F$964,$H13&amp;"")&amp;"+"&amp;SUMIFS('Исходные данные'!$J$2:$J$964,'Исходные данные'!$D$2:$D$964,AB$3,'Исходные данные'!$F$2:$F$964,$H13&amp;"")&amp;"="&amp;(SUMIFS('Исходные данные'!$I$2:$I$964,'Исходные данные'!$D$2:$D$964,AB$3,'Исходные данные'!$F$2:$F$964,$H13&amp;"")+SUMIFS('Исходные данные'!$J$2:$J$964,'Исходные данные'!$D$2:$D$964,AB$3,'Исходные данные'!$F$2:$F$964,$H13&amp;"")))))</f>
        <v/>
      </c>
      <c r="AC13" s="56" t="str">
        <f aca="false">IF(SUMIFS('Исходные данные'!$I$2:$I$964,'Исходные данные'!$D$2:$D$964,AC$3,'Исходные данные'!$F$2:$F$964,$H13&amp;"")+SUMIFS('Исходные данные'!$J$2:$J$964,'Исходные данные'!$D$2:$D$964,AC$3,'Исходные данные'!$F$2:$F$964,$H13&amp;"")=0,"",IF(SUMIFS('Исходные данные'!$J$2:$J$964,'Исходные данные'!$D$2:$D$964,AC$3,'Исходные данные'!$F$2:$F$964,$H13&amp;"")=0,SUMIFS('Исходные данные'!$I$2:$I$964,'Исходные данные'!$D$2:$D$964,AC$3,'Исходные данные'!$F$2:$F$964,$H13&amp;""),IF(SUMIFS('Исходные данные'!$I$2:$I$964,'Исходные данные'!$D$2:$D$964,AC$3,'Исходные данные'!$F$2:$F$964,$H13&amp;"")=0,"0+"&amp;SUMIFS('Исходные данные'!$J$2:$J$964,'Исходные данные'!$D$2:$D$964,AC$3,'Исходные данные'!$F$2:$F$964,$H13&amp;"")&amp;"="&amp;SUMIFS('Исходные данные'!$J$2:$J$964,'Исходные данные'!$D$2:$D$964,AC$3,'Исходные данные'!$F$2:$F$964,$H13&amp;""),SUMIFS('Исходные данные'!$I$2:$I$964,'Исходные данные'!$D$2:$D$964,AC$3,'Исходные данные'!$F$2:$F$964,$H13&amp;"")&amp;"+"&amp;SUMIFS('Исходные данные'!$J$2:$J$964,'Исходные данные'!$D$2:$D$964,AC$3,'Исходные данные'!$F$2:$F$964,$H13&amp;"")&amp;"="&amp;(SUMIFS('Исходные данные'!$I$2:$I$964,'Исходные данные'!$D$2:$D$964,AC$3,'Исходные данные'!$F$2:$F$964,$H13&amp;"")+SUMIFS('Исходные данные'!$J$2:$J$964,'Исходные данные'!$D$2:$D$964,AC$3,'Исходные данные'!$F$2:$F$964,$H13&amp;"")))))</f>
        <v>4+4=8</v>
      </c>
      <c r="AD13" s="54" t="str">
        <f aca="false">IF(SUMIFS('Исходные данные'!$I$2:$I$964,'Исходные данные'!$D$2:$D$964,AD$3,'Исходные данные'!$F$2:$F$964,$H13&amp;"")+SUMIFS('Исходные данные'!$J$2:$J$964,'Исходные данные'!$D$2:$D$964,AD$3,'Исходные данные'!$F$2:$F$964,$H13&amp;"")=0,"",IF(SUMIFS('Исходные данные'!$J$2:$J$964,'Исходные данные'!$D$2:$D$964,AD$3,'Исходные данные'!$F$2:$F$964,$H13&amp;"")=0,SUMIFS('Исходные данные'!$I$2:$I$964,'Исходные данные'!$D$2:$D$964,AD$3,'Исходные данные'!$F$2:$F$964,$H13&amp;""),IF(SUMIFS('Исходные данные'!$I$2:$I$964,'Исходные данные'!$D$2:$D$964,AD$3,'Исходные данные'!$F$2:$F$964,$H13&amp;"")=0,"0+"&amp;SUMIFS('Исходные данные'!$J$2:$J$964,'Исходные данные'!$D$2:$D$964,AD$3,'Исходные данные'!$F$2:$F$964,$H13&amp;"")&amp;"="&amp;SUMIFS('Исходные данные'!$J$2:$J$964,'Исходные данные'!$D$2:$D$964,AD$3,'Исходные данные'!$F$2:$F$964,$H13&amp;""),SUMIFS('Исходные данные'!$I$2:$I$964,'Исходные данные'!$D$2:$D$964,AD$3,'Исходные данные'!$F$2:$F$964,$H13&amp;"")&amp;"+"&amp;SUMIFS('Исходные данные'!$J$2:$J$964,'Исходные данные'!$D$2:$D$964,AD$3,'Исходные данные'!$F$2:$F$964,$H13&amp;"")&amp;"="&amp;(SUMIFS('Исходные данные'!$I$2:$I$964,'Исходные данные'!$D$2:$D$964,AD$3,'Исходные данные'!$F$2:$F$964,$H13&amp;"")+SUMIFS('Исходные данные'!$J$2:$J$964,'Исходные данные'!$D$2:$D$964,AD$3,'Исходные данные'!$F$2:$F$964,$H13&amp;"")))))</f>
        <v>4+3=7</v>
      </c>
      <c r="AE13" s="57" t="n">
        <f aca="false">IFERROR(INDEX('Выход ТС'!$K:$K,MATCH($H13&amp;"",'Выход ТС'!$A:$A,0))+INDEX('Выход ТС'!$L:$L,MATCH($H13&amp;"",'Выход ТС'!$A:$A,0))-INDEX('Выход ТС'!$I:$I,MATCH($H13&amp;"",'Выход ТС'!$A:$A,0))-INDEX('Выход ТС'!$J:$J,MATCH($H13&amp;"",'Выход ТС'!$A:$A,0)),"")</f>
        <v>-1</v>
      </c>
      <c r="AF13" s="57" t="n">
        <f aca="false">IFERROR(INDEX('Выход ТС'!$O:$O,MATCH($H13&amp;"",'Выход ТС'!$A:$A,0))+INDEX('Выход ТС'!$P:$P,MATCH($H13&amp;"",'Выход ТС'!$A:$A,0))-INDEX('Выход ТС'!$M:$M,MATCH($H13&amp;"",'Выход ТС'!$A:$A,0))-INDEX('Выход ТС'!$N:$N,MATCH($H13&amp;"",'Выход ТС'!$A:$A,0)),"")</f>
        <v>0</v>
      </c>
      <c r="AG13" s="57" t="n">
        <f aca="false">IFERROR(INDEX('Выход ТС'!$S:$S,MATCH($H13&amp;"",'Выход ТС'!$A:$A,0))+INDEX('Выход ТС'!$T:$T,MATCH($H13&amp;"",'Выход ТС'!$A:$A,0))-INDEX('Выход ТС'!$Q:$Q,MATCH($H13&amp;"",'Выход ТС'!$A:$A,0))-INDEX('Выход ТС'!$R:$R,MATCH($H13&amp;"",'Выход ТС'!$A:$A,0)),"")</f>
        <v>0</v>
      </c>
      <c r="AH13" s="57" t="n">
        <f aca="false">IFERROR(INDEX('Выход ТС'!$W:$W,MATCH($H13&amp;"",'Выход ТС'!$A:$A,0))+INDEX('Выход ТС'!$X:$X,MATCH($H13&amp;"",'Выход ТС'!$A:$A,0))-INDEX('Выход ТС'!$U:$U,MATCH($H13&amp;"",'Выход ТС'!$A:$A,0))-INDEX('Выход ТС'!$V:$V,MATCH($H13&amp;"",'Выход ТС'!$A:$A,0)),"")</f>
        <v>0</v>
      </c>
      <c r="AI13" s="57" t="n">
        <f aca="false">IFERROR(INDEX('Выход ТС'!$AA:$AA,MATCH($H13&amp;"",'Выход ТС'!$A:$A,0))+INDEX('Выход ТС'!$AB:$AB,MATCH($H13&amp;"",'Выход ТС'!$A:$A,0))-INDEX('Выход ТС'!$Y:$Y,MATCH($H13&amp;"",'Выход ТС'!$A:$A,0))-INDEX('Выход ТС'!$Z:$Z,MATCH($H13&amp;"",'Выход ТС'!$A:$A,0)),"")</f>
        <v>0</v>
      </c>
      <c r="AJ13" s="57" t="n">
        <f aca="false">IFERROR(INDEX('Выход ТС'!$AE:$AE,MATCH($H13&amp;"",'Выход ТС'!$A:$A,0))+INDEX('Выход ТС'!$AF:$AF,MATCH($H13&amp;"",'Выход ТС'!$A:$A,0))-INDEX('Выход ТС'!$AC:$AC,MATCH($H13&amp;"",'Выход ТС'!$A:$A,0))-INDEX('Выход ТС'!$AD:$AD,MATCH($H13&amp;"",'Выход ТС'!$A:$A,0)),"")</f>
        <v>0</v>
      </c>
      <c r="AK13" s="57" t="n">
        <f aca="false">IFERROR(INDEX('Выход ТС'!$AI:$AI,MATCH($H13&amp;"",'Выход ТС'!$A:$A,0))+INDEX('Выход ТС'!$AJ:$AJ,MATCH($H13&amp;"",'Выход ТС'!$A:$A,0))-INDEX('Выход ТС'!$AG:$AG,MATCH($H13&amp;"",'Выход ТС'!$A:$A,0))-INDEX('Выход ТС'!$AH:$AH,MATCH($H13&amp;"",'Выход ТС'!$A:$A,0)),"")</f>
        <v>0</v>
      </c>
      <c r="AL13" s="57" t="n">
        <f aca="false">IFERROR(INDEX('Выход ТС'!$AM:$AM,MATCH($H13&amp;"",'Выход ТС'!$A:$A,0))+INDEX('Выход ТС'!$AN:$AN,MATCH($H13&amp;"",'Выход ТС'!$A:$A,0))-INDEX('Выход ТС'!$AK:$AK,MATCH($H13&amp;"",'Выход ТС'!$A:$A,0))-INDEX('Выход ТС'!$AL:$AL,MATCH($H13&amp;"",'Выход ТС'!$A:$A,0)),"")</f>
        <v>0</v>
      </c>
      <c r="AM13" s="57" t="n">
        <f aca="false">IFERROR(INDEX('Выход ТС'!$AQ:$AQ,MATCH($H13&amp;"",'Выход ТС'!$A:$A,0))+INDEX('Выход ТС'!$AR:$AR,MATCH($H13&amp;"",'Выход ТС'!$A:$A,0))-INDEX('Выход ТС'!$AO:$AO,MATCH($H13&amp;"",'Выход ТС'!$A:$A,0))-INDEX('Выход ТС'!$AP:$AP,MATCH($H13&amp;"",'Выход ТС'!$A:$A,0)),"")</f>
        <v>-1</v>
      </c>
      <c r="AN13" s="57" t="n">
        <f aca="false">IFERROR(INDEX('Выход ТС'!$AU:$AU,MATCH($H13&amp;"",'Выход ТС'!$A:$A,0))+INDEX('Выход ТС'!$AV:$AV,MATCH($H13&amp;"",'Выход ТС'!$A:$A,0))-INDEX('Выход ТС'!$AS:$AS,MATCH($H13&amp;"",'Выход ТС'!$A:$A,0))-INDEX('Выход ТС'!$AT:$AT,MATCH($H13&amp;"",'Выход ТС'!$A:$A,0)),"")</f>
        <v>0</v>
      </c>
      <c r="AO13" s="57" t="n">
        <f aca="false">IFERROR(INDEX('Выход ТС'!$AY:$AY,MATCH($H13&amp;"",'Выход ТС'!$A:$A,0))+INDEX('Выход ТС'!$AZ:$AZ,MATCH($H13&amp;"",'Выход ТС'!$A:$A,0))-INDEX('Выход ТС'!$AW:$AW,MATCH($H13&amp;"",'Выход ТС'!$A:$A,0))-INDEX('Выход ТС'!$AX:$AX,MATCH($H13&amp;"",'Выход ТС'!$A:$A,0)),"")</f>
        <v>0</v>
      </c>
      <c r="AP13" s="57" t="n">
        <f aca="false">IFERROR(INDEX('Выход ТС'!$BC:$BC,MATCH($H13&amp;"",'Выход ТС'!$A:$A,0))+INDEX('Выход ТС'!$BD:$BD,MATCH($H13&amp;"",'Выход ТС'!$A:$A,0))-INDEX('Выход ТС'!$BA:$BA,MATCH($H13&amp;"",'Выход ТС'!$A:$A,0))-INDEX('Выход ТС'!$BB:$BB,MATCH($H13&amp;"",'Выход ТС'!$A:$A,0)),"")</f>
        <v>0</v>
      </c>
      <c r="AQ13" s="57" t="n">
        <f aca="false">IFERROR(INDEX('Выход ТС'!$BG:$BG,MATCH($H13&amp;"",'Выход ТС'!$A:$A,0))+INDEX('Выход ТС'!$BH:$BH,MATCH($H13&amp;"",'Выход ТС'!$A:$A,0))-INDEX('Выход ТС'!$BE:$BE,MATCH($H13&amp;"",'Выход ТС'!$A:$A,0))-INDEX('Выход ТС'!$BF:$BF,MATCH($H13&amp;"",'Выход ТС'!$A:$A,0)),"")</f>
        <v>-1</v>
      </c>
      <c r="AR13" s="57" t="n">
        <f aca="false">IFERROR(INDEX('Выход ТС'!$BK:$BK,MATCH($H13&amp;"",'Выход ТС'!$A:$A,0))+INDEX('Выход ТС'!$BL:$BL,MATCH($H13&amp;"",'Выход ТС'!$A:$A,0))-INDEX('Выход ТС'!$BI:$BI,MATCH($H13&amp;"",'Выход ТС'!$A:$A,0))-INDEX('Выход ТС'!$BJ:$BJ,MATCH($H13&amp;"",'Выход ТС'!$A:$A,0)),"")</f>
        <v>0</v>
      </c>
      <c r="AS13" s="57" t="n">
        <f aca="false">IFERROR(INDEX('Выход ТС'!$BO:$BO,MATCH($H13&amp;"",'Выход ТС'!$A:$A,0))+INDEX('Выход ТС'!$BP:$BP,MATCH($H13&amp;"",'Выход ТС'!$A:$A,0))-INDEX('Выход ТС'!$BM:$BM,MATCH($H13&amp;"",'Выход ТС'!$A:$A,0))-INDEX('Выход ТС'!$BN:$BN,MATCH($H13&amp;"",'Выход ТС'!$A:$A,0)),"")</f>
        <v>0</v>
      </c>
      <c r="AT13" s="57" t="n">
        <f aca="false">IFERROR(INDEX('Выход ТС'!$CI:$CI,MATCH($H13&amp;"",'Выход ТС'!$A:$A,0))+INDEX('Выход ТС'!$CJ:$CJ,MATCH($H13&amp;"",'Выход ТС'!$A:$A,0))-INDEX('Выход ТС'!$CG:$CG,MATCH($H13&amp;"",'Выход ТС'!$A:$A,0))-INDEX('Выход ТС'!$CH:$CH,MATCH($H13&amp;"",'Выход ТС'!$A:$A,0)),"")</f>
        <v>0</v>
      </c>
      <c r="AU13" s="57" t="n">
        <f aca="false">IFERROR(INDEX('Выход ТС'!$CM:$CM,MATCH($H13&amp;"",'Выход ТС'!$A:$A,0))+INDEX('Выход ТС'!$CN:$CN,MATCH($H13&amp;"",'Выход ТС'!$A:$A,0))-INDEX('Выход ТС'!$CK:$CK,MATCH($H13&amp;"",'Выход ТС'!$A:$A,0))-INDEX('Выход ТС'!$CL:$CL,MATCH($H13&amp;"",'Выход ТС'!$A:$A,0)),"")</f>
        <v>0</v>
      </c>
    </row>
    <row r="14" customFormat="false" ht="25.5" hidden="false" customHeight="true" outlineLevel="0" collapsed="false">
      <c r="A14" s="47" t="n">
        <v>12</v>
      </c>
      <c r="B14" s="32" t="s">
        <v>188</v>
      </c>
      <c r="C14" s="33" t="s">
        <v>11</v>
      </c>
      <c r="D14" s="34"/>
      <c r="E14" s="70" t="s">
        <v>187</v>
      </c>
      <c r="F14" s="70"/>
      <c r="G14" s="69"/>
      <c r="H14" s="36"/>
      <c r="I14" s="60"/>
      <c r="J14" s="61"/>
      <c r="K14" s="62"/>
      <c r="L14" s="63"/>
      <c r="M14" s="64"/>
      <c r="N14" s="64"/>
      <c r="O14" s="65" t="str">
        <f aca="false">IF(SUMIFS('Исходные данные'!$I$2:$I$964,'Исходные данные'!$D$2:$D$964,O$3,'Исходные данные'!$F$2:$F$964,$H15&amp;"",'Исходные данные'!$L$2:$L$964,"УТТ")+SUMIFS('Исходные данные'!$J$2:$J$964,'Исходные данные'!$D$2:$D$964,O$3,'Исходные данные'!$F$2:$F$964,$H15&amp;"",'Исходные данные'!$L$2:$L$964,"УТТ")=0,"","утт-"&amp;(SUMIFS('Исходные данные'!$I$2:$I$964,'Исходные данные'!$D$2:$D$964,O$3,'Исходные данные'!$F$2:$F$964,$H15&amp;"",'Исходные данные'!$L$2:$L$964,"УТТ")+SUMIFS('Исходные данные'!$J$2:$J$964,'Исходные данные'!$D$2:$D$964,O$3,'Исходные данные'!$F$2:$F$964,$H15&amp;"",'Исходные данные'!$L$2:$L$964,"УТТ")))</f>
        <v/>
      </c>
      <c r="P14" s="66" t="str">
        <f aca="false">IF(SUMIFS('Исходные данные'!$I$2:$I$964,'Исходные данные'!$D$2:$D$964,P$3,'Исходные данные'!$F$2:$F$964,$H15&amp;"",'Исходные данные'!$L$2:$L$964,"УТТ")+SUMIFS('Исходные данные'!$J$2:$J$964,'Исходные данные'!$D$2:$D$964,P$3,'Исходные данные'!$F$2:$F$964,$H15&amp;"",'Исходные данные'!$L$2:$L$964,"УТТ")=0,"","утт-"&amp;(SUMIFS('Исходные данные'!$I$2:$I$964,'Исходные данные'!$D$2:$D$964,P$3,'Исходные данные'!$F$2:$F$964,$H15&amp;"",'Исходные данные'!$L$2:$L$964,"УТТ")+SUMIFS('Исходные данные'!$J$2:$J$964,'Исходные данные'!$D$2:$D$964,P$3,'Исходные данные'!$F$2:$F$964,$H15&amp;"",'Исходные данные'!$L$2:$L$964,"УТТ")))</f>
        <v>утт-1</v>
      </c>
      <c r="Q14" s="65" t="str">
        <f aca="false">IF(SUMIFS('Исходные данные'!$I$2:$I$964,'Исходные данные'!$D$2:$D$964,Q$3,'Исходные данные'!$F$2:$F$964,$H15&amp;"",'Исходные данные'!$L$2:$L$964,"УТТ")+SUMIFS('Исходные данные'!$J$2:$J$964,'Исходные данные'!$D$2:$D$964,Q$3,'Исходные данные'!$F$2:$F$964,$H15&amp;"",'Исходные данные'!$L$2:$L$964,"УТТ")=0,"","утт-"&amp;(SUMIFS('Исходные данные'!$I$2:$I$964,'Исходные данные'!$D$2:$D$964,Q$3,'Исходные данные'!$F$2:$F$964,$H15&amp;"",'Исходные данные'!$L$2:$L$964,"УТТ")+SUMIFS('Исходные данные'!$J$2:$J$964,'Исходные данные'!$D$2:$D$964,Q$3,'Исходные данные'!$F$2:$F$964,$H15&amp;"",'Исходные данные'!$L$2:$L$964,"УТТ")))</f>
        <v/>
      </c>
      <c r="R14" s="67" t="str">
        <f aca="false">IF(SUMIFS('Исходные данные'!$I$2:$I$964,'Исходные данные'!$D$2:$D$964,R$3,'Исходные данные'!$F$2:$F$964,$H15&amp;"",'Исходные данные'!$L$2:$L$964,"УТТ")+SUMIFS('Исходные данные'!$J$2:$J$964,'Исходные данные'!$D$2:$D$964,R$3,'Исходные данные'!$F$2:$F$964,$H15&amp;"",'Исходные данные'!$L$2:$L$964,"УТТ")=0,"","утт-"&amp;(SUMIFS('Исходные данные'!$I$2:$I$964,'Исходные данные'!$D$2:$D$964,R$3,'Исходные данные'!$F$2:$F$964,$H15&amp;"",'Исходные данные'!$L$2:$L$964,"УТТ")+SUMIFS('Исходные данные'!$J$2:$J$964,'Исходные данные'!$D$2:$D$964,R$3,'Исходные данные'!$F$2:$F$964,$H15&amp;"",'Исходные данные'!$L$2:$L$964,"УТТ")))</f>
        <v/>
      </c>
      <c r="S14" s="66" t="str">
        <f aca="false">IF(SUMIFS('Исходные данные'!$I$2:$I$964,'Исходные данные'!$D$2:$D$964,S$3,'Исходные данные'!$F$2:$F$964,$H15&amp;"",'Исходные данные'!$L$2:$L$964,"УТТ")+SUMIFS('Исходные данные'!$J$2:$J$964,'Исходные данные'!$D$2:$D$964,S$3,'Исходные данные'!$F$2:$F$964,$H15&amp;"",'Исходные данные'!$L$2:$L$964,"УТТ")=0,"","утт-"&amp;(SUMIFS('Исходные данные'!$I$2:$I$964,'Исходные данные'!$D$2:$D$964,S$3,'Исходные данные'!$F$2:$F$964,$H15&amp;"",'Исходные данные'!$L$2:$L$964,"УТТ")+SUMIFS('Исходные данные'!$J$2:$J$964,'Исходные данные'!$D$2:$D$964,S$3,'Исходные данные'!$F$2:$F$964,$H15&amp;"",'Исходные данные'!$L$2:$L$964,"УТТ")))</f>
        <v/>
      </c>
      <c r="T14" s="65" t="str">
        <f aca="false">IF(SUMIFS('Исходные данные'!$I$2:$I$964,'Исходные данные'!$D$2:$D$964,T$3,'Исходные данные'!$F$2:$F$964,$H15&amp;"",'Исходные данные'!$L$2:$L$964,"УТТ")+SUMIFS('Исходные данные'!$J$2:$J$964,'Исходные данные'!$D$2:$D$964,T$3,'Исходные данные'!$F$2:$F$964,$H15&amp;"",'Исходные данные'!$L$2:$L$964,"УТТ")=0,"","утт-"&amp;(SUMIFS('Исходные данные'!$I$2:$I$964,'Исходные данные'!$D$2:$D$964,T$3,'Исходные данные'!$F$2:$F$964,$H15&amp;"",'Исходные данные'!$L$2:$L$964,"УТТ")+SUMIFS('Исходные данные'!$J$2:$J$964,'Исходные данные'!$D$2:$D$964,T$3,'Исходные данные'!$F$2:$F$964,$H15&amp;"",'Исходные данные'!$L$2:$L$964,"УТТ")))</f>
        <v/>
      </c>
      <c r="U14" s="66" t="str">
        <f aca="false">IF(SUMIFS('Исходные данные'!$I$2:$I$964,'Исходные данные'!$D$2:$D$964,U$3,'Исходные данные'!$F$2:$F$964,$H15&amp;"",'Исходные данные'!$L$2:$L$964,"УТТ")+SUMIFS('Исходные данные'!$J$2:$J$964,'Исходные данные'!$D$2:$D$964,U$3,'Исходные данные'!$F$2:$F$964,$H15&amp;"",'Исходные данные'!$L$2:$L$964,"УТТ")=0,"","утт-"&amp;(SUMIFS('Исходные данные'!$I$2:$I$964,'Исходные данные'!$D$2:$D$964,U$3,'Исходные данные'!$F$2:$F$964,$H15&amp;"",'Исходные данные'!$L$2:$L$964,"УТТ")+SUMIFS('Исходные данные'!$J$2:$J$964,'Исходные данные'!$D$2:$D$964,U$3,'Исходные данные'!$F$2:$F$964,$H15&amp;"",'Исходные данные'!$L$2:$L$964,"УТТ")))</f>
        <v/>
      </c>
      <c r="V14" s="65" t="str">
        <f aca="false">IF(SUMIFS('Исходные данные'!$I$2:$I$964,'Исходные данные'!$D$2:$D$964,V$3,'Исходные данные'!$F$2:$F$964,$H15&amp;"",'Исходные данные'!$L$2:$L$964,"УТТ")+SUMIFS('Исходные данные'!$J$2:$J$964,'Исходные данные'!$D$2:$D$964,V$3,'Исходные данные'!$F$2:$F$964,$H15&amp;"",'Исходные данные'!$L$2:$L$964,"УТТ")=0,"","утт-"&amp;(SUMIFS('Исходные данные'!$I$2:$I$964,'Исходные данные'!$D$2:$D$964,V$3,'Исходные данные'!$F$2:$F$964,$H15&amp;"",'Исходные данные'!$L$2:$L$964,"УТТ")+SUMIFS('Исходные данные'!$J$2:$J$964,'Исходные данные'!$D$2:$D$964,V$3,'Исходные данные'!$F$2:$F$964,$H15&amp;"",'Исходные данные'!$L$2:$L$964,"УТТ")))</f>
        <v/>
      </c>
      <c r="W14" s="66" t="str">
        <f aca="false">IF(SUMIFS('Исходные данные'!$I$2:$I$964,'Исходные данные'!$D$2:$D$964,W$3,'Исходные данные'!$F$2:$F$964,$H15&amp;"",'Исходные данные'!$L$2:$L$964,"УТТ")+SUMIFS('Исходные данные'!$J$2:$J$964,'Исходные данные'!$D$2:$D$964,W$3,'Исходные данные'!$F$2:$F$964,$H15&amp;"",'Исходные данные'!$L$2:$L$964,"УТТ")=0,"","утт-"&amp;(SUMIFS('Исходные данные'!$I$2:$I$964,'Исходные данные'!$D$2:$D$964,W$3,'Исходные данные'!$F$2:$F$964,$H15&amp;"",'Исходные данные'!$L$2:$L$964,"УТТ")+SUMIFS('Исходные данные'!$J$2:$J$964,'Исходные данные'!$D$2:$D$964,W$3,'Исходные данные'!$F$2:$F$964,$H15&amp;"",'Исходные данные'!$L$2:$L$964,"УТТ")))</f>
        <v/>
      </c>
      <c r="X14" s="66" t="str">
        <f aca="false">IF(SUMIFS('Исходные данные'!$I$2:$I$964,'Исходные данные'!$D$2:$D$964,X$3,'Исходные данные'!$F$2:$F$964,$H15&amp;"",'Исходные данные'!$L$2:$L$964,"УТТ")+SUMIFS('Исходные данные'!$J$2:$J$964,'Исходные данные'!$D$2:$D$964,X$3,'Исходные данные'!$F$2:$F$964,$H15&amp;"",'Исходные данные'!$L$2:$L$964,"УТТ")=0,"","утт-"&amp;(SUMIFS('Исходные данные'!$I$2:$I$964,'Исходные данные'!$D$2:$D$964,X$3,'Исходные данные'!$F$2:$F$964,$H15&amp;"",'Исходные данные'!$L$2:$L$964,"УТТ")+SUMIFS('Исходные данные'!$J$2:$J$964,'Исходные данные'!$D$2:$D$964,X$3,'Исходные данные'!$F$2:$F$964,$H15&amp;"",'Исходные данные'!$L$2:$L$964,"УТТ")))</f>
        <v/>
      </c>
      <c r="Y14" s="68" t="str">
        <f aca="false">IF(SUMIFS('Исходные данные'!$I$2:$I$964,'Исходные данные'!$D$2:$D$964,Y$3,'Исходные данные'!$F$2:$F$964,$H15&amp;"",'Исходные данные'!$L$2:$L$964,"УТТ")+SUMIFS('Исходные данные'!$J$2:$J$964,'Исходные данные'!$D$2:$D$964,Y$3,'Исходные данные'!$F$2:$F$964,$H15&amp;"",'Исходные данные'!$L$2:$L$964,"УТТ")=0,"","утт-"&amp;(SUMIFS('Исходные данные'!$I$2:$I$964,'Исходные данные'!$D$2:$D$964,Y$3,'Исходные данные'!$F$2:$F$964,$H15&amp;"",'Исходные данные'!$L$2:$L$964,"УТТ")+SUMIFS('Исходные данные'!$J$2:$J$964,'Исходные данные'!$D$2:$D$964,Y$3,'Исходные данные'!$F$2:$F$964,$H15&amp;"",'Исходные данные'!$L$2:$L$964,"УТТ")))</f>
        <v/>
      </c>
      <c r="Z14" s="65" t="str">
        <f aca="false">IF(SUMIFS('Исходные данные'!$I$2:$I$964,'Исходные данные'!$D$2:$D$964,Z$3,'Исходные данные'!$F$2:$F$964,$H15&amp;"",'Исходные данные'!$L$2:$L$964,"УТТ")+SUMIFS('Исходные данные'!$J$2:$J$964,'Исходные данные'!$D$2:$D$964,Z$3,'Исходные данные'!$F$2:$F$964,$H15&amp;"",'Исходные данные'!$L$2:$L$964,"УТТ")=0,"","утт-"&amp;(SUMIFS('Исходные данные'!$I$2:$I$964,'Исходные данные'!$D$2:$D$964,Z$3,'Исходные данные'!$F$2:$F$964,$H15&amp;"",'Исходные данные'!$L$2:$L$964,"УТТ")+SUMIFS('Исходные данные'!$J$2:$J$964,'Исходные данные'!$D$2:$D$964,Z$3,'Исходные данные'!$F$2:$F$964,$H15&amp;"",'Исходные данные'!$L$2:$L$964,"УТТ")))</f>
        <v>утт-1</v>
      </c>
      <c r="AA14" s="66" t="str">
        <f aca="false">IF(SUMIFS('Исходные данные'!$I$2:$I$964,'Исходные данные'!$D$2:$D$964,AA$3,'Исходные данные'!$F$2:$F$964,$H15&amp;"",'Исходные данные'!$L$2:$L$964,"УТТ")+SUMIFS('Исходные данные'!$J$2:$J$964,'Исходные данные'!$D$2:$D$964,AA$3,'Исходные данные'!$F$2:$F$964,$H15&amp;"",'Исходные данные'!$L$2:$L$964,"УТТ")=0,"","утт-"&amp;(SUMIFS('Исходные данные'!$I$2:$I$964,'Исходные данные'!$D$2:$D$964,AA$3,'Исходные данные'!$F$2:$F$964,$H15&amp;"",'Исходные данные'!$L$2:$L$964,"УТТ")+SUMIFS('Исходные данные'!$J$2:$J$964,'Исходные данные'!$D$2:$D$964,AA$3,'Исходные данные'!$F$2:$F$964,$H15&amp;"",'Исходные данные'!$L$2:$L$964,"УТТ")))</f>
        <v/>
      </c>
      <c r="AB14" s="66" t="str">
        <f aca="false">IF(SUMIFS('Исходные данные'!$I$2:$I$964,'Исходные данные'!$D$2:$D$964,AB$3,'Исходные данные'!$F$2:$F$964,$H15&amp;"",'Исходные данные'!$L$2:$L$964,"УТТ")+SUMIFS('Исходные данные'!$J$2:$J$964,'Исходные данные'!$D$2:$D$964,AB$3,'Исходные данные'!$F$2:$F$964,$H15&amp;"",'Исходные данные'!$L$2:$L$964,"УТТ")=0,"","утт-"&amp;(SUMIFS('Исходные данные'!$I$2:$I$964,'Исходные данные'!$D$2:$D$964,AB$3,'Исходные данные'!$F$2:$F$964,$H15&amp;"",'Исходные данные'!$L$2:$L$964,"УТТ")+SUMIFS('Исходные данные'!$J$2:$J$964,'Исходные данные'!$D$2:$D$964,AB$3,'Исходные данные'!$F$2:$F$964,$H15&amp;"",'Исходные данные'!$L$2:$L$964,"УТТ")))</f>
        <v/>
      </c>
      <c r="AC14" s="65" t="str">
        <f aca="false">IF(SUMIFS('Исходные данные'!$I$2:$I$964,'Исходные данные'!$D$2:$D$964,AC$3,'Исходные данные'!$F$2:$F$964,$H15&amp;"",'Исходные данные'!$L$2:$L$964,"УТТ")+SUMIFS('Исходные данные'!$J$2:$J$964,'Исходные данные'!$D$2:$D$964,AC$3,'Исходные данные'!$F$2:$F$964,$H15&amp;"",'Исходные данные'!$L$2:$L$964,"УТТ")=0,"","утт-"&amp;(SUMIFS('Исходные данные'!$I$2:$I$964,'Исходные данные'!$D$2:$D$964,AC$3,'Исходные данные'!$F$2:$F$964,$H15&amp;"",'Исходные данные'!$L$2:$L$964,"УТТ")+SUMIFS('Исходные данные'!$J$2:$J$964,'Исходные данные'!$D$2:$D$964,AC$3,'Исходные данные'!$F$2:$F$964,$H15&amp;"",'Исходные данные'!$L$2:$L$964,"УТТ")))</f>
        <v/>
      </c>
      <c r="AD14" s="66" t="str">
        <f aca="false">IF(SUMIFS('Исходные данные'!$I$2:$I$964,'Исходные данные'!$D$2:$D$964,AD$3,'Исходные данные'!$F$2:$F$964,$H15&amp;"",'Исходные данные'!$L$2:$L$964,"УТТ")+SUMIFS('Исходные данные'!$J$2:$J$964,'Исходные данные'!$D$2:$D$964,AD$3,'Исходные данные'!$F$2:$F$964,$H15&amp;"",'Исходные данные'!$L$2:$L$964,"УТТ")=0,"","утт-"&amp;(SUMIFS('Исходные данные'!$I$2:$I$964,'Исходные данные'!$D$2:$D$964,AD$3,'Исходные данные'!$F$2:$F$964,$H15&amp;"",'Исходные данные'!$L$2:$L$964,"УТТ")+SUMIFS('Исходные данные'!$J$2:$J$964,'Исходные данные'!$D$2:$D$964,AD$3,'Исходные данные'!$F$2:$F$964,$H15&amp;"",'Исходные данные'!$L$2:$L$964,"УТТ")))</f>
        <v>утт-3</v>
      </c>
    </row>
    <row r="15" customFormat="false" ht="25.5" hidden="false" customHeight="true" outlineLevel="0" collapsed="false">
      <c r="A15" s="31" t="n">
        <v>13</v>
      </c>
      <c r="B15" s="32" t="s">
        <v>189</v>
      </c>
      <c r="C15" s="33" t="s">
        <v>12</v>
      </c>
      <c r="D15" s="34"/>
      <c r="E15" s="33" t="s">
        <v>190</v>
      </c>
      <c r="F15" s="33" t="s">
        <v>9</v>
      </c>
      <c r="G15" s="69"/>
      <c r="H15" s="36" t="n">
        <v>27</v>
      </c>
      <c r="I15" s="48" t="s">
        <v>191</v>
      </c>
      <c r="J15" s="49" t="n">
        <f aca="false">IFERROR(INDEX('Выход ТС'!$C:$C,MATCH($H15&amp;"",'Выход ТС'!$A:$A,0)),"")</f>
        <v>19</v>
      </c>
      <c r="K15" s="50" t="n">
        <f aca="false">IFERROR(INDEX('Выход ТС'!$E:$E,MATCH($H15&amp;"",'Выход ТС'!$A:$A,0)),"")</f>
        <v>19</v>
      </c>
      <c r="L15" s="51" t="n">
        <f aca="false">IFERROR(INDEX('Выход ТС'!$F:$F,MATCH($H15&amp;"",'Выход ТС'!$A:$A,0)),"")</f>
        <v>0</v>
      </c>
      <c r="M15" s="52" t="n">
        <f aca="false">IFERROR(IF(INDEX('Выход ТС'!$G:$G,MATCH($H15&amp;"",'Выход ТС'!$A:$A,0))=0,"",INDEX('Выход ТС'!$G:$G,MATCH($H15&amp;"",'Выход ТС'!$A:$A,0))),"")</f>
        <v>14</v>
      </c>
      <c r="N15" s="52" t="n">
        <f aca="false">IFERROR(IF(INDEX('Выход ТС'!$H:$H,MATCH($H15&amp;"",'Выход ТС'!$A:$A,0))=0,"",INDEX('Выход ТС'!$H:$H,MATCH($H15&amp;"",'Выход ТС'!$A:$A,0))),"")</f>
        <v>5</v>
      </c>
      <c r="O15" s="56" t="n">
        <f aca="false">IF(SUMIFS('Исходные данные'!$I$2:$I$964,'Исходные данные'!$D$2:$D$964,O$3,'Исходные данные'!$F$2:$F$964,$H15&amp;"")+SUMIFS('Исходные данные'!$J$2:$J$964,'Исходные данные'!$D$2:$D$964,O$3,'Исходные данные'!$F$2:$F$964,$H15&amp;"")=0,"",IF(SUMIFS('Исходные данные'!$J$2:$J$964,'Исходные данные'!$D$2:$D$964,O$3,'Исходные данные'!$F$2:$F$964,$H15&amp;"")=0,SUMIFS('Исходные данные'!$I$2:$I$964,'Исходные данные'!$D$2:$D$964,O$3,'Исходные данные'!$F$2:$F$964,$H15&amp;""),IF(SUMIFS('Исходные данные'!$I$2:$I$964,'Исходные данные'!$D$2:$D$964,O$3,'Исходные данные'!$F$2:$F$964,$H15&amp;"")=0,"0+"&amp;SUMIFS('Исходные данные'!$J$2:$J$964,'Исходные данные'!$D$2:$D$964,O$3,'Исходные данные'!$F$2:$F$964,$H15&amp;"")&amp;"="&amp;SUMIFS('Исходные данные'!$J$2:$J$964,'Исходные данные'!$D$2:$D$964,O$3,'Исходные данные'!$F$2:$F$964,$H15&amp;""),SUMIFS('Исходные данные'!$I$2:$I$964,'Исходные данные'!$D$2:$D$964,O$3,'Исходные данные'!$F$2:$F$964,$H15&amp;"")&amp;"+"&amp;SUMIFS('Исходные данные'!$J$2:$J$964,'Исходные данные'!$D$2:$D$964,O$3,'Исходные данные'!$F$2:$F$964,$H15&amp;"")&amp;"="&amp;(SUMIFS('Исходные данные'!$I$2:$I$964,'Исходные данные'!$D$2:$D$964,O$3,'Исходные данные'!$F$2:$F$964,$H15&amp;"")+SUMIFS('Исходные данные'!$J$2:$J$964,'Исходные данные'!$D$2:$D$964,O$3,'Исходные данные'!$F$2:$F$964,$H15&amp;"")))))</f>
        <v>1</v>
      </c>
      <c r="P15" s="54" t="n">
        <f aca="false">IF(SUMIFS('Исходные данные'!$I$2:$I$964,'Исходные данные'!$D$2:$D$964,P$3,'Исходные данные'!$F$2:$F$964,$H15&amp;"")+SUMIFS('Исходные данные'!$J$2:$J$964,'Исходные данные'!$D$2:$D$964,P$3,'Исходные данные'!$F$2:$F$964,$H15&amp;"")=0,"",IF(SUMIFS('Исходные данные'!$J$2:$J$964,'Исходные данные'!$D$2:$D$964,P$3,'Исходные данные'!$F$2:$F$964,$H15&amp;"")=0,SUMIFS('Исходные данные'!$I$2:$I$964,'Исходные данные'!$D$2:$D$964,P$3,'Исходные данные'!$F$2:$F$964,$H15&amp;""),IF(SUMIFS('Исходные данные'!$I$2:$I$964,'Исходные данные'!$D$2:$D$964,P$3,'Исходные данные'!$F$2:$F$964,$H15&amp;"")=0,"0+"&amp;SUMIFS('Исходные данные'!$J$2:$J$964,'Исходные данные'!$D$2:$D$964,P$3,'Исходные данные'!$F$2:$F$964,$H15&amp;"")&amp;"="&amp;SUMIFS('Исходные данные'!$J$2:$J$964,'Исходные данные'!$D$2:$D$964,P$3,'Исходные данные'!$F$2:$F$964,$H15&amp;""),SUMIFS('Исходные данные'!$I$2:$I$964,'Исходные данные'!$D$2:$D$964,P$3,'Исходные данные'!$F$2:$F$964,$H15&amp;"")&amp;"+"&amp;SUMIFS('Исходные данные'!$J$2:$J$964,'Исходные данные'!$D$2:$D$964,P$3,'Исходные данные'!$F$2:$F$964,$H15&amp;"")&amp;"="&amp;(SUMIFS('Исходные данные'!$I$2:$I$964,'Исходные данные'!$D$2:$D$964,P$3,'Исходные данные'!$F$2:$F$964,$H15&amp;"")+SUMIFS('Исходные данные'!$J$2:$J$964,'Исходные данные'!$D$2:$D$964,P$3,'Исходные данные'!$F$2:$F$964,$H15&amp;"")))))</f>
        <v>1</v>
      </c>
      <c r="Q15" s="53" t="n">
        <f aca="false">IF(SUMIFS('Исходные данные'!$I$2:$I$964,'Исходные данные'!$D$2:$D$964,Q$3,'Исходные данные'!$F$2:$F$964,$H15&amp;"")+SUMIFS('Исходные данные'!$J$2:$J$964,'Исходные данные'!$D$2:$D$964,Q$3,'Исходные данные'!$F$2:$F$964,$H15&amp;"")=0,"",IF(SUMIFS('Исходные данные'!$J$2:$J$964,'Исходные данные'!$D$2:$D$964,Q$3,'Исходные данные'!$F$2:$F$964,$H15&amp;"")=0,SUMIFS('Исходные данные'!$I$2:$I$964,'Исходные данные'!$D$2:$D$964,Q$3,'Исходные данные'!$F$2:$F$964,$H15&amp;""),IF(SUMIFS('Исходные данные'!$I$2:$I$964,'Исходные данные'!$D$2:$D$964,Q$3,'Исходные данные'!$F$2:$F$964,$H15&amp;"")=0,"0+"&amp;SUMIFS('Исходные данные'!$J$2:$J$964,'Исходные данные'!$D$2:$D$964,Q$3,'Исходные данные'!$F$2:$F$964,$H15&amp;"")&amp;"="&amp;SUMIFS('Исходные данные'!$J$2:$J$964,'Исходные данные'!$D$2:$D$964,Q$3,'Исходные данные'!$F$2:$F$964,$H15&amp;""),SUMIFS('Исходные данные'!$I$2:$I$964,'Исходные данные'!$D$2:$D$964,Q$3,'Исходные данные'!$F$2:$F$964,$H15&amp;"")&amp;"+"&amp;SUMIFS('Исходные данные'!$J$2:$J$964,'Исходные данные'!$D$2:$D$964,Q$3,'Исходные данные'!$F$2:$F$964,$H15&amp;"")&amp;"="&amp;(SUMIFS('Исходные данные'!$I$2:$I$964,'Исходные данные'!$D$2:$D$964,Q$3,'Исходные данные'!$F$2:$F$964,$H15&amp;"")+SUMIFS('Исходные данные'!$J$2:$J$964,'Исходные данные'!$D$2:$D$964,Q$3,'Исходные данные'!$F$2:$F$964,$H15&amp;"")))))</f>
        <v>1</v>
      </c>
      <c r="R15" s="55" t="str">
        <f aca="false">IF(SUMIFS('Исходные данные'!$I$2:$I$964,'Исходные данные'!$D$2:$D$964,R$3,'Исходные данные'!$F$2:$F$964,$H15&amp;"")+SUMIFS('Исходные данные'!$J$2:$J$964,'Исходные данные'!$D$2:$D$964,R$3,'Исходные данные'!$F$2:$F$964,$H15&amp;"")=0,"",IF(SUMIFS('Исходные данные'!$J$2:$J$964,'Исходные данные'!$D$2:$D$964,R$3,'Исходные данные'!$F$2:$F$964,$H15&amp;"")=0,SUMIFS('Исходные данные'!$I$2:$I$964,'Исходные данные'!$D$2:$D$964,R$3,'Исходные данные'!$F$2:$F$964,$H15&amp;""),IF(SUMIFS('Исходные данные'!$I$2:$I$964,'Исходные данные'!$D$2:$D$964,R$3,'Исходные данные'!$F$2:$F$964,$H15&amp;"")=0,"0+"&amp;SUMIFS('Исходные данные'!$J$2:$J$964,'Исходные данные'!$D$2:$D$964,R$3,'Исходные данные'!$F$2:$F$964,$H15&amp;"")&amp;"="&amp;SUMIFS('Исходные данные'!$J$2:$J$964,'Исходные данные'!$D$2:$D$964,R$3,'Исходные данные'!$F$2:$F$964,$H15&amp;""),SUMIFS('Исходные данные'!$I$2:$I$964,'Исходные данные'!$D$2:$D$964,R$3,'Исходные данные'!$F$2:$F$964,$H15&amp;"")&amp;"+"&amp;SUMIFS('Исходные данные'!$J$2:$J$964,'Исходные данные'!$D$2:$D$964,R$3,'Исходные данные'!$F$2:$F$964,$H15&amp;"")&amp;"="&amp;(SUMIFS('Исходные данные'!$I$2:$I$964,'Исходные данные'!$D$2:$D$964,R$3,'Исходные данные'!$F$2:$F$964,$H15&amp;"")+SUMIFS('Исходные данные'!$J$2:$J$964,'Исходные данные'!$D$2:$D$964,R$3,'Исходные данные'!$F$2:$F$964,$H15&amp;"")))))</f>
        <v/>
      </c>
      <c r="S15" s="54" t="n">
        <f aca="false">IF(SUMIFS('Исходные данные'!$I$2:$I$964,'Исходные данные'!$D$2:$D$964,S$3,'Исходные данные'!$F$2:$F$964,$H15&amp;"")+SUMIFS('Исходные данные'!$J$2:$J$964,'Исходные данные'!$D$2:$D$964,S$3,'Исходные данные'!$F$2:$F$964,$H15&amp;"")=0,"",IF(SUMIFS('Исходные данные'!$J$2:$J$964,'Исходные данные'!$D$2:$D$964,S$3,'Исходные данные'!$F$2:$F$964,$H15&amp;"")=0,SUMIFS('Исходные данные'!$I$2:$I$964,'Исходные данные'!$D$2:$D$964,S$3,'Исходные данные'!$F$2:$F$964,$H15&amp;""),IF(SUMIFS('Исходные данные'!$I$2:$I$964,'Исходные данные'!$D$2:$D$964,S$3,'Исходные данные'!$F$2:$F$964,$H15&amp;"")=0,"0+"&amp;SUMIFS('Исходные данные'!$J$2:$J$964,'Исходные данные'!$D$2:$D$964,S$3,'Исходные данные'!$F$2:$F$964,$H15&amp;"")&amp;"="&amp;SUMIFS('Исходные данные'!$J$2:$J$964,'Исходные данные'!$D$2:$D$964,S$3,'Исходные данные'!$F$2:$F$964,$H15&amp;""),SUMIFS('Исходные данные'!$I$2:$I$964,'Исходные данные'!$D$2:$D$964,S$3,'Исходные данные'!$F$2:$F$964,$H15&amp;"")&amp;"+"&amp;SUMIFS('Исходные данные'!$J$2:$J$964,'Исходные данные'!$D$2:$D$964,S$3,'Исходные данные'!$F$2:$F$964,$H15&amp;"")&amp;"="&amp;(SUMIFS('Исходные данные'!$I$2:$I$964,'Исходные данные'!$D$2:$D$964,S$3,'Исходные данные'!$F$2:$F$964,$H15&amp;"")+SUMIFS('Исходные данные'!$J$2:$J$964,'Исходные данные'!$D$2:$D$964,S$3,'Исходные данные'!$F$2:$F$964,$H15&amp;"")))))</f>
        <v>1</v>
      </c>
      <c r="T15" s="53" t="n">
        <f aca="false">IF(SUMIFS('Исходные данные'!$I$2:$I$964,'Исходные данные'!$D$2:$D$964,T$3,'Исходные данные'!$F$2:$F$964,$H15&amp;"")+SUMIFS('Исходные данные'!$J$2:$J$964,'Исходные данные'!$D$2:$D$964,T$3,'Исходные данные'!$F$2:$F$964,$H15&amp;"")=0,"",IF(SUMIFS('Исходные данные'!$J$2:$J$964,'Исходные данные'!$D$2:$D$964,T$3,'Исходные данные'!$F$2:$F$964,$H15&amp;"")=0,SUMIFS('Исходные данные'!$I$2:$I$964,'Исходные данные'!$D$2:$D$964,T$3,'Исходные данные'!$F$2:$F$964,$H15&amp;""),IF(SUMIFS('Исходные данные'!$I$2:$I$964,'Исходные данные'!$D$2:$D$964,T$3,'Исходные данные'!$F$2:$F$964,$H15&amp;"")=0,"0+"&amp;SUMIFS('Исходные данные'!$J$2:$J$964,'Исходные данные'!$D$2:$D$964,T$3,'Исходные данные'!$F$2:$F$964,$H15&amp;"")&amp;"="&amp;SUMIFS('Исходные данные'!$J$2:$J$964,'Исходные данные'!$D$2:$D$964,T$3,'Исходные данные'!$F$2:$F$964,$H15&amp;""),SUMIFS('Исходные данные'!$I$2:$I$964,'Исходные данные'!$D$2:$D$964,T$3,'Исходные данные'!$F$2:$F$964,$H15&amp;"")&amp;"+"&amp;SUMIFS('Исходные данные'!$J$2:$J$964,'Исходные данные'!$D$2:$D$964,T$3,'Исходные данные'!$F$2:$F$964,$H15&amp;"")&amp;"="&amp;(SUMIFS('Исходные данные'!$I$2:$I$964,'Исходные данные'!$D$2:$D$964,T$3,'Исходные данные'!$F$2:$F$964,$H15&amp;"")+SUMIFS('Исходные данные'!$J$2:$J$964,'Исходные данные'!$D$2:$D$964,T$3,'Исходные данные'!$F$2:$F$964,$H15&amp;"")))))</f>
        <v>1</v>
      </c>
      <c r="U15" s="54" t="str">
        <f aca="false">IF(SUMIFS('Исходные данные'!$I$2:$I$964,'Исходные данные'!$D$2:$D$964,U$3,'Исходные данные'!$F$2:$F$964,$H15&amp;"")+SUMIFS('Исходные данные'!$J$2:$J$964,'Исходные данные'!$D$2:$D$964,U$3,'Исходные данные'!$F$2:$F$964,$H15&amp;"")=0,"",IF(SUMIFS('Исходные данные'!$J$2:$J$964,'Исходные данные'!$D$2:$D$964,U$3,'Исходные данные'!$F$2:$F$964,$H15&amp;"")=0,SUMIFS('Исходные данные'!$I$2:$I$964,'Исходные данные'!$D$2:$D$964,U$3,'Исходные данные'!$F$2:$F$964,$H15&amp;""),IF(SUMIFS('Исходные данные'!$I$2:$I$964,'Исходные данные'!$D$2:$D$964,U$3,'Исходные данные'!$F$2:$F$964,$H15&amp;"")=0,"0+"&amp;SUMIFS('Исходные данные'!$J$2:$J$964,'Исходные данные'!$D$2:$D$964,U$3,'Исходные данные'!$F$2:$F$964,$H15&amp;"")&amp;"="&amp;SUMIFS('Исходные данные'!$J$2:$J$964,'Исходные данные'!$D$2:$D$964,U$3,'Исходные данные'!$F$2:$F$964,$H15&amp;""),SUMIFS('Исходные данные'!$I$2:$I$964,'Исходные данные'!$D$2:$D$964,U$3,'Исходные данные'!$F$2:$F$964,$H15&amp;"")&amp;"+"&amp;SUMIFS('Исходные данные'!$J$2:$J$964,'Исходные данные'!$D$2:$D$964,U$3,'Исходные данные'!$F$2:$F$964,$H15&amp;"")&amp;"="&amp;(SUMIFS('Исходные данные'!$I$2:$I$964,'Исходные данные'!$D$2:$D$964,U$3,'Исходные данные'!$F$2:$F$964,$H15&amp;"")+SUMIFS('Исходные данные'!$J$2:$J$964,'Исходные данные'!$D$2:$D$964,U$3,'Исходные данные'!$F$2:$F$964,$H15&amp;"")))))</f>
        <v/>
      </c>
      <c r="V15" s="53" t="n">
        <f aca="false">IF(SUMIFS('Исходные данные'!$I$2:$I$964,'Исходные данные'!$D$2:$D$964,V$3,'Исходные данные'!$F$2:$F$964,$H15&amp;"")+SUMIFS('Исходные данные'!$J$2:$J$964,'Исходные данные'!$D$2:$D$964,V$3,'Исходные данные'!$F$2:$F$964,$H15&amp;"")=0,"",IF(SUMIFS('Исходные данные'!$J$2:$J$964,'Исходные данные'!$D$2:$D$964,V$3,'Исходные данные'!$F$2:$F$964,$H15&amp;"")=0,SUMIFS('Исходные данные'!$I$2:$I$964,'Исходные данные'!$D$2:$D$964,V$3,'Исходные данные'!$F$2:$F$964,$H15&amp;""),IF(SUMIFS('Исходные данные'!$I$2:$I$964,'Исходные данные'!$D$2:$D$964,V$3,'Исходные данные'!$F$2:$F$964,$H15&amp;"")=0,"0+"&amp;SUMIFS('Исходные данные'!$J$2:$J$964,'Исходные данные'!$D$2:$D$964,V$3,'Исходные данные'!$F$2:$F$964,$H15&amp;"")&amp;"="&amp;SUMIFS('Исходные данные'!$J$2:$J$964,'Исходные данные'!$D$2:$D$964,V$3,'Исходные данные'!$F$2:$F$964,$H15&amp;""),SUMIFS('Исходные данные'!$I$2:$I$964,'Исходные данные'!$D$2:$D$964,V$3,'Исходные данные'!$F$2:$F$964,$H15&amp;"")&amp;"+"&amp;SUMIFS('Исходные данные'!$J$2:$J$964,'Исходные данные'!$D$2:$D$964,V$3,'Исходные данные'!$F$2:$F$964,$H15&amp;"")&amp;"="&amp;(SUMIFS('Исходные данные'!$I$2:$I$964,'Исходные данные'!$D$2:$D$964,V$3,'Исходные данные'!$F$2:$F$964,$H15&amp;"")+SUMIFS('Исходные данные'!$J$2:$J$964,'Исходные данные'!$D$2:$D$964,V$3,'Исходные данные'!$F$2:$F$964,$H15&amp;"")))))</f>
        <v>1</v>
      </c>
      <c r="W15" s="54" t="str">
        <f aca="false">IF(SUMIFS('Исходные данные'!$I$2:$I$964,'Исходные данные'!$D$2:$D$964,W$3,'Исходные данные'!$F$2:$F$964,$H15&amp;"")+SUMIFS('Исходные данные'!$J$2:$J$964,'Исходные данные'!$D$2:$D$964,W$3,'Исходные данные'!$F$2:$F$964,$H15&amp;"")=0,"",IF(SUMIFS('Исходные данные'!$J$2:$J$964,'Исходные данные'!$D$2:$D$964,W$3,'Исходные данные'!$F$2:$F$964,$H15&amp;"")=0,SUMIFS('Исходные данные'!$I$2:$I$964,'Исходные данные'!$D$2:$D$964,W$3,'Исходные данные'!$F$2:$F$964,$H15&amp;""),IF(SUMIFS('Исходные данные'!$I$2:$I$964,'Исходные данные'!$D$2:$D$964,W$3,'Исходные данные'!$F$2:$F$964,$H15&amp;"")=0,"0+"&amp;SUMIFS('Исходные данные'!$J$2:$J$964,'Исходные данные'!$D$2:$D$964,W$3,'Исходные данные'!$F$2:$F$964,$H15&amp;"")&amp;"="&amp;SUMIFS('Исходные данные'!$J$2:$J$964,'Исходные данные'!$D$2:$D$964,W$3,'Исходные данные'!$F$2:$F$964,$H15&amp;""),SUMIFS('Исходные данные'!$I$2:$I$964,'Исходные данные'!$D$2:$D$964,W$3,'Исходные данные'!$F$2:$F$964,$H15&amp;"")&amp;"+"&amp;SUMIFS('Исходные данные'!$J$2:$J$964,'Исходные данные'!$D$2:$D$964,W$3,'Исходные данные'!$F$2:$F$964,$H15&amp;"")&amp;"="&amp;(SUMIFS('Исходные данные'!$I$2:$I$964,'Исходные данные'!$D$2:$D$964,W$3,'Исходные данные'!$F$2:$F$964,$H15&amp;"")+SUMIFS('Исходные данные'!$J$2:$J$964,'Исходные данные'!$D$2:$D$964,W$3,'Исходные данные'!$F$2:$F$964,$H15&amp;"")))))</f>
        <v/>
      </c>
      <c r="X15" s="54" t="str">
        <f aca="false">IF(SUMIFS('Исходные данные'!$I$2:$I$964,'Исходные данные'!$D$2:$D$964,X$3,'Исходные данные'!$F$2:$F$964,$H15&amp;"")+SUMIFS('Исходные данные'!$J$2:$J$964,'Исходные данные'!$D$2:$D$964,X$3,'Исходные данные'!$F$2:$F$964,$H15&amp;"")=0,"",IF(SUMIFS('Исходные данные'!$J$2:$J$964,'Исходные данные'!$D$2:$D$964,X$3,'Исходные данные'!$F$2:$F$964,$H15&amp;"")=0,SUMIFS('Исходные данные'!$I$2:$I$964,'Исходные данные'!$D$2:$D$964,X$3,'Исходные данные'!$F$2:$F$964,$H15&amp;""),IF(SUMIFS('Исходные данные'!$I$2:$I$964,'Исходные данные'!$D$2:$D$964,X$3,'Исходные данные'!$F$2:$F$964,$H15&amp;"")=0,"0+"&amp;SUMIFS('Исходные данные'!$J$2:$J$964,'Исходные данные'!$D$2:$D$964,X$3,'Исходные данные'!$F$2:$F$964,$H15&amp;"")&amp;"="&amp;SUMIFS('Исходные данные'!$J$2:$J$964,'Исходные данные'!$D$2:$D$964,X$3,'Исходные данные'!$F$2:$F$964,$H15&amp;""),SUMIFS('Исходные данные'!$I$2:$I$964,'Исходные данные'!$D$2:$D$964,X$3,'Исходные данные'!$F$2:$F$964,$H15&amp;"")&amp;"+"&amp;SUMIFS('Исходные данные'!$J$2:$J$964,'Исходные данные'!$D$2:$D$964,X$3,'Исходные данные'!$F$2:$F$964,$H15&amp;"")&amp;"="&amp;(SUMIFS('Исходные данные'!$I$2:$I$964,'Исходные данные'!$D$2:$D$964,X$3,'Исходные данные'!$F$2:$F$964,$H15&amp;"")+SUMIFS('Исходные данные'!$J$2:$J$964,'Исходные данные'!$D$2:$D$964,X$3,'Исходные данные'!$F$2:$F$964,$H15&amp;"")))))</f>
        <v/>
      </c>
      <c r="Y15" s="56" t="n">
        <f aca="false">IF(SUMIFS('Исходные данные'!$I$2:$I$964,'Исходные данные'!$D$2:$D$964,Y$3,'Исходные данные'!$F$2:$F$964,$H15&amp;"")+SUMIFS('Исходные данные'!$J$2:$J$964,'Исходные данные'!$D$2:$D$964,Y$3,'Исходные данные'!$F$2:$F$964,$H15&amp;"")=0,"",IF(SUMIFS('Исходные данные'!$J$2:$J$964,'Исходные данные'!$D$2:$D$964,Y$3,'Исходные данные'!$F$2:$F$964,$H15&amp;"")=0,SUMIFS('Исходные данные'!$I$2:$I$964,'Исходные данные'!$D$2:$D$964,Y$3,'Исходные данные'!$F$2:$F$964,$H15&amp;""),IF(SUMIFS('Исходные данные'!$I$2:$I$964,'Исходные данные'!$D$2:$D$964,Y$3,'Исходные данные'!$F$2:$F$964,$H15&amp;"")=0,"0+"&amp;SUMIFS('Исходные данные'!$J$2:$J$964,'Исходные данные'!$D$2:$D$964,Y$3,'Исходные данные'!$F$2:$F$964,$H15&amp;"")&amp;"="&amp;SUMIFS('Исходные данные'!$J$2:$J$964,'Исходные данные'!$D$2:$D$964,Y$3,'Исходные данные'!$F$2:$F$964,$H15&amp;""),SUMIFS('Исходные данные'!$I$2:$I$964,'Исходные данные'!$D$2:$D$964,Y$3,'Исходные данные'!$F$2:$F$964,$H15&amp;"")&amp;"+"&amp;SUMIFS('Исходные данные'!$J$2:$J$964,'Исходные данные'!$D$2:$D$964,Y$3,'Исходные данные'!$F$2:$F$964,$H15&amp;"")&amp;"="&amp;(SUMIFS('Исходные данные'!$I$2:$I$964,'Исходные данные'!$D$2:$D$964,Y$3,'Исходные данные'!$F$2:$F$964,$H15&amp;"")+SUMIFS('Исходные данные'!$J$2:$J$964,'Исходные данные'!$D$2:$D$964,Y$3,'Исходные данные'!$F$2:$F$964,$H15&amp;"")))))</f>
        <v>1</v>
      </c>
      <c r="Z15" s="53" t="n">
        <f aca="false">IF(SUMIFS('Исходные данные'!$I$2:$I$964,'Исходные данные'!$D$2:$D$964,Z$3,'Исходные данные'!$F$2:$F$964,$H15&amp;"")+SUMIFS('Исходные данные'!$J$2:$J$964,'Исходные данные'!$D$2:$D$964,Z$3,'Исходные данные'!$F$2:$F$964,$H15&amp;"")=0,"",IF(SUMIFS('Исходные данные'!$J$2:$J$964,'Исходные данные'!$D$2:$D$964,Z$3,'Исходные данные'!$F$2:$F$964,$H15&amp;"")=0,SUMIFS('Исходные данные'!$I$2:$I$964,'Исходные данные'!$D$2:$D$964,Z$3,'Исходные данные'!$F$2:$F$964,$H15&amp;""),IF(SUMIFS('Исходные данные'!$I$2:$I$964,'Исходные данные'!$D$2:$D$964,Z$3,'Исходные данные'!$F$2:$F$964,$H15&amp;"")=0,"0+"&amp;SUMIFS('Исходные данные'!$J$2:$J$964,'Исходные данные'!$D$2:$D$964,Z$3,'Исходные данные'!$F$2:$F$964,$H15&amp;"")&amp;"="&amp;SUMIFS('Исходные данные'!$J$2:$J$964,'Исходные данные'!$D$2:$D$964,Z$3,'Исходные данные'!$F$2:$F$964,$H15&amp;""),SUMIFS('Исходные данные'!$I$2:$I$964,'Исходные данные'!$D$2:$D$964,Z$3,'Исходные данные'!$F$2:$F$964,$H15&amp;"")&amp;"+"&amp;SUMIFS('Исходные данные'!$J$2:$J$964,'Исходные данные'!$D$2:$D$964,Z$3,'Исходные данные'!$F$2:$F$964,$H15&amp;"")&amp;"="&amp;(SUMIFS('Исходные данные'!$I$2:$I$964,'Исходные данные'!$D$2:$D$964,Z$3,'Исходные данные'!$F$2:$F$964,$H15&amp;"")+SUMIFS('Исходные данные'!$J$2:$J$964,'Исходные данные'!$D$2:$D$964,Z$3,'Исходные данные'!$F$2:$F$964,$H15&amp;"")))))</f>
        <v>1</v>
      </c>
      <c r="AA15" s="54" t="str">
        <f aca="false">IF(SUMIFS('Исходные данные'!$I$2:$I$964,'Исходные данные'!$D$2:$D$964,AA$3,'Исходные данные'!$F$2:$F$964,$H15&amp;"")+SUMIFS('Исходные данные'!$J$2:$J$964,'Исходные данные'!$D$2:$D$964,AA$3,'Исходные данные'!$F$2:$F$964,$H15&amp;"")=0,"",IF(SUMIFS('Исходные данные'!$J$2:$J$964,'Исходные данные'!$D$2:$D$964,AA$3,'Исходные данные'!$F$2:$F$964,$H15&amp;"")=0,SUMIFS('Исходные данные'!$I$2:$I$964,'Исходные данные'!$D$2:$D$964,AA$3,'Исходные данные'!$F$2:$F$964,$H15&amp;""),IF(SUMIFS('Исходные данные'!$I$2:$I$964,'Исходные данные'!$D$2:$D$964,AA$3,'Исходные данные'!$F$2:$F$964,$H15&amp;"")=0,"0+"&amp;SUMIFS('Исходные данные'!$J$2:$J$964,'Исходные данные'!$D$2:$D$964,AA$3,'Исходные данные'!$F$2:$F$964,$H15&amp;"")&amp;"="&amp;SUMIFS('Исходные данные'!$J$2:$J$964,'Исходные данные'!$D$2:$D$964,AA$3,'Исходные данные'!$F$2:$F$964,$H15&amp;""),SUMIFS('Исходные данные'!$I$2:$I$964,'Исходные данные'!$D$2:$D$964,AA$3,'Исходные данные'!$F$2:$F$964,$H15&amp;"")&amp;"+"&amp;SUMIFS('Исходные данные'!$J$2:$J$964,'Исходные данные'!$D$2:$D$964,AA$3,'Исходные данные'!$F$2:$F$964,$H15&amp;"")&amp;"="&amp;(SUMIFS('Исходные данные'!$I$2:$I$964,'Исходные данные'!$D$2:$D$964,AA$3,'Исходные данные'!$F$2:$F$964,$H15&amp;"")+SUMIFS('Исходные данные'!$J$2:$J$964,'Исходные данные'!$D$2:$D$964,AA$3,'Исходные данные'!$F$2:$F$964,$H15&amp;"")))))</f>
        <v/>
      </c>
      <c r="AB15" s="54" t="str">
        <f aca="false">IF(SUMIFS('Исходные данные'!$I$2:$I$964,'Исходные данные'!$D$2:$D$964,AB$3,'Исходные данные'!$F$2:$F$964,$H15&amp;"")+SUMIFS('Исходные данные'!$J$2:$J$964,'Исходные данные'!$D$2:$D$964,AB$3,'Исходные данные'!$F$2:$F$964,$H15&amp;"")=0,"",IF(SUMIFS('Исходные данные'!$J$2:$J$964,'Исходные данные'!$D$2:$D$964,AB$3,'Исходные данные'!$F$2:$F$964,$H15&amp;"")=0,SUMIFS('Исходные данные'!$I$2:$I$964,'Исходные данные'!$D$2:$D$964,AB$3,'Исходные данные'!$F$2:$F$964,$H15&amp;""),IF(SUMIFS('Исходные данные'!$I$2:$I$964,'Исходные данные'!$D$2:$D$964,AB$3,'Исходные данные'!$F$2:$F$964,$H15&amp;"")=0,"0+"&amp;SUMIFS('Исходные данные'!$J$2:$J$964,'Исходные данные'!$D$2:$D$964,AB$3,'Исходные данные'!$F$2:$F$964,$H15&amp;"")&amp;"="&amp;SUMIFS('Исходные данные'!$J$2:$J$964,'Исходные данные'!$D$2:$D$964,AB$3,'Исходные данные'!$F$2:$F$964,$H15&amp;""),SUMIFS('Исходные данные'!$I$2:$I$964,'Исходные данные'!$D$2:$D$964,AB$3,'Исходные данные'!$F$2:$F$964,$H15&amp;"")&amp;"+"&amp;SUMIFS('Исходные данные'!$J$2:$J$964,'Исходные данные'!$D$2:$D$964,AB$3,'Исходные данные'!$F$2:$F$964,$H15&amp;"")&amp;"="&amp;(SUMIFS('Исходные данные'!$I$2:$I$964,'Исходные данные'!$D$2:$D$964,AB$3,'Исходные данные'!$F$2:$F$964,$H15&amp;"")+SUMIFS('Исходные данные'!$J$2:$J$964,'Исходные данные'!$D$2:$D$964,AB$3,'Исходные данные'!$F$2:$F$964,$H15&amp;"")))))</f>
        <v/>
      </c>
      <c r="AC15" s="56" t="str">
        <f aca="false">IF(SUMIFS('Исходные данные'!$I$2:$I$964,'Исходные данные'!$D$2:$D$964,AC$3,'Исходные данные'!$F$2:$F$964,$H15&amp;"")+SUMIFS('Исходные данные'!$J$2:$J$964,'Исходные данные'!$D$2:$D$964,AC$3,'Исходные данные'!$F$2:$F$964,$H15&amp;"")=0,"",IF(SUMIFS('Исходные данные'!$J$2:$J$964,'Исходные данные'!$D$2:$D$964,AC$3,'Исходные данные'!$F$2:$F$964,$H15&amp;"")=0,SUMIFS('Исходные данные'!$I$2:$I$964,'Исходные данные'!$D$2:$D$964,AC$3,'Исходные данные'!$F$2:$F$964,$H15&amp;""),IF(SUMIFS('Исходные данные'!$I$2:$I$964,'Исходные данные'!$D$2:$D$964,AC$3,'Исходные данные'!$F$2:$F$964,$H15&amp;"")=0,"0+"&amp;SUMIFS('Исходные данные'!$J$2:$J$964,'Исходные данные'!$D$2:$D$964,AC$3,'Исходные данные'!$F$2:$F$964,$H15&amp;"")&amp;"="&amp;SUMIFS('Исходные данные'!$J$2:$J$964,'Исходные данные'!$D$2:$D$964,AC$3,'Исходные данные'!$F$2:$F$964,$H15&amp;""),SUMIFS('Исходные данные'!$I$2:$I$964,'Исходные данные'!$D$2:$D$964,AC$3,'Исходные данные'!$F$2:$F$964,$H15&amp;"")&amp;"+"&amp;SUMIFS('Исходные данные'!$J$2:$J$964,'Исходные данные'!$D$2:$D$964,AC$3,'Исходные данные'!$F$2:$F$964,$H15&amp;"")&amp;"="&amp;(SUMIFS('Исходные данные'!$I$2:$I$964,'Исходные данные'!$D$2:$D$964,AC$3,'Исходные данные'!$F$2:$F$964,$H15&amp;"")+SUMIFS('Исходные данные'!$J$2:$J$964,'Исходные данные'!$D$2:$D$964,AC$3,'Исходные данные'!$F$2:$F$964,$H15&amp;"")))))</f>
        <v>3+3=6</v>
      </c>
      <c r="AD15" s="54" t="str">
        <f aca="false">IF(SUMIFS('Исходные данные'!$I$2:$I$964,'Исходные данные'!$D$2:$D$964,AD$3,'Исходные данные'!$F$2:$F$964,$H15&amp;"")+SUMIFS('Исходные данные'!$J$2:$J$964,'Исходные данные'!$D$2:$D$964,AD$3,'Исходные данные'!$F$2:$F$964,$H15&amp;"")=0,"",IF(SUMIFS('Исходные данные'!$J$2:$J$964,'Исходные данные'!$D$2:$D$964,AD$3,'Исходные данные'!$F$2:$F$964,$H15&amp;"")=0,SUMIFS('Исходные данные'!$I$2:$I$964,'Исходные данные'!$D$2:$D$964,AD$3,'Исходные данные'!$F$2:$F$964,$H15&amp;""),IF(SUMIFS('Исходные данные'!$I$2:$I$964,'Исходные данные'!$D$2:$D$964,AD$3,'Исходные данные'!$F$2:$F$964,$H15&amp;"")=0,"0+"&amp;SUMIFS('Исходные данные'!$J$2:$J$964,'Исходные данные'!$D$2:$D$964,AD$3,'Исходные данные'!$F$2:$F$964,$H15&amp;"")&amp;"="&amp;SUMIFS('Исходные данные'!$J$2:$J$964,'Исходные данные'!$D$2:$D$964,AD$3,'Исходные данные'!$F$2:$F$964,$H15&amp;""),SUMIFS('Исходные данные'!$I$2:$I$964,'Исходные данные'!$D$2:$D$964,AD$3,'Исходные данные'!$F$2:$F$964,$H15&amp;"")&amp;"+"&amp;SUMIFS('Исходные данные'!$J$2:$J$964,'Исходные данные'!$D$2:$D$964,AD$3,'Исходные данные'!$F$2:$F$964,$H15&amp;"")&amp;"="&amp;(SUMIFS('Исходные данные'!$I$2:$I$964,'Исходные данные'!$D$2:$D$964,AD$3,'Исходные данные'!$F$2:$F$964,$H15&amp;"")+SUMIFS('Исходные данные'!$J$2:$J$964,'Исходные данные'!$D$2:$D$964,AD$3,'Исходные данные'!$F$2:$F$964,$H15&amp;"")))))</f>
        <v>3+2=5</v>
      </c>
      <c r="AE15" s="57" t="n">
        <f aca="false">IFERROR(INDEX('Выход ТС'!$K:$K,MATCH($H15&amp;"",'Выход ТС'!$A:$A,0))+INDEX('Выход ТС'!$L:$L,MATCH($H15&amp;"",'Выход ТС'!$A:$A,0))-INDEX('Выход ТС'!$I:$I,MATCH($H15&amp;"",'Выход ТС'!$A:$A,0))-INDEX('Выход ТС'!$J:$J,MATCH($H15&amp;"",'Выход ТС'!$A:$A,0)),"")</f>
        <v>0</v>
      </c>
      <c r="AF15" s="57" t="n">
        <f aca="false">IFERROR(INDEX('Выход ТС'!$O:$O,MATCH($H15&amp;"",'Выход ТС'!$A:$A,0))+INDEX('Выход ТС'!$P:$P,MATCH($H15&amp;"",'Выход ТС'!$A:$A,0))-INDEX('Выход ТС'!$M:$M,MATCH($H15&amp;"",'Выход ТС'!$A:$A,0))-INDEX('Выход ТС'!$N:$N,MATCH($H15&amp;"",'Выход ТС'!$A:$A,0)),"")</f>
        <v>0</v>
      </c>
      <c r="AG15" s="57" t="n">
        <f aca="false">IFERROR(INDEX('Выход ТС'!$S:$S,MATCH($H15&amp;"",'Выход ТС'!$A:$A,0))+INDEX('Выход ТС'!$T:$T,MATCH($H15&amp;"",'Выход ТС'!$A:$A,0))-INDEX('Выход ТС'!$Q:$Q,MATCH($H15&amp;"",'Выход ТС'!$A:$A,0))-INDEX('Выход ТС'!$R:$R,MATCH($H15&amp;"",'Выход ТС'!$A:$A,0)),"")</f>
        <v>0</v>
      </c>
      <c r="AH15" s="57" t="n">
        <f aca="false">IFERROR(INDEX('Выход ТС'!$W:$W,MATCH($H15&amp;"",'Выход ТС'!$A:$A,0))+INDEX('Выход ТС'!$X:$X,MATCH($H15&amp;"",'Выход ТС'!$A:$A,0))-INDEX('Выход ТС'!$U:$U,MATCH($H15&amp;"",'Выход ТС'!$A:$A,0))-INDEX('Выход ТС'!$V:$V,MATCH($H15&amp;"",'Выход ТС'!$A:$A,0)),"")</f>
        <v>0</v>
      </c>
      <c r="AI15" s="57" t="n">
        <f aca="false">IFERROR(INDEX('Выход ТС'!$AA:$AA,MATCH($H15&amp;"",'Выход ТС'!$A:$A,0))+INDEX('Выход ТС'!$AB:$AB,MATCH($H15&amp;"",'Выход ТС'!$A:$A,0))-INDEX('Выход ТС'!$Y:$Y,MATCH($H15&amp;"",'Выход ТС'!$A:$A,0))-INDEX('Выход ТС'!$Z:$Z,MATCH($H15&amp;"",'Выход ТС'!$A:$A,0)),"")</f>
        <v>0</v>
      </c>
      <c r="AJ15" s="57" t="n">
        <f aca="false">IFERROR(INDEX('Выход ТС'!$AE:$AE,MATCH($H15&amp;"",'Выход ТС'!$A:$A,0))+INDEX('Выход ТС'!$AF:$AF,MATCH($H15&amp;"",'Выход ТС'!$A:$A,0))-INDEX('Выход ТС'!$AC:$AC,MATCH($H15&amp;"",'Выход ТС'!$A:$A,0))-INDEX('Выход ТС'!$AD:$AD,MATCH($H15&amp;"",'Выход ТС'!$A:$A,0)),"")</f>
        <v>0</v>
      </c>
      <c r="AK15" s="57" t="n">
        <f aca="false">IFERROR(INDEX('Выход ТС'!$AI:$AI,MATCH($H15&amp;"",'Выход ТС'!$A:$A,0))+INDEX('Выход ТС'!$AJ:$AJ,MATCH($H15&amp;"",'Выход ТС'!$A:$A,0))-INDEX('Выход ТС'!$AG:$AG,MATCH($H15&amp;"",'Выход ТС'!$A:$A,0))-INDEX('Выход ТС'!$AH:$AH,MATCH($H15&amp;"",'Выход ТС'!$A:$A,0)),"")</f>
        <v>0</v>
      </c>
      <c r="AL15" s="57" t="n">
        <f aca="false">IFERROR(INDEX('Выход ТС'!$AM:$AM,MATCH($H15&amp;"",'Выход ТС'!$A:$A,0))+INDEX('Выход ТС'!$AN:$AN,MATCH($H15&amp;"",'Выход ТС'!$A:$A,0))-INDEX('Выход ТС'!$AK:$AK,MATCH($H15&amp;"",'Выход ТС'!$A:$A,0))-INDEX('Выход ТС'!$AL:$AL,MATCH($H15&amp;"",'Выход ТС'!$A:$A,0)),"")</f>
        <v>0</v>
      </c>
      <c r="AM15" s="57" t="n">
        <f aca="false">IFERROR(INDEX('Выход ТС'!$AQ:$AQ,MATCH($H15&amp;"",'Выход ТС'!$A:$A,0))+INDEX('Выход ТС'!$AR:$AR,MATCH($H15&amp;"",'Выход ТС'!$A:$A,0))-INDEX('Выход ТС'!$AO:$AO,MATCH($H15&amp;"",'Выход ТС'!$A:$A,0))-INDEX('Выход ТС'!$AP:$AP,MATCH($H15&amp;"",'Выход ТС'!$A:$A,0)),"")</f>
        <v>0</v>
      </c>
      <c r="AN15" s="57" t="n">
        <f aca="false">IFERROR(INDEX('Выход ТС'!$AU:$AU,MATCH($H15&amp;"",'Выход ТС'!$A:$A,0))+INDEX('Выход ТС'!$AV:$AV,MATCH($H15&amp;"",'Выход ТС'!$A:$A,0))-INDEX('Выход ТС'!$AS:$AS,MATCH($H15&amp;"",'Выход ТС'!$A:$A,0))-INDEX('Выход ТС'!$AT:$AT,MATCH($H15&amp;"",'Выход ТС'!$A:$A,0)),"")</f>
        <v>0</v>
      </c>
      <c r="AO15" s="57" t="n">
        <f aca="false">IFERROR(INDEX('Выход ТС'!$AY:$AY,MATCH($H15&amp;"",'Выход ТС'!$A:$A,0))+INDEX('Выход ТС'!$AZ:$AZ,MATCH($H15&amp;"",'Выход ТС'!$A:$A,0))-INDEX('Выход ТС'!$AW:$AW,MATCH($H15&amp;"",'Выход ТС'!$A:$A,0))-INDEX('Выход ТС'!$AX:$AX,MATCH($H15&amp;"",'Выход ТС'!$A:$A,0)),"")</f>
        <v>1</v>
      </c>
      <c r="AP15" s="57" t="n">
        <f aca="false">IFERROR(INDEX('Выход ТС'!$BC:$BC,MATCH($H15&amp;"",'Выход ТС'!$A:$A,0))+INDEX('Выход ТС'!$BD:$BD,MATCH($H15&amp;"",'Выход ТС'!$A:$A,0))-INDEX('Выход ТС'!$BA:$BA,MATCH($H15&amp;"",'Выход ТС'!$A:$A,0))-INDEX('Выход ТС'!$BB:$BB,MATCH($H15&amp;"",'Выход ТС'!$A:$A,0)),"")</f>
        <v>-1</v>
      </c>
      <c r="AQ15" s="57" t="n">
        <f aca="false">IFERROR(INDEX('Выход ТС'!$BG:$BG,MATCH($H15&amp;"",'Выход ТС'!$A:$A,0))+INDEX('Выход ТС'!$BH:$BH,MATCH($H15&amp;"",'Выход ТС'!$A:$A,0))-INDEX('Выход ТС'!$BE:$BE,MATCH($H15&amp;"",'Выход ТС'!$A:$A,0))-INDEX('Выход ТС'!$BF:$BF,MATCH($H15&amp;"",'Выход ТС'!$A:$A,0)),"")</f>
        <v>0</v>
      </c>
      <c r="AR15" s="57" t="n">
        <f aca="false">IFERROR(INDEX('Выход ТС'!$BK:$BK,MATCH($H15&amp;"",'Выход ТС'!$A:$A,0))+INDEX('Выход ТС'!$BL:$BL,MATCH($H15&amp;"",'Выход ТС'!$A:$A,0))-INDEX('Выход ТС'!$BI:$BI,MATCH($H15&amp;"",'Выход ТС'!$A:$A,0))-INDEX('Выход ТС'!$BJ:$BJ,MATCH($H15&amp;"",'Выход ТС'!$A:$A,0)),"")</f>
        <v>0</v>
      </c>
      <c r="AS15" s="57" t="n">
        <f aca="false">IFERROR(INDEX('Выход ТС'!$BO:$BO,MATCH($H15&amp;"",'Выход ТС'!$A:$A,0))+INDEX('Выход ТС'!$BP:$BP,MATCH($H15&amp;"",'Выход ТС'!$A:$A,0))-INDEX('Выход ТС'!$BM:$BM,MATCH($H15&amp;"",'Выход ТС'!$A:$A,0))-INDEX('Выход ТС'!$BN:$BN,MATCH($H15&amp;"",'Выход ТС'!$A:$A,0)),"")</f>
        <v>0</v>
      </c>
      <c r="AT15" s="57" t="n">
        <f aca="false">IFERROR(INDEX('Выход ТС'!$CI:$CI,MATCH($H15&amp;"",'Выход ТС'!$A:$A,0))+INDEX('Выход ТС'!$CJ:$CJ,MATCH($H15&amp;"",'Выход ТС'!$A:$A,0))-INDEX('Выход ТС'!$CG:$CG,MATCH($H15&amp;"",'Выход ТС'!$A:$A,0))-INDEX('Выход ТС'!$CH:$CH,MATCH($H15&amp;"",'Выход ТС'!$A:$A,0)),"")</f>
        <v>0</v>
      </c>
      <c r="AU15" s="57" t="n">
        <f aca="false">IFERROR(INDEX('Выход ТС'!$CM:$CM,MATCH($H15&amp;"",'Выход ТС'!$A:$A,0))+INDEX('Выход ТС'!$CN:$CN,MATCH($H15&amp;"",'Выход ТС'!$A:$A,0))-INDEX('Выход ТС'!$CK:$CK,MATCH($H15&amp;"",'Выход ТС'!$A:$A,0))-INDEX('Выход ТС'!$CL:$CL,MATCH($H15&amp;"",'Выход ТС'!$A:$A,0)),"")</f>
        <v>0</v>
      </c>
    </row>
    <row r="16" customFormat="false" ht="25.5" hidden="false" customHeight="true" outlineLevel="0" collapsed="false">
      <c r="A16" s="31" t="n">
        <v>14</v>
      </c>
      <c r="B16" s="32" t="s">
        <v>192</v>
      </c>
      <c r="C16" s="33" t="s">
        <v>21</v>
      </c>
      <c r="D16" s="34"/>
      <c r="E16" s="33" t="s">
        <v>193</v>
      </c>
      <c r="F16" s="33" t="s">
        <v>10</v>
      </c>
      <c r="G16" s="69"/>
      <c r="H16" s="36"/>
      <c r="I16" s="60"/>
      <c r="J16" s="61"/>
      <c r="K16" s="62"/>
      <c r="L16" s="63"/>
      <c r="M16" s="64"/>
      <c r="N16" s="64"/>
      <c r="O16" s="65" t="str">
        <f aca="false">IF(SUMIFS('Исходные данные'!$I$2:$I$964,'Исходные данные'!$D$2:$D$964,O$3,'Исходные данные'!$F$2:$F$964,$H17&amp;"",'Исходные данные'!$L$2:$L$964,"УТТ")+SUMIFS('Исходные данные'!$J$2:$J$964,'Исходные данные'!$D$2:$D$964,O$3,'Исходные данные'!$F$2:$F$964,$H17&amp;"",'Исходные данные'!$L$2:$L$964,"УТТ")=0,"","утт-"&amp;(SUMIFS('Исходные данные'!$I$2:$I$964,'Исходные данные'!$D$2:$D$964,O$3,'Исходные данные'!$F$2:$F$964,$H17&amp;"",'Исходные данные'!$L$2:$L$964,"УТТ")+SUMIFS('Исходные данные'!$J$2:$J$964,'Исходные данные'!$D$2:$D$964,O$3,'Исходные данные'!$F$2:$F$964,$H17&amp;"",'Исходные данные'!$L$2:$L$964,"УТТ")))</f>
        <v>утт-1</v>
      </c>
      <c r="P16" s="66" t="str">
        <f aca="false">IF(SUMIFS('Исходные данные'!$I$2:$I$964,'Исходные данные'!$D$2:$D$964,P$3,'Исходные данные'!$F$2:$F$964,$H17&amp;"",'Исходные данные'!$L$2:$L$964,"УТТ")+SUMIFS('Исходные данные'!$J$2:$J$964,'Исходные данные'!$D$2:$D$964,P$3,'Исходные данные'!$F$2:$F$964,$H17&amp;"",'Исходные данные'!$L$2:$L$964,"УТТ")=0,"","утт-"&amp;(SUMIFS('Исходные данные'!$I$2:$I$964,'Исходные данные'!$D$2:$D$964,P$3,'Исходные данные'!$F$2:$F$964,$H17&amp;"",'Исходные данные'!$L$2:$L$964,"УТТ")+SUMIFS('Исходные данные'!$J$2:$J$964,'Исходные данные'!$D$2:$D$964,P$3,'Исходные данные'!$F$2:$F$964,$H17&amp;"",'Исходные данные'!$L$2:$L$964,"УТТ")))</f>
        <v/>
      </c>
      <c r="Q16" s="65" t="str">
        <f aca="false">IF(SUMIFS('Исходные данные'!$I$2:$I$964,'Исходные данные'!$D$2:$D$964,Q$3,'Исходные данные'!$F$2:$F$964,$H17&amp;"",'Исходные данные'!$L$2:$L$964,"УТТ")+SUMIFS('Исходные данные'!$J$2:$J$964,'Исходные данные'!$D$2:$D$964,Q$3,'Исходные данные'!$F$2:$F$964,$H17&amp;"",'Исходные данные'!$L$2:$L$964,"УТТ")=0,"","утт-"&amp;(SUMIFS('Исходные данные'!$I$2:$I$964,'Исходные данные'!$D$2:$D$964,Q$3,'Исходные данные'!$F$2:$F$964,$H17&amp;"",'Исходные данные'!$L$2:$L$964,"УТТ")+SUMIFS('Исходные данные'!$J$2:$J$964,'Исходные данные'!$D$2:$D$964,Q$3,'Исходные данные'!$F$2:$F$964,$H17&amp;"",'Исходные данные'!$L$2:$L$964,"УТТ")))</f>
        <v/>
      </c>
      <c r="R16" s="67" t="str">
        <f aca="false">IF(SUMIFS('Исходные данные'!$I$2:$I$964,'Исходные данные'!$D$2:$D$964,R$3,'Исходные данные'!$F$2:$F$964,$H17&amp;"",'Исходные данные'!$L$2:$L$964,"УТТ")+SUMIFS('Исходные данные'!$J$2:$J$964,'Исходные данные'!$D$2:$D$964,R$3,'Исходные данные'!$F$2:$F$964,$H17&amp;"",'Исходные данные'!$L$2:$L$964,"УТТ")=0,"","утт-"&amp;(SUMIFS('Исходные данные'!$I$2:$I$964,'Исходные данные'!$D$2:$D$964,R$3,'Исходные данные'!$F$2:$F$964,$H17&amp;"",'Исходные данные'!$L$2:$L$964,"УТТ")+SUMIFS('Исходные данные'!$J$2:$J$964,'Исходные данные'!$D$2:$D$964,R$3,'Исходные данные'!$F$2:$F$964,$H17&amp;"",'Исходные данные'!$L$2:$L$964,"УТТ")))</f>
        <v/>
      </c>
      <c r="S16" s="66" t="str">
        <f aca="false">IF(SUMIFS('Исходные данные'!$I$2:$I$964,'Исходные данные'!$D$2:$D$964,S$3,'Исходные данные'!$F$2:$F$964,$H17&amp;"",'Исходные данные'!$L$2:$L$964,"УТТ")+SUMIFS('Исходные данные'!$J$2:$J$964,'Исходные данные'!$D$2:$D$964,S$3,'Исходные данные'!$F$2:$F$964,$H17&amp;"",'Исходные данные'!$L$2:$L$964,"УТТ")=0,"","утт-"&amp;(SUMIFS('Исходные данные'!$I$2:$I$964,'Исходные данные'!$D$2:$D$964,S$3,'Исходные данные'!$F$2:$F$964,$H17&amp;"",'Исходные данные'!$L$2:$L$964,"УТТ")+SUMIFS('Исходные данные'!$J$2:$J$964,'Исходные данные'!$D$2:$D$964,S$3,'Исходные данные'!$F$2:$F$964,$H17&amp;"",'Исходные данные'!$L$2:$L$964,"УТТ")))</f>
        <v/>
      </c>
      <c r="T16" s="65" t="str">
        <f aca="false">IF(SUMIFS('Исходные данные'!$I$2:$I$964,'Исходные данные'!$D$2:$D$964,T$3,'Исходные данные'!$F$2:$F$964,$H17&amp;"",'Исходные данные'!$L$2:$L$964,"УТТ")+SUMIFS('Исходные данные'!$J$2:$J$964,'Исходные данные'!$D$2:$D$964,T$3,'Исходные данные'!$F$2:$F$964,$H17&amp;"",'Исходные данные'!$L$2:$L$964,"УТТ")=0,"","утт-"&amp;(SUMIFS('Исходные данные'!$I$2:$I$964,'Исходные данные'!$D$2:$D$964,T$3,'Исходные данные'!$F$2:$F$964,$H17&amp;"",'Исходные данные'!$L$2:$L$964,"УТТ")+SUMIFS('Исходные данные'!$J$2:$J$964,'Исходные данные'!$D$2:$D$964,T$3,'Исходные данные'!$F$2:$F$964,$H17&amp;"",'Исходные данные'!$L$2:$L$964,"УТТ")))</f>
        <v/>
      </c>
      <c r="U16" s="66" t="str">
        <f aca="false">IF(SUMIFS('Исходные данные'!$I$2:$I$964,'Исходные данные'!$D$2:$D$964,U$3,'Исходные данные'!$F$2:$F$964,$H17&amp;"",'Исходные данные'!$L$2:$L$964,"УТТ")+SUMIFS('Исходные данные'!$J$2:$J$964,'Исходные данные'!$D$2:$D$964,U$3,'Исходные данные'!$F$2:$F$964,$H17&amp;"",'Исходные данные'!$L$2:$L$964,"УТТ")=0,"","утт-"&amp;(SUMIFS('Исходные данные'!$I$2:$I$964,'Исходные данные'!$D$2:$D$964,U$3,'Исходные данные'!$F$2:$F$964,$H17&amp;"",'Исходные данные'!$L$2:$L$964,"УТТ")+SUMIFS('Исходные данные'!$J$2:$J$964,'Исходные данные'!$D$2:$D$964,U$3,'Исходные данные'!$F$2:$F$964,$H17&amp;"",'Исходные данные'!$L$2:$L$964,"УТТ")))</f>
        <v/>
      </c>
      <c r="V16" s="65" t="str">
        <f aca="false">IF(SUMIFS('Исходные данные'!$I$2:$I$964,'Исходные данные'!$D$2:$D$964,V$3,'Исходные данные'!$F$2:$F$964,$H17&amp;"",'Исходные данные'!$L$2:$L$964,"УТТ")+SUMIFS('Исходные данные'!$J$2:$J$964,'Исходные данные'!$D$2:$D$964,V$3,'Исходные данные'!$F$2:$F$964,$H17&amp;"",'Исходные данные'!$L$2:$L$964,"УТТ")=0,"","утт-"&amp;(SUMIFS('Исходные данные'!$I$2:$I$964,'Исходные данные'!$D$2:$D$964,V$3,'Исходные данные'!$F$2:$F$964,$H17&amp;"",'Исходные данные'!$L$2:$L$964,"УТТ")+SUMIFS('Исходные данные'!$J$2:$J$964,'Исходные данные'!$D$2:$D$964,V$3,'Исходные данные'!$F$2:$F$964,$H17&amp;"",'Исходные данные'!$L$2:$L$964,"УТТ")))</f>
        <v/>
      </c>
      <c r="W16" s="66" t="str">
        <f aca="false">IF(SUMIFS('Исходные данные'!$I$2:$I$964,'Исходные данные'!$D$2:$D$964,W$3,'Исходные данные'!$F$2:$F$964,$H17&amp;"",'Исходные данные'!$L$2:$L$964,"УТТ")+SUMIFS('Исходные данные'!$J$2:$J$964,'Исходные данные'!$D$2:$D$964,W$3,'Исходные данные'!$F$2:$F$964,$H17&amp;"",'Исходные данные'!$L$2:$L$964,"УТТ")=0,"","утт-"&amp;(SUMIFS('Исходные данные'!$I$2:$I$964,'Исходные данные'!$D$2:$D$964,W$3,'Исходные данные'!$F$2:$F$964,$H17&amp;"",'Исходные данные'!$L$2:$L$964,"УТТ")+SUMIFS('Исходные данные'!$J$2:$J$964,'Исходные данные'!$D$2:$D$964,W$3,'Исходные данные'!$F$2:$F$964,$H17&amp;"",'Исходные данные'!$L$2:$L$964,"УТТ")))</f>
        <v/>
      </c>
      <c r="X16" s="66" t="str">
        <f aca="false">IF(SUMIFS('Исходные данные'!$I$2:$I$964,'Исходные данные'!$D$2:$D$964,X$3,'Исходные данные'!$F$2:$F$964,$H17&amp;"",'Исходные данные'!$L$2:$L$964,"УТТ")+SUMIFS('Исходные данные'!$J$2:$J$964,'Исходные данные'!$D$2:$D$964,X$3,'Исходные данные'!$F$2:$F$964,$H17&amp;"",'Исходные данные'!$L$2:$L$964,"УТТ")=0,"","утт-"&amp;(SUMIFS('Исходные данные'!$I$2:$I$964,'Исходные данные'!$D$2:$D$964,X$3,'Исходные данные'!$F$2:$F$964,$H17&amp;"",'Исходные данные'!$L$2:$L$964,"УТТ")+SUMIFS('Исходные данные'!$J$2:$J$964,'Исходные данные'!$D$2:$D$964,X$3,'Исходные данные'!$F$2:$F$964,$H17&amp;"",'Исходные данные'!$L$2:$L$964,"УТТ")))</f>
        <v/>
      </c>
      <c r="Y16" s="68" t="str">
        <f aca="false">IF(SUMIFS('Исходные данные'!$I$2:$I$964,'Исходные данные'!$D$2:$D$964,Y$3,'Исходные данные'!$F$2:$F$964,$H17&amp;"",'Исходные данные'!$L$2:$L$964,"УТТ")+SUMIFS('Исходные данные'!$J$2:$J$964,'Исходные данные'!$D$2:$D$964,Y$3,'Исходные данные'!$F$2:$F$964,$H17&amp;"",'Исходные данные'!$L$2:$L$964,"УТТ")=0,"","утт-"&amp;(SUMIFS('Исходные данные'!$I$2:$I$964,'Исходные данные'!$D$2:$D$964,Y$3,'Исходные данные'!$F$2:$F$964,$H17&amp;"",'Исходные данные'!$L$2:$L$964,"УТТ")+SUMIFS('Исходные данные'!$J$2:$J$964,'Исходные данные'!$D$2:$D$964,Y$3,'Исходные данные'!$F$2:$F$964,$H17&amp;"",'Исходные данные'!$L$2:$L$964,"УТТ")))</f>
        <v/>
      </c>
      <c r="Z16" s="65" t="str">
        <f aca="false">IF(SUMIFS('Исходные данные'!$I$2:$I$964,'Исходные данные'!$D$2:$D$964,Z$3,'Исходные данные'!$F$2:$F$964,$H17&amp;"",'Исходные данные'!$L$2:$L$964,"УТТ")+SUMIFS('Исходные данные'!$J$2:$J$964,'Исходные данные'!$D$2:$D$964,Z$3,'Исходные данные'!$F$2:$F$964,$H17&amp;"",'Исходные данные'!$L$2:$L$964,"УТТ")=0,"","утт-"&amp;(SUMIFS('Исходные данные'!$I$2:$I$964,'Исходные данные'!$D$2:$D$964,Z$3,'Исходные данные'!$F$2:$F$964,$H17&amp;"",'Исходные данные'!$L$2:$L$964,"УТТ")+SUMIFS('Исходные данные'!$J$2:$J$964,'Исходные данные'!$D$2:$D$964,Z$3,'Исходные данные'!$F$2:$F$964,$H17&amp;"",'Исходные данные'!$L$2:$L$964,"УТТ")))</f>
        <v/>
      </c>
      <c r="AA16" s="66" t="str">
        <f aca="false">IF(SUMIFS('Исходные данные'!$I$2:$I$964,'Исходные данные'!$D$2:$D$964,AA$3,'Исходные данные'!$F$2:$F$964,$H17&amp;"",'Исходные данные'!$L$2:$L$964,"УТТ")+SUMIFS('Исходные данные'!$J$2:$J$964,'Исходные данные'!$D$2:$D$964,AA$3,'Исходные данные'!$F$2:$F$964,$H17&amp;"",'Исходные данные'!$L$2:$L$964,"УТТ")=0,"","утт-"&amp;(SUMIFS('Исходные данные'!$I$2:$I$964,'Исходные данные'!$D$2:$D$964,AA$3,'Исходные данные'!$F$2:$F$964,$H17&amp;"",'Исходные данные'!$L$2:$L$964,"УТТ")+SUMIFS('Исходные данные'!$J$2:$J$964,'Исходные данные'!$D$2:$D$964,AA$3,'Исходные данные'!$F$2:$F$964,$H17&amp;"",'Исходные данные'!$L$2:$L$964,"УТТ")))</f>
        <v/>
      </c>
      <c r="AB16" s="66" t="str">
        <f aca="false">IF(SUMIFS('Исходные данные'!$I$2:$I$964,'Исходные данные'!$D$2:$D$964,AB$3,'Исходные данные'!$F$2:$F$964,$H17&amp;"",'Исходные данные'!$L$2:$L$964,"УТТ")+SUMIFS('Исходные данные'!$J$2:$J$964,'Исходные данные'!$D$2:$D$964,AB$3,'Исходные данные'!$F$2:$F$964,$H17&amp;"",'Исходные данные'!$L$2:$L$964,"УТТ")=0,"","утт-"&amp;(SUMIFS('Исходные данные'!$I$2:$I$964,'Исходные данные'!$D$2:$D$964,AB$3,'Исходные данные'!$F$2:$F$964,$H17&amp;"",'Исходные данные'!$L$2:$L$964,"УТТ")+SUMIFS('Исходные данные'!$J$2:$J$964,'Исходные данные'!$D$2:$D$964,AB$3,'Исходные данные'!$F$2:$F$964,$H17&amp;"",'Исходные данные'!$L$2:$L$964,"УТТ")))</f>
        <v/>
      </c>
      <c r="AC16" s="65" t="str">
        <f aca="false">IF(SUMIFS('Исходные данные'!$I$2:$I$964,'Исходные данные'!$D$2:$D$964,AC$3,'Исходные данные'!$F$2:$F$964,$H17&amp;"",'Исходные данные'!$L$2:$L$964,"УТТ")+SUMIFS('Исходные данные'!$J$2:$J$964,'Исходные данные'!$D$2:$D$964,AC$3,'Исходные данные'!$F$2:$F$964,$H17&amp;"",'Исходные данные'!$L$2:$L$964,"УТТ")=0,"","утт-"&amp;(SUMIFS('Исходные данные'!$I$2:$I$964,'Исходные данные'!$D$2:$D$964,AC$3,'Исходные данные'!$F$2:$F$964,$H17&amp;"",'Исходные данные'!$L$2:$L$964,"УТТ")+SUMIFS('Исходные данные'!$J$2:$J$964,'Исходные данные'!$D$2:$D$964,AC$3,'Исходные данные'!$F$2:$F$964,$H17&amp;"",'Исходные данные'!$L$2:$L$964,"УТТ")))</f>
        <v/>
      </c>
      <c r="AD16" s="66" t="str">
        <f aca="false">IF(SUMIFS('Исходные данные'!$I$2:$I$964,'Исходные данные'!$D$2:$D$964,AD$3,'Исходные данные'!$F$2:$F$964,$H17&amp;"",'Исходные данные'!$L$2:$L$964,"УТТ")+SUMIFS('Исходные данные'!$J$2:$J$964,'Исходные данные'!$D$2:$D$964,AD$3,'Исходные данные'!$F$2:$F$964,$H17&amp;"",'Исходные данные'!$L$2:$L$964,"УТТ")=0,"","утт-"&amp;(SUMIFS('Исходные данные'!$I$2:$I$964,'Исходные данные'!$D$2:$D$964,AD$3,'Исходные данные'!$F$2:$F$964,$H17&amp;"",'Исходные данные'!$L$2:$L$964,"УТТ")+SUMIFS('Исходные данные'!$J$2:$J$964,'Исходные данные'!$D$2:$D$964,AD$3,'Исходные данные'!$F$2:$F$964,$H17&amp;"",'Исходные данные'!$L$2:$L$964,"УТТ")))</f>
        <v>утт-10</v>
      </c>
    </row>
    <row r="17" customFormat="false" ht="25.5" hidden="false" customHeight="true" outlineLevel="0" collapsed="false">
      <c r="A17" s="47" t="n">
        <v>15</v>
      </c>
      <c r="B17" s="32" t="s">
        <v>194</v>
      </c>
      <c r="C17" s="33" t="s">
        <v>21</v>
      </c>
      <c r="D17" s="34"/>
      <c r="E17" s="33" t="s">
        <v>195</v>
      </c>
      <c r="F17" s="33" t="s">
        <v>13</v>
      </c>
      <c r="G17" s="69"/>
      <c r="H17" s="36" t="n">
        <v>31</v>
      </c>
      <c r="I17" s="48" t="s">
        <v>62</v>
      </c>
      <c r="J17" s="49" t="n">
        <f aca="false">IFERROR(INDEX('Выход ТС'!$C:$C,MATCH($H17&amp;"",'Выход ТС'!$A:$A,0)),"")</f>
        <v>43</v>
      </c>
      <c r="K17" s="50" t="n">
        <f aca="false">IFERROR(INDEX('Выход ТС'!$E:$E,MATCH($H17&amp;"",'Выход ТС'!$A:$A,0)),"")</f>
        <v>43</v>
      </c>
      <c r="L17" s="51" t="n">
        <f aca="false">IFERROR(INDEX('Выход ТС'!$F:$F,MATCH($H17&amp;"",'Выход ТС'!$A:$A,0)),"")</f>
        <v>0</v>
      </c>
      <c r="M17" s="52" t="n">
        <f aca="false">IFERROR(IF(INDEX('Выход ТС'!$G:$G,MATCH($H17&amp;"",'Выход ТС'!$A:$A,0))=0,"",INDEX('Выход ТС'!$G:$G,MATCH($H17&amp;"",'Выход ТС'!$A:$A,0))),"")</f>
        <v>27</v>
      </c>
      <c r="N17" s="52" t="n">
        <f aca="false">IFERROR(IF(INDEX('Выход ТС'!$H:$H,MATCH($H17&amp;"",'Выход ТС'!$A:$A,0))=0,"",INDEX('Выход ТС'!$H:$H,MATCH($H17&amp;"",'Выход ТС'!$A:$A,0))),"")</f>
        <v>16</v>
      </c>
      <c r="O17" s="56" t="str">
        <f aca="false">IF(SUMIFS('Исходные данные'!$I$2:$I$964,'Исходные данные'!$D$2:$D$964,O$3,'Исходные данные'!$F$2:$F$964,$H17&amp;"")+SUMIFS('Исходные данные'!$J$2:$J$964,'Исходные данные'!$D$2:$D$964,O$3,'Исходные данные'!$F$2:$F$964,$H17&amp;"")=0,"",IF(SUMIFS('Исходные данные'!$J$2:$J$964,'Исходные данные'!$D$2:$D$964,O$3,'Исходные данные'!$F$2:$F$964,$H17&amp;"")=0,SUMIFS('Исходные данные'!$I$2:$I$964,'Исходные данные'!$D$2:$D$964,O$3,'Исходные данные'!$F$2:$F$964,$H17&amp;""),IF(SUMIFS('Исходные данные'!$I$2:$I$964,'Исходные данные'!$D$2:$D$964,O$3,'Исходные данные'!$F$2:$F$964,$H17&amp;"")=0,"0+"&amp;SUMIFS('Исходные данные'!$J$2:$J$964,'Исходные данные'!$D$2:$D$964,O$3,'Исходные данные'!$F$2:$F$964,$H17&amp;"")&amp;"="&amp;SUMIFS('Исходные данные'!$J$2:$J$964,'Исходные данные'!$D$2:$D$964,O$3,'Исходные данные'!$F$2:$F$964,$H17&amp;""),SUMIFS('Исходные данные'!$I$2:$I$964,'Исходные данные'!$D$2:$D$964,O$3,'Исходные данные'!$F$2:$F$964,$H17&amp;"")&amp;"+"&amp;SUMIFS('Исходные данные'!$J$2:$J$964,'Исходные данные'!$D$2:$D$964,O$3,'Исходные данные'!$F$2:$F$964,$H17&amp;"")&amp;"="&amp;(SUMIFS('Исходные данные'!$I$2:$I$964,'Исходные данные'!$D$2:$D$964,O$3,'Исходные данные'!$F$2:$F$964,$H17&amp;"")+SUMIFS('Исходные данные'!$J$2:$J$964,'Исходные данные'!$D$2:$D$964,O$3,'Исходные данные'!$F$2:$F$964,$H17&amp;"")))))</f>
        <v>4+1=5</v>
      </c>
      <c r="P17" s="54" t="str">
        <f aca="false">IF(SUMIFS('Исходные данные'!$I$2:$I$964,'Исходные данные'!$D$2:$D$964,P$3,'Исходные данные'!$F$2:$F$964,$H17&amp;"")+SUMIFS('Исходные данные'!$J$2:$J$964,'Исходные данные'!$D$2:$D$964,P$3,'Исходные данные'!$F$2:$F$964,$H17&amp;"")=0,"",IF(SUMIFS('Исходные данные'!$J$2:$J$964,'Исходные данные'!$D$2:$D$964,P$3,'Исходные данные'!$F$2:$F$964,$H17&amp;"")=0,SUMIFS('Исходные данные'!$I$2:$I$964,'Исходные данные'!$D$2:$D$964,P$3,'Исходные данные'!$F$2:$F$964,$H17&amp;""),IF(SUMIFS('Исходные данные'!$I$2:$I$964,'Исходные данные'!$D$2:$D$964,P$3,'Исходные данные'!$F$2:$F$964,$H17&amp;"")=0,"0+"&amp;SUMIFS('Исходные данные'!$J$2:$J$964,'Исходные данные'!$D$2:$D$964,P$3,'Исходные данные'!$F$2:$F$964,$H17&amp;"")&amp;"="&amp;SUMIFS('Исходные данные'!$J$2:$J$964,'Исходные данные'!$D$2:$D$964,P$3,'Исходные данные'!$F$2:$F$964,$H17&amp;""),SUMIFS('Исходные данные'!$I$2:$I$964,'Исходные данные'!$D$2:$D$964,P$3,'Исходные данные'!$F$2:$F$964,$H17&amp;"")&amp;"+"&amp;SUMIFS('Исходные данные'!$J$2:$J$964,'Исходные данные'!$D$2:$D$964,P$3,'Исходные данные'!$F$2:$F$964,$H17&amp;"")&amp;"="&amp;(SUMIFS('Исходные данные'!$I$2:$I$964,'Исходные данные'!$D$2:$D$964,P$3,'Исходные данные'!$F$2:$F$964,$H17&amp;"")+SUMIFS('Исходные данные'!$J$2:$J$964,'Исходные данные'!$D$2:$D$964,P$3,'Исходные данные'!$F$2:$F$964,$H17&amp;"")))))</f>
        <v/>
      </c>
      <c r="Q17" s="54" t="str">
        <f aca="false">IF(SUMIFS('Исходные данные'!$I$2:$I$964,'Исходные данные'!$D$2:$D$964,Q$3,'Исходные данные'!$F$2:$F$964,$H17&amp;"")+SUMIFS('Исходные данные'!$J$2:$J$964,'Исходные данные'!$D$2:$D$964,Q$3,'Исходные данные'!$F$2:$F$964,$H17&amp;"")=0,"",IF(SUMIFS('Исходные данные'!$J$2:$J$964,'Исходные данные'!$D$2:$D$964,Q$3,'Исходные данные'!$F$2:$F$964,$H17&amp;"")=0,SUMIFS('Исходные данные'!$I$2:$I$964,'Исходные данные'!$D$2:$D$964,Q$3,'Исходные данные'!$F$2:$F$964,$H17&amp;""),IF(SUMIFS('Исходные данные'!$I$2:$I$964,'Исходные данные'!$D$2:$D$964,Q$3,'Исходные данные'!$F$2:$F$964,$H17&amp;"")=0,"0+"&amp;SUMIFS('Исходные данные'!$J$2:$J$964,'Исходные данные'!$D$2:$D$964,Q$3,'Исходные данные'!$F$2:$F$964,$H17&amp;"")&amp;"="&amp;SUMIFS('Исходные данные'!$J$2:$J$964,'Исходные данные'!$D$2:$D$964,Q$3,'Исходные данные'!$F$2:$F$964,$H17&amp;""),SUMIFS('Исходные данные'!$I$2:$I$964,'Исходные данные'!$D$2:$D$964,Q$3,'Исходные данные'!$F$2:$F$964,$H17&amp;"")&amp;"+"&amp;SUMIFS('Исходные данные'!$J$2:$J$964,'Исходные данные'!$D$2:$D$964,Q$3,'Исходные данные'!$F$2:$F$964,$H17&amp;"")&amp;"="&amp;(SUMIFS('Исходные данные'!$I$2:$I$964,'Исходные данные'!$D$2:$D$964,Q$3,'Исходные данные'!$F$2:$F$964,$H17&amp;"")+SUMIFS('Исходные данные'!$J$2:$J$964,'Исходные данные'!$D$2:$D$964,Q$3,'Исходные данные'!$F$2:$F$964,$H17&amp;"")))))</f>
        <v>12+3=15</v>
      </c>
      <c r="R17" s="55" t="str">
        <f aca="false">IF(SUMIFS('Исходные данные'!$I$2:$I$964,'Исходные данные'!$D$2:$D$964,R$3,'Исходные данные'!$F$2:$F$964,$H17&amp;"")+SUMIFS('Исходные данные'!$J$2:$J$964,'Исходные данные'!$D$2:$D$964,R$3,'Исходные данные'!$F$2:$F$964,$H17&amp;"")=0,"",IF(SUMIFS('Исходные данные'!$J$2:$J$964,'Исходные данные'!$D$2:$D$964,R$3,'Исходные данные'!$F$2:$F$964,$H17&amp;"")=0,SUMIFS('Исходные данные'!$I$2:$I$964,'Исходные данные'!$D$2:$D$964,R$3,'Исходные данные'!$F$2:$F$964,$H17&amp;""),IF(SUMIFS('Исходные данные'!$I$2:$I$964,'Исходные данные'!$D$2:$D$964,R$3,'Исходные данные'!$F$2:$F$964,$H17&amp;"")=0,"0+"&amp;SUMIFS('Исходные данные'!$J$2:$J$964,'Исходные данные'!$D$2:$D$964,R$3,'Исходные данные'!$F$2:$F$964,$H17&amp;"")&amp;"="&amp;SUMIFS('Исходные данные'!$J$2:$J$964,'Исходные данные'!$D$2:$D$964,R$3,'Исходные данные'!$F$2:$F$964,$H17&amp;""),SUMIFS('Исходные данные'!$I$2:$I$964,'Исходные данные'!$D$2:$D$964,R$3,'Исходные данные'!$F$2:$F$964,$H17&amp;"")&amp;"+"&amp;SUMIFS('Исходные данные'!$J$2:$J$964,'Исходные данные'!$D$2:$D$964,R$3,'Исходные данные'!$F$2:$F$964,$H17&amp;"")&amp;"="&amp;(SUMIFS('Исходные данные'!$I$2:$I$964,'Исходные данные'!$D$2:$D$964,R$3,'Исходные данные'!$F$2:$F$964,$H17&amp;"")+SUMIFS('Исходные данные'!$J$2:$J$964,'Исходные данные'!$D$2:$D$964,R$3,'Исходные данные'!$F$2:$F$964,$H17&amp;"")))))</f>
        <v/>
      </c>
      <c r="S17" s="54" t="str">
        <f aca="false">IF(SUMIFS('Исходные данные'!$I$2:$I$964,'Исходные данные'!$D$2:$D$964,S$3,'Исходные данные'!$F$2:$F$964,$H17&amp;"")+SUMIFS('Исходные данные'!$J$2:$J$964,'Исходные данные'!$D$2:$D$964,S$3,'Исходные данные'!$F$2:$F$964,$H17&amp;"")=0,"",IF(SUMIFS('Исходные данные'!$J$2:$J$964,'Исходные данные'!$D$2:$D$964,S$3,'Исходные данные'!$F$2:$F$964,$H17&amp;"")=0,SUMIFS('Исходные данные'!$I$2:$I$964,'Исходные данные'!$D$2:$D$964,S$3,'Исходные данные'!$F$2:$F$964,$H17&amp;""),IF(SUMIFS('Исходные данные'!$I$2:$I$964,'Исходные данные'!$D$2:$D$964,S$3,'Исходные данные'!$F$2:$F$964,$H17&amp;"")=0,"0+"&amp;SUMIFS('Исходные данные'!$J$2:$J$964,'Исходные данные'!$D$2:$D$964,S$3,'Исходные данные'!$F$2:$F$964,$H17&amp;"")&amp;"="&amp;SUMIFS('Исходные данные'!$J$2:$J$964,'Исходные данные'!$D$2:$D$964,S$3,'Исходные данные'!$F$2:$F$964,$H17&amp;""),SUMIFS('Исходные данные'!$I$2:$I$964,'Исходные данные'!$D$2:$D$964,S$3,'Исходные данные'!$F$2:$F$964,$H17&amp;"")&amp;"+"&amp;SUMIFS('Исходные данные'!$J$2:$J$964,'Исходные данные'!$D$2:$D$964,S$3,'Исходные данные'!$F$2:$F$964,$H17&amp;"")&amp;"="&amp;(SUMIFS('Исходные данные'!$I$2:$I$964,'Исходные данные'!$D$2:$D$964,S$3,'Исходные данные'!$F$2:$F$964,$H17&amp;"")+SUMIFS('Исходные данные'!$J$2:$J$964,'Исходные данные'!$D$2:$D$964,S$3,'Исходные данные'!$F$2:$F$964,$H17&amp;"")))))</f>
        <v/>
      </c>
      <c r="T17" s="53" t="str">
        <f aca="false">IF(SUMIFS('Исходные данные'!$I$2:$I$964,'Исходные данные'!$D$2:$D$964,T$3,'Исходные данные'!$F$2:$F$964,$H17&amp;"")+SUMIFS('Исходные данные'!$J$2:$J$964,'Исходные данные'!$D$2:$D$964,T$3,'Исходные данные'!$F$2:$F$964,$H17&amp;"")=0,"",IF(SUMIFS('Исходные данные'!$J$2:$J$964,'Исходные данные'!$D$2:$D$964,T$3,'Исходные данные'!$F$2:$F$964,$H17&amp;"")=0,SUMIFS('Исходные данные'!$I$2:$I$964,'Исходные данные'!$D$2:$D$964,T$3,'Исходные данные'!$F$2:$F$964,$H17&amp;""),IF(SUMIFS('Исходные данные'!$I$2:$I$964,'Исходные данные'!$D$2:$D$964,T$3,'Исходные данные'!$F$2:$F$964,$H17&amp;"")=0,"0+"&amp;SUMIFS('Исходные данные'!$J$2:$J$964,'Исходные данные'!$D$2:$D$964,T$3,'Исходные данные'!$F$2:$F$964,$H17&amp;"")&amp;"="&amp;SUMIFS('Исходные данные'!$J$2:$J$964,'Исходные данные'!$D$2:$D$964,T$3,'Исходные данные'!$F$2:$F$964,$H17&amp;""),SUMIFS('Исходные данные'!$I$2:$I$964,'Исходные данные'!$D$2:$D$964,T$3,'Исходные данные'!$F$2:$F$964,$H17&amp;"")&amp;"+"&amp;SUMIFS('Исходные данные'!$J$2:$J$964,'Исходные данные'!$D$2:$D$964,T$3,'Исходные данные'!$F$2:$F$964,$H17&amp;"")&amp;"="&amp;(SUMIFS('Исходные данные'!$I$2:$I$964,'Исходные данные'!$D$2:$D$964,T$3,'Исходные данные'!$F$2:$F$964,$H17&amp;"")+SUMIFS('Исходные данные'!$J$2:$J$964,'Исходные данные'!$D$2:$D$964,T$3,'Исходные данные'!$F$2:$F$964,$H17&amp;"")))))</f>
        <v/>
      </c>
      <c r="U17" s="54" t="str">
        <f aca="false">IF(SUMIFS('Исходные данные'!$I$2:$I$964,'Исходные данные'!$D$2:$D$964,U$3,'Исходные данные'!$F$2:$F$964,$H17&amp;"")+SUMIFS('Исходные данные'!$J$2:$J$964,'Исходные данные'!$D$2:$D$964,U$3,'Исходные данные'!$F$2:$F$964,$H17&amp;"")=0,"",IF(SUMIFS('Исходные данные'!$J$2:$J$964,'Исходные данные'!$D$2:$D$964,U$3,'Исходные данные'!$F$2:$F$964,$H17&amp;"")=0,SUMIFS('Исходные данные'!$I$2:$I$964,'Исходные данные'!$D$2:$D$964,U$3,'Исходные данные'!$F$2:$F$964,$H17&amp;""),IF(SUMIFS('Исходные данные'!$I$2:$I$964,'Исходные данные'!$D$2:$D$964,U$3,'Исходные данные'!$F$2:$F$964,$H17&amp;"")=0,"0+"&amp;SUMIFS('Исходные данные'!$J$2:$J$964,'Исходные данные'!$D$2:$D$964,U$3,'Исходные данные'!$F$2:$F$964,$H17&amp;"")&amp;"="&amp;SUMIFS('Исходные данные'!$J$2:$J$964,'Исходные данные'!$D$2:$D$964,U$3,'Исходные данные'!$F$2:$F$964,$H17&amp;""),SUMIFS('Исходные данные'!$I$2:$I$964,'Исходные данные'!$D$2:$D$964,U$3,'Исходные данные'!$F$2:$F$964,$H17&amp;"")&amp;"+"&amp;SUMIFS('Исходные данные'!$J$2:$J$964,'Исходные данные'!$D$2:$D$964,U$3,'Исходные данные'!$F$2:$F$964,$H17&amp;"")&amp;"="&amp;(SUMIFS('Исходные данные'!$I$2:$I$964,'Исходные данные'!$D$2:$D$964,U$3,'Исходные данные'!$F$2:$F$964,$H17&amp;"")+SUMIFS('Исходные данные'!$J$2:$J$964,'Исходные данные'!$D$2:$D$964,U$3,'Исходные данные'!$F$2:$F$964,$H17&amp;"")))))</f>
        <v/>
      </c>
      <c r="V17" s="53" t="str">
        <f aca="false">IF(SUMIFS('Исходные данные'!$I$2:$I$964,'Исходные данные'!$D$2:$D$964,V$3,'Исходные данные'!$F$2:$F$964,$H17&amp;"")+SUMIFS('Исходные данные'!$J$2:$J$964,'Исходные данные'!$D$2:$D$964,V$3,'Исходные данные'!$F$2:$F$964,$H17&amp;"")=0,"",IF(SUMIFS('Исходные данные'!$J$2:$J$964,'Исходные данные'!$D$2:$D$964,V$3,'Исходные данные'!$F$2:$F$964,$H17&amp;"")=0,SUMIFS('Исходные данные'!$I$2:$I$964,'Исходные данные'!$D$2:$D$964,V$3,'Исходные данные'!$F$2:$F$964,$H17&amp;""),IF(SUMIFS('Исходные данные'!$I$2:$I$964,'Исходные данные'!$D$2:$D$964,V$3,'Исходные данные'!$F$2:$F$964,$H17&amp;"")=0,"0+"&amp;SUMIFS('Исходные данные'!$J$2:$J$964,'Исходные данные'!$D$2:$D$964,V$3,'Исходные данные'!$F$2:$F$964,$H17&amp;"")&amp;"="&amp;SUMIFS('Исходные данные'!$J$2:$J$964,'Исходные данные'!$D$2:$D$964,V$3,'Исходные данные'!$F$2:$F$964,$H17&amp;""),SUMIFS('Исходные данные'!$I$2:$I$964,'Исходные данные'!$D$2:$D$964,V$3,'Исходные данные'!$F$2:$F$964,$H17&amp;"")&amp;"+"&amp;SUMIFS('Исходные данные'!$J$2:$J$964,'Исходные данные'!$D$2:$D$964,V$3,'Исходные данные'!$F$2:$F$964,$H17&amp;"")&amp;"="&amp;(SUMIFS('Исходные данные'!$I$2:$I$964,'Исходные данные'!$D$2:$D$964,V$3,'Исходные данные'!$F$2:$F$964,$H17&amp;"")+SUMIFS('Исходные данные'!$J$2:$J$964,'Исходные данные'!$D$2:$D$964,V$3,'Исходные данные'!$F$2:$F$964,$H17&amp;"")))))</f>
        <v/>
      </c>
      <c r="W17" s="54" t="n">
        <f aca="false">IF(SUMIFS('Исходные данные'!$I$2:$I$964,'Исходные данные'!$D$2:$D$964,W$3,'Исходные данные'!$F$2:$F$964,$H17&amp;"")+SUMIFS('Исходные данные'!$J$2:$J$964,'Исходные данные'!$D$2:$D$964,W$3,'Исходные данные'!$F$2:$F$964,$H17&amp;"")=0,"",IF(SUMIFS('Исходные данные'!$J$2:$J$964,'Исходные данные'!$D$2:$D$964,W$3,'Исходные данные'!$F$2:$F$964,$H17&amp;"")=0,SUMIFS('Исходные данные'!$I$2:$I$964,'Исходные данные'!$D$2:$D$964,W$3,'Исходные данные'!$F$2:$F$964,$H17&amp;""),IF(SUMIFS('Исходные данные'!$I$2:$I$964,'Исходные данные'!$D$2:$D$964,W$3,'Исходные данные'!$F$2:$F$964,$H17&amp;"")=0,"0+"&amp;SUMIFS('Исходные данные'!$J$2:$J$964,'Исходные данные'!$D$2:$D$964,W$3,'Исходные данные'!$F$2:$F$964,$H17&amp;"")&amp;"="&amp;SUMIFS('Исходные данные'!$J$2:$J$964,'Исходные данные'!$D$2:$D$964,W$3,'Исходные данные'!$F$2:$F$964,$H17&amp;""),SUMIFS('Исходные данные'!$I$2:$I$964,'Исходные данные'!$D$2:$D$964,W$3,'Исходные данные'!$F$2:$F$964,$H17&amp;"")&amp;"+"&amp;SUMIFS('Исходные данные'!$J$2:$J$964,'Исходные данные'!$D$2:$D$964,W$3,'Исходные данные'!$F$2:$F$964,$H17&amp;"")&amp;"="&amp;(SUMIFS('Исходные данные'!$I$2:$I$964,'Исходные данные'!$D$2:$D$964,W$3,'Исходные данные'!$F$2:$F$964,$H17&amp;"")+SUMIFS('Исходные данные'!$J$2:$J$964,'Исходные данные'!$D$2:$D$964,W$3,'Исходные данные'!$F$2:$F$964,$H17&amp;"")))))</f>
        <v>1</v>
      </c>
      <c r="X17" s="54" t="str">
        <f aca="false">IF(SUMIFS('Исходные данные'!$I$2:$I$964,'Исходные данные'!$D$2:$D$964,X$3,'Исходные данные'!$F$2:$F$964,$H17&amp;"")+SUMIFS('Исходные данные'!$J$2:$J$964,'Исходные данные'!$D$2:$D$964,X$3,'Исходные данные'!$F$2:$F$964,$H17&amp;"")=0,"",IF(SUMIFS('Исходные данные'!$J$2:$J$964,'Исходные данные'!$D$2:$D$964,X$3,'Исходные данные'!$F$2:$F$964,$H17&amp;"")=0,SUMIFS('Исходные данные'!$I$2:$I$964,'Исходные данные'!$D$2:$D$964,X$3,'Исходные данные'!$F$2:$F$964,$H17&amp;""),IF(SUMIFS('Исходные данные'!$I$2:$I$964,'Исходные данные'!$D$2:$D$964,X$3,'Исходные данные'!$F$2:$F$964,$H17&amp;"")=0,"0+"&amp;SUMIFS('Исходные данные'!$J$2:$J$964,'Исходные данные'!$D$2:$D$964,X$3,'Исходные данные'!$F$2:$F$964,$H17&amp;"")&amp;"="&amp;SUMIFS('Исходные данные'!$J$2:$J$964,'Исходные данные'!$D$2:$D$964,X$3,'Исходные данные'!$F$2:$F$964,$H17&amp;""),SUMIFS('Исходные данные'!$I$2:$I$964,'Исходные данные'!$D$2:$D$964,X$3,'Исходные данные'!$F$2:$F$964,$H17&amp;"")&amp;"+"&amp;SUMIFS('Исходные данные'!$J$2:$J$964,'Исходные данные'!$D$2:$D$964,X$3,'Исходные данные'!$F$2:$F$964,$H17&amp;"")&amp;"="&amp;(SUMIFS('Исходные данные'!$I$2:$I$964,'Исходные данные'!$D$2:$D$964,X$3,'Исходные данные'!$F$2:$F$964,$H17&amp;"")+SUMIFS('Исходные данные'!$J$2:$J$964,'Исходные данные'!$D$2:$D$964,X$3,'Исходные данные'!$F$2:$F$964,$H17&amp;"")))))</f>
        <v/>
      </c>
      <c r="Y17" s="56" t="str">
        <f aca="false">IF(SUMIFS('Исходные данные'!$I$2:$I$964,'Исходные данные'!$D$2:$D$964,Y$3,'Исходные данные'!$F$2:$F$964,$H17&amp;"")+SUMIFS('Исходные данные'!$J$2:$J$964,'Исходные данные'!$D$2:$D$964,Y$3,'Исходные данные'!$F$2:$F$964,$H17&amp;"")=0,"",IF(SUMIFS('Исходные данные'!$J$2:$J$964,'Исходные данные'!$D$2:$D$964,Y$3,'Исходные данные'!$F$2:$F$964,$H17&amp;"")=0,SUMIFS('Исходные данные'!$I$2:$I$964,'Исходные данные'!$D$2:$D$964,Y$3,'Исходные данные'!$F$2:$F$964,$H17&amp;""),IF(SUMIFS('Исходные данные'!$I$2:$I$964,'Исходные данные'!$D$2:$D$964,Y$3,'Исходные данные'!$F$2:$F$964,$H17&amp;"")=0,"0+"&amp;SUMIFS('Исходные данные'!$J$2:$J$964,'Исходные данные'!$D$2:$D$964,Y$3,'Исходные данные'!$F$2:$F$964,$H17&amp;"")&amp;"="&amp;SUMIFS('Исходные данные'!$J$2:$J$964,'Исходные данные'!$D$2:$D$964,Y$3,'Исходные данные'!$F$2:$F$964,$H17&amp;""),SUMIFS('Исходные данные'!$I$2:$I$964,'Исходные данные'!$D$2:$D$964,Y$3,'Исходные данные'!$F$2:$F$964,$H17&amp;"")&amp;"+"&amp;SUMIFS('Исходные данные'!$J$2:$J$964,'Исходные данные'!$D$2:$D$964,Y$3,'Исходные данные'!$F$2:$F$964,$H17&amp;"")&amp;"="&amp;(SUMIFS('Исходные данные'!$I$2:$I$964,'Исходные данные'!$D$2:$D$964,Y$3,'Исходные данные'!$F$2:$F$964,$H17&amp;"")+SUMIFS('Исходные данные'!$J$2:$J$964,'Исходные данные'!$D$2:$D$964,Y$3,'Исходные данные'!$F$2:$F$964,$H17&amp;"")))))</f>
        <v/>
      </c>
      <c r="Z17" s="53" t="str">
        <f aca="false">IF(SUMIFS('Исходные данные'!$I$2:$I$964,'Исходные данные'!$D$2:$D$964,Z$3,'Исходные данные'!$F$2:$F$964,$H17&amp;"")+SUMIFS('Исходные данные'!$J$2:$J$964,'Исходные данные'!$D$2:$D$964,Z$3,'Исходные данные'!$F$2:$F$964,$H17&amp;"")=0,"",IF(SUMIFS('Исходные данные'!$J$2:$J$964,'Исходные данные'!$D$2:$D$964,Z$3,'Исходные данные'!$F$2:$F$964,$H17&amp;"")=0,SUMIFS('Исходные данные'!$I$2:$I$964,'Исходные данные'!$D$2:$D$964,Z$3,'Исходные данные'!$F$2:$F$964,$H17&amp;""),IF(SUMIFS('Исходные данные'!$I$2:$I$964,'Исходные данные'!$D$2:$D$964,Z$3,'Исходные данные'!$F$2:$F$964,$H17&amp;"")=0,"0+"&amp;SUMIFS('Исходные данные'!$J$2:$J$964,'Исходные данные'!$D$2:$D$964,Z$3,'Исходные данные'!$F$2:$F$964,$H17&amp;"")&amp;"="&amp;SUMIFS('Исходные данные'!$J$2:$J$964,'Исходные данные'!$D$2:$D$964,Z$3,'Исходные данные'!$F$2:$F$964,$H17&amp;""),SUMIFS('Исходные данные'!$I$2:$I$964,'Исходные данные'!$D$2:$D$964,Z$3,'Исходные данные'!$F$2:$F$964,$H17&amp;"")&amp;"+"&amp;SUMIFS('Исходные данные'!$J$2:$J$964,'Исходные данные'!$D$2:$D$964,Z$3,'Исходные данные'!$F$2:$F$964,$H17&amp;"")&amp;"="&amp;(SUMIFS('Исходные данные'!$I$2:$I$964,'Исходные данные'!$D$2:$D$964,Z$3,'Исходные данные'!$F$2:$F$964,$H17&amp;"")+SUMIFS('Исходные данные'!$J$2:$J$964,'Исходные данные'!$D$2:$D$964,Z$3,'Исходные данные'!$F$2:$F$964,$H17&amp;"")))))</f>
        <v/>
      </c>
      <c r="AA17" s="54" t="str">
        <f aca="false">IF(SUMIFS('Исходные данные'!$I$2:$I$964,'Исходные данные'!$D$2:$D$964,AA$3,'Исходные данные'!$F$2:$F$964,$H17&amp;"")+SUMIFS('Исходные данные'!$J$2:$J$964,'Исходные данные'!$D$2:$D$964,AA$3,'Исходные данные'!$F$2:$F$964,$H17&amp;"")=0,"",IF(SUMIFS('Исходные данные'!$J$2:$J$964,'Исходные данные'!$D$2:$D$964,AA$3,'Исходные данные'!$F$2:$F$964,$H17&amp;"")=0,SUMIFS('Исходные данные'!$I$2:$I$964,'Исходные данные'!$D$2:$D$964,AA$3,'Исходные данные'!$F$2:$F$964,$H17&amp;""),IF(SUMIFS('Исходные данные'!$I$2:$I$964,'Исходные данные'!$D$2:$D$964,AA$3,'Исходные данные'!$F$2:$F$964,$H17&amp;"")=0,"0+"&amp;SUMIFS('Исходные данные'!$J$2:$J$964,'Исходные данные'!$D$2:$D$964,AA$3,'Исходные данные'!$F$2:$F$964,$H17&amp;"")&amp;"="&amp;SUMIFS('Исходные данные'!$J$2:$J$964,'Исходные данные'!$D$2:$D$964,AA$3,'Исходные данные'!$F$2:$F$964,$H17&amp;""),SUMIFS('Исходные данные'!$I$2:$I$964,'Исходные данные'!$D$2:$D$964,AA$3,'Исходные данные'!$F$2:$F$964,$H17&amp;"")&amp;"+"&amp;SUMIFS('Исходные данные'!$J$2:$J$964,'Исходные данные'!$D$2:$D$964,AA$3,'Исходные данные'!$F$2:$F$964,$H17&amp;"")&amp;"="&amp;(SUMIFS('Исходные данные'!$I$2:$I$964,'Исходные данные'!$D$2:$D$964,AA$3,'Исходные данные'!$F$2:$F$964,$H17&amp;"")+SUMIFS('Исходные данные'!$J$2:$J$964,'Исходные данные'!$D$2:$D$964,AA$3,'Исходные данные'!$F$2:$F$964,$H17&amp;"")))))</f>
        <v/>
      </c>
      <c r="AB17" s="54" t="str">
        <f aca="false">IF(SUMIFS('Исходные данные'!$I$2:$I$964,'Исходные данные'!$D$2:$D$964,AB$3,'Исходные данные'!$F$2:$F$964,$H17&amp;"")+SUMIFS('Исходные данные'!$J$2:$J$964,'Исходные данные'!$D$2:$D$964,AB$3,'Исходные данные'!$F$2:$F$964,$H17&amp;"")=0,"",IF(SUMIFS('Исходные данные'!$J$2:$J$964,'Исходные данные'!$D$2:$D$964,AB$3,'Исходные данные'!$F$2:$F$964,$H17&amp;"")=0,SUMIFS('Исходные данные'!$I$2:$I$964,'Исходные данные'!$D$2:$D$964,AB$3,'Исходные данные'!$F$2:$F$964,$H17&amp;""),IF(SUMIFS('Исходные данные'!$I$2:$I$964,'Исходные данные'!$D$2:$D$964,AB$3,'Исходные данные'!$F$2:$F$964,$H17&amp;"")=0,"0+"&amp;SUMIFS('Исходные данные'!$J$2:$J$964,'Исходные данные'!$D$2:$D$964,AB$3,'Исходные данные'!$F$2:$F$964,$H17&amp;"")&amp;"="&amp;SUMIFS('Исходные данные'!$J$2:$J$964,'Исходные данные'!$D$2:$D$964,AB$3,'Исходные данные'!$F$2:$F$964,$H17&amp;""),SUMIFS('Исходные данные'!$I$2:$I$964,'Исходные данные'!$D$2:$D$964,AB$3,'Исходные данные'!$F$2:$F$964,$H17&amp;"")&amp;"+"&amp;SUMIFS('Исходные данные'!$J$2:$J$964,'Исходные данные'!$D$2:$D$964,AB$3,'Исходные данные'!$F$2:$F$964,$H17&amp;"")&amp;"="&amp;(SUMIFS('Исходные данные'!$I$2:$I$964,'Исходные данные'!$D$2:$D$964,AB$3,'Исходные данные'!$F$2:$F$964,$H17&amp;"")+SUMIFS('Исходные данные'!$J$2:$J$964,'Исходные данные'!$D$2:$D$964,AB$3,'Исходные данные'!$F$2:$F$964,$H17&amp;"")))))</f>
        <v/>
      </c>
      <c r="AC17" s="56" t="str">
        <f aca="false">IF(SUMIFS('Исходные данные'!$I$2:$I$964,'Исходные данные'!$D$2:$D$964,AC$3,'Исходные данные'!$F$2:$F$964,$H17&amp;"")+SUMIFS('Исходные данные'!$J$2:$J$964,'Исходные данные'!$D$2:$D$964,AC$3,'Исходные данные'!$F$2:$F$964,$H17&amp;"")=0,"",IF(SUMIFS('Исходные данные'!$J$2:$J$964,'Исходные данные'!$D$2:$D$964,AC$3,'Исходные данные'!$F$2:$F$964,$H17&amp;"")=0,SUMIFS('Исходные данные'!$I$2:$I$964,'Исходные данные'!$D$2:$D$964,AC$3,'Исходные данные'!$F$2:$F$964,$H17&amp;""),IF(SUMIFS('Исходные данные'!$I$2:$I$964,'Исходные данные'!$D$2:$D$964,AC$3,'Исходные данные'!$F$2:$F$964,$H17&amp;"")=0,"0+"&amp;SUMIFS('Исходные данные'!$J$2:$J$964,'Исходные данные'!$D$2:$D$964,AC$3,'Исходные данные'!$F$2:$F$964,$H17&amp;"")&amp;"="&amp;SUMIFS('Исходные данные'!$J$2:$J$964,'Исходные данные'!$D$2:$D$964,AC$3,'Исходные данные'!$F$2:$F$964,$H17&amp;""),SUMIFS('Исходные данные'!$I$2:$I$964,'Исходные данные'!$D$2:$D$964,AC$3,'Исходные данные'!$F$2:$F$964,$H17&amp;"")&amp;"+"&amp;SUMIFS('Исходные данные'!$J$2:$J$964,'Исходные данные'!$D$2:$D$964,AC$3,'Исходные данные'!$F$2:$F$964,$H17&amp;"")&amp;"="&amp;(SUMIFS('Исходные данные'!$I$2:$I$964,'Исходные данные'!$D$2:$D$964,AC$3,'Исходные данные'!$F$2:$F$964,$H17&amp;"")+SUMIFS('Исходные данные'!$J$2:$J$964,'Исходные данные'!$D$2:$D$964,AC$3,'Исходные данные'!$F$2:$F$964,$H17&amp;"")))))</f>
        <v>5+7=12</v>
      </c>
      <c r="AD17" s="54" t="str">
        <f aca="false">IF(SUMIFS('Исходные данные'!$I$2:$I$964,'Исходные данные'!$D$2:$D$964,AD$3,'Исходные данные'!$F$2:$F$964,$H17&amp;"")+SUMIFS('Исходные данные'!$J$2:$J$964,'Исходные данные'!$D$2:$D$964,AD$3,'Исходные данные'!$F$2:$F$964,$H17&amp;"")=0,"",IF(SUMIFS('Исходные данные'!$J$2:$J$964,'Исходные данные'!$D$2:$D$964,AD$3,'Исходные данные'!$F$2:$F$964,$H17&amp;"")=0,SUMIFS('Исходные данные'!$I$2:$I$964,'Исходные данные'!$D$2:$D$964,AD$3,'Исходные данные'!$F$2:$F$964,$H17&amp;""),IF(SUMIFS('Исходные данные'!$I$2:$I$964,'Исходные данные'!$D$2:$D$964,AD$3,'Исходные данные'!$F$2:$F$964,$H17&amp;"")=0,"0+"&amp;SUMIFS('Исходные данные'!$J$2:$J$964,'Исходные данные'!$D$2:$D$964,AD$3,'Исходные данные'!$F$2:$F$964,$H17&amp;"")&amp;"="&amp;SUMIFS('Исходные данные'!$J$2:$J$964,'Исходные данные'!$D$2:$D$964,AD$3,'Исходные данные'!$F$2:$F$964,$H17&amp;""),SUMIFS('Исходные данные'!$I$2:$I$964,'Исходные данные'!$D$2:$D$964,AD$3,'Исходные данные'!$F$2:$F$964,$H17&amp;"")&amp;"+"&amp;SUMIFS('Исходные данные'!$J$2:$J$964,'Исходные данные'!$D$2:$D$964,AD$3,'Исходные данные'!$F$2:$F$964,$H17&amp;"")&amp;"="&amp;(SUMIFS('Исходные данные'!$I$2:$I$964,'Исходные данные'!$D$2:$D$964,AD$3,'Исходные данные'!$F$2:$F$964,$H17&amp;"")+SUMIFS('Исходные данные'!$J$2:$J$964,'Исходные данные'!$D$2:$D$964,AD$3,'Исходные данные'!$F$2:$F$964,$H17&amp;"")))))</f>
        <v>5+5=10</v>
      </c>
      <c r="AE17" s="57" t="n">
        <f aca="false">IFERROR(INDEX('Выход ТС'!$K:$K,MATCH($H17&amp;"",'Выход ТС'!$A:$A,0))+INDEX('Выход ТС'!$L:$L,MATCH($H17&amp;"",'Выход ТС'!$A:$A,0))-INDEX('Выход ТС'!$I:$I,MATCH($H17&amp;"",'Выход ТС'!$A:$A,0))-INDEX('Выход ТС'!$J:$J,MATCH($H17&amp;"",'Выход ТС'!$A:$A,0)),"")</f>
        <v>0</v>
      </c>
      <c r="AF17" s="57" t="n">
        <f aca="false">IFERROR(INDEX('Выход ТС'!$O:$O,MATCH($H17&amp;"",'Выход ТС'!$A:$A,0))+INDEX('Выход ТС'!$P:$P,MATCH($H17&amp;"",'Выход ТС'!$A:$A,0))-INDEX('Выход ТС'!$M:$M,MATCH($H17&amp;"",'Выход ТС'!$A:$A,0))-INDEX('Выход ТС'!$N:$N,MATCH($H17&amp;"",'Выход ТС'!$A:$A,0)),"")</f>
        <v>-1</v>
      </c>
      <c r="AG17" s="57" t="n">
        <f aca="false">IFERROR(INDEX('Выход ТС'!$S:$S,MATCH($H17&amp;"",'Выход ТС'!$A:$A,0))+INDEX('Выход ТС'!$T:$T,MATCH($H17&amp;"",'Выход ТС'!$A:$A,0))-INDEX('Выход ТС'!$Q:$Q,MATCH($H17&amp;"",'Выход ТС'!$A:$A,0))-INDEX('Выход ТС'!$R:$R,MATCH($H17&amp;"",'Выход ТС'!$A:$A,0)),"")</f>
        <v>1</v>
      </c>
      <c r="AH17" s="57" t="n">
        <f aca="false">IFERROR(INDEX('Выход ТС'!$W:$W,MATCH($H17&amp;"",'Выход ТС'!$A:$A,0))+INDEX('Выход ТС'!$X:$X,MATCH($H17&amp;"",'Выход ТС'!$A:$A,0))-INDEX('Выход ТС'!$U:$U,MATCH($H17&amp;"",'Выход ТС'!$A:$A,0))-INDEX('Выход ТС'!$V:$V,MATCH($H17&amp;"",'Выход ТС'!$A:$A,0)),"")</f>
        <v>0</v>
      </c>
      <c r="AI17" s="57" t="n">
        <f aca="false">IFERROR(INDEX('Выход ТС'!$AA:$AA,MATCH($H17&amp;"",'Выход ТС'!$A:$A,0))+INDEX('Выход ТС'!$AB:$AB,MATCH($H17&amp;"",'Выход ТС'!$A:$A,0))-INDEX('Выход ТС'!$Y:$Y,MATCH($H17&amp;"",'Выход ТС'!$A:$A,0))-INDEX('Выход ТС'!$Z:$Z,MATCH($H17&amp;"",'Выход ТС'!$A:$A,0)),"")</f>
        <v>0</v>
      </c>
      <c r="AJ17" s="57" t="n">
        <f aca="false">IFERROR(INDEX('Выход ТС'!$AE:$AE,MATCH($H17&amp;"",'Выход ТС'!$A:$A,0))+INDEX('Выход ТС'!$AF:$AF,MATCH($H17&amp;"",'Выход ТС'!$A:$A,0))-INDEX('Выход ТС'!$AC:$AC,MATCH($H17&amp;"",'Выход ТС'!$A:$A,0))-INDEX('Выход ТС'!$AD:$AD,MATCH($H17&amp;"",'Выход ТС'!$A:$A,0)),"")</f>
        <v>0</v>
      </c>
      <c r="AK17" s="57" t="n">
        <f aca="false">IFERROR(INDEX('Выход ТС'!$AI:$AI,MATCH($H17&amp;"",'Выход ТС'!$A:$A,0))+INDEX('Выход ТС'!$AJ:$AJ,MATCH($H17&amp;"",'Выход ТС'!$A:$A,0))-INDEX('Выход ТС'!$AG:$AG,MATCH($H17&amp;"",'Выход ТС'!$A:$A,0))-INDEX('Выход ТС'!$AH:$AH,MATCH($H17&amp;"",'Выход ТС'!$A:$A,0)),"")</f>
        <v>0</v>
      </c>
      <c r="AL17" s="57" t="n">
        <f aca="false">IFERROR(INDEX('Выход ТС'!$AM:$AM,MATCH($H17&amp;"",'Выход ТС'!$A:$A,0))+INDEX('Выход ТС'!$AN:$AN,MATCH($H17&amp;"",'Выход ТС'!$A:$A,0))-INDEX('Выход ТС'!$AK:$AK,MATCH($H17&amp;"",'Выход ТС'!$A:$A,0))-INDEX('Выход ТС'!$AL:$AL,MATCH($H17&amp;"",'Выход ТС'!$A:$A,0)),"")</f>
        <v>0</v>
      </c>
      <c r="AM17" s="57" t="n">
        <f aca="false">IFERROR(INDEX('Выход ТС'!$AQ:$AQ,MATCH($H17&amp;"",'Выход ТС'!$A:$A,0))+INDEX('Выход ТС'!$AR:$AR,MATCH($H17&amp;"",'Выход ТС'!$A:$A,0))-INDEX('Выход ТС'!$AO:$AO,MATCH($H17&amp;"",'Выход ТС'!$A:$A,0))-INDEX('Выход ТС'!$AP:$AP,MATCH($H17&amp;"",'Выход ТС'!$A:$A,0)),"")</f>
        <v>0</v>
      </c>
      <c r="AN17" s="57" t="n">
        <f aca="false">IFERROR(INDEX('Выход ТС'!$AU:$AU,MATCH($H17&amp;"",'Выход ТС'!$A:$A,0))+INDEX('Выход ТС'!$AV:$AV,MATCH($H17&amp;"",'Выход ТС'!$A:$A,0))-INDEX('Выход ТС'!$AS:$AS,MATCH($H17&amp;"",'Выход ТС'!$A:$A,0))-INDEX('Выход ТС'!$AT:$AT,MATCH($H17&amp;"",'Выход ТС'!$A:$A,0)),"")</f>
        <v>0</v>
      </c>
      <c r="AO17" s="57" t="n">
        <f aca="false">IFERROR(INDEX('Выход ТС'!$AY:$AY,MATCH($H17&amp;"",'Выход ТС'!$A:$A,0))+INDEX('Выход ТС'!$AZ:$AZ,MATCH($H17&amp;"",'Выход ТС'!$A:$A,0))-INDEX('Выход ТС'!$AW:$AW,MATCH($H17&amp;"",'Выход ТС'!$A:$A,0))-INDEX('Выход ТС'!$AX:$AX,MATCH($H17&amp;"",'Выход ТС'!$A:$A,0)),"")</f>
        <v>0</v>
      </c>
      <c r="AP17" s="57" t="n">
        <f aca="false">IFERROR(INDEX('Выход ТС'!$BC:$BC,MATCH($H17&amp;"",'Выход ТС'!$A:$A,0))+INDEX('Выход ТС'!$BD:$BD,MATCH($H17&amp;"",'Выход ТС'!$A:$A,0))-INDEX('Выход ТС'!$BA:$BA,MATCH($H17&amp;"",'Выход ТС'!$A:$A,0))-INDEX('Выход ТС'!$BB:$BB,MATCH($H17&amp;"",'Выход ТС'!$A:$A,0)),"")</f>
        <v>1</v>
      </c>
      <c r="AQ17" s="57" t="n">
        <f aca="false">IFERROR(INDEX('Выход ТС'!$BG:$BG,MATCH($H17&amp;"",'Выход ТС'!$A:$A,0))+INDEX('Выход ТС'!$BH:$BH,MATCH($H17&amp;"",'Выход ТС'!$A:$A,0))-INDEX('Выход ТС'!$BE:$BE,MATCH($H17&amp;"",'Выход ТС'!$A:$A,0))-INDEX('Выход ТС'!$BF:$BF,MATCH($H17&amp;"",'Выход ТС'!$A:$A,0)),"")</f>
        <v>0</v>
      </c>
      <c r="AR17" s="57" t="n">
        <f aca="false">IFERROR(INDEX('Выход ТС'!$BK:$BK,MATCH($H17&amp;"",'Выход ТС'!$A:$A,0))+INDEX('Выход ТС'!$BL:$BL,MATCH($H17&amp;"",'Выход ТС'!$A:$A,0))-INDEX('Выход ТС'!$BI:$BI,MATCH($H17&amp;"",'Выход ТС'!$A:$A,0))-INDEX('Выход ТС'!$BJ:$BJ,MATCH($H17&amp;"",'Выход ТС'!$A:$A,0)),"")</f>
        <v>-1</v>
      </c>
      <c r="AS17" s="57" t="n">
        <f aca="false">IFERROR(INDEX('Выход ТС'!$BO:$BO,MATCH($H17&amp;"",'Выход ТС'!$A:$A,0))+INDEX('Выход ТС'!$BP:$BP,MATCH($H17&amp;"",'Выход ТС'!$A:$A,0))-INDEX('Выход ТС'!$BM:$BM,MATCH($H17&amp;"",'Выход ТС'!$A:$A,0))-INDEX('Выход ТС'!$BN:$BN,MATCH($H17&amp;"",'Выход ТС'!$A:$A,0)),"")</f>
        <v>0</v>
      </c>
      <c r="AT17" s="57" t="n">
        <f aca="false">IFERROR(INDEX('Выход ТС'!$CI:$CI,MATCH($H17&amp;"",'Выход ТС'!$A:$A,0))+INDEX('Выход ТС'!$CJ:$CJ,MATCH($H17&amp;"",'Выход ТС'!$A:$A,0))-INDEX('Выход ТС'!$CG:$CG,MATCH($H17&amp;"",'Выход ТС'!$A:$A,0))-INDEX('Выход ТС'!$CH:$CH,MATCH($H17&amp;"",'Выход ТС'!$A:$A,0)),"")</f>
        <v>0</v>
      </c>
      <c r="AU17" s="57" t="n">
        <f aca="false">IFERROR(INDEX('Выход ТС'!$CM:$CM,MATCH($H17&amp;"",'Выход ТС'!$A:$A,0))+INDEX('Выход ТС'!$CN:$CN,MATCH($H17&amp;"",'Выход ТС'!$A:$A,0))-INDEX('Выход ТС'!$CK:$CK,MATCH($H17&amp;"",'Выход ТС'!$A:$A,0))-INDEX('Выход ТС'!$CL:$CL,MATCH($H17&amp;"",'Выход ТС'!$A:$A,0)),"")</f>
        <v>0</v>
      </c>
    </row>
    <row r="18" customFormat="false" ht="25.5" hidden="false" customHeight="true" outlineLevel="0" collapsed="false">
      <c r="A18" s="58" t="n">
        <v>16</v>
      </c>
      <c r="B18" s="32" t="s">
        <v>196</v>
      </c>
      <c r="C18" s="33" t="s">
        <v>21</v>
      </c>
      <c r="D18" s="34"/>
      <c r="E18" s="33" t="s">
        <v>197</v>
      </c>
      <c r="F18" s="33" t="s">
        <v>20</v>
      </c>
      <c r="G18" s="69"/>
      <c r="H18" s="36"/>
      <c r="I18" s="60"/>
      <c r="J18" s="61"/>
      <c r="K18" s="62"/>
      <c r="L18" s="63"/>
      <c r="M18" s="64"/>
      <c r="N18" s="64"/>
      <c r="O18" s="65" t="str">
        <f aca="false">IF(SUMIFS('Исходные данные'!$I$2:$I$964,'Исходные данные'!$D$2:$D$964,O$3,'Исходные данные'!$F$2:$F$964,$H19&amp;"",'Исходные данные'!$L$2:$L$964,"УТТ")+SUMIFS('Исходные данные'!$J$2:$J$964,'Исходные данные'!$D$2:$D$964,O$3,'Исходные данные'!$F$2:$F$964,$H19&amp;"",'Исходные данные'!$L$2:$L$964,"УТТ")=0,"","утт-"&amp;(SUMIFS('Исходные данные'!$I$2:$I$964,'Исходные данные'!$D$2:$D$964,O$3,'Исходные данные'!$F$2:$F$964,$H19&amp;"",'Исходные данные'!$L$2:$L$964,"УТТ")+SUMIFS('Исходные данные'!$J$2:$J$964,'Исходные данные'!$D$2:$D$964,O$3,'Исходные данные'!$F$2:$F$964,$H19&amp;"",'Исходные данные'!$L$2:$L$964,"УТТ")))</f>
        <v>утт-2</v>
      </c>
      <c r="P18" s="66" t="str">
        <f aca="false">IF(SUMIFS('Исходные данные'!$I$2:$I$964,'Исходные данные'!$D$2:$D$964,P$3,'Исходные данные'!$F$2:$F$964,$H19&amp;"",'Исходные данные'!$L$2:$L$964,"УТТ")+SUMIFS('Исходные данные'!$J$2:$J$964,'Исходные данные'!$D$2:$D$964,P$3,'Исходные данные'!$F$2:$F$964,$H19&amp;"",'Исходные данные'!$L$2:$L$964,"УТТ")=0,"","утт-"&amp;(SUMIFS('Исходные данные'!$I$2:$I$964,'Исходные данные'!$D$2:$D$964,P$3,'Исходные данные'!$F$2:$F$964,$H19&amp;"",'Исходные данные'!$L$2:$L$964,"УТТ")+SUMIFS('Исходные данные'!$J$2:$J$964,'Исходные данные'!$D$2:$D$964,P$3,'Исходные данные'!$F$2:$F$964,$H19&amp;"",'Исходные данные'!$L$2:$L$964,"УТТ")))</f>
        <v/>
      </c>
      <c r="Q18" s="65" t="str">
        <f aca="false">IF(SUMIFS('Исходные данные'!$I$2:$I$964,'Исходные данные'!$D$2:$D$964,Q$3,'Исходные данные'!$F$2:$F$964,$H19&amp;"",'Исходные данные'!$L$2:$L$964,"УТТ")+SUMIFS('Исходные данные'!$J$2:$J$964,'Исходные данные'!$D$2:$D$964,Q$3,'Исходные данные'!$F$2:$F$964,$H19&amp;"",'Исходные данные'!$L$2:$L$964,"УТТ")=0,"","утт-"&amp;(SUMIFS('Исходные данные'!$I$2:$I$964,'Исходные данные'!$D$2:$D$964,Q$3,'Исходные данные'!$F$2:$F$964,$H19&amp;"",'Исходные данные'!$L$2:$L$964,"УТТ")+SUMIFS('Исходные данные'!$J$2:$J$964,'Исходные данные'!$D$2:$D$964,Q$3,'Исходные данные'!$F$2:$F$964,$H19&amp;"",'Исходные данные'!$L$2:$L$964,"УТТ")))</f>
        <v>утт-1</v>
      </c>
      <c r="R18" s="67" t="str">
        <f aca="false">IF(SUMIFS('Исходные данные'!$I$2:$I$964,'Исходные данные'!$D$2:$D$964,R$3,'Исходные данные'!$F$2:$F$964,$H19&amp;"",'Исходные данные'!$L$2:$L$964,"УТТ")+SUMIFS('Исходные данные'!$J$2:$J$964,'Исходные данные'!$D$2:$D$964,R$3,'Исходные данные'!$F$2:$F$964,$H19&amp;"",'Исходные данные'!$L$2:$L$964,"УТТ")=0,"","утт-"&amp;(SUMIFS('Исходные данные'!$I$2:$I$964,'Исходные данные'!$D$2:$D$964,R$3,'Исходные данные'!$F$2:$F$964,$H19&amp;"",'Исходные данные'!$L$2:$L$964,"УТТ")+SUMIFS('Исходные данные'!$J$2:$J$964,'Исходные данные'!$D$2:$D$964,R$3,'Исходные данные'!$F$2:$F$964,$H19&amp;"",'Исходные данные'!$L$2:$L$964,"УТТ")))</f>
        <v/>
      </c>
      <c r="S18" s="66" t="str">
        <f aca="false">IF(SUMIFS('Исходные данные'!$I$2:$I$964,'Исходные данные'!$D$2:$D$964,S$3,'Исходные данные'!$F$2:$F$964,$H19&amp;"",'Исходные данные'!$L$2:$L$964,"УТТ")+SUMIFS('Исходные данные'!$J$2:$J$964,'Исходные данные'!$D$2:$D$964,S$3,'Исходные данные'!$F$2:$F$964,$H19&amp;"",'Исходные данные'!$L$2:$L$964,"УТТ")=0,"","утт-"&amp;(SUMIFS('Исходные данные'!$I$2:$I$964,'Исходные данные'!$D$2:$D$964,S$3,'Исходные данные'!$F$2:$F$964,$H19&amp;"",'Исходные данные'!$L$2:$L$964,"УТТ")+SUMIFS('Исходные данные'!$J$2:$J$964,'Исходные данные'!$D$2:$D$964,S$3,'Исходные данные'!$F$2:$F$964,$H19&amp;"",'Исходные данные'!$L$2:$L$964,"УТТ")))</f>
        <v/>
      </c>
      <c r="T18" s="65" t="str">
        <f aca="false">IF(SUMIFS('Исходные данные'!$I$2:$I$964,'Исходные данные'!$D$2:$D$964,T$3,'Исходные данные'!$F$2:$F$964,$H19&amp;"",'Исходные данные'!$L$2:$L$964,"УТТ")+SUMIFS('Исходные данные'!$J$2:$J$964,'Исходные данные'!$D$2:$D$964,T$3,'Исходные данные'!$F$2:$F$964,$H19&amp;"",'Исходные данные'!$L$2:$L$964,"УТТ")=0,"","утт-"&amp;(SUMIFS('Исходные данные'!$I$2:$I$964,'Исходные данные'!$D$2:$D$964,T$3,'Исходные данные'!$F$2:$F$964,$H19&amp;"",'Исходные данные'!$L$2:$L$964,"УТТ")+SUMIFS('Исходные данные'!$J$2:$J$964,'Исходные данные'!$D$2:$D$964,T$3,'Исходные данные'!$F$2:$F$964,$H19&amp;"",'Исходные данные'!$L$2:$L$964,"УТТ")))</f>
        <v/>
      </c>
      <c r="U18" s="66" t="str">
        <f aca="false">IF(SUMIFS('Исходные данные'!$I$2:$I$964,'Исходные данные'!$D$2:$D$964,U$3,'Исходные данные'!$F$2:$F$964,$H19&amp;"",'Исходные данные'!$L$2:$L$964,"УТТ")+SUMIFS('Исходные данные'!$J$2:$J$964,'Исходные данные'!$D$2:$D$964,U$3,'Исходные данные'!$F$2:$F$964,$H19&amp;"",'Исходные данные'!$L$2:$L$964,"УТТ")=0,"","утт-"&amp;(SUMIFS('Исходные данные'!$I$2:$I$964,'Исходные данные'!$D$2:$D$964,U$3,'Исходные данные'!$F$2:$F$964,$H19&amp;"",'Исходные данные'!$L$2:$L$964,"УТТ")+SUMIFS('Исходные данные'!$J$2:$J$964,'Исходные данные'!$D$2:$D$964,U$3,'Исходные данные'!$F$2:$F$964,$H19&amp;"",'Исходные данные'!$L$2:$L$964,"УТТ")))</f>
        <v/>
      </c>
      <c r="V18" s="65" t="str">
        <f aca="false">IF(SUMIFS('Исходные данные'!$I$2:$I$964,'Исходные данные'!$D$2:$D$964,V$3,'Исходные данные'!$F$2:$F$964,$H19&amp;"",'Исходные данные'!$L$2:$L$964,"УТТ")+SUMIFS('Исходные данные'!$J$2:$J$964,'Исходные данные'!$D$2:$D$964,V$3,'Исходные данные'!$F$2:$F$964,$H19&amp;"",'Исходные данные'!$L$2:$L$964,"УТТ")=0,"","утт-"&amp;(SUMIFS('Исходные данные'!$I$2:$I$964,'Исходные данные'!$D$2:$D$964,V$3,'Исходные данные'!$F$2:$F$964,$H19&amp;"",'Исходные данные'!$L$2:$L$964,"УТТ")+SUMIFS('Исходные данные'!$J$2:$J$964,'Исходные данные'!$D$2:$D$964,V$3,'Исходные данные'!$F$2:$F$964,$H19&amp;"",'Исходные данные'!$L$2:$L$964,"УТТ")))</f>
        <v/>
      </c>
      <c r="W18" s="66" t="str">
        <f aca="false">IF(SUMIFS('Исходные данные'!$I$2:$I$964,'Исходные данные'!$D$2:$D$964,W$3,'Исходные данные'!$F$2:$F$964,$H19&amp;"",'Исходные данные'!$L$2:$L$964,"УТТ")+SUMIFS('Исходные данные'!$J$2:$J$964,'Исходные данные'!$D$2:$D$964,W$3,'Исходные данные'!$F$2:$F$964,$H19&amp;"",'Исходные данные'!$L$2:$L$964,"УТТ")=0,"","утт-"&amp;(SUMIFS('Исходные данные'!$I$2:$I$964,'Исходные данные'!$D$2:$D$964,W$3,'Исходные данные'!$F$2:$F$964,$H19&amp;"",'Исходные данные'!$L$2:$L$964,"УТТ")+SUMIFS('Исходные данные'!$J$2:$J$964,'Исходные данные'!$D$2:$D$964,W$3,'Исходные данные'!$F$2:$F$964,$H19&amp;"",'Исходные данные'!$L$2:$L$964,"УТТ")))</f>
        <v/>
      </c>
      <c r="X18" s="66" t="str">
        <f aca="false">IF(SUMIFS('Исходные данные'!$I$2:$I$964,'Исходные данные'!$D$2:$D$964,X$3,'Исходные данные'!$F$2:$F$964,$H19&amp;"",'Исходные данные'!$L$2:$L$964,"УТТ")+SUMIFS('Исходные данные'!$J$2:$J$964,'Исходные данные'!$D$2:$D$964,X$3,'Исходные данные'!$F$2:$F$964,$H19&amp;"",'Исходные данные'!$L$2:$L$964,"УТТ")=0,"","утт-"&amp;(SUMIFS('Исходные данные'!$I$2:$I$964,'Исходные данные'!$D$2:$D$964,X$3,'Исходные данные'!$F$2:$F$964,$H19&amp;"",'Исходные данные'!$L$2:$L$964,"УТТ")+SUMIFS('Исходные данные'!$J$2:$J$964,'Исходные данные'!$D$2:$D$964,X$3,'Исходные данные'!$F$2:$F$964,$H19&amp;"",'Исходные данные'!$L$2:$L$964,"УТТ")))</f>
        <v/>
      </c>
      <c r="Y18" s="68" t="str">
        <f aca="false">IF(SUMIFS('Исходные данные'!$I$2:$I$964,'Исходные данные'!$D$2:$D$964,Y$3,'Исходные данные'!$F$2:$F$964,$H19&amp;"",'Исходные данные'!$L$2:$L$964,"УТТ")+SUMIFS('Исходные данные'!$J$2:$J$964,'Исходные данные'!$D$2:$D$964,Y$3,'Исходные данные'!$F$2:$F$964,$H19&amp;"",'Исходные данные'!$L$2:$L$964,"УТТ")=0,"","утт-"&amp;(SUMIFS('Исходные данные'!$I$2:$I$964,'Исходные данные'!$D$2:$D$964,Y$3,'Исходные данные'!$F$2:$F$964,$H19&amp;"",'Исходные данные'!$L$2:$L$964,"УТТ")+SUMIFS('Исходные данные'!$J$2:$J$964,'Исходные данные'!$D$2:$D$964,Y$3,'Исходные данные'!$F$2:$F$964,$H19&amp;"",'Исходные данные'!$L$2:$L$964,"УТТ")))</f>
        <v/>
      </c>
      <c r="Z18" s="65" t="str">
        <f aca="false">IF(SUMIFS('Исходные данные'!$I$2:$I$964,'Исходные данные'!$D$2:$D$964,Z$3,'Исходные данные'!$F$2:$F$964,$H19&amp;"",'Исходные данные'!$L$2:$L$964,"УТТ")+SUMIFS('Исходные данные'!$J$2:$J$964,'Исходные данные'!$D$2:$D$964,Z$3,'Исходные данные'!$F$2:$F$964,$H19&amp;"",'Исходные данные'!$L$2:$L$964,"УТТ")=0,"","утт-"&amp;(SUMIFS('Исходные данные'!$I$2:$I$964,'Исходные данные'!$D$2:$D$964,Z$3,'Исходные данные'!$F$2:$F$964,$H19&amp;"",'Исходные данные'!$L$2:$L$964,"УТТ")+SUMIFS('Исходные данные'!$J$2:$J$964,'Исходные данные'!$D$2:$D$964,Z$3,'Исходные данные'!$F$2:$F$964,$H19&amp;"",'Исходные данные'!$L$2:$L$964,"УТТ")))</f>
        <v/>
      </c>
      <c r="AA18" s="66" t="str">
        <f aca="false">IF(SUMIFS('Исходные данные'!$I$2:$I$964,'Исходные данные'!$D$2:$D$964,AA$3,'Исходные данные'!$F$2:$F$964,$H19&amp;"",'Исходные данные'!$L$2:$L$964,"УТТ")+SUMIFS('Исходные данные'!$J$2:$J$964,'Исходные данные'!$D$2:$D$964,AA$3,'Исходные данные'!$F$2:$F$964,$H19&amp;"",'Исходные данные'!$L$2:$L$964,"УТТ")=0,"","утт-"&amp;(SUMIFS('Исходные данные'!$I$2:$I$964,'Исходные данные'!$D$2:$D$964,AA$3,'Исходные данные'!$F$2:$F$964,$H19&amp;"",'Исходные данные'!$L$2:$L$964,"УТТ")+SUMIFS('Исходные данные'!$J$2:$J$964,'Исходные данные'!$D$2:$D$964,AA$3,'Исходные данные'!$F$2:$F$964,$H19&amp;"",'Исходные данные'!$L$2:$L$964,"УТТ")))</f>
        <v/>
      </c>
      <c r="AB18" s="66" t="str">
        <f aca="false">IF(SUMIFS('Исходные данные'!$I$2:$I$964,'Исходные данные'!$D$2:$D$964,AB$3,'Исходные данные'!$F$2:$F$964,$H19&amp;"",'Исходные данные'!$L$2:$L$964,"УТТ")+SUMIFS('Исходные данные'!$J$2:$J$964,'Исходные данные'!$D$2:$D$964,AB$3,'Исходные данные'!$F$2:$F$964,$H19&amp;"",'Исходные данные'!$L$2:$L$964,"УТТ")=0,"","утт-"&amp;(SUMIFS('Исходные данные'!$I$2:$I$964,'Исходные данные'!$D$2:$D$964,AB$3,'Исходные данные'!$F$2:$F$964,$H19&amp;"",'Исходные данные'!$L$2:$L$964,"УТТ")+SUMIFS('Исходные данные'!$J$2:$J$964,'Исходные данные'!$D$2:$D$964,AB$3,'Исходные данные'!$F$2:$F$964,$H19&amp;"",'Исходные данные'!$L$2:$L$964,"УТТ")))</f>
        <v/>
      </c>
      <c r="AC18" s="65" t="str">
        <f aca="false">IF(SUMIFS('Исходные данные'!$I$2:$I$964,'Исходные данные'!$D$2:$D$964,AC$3,'Исходные данные'!$F$2:$F$964,$H19&amp;"",'Исходные данные'!$L$2:$L$964,"УТТ")+SUMIFS('Исходные данные'!$J$2:$J$964,'Исходные данные'!$D$2:$D$964,AC$3,'Исходные данные'!$F$2:$F$964,$H19&amp;"",'Исходные данные'!$L$2:$L$964,"УТТ")=0,"","утт-"&amp;(SUMIFS('Исходные данные'!$I$2:$I$964,'Исходные данные'!$D$2:$D$964,AC$3,'Исходные данные'!$F$2:$F$964,$H19&amp;"",'Исходные данные'!$L$2:$L$964,"УТТ")+SUMIFS('Исходные данные'!$J$2:$J$964,'Исходные данные'!$D$2:$D$964,AC$3,'Исходные данные'!$F$2:$F$964,$H19&amp;"",'Исходные данные'!$L$2:$L$964,"УТТ")))</f>
        <v/>
      </c>
      <c r="AD18" s="66" t="str">
        <f aca="false">IF(SUMIFS('Исходные данные'!$I$2:$I$964,'Исходные данные'!$D$2:$D$964,AD$3,'Исходные данные'!$F$2:$F$964,$H19&amp;"",'Исходные данные'!$L$2:$L$964,"УТТ")+SUMIFS('Исходные данные'!$J$2:$J$964,'Исходные данные'!$D$2:$D$964,AD$3,'Исходные данные'!$F$2:$F$964,$H19&amp;"",'Исходные данные'!$L$2:$L$964,"УТТ")=0,"","утт-"&amp;(SUMIFS('Исходные данные'!$I$2:$I$964,'Исходные данные'!$D$2:$D$964,AD$3,'Исходные данные'!$F$2:$F$964,$H19&amp;"",'Исходные данные'!$L$2:$L$964,"УТТ")+SUMIFS('Исходные данные'!$J$2:$J$964,'Исходные данные'!$D$2:$D$964,AD$3,'Исходные данные'!$F$2:$F$964,$H19&amp;"",'Исходные данные'!$L$2:$L$964,"УТТ")))</f>
        <v>утт-10</v>
      </c>
    </row>
    <row r="19" customFormat="false" ht="25.5" hidden="false" customHeight="true" outlineLevel="0" collapsed="false">
      <c r="A19" s="31" t="n">
        <v>17</v>
      </c>
      <c r="B19" s="32" t="s">
        <v>198</v>
      </c>
      <c r="C19" s="33" t="s">
        <v>21</v>
      </c>
      <c r="D19" s="34"/>
      <c r="E19" s="33" t="s">
        <v>199</v>
      </c>
      <c r="F19" s="33" t="s">
        <v>20</v>
      </c>
      <c r="G19" s="69"/>
      <c r="H19" s="36" t="n">
        <v>35</v>
      </c>
      <c r="I19" s="48" t="s">
        <v>64</v>
      </c>
      <c r="J19" s="49" t="n">
        <f aca="false">IFERROR(INDEX('Выход ТС'!$C:$C,MATCH($H19&amp;"",'Выход ТС'!$A:$A,0)),"")</f>
        <v>52</v>
      </c>
      <c r="K19" s="50" t="n">
        <f aca="false">IFERROR(INDEX('Выход ТС'!$E:$E,MATCH($H19&amp;"",'Выход ТС'!$A:$A,0)),"")</f>
        <v>52</v>
      </c>
      <c r="L19" s="51" t="n">
        <f aca="false">IFERROR(INDEX('Выход ТС'!$F:$F,MATCH($H19&amp;"",'Выход ТС'!$A:$A,0)),"")</f>
        <v>0</v>
      </c>
      <c r="M19" s="52" t="n">
        <f aca="false">IFERROR(IF(INDEX('Выход ТС'!$G:$G,MATCH($H19&amp;"",'Выход ТС'!$A:$A,0))=0,"",INDEX('Выход ТС'!$G:$G,MATCH($H19&amp;"",'Выход ТС'!$A:$A,0))),"")</f>
        <v>33</v>
      </c>
      <c r="N19" s="52" t="n">
        <f aca="false">IFERROR(IF(INDEX('Выход ТС'!$H:$H,MATCH($H19&amp;"",'Выход ТС'!$A:$A,0))=0,"",INDEX('Выход ТС'!$H:$H,MATCH($H19&amp;"",'Выход ТС'!$A:$A,0))),"")</f>
        <v>19</v>
      </c>
      <c r="O19" s="56" t="str">
        <f aca="false">IF(SUMIFS('Исходные данные'!$I$2:$I$964,'Исходные данные'!$D$2:$D$964,O$3,'Исходные данные'!$F$2:$F$964,$H19&amp;"")+SUMIFS('Исходные данные'!$J$2:$J$964,'Исходные данные'!$D$2:$D$964,O$3,'Исходные данные'!$F$2:$F$964,$H19&amp;"")=0,"",IF(SUMIFS('Исходные данные'!$J$2:$J$964,'Исходные данные'!$D$2:$D$964,O$3,'Исходные данные'!$F$2:$F$964,$H19&amp;"")=0,SUMIFS('Исходные данные'!$I$2:$I$964,'Исходные данные'!$D$2:$D$964,O$3,'Исходные данные'!$F$2:$F$964,$H19&amp;""),IF(SUMIFS('Исходные данные'!$I$2:$I$964,'Исходные данные'!$D$2:$D$964,O$3,'Исходные данные'!$F$2:$F$964,$H19&amp;"")=0,"0+"&amp;SUMIFS('Исходные данные'!$J$2:$J$964,'Исходные данные'!$D$2:$D$964,O$3,'Исходные данные'!$F$2:$F$964,$H19&amp;"")&amp;"="&amp;SUMIFS('Исходные данные'!$J$2:$J$964,'Исходные данные'!$D$2:$D$964,O$3,'Исходные данные'!$F$2:$F$964,$H19&amp;""),SUMIFS('Исходные данные'!$I$2:$I$964,'Исходные данные'!$D$2:$D$964,O$3,'Исходные данные'!$F$2:$F$964,$H19&amp;"")&amp;"+"&amp;SUMIFS('Исходные данные'!$J$2:$J$964,'Исходные данные'!$D$2:$D$964,O$3,'Исходные данные'!$F$2:$F$964,$H19&amp;"")&amp;"="&amp;(SUMIFS('Исходные данные'!$I$2:$I$964,'Исходные данные'!$D$2:$D$964,O$3,'Исходные данные'!$F$2:$F$964,$H19&amp;"")+SUMIFS('Исходные данные'!$J$2:$J$964,'Исходные данные'!$D$2:$D$964,O$3,'Исходные данные'!$F$2:$F$964,$H19&amp;"")))))</f>
        <v>5+2=7</v>
      </c>
      <c r="P19" s="54" t="str">
        <f aca="false">IF(SUMIFS('Исходные данные'!$I$2:$I$964,'Исходные данные'!$D$2:$D$964,P$3,'Исходные данные'!$F$2:$F$964,$H19&amp;"")+SUMIFS('Исходные данные'!$J$2:$J$964,'Исходные данные'!$D$2:$D$964,P$3,'Исходные данные'!$F$2:$F$964,$H19&amp;"")=0,"",IF(SUMIFS('Исходные данные'!$J$2:$J$964,'Исходные данные'!$D$2:$D$964,P$3,'Исходные данные'!$F$2:$F$964,$H19&amp;"")=0,SUMIFS('Исходные данные'!$I$2:$I$964,'Исходные данные'!$D$2:$D$964,P$3,'Исходные данные'!$F$2:$F$964,$H19&amp;""),IF(SUMIFS('Исходные данные'!$I$2:$I$964,'Исходные данные'!$D$2:$D$964,P$3,'Исходные данные'!$F$2:$F$964,$H19&amp;"")=0,"0+"&amp;SUMIFS('Исходные данные'!$J$2:$J$964,'Исходные данные'!$D$2:$D$964,P$3,'Исходные данные'!$F$2:$F$964,$H19&amp;"")&amp;"="&amp;SUMIFS('Исходные данные'!$J$2:$J$964,'Исходные данные'!$D$2:$D$964,P$3,'Исходные данные'!$F$2:$F$964,$H19&amp;""),SUMIFS('Исходные данные'!$I$2:$I$964,'Исходные данные'!$D$2:$D$964,P$3,'Исходные данные'!$F$2:$F$964,$H19&amp;"")&amp;"+"&amp;SUMIFS('Исходные данные'!$J$2:$J$964,'Исходные данные'!$D$2:$D$964,P$3,'Исходные данные'!$F$2:$F$964,$H19&amp;"")&amp;"="&amp;(SUMIFS('Исходные данные'!$I$2:$I$964,'Исходные данные'!$D$2:$D$964,P$3,'Исходные данные'!$F$2:$F$964,$H19&amp;"")+SUMIFS('Исходные данные'!$J$2:$J$964,'Исходные данные'!$D$2:$D$964,P$3,'Исходные данные'!$F$2:$F$964,$H19&amp;"")))))</f>
        <v/>
      </c>
      <c r="Q19" s="54" t="str">
        <f aca="false">IF(SUMIFS('Исходные данные'!$I$2:$I$964,'Исходные данные'!$D$2:$D$964,Q$3,'Исходные данные'!$F$2:$F$964,$H19&amp;"")+SUMIFS('Исходные данные'!$J$2:$J$964,'Исходные данные'!$D$2:$D$964,Q$3,'Исходные данные'!$F$2:$F$964,$H19&amp;"")=0,"",IF(SUMIFS('Исходные данные'!$J$2:$J$964,'Исходные данные'!$D$2:$D$964,Q$3,'Исходные данные'!$F$2:$F$964,$H19&amp;"")=0,SUMIFS('Исходные данные'!$I$2:$I$964,'Исходные данные'!$D$2:$D$964,Q$3,'Исходные данные'!$F$2:$F$964,$H19&amp;""),IF(SUMIFS('Исходные данные'!$I$2:$I$964,'Исходные данные'!$D$2:$D$964,Q$3,'Исходные данные'!$F$2:$F$964,$H19&amp;"")=0,"0+"&amp;SUMIFS('Исходные данные'!$J$2:$J$964,'Исходные данные'!$D$2:$D$964,Q$3,'Исходные данные'!$F$2:$F$964,$H19&amp;"")&amp;"="&amp;SUMIFS('Исходные данные'!$J$2:$J$964,'Исходные данные'!$D$2:$D$964,Q$3,'Исходные данные'!$F$2:$F$964,$H19&amp;""),SUMIFS('Исходные данные'!$I$2:$I$964,'Исходные данные'!$D$2:$D$964,Q$3,'Исходные данные'!$F$2:$F$964,$H19&amp;"")&amp;"+"&amp;SUMIFS('Исходные данные'!$J$2:$J$964,'Исходные данные'!$D$2:$D$964,Q$3,'Исходные данные'!$F$2:$F$964,$H19&amp;"")&amp;"="&amp;(SUMIFS('Исходные данные'!$I$2:$I$964,'Исходные данные'!$D$2:$D$964,Q$3,'Исходные данные'!$F$2:$F$964,$H19&amp;"")+SUMIFS('Исходные данные'!$J$2:$J$964,'Исходные данные'!$D$2:$D$964,Q$3,'Исходные данные'!$F$2:$F$964,$H19&amp;"")))))</f>
        <v>13+3=16</v>
      </c>
      <c r="R19" s="55" t="str">
        <f aca="false">IF(SUMIFS('Исходные данные'!$I$2:$I$964,'Исходные данные'!$D$2:$D$964,R$3,'Исходные данные'!$F$2:$F$964,$H19&amp;"")+SUMIFS('Исходные данные'!$J$2:$J$964,'Исходные данные'!$D$2:$D$964,R$3,'Исходные данные'!$F$2:$F$964,$H19&amp;"")=0,"",IF(SUMIFS('Исходные данные'!$J$2:$J$964,'Исходные данные'!$D$2:$D$964,R$3,'Исходные данные'!$F$2:$F$964,$H19&amp;"")=0,SUMIFS('Исходные данные'!$I$2:$I$964,'Исходные данные'!$D$2:$D$964,R$3,'Исходные данные'!$F$2:$F$964,$H19&amp;""),IF(SUMIFS('Исходные данные'!$I$2:$I$964,'Исходные данные'!$D$2:$D$964,R$3,'Исходные данные'!$F$2:$F$964,$H19&amp;"")=0,"0+"&amp;SUMIFS('Исходные данные'!$J$2:$J$964,'Исходные данные'!$D$2:$D$964,R$3,'Исходные данные'!$F$2:$F$964,$H19&amp;"")&amp;"="&amp;SUMIFS('Исходные данные'!$J$2:$J$964,'Исходные данные'!$D$2:$D$964,R$3,'Исходные данные'!$F$2:$F$964,$H19&amp;""),SUMIFS('Исходные данные'!$I$2:$I$964,'Исходные данные'!$D$2:$D$964,R$3,'Исходные данные'!$F$2:$F$964,$H19&amp;"")&amp;"+"&amp;SUMIFS('Исходные данные'!$J$2:$J$964,'Исходные данные'!$D$2:$D$964,R$3,'Исходные данные'!$F$2:$F$964,$H19&amp;"")&amp;"="&amp;(SUMIFS('Исходные данные'!$I$2:$I$964,'Исходные данные'!$D$2:$D$964,R$3,'Исходные данные'!$F$2:$F$964,$H19&amp;"")+SUMIFS('Исходные данные'!$J$2:$J$964,'Исходные данные'!$D$2:$D$964,R$3,'Исходные данные'!$F$2:$F$964,$H19&amp;"")))))</f>
        <v/>
      </c>
      <c r="S19" s="54" t="str">
        <f aca="false">IF(SUMIFS('Исходные данные'!$I$2:$I$964,'Исходные данные'!$D$2:$D$964,S$3,'Исходные данные'!$F$2:$F$964,$H19&amp;"")+SUMIFS('Исходные данные'!$J$2:$J$964,'Исходные данные'!$D$2:$D$964,S$3,'Исходные данные'!$F$2:$F$964,$H19&amp;"")=0,"",IF(SUMIFS('Исходные данные'!$J$2:$J$964,'Исходные данные'!$D$2:$D$964,S$3,'Исходные данные'!$F$2:$F$964,$H19&amp;"")=0,SUMIFS('Исходные данные'!$I$2:$I$964,'Исходные данные'!$D$2:$D$964,S$3,'Исходные данные'!$F$2:$F$964,$H19&amp;""),IF(SUMIFS('Исходные данные'!$I$2:$I$964,'Исходные данные'!$D$2:$D$964,S$3,'Исходные данные'!$F$2:$F$964,$H19&amp;"")=0,"0+"&amp;SUMIFS('Исходные данные'!$J$2:$J$964,'Исходные данные'!$D$2:$D$964,S$3,'Исходные данные'!$F$2:$F$964,$H19&amp;"")&amp;"="&amp;SUMIFS('Исходные данные'!$J$2:$J$964,'Исходные данные'!$D$2:$D$964,S$3,'Исходные данные'!$F$2:$F$964,$H19&amp;""),SUMIFS('Исходные данные'!$I$2:$I$964,'Исходные данные'!$D$2:$D$964,S$3,'Исходные данные'!$F$2:$F$964,$H19&amp;"")&amp;"+"&amp;SUMIFS('Исходные данные'!$J$2:$J$964,'Исходные данные'!$D$2:$D$964,S$3,'Исходные данные'!$F$2:$F$964,$H19&amp;"")&amp;"="&amp;(SUMIFS('Исходные данные'!$I$2:$I$964,'Исходные данные'!$D$2:$D$964,S$3,'Исходные данные'!$F$2:$F$964,$H19&amp;"")+SUMIFS('Исходные данные'!$J$2:$J$964,'Исходные данные'!$D$2:$D$964,S$3,'Исходные данные'!$F$2:$F$964,$H19&amp;"")))))</f>
        <v/>
      </c>
      <c r="T19" s="53" t="str">
        <f aca="false">IF(SUMIFS('Исходные данные'!$I$2:$I$964,'Исходные данные'!$D$2:$D$964,T$3,'Исходные данные'!$F$2:$F$964,$H19&amp;"")+SUMIFS('Исходные данные'!$J$2:$J$964,'Исходные данные'!$D$2:$D$964,T$3,'Исходные данные'!$F$2:$F$964,$H19&amp;"")=0,"",IF(SUMIFS('Исходные данные'!$J$2:$J$964,'Исходные данные'!$D$2:$D$964,T$3,'Исходные данные'!$F$2:$F$964,$H19&amp;"")=0,SUMIFS('Исходные данные'!$I$2:$I$964,'Исходные данные'!$D$2:$D$964,T$3,'Исходные данные'!$F$2:$F$964,$H19&amp;""),IF(SUMIFS('Исходные данные'!$I$2:$I$964,'Исходные данные'!$D$2:$D$964,T$3,'Исходные данные'!$F$2:$F$964,$H19&amp;"")=0,"0+"&amp;SUMIFS('Исходные данные'!$J$2:$J$964,'Исходные данные'!$D$2:$D$964,T$3,'Исходные данные'!$F$2:$F$964,$H19&amp;"")&amp;"="&amp;SUMIFS('Исходные данные'!$J$2:$J$964,'Исходные данные'!$D$2:$D$964,T$3,'Исходные данные'!$F$2:$F$964,$H19&amp;""),SUMIFS('Исходные данные'!$I$2:$I$964,'Исходные данные'!$D$2:$D$964,T$3,'Исходные данные'!$F$2:$F$964,$H19&amp;"")&amp;"+"&amp;SUMIFS('Исходные данные'!$J$2:$J$964,'Исходные данные'!$D$2:$D$964,T$3,'Исходные данные'!$F$2:$F$964,$H19&amp;"")&amp;"="&amp;(SUMIFS('Исходные данные'!$I$2:$I$964,'Исходные данные'!$D$2:$D$964,T$3,'Исходные данные'!$F$2:$F$964,$H19&amp;"")+SUMIFS('Исходные данные'!$J$2:$J$964,'Исходные данные'!$D$2:$D$964,T$3,'Исходные данные'!$F$2:$F$964,$H19&amp;"")))))</f>
        <v/>
      </c>
      <c r="U19" s="54" t="str">
        <f aca="false">IF(SUMIFS('Исходные данные'!$I$2:$I$964,'Исходные данные'!$D$2:$D$964,U$3,'Исходные данные'!$F$2:$F$964,$H19&amp;"")+SUMIFS('Исходные данные'!$J$2:$J$964,'Исходные данные'!$D$2:$D$964,U$3,'Исходные данные'!$F$2:$F$964,$H19&amp;"")=0,"",IF(SUMIFS('Исходные данные'!$J$2:$J$964,'Исходные данные'!$D$2:$D$964,U$3,'Исходные данные'!$F$2:$F$964,$H19&amp;"")=0,SUMIFS('Исходные данные'!$I$2:$I$964,'Исходные данные'!$D$2:$D$964,U$3,'Исходные данные'!$F$2:$F$964,$H19&amp;""),IF(SUMIFS('Исходные данные'!$I$2:$I$964,'Исходные данные'!$D$2:$D$964,U$3,'Исходные данные'!$F$2:$F$964,$H19&amp;"")=0,"0+"&amp;SUMIFS('Исходные данные'!$J$2:$J$964,'Исходные данные'!$D$2:$D$964,U$3,'Исходные данные'!$F$2:$F$964,$H19&amp;"")&amp;"="&amp;SUMIFS('Исходные данные'!$J$2:$J$964,'Исходные данные'!$D$2:$D$964,U$3,'Исходные данные'!$F$2:$F$964,$H19&amp;""),SUMIFS('Исходные данные'!$I$2:$I$964,'Исходные данные'!$D$2:$D$964,U$3,'Исходные данные'!$F$2:$F$964,$H19&amp;"")&amp;"+"&amp;SUMIFS('Исходные данные'!$J$2:$J$964,'Исходные данные'!$D$2:$D$964,U$3,'Исходные данные'!$F$2:$F$964,$H19&amp;"")&amp;"="&amp;(SUMIFS('Исходные данные'!$I$2:$I$964,'Исходные данные'!$D$2:$D$964,U$3,'Исходные данные'!$F$2:$F$964,$H19&amp;"")+SUMIFS('Исходные данные'!$J$2:$J$964,'Исходные данные'!$D$2:$D$964,U$3,'Исходные данные'!$F$2:$F$964,$H19&amp;"")))))</f>
        <v>3+1=4</v>
      </c>
      <c r="V19" s="53" t="str">
        <f aca="false">IF(SUMIFS('Исходные данные'!$I$2:$I$964,'Исходные данные'!$D$2:$D$964,V$3,'Исходные данные'!$F$2:$F$964,$H19&amp;"")+SUMIFS('Исходные данные'!$J$2:$J$964,'Исходные данные'!$D$2:$D$964,V$3,'Исходные данные'!$F$2:$F$964,$H19&amp;"")=0,"",IF(SUMIFS('Исходные данные'!$J$2:$J$964,'Исходные данные'!$D$2:$D$964,V$3,'Исходные данные'!$F$2:$F$964,$H19&amp;"")=0,SUMIFS('Исходные данные'!$I$2:$I$964,'Исходные данные'!$D$2:$D$964,V$3,'Исходные данные'!$F$2:$F$964,$H19&amp;""),IF(SUMIFS('Исходные данные'!$I$2:$I$964,'Исходные данные'!$D$2:$D$964,V$3,'Исходные данные'!$F$2:$F$964,$H19&amp;"")=0,"0+"&amp;SUMIFS('Исходные данные'!$J$2:$J$964,'Исходные данные'!$D$2:$D$964,V$3,'Исходные данные'!$F$2:$F$964,$H19&amp;"")&amp;"="&amp;SUMIFS('Исходные данные'!$J$2:$J$964,'Исходные данные'!$D$2:$D$964,V$3,'Исходные данные'!$F$2:$F$964,$H19&amp;""),SUMIFS('Исходные данные'!$I$2:$I$964,'Исходные данные'!$D$2:$D$964,V$3,'Исходные данные'!$F$2:$F$964,$H19&amp;"")&amp;"+"&amp;SUMIFS('Исходные данные'!$J$2:$J$964,'Исходные данные'!$D$2:$D$964,V$3,'Исходные данные'!$F$2:$F$964,$H19&amp;"")&amp;"="&amp;(SUMIFS('Исходные данные'!$I$2:$I$964,'Исходные данные'!$D$2:$D$964,V$3,'Исходные данные'!$F$2:$F$964,$H19&amp;"")+SUMIFS('Исходные данные'!$J$2:$J$964,'Исходные данные'!$D$2:$D$964,V$3,'Исходные данные'!$F$2:$F$964,$H19&amp;"")))))</f>
        <v/>
      </c>
      <c r="W19" s="54" t="n">
        <f aca="false">IF(SUMIFS('Исходные данные'!$I$2:$I$964,'Исходные данные'!$D$2:$D$964,W$3,'Исходные данные'!$F$2:$F$964,$H19&amp;"")+SUMIFS('Исходные данные'!$J$2:$J$964,'Исходные данные'!$D$2:$D$964,W$3,'Исходные данные'!$F$2:$F$964,$H19&amp;"")=0,"",IF(SUMIFS('Исходные данные'!$J$2:$J$964,'Исходные данные'!$D$2:$D$964,W$3,'Исходные данные'!$F$2:$F$964,$H19&amp;"")=0,SUMIFS('Исходные данные'!$I$2:$I$964,'Исходные данные'!$D$2:$D$964,W$3,'Исходные данные'!$F$2:$F$964,$H19&amp;""),IF(SUMIFS('Исходные данные'!$I$2:$I$964,'Исходные данные'!$D$2:$D$964,W$3,'Исходные данные'!$F$2:$F$964,$H19&amp;"")=0,"0+"&amp;SUMIFS('Исходные данные'!$J$2:$J$964,'Исходные данные'!$D$2:$D$964,W$3,'Исходные данные'!$F$2:$F$964,$H19&amp;"")&amp;"="&amp;SUMIFS('Исходные данные'!$J$2:$J$964,'Исходные данные'!$D$2:$D$964,W$3,'Исходные данные'!$F$2:$F$964,$H19&amp;""),SUMIFS('Исходные данные'!$I$2:$I$964,'Исходные данные'!$D$2:$D$964,W$3,'Исходные данные'!$F$2:$F$964,$H19&amp;"")&amp;"+"&amp;SUMIFS('Исходные данные'!$J$2:$J$964,'Исходные данные'!$D$2:$D$964,W$3,'Исходные данные'!$F$2:$F$964,$H19&amp;"")&amp;"="&amp;(SUMIFS('Исходные данные'!$I$2:$I$964,'Исходные данные'!$D$2:$D$964,W$3,'Исходные данные'!$F$2:$F$964,$H19&amp;"")+SUMIFS('Исходные данные'!$J$2:$J$964,'Исходные данные'!$D$2:$D$964,W$3,'Исходные данные'!$F$2:$F$964,$H19&amp;"")))))</f>
        <v>1</v>
      </c>
      <c r="X19" s="54" t="str">
        <f aca="false">IF(SUMIFS('Исходные данные'!$I$2:$I$964,'Исходные данные'!$D$2:$D$964,X$3,'Исходные данные'!$F$2:$F$964,$H19&amp;"")+SUMIFS('Исходные данные'!$J$2:$J$964,'Исходные данные'!$D$2:$D$964,X$3,'Исходные данные'!$F$2:$F$964,$H19&amp;"")=0,"",IF(SUMIFS('Исходные данные'!$J$2:$J$964,'Исходные данные'!$D$2:$D$964,X$3,'Исходные данные'!$F$2:$F$964,$H19&amp;"")=0,SUMIFS('Исходные данные'!$I$2:$I$964,'Исходные данные'!$D$2:$D$964,X$3,'Исходные данные'!$F$2:$F$964,$H19&amp;""),IF(SUMIFS('Исходные данные'!$I$2:$I$964,'Исходные данные'!$D$2:$D$964,X$3,'Исходные данные'!$F$2:$F$964,$H19&amp;"")=0,"0+"&amp;SUMIFS('Исходные данные'!$J$2:$J$964,'Исходные данные'!$D$2:$D$964,X$3,'Исходные данные'!$F$2:$F$964,$H19&amp;"")&amp;"="&amp;SUMIFS('Исходные данные'!$J$2:$J$964,'Исходные данные'!$D$2:$D$964,X$3,'Исходные данные'!$F$2:$F$964,$H19&amp;""),SUMIFS('Исходные данные'!$I$2:$I$964,'Исходные данные'!$D$2:$D$964,X$3,'Исходные данные'!$F$2:$F$964,$H19&amp;"")&amp;"+"&amp;SUMIFS('Исходные данные'!$J$2:$J$964,'Исходные данные'!$D$2:$D$964,X$3,'Исходные данные'!$F$2:$F$964,$H19&amp;"")&amp;"="&amp;(SUMIFS('Исходные данные'!$I$2:$I$964,'Исходные данные'!$D$2:$D$964,X$3,'Исходные данные'!$F$2:$F$964,$H19&amp;"")+SUMIFS('Исходные данные'!$J$2:$J$964,'Исходные данные'!$D$2:$D$964,X$3,'Исходные данные'!$F$2:$F$964,$H19&amp;"")))))</f>
        <v/>
      </c>
      <c r="Y19" s="56" t="str">
        <f aca="false">IF(SUMIFS('Исходные данные'!$I$2:$I$964,'Исходные данные'!$D$2:$D$964,Y$3,'Исходные данные'!$F$2:$F$964,$H19&amp;"")+SUMIFS('Исходные данные'!$J$2:$J$964,'Исходные данные'!$D$2:$D$964,Y$3,'Исходные данные'!$F$2:$F$964,$H19&amp;"")=0,"",IF(SUMIFS('Исходные данные'!$J$2:$J$964,'Исходные данные'!$D$2:$D$964,Y$3,'Исходные данные'!$F$2:$F$964,$H19&amp;"")=0,SUMIFS('Исходные данные'!$I$2:$I$964,'Исходные данные'!$D$2:$D$964,Y$3,'Исходные данные'!$F$2:$F$964,$H19&amp;""),IF(SUMIFS('Исходные данные'!$I$2:$I$964,'Исходные данные'!$D$2:$D$964,Y$3,'Исходные данные'!$F$2:$F$964,$H19&amp;"")=0,"0+"&amp;SUMIFS('Исходные данные'!$J$2:$J$964,'Исходные данные'!$D$2:$D$964,Y$3,'Исходные данные'!$F$2:$F$964,$H19&amp;"")&amp;"="&amp;SUMIFS('Исходные данные'!$J$2:$J$964,'Исходные данные'!$D$2:$D$964,Y$3,'Исходные данные'!$F$2:$F$964,$H19&amp;""),SUMIFS('Исходные данные'!$I$2:$I$964,'Исходные данные'!$D$2:$D$964,Y$3,'Исходные данные'!$F$2:$F$964,$H19&amp;"")&amp;"+"&amp;SUMIFS('Исходные данные'!$J$2:$J$964,'Исходные данные'!$D$2:$D$964,Y$3,'Исходные данные'!$F$2:$F$964,$H19&amp;"")&amp;"="&amp;(SUMIFS('Исходные данные'!$I$2:$I$964,'Исходные данные'!$D$2:$D$964,Y$3,'Исходные данные'!$F$2:$F$964,$H19&amp;"")+SUMIFS('Исходные данные'!$J$2:$J$964,'Исходные данные'!$D$2:$D$964,Y$3,'Исходные данные'!$F$2:$F$964,$H19&amp;"")))))</f>
        <v/>
      </c>
      <c r="Z19" s="53" t="str">
        <f aca="false">IF(SUMIFS('Исходные данные'!$I$2:$I$964,'Исходные данные'!$D$2:$D$964,Z$3,'Исходные данные'!$F$2:$F$964,$H19&amp;"")+SUMIFS('Исходные данные'!$J$2:$J$964,'Исходные данные'!$D$2:$D$964,Z$3,'Исходные данные'!$F$2:$F$964,$H19&amp;"")=0,"",IF(SUMIFS('Исходные данные'!$J$2:$J$964,'Исходные данные'!$D$2:$D$964,Z$3,'Исходные данные'!$F$2:$F$964,$H19&amp;"")=0,SUMIFS('Исходные данные'!$I$2:$I$964,'Исходные данные'!$D$2:$D$964,Z$3,'Исходные данные'!$F$2:$F$964,$H19&amp;""),IF(SUMIFS('Исходные данные'!$I$2:$I$964,'Исходные данные'!$D$2:$D$964,Z$3,'Исходные данные'!$F$2:$F$964,$H19&amp;"")=0,"0+"&amp;SUMIFS('Исходные данные'!$J$2:$J$964,'Исходные данные'!$D$2:$D$964,Z$3,'Исходные данные'!$F$2:$F$964,$H19&amp;"")&amp;"="&amp;SUMIFS('Исходные данные'!$J$2:$J$964,'Исходные данные'!$D$2:$D$964,Z$3,'Исходные данные'!$F$2:$F$964,$H19&amp;""),SUMIFS('Исходные данные'!$I$2:$I$964,'Исходные данные'!$D$2:$D$964,Z$3,'Исходные данные'!$F$2:$F$964,$H19&amp;"")&amp;"+"&amp;SUMIFS('Исходные данные'!$J$2:$J$964,'Исходные данные'!$D$2:$D$964,Z$3,'Исходные данные'!$F$2:$F$964,$H19&amp;"")&amp;"="&amp;(SUMIFS('Исходные данные'!$I$2:$I$964,'Исходные данные'!$D$2:$D$964,Z$3,'Исходные данные'!$F$2:$F$964,$H19&amp;"")+SUMIFS('Исходные данные'!$J$2:$J$964,'Исходные данные'!$D$2:$D$964,Z$3,'Исходные данные'!$F$2:$F$964,$H19&amp;"")))))</f>
        <v/>
      </c>
      <c r="AA19" s="54" t="str">
        <f aca="false">IF(SUMIFS('Исходные данные'!$I$2:$I$964,'Исходные данные'!$D$2:$D$964,AA$3,'Исходные данные'!$F$2:$F$964,$H19&amp;"")+SUMIFS('Исходные данные'!$J$2:$J$964,'Исходные данные'!$D$2:$D$964,AA$3,'Исходные данные'!$F$2:$F$964,$H19&amp;"")=0,"",IF(SUMIFS('Исходные данные'!$J$2:$J$964,'Исходные данные'!$D$2:$D$964,AA$3,'Исходные данные'!$F$2:$F$964,$H19&amp;"")=0,SUMIFS('Исходные данные'!$I$2:$I$964,'Исходные данные'!$D$2:$D$964,AA$3,'Исходные данные'!$F$2:$F$964,$H19&amp;""),IF(SUMIFS('Исходные данные'!$I$2:$I$964,'Исходные данные'!$D$2:$D$964,AA$3,'Исходные данные'!$F$2:$F$964,$H19&amp;"")=0,"0+"&amp;SUMIFS('Исходные данные'!$J$2:$J$964,'Исходные данные'!$D$2:$D$964,AA$3,'Исходные данные'!$F$2:$F$964,$H19&amp;"")&amp;"="&amp;SUMIFS('Исходные данные'!$J$2:$J$964,'Исходные данные'!$D$2:$D$964,AA$3,'Исходные данные'!$F$2:$F$964,$H19&amp;""),SUMIFS('Исходные данные'!$I$2:$I$964,'Исходные данные'!$D$2:$D$964,AA$3,'Исходные данные'!$F$2:$F$964,$H19&amp;"")&amp;"+"&amp;SUMIFS('Исходные данные'!$J$2:$J$964,'Исходные данные'!$D$2:$D$964,AA$3,'Исходные данные'!$F$2:$F$964,$H19&amp;"")&amp;"="&amp;(SUMIFS('Исходные данные'!$I$2:$I$964,'Исходные данные'!$D$2:$D$964,AA$3,'Исходные данные'!$F$2:$F$964,$H19&amp;"")+SUMIFS('Исходные данные'!$J$2:$J$964,'Исходные данные'!$D$2:$D$964,AA$3,'Исходные данные'!$F$2:$F$964,$H19&amp;"")))))</f>
        <v/>
      </c>
      <c r="AB19" s="54" t="str">
        <f aca="false">IF(SUMIFS('Исходные данные'!$I$2:$I$964,'Исходные данные'!$D$2:$D$964,AB$3,'Исходные данные'!$F$2:$F$964,$H19&amp;"")+SUMIFS('Исходные данные'!$J$2:$J$964,'Исходные данные'!$D$2:$D$964,AB$3,'Исходные данные'!$F$2:$F$964,$H19&amp;"")=0,"",IF(SUMIFS('Исходные данные'!$J$2:$J$964,'Исходные данные'!$D$2:$D$964,AB$3,'Исходные данные'!$F$2:$F$964,$H19&amp;"")=0,SUMIFS('Исходные данные'!$I$2:$I$964,'Исходные данные'!$D$2:$D$964,AB$3,'Исходные данные'!$F$2:$F$964,$H19&amp;""),IF(SUMIFS('Исходные данные'!$I$2:$I$964,'Исходные данные'!$D$2:$D$964,AB$3,'Исходные данные'!$F$2:$F$964,$H19&amp;"")=0,"0+"&amp;SUMIFS('Исходные данные'!$J$2:$J$964,'Исходные данные'!$D$2:$D$964,AB$3,'Исходные данные'!$F$2:$F$964,$H19&amp;"")&amp;"="&amp;SUMIFS('Исходные данные'!$J$2:$J$964,'Исходные данные'!$D$2:$D$964,AB$3,'Исходные данные'!$F$2:$F$964,$H19&amp;""),SUMIFS('Исходные данные'!$I$2:$I$964,'Исходные данные'!$D$2:$D$964,AB$3,'Исходные данные'!$F$2:$F$964,$H19&amp;"")&amp;"+"&amp;SUMIFS('Исходные данные'!$J$2:$J$964,'Исходные данные'!$D$2:$D$964,AB$3,'Исходные данные'!$F$2:$F$964,$H19&amp;"")&amp;"="&amp;(SUMIFS('Исходные данные'!$I$2:$I$964,'Исходные данные'!$D$2:$D$964,AB$3,'Исходные данные'!$F$2:$F$964,$H19&amp;"")+SUMIFS('Исходные данные'!$J$2:$J$964,'Исходные данные'!$D$2:$D$964,AB$3,'Исходные данные'!$F$2:$F$964,$H19&amp;"")))))</f>
        <v>1+1=2</v>
      </c>
      <c r="AC19" s="56" t="str">
        <f aca="false">IF(SUMIFS('Исходные данные'!$I$2:$I$964,'Исходные данные'!$D$2:$D$964,AC$3,'Исходные данные'!$F$2:$F$964,$H19&amp;"")+SUMIFS('Исходные данные'!$J$2:$J$964,'Исходные данные'!$D$2:$D$964,AC$3,'Исходные данные'!$F$2:$F$964,$H19&amp;"")=0,"",IF(SUMIFS('Исходные данные'!$J$2:$J$964,'Исходные данные'!$D$2:$D$964,AC$3,'Исходные данные'!$F$2:$F$964,$H19&amp;"")=0,SUMIFS('Исходные данные'!$I$2:$I$964,'Исходные данные'!$D$2:$D$964,AC$3,'Исходные данные'!$F$2:$F$964,$H19&amp;""),IF(SUMIFS('Исходные данные'!$I$2:$I$964,'Исходные данные'!$D$2:$D$964,AC$3,'Исходные данные'!$F$2:$F$964,$H19&amp;"")=0,"0+"&amp;SUMIFS('Исходные данные'!$J$2:$J$964,'Исходные данные'!$D$2:$D$964,AC$3,'Исходные данные'!$F$2:$F$964,$H19&amp;"")&amp;"="&amp;SUMIFS('Исходные данные'!$J$2:$J$964,'Исходные данные'!$D$2:$D$964,AC$3,'Исходные данные'!$F$2:$F$964,$H19&amp;""),SUMIFS('Исходные данные'!$I$2:$I$964,'Исходные данные'!$D$2:$D$964,AC$3,'Исходные данные'!$F$2:$F$964,$H19&amp;"")&amp;"+"&amp;SUMIFS('Исходные данные'!$J$2:$J$964,'Исходные данные'!$D$2:$D$964,AC$3,'Исходные данные'!$F$2:$F$964,$H19&amp;"")&amp;"="&amp;(SUMIFS('Исходные данные'!$I$2:$I$964,'Исходные данные'!$D$2:$D$964,AC$3,'Исходные данные'!$F$2:$F$964,$H19&amp;"")+SUMIFS('Исходные данные'!$J$2:$J$964,'Исходные данные'!$D$2:$D$964,AC$3,'Исходные данные'!$F$2:$F$964,$H19&amp;"")))))</f>
        <v>5+7=12</v>
      </c>
      <c r="AD19" s="54" t="str">
        <f aca="false">IF(SUMIFS('Исходные данные'!$I$2:$I$964,'Исходные данные'!$D$2:$D$964,AD$3,'Исходные данные'!$F$2:$F$964,$H19&amp;"")+SUMIFS('Исходные данные'!$J$2:$J$964,'Исходные данные'!$D$2:$D$964,AD$3,'Исходные данные'!$F$2:$F$964,$H19&amp;"")=0,"",IF(SUMIFS('Исходные данные'!$J$2:$J$964,'Исходные данные'!$D$2:$D$964,AD$3,'Исходные данные'!$F$2:$F$964,$H19&amp;"")=0,SUMIFS('Исходные данные'!$I$2:$I$964,'Исходные данные'!$D$2:$D$964,AD$3,'Исходные данные'!$F$2:$F$964,$H19&amp;""),IF(SUMIFS('Исходные данные'!$I$2:$I$964,'Исходные данные'!$D$2:$D$964,AD$3,'Исходные данные'!$F$2:$F$964,$H19&amp;"")=0,"0+"&amp;SUMIFS('Исходные данные'!$J$2:$J$964,'Исходные данные'!$D$2:$D$964,AD$3,'Исходные данные'!$F$2:$F$964,$H19&amp;"")&amp;"="&amp;SUMIFS('Исходные данные'!$J$2:$J$964,'Исходные данные'!$D$2:$D$964,AD$3,'Исходные данные'!$F$2:$F$964,$H19&amp;""),SUMIFS('Исходные данные'!$I$2:$I$964,'Исходные данные'!$D$2:$D$964,AD$3,'Исходные данные'!$F$2:$F$964,$H19&amp;"")&amp;"+"&amp;SUMIFS('Исходные данные'!$J$2:$J$964,'Исходные данные'!$D$2:$D$964,AD$3,'Исходные данные'!$F$2:$F$964,$H19&amp;"")&amp;"="&amp;(SUMIFS('Исходные данные'!$I$2:$I$964,'Исходные данные'!$D$2:$D$964,AD$3,'Исходные данные'!$F$2:$F$964,$H19&amp;"")+SUMIFS('Исходные данные'!$J$2:$J$964,'Исходные данные'!$D$2:$D$964,AD$3,'Исходные данные'!$F$2:$F$964,$H19&amp;"")))))</f>
        <v>5+5=10</v>
      </c>
      <c r="AE19" s="57" t="n">
        <f aca="false">IFERROR(INDEX('Выход ТС'!$K:$K,MATCH($H19&amp;"",'Выход ТС'!$A:$A,0))+INDEX('Выход ТС'!$L:$L,MATCH($H19&amp;"",'Выход ТС'!$A:$A,0))-INDEX('Выход ТС'!$I:$I,MATCH($H19&amp;"",'Выход ТС'!$A:$A,0))-INDEX('Выход ТС'!$J:$J,MATCH($H19&amp;"",'Выход ТС'!$A:$A,0)),"")</f>
        <v>0</v>
      </c>
      <c r="AF19" s="57" t="n">
        <f aca="false">IFERROR(INDEX('Выход ТС'!$O:$O,MATCH($H19&amp;"",'Выход ТС'!$A:$A,0))+INDEX('Выход ТС'!$P:$P,MATCH($H19&amp;"",'Выход ТС'!$A:$A,0))-INDEX('Выход ТС'!$M:$M,MATCH($H19&amp;"",'Выход ТС'!$A:$A,0))-INDEX('Выход ТС'!$N:$N,MATCH($H19&amp;"",'Выход ТС'!$A:$A,0)),"")</f>
        <v>-1</v>
      </c>
      <c r="AG19" s="57" t="n">
        <f aca="false">IFERROR(INDEX('Выход ТС'!$S:$S,MATCH($H19&amp;"",'Выход ТС'!$A:$A,0))+INDEX('Выход ТС'!$T:$T,MATCH($H19&amp;"",'Выход ТС'!$A:$A,0))-INDEX('Выход ТС'!$Q:$Q,MATCH($H19&amp;"",'Выход ТС'!$A:$A,0))-INDEX('Выход ТС'!$R:$R,MATCH($H19&amp;"",'Выход ТС'!$A:$A,0)),"")</f>
        <v>1</v>
      </c>
      <c r="AH19" s="57" t="n">
        <f aca="false">IFERROR(INDEX('Выход ТС'!$W:$W,MATCH($H19&amp;"",'Выход ТС'!$A:$A,0))+INDEX('Выход ТС'!$X:$X,MATCH($H19&amp;"",'Выход ТС'!$A:$A,0))-INDEX('Выход ТС'!$U:$U,MATCH($H19&amp;"",'Выход ТС'!$A:$A,0))-INDEX('Выход ТС'!$V:$V,MATCH($H19&amp;"",'Выход ТС'!$A:$A,0)),"")</f>
        <v>0</v>
      </c>
      <c r="AI19" s="57" t="n">
        <f aca="false">IFERROR(INDEX('Выход ТС'!$AA:$AA,MATCH($H19&amp;"",'Выход ТС'!$A:$A,0))+INDEX('Выход ТС'!$AB:$AB,MATCH($H19&amp;"",'Выход ТС'!$A:$A,0))-INDEX('Выход ТС'!$Y:$Y,MATCH($H19&amp;"",'Выход ТС'!$A:$A,0))-INDEX('Выход ТС'!$Z:$Z,MATCH($H19&amp;"",'Выход ТС'!$A:$A,0)),"")</f>
        <v>0</v>
      </c>
      <c r="AJ19" s="57" t="n">
        <f aca="false">IFERROR(INDEX('Выход ТС'!$AE:$AE,MATCH($H19&amp;"",'Выход ТС'!$A:$A,0))+INDEX('Выход ТС'!$AF:$AF,MATCH($H19&amp;"",'Выход ТС'!$A:$A,0))-INDEX('Выход ТС'!$AC:$AC,MATCH($H19&amp;"",'Выход ТС'!$A:$A,0))-INDEX('Выход ТС'!$AD:$AD,MATCH($H19&amp;"",'Выход ТС'!$A:$A,0)),"")</f>
        <v>0</v>
      </c>
      <c r="AK19" s="57" t="n">
        <f aca="false">IFERROR(INDEX('Выход ТС'!$AI:$AI,MATCH($H19&amp;"",'Выход ТС'!$A:$A,0))+INDEX('Выход ТС'!$AJ:$AJ,MATCH($H19&amp;"",'Выход ТС'!$A:$A,0))-INDEX('Выход ТС'!$AG:$AG,MATCH($H19&amp;"",'Выход ТС'!$A:$A,0))-INDEX('Выход ТС'!$AH:$AH,MATCH($H19&amp;"",'Выход ТС'!$A:$A,0)),"")</f>
        <v>1</v>
      </c>
      <c r="AL19" s="57" t="n">
        <f aca="false">IFERROR(INDEX('Выход ТС'!$AM:$AM,MATCH($H19&amp;"",'Выход ТС'!$A:$A,0))+INDEX('Выход ТС'!$AN:$AN,MATCH($H19&amp;"",'Выход ТС'!$A:$A,0))-INDEX('Выход ТС'!$AK:$AK,MATCH($H19&amp;"",'Выход ТС'!$A:$A,0))-INDEX('Выход ТС'!$AL:$AL,MATCH($H19&amp;"",'Выход ТС'!$A:$A,0)),"")</f>
        <v>0</v>
      </c>
      <c r="AM19" s="57" t="n">
        <f aca="false">IFERROR(INDEX('Выход ТС'!$AQ:$AQ,MATCH($H19&amp;"",'Выход ТС'!$A:$A,0))+INDEX('Выход ТС'!$AR:$AR,MATCH($H19&amp;"",'Выход ТС'!$A:$A,0))-INDEX('Выход ТС'!$AO:$AO,MATCH($H19&amp;"",'Выход ТС'!$A:$A,0))-INDEX('Выход ТС'!$AP:$AP,MATCH($H19&amp;"",'Выход ТС'!$A:$A,0)),"")</f>
        <v>0</v>
      </c>
      <c r="AN19" s="57" t="n">
        <f aca="false">IFERROR(INDEX('Выход ТС'!$AU:$AU,MATCH($H19&amp;"",'Выход ТС'!$A:$A,0))+INDEX('Выход ТС'!$AV:$AV,MATCH($H19&amp;"",'Выход ТС'!$A:$A,0))-INDEX('Выход ТС'!$AS:$AS,MATCH($H19&amp;"",'Выход ТС'!$A:$A,0))-INDEX('Выход ТС'!$AT:$AT,MATCH($H19&amp;"",'Выход ТС'!$A:$A,0)),"")</f>
        <v>0</v>
      </c>
      <c r="AO19" s="57" t="n">
        <f aca="false">IFERROR(INDEX('Выход ТС'!$AY:$AY,MATCH($H19&amp;"",'Выход ТС'!$A:$A,0))+INDEX('Выход ТС'!$AZ:$AZ,MATCH($H19&amp;"",'Выход ТС'!$A:$A,0))-INDEX('Выход ТС'!$AW:$AW,MATCH($H19&amp;"",'Выход ТС'!$A:$A,0))-INDEX('Выход ТС'!$AX:$AX,MATCH($H19&amp;"",'Выход ТС'!$A:$A,0)),"")</f>
        <v>0</v>
      </c>
      <c r="AP19" s="57" t="n">
        <f aca="false">IFERROR(INDEX('Выход ТС'!$BC:$BC,MATCH($H19&amp;"",'Выход ТС'!$A:$A,0))+INDEX('Выход ТС'!$BD:$BD,MATCH($H19&amp;"",'Выход ТС'!$A:$A,0))-INDEX('Выход ТС'!$BA:$BA,MATCH($H19&amp;"",'Выход ТС'!$A:$A,0))-INDEX('Выход ТС'!$BB:$BB,MATCH($H19&amp;"",'Выход ТС'!$A:$A,0)),"")</f>
        <v>1</v>
      </c>
      <c r="AQ19" s="57" t="n">
        <f aca="false">IFERROR(INDEX('Выход ТС'!$BG:$BG,MATCH($H19&amp;"",'Выход ТС'!$A:$A,0))+INDEX('Выход ТС'!$BH:$BH,MATCH($H19&amp;"",'Выход ТС'!$A:$A,0))-INDEX('Выход ТС'!$BE:$BE,MATCH($H19&amp;"",'Выход ТС'!$A:$A,0))-INDEX('Выход ТС'!$BF:$BF,MATCH($H19&amp;"",'Выход ТС'!$A:$A,0)),"")</f>
        <v>0</v>
      </c>
      <c r="AR19" s="57" t="n">
        <f aca="false">IFERROR(INDEX('Выход ТС'!$BK:$BK,MATCH($H19&amp;"",'Выход ТС'!$A:$A,0))+INDEX('Выход ТС'!$BL:$BL,MATCH($H19&amp;"",'Выход ТС'!$A:$A,0))-INDEX('Выход ТС'!$BI:$BI,MATCH($H19&amp;"",'Выход ТС'!$A:$A,0))-INDEX('Выход ТС'!$BJ:$BJ,MATCH($H19&amp;"",'Выход ТС'!$A:$A,0)),"")</f>
        <v>-1</v>
      </c>
      <c r="AS19" s="57" t="n">
        <f aca="false">IFERROR(INDEX('Выход ТС'!$BO:$BO,MATCH($H19&amp;"",'Выход ТС'!$A:$A,0))+INDEX('Выход ТС'!$BP:$BP,MATCH($H19&amp;"",'Выход ТС'!$A:$A,0))-INDEX('Выход ТС'!$BM:$BM,MATCH($H19&amp;"",'Выход ТС'!$A:$A,0))-INDEX('Выход ТС'!$BN:$BN,MATCH($H19&amp;"",'Выход ТС'!$A:$A,0)),"")</f>
        <v>-1</v>
      </c>
      <c r="AT19" s="57" t="n">
        <f aca="false">IFERROR(INDEX('Выход ТС'!$CI:$CI,MATCH($H19&amp;"",'Выход ТС'!$A:$A,0))+INDEX('Выход ТС'!$CJ:$CJ,MATCH($H19&amp;"",'Выход ТС'!$A:$A,0))-INDEX('Выход ТС'!$CG:$CG,MATCH($H19&amp;"",'Выход ТС'!$A:$A,0))-INDEX('Выход ТС'!$CH:$CH,MATCH($H19&amp;"",'Выход ТС'!$A:$A,0)),"")</f>
        <v>0</v>
      </c>
      <c r="AU19" s="57" t="n">
        <f aca="false">IFERROR(INDEX('Выход ТС'!$CM:$CM,MATCH($H19&amp;"",'Выход ТС'!$A:$A,0))+INDEX('Выход ТС'!$CN:$CN,MATCH($H19&amp;"",'Выход ТС'!$A:$A,0))-INDEX('Выход ТС'!$CK:$CK,MATCH($H19&amp;"",'Выход ТС'!$A:$A,0))-INDEX('Выход ТС'!$CL:$CL,MATCH($H19&amp;"",'Выход ТС'!$A:$A,0)),"")</f>
        <v>0</v>
      </c>
    </row>
    <row r="20" customFormat="false" ht="25.5" hidden="false" customHeight="true" outlineLevel="0" collapsed="false">
      <c r="A20" s="47" t="n">
        <v>18</v>
      </c>
      <c r="B20" s="32" t="s">
        <v>200</v>
      </c>
      <c r="C20" s="33" t="s">
        <v>21</v>
      </c>
      <c r="D20" s="34"/>
      <c r="E20" s="33" t="s">
        <v>201</v>
      </c>
      <c r="F20" s="33" t="s">
        <v>21</v>
      </c>
      <c r="G20" s="69"/>
      <c r="H20" s="36"/>
      <c r="I20" s="60"/>
      <c r="J20" s="61"/>
      <c r="K20" s="62"/>
      <c r="L20" s="63"/>
      <c r="M20" s="64"/>
      <c r="N20" s="64"/>
      <c r="O20" s="65" t="str">
        <f aca="false">IF(SUMIFS('Исходные данные'!$I$2:$I$964,'Исходные данные'!$D$2:$D$964,O$3,'Исходные данные'!$F$2:$F$964,$H21&amp;"",'Исходные данные'!$L$2:$L$964,"УТТ")+SUMIFS('Исходные данные'!$J$2:$J$964,'Исходные данные'!$D$2:$D$964,O$3,'Исходные данные'!$F$2:$F$964,$H21&amp;"",'Исходные данные'!$L$2:$L$964,"УТТ")=0,"","утт-"&amp;(SUMIFS('Исходные данные'!$I$2:$I$964,'Исходные данные'!$D$2:$D$964,O$3,'Исходные данные'!$F$2:$F$964,$H21&amp;"",'Исходные данные'!$L$2:$L$964,"УТТ")+SUMIFS('Исходные данные'!$J$2:$J$964,'Исходные данные'!$D$2:$D$964,O$3,'Исходные данные'!$F$2:$F$964,$H21&amp;"",'Исходные данные'!$L$2:$L$964,"УТТ")))</f>
        <v/>
      </c>
      <c r="P20" s="66" t="str">
        <f aca="false">IF(SUMIFS('Исходные данные'!$I$2:$I$964,'Исходные данные'!$D$2:$D$964,P$3,'Исходные данные'!$F$2:$F$964,$H21&amp;"",'Исходные данные'!$L$2:$L$964,"УТТ")+SUMIFS('Исходные данные'!$J$2:$J$964,'Исходные данные'!$D$2:$D$964,P$3,'Исходные данные'!$F$2:$F$964,$H21&amp;"",'Исходные данные'!$L$2:$L$964,"УТТ")=0,"","утт-"&amp;(SUMIFS('Исходные данные'!$I$2:$I$964,'Исходные данные'!$D$2:$D$964,P$3,'Исходные данные'!$F$2:$F$964,$H21&amp;"",'Исходные данные'!$L$2:$L$964,"УТТ")+SUMIFS('Исходные данные'!$J$2:$J$964,'Исходные данные'!$D$2:$D$964,P$3,'Исходные данные'!$F$2:$F$964,$H21&amp;"",'Исходные данные'!$L$2:$L$964,"УТТ")))</f>
        <v/>
      </c>
      <c r="Q20" s="65" t="str">
        <f aca="false">IF(SUMIFS('Исходные данные'!$I$2:$I$964,'Исходные данные'!$D$2:$D$964,Q$3,'Исходные данные'!$F$2:$F$964,$H21&amp;"",'Исходные данные'!$L$2:$L$964,"УТТ")+SUMIFS('Исходные данные'!$J$2:$J$964,'Исходные данные'!$D$2:$D$964,Q$3,'Исходные данные'!$F$2:$F$964,$H21&amp;"",'Исходные данные'!$L$2:$L$964,"УТТ")=0,"","утт-"&amp;(SUMIFS('Исходные данные'!$I$2:$I$964,'Исходные данные'!$D$2:$D$964,Q$3,'Исходные данные'!$F$2:$F$964,$H21&amp;"",'Исходные данные'!$L$2:$L$964,"УТТ")+SUMIFS('Исходные данные'!$J$2:$J$964,'Исходные данные'!$D$2:$D$964,Q$3,'Исходные данные'!$F$2:$F$964,$H21&amp;"",'Исходные данные'!$L$2:$L$964,"УТТ")))</f>
        <v/>
      </c>
      <c r="R20" s="67" t="str">
        <f aca="false">IF(SUMIFS('Исходные данные'!$I$2:$I$964,'Исходные данные'!$D$2:$D$964,R$3,'Исходные данные'!$F$2:$F$964,$H21&amp;"",'Исходные данные'!$L$2:$L$964,"УТТ")+SUMIFS('Исходные данные'!$J$2:$J$964,'Исходные данные'!$D$2:$D$964,R$3,'Исходные данные'!$F$2:$F$964,$H21&amp;"",'Исходные данные'!$L$2:$L$964,"УТТ")=0,"","утт-"&amp;(SUMIFS('Исходные данные'!$I$2:$I$964,'Исходные данные'!$D$2:$D$964,R$3,'Исходные данные'!$F$2:$F$964,$H21&amp;"",'Исходные данные'!$L$2:$L$964,"УТТ")+SUMIFS('Исходные данные'!$J$2:$J$964,'Исходные данные'!$D$2:$D$964,R$3,'Исходные данные'!$F$2:$F$964,$H21&amp;"",'Исходные данные'!$L$2:$L$964,"УТТ")))</f>
        <v/>
      </c>
      <c r="S20" s="66" t="str">
        <f aca="false">IF(SUMIFS('Исходные данные'!$I$2:$I$964,'Исходные данные'!$D$2:$D$964,S$3,'Исходные данные'!$F$2:$F$964,$H21&amp;"",'Исходные данные'!$L$2:$L$964,"УТТ")+SUMIFS('Исходные данные'!$J$2:$J$964,'Исходные данные'!$D$2:$D$964,S$3,'Исходные данные'!$F$2:$F$964,$H21&amp;"",'Исходные данные'!$L$2:$L$964,"УТТ")=0,"","утт-"&amp;(SUMIFS('Исходные данные'!$I$2:$I$964,'Исходные данные'!$D$2:$D$964,S$3,'Исходные данные'!$F$2:$F$964,$H21&amp;"",'Исходные данные'!$L$2:$L$964,"УТТ")+SUMIFS('Исходные данные'!$J$2:$J$964,'Исходные данные'!$D$2:$D$964,S$3,'Исходные данные'!$F$2:$F$964,$H21&amp;"",'Исходные данные'!$L$2:$L$964,"УТТ")))</f>
        <v/>
      </c>
      <c r="T20" s="65" t="str">
        <f aca="false">IF(SUMIFS('Исходные данные'!$I$2:$I$964,'Исходные данные'!$D$2:$D$964,T$3,'Исходные данные'!$F$2:$F$964,$H21&amp;"",'Исходные данные'!$L$2:$L$964,"УТТ")+SUMIFS('Исходные данные'!$J$2:$J$964,'Исходные данные'!$D$2:$D$964,T$3,'Исходные данные'!$F$2:$F$964,$H21&amp;"",'Исходные данные'!$L$2:$L$964,"УТТ")=0,"","утт-"&amp;(SUMIFS('Исходные данные'!$I$2:$I$964,'Исходные данные'!$D$2:$D$964,T$3,'Исходные данные'!$F$2:$F$964,$H21&amp;"",'Исходные данные'!$L$2:$L$964,"УТТ")+SUMIFS('Исходные данные'!$J$2:$J$964,'Исходные данные'!$D$2:$D$964,T$3,'Исходные данные'!$F$2:$F$964,$H21&amp;"",'Исходные данные'!$L$2:$L$964,"УТТ")))</f>
        <v/>
      </c>
      <c r="U20" s="66" t="str">
        <f aca="false">IF(SUMIFS('Исходные данные'!$I$2:$I$964,'Исходные данные'!$D$2:$D$964,U$3,'Исходные данные'!$F$2:$F$964,$H21&amp;"",'Исходные данные'!$L$2:$L$964,"УТТ")+SUMIFS('Исходные данные'!$J$2:$J$964,'Исходные данные'!$D$2:$D$964,U$3,'Исходные данные'!$F$2:$F$964,$H21&amp;"",'Исходные данные'!$L$2:$L$964,"УТТ")=0,"","утт-"&amp;(SUMIFS('Исходные данные'!$I$2:$I$964,'Исходные данные'!$D$2:$D$964,U$3,'Исходные данные'!$F$2:$F$964,$H21&amp;"",'Исходные данные'!$L$2:$L$964,"УТТ")+SUMIFS('Исходные данные'!$J$2:$J$964,'Исходные данные'!$D$2:$D$964,U$3,'Исходные данные'!$F$2:$F$964,$H21&amp;"",'Исходные данные'!$L$2:$L$964,"УТТ")))</f>
        <v/>
      </c>
      <c r="V20" s="65" t="str">
        <f aca="false">IF(SUMIFS('Исходные данные'!$I$2:$I$964,'Исходные данные'!$D$2:$D$964,V$3,'Исходные данные'!$F$2:$F$964,$H21&amp;"",'Исходные данные'!$L$2:$L$964,"УТТ")+SUMIFS('Исходные данные'!$J$2:$J$964,'Исходные данные'!$D$2:$D$964,V$3,'Исходные данные'!$F$2:$F$964,$H21&amp;"",'Исходные данные'!$L$2:$L$964,"УТТ")=0,"","утт-"&amp;(SUMIFS('Исходные данные'!$I$2:$I$964,'Исходные данные'!$D$2:$D$964,V$3,'Исходные данные'!$F$2:$F$964,$H21&amp;"",'Исходные данные'!$L$2:$L$964,"УТТ")+SUMIFS('Исходные данные'!$J$2:$J$964,'Исходные данные'!$D$2:$D$964,V$3,'Исходные данные'!$F$2:$F$964,$H21&amp;"",'Исходные данные'!$L$2:$L$964,"УТТ")))</f>
        <v/>
      </c>
      <c r="W20" s="66" t="str">
        <f aca="false">IF(SUMIFS('Исходные данные'!$I$2:$I$964,'Исходные данные'!$D$2:$D$964,W$3,'Исходные данные'!$F$2:$F$964,$H21&amp;"",'Исходные данные'!$L$2:$L$964,"УТТ")+SUMIFS('Исходные данные'!$J$2:$J$964,'Исходные данные'!$D$2:$D$964,W$3,'Исходные данные'!$F$2:$F$964,$H21&amp;"",'Исходные данные'!$L$2:$L$964,"УТТ")=0,"","утт-"&amp;(SUMIFS('Исходные данные'!$I$2:$I$964,'Исходные данные'!$D$2:$D$964,W$3,'Исходные данные'!$F$2:$F$964,$H21&amp;"",'Исходные данные'!$L$2:$L$964,"УТТ")+SUMIFS('Исходные данные'!$J$2:$J$964,'Исходные данные'!$D$2:$D$964,W$3,'Исходные данные'!$F$2:$F$964,$H21&amp;"",'Исходные данные'!$L$2:$L$964,"УТТ")))</f>
        <v/>
      </c>
      <c r="X20" s="66" t="str">
        <f aca="false">IF(SUMIFS('Исходные данные'!$I$2:$I$964,'Исходные данные'!$D$2:$D$964,X$3,'Исходные данные'!$F$2:$F$964,$H21&amp;"",'Исходные данные'!$L$2:$L$964,"УТТ")+SUMIFS('Исходные данные'!$J$2:$J$964,'Исходные данные'!$D$2:$D$964,X$3,'Исходные данные'!$F$2:$F$964,$H21&amp;"",'Исходные данные'!$L$2:$L$964,"УТТ")=0,"","утт-"&amp;(SUMIFS('Исходные данные'!$I$2:$I$964,'Исходные данные'!$D$2:$D$964,X$3,'Исходные данные'!$F$2:$F$964,$H21&amp;"",'Исходные данные'!$L$2:$L$964,"УТТ")+SUMIFS('Исходные данные'!$J$2:$J$964,'Исходные данные'!$D$2:$D$964,X$3,'Исходные данные'!$F$2:$F$964,$H21&amp;"",'Исходные данные'!$L$2:$L$964,"УТТ")))</f>
        <v/>
      </c>
      <c r="Y20" s="68" t="str">
        <f aca="false">IF(SUMIFS('Исходные данные'!$I$2:$I$964,'Исходные данные'!$D$2:$D$964,Y$3,'Исходные данные'!$F$2:$F$964,$H21&amp;"",'Исходные данные'!$L$2:$L$964,"УТТ")+SUMIFS('Исходные данные'!$J$2:$J$964,'Исходные данные'!$D$2:$D$964,Y$3,'Исходные данные'!$F$2:$F$964,$H21&amp;"",'Исходные данные'!$L$2:$L$964,"УТТ")=0,"","утт-"&amp;(SUMIFS('Исходные данные'!$I$2:$I$964,'Исходные данные'!$D$2:$D$964,Y$3,'Исходные данные'!$F$2:$F$964,$H21&amp;"",'Исходные данные'!$L$2:$L$964,"УТТ")+SUMIFS('Исходные данные'!$J$2:$J$964,'Исходные данные'!$D$2:$D$964,Y$3,'Исходные данные'!$F$2:$F$964,$H21&amp;"",'Исходные данные'!$L$2:$L$964,"УТТ")))</f>
        <v/>
      </c>
      <c r="Z20" s="65" t="str">
        <f aca="false">IF(SUMIFS('Исходные данные'!$I$2:$I$964,'Исходные данные'!$D$2:$D$964,Z$3,'Исходные данные'!$F$2:$F$964,$H21&amp;"",'Исходные данные'!$L$2:$L$964,"УТТ")+SUMIFS('Исходные данные'!$J$2:$J$964,'Исходные данные'!$D$2:$D$964,Z$3,'Исходные данные'!$F$2:$F$964,$H21&amp;"",'Исходные данные'!$L$2:$L$964,"УТТ")=0,"","утт-"&amp;(SUMIFS('Исходные данные'!$I$2:$I$964,'Исходные данные'!$D$2:$D$964,Z$3,'Исходные данные'!$F$2:$F$964,$H21&amp;"",'Исходные данные'!$L$2:$L$964,"УТТ")+SUMIFS('Исходные данные'!$J$2:$J$964,'Исходные данные'!$D$2:$D$964,Z$3,'Исходные данные'!$F$2:$F$964,$H21&amp;"",'Исходные данные'!$L$2:$L$964,"УТТ")))</f>
        <v/>
      </c>
      <c r="AA20" s="66" t="str">
        <f aca="false">IF(SUMIFS('Исходные данные'!$I$2:$I$964,'Исходные данные'!$D$2:$D$964,AA$3,'Исходные данные'!$F$2:$F$964,$H21&amp;"",'Исходные данные'!$L$2:$L$964,"УТТ")+SUMIFS('Исходные данные'!$J$2:$J$964,'Исходные данные'!$D$2:$D$964,AA$3,'Исходные данные'!$F$2:$F$964,$H21&amp;"",'Исходные данные'!$L$2:$L$964,"УТТ")=0,"","утт-"&amp;(SUMIFS('Исходные данные'!$I$2:$I$964,'Исходные данные'!$D$2:$D$964,AA$3,'Исходные данные'!$F$2:$F$964,$H21&amp;"",'Исходные данные'!$L$2:$L$964,"УТТ")+SUMIFS('Исходные данные'!$J$2:$J$964,'Исходные данные'!$D$2:$D$964,AA$3,'Исходные данные'!$F$2:$F$964,$H21&amp;"",'Исходные данные'!$L$2:$L$964,"УТТ")))</f>
        <v/>
      </c>
      <c r="AB20" s="66" t="str">
        <f aca="false">IF(SUMIFS('Исходные данные'!$I$2:$I$964,'Исходные данные'!$D$2:$D$964,AB$3,'Исходные данные'!$F$2:$F$964,$H21&amp;"",'Исходные данные'!$L$2:$L$964,"УТТ")+SUMIFS('Исходные данные'!$J$2:$J$964,'Исходные данные'!$D$2:$D$964,AB$3,'Исходные данные'!$F$2:$F$964,$H21&amp;"",'Исходные данные'!$L$2:$L$964,"УТТ")=0,"","утт-"&amp;(SUMIFS('Исходные данные'!$I$2:$I$964,'Исходные данные'!$D$2:$D$964,AB$3,'Исходные данные'!$F$2:$F$964,$H21&amp;"",'Исходные данные'!$L$2:$L$964,"УТТ")+SUMIFS('Исходные данные'!$J$2:$J$964,'Исходные данные'!$D$2:$D$964,AB$3,'Исходные данные'!$F$2:$F$964,$H21&amp;"",'Исходные данные'!$L$2:$L$964,"УТТ")))</f>
        <v/>
      </c>
      <c r="AC20" s="65" t="str">
        <f aca="false">IF(SUMIFS('Исходные данные'!$I$2:$I$964,'Исходные данные'!$D$2:$D$964,AC$3,'Исходные данные'!$F$2:$F$964,$H21&amp;"",'Исходные данные'!$L$2:$L$964,"УТТ")+SUMIFS('Исходные данные'!$J$2:$J$964,'Исходные данные'!$D$2:$D$964,AC$3,'Исходные данные'!$F$2:$F$964,$H21&amp;"",'Исходные данные'!$L$2:$L$964,"УТТ")=0,"","утт-"&amp;(SUMIFS('Исходные данные'!$I$2:$I$964,'Исходные данные'!$D$2:$D$964,AC$3,'Исходные данные'!$F$2:$F$964,$H21&amp;"",'Исходные данные'!$L$2:$L$964,"УТТ")+SUMIFS('Исходные данные'!$J$2:$J$964,'Исходные данные'!$D$2:$D$964,AC$3,'Исходные данные'!$F$2:$F$964,$H21&amp;"",'Исходные данные'!$L$2:$L$964,"УТТ")))</f>
        <v/>
      </c>
      <c r="AD20" s="66" t="str">
        <f aca="false">IF(SUMIFS('Исходные данные'!$I$2:$I$964,'Исходные данные'!$D$2:$D$964,AD$3,'Исходные данные'!$F$2:$F$964,$H21&amp;"",'Исходные данные'!$L$2:$L$964,"УТТ")+SUMIFS('Исходные данные'!$J$2:$J$964,'Исходные данные'!$D$2:$D$964,AD$3,'Исходные данные'!$F$2:$F$964,$H21&amp;"",'Исходные данные'!$L$2:$L$964,"УТТ")=0,"","утт-"&amp;(SUMIFS('Исходные данные'!$I$2:$I$964,'Исходные данные'!$D$2:$D$964,AD$3,'Исходные данные'!$F$2:$F$964,$H21&amp;"",'Исходные данные'!$L$2:$L$964,"УТТ")+SUMIFS('Исходные данные'!$J$2:$J$964,'Исходные данные'!$D$2:$D$964,AD$3,'Исходные данные'!$F$2:$F$964,$H21&amp;"",'Исходные данные'!$L$2:$L$964,"УТТ")))</f>
        <v/>
      </c>
    </row>
    <row r="21" customFormat="false" ht="25.5" hidden="false" customHeight="true" outlineLevel="0" collapsed="false">
      <c r="A21" s="31" t="n">
        <v>19</v>
      </c>
      <c r="B21" s="32" t="s">
        <v>202</v>
      </c>
      <c r="C21" s="33" t="s">
        <v>21</v>
      </c>
      <c r="D21" s="34"/>
      <c r="E21" s="33" t="s">
        <v>203</v>
      </c>
      <c r="F21" s="33" t="s">
        <v>21</v>
      </c>
      <c r="G21" s="69"/>
      <c r="H21" s="36" t="n">
        <v>50</v>
      </c>
      <c r="I21" s="48" t="s">
        <v>66</v>
      </c>
      <c r="J21" s="49" t="n">
        <f aca="false">IFERROR(INDEX('Выход ТС'!$C:$C,MATCH($H21&amp;"",'Выход ТС'!$A:$A,0)),"")</f>
        <v>4</v>
      </c>
      <c r="K21" s="50" t="n">
        <f aca="false">IFERROR(INDEX('Выход ТС'!$E:$E,MATCH($H21&amp;"",'Выход ТС'!$A:$A,0)),"")</f>
        <v>2</v>
      </c>
      <c r="L21" s="51" t="n">
        <f aca="false">IFERROR(INDEX('Выход ТС'!$F:$F,MATCH($H21&amp;"",'Выход ТС'!$A:$A,0)),"")</f>
        <v>-2</v>
      </c>
      <c r="M21" s="52" t="n">
        <f aca="false">IFERROR(IF(INDEX('Выход ТС'!$G:$G,MATCH($H21&amp;"",'Выход ТС'!$A:$A,0))=0,"",INDEX('Выход ТС'!$G:$G,MATCH($H21&amp;"",'Выход ТС'!$A:$A,0))),"")</f>
        <v>2</v>
      </c>
      <c r="N21" s="64" t="str">
        <f aca="false">IFERROR(IF(INDEX('Выход ТС'!$H:$H,MATCH($H21&amp;"",'Выход ТС'!$A:$A,0))=0,"",INDEX('Выход ТС'!$H:$H,MATCH($H21&amp;"",'Выход ТС'!$A:$A,0))),"")</f>
        <v/>
      </c>
      <c r="O21" s="56" t="str">
        <f aca="false">IF(SUMIFS('Исходные данные'!$I$2:$I$964,'Исходные данные'!$D$2:$D$964,O$3,'Исходные данные'!$F$2:$F$964,$H21&amp;"")+SUMIFS('Исходные данные'!$J$2:$J$964,'Исходные данные'!$D$2:$D$964,O$3,'Исходные данные'!$F$2:$F$964,$H21&amp;"")=0,"",IF(SUMIFS('Исходные данные'!$J$2:$J$964,'Исходные данные'!$D$2:$D$964,O$3,'Исходные данные'!$F$2:$F$964,$H21&amp;"")=0,SUMIFS('Исходные данные'!$I$2:$I$964,'Исходные данные'!$D$2:$D$964,O$3,'Исходные данные'!$F$2:$F$964,$H21&amp;""),IF(SUMIFS('Исходные данные'!$I$2:$I$964,'Исходные данные'!$D$2:$D$964,O$3,'Исходные данные'!$F$2:$F$964,$H21&amp;"")=0,"0+"&amp;SUMIFS('Исходные данные'!$J$2:$J$964,'Исходные данные'!$D$2:$D$964,O$3,'Исходные данные'!$F$2:$F$964,$H21&amp;"")&amp;"="&amp;SUMIFS('Исходные данные'!$J$2:$J$964,'Исходные данные'!$D$2:$D$964,O$3,'Исходные данные'!$F$2:$F$964,$H21&amp;""),SUMIFS('Исходные данные'!$I$2:$I$964,'Исходные данные'!$D$2:$D$964,O$3,'Исходные данные'!$F$2:$F$964,$H21&amp;"")&amp;"+"&amp;SUMIFS('Исходные данные'!$J$2:$J$964,'Исходные данные'!$D$2:$D$964,O$3,'Исходные данные'!$F$2:$F$964,$H21&amp;"")&amp;"="&amp;(SUMIFS('Исходные данные'!$I$2:$I$964,'Исходные данные'!$D$2:$D$964,O$3,'Исходные данные'!$F$2:$F$964,$H21&amp;"")+SUMIFS('Исходные данные'!$J$2:$J$964,'Исходные данные'!$D$2:$D$964,O$3,'Исходные данные'!$F$2:$F$964,$H21&amp;"")))))</f>
        <v/>
      </c>
      <c r="P21" s="54" t="str">
        <f aca="false">IF(SUMIFS('Исходные данные'!$I$2:$I$964,'Исходные данные'!$D$2:$D$964,P$3,'Исходные данные'!$F$2:$F$964,$H21&amp;"")+SUMIFS('Исходные данные'!$J$2:$J$964,'Исходные данные'!$D$2:$D$964,P$3,'Исходные данные'!$F$2:$F$964,$H21&amp;"")=0,"",IF(SUMIFS('Исходные данные'!$J$2:$J$964,'Исходные данные'!$D$2:$D$964,P$3,'Исходные данные'!$F$2:$F$964,$H21&amp;"")=0,SUMIFS('Исходные данные'!$I$2:$I$964,'Исходные данные'!$D$2:$D$964,P$3,'Исходные данные'!$F$2:$F$964,$H21&amp;""),IF(SUMIFS('Исходные данные'!$I$2:$I$964,'Исходные данные'!$D$2:$D$964,P$3,'Исходные данные'!$F$2:$F$964,$H21&amp;"")=0,"0+"&amp;SUMIFS('Исходные данные'!$J$2:$J$964,'Исходные данные'!$D$2:$D$964,P$3,'Исходные данные'!$F$2:$F$964,$H21&amp;"")&amp;"="&amp;SUMIFS('Исходные данные'!$J$2:$J$964,'Исходные данные'!$D$2:$D$964,P$3,'Исходные данные'!$F$2:$F$964,$H21&amp;""),SUMIFS('Исходные данные'!$I$2:$I$964,'Исходные данные'!$D$2:$D$964,P$3,'Исходные данные'!$F$2:$F$964,$H21&amp;"")&amp;"+"&amp;SUMIFS('Исходные данные'!$J$2:$J$964,'Исходные данные'!$D$2:$D$964,P$3,'Исходные данные'!$F$2:$F$964,$H21&amp;"")&amp;"="&amp;(SUMIFS('Исходные данные'!$I$2:$I$964,'Исходные данные'!$D$2:$D$964,P$3,'Исходные данные'!$F$2:$F$964,$H21&amp;"")+SUMIFS('Исходные данные'!$J$2:$J$964,'Исходные данные'!$D$2:$D$964,P$3,'Исходные данные'!$F$2:$F$964,$H21&amp;"")))))</f>
        <v/>
      </c>
      <c r="Q21" s="54" t="str">
        <f aca="false">IF(SUMIFS('Исходные данные'!$I$2:$I$964,'Исходные данные'!$D$2:$D$964,Q$3,'Исходные данные'!$F$2:$F$964,$H21&amp;"")+SUMIFS('Исходные данные'!$J$2:$J$964,'Исходные данные'!$D$2:$D$964,Q$3,'Исходные данные'!$F$2:$F$964,$H21&amp;"")=0,"",IF(SUMIFS('Исходные данные'!$J$2:$J$964,'Исходные данные'!$D$2:$D$964,Q$3,'Исходные данные'!$F$2:$F$964,$H21&amp;"")=0,SUMIFS('Исходные данные'!$I$2:$I$964,'Исходные данные'!$D$2:$D$964,Q$3,'Исходные данные'!$F$2:$F$964,$H21&amp;""),IF(SUMIFS('Исходные данные'!$I$2:$I$964,'Исходные данные'!$D$2:$D$964,Q$3,'Исходные данные'!$F$2:$F$964,$H21&amp;"")=0,"0+"&amp;SUMIFS('Исходные данные'!$J$2:$J$964,'Исходные данные'!$D$2:$D$964,Q$3,'Исходные данные'!$F$2:$F$964,$H21&amp;"")&amp;"="&amp;SUMIFS('Исходные данные'!$J$2:$J$964,'Исходные данные'!$D$2:$D$964,Q$3,'Исходные данные'!$F$2:$F$964,$H21&amp;""),SUMIFS('Исходные данные'!$I$2:$I$964,'Исходные данные'!$D$2:$D$964,Q$3,'Исходные данные'!$F$2:$F$964,$H21&amp;"")&amp;"+"&amp;SUMIFS('Исходные данные'!$J$2:$J$964,'Исходные данные'!$D$2:$D$964,Q$3,'Исходные данные'!$F$2:$F$964,$H21&amp;"")&amp;"="&amp;(SUMIFS('Исходные данные'!$I$2:$I$964,'Исходные данные'!$D$2:$D$964,Q$3,'Исходные данные'!$F$2:$F$964,$H21&amp;"")+SUMIFS('Исходные данные'!$J$2:$J$964,'Исходные данные'!$D$2:$D$964,Q$3,'Исходные данные'!$F$2:$F$964,$H21&amp;"")))))</f>
        <v/>
      </c>
      <c r="R21" s="55" t="str">
        <f aca="false">IF(SUMIFS('Исходные данные'!$I$2:$I$964,'Исходные данные'!$D$2:$D$964,R$3,'Исходные данные'!$F$2:$F$964,$H21&amp;"")+SUMIFS('Исходные данные'!$J$2:$J$964,'Исходные данные'!$D$2:$D$964,R$3,'Исходные данные'!$F$2:$F$964,$H21&amp;"")=0,"",IF(SUMIFS('Исходные данные'!$J$2:$J$964,'Исходные данные'!$D$2:$D$964,R$3,'Исходные данные'!$F$2:$F$964,$H21&amp;"")=0,SUMIFS('Исходные данные'!$I$2:$I$964,'Исходные данные'!$D$2:$D$964,R$3,'Исходные данные'!$F$2:$F$964,$H21&amp;""),IF(SUMIFS('Исходные данные'!$I$2:$I$964,'Исходные данные'!$D$2:$D$964,R$3,'Исходные данные'!$F$2:$F$964,$H21&amp;"")=0,"0+"&amp;SUMIFS('Исходные данные'!$J$2:$J$964,'Исходные данные'!$D$2:$D$964,R$3,'Исходные данные'!$F$2:$F$964,$H21&amp;"")&amp;"="&amp;SUMIFS('Исходные данные'!$J$2:$J$964,'Исходные данные'!$D$2:$D$964,R$3,'Исходные данные'!$F$2:$F$964,$H21&amp;""),SUMIFS('Исходные данные'!$I$2:$I$964,'Исходные данные'!$D$2:$D$964,R$3,'Исходные данные'!$F$2:$F$964,$H21&amp;"")&amp;"+"&amp;SUMIFS('Исходные данные'!$J$2:$J$964,'Исходные данные'!$D$2:$D$964,R$3,'Исходные данные'!$F$2:$F$964,$H21&amp;"")&amp;"="&amp;(SUMIFS('Исходные данные'!$I$2:$I$964,'Исходные данные'!$D$2:$D$964,R$3,'Исходные данные'!$F$2:$F$964,$H21&amp;"")+SUMIFS('Исходные данные'!$J$2:$J$964,'Исходные данные'!$D$2:$D$964,R$3,'Исходные данные'!$F$2:$F$964,$H21&amp;"")))))</f>
        <v/>
      </c>
      <c r="S21" s="54" t="str">
        <f aca="false">IF(SUMIFS('Исходные данные'!$I$2:$I$964,'Исходные данные'!$D$2:$D$964,S$3,'Исходные данные'!$F$2:$F$964,$H21&amp;"")+SUMIFS('Исходные данные'!$J$2:$J$964,'Исходные данные'!$D$2:$D$964,S$3,'Исходные данные'!$F$2:$F$964,$H21&amp;"")=0,"",IF(SUMIFS('Исходные данные'!$J$2:$J$964,'Исходные данные'!$D$2:$D$964,S$3,'Исходные данные'!$F$2:$F$964,$H21&amp;"")=0,SUMIFS('Исходные данные'!$I$2:$I$964,'Исходные данные'!$D$2:$D$964,S$3,'Исходные данные'!$F$2:$F$964,$H21&amp;""),IF(SUMIFS('Исходные данные'!$I$2:$I$964,'Исходные данные'!$D$2:$D$964,S$3,'Исходные данные'!$F$2:$F$964,$H21&amp;"")=0,"0+"&amp;SUMIFS('Исходные данные'!$J$2:$J$964,'Исходные данные'!$D$2:$D$964,S$3,'Исходные данные'!$F$2:$F$964,$H21&amp;"")&amp;"="&amp;SUMIFS('Исходные данные'!$J$2:$J$964,'Исходные данные'!$D$2:$D$964,S$3,'Исходные данные'!$F$2:$F$964,$H21&amp;""),SUMIFS('Исходные данные'!$I$2:$I$964,'Исходные данные'!$D$2:$D$964,S$3,'Исходные данные'!$F$2:$F$964,$H21&amp;"")&amp;"+"&amp;SUMIFS('Исходные данные'!$J$2:$J$964,'Исходные данные'!$D$2:$D$964,S$3,'Исходные данные'!$F$2:$F$964,$H21&amp;"")&amp;"="&amp;(SUMIFS('Исходные данные'!$I$2:$I$964,'Исходные данные'!$D$2:$D$964,S$3,'Исходные данные'!$F$2:$F$964,$H21&amp;"")+SUMIFS('Исходные данные'!$J$2:$J$964,'Исходные данные'!$D$2:$D$964,S$3,'Исходные данные'!$F$2:$F$964,$H21&amp;"")))))</f>
        <v/>
      </c>
      <c r="T21" s="53" t="str">
        <f aca="false">IF(SUMIFS('Исходные данные'!$I$2:$I$964,'Исходные данные'!$D$2:$D$964,T$3,'Исходные данные'!$F$2:$F$964,$H21&amp;"")+SUMIFS('Исходные данные'!$J$2:$J$964,'Исходные данные'!$D$2:$D$964,T$3,'Исходные данные'!$F$2:$F$964,$H21&amp;"")=0,"",IF(SUMIFS('Исходные данные'!$J$2:$J$964,'Исходные данные'!$D$2:$D$964,T$3,'Исходные данные'!$F$2:$F$964,$H21&amp;"")=0,SUMIFS('Исходные данные'!$I$2:$I$964,'Исходные данные'!$D$2:$D$964,T$3,'Исходные данные'!$F$2:$F$964,$H21&amp;""),IF(SUMIFS('Исходные данные'!$I$2:$I$964,'Исходные данные'!$D$2:$D$964,T$3,'Исходные данные'!$F$2:$F$964,$H21&amp;"")=0,"0+"&amp;SUMIFS('Исходные данные'!$J$2:$J$964,'Исходные данные'!$D$2:$D$964,T$3,'Исходные данные'!$F$2:$F$964,$H21&amp;"")&amp;"="&amp;SUMIFS('Исходные данные'!$J$2:$J$964,'Исходные данные'!$D$2:$D$964,T$3,'Исходные данные'!$F$2:$F$964,$H21&amp;""),SUMIFS('Исходные данные'!$I$2:$I$964,'Исходные данные'!$D$2:$D$964,T$3,'Исходные данные'!$F$2:$F$964,$H21&amp;"")&amp;"+"&amp;SUMIFS('Исходные данные'!$J$2:$J$964,'Исходные данные'!$D$2:$D$964,T$3,'Исходные данные'!$F$2:$F$964,$H21&amp;"")&amp;"="&amp;(SUMIFS('Исходные данные'!$I$2:$I$964,'Исходные данные'!$D$2:$D$964,T$3,'Исходные данные'!$F$2:$F$964,$H21&amp;"")+SUMIFS('Исходные данные'!$J$2:$J$964,'Исходные данные'!$D$2:$D$964,T$3,'Исходные данные'!$F$2:$F$964,$H21&amp;"")))))</f>
        <v/>
      </c>
      <c r="U21" s="54" t="n">
        <f aca="false">IF(SUMIFS('Исходные данные'!$I$2:$I$964,'Исходные данные'!$D$2:$D$964,U$3,'Исходные данные'!$F$2:$F$964,$H21&amp;"")+SUMIFS('Исходные данные'!$J$2:$J$964,'Исходные данные'!$D$2:$D$964,U$3,'Исходные данные'!$F$2:$F$964,$H21&amp;"")=0,"",IF(SUMIFS('Исходные данные'!$J$2:$J$964,'Исходные данные'!$D$2:$D$964,U$3,'Исходные данные'!$F$2:$F$964,$H21&amp;"")=0,SUMIFS('Исходные данные'!$I$2:$I$964,'Исходные данные'!$D$2:$D$964,U$3,'Исходные данные'!$F$2:$F$964,$H21&amp;""),IF(SUMIFS('Исходные данные'!$I$2:$I$964,'Исходные данные'!$D$2:$D$964,U$3,'Исходные данные'!$F$2:$F$964,$H21&amp;"")=0,"0+"&amp;SUMIFS('Исходные данные'!$J$2:$J$964,'Исходные данные'!$D$2:$D$964,U$3,'Исходные данные'!$F$2:$F$964,$H21&amp;"")&amp;"="&amp;SUMIFS('Исходные данные'!$J$2:$J$964,'Исходные данные'!$D$2:$D$964,U$3,'Исходные данные'!$F$2:$F$964,$H21&amp;""),SUMIFS('Исходные данные'!$I$2:$I$964,'Исходные данные'!$D$2:$D$964,U$3,'Исходные данные'!$F$2:$F$964,$H21&amp;"")&amp;"+"&amp;SUMIFS('Исходные данные'!$J$2:$J$964,'Исходные данные'!$D$2:$D$964,U$3,'Исходные данные'!$F$2:$F$964,$H21&amp;"")&amp;"="&amp;(SUMIFS('Исходные данные'!$I$2:$I$964,'Исходные данные'!$D$2:$D$964,U$3,'Исходные данные'!$F$2:$F$964,$H21&amp;"")+SUMIFS('Исходные данные'!$J$2:$J$964,'Исходные данные'!$D$2:$D$964,U$3,'Исходные данные'!$F$2:$F$964,$H21&amp;"")))))</f>
        <v>2</v>
      </c>
      <c r="V21" s="53" t="str">
        <f aca="false">IF(SUMIFS('Исходные данные'!$I$2:$I$964,'Исходные данные'!$D$2:$D$964,V$3,'Исходные данные'!$F$2:$F$964,$H21&amp;"")+SUMIFS('Исходные данные'!$J$2:$J$964,'Исходные данные'!$D$2:$D$964,V$3,'Исходные данные'!$F$2:$F$964,$H21&amp;"")=0,"",IF(SUMIFS('Исходные данные'!$J$2:$J$964,'Исходные данные'!$D$2:$D$964,V$3,'Исходные данные'!$F$2:$F$964,$H21&amp;"")=0,SUMIFS('Исходные данные'!$I$2:$I$964,'Исходные данные'!$D$2:$D$964,V$3,'Исходные данные'!$F$2:$F$964,$H21&amp;""),IF(SUMIFS('Исходные данные'!$I$2:$I$964,'Исходные данные'!$D$2:$D$964,V$3,'Исходные данные'!$F$2:$F$964,$H21&amp;"")=0,"0+"&amp;SUMIFS('Исходные данные'!$J$2:$J$964,'Исходные данные'!$D$2:$D$964,V$3,'Исходные данные'!$F$2:$F$964,$H21&amp;"")&amp;"="&amp;SUMIFS('Исходные данные'!$J$2:$J$964,'Исходные данные'!$D$2:$D$964,V$3,'Исходные данные'!$F$2:$F$964,$H21&amp;""),SUMIFS('Исходные данные'!$I$2:$I$964,'Исходные данные'!$D$2:$D$964,V$3,'Исходные данные'!$F$2:$F$964,$H21&amp;"")&amp;"+"&amp;SUMIFS('Исходные данные'!$J$2:$J$964,'Исходные данные'!$D$2:$D$964,V$3,'Исходные данные'!$F$2:$F$964,$H21&amp;"")&amp;"="&amp;(SUMIFS('Исходные данные'!$I$2:$I$964,'Исходные данные'!$D$2:$D$964,V$3,'Исходные данные'!$F$2:$F$964,$H21&amp;"")+SUMIFS('Исходные данные'!$J$2:$J$964,'Исходные данные'!$D$2:$D$964,V$3,'Исходные данные'!$F$2:$F$964,$H21&amp;"")))))</f>
        <v/>
      </c>
      <c r="W21" s="54" t="str">
        <f aca="false">IF(SUMIFS('Исходные данные'!$I$2:$I$964,'Исходные данные'!$D$2:$D$964,W$3,'Исходные данные'!$F$2:$F$964,$H21&amp;"")+SUMIFS('Исходные данные'!$J$2:$J$964,'Исходные данные'!$D$2:$D$964,W$3,'Исходные данные'!$F$2:$F$964,$H21&amp;"")=0,"",IF(SUMIFS('Исходные данные'!$J$2:$J$964,'Исходные данные'!$D$2:$D$964,W$3,'Исходные данные'!$F$2:$F$964,$H21&amp;"")=0,SUMIFS('Исходные данные'!$I$2:$I$964,'Исходные данные'!$D$2:$D$964,W$3,'Исходные данные'!$F$2:$F$964,$H21&amp;""),IF(SUMIFS('Исходные данные'!$I$2:$I$964,'Исходные данные'!$D$2:$D$964,W$3,'Исходные данные'!$F$2:$F$964,$H21&amp;"")=0,"0+"&amp;SUMIFS('Исходные данные'!$J$2:$J$964,'Исходные данные'!$D$2:$D$964,W$3,'Исходные данные'!$F$2:$F$964,$H21&amp;"")&amp;"="&amp;SUMIFS('Исходные данные'!$J$2:$J$964,'Исходные данные'!$D$2:$D$964,W$3,'Исходные данные'!$F$2:$F$964,$H21&amp;""),SUMIFS('Исходные данные'!$I$2:$I$964,'Исходные данные'!$D$2:$D$964,W$3,'Исходные данные'!$F$2:$F$964,$H21&amp;"")&amp;"+"&amp;SUMIFS('Исходные данные'!$J$2:$J$964,'Исходные данные'!$D$2:$D$964,W$3,'Исходные данные'!$F$2:$F$964,$H21&amp;"")&amp;"="&amp;(SUMIFS('Исходные данные'!$I$2:$I$964,'Исходные данные'!$D$2:$D$964,W$3,'Исходные данные'!$F$2:$F$964,$H21&amp;"")+SUMIFS('Исходные данные'!$J$2:$J$964,'Исходные данные'!$D$2:$D$964,W$3,'Исходные данные'!$F$2:$F$964,$H21&amp;"")))))</f>
        <v/>
      </c>
      <c r="X21" s="54" t="str">
        <f aca="false">IF(SUMIFS('Исходные данные'!$I$2:$I$964,'Исходные данные'!$D$2:$D$964,X$3,'Исходные данные'!$F$2:$F$964,$H21&amp;"")+SUMIFS('Исходные данные'!$J$2:$J$964,'Исходные данные'!$D$2:$D$964,X$3,'Исходные данные'!$F$2:$F$964,$H21&amp;"")=0,"",IF(SUMIFS('Исходные данные'!$J$2:$J$964,'Исходные данные'!$D$2:$D$964,X$3,'Исходные данные'!$F$2:$F$964,$H21&amp;"")=0,SUMIFS('Исходные данные'!$I$2:$I$964,'Исходные данные'!$D$2:$D$964,X$3,'Исходные данные'!$F$2:$F$964,$H21&amp;""),IF(SUMIFS('Исходные данные'!$I$2:$I$964,'Исходные данные'!$D$2:$D$964,X$3,'Исходные данные'!$F$2:$F$964,$H21&amp;"")=0,"0+"&amp;SUMIFS('Исходные данные'!$J$2:$J$964,'Исходные данные'!$D$2:$D$964,X$3,'Исходные данные'!$F$2:$F$964,$H21&amp;"")&amp;"="&amp;SUMIFS('Исходные данные'!$J$2:$J$964,'Исходные данные'!$D$2:$D$964,X$3,'Исходные данные'!$F$2:$F$964,$H21&amp;""),SUMIFS('Исходные данные'!$I$2:$I$964,'Исходные данные'!$D$2:$D$964,X$3,'Исходные данные'!$F$2:$F$964,$H21&amp;"")&amp;"+"&amp;SUMIFS('Исходные данные'!$J$2:$J$964,'Исходные данные'!$D$2:$D$964,X$3,'Исходные данные'!$F$2:$F$964,$H21&amp;"")&amp;"="&amp;(SUMIFS('Исходные данные'!$I$2:$I$964,'Исходные данные'!$D$2:$D$964,X$3,'Исходные данные'!$F$2:$F$964,$H21&amp;"")+SUMIFS('Исходные данные'!$J$2:$J$964,'Исходные данные'!$D$2:$D$964,X$3,'Исходные данные'!$F$2:$F$964,$H21&amp;"")))))</f>
        <v/>
      </c>
      <c r="Y21" s="56" t="str">
        <f aca="false">IF(SUMIFS('Исходные данные'!$I$2:$I$964,'Исходные данные'!$D$2:$D$964,Y$3,'Исходные данные'!$F$2:$F$964,$H21&amp;"")+SUMIFS('Исходные данные'!$J$2:$J$964,'Исходные данные'!$D$2:$D$964,Y$3,'Исходные данные'!$F$2:$F$964,$H21&amp;"")=0,"",IF(SUMIFS('Исходные данные'!$J$2:$J$964,'Исходные данные'!$D$2:$D$964,Y$3,'Исходные данные'!$F$2:$F$964,$H21&amp;"")=0,SUMIFS('Исходные данные'!$I$2:$I$964,'Исходные данные'!$D$2:$D$964,Y$3,'Исходные данные'!$F$2:$F$964,$H21&amp;""),IF(SUMIFS('Исходные данные'!$I$2:$I$964,'Исходные данные'!$D$2:$D$964,Y$3,'Исходные данные'!$F$2:$F$964,$H21&amp;"")=0,"0+"&amp;SUMIFS('Исходные данные'!$J$2:$J$964,'Исходные данные'!$D$2:$D$964,Y$3,'Исходные данные'!$F$2:$F$964,$H21&amp;"")&amp;"="&amp;SUMIFS('Исходные данные'!$J$2:$J$964,'Исходные данные'!$D$2:$D$964,Y$3,'Исходные данные'!$F$2:$F$964,$H21&amp;""),SUMIFS('Исходные данные'!$I$2:$I$964,'Исходные данные'!$D$2:$D$964,Y$3,'Исходные данные'!$F$2:$F$964,$H21&amp;"")&amp;"+"&amp;SUMIFS('Исходные данные'!$J$2:$J$964,'Исходные данные'!$D$2:$D$964,Y$3,'Исходные данные'!$F$2:$F$964,$H21&amp;"")&amp;"="&amp;(SUMIFS('Исходные данные'!$I$2:$I$964,'Исходные данные'!$D$2:$D$964,Y$3,'Исходные данные'!$F$2:$F$964,$H21&amp;"")+SUMIFS('Исходные данные'!$J$2:$J$964,'Исходные данные'!$D$2:$D$964,Y$3,'Исходные данные'!$F$2:$F$964,$H21&amp;"")))))</f>
        <v/>
      </c>
      <c r="Z21" s="53" t="str">
        <f aca="false">IF(SUMIFS('Исходные данные'!$I$2:$I$964,'Исходные данные'!$D$2:$D$964,Z$3,'Исходные данные'!$F$2:$F$964,$H21&amp;"")+SUMIFS('Исходные данные'!$J$2:$J$964,'Исходные данные'!$D$2:$D$964,Z$3,'Исходные данные'!$F$2:$F$964,$H21&amp;"")=0,"",IF(SUMIFS('Исходные данные'!$J$2:$J$964,'Исходные данные'!$D$2:$D$964,Z$3,'Исходные данные'!$F$2:$F$964,$H21&amp;"")=0,SUMIFS('Исходные данные'!$I$2:$I$964,'Исходные данные'!$D$2:$D$964,Z$3,'Исходные данные'!$F$2:$F$964,$H21&amp;""),IF(SUMIFS('Исходные данные'!$I$2:$I$964,'Исходные данные'!$D$2:$D$964,Z$3,'Исходные данные'!$F$2:$F$964,$H21&amp;"")=0,"0+"&amp;SUMIFS('Исходные данные'!$J$2:$J$964,'Исходные данные'!$D$2:$D$964,Z$3,'Исходные данные'!$F$2:$F$964,$H21&amp;"")&amp;"="&amp;SUMIFS('Исходные данные'!$J$2:$J$964,'Исходные данные'!$D$2:$D$964,Z$3,'Исходные данные'!$F$2:$F$964,$H21&amp;""),SUMIFS('Исходные данные'!$I$2:$I$964,'Исходные данные'!$D$2:$D$964,Z$3,'Исходные данные'!$F$2:$F$964,$H21&amp;"")&amp;"+"&amp;SUMIFS('Исходные данные'!$J$2:$J$964,'Исходные данные'!$D$2:$D$964,Z$3,'Исходные данные'!$F$2:$F$964,$H21&amp;"")&amp;"="&amp;(SUMIFS('Исходные данные'!$I$2:$I$964,'Исходные данные'!$D$2:$D$964,Z$3,'Исходные данные'!$F$2:$F$964,$H21&amp;"")+SUMIFS('Исходные данные'!$J$2:$J$964,'Исходные данные'!$D$2:$D$964,Z$3,'Исходные данные'!$F$2:$F$964,$H21&amp;"")))))</f>
        <v/>
      </c>
      <c r="AA21" s="54" t="str">
        <f aca="false">IF(SUMIFS('Исходные данные'!$I$2:$I$964,'Исходные данные'!$D$2:$D$964,AA$3,'Исходные данные'!$F$2:$F$964,$H21&amp;"")+SUMIFS('Исходные данные'!$J$2:$J$964,'Исходные данные'!$D$2:$D$964,AA$3,'Исходные данные'!$F$2:$F$964,$H21&amp;"")=0,"",IF(SUMIFS('Исходные данные'!$J$2:$J$964,'Исходные данные'!$D$2:$D$964,AA$3,'Исходные данные'!$F$2:$F$964,$H21&amp;"")=0,SUMIFS('Исходные данные'!$I$2:$I$964,'Исходные данные'!$D$2:$D$964,AA$3,'Исходные данные'!$F$2:$F$964,$H21&amp;""),IF(SUMIFS('Исходные данные'!$I$2:$I$964,'Исходные данные'!$D$2:$D$964,AA$3,'Исходные данные'!$F$2:$F$964,$H21&amp;"")=0,"0+"&amp;SUMIFS('Исходные данные'!$J$2:$J$964,'Исходные данные'!$D$2:$D$964,AA$3,'Исходные данные'!$F$2:$F$964,$H21&amp;"")&amp;"="&amp;SUMIFS('Исходные данные'!$J$2:$J$964,'Исходные данные'!$D$2:$D$964,AA$3,'Исходные данные'!$F$2:$F$964,$H21&amp;""),SUMIFS('Исходные данные'!$I$2:$I$964,'Исходные данные'!$D$2:$D$964,AA$3,'Исходные данные'!$F$2:$F$964,$H21&amp;"")&amp;"+"&amp;SUMIFS('Исходные данные'!$J$2:$J$964,'Исходные данные'!$D$2:$D$964,AA$3,'Исходные данные'!$F$2:$F$964,$H21&amp;"")&amp;"="&amp;(SUMIFS('Исходные данные'!$I$2:$I$964,'Исходные данные'!$D$2:$D$964,AA$3,'Исходные данные'!$F$2:$F$964,$H21&amp;"")+SUMIFS('Исходные данные'!$J$2:$J$964,'Исходные данные'!$D$2:$D$964,AA$3,'Исходные данные'!$F$2:$F$964,$H21&amp;"")))))</f>
        <v/>
      </c>
      <c r="AB21" s="54" t="str">
        <f aca="false">IF(SUMIFS('Исходные данные'!$I$2:$I$964,'Исходные данные'!$D$2:$D$964,AB$3,'Исходные данные'!$F$2:$F$964,$H21&amp;"")+SUMIFS('Исходные данные'!$J$2:$J$964,'Исходные данные'!$D$2:$D$964,AB$3,'Исходные данные'!$F$2:$F$964,$H21&amp;"")=0,"",IF(SUMIFS('Исходные данные'!$J$2:$J$964,'Исходные данные'!$D$2:$D$964,AB$3,'Исходные данные'!$F$2:$F$964,$H21&amp;"")=0,SUMIFS('Исходные данные'!$I$2:$I$964,'Исходные данные'!$D$2:$D$964,AB$3,'Исходные данные'!$F$2:$F$964,$H21&amp;""),IF(SUMIFS('Исходные данные'!$I$2:$I$964,'Исходные данные'!$D$2:$D$964,AB$3,'Исходные данные'!$F$2:$F$964,$H21&amp;"")=0,"0+"&amp;SUMIFS('Исходные данные'!$J$2:$J$964,'Исходные данные'!$D$2:$D$964,AB$3,'Исходные данные'!$F$2:$F$964,$H21&amp;"")&amp;"="&amp;SUMIFS('Исходные данные'!$J$2:$J$964,'Исходные данные'!$D$2:$D$964,AB$3,'Исходные данные'!$F$2:$F$964,$H21&amp;""),SUMIFS('Исходные данные'!$I$2:$I$964,'Исходные данные'!$D$2:$D$964,AB$3,'Исходные данные'!$F$2:$F$964,$H21&amp;"")&amp;"+"&amp;SUMIFS('Исходные данные'!$J$2:$J$964,'Исходные данные'!$D$2:$D$964,AB$3,'Исходные данные'!$F$2:$F$964,$H21&amp;"")&amp;"="&amp;(SUMIFS('Исходные данные'!$I$2:$I$964,'Исходные данные'!$D$2:$D$964,AB$3,'Исходные данные'!$F$2:$F$964,$H21&amp;"")+SUMIFS('Исходные данные'!$J$2:$J$964,'Исходные данные'!$D$2:$D$964,AB$3,'Исходные данные'!$F$2:$F$964,$H21&amp;"")))))</f>
        <v/>
      </c>
      <c r="AC21" s="53" t="str">
        <f aca="false">IF(SUMIFS('Исходные данные'!$I$2:$I$964,'Исходные данные'!$D$2:$D$964,AC$3,'Исходные данные'!$F$2:$F$964,$H21&amp;"")+SUMIFS('Исходные данные'!$J$2:$J$964,'Исходные данные'!$D$2:$D$964,AC$3,'Исходные данные'!$F$2:$F$964,$H21&amp;"")=0,"",IF(SUMIFS('Исходные данные'!$J$2:$J$964,'Исходные данные'!$D$2:$D$964,AC$3,'Исходные данные'!$F$2:$F$964,$H21&amp;"")=0,SUMIFS('Исходные данные'!$I$2:$I$964,'Исходные данные'!$D$2:$D$964,AC$3,'Исходные данные'!$F$2:$F$964,$H21&amp;""),IF(SUMIFS('Исходные данные'!$I$2:$I$964,'Исходные данные'!$D$2:$D$964,AC$3,'Исходные данные'!$F$2:$F$964,$H21&amp;"")=0,"0+"&amp;SUMIFS('Исходные данные'!$J$2:$J$964,'Исходные данные'!$D$2:$D$964,AC$3,'Исходные данные'!$F$2:$F$964,$H21&amp;"")&amp;"="&amp;SUMIFS('Исходные данные'!$J$2:$J$964,'Исходные данные'!$D$2:$D$964,AC$3,'Исходные данные'!$F$2:$F$964,$H21&amp;""),SUMIFS('Исходные данные'!$I$2:$I$964,'Исходные данные'!$D$2:$D$964,AC$3,'Исходные данные'!$F$2:$F$964,$H21&amp;"")&amp;"+"&amp;SUMIFS('Исходные данные'!$J$2:$J$964,'Исходные данные'!$D$2:$D$964,AC$3,'Исходные данные'!$F$2:$F$964,$H21&amp;"")&amp;"="&amp;(SUMIFS('Исходные данные'!$I$2:$I$964,'Исходные данные'!$D$2:$D$964,AC$3,'Исходные данные'!$F$2:$F$964,$H21&amp;"")+SUMIFS('Исходные данные'!$J$2:$J$964,'Исходные данные'!$D$2:$D$964,AC$3,'Исходные данные'!$F$2:$F$964,$H21&amp;"")))))</f>
        <v/>
      </c>
      <c r="AD21" s="54" t="str">
        <f aca="false">IF(SUMIFS('Исходные данные'!$I$2:$I$964,'Исходные данные'!$D$2:$D$964,AD$3,'Исходные данные'!$F$2:$F$964,$H21&amp;"")+SUMIFS('Исходные данные'!$J$2:$J$964,'Исходные данные'!$D$2:$D$964,AD$3,'Исходные данные'!$F$2:$F$964,$H21&amp;"")=0,"",IF(SUMIFS('Исходные данные'!$J$2:$J$964,'Исходные данные'!$D$2:$D$964,AD$3,'Исходные данные'!$F$2:$F$964,$H21&amp;"")=0,SUMIFS('Исходные данные'!$I$2:$I$964,'Исходные данные'!$D$2:$D$964,AD$3,'Исходные данные'!$F$2:$F$964,$H21&amp;""),IF(SUMIFS('Исходные данные'!$I$2:$I$964,'Исходные данные'!$D$2:$D$964,AD$3,'Исходные данные'!$F$2:$F$964,$H21&amp;"")=0,"0+"&amp;SUMIFS('Исходные данные'!$J$2:$J$964,'Исходные данные'!$D$2:$D$964,AD$3,'Исходные данные'!$F$2:$F$964,$H21&amp;"")&amp;"="&amp;SUMIFS('Исходные данные'!$J$2:$J$964,'Исходные данные'!$D$2:$D$964,AD$3,'Исходные данные'!$F$2:$F$964,$H21&amp;""),SUMIFS('Исходные данные'!$I$2:$I$964,'Исходные данные'!$D$2:$D$964,AD$3,'Исходные данные'!$F$2:$F$964,$H21&amp;"")&amp;"+"&amp;SUMIFS('Исходные данные'!$J$2:$J$964,'Исходные данные'!$D$2:$D$964,AD$3,'Исходные данные'!$F$2:$F$964,$H21&amp;"")&amp;"="&amp;(SUMIFS('Исходные данные'!$I$2:$I$964,'Исходные данные'!$D$2:$D$964,AD$3,'Исходные данные'!$F$2:$F$964,$H21&amp;"")+SUMIFS('Исходные данные'!$J$2:$J$964,'Исходные данные'!$D$2:$D$964,AD$3,'Исходные данные'!$F$2:$F$964,$H21&amp;"")))))</f>
        <v/>
      </c>
      <c r="AE21" s="57" t="n">
        <f aca="false">IFERROR(INDEX('Выход ТС'!$K:$K,MATCH($H21&amp;"",'Выход ТС'!$A:$A,0))+INDEX('Выход ТС'!$L:$L,MATCH($H21&amp;"",'Выход ТС'!$A:$A,0))-INDEX('Выход ТС'!$I:$I,MATCH($H21&amp;"",'Выход ТС'!$A:$A,0))-INDEX('Выход ТС'!$J:$J,MATCH($H21&amp;"",'Выход ТС'!$A:$A,0)),"")</f>
        <v>-1</v>
      </c>
      <c r="AF21" s="57" t="n">
        <f aca="false">IFERROR(INDEX('Выход ТС'!$O:$O,MATCH($H21&amp;"",'Выход ТС'!$A:$A,0))+INDEX('Выход ТС'!$P:$P,MATCH($H21&amp;"",'Выход ТС'!$A:$A,0))-INDEX('Выход ТС'!$M:$M,MATCH($H21&amp;"",'Выход ТС'!$A:$A,0))-INDEX('Выход ТС'!$N:$N,MATCH($H21&amp;"",'Выход ТС'!$A:$A,0)),"")</f>
        <v>0</v>
      </c>
      <c r="AG21" s="57" t="n">
        <f aca="false">IFERROR(INDEX('Выход ТС'!$S:$S,MATCH($H21&amp;"",'Выход ТС'!$A:$A,0))+INDEX('Выход ТС'!$T:$T,MATCH($H21&amp;"",'Выход ТС'!$A:$A,0))-INDEX('Выход ТС'!$Q:$Q,MATCH($H21&amp;"",'Выход ТС'!$A:$A,0))-INDEX('Выход ТС'!$R:$R,MATCH($H21&amp;"",'Выход ТС'!$A:$A,0)),"")</f>
        <v>-1</v>
      </c>
      <c r="AH21" s="57" t="n">
        <f aca="false">IFERROR(INDEX('Выход ТС'!$W:$W,MATCH($H21&amp;"",'Выход ТС'!$A:$A,0))+INDEX('Выход ТС'!$X:$X,MATCH($H21&amp;"",'Выход ТС'!$A:$A,0))-INDEX('Выход ТС'!$U:$U,MATCH($H21&amp;"",'Выход ТС'!$A:$A,0))-INDEX('Выход ТС'!$V:$V,MATCH($H21&amp;"",'Выход ТС'!$A:$A,0)),"")</f>
        <v>0</v>
      </c>
      <c r="AI21" s="57" t="n">
        <f aca="false">IFERROR(INDEX('Выход ТС'!$AA:$AA,MATCH($H21&amp;"",'Выход ТС'!$A:$A,0))+INDEX('Выход ТС'!$AB:$AB,MATCH($H21&amp;"",'Выход ТС'!$A:$A,0))-INDEX('Выход ТС'!$Y:$Y,MATCH($H21&amp;"",'Выход ТС'!$A:$A,0))-INDEX('Выход ТС'!$Z:$Z,MATCH($H21&amp;"",'Выход ТС'!$A:$A,0)),"")</f>
        <v>0</v>
      </c>
      <c r="AJ21" s="57" t="n">
        <f aca="false">IFERROR(INDEX('Выход ТС'!$AE:$AE,MATCH($H21&amp;"",'Выход ТС'!$A:$A,0))+INDEX('Выход ТС'!$AF:$AF,MATCH($H21&amp;"",'Выход ТС'!$A:$A,0))-INDEX('Выход ТС'!$AC:$AC,MATCH($H21&amp;"",'Выход ТС'!$A:$A,0))-INDEX('Выход ТС'!$AD:$AD,MATCH($H21&amp;"",'Выход ТС'!$A:$A,0)),"")</f>
        <v>0</v>
      </c>
      <c r="AK21" s="57" t="n">
        <f aca="false">IFERROR(INDEX('Выход ТС'!$AI:$AI,MATCH($H21&amp;"",'Выход ТС'!$A:$A,0))+INDEX('Выход ТС'!$AJ:$AJ,MATCH($H21&amp;"",'Выход ТС'!$A:$A,0))-INDEX('Выход ТС'!$AG:$AG,MATCH($H21&amp;"",'Выход ТС'!$A:$A,0))-INDEX('Выход ТС'!$AH:$AH,MATCH($H21&amp;"",'Выход ТС'!$A:$A,0)),"")</f>
        <v>0</v>
      </c>
      <c r="AL21" s="57" t="n">
        <f aca="false">IFERROR(INDEX('Выход ТС'!$AM:$AM,MATCH($H21&amp;"",'Выход ТС'!$A:$A,0))+INDEX('Выход ТС'!$AN:$AN,MATCH($H21&amp;"",'Выход ТС'!$A:$A,0))-INDEX('Выход ТС'!$AK:$AK,MATCH($H21&amp;"",'Выход ТС'!$A:$A,0))-INDEX('Выход ТС'!$AL:$AL,MATCH($H21&amp;"",'Выход ТС'!$A:$A,0)),"")</f>
        <v>0</v>
      </c>
      <c r="AM21" s="57" t="n">
        <f aca="false">IFERROR(INDEX('Выход ТС'!$AQ:$AQ,MATCH($H21&amp;"",'Выход ТС'!$A:$A,0))+INDEX('Выход ТС'!$AR:$AR,MATCH($H21&amp;"",'Выход ТС'!$A:$A,0))-INDEX('Выход ТС'!$AO:$AO,MATCH($H21&amp;"",'Выход ТС'!$A:$A,0))-INDEX('Выход ТС'!$AP:$AP,MATCH($H21&amp;"",'Выход ТС'!$A:$A,0)),"")</f>
        <v>0</v>
      </c>
      <c r="AN21" s="57" t="n">
        <f aca="false">IFERROR(INDEX('Выход ТС'!$AU:$AU,MATCH($H21&amp;"",'Выход ТС'!$A:$A,0))+INDEX('Выход ТС'!$AV:$AV,MATCH($H21&amp;"",'Выход ТС'!$A:$A,0))-INDEX('Выход ТС'!$AS:$AS,MATCH($H21&amp;"",'Выход ТС'!$A:$A,0))-INDEX('Выход ТС'!$AT:$AT,MATCH($H21&amp;"",'Выход ТС'!$A:$A,0)),"")</f>
        <v>0</v>
      </c>
      <c r="AO21" s="57" t="n">
        <f aca="false">IFERROR(INDEX('Выход ТС'!$AY:$AY,MATCH($H21&amp;"",'Выход ТС'!$A:$A,0))+INDEX('Выход ТС'!$AZ:$AZ,MATCH($H21&amp;"",'Выход ТС'!$A:$A,0))-INDEX('Выход ТС'!$AW:$AW,MATCH($H21&amp;"",'Выход ТС'!$A:$A,0))-INDEX('Выход ТС'!$AX:$AX,MATCH($H21&amp;"",'Выход ТС'!$A:$A,0)),"")</f>
        <v>0</v>
      </c>
      <c r="AP21" s="57" t="n">
        <f aca="false">IFERROR(INDEX('Выход ТС'!$BC:$BC,MATCH($H21&amp;"",'Выход ТС'!$A:$A,0))+INDEX('Выход ТС'!$BD:$BD,MATCH($H21&amp;"",'Выход ТС'!$A:$A,0))-INDEX('Выход ТС'!$BA:$BA,MATCH($H21&amp;"",'Выход ТС'!$A:$A,0))-INDEX('Выход ТС'!$BB:$BB,MATCH($H21&amp;"",'Выход ТС'!$A:$A,0)),"")</f>
        <v>0</v>
      </c>
      <c r="AQ21" s="57" t="n">
        <f aca="false">IFERROR(INDEX('Выход ТС'!$BG:$BG,MATCH($H21&amp;"",'Выход ТС'!$A:$A,0))+INDEX('Выход ТС'!$BH:$BH,MATCH($H21&amp;"",'Выход ТС'!$A:$A,0))-INDEX('Выход ТС'!$BE:$BE,MATCH($H21&amp;"",'Выход ТС'!$A:$A,0))-INDEX('Выход ТС'!$BF:$BF,MATCH($H21&amp;"",'Выход ТС'!$A:$A,0)),"")</f>
        <v>0</v>
      </c>
      <c r="AR21" s="57" t="n">
        <f aca="false">IFERROR(INDEX('Выход ТС'!$BK:$BK,MATCH($H21&amp;"",'Выход ТС'!$A:$A,0))+INDEX('Выход ТС'!$BL:$BL,MATCH($H21&amp;"",'Выход ТС'!$A:$A,0))-INDEX('Выход ТС'!$BI:$BI,MATCH($H21&amp;"",'Выход ТС'!$A:$A,0))-INDEX('Выход ТС'!$BJ:$BJ,MATCH($H21&amp;"",'Выход ТС'!$A:$A,0)),"")</f>
        <v>0</v>
      </c>
      <c r="AS21" s="57" t="n">
        <f aca="false">IFERROR(INDEX('Выход ТС'!$BO:$BO,MATCH($H21&amp;"",'Выход ТС'!$A:$A,0))+INDEX('Выход ТС'!$BP:$BP,MATCH($H21&amp;"",'Выход ТС'!$A:$A,0))-INDEX('Выход ТС'!$BM:$BM,MATCH($H21&amp;"",'Выход ТС'!$A:$A,0))-INDEX('Выход ТС'!$BN:$BN,MATCH($H21&amp;"",'Выход ТС'!$A:$A,0)),"")</f>
        <v>0</v>
      </c>
      <c r="AT21" s="57" t="n">
        <f aca="false">IFERROR(INDEX('Выход ТС'!$CI:$CI,MATCH($H21&amp;"",'Выход ТС'!$A:$A,0))+INDEX('Выход ТС'!$CJ:$CJ,MATCH($H21&amp;"",'Выход ТС'!$A:$A,0))-INDEX('Выход ТС'!$CG:$CG,MATCH($H21&amp;"",'Выход ТС'!$A:$A,0))-INDEX('Выход ТС'!$CH:$CH,MATCH($H21&amp;"",'Выход ТС'!$A:$A,0)),"")</f>
        <v>0</v>
      </c>
      <c r="AU21" s="57" t="n">
        <f aca="false">IFERROR(INDEX('Выход ТС'!$CM:$CM,MATCH($H21&amp;"",'Выход ТС'!$A:$A,0))+INDEX('Выход ТС'!$CN:$CN,MATCH($H21&amp;"",'Выход ТС'!$A:$A,0))-INDEX('Выход ТС'!$CK:$CK,MATCH($H21&amp;"",'Выход ТС'!$A:$A,0))-INDEX('Выход ТС'!$CL:$CL,MATCH($H21&amp;"",'Выход ТС'!$A:$A,0)),"")</f>
        <v>0</v>
      </c>
    </row>
    <row r="22" customFormat="false" ht="25.5" hidden="false" customHeight="true" outlineLevel="0" collapsed="false">
      <c r="A22" s="47" t="n">
        <v>18</v>
      </c>
      <c r="B22" s="32" t="s">
        <v>204</v>
      </c>
      <c r="C22" s="33" t="s">
        <v>21</v>
      </c>
      <c r="D22" s="34"/>
      <c r="E22" s="33" t="s">
        <v>205</v>
      </c>
      <c r="F22" s="33" t="s">
        <v>21</v>
      </c>
      <c r="G22" s="69"/>
      <c r="H22" s="36"/>
      <c r="I22" s="60"/>
      <c r="J22" s="61"/>
      <c r="K22" s="62"/>
      <c r="L22" s="63"/>
      <c r="M22" s="64"/>
      <c r="N22" s="64"/>
      <c r="O22" s="65" t="str">
        <f aca="false">IF(SUMIFS('Исходные данные'!$I$2:$I$964,'Исходные данные'!$D$2:$D$964,O$3,'Исходные данные'!$F$2:$F$964,$H23&amp;"",'Исходные данные'!$L$2:$L$964,"УТТ")+SUMIFS('Исходные данные'!$J$2:$J$964,'Исходные данные'!$D$2:$D$964,O$3,'Исходные данные'!$F$2:$F$964,$H23&amp;"",'Исходные данные'!$L$2:$L$964,"УТТ")=0,"","утт-"&amp;(SUMIFS('Исходные данные'!$I$2:$I$964,'Исходные данные'!$D$2:$D$964,O$3,'Исходные данные'!$F$2:$F$964,$H23&amp;"",'Исходные данные'!$L$2:$L$964,"УТТ")+SUMIFS('Исходные данные'!$J$2:$J$964,'Исходные данные'!$D$2:$D$964,O$3,'Исходные данные'!$F$2:$F$964,$H23&amp;"",'Исходные данные'!$L$2:$L$964,"УТТ")))</f>
        <v/>
      </c>
      <c r="P22" s="66" t="str">
        <f aca="false">IF(SUMIFS('Исходные данные'!$I$2:$I$964,'Исходные данные'!$D$2:$D$964,P$3,'Исходные данные'!$F$2:$F$964,$H23&amp;"",'Исходные данные'!$L$2:$L$964,"УТТ")+SUMIFS('Исходные данные'!$J$2:$J$964,'Исходные данные'!$D$2:$D$964,P$3,'Исходные данные'!$F$2:$F$964,$H23&amp;"",'Исходные данные'!$L$2:$L$964,"УТТ")=0,"","утт-"&amp;(SUMIFS('Исходные данные'!$I$2:$I$964,'Исходные данные'!$D$2:$D$964,P$3,'Исходные данные'!$F$2:$F$964,$H23&amp;"",'Исходные данные'!$L$2:$L$964,"УТТ")+SUMIFS('Исходные данные'!$J$2:$J$964,'Исходные данные'!$D$2:$D$964,P$3,'Исходные данные'!$F$2:$F$964,$H23&amp;"",'Исходные данные'!$L$2:$L$964,"УТТ")))</f>
        <v/>
      </c>
      <c r="Q22" s="65" t="str">
        <f aca="false">IF(SUMIFS('Исходные данные'!$I$2:$I$964,'Исходные данные'!$D$2:$D$964,Q$3,'Исходные данные'!$F$2:$F$964,$H23&amp;"",'Исходные данные'!$L$2:$L$964,"УТТ")+SUMIFS('Исходные данные'!$J$2:$J$964,'Исходные данные'!$D$2:$D$964,Q$3,'Исходные данные'!$F$2:$F$964,$H23&amp;"",'Исходные данные'!$L$2:$L$964,"УТТ")=0,"","утт-"&amp;(SUMIFS('Исходные данные'!$I$2:$I$964,'Исходные данные'!$D$2:$D$964,Q$3,'Исходные данные'!$F$2:$F$964,$H23&amp;"",'Исходные данные'!$L$2:$L$964,"УТТ")+SUMIFS('Исходные данные'!$J$2:$J$964,'Исходные данные'!$D$2:$D$964,Q$3,'Исходные данные'!$F$2:$F$964,$H23&amp;"",'Исходные данные'!$L$2:$L$964,"УТТ")))</f>
        <v/>
      </c>
      <c r="R22" s="67" t="str">
        <f aca="false">IF(SUMIFS('Исходные данные'!$I$2:$I$964,'Исходные данные'!$D$2:$D$964,R$3,'Исходные данные'!$F$2:$F$964,$H23&amp;"",'Исходные данные'!$L$2:$L$964,"УТТ")+SUMIFS('Исходные данные'!$J$2:$J$964,'Исходные данные'!$D$2:$D$964,R$3,'Исходные данные'!$F$2:$F$964,$H23&amp;"",'Исходные данные'!$L$2:$L$964,"УТТ")=0,"","утт-"&amp;(SUMIFS('Исходные данные'!$I$2:$I$964,'Исходные данные'!$D$2:$D$964,R$3,'Исходные данные'!$F$2:$F$964,$H23&amp;"",'Исходные данные'!$L$2:$L$964,"УТТ")+SUMIFS('Исходные данные'!$J$2:$J$964,'Исходные данные'!$D$2:$D$964,R$3,'Исходные данные'!$F$2:$F$964,$H23&amp;"",'Исходные данные'!$L$2:$L$964,"УТТ")))</f>
        <v/>
      </c>
      <c r="S22" s="66" t="str">
        <f aca="false">IF(SUMIFS('Исходные данные'!$I$2:$I$964,'Исходные данные'!$D$2:$D$964,S$3,'Исходные данные'!$F$2:$F$964,$H23&amp;"",'Исходные данные'!$L$2:$L$964,"УТТ")+SUMIFS('Исходные данные'!$J$2:$J$964,'Исходные данные'!$D$2:$D$964,S$3,'Исходные данные'!$F$2:$F$964,$H23&amp;"",'Исходные данные'!$L$2:$L$964,"УТТ")=0,"","утт-"&amp;(SUMIFS('Исходные данные'!$I$2:$I$964,'Исходные данные'!$D$2:$D$964,S$3,'Исходные данные'!$F$2:$F$964,$H23&amp;"",'Исходные данные'!$L$2:$L$964,"УТТ")+SUMIFS('Исходные данные'!$J$2:$J$964,'Исходные данные'!$D$2:$D$964,S$3,'Исходные данные'!$F$2:$F$964,$H23&amp;"",'Исходные данные'!$L$2:$L$964,"УТТ")))</f>
        <v>утт-1</v>
      </c>
      <c r="T22" s="65" t="str">
        <f aca="false">IF(SUMIFS('Исходные данные'!$I$2:$I$964,'Исходные данные'!$D$2:$D$964,T$3,'Исходные данные'!$F$2:$F$964,$H23&amp;"",'Исходные данные'!$L$2:$L$964,"УТТ")+SUMIFS('Исходные данные'!$J$2:$J$964,'Исходные данные'!$D$2:$D$964,T$3,'Исходные данные'!$F$2:$F$964,$H23&amp;"",'Исходные данные'!$L$2:$L$964,"УТТ")=0,"","утт-"&amp;(SUMIFS('Исходные данные'!$I$2:$I$964,'Исходные данные'!$D$2:$D$964,T$3,'Исходные данные'!$F$2:$F$964,$H23&amp;"",'Исходные данные'!$L$2:$L$964,"УТТ")+SUMIFS('Исходные данные'!$J$2:$J$964,'Исходные данные'!$D$2:$D$964,T$3,'Исходные данные'!$F$2:$F$964,$H23&amp;"",'Исходные данные'!$L$2:$L$964,"УТТ")))</f>
        <v/>
      </c>
      <c r="U22" s="66" t="str">
        <f aca="false">IF(SUMIFS('Исходные данные'!$I$2:$I$964,'Исходные данные'!$D$2:$D$964,U$3,'Исходные данные'!$F$2:$F$964,$H23&amp;"",'Исходные данные'!$L$2:$L$964,"УТТ")+SUMIFS('Исходные данные'!$J$2:$J$964,'Исходные данные'!$D$2:$D$964,U$3,'Исходные данные'!$F$2:$F$964,$H23&amp;"",'Исходные данные'!$L$2:$L$964,"УТТ")=0,"","утт-"&amp;(SUMIFS('Исходные данные'!$I$2:$I$964,'Исходные данные'!$D$2:$D$964,U$3,'Исходные данные'!$F$2:$F$964,$H23&amp;"",'Исходные данные'!$L$2:$L$964,"УТТ")+SUMIFS('Исходные данные'!$J$2:$J$964,'Исходные данные'!$D$2:$D$964,U$3,'Исходные данные'!$F$2:$F$964,$H23&amp;"",'Исходные данные'!$L$2:$L$964,"УТТ")))</f>
        <v>утт-1</v>
      </c>
      <c r="V22" s="65" t="str">
        <f aca="false">IF(SUMIFS('Исходные данные'!$I$2:$I$964,'Исходные данные'!$D$2:$D$964,V$3,'Исходные данные'!$F$2:$F$964,$H23&amp;"",'Исходные данные'!$L$2:$L$964,"УТТ")+SUMIFS('Исходные данные'!$J$2:$J$964,'Исходные данные'!$D$2:$D$964,V$3,'Исходные данные'!$F$2:$F$964,$H23&amp;"",'Исходные данные'!$L$2:$L$964,"УТТ")=0,"","утт-"&amp;(SUMIFS('Исходные данные'!$I$2:$I$964,'Исходные данные'!$D$2:$D$964,V$3,'Исходные данные'!$F$2:$F$964,$H23&amp;"",'Исходные данные'!$L$2:$L$964,"УТТ")+SUMIFS('Исходные данные'!$J$2:$J$964,'Исходные данные'!$D$2:$D$964,V$3,'Исходные данные'!$F$2:$F$964,$H23&amp;"",'Исходные данные'!$L$2:$L$964,"УТТ")))</f>
        <v/>
      </c>
      <c r="W22" s="66" t="str">
        <f aca="false">IF(SUMIFS('Исходные данные'!$I$2:$I$964,'Исходные данные'!$D$2:$D$964,W$3,'Исходные данные'!$F$2:$F$964,$H23&amp;"",'Исходные данные'!$L$2:$L$964,"УТТ")+SUMIFS('Исходные данные'!$J$2:$J$964,'Исходные данные'!$D$2:$D$964,W$3,'Исходные данные'!$F$2:$F$964,$H23&amp;"",'Исходные данные'!$L$2:$L$964,"УТТ")=0,"","утт-"&amp;(SUMIFS('Исходные данные'!$I$2:$I$964,'Исходные данные'!$D$2:$D$964,W$3,'Исходные данные'!$F$2:$F$964,$H23&amp;"",'Исходные данные'!$L$2:$L$964,"УТТ")+SUMIFS('Исходные данные'!$J$2:$J$964,'Исходные данные'!$D$2:$D$964,W$3,'Исходные данные'!$F$2:$F$964,$H23&amp;"",'Исходные данные'!$L$2:$L$964,"УТТ")))</f>
        <v/>
      </c>
      <c r="X22" s="66" t="str">
        <f aca="false">IF(SUMIFS('Исходные данные'!$I$2:$I$964,'Исходные данные'!$D$2:$D$964,X$3,'Исходные данные'!$F$2:$F$964,$H23&amp;"",'Исходные данные'!$L$2:$L$964,"УТТ")+SUMIFS('Исходные данные'!$J$2:$J$964,'Исходные данные'!$D$2:$D$964,X$3,'Исходные данные'!$F$2:$F$964,$H23&amp;"",'Исходные данные'!$L$2:$L$964,"УТТ")=0,"","утт-"&amp;(SUMIFS('Исходные данные'!$I$2:$I$964,'Исходные данные'!$D$2:$D$964,X$3,'Исходные данные'!$F$2:$F$964,$H23&amp;"",'Исходные данные'!$L$2:$L$964,"УТТ")+SUMIFS('Исходные данные'!$J$2:$J$964,'Исходные данные'!$D$2:$D$964,X$3,'Исходные данные'!$F$2:$F$964,$H23&amp;"",'Исходные данные'!$L$2:$L$964,"УТТ")))</f>
        <v/>
      </c>
      <c r="Y22" s="68" t="str">
        <f aca="false">IF(SUMIFS('Исходные данные'!$I$2:$I$964,'Исходные данные'!$D$2:$D$964,Y$3,'Исходные данные'!$F$2:$F$964,$H23&amp;"",'Исходные данные'!$L$2:$L$964,"УТТ")+SUMIFS('Исходные данные'!$J$2:$J$964,'Исходные данные'!$D$2:$D$964,Y$3,'Исходные данные'!$F$2:$F$964,$H23&amp;"",'Исходные данные'!$L$2:$L$964,"УТТ")=0,"","утт-"&amp;(SUMIFS('Исходные данные'!$I$2:$I$964,'Исходные данные'!$D$2:$D$964,Y$3,'Исходные данные'!$F$2:$F$964,$H23&amp;"",'Исходные данные'!$L$2:$L$964,"УТТ")+SUMIFS('Исходные данные'!$J$2:$J$964,'Исходные данные'!$D$2:$D$964,Y$3,'Исходные данные'!$F$2:$F$964,$H23&amp;"",'Исходные данные'!$L$2:$L$964,"УТТ")))</f>
        <v/>
      </c>
      <c r="Z22" s="65" t="str">
        <f aca="false">IF(SUMIFS('Исходные данные'!$I$2:$I$964,'Исходные данные'!$D$2:$D$964,Z$3,'Исходные данные'!$F$2:$F$964,$H23&amp;"",'Исходные данные'!$L$2:$L$964,"УТТ")+SUMIFS('Исходные данные'!$J$2:$J$964,'Исходные данные'!$D$2:$D$964,Z$3,'Исходные данные'!$F$2:$F$964,$H23&amp;"",'Исходные данные'!$L$2:$L$964,"УТТ")=0,"","утт-"&amp;(SUMIFS('Исходные данные'!$I$2:$I$964,'Исходные данные'!$D$2:$D$964,Z$3,'Исходные данные'!$F$2:$F$964,$H23&amp;"",'Исходные данные'!$L$2:$L$964,"УТТ")+SUMIFS('Исходные данные'!$J$2:$J$964,'Исходные данные'!$D$2:$D$964,Z$3,'Исходные данные'!$F$2:$F$964,$H23&amp;"",'Исходные данные'!$L$2:$L$964,"УТТ")))</f>
        <v/>
      </c>
      <c r="AA22" s="66" t="str">
        <f aca="false">IF(SUMIFS('Исходные данные'!$I$2:$I$964,'Исходные данные'!$D$2:$D$964,AA$3,'Исходные данные'!$F$2:$F$964,$H23&amp;"",'Исходные данные'!$L$2:$L$964,"УТТ")+SUMIFS('Исходные данные'!$J$2:$J$964,'Исходные данные'!$D$2:$D$964,AA$3,'Исходные данные'!$F$2:$F$964,$H23&amp;"",'Исходные данные'!$L$2:$L$964,"УТТ")=0,"","утт-"&amp;(SUMIFS('Исходные данные'!$I$2:$I$964,'Исходные данные'!$D$2:$D$964,AA$3,'Исходные данные'!$F$2:$F$964,$H23&amp;"",'Исходные данные'!$L$2:$L$964,"УТТ")+SUMIFS('Исходные данные'!$J$2:$J$964,'Исходные данные'!$D$2:$D$964,AA$3,'Исходные данные'!$F$2:$F$964,$H23&amp;"",'Исходные данные'!$L$2:$L$964,"УТТ")))</f>
        <v/>
      </c>
      <c r="AB22" s="66" t="str">
        <f aca="false">IF(SUMIFS('Исходные данные'!$I$2:$I$964,'Исходные данные'!$D$2:$D$964,AB$3,'Исходные данные'!$F$2:$F$964,$H23&amp;"",'Исходные данные'!$L$2:$L$964,"УТТ")+SUMIFS('Исходные данные'!$J$2:$J$964,'Исходные данные'!$D$2:$D$964,AB$3,'Исходные данные'!$F$2:$F$964,$H23&amp;"",'Исходные данные'!$L$2:$L$964,"УТТ")=0,"","утт-"&amp;(SUMIFS('Исходные данные'!$I$2:$I$964,'Исходные данные'!$D$2:$D$964,AB$3,'Исходные данные'!$F$2:$F$964,$H23&amp;"",'Исходные данные'!$L$2:$L$964,"УТТ")+SUMIFS('Исходные данные'!$J$2:$J$964,'Исходные данные'!$D$2:$D$964,AB$3,'Исходные данные'!$F$2:$F$964,$H23&amp;"",'Исходные данные'!$L$2:$L$964,"УТТ")))</f>
        <v/>
      </c>
      <c r="AC22" s="65" t="str">
        <f aca="false">IF(SUMIFS('Исходные данные'!$I$2:$I$964,'Исходные данные'!$D$2:$D$964,AC$3,'Исходные данные'!$F$2:$F$964,$H23&amp;"",'Исходные данные'!$L$2:$L$964,"УТТ")+SUMIFS('Исходные данные'!$J$2:$J$964,'Исходные данные'!$D$2:$D$964,AC$3,'Исходные данные'!$F$2:$F$964,$H23&amp;"",'Исходные данные'!$L$2:$L$964,"УТТ")=0,"","утт-"&amp;(SUMIFS('Исходные данные'!$I$2:$I$964,'Исходные данные'!$D$2:$D$964,AC$3,'Исходные данные'!$F$2:$F$964,$H23&amp;"",'Исходные данные'!$L$2:$L$964,"УТТ")+SUMIFS('Исходные данные'!$J$2:$J$964,'Исходные данные'!$D$2:$D$964,AC$3,'Исходные данные'!$F$2:$F$964,$H23&amp;"",'Исходные данные'!$L$2:$L$964,"УТТ")))</f>
        <v>утт-1</v>
      </c>
      <c r="AD22" s="66" t="str">
        <f aca="false">IF(SUMIFS('Исходные данные'!$I$2:$I$964,'Исходные данные'!$D$2:$D$964,AD$3,'Исходные данные'!$F$2:$F$964,$H23&amp;"",'Исходные данные'!$L$2:$L$964,"УТТ")+SUMIFS('Исходные данные'!$J$2:$J$964,'Исходные данные'!$D$2:$D$964,AD$3,'Исходные данные'!$F$2:$F$964,$H23&amp;"",'Исходные данные'!$L$2:$L$964,"УТТ")=0,"","утт-"&amp;(SUMIFS('Исходные данные'!$I$2:$I$964,'Исходные данные'!$D$2:$D$964,AD$3,'Исходные данные'!$F$2:$F$964,$H23&amp;"",'Исходные данные'!$L$2:$L$964,"УТТ")+SUMIFS('Исходные данные'!$J$2:$J$964,'Исходные данные'!$D$2:$D$964,AD$3,'Исходные данные'!$F$2:$F$964,$H23&amp;"",'Исходные данные'!$L$2:$L$964,"УТТ")))</f>
        <v/>
      </c>
    </row>
    <row r="23" customFormat="false" ht="25.5" hidden="false" customHeight="true" outlineLevel="0" collapsed="false">
      <c r="A23" s="47" t="n">
        <v>19</v>
      </c>
      <c r="B23" s="32" t="s">
        <v>206</v>
      </c>
      <c r="C23" s="33" t="s">
        <v>22</v>
      </c>
      <c r="D23" s="34"/>
      <c r="E23" s="33" t="s">
        <v>207</v>
      </c>
      <c r="F23" s="33" t="s">
        <v>21</v>
      </c>
      <c r="G23" s="69"/>
      <c r="H23" s="71" t="n">
        <v>53</v>
      </c>
      <c r="I23" s="48" t="s">
        <v>208</v>
      </c>
      <c r="J23" s="72" t="n">
        <f aca="false">IFERROR(INDEX('Выход ТС'!$C:$C,MATCH($H23&amp;"",'Выход ТС'!$A:$A,0)),"")</f>
        <v>13</v>
      </c>
      <c r="K23" s="73" t="n">
        <f aca="false">IFERROR(INDEX('Выход ТС'!$E:$E,MATCH($H23&amp;"",'Выход ТС'!$A:$A,0)),"")</f>
        <v>13</v>
      </c>
      <c r="L23" s="74" t="n">
        <f aca="false">IFERROR(INDEX('Выход ТС'!$F:$F,MATCH($H23&amp;"",'Выход ТС'!$A:$A,0)),"")</f>
        <v>0</v>
      </c>
      <c r="M23" s="75" t="n">
        <f aca="false">IFERROR(IF(INDEX('Выход ТС'!$G:$G,MATCH($H23&amp;"",'Выход ТС'!$A:$A,0))=0,"",INDEX('Выход ТС'!$G:$G,MATCH($H23&amp;"",'Выход ТС'!$A:$A,0))),"")</f>
        <v>11</v>
      </c>
      <c r="N23" s="75" t="n">
        <f aca="false">IFERROR(IF(INDEX('Выход ТС'!$H:$H,MATCH($H23&amp;"",'Выход ТС'!$A:$A,0))=0,"",INDEX('Выход ТС'!$H:$H,MATCH($H23&amp;"",'Выход ТС'!$A:$A,0))),"")</f>
        <v>2</v>
      </c>
      <c r="O23" s="76" t="str">
        <f aca="false">IF(SUMIFS('Исходные данные'!$I$2:$I$964,'Исходные данные'!$D$2:$D$964,O$3,'Исходные данные'!$F$2:$F$964,$H23&amp;"")+SUMIFS('Исходные данные'!$J$2:$J$964,'Исходные данные'!$D$2:$D$964,O$3,'Исходные данные'!$F$2:$F$964,$H23&amp;"")=0,"",IF(SUMIFS('Исходные данные'!$J$2:$J$964,'Исходные данные'!$D$2:$D$964,O$3,'Исходные данные'!$F$2:$F$964,$H23&amp;"")=0,SUMIFS('Исходные данные'!$I$2:$I$964,'Исходные данные'!$D$2:$D$964,O$3,'Исходные данные'!$F$2:$F$964,$H23&amp;""),IF(SUMIFS('Исходные данные'!$I$2:$I$964,'Исходные данные'!$D$2:$D$964,O$3,'Исходные данные'!$F$2:$F$964,$H23&amp;"")=0,"0+"&amp;SUMIFS('Исходные данные'!$J$2:$J$964,'Исходные данные'!$D$2:$D$964,O$3,'Исходные данные'!$F$2:$F$964,$H23&amp;"")&amp;"="&amp;SUMIFS('Исходные данные'!$J$2:$J$964,'Исходные данные'!$D$2:$D$964,O$3,'Исходные данные'!$F$2:$F$964,$H23&amp;""),SUMIFS('Исходные данные'!$I$2:$I$964,'Исходные данные'!$D$2:$D$964,O$3,'Исходные данные'!$F$2:$F$964,$H23&amp;"")&amp;"+"&amp;SUMIFS('Исходные данные'!$J$2:$J$964,'Исходные данные'!$D$2:$D$964,O$3,'Исходные данные'!$F$2:$F$964,$H23&amp;"")&amp;"="&amp;(SUMIFS('Исходные данные'!$I$2:$I$964,'Исходные данные'!$D$2:$D$964,O$3,'Исходные данные'!$F$2:$F$964,$H23&amp;"")+SUMIFS('Исходные данные'!$J$2:$J$964,'Исходные данные'!$D$2:$D$964,O$3,'Исходные данные'!$F$2:$F$964,$H23&amp;"")))))</f>
        <v/>
      </c>
      <c r="P23" s="77" t="str">
        <f aca="false">IF(SUMIFS('Исходные данные'!$I$2:$I$964,'Исходные данные'!$D$2:$D$964,P$3,'Исходные данные'!$F$2:$F$964,$H23&amp;"")+SUMIFS('Исходные данные'!$J$2:$J$964,'Исходные данные'!$D$2:$D$964,P$3,'Исходные данные'!$F$2:$F$964,$H23&amp;"")=0,"",IF(SUMIFS('Исходные данные'!$J$2:$J$964,'Исходные данные'!$D$2:$D$964,P$3,'Исходные данные'!$F$2:$F$964,$H23&amp;"")=0,SUMIFS('Исходные данные'!$I$2:$I$964,'Исходные данные'!$D$2:$D$964,P$3,'Исходные данные'!$F$2:$F$964,$H23&amp;""),IF(SUMIFS('Исходные данные'!$I$2:$I$964,'Исходные данные'!$D$2:$D$964,P$3,'Исходные данные'!$F$2:$F$964,$H23&amp;"")=0,"0+"&amp;SUMIFS('Исходные данные'!$J$2:$J$964,'Исходные данные'!$D$2:$D$964,P$3,'Исходные данные'!$F$2:$F$964,$H23&amp;"")&amp;"="&amp;SUMIFS('Исходные данные'!$J$2:$J$964,'Исходные данные'!$D$2:$D$964,P$3,'Исходные данные'!$F$2:$F$964,$H23&amp;""),SUMIFS('Исходные данные'!$I$2:$I$964,'Исходные данные'!$D$2:$D$964,P$3,'Исходные данные'!$F$2:$F$964,$H23&amp;"")&amp;"+"&amp;SUMIFS('Исходные данные'!$J$2:$J$964,'Исходные данные'!$D$2:$D$964,P$3,'Исходные данные'!$F$2:$F$964,$H23&amp;"")&amp;"="&amp;(SUMIFS('Исходные данные'!$I$2:$I$964,'Исходные данные'!$D$2:$D$964,P$3,'Исходные данные'!$F$2:$F$964,$H23&amp;"")+SUMIFS('Исходные данные'!$J$2:$J$964,'Исходные данные'!$D$2:$D$964,P$3,'Исходные данные'!$F$2:$F$964,$H23&amp;"")))))</f>
        <v/>
      </c>
      <c r="Q23" s="76" t="str">
        <f aca="false">IF(SUMIFS('Исходные данные'!$I$2:$I$964,'Исходные данные'!$D$2:$D$964,Q$3,'Исходные данные'!$F$2:$F$964,$H23&amp;"")+SUMIFS('Исходные данные'!$J$2:$J$964,'Исходные данные'!$D$2:$D$964,Q$3,'Исходные данные'!$F$2:$F$964,$H23&amp;"")=0,"",IF(SUMIFS('Исходные данные'!$J$2:$J$964,'Исходные данные'!$D$2:$D$964,Q$3,'Исходные данные'!$F$2:$F$964,$H23&amp;"")=0,SUMIFS('Исходные данные'!$I$2:$I$964,'Исходные данные'!$D$2:$D$964,Q$3,'Исходные данные'!$F$2:$F$964,$H23&amp;""),IF(SUMIFS('Исходные данные'!$I$2:$I$964,'Исходные данные'!$D$2:$D$964,Q$3,'Исходные данные'!$F$2:$F$964,$H23&amp;"")=0,"0+"&amp;SUMIFS('Исходные данные'!$J$2:$J$964,'Исходные данные'!$D$2:$D$964,Q$3,'Исходные данные'!$F$2:$F$964,$H23&amp;"")&amp;"="&amp;SUMIFS('Исходные данные'!$J$2:$J$964,'Исходные данные'!$D$2:$D$964,Q$3,'Исходные данные'!$F$2:$F$964,$H23&amp;""),SUMIFS('Исходные данные'!$I$2:$I$964,'Исходные данные'!$D$2:$D$964,Q$3,'Исходные данные'!$F$2:$F$964,$H23&amp;"")&amp;"+"&amp;SUMIFS('Исходные данные'!$J$2:$J$964,'Исходные данные'!$D$2:$D$964,Q$3,'Исходные данные'!$F$2:$F$964,$H23&amp;"")&amp;"="&amp;(SUMIFS('Исходные данные'!$I$2:$I$964,'Исходные данные'!$D$2:$D$964,Q$3,'Исходные данные'!$F$2:$F$964,$H23&amp;"")+SUMIFS('Исходные данные'!$J$2:$J$964,'Исходные данные'!$D$2:$D$964,Q$3,'Исходные данные'!$F$2:$F$964,$H23&amp;"")))))</f>
        <v/>
      </c>
      <c r="R23" s="78" t="str">
        <f aca="false">IF(SUMIFS('Исходные данные'!$I$2:$I$964,'Исходные данные'!$D$2:$D$964,R$3,'Исходные данные'!$F$2:$F$964,$H23&amp;"")+SUMIFS('Исходные данные'!$J$2:$J$964,'Исходные данные'!$D$2:$D$964,R$3,'Исходные данные'!$F$2:$F$964,$H23&amp;"")=0,"",IF(SUMIFS('Исходные данные'!$J$2:$J$964,'Исходные данные'!$D$2:$D$964,R$3,'Исходные данные'!$F$2:$F$964,$H23&amp;"")=0,SUMIFS('Исходные данные'!$I$2:$I$964,'Исходные данные'!$D$2:$D$964,R$3,'Исходные данные'!$F$2:$F$964,$H23&amp;""),IF(SUMIFS('Исходные данные'!$I$2:$I$964,'Исходные данные'!$D$2:$D$964,R$3,'Исходные данные'!$F$2:$F$964,$H23&amp;"")=0,"0+"&amp;SUMIFS('Исходные данные'!$J$2:$J$964,'Исходные данные'!$D$2:$D$964,R$3,'Исходные данные'!$F$2:$F$964,$H23&amp;"")&amp;"="&amp;SUMIFS('Исходные данные'!$J$2:$J$964,'Исходные данные'!$D$2:$D$964,R$3,'Исходные данные'!$F$2:$F$964,$H23&amp;""),SUMIFS('Исходные данные'!$I$2:$I$964,'Исходные данные'!$D$2:$D$964,R$3,'Исходные данные'!$F$2:$F$964,$H23&amp;"")&amp;"+"&amp;SUMIFS('Исходные данные'!$J$2:$J$964,'Исходные данные'!$D$2:$D$964,R$3,'Исходные данные'!$F$2:$F$964,$H23&amp;"")&amp;"="&amp;(SUMIFS('Исходные данные'!$I$2:$I$964,'Исходные данные'!$D$2:$D$964,R$3,'Исходные данные'!$F$2:$F$964,$H23&amp;"")+SUMIFS('Исходные данные'!$J$2:$J$964,'Исходные данные'!$D$2:$D$964,R$3,'Исходные данные'!$F$2:$F$964,$H23&amp;"")))))</f>
        <v/>
      </c>
      <c r="S23" s="77" t="n">
        <f aca="false">IF(SUMIFS('Исходные данные'!$I$2:$I$964,'Исходные данные'!$D$2:$D$964,S$3,'Исходные данные'!$F$2:$F$964,$H23&amp;"")+SUMIFS('Исходные данные'!$J$2:$J$964,'Исходные данные'!$D$2:$D$964,S$3,'Исходные данные'!$F$2:$F$964,$H23&amp;"")=0,"",IF(SUMIFS('Исходные данные'!$J$2:$J$964,'Исходные данные'!$D$2:$D$964,S$3,'Исходные данные'!$F$2:$F$964,$H23&amp;"")=0,SUMIFS('Исходные данные'!$I$2:$I$964,'Исходные данные'!$D$2:$D$964,S$3,'Исходные данные'!$F$2:$F$964,$H23&amp;""),IF(SUMIFS('Исходные данные'!$I$2:$I$964,'Исходные данные'!$D$2:$D$964,S$3,'Исходные данные'!$F$2:$F$964,$H23&amp;"")=0,"0+"&amp;SUMIFS('Исходные данные'!$J$2:$J$964,'Исходные данные'!$D$2:$D$964,S$3,'Исходные данные'!$F$2:$F$964,$H23&amp;"")&amp;"="&amp;SUMIFS('Исходные данные'!$J$2:$J$964,'Исходные данные'!$D$2:$D$964,S$3,'Исходные данные'!$F$2:$F$964,$H23&amp;""),SUMIFS('Исходные данные'!$I$2:$I$964,'Исходные данные'!$D$2:$D$964,S$3,'Исходные данные'!$F$2:$F$964,$H23&amp;"")&amp;"+"&amp;SUMIFS('Исходные данные'!$J$2:$J$964,'Исходные данные'!$D$2:$D$964,S$3,'Исходные данные'!$F$2:$F$964,$H23&amp;"")&amp;"="&amp;(SUMIFS('Исходные данные'!$I$2:$I$964,'Исходные данные'!$D$2:$D$964,S$3,'Исходные данные'!$F$2:$F$964,$H23&amp;"")+SUMIFS('Исходные данные'!$J$2:$J$964,'Исходные данные'!$D$2:$D$964,S$3,'Исходные данные'!$F$2:$F$964,$H23&amp;"")))))</f>
        <v>1</v>
      </c>
      <c r="T23" s="76" t="str">
        <f aca="false">IF(SUMIFS('Исходные данные'!$I$2:$I$964,'Исходные данные'!$D$2:$D$964,T$3,'Исходные данные'!$F$2:$F$964,$H23&amp;"")+SUMIFS('Исходные данные'!$J$2:$J$964,'Исходные данные'!$D$2:$D$964,T$3,'Исходные данные'!$F$2:$F$964,$H23&amp;"")=0,"",IF(SUMIFS('Исходные данные'!$J$2:$J$964,'Исходные данные'!$D$2:$D$964,T$3,'Исходные данные'!$F$2:$F$964,$H23&amp;"")=0,SUMIFS('Исходные данные'!$I$2:$I$964,'Исходные данные'!$D$2:$D$964,T$3,'Исходные данные'!$F$2:$F$964,$H23&amp;""),IF(SUMIFS('Исходные данные'!$I$2:$I$964,'Исходные данные'!$D$2:$D$964,T$3,'Исходные данные'!$F$2:$F$964,$H23&amp;"")=0,"0+"&amp;SUMIFS('Исходные данные'!$J$2:$J$964,'Исходные данные'!$D$2:$D$964,T$3,'Исходные данные'!$F$2:$F$964,$H23&amp;"")&amp;"="&amp;SUMIFS('Исходные данные'!$J$2:$J$964,'Исходные данные'!$D$2:$D$964,T$3,'Исходные данные'!$F$2:$F$964,$H23&amp;""),SUMIFS('Исходные данные'!$I$2:$I$964,'Исходные данные'!$D$2:$D$964,T$3,'Исходные данные'!$F$2:$F$964,$H23&amp;"")&amp;"+"&amp;SUMIFS('Исходные данные'!$J$2:$J$964,'Исходные данные'!$D$2:$D$964,T$3,'Исходные данные'!$F$2:$F$964,$H23&amp;"")&amp;"="&amp;(SUMIFS('Исходные данные'!$I$2:$I$964,'Исходные данные'!$D$2:$D$964,T$3,'Исходные данные'!$F$2:$F$964,$H23&amp;"")+SUMIFS('Исходные данные'!$J$2:$J$964,'Исходные данные'!$D$2:$D$964,T$3,'Исходные данные'!$F$2:$F$964,$H23&amp;"")))))</f>
        <v/>
      </c>
      <c r="U23" s="77" t="n">
        <f aca="false">IF(SUMIFS('Исходные данные'!$I$2:$I$964,'Исходные данные'!$D$2:$D$964,U$3,'Исходные данные'!$F$2:$F$964,$H23&amp;"")+SUMIFS('Исходные данные'!$J$2:$J$964,'Исходные данные'!$D$2:$D$964,U$3,'Исходные данные'!$F$2:$F$964,$H23&amp;"")=0,"",IF(SUMIFS('Исходные данные'!$J$2:$J$964,'Исходные данные'!$D$2:$D$964,U$3,'Исходные данные'!$F$2:$F$964,$H23&amp;"")=0,SUMIFS('Исходные данные'!$I$2:$I$964,'Исходные данные'!$D$2:$D$964,U$3,'Исходные данные'!$F$2:$F$964,$H23&amp;""),IF(SUMIFS('Исходные данные'!$I$2:$I$964,'Исходные данные'!$D$2:$D$964,U$3,'Исходные данные'!$F$2:$F$964,$H23&amp;"")=0,"0+"&amp;SUMIFS('Исходные данные'!$J$2:$J$964,'Исходные данные'!$D$2:$D$964,U$3,'Исходные данные'!$F$2:$F$964,$H23&amp;"")&amp;"="&amp;SUMIFS('Исходные данные'!$J$2:$J$964,'Исходные данные'!$D$2:$D$964,U$3,'Исходные данные'!$F$2:$F$964,$H23&amp;""),SUMIFS('Исходные данные'!$I$2:$I$964,'Исходные данные'!$D$2:$D$964,U$3,'Исходные данные'!$F$2:$F$964,$H23&amp;"")&amp;"+"&amp;SUMIFS('Исходные данные'!$J$2:$J$964,'Исходные данные'!$D$2:$D$964,U$3,'Исходные данные'!$F$2:$F$964,$H23&amp;"")&amp;"="&amp;(SUMIFS('Исходные данные'!$I$2:$I$964,'Исходные данные'!$D$2:$D$964,U$3,'Исходные данные'!$F$2:$F$964,$H23&amp;"")+SUMIFS('Исходные данные'!$J$2:$J$964,'Исходные данные'!$D$2:$D$964,U$3,'Исходные данные'!$F$2:$F$964,$H23&amp;"")))))</f>
        <v>1</v>
      </c>
      <c r="V23" s="76" t="str">
        <f aca="false">IF(SUMIFS('Исходные данные'!$I$2:$I$964,'Исходные данные'!$D$2:$D$964,V$3,'Исходные данные'!$F$2:$F$964,$H23&amp;"")+SUMIFS('Исходные данные'!$J$2:$J$964,'Исходные данные'!$D$2:$D$964,V$3,'Исходные данные'!$F$2:$F$964,$H23&amp;"")=0,"",IF(SUMIFS('Исходные данные'!$J$2:$J$964,'Исходные данные'!$D$2:$D$964,V$3,'Исходные данные'!$F$2:$F$964,$H23&amp;"")=0,SUMIFS('Исходные данные'!$I$2:$I$964,'Исходные данные'!$D$2:$D$964,V$3,'Исходные данные'!$F$2:$F$964,$H23&amp;""),IF(SUMIFS('Исходные данные'!$I$2:$I$964,'Исходные данные'!$D$2:$D$964,V$3,'Исходные данные'!$F$2:$F$964,$H23&amp;"")=0,"0+"&amp;SUMIFS('Исходные данные'!$J$2:$J$964,'Исходные данные'!$D$2:$D$964,V$3,'Исходные данные'!$F$2:$F$964,$H23&amp;"")&amp;"="&amp;SUMIFS('Исходные данные'!$J$2:$J$964,'Исходные данные'!$D$2:$D$964,V$3,'Исходные данные'!$F$2:$F$964,$H23&amp;""),SUMIFS('Исходные данные'!$I$2:$I$964,'Исходные данные'!$D$2:$D$964,V$3,'Исходные данные'!$F$2:$F$964,$H23&amp;"")&amp;"+"&amp;SUMIFS('Исходные данные'!$J$2:$J$964,'Исходные данные'!$D$2:$D$964,V$3,'Исходные данные'!$F$2:$F$964,$H23&amp;"")&amp;"="&amp;(SUMIFS('Исходные данные'!$I$2:$I$964,'Исходные данные'!$D$2:$D$964,V$3,'Исходные данные'!$F$2:$F$964,$H23&amp;"")+SUMIFS('Исходные данные'!$J$2:$J$964,'Исходные данные'!$D$2:$D$964,V$3,'Исходные данные'!$F$2:$F$964,$H23&amp;"")))))</f>
        <v/>
      </c>
      <c r="W23" s="77" t="n">
        <f aca="false">IF(SUMIFS('Исходные данные'!$I$2:$I$964,'Исходные данные'!$D$2:$D$964,W$3,'Исходные данные'!$F$2:$F$964,$H23&amp;"")+SUMIFS('Исходные данные'!$J$2:$J$964,'Исходные данные'!$D$2:$D$964,W$3,'Исходные данные'!$F$2:$F$964,$H23&amp;"")=0,"",IF(SUMIFS('Исходные данные'!$J$2:$J$964,'Исходные данные'!$D$2:$D$964,W$3,'Исходные данные'!$F$2:$F$964,$H23&amp;"")=0,SUMIFS('Исходные данные'!$I$2:$I$964,'Исходные данные'!$D$2:$D$964,W$3,'Исходные данные'!$F$2:$F$964,$H23&amp;""),IF(SUMIFS('Исходные данные'!$I$2:$I$964,'Исходные данные'!$D$2:$D$964,W$3,'Исходные данные'!$F$2:$F$964,$H23&amp;"")=0,"0+"&amp;SUMIFS('Исходные данные'!$J$2:$J$964,'Исходные данные'!$D$2:$D$964,W$3,'Исходные данные'!$F$2:$F$964,$H23&amp;"")&amp;"="&amp;SUMIFS('Исходные данные'!$J$2:$J$964,'Исходные данные'!$D$2:$D$964,W$3,'Исходные данные'!$F$2:$F$964,$H23&amp;""),SUMIFS('Исходные данные'!$I$2:$I$964,'Исходные данные'!$D$2:$D$964,W$3,'Исходные данные'!$F$2:$F$964,$H23&amp;"")&amp;"+"&amp;SUMIFS('Исходные данные'!$J$2:$J$964,'Исходные данные'!$D$2:$D$964,W$3,'Исходные данные'!$F$2:$F$964,$H23&amp;"")&amp;"="&amp;(SUMIFS('Исходные данные'!$I$2:$I$964,'Исходные данные'!$D$2:$D$964,W$3,'Исходные данные'!$F$2:$F$964,$H23&amp;"")+SUMIFS('Исходные данные'!$J$2:$J$964,'Исходные данные'!$D$2:$D$964,W$3,'Исходные данные'!$F$2:$F$964,$H23&amp;"")))))</f>
        <v>1</v>
      </c>
      <c r="X23" s="77" t="str">
        <f aca="false">IF(SUMIFS('Исходные данные'!$I$2:$I$964,'Исходные данные'!$D$2:$D$964,X$3,'Исходные данные'!$F$2:$F$964,$H23&amp;"")+SUMIFS('Исходные данные'!$J$2:$J$964,'Исходные данные'!$D$2:$D$964,X$3,'Исходные данные'!$F$2:$F$964,$H23&amp;"")=0,"",IF(SUMIFS('Исходные данные'!$J$2:$J$964,'Исходные данные'!$D$2:$D$964,X$3,'Исходные данные'!$F$2:$F$964,$H23&amp;"")=0,SUMIFS('Исходные данные'!$I$2:$I$964,'Исходные данные'!$D$2:$D$964,X$3,'Исходные данные'!$F$2:$F$964,$H23&amp;""),IF(SUMIFS('Исходные данные'!$I$2:$I$964,'Исходные данные'!$D$2:$D$964,X$3,'Исходные данные'!$F$2:$F$964,$H23&amp;"")=0,"0+"&amp;SUMIFS('Исходные данные'!$J$2:$J$964,'Исходные данные'!$D$2:$D$964,X$3,'Исходные данные'!$F$2:$F$964,$H23&amp;"")&amp;"="&amp;SUMIFS('Исходные данные'!$J$2:$J$964,'Исходные данные'!$D$2:$D$964,X$3,'Исходные данные'!$F$2:$F$964,$H23&amp;""),SUMIFS('Исходные данные'!$I$2:$I$964,'Исходные данные'!$D$2:$D$964,X$3,'Исходные данные'!$F$2:$F$964,$H23&amp;"")&amp;"+"&amp;SUMIFS('Исходные данные'!$J$2:$J$964,'Исходные данные'!$D$2:$D$964,X$3,'Исходные данные'!$F$2:$F$964,$H23&amp;"")&amp;"="&amp;(SUMIFS('Исходные данные'!$I$2:$I$964,'Исходные данные'!$D$2:$D$964,X$3,'Исходные данные'!$F$2:$F$964,$H23&amp;"")+SUMIFS('Исходные данные'!$J$2:$J$964,'Исходные данные'!$D$2:$D$964,X$3,'Исходные данные'!$F$2:$F$964,$H23&amp;"")))))</f>
        <v/>
      </c>
      <c r="Y23" s="79" t="n">
        <f aca="false">IF(SUMIFS('Исходные данные'!$I$2:$I$964,'Исходные данные'!$D$2:$D$964,Y$3,'Исходные данные'!$F$2:$F$964,$H23&amp;"")+SUMIFS('Исходные данные'!$J$2:$J$964,'Исходные данные'!$D$2:$D$964,Y$3,'Исходные данные'!$F$2:$F$964,$H23&amp;"")=0,"",IF(SUMIFS('Исходные данные'!$J$2:$J$964,'Исходные данные'!$D$2:$D$964,Y$3,'Исходные данные'!$F$2:$F$964,$H23&amp;"")=0,SUMIFS('Исходные данные'!$I$2:$I$964,'Исходные данные'!$D$2:$D$964,Y$3,'Исходные данные'!$F$2:$F$964,$H23&amp;""),IF(SUMIFS('Исходные данные'!$I$2:$I$964,'Исходные данные'!$D$2:$D$964,Y$3,'Исходные данные'!$F$2:$F$964,$H23&amp;"")=0,"0+"&amp;SUMIFS('Исходные данные'!$J$2:$J$964,'Исходные данные'!$D$2:$D$964,Y$3,'Исходные данные'!$F$2:$F$964,$H23&amp;"")&amp;"="&amp;SUMIFS('Исходные данные'!$J$2:$J$964,'Исходные данные'!$D$2:$D$964,Y$3,'Исходные данные'!$F$2:$F$964,$H23&amp;""),SUMIFS('Исходные данные'!$I$2:$I$964,'Исходные данные'!$D$2:$D$964,Y$3,'Исходные данные'!$F$2:$F$964,$H23&amp;"")&amp;"+"&amp;SUMIFS('Исходные данные'!$J$2:$J$964,'Исходные данные'!$D$2:$D$964,Y$3,'Исходные данные'!$F$2:$F$964,$H23&amp;"")&amp;"="&amp;(SUMIFS('Исходные данные'!$I$2:$I$964,'Исходные данные'!$D$2:$D$964,Y$3,'Исходные данные'!$F$2:$F$964,$H23&amp;"")+SUMIFS('Исходные данные'!$J$2:$J$964,'Исходные данные'!$D$2:$D$964,Y$3,'Исходные данные'!$F$2:$F$964,$H23&amp;"")))))</f>
        <v>1</v>
      </c>
      <c r="Z23" s="76" t="str">
        <f aca="false">IF(SUMIFS('Исходные данные'!$I$2:$I$964,'Исходные данные'!$D$2:$D$964,Z$3,'Исходные данные'!$F$2:$F$964,$H23&amp;"")+SUMIFS('Исходные данные'!$J$2:$J$964,'Исходные данные'!$D$2:$D$964,Z$3,'Исходные данные'!$F$2:$F$964,$H23&amp;"")=0,"",IF(SUMIFS('Исходные данные'!$J$2:$J$964,'Исходные данные'!$D$2:$D$964,Z$3,'Исходные данные'!$F$2:$F$964,$H23&amp;"")=0,SUMIFS('Исходные данные'!$I$2:$I$964,'Исходные данные'!$D$2:$D$964,Z$3,'Исходные данные'!$F$2:$F$964,$H23&amp;""),IF(SUMIFS('Исходные данные'!$I$2:$I$964,'Исходные данные'!$D$2:$D$964,Z$3,'Исходные данные'!$F$2:$F$964,$H23&amp;"")=0,"0+"&amp;SUMIFS('Исходные данные'!$J$2:$J$964,'Исходные данные'!$D$2:$D$964,Z$3,'Исходные данные'!$F$2:$F$964,$H23&amp;"")&amp;"="&amp;SUMIFS('Исходные данные'!$J$2:$J$964,'Исходные данные'!$D$2:$D$964,Z$3,'Исходные данные'!$F$2:$F$964,$H23&amp;""),SUMIFS('Исходные данные'!$I$2:$I$964,'Исходные данные'!$D$2:$D$964,Z$3,'Исходные данные'!$F$2:$F$964,$H23&amp;"")&amp;"+"&amp;SUMIFS('Исходные данные'!$J$2:$J$964,'Исходные данные'!$D$2:$D$964,Z$3,'Исходные данные'!$F$2:$F$964,$H23&amp;"")&amp;"="&amp;(SUMIFS('Исходные данные'!$I$2:$I$964,'Исходные данные'!$D$2:$D$964,Z$3,'Исходные данные'!$F$2:$F$964,$H23&amp;"")+SUMIFS('Исходные данные'!$J$2:$J$964,'Исходные данные'!$D$2:$D$964,Z$3,'Исходные данные'!$F$2:$F$964,$H23&amp;"")))))</f>
        <v/>
      </c>
      <c r="AA23" s="77" t="n">
        <f aca="false">IF(SUMIFS('Исходные данные'!$I$2:$I$964,'Исходные данные'!$D$2:$D$964,AA$3,'Исходные данные'!$F$2:$F$964,$H23&amp;"")+SUMIFS('Исходные данные'!$J$2:$J$964,'Исходные данные'!$D$2:$D$964,AA$3,'Исходные данные'!$F$2:$F$964,$H23&amp;"")=0,"",IF(SUMIFS('Исходные данные'!$J$2:$J$964,'Исходные данные'!$D$2:$D$964,AA$3,'Исходные данные'!$F$2:$F$964,$H23&amp;"")=0,SUMIFS('Исходные данные'!$I$2:$I$964,'Исходные данные'!$D$2:$D$964,AA$3,'Исходные данные'!$F$2:$F$964,$H23&amp;""),IF(SUMIFS('Исходные данные'!$I$2:$I$964,'Исходные данные'!$D$2:$D$964,AA$3,'Исходные данные'!$F$2:$F$964,$H23&amp;"")=0,"0+"&amp;SUMIFS('Исходные данные'!$J$2:$J$964,'Исходные данные'!$D$2:$D$964,AA$3,'Исходные данные'!$F$2:$F$964,$H23&amp;"")&amp;"="&amp;SUMIFS('Исходные данные'!$J$2:$J$964,'Исходные данные'!$D$2:$D$964,AA$3,'Исходные данные'!$F$2:$F$964,$H23&amp;""),SUMIFS('Исходные данные'!$I$2:$I$964,'Исходные данные'!$D$2:$D$964,AA$3,'Исходные данные'!$F$2:$F$964,$H23&amp;"")&amp;"+"&amp;SUMIFS('Исходные данные'!$J$2:$J$964,'Исходные данные'!$D$2:$D$964,AA$3,'Исходные данные'!$F$2:$F$964,$H23&amp;"")&amp;"="&amp;(SUMIFS('Исходные данные'!$I$2:$I$964,'Исходные данные'!$D$2:$D$964,AA$3,'Исходные данные'!$F$2:$F$964,$H23&amp;"")+SUMIFS('Исходные данные'!$J$2:$J$964,'Исходные данные'!$D$2:$D$964,AA$3,'Исходные данные'!$F$2:$F$964,$H23&amp;"")))))</f>
        <v>2</v>
      </c>
      <c r="AB23" s="77" t="str">
        <f aca="false">IF(SUMIFS('Исходные данные'!$I$2:$I$964,'Исходные данные'!$D$2:$D$964,AB$3,'Исходные данные'!$F$2:$F$964,$H23&amp;"")+SUMIFS('Исходные данные'!$J$2:$J$964,'Исходные данные'!$D$2:$D$964,AB$3,'Исходные данные'!$F$2:$F$964,$H23&amp;"")=0,"",IF(SUMIFS('Исходные данные'!$J$2:$J$964,'Исходные данные'!$D$2:$D$964,AB$3,'Исходные данные'!$F$2:$F$964,$H23&amp;"")=0,SUMIFS('Исходные данные'!$I$2:$I$964,'Исходные данные'!$D$2:$D$964,AB$3,'Исходные данные'!$F$2:$F$964,$H23&amp;""),IF(SUMIFS('Исходные данные'!$I$2:$I$964,'Исходные данные'!$D$2:$D$964,AB$3,'Исходные данные'!$F$2:$F$964,$H23&amp;"")=0,"0+"&amp;SUMIFS('Исходные данные'!$J$2:$J$964,'Исходные данные'!$D$2:$D$964,AB$3,'Исходные данные'!$F$2:$F$964,$H23&amp;"")&amp;"="&amp;SUMIFS('Исходные данные'!$J$2:$J$964,'Исходные данные'!$D$2:$D$964,AB$3,'Исходные данные'!$F$2:$F$964,$H23&amp;""),SUMIFS('Исходные данные'!$I$2:$I$964,'Исходные данные'!$D$2:$D$964,AB$3,'Исходные данные'!$F$2:$F$964,$H23&amp;"")&amp;"+"&amp;SUMIFS('Исходные данные'!$J$2:$J$964,'Исходные данные'!$D$2:$D$964,AB$3,'Исходные данные'!$F$2:$F$964,$H23&amp;"")&amp;"="&amp;(SUMIFS('Исходные данные'!$I$2:$I$964,'Исходные данные'!$D$2:$D$964,AB$3,'Исходные данные'!$F$2:$F$964,$H23&amp;"")+SUMIFS('Исходные данные'!$J$2:$J$964,'Исходные данные'!$D$2:$D$964,AB$3,'Исходные данные'!$F$2:$F$964,$H23&amp;"")))))</f>
        <v>1+1=2</v>
      </c>
      <c r="AC23" s="76" t="str">
        <f aca="false">IF(SUMIFS('Исходные данные'!$I$2:$I$964,'Исходные данные'!$D$2:$D$964,AC$3,'Исходные данные'!$F$2:$F$964,$H23&amp;"")+SUMIFS('Исходные данные'!$J$2:$J$964,'Исходные данные'!$D$2:$D$964,AC$3,'Исходные данные'!$F$2:$F$964,$H23&amp;"")=0,"",IF(SUMIFS('Исходные данные'!$J$2:$J$964,'Исходные данные'!$D$2:$D$964,AC$3,'Исходные данные'!$F$2:$F$964,$H23&amp;"")=0,SUMIFS('Исходные данные'!$I$2:$I$964,'Исходные данные'!$D$2:$D$964,AC$3,'Исходные данные'!$F$2:$F$964,$H23&amp;""),IF(SUMIFS('Исходные данные'!$I$2:$I$964,'Исходные данные'!$D$2:$D$964,AC$3,'Исходные данные'!$F$2:$F$964,$H23&amp;"")=0,"0+"&amp;SUMIFS('Исходные данные'!$J$2:$J$964,'Исходные данные'!$D$2:$D$964,AC$3,'Исходные данные'!$F$2:$F$964,$H23&amp;"")&amp;"="&amp;SUMIFS('Исходные данные'!$J$2:$J$964,'Исходные данные'!$D$2:$D$964,AC$3,'Исходные данные'!$F$2:$F$964,$H23&amp;""),SUMIFS('Исходные данные'!$I$2:$I$964,'Исходные данные'!$D$2:$D$964,AC$3,'Исходные данные'!$F$2:$F$964,$H23&amp;"")&amp;"+"&amp;SUMIFS('Исходные данные'!$J$2:$J$964,'Исходные данные'!$D$2:$D$964,AC$3,'Исходные данные'!$F$2:$F$964,$H23&amp;"")&amp;"="&amp;(SUMIFS('Исходные данные'!$I$2:$I$964,'Исходные данные'!$D$2:$D$964,AC$3,'Исходные данные'!$F$2:$F$964,$H23&amp;"")+SUMIFS('Исходные данные'!$J$2:$J$964,'Исходные данные'!$D$2:$D$964,AC$3,'Исходные данные'!$F$2:$F$964,$H23&amp;"")))))</f>
        <v>3+1=4</v>
      </c>
      <c r="AD23" s="77" t="str">
        <f aca="false">IF(SUMIFS('Исходные данные'!$I$2:$I$964,'Исходные данные'!$D$2:$D$964,AD$3,'Исходные данные'!$F$2:$F$964,$H23&amp;"")+SUMIFS('Исходные данные'!$J$2:$J$964,'Исходные данные'!$D$2:$D$964,AD$3,'Исходные данные'!$F$2:$F$964,$H23&amp;"")=0,"",IF(SUMIFS('Исходные данные'!$J$2:$J$964,'Исходные данные'!$D$2:$D$964,AD$3,'Исходные данные'!$F$2:$F$964,$H23&amp;"")=0,SUMIFS('Исходные данные'!$I$2:$I$964,'Исходные данные'!$D$2:$D$964,AD$3,'Исходные данные'!$F$2:$F$964,$H23&amp;""),IF(SUMIFS('Исходные данные'!$I$2:$I$964,'Исходные данные'!$D$2:$D$964,AD$3,'Исходные данные'!$F$2:$F$964,$H23&amp;"")=0,"0+"&amp;SUMIFS('Исходные данные'!$J$2:$J$964,'Исходные данные'!$D$2:$D$964,AD$3,'Исходные данные'!$F$2:$F$964,$H23&amp;"")&amp;"="&amp;SUMIFS('Исходные данные'!$J$2:$J$964,'Исходные данные'!$D$2:$D$964,AD$3,'Исходные данные'!$F$2:$F$964,$H23&amp;""),SUMIFS('Исходные данные'!$I$2:$I$964,'Исходные данные'!$D$2:$D$964,AD$3,'Исходные данные'!$F$2:$F$964,$H23&amp;"")&amp;"+"&amp;SUMIFS('Исходные данные'!$J$2:$J$964,'Исходные данные'!$D$2:$D$964,AD$3,'Исходные данные'!$F$2:$F$964,$H23&amp;"")&amp;"="&amp;(SUMIFS('Исходные данные'!$I$2:$I$964,'Исходные данные'!$D$2:$D$964,AD$3,'Исходные данные'!$F$2:$F$964,$H23&amp;"")+SUMIFS('Исходные данные'!$J$2:$J$964,'Исходные данные'!$D$2:$D$964,AD$3,'Исходные данные'!$F$2:$F$964,$H23&amp;"")))))</f>
        <v/>
      </c>
      <c r="AE23" s="57" t="n">
        <f aca="false">IFERROR(INDEX('Выход ТС'!$K:$K,MATCH($H23&amp;"",'Выход ТС'!$A:$A,0))+INDEX('Выход ТС'!$L:$L,MATCH($H23&amp;"",'Выход ТС'!$A:$A,0))-INDEX('Выход ТС'!$I:$I,MATCH($H23&amp;"",'Выход ТС'!$A:$A,0))-INDEX('Выход ТС'!$J:$J,MATCH($H23&amp;"",'Выход ТС'!$A:$A,0)),"")</f>
        <v>0</v>
      </c>
      <c r="AF23" s="57" t="n">
        <f aca="false">IFERROR(INDEX('Выход ТС'!$O:$O,MATCH($H23&amp;"",'Выход ТС'!$A:$A,0))+INDEX('Выход ТС'!$P:$P,MATCH($H23&amp;"",'Выход ТС'!$A:$A,0))-INDEX('Выход ТС'!$M:$M,MATCH($H23&amp;"",'Выход ТС'!$A:$A,0))-INDEX('Выход ТС'!$N:$N,MATCH($H23&amp;"",'Выход ТС'!$A:$A,0)),"")</f>
        <v>0</v>
      </c>
      <c r="AG23" s="57" t="n">
        <f aca="false">IFERROR(INDEX('Выход ТС'!$S:$S,MATCH($H23&amp;"",'Выход ТС'!$A:$A,0))+INDEX('Выход ТС'!$T:$T,MATCH($H23&amp;"",'Выход ТС'!$A:$A,0))-INDEX('Выход ТС'!$Q:$Q,MATCH($H23&amp;"",'Выход ТС'!$A:$A,0))-INDEX('Выход ТС'!$R:$R,MATCH($H23&amp;"",'Выход ТС'!$A:$A,0)),"")</f>
        <v>0</v>
      </c>
      <c r="AH23" s="57" t="n">
        <f aca="false">IFERROR(INDEX('Выход ТС'!$W:$W,MATCH($H23&amp;"",'Выход ТС'!$A:$A,0))+INDEX('Выход ТС'!$X:$X,MATCH($H23&amp;"",'Выход ТС'!$A:$A,0))-INDEX('Выход ТС'!$U:$U,MATCH($H23&amp;"",'Выход ТС'!$A:$A,0))-INDEX('Выход ТС'!$V:$V,MATCH($H23&amp;"",'Выход ТС'!$A:$A,0)),"")</f>
        <v>0</v>
      </c>
      <c r="AI23" s="57" t="n">
        <f aca="false">IFERROR(INDEX('Выход ТС'!$AA:$AA,MATCH($H23&amp;"",'Выход ТС'!$A:$A,0))+INDEX('Выход ТС'!$AB:$AB,MATCH($H23&amp;"",'Выход ТС'!$A:$A,0))-INDEX('Выход ТС'!$Y:$Y,MATCH($H23&amp;"",'Выход ТС'!$A:$A,0))-INDEX('Выход ТС'!$Z:$Z,MATCH($H23&amp;"",'Выход ТС'!$A:$A,0)),"")</f>
        <v>0</v>
      </c>
      <c r="AJ23" s="57" t="n">
        <f aca="false">IFERROR(INDEX('Выход ТС'!$AE:$AE,MATCH($H23&amp;"",'Выход ТС'!$A:$A,0))+INDEX('Выход ТС'!$AF:$AF,MATCH($H23&amp;"",'Выход ТС'!$A:$A,0))-INDEX('Выход ТС'!$AC:$AC,MATCH($H23&amp;"",'Выход ТС'!$A:$A,0))-INDEX('Выход ТС'!$AD:$AD,MATCH($H23&amp;"",'Выход ТС'!$A:$A,0)),"")</f>
        <v>0</v>
      </c>
      <c r="AK23" s="57" t="n">
        <f aca="false">IFERROR(INDEX('Выход ТС'!$AI:$AI,MATCH($H23&amp;"",'Выход ТС'!$A:$A,0))+INDEX('Выход ТС'!$AJ:$AJ,MATCH($H23&amp;"",'Выход ТС'!$A:$A,0))-INDEX('Выход ТС'!$AG:$AG,MATCH($H23&amp;"",'Выход ТС'!$A:$A,0))-INDEX('Выход ТС'!$AH:$AH,MATCH($H23&amp;"",'Выход ТС'!$A:$A,0)),"")</f>
        <v>0</v>
      </c>
      <c r="AL23" s="57" t="n">
        <f aca="false">IFERROR(INDEX('Выход ТС'!$AM:$AM,MATCH($H23&amp;"",'Выход ТС'!$A:$A,0))+INDEX('Выход ТС'!$AN:$AN,MATCH($H23&amp;"",'Выход ТС'!$A:$A,0))-INDEX('Выход ТС'!$AK:$AK,MATCH($H23&amp;"",'Выход ТС'!$A:$A,0))-INDEX('Выход ТС'!$AL:$AL,MATCH($H23&amp;"",'Выход ТС'!$A:$A,0)),"")</f>
        <v>0</v>
      </c>
      <c r="AM23" s="57" t="n">
        <f aca="false">IFERROR(INDEX('Выход ТС'!$AQ:$AQ,MATCH($H23&amp;"",'Выход ТС'!$A:$A,0))+INDEX('Выход ТС'!$AR:$AR,MATCH($H23&amp;"",'Выход ТС'!$A:$A,0))-INDEX('Выход ТС'!$AO:$AO,MATCH($H23&amp;"",'Выход ТС'!$A:$A,0))-INDEX('Выход ТС'!$AP:$AP,MATCH($H23&amp;"",'Выход ТС'!$A:$A,0)),"")</f>
        <v>0</v>
      </c>
      <c r="AN23" s="57" t="n">
        <f aca="false">IFERROR(INDEX('Выход ТС'!$AU:$AU,MATCH($H23&amp;"",'Выход ТС'!$A:$A,0))+INDEX('Выход ТС'!$AV:$AV,MATCH($H23&amp;"",'Выход ТС'!$A:$A,0))-INDEX('Выход ТС'!$AS:$AS,MATCH($H23&amp;"",'Выход ТС'!$A:$A,0))-INDEX('Выход ТС'!$AT:$AT,MATCH($H23&amp;"",'Выход ТС'!$A:$A,0)),"")</f>
        <v>0</v>
      </c>
      <c r="AO23" s="57" t="n">
        <f aca="false">IFERROR(INDEX('Выход ТС'!$AY:$AY,MATCH($H23&amp;"",'Выход ТС'!$A:$A,0))+INDEX('Выход ТС'!$AZ:$AZ,MATCH($H23&amp;"",'Выход ТС'!$A:$A,0))-INDEX('Выход ТС'!$AW:$AW,MATCH($H23&amp;"",'Выход ТС'!$A:$A,0))-INDEX('Выход ТС'!$AX:$AX,MATCH($H23&amp;"",'Выход ТС'!$A:$A,0)),"")</f>
        <v>0</v>
      </c>
      <c r="AP23" s="57" t="n">
        <f aca="false">IFERROR(INDEX('Выход ТС'!$BC:$BC,MATCH($H23&amp;"",'Выход ТС'!$A:$A,0))+INDEX('Выход ТС'!$BD:$BD,MATCH($H23&amp;"",'Выход ТС'!$A:$A,0))-INDEX('Выход ТС'!$BA:$BA,MATCH($H23&amp;"",'Выход ТС'!$A:$A,0))-INDEX('Выход ТС'!$BB:$BB,MATCH($H23&amp;"",'Выход ТС'!$A:$A,0)),"")</f>
        <v>0</v>
      </c>
      <c r="AQ23" s="57" t="n">
        <f aca="false">IFERROR(INDEX('Выход ТС'!$BG:$BG,MATCH($H23&amp;"",'Выход ТС'!$A:$A,0))+INDEX('Выход ТС'!$BH:$BH,MATCH($H23&amp;"",'Выход ТС'!$A:$A,0))-INDEX('Выход ТС'!$BE:$BE,MATCH($H23&amp;"",'Выход ТС'!$A:$A,0))-INDEX('Выход ТС'!$BF:$BF,MATCH($H23&amp;"",'Выход ТС'!$A:$A,0)),"")</f>
        <v>0</v>
      </c>
      <c r="AR23" s="57" t="n">
        <f aca="false">IFERROR(INDEX('Выход ТС'!$BK:$BK,MATCH($H23&amp;"",'Выход ТС'!$A:$A,0))+INDEX('Выход ТС'!$BL:$BL,MATCH($H23&amp;"",'Выход ТС'!$A:$A,0))-INDEX('Выход ТС'!$BI:$BI,MATCH($H23&amp;"",'Выход ТС'!$A:$A,0))-INDEX('Выход ТС'!$BJ:$BJ,MATCH($H23&amp;"",'Выход ТС'!$A:$A,0)),"")</f>
        <v>0</v>
      </c>
      <c r="AS23" s="57" t="n">
        <f aca="false">IFERROR(INDEX('Выход ТС'!$BO:$BO,MATCH($H23&amp;"",'Выход ТС'!$A:$A,0))+INDEX('Выход ТС'!$BP:$BP,MATCH($H23&amp;"",'Выход ТС'!$A:$A,0))-INDEX('Выход ТС'!$BM:$BM,MATCH($H23&amp;"",'Выход ТС'!$A:$A,0))-INDEX('Выход ТС'!$BN:$BN,MATCH($H23&amp;"",'Выход ТС'!$A:$A,0)),"")</f>
        <v>0</v>
      </c>
      <c r="AT23" s="57" t="n">
        <f aca="false">IFERROR(INDEX('Выход ТС'!$CI:$CI,MATCH($H23&amp;"",'Выход ТС'!$A:$A,0))+INDEX('Выход ТС'!$CJ:$CJ,MATCH($H23&amp;"",'Выход ТС'!$A:$A,0))-INDEX('Выход ТС'!$CG:$CG,MATCH($H23&amp;"",'Выход ТС'!$A:$A,0))-INDEX('Выход ТС'!$CH:$CH,MATCH($H23&amp;"",'Выход ТС'!$A:$A,0)),"")</f>
        <v>0</v>
      </c>
      <c r="AU23" s="57" t="n">
        <f aca="false">IFERROR(INDEX('Выход ТС'!$CM:$CM,MATCH($H23&amp;"",'Выход ТС'!$A:$A,0))+INDEX('Выход ТС'!$CN:$CN,MATCH($H23&amp;"",'Выход ТС'!$A:$A,0))-INDEX('Выход ТС'!$CK:$CK,MATCH($H23&amp;"",'Выход ТС'!$A:$A,0))-INDEX('Выход ТС'!$CL:$CL,MATCH($H23&amp;"",'Выход ТС'!$A:$A,0)),"")</f>
        <v>0</v>
      </c>
    </row>
    <row r="24" customFormat="false" ht="25.5" hidden="false" customHeight="true" outlineLevel="0" collapsed="false">
      <c r="A24" s="47" t="n">
        <v>20</v>
      </c>
      <c r="B24" s="32" t="s">
        <v>209</v>
      </c>
      <c r="C24" s="33" t="s">
        <v>22</v>
      </c>
      <c r="D24" s="34"/>
      <c r="E24" s="33" t="s">
        <v>210</v>
      </c>
      <c r="F24" s="33" t="s">
        <v>21</v>
      </c>
      <c r="G24" s="69"/>
      <c r="H24" s="80"/>
      <c r="I24" s="81"/>
      <c r="J24" s="82"/>
      <c r="K24" s="83"/>
      <c r="L24" s="84"/>
      <c r="M24" s="85"/>
      <c r="N24" s="85"/>
      <c r="O24" s="86"/>
      <c r="P24" s="87"/>
      <c r="Q24" s="86"/>
      <c r="R24" s="88"/>
      <c r="S24" s="87"/>
      <c r="T24" s="86"/>
      <c r="U24" s="87"/>
      <c r="V24" s="86"/>
      <c r="W24" s="87"/>
      <c r="X24" s="87"/>
      <c r="Y24" s="89"/>
      <c r="Z24" s="86"/>
      <c r="AA24" s="87"/>
      <c r="AB24" s="87"/>
      <c r="AC24" s="86"/>
      <c r="AD24" s="87"/>
    </row>
    <row r="25" customFormat="false" ht="25.5" hidden="false" customHeight="true" outlineLevel="0" collapsed="false">
      <c r="A25" s="47" t="n">
        <v>21</v>
      </c>
      <c r="B25" s="32" t="s">
        <v>211</v>
      </c>
      <c r="C25" s="33" t="s">
        <v>22</v>
      </c>
      <c r="D25" s="34"/>
      <c r="E25" s="33" t="s">
        <v>212</v>
      </c>
      <c r="F25" s="33" t="s">
        <v>21</v>
      </c>
      <c r="G25" s="69"/>
      <c r="H25" s="90" t="s">
        <v>213</v>
      </c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</row>
    <row r="26" customFormat="false" ht="25.5" hidden="false" customHeight="true" outlineLevel="0" collapsed="false">
      <c r="A26" s="47" t="n">
        <v>22</v>
      </c>
      <c r="B26" s="32" t="s">
        <v>214</v>
      </c>
      <c r="C26" s="33" t="s">
        <v>22</v>
      </c>
      <c r="D26" s="34"/>
      <c r="E26" s="33" t="s">
        <v>215</v>
      </c>
      <c r="F26" s="33" t="s">
        <v>21</v>
      </c>
      <c r="G26" s="69"/>
      <c r="H26" s="22" t="n">
        <v>1</v>
      </c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</row>
    <row r="27" customFormat="false" ht="25.5" hidden="false" customHeight="true" outlineLevel="0" collapsed="false">
      <c r="A27" s="47" t="n">
        <v>23</v>
      </c>
      <c r="B27" s="32" t="s">
        <v>216</v>
      </c>
      <c r="C27" s="33" t="s">
        <v>22</v>
      </c>
      <c r="D27" s="34"/>
      <c r="E27" s="33" t="s">
        <v>217</v>
      </c>
      <c r="F27" s="33" t="s">
        <v>22</v>
      </c>
      <c r="G27" s="69"/>
      <c r="H27" s="36" t="n">
        <v>2</v>
      </c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</row>
    <row r="28" customFormat="false" ht="25.5" hidden="false" customHeight="true" outlineLevel="0" collapsed="false">
      <c r="A28" s="47" t="n">
        <v>24</v>
      </c>
      <c r="B28" s="32" t="s">
        <v>218</v>
      </c>
      <c r="C28" s="33" t="s">
        <v>22</v>
      </c>
      <c r="D28" s="59"/>
      <c r="E28" s="33" t="s">
        <v>219</v>
      </c>
      <c r="F28" s="33" t="s">
        <v>22</v>
      </c>
      <c r="G28" s="69"/>
      <c r="H28" s="36" t="n">
        <v>3</v>
      </c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</row>
    <row r="29" customFormat="false" ht="25.5" hidden="false" customHeight="true" outlineLevel="0" collapsed="false">
      <c r="A29" s="47" t="n">
        <v>25</v>
      </c>
      <c r="B29" s="93"/>
      <c r="C29" s="34"/>
      <c r="D29" s="34"/>
      <c r="E29" s="33" t="s">
        <v>220</v>
      </c>
      <c r="F29" s="33" t="s">
        <v>22</v>
      </c>
      <c r="G29" s="69"/>
      <c r="H29" s="36" t="n">
        <v>4</v>
      </c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</row>
    <row r="30" customFormat="false" ht="25.5" hidden="false" customHeight="true" outlineLevel="0" collapsed="false">
      <c r="A30" s="47" t="n">
        <v>26</v>
      </c>
      <c r="B30" s="95" t="s">
        <v>173</v>
      </c>
      <c r="C30" s="70"/>
      <c r="D30" s="34"/>
      <c r="E30" s="33" t="s">
        <v>221</v>
      </c>
      <c r="F30" s="33" t="s">
        <v>22</v>
      </c>
      <c r="G30" s="69"/>
      <c r="H30" s="36" t="n">
        <v>5</v>
      </c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</row>
    <row r="31" customFormat="false" ht="25.5" hidden="false" customHeight="true" outlineLevel="0" collapsed="false">
      <c r="A31" s="47" t="n">
        <v>27</v>
      </c>
      <c r="B31" s="93" t="s">
        <v>222</v>
      </c>
      <c r="C31" s="34" t="s">
        <v>8</v>
      </c>
      <c r="D31" s="34"/>
      <c r="E31" s="33" t="s">
        <v>223</v>
      </c>
      <c r="F31" s="33" t="s">
        <v>22</v>
      </c>
      <c r="G31" s="69"/>
      <c r="H31" s="36" t="n">
        <v>6</v>
      </c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</row>
    <row r="32" customFormat="false" ht="25.5" hidden="false" customHeight="true" outlineLevel="0" collapsed="false">
      <c r="A32" s="47" t="n">
        <v>28</v>
      </c>
      <c r="B32" s="93" t="s">
        <v>224</v>
      </c>
      <c r="C32" s="34" t="s">
        <v>9</v>
      </c>
      <c r="D32" s="34"/>
      <c r="E32" s="33" t="s">
        <v>225</v>
      </c>
      <c r="F32" s="33" t="s">
        <v>22</v>
      </c>
      <c r="G32" s="69"/>
      <c r="H32" s="36" t="n">
        <v>7</v>
      </c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</row>
    <row r="33" customFormat="false" ht="25.5" hidden="false" customHeight="true" outlineLevel="0" collapsed="false">
      <c r="A33" s="47" t="n">
        <v>29</v>
      </c>
      <c r="B33" s="93" t="s">
        <v>226</v>
      </c>
      <c r="C33" s="34" t="s">
        <v>10</v>
      </c>
      <c r="D33" s="34"/>
      <c r="E33" s="34"/>
      <c r="F33" s="34"/>
      <c r="G33" s="69"/>
      <c r="H33" s="36" t="n">
        <v>8</v>
      </c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</row>
    <row r="34" customFormat="false" ht="25.5" hidden="false" customHeight="true" outlineLevel="0" collapsed="false">
      <c r="A34" s="47" t="n">
        <v>30</v>
      </c>
      <c r="B34" s="93" t="s">
        <v>227</v>
      </c>
      <c r="C34" s="34" t="s">
        <v>10</v>
      </c>
      <c r="D34" s="34"/>
      <c r="E34" s="70" t="s">
        <v>191</v>
      </c>
      <c r="F34" s="70"/>
      <c r="G34" s="69"/>
      <c r="H34" s="36" t="n">
        <v>9</v>
      </c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</row>
    <row r="35" customFormat="false" ht="25.5" hidden="false" customHeight="true" outlineLevel="0" collapsed="false">
      <c r="A35" s="47" t="n">
        <v>31</v>
      </c>
      <c r="B35" s="93" t="s">
        <v>228</v>
      </c>
      <c r="C35" s="34" t="s">
        <v>12</v>
      </c>
      <c r="D35" s="34"/>
      <c r="E35" s="34" t="s">
        <v>229</v>
      </c>
      <c r="F35" s="34" t="s">
        <v>8</v>
      </c>
      <c r="G35" s="69"/>
      <c r="H35" s="36" t="n">
        <v>10</v>
      </c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</row>
    <row r="36" customFormat="false" ht="25.5" hidden="false" customHeight="true" outlineLevel="0" collapsed="false">
      <c r="A36" s="47" t="n">
        <v>32</v>
      </c>
      <c r="B36" s="93" t="s">
        <v>230</v>
      </c>
      <c r="C36" s="34" t="s">
        <v>14</v>
      </c>
      <c r="D36" s="34"/>
      <c r="E36" s="34" t="s">
        <v>231</v>
      </c>
      <c r="F36" s="34" t="s">
        <v>9</v>
      </c>
      <c r="G36" s="69"/>
      <c r="H36" s="36" t="n">
        <v>11</v>
      </c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</row>
    <row r="37" customFormat="false" ht="25.5" hidden="false" customHeight="true" outlineLevel="0" collapsed="false">
      <c r="A37" s="47" t="n">
        <v>33</v>
      </c>
      <c r="B37" s="93" t="s">
        <v>232</v>
      </c>
      <c r="C37" s="34" t="s">
        <v>14</v>
      </c>
      <c r="D37" s="34"/>
      <c r="E37" s="34" t="s">
        <v>233</v>
      </c>
      <c r="F37" s="34" t="s">
        <v>10</v>
      </c>
      <c r="G37" s="69"/>
      <c r="H37" s="36" t="n">
        <v>12</v>
      </c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</row>
    <row r="38" customFormat="false" ht="25.5" hidden="false" customHeight="true" outlineLevel="0" collapsed="false">
      <c r="A38" s="47" t="n">
        <v>34</v>
      </c>
      <c r="B38" s="93" t="s">
        <v>234</v>
      </c>
      <c r="C38" s="34" t="s">
        <v>15</v>
      </c>
      <c r="D38" s="34"/>
      <c r="E38" s="34" t="s">
        <v>235</v>
      </c>
      <c r="F38" s="34" t="s">
        <v>12</v>
      </c>
      <c r="G38" s="69"/>
      <c r="H38" s="36" t="n">
        <v>13</v>
      </c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</row>
    <row r="39" customFormat="false" ht="25.5" hidden="false" customHeight="true" outlineLevel="0" collapsed="false">
      <c r="A39" s="47" t="n">
        <v>35</v>
      </c>
      <c r="B39" s="93"/>
      <c r="C39" s="34"/>
      <c r="D39" s="34"/>
      <c r="E39" s="34" t="s">
        <v>236</v>
      </c>
      <c r="F39" s="96" t="s">
        <v>13</v>
      </c>
      <c r="G39" s="69"/>
      <c r="H39" s="36" t="n">
        <v>14</v>
      </c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</row>
    <row r="40" customFormat="false" ht="25.5" hidden="false" customHeight="true" outlineLevel="0" collapsed="false">
      <c r="A40" s="47" t="n">
        <v>36</v>
      </c>
      <c r="B40" s="95" t="s">
        <v>178</v>
      </c>
      <c r="C40" s="70"/>
      <c r="D40" s="34"/>
      <c r="E40" s="34" t="s">
        <v>237</v>
      </c>
      <c r="F40" s="96" t="s">
        <v>15</v>
      </c>
      <c r="G40" s="69"/>
      <c r="H40" s="36" t="n">
        <v>15</v>
      </c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</row>
    <row r="41" customFormat="false" ht="25.5" hidden="false" customHeight="true" outlineLevel="0" collapsed="false">
      <c r="A41" s="47" t="n">
        <v>37</v>
      </c>
      <c r="B41" s="32" t="s">
        <v>238</v>
      </c>
      <c r="C41" s="33" t="s">
        <v>8</v>
      </c>
      <c r="D41" s="34"/>
      <c r="E41" s="34" t="s">
        <v>239</v>
      </c>
      <c r="F41" s="34" t="s">
        <v>17</v>
      </c>
      <c r="G41" s="69"/>
      <c r="H41" s="36" t="n">
        <v>16</v>
      </c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</row>
    <row r="42" customFormat="false" ht="25.5" hidden="false" customHeight="true" outlineLevel="0" collapsed="false">
      <c r="A42" s="47" t="n">
        <v>38</v>
      </c>
      <c r="B42" s="32" t="s">
        <v>240</v>
      </c>
      <c r="C42" s="33" t="s">
        <v>8</v>
      </c>
      <c r="D42" s="34"/>
      <c r="E42" s="34" t="s">
        <v>241</v>
      </c>
      <c r="F42" s="34" t="s">
        <v>18</v>
      </c>
      <c r="G42" s="69"/>
      <c r="H42" s="36" t="n">
        <v>17</v>
      </c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</row>
    <row r="43" customFormat="false" ht="25.5" hidden="false" customHeight="true" outlineLevel="0" collapsed="false">
      <c r="A43" s="47" t="n">
        <v>39</v>
      </c>
      <c r="B43" s="32" t="s">
        <v>242</v>
      </c>
      <c r="C43" s="33" t="s">
        <v>8</v>
      </c>
      <c r="D43" s="34"/>
      <c r="E43" s="34" t="s">
        <v>243</v>
      </c>
      <c r="F43" s="34" t="s">
        <v>21</v>
      </c>
      <c r="G43" s="69"/>
      <c r="H43" s="36" t="n">
        <v>18</v>
      </c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</row>
    <row r="44" customFormat="false" ht="25.5" hidden="false" customHeight="true" outlineLevel="0" collapsed="false">
      <c r="A44" s="47" t="n">
        <v>40</v>
      </c>
      <c r="B44" s="32" t="s">
        <v>244</v>
      </c>
      <c r="C44" s="33" t="s">
        <v>8</v>
      </c>
      <c r="D44" s="34"/>
      <c r="E44" s="34" t="s">
        <v>245</v>
      </c>
      <c r="F44" s="34" t="s">
        <v>21</v>
      </c>
      <c r="G44" s="69"/>
      <c r="H44" s="36" t="n">
        <v>19</v>
      </c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</row>
    <row r="45" customFormat="false" ht="25.5" hidden="false" customHeight="true" outlineLevel="0" collapsed="false">
      <c r="A45" s="47" t="n">
        <v>41</v>
      </c>
      <c r="B45" s="32" t="s">
        <v>246</v>
      </c>
      <c r="C45" s="33" t="s">
        <v>9</v>
      </c>
      <c r="D45" s="34"/>
      <c r="E45" s="34" t="s">
        <v>247</v>
      </c>
      <c r="F45" s="34" t="s">
        <v>21</v>
      </c>
      <c r="G45" s="69"/>
      <c r="H45" s="36" t="n">
        <v>20</v>
      </c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</row>
    <row r="46" customFormat="false" ht="25.5" hidden="false" customHeight="true" outlineLevel="0" collapsed="false">
      <c r="A46" s="47" t="n">
        <v>42</v>
      </c>
      <c r="B46" s="32" t="s">
        <v>248</v>
      </c>
      <c r="C46" s="33" t="s">
        <v>10</v>
      </c>
      <c r="D46" s="34"/>
      <c r="E46" s="34" t="s">
        <v>249</v>
      </c>
      <c r="F46" s="34" t="s">
        <v>21</v>
      </c>
      <c r="G46" s="69"/>
      <c r="H46" s="98" t="n">
        <v>21</v>
      </c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</row>
    <row r="47" customFormat="false" ht="25.5" hidden="false" customHeight="true" outlineLevel="0" collapsed="false">
      <c r="A47" s="47" t="n">
        <v>43</v>
      </c>
      <c r="B47" s="32" t="s">
        <v>250</v>
      </c>
      <c r="C47" s="33" t="s">
        <v>10</v>
      </c>
      <c r="D47" s="34"/>
      <c r="E47" s="34" t="s">
        <v>251</v>
      </c>
      <c r="F47" s="34" t="s">
        <v>21</v>
      </c>
      <c r="G47" s="100"/>
      <c r="H47" s="101" t="n">
        <v>1</v>
      </c>
      <c r="I47" s="20"/>
      <c r="J47" s="20"/>
      <c r="K47" s="20"/>
      <c r="L47" s="20"/>
      <c r="M47" s="20"/>
      <c r="N47" s="20"/>
      <c r="O47" s="19" t="s">
        <v>252</v>
      </c>
      <c r="P47" s="19"/>
      <c r="Q47" s="20"/>
      <c r="R47" s="19" t="s">
        <v>252</v>
      </c>
      <c r="S47" s="19"/>
      <c r="T47" s="20"/>
      <c r="U47" s="19" t="s">
        <v>253</v>
      </c>
      <c r="V47" s="19"/>
      <c r="W47" s="20"/>
      <c r="X47" s="19" t="s">
        <v>253</v>
      </c>
      <c r="Y47" s="19"/>
      <c r="Z47" s="20"/>
      <c r="AA47" s="19" t="s">
        <v>66</v>
      </c>
      <c r="AB47" s="19"/>
      <c r="AC47" s="20"/>
      <c r="AD47" s="102"/>
    </row>
    <row r="48" customFormat="false" ht="25.5" hidden="false" customHeight="true" outlineLevel="0" collapsed="false">
      <c r="A48" s="47" t="n">
        <v>44</v>
      </c>
      <c r="B48" s="32" t="s">
        <v>254</v>
      </c>
      <c r="C48" s="33" t="s">
        <v>10</v>
      </c>
      <c r="D48" s="34"/>
      <c r="E48" s="34" t="s">
        <v>255</v>
      </c>
      <c r="F48" s="34" t="s">
        <v>21</v>
      </c>
      <c r="G48" s="100"/>
      <c r="H48" s="71" t="n">
        <v>2</v>
      </c>
      <c r="I48" s="34"/>
      <c r="J48" s="34"/>
      <c r="K48" s="34"/>
      <c r="L48" s="34"/>
      <c r="M48" s="34"/>
      <c r="N48" s="34"/>
      <c r="O48" s="33" t="s">
        <v>256</v>
      </c>
      <c r="P48" s="33" t="s">
        <v>10</v>
      </c>
      <c r="Q48" s="34"/>
      <c r="R48" s="33" t="s">
        <v>257</v>
      </c>
      <c r="S48" s="33" t="s">
        <v>22</v>
      </c>
      <c r="T48" s="34"/>
      <c r="U48" s="34" t="s">
        <v>258</v>
      </c>
      <c r="V48" s="34" t="s">
        <v>10</v>
      </c>
      <c r="W48" s="34"/>
      <c r="X48" s="34" t="s">
        <v>259</v>
      </c>
      <c r="Y48" s="34" t="s">
        <v>21</v>
      </c>
      <c r="Z48" s="34"/>
      <c r="AA48" s="33" t="s">
        <v>260</v>
      </c>
      <c r="AB48" s="33" t="s">
        <v>14</v>
      </c>
      <c r="AC48" s="34"/>
      <c r="AD48" s="69"/>
    </row>
    <row r="49" customFormat="false" ht="25.5" hidden="false" customHeight="true" outlineLevel="0" collapsed="false">
      <c r="A49" s="47" t="n">
        <v>45</v>
      </c>
      <c r="B49" s="32" t="s">
        <v>261</v>
      </c>
      <c r="C49" s="33" t="s">
        <v>16</v>
      </c>
      <c r="D49" s="34"/>
      <c r="E49" s="34" t="s">
        <v>262</v>
      </c>
      <c r="F49" s="34" t="s">
        <v>22</v>
      </c>
      <c r="G49" s="100"/>
      <c r="H49" s="71" t="n">
        <v>3</v>
      </c>
      <c r="I49" s="34"/>
      <c r="J49" s="34"/>
      <c r="K49" s="34"/>
      <c r="L49" s="34"/>
      <c r="M49" s="34"/>
      <c r="N49" s="34"/>
      <c r="O49" s="33" t="s">
        <v>263</v>
      </c>
      <c r="P49" s="33" t="s">
        <v>10</v>
      </c>
      <c r="Q49" s="34"/>
      <c r="R49" s="33" t="s">
        <v>264</v>
      </c>
      <c r="S49" s="33" t="s">
        <v>22</v>
      </c>
      <c r="T49" s="34"/>
      <c r="U49" s="34" t="s">
        <v>265</v>
      </c>
      <c r="V49" s="34" t="s">
        <v>10</v>
      </c>
      <c r="W49" s="34"/>
      <c r="X49" s="34" t="s">
        <v>266</v>
      </c>
      <c r="Y49" s="34" t="s">
        <v>21</v>
      </c>
      <c r="Z49" s="34"/>
      <c r="AA49" s="33" t="s">
        <v>267</v>
      </c>
      <c r="AB49" s="33" t="s">
        <v>14</v>
      </c>
      <c r="AC49" s="34"/>
      <c r="AD49" s="69"/>
    </row>
    <row r="50" customFormat="false" ht="25.5" hidden="false" customHeight="true" outlineLevel="0" collapsed="false">
      <c r="A50" s="47" t="n">
        <v>46</v>
      </c>
      <c r="B50" s="32" t="s">
        <v>268</v>
      </c>
      <c r="C50" s="33" t="s">
        <v>21</v>
      </c>
      <c r="D50" s="34"/>
      <c r="E50" s="34" t="s">
        <v>269</v>
      </c>
      <c r="F50" s="34" t="s">
        <v>22</v>
      </c>
      <c r="G50" s="100"/>
      <c r="H50" s="71" t="n">
        <v>4</v>
      </c>
      <c r="I50" s="34"/>
      <c r="J50" s="34"/>
      <c r="K50" s="34"/>
      <c r="L50" s="34"/>
      <c r="M50" s="34"/>
      <c r="N50" s="34"/>
      <c r="O50" s="33" t="s">
        <v>270</v>
      </c>
      <c r="P50" s="33" t="s">
        <v>10</v>
      </c>
      <c r="Q50" s="34"/>
      <c r="R50" s="33" t="s">
        <v>271</v>
      </c>
      <c r="S50" s="33" t="s">
        <v>22</v>
      </c>
      <c r="T50" s="103"/>
      <c r="U50" s="34" t="s">
        <v>272</v>
      </c>
      <c r="V50" s="34" t="s">
        <v>10</v>
      </c>
      <c r="W50" s="34"/>
      <c r="X50" s="34" t="s">
        <v>273</v>
      </c>
      <c r="Y50" s="34" t="s">
        <v>21</v>
      </c>
      <c r="Z50" s="34"/>
      <c r="AA50" s="34"/>
      <c r="AB50" s="34"/>
      <c r="AC50" s="34"/>
      <c r="AD50" s="69"/>
    </row>
    <row r="51" customFormat="false" ht="25.5" hidden="false" customHeight="true" outlineLevel="0" collapsed="false">
      <c r="A51" s="47" t="n">
        <v>47</v>
      </c>
      <c r="B51" s="32" t="s">
        <v>274</v>
      </c>
      <c r="C51" s="33" t="s">
        <v>21</v>
      </c>
      <c r="D51" s="34"/>
      <c r="E51" s="34" t="s">
        <v>275</v>
      </c>
      <c r="F51" s="34" t="s">
        <v>22</v>
      </c>
      <c r="G51" s="100"/>
      <c r="H51" s="71" t="n">
        <v>5</v>
      </c>
      <c r="I51" s="34"/>
      <c r="J51" s="34"/>
      <c r="K51" s="34"/>
      <c r="L51" s="34"/>
      <c r="M51" s="34"/>
      <c r="N51" s="34"/>
      <c r="O51" s="33" t="s">
        <v>276</v>
      </c>
      <c r="P51" s="33" t="s">
        <v>10</v>
      </c>
      <c r="Q51" s="34"/>
      <c r="R51" s="33" t="s">
        <v>277</v>
      </c>
      <c r="S51" s="33" t="s">
        <v>22</v>
      </c>
      <c r="T51" s="34"/>
      <c r="U51" s="34" t="s">
        <v>278</v>
      </c>
      <c r="V51" s="34" t="s">
        <v>10</v>
      </c>
      <c r="W51" s="34"/>
      <c r="X51" s="34" t="s">
        <v>279</v>
      </c>
      <c r="Y51" s="34" t="s">
        <v>21</v>
      </c>
      <c r="Z51" s="34"/>
      <c r="AA51" s="70" t="s">
        <v>208</v>
      </c>
      <c r="AB51" s="70"/>
      <c r="AC51" s="34"/>
      <c r="AD51" s="69"/>
    </row>
    <row r="52" customFormat="false" ht="25.5" hidden="false" customHeight="true" outlineLevel="0" collapsed="false">
      <c r="A52" s="47" t="n">
        <v>48</v>
      </c>
      <c r="B52" s="32" t="s">
        <v>280</v>
      </c>
      <c r="C52" s="33" t="s">
        <v>22</v>
      </c>
      <c r="D52" s="34"/>
      <c r="E52" s="34" t="s">
        <v>281</v>
      </c>
      <c r="F52" s="34" t="s">
        <v>22</v>
      </c>
      <c r="G52" s="100"/>
      <c r="H52" s="71" t="n">
        <v>6</v>
      </c>
      <c r="I52" s="34"/>
      <c r="J52" s="34"/>
      <c r="K52" s="34"/>
      <c r="L52" s="34"/>
      <c r="M52" s="34"/>
      <c r="N52" s="34"/>
      <c r="O52" s="33" t="s">
        <v>282</v>
      </c>
      <c r="P52" s="33" t="s">
        <v>10</v>
      </c>
      <c r="Q52" s="34"/>
      <c r="R52" s="33" t="s">
        <v>283</v>
      </c>
      <c r="S52" s="33" t="s">
        <v>22</v>
      </c>
      <c r="T52" s="34"/>
      <c r="U52" s="34" t="s">
        <v>284</v>
      </c>
      <c r="V52" s="34" t="s">
        <v>10</v>
      </c>
      <c r="W52" s="34"/>
      <c r="X52" s="34" t="s">
        <v>285</v>
      </c>
      <c r="Y52" s="34" t="s">
        <v>21</v>
      </c>
      <c r="Z52" s="34"/>
      <c r="AA52" s="34" t="s">
        <v>286</v>
      </c>
      <c r="AB52" s="34" t="s">
        <v>12</v>
      </c>
      <c r="AC52" s="34"/>
      <c r="AD52" s="69"/>
    </row>
    <row r="53" customFormat="false" ht="25.5" hidden="false" customHeight="true" outlineLevel="0" collapsed="false">
      <c r="A53" s="47" t="n">
        <v>49</v>
      </c>
      <c r="B53" s="93"/>
      <c r="C53" s="34"/>
      <c r="D53" s="34"/>
      <c r="E53" s="34" t="s">
        <v>287</v>
      </c>
      <c r="F53" s="34" t="s">
        <v>22</v>
      </c>
      <c r="G53" s="100"/>
      <c r="H53" s="71" t="n">
        <v>7</v>
      </c>
      <c r="I53" s="34"/>
      <c r="J53" s="34"/>
      <c r="K53" s="34"/>
      <c r="L53" s="34"/>
      <c r="M53" s="34"/>
      <c r="N53" s="34"/>
      <c r="O53" s="33" t="s">
        <v>288</v>
      </c>
      <c r="P53" s="33" t="s">
        <v>10</v>
      </c>
      <c r="Q53" s="34"/>
      <c r="R53" s="33" t="s">
        <v>289</v>
      </c>
      <c r="S53" s="33" t="s">
        <v>22</v>
      </c>
      <c r="T53" s="34"/>
      <c r="U53" s="34" t="s">
        <v>290</v>
      </c>
      <c r="V53" s="34" t="s">
        <v>10</v>
      </c>
      <c r="W53" s="34"/>
      <c r="X53" s="34" t="s">
        <v>291</v>
      </c>
      <c r="Y53" s="34" t="s">
        <v>21</v>
      </c>
      <c r="Z53" s="34"/>
      <c r="AA53" s="34" t="s">
        <v>292</v>
      </c>
      <c r="AB53" s="34" t="s">
        <v>14</v>
      </c>
      <c r="AC53" s="34"/>
      <c r="AD53" s="69"/>
    </row>
    <row r="54" customFormat="false" ht="25.5" hidden="false" customHeight="true" outlineLevel="0" collapsed="false">
      <c r="A54" s="47" t="n">
        <v>50</v>
      </c>
      <c r="B54" s="95" t="s">
        <v>183</v>
      </c>
      <c r="C54" s="70"/>
      <c r="D54" s="34"/>
      <c r="E54" s="34"/>
      <c r="F54" s="34"/>
      <c r="G54" s="100"/>
      <c r="H54" s="71" t="n">
        <v>8</v>
      </c>
      <c r="I54" s="104"/>
      <c r="J54" s="104"/>
      <c r="K54" s="104"/>
      <c r="L54" s="104"/>
      <c r="M54" s="104"/>
      <c r="N54" s="104"/>
      <c r="O54" s="33" t="s">
        <v>293</v>
      </c>
      <c r="P54" s="33" t="s">
        <v>10</v>
      </c>
      <c r="Q54" s="34"/>
      <c r="R54" s="33" t="s">
        <v>294</v>
      </c>
      <c r="S54" s="33" t="s">
        <v>22</v>
      </c>
      <c r="T54" s="34"/>
      <c r="U54" s="34" t="s">
        <v>295</v>
      </c>
      <c r="V54" s="34" t="s">
        <v>10</v>
      </c>
      <c r="W54" s="34"/>
      <c r="X54" s="34" t="s">
        <v>296</v>
      </c>
      <c r="Y54" s="34" t="s">
        <v>21</v>
      </c>
      <c r="Z54" s="34"/>
      <c r="AA54" s="34" t="s">
        <v>297</v>
      </c>
      <c r="AB54" s="34" t="s">
        <v>17</v>
      </c>
      <c r="AC54" s="34"/>
      <c r="AD54" s="69"/>
    </row>
    <row r="55" customFormat="false" ht="25.5" hidden="false" customHeight="true" outlineLevel="0" collapsed="false">
      <c r="A55" s="47" t="n">
        <v>51</v>
      </c>
      <c r="B55" s="93" t="s">
        <v>298</v>
      </c>
      <c r="C55" s="34" t="s">
        <v>8</v>
      </c>
      <c r="D55" s="34"/>
      <c r="E55" s="70" t="s">
        <v>62</v>
      </c>
      <c r="F55" s="70"/>
      <c r="G55" s="100"/>
      <c r="H55" s="71" t="n">
        <v>9</v>
      </c>
      <c r="I55" s="34"/>
      <c r="J55" s="34"/>
      <c r="K55" s="34"/>
      <c r="L55" s="34"/>
      <c r="M55" s="34"/>
      <c r="N55" s="34"/>
      <c r="O55" s="33" t="s">
        <v>299</v>
      </c>
      <c r="P55" s="33" t="s">
        <v>19</v>
      </c>
      <c r="Q55" s="34"/>
      <c r="R55" s="33" t="s">
        <v>300</v>
      </c>
      <c r="S55" s="33" t="s">
        <v>22</v>
      </c>
      <c r="T55" s="34"/>
      <c r="U55" s="34" t="s">
        <v>301</v>
      </c>
      <c r="V55" s="34" t="s">
        <v>10</v>
      </c>
      <c r="W55" s="34"/>
      <c r="X55" s="34" t="s">
        <v>302</v>
      </c>
      <c r="Y55" s="34" t="s">
        <v>21</v>
      </c>
      <c r="Z55" s="34"/>
      <c r="AA55" s="34" t="s">
        <v>303</v>
      </c>
      <c r="AB55" s="34" t="s">
        <v>19</v>
      </c>
      <c r="AC55" s="34"/>
      <c r="AD55" s="69"/>
    </row>
    <row r="56" customFormat="false" ht="25.5" hidden="false" customHeight="true" outlineLevel="0" collapsed="false">
      <c r="A56" s="47" t="n">
        <v>52</v>
      </c>
      <c r="B56" s="93" t="s">
        <v>304</v>
      </c>
      <c r="C56" s="34" t="s">
        <v>9</v>
      </c>
      <c r="D56" s="34"/>
      <c r="E56" s="33" t="s">
        <v>305</v>
      </c>
      <c r="F56" s="33" t="s">
        <v>8</v>
      </c>
      <c r="G56" s="100"/>
      <c r="H56" s="71" t="n">
        <v>10</v>
      </c>
      <c r="I56" s="34"/>
      <c r="J56" s="34"/>
      <c r="K56" s="34"/>
      <c r="L56" s="34"/>
      <c r="M56" s="34"/>
      <c r="N56" s="34"/>
      <c r="O56" s="33" t="s">
        <v>306</v>
      </c>
      <c r="P56" s="33" t="s">
        <v>21</v>
      </c>
      <c r="Q56" s="34"/>
      <c r="R56" s="33" t="s">
        <v>307</v>
      </c>
      <c r="S56" s="33" t="s">
        <v>22</v>
      </c>
      <c r="T56" s="34"/>
      <c r="U56" s="34" t="s">
        <v>308</v>
      </c>
      <c r="V56" s="34" t="s">
        <v>10</v>
      </c>
      <c r="W56" s="34"/>
      <c r="X56" s="34" t="s">
        <v>309</v>
      </c>
      <c r="Y56" s="34" t="s">
        <v>22</v>
      </c>
      <c r="Z56" s="34"/>
      <c r="AA56" s="34" t="s">
        <v>310</v>
      </c>
      <c r="AB56" s="34" t="s">
        <v>20</v>
      </c>
      <c r="AC56" s="34"/>
      <c r="AD56" s="69"/>
    </row>
    <row r="57" customFormat="false" ht="25.5" hidden="false" customHeight="true" outlineLevel="0" collapsed="false">
      <c r="A57" s="47" t="n">
        <v>53</v>
      </c>
      <c r="B57" s="93" t="s">
        <v>311</v>
      </c>
      <c r="C57" s="34" t="s">
        <v>10</v>
      </c>
      <c r="D57" s="34"/>
      <c r="E57" s="33" t="s">
        <v>312</v>
      </c>
      <c r="F57" s="105" t="s">
        <v>8</v>
      </c>
      <c r="G57" s="100"/>
      <c r="H57" s="71" t="n">
        <v>11</v>
      </c>
      <c r="I57" s="34"/>
      <c r="J57" s="34"/>
      <c r="K57" s="34"/>
      <c r="L57" s="34"/>
      <c r="M57" s="34"/>
      <c r="N57" s="34"/>
      <c r="O57" s="33" t="s">
        <v>313</v>
      </c>
      <c r="P57" s="33" t="s">
        <v>21</v>
      </c>
      <c r="Q57" s="34"/>
      <c r="R57" s="34"/>
      <c r="S57" s="34"/>
      <c r="T57" s="34"/>
      <c r="U57" s="34" t="s">
        <v>314</v>
      </c>
      <c r="V57" s="34" t="s">
        <v>10</v>
      </c>
      <c r="W57" s="34"/>
      <c r="X57" s="34" t="s">
        <v>315</v>
      </c>
      <c r="Y57" s="34" t="s">
        <v>22</v>
      </c>
      <c r="Z57" s="34"/>
      <c r="AA57" s="34" t="s">
        <v>316</v>
      </c>
      <c r="AB57" s="34" t="s">
        <v>20</v>
      </c>
      <c r="AC57" s="34"/>
      <c r="AD57" s="69"/>
    </row>
    <row r="58" customFormat="false" ht="25.5" hidden="false" customHeight="true" outlineLevel="0" collapsed="false">
      <c r="A58" s="47" t="n">
        <v>54</v>
      </c>
      <c r="B58" s="93" t="s">
        <v>317</v>
      </c>
      <c r="C58" s="34" t="s">
        <v>10</v>
      </c>
      <c r="D58" s="34"/>
      <c r="E58" s="33" t="s">
        <v>318</v>
      </c>
      <c r="F58" s="105" t="s">
        <v>8</v>
      </c>
      <c r="G58" s="100"/>
      <c r="H58" s="71" t="n">
        <v>12</v>
      </c>
      <c r="I58" s="34"/>
      <c r="J58" s="34"/>
      <c r="K58" s="34"/>
      <c r="L58" s="34"/>
      <c r="M58" s="34"/>
      <c r="N58" s="34"/>
      <c r="O58" s="33" t="s">
        <v>319</v>
      </c>
      <c r="P58" s="33" t="s">
        <v>21</v>
      </c>
      <c r="Q58" s="34"/>
      <c r="R58" s="70" t="s">
        <v>64</v>
      </c>
      <c r="S58" s="70"/>
      <c r="T58" s="34"/>
      <c r="U58" s="34" t="s">
        <v>320</v>
      </c>
      <c r="V58" s="34" t="s">
        <v>10</v>
      </c>
      <c r="W58" s="34"/>
      <c r="X58" s="34" t="s">
        <v>321</v>
      </c>
      <c r="Y58" s="34" t="s">
        <v>22</v>
      </c>
      <c r="Z58" s="34"/>
      <c r="AA58" s="34" t="s">
        <v>322</v>
      </c>
      <c r="AB58" s="34" t="s">
        <v>21</v>
      </c>
      <c r="AC58" s="34"/>
      <c r="AD58" s="69"/>
    </row>
    <row r="59" customFormat="false" ht="25.5" hidden="false" customHeight="true" outlineLevel="0" collapsed="false">
      <c r="A59" s="47" t="n">
        <v>55</v>
      </c>
      <c r="B59" s="93" t="s">
        <v>323</v>
      </c>
      <c r="C59" s="34" t="s">
        <v>11</v>
      </c>
      <c r="D59" s="34"/>
      <c r="E59" s="33" t="s">
        <v>324</v>
      </c>
      <c r="F59" s="33" t="s">
        <v>8</v>
      </c>
      <c r="G59" s="100"/>
      <c r="H59" s="71" t="n">
        <v>13</v>
      </c>
      <c r="I59" s="34"/>
      <c r="J59" s="34"/>
      <c r="K59" s="34"/>
      <c r="L59" s="34"/>
      <c r="M59" s="34"/>
      <c r="N59" s="34"/>
      <c r="O59" s="33" t="s">
        <v>325</v>
      </c>
      <c r="P59" s="33" t="s">
        <v>21</v>
      </c>
      <c r="Q59" s="34"/>
      <c r="R59" s="34" t="s">
        <v>326</v>
      </c>
      <c r="S59" s="34" t="s">
        <v>8</v>
      </c>
      <c r="T59" s="34"/>
      <c r="U59" s="34" t="s">
        <v>327</v>
      </c>
      <c r="V59" s="34" t="s">
        <v>10</v>
      </c>
      <c r="W59" s="34"/>
      <c r="X59" s="34" t="s">
        <v>328</v>
      </c>
      <c r="Y59" s="34" t="s">
        <v>22</v>
      </c>
      <c r="Z59" s="34"/>
      <c r="AA59" s="34" t="s">
        <v>329</v>
      </c>
      <c r="AB59" s="34" t="s">
        <v>21</v>
      </c>
      <c r="AC59" s="34"/>
      <c r="AD59" s="69"/>
    </row>
    <row r="60" customFormat="false" ht="25.5" hidden="false" customHeight="true" outlineLevel="0" collapsed="false">
      <c r="A60" s="47" t="n">
        <v>56</v>
      </c>
      <c r="B60" s="93" t="s">
        <v>330</v>
      </c>
      <c r="C60" s="34" t="s">
        <v>13</v>
      </c>
      <c r="D60" s="34"/>
      <c r="E60" s="33" t="s">
        <v>331</v>
      </c>
      <c r="F60" s="33" t="s">
        <v>8</v>
      </c>
      <c r="G60" s="100"/>
      <c r="H60" s="71" t="n">
        <v>14</v>
      </c>
      <c r="I60" s="34"/>
      <c r="J60" s="34"/>
      <c r="K60" s="34"/>
      <c r="L60" s="34"/>
      <c r="M60" s="34"/>
      <c r="N60" s="34"/>
      <c r="O60" s="33" t="s">
        <v>332</v>
      </c>
      <c r="P60" s="33" t="s">
        <v>21</v>
      </c>
      <c r="Q60" s="34"/>
      <c r="R60" s="34" t="s">
        <v>333</v>
      </c>
      <c r="S60" s="34" t="s">
        <v>8</v>
      </c>
      <c r="T60" s="34"/>
      <c r="U60" s="34" t="s">
        <v>334</v>
      </c>
      <c r="V60" s="34" t="s">
        <v>10</v>
      </c>
      <c r="W60" s="34"/>
      <c r="X60" s="34" t="s">
        <v>335</v>
      </c>
      <c r="Y60" s="103" t="s">
        <v>22</v>
      </c>
      <c r="Z60" s="103"/>
      <c r="AA60" s="103" t="s">
        <v>336</v>
      </c>
      <c r="AB60" s="103" t="s">
        <v>21</v>
      </c>
      <c r="AC60" s="103"/>
      <c r="AD60" s="69"/>
    </row>
    <row r="61" customFormat="false" ht="25.5" hidden="false" customHeight="true" outlineLevel="0" collapsed="false">
      <c r="A61" s="47" t="n">
        <v>57</v>
      </c>
      <c r="B61" s="93" t="s">
        <v>337</v>
      </c>
      <c r="C61" s="34" t="s">
        <v>15</v>
      </c>
      <c r="D61" s="34"/>
      <c r="E61" s="33" t="s">
        <v>338</v>
      </c>
      <c r="F61" s="33" t="s">
        <v>10</v>
      </c>
      <c r="G61" s="100"/>
      <c r="H61" s="71" t="n">
        <v>15</v>
      </c>
      <c r="I61" s="34"/>
      <c r="J61" s="34"/>
      <c r="K61" s="34"/>
      <c r="L61" s="34"/>
      <c r="M61" s="34"/>
      <c r="N61" s="34"/>
      <c r="O61" s="33" t="s">
        <v>339</v>
      </c>
      <c r="P61" s="33" t="s">
        <v>21</v>
      </c>
      <c r="Q61" s="34"/>
      <c r="R61" s="34" t="s">
        <v>340</v>
      </c>
      <c r="S61" s="34" t="s">
        <v>8</v>
      </c>
      <c r="T61" s="34"/>
      <c r="U61" s="34" t="s">
        <v>341</v>
      </c>
      <c r="V61" s="34" t="s">
        <v>14</v>
      </c>
      <c r="W61" s="34"/>
      <c r="X61" s="103" t="s">
        <v>342</v>
      </c>
      <c r="Y61" s="103" t="s">
        <v>22</v>
      </c>
      <c r="Z61" s="103"/>
      <c r="AA61" s="103" t="s">
        <v>343</v>
      </c>
      <c r="AB61" s="103" t="s">
        <v>27</v>
      </c>
      <c r="AC61" s="103"/>
      <c r="AD61" s="69"/>
    </row>
    <row r="62" customFormat="false" ht="25.5" hidden="false" customHeight="true" outlineLevel="0" collapsed="false">
      <c r="A62" s="47" t="n">
        <v>58</v>
      </c>
      <c r="B62" s="93" t="s">
        <v>344</v>
      </c>
      <c r="C62" s="34" t="s">
        <v>16</v>
      </c>
      <c r="D62" s="34"/>
      <c r="E62" s="33" t="s">
        <v>345</v>
      </c>
      <c r="F62" s="33" t="s">
        <v>10</v>
      </c>
      <c r="G62" s="100"/>
      <c r="H62" s="71" t="n">
        <v>16</v>
      </c>
      <c r="I62" s="34"/>
      <c r="J62" s="34"/>
      <c r="K62" s="34"/>
      <c r="L62" s="34"/>
      <c r="M62" s="34"/>
      <c r="N62" s="34"/>
      <c r="O62" s="33" t="s">
        <v>346</v>
      </c>
      <c r="P62" s="33" t="s">
        <v>21</v>
      </c>
      <c r="Q62" s="34"/>
      <c r="R62" s="34" t="s">
        <v>279</v>
      </c>
      <c r="S62" s="34" t="s">
        <v>8</v>
      </c>
      <c r="T62" s="34"/>
      <c r="U62" s="34" t="s">
        <v>347</v>
      </c>
      <c r="V62" s="34" t="s">
        <v>14</v>
      </c>
      <c r="W62" s="34"/>
      <c r="X62" s="103" t="s">
        <v>348</v>
      </c>
      <c r="Y62" s="103" t="s">
        <v>22</v>
      </c>
      <c r="Z62" s="103"/>
      <c r="AA62" s="103" t="s">
        <v>349</v>
      </c>
      <c r="AB62" s="103" t="s">
        <v>28</v>
      </c>
      <c r="AC62" s="103"/>
      <c r="AD62" s="69"/>
    </row>
    <row r="63" customFormat="false" ht="25.5" hidden="false" customHeight="true" outlineLevel="0" collapsed="false">
      <c r="A63" s="47" t="n">
        <v>59</v>
      </c>
      <c r="B63" s="93" t="s">
        <v>350</v>
      </c>
      <c r="C63" s="34" t="s">
        <v>19</v>
      </c>
      <c r="D63" s="34"/>
      <c r="E63" s="33" t="s">
        <v>351</v>
      </c>
      <c r="F63" s="33" t="s">
        <v>10</v>
      </c>
      <c r="G63" s="100"/>
      <c r="H63" s="71" t="n">
        <v>17</v>
      </c>
      <c r="I63" s="34"/>
      <c r="J63" s="34"/>
      <c r="K63" s="34"/>
      <c r="L63" s="34"/>
      <c r="M63" s="34"/>
      <c r="N63" s="34"/>
      <c r="O63" s="33" t="s">
        <v>352</v>
      </c>
      <c r="P63" s="33" t="s">
        <v>21</v>
      </c>
      <c r="Q63" s="34"/>
      <c r="R63" s="34" t="s">
        <v>353</v>
      </c>
      <c r="S63" s="34" t="s">
        <v>8</v>
      </c>
      <c r="T63" s="34"/>
      <c r="U63" s="34" t="s">
        <v>354</v>
      </c>
      <c r="V63" s="34" t="s">
        <v>14</v>
      </c>
      <c r="W63" s="34"/>
      <c r="X63" s="103" t="s">
        <v>355</v>
      </c>
      <c r="Y63" s="103" t="s">
        <v>22</v>
      </c>
      <c r="Z63" s="103"/>
      <c r="AA63" s="103" t="s">
        <v>356</v>
      </c>
      <c r="AB63" s="103" t="s">
        <v>28</v>
      </c>
      <c r="AC63" s="103"/>
      <c r="AD63" s="69"/>
    </row>
    <row r="64" customFormat="false" ht="25.5" hidden="false" customHeight="true" outlineLevel="0" collapsed="false">
      <c r="A64" s="47" t="n">
        <v>60</v>
      </c>
      <c r="B64" s="93" t="s">
        <v>357</v>
      </c>
      <c r="C64" s="34" t="s">
        <v>21</v>
      </c>
      <c r="D64" s="34"/>
      <c r="E64" s="33" t="s">
        <v>358</v>
      </c>
      <c r="F64" s="33" t="s">
        <v>10</v>
      </c>
      <c r="G64" s="100"/>
      <c r="H64" s="71" t="n">
        <v>18</v>
      </c>
      <c r="I64" s="34"/>
      <c r="J64" s="34"/>
      <c r="K64" s="34"/>
      <c r="L64" s="34"/>
      <c r="M64" s="34"/>
      <c r="N64" s="34"/>
      <c r="O64" s="33" t="s">
        <v>359</v>
      </c>
      <c r="P64" s="33" t="s">
        <v>21</v>
      </c>
      <c r="Q64" s="34"/>
      <c r="R64" s="34" t="s">
        <v>360</v>
      </c>
      <c r="S64" s="34" t="s">
        <v>8</v>
      </c>
      <c r="T64" s="34"/>
      <c r="U64" s="34" t="s">
        <v>361</v>
      </c>
      <c r="V64" s="103" t="s">
        <v>14</v>
      </c>
      <c r="W64" s="103"/>
      <c r="X64" s="103" t="s">
        <v>362</v>
      </c>
      <c r="Y64" s="103" t="s">
        <v>22</v>
      </c>
      <c r="Z64" s="103"/>
      <c r="AA64" s="103"/>
      <c r="AB64" s="103"/>
      <c r="AC64" s="103"/>
      <c r="AD64" s="69"/>
    </row>
    <row r="65" customFormat="false" ht="25.5" hidden="false" customHeight="true" outlineLevel="0" collapsed="false">
      <c r="A65" s="47" t="n">
        <v>61</v>
      </c>
      <c r="B65" s="93" t="s">
        <v>363</v>
      </c>
      <c r="C65" s="34" t="s">
        <v>21</v>
      </c>
      <c r="D65" s="34"/>
      <c r="E65" s="33" t="s">
        <v>364</v>
      </c>
      <c r="F65" s="33" t="s">
        <v>10</v>
      </c>
      <c r="G65" s="100"/>
      <c r="H65" s="71" t="n">
        <v>19</v>
      </c>
      <c r="I65" s="34"/>
      <c r="J65" s="34"/>
      <c r="K65" s="34"/>
      <c r="L65" s="34"/>
      <c r="M65" s="34"/>
      <c r="N65" s="34"/>
      <c r="O65" s="33" t="s">
        <v>365</v>
      </c>
      <c r="P65" s="33" t="s">
        <v>21</v>
      </c>
      <c r="Q65" s="34"/>
      <c r="R65" s="34" t="s">
        <v>366</v>
      </c>
      <c r="S65" s="34" t="s">
        <v>8</v>
      </c>
      <c r="T65" s="34"/>
      <c r="U65" s="34" t="s">
        <v>367</v>
      </c>
      <c r="V65" s="103" t="s">
        <v>19</v>
      </c>
      <c r="W65" s="103"/>
      <c r="X65" s="103" t="s">
        <v>368</v>
      </c>
      <c r="Y65" s="34" t="s">
        <v>22</v>
      </c>
      <c r="Z65" s="34"/>
      <c r="AA65" s="34"/>
      <c r="AB65" s="34"/>
      <c r="AC65" s="34"/>
      <c r="AD65" s="69"/>
    </row>
    <row r="66" customFormat="false" ht="25.5" hidden="false" customHeight="true" outlineLevel="0" collapsed="false">
      <c r="A66" s="47" t="n">
        <v>62</v>
      </c>
      <c r="B66" s="93" t="s">
        <v>369</v>
      </c>
      <c r="C66" s="34" t="s">
        <v>21</v>
      </c>
      <c r="D66" s="34"/>
      <c r="E66" s="33" t="s">
        <v>370</v>
      </c>
      <c r="F66" s="33" t="s">
        <v>10</v>
      </c>
      <c r="G66" s="100"/>
      <c r="H66" s="71" t="n">
        <v>20</v>
      </c>
      <c r="I66" s="34"/>
      <c r="J66" s="34"/>
      <c r="K66" s="34"/>
      <c r="L66" s="34"/>
      <c r="M66" s="34"/>
      <c r="N66" s="34"/>
      <c r="O66" s="33" t="s">
        <v>371</v>
      </c>
      <c r="P66" s="33" t="s">
        <v>21</v>
      </c>
      <c r="Q66" s="34"/>
      <c r="R66" s="34" t="s">
        <v>372</v>
      </c>
      <c r="S66" s="34" t="s">
        <v>10</v>
      </c>
      <c r="T66" s="34"/>
      <c r="U66" s="34" t="s">
        <v>373</v>
      </c>
      <c r="V66" s="103" t="s">
        <v>21</v>
      </c>
      <c r="W66" s="103"/>
      <c r="X66" s="34" t="s">
        <v>374</v>
      </c>
      <c r="Y66" s="34" t="s">
        <v>28</v>
      </c>
      <c r="Z66" s="34"/>
      <c r="AA66" s="34"/>
      <c r="AB66" s="34"/>
      <c r="AC66" s="34"/>
      <c r="AD66" s="69"/>
    </row>
    <row r="67" customFormat="false" ht="25.5" hidden="false" customHeight="true" outlineLevel="0" collapsed="false">
      <c r="A67" s="47" t="n">
        <v>63</v>
      </c>
      <c r="B67" s="93" t="s">
        <v>375</v>
      </c>
      <c r="C67" s="34" t="s">
        <v>21</v>
      </c>
      <c r="D67" s="34"/>
      <c r="E67" s="33" t="s">
        <v>376</v>
      </c>
      <c r="F67" s="105" t="s">
        <v>10</v>
      </c>
      <c r="G67" s="100"/>
      <c r="H67" s="71" t="n">
        <v>21</v>
      </c>
      <c r="I67" s="34"/>
      <c r="J67" s="34"/>
      <c r="K67" s="34"/>
      <c r="L67" s="34"/>
      <c r="M67" s="34"/>
      <c r="N67" s="34"/>
      <c r="O67" s="33" t="s">
        <v>377</v>
      </c>
      <c r="P67" s="33" t="s">
        <v>21</v>
      </c>
      <c r="Q67" s="34"/>
      <c r="R67" s="34" t="s">
        <v>378</v>
      </c>
      <c r="S67" s="34" t="s">
        <v>10</v>
      </c>
      <c r="T67" s="34"/>
      <c r="U67" s="34" t="s">
        <v>379</v>
      </c>
      <c r="V67" s="103" t="s">
        <v>21</v>
      </c>
      <c r="W67" s="103"/>
      <c r="X67" s="34" t="s">
        <v>380</v>
      </c>
      <c r="Y67" s="34" t="s">
        <v>28</v>
      </c>
      <c r="Z67" s="34"/>
      <c r="AA67" s="34"/>
      <c r="AB67" s="34"/>
      <c r="AC67" s="34"/>
      <c r="AD67" s="69"/>
    </row>
    <row r="68" customFormat="false" ht="25.5" hidden="false" customHeight="true" outlineLevel="0" collapsed="false">
      <c r="A68" s="106" t="n">
        <v>64</v>
      </c>
      <c r="B68" s="107" t="s">
        <v>381</v>
      </c>
      <c r="C68" s="108" t="s">
        <v>21</v>
      </c>
      <c r="D68" s="108"/>
      <c r="E68" s="109" t="s">
        <v>382</v>
      </c>
      <c r="F68" s="110" t="s">
        <v>10</v>
      </c>
      <c r="G68" s="111"/>
      <c r="H68" s="112" t="n">
        <v>22</v>
      </c>
      <c r="I68" s="113"/>
      <c r="J68" s="113"/>
      <c r="K68" s="113"/>
      <c r="L68" s="113"/>
      <c r="M68" s="113"/>
      <c r="N68" s="113"/>
      <c r="O68" s="110" t="s">
        <v>383</v>
      </c>
      <c r="P68" s="110" t="s">
        <v>22</v>
      </c>
      <c r="Q68" s="113"/>
      <c r="R68" s="113" t="s">
        <v>384</v>
      </c>
      <c r="S68" s="113" t="s">
        <v>10</v>
      </c>
      <c r="T68" s="113"/>
      <c r="U68" s="113" t="s">
        <v>385</v>
      </c>
      <c r="V68" s="113" t="s">
        <v>21</v>
      </c>
      <c r="W68" s="113"/>
      <c r="X68" s="113"/>
      <c r="Y68" s="113"/>
      <c r="Z68" s="113"/>
      <c r="AA68" s="113"/>
      <c r="AB68" s="113"/>
      <c r="AC68" s="113"/>
      <c r="AD68" s="114"/>
    </row>
    <row r="71" customFormat="false" ht="15" hidden="false" customHeight="false" outlineLevel="0" collapsed="false">
      <c r="B71" s="115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6" t="s">
        <v>386</v>
      </c>
      <c r="B1" s="116" t="s">
        <v>387</v>
      </c>
      <c r="C1" s="116" t="s">
        <v>388</v>
      </c>
      <c r="D1" s="116" t="s">
        <v>389</v>
      </c>
      <c r="E1" s="116" t="s">
        <v>390</v>
      </c>
      <c r="F1" s="116" t="s">
        <v>0</v>
      </c>
      <c r="G1" s="116" t="s">
        <v>1</v>
      </c>
      <c r="H1" s="116" t="s">
        <v>391</v>
      </c>
      <c r="I1" s="116" t="s">
        <v>163</v>
      </c>
      <c r="J1" s="116" t="s">
        <v>164</v>
      </c>
      <c r="K1" s="116" t="s">
        <v>392</v>
      </c>
      <c r="L1" s="116" t="s">
        <v>393</v>
      </c>
    </row>
    <row r="2" customFormat="false" ht="15" hidden="false" customHeight="false" outlineLevel="0" collapsed="false">
      <c r="A2" s="117" t="s">
        <v>394</v>
      </c>
      <c r="B2" s="117" t="s">
        <v>395</v>
      </c>
      <c r="C2" s="117" t="s">
        <v>28</v>
      </c>
      <c r="D2" s="117" t="s">
        <v>28</v>
      </c>
      <c r="E2" s="117" t="s">
        <v>396</v>
      </c>
      <c r="F2" s="118" t="s">
        <v>87</v>
      </c>
      <c r="G2" s="117" t="s">
        <v>88</v>
      </c>
      <c r="H2" s="117" t="s">
        <v>397</v>
      </c>
      <c r="I2" s="119" t="n">
        <v>1</v>
      </c>
      <c r="J2" s="119" t="n">
        <v>0</v>
      </c>
      <c r="K2" s="117"/>
      <c r="L2" s="117"/>
    </row>
    <row r="3" customFormat="false" ht="15" hidden="false" customHeight="false" outlineLevel="0" collapsed="false">
      <c r="A3" s="117" t="s">
        <v>398</v>
      </c>
      <c r="B3" s="117" t="s">
        <v>395</v>
      </c>
      <c r="C3" s="117" t="s">
        <v>28</v>
      </c>
      <c r="D3" s="117" t="s">
        <v>28</v>
      </c>
      <c r="E3" s="117" t="s">
        <v>380</v>
      </c>
      <c r="F3" s="118" t="s">
        <v>63</v>
      </c>
      <c r="G3" s="117" t="s">
        <v>64</v>
      </c>
      <c r="H3" s="117" t="s">
        <v>397</v>
      </c>
      <c r="I3" s="119" t="n">
        <v>1</v>
      </c>
      <c r="J3" s="119" t="n">
        <v>0</v>
      </c>
      <c r="K3" s="117"/>
      <c r="L3" s="117"/>
    </row>
    <row r="4" customFormat="false" ht="15" hidden="false" customHeight="false" outlineLevel="0" collapsed="false">
      <c r="A4" s="117" t="s">
        <v>399</v>
      </c>
      <c r="B4" s="117" t="s">
        <v>395</v>
      </c>
      <c r="C4" s="117" t="s">
        <v>28</v>
      </c>
      <c r="D4" s="117" t="s">
        <v>28</v>
      </c>
      <c r="E4" s="117" t="s">
        <v>374</v>
      </c>
      <c r="F4" s="118" t="s">
        <v>63</v>
      </c>
      <c r="G4" s="117" t="s">
        <v>64</v>
      </c>
      <c r="H4" s="117" t="s">
        <v>397</v>
      </c>
      <c r="I4" s="119" t="n">
        <v>0</v>
      </c>
      <c r="J4" s="119" t="n">
        <v>1</v>
      </c>
      <c r="K4" s="117" t="s">
        <v>400</v>
      </c>
      <c r="L4" s="117"/>
    </row>
    <row r="5" customFormat="false" ht="15" hidden="false" customHeight="false" outlineLevel="0" collapsed="false">
      <c r="A5" s="117" t="s">
        <v>401</v>
      </c>
      <c r="B5" s="117" t="s">
        <v>395</v>
      </c>
      <c r="C5" s="117" t="s">
        <v>402</v>
      </c>
      <c r="D5" s="117" t="s">
        <v>23</v>
      </c>
      <c r="E5" s="117" t="s">
        <v>403</v>
      </c>
      <c r="F5" s="118" t="s">
        <v>87</v>
      </c>
      <c r="G5" s="117" t="s">
        <v>88</v>
      </c>
      <c r="H5" s="117" t="s">
        <v>397</v>
      </c>
      <c r="I5" s="119" t="n">
        <v>1</v>
      </c>
      <c r="J5" s="119" t="n">
        <v>0</v>
      </c>
      <c r="K5" s="117"/>
      <c r="L5" s="117"/>
    </row>
    <row r="6" customFormat="false" ht="15" hidden="false" customHeight="false" outlineLevel="0" collapsed="false">
      <c r="A6" s="117" t="s">
        <v>404</v>
      </c>
      <c r="B6" s="117" t="s">
        <v>395</v>
      </c>
      <c r="C6" s="117" t="s">
        <v>402</v>
      </c>
      <c r="D6" s="117" t="s">
        <v>23</v>
      </c>
      <c r="E6" s="117" t="s">
        <v>405</v>
      </c>
      <c r="F6" s="118" t="s">
        <v>87</v>
      </c>
      <c r="G6" s="117" t="s">
        <v>88</v>
      </c>
      <c r="H6" s="117" t="s">
        <v>397</v>
      </c>
      <c r="I6" s="119" t="n">
        <v>1</v>
      </c>
      <c r="J6" s="119" t="n">
        <v>0</v>
      </c>
      <c r="K6" s="117"/>
      <c r="L6" s="117"/>
    </row>
    <row r="7" customFormat="false" ht="15" hidden="false" customHeight="false" outlineLevel="0" collapsed="false">
      <c r="A7" s="117" t="s">
        <v>406</v>
      </c>
      <c r="B7" s="117" t="s">
        <v>395</v>
      </c>
      <c r="C7" s="117" t="s">
        <v>402</v>
      </c>
      <c r="D7" s="117" t="s">
        <v>23</v>
      </c>
      <c r="E7" s="117" t="s">
        <v>407</v>
      </c>
      <c r="F7" s="118" t="s">
        <v>87</v>
      </c>
      <c r="G7" s="117" t="s">
        <v>88</v>
      </c>
      <c r="H7" s="117" t="s">
        <v>397</v>
      </c>
      <c r="I7" s="119" t="n">
        <v>1</v>
      </c>
      <c r="J7" s="119" t="n">
        <v>0</v>
      </c>
      <c r="K7" s="117"/>
      <c r="L7" s="117"/>
    </row>
    <row r="8" customFormat="false" ht="15" hidden="false" customHeight="false" outlineLevel="0" collapsed="false">
      <c r="A8" s="117" t="s">
        <v>408</v>
      </c>
      <c r="B8" s="117" t="s">
        <v>395</v>
      </c>
      <c r="C8" s="117" t="s">
        <v>402</v>
      </c>
      <c r="D8" s="117" t="s">
        <v>23</v>
      </c>
      <c r="E8" s="117" t="s">
        <v>409</v>
      </c>
      <c r="F8" s="118" t="s">
        <v>87</v>
      </c>
      <c r="G8" s="117" t="s">
        <v>88</v>
      </c>
      <c r="H8" s="117" t="s">
        <v>397</v>
      </c>
      <c r="I8" s="119" t="n">
        <v>1</v>
      </c>
      <c r="J8" s="119" t="n">
        <v>0</v>
      </c>
      <c r="K8" s="117"/>
      <c r="L8" s="117"/>
    </row>
    <row r="9" customFormat="false" ht="15" hidden="false" customHeight="false" outlineLevel="0" collapsed="false">
      <c r="A9" s="117" t="s">
        <v>410</v>
      </c>
      <c r="B9" s="117" t="s">
        <v>395</v>
      </c>
      <c r="C9" s="117" t="s">
        <v>402</v>
      </c>
      <c r="D9" s="117" t="s">
        <v>23</v>
      </c>
      <c r="E9" s="117" t="s">
        <v>411</v>
      </c>
      <c r="F9" s="118" t="s">
        <v>87</v>
      </c>
      <c r="G9" s="117" t="s">
        <v>88</v>
      </c>
      <c r="H9" s="117" t="s">
        <v>397</v>
      </c>
      <c r="I9" s="119" t="n">
        <v>1</v>
      </c>
      <c r="J9" s="119" t="n">
        <v>0</v>
      </c>
      <c r="K9" s="117"/>
      <c r="L9" s="117"/>
    </row>
    <row r="10" customFormat="false" ht="15" hidden="false" customHeight="false" outlineLevel="0" collapsed="false">
      <c r="A10" s="117" t="s">
        <v>412</v>
      </c>
      <c r="B10" s="117" t="s">
        <v>395</v>
      </c>
      <c r="C10" s="117" t="s">
        <v>402</v>
      </c>
      <c r="D10" s="117" t="s">
        <v>23</v>
      </c>
      <c r="E10" s="117" t="s">
        <v>413</v>
      </c>
      <c r="F10" s="118" t="s">
        <v>87</v>
      </c>
      <c r="G10" s="117" t="s">
        <v>88</v>
      </c>
      <c r="H10" s="117" t="s">
        <v>397</v>
      </c>
      <c r="I10" s="119" t="n">
        <v>1</v>
      </c>
      <c r="J10" s="119" t="n">
        <v>0</v>
      </c>
      <c r="K10" s="117"/>
      <c r="L10" s="117"/>
    </row>
    <row r="11" customFormat="false" ht="15" hidden="false" customHeight="false" outlineLevel="0" collapsed="false">
      <c r="A11" s="117" t="s">
        <v>414</v>
      </c>
      <c r="B11" s="117" t="s">
        <v>395</v>
      </c>
      <c r="C11" s="117" t="s">
        <v>402</v>
      </c>
      <c r="D11" s="117" t="s">
        <v>23</v>
      </c>
      <c r="E11" s="117" t="s">
        <v>415</v>
      </c>
      <c r="F11" s="118" t="s">
        <v>87</v>
      </c>
      <c r="G11" s="117" t="s">
        <v>88</v>
      </c>
      <c r="H11" s="117" t="s">
        <v>397</v>
      </c>
      <c r="I11" s="119" t="n">
        <v>0</v>
      </c>
      <c r="J11" s="119" t="n">
        <v>1</v>
      </c>
      <c r="K11" s="117" t="s">
        <v>400</v>
      </c>
      <c r="L11" s="117"/>
    </row>
    <row r="12" customFormat="false" ht="15" hidden="false" customHeight="false" outlineLevel="0" collapsed="false">
      <c r="A12" s="117" t="s">
        <v>416</v>
      </c>
      <c r="B12" s="117" t="s">
        <v>395</v>
      </c>
      <c r="C12" s="117" t="s">
        <v>417</v>
      </c>
      <c r="D12" s="117" t="s">
        <v>33</v>
      </c>
      <c r="E12" s="117" t="s">
        <v>418</v>
      </c>
      <c r="F12" s="118" t="s">
        <v>87</v>
      </c>
      <c r="G12" s="117" t="s">
        <v>88</v>
      </c>
      <c r="H12" s="117" t="s">
        <v>397</v>
      </c>
      <c r="I12" s="119" t="n">
        <v>1</v>
      </c>
      <c r="J12" s="119" t="n">
        <v>0</v>
      </c>
      <c r="K12" s="117"/>
      <c r="L12" s="117"/>
    </row>
    <row r="13" customFormat="false" ht="15" hidden="false" customHeight="false" outlineLevel="0" collapsed="false">
      <c r="A13" s="117" t="s">
        <v>419</v>
      </c>
      <c r="B13" s="117" t="s">
        <v>395</v>
      </c>
      <c r="C13" s="117" t="s">
        <v>420</v>
      </c>
      <c r="D13" s="117" t="s">
        <v>14</v>
      </c>
      <c r="E13" s="117" t="s">
        <v>347</v>
      </c>
      <c r="F13" s="118" t="s">
        <v>63</v>
      </c>
      <c r="G13" s="117" t="s">
        <v>64</v>
      </c>
      <c r="H13" s="117" t="s">
        <v>397</v>
      </c>
      <c r="I13" s="119" t="n">
        <v>1</v>
      </c>
      <c r="J13" s="119" t="n">
        <v>0</v>
      </c>
      <c r="K13" s="117"/>
      <c r="L13" s="117"/>
    </row>
    <row r="14" customFormat="false" ht="15" hidden="false" customHeight="false" outlineLevel="0" collapsed="false">
      <c r="A14" s="117" t="s">
        <v>421</v>
      </c>
      <c r="B14" s="117" t="s">
        <v>395</v>
      </c>
      <c r="C14" s="117" t="s">
        <v>420</v>
      </c>
      <c r="D14" s="117" t="s">
        <v>14</v>
      </c>
      <c r="E14" s="117" t="s">
        <v>354</v>
      </c>
      <c r="F14" s="118" t="s">
        <v>63</v>
      </c>
      <c r="G14" s="117" t="s">
        <v>64</v>
      </c>
      <c r="H14" s="117" t="s">
        <v>397</v>
      </c>
      <c r="I14" s="119" t="n">
        <v>1</v>
      </c>
      <c r="J14" s="119" t="n">
        <v>0</v>
      </c>
      <c r="K14" s="117"/>
      <c r="L14" s="117"/>
    </row>
    <row r="15" customFormat="false" ht="15" hidden="false" customHeight="false" outlineLevel="0" collapsed="false">
      <c r="A15" s="117" t="s">
        <v>422</v>
      </c>
      <c r="B15" s="117" t="s">
        <v>395</v>
      </c>
      <c r="C15" s="117" t="s">
        <v>420</v>
      </c>
      <c r="D15" s="117" t="s">
        <v>14</v>
      </c>
      <c r="E15" s="117" t="s">
        <v>361</v>
      </c>
      <c r="F15" s="118" t="s">
        <v>63</v>
      </c>
      <c r="G15" s="117" t="s">
        <v>64</v>
      </c>
      <c r="H15" s="117" t="s">
        <v>397</v>
      </c>
      <c r="I15" s="119" t="n">
        <v>1</v>
      </c>
      <c r="J15" s="119" t="n">
        <v>0</v>
      </c>
      <c r="K15" s="117"/>
      <c r="L15" s="117"/>
    </row>
    <row r="16" customFormat="false" ht="15" hidden="false" customHeight="false" outlineLevel="0" collapsed="false">
      <c r="A16" s="117" t="s">
        <v>423</v>
      </c>
      <c r="B16" s="117" t="s">
        <v>395</v>
      </c>
      <c r="C16" s="117" t="s">
        <v>420</v>
      </c>
      <c r="D16" s="117" t="s">
        <v>14</v>
      </c>
      <c r="E16" s="117" t="s">
        <v>341</v>
      </c>
      <c r="F16" s="118" t="s">
        <v>63</v>
      </c>
      <c r="G16" s="117" t="s">
        <v>64</v>
      </c>
      <c r="H16" s="117" t="s">
        <v>397</v>
      </c>
      <c r="I16" s="119" t="n">
        <v>0</v>
      </c>
      <c r="J16" s="119" t="n">
        <v>1</v>
      </c>
      <c r="K16" s="117" t="s">
        <v>400</v>
      </c>
      <c r="L16" s="117"/>
    </row>
    <row r="17" customFormat="false" ht="15" hidden="false" customHeight="false" outlineLevel="0" collapsed="false">
      <c r="A17" s="117" t="s">
        <v>424</v>
      </c>
      <c r="B17" s="117" t="s">
        <v>395</v>
      </c>
      <c r="C17" s="117" t="s">
        <v>420</v>
      </c>
      <c r="D17" s="117" t="s">
        <v>14</v>
      </c>
      <c r="E17" s="117" t="s">
        <v>425</v>
      </c>
      <c r="F17" s="118" t="s">
        <v>103</v>
      </c>
      <c r="G17" s="117" t="s">
        <v>104</v>
      </c>
      <c r="H17" s="117" t="s">
        <v>397</v>
      </c>
      <c r="I17" s="119" t="n">
        <v>0</v>
      </c>
      <c r="J17" s="119" t="n">
        <v>1</v>
      </c>
      <c r="K17" s="117" t="s">
        <v>400</v>
      </c>
      <c r="L17" s="117"/>
    </row>
    <row r="18" customFormat="false" ht="15" hidden="false" customHeight="false" outlineLevel="0" collapsed="false">
      <c r="A18" s="117" t="s">
        <v>426</v>
      </c>
      <c r="B18" s="117" t="s">
        <v>395</v>
      </c>
      <c r="C18" s="117" t="s">
        <v>427</v>
      </c>
      <c r="D18" s="117" t="s">
        <v>36</v>
      </c>
      <c r="E18" s="117" t="s">
        <v>428</v>
      </c>
      <c r="F18" s="118" t="s">
        <v>87</v>
      </c>
      <c r="G18" s="117" t="s">
        <v>88</v>
      </c>
      <c r="H18" s="117" t="s">
        <v>397</v>
      </c>
      <c r="I18" s="119" t="n">
        <v>1</v>
      </c>
      <c r="J18" s="119" t="n">
        <v>0</v>
      </c>
      <c r="K18" s="117"/>
      <c r="L18" s="117"/>
    </row>
    <row r="19" customFormat="false" ht="15" hidden="false" customHeight="false" outlineLevel="0" collapsed="false">
      <c r="A19" s="117" t="s">
        <v>429</v>
      </c>
      <c r="B19" s="117" t="s">
        <v>395</v>
      </c>
      <c r="C19" s="117" t="s">
        <v>430</v>
      </c>
      <c r="D19" s="117" t="s">
        <v>15</v>
      </c>
      <c r="E19" s="117" t="s">
        <v>431</v>
      </c>
      <c r="F19" s="118" t="s">
        <v>87</v>
      </c>
      <c r="G19" s="117" t="s">
        <v>88</v>
      </c>
      <c r="H19" s="117" t="s">
        <v>397</v>
      </c>
      <c r="I19" s="119" t="n">
        <v>1</v>
      </c>
      <c r="J19" s="119" t="n">
        <v>0</v>
      </c>
      <c r="K19" s="117"/>
      <c r="L19" s="117"/>
    </row>
    <row r="20" customFormat="false" ht="15" hidden="false" customHeight="false" outlineLevel="0" collapsed="false">
      <c r="A20" s="117" t="s">
        <v>432</v>
      </c>
      <c r="B20" s="117" t="s">
        <v>395</v>
      </c>
      <c r="C20" s="117" t="s">
        <v>26</v>
      </c>
      <c r="D20" s="117" t="s">
        <v>26</v>
      </c>
      <c r="E20" s="117" t="s">
        <v>433</v>
      </c>
      <c r="F20" s="118" t="s">
        <v>87</v>
      </c>
      <c r="G20" s="117" t="s">
        <v>88</v>
      </c>
      <c r="H20" s="117" t="s">
        <v>397</v>
      </c>
      <c r="I20" s="119" t="n">
        <v>1</v>
      </c>
      <c r="J20" s="119" t="n">
        <v>0</v>
      </c>
      <c r="K20" s="117"/>
      <c r="L20" s="117"/>
    </row>
    <row r="21" customFormat="false" ht="15" hidden="false" customHeight="false" outlineLevel="0" collapsed="false">
      <c r="A21" s="117" t="s">
        <v>434</v>
      </c>
      <c r="B21" s="117" t="s">
        <v>395</v>
      </c>
      <c r="C21" s="117" t="s">
        <v>435</v>
      </c>
      <c r="D21" s="117" t="s">
        <v>8</v>
      </c>
      <c r="E21" s="117" t="s">
        <v>436</v>
      </c>
      <c r="F21" s="118" t="s">
        <v>87</v>
      </c>
      <c r="G21" s="117" t="s">
        <v>88</v>
      </c>
      <c r="H21" s="117" t="s">
        <v>397</v>
      </c>
      <c r="I21" s="119" t="n">
        <v>1</v>
      </c>
      <c r="J21" s="119" t="n">
        <v>0</v>
      </c>
      <c r="K21" s="117"/>
      <c r="L21" s="117"/>
    </row>
    <row r="22" customFormat="false" ht="15" hidden="false" customHeight="false" outlineLevel="0" collapsed="false">
      <c r="A22" s="117" t="s">
        <v>437</v>
      </c>
      <c r="B22" s="117" t="s">
        <v>395</v>
      </c>
      <c r="C22" s="117" t="s">
        <v>435</v>
      </c>
      <c r="D22" s="117" t="s">
        <v>8</v>
      </c>
      <c r="E22" s="117" t="s">
        <v>438</v>
      </c>
      <c r="F22" s="118" t="s">
        <v>87</v>
      </c>
      <c r="G22" s="117" t="s">
        <v>88</v>
      </c>
      <c r="H22" s="117" t="s">
        <v>397</v>
      </c>
      <c r="I22" s="119" t="n">
        <v>1</v>
      </c>
      <c r="J22" s="119" t="n">
        <v>0</v>
      </c>
      <c r="K22" s="117"/>
      <c r="L22" s="117"/>
    </row>
    <row r="23" customFormat="false" ht="15" hidden="false" customHeight="false" outlineLevel="0" collapsed="false">
      <c r="A23" s="117" t="s">
        <v>439</v>
      </c>
      <c r="B23" s="117" t="s">
        <v>395</v>
      </c>
      <c r="C23" s="117" t="s">
        <v>435</v>
      </c>
      <c r="D23" s="117" t="s">
        <v>8</v>
      </c>
      <c r="E23" s="117" t="s">
        <v>440</v>
      </c>
      <c r="F23" s="118" t="s">
        <v>103</v>
      </c>
      <c r="G23" s="117" t="s">
        <v>104</v>
      </c>
      <c r="H23" s="117" t="s">
        <v>397</v>
      </c>
      <c r="I23" s="119" t="n">
        <v>1</v>
      </c>
      <c r="J23" s="119" t="n">
        <v>0</v>
      </c>
      <c r="K23" s="117"/>
      <c r="L23" s="117"/>
    </row>
    <row r="24" customFormat="false" ht="15" hidden="false" customHeight="false" outlineLevel="0" collapsed="false">
      <c r="A24" s="117" t="s">
        <v>441</v>
      </c>
      <c r="B24" s="117" t="s">
        <v>395</v>
      </c>
      <c r="C24" s="117" t="s">
        <v>435</v>
      </c>
      <c r="D24" s="117" t="s">
        <v>8</v>
      </c>
      <c r="E24" s="117" t="s">
        <v>326</v>
      </c>
      <c r="F24" s="118" t="s">
        <v>63</v>
      </c>
      <c r="G24" s="117" t="s">
        <v>64</v>
      </c>
      <c r="H24" s="117" t="s">
        <v>397</v>
      </c>
      <c r="I24" s="119" t="n">
        <v>1</v>
      </c>
      <c r="J24" s="119" t="n">
        <v>0</v>
      </c>
      <c r="K24" s="117"/>
      <c r="L24" s="117"/>
    </row>
    <row r="25" customFormat="false" ht="15" hidden="false" customHeight="false" outlineLevel="0" collapsed="false">
      <c r="A25" s="117" t="s">
        <v>442</v>
      </c>
      <c r="B25" s="117" t="s">
        <v>395</v>
      </c>
      <c r="C25" s="117" t="s">
        <v>435</v>
      </c>
      <c r="D25" s="117" t="s">
        <v>8</v>
      </c>
      <c r="E25" s="117" t="s">
        <v>279</v>
      </c>
      <c r="F25" s="118" t="s">
        <v>63</v>
      </c>
      <c r="G25" s="117" t="s">
        <v>64</v>
      </c>
      <c r="H25" s="117" t="s">
        <v>397</v>
      </c>
      <c r="I25" s="119" t="n">
        <v>1</v>
      </c>
      <c r="J25" s="119" t="n">
        <v>0</v>
      </c>
      <c r="K25" s="117"/>
      <c r="L25" s="117"/>
    </row>
    <row r="26" customFormat="false" ht="15" hidden="false" customHeight="false" outlineLevel="0" collapsed="false">
      <c r="A26" s="117" t="s">
        <v>443</v>
      </c>
      <c r="B26" s="117" t="s">
        <v>395</v>
      </c>
      <c r="C26" s="117" t="s">
        <v>435</v>
      </c>
      <c r="D26" s="117" t="s">
        <v>8</v>
      </c>
      <c r="E26" s="117" t="s">
        <v>333</v>
      </c>
      <c r="F26" s="118" t="s">
        <v>63</v>
      </c>
      <c r="G26" s="117" t="s">
        <v>64</v>
      </c>
      <c r="H26" s="117" t="s">
        <v>397</v>
      </c>
      <c r="I26" s="119" t="n">
        <v>1</v>
      </c>
      <c r="J26" s="119" t="n">
        <v>0</v>
      </c>
      <c r="K26" s="117"/>
      <c r="L26" s="117"/>
    </row>
    <row r="27" customFormat="false" ht="15" hidden="false" customHeight="false" outlineLevel="0" collapsed="false">
      <c r="A27" s="117" t="s">
        <v>444</v>
      </c>
      <c r="B27" s="117" t="s">
        <v>395</v>
      </c>
      <c r="C27" s="117" t="s">
        <v>435</v>
      </c>
      <c r="D27" s="117" t="s">
        <v>8</v>
      </c>
      <c r="E27" s="117" t="s">
        <v>340</v>
      </c>
      <c r="F27" s="118" t="s">
        <v>63</v>
      </c>
      <c r="G27" s="117" t="s">
        <v>64</v>
      </c>
      <c r="H27" s="117" t="s">
        <v>397</v>
      </c>
      <c r="I27" s="119" t="n">
        <v>0</v>
      </c>
      <c r="J27" s="119" t="n">
        <v>1</v>
      </c>
      <c r="K27" s="117" t="s">
        <v>400</v>
      </c>
      <c r="L27" s="117"/>
    </row>
    <row r="28" customFormat="false" ht="15" hidden="false" customHeight="false" outlineLevel="0" collapsed="false">
      <c r="A28" s="117" t="s">
        <v>445</v>
      </c>
      <c r="B28" s="117" t="s">
        <v>395</v>
      </c>
      <c r="C28" s="117" t="s">
        <v>435</v>
      </c>
      <c r="D28" s="117" t="s">
        <v>8</v>
      </c>
      <c r="E28" s="117" t="s">
        <v>353</v>
      </c>
      <c r="F28" s="118" t="s">
        <v>63</v>
      </c>
      <c r="G28" s="117" t="s">
        <v>64</v>
      </c>
      <c r="H28" s="117" t="s">
        <v>397</v>
      </c>
      <c r="I28" s="119" t="n">
        <v>0</v>
      </c>
      <c r="J28" s="119" t="n">
        <v>1</v>
      </c>
      <c r="K28" s="117" t="s">
        <v>400</v>
      </c>
      <c r="L28" s="117"/>
    </row>
    <row r="29" customFormat="false" ht="15" hidden="false" customHeight="false" outlineLevel="0" collapsed="false">
      <c r="A29" s="117" t="s">
        <v>446</v>
      </c>
      <c r="B29" s="117" t="s">
        <v>395</v>
      </c>
      <c r="C29" s="117" t="s">
        <v>447</v>
      </c>
      <c r="D29" s="117" t="s">
        <v>10</v>
      </c>
      <c r="E29" s="117" t="s">
        <v>384</v>
      </c>
      <c r="F29" s="118" t="s">
        <v>63</v>
      </c>
      <c r="G29" s="117" t="s">
        <v>64</v>
      </c>
      <c r="H29" s="117" t="s">
        <v>397</v>
      </c>
      <c r="I29" s="119" t="n">
        <v>1</v>
      </c>
      <c r="J29" s="119" t="n">
        <v>0</v>
      </c>
      <c r="K29" s="117"/>
      <c r="L29" s="117"/>
    </row>
    <row r="30" customFormat="false" ht="15" hidden="false" customHeight="false" outlineLevel="0" collapsed="false">
      <c r="A30" s="117" t="s">
        <v>448</v>
      </c>
      <c r="B30" s="117" t="s">
        <v>395</v>
      </c>
      <c r="C30" s="117" t="s">
        <v>447</v>
      </c>
      <c r="D30" s="117" t="s">
        <v>10</v>
      </c>
      <c r="E30" s="117" t="s">
        <v>258</v>
      </c>
      <c r="F30" s="118" t="s">
        <v>63</v>
      </c>
      <c r="G30" s="117" t="s">
        <v>64</v>
      </c>
      <c r="H30" s="117" t="s">
        <v>397</v>
      </c>
      <c r="I30" s="119" t="n">
        <v>1</v>
      </c>
      <c r="J30" s="119" t="n">
        <v>0</v>
      </c>
      <c r="K30" s="117"/>
      <c r="L30" s="117"/>
    </row>
    <row r="31" customFormat="false" ht="15" hidden="false" customHeight="false" outlineLevel="0" collapsed="false">
      <c r="A31" s="117" t="s">
        <v>449</v>
      </c>
      <c r="B31" s="117" t="s">
        <v>395</v>
      </c>
      <c r="C31" s="117" t="s">
        <v>447</v>
      </c>
      <c r="D31" s="117" t="s">
        <v>10</v>
      </c>
      <c r="E31" s="117" t="s">
        <v>278</v>
      </c>
      <c r="F31" s="118" t="s">
        <v>63</v>
      </c>
      <c r="G31" s="117" t="s">
        <v>64</v>
      </c>
      <c r="H31" s="117" t="s">
        <v>397</v>
      </c>
      <c r="I31" s="119" t="n">
        <v>1</v>
      </c>
      <c r="J31" s="119" t="n">
        <v>0</v>
      </c>
      <c r="K31" s="117"/>
      <c r="L31" s="117"/>
    </row>
    <row r="32" customFormat="false" ht="15" hidden="false" customHeight="false" outlineLevel="0" collapsed="false">
      <c r="A32" s="117" t="s">
        <v>450</v>
      </c>
      <c r="B32" s="117" t="s">
        <v>395</v>
      </c>
      <c r="C32" s="117" t="s">
        <v>447</v>
      </c>
      <c r="D32" s="117" t="s">
        <v>10</v>
      </c>
      <c r="E32" s="117" t="s">
        <v>284</v>
      </c>
      <c r="F32" s="118" t="s">
        <v>63</v>
      </c>
      <c r="G32" s="117" t="s">
        <v>64</v>
      </c>
      <c r="H32" s="117" t="s">
        <v>397</v>
      </c>
      <c r="I32" s="119" t="n">
        <v>1</v>
      </c>
      <c r="J32" s="119" t="n">
        <v>0</v>
      </c>
      <c r="K32" s="117"/>
      <c r="L32" s="117"/>
    </row>
    <row r="33" customFormat="false" ht="15" hidden="false" customHeight="false" outlineLevel="0" collapsed="false">
      <c r="A33" s="117" t="s">
        <v>451</v>
      </c>
      <c r="B33" s="117" t="s">
        <v>395</v>
      </c>
      <c r="C33" s="117" t="s">
        <v>447</v>
      </c>
      <c r="D33" s="117" t="s">
        <v>10</v>
      </c>
      <c r="E33" s="117" t="s">
        <v>290</v>
      </c>
      <c r="F33" s="118" t="s">
        <v>63</v>
      </c>
      <c r="G33" s="117" t="s">
        <v>64</v>
      </c>
      <c r="H33" s="117" t="s">
        <v>397</v>
      </c>
      <c r="I33" s="119" t="n">
        <v>1</v>
      </c>
      <c r="J33" s="119" t="n">
        <v>0</v>
      </c>
      <c r="K33" s="117"/>
      <c r="L33" s="117"/>
    </row>
    <row r="34" customFormat="false" ht="15" hidden="false" customHeight="false" outlineLevel="0" collapsed="false">
      <c r="A34" s="117" t="s">
        <v>452</v>
      </c>
      <c r="B34" s="117" t="s">
        <v>395</v>
      </c>
      <c r="C34" s="117" t="s">
        <v>447</v>
      </c>
      <c r="D34" s="117" t="s">
        <v>10</v>
      </c>
      <c r="E34" s="117" t="s">
        <v>295</v>
      </c>
      <c r="F34" s="118" t="s">
        <v>63</v>
      </c>
      <c r="G34" s="117" t="s">
        <v>64</v>
      </c>
      <c r="H34" s="117" t="s">
        <v>397</v>
      </c>
      <c r="I34" s="119" t="n">
        <v>1</v>
      </c>
      <c r="J34" s="119" t="n">
        <v>0</v>
      </c>
      <c r="K34" s="117"/>
      <c r="L34" s="117"/>
    </row>
    <row r="35" customFormat="false" ht="15" hidden="false" customHeight="false" outlineLevel="0" collapsed="false">
      <c r="A35" s="117" t="s">
        <v>453</v>
      </c>
      <c r="B35" s="117" t="s">
        <v>395</v>
      </c>
      <c r="C35" s="117" t="s">
        <v>447</v>
      </c>
      <c r="D35" s="117" t="s">
        <v>10</v>
      </c>
      <c r="E35" s="117" t="s">
        <v>301</v>
      </c>
      <c r="F35" s="118" t="s">
        <v>63</v>
      </c>
      <c r="G35" s="117" t="s">
        <v>64</v>
      </c>
      <c r="H35" s="117" t="s">
        <v>397</v>
      </c>
      <c r="I35" s="119" t="n">
        <v>1</v>
      </c>
      <c r="J35" s="119" t="n">
        <v>0</v>
      </c>
      <c r="K35" s="117"/>
      <c r="L35" s="117"/>
    </row>
    <row r="36" customFormat="false" ht="15" hidden="false" customHeight="false" outlineLevel="0" collapsed="false">
      <c r="A36" s="117" t="s">
        <v>454</v>
      </c>
      <c r="B36" s="117" t="s">
        <v>395</v>
      </c>
      <c r="C36" s="117" t="s">
        <v>447</v>
      </c>
      <c r="D36" s="117" t="s">
        <v>10</v>
      </c>
      <c r="E36" s="117" t="s">
        <v>314</v>
      </c>
      <c r="F36" s="118" t="s">
        <v>63</v>
      </c>
      <c r="G36" s="117" t="s">
        <v>64</v>
      </c>
      <c r="H36" s="117" t="s">
        <v>397</v>
      </c>
      <c r="I36" s="119" t="n">
        <v>1</v>
      </c>
      <c r="J36" s="119" t="n">
        <v>0</v>
      </c>
      <c r="K36" s="117"/>
      <c r="L36" s="117"/>
    </row>
    <row r="37" customFormat="false" ht="15" hidden="false" customHeight="false" outlineLevel="0" collapsed="false">
      <c r="A37" s="117" t="s">
        <v>455</v>
      </c>
      <c r="B37" s="117" t="s">
        <v>395</v>
      </c>
      <c r="C37" s="117" t="s">
        <v>447</v>
      </c>
      <c r="D37" s="117" t="s">
        <v>10</v>
      </c>
      <c r="E37" s="117" t="s">
        <v>320</v>
      </c>
      <c r="F37" s="118" t="s">
        <v>63</v>
      </c>
      <c r="G37" s="117" t="s">
        <v>64</v>
      </c>
      <c r="H37" s="117" t="s">
        <v>397</v>
      </c>
      <c r="I37" s="119" t="n">
        <v>1</v>
      </c>
      <c r="J37" s="119" t="n">
        <v>0</v>
      </c>
      <c r="K37" s="117"/>
      <c r="L37" s="117"/>
    </row>
    <row r="38" customFormat="false" ht="15" hidden="false" customHeight="false" outlineLevel="0" collapsed="false">
      <c r="A38" s="117" t="s">
        <v>456</v>
      </c>
      <c r="B38" s="117" t="s">
        <v>395</v>
      </c>
      <c r="C38" s="117" t="s">
        <v>447</v>
      </c>
      <c r="D38" s="117" t="s">
        <v>10</v>
      </c>
      <c r="E38" s="117" t="s">
        <v>327</v>
      </c>
      <c r="F38" s="118" t="s">
        <v>63</v>
      </c>
      <c r="G38" s="117" t="s">
        <v>64</v>
      </c>
      <c r="H38" s="117" t="s">
        <v>397</v>
      </c>
      <c r="I38" s="119" t="n">
        <v>1</v>
      </c>
      <c r="J38" s="119" t="n">
        <v>0</v>
      </c>
      <c r="K38" s="117"/>
      <c r="L38" s="117"/>
    </row>
    <row r="39" customFormat="false" ht="15" hidden="false" customHeight="false" outlineLevel="0" collapsed="false">
      <c r="A39" s="117" t="s">
        <v>457</v>
      </c>
      <c r="B39" s="117" t="s">
        <v>395</v>
      </c>
      <c r="C39" s="117" t="s">
        <v>447</v>
      </c>
      <c r="D39" s="117" t="s">
        <v>10</v>
      </c>
      <c r="E39" s="117" t="s">
        <v>308</v>
      </c>
      <c r="F39" s="118" t="s">
        <v>63</v>
      </c>
      <c r="G39" s="117" t="s">
        <v>64</v>
      </c>
      <c r="H39" s="117" t="s">
        <v>397</v>
      </c>
      <c r="I39" s="119" t="n">
        <v>1</v>
      </c>
      <c r="J39" s="119" t="n">
        <v>0</v>
      </c>
      <c r="K39" s="117"/>
      <c r="L39" s="117"/>
    </row>
    <row r="40" customFormat="false" ht="15" hidden="false" customHeight="false" outlineLevel="0" collapsed="false">
      <c r="A40" s="117" t="s">
        <v>458</v>
      </c>
      <c r="B40" s="117" t="s">
        <v>395</v>
      </c>
      <c r="C40" s="117" t="s">
        <v>447</v>
      </c>
      <c r="D40" s="117" t="s">
        <v>10</v>
      </c>
      <c r="E40" s="117" t="s">
        <v>378</v>
      </c>
      <c r="F40" s="118" t="s">
        <v>63</v>
      </c>
      <c r="G40" s="117" t="s">
        <v>64</v>
      </c>
      <c r="H40" s="117" t="s">
        <v>397</v>
      </c>
      <c r="I40" s="119" t="n">
        <v>1</v>
      </c>
      <c r="J40" s="119" t="n">
        <v>0</v>
      </c>
      <c r="K40" s="117"/>
      <c r="L40" s="117"/>
    </row>
    <row r="41" customFormat="false" ht="15" hidden="false" customHeight="false" outlineLevel="0" collapsed="false">
      <c r="A41" s="117" t="s">
        <v>459</v>
      </c>
      <c r="B41" s="117" t="s">
        <v>395</v>
      </c>
      <c r="C41" s="117" t="s">
        <v>447</v>
      </c>
      <c r="D41" s="117" t="s">
        <v>10</v>
      </c>
      <c r="E41" s="117" t="s">
        <v>265</v>
      </c>
      <c r="F41" s="118" t="s">
        <v>63</v>
      </c>
      <c r="G41" s="117" t="s">
        <v>64</v>
      </c>
      <c r="H41" s="117" t="s">
        <v>397</v>
      </c>
      <c r="I41" s="119" t="n">
        <v>0</v>
      </c>
      <c r="J41" s="119" t="n">
        <v>1</v>
      </c>
      <c r="K41" s="117" t="s">
        <v>400</v>
      </c>
      <c r="L41" s="117"/>
    </row>
    <row r="42" customFormat="false" ht="15" hidden="false" customHeight="false" outlineLevel="0" collapsed="false">
      <c r="A42" s="117" t="s">
        <v>460</v>
      </c>
      <c r="B42" s="117" t="s">
        <v>395</v>
      </c>
      <c r="C42" s="117" t="s">
        <v>447</v>
      </c>
      <c r="D42" s="117" t="s">
        <v>10</v>
      </c>
      <c r="E42" s="117" t="s">
        <v>272</v>
      </c>
      <c r="F42" s="118" t="s">
        <v>63</v>
      </c>
      <c r="G42" s="117" t="s">
        <v>64</v>
      </c>
      <c r="H42" s="117" t="s">
        <v>397</v>
      </c>
      <c r="I42" s="119" t="n">
        <v>0</v>
      </c>
      <c r="J42" s="119" t="n">
        <v>1</v>
      </c>
      <c r="K42" s="117" t="s">
        <v>400</v>
      </c>
      <c r="L42" s="117"/>
    </row>
    <row r="43" customFormat="false" ht="15" hidden="false" customHeight="false" outlineLevel="0" collapsed="false">
      <c r="A43" s="117" t="s">
        <v>461</v>
      </c>
      <c r="B43" s="117" t="s">
        <v>395</v>
      </c>
      <c r="C43" s="117" t="s">
        <v>447</v>
      </c>
      <c r="D43" s="117" t="s">
        <v>10</v>
      </c>
      <c r="E43" s="117" t="s">
        <v>372</v>
      </c>
      <c r="F43" s="118" t="s">
        <v>63</v>
      </c>
      <c r="G43" s="117" t="s">
        <v>64</v>
      </c>
      <c r="H43" s="117" t="s">
        <v>397</v>
      </c>
      <c r="I43" s="119" t="n">
        <v>0</v>
      </c>
      <c r="J43" s="119" t="n">
        <v>1</v>
      </c>
      <c r="K43" s="117" t="s">
        <v>400</v>
      </c>
      <c r="L43" s="117"/>
    </row>
    <row r="44" customFormat="false" ht="15" hidden="false" customHeight="false" outlineLevel="0" collapsed="false">
      <c r="A44" s="117" t="s">
        <v>462</v>
      </c>
      <c r="B44" s="117" t="s">
        <v>395</v>
      </c>
      <c r="C44" s="117" t="s">
        <v>463</v>
      </c>
      <c r="D44" s="117" t="s">
        <v>21</v>
      </c>
      <c r="E44" s="117" t="s">
        <v>464</v>
      </c>
      <c r="F44" s="118" t="s">
        <v>105</v>
      </c>
      <c r="G44" s="117" t="s">
        <v>106</v>
      </c>
      <c r="H44" s="117" t="s">
        <v>397</v>
      </c>
      <c r="I44" s="119" t="n">
        <v>0</v>
      </c>
      <c r="J44" s="119" t="n">
        <v>1</v>
      </c>
      <c r="K44" s="117" t="s">
        <v>400</v>
      </c>
      <c r="L44" s="117"/>
    </row>
    <row r="45" customFormat="false" ht="15" hidden="false" customHeight="false" outlineLevel="0" collapsed="false">
      <c r="A45" s="117" t="s">
        <v>465</v>
      </c>
      <c r="B45" s="117" t="s">
        <v>395</v>
      </c>
      <c r="C45" s="117" t="s">
        <v>463</v>
      </c>
      <c r="D45" s="117" t="s">
        <v>21</v>
      </c>
      <c r="E45" s="117" t="s">
        <v>466</v>
      </c>
      <c r="F45" s="118" t="s">
        <v>87</v>
      </c>
      <c r="G45" s="117" t="s">
        <v>88</v>
      </c>
      <c r="H45" s="117" t="s">
        <v>397</v>
      </c>
      <c r="I45" s="119" t="n">
        <v>1</v>
      </c>
      <c r="J45" s="119" t="n">
        <v>0</v>
      </c>
      <c r="K45" s="117"/>
      <c r="L45" s="117"/>
    </row>
    <row r="46" customFormat="false" ht="15" hidden="false" customHeight="false" outlineLevel="0" collapsed="false">
      <c r="A46" s="117" t="s">
        <v>467</v>
      </c>
      <c r="B46" s="117" t="s">
        <v>395</v>
      </c>
      <c r="C46" s="117" t="s">
        <v>463</v>
      </c>
      <c r="D46" s="117" t="s">
        <v>21</v>
      </c>
      <c r="E46" s="117" t="s">
        <v>468</v>
      </c>
      <c r="F46" s="118" t="s">
        <v>105</v>
      </c>
      <c r="G46" s="117" t="s">
        <v>106</v>
      </c>
      <c r="H46" s="117" t="s">
        <v>397</v>
      </c>
      <c r="I46" s="119" t="n">
        <v>1</v>
      </c>
      <c r="J46" s="119" t="n">
        <v>1</v>
      </c>
      <c r="K46" s="117"/>
      <c r="L46" s="117"/>
    </row>
    <row r="47" customFormat="false" ht="15" hidden="false" customHeight="false" outlineLevel="0" collapsed="false">
      <c r="A47" s="117" t="s">
        <v>469</v>
      </c>
      <c r="B47" s="117" t="s">
        <v>395</v>
      </c>
      <c r="C47" s="117" t="s">
        <v>463</v>
      </c>
      <c r="D47" s="117" t="s">
        <v>21</v>
      </c>
      <c r="E47" s="117" t="s">
        <v>470</v>
      </c>
      <c r="F47" s="118" t="s">
        <v>87</v>
      </c>
      <c r="G47" s="117" t="s">
        <v>88</v>
      </c>
      <c r="H47" s="117" t="s">
        <v>397</v>
      </c>
      <c r="I47" s="119" t="n">
        <v>1</v>
      </c>
      <c r="J47" s="119" t="n">
        <v>0</v>
      </c>
      <c r="K47" s="117"/>
      <c r="L47" s="117"/>
    </row>
    <row r="48" customFormat="false" ht="15" hidden="false" customHeight="false" outlineLevel="0" collapsed="false">
      <c r="A48" s="117" t="s">
        <v>471</v>
      </c>
      <c r="B48" s="117" t="s">
        <v>395</v>
      </c>
      <c r="C48" s="117" t="s">
        <v>463</v>
      </c>
      <c r="D48" s="117" t="s">
        <v>21</v>
      </c>
      <c r="E48" s="117" t="s">
        <v>472</v>
      </c>
      <c r="F48" s="118" t="s">
        <v>105</v>
      </c>
      <c r="G48" s="117" t="s">
        <v>106</v>
      </c>
      <c r="H48" s="117" t="s">
        <v>397</v>
      </c>
      <c r="I48" s="119" t="n">
        <v>1</v>
      </c>
      <c r="J48" s="119" t="n">
        <v>0</v>
      </c>
      <c r="K48" s="117"/>
      <c r="L48" s="117"/>
    </row>
    <row r="49" customFormat="false" ht="15" hidden="false" customHeight="false" outlineLevel="0" collapsed="false">
      <c r="A49" s="117" t="s">
        <v>473</v>
      </c>
      <c r="B49" s="117" t="s">
        <v>395</v>
      </c>
      <c r="C49" s="117" t="s">
        <v>463</v>
      </c>
      <c r="D49" s="117" t="s">
        <v>21</v>
      </c>
      <c r="E49" s="117" t="s">
        <v>474</v>
      </c>
      <c r="F49" s="118" t="s">
        <v>87</v>
      </c>
      <c r="G49" s="117" t="s">
        <v>88</v>
      </c>
      <c r="H49" s="117" t="s">
        <v>397</v>
      </c>
      <c r="I49" s="119" t="n">
        <v>1</v>
      </c>
      <c r="J49" s="119" t="n">
        <v>0</v>
      </c>
      <c r="K49" s="117"/>
      <c r="L49" s="117"/>
    </row>
    <row r="50" customFormat="false" ht="15" hidden="false" customHeight="false" outlineLevel="0" collapsed="false">
      <c r="A50" s="117" t="s">
        <v>475</v>
      </c>
      <c r="B50" s="117" t="s">
        <v>395</v>
      </c>
      <c r="C50" s="117" t="s">
        <v>463</v>
      </c>
      <c r="D50" s="117" t="s">
        <v>21</v>
      </c>
      <c r="E50" s="117" t="s">
        <v>373</v>
      </c>
      <c r="F50" s="118" t="s">
        <v>63</v>
      </c>
      <c r="G50" s="117" t="s">
        <v>64</v>
      </c>
      <c r="H50" s="117" t="s">
        <v>397</v>
      </c>
      <c r="I50" s="119" t="n">
        <v>1</v>
      </c>
      <c r="J50" s="119" t="n">
        <v>0</v>
      </c>
      <c r="K50" s="117"/>
      <c r="L50" s="117"/>
    </row>
    <row r="51" customFormat="false" ht="15" hidden="false" customHeight="false" outlineLevel="0" collapsed="false">
      <c r="A51" s="117" t="s">
        <v>476</v>
      </c>
      <c r="B51" s="117" t="s">
        <v>395</v>
      </c>
      <c r="C51" s="117" t="s">
        <v>463</v>
      </c>
      <c r="D51" s="117" t="s">
        <v>21</v>
      </c>
      <c r="E51" s="117" t="s">
        <v>477</v>
      </c>
      <c r="F51" s="118" t="s">
        <v>87</v>
      </c>
      <c r="G51" s="117" t="s">
        <v>88</v>
      </c>
      <c r="H51" s="117" t="s">
        <v>397</v>
      </c>
      <c r="I51" s="119" t="n">
        <v>1</v>
      </c>
      <c r="J51" s="119" t="n">
        <v>0</v>
      </c>
      <c r="K51" s="117"/>
      <c r="L51" s="117"/>
    </row>
    <row r="52" customFormat="false" ht="15" hidden="false" customHeight="false" outlineLevel="0" collapsed="false">
      <c r="A52" s="117" t="s">
        <v>478</v>
      </c>
      <c r="B52" s="117" t="s">
        <v>395</v>
      </c>
      <c r="C52" s="117" t="s">
        <v>463</v>
      </c>
      <c r="D52" s="117" t="s">
        <v>21</v>
      </c>
      <c r="E52" s="117" t="s">
        <v>379</v>
      </c>
      <c r="F52" s="118" t="s">
        <v>63</v>
      </c>
      <c r="G52" s="117" t="s">
        <v>64</v>
      </c>
      <c r="H52" s="117" t="s">
        <v>397</v>
      </c>
      <c r="I52" s="119" t="n">
        <v>1</v>
      </c>
      <c r="J52" s="119" t="n">
        <v>0</v>
      </c>
      <c r="K52" s="117"/>
      <c r="L52" s="117"/>
    </row>
    <row r="53" customFormat="false" ht="15" hidden="false" customHeight="false" outlineLevel="0" collapsed="false">
      <c r="A53" s="117" t="s">
        <v>479</v>
      </c>
      <c r="B53" s="117" t="s">
        <v>395</v>
      </c>
      <c r="C53" s="117" t="s">
        <v>463</v>
      </c>
      <c r="D53" s="117" t="s">
        <v>21</v>
      </c>
      <c r="E53" s="117" t="s">
        <v>480</v>
      </c>
      <c r="F53" s="118" t="s">
        <v>87</v>
      </c>
      <c r="G53" s="117" t="s">
        <v>88</v>
      </c>
      <c r="H53" s="117" t="s">
        <v>397</v>
      </c>
      <c r="I53" s="119" t="n">
        <v>1</v>
      </c>
      <c r="J53" s="119" t="n">
        <v>0</v>
      </c>
      <c r="K53" s="117"/>
      <c r="L53" s="117"/>
    </row>
    <row r="54" customFormat="false" ht="15" hidden="false" customHeight="false" outlineLevel="0" collapsed="false">
      <c r="A54" s="117" t="s">
        <v>481</v>
      </c>
      <c r="B54" s="117" t="s">
        <v>395</v>
      </c>
      <c r="C54" s="117" t="s">
        <v>463</v>
      </c>
      <c r="D54" s="117" t="s">
        <v>21</v>
      </c>
      <c r="E54" s="117" t="s">
        <v>266</v>
      </c>
      <c r="F54" s="118" t="s">
        <v>63</v>
      </c>
      <c r="G54" s="117" t="s">
        <v>64</v>
      </c>
      <c r="H54" s="117" t="s">
        <v>397</v>
      </c>
      <c r="I54" s="119" t="n">
        <v>1</v>
      </c>
      <c r="J54" s="119" t="n">
        <v>0</v>
      </c>
      <c r="K54" s="117"/>
      <c r="L54" s="117"/>
    </row>
    <row r="55" customFormat="false" ht="15" hidden="false" customHeight="false" outlineLevel="0" collapsed="false">
      <c r="A55" s="117" t="s">
        <v>482</v>
      </c>
      <c r="B55" s="117" t="s">
        <v>395</v>
      </c>
      <c r="C55" s="117" t="s">
        <v>463</v>
      </c>
      <c r="D55" s="117" t="s">
        <v>21</v>
      </c>
      <c r="E55" s="117" t="s">
        <v>483</v>
      </c>
      <c r="F55" s="118" t="s">
        <v>87</v>
      </c>
      <c r="G55" s="117" t="s">
        <v>88</v>
      </c>
      <c r="H55" s="117" t="s">
        <v>397</v>
      </c>
      <c r="I55" s="119" t="n">
        <v>1</v>
      </c>
      <c r="J55" s="119" t="n">
        <v>0</v>
      </c>
      <c r="K55" s="117"/>
      <c r="L55" s="117"/>
    </row>
    <row r="56" customFormat="false" ht="15" hidden="false" customHeight="false" outlineLevel="0" collapsed="false">
      <c r="A56" s="117" t="s">
        <v>484</v>
      </c>
      <c r="B56" s="117" t="s">
        <v>395</v>
      </c>
      <c r="C56" s="117" t="s">
        <v>463</v>
      </c>
      <c r="D56" s="117" t="s">
        <v>21</v>
      </c>
      <c r="E56" s="117" t="s">
        <v>273</v>
      </c>
      <c r="F56" s="118" t="s">
        <v>63</v>
      </c>
      <c r="G56" s="117" t="s">
        <v>64</v>
      </c>
      <c r="H56" s="117" t="s">
        <v>397</v>
      </c>
      <c r="I56" s="119" t="n">
        <v>1</v>
      </c>
      <c r="J56" s="119" t="n">
        <v>0</v>
      </c>
      <c r="K56" s="117"/>
      <c r="L56" s="117"/>
    </row>
    <row r="57" customFormat="false" ht="15" hidden="false" customHeight="false" outlineLevel="0" collapsed="false">
      <c r="A57" s="117" t="s">
        <v>485</v>
      </c>
      <c r="B57" s="117" t="s">
        <v>395</v>
      </c>
      <c r="C57" s="117" t="s">
        <v>463</v>
      </c>
      <c r="D57" s="117" t="s">
        <v>21</v>
      </c>
      <c r="E57" s="117" t="s">
        <v>302</v>
      </c>
      <c r="F57" s="118" t="s">
        <v>63</v>
      </c>
      <c r="G57" s="117" t="s">
        <v>64</v>
      </c>
      <c r="H57" s="117" t="s">
        <v>397</v>
      </c>
      <c r="I57" s="119" t="n">
        <v>1</v>
      </c>
      <c r="J57" s="119" t="n">
        <v>1</v>
      </c>
      <c r="K57" s="117"/>
      <c r="L57" s="117"/>
    </row>
    <row r="58" customFormat="false" ht="15" hidden="false" customHeight="false" outlineLevel="0" collapsed="false">
      <c r="A58" s="117" t="s">
        <v>486</v>
      </c>
      <c r="B58" s="117" t="s">
        <v>395</v>
      </c>
      <c r="C58" s="117" t="s">
        <v>463</v>
      </c>
      <c r="D58" s="117" t="s">
        <v>21</v>
      </c>
      <c r="E58" s="117" t="s">
        <v>279</v>
      </c>
      <c r="F58" s="118" t="s">
        <v>63</v>
      </c>
      <c r="G58" s="117" t="s">
        <v>64</v>
      </c>
      <c r="H58" s="117" t="s">
        <v>397</v>
      </c>
      <c r="I58" s="119" t="n">
        <v>0</v>
      </c>
      <c r="J58" s="119" t="n">
        <v>1</v>
      </c>
      <c r="K58" s="117" t="s">
        <v>400</v>
      </c>
      <c r="L58" s="117"/>
    </row>
    <row r="59" customFormat="false" ht="15" hidden="false" customHeight="false" outlineLevel="0" collapsed="false">
      <c r="A59" s="117" t="s">
        <v>487</v>
      </c>
      <c r="B59" s="117" t="s">
        <v>395</v>
      </c>
      <c r="C59" s="117" t="s">
        <v>463</v>
      </c>
      <c r="D59" s="117" t="s">
        <v>21</v>
      </c>
      <c r="E59" s="117" t="s">
        <v>259</v>
      </c>
      <c r="F59" s="118" t="s">
        <v>63</v>
      </c>
      <c r="G59" s="117" t="s">
        <v>64</v>
      </c>
      <c r="H59" s="117" t="s">
        <v>397</v>
      </c>
      <c r="I59" s="119" t="n">
        <v>0</v>
      </c>
      <c r="J59" s="119" t="n">
        <v>1</v>
      </c>
      <c r="K59" s="117" t="s">
        <v>400</v>
      </c>
      <c r="L59" s="117"/>
    </row>
    <row r="60" customFormat="false" ht="15" hidden="false" customHeight="false" outlineLevel="0" collapsed="false">
      <c r="A60" s="117" t="s">
        <v>488</v>
      </c>
      <c r="B60" s="117" t="s">
        <v>395</v>
      </c>
      <c r="C60" s="117" t="s">
        <v>463</v>
      </c>
      <c r="D60" s="117" t="s">
        <v>21</v>
      </c>
      <c r="E60" s="117" t="s">
        <v>291</v>
      </c>
      <c r="F60" s="118" t="s">
        <v>63</v>
      </c>
      <c r="G60" s="117" t="s">
        <v>64</v>
      </c>
      <c r="H60" s="117" t="s">
        <v>397</v>
      </c>
      <c r="I60" s="119" t="n">
        <v>0</v>
      </c>
      <c r="J60" s="119" t="n">
        <v>1</v>
      </c>
      <c r="K60" s="117" t="s">
        <v>400</v>
      </c>
      <c r="L60" s="117"/>
    </row>
    <row r="61" customFormat="false" ht="15" hidden="false" customHeight="false" outlineLevel="0" collapsed="false">
      <c r="A61" s="117" t="s">
        <v>489</v>
      </c>
      <c r="B61" s="117" t="s">
        <v>395</v>
      </c>
      <c r="C61" s="117" t="s">
        <v>463</v>
      </c>
      <c r="D61" s="117" t="s">
        <v>21</v>
      </c>
      <c r="E61" s="117" t="s">
        <v>296</v>
      </c>
      <c r="F61" s="118" t="s">
        <v>63</v>
      </c>
      <c r="G61" s="117" t="s">
        <v>64</v>
      </c>
      <c r="H61" s="117" t="s">
        <v>397</v>
      </c>
      <c r="I61" s="119" t="n">
        <v>0</v>
      </c>
      <c r="J61" s="119" t="n">
        <v>1</v>
      </c>
      <c r="K61" s="117" t="s">
        <v>400</v>
      </c>
      <c r="L61" s="117"/>
    </row>
    <row r="62" customFormat="false" ht="15" hidden="false" customHeight="false" outlineLevel="0" collapsed="false">
      <c r="A62" s="117" t="s">
        <v>490</v>
      </c>
      <c r="B62" s="117" t="s">
        <v>395</v>
      </c>
      <c r="C62" s="117" t="s">
        <v>463</v>
      </c>
      <c r="D62" s="117" t="s">
        <v>21</v>
      </c>
      <c r="E62" s="117" t="s">
        <v>285</v>
      </c>
      <c r="F62" s="118" t="s">
        <v>63</v>
      </c>
      <c r="G62" s="117" t="s">
        <v>64</v>
      </c>
      <c r="H62" s="117" t="s">
        <v>397</v>
      </c>
      <c r="I62" s="119" t="n">
        <v>0</v>
      </c>
      <c r="J62" s="119" t="n">
        <v>1</v>
      </c>
      <c r="K62" s="117" t="s">
        <v>400</v>
      </c>
      <c r="L62" s="117"/>
    </row>
    <row r="63" customFormat="false" ht="15" hidden="false" customHeight="false" outlineLevel="0" collapsed="false">
      <c r="A63" s="117" t="s">
        <v>491</v>
      </c>
      <c r="B63" s="117" t="s">
        <v>395</v>
      </c>
      <c r="C63" s="117" t="s">
        <v>463</v>
      </c>
      <c r="D63" s="117" t="s">
        <v>21</v>
      </c>
      <c r="E63" s="117" t="s">
        <v>385</v>
      </c>
      <c r="F63" s="118" t="s">
        <v>63</v>
      </c>
      <c r="G63" s="117" t="s">
        <v>64</v>
      </c>
      <c r="H63" s="117" t="s">
        <v>397</v>
      </c>
      <c r="I63" s="119" t="n">
        <v>0</v>
      </c>
      <c r="J63" s="119" t="n">
        <v>1</v>
      </c>
      <c r="K63" s="117" t="s">
        <v>400</v>
      </c>
      <c r="L63" s="117"/>
    </row>
    <row r="64" customFormat="false" ht="15" hidden="false" customHeight="false" outlineLevel="0" collapsed="false">
      <c r="A64" s="117" t="s">
        <v>492</v>
      </c>
      <c r="B64" s="117" t="s">
        <v>395</v>
      </c>
      <c r="C64" s="117" t="s">
        <v>493</v>
      </c>
      <c r="D64" s="117" t="s">
        <v>22</v>
      </c>
      <c r="E64" s="117" t="s">
        <v>466</v>
      </c>
      <c r="F64" s="118" t="s">
        <v>87</v>
      </c>
      <c r="G64" s="117" t="s">
        <v>88</v>
      </c>
      <c r="H64" s="117" t="s">
        <v>397</v>
      </c>
      <c r="I64" s="119" t="n">
        <v>1</v>
      </c>
      <c r="J64" s="119" t="n">
        <v>0</v>
      </c>
      <c r="K64" s="117"/>
      <c r="L64" s="117"/>
    </row>
    <row r="65" customFormat="false" ht="15" hidden="false" customHeight="false" outlineLevel="0" collapsed="false">
      <c r="A65" s="117" t="s">
        <v>494</v>
      </c>
      <c r="B65" s="117" t="s">
        <v>395</v>
      </c>
      <c r="C65" s="117" t="s">
        <v>19</v>
      </c>
      <c r="D65" s="117" t="s">
        <v>19</v>
      </c>
      <c r="E65" s="117" t="s">
        <v>495</v>
      </c>
      <c r="F65" s="118" t="s">
        <v>87</v>
      </c>
      <c r="G65" s="117" t="s">
        <v>88</v>
      </c>
      <c r="H65" s="117" t="s">
        <v>397</v>
      </c>
      <c r="I65" s="119" t="n">
        <v>1</v>
      </c>
      <c r="J65" s="119" t="n">
        <v>0</v>
      </c>
      <c r="K65" s="117"/>
      <c r="L65" s="117"/>
    </row>
    <row r="66" customFormat="false" ht="15" hidden="false" customHeight="false" outlineLevel="0" collapsed="false">
      <c r="A66" s="117" t="s">
        <v>496</v>
      </c>
      <c r="B66" s="117" t="s">
        <v>395</v>
      </c>
      <c r="C66" s="117" t="s">
        <v>19</v>
      </c>
      <c r="D66" s="117" t="s">
        <v>19</v>
      </c>
      <c r="E66" s="117" t="s">
        <v>367</v>
      </c>
      <c r="F66" s="118" t="s">
        <v>63</v>
      </c>
      <c r="G66" s="117" t="s">
        <v>64</v>
      </c>
      <c r="H66" s="117" t="s">
        <v>397</v>
      </c>
      <c r="I66" s="119" t="n">
        <v>1</v>
      </c>
      <c r="J66" s="119" t="n">
        <v>0</v>
      </c>
      <c r="K66" s="117"/>
      <c r="L66" s="117"/>
    </row>
    <row r="67" customFormat="false" ht="15" hidden="false" customHeight="false" outlineLevel="0" collapsed="false">
      <c r="A67" s="117" t="s">
        <v>497</v>
      </c>
      <c r="B67" s="117" t="s">
        <v>395</v>
      </c>
      <c r="C67" s="117" t="s">
        <v>498</v>
      </c>
      <c r="D67" s="117" t="s">
        <v>12</v>
      </c>
      <c r="E67" s="117" t="s">
        <v>499</v>
      </c>
      <c r="F67" s="118" t="s">
        <v>87</v>
      </c>
      <c r="G67" s="117" t="s">
        <v>88</v>
      </c>
      <c r="H67" s="117" t="s">
        <v>397</v>
      </c>
      <c r="I67" s="119" t="n">
        <v>1</v>
      </c>
      <c r="J67" s="119" t="n">
        <v>0</v>
      </c>
      <c r="K67" s="117"/>
      <c r="L67" s="117"/>
    </row>
    <row r="68" customFormat="false" ht="15" hidden="false" customHeight="false" outlineLevel="0" collapsed="false">
      <c r="A68" s="117" t="s">
        <v>500</v>
      </c>
      <c r="B68" s="117" t="s">
        <v>395</v>
      </c>
      <c r="C68" s="117" t="s">
        <v>498</v>
      </c>
      <c r="D68" s="117" t="s">
        <v>12</v>
      </c>
      <c r="E68" s="117" t="s">
        <v>501</v>
      </c>
      <c r="F68" s="118" t="s">
        <v>87</v>
      </c>
      <c r="G68" s="117" t="s">
        <v>88</v>
      </c>
      <c r="H68" s="117" t="s">
        <v>397</v>
      </c>
      <c r="I68" s="119" t="n">
        <v>1</v>
      </c>
      <c r="J68" s="119" t="n">
        <v>0</v>
      </c>
      <c r="K68" s="117"/>
      <c r="L68" s="117"/>
    </row>
    <row r="69" customFormat="false" ht="15" hidden="false" customHeight="false" outlineLevel="0" collapsed="false">
      <c r="A69" s="117" t="s">
        <v>502</v>
      </c>
      <c r="B69" s="117" t="s">
        <v>395</v>
      </c>
      <c r="C69" s="117" t="s">
        <v>498</v>
      </c>
      <c r="D69" s="117" t="s">
        <v>12</v>
      </c>
      <c r="E69" s="117" t="s">
        <v>503</v>
      </c>
      <c r="F69" s="118" t="s">
        <v>87</v>
      </c>
      <c r="G69" s="117" t="s">
        <v>88</v>
      </c>
      <c r="H69" s="117" t="s">
        <v>397</v>
      </c>
      <c r="I69" s="119" t="n">
        <v>1</v>
      </c>
      <c r="J69" s="119" t="n">
        <v>0</v>
      </c>
      <c r="K69" s="117"/>
      <c r="L69" s="117"/>
    </row>
    <row r="70" customFormat="false" ht="15" hidden="false" customHeight="false" outlineLevel="0" collapsed="false">
      <c r="A70" s="117" t="s">
        <v>504</v>
      </c>
      <c r="B70" s="117" t="s">
        <v>395</v>
      </c>
      <c r="C70" s="117" t="s">
        <v>505</v>
      </c>
      <c r="D70" s="117" t="s">
        <v>13</v>
      </c>
      <c r="E70" s="117" t="s">
        <v>506</v>
      </c>
      <c r="F70" s="118" t="s">
        <v>87</v>
      </c>
      <c r="G70" s="117" t="s">
        <v>88</v>
      </c>
      <c r="H70" s="117" t="s">
        <v>397</v>
      </c>
      <c r="I70" s="119" t="n">
        <v>1</v>
      </c>
      <c r="J70" s="119" t="n">
        <v>0</v>
      </c>
      <c r="K70" s="117"/>
      <c r="L70" s="117"/>
    </row>
    <row r="71" customFormat="false" ht="15" hidden="false" customHeight="false" outlineLevel="0" collapsed="false">
      <c r="A71" s="117" t="s">
        <v>507</v>
      </c>
      <c r="B71" s="117" t="s">
        <v>395</v>
      </c>
      <c r="C71" s="117" t="s">
        <v>505</v>
      </c>
      <c r="D71" s="117" t="s">
        <v>13</v>
      </c>
      <c r="E71" s="117" t="s">
        <v>508</v>
      </c>
      <c r="F71" s="118" t="s">
        <v>87</v>
      </c>
      <c r="G71" s="117" t="s">
        <v>88</v>
      </c>
      <c r="H71" s="117" t="s">
        <v>397</v>
      </c>
      <c r="I71" s="119" t="n">
        <v>1</v>
      </c>
      <c r="J71" s="119" t="n">
        <v>0</v>
      </c>
      <c r="K71" s="117"/>
      <c r="L71" s="117"/>
    </row>
    <row r="72" customFormat="false" ht="15" hidden="false" customHeight="false" outlineLevel="0" collapsed="false">
      <c r="A72" s="117" t="s">
        <v>509</v>
      </c>
      <c r="B72" s="117" t="s">
        <v>395</v>
      </c>
      <c r="C72" s="117" t="s">
        <v>505</v>
      </c>
      <c r="D72" s="117" t="s">
        <v>13</v>
      </c>
      <c r="E72" s="117" t="s">
        <v>510</v>
      </c>
      <c r="F72" s="118" t="s">
        <v>87</v>
      </c>
      <c r="G72" s="117" t="s">
        <v>88</v>
      </c>
      <c r="H72" s="117" t="s">
        <v>397</v>
      </c>
      <c r="I72" s="119" t="n">
        <v>1</v>
      </c>
      <c r="J72" s="119" t="n">
        <v>0</v>
      </c>
      <c r="K72" s="117"/>
      <c r="L72" s="117"/>
    </row>
    <row r="73" customFormat="false" ht="15" hidden="false" customHeight="false" outlineLevel="0" collapsed="false">
      <c r="A73" s="117" t="s">
        <v>511</v>
      </c>
      <c r="B73" s="117" t="s">
        <v>512</v>
      </c>
      <c r="C73" s="117" t="s">
        <v>20</v>
      </c>
      <c r="D73" s="117" t="s">
        <v>20</v>
      </c>
      <c r="E73" s="117" t="s">
        <v>197</v>
      </c>
      <c r="F73" s="118" t="s">
        <v>57</v>
      </c>
      <c r="G73" s="117" t="s">
        <v>58</v>
      </c>
      <c r="H73" s="117" t="s">
        <v>397</v>
      </c>
      <c r="I73" s="119" t="n">
        <v>1</v>
      </c>
      <c r="J73" s="119" t="n">
        <v>0</v>
      </c>
      <c r="K73" s="117"/>
      <c r="L73" s="117"/>
    </row>
    <row r="74" customFormat="false" ht="15" hidden="false" customHeight="false" outlineLevel="0" collapsed="false">
      <c r="A74" s="117" t="s">
        <v>513</v>
      </c>
      <c r="B74" s="117" t="s">
        <v>512</v>
      </c>
      <c r="C74" s="117" t="s">
        <v>20</v>
      </c>
      <c r="D74" s="117" t="s">
        <v>20</v>
      </c>
      <c r="E74" s="117" t="s">
        <v>199</v>
      </c>
      <c r="F74" s="118" t="s">
        <v>57</v>
      </c>
      <c r="G74" s="117" t="s">
        <v>58</v>
      </c>
      <c r="H74" s="117" t="s">
        <v>397</v>
      </c>
      <c r="I74" s="119" t="n">
        <v>1</v>
      </c>
      <c r="J74" s="119" t="n">
        <v>0</v>
      </c>
      <c r="K74" s="117"/>
      <c r="L74" s="117"/>
    </row>
    <row r="75" customFormat="false" ht="15" hidden="false" customHeight="false" outlineLevel="0" collapsed="false">
      <c r="A75" s="117" t="s">
        <v>514</v>
      </c>
      <c r="B75" s="117" t="s">
        <v>512</v>
      </c>
      <c r="C75" s="117" t="s">
        <v>20</v>
      </c>
      <c r="D75" s="117" t="s">
        <v>20</v>
      </c>
      <c r="E75" s="117" t="s">
        <v>515</v>
      </c>
      <c r="F75" s="118" t="s">
        <v>67</v>
      </c>
      <c r="G75" s="117" t="s">
        <v>68</v>
      </c>
      <c r="H75" s="117" t="s">
        <v>397</v>
      </c>
      <c r="I75" s="119" t="n">
        <v>1</v>
      </c>
      <c r="J75" s="119" t="n">
        <v>0</v>
      </c>
      <c r="K75" s="117"/>
      <c r="L75" s="117"/>
    </row>
    <row r="76" customFormat="false" ht="15" hidden="false" customHeight="false" outlineLevel="0" collapsed="false">
      <c r="A76" s="117" t="s">
        <v>401</v>
      </c>
      <c r="B76" s="117" t="s">
        <v>512</v>
      </c>
      <c r="C76" s="117" t="s">
        <v>14</v>
      </c>
      <c r="D76" s="117" t="s">
        <v>14</v>
      </c>
      <c r="E76" s="117" t="s">
        <v>260</v>
      </c>
      <c r="F76" s="118" t="s">
        <v>65</v>
      </c>
      <c r="G76" s="117" t="s">
        <v>66</v>
      </c>
      <c r="H76" s="117" t="s">
        <v>397</v>
      </c>
      <c r="I76" s="119" t="n">
        <v>1</v>
      </c>
      <c r="J76" s="119" t="n">
        <v>0</v>
      </c>
      <c r="K76" s="117"/>
      <c r="L76" s="117"/>
    </row>
    <row r="77" customFormat="false" ht="15" hidden="false" customHeight="false" outlineLevel="0" collapsed="false">
      <c r="A77" s="117" t="s">
        <v>404</v>
      </c>
      <c r="B77" s="117" t="s">
        <v>512</v>
      </c>
      <c r="C77" s="117" t="s">
        <v>14</v>
      </c>
      <c r="D77" s="117" t="s">
        <v>14</v>
      </c>
      <c r="E77" s="117" t="s">
        <v>267</v>
      </c>
      <c r="F77" s="118" t="s">
        <v>65</v>
      </c>
      <c r="G77" s="117" t="s">
        <v>66</v>
      </c>
      <c r="H77" s="117" t="s">
        <v>397</v>
      </c>
      <c r="I77" s="119" t="n">
        <v>1</v>
      </c>
      <c r="J77" s="119" t="n">
        <v>0</v>
      </c>
      <c r="K77" s="117"/>
      <c r="L77" s="117"/>
    </row>
    <row r="78" customFormat="false" ht="15" hidden="false" customHeight="false" outlineLevel="0" collapsed="false">
      <c r="A78" s="117" t="s">
        <v>406</v>
      </c>
      <c r="B78" s="117" t="s">
        <v>512</v>
      </c>
      <c r="C78" s="117" t="s">
        <v>14</v>
      </c>
      <c r="D78" s="117" t="s">
        <v>14</v>
      </c>
      <c r="E78" s="117" t="s">
        <v>516</v>
      </c>
      <c r="F78" s="118" t="s">
        <v>133</v>
      </c>
      <c r="G78" s="117" t="s">
        <v>134</v>
      </c>
      <c r="H78" s="117" t="s">
        <v>397</v>
      </c>
      <c r="I78" s="119" t="n">
        <v>1</v>
      </c>
      <c r="J78" s="119" t="n">
        <v>0</v>
      </c>
      <c r="K78" s="117"/>
      <c r="L78" s="117"/>
    </row>
    <row r="79" customFormat="false" ht="15" hidden="false" customHeight="false" outlineLevel="0" collapsed="false">
      <c r="A79" s="117" t="s">
        <v>408</v>
      </c>
      <c r="B79" s="117" t="s">
        <v>512</v>
      </c>
      <c r="C79" s="117" t="s">
        <v>14</v>
      </c>
      <c r="D79" s="117" t="s">
        <v>14</v>
      </c>
      <c r="E79" s="117" t="s">
        <v>517</v>
      </c>
      <c r="F79" s="118" t="s">
        <v>133</v>
      </c>
      <c r="G79" s="117" t="s">
        <v>134</v>
      </c>
      <c r="H79" s="117" t="s">
        <v>397</v>
      </c>
      <c r="I79" s="119" t="n">
        <v>1</v>
      </c>
      <c r="J79" s="119" t="n">
        <v>0</v>
      </c>
      <c r="K79" s="117"/>
      <c r="L79" s="117"/>
    </row>
    <row r="80" customFormat="false" ht="15" hidden="false" customHeight="false" outlineLevel="0" collapsed="false">
      <c r="A80" s="117" t="s">
        <v>518</v>
      </c>
      <c r="B80" s="117" t="s">
        <v>512</v>
      </c>
      <c r="C80" s="117" t="s">
        <v>430</v>
      </c>
      <c r="D80" s="117" t="s">
        <v>15</v>
      </c>
      <c r="E80" s="117" t="s">
        <v>519</v>
      </c>
      <c r="F80" s="118" t="s">
        <v>143</v>
      </c>
      <c r="G80" s="117" t="s">
        <v>144</v>
      </c>
      <c r="H80" s="117" t="s">
        <v>397</v>
      </c>
      <c r="I80" s="119" t="n">
        <v>1</v>
      </c>
      <c r="J80" s="119" t="n">
        <v>0</v>
      </c>
      <c r="K80" s="117"/>
      <c r="L80" s="117"/>
    </row>
    <row r="81" customFormat="false" ht="15" hidden="false" customHeight="false" outlineLevel="0" collapsed="false">
      <c r="A81" s="117" t="s">
        <v>434</v>
      </c>
      <c r="B81" s="117" t="s">
        <v>512</v>
      </c>
      <c r="C81" s="117" t="s">
        <v>8</v>
      </c>
      <c r="D81" s="117" t="s">
        <v>8</v>
      </c>
      <c r="E81" s="117" t="s">
        <v>305</v>
      </c>
      <c r="F81" s="118" t="s">
        <v>61</v>
      </c>
      <c r="G81" s="117" t="s">
        <v>62</v>
      </c>
      <c r="H81" s="117" t="s">
        <v>397</v>
      </c>
      <c r="I81" s="119" t="n">
        <v>1</v>
      </c>
      <c r="J81" s="119" t="n">
        <v>0</v>
      </c>
      <c r="K81" s="117"/>
      <c r="L81" s="117"/>
    </row>
    <row r="82" customFormat="false" ht="15" hidden="false" customHeight="false" outlineLevel="0" collapsed="false">
      <c r="A82" s="117" t="s">
        <v>437</v>
      </c>
      <c r="B82" s="117" t="s">
        <v>512</v>
      </c>
      <c r="C82" s="117" t="s">
        <v>8</v>
      </c>
      <c r="D82" s="117" t="s">
        <v>8</v>
      </c>
      <c r="E82" s="117" t="s">
        <v>324</v>
      </c>
      <c r="F82" s="118" t="s">
        <v>61</v>
      </c>
      <c r="G82" s="117" t="s">
        <v>62</v>
      </c>
      <c r="H82" s="117" t="s">
        <v>397</v>
      </c>
      <c r="I82" s="119" t="n">
        <v>1</v>
      </c>
      <c r="J82" s="119" t="n">
        <v>0</v>
      </c>
      <c r="K82" s="117"/>
      <c r="L82" s="117"/>
    </row>
    <row r="83" customFormat="false" ht="15" hidden="false" customHeight="false" outlineLevel="0" collapsed="false">
      <c r="A83" s="117" t="s">
        <v>439</v>
      </c>
      <c r="B83" s="117" t="s">
        <v>512</v>
      </c>
      <c r="C83" s="117" t="s">
        <v>8</v>
      </c>
      <c r="D83" s="117" t="s">
        <v>8</v>
      </c>
      <c r="E83" s="117" t="s">
        <v>318</v>
      </c>
      <c r="F83" s="118" t="s">
        <v>61</v>
      </c>
      <c r="G83" s="117" t="s">
        <v>62</v>
      </c>
      <c r="H83" s="117" t="s">
        <v>397</v>
      </c>
      <c r="I83" s="119" t="n">
        <v>1</v>
      </c>
      <c r="J83" s="119" t="n">
        <v>0</v>
      </c>
      <c r="K83" s="117"/>
      <c r="L83" s="117"/>
    </row>
    <row r="84" customFormat="false" ht="15" hidden="false" customHeight="false" outlineLevel="0" collapsed="false">
      <c r="A84" s="117" t="s">
        <v>443</v>
      </c>
      <c r="B84" s="117" t="s">
        <v>512</v>
      </c>
      <c r="C84" s="117" t="s">
        <v>8</v>
      </c>
      <c r="D84" s="117" t="s">
        <v>8</v>
      </c>
      <c r="E84" s="117" t="s">
        <v>312</v>
      </c>
      <c r="F84" s="118" t="s">
        <v>61</v>
      </c>
      <c r="G84" s="117" t="s">
        <v>62</v>
      </c>
      <c r="H84" s="117" t="s">
        <v>397</v>
      </c>
      <c r="I84" s="119" t="n">
        <v>0</v>
      </c>
      <c r="J84" s="119" t="n">
        <v>1</v>
      </c>
      <c r="K84" s="117"/>
      <c r="L84" s="117"/>
    </row>
    <row r="85" customFormat="false" ht="15" hidden="false" customHeight="false" outlineLevel="0" collapsed="false">
      <c r="A85" s="117" t="s">
        <v>432</v>
      </c>
      <c r="B85" s="117" t="s">
        <v>512</v>
      </c>
      <c r="C85" s="117" t="s">
        <v>8</v>
      </c>
      <c r="D85" s="117" t="s">
        <v>8</v>
      </c>
      <c r="E85" s="117" t="s">
        <v>520</v>
      </c>
      <c r="F85" s="118" t="s">
        <v>67</v>
      </c>
      <c r="G85" s="117" t="s">
        <v>68</v>
      </c>
      <c r="H85" s="117" t="s">
        <v>397</v>
      </c>
      <c r="I85" s="119" t="n">
        <v>1</v>
      </c>
      <c r="J85" s="119" t="n">
        <v>0</v>
      </c>
      <c r="K85" s="117"/>
      <c r="L85" s="117"/>
    </row>
    <row r="86" customFormat="false" ht="15" hidden="false" customHeight="false" outlineLevel="0" collapsed="false">
      <c r="A86" s="117" t="s">
        <v>521</v>
      </c>
      <c r="B86" s="117" t="s">
        <v>512</v>
      </c>
      <c r="C86" s="117" t="s">
        <v>8</v>
      </c>
      <c r="D86" s="117" t="s">
        <v>8</v>
      </c>
      <c r="E86" s="117" t="s">
        <v>244</v>
      </c>
      <c r="F86" s="118" t="s">
        <v>53</v>
      </c>
      <c r="G86" s="117" t="s">
        <v>54</v>
      </c>
      <c r="H86" s="117" t="s">
        <v>397</v>
      </c>
      <c r="I86" s="119" t="n">
        <v>1</v>
      </c>
      <c r="J86" s="119" t="n">
        <v>0</v>
      </c>
      <c r="K86" s="117"/>
      <c r="L86" s="117"/>
    </row>
    <row r="87" customFormat="false" ht="15" hidden="false" customHeight="false" outlineLevel="0" collapsed="false">
      <c r="A87" s="117" t="s">
        <v>522</v>
      </c>
      <c r="B87" s="117" t="s">
        <v>512</v>
      </c>
      <c r="C87" s="117" t="s">
        <v>8</v>
      </c>
      <c r="D87" s="117" t="s">
        <v>8</v>
      </c>
      <c r="E87" s="117" t="s">
        <v>240</v>
      </c>
      <c r="F87" s="118" t="s">
        <v>53</v>
      </c>
      <c r="G87" s="117" t="s">
        <v>54</v>
      </c>
      <c r="H87" s="117" t="s">
        <v>397</v>
      </c>
      <c r="I87" s="119" t="n">
        <v>1</v>
      </c>
      <c r="J87" s="119" t="n">
        <v>0</v>
      </c>
      <c r="K87" s="117"/>
      <c r="L87" s="117"/>
    </row>
    <row r="88" customFormat="false" ht="15" hidden="false" customHeight="false" outlineLevel="0" collapsed="false">
      <c r="A88" s="117" t="s">
        <v>523</v>
      </c>
      <c r="B88" s="117" t="s">
        <v>512</v>
      </c>
      <c r="C88" s="117" t="s">
        <v>8</v>
      </c>
      <c r="D88" s="117" t="s">
        <v>8</v>
      </c>
      <c r="E88" s="117" t="s">
        <v>242</v>
      </c>
      <c r="F88" s="118" t="s">
        <v>53</v>
      </c>
      <c r="G88" s="117" t="s">
        <v>54</v>
      </c>
      <c r="H88" s="117" t="s">
        <v>397</v>
      </c>
      <c r="I88" s="119" t="n">
        <v>0</v>
      </c>
      <c r="J88" s="119" t="n">
        <v>1</v>
      </c>
      <c r="K88" s="117"/>
      <c r="L88" s="117"/>
    </row>
    <row r="89" customFormat="false" ht="15" hidden="false" customHeight="false" outlineLevel="0" collapsed="false">
      <c r="A89" s="117" t="s">
        <v>524</v>
      </c>
      <c r="B89" s="117" t="s">
        <v>512</v>
      </c>
      <c r="C89" s="117" t="s">
        <v>8</v>
      </c>
      <c r="D89" s="117" t="s">
        <v>8</v>
      </c>
      <c r="E89" s="117" t="s">
        <v>238</v>
      </c>
      <c r="F89" s="118" t="s">
        <v>53</v>
      </c>
      <c r="G89" s="117" t="s">
        <v>54</v>
      </c>
      <c r="H89" s="117" t="s">
        <v>397</v>
      </c>
      <c r="I89" s="119" t="n">
        <v>0</v>
      </c>
      <c r="J89" s="119" t="n">
        <v>1</v>
      </c>
      <c r="K89" s="117"/>
      <c r="L89" s="117"/>
    </row>
    <row r="90" customFormat="false" ht="15" hidden="false" customHeight="false" outlineLevel="0" collapsed="false">
      <c r="A90" s="117" t="s">
        <v>525</v>
      </c>
      <c r="B90" s="117" t="s">
        <v>512</v>
      </c>
      <c r="C90" s="117" t="s">
        <v>9</v>
      </c>
      <c r="D90" s="117" t="s">
        <v>9</v>
      </c>
      <c r="E90" s="117" t="s">
        <v>190</v>
      </c>
      <c r="F90" s="118" t="s">
        <v>57</v>
      </c>
      <c r="G90" s="117" t="s">
        <v>58</v>
      </c>
      <c r="H90" s="117" t="s">
        <v>397</v>
      </c>
      <c r="I90" s="119" t="n">
        <v>1</v>
      </c>
      <c r="J90" s="119" t="n">
        <v>0</v>
      </c>
      <c r="K90" s="117"/>
      <c r="L90" s="117"/>
    </row>
    <row r="91" customFormat="false" ht="15" hidden="false" customHeight="false" outlineLevel="0" collapsed="false">
      <c r="A91" s="117" t="s">
        <v>526</v>
      </c>
      <c r="B91" s="117" t="s">
        <v>512</v>
      </c>
      <c r="C91" s="117" t="s">
        <v>9</v>
      </c>
      <c r="D91" s="117" t="s">
        <v>9</v>
      </c>
      <c r="E91" s="117" t="s">
        <v>246</v>
      </c>
      <c r="F91" s="118" t="s">
        <v>53</v>
      </c>
      <c r="G91" s="117" t="s">
        <v>54</v>
      </c>
      <c r="H91" s="117" t="s">
        <v>397</v>
      </c>
      <c r="I91" s="119" t="n">
        <v>1</v>
      </c>
      <c r="J91" s="119" t="n">
        <v>0</v>
      </c>
      <c r="K91" s="117"/>
      <c r="L91" s="117"/>
    </row>
    <row r="92" customFormat="false" ht="15" hidden="false" customHeight="false" outlineLevel="0" collapsed="false">
      <c r="A92" s="117" t="s">
        <v>446</v>
      </c>
      <c r="B92" s="117" t="s">
        <v>512</v>
      </c>
      <c r="C92" s="117" t="s">
        <v>10</v>
      </c>
      <c r="D92" s="117" t="s">
        <v>10</v>
      </c>
      <c r="E92" s="117" t="s">
        <v>282</v>
      </c>
      <c r="F92" s="118" t="s">
        <v>61</v>
      </c>
      <c r="G92" s="117" t="s">
        <v>62</v>
      </c>
      <c r="H92" s="117" t="s">
        <v>397</v>
      </c>
      <c r="I92" s="119" t="n">
        <v>1</v>
      </c>
      <c r="J92" s="119" t="n">
        <v>0</v>
      </c>
      <c r="K92" s="117"/>
      <c r="L92" s="117"/>
    </row>
    <row r="93" customFormat="false" ht="15" hidden="false" customHeight="false" outlineLevel="0" collapsed="false">
      <c r="A93" s="117" t="s">
        <v>448</v>
      </c>
      <c r="B93" s="117" t="s">
        <v>512</v>
      </c>
      <c r="C93" s="117" t="s">
        <v>10</v>
      </c>
      <c r="D93" s="117" t="s">
        <v>10</v>
      </c>
      <c r="E93" s="117" t="s">
        <v>288</v>
      </c>
      <c r="F93" s="118" t="s">
        <v>61</v>
      </c>
      <c r="G93" s="117" t="s">
        <v>62</v>
      </c>
      <c r="H93" s="117" t="s">
        <v>397</v>
      </c>
      <c r="I93" s="119" t="n">
        <v>1</v>
      </c>
      <c r="J93" s="119" t="n">
        <v>0</v>
      </c>
      <c r="K93" s="117"/>
      <c r="L93" s="117"/>
    </row>
    <row r="94" customFormat="false" ht="15" hidden="false" customHeight="false" outlineLevel="0" collapsed="false">
      <c r="A94" s="117" t="s">
        <v>449</v>
      </c>
      <c r="B94" s="117" t="s">
        <v>512</v>
      </c>
      <c r="C94" s="117" t="s">
        <v>10</v>
      </c>
      <c r="D94" s="117" t="s">
        <v>10</v>
      </c>
      <c r="E94" s="117" t="s">
        <v>270</v>
      </c>
      <c r="F94" s="118" t="s">
        <v>61</v>
      </c>
      <c r="G94" s="117" t="s">
        <v>62</v>
      </c>
      <c r="H94" s="117" t="s">
        <v>397</v>
      </c>
      <c r="I94" s="119" t="n">
        <v>1</v>
      </c>
      <c r="J94" s="119" t="n">
        <v>0</v>
      </c>
      <c r="K94" s="117"/>
      <c r="L94" s="117"/>
    </row>
    <row r="95" customFormat="false" ht="15" hidden="false" customHeight="false" outlineLevel="0" collapsed="false">
      <c r="A95" s="117" t="s">
        <v>450</v>
      </c>
      <c r="B95" s="117" t="s">
        <v>512</v>
      </c>
      <c r="C95" s="117" t="s">
        <v>10</v>
      </c>
      <c r="D95" s="117" t="s">
        <v>10</v>
      </c>
      <c r="E95" s="117" t="s">
        <v>370</v>
      </c>
      <c r="F95" s="118" t="s">
        <v>61</v>
      </c>
      <c r="G95" s="117" t="s">
        <v>62</v>
      </c>
      <c r="H95" s="117" t="s">
        <v>397</v>
      </c>
      <c r="I95" s="119" t="n">
        <v>1</v>
      </c>
      <c r="J95" s="119" t="n">
        <v>0</v>
      </c>
      <c r="K95" s="117"/>
      <c r="L95" s="117"/>
    </row>
    <row r="96" customFormat="false" ht="15" hidden="false" customHeight="false" outlineLevel="0" collapsed="false">
      <c r="A96" s="117" t="s">
        <v>451</v>
      </c>
      <c r="B96" s="117" t="s">
        <v>512</v>
      </c>
      <c r="C96" s="117" t="s">
        <v>10</v>
      </c>
      <c r="D96" s="117" t="s">
        <v>10</v>
      </c>
      <c r="E96" s="117" t="s">
        <v>293</v>
      </c>
      <c r="F96" s="118" t="s">
        <v>61</v>
      </c>
      <c r="G96" s="117" t="s">
        <v>62</v>
      </c>
      <c r="H96" s="117" t="s">
        <v>397</v>
      </c>
      <c r="I96" s="119" t="n">
        <v>1</v>
      </c>
      <c r="J96" s="119" t="n">
        <v>0</v>
      </c>
      <c r="K96" s="117"/>
      <c r="L96" s="117"/>
    </row>
    <row r="97" customFormat="false" ht="15" hidden="false" customHeight="false" outlineLevel="0" collapsed="false">
      <c r="A97" s="117" t="s">
        <v>452</v>
      </c>
      <c r="B97" s="117" t="s">
        <v>512</v>
      </c>
      <c r="C97" s="117" t="s">
        <v>10</v>
      </c>
      <c r="D97" s="117" t="s">
        <v>10</v>
      </c>
      <c r="E97" s="117" t="s">
        <v>364</v>
      </c>
      <c r="F97" s="118" t="s">
        <v>61</v>
      </c>
      <c r="G97" s="117" t="s">
        <v>62</v>
      </c>
      <c r="H97" s="117" t="s">
        <v>397</v>
      </c>
      <c r="I97" s="119" t="n">
        <v>1</v>
      </c>
      <c r="J97" s="119" t="n">
        <v>0</v>
      </c>
      <c r="K97" s="117"/>
      <c r="L97" s="117"/>
    </row>
    <row r="98" customFormat="false" ht="15" hidden="false" customHeight="false" outlineLevel="0" collapsed="false">
      <c r="A98" s="117" t="s">
        <v>453</v>
      </c>
      <c r="B98" s="117" t="s">
        <v>512</v>
      </c>
      <c r="C98" s="117" t="s">
        <v>10</v>
      </c>
      <c r="D98" s="117" t="s">
        <v>10</v>
      </c>
      <c r="E98" s="117" t="s">
        <v>338</v>
      </c>
      <c r="F98" s="118" t="s">
        <v>61</v>
      </c>
      <c r="G98" s="117" t="s">
        <v>62</v>
      </c>
      <c r="H98" s="117" t="s">
        <v>397</v>
      </c>
      <c r="I98" s="119" t="n">
        <v>1</v>
      </c>
      <c r="J98" s="119" t="n">
        <v>0</v>
      </c>
      <c r="K98" s="117"/>
      <c r="L98" s="117"/>
    </row>
    <row r="99" customFormat="false" ht="15" hidden="false" customHeight="false" outlineLevel="0" collapsed="false">
      <c r="A99" s="117" t="s">
        <v>454</v>
      </c>
      <c r="B99" s="117" t="s">
        <v>512</v>
      </c>
      <c r="C99" s="117" t="s">
        <v>10</v>
      </c>
      <c r="D99" s="117" t="s">
        <v>10</v>
      </c>
      <c r="E99" s="117" t="s">
        <v>276</v>
      </c>
      <c r="F99" s="118" t="s">
        <v>61</v>
      </c>
      <c r="G99" s="117" t="s">
        <v>62</v>
      </c>
      <c r="H99" s="117" t="s">
        <v>397</v>
      </c>
      <c r="I99" s="119" t="n">
        <v>1</v>
      </c>
      <c r="J99" s="119" t="n">
        <v>0</v>
      </c>
      <c r="K99" s="117"/>
      <c r="L99" s="117"/>
    </row>
    <row r="100" customFormat="false" ht="15" hidden="false" customHeight="false" outlineLevel="0" collapsed="false">
      <c r="A100" s="117" t="s">
        <v>455</v>
      </c>
      <c r="B100" s="117" t="s">
        <v>512</v>
      </c>
      <c r="C100" s="117" t="s">
        <v>10</v>
      </c>
      <c r="D100" s="117" t="s">
        <v>10</v>
      </c>
      <c r="E100" s="117" t="s">
        <v>256</v>
      </c>
      <c r="F100" s="118" t="s">
        <v>61</v>
      </c>
      <c r="G100" s="117" t="s">
        <v>62</v>
      </c>
      <c r="H100" s="117" t="s">
        <v>397</v>
      </c>
      <c r="I100" s="119" t="n">
        <v>1</v>
      </c>
      <c r="J100" s="119" t="n">
        <v>0</v>
      </c>
      <c r="K100" s="117"/>
      <c r="L100" s="117"/>
    </row>
    <row r="101" customFormat="false" ht="15" hidden="false" customHeight="false" outlineLevel="0" collapsed="false">
      <c r="A101" s="117" t="s">
        <v>456</v>
      </c>
      <c r="B101" s="117" t="s">
        <v>512</v>
      </c>
      <c r="C101" s="117" t="s">
        <v>10</v>
      </c>
      <c r="D101" s="117" t="s">
        <v>10</v>
      </c>
      <c r="E101" s="117" t="s">
        <v>351</v>
      </c>
      <c r="F101" s="118" t="s">
        <v>61</v>
      </c>
      <c r="G101" s="117" t="s">
        <v>62</v>
      </c>
      <c r="H101" s="117" t="s">
        <v>397</v>
      </c>
      <c r="I101" s="119" t="n">
        <v>1</v>
      </c>
      <c r="J101" s="119" t="n">
        <v>0</v>
      </c>
      <c r="K101" s="117"/>
      <c r="L101" s="117"/>
    </row>
    <row r="102" customFormat="false" ht="15" hidden="false" customHeight="false" outlineLevel="0" collapsed="false">
      <c r="A102" s="117" t="s">
        <v>457</v>
      </c>
      <c r="B102" s="117" t="s">
        <v>512</v>
      </c>
      <c r="C102" s="117" t="s">
        <v>10</v>
      </c>
      <c r="D102" s="117" t="s">
        <v>10</v>
      </c>
      <c r="E102" s="117" t="s">
        <v>263</v>
      </c>
      <c r="F102" s="118" t="s">
        <v>61</v>
      </c>
      <c r="G102" s="117" t="s">
        <v>62</v>
      </c>
      <c r="H102" s="117" t="s">
        <v>397</v>
      </c>
      <c r="I102" s="119" t="n">
        <v>1</v>
      </c>
      <c r="J102" s="119" t="n">
        <v>0</v>
      </c>
      <c r="K102" s="117"/>
      <c r="L102" s="117"/>
    </row>
    <row r="103" customFormat="false" ht="15" hidden="false" customHeight="false" outlineLevel="0" collapsed="false">
      <c r="A103" s="117" t="s">
        <v>458</v>
      </c>
      <c r="B103" s="117" t="s">
        <v>512</v>
      </c>
      <c r="C103" s="117" t="s">
        <v>10</v>
      </c>
      <c r="D103" s="117" t="s">
        <v>10</v>
      </c>
      <c r="E103" s="117" t="s">
        <v>376</v>
      </c>
      <c r="F103" s="118" t="s">
        <v>61</v>
      </c>
      <c r="G103" s="117" t="s">
        <v>62</v>
      </c>
      <c r="H103" s="117" t="s">
        <v>397</v>
      </c>
      <c r="I103" s="119" t="n">
        <v>1</v>
      </c>
      <c r="J103" s="119" t="n">
        <v>0</v>
      </c>
      <c r="K103" s="117"/>
      <c r="L103" s="117"/>
    </row>
    <row r="104" customFormat="false" ht="15" hidden="false" customHeight="false" outlineLevel="0" collapsed="false">
      <c r="A104" s="117" t="s">
        <v>459</v>
      </c>
      <c r="B104" s="117" t="s">
        <v>512</v>
      </c>
      <c r="C104" s="117" t="s">
        <v>10</v>
      </c>
      <c r="D104" s="117" t="s">
        <v>10</v>
      </c>
      <c r="E104" s="117" t="s">
        <v>358</v>
      </c>
      <c r="F104" s="118" t="s">
        <v>61</v>
      </c>
      <c r="G104" s="117" t="s">
        <v>62</v>
      </c>
      <c r="H104" s="117" t="s">
        <v>397</v>
      </c>
      <c r="I104" s="119" t="n">
        <v>0</v>
      </c>
      <c r="J104" s="119" t="n">
        <v>1</v>
      </c>
      <c r="K104" s="117"/>
      <c r="L104" s="117"/>
    </row>
    <row r="105" customFormat="false" ht="15" hidden="false" customHeight="false" outlineLevel="0" collapsed="false">
      <c r="A105" s="117" t="s">
        <v>460</v>
      </c>
      <c r="B105" s="117" t="s">
        <v>512</v>
      </c>
      <c r="C105" s="117" t="s">
        <v>10</v>
      </c>
      <c r="D105" s="117" t="s">
        <v>10</v>
      </c>
      <c r="E105" s="117" t="s">
        <v>345</v>
      </c>
      <c r="F105" s="118" t="s">
        <v>61</v>
      </c>
      <c r="G105" s="117" t="s">
        <v>62</v>
      </c>
      <c r="H105" s="117" t="s">
        <v>397</v>
      </c>
      <c r="I105" s="119" t="n">
        <v>0</v>
      </c>
      <c r="J105" s="119" t="n">
        <v>1</v>
      </c>
      <c r="K105" s="117"/>
      <c r="L105" s="117"/>
    </row>
    <row r="106" customFormat="false" ht="15" hidden="false" customHeight="false" outlineLevel="0" collapsed="false">
      <c r="A106" s="117" t="s">
        <v>461</v>
      </c>
      <c r="B106" s="117" t="s">
        <v>512</v>
      </c>
      <c r="C106" s="117" t="s">
        <v>10</v>
      </c>
      <c r="D106" s="117" t="s">
        <v>10</v>
      </c>
      <c r="E106" s="117" t="s">
        <v>382</v>
      </c>
      <c r="F106" s="118" t="s">
        <v>61</v>
      </c>
      <c r="G106" s="117" t="s">
        <v>62</v>
      </c>
      <c r="H106" s="117" t="s">
        <v>397</v>
      </c>
      <c r="I106" s="119" t="n">
        <v>0</v>
      </c>
      <c r="J106" s="119" t="n">
        <v>1</v>
      </c>
      <c r="K106" s="117"/>
      <c r="L106" s="117"/>
    </row>
    <row r="107" customFormat="false" ht="15" hidden="false" customHeight="false" outlineLevel="0" collapsed="false">
      <c r="A107" s="117" t="s">
        <v>527</v>
      </c>
      <c r="B107" s="117" t="s">
        <v>512</v>
      </c>
      <c r="C107" s="117" t="s">
        <v>10</v>
      </c>
      <c r="D107" s="117" t="s">
        <v>10</v>
      </c>
      <c r="E107" s="117" t="s">
        <v>193</v>
      </c>
      <c r="F107" s="118" t="s">
        <v>57</v>
      </c>
      <c r="G107" s="117" t="s">
        <v>58</v>
      </c>
      <c r="H107" s="117" t="s">
        <v>397</v>
      </c>
      <c r="I107" s="119" t="n">
        <v>1</v>
      </c>
      <c r="J107" s="119" t="n">
        <v>0</v>
      </c>
      <c r="K107" s="117"/>
      <c r="L107" s="117"/>
    </row>
    <row r="108" customFormat="false" ht="15" hidden="false" customHeight="false" outlineLevel="0" collapsed="false">
      <c r="A108" s="117" t="s">
        <v>528</v>
      </c>
      <c r="B108" s="117" t="s">
        <v>512</v>
      </c>
      <c r="C108" s="117" t="s">
        <v>10</v>
      </c>
      <c r="D108" s="117" t="s">
        <v>10</v>
      </c>
      <c r="E108" s="117" t="s">
        <v>250</v>
      </c>
      <c r="F108" s="118" t="s">
        <v>53</v>
      </c>
      <c r="G108" s="117" t="s">
        <v>54</v>
      </c>
      <c r="H108" s="117" t="s">
        <v>397</v>
      </c>
      <c r="I108" s="119" t="n">
        <v>1</v>
      </c>
      <c r="J108" s="119" t="n">
        <v>0</v>
      </c>
      <c r="K108" s="117"/>
      <c r="L108" s="117"/>
    </row>
    <row r="109" customFormat="false" ht="15" hidden="false" customHeight="false" outlineLevel="0" collapsed="false">
      <c r="A109" s="117" t="s">
        <v>529</v>
      </c>
      <c r="B109" s="117" t="s">
        <v>512</v>
      </c>
      <c r="C109" s="117" t="s">
        <v>10</v>
      </c>
      <c r="D109" s="117" t="s">
        <v>10</v>
      </c>
      <c r="E109" s="117" t="s">
        <v>248</v>
      </c>
      <c r="F109" s="118" t="s">
        <v>53</v>
      </c>
      <c r="G109" s="117" t="s">
        <v>54</v>
      </c>
      <c r="H109" s="117" t="s">
        <v>397</v>
      </c>
      <c r="I109" s="119" t="n">
        <v>1</v>
      </c>
      <c r="J109" s="119" t="n">
        <v>0</v>
      </c>
      <c r="K109" s="117"/>
      <c r="L109" s="117"/>
    </row>
    <row r="110" customFormat="false" ht="15" hidden="false" customHeight="false" outlineLevel="0" collapsed="false">
      <c r="A110" s="117" t="s">
        <v>530</v>
      </c>
      <c r="B110" s="117" t="s">
        <v>512</v>
      </c>
      <c r="C110" s="117" t="s">
        <v>10</v>
      </c>
      <c r="D110" s="117" t="s">
        <v>10</v>
      </c>
      <c r="E110" s="117" t="s">
        <v>254</v>
      </c>
      <c r="F110" s="118" t="s">
        <v>53</v>
      </c>
      <c r="G110" s="117" t="s">
        <v>54</v>
      </c>
      <c r="H110" s="117" t="s">
        <v>397</v>
      </c>
      <c r="I110" s="119" t="n">
        <v>0</v>
      </c>
      <c r="J110" s="119" t="n">
        <v>1</v>
      </c>
      <c r="K110" s="117"/>
      <c r="L110" s="117"/>
    </row>
    <row r="111" customFormat="false" ht="15" hidden="false" customHeight="false" outlineLevel="0" collapsed="false">
      <c r="A111" s="117" t="s">
        <v>531</v>
      </c>
      <c r="B111" s="117" t="s">
        <v>512</v>
      </c>
      <c r="C111" s="117" t="s">
        <v>16</v>
      </c>
      <c r="D111" s="117" t="s">
        <v>16</v>
      </c>
      <c r="E111" s="117" t="s">
        <v>261</v>
      </c>
      <c r="F111" s="118" t="s">
        <v>53</v>
      </c>
      <c r="G111" s="117" t="s">
        <v>54</v>
      </c>
      <c r="H111" s="117" t="s">
        <v>397</v>
      </c>
      <c r="I111" s="119" t="n">
        <v>1</v>
      </c>
      <c r="J111" s="119" t="n">
        <v>0</v>
      </c>
      <c r="K111" s="117"/>
      <c r="L111" s="117"/>
    </row>
    <row r="112" customFormat="false" ht="15" hidden="false" customHeight="false" outlineLevel="0" collapsed="false">
      <c r="A112" s="117" t="s">
        <v>462</v>
      </c>
      <c r="B112" s="117" t="s">
        <v>512</v>
      </c>
      <c r="C112" s="117" t="s">
        <v>532</v>
      </c>
      <c r="D112" s="117" t="s">
        <v>21</v>
      </c>
      <c r="E112" s="117" t="s">
        <v>319</v>
      </c>
      <c r="F112" s="118" t="s">
        <v>61</v>
      </c>
      <c r="G112" s="117" t="s">
        <v>62</v>
      </c>
      <c r="H112" s="117" t="s">
        <v>397</v>
      </c>
      <c r="I112" s="119" t="n">
        <v>1</v>
      </c>
      <c r="J112" s="119" t="n">
        <v>0</v>
      </c>
      <c r="K112" s="117"/>
      <c r="L112" s="117"/>
    </row>
    <row r="113" customFormat="false" ht="15" hidden="false" customHeight="false" outlineLevel="0" collapsed="false">
      <c r="A113" s="117" t="s">
        <v>465</v>
      </c>
      <c r="B113" s="117" t="s">
        <v>512</v>
      </c>
      <c r="C113" s="117" t="s">
        <v>532</v>
      </c>
      <c r="D113" s="117" t="s">
        <v>21</v>
      </c>
      <c r="E113" s="117" t="s">
        <v>210</v>
      </c>
      <c r="F113" s="118" t="s">
        <v>57</v>
      </c>
      <c r="G113" s="117" t="s">
        <v>58</v>
      </c>
      <c r="H113" s="117" t="s">
        <v>397</v>
      </c>
      <c r="I113" s="119" t="n">
        <v>0</v>
      </c>
      <c r="J113" s="119" t="n">
        <v>1</v>
      </c>
      <c r="K113" s="117"/>
      <c r="L113" s="117"/>
    </row>
    <row r="114" customFormat="false" ht="15" hidden="false" customHeight="false" outlineLevel="0" collapsed="false">
      <c r="A114" s="117" t="s">
        <v>467</v>
      </c>
      <c r="B114" s="117" t="s">
        <v>512</v>
      </c>
      <c r="C114" s="117" t="s">
        <v>532</v>
      </c>
      <c r="D114" s="117" t="s">
        <v>21</v>
      </c>
      <c r="E114" s="117" t="s">
        <v>332</v>
      </c>
      <c r="F114" s="118" t="s">
        <v>61</v>
      </c>
      <c r="G114" s="117" t="s">
        <v>62</v>
      </c>
      <c r="H114" s="117" t="s">
        <v>397</v>
      </c>
      <c r="I114" s="119" t="n">
        <v>1</v>
      </c>
      <c r="J114" s="119" t="n">
        <v>0</v>
      </c>
      <c r="K114" s="117"/>
      <c r="L114" s="117"/>
    </row>
    <row r="115" customFormat="false" ht="15" hidden="false" customHeight="false" outlineLevel="0" collapsed="false">
      <c r="A115" s="117" t="s">
        <v>471</v>
      </c>
      <c r="B115" s="117" t="s">
        <v>512</v>
      </c>
      <c r="C115" s="117" t="s">
        <v>532</v>
      </c>
      <c r="D115" s="117" t="s">
        <v>21</v>
      </c>
      <c r="E115" s="117" t="s">
        <v>346</v>
      </c>
      <c r="F115" s="118" t="s">
        <v>61</v>
      </c>
      <c r="G115" s="117" t="s">
        <v>62</v>
      </c>
      <c r="H115" s="117" t="s">
        <v>397</v>
      </c>
      <c r="I115" s="119" t="n">
        <v>1</v>
      </c>
      <c r="J115" s="119" t="n">
        <v>0</v>
      </c>
      <c r="K115" s="117"/>
      <c r="L115" s="117"/>
    </row>
    <row r="116" customFormat="false" ht="15" hidden="false" customHeight="false" outlineLevel="0" collapsed="false">
      <c r="A116" s="117" t="s">
        <v>473</v>
      </c>
      <c r="B116" s="117" t="s">
        <v>512</v>
      </c>
      <c r="C116" s="117" t="s">
        <v>532</v>
      </c>
      <c r="D116" s="117" t="s">
        <v>21</v>
      </c>
      <c r="E116" s="117" t="s">
        <v>205</v>
      </c>
      <c r="F116" s="118" t="s">
        <v>57</v>
      </c>
      <c r="G116" s="117" t="s">
        <v>58</v>
      </c>
      <c r="H116" s="117" t="s">
        <v>397</v>
      </c>
      <c r="I116" s="119" t="n">
        <v>0</v>
      </c>
      <c r="J116" s="119" t="n">
        <v>1</v>
      </c>
      <c r="K116" s="117"/>
      <c r="L116" s="117"/>
    </row>
    <row r="117" customFormat="false" ht="15" hidden="false" customHeight="false" outlineLevel="0" collapsed="false">
      <c r="A117" s="117" t="s">
        <v>478</v>
      </c>
      <c r="B117" s="117" t="s">
        <v>512</v>
      </c>
      <c r="C117" s="117" t="s">
        <v>532</v>
      </c>
      <c r="D117" s="117" t="s">
        <v>21</v>
      </c>
      <c r="E117" s="117" t="s">
        <v>352</v>
      </c>
      <c r="F117" s="118" t="s">
        <v>61</v>
      </c>
      <c r="G117" s="117" t="s">
        <v>62</v>
      </c>
      <c r="H117" s="117" t="s">
        <v>397</v>
      </c>
      <c r="I117" s="119" t="n">
        <v>1</v>
      </c>
      <c r="J117" s="119" t="n">
        <v>0</v>
      </c>
      <c r="K117" s="117"/>
      <c r="L117" s="117"/>
    </row>
    <row r="118" customFormat="false" ht="15" hidden="false" customHeight="false" outlineLevel="0" collapsed="false">
      <c r="A118" s="117" t="s">
        <v>479</v>
      </c>
      <c r="B118" s="117" t="s">
        <v>512</v>
      </c>
      <c r="C118" s="117" t="s">
        <v>532</v>
      </c>
      <c r="D118" s="117" t="s">
        <v>21</v>
      </c>
      <c r="E118" s="117" t="s">
        <v>207</v>
      </c>
      <c r="F118" s="118" t="s">
        <v>57</v>
      </c>
      <c r="G118" s="117" t="s">
        <v>58</v>
      </c>
      <c r="H118" s="117" t="s">
        <v>397</v>
      </c>
      <c r="I118" s="119" t="n">
        <v>1</v>
      </c>
      <c r="J118" s="119" t="n">
        <v>0</v>
      </c>
      <c r="K118" s="117"/>
      <c r="L118" s="117"/>
    </row>
    <row r="119" customFormat="false" ht="15" hidden="false" customHeight="false" outlineLevel="0" collapsed="false">
      <c r="A119" s="117" t="s">
        <v>481</v>
      </c>
      <c r="B119" s="117" t="s">
        <v>512</v>
      </c>
      <c r="C119" s="117" t="s">
        <v>532</v>
      </c>
      <c r="D119" s="117" t="s">
        <v>21</v>
      </c>
      <c r="E119" s="117" t="s">
        <v>325</v>
      </c>
      <c r="F119" s="118" t="s">
        <v>61</v>
      </c>
      <c r="G119" s="117" t="s">
        <v>62</v>
      </c>
      <c r="H119" s="117" t="s">
        <v>397</v>
      </c>
      <c r="I119" s="119" t="n">
        <v>1</v>
      </c>
      <c r="J119" s="119" t="n">
        <v>0</v>
      </c>
      <c r="K119" s="117"/>
      <c r="L119" s="117"/>
    </row>
    <row r="120" customFormat="false" ht="15" hidden="false" customHeight="false" outlineLevel="0" collapsed="false">
      <c r="A120" s="117" t="s">
        <v>484</v>
      </c>
      <c r="B120" s="117" t="s">
        <v>512</v>
      </c>
      <c r="C120" s="117" t="s">
        <v>532</v>
      </c>
      <c r="D120" s="117" t="s">
        <v>21</v>
      </c>
      <c r="E120" s="117" t="s">
        <v>339</v>
      </c>
      <c r="F120" s="118" t="s">
        <v>61</v>
      </c>
      <c r="G120" s="117" t="s">
        <v>62</v>
      </c>
      <c r="H120" s="117" t="s">
        <v>397</v>
      </c>
      <c r="I120" s="119" t="n">
        <v>0</v>
      </c>
      <c r="J120" s="119" t="n">
        <v>1</v>
      </c>
      <c r="K120" s="117"/>
      <c r="L120" s="117"/>
    </row>
    <row r="121" customFormat="false" ht="15" hidden="false" customHeight="false" outlineLevel="0" collapsed="false">
      <c r="A121" s="117" t="s">
        <v>533</v>
      </c>
      <c r="B121" s="117" t="s">
        <v>512</v>
      </c>
      <c r="C121" s="117" t="s">
        <v>532</v>
      </c>
      <c r="D121" s="117" t="s">
        <v>21</v>
      </c>
      <c r="E121" s="117" t="s">
        <v>201</v>
      </c>
      <c r="F121" s="118" t="s">
        <v>57</v>
      </c>
      <c r="G121" s="117" t="s">
        <v>58</v>
      </c>
      <c r="H121" s="117" t="s">
        <v>397</v>
      </c>
      <c r="I121" s="119" t="n">
        <v>0</v>
      </c>
      <c r="J121" s="119" t="n">
        <v>1</v>
      </c>
      <c r="K121" s="117"/>
      <c r="L121" s="117"/>
    </row>
    <row r="122" customFormat="false" ht="15" hidden="false" customHeight="false" outlineLevel="0" collapsed="false">
      <c r="A122" s="117" t="s">
        <v>485</v>
      </c>
      <c r="B122" s="117" t="s">
        <v>512</v>
      </c>
      <c r="C122" s="117" t="s">
        <v>532</v>
      </c>
      <c r="D122" s="117" t="s">
        <v>21</v>
      </c>
      <c r="E122" s="117" t="s">
        <v>371</v>
      </c>
      <c r="F122" s="118" t="s">
        <v>61</v>
      </c>
      <c r="G122" s="117" t="s">
        <v>62</v>
      </c>
      <c r="H122" s="117" t="s">
        <v>397</v>
      </c>
      <c r="I122" s="119" t="n">
        <v>0</v>
      </c>
      <c r="J122" s="119" t="n">
        <v>1</v>
      </c>
      <c r="K122" s="117"/>
      <c r="L122" s="117"/>
    </row>
    <row r="123" customFormat="false" ht="15" hidden="false" customHeight="false" outlineLevel="0" collapsed="false">
      <c r="A123" s="117" t="s">
        <v>486</v>
      </c>
      <c r="B123" s="117" t="s">
        <v>512</v>
      </c>
      <c r="C123" s="117" t="s">
        <v>532</v>
      </c>
      <c r="D123" s="117" t="s">
        <v>21</v>
      </c>
      <c r="E123" s="117" t="s">
        <v>313</v>
      </c>
      <c r="F123" s="118" t="s">
        <v>61</v>
      </c>
      <c r="G123" s="117" t="s">
        <v>62</v>
      </c>
      <c r="H123" s="117" t="s">
        <v>397</v>
      </c>
      <c r="I123" s="119" t="n">
        <v>0</v>
      </c>
      <c r="J123" s="119" t="n">
        <v>1</v>
      </c>
      <c r="K123" s="117"/>
      <c r="L123" s="117"/>
    </row>
    <row r="124" customFormat="false" ht="15" hidden="false" customHeight="false" outlineLevel="0" collapsed="false">
      <c r="A124" s="117" t="s">
        <v>394</v>
      </c>
      <c r="B124" s="117" t="s">
        <v>512</v>
      </c>
      <c r="C124" s="117" t="s">
        <v>532</v>
      </c>
      <c r="D124" s="117" t="s">
        <v>21</v>
      </c>
      <c r="E124" s="117" t="s">
        <v>212</v>
      </c>
      <c r="F124" s="118" t="s">
        <v>57</v>
      </c>
      <c r="G124" s="117" t="s">
        <v>58</v>
      </c>
      <c r="H124" s="117" t="s">
        <v>397</v>
      </c>
      <c r="I124" s="119" t="n">
        <v>1</v>
      </c>
      <c r="J124" s="119" t="n">
        <v>0</v>
      </c>
      <c r="K124" s="117"/>
      <c r="L124" s="117"/>
    </row>
    <row r="125" customFormat="false" ht="15" hidden="false" customHeight="false" outlineLevel="0" collapsed="false">
      <c r="A125" s="117" t="s">
        <v>487</v>
      </c>
      <c r="B125" s="117" t="s">
        <v>512</v>
      </c>
      <c r="C125" s="117" t="s">
        <v>532</v>
      </c>
      <c r="D125" s="117" t="s">
        <v>21</v>
      </c>
      <c r="E125" s="117" t="s">
        <v>365</v>
      </c>
      <c r="F125" s="118" t="s">
        <v>61</v>
      </c>
      <c r="G125" s="117" t="s">
        <v>62</v>
      </c>
      <c r="H125" s="117" t="s">
        <v>397</v>
      </c>
      <c r="I125" s="119" t="n">
        <v>0</v>
      </c>
      <c r="J125" s="119" t="n">
        <v>1</v>
      </c>
      <c r="K125" s="117"/>
      <c r="L125" s="117"/>
    </row>
    <row r="126" customFormat="false" ht="15" hidden="false" customHeight="false" outlineLevel="0" collapsed="false">
      <c r="A126" s="117" t="s">
        <v>488</v>
      </c>
      <c r="B126" s="117" t="s">
        <v>512</v>
      </c>
      <c r="C126" s="117" t="s">
        <v>532</v>
      </c>
      <c r="D126" s="117" t="s">
        <v>21</v>
      </c>
      <c r="E126" s="117" t="s">
        <v>359</v>
      </c>
      <c r="F126" s="118" t="s">
        <v>61</v>
      </c>
      <c r="G126" s="117" t="s">
        <v>62</v>
      </c>
      <c r="H126" s="117" t="s">
        <v>397</v>
      </c>
      <c r="I126" s="119" t="n">
        <v>0</v>
      </c>
      <c r="J126" s="119" t="n">
        <v>1</v>
      </c>
      <c r="K126" s="117"/>
      <c r="L126" s="117"/>
    </row>
    <row r="127" customFormat="false" ht="15" hidden="false" customHeight="false" outlineLevel="0" collapsed="false">
      <c r="A127" s="117" t="s">
        <v>399</v>
      </c>
      <c r="B127" s="117" t="s">
        <v>512</v>
      </c>
      <c r="C127" s="117" t="s">
        <v>532</v>
      </c>
      <c r="D127" s="117" t="s">
        <v>21</v>
      </c>
      <c r="E127" s="117" t="s">
        <v>215</v>
      </c>
      <c r="F127" s="118" t="s">
        <v>57</v>
      </c>
      <c r="G127" s="117" t="s">
        <v>58</v>
      </c>
      <c r="H127" s="117" t="s">
        <v>397</v>
      </c>
      <c r="I127" s="119" t="n">
        <v>1</v>
      </c>
      <c r="J127" s="119" t="n">
        <v>1</v>
      </c>
      <c r="K127" s="117"/>
      <c r="L127" s="117"/>
    </row>
    <row r="128" customFormat="false" ht="15" hidden="false" customHeight="false" outlineLevel="0" collapsed="false">
      <c r="A128" s="117" t="s">
        <v>489</v>
      </c>
      <c r="B128" s="117" t="s">
        <v>512</v>
      </c>
      <c r="C128" s="117" t="s">
        <v>532</v>
      </c>
      <c r="D128" s="117" t="s">
        <v>21</v>
      </c>
      <c r="E128" s="117" t="s">
        <v>306</v>
      </c>
      <c r="F128" s="118" t="s">
        <v>61</v>
      </c>
      <c r="G128" s="117" t="s">
        <v>62</v>
      </c>
      <c r="H128" s="117" t="s">
        <v>397</v>
      </c>
      <c r="I128" s="119" t="n">
        <v>0</v>
      </c>
      <c r="J128" s="119" t="n">
        <v>1</v>
      </c>
      <c r="K128" s="117"/>
      <c r="L128" s="117"/>
    </row>
    <row r="129" customFormat="false" ht="15" hidden="false" customHeight="false" outlineLevel="0" collapsed="false">
      <c r="A129" s="117" t="s">
        <v>490</v>
      </c>
      <c r="B129" s="117" t="s">
        <v>512</v>
      </c>
      <c r="C129" s="117" t="s">
        <v>532</v>
      </c>
      <c r="D129" s="117" t="s">
        <v>21</v>
      </c>
      <c r="E129" s="117" t="s">
        <v>377</v>
      </c>
      <c r="F129" s="118" t="s">
        <v>61</v>
      </c>
      <c r="G129" s="117" t="s">
        <v>62</v>
      </c>
      <c r="H129" s="117" t="s">
        <v>397</v>
      </c>
      <c r="I129" s="119" t="n">
        <v>0</v>
      </c>
      <c r="J129" s="119" t="n">
        <v>1</v>
      </c>
      <c r="K129" s="117"/>
      <c r="L129" s="117"/>
    </row>
    <row r="130" customFormat="false" ht="15" hidden="false" customHeight="false" outlineLevel="0" collapsed="false">
      <c r="A130" s="117" t="s">
        <v>534</v>
      </c>
      <c r="B130" s="117" t="s">
        <v>512</v>
      </c>
      <c r="C130" s="117" t="s">
        <v>532</v>
      </c>
      <c r="D130" s="117" t="s">
        <v>21</v>
      </c>
      <c r="E130" s="117" t="s">
        <v>203</v>
      </c>
      <c r="F130" s="118" t="s">
        <v>57</v>
      </c>
      <c r="G130" s="117" t="s">
        <v>58</v>
      </c>
      <c r="H130" s="117" t="s">
        <v>397</v>
      </c>
      <c r="I130" s="119" t="n">
        <v>1</v>
      </c>
      <c r="J130" s="119" t="n">
        <v>0</v>
      </c>
      <c r="K130" s="117"/>
      <c r="L130" s="117"/>
    </row>
    <row r="131" customFormat="false" ht="15" hidden="false" customHeight="false" outlineLevel="0" collapsed="false">
      <c r="A131" s="117" t="s">
        <v>535</v>
      </c>
      <c r="B131" s="117" t="s">
        <v>512</v>
      </c>
      <c r="C131" s="117" t="s">
        <v>532</v>
      </c>
      <c r="D131" s="117" t="s">
        <v>21</v>
      </c>
      <c r="E131" s="117" t="s">
        <v>536</v>
      </c>
      <c r="F131" s="118" t="s">
        <v>93</v>
      </c>
      <c r="G131" s="117" t="s">
        <v>94</v>
      </c>
      <c r="H131" s="117" t="s">
        <v>397</v>
      </c>
      <c r="I131" s="119" t="n">
        <v>1</v>
      </c>
      <c r="J131" s="119" t="n">
        <v>0</v>
      </c>
      <c r="K131" s="117"/>
      <c r="L131" s="117"/>
    </row>
    <row r="132" customFormat="false" ht="15" hidden="false" customHeight="false" outlineLevel="0" collapsed="false">
      <c r="A132" s="117" t="s">
        <v>537</v>
      </c>
      <c r="B132" s="117" t="s">
        <v>512</v>
      </c>
      <c r="C132" s="117" t="s">
        <v>532</v>
      </c>
      <c r="D132" s="117" t="s">
        <v>21</v>
      </c>
      <c r="E132" s="117" t="s">
        <v>538</v>
      </c>
      <c r="F132" s="118" t="s">
        <v>93</v>
      </c>
      <c r="G132" s="117" t="s">
        <v>94</v>
      </c>
      <c r="H132" s="117" t="s">
        <v>397</v>
      </c>
      <c r="I132" s="119" t="n">
        <v>1</v>
      </c>
      <c r="J132" s="119" t="n">
        <v>0</v>
      </c>
      <c r="K132" s="117"/>
      <c r="L132" s="117"/>
    </row>
    <row r="133" customFormat="false" ht="15" hidden="false" customHeight="false" outlineLevel="0" collapsed="false">
      <c r="A133" s="117" t="s">
        <v>539</v>
      </c>
      <c r="B133" s="117" t="s">
        <v>512</v>
      </c>
      <c r="C133" s="117" t="s">
        <v>532</v>
      </c>
      <c r="D133" s="117" t="s">
        <v>21</v>
      </c>
      <c r="E133" s="117" t="s">
        <v>540</v>
      </c>
      <c r="F133" s="118" t="s">
        <v>93</v>
      </c>
      <c r="G133" s="117" t="s">
        <v>94</v>
      </c>
      <c r="H133" s="117" t="s">
        <v>397</v>
      </c>
      <c r="I133" s="119" t="n">
        <v>0</v>
      </c>
      <c r="J133" s="119" t="n">
        <v>1</v>
      </c>
      <c r="K133" s="117"/>
      <c r="L133" s="117"/>
    </row>
    <row r="134" customFormat="false" ht="15" hidden="false" customHeight="false" outlineLevel="0" collapsed="false">
      <c r="A134" s="117" t="s">
        <v>541</v>
      </c>
      <c r="B134" s="117" t="s">
        <v>512</v>
      </c>
      <c r="C134" s="117" t="s">
        <v>532</v>
      </c>
      <c r="D134" s="117" t="s">
        <v>21</v>
      </c>
      <c r="E134" s="117" t="s">
        <v>542</v>
      </c>
      <c r="F134" s="118" t="s">
        <v>93</v>
      </c>
      <c r="G134" s="117" t="s">
        <v>94</v>
      </c>
      <c r="H134" s="117" t="s">
        <v>397</v>
      </c>
      <c r="I134" s="119" t="n">
        <v>0</v>
      </c>
      <c r="J134" s="119" t="n">
        <v>1</v>
      </c>
      <c r="K134" s="117"/>
      <c r="L134" s="117"/>
    </row>
    <row r="135" customFormat="false" ht="15" hidden="false" customHeight="false" outlineLevel="0" collapsed="false">
      <c r="A135" s="117" t="s">
        <v>543</v>
      </c>
      <c r="B135" s="117" t="s">
        <v>512</v>
      </c>
      <c r="C135" s="117" t="s">
        <v>532</v>
      </c>
      <c r="D135" s="117" t="s">
        <v>21</v>
      </c>
      <c r="E135" s="117" t="s">
        <v>544</v>
      </c>
      <c r="F135" s="118" t="s">
        <v>123</v>
      </c>
      <c r="G135" s="117" t="s">
        <v>124</v>
      </c>
      <c r="H135" s="117" t="s">
        <v>397</v>
      </c>
      <c r="I135" s="119" t="n">
        <v>1</v>
      </c>
      <c r="J135" s="119" t="n">
        <v>0</v>
      </c>
      <c r="K135" s="117"/>
      <c r="L135" s="117"/>
    </row>
    <row r="136" customFormat="false" ht="15" hidden="false" customHeight="false" outlineLevel="0" collapsed="false">
      <c r="A136" s="117" t="s">
        <v>545</v>
      </c>
      <c r="B136" s="117" t="s">
        <v>512</v>
      </c>
      <c r="C136" s="117" t="s">
        <v>532</v>
      </c>
      <c r="D136" s="117" t="s">
        <v>21</v>
      </c>
      <c r="E136" s="117" t="s">
        <v>546</v>
      </c>
      <c r="F136" s="118" t="s">
        <v>123</v>
      </c>
      <c r="G136" s="117" t="s">
        <v>124</v>
      </c>
      <c r="H136" s="117" t="s">
        <v>397</v>
      </c>
      <c r="I136" s="119" t="n">
        <v>0</v>
      </c>
      <c r="J136" s="119" t="n">
        <v>1</v>
      </c>
      <c r="K136" s="117"/>
      <c r="L136" s="117"/>
    </row>
    <row r="137" customFormat="false" ht="15" hidden="false" customHeight="false" outlineLevel="0" collapsed="false">
      <c r="A137" s="117" t="s">
        <v>547</v>
      </c>
      <c r="B137" s="117" t="s">
        <v>512</v>
      </c>
      <c r="C137" s="117" t="s">
        <v>532</v>
      </c>
      <c r="D137" s="117" t="s">
        <v>21</v>
      </c>
      <c r="E137" s="117" t="s">
        <v>548</v>
      </c>
      <c r="F137" s="118" t="s">
        <v>123</v>
      </c>
      <c r="G137" s="117" t="s">
        <v>124</v>
      </c>
      <c r="H137" s="117" t="s">
        <v>397</v>
      </c>
      <c r="I137" s="119" t="n">
        <v>0</v>
      </c>
      <c r="J137" s="119" t="n">
        <v>1</v>
      </c>
      <c r="K137" s="117"/>
      <c r="L137" s="117"/>
    </row>
    <row r="138" customFormat="false" ht="15" hidden="false" customHeight="false" outlineLevel="0" collapsed="false">
      <c r="A138" s="117" t="s">
        <v>549</v>
      </c>
      <c r="B138" s="117" t="s">
        <v>512</v>
      </c>
      <c r="C138" s="117" t="s">
        <v>532</v>
      </c>
      <c r="D138" s="117" t="s">
        <v>21</v>
      </c>
      <c r="E138" s="117" t="s">
        <v>550</v>
      </c>
      <c r="F138" s="118" t="s">
        <v>123</v>
      </c>
      <c r="G138" s="117" t="s">
        <v>124</v>
      </c>
      <c r="H138" s="117" t="s">
        <v>397</v>
      </c>
      <c r="I138" s="119" t="n">
        <v>1</v>
      </c>
      <c r="J138" s="119" t="n">
        <v>0</v>
      </c>
      <c r="K138" s="117"/>
      <c r="L138" s="117"/>
    </row>
    <row r="139" customFormat="false" ht="15" hidden="false" customHeight="false" outlineLevel="0" collapsed="false">
      <c r="A139" s="117" t="s">
        <v>551</v>
      </c>
      <c r="B139" s="117" t="s">
        <v>512</v>
      </c>
      <c r="C139" s="117" t="s">
        <v>532</v>
      </c>
      <c r="D139" s="117" t="s">
        <v>21</v>
      </c>
      <c r="E139" s="117" t="s">
        <v>274</v>
      </c>
      <c r="F139" s="118" t="s">
        <v>53</v>
      </c>
      <c r="G139" s="117" t="s">
        <v>54</v>
      </c>
      <c r="H139" s="117" t="s">
        <v>397</v>
      </c>
      <c r="I139" s="119" t="n">
        <v>1</v>
      </c>
      <c r="J139" s="119" t="n">
        <v>1</v>
      </c>
      <c r="K139" s="117"/>
      <c r="L139" s="117"/>
    </row>
    <row r="140" customFormat="false" ht="15" hidden="false" customHeight="false" outlineLevel="0" collapsed="false">
      <c r="A140" s="117" t="s">
        <v>552</v>
      </c>
      <c r="B140" s="117" t="s">
        <v>512</v>
      </c>
      <c r="C140" s="117" t="s">
        <v>532</v>
      </c>
      <c r="D140" s="117" t="s">
        <v>21</v>
      </c>
      <c r="E140" s="117" t="s">
        <v>268</v>
      </c>
      <c r="F140" s="118" t="s">
        <v>53</v>
      </c>
      <c r="G140" s="117" t="s">
        <v>54</v>
      </c>
      <c r="H140" s="117" t="s">
        <v>397</v>
      </c>
      <c r="I140" s="119" t="n">
        <v>0</v>
      </c>
      <c r="J140" s="119" t="n">
        <v>1</v>
      </c>
      <c r="K140" s="117"/>
      <c r="L140" s="117"/>
    </row>
    <row r="141" customFormat="false" ht="15" hidden="false" customHeight="false" outlineLevel="0" collapsed="false">
      <c r="A141" s="117" t="s">
        <v>553</v>
      </c>
      <c r="B141" s="117" t="s">
        <v>512</v>
      </c>
      <c r="C141" s="117" t="s">
        <v>554</v>
      </c>
      <c r="D141" s="117" t="s">
        <v>22</v>
      </c>
      <c r="E141" s="117" t="s">
        <v>555</v>
      </c>
      <c r="F141" s="118" t="s">
        <v>93</v>
      </c>
      <c r="G141" s="117" t="s">
        <v>94</v>
      </c>
      <c r="H141" s="117" t="s">
        <v>397</v>
      </c>
      <c r="I141" s="119" t="n">
        <v>1</v>
      </c>
      <c r="J141" s="119" t="n">
        <v>1</v>
      </c>
      <c r="K141" s="117"/>
      <c r="L141" s="117"/>
    </row>
    <row r="142" customFormat="false" ht="15" hidden="false" customHeight="false" outlineLevel="0" collapsed="false">
      <c r="A142" s="117" t="s">
        <v>556</v>
      </c>
      <c r="B142" s="117" t="s">
        <v>512</v>
      </c>
      <c r="C142" s="117" t="s">
        <v>19</v>
      </c>
      <c r="D142" s="117" t="s">
        <v>19</v>
      </c>
      <c r="E142" s="117" t="s">
        <v>299</v>
      </c>
      <c r="F142" s="118" t="s">
        <v>61</v>
      </c>
      <c r="G142" s="117" t="s">
        <v>62</v>
      </c>
      <c r="H142" s="117" t="s">
        <v>397</v>
      </c>
      <c r="I142" s="119" t="n">
        <v>1</v>
      </c>
      <c r="J142" s="119" t="n">
        <v>0</v>
      </c>
      <c r="K142" s="117"/>
      <c r="L142" s="117"/>
    </row>
    <row r="143" customFormat="false" ht="15" hidden="false" customHeight="false" outlineLevel="0" collapsed="false">
      <c r="A143" s="117" t="s">
        <v>557</v>
      </c>
      <c r="B143" s="117" t="s">
        <v>512</v>
      </c>
      <c r="C143" s="117" t="s">
        <v>558</v>
      </c>
      <c r="D143" s="117" t="s">
        <v>11</v>
      </c>
      <c r="E143" s="117" t="s">
        <v>559</v>
      </c>
      <c r="F143" s="118" t="s">
        <v>145</v>
      </c>
      <c r="G143" s="117" t="s">
        <v>146</v>
      </c>
      <c r="H143" s="117" t="s">
        <v>397</v>
      </c>
      <c r="I143" s="119" t="n">
        <v>1</v>
      </c>
      <c r="J143" s="119" t="n">
        <v>0</v>
      </c>
      <c r="K143" s="117"/>
      <c r="L143" s="117"/>
    </row>
    <row r="144" customFormat="false" ht="15" hidden="false" customHeight="false" outlineLevel="0" collapsed="false">
      <c r="A144" s="117" t="s">
        <v>560</v>
      </c>
      <c r="B144" s="117" t="s">
        <v>512</v>
      </c>
      <c r="C144" s="117" t="s">
        <v>558</v>
      </c>
      <c r="D144" s="117" t="s">
        <v>11</v>
      </c>
      <c r="E144" s="117" t="s">
        <v>561</v>
      </c>
      <c r="F144" s="118" t="s">
        <v>67</v>
      </c>
      <c r="G144" s="117" t="s">
        <v>68</v>
      </c>
      <c r="H144" s="117" t="s">
        <v>397</v>
      </c>
      <c r="I144" s="119" t="n">
        <v>1</v>
      </c>
      <c r="J144" s="119" t="n">
        <v>0</v>
      </c>
      <c r="K144" s="117"/>
      <c r="L144" s="117"/>
    </row>
    <row r="145" customFormat="false" ht="15" hidden="false" customHeight="false" outlineLevel="0" collapsed="false">
      <c r="A145" s="117" t="s">
        <v>504</v>
      </c>
      <c r="B145" s="117" t="s">
        <v>512</v>
      </c>
      <c r="C145" s="117" t="s">
        <v>562</v>
      </c>
      <c r="D145" s="117" t="s">
        <v>13</v>
      </c>
      <c r="E145" s="117" t="s">
        <v>195</v>
      </c>
      <c r="F145" s="118" t="s">
        <v>57</v>
      </c>
      <c r="G145" s="117" t="s">
        <v>58</v>
      </c>
      <c r="H145" s="117" t="s">
        <v>397</v>
      </c>
      <c r="I145" s="119" t="n">
        <v>1</v>
      </c>
      <c r="J145" s="119" t="n">
        <v>0</v>
      </c>
      <c r="K145" s="117"/>
      <c r="L145" s="117"/>
    </row>
    <row r="146" customFormat="false" ht="15" hidden="false" customHeight="false" outlineLevel="0" collapsed="false">
      <c r="A146" s="117" t="s">
        <v>509</v>
      </c>
      <c r="B146" s="117" t="s">
        <v>512</v>
      </c>
      <c r="C146" s="117" t="s">
        <v>562</v>
      </c>
      <c r="D146" s="117" t="s">
        <v>13</v>
      </c>
      <c r="E146" s="117" t="s">
        <v>563</v>
      </c>
      <c r="F146" s="118" t="s">
        <v>125</v>
      </c>
      <c r="G146" s="117" t="s">
        <v>126</v>
      </c>
      <c r="H146" s="117" t="s">
        <v>397</v>
      </c>
      <c r="I146" s="119" t="n">
        <v>1</v>
      </c>
      <c r="J146" s="119" t="n">
        <v>0</v>
      </c>
      <c r="K146" s="117"/>
      <c r="L146" s="117"/>
    </row>
    <row r="147" customFormat="false" ht="15" hidden="false" customHeight="false" outlineLevel="0" collapsed="false">
      <c r="A147" s="117" t="s">
        <v>564</v>
      </c>
      <c r="B147" s="117" t="s">
        <v>512</v>
      </c>
      <c r="C147" s="117" t="s">
        <v>562</v>
      </c>
      <c r="D147" s="117" t="s">
        <v>13</v>
      </c>
      <c r="E147" s="117" t="s">
        <v>565</v>
      </c>
      <c r="F147" s="118" t="s">
        <v>129</v>
      </c>
      <c r="G147" s="117" t="s">
        <v>130</v>
      </c>
      <c r="H147" s="117" t="s">
        <v>397</v>
      </c>
      <c r="I147" s="119" t="n">
        <v>1</v>
      </c>
      <c r="J147" s="119" t="n">
        <v>0</v>
      </c>
      <c r="K147" s="117"/>
      <c r="L147" s="117"/>
    </row>
    <row r="148" customFormat="false" ht="15" hidden="false" customHeight="false" outlineLevel="0" collapsed="false">
      <c r="A148" s="117" t="s">
        <v>460</v>
      </c>
      <c r="B148" s="117" t="s">
        <v>566</v>
      </c>
      <c r="C148" s="117" t="s">
        <v>567</v>
      </c>
      <c r="D148" s="117" t="s">
        <v>20</v>
      </c>
      <c r="E148" s="117" t="s">
        <v>568</v>
      </c>
      <c r="F148" s="118" t="s">
        <v>109</v>
      </c>
      <c r="G148" s="117" t="s">
        <v>110</v>
      </c>
      <c r="H148" s="117" t="s">
        <v>397</v>
      </c>
      <c r="I148" s="119" t="n">
        <v>1</v>
      </c>
      <c r="J148" s="119" t="n">
        <v>0</v>
      </c>
      <c r="K148" s="117"/>
      <c r="L148" s="117" t="s">
        <v>569</v>
      </c>
    </row>
    <row r="149" customFormat="false" ht="15" hidden="false" customHeight="false" outlineLevel="0" collapsed="false">
      <c r="A149" s="117" t="s">
        <v>570</v>
      </c>
      <c r="B149" s="117" t="s">
        <v>566</v>
      </c>
      <c r="C149" s="117" t="s">
        <v>571</v>
      </c>
      <c r="D149" s="117" t="s">
        <v>18</v>
      </c>
      <c r="E149" s="117" t="s">
        <v>241</v>
      </c>
      <c r="F149" s="118" t="s">
        <v>59</v>
      </c>
      <c r="G149" s="117" t="s">
        <v>60</v>
      </c>
      <c r="H149" s="117" t="s">
        <v>397</v>
      </c>
      <c r="I149" s="119" t="n">
        <v>1</v>
      </c>
      <c r="J149" s="119" t="n">
        <v>0</v>
      </c>
      <c r="K149" s="117"/>
      <c r="L149" s="117" t="s">
        <v>569</v>
      </c>
    </row>
    <row r="150" customFormat="false" ht="15" hidden="false" customHeight="false" outlineLevel="0" collapsed="false">
      <c r="A150" s="117" t="s">
        <v>572</v>
      </c>
      <c r="B150" s="117" t="s">
        <v>566</v>
      </c>
      <c r="C150" s="117" t="s">
        <v>14</v>
      </c>
      <c r="D150" s="117" t="s">
        <v>14</v>
      </c>
      <c r="E150" s="117" t="s">
        <v>573</v>
      </c>
      <c r="F150" s="118" t="s">
        <v>99</v>
      </c>
      <c r="G150" s="117" t="s">
        <v>100</v>
      </c>
      <c r="H150" s="117" t="s">
        <v>397</v>
      </c>
      <c r="I150" s="119" t="n">
        <v>1</v>
      </c>
      <c r="J150" s="119" t="n">
        <v>0</v>
      </c>
      <c r="K150" s="117"/>
      <c r="L150" s="117" t="s">
        <v>569</v>
      </c>
    </row>
    <row r="151" customFormat="false" ht="15" hidden="false" customHeight="false" outlineLevel="0" collapsed="false">
      <c r="A151" s="117" t="s">
        <v>574</v>
      </c>
      <c r="B151" s="117" t="s">
        <v>566</v>
      </c>
      <c r="C151" s="117" t="s">
        <v>8</v>
      </c>
      <c r="D151" s="117" t="s">
        <v>8</v>
      </c>
      <c r="E151" s="117" t="s">
        <v>331</v>
      </c>
      <c r="F151" s="118" t="s">
        <v>61</v>
      </c>
      <c r="G151" s="117" t="s">
        <v>62</v>
      </c>
      <c r="H151" s="117" t="s">
        <v>397</v>
      </c>
      <c r="I151" s="119" t="n">
        <v>1</v>
      </c>
      <c r="J151" s="119" t="n">
        <v>0</v>
      </c>
      <c r="K151" s="117"/>
      <c r="L151" s="117" t="s">
        <v>569</v>
      </c>
    </row>
    <row r="152" customFormat="false" ht="15" hidden="false" customHeight="false" outlineLevel="0" collapsed="false">
      <c r="A152" s="117" t="s">
        <v>434</v>
      </c>
      <c r="B152" s="117" t="s">
        <v>566</v>
      </c>
      <c r="C152" s="117" t="s">
        <v>8</v>
      </c>
      <c r="D152" s="117" t="s">
        <v>8</v>
      </c>
      <c r="E152" s="117" t="s">
        <v>171</v>
      </c>
      <c r="F152" s="118" t="s">
        <v>49</v>
      </c>
      <c r="G152" s="117" t="s">
        <v>50</v>
      </c>
      <c r="H152" s="117" t="s">
        <v>397</v>
      </c>
      <c r="I152" s="119" t="n">
        <v>1</v>
      </c>
      <c r="J152" s="119" t="n">
        <v>0</v>
      </c>
      <c r="K152" s="117"/>
      <c r="L152" s="117" t="s">
        <v>569</v>
      </c>
    </row>
    <row r="153" customFormat="false" ht="15" hidden="false" customHeight="false" outlineLevel="0" collapsed="false">
      <c r="A153" s="117" t="s">
        <v>437</v>
      </c>
      <c r="B153" s="117" t="s">
        <v>566</v>
      </c>
      <c r="C153" s="117" t="s">
        <v>8</v>
      </c>
      <c r="D153" s="117" t="s">
        <v>8</v>
      </c>
      <c r="E153" s="117" t="s">
        <v>360</v>
      </c>
      <c r="F153" s="118" t="s">
        <v>63</v>
      </c>
      <c r="G153" s="117" t="s">
        <v>64</v>
      </c>
      <c r="H153" s="117" t="s">
        <v>397</v>
      </c>
      <c r="I153" s="119" t="n">
        <v>1</v>
      </c>
      <c r="J153" s="119" t="n">
        <v>0</v>
      </c>
      <c r="K153" s="117"/>
      <c r="L153" s="117" t="s">
        <v>569</v>
      </c>
    </row>
    <row r="154" customFormat="false" ht="15" hidden="false" customHeight="false" outlineLevel="0" collapsed="false">
      <c r="A154" s="117" t="s">
        <v>439</v>
      </c>
      <c r="B154" s="117" t="s">
        <v>566</v>
      </c>
      <c r="C154" s="117" t="s">
        <v>8</v>
      </c>
      <c r="D154" s="117" t="s">
        <v>8</v>
      </c>
      <c r="E154" s="117" t="s">
        <v>366</v>
      </c>
      <c r="F154" s="118" t="s">
        <v>63</v>
      </c>
      <c r="G154" s="117" t="s">
        <v>64</v>
      </c>
      <c r="H154" s="117" t="s">
        <v>397</v>
      </c>
      <c r="I154" s="119" t="n">
        <v>1</v>
      </c>
      <c r="J154" s="119" t="n">
        <v>0</v>
      </c>
      <c r="K154" s="117"/>
      <c r="L154" s="117" t="s">
        <v>569</v>
      </c>
    </row>
    <row r="155" customFormat="false" ht="15" hidden="false" customHeight="false" outlineLevel="0" collapsed="false">
      <c r="A155" s="117" t="s">
        <v>575</v>
      </c>
      <c r="B155" s="117" t="s">
        <v>566</v>
      </c>
      <c r="C155" s="117" t="s">
        <v>9</v>
      </c>
      <c r="D155" s="117" t="s">
        <v>9</v>
      </c>
      <c r="E155" s="117" t="s">
        <v>231</v>
      </c>
      <c r="F155" s="118" t="s">
        <v>59</v>
      </c>
      <c r="G155" s="117" t="s">
        <v>60</v>
      </c>
      <c r="H155" s="117" t="s">
        <v>397</v>
      </c>
      <c r="I155" s="119" t="n">
        <v>1</v>
      </c>
      <c r="J155" s="119" t="n">
        <v>0</v>
      </c>
      <c r="K155" s="117"/>
      <c r="L155" s="117" t="s">
        <v>569</v>
      </c>
    </row>
    <row r="156" customFormat="false" ht="15" hidden="false" customHeight="false" outlineLevel="0" collapsed="false">
      <c r="A156" s="117" t="s">
        <v>429</v>
      </c>
      <c r="B156" s="117" t="s">
        <v>566</v>
      </c>
      <c r="C156" s="117" t="s">
        <v>9</v>
      </c>
      <c r="D156" s="117" t="s">
        <v>9</v>
      </c>
      <c r="E156" s="117" t="s">
        <v>176</v>
      </c>
      <c r="F156" s="118" t="s">
        <v>49</v>
      </c>
      <c r="G156" s="117" t="s">
        <v>50</v>
      </c>
      <c r="H156" s="117" t="s">
        <v>397</v>
      </c>
      <c r="I156" s="119" t="n">
        <v>1</v>
      </c>
      <c r="J156" s="119" t="n">
        <v>0</v>
      </c>
      <c r="K156" s="117"/>
      <c r="L156" s="117" t="s">
        <v>569</v>
      </c>
    </row>
    <row r="157" customFormat="false" ht="15" hidden="false" customHeight="false" outlineLevel="0" collapsed="false">
      <c r="A157" s="117" t="s">
        <v>576</v>
      </c>
      <c r="B157" s="117" t="s">
        <v>566</v>
      </c>
      <c r="C157" s="117" t="s">
        <v>10</v>
      </c>
      <c r="D157" s="117" t="s">
        <v>10</v>
      </c>
      <c r="E157" s="117" t="s">
        <v>577</v>
      </c>
      <c r="F157" s="118" t="s">
        <v>151</v>
      </c>
      <c r="G157" s="117" t="s">
        <v>152</v>
      </c>
      <c r="H157" s="117" t="s">
        <v>397</v>
      </c>
      <c r="I157" s="119" t="n">
        <v>1</v>
      </c>
      <c r="J157" s="119" t="n">
        <v>0</v>
      </c>
      <c r="K157" s="117"/>
      <c r="L157" s="117" t="s">
        <v>569</v>
      </c>
    </row>
    <row r="158" customFormat="false" ht="15" hidden="false" customHeight="false" outlineLevel="0" collapsed="false">
      <c r="A158" s="117" t="s">
        <v>446</v>
      </c>
      <c r="B158" s="117" t="s">
        <v>566</v>
      </c>
      <c r="C158" s="117" t="s">
        <v>10</v>
      </c>
      <c r="D158" s="117" t="s">
        <v>10</v>
      </c>
      <c r="E158" s="117" t="s">
        <v>334</v>
      </c>
      <c r="F158" s="118" t="s">
        <v>63</v>
      </c>
      <c r="G158" s="117" t="s">
        <v>64</v>
      </c>
      <c r="H158" s="117" t="s">
        <v>397</v>
      </c>
      <c r="I158" s="119" t="n">
        <v>1</v>
      </c>
      <c r="J158" s="119" t="n">
        <v>0</v>
      </c>
      <c r="K158" s="117"/>
      <c r="L158" s="117" t="s">
        <v>569</v>
      </c>
    </row>
    <row r="159" customFormat="false" ht="15" hidden="false" customHeight="false" outlineLevel="0" collapsed="false">
      <c r="A159" s="117" t="s">
        <v>578</v>
      </c>
      <c r="B159" s="117" t="s">
        <v>566</v>
      </c>
      <c r="C159" s="117" t="s">
        <v>579</v>
      </c>
      <c r="D159" s="117" t="s">
        <v>21</v>
      </c>
      <c r="E159" s="117" t="s">
        <v>580</v>
      </c>
      <c r="F159" s="118" t="s">
        <v>99</v>
      </c>
      <c r="G159" s="117" t="s">
        <v>100</v>
      </c>
      <c r="H159" s="117" t="s">
        <v>397</v>
      </c>
      <c r="I159" s="119" t="n">
        <v>1</v>
      </c>
      <c r="J159" s="119" t="n">
        <v>0</v>
      </c>
      <c r="K159" s="117"/>
      <c r="L159" s="117" t="s">
        <v>569</v>
      </c>
    </row>
    <row r="160" customFormat="false" ht="15" hidden="false" customHeight="false" outlineLevel="0" collapsed="false">
      <c r="A160" s="117" t="s">
        <v>581</v>
      </c>
      <c r="B160" s="117" t="s">
        <v>566</v>
      </c>
      <c r="C160" s="117" t="s">
        <v>582</v>
      </c>
      <c r="D160" s="117" t="s">
        <v>22</v>
      </c>
      <c r="E160" s="117" t="s">
        <v>275</v>
      </c>
      <c r="F160" s="118" t="s">
        <v>59</v>
      </c>
      <c r="G160" s="117" t="s">
        <v>60</v>
      </c>
      <c r="H160" s="117" t="s">
        <v>397</v>
      </c>
      <c r="I160" s="119" t="n">
        <v>0</v>
      </c>
      <c r="J160" s="119" t="n">
        <v>1</v>
      </c>
      <c r="K160" s="117"/>
      <c r="L160" s="117" t="s">
        <v>569</v>
      </c>
    </row>
    <row r="161" customFormat="false" ht="15" hidden="false" customHeight="false" outlineLevel="0" collapsed="false">
      <c r="A161" s="117" t="s">
        <v>394</v>
      </c>
      <c r="B161" s="117" t="s">
        <v>566</v>
      </c>
      <c r="C161" s="117" t="s">
        <v>582</v>
      </c>
      <c r="D161" s="117" t="s">
        <v>22</v>
      </c>
      <c r="E161" s="117" t="s">
        <v>269</v>
      </c>
      <c r="F161" s="118" t="s">
        <v>59</v>
      </c>
      <c r="G161" s="117" t="s">
        <v>60</v>
      </c>
      <c r="H161" s="117" t="s">
        <v>397</v>
      </c>
      <c r="I161" s="119" t="n">
        <v>1</v>
      </c>
      <c r="J161" s="119" t="n">
        <v>0</v>
      </c>
      <c r="K161" s="117"/>
      <c r="L161" s="117" t="s">
        <v>569</v>
      </c>
    </row>
    <row r="162" customFormat="false" ht="15" hidden="false" customHeight="false" outlineLevel="0" collapsed="false">
      <c r="A162" s="117" t="s">
        <v>398</v>
      </c>
      <c r="B162" s="117" t="s">
        <v>566</v>
      </c>
      <c r="C162" s="117" t="s">
        <v>582</v>
      </c>
      <c r="D162" s="117" t="s">
        <v>22</v>
      </c>
      <c r="E162" s="117" t="s">
        <v>262</v>
      </c>
      <c r="F162" s="118" t="s">
        <v>59</v>
      </c>
      <c r="G162" s="117" t="s">
        <v>60</v>
      </c>
      <c r="H162" s="117" t="s">
        <v>397</v>
      </c>
      <c r="I162" s="119" t="n">
        <v>1</v>
      </c>
      <c r="J162" s="119" t="n">
        <v>0</v>
      </c>
      <c r="K162" s="117"/>
      <c r="L162" s="117" t="s">
        <v>569</v>
      </c>
    </row>
    <row r="163" customFormat="false" ht="15" hidden="false" customHeight="false" outlineLevel="0" collapsed="false">
      <c r="A163" s="117" t="s">
        <v>399</v>
      </c>
      <c r="B163" s="117" t="s">
        <v>566</v>
      </c>
      <c r="C163" s="117" t="s">
        <v>582</v>
      </c>
      <c r="D163" s="117" t="s">
        <v>22</v>
      </c>
      <c r="E163" s="117" t="s">
        <v>177</v>
      </c>
      <c r="F163" s="118" t="s">
        <v>55</v>
      </c>
      <c r="G163" s="117" t="s">
        <v>56</v>
      </c>
      <c r="H163" s="117" t="s">
        <v>397</v>
      </c>
      <c r="I163" s="119" t="n">
        <v>1</v>
      </c>
      <c r="J163" s="119" t="n">
        <v>0</v>
      </c>
      <c r="K163" s="117"/>
      <c r="L163" s="117" t="s">
        <v>569</v>
      </c>
    </row>
    <row r="164" customFormat="false" ht="15" hidden="false" customHeight="false" outlineLevel="0" collapsed="false">
      <c r="A164" s="117" t="s">
        <v>583</v>
      </c>
      <c r="B164" s="117" t="s">
        <v>566</v>
      </c>
      <c r="C164" s="117" t="s">
        <v>582</v>
      </c>
      <c r="D164" s="117" t="s">
        <v>22</v>
      </c>
      <c r="E164" s="117" t="s">
        <v>185</v>
      </c>
      <c r="F164" s="118" t="s">
        <v>55</v>
      </c>
      <c r="G164" s="117" t="s">
        <v>56</v>
      </c>
      <c r="H164" s="117" t="s">
        <v>397</v>
      </c>
      <c r="I164" s="119" t="n">
        <v>1</v>
      </c>
      <c r="J164" s="119" t="n">
        <v>0</v>
      </c>
      <c r="K164" s="117"/>
      <c r="L164" s="117" t="s">
        <v>569</v>
      </c>
    </row>
    <row r="165" customFormat="false" ht="15" hidden="false" customHeight="false" outlineLevel="0" collapsed="false">
      <c r="A165" s="117" t="s">
        <v>534</v>
      </c>
      <c r="B165" s="117" t="s">
        <v>566</v>
      </c>
      <c r="C165" s="117" t="s">
        <v>582</v>
      </c>
      <c r="D165" s="117" t="s">
        <v>22</v>
      </c>
      <c r="E165" s="117" t="s">
        <v>182</v>
      </c>
      <c r="F165" s="118" t="s">
        <v>55</v>
      </c>
      <c r="G165" s="117" t="s">
        <v>56</v>
      </c>
      <c r="H165" s="117" t="s">
        <v>397</v>
      </c>
      <c r="I165" s="119" t="n">
        <v>1</v>
      </c>
      <c r="J165" s="119" t="n">
        <v>0</v>
      </c>
      <c r="K165" s="117"/>
      <c r="L165" s="117" t="s">
        <v>569</v>
      </c>
    </row>
    <row r="166" customFormat="false" ht="15" hidden="false" customHeight="false" outlineLevel="0" collapsed="false">
      <c r="A166" s="117" t="s">
        <v>584</v>
      </c>
      <c r="B166" s="117" t="s">
        <v>566</v>
      </c>
      <c r="C166" s="117" t="s">
        <v>582</v>
      </c>
      <c r="D166" s="117" t="s">
        <v>22</v>
      </c>
      <c r="E166" s="117" t="s">
        <v>180</v>
      </c>
      <c r="F166" s="118" t="s">
        <v>55</v>
      </c>
      <c r="G166" s="117" t="s">
        <v>56</v>
      </c>
      <c r="H166" s="117" t="s">
        <v>397</v>
      </c>
      <c r="I166" s="119" t="n">
        <v>0</v>
      </c>
      <c r="J166" s="119" t="n">
        <v>1</v>
      </c>
      <c r="K166" s="117"/>
      <c r="L166" s="117" t="s">
        <v>569</v>
      </c>
    </row>
    <row r="167" customFormat="false" ht="15" hidden="false" customHeight="false" outlineLevel="0" collapsed="false">
      <c r="A167" s="117" t="s">
        <v>492</v>
      </c>
      <c r="B167" s="117" t="s">
        <v>566</v>
      </c>
      <c r="C167" s="117" t="s">
        <v>582</v>
      </c>
      <c r="D167" s="117" t="s">
        <v>22</v>
      </c>
      <c r="E167" s="117" t="s">
        <v>175</v>
      </c>
      <c r="F167" s="118" t="s">
        <v>55</v>
      </c>
      <c r="G167" s="117" t="s">
        <v>56</v>
      </c>
      <c r="H167" s="117" t="s">
        <v>397</v>
      </c>
      <c r="I167" s="119" t="n">
        <v>0</v>
      </c>
      <c r="J167" s="119" t="n">
        <v>1</v>
      </c>
      <c r="K167" s="117"/>
      <c r="L167" s="117" t="s">
        <v>569</v>
      </c>
    </row>
    <row r="168" customFormat="false" ht="15" hidden="false" customHeight="false" outlineLevel="0" collapsed="false">
      <c r="A168" s="117" t="s">
        <v>535</v>
      </c>
      <c r="B168" s="117" t="s">
        <v>566</v>
      </c>
      <c r="C168" s="117" t="s">
        <v>582</v>
      </c>
      <c r="D168" s="117" t="s">
        <v>22</v>
      </c>
      <c r="E168" s="117" t="s">
        <v>264</v>
      </c>
      <c r="F168" s="118" t="s">
        <v>61</v>
      </c>
      <c r="G168" s="117" t="s">
        <v>62</v>
      </c>
      <c r="H168" s="117" t="s">
        <v>397</v>
      </c>
      <c r="I168" s="119" t="n">
        <v>1</v>
      </c>
      <c r="J168" s="119" t="n">
        <v>0</v>
      </c>
      <c r="K168" s="117"/>
      <c r="L168" s="117" t="s">
        <v>569</v>
      </c>
    </row>
    <row r="169" customFormat="false" ht="15" hidden="false" customHeight="false" outlineLevel="0" collapsed="false">
      <c r="A169" s="117" t="s">
        <v>537</v>
      </c>
      <c r="B169" s="117" t="s">
        <v>566</v>
      </c>
      <c r="C169" s="117" t="s">
        <v>582</v>
      </c>
      <c r="D169" s="117" t="s">
        <v>22</v>
      </c>
      <c r="E169" s="117" t="s">
        <v>289</v>
      </c>
      <c r="F169" s="118" t="s">
        <v>61</v>
      </c>
      <c r="G169" s="117" t="s">
        <v>62</v>
      </c>
      <c r="H169" s="117" t="s">
        <v>397</v>
      </c>
      <c r="I169" s="119" t="n">
        <v>1</v>
      </c>
      <c r="J169" s="119" t="n">
        <v>0</v>
      </c>
      <c r="K169" s="117"/>
      <c r="L169" s="117" t="s">
        <v>569</v>
      </c>
    </row>
    <row r="170" customFormat="false" ht="15" hidden="false" customHeight="false" outlineLevel="0" collapsed="false">
      <c r="A170" s="117" t="s">
        <v>539</v>
      </c>
      <c r="B170" s="117" t="s">
        <v>566</v>
      </c>
      <c r="C170" s="117" t="s">
        <v>582</v>
      </c>
      <c r="D170" s="117" t="s">
        <v>22</v>
      </c>
      <c r="E170" s="117" t="s">
        <v>294</v>
      </c>
      <c r="F170" s="118" t="s">
        <v>61</v>
      </c>
      <c r="G170" s="117" t="s">
        <v>62</v>
      </c>
      <c r="H170" s="117" t="s">
        <v>397</v>
      </c>
      <c r="I170" s="119" t="n">
        <v>1</v>
      </c>
      <c r="J170" s="119" t="n">
        <v>0</v>
      </c>
      <c r="K170" s="117"/>
      <c r="L170" s="117" t="s">
        <v>569</v>
      </c>
    </row>
    <row r="171" customFormat="false" ht="15" hidden="false" customHeight="false" outlineLevel="0" collapsed="false">
      <c r="A171" s="117" t="s">
        <v>541</v>
      </c>
      <c r="B171" s="117" t="s">
        <v>566</v>
      </c>
      <c r="C171" s="117" t="s">
        <v>582</v>
      </c>
      <c r="D171" s="117" t="s">
        <v>22</v>
      </c>
      <c r="E171" s="117" t="s">
        <v>277</v>
      </c>
      <c r="F171" s="118" t="s">
        <v>61</v>
      </c>
      <c r="G171" s="117" t="s">
        <v>62</v>
      </c>
      <c r="H171" s="117" t="s">
        <v>397</v>
      </c>
      <c r="I171" s="119" t="n">
        <v>1</v>
      </c>
      <c r="J171" s="119" t="n">
        <v>0</v>
      </c>
      <c r="K171" s="117"/>
      <c r="L171" s="117" t="s">
        <v>569</v>
      </c>
    </row>
    <row r="172" customFormat="false" ht="15" hidden="false" customHeight="false" outlineLevel="0" collapsed="false">
      <c r="A172" s="117" t="s">
        <v>543</v>
      </c>
      <c r="B172" s="117" t="s">
        <v>566</v>
      </c>
      <c r="C172" s="117" t="s">
        <v>582</v>
      </c>
      <c r="D172" s="117" t="s">
        <v>22</v>
      </c>
      <c r="E172" s="117" t="s">
        <v>257</v>
      </c>
      <c r="F172" s="118" t="s">
        <v>61</v>
      </c>
      <c r="G172" s="117" t="s">
        <v>62</v>
      </c>
      <c r="H172" s="117" t="s">
        <v>397</v>
      </c>
      <c r="I172" s="119" t="n">
        <v>1</v>
      </c>
      <c r="J172" s="119" t="n">
        <v>0</v>
      </c>
      <c r="K172" s="117"/>
      <c r="L172" s="117" t="s">
        <v>569</v>
      </c>
    </row>
    <row r="173" customFormat="false" ht="15" hidden="false" customHeight="false" outlineLevel="0" collapsed="false">
      <c r="A173" s="117" t="s">
        <v>545</v>
      </c>
      <c r="B173" s="117" t="s">
        <v>566</v>
      </c>
      <c r="C173" s="117" t="s">
        <v>582</v>
      </c>
      <c r="D173" s="117" t="s">
        <v>22</v>
      </c>
      <c r="E173" s="117" t="s">
        <v>383</v>
      </c>
      <c r="F173" s="118" t="s">
        <v>61</v>
      </c>
      <c r="G173" s="117" t="s">
        <v>62</v>
      </c>
      <c r="H173" s="117" t="s">
        <v>397</v>
      </c>
      <c r="I173" s="119" t="n">
        <v>0</v>
      </c>
      <c r="J173" s="119" t="n">
        <v>1</v>
      </c>
      <c r="K173" s="117"/>
      <c r="L173" s="117" t="s">
        <v>569</v>
      </c>
    </row>
    <row r="174" customFormat="false" ht="15" hidden="false" customHeight="false" outlineLevel="0" collapsed="false">
      <c r="A174" s="117" t="s">
        <v>547</v>
      </c>
      <c r="B174" s="117" t="s">
        <v>566</v>
      </c>
      <c r="C174" s="117" t="s">
        <v>582</v>
      </c>
      <c r="D174" s="117" t="s">
        <v>22</v>
      </c>
      <c r="E174" s="117" t="s">
        <v>307</v>
      </c>
      <c r="F174" s="118" t="s">
        <v>61</v>
      </c>
      <c r="G174" s="117" t="s">
        <v>62</v>
      </c>
      <c r="H174" s="117" t="s">
        <v>397</v>
      </c>
      <c r="I174" s="119" t="n">
        <v>0</v>
      </c>
      <c r="J174" s="119" t="n">
        <v>1</v>
      </c>
      <c r="K174" s="117"/>
      <c r="L174" s="117" t="s">
        <v>569</v>
      </c>
    </row>
    <row r="175" customFormat="false" ht="15" hidden="false" customHeight="false" outlineLevel="0" collapsed="false">
      <c r="A175" s="117" t="s">
        <v>549</v>
      </c>
      <c r="B175" s="117" t="s">
        <v>566</v>
      </c>
      <c r="C175" s="117" t="s">
        <v>582</v>
      </c>
      <c r="D175" s="117" t="s">
        <v>22</v>
      </c>
      <c r="E175" s="117" t="s">
        <v>283</v>
      </c>
      <c r="F175" s="118" t="s">
        <v>61</v>
      </c>
      <c r="G175" s="117" t="s">
        <v>62</v>
      </c>
      <c r="H175" s="117" t="s">
        <v>397</v>
      </c>
      <c r="I175" s="119" t="n">
        <v>0</v>
      </c>
      <c r="J175" s="119" t="n">
        <v>1</v>
      </c>
      <c r="K175" s="117"/>
      <c r="L175" s="117" t="s">
        <v>569</v>
      </c>
    </row>
    <row r="176" customFormat="false" ht="15" hidden="false" customHeight="false" outlineLevel="0" collapsed="false">
      <c r="A176" s="117" t="s">
        <v>551</v>
      </c>
      <c r="B176" s="117" t="s">
        <v>566</v>
      </c>
      <c r="C176" s="117" t="s">
        <v>582</v>
      </c>
      <c r="D176" s="117" t="s">
        <v>22</v>
      </c>
      <c r="E176" s="117" t="s">
        <v>271</v>
      </c>
      <c r="F176" s="118" t="s">
        <v>61</v>
      </c>
      <c r="G176" s="117" t="s">
        <v>62</v>
      </c>
      <c r="H176" s="117" t="s">
        <v>397</v>
      </c>
      <c r="I176" s="119" t="n">
        <v>0</v>
      </c>
      <c r="J176" s="119" t="n">
        <v>1</v>
      </c>
      <c r="K176" s="117"/>
      <c r="L176" s="117" t="s">
        <v>569</v>
      </c>
    </row>
    <row r="177" customFormat="false" ht="15" hidden="false" customHeight="false" outlineLevel="0" collapsed="false">
      <c r="A177" s="117" t="s">
        <v>552</v>
      </c>
      <c r="B177" s="117" t="s">
        <v>566</v>
      </c>
      <c r="C177" s="117" t="s">
        <v>582</v>
      </c>
      <c r="D177" s="117" t="s">
        <v>22</v>
      </c>
      <c r="E177" s="117" t="s">
        <v>300</v>
      </c>
      <c r="F177" s="118" t="s">
        <v>61</v>
      </c>
      <c r="G177" s="117" t="s">
        <v>62</v>
      </c>
      <c r="H177" s="117" t="s">
        <v>397</v>
      </c>
      <c r="I177" s="119" t="n">
        <v>0</v>
      </c>
      <c r="J177" s="119" t="n">
        <v>1</v>
      </c>
      <c r="K177" s="117"/>
      <c r="L177" s="117" t="s">
        <v>569</v>
      </c>
    </row>
    <row r="178" customFormat="false" ht="15" hidden="false" customHeight="false" outlineLevel="0" collapsed="false">
      <c r="A178" s="117" t="s">
        <v>585</v>
      </c>
      <c r="B178" s="117" t="s">
        <v>566</v>
      </c>
      <c r="C178" s="117" t="s">
        <v>582</v>
      </c>
      <c r="D178" s="117" t="s">
        <v>22</v>
      </c>
      <c r="E178" s="117" t="s">
        <v>206</v>
      </c>
      <c r="F178" s="118" t="s">
        <v>49</v>
      </c>
      <c r="G178" s="117" t="s">
        <v>50</v>
      </c>
      <c r="H178" s="117" t="s">
        <v>397</v>
      </c>
      <c r="I178" s="119" t="n">
        <v>0</v>
      </c>
      <c r="J178" s="119" t="n">
        <v>1</v>
      </c>
      <c r="K178" s="117"/>
      <c r="L178" s="117" t="s">
        <v>569</v>
      </c>
    </row>
    <row r="179" customFormat="false" ht="15" hidden="false" customHeight="false" outlineLevel="0" collapsed="false">
      <c r="A179" s="117" t="s">
        <v>586</v>
      </c>
      <c r="B179" s="117" t="s">
        <v>566</v>
      </c>
      <c r="C179" s="117" t="s">
        <v>582</v>
      </c>
      <c r="D179" s="117" t="s">
        <v>22</v>
      </c>
      <c r="E179" s="117" t="s">
        <v>211</v>
      </c>
      <c r="F179" s="118" t="s">
        <v>49</v>
      </c>
      <c r="G179" s="117" t="s">
        <v>50</v>
      </c>
      <c r="H179" s="117" t="s">
        <v>397</v>
      </c>
      <c r="I179" s="119" t="n">
        <v>0</v>
      </c>
      <c r="J179" s="119" t="n">
        <v>1</v>
      </c>
      <c r="K179" s="117"/>
      <c r="L179" s="117" t="s">
        <v>569</v>
      </c>
    </row>
    <row r="180" customFormat="false" ht="15" hidden="false" customHeight="false" outlineLevel="0" collapsed="false">
      <c r="A180" s="117" t="s">
        <v>587</v>
      </c>
      <c r="B180" s="117" t="s">
        <v>566</v>
      </c>
      <c r="C180" s="117" t="s">
        <v>582</v>
      </c>
      <c r="D180" s="117" t="s">
        <v>22</v>
      </c>
      <c r="E180" s="117" t="s">
        <v>218</v>
      </c>
      <c r="F180" s="118" t="s">
        <v>49</v>
      </c>
      <c r="G180" s="117" t="s">
        <v>50</v>
      </c>
      <c r="H180" s="117" t="s">
        <v>397</v>
      </c>
      <c r="I180" s="119" t="n">
        <v>1</v>
      </c>
      <c r="J180" s="119" t="n">
        <v>1</v>
      </c>
      <c r="K180" s="117"/>
      <c r="L180" s="117" t="s">
        <v>569</v>
      </c>
    </row>
    <row r="181" customFormat="false" ht="15" hidden="false" customHeight="false" outlineLevel="0" collapsed="false">
      <c r="A181" s="117" t="s">
        <v>588</v>
      </c>
      <c r="B181" s="117" t="s">
        <v>566</v>
      </c>
      <c r="C181" s="117" t="s">
        <v>582</v>
      </c>
      <c r="D181" s="117" t="s">
        <v>22</v>
      </c>
      <c r="E181" s="117" t="s">
        <v>209</v>
      </c>
      <c r="F181" s="118" t="s">
        <v>49</v>
      </c>
      <c r="G181" s="117" t="s">
        <v>50</v>
      </c>
      <c r="H181" s="117" t="s">
        <v>397</v>
      </c>
      <c r="I181" s="119" t="n">
        <v>1</v>
      </c>
      <c r="J181" s="119" t="n">
        <v>0</v>
      </c>
      <c r="K181" s="117"/>
      <c r="L181" s="117" t="s">
        <v>569</v>
      </c>
    </row>
    <row r="182" customFormat="false" ht="15" hidden="false" customHeight="false" outlineLevel="0" collapsed="false">
      <c r="A182" s="117" t="s">
        <v>553</v>
      </c>
      <c r="B182" s="117" t="s">
        <v>566</v>
      </c>
      <c r="C182" s="117" t="s">
        <v>582</v>
      </c>
      <c r="D182" s="117" t="s">
        <v>22</v>
      </c>
      <c r="E182" s="117" t="s">
        <v>216</v>
      </c>
      <c r="F182" s="118" t="s">
        <v>49</v>
      </c>
      <c r="G182" s="117" t="s">
        <v>50</v>
      </c>
      <c r="H182" s="117" t="s">
        <v>397</v>
      </c>
      <c r="I182" s="119" t="n">
        <v>1</v>
      </c>
      <c r="J182" s="119" t="n">
        <v>0</v>
      </c>
      <c r="K182" s="117"/>
      <c r="L182" s="117" t="s">
        <v>569</v>
      </c>
    </row>
    <row r="183" customFormat="false" ht="15" hidden="false" customHeight="false" outlineLevel="0" collapsed="false">
      <c r="A183" s="117" t="s">
        <v>589</v>
      </c>
      <c r="B183" s="117" t="s">
        <v>566</v>
      </c>
      <c r="C183" s="117" t="s">
        <v>582</v>
      </c>
      <c r="D183" s="117" t="s">
        <v>22</v>
      </c>
      <c r="E183" s="117" t="s">
        <v>214</v>
      </c>
      <c r="F183" s="118" t="s">
        <v>49</v>
      </c>
      <c r="G183" s="117" t="s">
        <v>50</v>
      </c>
      <c r="H183" s="117" t="s">
        <v>397</v>
      </c>
      <c r="I183" s="119" t="n">
        <v>1</v>
      </c>
      <c r="J183" s="119" t="n">
        <v>0</v>
      </c>
      <c r="K183" s="117"/>
      <c r="L183" s="117" t="s">
        <v>569</v>
      </c>
    </row>
    <row r="184" customFormat="false" ht="15" hidden="false" customHeight="false" outlineLevel="0" collapsed="false">
      <c r="A184" s="117" t="s">
        <v>590</v>
      </c>
      <c r="B184" s="117" t="s">
        <v>566</v>
      </c>
      <c r="C184" s="117" t="s">
        <v>582</v>
      </c>
      <c r="D184" s="117" t="s">
        <v>22</v>
      </c>
      <c r="E184" s="117" t="s">
        <v>342</v>
      </c>
      <c r="F184" s="118" t="s">
        <v>63</v>
      </c>
      <c r="G184" s="117" t="s">
        <v>64</v>
      </c>
      <c r="H184" s="117" t="s">
        <v>397</v>
      </c>
      <c r="I184" s="119" t="n">
        <v>1</v>
      </c>
      <c r="J184" s="119" t="n">
        <v>0</v>
      </c>
      <c r="K184" s="117"/>
      <c r="L184" s="117" t="s">
        <v>569</v>
      </c>
    </row>
    <row r="185" customFormat="false" ht="15" hidden="false" customHeight="false" outlineLevel="0" collapsed="false">
      <c r="A185" s="117" t="s">
        <v>591</v>
      </c>
      <c r="B185" s="117" t="s">
        <v>566</v>
      </c>
      <c r="C185" s="117" t="s">
        <v>582</v>
      </c>
      <c r="D185" s="117" t="s">
        <v>22</v>
      </c>
      <c r="E185" s="117" t="s">
        <v>309</v>
      </c>
      <c r="F185" s="118" t="s">
        <v>63</v>
      </c>
      <c r="G185" s="117" t="s">
        <v>64</v>
      </c>
      <c r="H185" s="117" t="s">
        <v>397</v>
      </c>
      <c r="I185" s="119" t="n">
        <v>1</v>
      </c>
      <c r="J185" s="119" t="n">
        <v>0</v>
      </c>
      <c r="K185" s="117"/>
      <c r="L185" s="117" t="s">
        <v>569</v>
      </c>
    </row>
    <row r="186" customFormat="false" ht="15" hidden="false" customHeight="false" outlineLevel="0" collapsed="false">
      <c r="A186" s="117" t="s">
        <v>592</v>
      </c>
      <c r="B186" s="117" t="s">
        <v>566</v>
      </c>
      <c r="C186" s="117" t="s">
        <v>582</v>
      </c>
      <c r="D186" s="117" t="s">
        <v>22</v>
      </c>
      <c r="E186" s="117" t="s">
        <v>368</v>
      </c>
      <c r="F186" s="118" t="s">
        <v>63</v>
      </c>
      <c r="G186" s="117" t="s">
        <v>64</v>
      </c>
      <c r="H186" s="117" t="s">
        <v>397</v>
      </c>
      <c r="I186" s="119" t="n">
        <v>1</v>
      </c>
      <c r="J186" s="119" t="n">
        <v>0</v>
      </c>
      <c r="K186" s="117"/>
      <c r="L186" s="117" t="s">
        <v>569</v>
      </c>
    </row>
    <row r="187" customFormat="false" ht="15" hidden="false" customHeight="false" outlineLevel="0" collapsed="false">
      <c r="A187" s="117" t="s">
        <v>593</v>
      </c>
      <c r="B187" s="117" t="s">
        <v>566</v>
      </c>
      <c r="C187" s="117" t="s">
        <v>582</v>
      </c>
      <c r="D187" s="117" t="s">
        <v>22</v>
      </c>
      <c r="E187" s="117" t="s">
        <v>335</v>
      </c>
      <c r="F187" s="118" t="s">
        <v>63</v>
      </c>
      <c r="G187" s="117" t="s">
        <v>64</v>
      </c>
      <c r="H187" s="117" t="s">
        <v>397</v>
      </c>
      <c r="I187" s="119" t="n">
        <v>1</v>
      </c>
      <c r="J187" s="119" t="n">
        <v>0</v>
      </c>
      <c r="K187" s="117"/>
      <c r="L187" s="117" t="s">
        <v>569</v>
      </c>
    </row>
    <row r="188" customFormat="false" ht="15" hidden="false" customHeight="false" outlineLevel="0" collapsed="false">
      <c r="A188" s="117" t="s">
        <v>594</v>
      </c>
      <c r="B188" s="117" t="s">
        <v>566</v>
      </c>
      <c r="C188" s="117" t="s">
        <v>582</v>
      </c>
      <c r="D188" s="117" t="s">
        <v>22</v>
      </c>
      <c r="E188" s="117" t="s">
        <v>348</v>
      </c>
      <c r="F188" s="118" t="s">
        <v>63</v>
      </c>
      <c r="G188" s="117" t="s">
        <v>64</v>
      </c>
      <c r="H188" s="117" t="s">
        <v>397</v>
      </c>
      <c r="I188" s="119" t="n">
        <v>1</v>
      </c>
      <c r="J188" s="119" t="n">
        <v>0</v>
      </c>
      <c r="K188" s="117"/>
      <c r="L188" s="117" t="s">
        <v>569</v>
      </c>
    </row>
    <row r="189" customFormat="false" ht="15" hidden="false" customHeight="false" outlineLevel="0" collapsed="false">
      <c r="A189" s="117" t="s">
        <v>595</v>
      </c>
      <c r="B189" s="117" t="s">
        <v>566</v>
      </c>
      <c r="C189" s="117" t="s">
        <v>582</v>
      </c>
      <c r="D189" s="117" t="s">
        <v>22</v>
      </c>
      <c r="E189" s="117" t="s">
        <v>315</v>
      </c>
      <c r="F189" s="118" t="s">
        <v>63</v>
      </c>
      <c r="G189" s="117" t="s">
        <v>64</v>
      </c>
      <c r="H189" s="117" t="s">
        <v>397</v>
      </c>
      <c r="I189" s="119" t="n">
        <v>0</v>
      </c>
      <c r="J189" s="119" t="n">
        <v>1</v>
      </c>
      <c r="K189" s="117"/>
      <c r="L189" s="117" t="s">
        <v>569</v>
      </c>
    </row>
    <row r="190" customFormat="false" ht="15" hidden="false" customHeight="false" outlineLevel="0" collapsed="false">
      <c r="A190" s="117" t="s">
        <v>596</v>
      </c>
      <c r="B190" s="117" t="s">
        <v>566</v>
      </c>
      <c r="C190" s="117" t="s">
        <v>582</v>
      </c>
      <c r="D190" s="117" t="s">
        <v>22</v>
      </c>
      <c r="E190" s="117" t="s">
        <v>355</v>
      </c>
      <c r="F190" s="118" t="s">
        <v>63</v>
      </c>
      <c r="G190" s="117" t="s">
        <v>64</v>
      </c>
      <c r="H190" s="117" t="s">
        <v>397</v>
      </c>
      <c r="I190" s="119" t="n">
        <v>0</v>
      </c>
      <c r="J190" s="119" t="n">
        <v>1</v>
      </c>
      <c r="K190" s="117"/>
      <c r="L190" s="117" t="s">
        <v>569</v>
      </c>
    </row>
    <row r="191" customFormat="false" ht="15" hidden="false" customHeight="false" outlineLevel="0" collapsed="false">
      <c r="A191" s="117" t="s">
        <v>597</v>
      </c>
      <c r="B191" s="117" t="s">
        <v>566</v>
      </c>
      <c r="C191" s="117" t="s">
        <v>582</v>
      </c>
      <c r="D191" s="117" t="s">
        <v>22</v>
      </c>
      <c r="E191" s="117" t="s">
        <v>321</v>
      </c>
      <c r="F191" s="118" t="s">
        <v>63</v>
      </c>
      <c r="G191" s="117" t="s">
        <v>64</v>
      </c>
      <c r="H191" s="117" t="s">
        <v>397</v>
      </c>
      <c r="I191" s="119" t="n">
        <v>0</v>
      </c>
      <c r="J191" s="119" t="n">
        <v>1</v>
      </c>
      <c r="K191" s="117"/>
      <c r="L191" s="117" t="s">
        <v>569</v>
      </c>
    </row>
    <row r="192" customFormat="false" ht="15" hidden="false" customHeight="false" outlineLevel="0" collapsed="false">
      <c r="A192" s="117" t="s">
        <v>598</v>
      </c>
      <c r="B192" s="117" t="s">
        <v>566</v>
      </c>
      <c r="C192" s="117" t="s">
        <v>582</v>
      </c>
      <c r="D192" s="117" t="s">
        <v>22</v>
      </c>
      <c r="E192" s="117" t="s">
        <v>328</v>
      </c>
      <c r="F192" s="118" t="s">
        <v>63</v>
      </c>
      <c r="G192" s="117" t="s">
        <v>64</v>
      </c>
      <c r="H192" s="117" t="s">
        <v>397</v>
      </c>
      <c r="I192" s="119" t="n">
        <v>0</v>
      </c>
      <c r="J192" s="119" t="n">
        <v>1</v>
      </c>
      <c r="K192" s="117"/>
      <c r="L192" s="117" t="s">
        <v>569</v>
      </c>
    </row>
    <row r="193" customFormat="false" ht="15" hidden="false" customHeight="false" outlineLevel="0" collapsed="false">
      <c r="A193" s="117" t="s">
        <v>599</v>
      </c>
      <c r="B193" s="117" t="s">
        <v>566</v>
      </c>
      <c r="C193" s="117" t="s">
        <v>582</v>
      </c>
      <c r="D193" s="117" t="s">
        <v>22</v>
      </c>
      <c r="E193" s="117" t="s">
        <v>362</v>
      </c>
      <c r="F193" s="118" t="s">
        <v>63</v>
      </c>
      <c r="G193" s="117" t="s">
        <v>64</v>
      </c>
      <c r="H193" s="117" t="s">
        <v>397</v>
      </c>
      <c r="I193" s="119" t="n">
        <v>0</v>
      </c>
      <c r="J193" s="119" t="n">
        <v>1</v>
      </c>
      <c r="K193" s="117"/>
      <c r="L193" s="117" t="s">
        <v>569</v>
      </c>
    </row>
    <row r="194" customFormat="false" ht="15" hidden="false" customHeight="false" outlineLevel="0" collapsed="false">
      <c r="A194" s="117" t="s">
        <v>600</v>
      </c>
      <c r="B194" s="117" t="s">
        <v>566</v>
      </c>
      <c r="C194" s="117" t="s">
        <v>582</v>
      </c>
      <c r="D194" s="117" t="s">
        <v>22</v>
      </c>
      <c r="E194" s="117" t="s">
        <v>601</v>
      </c>
      <c r="F194" s="118" t="s">
        <v>123</v>
      </c>
      <c r="G194" s="117" t="s">
        <v>124</v>
      </c>
      <c r="H194" s="117" t="s">
        <v>397</v>
      </c>
      <c r="I194" s="119" t="n">
        <v>0</v>
      </c>
      <c r="J194" s="119" t="n">
        <v>1</v>
      </c>
      <c r="K194" s="117"/>
      <c r="L194" s="117" t="s">
        <v>569</v>
      </c>
    </row>
    <row r="195" customFormat="false" ht="15" hidden="false" customHeight="false" outlineLevel="0" collapsed="false">
      <c r="A195" s="117" t="s">
        <v>602</v>
      </c>
      <c r="B195" s="117" t="s">
        <v>566</v>
      </c>
      <c r="C195" s="117" t="s">
        <v>582</v>
      </c>
      <c r="D195" s="117" t="s">
        <v>22</v>
      </c>
      <c r="E195" s="117" t="s">
        <v>603</v>
      </c>
      <c r="F195" s="118" t="s">
        <v>123</v>
      </c>
      <c r="G195" s="117" t="s">
        <v>124</v>
      </c>
      <c r="H195" s="117" t="s">
        <v>397</v>
      </c>
      <c r="I195" s="119" t="n">
        <v>1</v>
      </c>
      <c r="J195" s="119" t="n">
        <v>0</v>
      </c>
      <c r="K195" s="117"/>
      <c r="L195" s="117" t="s">
        <v>569</v>
      </c>
    </row>
    <row r="196" customFormat="false" ht="15" hidden="false" customHeight="false" outlineLevel="0" collapsed="false">
      <c r="A196" s="117" t="s">
        <v>604</v>
      </c>
      <c r="B196" s="117" t="s">
        <v>566</v>
      </c>
      <c r="C196" s="117" t="s">
        <v>582</v>
      </c>
      <c r="D196" s="117" t="s">
        <v>22</v>
      </c>
      <c r="E196" s="117" t="s">
        <v>605</v>
      </c>
      <c r="F196" s="118" t="s">
        <v>151</v>
      </c>
      <c r="G196" s="117" t="s">
        <v>152</v>
      </c>
      <c r="H196" s="117" t="s">
        <v>397</v>
      </c>
      <c r="I196" s="119" t="n">
        <v>1</v>
      </c>
      <c r="J196" s="119" t="n">
        <v>0</v>
      </c>
      <c r="K196" s="117"/>
      <c r="L196" s="117" t="s">
        <v>569</v>
      </c>
    </row>
    <row r="197" customFormat="false" ht="15" hidden="false" customHeight="false" outlineLevel="0" collapsed="false">
      <c r="A197" s="117" t="s">
        <v>606</v>
      </c>
      <c r="B197" s="117" t="s">
        <v>566</v>
      </c>
      <c r="C197" s="117" t="s">
        <v>582</v>
      </c>
      <c r="D197" s="117" t="s">
        <v>22</v>
      </c>
      <c r="E197" s="117" t="s">
        <v>221</v>
      </c>
      <c r="F197" s="118" t="s">
        <v>57</v>
      </c>
      <c r="G197" s="117" t="s">
        <v>58</v>
      </c>
      <c r="H197" s="117" t="s">
        <v>397</v>
      </c>
      <c r="I197" s="119" t="n">
        <v>1</v>
      </c>
      <c r="J197" s="119" t="n">
        <v>1</v>
      </c>
      <c r="K197" s="117"/>
      <c r="L197" s="117" t="s">
        <v>569</v>
      </c>
    </row>
    <row r="198" customFormat="false" ht="15" hidden="false" customHeight="false" outlineLevel="0" collapsed="false">
      <c r="A198" s="117" t="s">
        <v>607</v>
      </c>
      <c r="B198" s="117" t="s">
        <v>566</v>
      </c>
      <c r="C198" s="117" t="s">
        <v>582</v>
      </c>
      <c r="D198" s="117" t="s">
        <v>22</v>
      </c>
      <c r="E198" s="117" t="s">
        <v>223</v>
      </c>
      <c r="F198" s="118" t="s">
        <v>57</v>
      </c>
      <c r="G198" s="117" t="s">
        <v>58</v>
      </c>
      <c r="H198" s="117" t="s">
        <v>397</v>
      </c>
      <c r="I198" s="119" t="n">
        <v>0</v>
      </c>
      <c r="J198" s="119" t="n">
        <v>1</v>
      </c>
      <c r="K198" s="117"/>
      <c r="L198" s="117" t="s">
        <v>569</v>
      </c>
    </row>
    <row r="199" customFormat="false" ht="15" hidden="false" customHeight="false" outlineLevel="0" collapsed="false">
      <c r="A199" s="117" t="s">
        <v>608</v>
      </c>
      <c r="B199" s="117" t="s">
        <v>566</v>
      </c>
      <c r="C199" s="117" t="s">
        <v>582</v>
      </c>
      <c r="D199" s="117" t="s">
        <v>22</v>
      </c>
      <c r="E199" s="117" t="s">
        <v>220</v>
      </c>
      <c r="F199" s="118" t="s">
        <v>57</v>
      </c>
      <c r="G199" s="117" t="s">
        <v>58</v>
      </c>
      <c r="H199" s="117" t="s">
        <v>397</v>
      </c>
      <c r="I199" s="119" t="n">
        <v>0</v>
      </c>
      <c r="J199" s="119" t="n">
        <v>1</v>
      </c>
      <c r="K199" s="117"/>
      <c r="L199" s="117" t="s">
        <v>569</v>
      </c>
    </row>
    <row r="200" customFormat="false" ht="15" hidden="false" customHeight="false" outlineLevel="0" collapsed="false">
      <c r="A200" s="117" t="s">
        <v>609</v>
      </c>
      <c r="B200" s="117" t="s">
        <v>566</v>
      </c>
      <c r="C200" s="117" t="s">
        <v>582</v>
      </c>
      <c r="D200" s="117" t="s">
        <v>22</v>
      </c>
      <c r="E200" s="117" t="s">
        <v>217</v>
      </c>
      <c r="F200" s="118" t="s">
        <v>57</v>
      </c>
      <c r="G200" s="117" t="s">
        <v>58</v>
      </c>
      <c r="H200" s="117" t="s">
        <v>397</v>
      </c>
      <c r="I200" s="119" t="n">
        <v>1</v>
      </c>
      <c r="J200" s="119" t="n">
        <v>0</v>
      </c>
      <c r="K200" s="117"/>
      <c r="L200" s="117" t="s">
        <v>569</v>
      </c>
    </row>
    <row r="201" customFormat="false" ht="15" hidden="false" customHeight="false" outlineLevel="0" collapsed="false">
      <c r="A201" s="117" t="s">
        <v>610</v>
      </c>
      <c r="B201" s="117" t="s">
        <v>566</v>
      </c>
      <c r="C201" s="117" t="s">
        <v>582</v>
      </c>
      <c r="D201" s="117" t="s">
        <v>22</v>
      </c>
      <c r="E201" s="117" t="s">
        <v>219</v>
      </c>
      <c r="F201" s="118" t="s">
        <v>57</v>
      </c>
      <c r="G201" s="117" t="s">
        <v>58</v>
      </c>
      <c r="H201" s="117" t="s">
        <v>397</v>
      </c>
      <c r="I201" s="119" t="n">
        <v>1</v>
      </c>
      <c r="J201" s="119" t="n">
        <v>0</v>
      </c>
      <c r="K201" s="117"/>
      <c r="L201" s="117" t="s">
        <v>569</v>
      </c>
    </row>
    <row r="202" customFormat="false" ht="15" hidden="false" customHeight="false" outlineLevel="0" collapsed="false">
      <c r="A202" s="117" t="s">
        <v>611</v>
      </c>
      <c r="B202" s="117" t="s">
        <v>566</v>
      </c>
      <c r="C202" s="117" t="s">
        <v>582</v>
      </c>
      <c r="D202" s="117" t="s">
        <v>22</v>
      </c>
      <c r="E202" s="117" t="s">
        <v>225</v>
      </c>
      <c r="F202" s="118" t="s">
        <v>57</v>
      </c>
      <c r="G202" s="117" t="s">
        <v>58</v>
      </c>
      <c r="H202" s="117" t="s">
        <v>397</v>
      </c>
      <c r="I202" s="119" t="n">
        <v>1</v>
      </c>
      <c r="J202" s="119" t="n">
        <v>0</v>
      </c>
      <c r="K202" s="117"/>
      <c r="L202" s="117" t="s">
        <v>569</v>
      </c>
    </row>
    <row r="203" customFormat="false" ht="15" hidden="false" customHeight="false" outlineLevel="0" collapsed="false">
      <c r="A203" s="117" t="s">
        <v>612</v>
      </c>
      <c r="B203" s="117" t="s">
        <v>566</v>
      </c>
      <c r="C203" s="117" t="s">
        <v>582</v>
      </c>
      <c r="D203" s="117" t="s">
        <v>22</v>
      </c>
      <c r="E203" s="117" t="s">
        <v>280</v>
      </c>
      <c r="F203" s="118" t="s">
        <v>53</v>
      </c>
      <c r="G203" s="117" t="s">
        <v>54</v>
      </c>
      <c r="H203" s="117" t="s">
        <v>397</v>
      </c>
      <c r="I203" s="119" t="n">
        <v>0</v>
      </c>
      <c r="J203" s="119" t="n">
        <v>1</v>
      </c>
      <c r="K203" s="117"/>
      <c r="L203" s="117" t="s">
        <v>569</v>
      </c>
    </row>
    <row r="204" customFormat="false" ht="15" hidden="false" customHeight="false" outlineLevel="0" collapsed="false">
      <c r="A204" s="117" t="s">
        <v>613</v>
      </c>
      <c r="B204" s="117" t="s">
        <v>614</v>
      </c>
      <c r="C204" s="117" t="s">
        <v>615</v>
      </c>
      <c r="D204" s="117" t="s">
        <v>27</v>
      </c>
      <c r="E204" s="117" t="s">
        <v>616</v>
      </c>
      <c r="F204" s="118" t="s">
        <v>127</v>
      </c>
      <c r="G204" s="117" t="s">
        <v>128</v>
      </c>
      <c r="H204" s="117" t="s">
        <v>397</v>
      </c>
      <c r="I204" s="119" t="n">
        <v>1</v>
      </c>
      <c r="J204" s="119" t="n">
        <v>0</v>
      </c>
      <c r="K204" s="117"/>
      <c r="L204" s="117" t="s">
        <v>569</v>
      </c>
    </row>
    <row r="205" customFormat="false" ht="15" hidden="false" customHeight="false" outlineLevel="0" collapsed="false">
      <c r="A205" s="117" t="s">
        <v>617</v>
      </c>
      <c r="B205" s="117" t="s">
        <v>614</v>
      </c>
      <c r="C205" s="117" t="s">
        <v>618</v>
      </c>
      <c r="D205" s="117" t="s">
        <v>18</v>
      </c>
      <c r="E205" s="117" t="s">
        <v>619</v>
      </c>
      <c r="F205" s="118" t="s">
        <v>87</v>
      </c>
      <c r="G205" s="117" t="s">
        <v>88</v>
      </c>
      <c r="H205" s="117" t="s">
        <v>397</v>
      </c>
      <c r="I205" s="119" t="n">
        <v>1</v>
      </c>
      <c r="J205" s="119" t="n">
        <v>0</v>
      </c>
      <c r="K205" s="117"/>
      <c r="L205" s="117" t="s">
        <v>569</v>
      </c>
    </row>
    <row r="206" customFormat="false" ht="15" hidden="false" customHeight="false" outlineLevel="0" collapsed="false">
      <c r="A206" s="117" t="s">
        <v>620</v>
      </c>
      <c r="B206" s="117" t="s">
        <v>614</v>
      </c>
      <c r="C206" s="117" t="s">
        <v>621</v>
      </c>
      <c r="D206" s="117" t="s">
        <v>41</v>
      </c>
      <c r="E206" s="117" t="s">
        <v>622</v>
      </c>
      <c r="F206" s="118" t="s">
        <v>71</v>
      </c>
      <c r="G206" s="117" t="s">
        <v>72</v>
      </c>
      <c r="H206" s="117" t="s">
        <v>397</v>
      </c>
      <c r="I206" s="119" t="n">
        <v>0</v>
      </c>
      <c r="J206" s="119" t="n">
        <v>1</v>
      </c>
      <c r="K206" s="117"/>
      <c r="L206" s="117" t="s">
        <v>569</v>
      </c>
    </row>
    <row r="207" customFormat="false" ht="15" hidden="false" customHeight="false" outlineLevel="0" collapsed="false">
      <c r="A207" s="117" t="s">
        <v>623</v>
      </c>
      <c r="B207" s="117" t="s">
        <v>614</v>
      </c>
      <c r="C207" s="117" t="s">
        <v>44</v>
      </c>
      <c r="D207" s="117" t="s">
        <v>44</v>
      </c>
      <c r="E207" s="117" t="s">
        <v>624</v>
      </c>
      <c r="F207" s="118" t="s">
        <v>71</v>
      </c>
      <c r="G207" s="117" t="s">
        <v>72</v>
      </c>
      <c r="H207" s="117" t="s">
        <v>397</v>
      </c>
      <c r="I207" s="119" t="n">
        <v>1</v>
      </c>
      <c r="J207" s="119" t="n">
        <v>0</v>
      </c>
      <c r="K207" s="117"/>
      <c r="L207" s="117" t="s">
        <v>569</v>
      </c>
    </row>
    <row r="208" customFormat="false" ht="15" hidden="false" customHeight="false" outlineLevel="0" collapsed="false">
      <c r="A208" s="117" t="s">
        <v>625</v>
      </c>
      <c r="B208" s="117" t="s">
        <v>614</v>
      </c>
      <c r="C208" s="117" t="s">
        <v>626</v>
      </c>
      <c r="D208" s="117" t="s">
        <v>25</v>
      </c>
      <c r="E208" s="117" t="s">
        <v>627</v>
      </c>
      <c r="F208" s="118" t="s">
        <v>69</v>
      </c>
      <c r="G208" s="117" t="s">
        <v>70</v>
      </c>
      <c r="H208" s="117" t="s">
        <v>397</v>
      </c>
      <c r="I208" s="119" t="n">
        <v>1</v>
      </c>
      <c r="J208" s="119" t="n">
        <v>0</v>
      </c>
      <c r="K208" s="117"/>
      <c r="L208" s="117" t="s">
        <v>569</v>
      </c>
    </row>
    <row r="209" customFormat="false" ht="15" hidden="false" customHeight="false" outlineLevel="0" collapsed="false">
      <c r="A209" s="117" t="s">
        <v>414</v>
      </c>
      <c r="B209" s="117" t="s">
        <v>614</v>
      </c>
      <c r="C209" s="117" t="s">
        <v>14</v>
      </c>
      <c r="D209" s="117" t="s">
        <v>14</v>
      </c>
      <c r="E209" s="117" t="s">
        <v>628</v>
      </c>
      <c r="F209" s="118" t="s">
        <v>71</v>
      </c>
      <c r="G209" s="117" t="s">
        <v>72</v>
      </c>
      <c r="H209" s="117" t="s">
        <v>397</v>
      </c>
      <c r="I209" s="119" t="n">
        <v>1</v>
      </c>
      <c r="J209" s="119" t="n">
        <v>0</v>
      </c>
      <c r="K209" s="117"/>
      <c r="L209" s="117" t="s">
        <v>569</v>
      </c>
    </row>
    <row r="210" customFormat="false" ht="15" hidden="false" customHeight="false" outlineLevel="0" collapsed="false">
      <c r="A210" s="117" t="s">
        <v>629</v>
      </c>
      <c r="B210" s="117" t="s">
        <v>614</v>
      </c>
      <c r="C210" s="117" t="s">
        <v>14</v>
      </c>
      <c r="D210" s="117" t="s">
        <v>14</v>
      </c>
      <c r="E210" s="117" t="s">
        <v>630</v>
      </c>
      <c r="F210" s="118" t="s">
        <v>141</v>
      </c>
      <c r="G210" s="117" t="s">
        <v>142</v>
      </c>
      <c r="H210" s="117" t="s">
        <v>397</v>
      </c>
      <c r="I210" s="119" t="n">
        <v>1</v>
      </c>
      <c r="J210" s="119" t="n">
        <v>0</v>
      </c>
      <c r="K210" s="117"/>
      <c r="L210" s="117" t="s">
        <v>569</v>
      </c>
    </row>
    <row r="211" customFormat="false" ht="15" hidden="false" customHeight="false" outlineLevel="0" collapsed="false">
      <c r="A211" s="117" t="s">
        <v>631</v>
      </c>
      <c r="B211" s="117" t="s">
        <v>614</v>
      </c>
      <c r="C211" s="117" t="s">
        <v>14</v>
      </c>
      <c r="D211" s="117" t="s">
        <v>14</v>
      </c>
      <c r="E211" s="117" t="s">
        <v>632</v>
      </c>
      <c r="F211" s="118" t="s">
        <v>141</v>
      </c>
      <c r="G211" s="117" t="s">
        <v>142</v>
      </c>
      <c r="H211" s="117" t="s">
        <v>397</v>
      </c>
      <c r="I211" s="119" t="n">
        <v>1</v>
      </c>
      <c r="J211" s="119" t="n">
        <v>0</v>
      </c>
      <c r="K211" s="117"/>
      <c r="L211" s="117" t="s">
        <v>569</v>
      </c>
    </row>
    <row r="212" customFormat="false" ht="15" hidden="false" customHeight="false" outlineLevel="0" collapsed="false">
      <c r="A212" s="117" t="s">
        <v>633</v>
      </c>
      <c r="B212" s="117" t="s">
        <v>614</v>
      </c>
      <c r="C212" s="117" t="s">
        <v>14</v>
      </c>
      <c r="D212" s="117" t="s">
        <v>14</v>
      </c>
      <c r="E212" s="117" t="s">
        <v>634</v>
      </c>
      <c r="F212" s="118" t="s">
        <v>141</v>
      </c>
      <c r="G212" s="117" t="s">
        <v>142</v>
      </c>
      <c r="H212" s="117" t="s">
        <v>397</v>
      </c>
      <c r="I212" s="119" t="n">
        <v>1</v>
      </c>
      <c r="J212" s="119" t="n">
        <v>0</v>
      </c>
      <c r="K212" s="117"/>
      <c r="L212" s="117" t="s">
        <v>569</v>
      </c>
    </row>
    <row r="213" customFormat="false" ht="15" hidden="false" customHeight="false" outlineLevel="0" collapsed="false">
      <c r="A213" s="117" t="s">
        <v>635</v>
      </c>
      <c r="B213" s="117" t="s">
        <v>614</v>
      </c>
      <c r="C213" s="117" t="s">
        <v>14</v>
      </c>
      <c r="D213" s="117" t="s">
        <v>14</v>
      </c>
      <c r="E213" s="117" t="s">
        <v>636</v>
      </c>
      <c r="F213" s="118" t="s">
        <v>127</v>
      </c>
      <c r="G213" s="117" t="s">
        <v>128</v>
      </c>
      <c r="H213" s="117" t="s">
        <v>397</v>
      </c>
      <c r="I213" s="119" t="n">
        <v>1</v>
      </c>
      <c r="J213" s="119" t="n">
        <v>0</v>
      </c>
      <c r="K213" s="117"/>
      <c r="L213" s="117" t="s">
        <v>569</v>
      </c>
    </row>
    <row r="214" customFormat="false" ht="15" hidden="false" customHeight="false" outlineLevel="0" collapsed="false">
      <c r="A214" s="117" t="s">
        <v>637</v>
      </c>
      <c r="B214" s="117" t="s">
        <v>614</v>
      </c>
      <c r="C214" s="117" t="s">
        <v>14</v>
      </c>
      <c r="D214" s="117" t="s">
        <v>14</v>
      </c>
      <c r="E214" s="117" t="s">
        <v>292</v>
      </c>
      <c r="F214" s="118" t="s">
        <v>135</v>
      </c>
      <c r="G214" s="117" t="s">
        <v>136</v>
      </c>
      <c r="H214" s="117" t="s">
        <v>397</v>
      </c>
      <c r="I214" s="119" t="n">
        <v>1</v>
      </c>
      <c r="J214" s="119" t="n">
        <v>0</v>
      </c>
      <c r="K214" s="117"/>
      <c r="L214" s="117" t="s">
        <v>569</v>
      </c>
    </row>
    <row r="215" customFormat="false" ht="15" hidden="false" customHeight="false" outlineLevel="0" collapsed="false">
      <c r="A215" s="117" t="s">
        <v>638</v>
      </c>
      <c r="B215" s="117" t="s">
        <v>614</v>
      </c>
      <c r="C215" s="117" t="s">
        <v>14</v>
      </c>
      <c r="D215" s="117" t="s">
        <v>14</v>
      </c>
      <c r="E215" s="117" t="s">
        <v>639</v>
      </c>
      <c r="F215" s="118" t="s">
        <v>127</v>
      </c>
      <c r="G215" s="117" t="s">
        <v>128</v>
      </c>
      <c r="H215" s="117" t="s">
        <v>397</v>
      </c>
      <c r="I215" s="119" t="n">
        <v>1</v>
      </c>
      <c r="J215" s="119" t="n">
        <v>0</v>
      </c>
      <c r="K215" s="117"/>
      <c r="L215" s="117" t="s">
        <v>569</v>
      </c>
    </row>
    <row r="216" customFormat="false" ht="15" hidden="false" customHeight="false" outlineLevel="0" collapsed="false">
      <c r="A216" s="117" t="s">
        <v>640</v>
      </c>
      <c r="B216" s="117" t="s">
        <v>614</v>
      </c>
      <c r="C216" s="117" t="s">
        <v>17</v>
      </c>
      <c r="D216" s="117" t="s">
        <v>17</v>
      </c>
      <c r="E216" s="117" t="s">
        <v>641</v>
      </c>
      <c r="F216" s="118" t="s">
        <v>87</v>
      </c>
      <c r="G216" s="117" t="s">
        <v>88</v>
      </c>
      <c r="H216" s="117" t="s">
        <v>397</v>
      </c>
      <c r="I216" s="119" t="n">
        <v>1</v>
      </c>
      <c r="J216" s="119" t="n">
        <v>0</v>
      </c>
      <c r="K216" s="117"/>
      <c r="L216" s="117" t="s">
        <v>569</v>
      </c>
    </row>
    <row r="217" customFormat="false" ht="15" hidden="false" customHeight="false" outlineLevel="0" collapsed="false">
      <c r="A217" s="117" t="s">
        <v>642</v>
      </c>
      <c r="B217" s="117" t="s">
        <v>614</v>
      </c>
      <c r="C217" s="117" t="s">
        <v>430</v>
      </c>
      <c r="D217" s="117" t="s">
        <v>15</v>
      </c>
      <c r="E217" s="117" t="s">
        <v>643</v>
      </c>
      <c r="F217" s="118" t="s">
        <v>71</v>
      </c>
      <c r="G217" s="117" t="s">
        <v>72</v>
      </c>
      <c r="H217" s="117" t="s">
        <v>397</v>
      </c>
      <c r="I217" s="119" t="n">
        <v>1</v>
      </c>
      <c r="J217" s="119" t="n">
        <v>0</v>
      </c>
      <c r="K217" s="117"/>
      <c r="L217" s="117" t="s">
        <v>569</v>
      </c>
    </row>
    <row r="218" customFormat="false" ht="15" hidden="false" customHeight="false" outlineLevel="0" collapsed="false">
      <c r="A218" s="117" t="s">
        <v>533</v>
      </c>
      <c r="B218" s="117" t="s">
        <v>614</v>
      </c>
      <c r="C218" s="117" t="s">
        <v>43</v>
      </c>
      <c r="D218" s="117" t="s">
        <v>43</v>
      </c>
      <c r="E218" s="117" t="s">
        <v>644</v>
      </c>
      <c r="F218" s="118" t="s">
        <v>71</v>
      </c>
      <c r="G218" s="117" t="s">
        <v>72</v>
      </c>
      <c r="H218" s="117" t="s">
        <v>397</v>
      </c>
      <c r="I218" s="119" t="n">
        <v>1</v>
      </c>
      <c r="J218" s="119" t="n">
        <v>0</v>
      </c>
      <c r="K218" s="117"/>
      <c r="L218" s="117" t="s">
        <v>569</v>
      </c>
    </row>
    <row r="219" customFormat="false" ht="15" hidden="false" customHeight="false" outlineLevel="0" collapsed="false">
      <c r="A219" s="117" t="s">
        <v>581</v>
      </c>
      <c r="B219" s="117" t="s">
        <v>614</v>
      </c>
      <c r="C219" s="117" t="s">
        <v>43</v>
      </c>
      <c r="D219" s="117" t="s">
        <v>43</v>
      </c>
      <c r="E219" s="117" t="s">
        <v>645</v>
      </c>
      <c r="F219" s="118" t="s">
        <v>71</v>
      </c>
      <c r="G219" s="117" t="s">
        <v>72</v>
      </c>
      <c r="H219" s="117" t="s">
        <v>397</v>
      </c>
      <c r="I219" s="119" t="n">
        <v>1</v>
      </c>
      <c r="J219" s="119" t="n">
        <v>0</v>
      </c>
      <c r="K219" s="117"/>
      <c r="L219" s="117" t="s">
        <v>569</v>
      </c>
    </row>
    <row r="220" customFormat="false" ht="15" hidden="false" customHeight="false" outlineLevel="0" collapsed="false">
      <c r="A220" s="117" t="s">
        <v>484</v>
      </c>
      <c r="B220" s="117" t="s">
        <v>614</v>
      </c>
      <c r="C220" s="117" t="s">
        <v>646</v>
      </c>
      <c r="D220" s="117" t="s">
        <v>42</v>
      </c>
      <c r="E220" s="117" t="s">
        <v>647</v>
      </c>
      <c r="F220" s="118" t="s">
        <v>89</v>
      </c>
      <c r="G220" s="117" t="s">
        <v>90</v>
      </c>
      <c r="H220" s="117" t="s">
        <v>397</v>
      </c>
      <c r="I220" s="119" t="n">
        <v>1</v>
      </c>
      <c r="J220" s="119" t="n">
        <v>0</v>
      </c>
      <c r="K220" s="117"/>
      <c r="L220" s="117" t="s">
        <v>569</v>
      </c>
    </row>
    <row r="221" customFormat="false" ht="15" hidden="false" customHeight="false" outlineLevel="0" collapsed="false">
      <c r="A221" s="117" t="s">
        <v>485</v>
      </c>
      <c r="B221" s="117" t="s">
        <v>614</v>
      </c>
      <c r="C221" s="117" t="s">
        <v>646</v>
      </c>
      <c r="D221" s="117" t="s">
        <v>42</v>
      </c>
      <c r="E221" s="117" t="s">
        <v>648</v>
      </c>
      <c r="F221" s="118" t="s">
        <v>89</v>
      </c>
      <c r="G221" s="117" t="s">
        <v>90</v>
      </c>
      <c r="H221" s="117" t="s">
        <v>397</v>
      </c>
      <c r="I221" s="119" t="n">
        <v>1</v>
      </c>
      <c r="J221" s="119" t="n">
        <v>0</v>
      </c>
      <c r="K221" s="117"/>
      <c r="L221" s="117" t="s">
        <v>569</v>
      </c>
    </row>
    <row r="222" customFormat="false" ht="15" hidden="false" customHeight="false" outlineLevel="0" collapsed="false">
      <c r="A222" s="117" t="s">
        <v>486</v>
      </c>
      <c r="B222" s="117" t="s">
        <v>614</v>
      </c>
      <c r="C222" s="117" t="s">
        <v>646</v>
      </c>
      <c r="D222" s="117" t="s">
        <v>42</v>
      </c>
      <c r="E222" s="117" t="s">
        <v>649</v>
      </c>
      <c r="F222" s="118" t="s">
        <v>89</v>
      </c>
      <c r="G222" s="117" t="s">
        <v>90</v>
      </c>
      <c r="H222" s="117" t="s">
        <v>397</v>
      </c>
      <c r="I222" s="119" t="n">
        <v>1</v>
      </c>
      <c r="J222" s="119" t="n">
        <v>0</v>
      </c>
      <c r="K222" s="117"/>
      <c r="L222" s="117" t="s">
        <v>569</v>
      </c>
    </row>
    <row r="223" customFormat="false" ht="15" hidden="false" customHeight="false" outlineLevel="0" collapsed="false">
      <c r="A223" s="117" t="s">
        <v>487</v>
      </c>
      <c r="B223" s="117" t="s">
        <v>614</v>
      </c>
      <c r="C223" s="117" t="s">
        <v>646</v>
      </c>
      <c r="D223" s="117" t="s">
        <v>42</v>
      </c>
      <c r="E223" s="117" t="s">
        <v>650</v>
      </c>
      <c r="F223" s="118" t="s">
        <v>89</v>
      </c>
      <c r="G223" s="117" t="s">
        <v>90</v>
      </c>
      <c r="H223" s="117" t="s">
        <v>397</v>
      </c>
      <c r="I223" s="119" t="n">
        <v>1</v>
      </c>
      <c r="J223" s="119" t="n">
        <v>0</v>
      </c>
      <c r="K223" s="117"/>
      <c r="L223" s="117" t="s">
        <v>569</v>
      </c>
    </row>
    <row r="224" customFormat="false" ht="15" hidden="false" customHeight="false" outlineLevel="0" collapsed="false">
      <c r="A224" s="117" t="s">
        <v>574</v>
      </c>
      <c r="B224" s="117" t="s">
        <v>614</v>
      </c>
      <c r="C224" s="117" t="s">
        <v>651</v>
      </c>
      <c r="D224" s="117" t="s">
        <v>8</v>
      </c>
      <c r="E224" s="117" t="s">
        <v>652</v>
      </c>
      <c r="F224" s="118" t="s">
        <v>69</v>
      </c>
      <c r="G224" s="117" t="s">
        <v>70</v>
      </c>
      <c r="H224" s="117" t="s">
        <v>397</v>
      </c>
      <c r="I224" s="119" t="n">
        <v>1</v>
      </c>
      <c r="J224" s="119" t="n">
        <v>0</v>
      </c>
      <c r="K224" s="117"/>
      <c r="L224" s="117" t="s">
        <v>569</v>
      </c>
    </row>
    <row r="225" customFormat="false" ht="15" hidden="false" customHeight="false" outlineLevel="0" collapsed="false">
      <c r="A225" s="117" t="s">
        <v>434</v>
      </c>
      <c r="B225" s="117" t="s">
        <v>614</v>
      </c>
      <c r="C225" s="117" t="s">
        <v>651</v>
      </c>
      <c r="D225" s="117" t="s">
        <v>8</v>
      </c>
      <c r="E225" s="117" t="s">
        <v>653</v>
      </c>
      <c r="F225" s="118" t="s">
        <v>69</v>
      </c>
      <c r="G225" s="117" t="s">
        <v>70</v>
      </c>
      <c r="H225" s="117" t="s">
        <v>397</v>
      </c>
      <c r="I225" s="119" t="n">
        <v>0</v>
      </c>
      <c r="J225" s="119" t="n">
        <v>1</v>
      </c>
      <c r="K225" s="117"/>
      <c r="L225" s="117" t="s">
        <v>569</v>
      </c>
    </row>
    <row r="226" customFormat="false" ht="15" hidden="false" customHeight="false" outlineLevel="0" collapsed="false">
      <c r="A226" s="117" t="s">
        <v>437</v>
      </c>
      <c r="B226" s="117" t="s">
        <v>614</v>
      </c>
      <c r="C226" s="117" t="s">
        <v>651</v>
      </c>
      <c r="D226" s="117" t="s">
        <v>8</v>
      </c>
      <c r="E226" s="117" t="s">
        <v>654</v>
      </c>
      <c r="F226" s="118" t="s">
        <v>69</v>
      </c>
      <c r="G226" s="117" t="s">
        <v>70</v>
      </c>
      <c r="H226" s="117" t="s">
        <v>397</v>
      </c>
      <c r="I226" s="119" t="n">
        <v>1</v>
      </c>
      <c r="J226" s="119" t="n">
        <v>0</v>
      </c>
      <c r="K226" s="117"/>
      <c r="L226" s="117" t="s">
        <v>569</v>
      </c>
    </row>
    <row r="227" customFormat="false" ht="15" hidden="false" customHeight="false" outlineLevel="0" collapsed="false">
      <c r="A227" s="117" t="s">
        <v>575</v>
      </c>
      <c r="B227" s="117" t="s">
        <v>614</v>
      </c>
      <c r="C227" s="117" t="s">
        <v>655</v>
      </c>
      <c r="D227" s="117" t="s">
        <v>9</v>
      </c>
      <c r="E227" s="117" t="s">
        <v>656</v>
      </c>
      <c r="F227" s="118" t="s">
        <v>69</v>
      </c>
      <c r="G227" s="117" t="s">
        <v>70</v>
      </c>
      <c r="H227" s="117" t="s">
        <v>397</v>
      </c>
      <c r="I227" s="119" t="n">
        <v>0</v>
      </c>
      <c r="J227" s="119" t="n">
        <v>1</v>
      </c>
      <c r="K227" s="117"/>
      <c r="L227" s="117" t="s">
        <v>569</v>
      </c>
    </row>
    <row r="228" customFormat="false" ht="15" hidden="false" customHeight="false" outlineLevel="0" collapsed="false">
      <c r="A228" s="117" t="s">
        <v>429</v>
      </c>
      <c r="B228" s="117" t="s">
        <v>614</v>
      </c>
      <c r="C228" s="117" t="s">
        <v>655</v>
      </c>
      <c r="D228" s="117" t="s">
        <v>9</v>
      </c>
      <c r="E228" s="117" t="s">
        <v>657</v>
      </c>
      <c r="F228" s="118" t="s">
        <v>69</v>
      </c>
      <c r="G228" s="117" t="s">
        <v>70</v>
      </c>
      <c r="H228" s="117" t="s">
        <v>397</v>
      </c>
      <c r="I228" s="119" t="n">
        <v>0</v>
      </c>
      <c r="J228" s="119" t="n">
        <v>1</v>
      </c>
      <c r="K228" s="117"/>
      <c r="L228" s="117" t="s">
        <v>569</v>
      </c>
    </row>
    <row r="229" customFormat="false" ht="15" hidden="false" customHeight="false" outlineLevel="0" collapsed="false">
      <c r="A229" s="117" t="s">
        <v>658</v>
      </c>
      <c r="B229" s="117" t="s">
        <v>614</v>
      </c>
      <c r="C229" s="117" t="s">
        <v>655</v>
      </c>
      <c r="D229" s="117" t="s">
        <v>9</v>
      </c>
      <c r="E229" s="117" t="s">
        <v>659</v>
      </c>
      <c r="F229" s="118" t="s">
        <v>71</v>
      </c>
      <c r="G229" s="117" t="s">
        <v>72</v>
      </c>
      <c r="H229" s="117" t="s">
        <v>397</v>
      </c>
      <c r="I229" s="119" t="n">
        <v>1</v>
      </c>
      <c r="J229" s="119" t="n">
        <v>0</v>
      </c>
      <c r="K229" s="117"/>
      <c r="L229" s="117" t="s">
        <v>569</v>
      </c>
    </row>
    <row r="230" customFormat="false" ht="15" hidden="false" customHeight="false" outlineLevel="0" collapsed="false">
      <c r="A230" s="117" t="s">
        <v>494</v>
      </c>
      <c r="B230" s="117" t="s">
        <v>614</v>
      </c>
      <c r="C230" s="117" t="s">
        <v>655</v>
      </c>
      <c r="D230" s="117" t="s">
        <v>9</v>
      </c>
      <c r="E230" s="117" t="s">
        <v>660</v>
      </c>
      <c r="F230" s="118" t="s">
        <v>87</v>
      </c>
      <c r="G230" s="117" t="s">
        <v>88</v>
      </c>
      <c r="H230" s="117" t="s">
        <v>397</v>
      </c>
      <c r="I230" s="119" t="n">
        <v>1</v>
      </c>
      <c r="J230" s="119" t="n">
        <v>0</v>
      </c>
      <c r="K230" s="117"/>
      <c r="L230" s="117" t="s">
        <v>569</v>
      </c>
    </row>
    <row r="231" customFormat="false" ht="15" hidden="false" customHeight="false" outlineLevel="0" collapsed="false">
      <c r="A231" s="117" t="s">
        <v>576</v>
      </c>
      <c r="B231" s="117" t="s">
        <v>614</v>
      </c>
      <c r="C231" s="117" t="s">
        <v>10</v>
      </c>
      <c r="D231" s="117" t="s">
        <v>10</v>
      </c>
      <c r="E231" s="117" t="s">
        <v>661</v>
      </c>
      <c r="F231" s="118" t="s">
        <v>69</v>
      </c>
      <c r="G231" s="117" t="s">
        <v>70</v>
      </c>
      <c r="H231" s="117" t="s">
        <v>397</v>
      </c>
      <c r="I231" s="119" t="n">
        <v>0</v>
      </c>
      <c r="J231" s="119" t="n">
        <v>1</v>
      </c>
      <c r="K231" s="117"/>
      <c r="L231" s="117" t="s">
        <v>569</v>
      </c>
    </row>
    <row r="232" customFormat="false" ht="15" hidden="false" customHeight="false" outlineLevel="0" collapsed="false">
      <c r="A232" s="117" t="s">
        <v>446</v>
      </c>
      <c r="B232" s="117" t="s">
        <v>614</v>
      </c>
      <c r="C232" s="117" t="s">
        <v>10</v>
      </c>
      <c r="D232" s="117" t="s">
        <v>10</v>
      </c>
      <c r="E232" s="117" t="s">
        <v>662</v>
      </c>
      <c r="F232" s="118" t="s">
        <v>69</v>
      </c>
      <c r="G232" s="117" t="s">
        <v>70</v>
      </c>
      <c r="H232" s="117" t="s">
        <v>397</v>
      </c>
      <c r="I232" s="119" t="n">
        <v>1</v>
      </c>
      <c r="J232" s="119" t="n">
        <v>0</v>
      </c>
      <c r="K232" s="117"/>
      <c r="L232" s="117" t="s">
        <v>569</v>
      </c>
    </row>
    <row r="233" customFormat="false" ht="15" hidden="false" customHeight="false" outlineLevel="0" collapsed="false">
      <c r="A233" s="117" t="s">
        <v>449</v>
      </c>
      <c r="B233" s="117" t="s">
        <v>614</v>
      </c>
      <c r="C233" s="117" t="s">
        <v>10</v>
      </c>
      <c r="D233" s="117" t="s">
        <v>10</v>
      </c>
      <c r="E233" s="117" t="s">
        <v>663</v>
      </c>
      <c r="F233" s="118" t="s">
        <v>87</v>
      </c>
      <c r="G233" s="117" t="s">
        <v>88</v>
      </c>
      <c r="H233" s="117" t="s">
        <v>397</v>
      </c>
      <c r="I233" s="119" t="n">
        <v>1</v>
      </c>
      <c r="J233" s="119" t="n">
        <v>0</v>
      </c>
      <c r="K233" s="117"/>
      <c r="L233" s="117" t="s">
        <v>569</v>
      </c>
    </row>
    <row r="234" customFormat="false" ht="15" hidden="false" customHeight="false" outlineLevel="0" collapsed="false">
      <c r="A234" s="117" t="s">
        <v>450</v>
      </c>
      <c r="B234" s="117" t="s">
        <v>614</v>
      </c>
      <c r="C234" s="117" t="s">
        <v>10</v>
      </c>
      <c r="D234" s="117" t="s">
        <v>10</v>
      </c>
      <c r="E234" s="117" t="s">
        <v>664</v>
      </c>
      <c r="F234" s="118" t="s">
        <v>87</v>
      </c>
      <c r="G234" s="117" t="s">
        <v>88</v>
      </c>
      <c r="H234" s="117" t="s">
        <v>397</v>
      </c>
      <c r="I234" s="119" t="n">
        <v>1</v>
      </c>
      <c r="J234" s="119" t="n">
        <v>0</v>
      </c>
      <c r="K234" s="117"/>
      <c r="L234" s="117" t="s">
        <v>569</v>
      </c>
    </row>
    <row r="235" customFormat="false" ht="15" hidden="false" customHeight="false" outlineLevel="0" collapsed="false">
      <c r="A235" s="117" t="s">
        <v>578</v>
      </c>
      <c r="B235" s="117" t="s">
        <v>614</v>
      </c>
      <c r="C235" s="117" t="s">
        <v>24</v>
      </c>
      <c r="D235" s="117" t="s">
        <v>24</v>
      </c>
      <c r="E235" s="117" t="s">
        <v>665</v>
      </c>
      <c r="F235" s="118" t="s">
        <v>69</v>
      </c>
      <c r="G235" s="117" t="s">
        <v>70</v>
      </c>
      <c r="H235" s="117" t="s">
        <v>397</v>
      </c>
      <c r="I235" s="119" t="n">
        <v>1</v>
      </c>
      <c r="J235" s="119" t="n">
        <v>0</v>
      </c>
      <c r="K235" s="117"/>
      <c r="L235" s="117" t="s">
        <v>569</v>
      </c>
    </row>
    <row r="236" customFormat="false" ht="15" hidden="false" customHeight="false" outlineLevel="0" collapsed="false">
      <c r="A236" s="117" t="s">
        <v>469</v>
      </c>
      <c r="B236" s="117" t="s">
        <v>614</v>
      </c>
      <c r="C236" s="117" t="s">
        <v>24</v>
      </c>
      <c r="D236" s="117" t="s">
        <v>24</v>
      </c>
      <c r="E236" s="117" t="s">
        <v>666</v>
      </c>
      <c r="F236" s="118" t="s">
        <v>87</v>
      </c>
      <c r="G236" s="117" t="s">
        <v>88</v>
      </c>
      <c r="H236" s="117" t="s">
        <v>397</v>
      </c>
      <c r="I236" s="119" t="n">
        <v>1</v>
      </c>
      <c r="J236" s="119" t="n">
        <v>0</v>
      </c>
      <c r="K236" s="117"/>
      <c r="L236" s="117" t="s">
        <v>569</v>
      </c>
    </row>
    <row r="237" customFormat="false" ht="15" hidden="false" customHeight="false" outlineLevel="0" collapsed="false">
      <c r="A237" s="117" t="s">
        <v>667</v>
      </c>
      <c r="B237" s="117" t="s">
        <v>614</v>
      </c>
      <c r="C237" s="117" t="s">
        <v>668</v>
      </c>
      <c r="D237" s="117" t="s">
        <v>21</v>
      </c>
      <c r="E237" s="117" t="s">
        <v>336</v>
      </c>
      <c r="F237" s="118" t="s">
        <v>135</v>
      </c>
      <c r="G237" s="117" t="s">
        <v>136</v>
      </c>
      <c r="H237" s="117" t="s">
        <v>397</v>
      </c>
      <c r="I237" s="119" t="n">
        <v>1</v>
      </c>
      <c r="J237" s="119" t="n">
        <v>0</v>
      </c>
      <c r="K237" s="117"/>
      <c r="L237" s="117" t="s">
        <v>569</v>
      </c>
    </row>
    <row r="238" customFormat="false" ht="15" hidden="false" customHeight="false" outlineLevel="0" collapsed="false">
      <c r="A238" s="117" t="s">
        <v>444</v>
      </c>
      <c r="B238" s="117" t="s">
        <v>614</v>
      </c>
      <c r="C238" s="117" t="s">
        <v>669</v>
      </c>
      <c r="D238" s="117" t="s">
        <v>22</v>
      </c>
      <c r="E238" s="117" t="s">
        <v>670</v>
      </c>
      <c r="F238" s="118" t="s">
        <v>71</v>
      </c>
      <c r="G238" s="117" t="s">
        <v>72</v>
      </c>
      <c r="H238" s="117" t="s">
        <v>397</v>
      </c>
      <c r="I238" s="119" t="n">
        <v>1</v>
      </c>
      <c r="J238" s="119" t="n">
        <v>0</v>
      </c>
      <c r="K238" s="117"/>
      <c r="L238" s="117" t="s">
        <v>569</v>
      </c>
    </row>
    <row r="239" customFormat="false" ht="15" hidden="false" customHeight="false" outlineLevel="0" collapsed="false">
      <c r="A239" s="117" t="s">
        <v>525</v>
      </c>
      <c r="B239" s="117" t="s">
        <v>614</v>
      </c>
      <c r="C239" s="117" t="s">
        <v>671</v>
      </c>
      <c r="D239" s="117" t="s">
        <v>22</v>
      </c>
      <c r="E239" s="117" t="s">
        <v>672</v>
      </c>
      <c r="F239" s="118" t="s">
        <v>69</v>
      </c>
      <c r="G239" s="117" t="s">
        <v>70</v>
      </c>
      <c r="H239" s="117" t="s">
        <v>397</v>
      </c>
      <c r="I239" s="119" t="n">
        <v>1</v>
      </c>
      <c r="J239" s="119" t="n">
        <v>0</v>
      </c>
      <c r="K239" s="117"/>
      <c r="L239" s="117" t="s">
        <v>569</v>
      </c>
    </row>
    <row r="240" customFormat="false" ht="15" hidden="false" customHeight="false" outlineLevel="0" collapsed="false">
      <c r="A240" s="117" t="s">
        <v>453</v>
      </c>
      <c r="B240" s="117" t="s">
        <v>614</v>
      </c>
      <c r="C240" s="117" t="s">
        <v>673</v>
      </c>
      <c r="D240" s="117" t="s">
        <v>22</v>
      </c>
      <c r="E240" s="117" t="s">
        <v>674</v>
      </c>
      <c r="F240" s="118" t="s">
        <v>69</v>
      </c>
      <c r="G240" s="117" t="s">
        <v>70</v>
      </c>
      <c r="H240" s="117" t="s">
        <v>397</v>
      </c>
      <c r="I240" s="119" t="n">
        <v>1</v>
      </c>
      <c r="J240" s="119" t="n">
        <v>0</v>
      </c>
      <c r="K240" s="117"/>
      <c r="L240" s="117" t="s">
        <v>569</v>
      </c>
    </row>
    <row r="241" customFormat="false" ht="15" hidden="false" customHeight="false" outlineLevel="0" collapsed="false">
      <c r="A241" s="117" t="s">
        <v>445</v>
      </c>
      <c r="B241" s="117" t="s">
        <v>614</v>
      </c>
      <c r="C241" s="117" t="s">
        <v>669</v>
      </c>
      <c r="D241" s="117" t="s">
        <v>22</v>
      </c>
      <c r="E241" s="117" t="s">
        <v>675</v>
      </c>
      <c r="F241" s="118" t="s">
        <v>71</v>
      </c>
      <c r="G241" s="117" t="s">
        <v>72</v>
      </c>
      <c r="H241" s="117" t="s">
        <v>397</v>
      </c>
      <c r="I241" s="119" t="n">
        <v>1</v>
      </c>
      <c r="J241" s="119" t="n">
        <v>0</v>
      </c>
      <c r="K241" s="117"/>
      <c r="L241" s="117" t="s">
        <v>569</v>
      </c>
    </row>
    <row r="242" customFormat="false" ht="15" hidden="false" customHeight="false" outlineLevel="0" collapsed="false">
      <c r="A242" s="117" t="s">
        <v>426</v>
      </c>
      <c r="B242" s="117" t="s">
        <v>614</v>
      </c>
      <c r="C242" s="117" t="s">
        <v>671</v>
      </c>
      <c r="D242" s="117" t="s">
        <v>22</v>
      </c>
      <c r="E242" s="117" t="s">
        <v>676</v>
      </c>
      <c r="F242" s="118" t="s">
        <v>69</v>
      </c>
      <c r="G242" s="117" t="s">
        <v>70</v>
      </c>
      <c r="H242" s="117" t="s">
        <v>397</v>
      </c>
      <c r="I242" s="119" t="n">
        <v>1</v>
      </c>
      <c r="J242" s="119" t="n">
        <v>0</v>
      </c>
      <c r="K242" s="117"/>
      <c r="L242" s="117" t="s">
        <v>569</v>
      </c>
    </row>
    <row r="243" customFormat="false" ht="15" hidden="false" customHeight="false" outlineLevel="0" collapsed="false">
      <c r="A243" s="117" t="s">
        <v>454</v>
      </c>
      <c r="B243" s="117" t="s">
        <v>614</v>
      </c>
      <c r="C243" s="117" t="s">
        <v>673</v>
      </c>
      <c r="D243" s="117" t="s">
        <v>22</v>
      </c>
      <c r="E243" s="117" t="s">
        <v>677</v>
      </c>
      <c r="F243" s="118" t="s">
        <v>69</v>
      </c>
      <c r="G243" s="117" t="s">
        <v>70</v>
      </c>
      <c r="H243" s="117" t="s">
        <v>397</v>
      </c>
      <c r="I243" s="119" t="n">
        <v>0</v>
      </c>
      <c r="J243" s="119" t="n">
        <v>1</v>
      </c>
      <c r="K243" s="117"/>
      <c r="L243" s="117" t="s">
        <v>569</v>
      </c>
    </row>
    <row r="244" customFormat="false" ht="15" hidden="false" customHeight="false" outlineLevel="0" collapsed="false">
      <c r="A244" s="117" t="s">
        <v>678</v>
      </c>
      <c r="B244" s="117" t="s">
        <v>614</v>
      </c>
      <c r="C244" s="117" t="s">
        <v>669</v>
      </c>
      <c r="D244" s="117" t="s">
        <v>22</v>
      </c>
      <c r="E244" s="117" t="s">
        <v>679</v>
      </c>
      <c r="F244" s="118" t="s">
        <v>71</v>
      </c>
      <c r="G244" s="117" t="s">
        <v>72</v>
      </c>
      <c r="H244" s="117" t="s">
        <v>397</v>
      </c>
      <c r="I244" s="119" t="n">
        <v>1</v>
      </c>
      <c r="J244" s="119" t="n">
        <v>0</v>
      </c>
      <c r="K244" s="117"/>
      <c r="L244" s="117" t="s">
        <v>569</v>
      </c>
    </row>
    <row r="245" customFormat="false" ht="15" hidden="false" customHeight="false" outlineLevel="0" collapsed="false">
      <c r="A245" s="117" t="s">
        <v>680</v>
      </c>
      <c r="B245" s="117" t="s">
        <v>614</v>
      </c>
      <c r="C245" s="117" t="s">
        <v>671</v>
      </c>
      <c r="D245" s="117" t="s">
        <v>22</v>
      </c>
      <c r="E245" s="117" t="s">
        <v>681</v>
      </c>
      <c r="F245" s="118" t="s">
        <v>69</v>
      </c>
      <c r="G245" s="117" t="s">
        <v>70</v>
      </c>
      <c r="H245" s="117" t="s">
        <v>397</v>
      </c>
      <c r="I245" s="119" t="n">
        <v>0</v>
      </c>
      <c r="J245" s="119" t="n">
        <v>1</v>
      </c>
      <c r="K245" s="117"/>
      <c r="L245" s="117" t="s">
        <v>569</v>
      </c>
    </row>
    <row r="246" customFormat="false" ht="15" hidden="false" customHeight="false" outlineLevel="0" collapsed="false">
      <c r="A246" s="117" t="s">
        <v>455</v>
      </c>
      <c r="B246" s="117" t="s">
        <v>614</v>
      </c>
      <c r="C246" s="117" t="s">
        <v>673</v>
      </c>
      <c r="D246" s="117" t="s">
        <v>22</v>
      </c>
      <c r="E246" s="117" t="s">
        <v>682</v>
      </c>
      <c r="F246" s="118" t="s">
        <v>87</v>
      </c>
      <c r="G246" s="117" t="s">
        <v>88</v>
      </c>
      <c r="H246" s="117" t="s">
        <v>397</v>
      </c>
      <c r="I246" s="119" t="n">
        <v>1</v>
      </c>
      <c r="J246" s="119" t="n">
        <v>0</v>
      </c>
      <c r="K246" s="117"/>
      <c r="L246" s="117" t="s">
        <v>569</v>
      </c>
    </row>
    <row r="247" customFormat="false" ht="15" hidden="false" customHeight="false" outlineLevel="0" collapsed="false">
      <c r="A247" s="117" t="s">
        <v>683</v>
      </c>
      <c r="B247" s="117" t="s">
        <v>614</v>
      </c>
      <c r="C247" s="117" t="s">
        <v>669</v>
      </c>
      <c r="D247" s="117" t="s">
        <v>22</v>
      </c>
      <c r="E247" s="117" t="s">
        <v>684</v>
      </c>
      <c r="F247" s="118" t="s">
        <v>71</v>
      </c>
      <c r="G247" s="117" t="s">
        <v>72</v>
      </c>
      <c r="H247" s="117" t="s">
        <v>397</v>
      </c>
      <c r="I247" s="119" t="n">
        <v>1</v>
      </c>
      <c r="J247" s="119" t="n">
        <v>1</v>
      </c>
      <c r="K247" s="117"/>
      <c r="L247" s="117" t="s">
        <v>569</v>
      </c>
    </row>
    <row r="248" customFormat="false" ht="15" hidden="false" customHeight="false" outlineLevel="0" collapsed="false">
      <c r="A248" s="117" t="s">
        <v>685</v>
      </c>
      <c r="B248" s="117" t="s">
        <v>614</v>
      </c>
      <c r="C248" s="117" t="s">
        <v>671</v>
      </c>
      <c r="D248" s="117" t="s">
        <v>22</v>
      </c>
      <c r="E248" s="117" t="s">
        <v>686</v>
      </c>
      <c r="F248" s="118" t="s">
        <v>69</v>
      </c>
      <c r="G248" s="117" t="s">
        <v>70</v>
      </c>
      <c r="H248" s="117" t="s">
        <v>397</v>
      </c>
      <c r="I248" s="119" t="n">
        <v>0</v>
      </c>
      <c r="J248" s="119" t="n">
        <v>1</v>
      </c>
      <c r="K248" s="117"/>
      <c r="L248" s="117" t="s">
        <v>569</v>
      </c>
    </row>
    <row r="249" customFormat="false" ht="15" hidden="false" customHeight="false" outlineLevel="0" collapsed="false">
      <c r="A249" s="117" t="s">
        <v>687</v>
      </c>
      <c r="B249" s="117" t="s">
        <v>614</v>
      </c>
      <c r="C249" s="117" t="s">
        <v>669</v>
      </c>
      <c r="D249" s="117" t="s">
        <v>22</v>
      </c>
      <c r="E249" s="117" t="s">
        <v>688</v>
      </c>
      <c r="F249" s="118" t="s">
        <v>87</v>
      </c>
      <c r="G249" s="117" t="s">
        <v>88</v>
      </c>
      <c r="H249" s="117" t="s">
        <v>397</v>
      </c>
      <c r="I249" s="119" t="n">
        <v>1</v>
      </c>
      <c r="J249" s="119" t="n">
        <v>0</v>
      </c>
      <c r="K249" s="117"/>
      <c r="L249" s="117" t="s">
        <v>569</v>
      </c>
    </row>
    <row r="250" customFormat="false" ht="15" hidden="false" customHeight="false" outlineLevel="0" collapsed="false">
      <c r="A250" s="117" t="s">
        <v>689</v>
      </c>
      <c r="B250" s="117" t="s">
        <v>614</v>
      </c>
      <c r="C250" s="117" t="s">
        <v>671</v>
      </c>
      <c r="D250" s="117" t="s">
        <v>22</v>
      </c>
      <c r="E250" s="117" t="s">
        <v>690</v>
      </c>
      <c r="F250" s="118" t="s">
        <v>69</v>
      </c>
      <c r="G250" s="117" t="s">
        <v>70</v>
      </c>
      <c r="H250" s="117" t="s">
        <v>397</v>
      </c>
      <c r="I250" s="119" t="n">
        <v>0</v>
      </c>
      <c r="J250" s="119" t="n">
        <v>1</v>
      </c>
      <c r="K250" s="117"/>
      <c r="L250" s="117" t="s">
        <v>569</v>
      </c>
    </row>
    <row r="251" customFormat="false" ht="15" hidden="false" customHeight="false" outlineLevel="0" collapsed="false">
      <c r="A251" s="117" t="s">
        <v>432</v>
      </c>
      <c r="B251" s="117" t="s">
        <v>614</v>
      </c>
      <c r="C251" s="117" t="s">
        <v>669</v>
      </c>
      <c r="D251" s="117" t="s">
        <v>22</v>
      </c>
      <c r="E251" s="117" t="s">
        <v>691</v>
      </c>
      <c r="F251" s="118" t="s">
        <v>87</v>
      </c>
      <c r="G251" s="117" t="s">
        <v>88</v>
      </c>
      <c r="H251" s="117" t="s">
        <v>397</v>
      </c>
      <c r="I251" s="119" t="n">
        <v>0</v>
      </c>
      <c r="J251" s="119" t="n">
        <v>1</v>
      </c>
      <c r="K251" s="117"/>
      <c r="L251" s="117" t="s">
        <v>569</v>
      </c>
    </row>
    <row r="252" customFormat="false" ht="15" hidden="false" customHeight="false" outlineLevel="0" collapsed="false">
      <c r="A252" s="117" t="s">
        <v>692</v>
      </c>
      <c r="B252" s="117" t="s">
        <v>614</v>
      </c>
      <c r="C252" s="117" t="s">
        <v>671</v>
      </c>
      <c r="D252" s="117" t="s">
        <v>22</v>
      </c>
      <c r="E252" s="117" t="s">
        <v>693</v>
      </c>
      <c r="F252" s="118" t="s">
        <v>69</v>
      </c>
      <c r="G252" s="117" t="s">
        <v>70</v>
      </c>
      <c r="H252" s="117" t="s">
        <v>397</v>
      </c>
      <c r="I252" s="119" t="n">
        <v>1</v>
      </c>
      <c r="J252" s="119" t="n">
        <v>0</v>
      </c>
      <c r="K252" s="117"/>
      <c r="L252" s="117" t="s">
        <v>569</v>
      </c>
    </row>
    <row r="253" customFormat="false" ht="15" hidden="false" customHeight="false" outlineLevel="0" collapsed="false">
      <c r="A253" s="117" t="s">
        <v>694</v>
      </c>
      <c r="B253" s="117" t="s">
        <v>614</v>
      </c>
      <c r="C253" s="117" t="s">
        <v>671</v>
      </c>
      <c r="D253" s="117" t="s">
        <v>22</v>
      </c>
      <c r="E253" s="117" t="s">
        <v>695</v>
      </c>
      <c r="F253" s="118" t="s">
        <v>87</v>
      </c>
      <c r="G253" s="117" t="s">
        <v>88</v>
      </c>
      <c r="H253" s="117" t="s">
        <v>397</v>
      </c>
      <c r="I253" s="119" t="n">
        <v>1</v>
      </c>
      <c r="J253" s="119" t="n">
        <v>0</v>
      </c>
      <c r="K253" s="117"/>
      <c r="L253" s="117" t="s">
        <v>569</v>
      </c>
    </row>
    <row r="254" customFormat="false" ht="15" hidden="false" customHeight="false" outlineLevel="0" collapsed="false">
      <c r="A254" s="117" t="s">
        <v>696</v>
      </c>
      <c r="B254" s="117" t="s">
        <v>614</v>
      </c>
      <c r="C254" s="117" t="s">
        <v>697</v>
      </c>
      <c r="D254" s="117" t="s">
        <v>19</v>
      </c>
      <c r="E254" s="117" t="s">
        <v>698</v>
      </c>
      <c r="F254" s="118" t="s">
        <v>69</v>
      </c>
      <c r="G254" s="117" t="s">
        <v>70</v>
      </c>
      <c r="H254" s="117" t="s">
        <v>397</v>
      </c>
      <c r="I254" s="119" t="n">
        <v>1</v>
      </c>
      <c r="J254" s="119" t="n">
        <v>1</v>
      </c>
      <c r="K254" s="117"/>
      <c r="L254" s="117" t="s">
        <v>569</v>
      </c>
    </row>
    <row r="255" customFormat="false" ht="15" hidden="false" customHeight="false" outlineLevel="0" collapsed="false">
      <c r="A255" s="117" t="s">
        <v>509</v>
      </c>
      <c r="B255" s="117" t="s">
        <v>614</v>
      </c>
      <c r="C255" s="117" t="s">
        <v>697</v>
      </c>
      <c r="D255" s="117" t="s">
        <v>19</v>
      </c>
      <c r="E255" s="117" t="s">
        <v>699</v>
      </c>
      <c r="F255" s="118" t="s">
        <v>87</v>
      </c>
      <c r="G255" s="117" t="s">
        <v>88</v>
      </c>
      <c r="H255" s="117" t="s">
        <v>397</v>
      </c>
      <c r="I255" s="119" t="n">
        <v>1</v>
      </c>
      <c r="J255" s="119" t="n">
        <v>0</v>
      </c>
      <c r="K255" s="117"/>
      <c r="L255" s="117" t="s">
        <v>569</v>
      </c>
    </row>
    <row r="256" customFormat="false" ht="15" hidden="false" customHeight="false" outlineLevel="0" collapsed="false">
      <c r="A256" s="117" t="s">
        <v>700</v>
      </c>
      <c r="B256" s="117" t="s">
        <v>614</v>
      </c>
      <c r="C256" s="117" t="s">
        <v>697</v>
      </c>
      <c r="D256" s="117" t="s">
        <v>19</v>
      </c>
      <c r="E256" s="117" t="s">
        <v>701</v>
      </c>
      <c r="F256" s="118" t="s">
        <v>87</v>
      </c>
      <c r="G256" s="117" t="s">
        <v>88</v>
      </c>
      <c r="H256" s="117" t="s">
        <v>397</v>
      </c>
      <c r="I256" s="119" t="n">
        <v>1</v>
      </c>
      <c r="J256" s="119" t="n">
        <v>0</v>
      </c>
      <c r="K256" s="117"/>
      <c r="L256" s="117" t="s">
        <v>569</v>
      </c>
    </row>
    <row r="257" customFormat="false" ht="15" hidden="false" customHeight="false" outlineLevel="0" collapsed="false">
      <c r="A257" s="117" t="s">
        <v>570</v>
      </c>
      <c r="B257" s="117" t="s">
        <v>614</v>
      </c>
      <c r="C257" s="117" t="s">
        <v>498</v>
      </c>
      <c r="D257" s="117" t="s">
        <v>12</v>
      </c>
      <c r="E257" s="117" t="s">
        <v>702</v>
      </c>
      <c r="F257" s="118" t="s">
        <v>69</v>
      </c>
      <c r="G257" s="117" t="s">
        <v>70</v>
      </c>
      <c r="H257" s="117" t="s">
        <v>397</v>
      </c>
      <c r="I257" s="119" t="n">
        <v>1</v>
      </c>
      <c r="J257" s="119" t="n">
        <v>0</v>
      </c>
      <c r="K257" s="117"/>
      <c r="L257" s="117" t="s">
        <v>569</v>
      </c>
    </row>
    <row r="258" customFormat="false" ht="15" hidden="false" customHeight="false" outlineLevel="0" collapsed="false">
      <c r="A258" s="117" t="s">
        <v>703</v>
      </c>
      <c r="B258" s="117" t="s">
        <v>614</v>
      </c>
      <c r="C258" s="117" t="s">
        <v>498</v>
      </c>
      <c r="D258" s="117" t="s">
        <v>12</v>
      </c>
      <c r="E258" s="117" t="s">
        <v>704</v>
      </c>
      <c r="F258" s="118" t="s">
        <v>69</v>
      </c>
      <c r="G258" s="117" t="s">
        <v>70</v>
      </c>
      <c r="H258" s="117" t="s">
        <v>397</v>
      </c>
      <c r="I258" s="119" t="n">
        <v>1</v>
      </c>
      <c r="J258" s="119" t="n">
        <v>0</v>
      </c>
      <c r="K258" s="117"/>
      <c r="L258" s="117" t="s">
        <v>569</v>
      </c>
    </row>
    <row r="259" customFormat="false" ht="15" hidden="false" customHeight="false" outlineLevel="0" collapsed="false">
      <c r="A259" s="117" t="s">
        <v>705</v>
      </c>
      <c r="B259" s="117" t="s">
        <v>614</v>
      </c>
      <c r="C259" s="117" t="s">
        <v>12</v>
      </c>
      <c r="D259" s="117" t="s">
        <v>12</v>
      </c>
      <c r="E259" s="117" t="s">
        <v>286</v>
      </c>
      <c r="F259" s="118" t="s">
        <v>135</v>
      </c>
      <c r="G259" s="117" t="s">
        <v>136</v>
      </c>
      <c r="H259" s="117" t="s">
        <v>397</v>
      </c>
      <c r="I259" s="119" t="n">
        <v>1</v>
      </c>
      <c r="J259" s="119" t="n">
        <v>0</v>
      </c>
      <c r="K259" s="117"/>
      <c r="L259" s="117" t="s">
        <v>569</v>
      </c>
    </row>
    <row r="260" customFormat="false" ht="15" hidden="false" customHeight="false" outlineLevel="0" collapsed="false">
      <c r="A260" s="117" t="s">
        <v>406</v>
      </c>
      <c r="B260" s="117" t="s">
        <v>614</v>
      </c>
      <c r="C260" s="117" t="s">
        <v>558</v>
      </c>
      <c r="D260" s="117" t="s">
        <v>11</v>
      </c>
      <c r="E260" s="117" t="s">
        <v>706</v>
      </c>
      <c r="F260" s="118" t="s">
        <v>87</v>
      </c>
      <c r="G260" s="117" t="s">
        <v>88</v>
      </c>
      <c r="H260" s="117" t="s">
        <v>397</v>
      </c>
      <c r="I260" s="119" t="n">
        <v>1</v>
      </c>
      <c r="J260" s="119" t="n">
        <v>0</v>
      </c>
      <c r="K260" s="117"/>
      <c r="L260" s="117" t="s">
        <v>569</v>
      </c>
    </row>
    <row r="261" customFormat="false" ht="15" hidden="false" customHeight="false" outlineLevel="0" collapsed="false">
      <c r="A261" s="117" t="s">
        <v>707</v>
      </c>
      <c r="B261" s="117" t="s">
        <v>614</v>
      </c>
      <c r="C261" s="117" t="s">
        <v>708</v>
      </c>
      <c r="D261" s="117" t="s">
        <v>13</v>
      </c>
      <c r="E261" s="117" t="s">
        <v>709</v>
      </c>
      <c r="F261" s="118" t="s">
        <v>69</v>
      </c>
      <c r="G261" s="117" t="s">
        <v>70</v>
      </c>
      <c r="H261" s="117" t="s">
        <v>397</v>
      </c>
      <c r="I261" s="119" t="n">
        <v>1</v>
      </c>
      <c r="J261" s="119" t="n">
        <v>1</v>
      </c>
      <c r="K261" s="117"/>
      <c r="L261" s="117" t="s">
        <v>569</v>
      </c>
    </row>
    <row r="262" customFormat="false" ht="15" hidden="false" customHeight="false" outlineLevel="0" collapsed="false">
      <c r="A262" s="117" t="s">
        <v>710</v>
      </c>
      <c r="B262" s="117" t="s">
        <v>711</v>
      </c>
      <c r="C262" s="117" t="s">
        <v>712</v>
      </c>
      <c r="D262" s="117" t="s">
        <v>46</v>
      </c>
      <c r="E262" s="117" t="s">
        <v>713</v>
      </c>
      <c r="F262" s="118" t="s">
        <v>77</v>
      </c>
      <c r="G262" s="117" t="s">
        <v>78</v>
      </c>
      <c r="H262" s="117" t="s">
        <v>397</v>
      </c>
      <c r="I262" s="119" t="n">
        <v>1</v>
      </c>
      <c r="J262" s="119" t="n">
        <v>0</v>
      </c>
      <c r="K262" s="117" t="s">
        <v>714</v>
      </c>
      <c r="L262" s="117"/>
    </row>
    <row r="263" customFormat="false" ht="15" hidden="false" customHeight="false" outlineLevel="0" collapsed="false">
      <c r="A263" s="117" t="s">
        <v>710</v>
      </c>
      <c r="B263" s="117" t="s">
        <v>711</v>
      </c>
      <c r="C263" s="117" t="s">
        <v>712</v>
      </c>
      <c r="D263" s="117" t="s">
        <v>46</v>
      </c>
      <c r="E263" s="117" t="s">
        <v>715</v>
      </c>
      <c r="F263" s="118" t="s">
        <v>77</v>
      </c>
      <c r="G263" s="117" t="s">
        <v>78</v>
      </c>
      <c r="H263" s="117" t="s">
        <v>397</v>
      </c>
      <c r="I263" s="119" t="n">
        <v>1</v>
      </c>
      <c r="J263" s="119" t="n">
        <v>0</v>
      </c>
      <c r="K263" s="117" t="s">
        <v>714</v>
      </c>
      <c r="L263" s="117"/>
    </row>
    <row r="264" customFormat="false" ht="15" hidden="false" customHeight="false" outlineLevel="0" collapsed="false">
      <c r="A264" s="117" t="s">
        <v>710</v>
      </c>
      <c r="B264" s="117" t="s">
        <v>711</v>
      </c>
      <c r="C264" s="117" t="s">
        <v>712</v>
      </c>
      <c r="D264" s="117" t="s">
        <v>46</v>
      </c>
      <c r="E264" s="117" t="s">
        <v>716</v>
      </c>
      <c r="F264" s="118" t="s">
        <v>77</v>
      </c>
      <c r="G264" s="117" t="s">
        <v>78</v>
      </c>
      <c r="H264" s="117" t="s">
        <v>397</v>
      </c>
      <c r="I264" s="119" t="n">
        <v>1</v>
      </c>
      <c r="J264" s="119" t="n">
        <v>0</v>
      </c>
      <c r="K264" s="117" t="s">
        <v>714</v>
      </c>
      <c r="L264" s="117"/>
    </row>
    <row r="265" customFormat="false" ht="15" hidden="false" customHeight="false" outlineLevel="0" collapsed="false">
      <c r="A265" s="117" t="s">
        <v>710</v>
      </c>
      <c r="B265" s="117" t="s">
        <v>711</v>
      </c>
      <c r="C265" s="117" t="s">
        <v>712</v>
      </c>
      <c r="D265" s="117" t="s">
        <v>46</v>
      </c>
      <c r="E265" s="117" t="s">
        <v>717</v>
      </c>
      <c r="F265" s="118" t="s">
        <v>77</v>
      </c>
      <c r="G265" s="117" t="s">
        <v>78</v>
      </c>
      <c r="H265" s="117" t="s">
        <v>397</v>
      </c>
      <c r="I265" s="119" t="n">
        <v>0</v>
      </c>
      <c r="J265" s="119" t="n">
        <v>1</v>
      </c>
      <c r="K265" s="117" t="s">
        <v>714</v>
      </c>
      <c r="L265" s="117"/>
    </row>
    <row r="266" customFormat="false" ht="15" hidden="false" customHeight="false" outlineLevel="0" collapsed="false">
      <c r="A266" s="117" t="s">
        <v>710</v>
      </c>
      <c r="B266" s="117" t="s">
        <v>711</v>
      </c>
      <c r="C266" s="117" t="s">
        <v>712</v>
      </c>
      <c r="D266" s="117" t="s">
        <v>46</v>
      </c>
      <c r="E266" s="117" t="s">
        <v>718</v>
      </c>
      <c r="F266" s="118" t="s">
        <v>77</v>
      </c>
      <c r="G266" s="117" t="s">
        <v>78</v>
      </c>
      <c r="H266" s="117" t="s">
        <v>397</v>
      </c>
      <c r="I266" s="119" t="n">
        <v>0</v>
      </c>
      <c r="J266" s="119" t="n">
        <v>1</v>
      </c>
      <c r="K266" s="117" t="s">
        <v>714</v>
      </c>
      <c r="L266" s="117"/>
    </row>
    <row r="267" customFormat="false" ht="15" hidden="false" customHeight="false" outlineLevel="0" collapsed="false">
      <c r="A267" s="117" t="s">
        <v>710</v>
      </c>
      <c r="B267" s="117" t="s">
        <v>711</v>
      </c>
      <c r="C267" s="117" t="s">
        <v>712</v>
      </c>
      <c r="D267" s="117" t="s">
        <v>46</v>
      </c>
      <c r="E267" s="117" t="s">
        <v>719</v>
      </c>
      <c r="F267" s="118" t="s">
        <v>77</v>
      </c>
      <c r="G267" s="117" t="s">
        <v>78</v>
      </c>
      <c r="H267" s="117" t="s">
        <v>397</v>
      </c>
      <c r="I267" s="119" t="n">
        <v>0</v>
      </c>
      <c r="J267" s="119" t="n">
        <v>1</v>
      </c>
      <c r="K267" s="117" t="s">
        <v>714</v>
      </c>
      <c r="L267" s="117"/>
    </row>
    <row r="268" customFormat="false" ht="15" hidden="false" customHeight="false" outlineLevel="0" collapsed="false">
      <c r="A268" s="117" t="s">
        <v>720</v>
      </c>
      <c r="B268" s="117" t="s">
        <v>721</v>
      </c>
      <c r="C268" s="117" t="s">
        <v>567</v>
      </c>
      <c r="D268" s="117" t="s">
        <v>20</v>
      </c>
      <c r="E268" s="117" t="s">
        <v>722</v>
      </c>
      <c r="F268" s="118" t="s">
        <v>69</v>
      </c>
      <c r="G268" s="117" t="s">
        <v>70</v>
      </c>
      <c r="H268" s="117" t="s">
        <v>397</v>
      </c>
      <c r="I268" s="119" t="n">
        <v>1</v>
      </c>
      <c r="J268" s="119" t="n">
        <v>0</v>
      </c>
      <c r="K268" s="117"/>
      <c r="L268" s="117"/>
    </row>
    <row r="269" customFormat="false" ht="15" hidden="false" customHeight="false" outlineLevel="0" collapsed="false">
      <c r="A269" s="117" t="s">
        <v>723</v>
      </c>
      <c r="B269" s="117" t="s">
        <v>721</v>
      </c>
      <c r="C269" s="117" t="s">
        <v>567</v>
      </c>
      <c r="D269" s="117" t="s">
        <v>20</v>
      </c>
      <c r="E269" s="117" t="s">
        <v>724</v>
      </c>
      <c r="F269" s="118" t="s">
        <v>87</v>
      </c>
      <c r="G269" s="117" t="s">
        <v>88</v>
      </c>
      <c r="H269" s="117" t="s">
        <v>397</v>
      </c>
      <c r="I269" s="119" t="n">
        <v>1</v>
      </c>
      <c r="J269" s="119" t="n">
        <v>0</v>
      </c>
      <c r="K269" s="117"/>
      <c r="L269" s="117"/>
    </row>
    <row r="270" customFormat="false" ht="15" hidden="false" customHeight="false" outlineLevel="0" collapsed="false">
      <c r="A270" s="117" t="s">
        <v>725</v>
      </c>
      <c r="B270" s="117" t="s">
        <v>721</v>
      </c>
      <c r="C270" s="117" t="s">
        <v>28</v>
      </c>
      <c r="D270" s="117" t="s">
        <v>28</v>
      </c>
      <c r="E270" s="117" t="s">
        <v>726</v>
      </c>
      <c r="F270" s="118" t="s">
        <v>69</v>
      </c>
      <c r="G270" s="117" t="s">
        <v>70</v>
      </c>
      <c r="H270" s="117" t="s">
        <v>397</v>
      </c>
      <c r="I270" s="119" t="n">
        <v>1</v>
      </c>
      <c r="J270" s="119" t="n">
        <v>0</v>
      </c>
      <c r="K270" s="117"/>
      <c r="L270" s="117"/>
    </row>
    <row r="271" customFormat="false" ht="15" hidden="false" customHeight="false" outlineLevel="0" collapsed="false">
      <c r="A271" s="117" t="s">
        <v>727</v>
      </c>
      <c r="B271" s="117" t="s">
        <v>721</v>
      </c>
      <c r="C271" s="117" t="s">
        <v>728</v>
      </c>
      <c r="D271" s="117" t="s">
        <v>27</v>
      </c>
      <c r="E271" s="117" t="s">
        <v>729</v>
      </c>
      <c r="F271" s="118" t="s">
        <v>69</v>
      </c>
      <c r="G271" s="117" t="s">
        <v>70</v>
      </c>
      <c r="H271" s="117" t="s">
        <v>397</v>
      </c>
      <c r="I271" s="119" t="n">
        <v>1</v>
      </c>
      <c r="J271" s="119" t="n">
        <v>0</v>
      </c>
      <c r="K271" s="117"/>
      <c r="L271" s="117"/>
    </row>
    <row r="272" customFormat="false" ht="15" hidden="false" customHeight="false" outlineLevel="0" collapsed="false">
      <c r="A272" s="117" t="s">
        <v>730</v>
      </c>
      <c r="B272" s="117" t="s">
        <v>721</v>
      </c>
      <c r="C272" s="117" t="s">
        <v>728</v>
      </c>
      <c r="D272" s="117" t="s">
        <v>27</v>
      </c>
      <c r="E272" s="117" t="s">
        <v>731</v>
      </c>
      <c r="F272" s="118" t="s">
        <v>113</v>
      </c>
      <c r="G272" s="117" t="s">
        <v>114</v>
      </c>
      <c r="H272" s="117" t="s">
        <v>397</v>
      </c>
      <c r="I272" s="119" t="n">
        <v>1</v>
      </c>
      <c r="J272" s="119" t="n">
        <v>0</v>
      </c>
      <c r="K272" s="117"/>
      <c r="L272" s="117"/>
    </row>
    <row r="273" customFormat="false" ht="15" hidden="false" customHeight="false" outlineLevel="0" collapsed="false">
      <c r="A273" s="117" t="s">
        <v>526</v>
      </c>
      <c r="B273" s="117" t="s">
        <v>721</v>
      </c>
      <c r="C273" s="117" t="s">
        <v>728</v>
      </c>
      <c r="D273" s="117" t="s">
        <v>27</v>
      </c>
      <c r="E273" s="117" t="s">
        <v>732</v>
      </c>
      <c r="F273" s="118" t="s">
        <v>113</v>
      </c>
      <c r="G273" s="117" t="s">
        <v>114</v>
      </c>
      <c r="H273" s="117" t="s">
        <v>397</v>
      </c>
      <c r="I273" s="119" t="n">
        <v>1</v>
      </c>
      <c r="J273" s="119" t="n">
        <v>0</v>
      </c>
      <c r="K273" s="117"/>
      <c r="L273" s="117"/>
    </row>
    <row r="274" customFormat="false" ht="15" hidden="false" customHeight="false" outlineLevel="0" collapsed="false">
      <c r="A274" s="117" t="s">
        <v>733</v>
      </c>
      <c r="B274" s="117" t="s">
        <v>721</v>
      </c>
      <c r="C274" s="117" t="s">
        <v>728</v>
      </c>
      <c r="D274" s="117" t="s">
        <v>27</v>
      </c>
      <c r="E274" s="117" t="s">
        <v>734</v>
      </c>
      <c r="F274" s="118" t="s">
        <v>113</v>
      </c>
      <c r="G274" s="117" t="s">
        <v>114</v>
      </c>
      <c r="H274" s="117" t="s">
        <v>397</v>
      </c>
      <c r="I274" s="119" t="n">
        <v>1</v>
      </c>
      <c r="J274" s="119" t="n">
        <v>0</v>
      </c>
      <c r="K274" s="117"/>
      <c r="L274" s="117"/>
    </row>
    <row r="275" customFormat="false" ht="15" hidden="false" customHeight="false" outlineLevel="0" collapsed="false">
      <c r="A275" s="117" t="s">
        <v>735</v>
      </c>
      <c r="B275" s="117" t="s">
        <v>721</v>
      </c>
      <c r="C275" s="117" t="s">
        <v>728</v>
      </c>
      <c r="D275" s="117" t="s">
        <v>27</v>
      </c>
      <c r="E275" s="117" t="s">
        <v>736</v>
      </c>
      <c r="F275" s="118" t="s">
        <v>113</v>
      </c>
      <c r="G275" s="117" t="s">
        <v>114</v>
      </c>
      <c r="H275" s="117" t="s">
        <v>397</v>
      </c>
      <c r="I275" s="119" t="n">
        <v>1</v>
      </c>
      <c r="J275" s="119" t="n">
        <v>0</v>
      </c>
      <c r="K275" s="117"/>
      <c r="L275" s="117"/>
    </row>
    <row r="276" customFormat="false" ht="15" hidden="false" customHeight="false" outlineLevel="0" collapsed="false">
      <c r="A276" s="117" t="s">
        <v>412</v>
      </c>
      <c r="B276" s="117" t="s">
        <v>721</v>
      </c>
      <c r="C276" s="117" t="s">
        <v>737</v>
      </c>
      <c r="D276" s="117" t="s">
        <v>18</v>
      </c>
      <c r="E276" s="117" t="s">
        <v>738</v>
      </c>
      <c r="F276" s="118" t="s">
        <v>69</v>
      </c>
      <c r="G276" s="117" t="s">
        <v>70</v>
      </c>
      <c r="H276" s="117" t="s">
        <v>397</v>
      </c>
      <c r="I276" s="119" t="n">
        <v>0</v>
      </c>
      <c r="J276" s="119" t="n">
        <v>1</v>
      </c>
      <c r="K276" s="117"/>
      <c r="L276" s="117"/>
    </row>
    <row r="277" customFormat="false" ht="15" hidden="false" customHeight="false" outlineLevel="0" collapsed="false">
      <c r="A277" s="117" t="s">
        <v>414</v>
      </c>
      <c r="B277" s="117" t="s">
        <v>721</v>
      </c>
      <c r="C277" s="117" t="s">
        <v>737</v>
      </c>
      <c r="D277" s="117" t="s">
        <v>18</v>
      </c>
      <c r="E277" s="117" t="s">
        <v>739</v>
      </c>
      <c r="F277" s="118" t="s">
        <v>69</v>
      </c>
      <c r="G277" s="117" t="s">
        <v>70</v>
      </c>
      <c r="H277" s="117" t="s">
        <v>397</v>
      </c>
      <c r="I277" s="119" t="n">
        <v>1</v>
      </c>
      <c r="J277" s="119" t="n">
        <v>0</v>
      </c>
      <c r="K277" s="117"/>
      <c r="L277" s="117"/>
    </row>
    <row r="278" customFormat="false" ht="15" hidden="false" customHeight="false" outlineLevel="0" collapsed="false">
      <c r="A278" s="117" t="s">
        <v>572</v>
      </c>
      <c r="B278" s="117" t="s">
        <v>721</v>
      </c>
      <c r="C278" s="117" t="s">
        <v>737</v>
      </c>
      <c r="D278" s="117" t="s">
        <v>18</v>
      </c>
      <c r="E278" s="117" t="s">
        <v>740</v>
      </c>
      <c r="F278" s="118" t="s">
        <v>69</v>
      </c>
      <c r="G278" s="117" t="s">
        <v>70</v>
      </c>
      <c r="H278" s="117" t="s">
        <v>397</v>
      </c>
      <c r="I278" s="119" t="n">
        <v>1</v>
      </c>
      <c r="J278" s="119" t="n">
        <v>0</v>
      </c>
      <c r="K278" s="117"/>
      <c r="L278" s="117"/>
    </row>
    <row r="279" customFormat="false" ht="15" hidden="false" customHeight="false" outlineLevel="0" collapsed="false">
      <c r="A279" s="117" t="s">
        <v>741</v>
      </c>
      <c r="B279" s="117" t="s">
        <v>721</v>
      </c>
      <c r="C279" s="117" t="s">
        <v>737</v>
      </c>
      <c r="D279" s="117" t="s">
        <v>18</v>
      </c>
      <c r="E279" s="117" t="s">
        <v>742</v>
      </c>
      <c r="F279" s="118" t="s">
        <v>69</v>
      </c>
      <c r="G279" s="117" t="s">
        <v>70</v>
      </c>
      <c r="H279" s="117" t="s">
        <v>397</v>
      </c>
      <c r="I279" s="119" t="n">
        <v>1</v>
      </c>
      <c r="J279" s="119" t="n">
        <v>0</v>
      </c>
      <c r="K279" s="117"/>
      <c r="L279" s="117"/>
    </row>
    <row r="280" customFormat="false" ht="15" hidden="false" customHeight="false" outlineLevel="0" collapsed="false">
      <c r="A280" s="117" t="s">
        <v>743</v>
      </c>
      <c r="B280" s="117" t="s">
        <v>721</v>
      </c>
      <c r="C280" s="117" t="s">
        <v>737</v>
      </c>
      <c r="D280" s="117" t="s">
        <v>18</v>
      </c>
      <c r="E280" s="117" t="s">
        <v>744</v>
      </c>
      <c r="F280" s="118" t="s">
        <v>69</v>
      </c>
      <c r="G280" s="117" t="s">
        <v>70</v>
      </c>
      <c r="H280" s="117" t="s">
        <v>397</v>
      </c>
      <c r="I280" s="119" t="n">
        <v>1</v>
      </c>
      <c r="J280" s="119" t="n">
        <v>0</v>
      </c>
      <c r="K280" s="117"/>
      <c r="L280" s="117"/>
    </row>
    <row r="281" customFormat="false" ht="15" hidden="false" customHeight="false" outlineLevel="0" collapsed="false">
      <c r="A281" s="117" t="s">
        <v>531</v>
      </c>
      <c r="B281" s="117" t="s">
        <v>721</v>
      </c>
      <c r="C281" s="117" t="s">
        <v>737</v>
      </c>
      <c r="D281" s="117" t="s">
        <v>18</v>
      </c>
      <c r="E281" s="117" t="s">
        <v>745</v>
      </c>
      <c r="F281" s="118" t="s">
        <v>69</v>
      </c>
      <c r="G281" s="117" t="s">
        <v>70</v>
      </c>
      <c r="H281" s="117" t="s">
        <v>397</v>
      </c>
      <c r="I281" s="119" t="n">
        <v>1</v>
      </c>
      <c r="J281" s="119" t="n">
        <v>0</v>
      </c>
      <c r="K281" s="117"/>
      <c r="L281" s="117"/>
    </row>
    <row r="282" customFormat="false" ht="15" hidden="false" customHeight="false" outlineLevel="0" collapsed="false">
      <c r="A282" s="117" t="s">
        <v>746</v>
      </c>
      <c r="B282" s="117" t="s">
        <v>721</v>
      </c>
      <c r="C282" s="117" t="s">
        <v>737</v>
      </c>
      <c r="D282" s="117" t="s">
        <v>18</v>
      </c>
      <c r="E282" s="117" t="s">
        <v>747</v>
      </c>
      <c r="F282" s="118" t="s">
        <v>69</v>
      </c>
      <c r="G282" s="117" t="s">
        <v>70</v>
      </c>
      <c r="H282" s="117" t="s">
        <v>397</v>
      </c>
      <c r="I282" s="119" t="n">
        <v>1</v>
      </c>
      <c r="J282" s="119" t="n">
        <v>0</v>
      </c>
      <c r="K282" s="117"/>
      <c r="L282" s="117"/>
    </row>
    <row r="283" customFormat="false" ht="15" hidden="false" customHeight="false" outlineLevel="0" collapsed="false">
      <c r="A283" s="117" t="s">
        <v>631</v>
      </c>
      <c r="B283" s="117" t="s">
        <v>721</v>
      </c>
      <c r="C283" s="117" t="s">
        <v>35</v>
      </c>
      <c r="D283" s="117" t="s">
        <v>35</v>
      </c>
      <c r="E283" s="117" t="s">
        <v>748</v>
      </c>
      <c r="F283" s="118" t="s">
        <v>69</v>
      </c>
      <c r="G283" s="117" t="s">
        <v>70</v>
      </c>
      <c r="H283" s="117" t="s">
        <v>397</v>
      </c>
      <c r="I283" s="119" t="n">
        <v>1</v>
      </c>
      <c r="J283" s="119" t="n">
        <v>0</v>
      </c>
      <c r="K283" s="117"/>
      <c r="L283" s="117"/>
    </row>
    <row r="284" customFormat="false" ht="15" hidden="false" customHeight="false" outlineLevel="0" collapsed="false">
      <c r="A284" s="117" t="s">
        <v>633</v>
      </c>
      <c r="B284" s="117" t="s">
        <v>721</v>
      </c>
      <c r="C284" s="117" t="s">
        <v>35</v>
      </c>
      <c r="D284" s="117" t="s">
        <v>35</v>
      </c>
      <c r="E284" s="117" t="s">
        <v>749</v>
      </c>
      <c r="F284" s="118" t="s">
        <v>69</v>
      </c>
      <c r="G284" s="117" t="s">
        <v>70</v>
      </c>
      <c r="H284" s="117" t="s">
        <v>397</v>
      </c>
      <c r="I284" s="119" t="n">
        <v>1</v>
      </c>
      <c r="J284" s="119" t="n">
        <v>0</v>
      </c>
      <c r="K284" s="117"/>
      <c r="L284" s="117"/>
    </row>
    <row r="285" customFormat="false" ht="15" hidden="false" customHeight="false" outlineLevel="0" collapsed="false">
      <c r="A285" s="117" t="s">
        <v>750</v>
      </c>
      <c r="B285" s="117" t="s">
        <v>721</v>
      </c>
      <c r="C285" s="117" t="s">
        <v>712</v>
      </c>
      <c r="D285" s="117" t="s">
        <v>46</v>
      </c>
      <c r="E285" s="117" t="s">
        <v>751</v>
      </c>
      <c r="F285" s="118" t="s">
        <v>69</v>
      </c>
      <c r="G285" s="117" t="s">
        <v>70</v>
      </c>
      <c r="H285" s="117" t="s">
        <v>397</v>
      </c>
      <c r="I285" s="119" t="n">
        <v>1</v>
      </c>
      <c r="J285" s="119" t="n">
        <v>0</v>
      </c>
      <c r="K285" s="117"/>
      <c r="L285" s="117"/>
    </row>
    <row r="286" customFormat="false" ht="15" hidden="false" customHeight="false" outlineLevel="0" collapsed="false">
      <c r="A286" s="117" t="s">
        <v>752</v>
      </c>
      <c r="B286" s="117" t="s">
        <v>721</v>
      </c>
      <c r="C286" s="117" t="s">
        <v>753</v>
      </c>
      <c r="D286" s="117" t="s">
        <v>25</v>
      </c>
      <c r="E286" s="117" t="s">
        <v>754</v>
      </c>
      <c r="F286" s="118" t="s">
        <v>69</v>
      </c>
      <c r="G286" s="117" t="s">
        <v>70</v>
      </c>
      <c r="H286" s="117" t="s">
        <v>397</v>
      </c>
      <c r="I286" s="119" t="n">
        <v>1</v>
      </c>
      <c r="J286" s="119" t="n">
        <v>1</v>
      </c>
      <c r="K286" s="117"/>
      <c r="L286" s="117"/>
    </row>
    <row r="287" customFormat="false" ht="15" hidden="false" customHeight="false" outlineLevel="0" collapsed="false">
      <c r="A287" s="117" t="s">
        <v>755</v>
      </c>
      <c r="B287" s="117" t="s">
        <v>721</v>
      </c>
      <c r="C287" s="117" t="s">
        <v>753</v>
      </c>
      <c r="D287" s="117" t="s">
        <v>25</v>
      </c>
      <c r="E287" s="117" t="s">
        <v>756</v>
      </c>
      <c r="F287" s="118" t="s">
        <v>69</v>
      </c>
      <c r="G287" s="117" t="s">
        <v>70</v>
      </c>
      <c r="H287" s="117" t="s">
        <v>397</v>
      </c>
      <c r="I287" s="119" t="n">
        <v>1</v>
      </c>
      <c r="J287" s="119" t="n">
        <v>1</v>
      </c>
      <c r="K287" s="117"/>
      <c r="L287" s="117"/>
    </row>
    <row r="288" customFormat="false" ht="15" hidden="false" customHeight="false" outlineLevel="0" collapsed="false">
      <c r="A288" s="117" t="s">
        <v>757</v>
      </c>
      <c r="B288" s="117" t="s">
        <v>721</v>
      </c>
      <c r="C288" s="117" t="s">
        <v>753</v>
      </c>
      <c r="D288" s="117" t="s">
        <v>25</v>
      </c>
      <c r="E288" s="117" t="s">
        <v>758</v>
      </c>
      <c r="F288" s="118" t="s">
        <v>69</v>
      </c>
      <c r="G288" s="117" t="s">
        <v>70</v>
      </c>
      <c r="H288" s="117" t="s">
        <v>397</v>
      </c>
      <c r="I288" s="119" t="n">
        <v>1</v>
      </c>
      <c r="J288" s="119" t="n">
        <v>1</v>
      </c>
      <c r="K288" s="117"/>
      <c r="L288" s="117"/>
    </row>
    <row r="289" customFormat="false" ht="15" hidden="false" customHeight="false" outlineLevel="0" collapsed="false">
      <c r="A289" s="117" t="s">
        <v>759</v>
      </c>
      <c r="B289" s="117" t="s">
        <v>721</v>
      </c>
      <c r="C289" s="117" t="s">
        <v>753</v>
      </c>
      <c r="D289" s="117" t="s">
        <v>25</v>
      </c>
      <c r="E289" s="117" t="s">
        <v>760</v>
      </c>
      <c r="F289" s="118" t="s">
        <v>69</v>
      </c>
      <c r="G289" s="117" t="s">
        <v>70</v>
      </c>
      <c r="H289" s="117" t="s">
        <v>397</v>
      </c>
      <c r="I289" s="119" t="n">
        <v>0</v>
      </c>
      <c r="J289" s="119" t="n">
        <v>1</v>
      </c>
      <c r="K289" s="117"/>
      <c r="L289" s="117"/>
    </row>
    <row r="290" customFormat="false" ht="15" hidden="false" customHeight="false" outlineLevel="0" collapsed="false">
      <c r="A290" s="117" t="s">
        <v>761</v>
      </c>
      <c r="B290" s="117" t="s">
        <v>721</v>
      </c>
      <c r="C290" s="117" t="s">
        <v>753</v>
      </c>
      <c r="D290" s="117" t="s">
        <v>25</v>
      </c>
      <c r="E290" s="117" t="s">
        <v>762</v>
      </c>
      <c r="F290" s="118" t="s">
        <v>69</v>
      </c>
      <c r="G290" s="117" t="s">
        <v>70</v>
      </c>
      <c r="H290" s="117" t="s">
        <v>397</v>
      </c>
      <c r="I290" s="119" t="n">
        <v>1</v>
      </c>
      <c r="J290" s="119" t="n">
        <v>0</v>
      </c>
      <c r="K290" s="117"/>
      <c r="L290" s="117"/>
    </row>
    <row r="291" customFormat="false" ht="15" hidden="false" customHeight="false" outlineLevel="0" collapsed="false">
      <c r="A291" s="117" t="s">
        <v>703</v>
      </c>
      <c r="B291" s="117" t="s">
        <v>721</v>
      </c>
      <c r="C291" s="117" t="s">
        <v>763</v>
      </c>
      <c r="D291" s="117" t="s">
        <v>33</v>
      </c>
      <c r="E291" s="117" t="s">
        <v>764</v>
      </c>
      <c r="F291" s="118" t="s">
        <v>69</v>
      </c>
      <c r="G291" s="117" t="s">
        <v>70</v>
      </c>
      <c r="H291" s="117" t="s">
        <v>397</v>
      </c>
      <c r="I291" s="119" t="n">
        <v>1</v>
      </c>
      <c r="J291" s="119" t="n">
        <v>0</v>
      </c>
      <c r="K291" s="117"/>
      <c r="L291" s="117"/>
    </row>
    <row r="292" customFormat="false" ht="15" hidden="false" customHeight="false" outlineLevel="0" collapsed="false">
      <c r="A292" s="117" t="s">
        <v>765</v>
      </c>
      <c r="B292" s="117" t="s">
        <v>721</v>
      </c>
      <c r="C292" s="117" t="s">
        <v>14</v>
      </c>
      <c r="D292" s="117" t="s">
        <v>14</v>
      </c>
      <c r="E292" s="117" t="s">
        <v>766</v>
      </c>
      <c r="F292" s="118" t="s">
        <v>69</v>
      </c>
      <c r="G292" s="117" t="s">
        <v>70</v>
      </c>
      <c r="H292" s="117" t="s">
        <v>397</v>
      </c>
      <c r="I292" s="119" t="n">
        <v>1</v>
      </c>
      <c r="J292" s="119" t="n">
        <v>0</v>
      </c>
      <c r="K292" s="117"/>
      <c r="L292" s="117"/>
    </row>
    <row r="293" customFormat="false" ht="15" hidden="false" customHeight="false" outlineLevel="0" collapsed="false">
      <c r="A293" s="117" t="s">
        <v>767</v>
      </c>
      <c r="B293" s="117" t="s">
        <v>721</v>
      </c>
      <c r="C293" s="117" t="s">
        <v>14</v>
      </c>
      <c r="D293" s="117" t="s">
        <v>14</v>
      </c>
      <c r="E293" s="117" t="s">
        <v>768</v>
      </c>
      <c r="F293" s="118" t="s">
        <v>69</v>
      </c>
      <c r="G293" s="117" t="s">
        <v>70</v>
      </c>
      <c r="H293" s="117" t="s">
        <v>397</v>
      </c>
      <c r="I293" s="119" t="n">
        <v>1</v>
      </c>
      <c r="J293" s="119" t="n">
        <v>0</v>
      </c>
      <c r="K293" s="117"/>
      <c r="L293" s="117"/>
    </row>
    <row r="294" customFormat="false" ht="15" hidden="false" customHeight="false" outlineLevel="0" collapsed="false">
      <c r="A294" s="117" t="s">
        <v>769</v>
      </c>
      <c r="B294" s="117" t="s">
        <v>721</v>
      </c>
      <c r="C294" s="117" t="s">
        <v>14</v>
      </c>
      <c r="D294" s="117" t="s">
        <v>14</v>
      </c>
      <c r="E294" s="117" t="s">
        <v>770</v>
      </c>
      <c r="F294" s="118" t="s">
        <v>69</v>
      </c>
      <c r="G294" s="117" t="s">
        <v>70</v>
      </c>
      <c r="H294" s="117" t="s">
        <v>397</v>
      </c>
      <c r="I294" s="119" t="n">
        <v>1</v>
      </c>
      <c r="J294" s="119" t="n">
        <v>0</v>
      </c>
      <c r="K294" s="117"/>
      <c r="L294" s="117"/>
    </row>
    <row r="295" customFormat="false" ht="15" hidden="false" customHeight="false" outlineLevel="0" collapsed="false">
      <c r="A295" s="117" t="s">
        <v>771</v>
      </c>
      <c r="B295" s="117" t="s">
        <v>721</v>
      </c>
      <c r="C295" s="117" t="s">
        <v>14</v>
      </c>
      <c r="D295" s="117" t="s">
        <v>14</v>
      </c>
      <c r="E295" s="117" t="s">
        <v>772</v>
      </c>
      <c r="F295" s="118" t="s">
        <v>69</v>
      </c>
      <c r="G295" s="117" t="s">
        <v>70</v>
      </c>
      <c r="H295" s="117" t="s">
        <v>397</v>
      </c>
      <c r="I295" s="119" t="n">
        <v>1</v>
      </c>
      <c r="J295" s="119" t="n">
        <v>0</v>
      </c>
      <c r="K295" s="117"/>
      <c r="L295" s="117"/>
    </row>
    <row r="296" customFormat="false" ht="15" hidden="false" customHeight="false" outlineLevel="0" collapsed="false">
      <c r="A296" s="117" t="s">
        <v>773</v>
      </c>
      <c r="B296" s="117" t="s">
        <v>721</v>
      </c>
      <c r="C296" s="117" t="s">
        <v>14</v>
      </c>
      <c r="D296" s="117" t="s">
        <v>14</v>
      </c>
      <c r="E296" s="117" t="s">
        <v>774</v>
      </c>
      <c r="F296" s="118" t="s">
        <v>69</v>
      </c>
      <c r="G296" s="117" t="s">
        <v>70</v>
      </c>
      <c r="H296" s="117" t="s">
        <v>397</v>
      </c>
      <c r="I296" s="119" t="n">
        <v>1</v>
      </c>
      <c r="J296" s="119" t="n">
        <v>0</v>
      </c>
      <c r="K296" s="117"/>
      <c r="L296" s="117"/>
    </row>
    <row r="297" customFormat="false" ht="15" hidden="false" customHeight="false" outlineLevel="0" collapsed="false">
      <c r="A297" s="117" t="s">
        <v>775</v>
      </c>
      <c r="B297" s="117" t="s">
        <v>721</v>
      </c>
      <c r="C297" s="117" t="s">
        <v>14</v>
      </c>
      <c r="D297" s="117" t="s">
        <v>14</v>
      </c>
      <c r="E297" s="117" t="s">
        <v>776</v>
      </c>
      <c r="F297" s="118" t="s">
        <v>69</v>
      </c>
      <c r="G297" s="117" t="s">
        <v>70</v>
      </c>
      <c r="H297" s="117" t="s">
        <v>397</v>
      </c>
      <c r="I297" s="119" t="n">
        <v>1</v>
      </c>
      <c r="J297" s="119" t="n">
        <v>0</v>
      </c>
      <c r="K297" s="117"/>
      <c r="L297" s="117"/>
    </row>
    <row r="298" customFormat="false" ht="15" hidden="false" customHeight="false" outlineLevel="0" collapsed="false">
      <c r="A298" s="117" t="s">
        <v>777</v>
      </c>
      <c r="B298" s="117" t="s">
        <v>721</v>
      </c>
      <c r="C298" s="117" t="s">
        <v>39</v>
      </c>
      <c r="D298" s="117" t="s">
        <v>39</v>
      </c>
      <c r="E298" s="117" t="s">
        <v>778</v>
      </c>
      <c r="F298" s="118" t="s">
        <v>69</v>
      </c>
      <c r="G298" s="117" t="s">
        <v>70</v>
      </c>
      <c r="H298" s="117" t="s">
        <v>397</v>
      </c>
      <c r="I298" s="119" t="n">
        <v>1</v>
      </c>
      <c r="J298" s="119" t="n">
        <v>0</v>
      </c>
      <c r="K298" s="117"/>
      <c r="L298" s="117"/>
    </row>
    <row r="299" customFormat="false" ht="15" hidden="false" customHeight="false" outlineLevel="0" collapsed="false">
      <c r="A299" s="117" t="s">
        <v>779</v>
      </c>
      <c r="B299" s="117" t="s">
        <v>721</v>
      </c>
      <c r="C299" s="117" t="s">
        <v>31</v>
      </c>
      <c r="D299" s="117" t="s">
        <v>31</v>
      </c>
      <c r="E299" s="117" t="s">
        <v>780</v>
      </c>
      <c r="F299" s="118" t="s">
        <v>69</v>
      </c>
      <c r="G299" s="117" t="s">
        <v>70</v>
      </c>
      <c r="H299" s="117" t="s">
        <v>397</v>
      </c>
      <c r="I299" s="119" t="n">
        <v>1</v>
      </c>
      <c r="J299" s="119" t="n">
        <v>0</v>
      </c>
      <c r="K299" s="117"/>
      <c r="L299" s="117"/>
    </row>
    <row r="300" customFormat="false" ht="15" hidden="false" customHeight="false" outlineLevel="0" collapsed="false">
      <c r="A300" s="117" t="s">
        <v>781</v>
      </c>
      <c r="B300" s="117" t="s">
        <v>721</v>
      </c>
      <c r="C300" s="117" t="s">
        <v>31</v>
      </c>
      <c r="D300" s="117" t="s">
        <v>31</v>
      </c>
      <c r="E300" s="117" t="s">
        <v>782</v>
      </c>
      <c r="F300" s="118" t="s">
        <v>69</v>
      </c>
      <c r="G300" s="117" t="s">
        <v>70</v>
      </c>
      <c r="H300" s="117" t="s">
        <v>397</v>
      </c>
      <c r="I300" s="119" t="n">
        <v>1</v>
      </c>
      <c r="J300" s="119" t="n">
        <v>0</v>
      </c>
      <c r="K300" s="117"/>
      <c r="L300" s="117"/>
    </row>
    <row r="301" customFormat="false" ht="15" hidden="false" customHeight="false" outlineLevel="0" collapsed="false">
      <c r="A301" s="117" t="s">
        <v>783</v>
      </c>
      <c r="B301" s="117" t="s">
        <v>721</v>
      </c>
      <c r="C301" s="117" t="s">
        <v>31</v>
      </c>
      <c r="D301" s="117" t="s">
        <v>31</v>
      </c>
      <c r="E301" s="117" t="s">
        <v>784</v>
      </c>
      <c r="F301" s="118" t="s">
        <v>69</v>
      </c>
      <c r="G301" s="117" t="s">
        <v>70</v>
      </c>
      <c r="H301" s="117" t="s">
        <v>397</v>
      </c>
      <c r="I301" s="119" t="n">
        <v>1</v>
      </c>
      <c r="J301" s="119" t="n">
        <v>0</v>
      </c>
      <c r="K301" s="117"/>
      <c r="L301" s="117"/>
    </row>
    <row r="302" customFormat="false" ht="15" hidden="false" customHeight="false" outlineLevel="0" collapsed="false">
      <c r="A302" s="117" t="s">
        <v>785</v>
      </c>
      <c r="B302" s="117" t="s">
        <v>721</v>
      </c>
      <c r="C302" s="117" t="s">
        <v>31</v>
      </c>
      <c r="D302" s="117" t="s">
        <v>31</v>
      </c>
      <c r="E302" s="117" t="s">
        <v>786</v>
      </c>
      <c r="F302" s="118" t="s">
        <v>69</v>
      </c>
      <c r="G302" s="117" t="s">
        <v>70</v>
      </c>
      <c r="H302" s="117" t="s">
        <v>397</v>
      </c>
      <c r="I302" s="119" t="n">
        <v>1</v>
      </c>
      <c r="J302" s="119" t="n">
        <v>1</v>
      </c>
      <c r="K302" s="117"/>
      <c r="L302" s="117"/>
    </row>
    <row r="303" customFormat="false" ht="15" hidden="false" customHeight="false" outlineLevel="0" collapsed="false">
      <c r="A303" s="117" t="s">
        <v>557</v>
      </c>
      <c r="B303" s="117" t="s">
        <v>721</v>
      </c>
      <c r="C303" s="117" t="s">
        <v>17</v>
      </c>
      <c r="D303" s="117" t="s">
        <v>17</v>
      </c>
      <c r="E303" s="117" t="s">
        <v>787</v>
      </c>
      <c r="F303" s="118" t="s">
        <v>69</v>
      </c>
      <c r="G303" s="117" t="s">
        <v>70</v>
      </c>
      <c r="H303" s="117" t="s">
        <v>397</v>
      </c>
      <c r="I303" s="119" t="n">
        <v>1</v>
      </c>
      <c r="J303" s="119" t="n">
        <v>0</v>
      </c>
      <c r="K303" s="117"/>
      <c r="L303" s="117"/>
    </row>
    <row r="304" customFormat="false" ht="15" hidden="false" customHeight="false" outlineLevel="0" collapsed="false">
      <c r="A304" s="117" t="s">
        <v>788</v>
      </c>
      <c r="B304" s="117" t="s">
        <v>721</v>
      </c>
      <c r="C304" s="117" t="s">
        <v>17</v>
      </c>
      <c r="D304" s="117" t="s">
        <v>17</v>
      </c>
      <c r="E304" s="117" t="s">
        <v>789</v>
      </c>
      <c r="F304" s="118" t="s">
        <v>69</v>
      </c>
      <c r="G304" s="117" t="s">
        <v>70</v>
      </c>
      <c r="H304" s="117" t="s">
        <v>397</v>
      </c>
      <c r="I304" s="119" t="n">
        <v>1</v>
      </c>
      <c r="J304" s="119" t="n">
        <v>0</v>
      </c>
      <c r="K304" s="117"/>
      <c r="L304" s="117"/>
    </row>
    <row r="305" customFormat="false" ht="15" hidden="false" customHeight="false" outlineLevel="0" collapsed="false">
      <c r="A305" s="117" t="s">
        <v>790</v>
      </c>
      <c r="B305" s="117" t="s">
        <v>721</v>
      </c>
      <c r="C305" s="117" t="s">
        <v>17</v>
      </c>
      <c r="D305" s="117" t="s">
        <v>17</v>
      </c>
      <c r="E305" s="117" t="s">
        <v>791</v>
      </c>
      <c r="F305" s="118" t="s">
        <v>69</v>
      </c>
      <c r="G305" s="117" t="s">
        <v>70</v>
      </c>
      <c r="H305" s="117" t="s">
        <v>397</v>
      </c>
      <c r="I305" s="119" t="n">
        <v>1</v>
      </c>
      <c r="J305" s="119" t="n">
        <v>0</v>
      </c>
      <c r="K305" s="117"/>
      <c r="L305" s="117"/>
    </row>
    <row r="306" customFormat="false" ht="15" hidden="false" customHeight="false" outlineLevel="0" collapsed="false">
      <c r="A306" s="117" t="s">
        <v>792</v>
      </c>
      <c r="B306" s="117" t="s">
        <v>721</v>
      </c>
      <c r="C306" s="117" t="s">
        <v>17</v>
      </c>
      <c r="D306" s="117" t="s">
        <v>17</v>
      </c>
      <c r="E306" s="117" t="s">
        <v>793</v>
      </c>
      <c r="F306" s="118" t="s">
        <v>69</v>
      </c>
      <c r="G306" s="117" t="s">
        <v>70</v>
      </c>
      <c r="H306" s="117" t="s">
        <v>397</v>
      </c>
      <c r="I306" s="119" t="n">
        <v>1</v>
      </c>
      <c r="J306" s="119" t="n">
        <v>0</v>
      </c>
      <c r="K306" s="117"/>
      <c r="L306" s="117"/>
    </row>
    <row r="307" customFormat="false" ht="15" hidden="false" customHeight="false" outlineLevel="0" collapsed="false">
      <c r="A307" s="117" t="s">
        <v>560</v>
      </c>
      <c r="B307" s="117" t="s">
        <v>721</v>
      </c>
      <c r="C307" s="117" t="s">
        <v>17</v>
      </c>
      <c r="D307" s="117" t="s">
        <v>17</v>
      </c>
      <c r="E307" s="117" t="s">
        <v>794</v>
      </c>
      <c r="F307" s="118" t="s">
        <v>69</v>
      </c>
      <c r="G307" s="117" t="s">
        <v>70</v>
      </c>
      <c r="H307" s="117" t="s">
        <v>397</v>
      </c>
      <c r="I307" s="119" t="n">
        <v>1</v>
      </c>
      <c r="J307" s="119" t="n">
        <v>0</v>
      </c>
      <c r="K307" s="117"/>
      <c r="L307" s="117"/>
    </row>
    <row r="308" customFormat="false" ht="15" hidden="false" customHeight="false" outlineLevel="0" collapsed="false">
      <c r="A308" s="117" t="s">
        <v>795</v>
      </c>
      <c r="B308" s="117" t="s">
        <v>721</v>
      </c>
      <c r="C308" s="117" t="s">
        <v>17</v>
      </c>
      <c r="D308" s="117" t="s">
        <v>17</v>
      </c>
      <c r="E308" s="117" t="s">
        <v>796</v>
      </c>
      <c r="F308" s="118" t="s">
        <v>69</v>
      </c>
      <c r="G308" s="117" t="s">
        <v>70</v>
      </c>
      <c r="H308" s="117" t="s">
        <v>397</v>
      </c>
      <c r="I308" s="119" t="n">
        <v>1</v>
      </c>
      <c r="J308" s="119" t="n">
        <v>0</v>
      </c>
      <c r="K308" s="117"/>
      <c r="L308" s="117"/>
    </row>
    <row r="309" customFormat="false" ht="15" hidden="false" customHeight="false" outlineLevel="0" collapsed="false">
      <c r="A309" s="117" t="s">
        <v>797</v>
      </c>
      <c r="B309" s="117" t="s">
        <v>721</v>
      </c>
      <c r="C309" s="117" t="s">
        <v>17</v>
      </c>
      <c r="D309" s="117" t="s">
        <v>17</v>
      </c>
      <c r="E309" s="117" t="s">
        <v>798</v>
      </c>
      <c r="F309" s="118" t="s">
        <v>69</v>
      </c>
      <c r="G309" s="117" t="s">
        <v>70</v>
      </c>
      <c r="H309" s="117" t="s">
        <v>397</v>
      </c>
      <c r="I309" s="119" t="n">
        <v>1</v>
      </c>
      <c r="J309" s="119" t="n">
        <v>0</v>
      </c>
      <c r="K309" s="117"/>
      <c r="L309" s="117"/>
    </row>
    <row r="310" customFormat="false" ht="15" hidden="false" customHeight="false" outlineLevel="0" collapsed="false">
      <c r="A310" s="117" t="s">
        <v>799</v>
      </c>
      <c r="B310" s="117" t="s">
        <v>721</v>
      </c>
      <c r="C310" s="117" t="s">
        <v>17</v>
      </c>
      <c r="D310" s="117" t="s">
        <v>17</v>
      </c>
      <c r="E310" s="117" t="s">
        <v>800</v>
      </c>
      <c r="F310" s="118" t="s">
        <v>69</v>
      </c>
      <c r="G310" s="117" t="s">
        <v>70</v>
      </c>
      <c r="H310" s="117" t="s">
        <v>397</v>
      </c>
      <c r="I310" s="119" t="n">
        <v>1</v>
      </c>
      <c r="J310" s="119" t="n">
        <v>0</v>
      </c>
      <c r="K310" s="117"/>
      <c r="L310" s="117"/>
    </row>
    <row r="311" customFormat="false" ht="15" hidden="false" customHeight="false" outlineLevel="0" collapsed="false">
      <c r="A311" s="117" t="s">
        <v>801</v>
      </c>
      <c r="B311" s="117" t="s">
        <v>721</v>
      </c>
      <c r="C311" s="117" t="s">
        <v>17</v>
      </c>
      <c r="D311" s="117" t="s">
        <v>17</v>
      </c>
      <c r="E311" s="117" t="s">
        <v>802</v>
      </c>
      <c r="F311" s="118" t="s">
        <v>87</v>
      </c>
      <c r="G311" s="117" t="s">
        <v>88</v>
      </c>
      <c r="H311" s="117" t="s">
        <v>397</v>
      </c>
      <c r="I311" s="119" t="n">
        <v>1</v>
      </c>
      <c r="J311" s="119" t="n">
        <v>0</v>
      </c>
      <c r="K311" s="117"/>
      <c r="L311" s="117"/>
    </row>
    <row r="312" customFormat="false" ht="15" hidden="false" customHeight="false" outlineLevel="0" collapsed="false">
      <c r="A312" s="117" t="s">
        <v>803</v>
      </c>
      <c r="B312" s="117" t="s">
        <v>721</v>
      </c>
      <c r="C312" s="117" t="s">
        <v>17</v>
      </c>
      <c r="D312" s="117" t="s">
        <v>17</v>
      </c>
      <c r="E312" s="117" t="s">
        <v>804</v>
      </c>
      <c r="F312" s="118" t="s">
        <v>87</v>
      </c>
      <c r="G312" s="117" t="s">
        <v>88</v>
      </c>
      <c r="H312" s="117" t="s">
        <v>397</v>
      </c>
      <c r="I312" s="119" t="n">
        <v>1</v>
      </c>
      <c r="J312" s="119" t="n">
        <v>0</v>
      </c>
      <c r="K312" s="117"/>
      <c r="L312" s="117"/>
    </row>
    <row r="313" customFormat="false" ht="15" hidden="false" customHeight="false" outlineLevel="0" collapsed="false">
      <c r="A313" s="117" t="s">
        <v>805</v>
      </c>
      <c r="B313" s="117" t="s">
        <v>721</v>
      </c>
      <c r="C313" s="117" t="s">
        <v>17</v>
      </c>
      <c r="D313" s="117" t="s">
        <v>17</v>
      </c>
      <c r="E313" s="117" t="s">
        <v>806</v>
      </c>
      <c r="F313" s="118" t="s">
        <v>87</v>
      </c>
      <c r="G313" s="117" t="s">
        <v>88</v>
      </c>
      <c r="H313" s="117" t="s">
        <v>397</v>
      </c>
      <c r="I313" s="119" t="n">
        <v>1</v>
      </c>
      <c r="J313" s="119" t="n">
        <v>0</v>
      </c>
      <c r="K313" s="117"/>
      <c r="L313" s="117"/>
    </row>
    <row r="314" customFormat="false" ht="15" hidden="false" customHeight="false" outlineLevel="0" collapsed="false">
      <c r="A314" s="117" t="s">
        <v>807</v>
      </c>
      <c r="B314" s="117" t="s">
        <v>721</v>
      </c>
      <c r="C314" s="117" t="s">
        <v>17</v>
      </c>
      <c r="D314" s="117" t="s">
        <v>17</v>
      </c>
      <c r="E314" s="117" t="s">
        <v>808</v>
      </c>
      <c r="F314" s="118" t="s">
        <v>87</v>
      </c>
      <c r="G314" s="117" t="s">
        <v>88</v>
      </c>
      <c r="H314" s="117" t="s">
        <v>397</v>
      </c>
      <c r="I314" s="119" t="n">
        <v>1</v>
      </c>
      <c r="J314" s="119" t="n">
        <v>0</v>
      </c>
      <c r="K314" s="117"/>
      <c r="L314" s="117"/>
    </row>
    <row r="315" customFormat="false" ht="15" hidden="false" customHeight="false" outlineLevel="0" collapsed="false">
      <c r="A315" s="117" t="s">
        <v>809</v>
      </c>
      <c r="B315" s="117" t="s">
        <v>721</v>
      </c>
      <c r="C315" s="117" t="s">
        <v>17</v>
      </c>
      <c r="D315" s="117" t="s">
        <v>17</v>
      </c>
      <c r="E315" s="117" t="s">
        <v>810</v>
      </c>
      <c r="F315" s="118" t="s">
        <v>69</v>
      </c>
      <c r="G315" s="117" t="s">
        <v>70</v>
      </c>
      <c r="H315" s="117" t="s">
        <v>397</v>
      </c>
      <c r="I315" s="119" t="n">
        <v>1</v>
      </c>
      <c r="J315" s="119" t="n">
        <v>0</v>
      </c>
      <c r="K315" s="117"/>
      <c r="L315" s="117"/>
    </row>
    <row r="316" customFormat="false" ht="15" hidden="false" customHeight="false" outlineLevel="0" collapsed="false">
      <c r="A316" s="117" t="s">
        <v>811</v>
      </c>
      <c r="B316" s="117" t="s">
        <v>721</v>
      </c>
      <c r="C316" s="117" t="s">
        <v>17</v>
      </c>
      <c r="D316" s="117" t="s">
        <v>17</v>
      </c>
      <c r="E316" s="117" t="s">
        <v>812</v>
      </c>
      <c r="F316" s="118" t="s">
        <v>87</v>
      </c>
      <c r="G316" s="117" t="s">
        <v>88</v>
      </c>
      <c r="H316" s="117" t="s">
        <v>397</v>
      </c>
      <c r="I316" s="119" t="n">
        <v>1</v>
      </c>
      <c r="J316" s="119" t="n">
        <v>0</v>
      </c>
      <c r="K316" s="117"/>
      <c r="L316" s="117"/>
    </row>
    <row r="317" customFormat="false" ht="15" hidden="false" customHeight="false" outlineLevel="0" collapsed="false">
      <c r="A317" s="117" t="s">
        <v>813</v>
      </c>
      <c r="B317" s="117" t="s">
        <v>721</v>
      </c>
      <c r="C317" s="117" t="s">
        <v>40</v>
      </c>
      <c r="D317" s="117" t="s">
        <v>40</v>
      </c>
      <c r="E317" s="117" t="s">
        <v>814</v>
      </c>
      <c r="F317" s="118" t="s">
        <v>69</v>
      </c>
      <c r="G317" s="117" t="s">
        <v>70</v>
      </c>
      <c r="H317" s="117" t="s">
        <v>397</v>
      </c>
      <c r="I317" s="119" t="n">
        <v>1</v>
      </c>
      <c r="J317" s="119" t="n">
        <v>0</v>
      </c>
      <c r="K317" s="117"/>
      <c r="L317" s="117"/>
    </row>
    <row r="318" customFormat="false" ht="15" hidden="false" customHeight="false" outlineLevel="0" collapsed="false">
      <c r="A318" s="117" t="s">
        <v>815</v>
      </c>
      <c r="B318" s="117" t="s">
        <v>721</v>
      </c>
      <c r="C318" s="117" t="s">
        <v>15</v>
      </c>
      <c r="D318" s="117" t="s">
        <v>15</v>
      </c>
      <c r="E318" s="117" t="s">
        <v>816</v>
      </c>
      <c r="F318" s="118" t="s">
        <v>69</v>
      </c>
      <c r="G318" s="117" t="s">
        <v>70</v>
      </c>
      <c r="H318" s="117" t="s">
        <v>397</v>
      </c>
      <c r="I318" s="119" t="n">
        <v>1</v>
      </c>
      <c r="J318" s="119" t="n">
        <v>0</v>
      </c>
      <c r="K318" s="117"/>
      <c r="L318" s="117"/>
    </row>
    <row r="319" customFormat="false" ht="15" hidden="false" customHeight="false" outlineLevel="0" collapsed="false">
      <c r="A319" s="117" t="s">
        <v>817</v>
      </c>
      <c r="B319" s="117" t="s">
        <v>721</v>
      </c>
      <c r="C319" s="117" t="s">
        <v>15</v>
      </c>
      <c r="D319" s="117" t="s">
        <v>15</v>
      </c>
      <c r="E319" s="117" t="s">
        <v>818</v>
      </c>
      <c r="F319" s="118" t="s">
        <v>69</v>
      </c>
      <c r="G319" s="117" t="s">
        <v>70</v>
      </c>
      <c r="H319" s="117" t="s">
        <v>397</v>
      </c>
      <c r="I319" s="119" t="n">
        <v>1</v>
      </c>
      <c r="J319" s="119" t="n">
        <v>0</v>
      </c>
      <c r="K319" s="117"/>
      <c r="L319" s="117"/>
    </row>
    <row r="320" customFormat="false" ht="15" hidden="false" customHeight="false" outlineLevel="0" collapsed="false">
      <c r="A320" s="117" t="s">
        <v>819</v>
      </c>
      <c r="B320" s="117" t="s">
        <v>721</v>
      </c>
      <c r="C320" s="117" t="s">
        <v>15</v>
      </c>
      <c r="D320" s="117" t="s">
        <v>15</v>
      </c>
      <c r="E320" s="117" t="s">
        <v>820</v>
      </c>
      <c r="F320" s="118" t="s">
        <v>87</v>
      </c>
      <c r="G320" s="117" t="s">
        <v>88</v>
      </c>
      <c r="H320" s="117" t="s">
        <v>397</v>
      </c>
      <c r="I320" s="119" t="n">
        <v>1</v>
      </c>
      <c r="J320" s="119" t="n">
        <v>0</v>
      </c>
      <c r="K320" s="117"/>
      <c r="L320" s="117"/>
    </row>
    <row r="321" customFormat="false" ht="15" hidden="false" customHeight="false" outlineLevel="0" collapsed="false">
      <c r="A321" s="117" t="s">
        <v>821</v>
      </c>
      <c r="B321" s="117" t="s">
        <v>721</v>
      </c>
      <c r="C321" s="117" t="s">
        <v>15</v>
      </c>
      <c r="D321" s="117" t="s">
        <v>15</v>
      </c>
      <c r="E321" s="117" t="s">
        <v>822</v>
      </c>
      <c r="F321" s="118" t="s">
        <v>69</v>
      </c>
      <c r="G321" s="117" t="s">
        <v>70</v>
      </c>
      <c r="H321" s="117" t="s">
        <v>397</v>
      </c>
      <c r="I321" s="119" t="n">
        <v>1</v>
      </c>
      <c r="J321" s="119" t="n">
        <v>0</v>
      </c>
      <c r="K321" s="117"/>
      <c r="L321" s="117"/>
    </row>
    <row r="322" customFormat="false" ht="15" hidden="false" customHeight="false" outlineLevel="0" collapsed="false">
      <c r="A322" s="117" t="s">
        <v>823</v>
      </c>
      <c r="B322" s="117" t="s">
        <v>721</v>
      </c>
      <c r="C322" s="117" t="s">
        <v>15</v>
      </c>
      <c r="D322" s="117" t="s">
        <v>15</v>
      </c>
      <c r="E322" s="117" t="s">
        <v>824</v>
      </c>
      <c r="F322" s="118" t="s">
        <v>69</v>
      </c>
      <c r="G322" s="117" t="s">
        <v>70</v>
      </c>
      <c r="H322" s="117" t="s">
        <v>397</v>
      </c>
      <c r="I322" s="119" t="n">
        <v>1</v>
      </c>
      <c r="J322" s="119" t="n">
        <v>0</v>
      </c>
      <c r="K322" s="117"/>
      <c r="L322" s="117"/>
    </row>
    <row r="323" customFormat="false" ht="15" hidden="false" customHeight="false" outlineLevel="0" collapsed="false">
      <c r="A323" s="117" t="s">
        <v>429</v>
      </c>
      <c r="B323" s="117" t="s">
        <v>721</v>
      </c>
      <c r="C323" s="117" t="s">
        <v>30</v>
      </c>
      <c r="D323" s="117" t="s">
        <v>30</v>
      </c>
      <c r="E323" s="117" t="s">
        <v>825</v>
      </c>
      <c r="F323" s="118" t="s">
        <v>69</v>
      </c>
      <c r="G323" s="117" t="s">
        <v>70</v>
      </c>
      <c r="H323" s="117" t="s">
        <v>397</v>
      </c>
      <c r="I323" s="119" t="n">
        <v>1</v>
      </c>
      <c r="J323" s="119" t="n">
        <v>0</v>
      </c>
      <c r="K323" s="117"/>
      <c r="L323" s="117"/>
    </row>
    <row r="324" customFormat="false" ht="15" hidden="false" customHeight="false" outlineLevel="0" collapsed="false">
      <c r="A324" s="117" t="s">
        <v>658</v>
      </c>
      <c r="B324" s="117" t="s">
        <v>721</v>
      </c>
      <c r="C324" s="117" t="s">
        <v>30</v>
      </c>
      <c r="D324" s="117" t="s">
        <v>30</v>
      </c>
      <c r="E324" s="117" t="s">
        <v>826</v>
      </c>
      <c r="F324" s="118" t="s">
        <v>69</v>
      </c>
      <c r="G324" s="117" t="s">
        <v>70</v>
      </c>
      <c r="H324" s="117" t="s">
        <v>397</v>
      </c>
      <c r="I324" s="119" t="n">
        <v>1</v>
      </c>
      <c r="J324" s="119" t="n">
        <v>0</v>
      </c>
      <c r="K324" s="117"/>
      <c r="L324" s="117"/>
    </row>
    <row r="325" customFormat="false" ht="15" hidden="false" customHeight="false" outlineLevel="0" collapsed="false">
      <c r="A325" s="117" t="s">
        <v>827</v>
      </c>
      <c r="B325" s="117" t="s">
        <v>721</v>
      </c>
      <c r="C325" s="117" t="s">
        <v>30</v>
      </c>
      <c r="D325" s="117" t="s">
        <v>30</v>
      </c>
      <c r="E325" s="117" t="s">
        <v>828</v>
      </c>
      <c r="F325" s="118" t="s">
        <v>69</v>
      </c>
      <c r="G325" s="117" t="s">
        <v>70</v>
      </c>
      <c r="H325" s="117" t="s">
        <v>397</v>
      </c>
      <c r="I325" s="119" t="n">
        <v>1</v>
      </c>
      <c r="J325" s="119" t="n">
        <v>0</v>
      </c>
      <c r="K325" s="117"/>
      <c r="L325" s="117"/>
    </row>
    <row r="326" customFormat="false" ht="15" hidden="false" customHeight="false" outlineLevel="0" collapsed="false">
      <c r="A326" s="117" t="s">
        <v>494</v>
      </c>
      <c r="B326" s="117" t="s">
        <v>721</v>
      </c>
      <c r="C326" s="117" t="s">
        <v>30</v>
      </c>
      <c r="D326" s="117" t="s">
        <v>30</v>
      </c>
      <c r="E326" s="117" t="s">
        <v>829</v>
      </c>
      <c r="F326" s="118" t="s">
        <v>69</v>
      </c>
      <c r="G326" s="117" t="s">
        <v>70</v>
      </c>
      <c r="H326" s="117" t="s">
        <v>397</v>
      </c>
      <c r="I326" s="119" t="n">
        <v>1</v>
      </c>
      <c r="J326" s="119" t="n">
        <v>0</v>
      </c>
      <c r="K326" s="117"/>
      <c r="L326" s="117"/>
    </row>
    <row r="327" customFormat="false" ht="15" hidden="false" customHeight="false" outlineLevel="0" collapsed="false">
      <c r="A327" s="117" t="s">
        <v>496</v>
      </c>
      <c r="B327" s="117" t="s">
        <v>721</v>
      </c>
      <c r="C327" s="117" t="s">
        <v>30</v>
      </c>
      <c r="D327" s="117" t="s">
        <v>30</v>
      </c>
      <c r="E327" s="117" t="s">
        <v>830</v>
      </c>
      <c r="F327" s="118" t="s">
        <v>69</v>
      </c>
      <c r="G327" s="117" t="s">
        <v>70</v>
      </c>
      <c r="H327" s="117" t="s">
        <v>397</v>
      </c>
      <c r="I327" s="119" t="n">
        <v>1</v>
      </c>
      <c r="J327" s="119" t="n">
        <v>0</v>
      </c>
      <c r="K327" s="117"/>
      <c r="L327" s="117"/>
    </row>
    <row r="328" customFormat="false" ht="15" hidden="false" customHeight="false" outlineLevel="0" collapsed="false">
      <c r="A328" s="117" t="s">
        <v>831</v>
      </c>
      <c r="B328" s="117" t="s">
        <v>721</v>
      </c>
      <c r="C328" s="117" t="s">
        <v>26</v>
      </c>
      <c r="D328" s="117" t="s">
        <v>26</v>
      </c>
      <c r="E328" s="117" t="s">
        <v>832</v>
      </c>
      <c r="F328" s="118" t="s">
        <v>69</v>
      </c>
      <c r="G328" s="117" t="s">
        <v>70</v>
      </c>
      <c r="H328" s="117" t="s">
        <v>397</v>
      </c>
      <c r="I328" s="119" t="n">
        <v>1</v>
      </c>
      <c r="J328" s="119" t="n">
        <v>0</v>
      </c>
      <c r="K328" s="117"/>
      <c r="L328" s="117"/>
    </row>
    <row r="329" customFormat="false" ht="15" hidden="false" customHeight="false" outlineLevel="0" collapsed="false">
      <c r="A329" s="117" t="s">
        <v>833</v>
      </c>
      <c r="B329" s="117" t="s">
        <v>721</v>
      </c>
      <c r="C329" s="117" t="s">
        <v>26</v>
      </c>
      <c r="D329" s="117" t="s">
        <v>26</v>
      </c>
      <c r="E329" s="117" t="s">
        <v>834</v>
      </c>
      <c r="F329" s="118" t="s">
        <v>69</v>
      </c>
      <c r="G329" s="117" t="s">
        <v>70</v>
      </c>
      <c r="H329" s="117" t="s">
        <v>397</v>
      </c>
      <c r="I329" s="119" t="n">
        <v>1</v>
      </c>
      <c r="J329" s="119" t="n">
        <v>0</v>
      </c>
      <c r="K329" s="117"/>
      <c r="L329" s="117"/>
    </row>
    <row r="330" customFormat="false" ht="15" hidden="false" customHeight="false" outlineLevel="0" collapsed="false">
      <c r="A330" s="117" t="s">
        <v>835</v>
      </c>
      <c r="B330" s="117" t="s">
        <v>721</v>
      </c>
      <c r="C330" s="117" t="s">
        <v>26</v>
      </c>
      <c r="D330" s="117" t="s">
        <v>26</v>
      </c>
      <c r="E330" s="117" t="s">
        <v>836</v>
      </c>
      <c r="F330" s="118" t="s">
        <v>69</v>
      </c>
      <c r="G330" s="117" t="s">
        <v>70</v>
      </c>
      <c r="H330" s="117" t="s">
        <v>397</v>
      </c>
      <c r="I330" s="119" t="n">
        <v>1</v>
      </c>
      <c r="J330" s="119" t="n">
        <v>0</v>
      </c>
      <c r="K330" s="117"/>
      <c r="L330" s="117"/>
    </row>
    <row r="331" customFormat="false" ht="15" hidden="false" customHeight="false" outlineLevel="0" collapsed="false">
      <c r="A331" s="117" t="s">
        <v>837</v>
      </c>
      <c r="B331" s="117" t="s">
        <v>721</v>
      </c>
      <c r="C331" s="117" t="s">
        <v>26</v>
      </c>
      <c r="D331" s="117" t="s">
        <v>26</v>
      </c>
      <c r="E331" s="117" t="s">
        <v>838</v>
      </c>
      <c r="F331" s="118" t="s">
        <v>69</v>
      </c>
      <c r="G331" s="117" t="s">
        <v>70</v>
      </c>
      <c r="H331" s="117" t="s">
        <v>397</v>
      </c>
      <c r="I331" s="119" t="n">
        <v>1</v>
      </c>
      <c r="J331" s="119" t="n">
        <v>0</v>
      </c>
      <c r="K331" s="117"/>
      <c r="L331" s="117"/>
    </row>
    <row r="332" customFormat="false" ht="15" hidden="false" customHeight="false" outlineLevel="0" collapsed="false">
      <c r="A332" s="117" t="s">
        <v>839</v>
      </c>
      <c r="B332" s="117" t="s">
        <v>721</v>
      </c>
      <c r="C332" s="117" t="s">
        <v>26</v>
      </c>
      <c r="D332" s="117" t="s">
        <v>26</v>
      </c>
      <c r="E332" s="117" t="s">
        <v>840</v>
      </c>
      <c r="F332" s="118" t="s">
        <v>69</v>
      </c>
      <c r="G332" s="117" t="s">
        <v>70</v>
      </c>
      <c r="H332" s="117" t="s">
        <v>397</v>
      </c>
      <c r="I332" s="119" t="n">
        <v>0</v>
      </c>
      <c r="J332" s="119" t="n">
        <v>1</v>
      </c>
      <c r="K332" s="117"/>
      <c r="L332" s="117"/>
    </row>
    <row r="333" customFormat="false" ht="15" hidden="false" customHeight="false" outlineLevel="0" collapsed="false">
      <c r="A333" s="117" t="s">
        <v>841</v>
      </c>
      <c r="B333" s="117" t="s">
        <v>721</v>
      </c>
      <c r="C333" s="117" t="s">
        <v>26</v>
      </c>
      <c r="D333" s="117" t="s">
        <v>26</v>
      </c>
      <c r="E333" s="117" t="s">
        <v>842</v>
      </c>
      <c r="F333" s="118" t="s">
        <v>69</v>
      </c>
      <c r="G333" s="117" t="s">
        <v>70</v>
      </c>
      <c r="H333" s="117" t="s">
        <v>397</v>
      </c>
      <c r="I333" s="119" t="n">
        <v>1</v>
      </c>
      <c r="J333" s="119" t="n">
        <v>0</v>
      </c>
      <c r="K333" s="117"/>
      <c r="L333" s="117"/>
    </row>
    <row r="334" customFormat="false" ht="15" hidden="false" customHeight="false" outlineLevel="0" collapsed="false">
      <c r="A334" s="117" t="s">
        <v>843</v>
      </c>
      <c r="B334" s="117" t="s">
        <v>721</v>
      </c>
      <c r="C334" s="117" t="s">
        <v>26</v>
      </c>
      <c r="D334" s="117" t="s">
        <v>26</v>
      </c>
      <c r="E334" s="117" t="s">
        <v>844</v>
      </c>
      <c r="F334" s="118" t="s">
        <v>69</v>
      </c>
      <c r="G334" s="117" t="s">
        <v>70</v>
      </c>
      <c r="H334" s="117" t="s">
        <v>397</v>
      </c>
      <c r="I334" s="119" t="n">
        <v>1</v>
      </c>
      <c r="J334" s="119" t="n">
        <v>0</v>
      </c>
      <c r="K334" s="117"/>
      <c r="L334" s="117"/>
    </row>
    <row r="335" customFormat="false" ht="15" hidden="false" customHeight="false" outlineLevel="0" collapsed="false">
      <c r="A335" s="117" t="s">
        <v>446</v>
      </c>
      <c r="B335" s="117" t="s">
        <v>721</v>
      </c>
      <c r="C335" s="117" t="s">
        <v>845</v>
      </c>
      <c r="D335" s="117" t="s">
        <v>8</v>
      </c>
      <c r="E335" s="117" t="s">
        <v>846</v>
      </c>
      <c r="F335" s="118" t="s">
        <v>69</v>
      </c>
      <c r="G335" s="117" t="s">
        <v>70</v>
      </c>
      <c r="H335" s="117" t="s">
        <v>397</v>
      </c>
      <c r="I335" s="119" t="n">
        <v>0</v>
      </c>
      <c r="J335" s="119" t="n">
        <v>1</v>
      </c>
      <c r="K335" s="117"/>
      <c r="L335" s="117"/>
    </row>
    <row r="336" customFormat="false" ht="15" hidden="false" customHeight="false" outlineLevel="0" collapsed="false">
      <c r="A336" s="117" t="s">
        <v>448</v>
      </c>
      <c r="B336" s="117" t="s">
        <v>721</v>
      </c>
      <c r="C336" s="117" t="s">
        <v>845</v>
      </c>
      <c r="D336" s="117" t="s">
        <v>8</v>
      </c>
      <c r="E336" s="117" t="s">
        <v>847</v>
      </c>
      <c r="F336" s="118" t="s">
        <v>69</v>
      </c>
      <c r="G336" s="117" t="s">
        <v>70</v>
      </c>
      <c r="H336" s="117" t="s">
        <v>397</v>
      </c>
      <c r="I336" s="119" t="n">
        <v>1</v>
      </c>
      <c r="J336" s="119" t="n">
        <v>1</v>
      </c>
      <c r="K336" s="117"/>
      <c r="L336" s="117"/>
    </row>
    <row r="337" customFormat="false" ht="15" hidden="false" customHeight="false" outlineLevel="0" collapsed="false">
      <c r="A337" s="117" t="s">
        <v>449</v>
      </c>
      <c r="B337" s="117" t="s">
        <v>721</v>
      </c>
      <c r="C337" s="117" t="s">
        <v>845</v>
      </c>
      <c r="D337" s="117" t="s">
        <v>8</v>
      </c>
      <c r="E337" s="117" t="s">
        <v>848</v>
      </c>
      <c r="F337" s="118" t="s">
        <v>69</v>
      </c>
      <c r="G337" s="117" t="s">
        <v>70</v>
      </c>
      <c r="H337" s="117" t="s">
        <v>397</v>
      </c>
      <c r="I337" s="119" t="n">
        <v>1</v>
      </c>
      <c r="J337" s="119" t="n">
        <v>1</v>
      </c>
      <c r="K337" s="117"/>
      <c r="L337" s="117"/>
    </row>
    <row r="338" customFormat="false" ht="15" hidden="false" customHeight="false" outlineLevel="0" collapsed="false">
      <c r="A338" s="117" t="s">
        <v>450</v>
      </c>
      <c r="B338" s="117" t="s">
        <v>721</v>
      </c>
      <c r="C338" s="117" t="s">
        <v>845</v>
      </c>
      <c r="D338" s="117" t="s">
        <v>8</v>
      </c>
      <c r="E338" s="117" t="s">
        <v>849</v>
      </c>
      <c r="F338" s="118" t="s">
        <v>69</v>
      </c>
      <c r="G338" s="117" t="s">
        <v>70</v>
      </c>
      <c r="H338" s="117" t="s">
        <v>397</v>
      </c>
      <c r="I338" s="119" t="n">
        <v>1</v>
      </c>
      <c r="J338" s="119" t="n">
        <v>0</v>
      </c>
      <c r="K338" s="117"/>
      <c r="L338" s="117"/>
    </row>
    <row r="339" customFormat="false" ht="15" hidden="false" customHeight="false" outlineLevel="0" collapsed="false">
      <c r="A339" s="117" t="s">
        <v>451</v>
      </c>
      <c r="B339" s="117" t="s">
        <v>721</v>
      </c>
      <c r="C339" s="117" t="s">
        <v>845</v>
      </c>
      <c r="D339" s="117" t="s">
        <v>8</v>
      </c>
      <c r="E339" s="117" t="s">
        <v>850</v>
      </c>
      <c r="F339" s="118" t="s">
        <v>69</v>
      </c>
      <c r="G339" s="117" t="s">
        <v>70</v>
      </c>
      <c r="H339" s="117" t="s">
        <v>397</v>
      </c>
      <c r="I339" s="119" t="n">
        <v>1</v>
      </c>
      <c r="J339" s="119" t="n">
        <v>0</v>
      </c>
      <c r="K339" s="117"/>
      <c r="L339" s="117"/>
    </row>
    <row r="340" customFormat="false" ht="15" hidden="false" customHeight="false" outlineLevel="0" collapsed="false">
      <c r="A340" s="117" t="s">
        <v>452</v>
      </c>
      <c r="B340" s="117" t="s">
        <v>721</v>
      </c>
      <c r="C340" s="117" t="s">
        <v>845</v>
      </c>
      <c r="D340" s="117" t="s">
        <v>8</v>
      </c>
      <c r="E340" s="117" t="s">
        <v>851</v>
      </c>
      <c r="F340" s="118" t="s">
        <v>69</v>
      </c>
      <c r="G340" s="117" t="s">
        <v>70</v>
      </c>
      <c r="H340" s="117" t="s">
        <v>397</v>
      </c>
      <c r="I340" s="119" t="n">
        <v>1</v>
      </c>
      <c r="J340" s="119" t="n">
        <v>0</v>
      </c>
      <c r="K340" s="117"/>
      <c r="L340" s="117"/>
    </row>
    <row r="341" customFormat="false" ht="15" hidden="false" customHeight="false" outlineLevel="0" collapsed="false">
      <c r="A341" s="117" t="s">
        <v>453</v>
      </c>
      <c r="B341" s="117" t="s">
        <v>721</v>
      </c>
      <c r="C341" s="117" t="s">
        <v>845</v>
      </c>
      <c r="D341" s="117" t="s">
        <v>8</v>
      </c>
      <c r="E341" s="117" t="s">
        <v>852</v>
      </c>
      <c r="F341" s="118" t="s">
        <v>69</v>
      </c>
      <c r="G341" s="117" t="s">
        <v>70</v>
      </c>
      <c r="H341" s="117" t="s">
        <v>397</v>
      </c>
      <c r="I341" s="119" t="n">
        <v>0</v>
      </c>
      <c r="J341" s="119" t="n">
        <v>1</v>
      </c>
      <c r="K341" s="117"/>
      <c r="L341" s="117"/>
    </row>
    <row r="342" customFormat="false" ht="15" hidden="false" customHeight="false" outlineLevel="0" collapsed="false">
      <c r="A342" s="117" t="s">
        <v>454</v>
      </c>
      <c r="B342" s="117" t="s">
        <v>721</v>
      </c>
      <c r="C342" s="117" t="s">
        <v>845</v>
      </c>
      <c r="D342" s="117" t="s">
        <v>8</v>
      </c>
      <c r="E342" s="117" t="s">
        <v>853</v>
      </c>
      <c r="F342" s="118" t="s">
        <v>69</v>
      </c>
      <c r="G342" s="117" t="s">
        <v>70</v>
      </c>
      <c r="H342" s="117" t="s">
        <v>397</v>
      </c>
      <c r="I342" s="119" t="n">
        <v>1</v>
      </c>
      <c r="J342" s="119" t="n">
        <v>0</v>
      </c>
      <c r="K342" s="117"/>
      <c r="L342" s="117"/>
    </row>
    <row r="343" customFormat="false" ht="15" hidden="false" customHeight="false" outlineLevel="0" collapsed="false">
      <c r="A343" s="117" t="s">
        <v>455</v>
      </c>
      <c r="B343" s="117" t="s">
        <v>721</v>
      </c>
      <c r="C343" s="117" t="s">
        <v>845</v>
      </c>
      <c r="D343" s="117" t="s">
        <v>8</v>
      </c>
      <c r="E343" s="117" t="s">
        <v>854</v>
      </c>
      <c r="F343" s="118" t="s">
        <v>69</v>
      </c>
      <c r="G343" s="117" t="s">
        <v>70</v>
      </c>
      <c r="H343" s="117" t="s">
        <v>397</v>
      </c>
      <c r="I343" s="119" t="n">
        <v>1</v>
      </c>
      <c r="J343" s="119" t="n">
        <v>0</v>
      </c>
      <c r="K343" s="117"/>
      <c r="L343" s="117"/>
    </row>
    <row r="344" customFormat="false" ht="15" hidden="false" customHeight="false" outlineLevel="0" collapsed="false">
      <c r="A344" s="117" t="s">
        <v>456</v>
      </c>
      <c r="B344" s="117" t="s">
        <v>721</v>
      </c>
      <c r="C344" s="117" t="s">
        <v>845</v>
      </c>
      <c r="D344" s="117" t="s">
        <v>8</v>
      </c>
      <c r="E344" s="117" t="s">
        <v>855</v>
      </c>
      <c r="F344" s="118" t="s">
        <v>69</v>
      </c>
      <c r="G344" s="117" t="s">
        <v>70</v>
      </c>
      <c r="H344" s="117" t="s">
        <v>397</v>
      </c>
      <c r="I344" s="119" t="n">
        <v>1</v>
      </c>
      <c r="J344" s="119" t="n">
        <v>0</v>
      </c>
      <c r="K344" s="117"/>
      <c r="L344" s="117"/>
    </row>
    <row r="345" customFormat="false" ht="15" hidden="false" customHeight="false" outlineLevel="0" collapsed="false">
      <c r="A345" s="117" t="s">
        <v>856</v>
      </c>
      <c r="B345" s="117" t="s">
        <v>721</v>
      </c>
      <c r="C345" s="117" t="s">
        <v>8</v>
      </c>
      <c r="D345" s="117" t="s">
        <v>8</v>
      </c>
      <c r="E345" s="117" t="s">
        <v>857</v>
      </c>
      <c r="F345" s="118" t="s">
        <v>69</v>
      </c>
      <c r="G345" s="117" t="s">
        <v>70</v>
      </c>
      <c r="H345" s="117" t="s">
        <v>397</v>
      </c>
      <c r="I345" s="119" t="n">
        <v>1</v>
      </c>
      <c r="J345" s="119" t="n">
        <v>0</v>
      </c>
      <c r="K345" s="117"/>
      <c r="L345" s="117"/>
    </row>
    <row r="346" customFormat="false" ht="15" hidden="false" customHeight="false" outlineLevel="0" collapsed="false">
      <c r="A346" s="117" t="s">
        <v>858</v>
      </c>
      <c r="B346" s="117" t="s">
        <v>721</v>
      </c>
      <c r="C346" s="117" t="s">
        <v>8</v>
      </c>
      <c r="D346" s="117" t="s">
        <v>8</v>
      </c>
      <c r="E346" s="117" t="s">
        <v>859</v>
      </c>
      <c r="F346" s="118" t="s">
        <v>87</v>
      </c>
      <c r="G346" s="117" t="s">
        <v>88</v>
      </c>
      <c r="H346" s="117" t="s">
        <v>397</v>
      </c>
      <c r="I346" s="119" t="n">
        <v>1</v>
      </c>
      <c r="J346" s="119" t="n">
        <v>0</v>
      </c>
      <c r="K346" s="117"/>
      <c r="L346" s="117"/>
    </row>
    <row r="347" customFormat="false" ht="15" hidden="false" customHeight="false" outlineLevel="0" collapsed="false">
      <c r="A347" s="117" t="s">
        <v>504</v>
      </c>
      <c r="B347" s="117" t="s">
        <v>721</v>
      </c>
      <c r="C347" s="117" t="s">
        <v>655</v>
      </c>
      <c r="D347" s="117" t="s">
        <v>9</v>
      </c>
      <c r="E347" s="117" t="s">
        <v>860</v>
      </c>
      <c r="F347" s="118" t="s">
        <v>69</v>
      </c>
      <c r="G347" s="117" t="s">
        <v>70</v>
      </c>
      <c r="H347" s="117" t="s">
        <v>397</v>
      </c>
      <c r="I347" s="119" t="n">
        <v>0</v>
      </c>
      <c r="J347" s="119" t="n">
        <v>1</v>
      </c>
      <c r="K347" s="117"/>
      <c r="L347" s="117"/>
    </row>
    <row r="348" customFormat="false" ht="15" hidden="false" customHeight="false" outlineLevel="0" collapsed="false">
      <c r="A348" s="117" t="s">
        <v>462</v>
      </c>
      <c r="B348" s="117" t="s">
        <v>721</v>
      </c>
      <c r="C348" s="117" t="s">
        <v>655</v>
      </c>
      <c r="D348" s="117" t="s">
        <v>9</v>
      </c>
      <c r="E348" s="117" t="s">
        <v>861</v>
      </c>
      <c r="F348" s="118" t="s">
        <v>87</v>
      </c>
      <c r="G348" s="117" t="s">
        <v>88</v>
      </c>
      <c r="H348" s="117" t="s">
        <v>397</v>
      </c>
      <c r="I348" s="119" t="n">
        <v>1</v>
      </c>
      <c r="J348" s="119" t="n">
        <v>0</v>
      </c>
      <c r="K348" s="117"/>
      <c r="L348" s="117"/>
    </row>
    <row r="349" customFormat="false" ht="15" hidden="false" customHeight="false" outlineLevel="0" collapsed="false">
      <c r="A349" s="117" t="s">
        <v>507</v>
      </c>
      <c r="B349" s="117" t="s">
        <v>721</v>
      </c>
      <c r="C349" s="117" t="s">
        <v>655</v>
      </c>
      <c r="D349" s="117" t="s">
        <v>9</v>
      </c>
      <c r="E349" s="117" t="s">
        <v>862</v>
      </c>
      <c r="F349" s="118" t="s">
        <v>69</v>
      </c>
      <c r="G349" s="117" t="s">
        <v>70</v>
      </c>
      <c r="H349" s="117" t="s">
        <v>397</v>
      </c>
      <c r="I349" s="119" t="n">
        <v>0</v>
      </c>
      <c r="J349" s="119" t="n">
        <v>1</v>
      </c>
      <c r="K349" s="117"/>
      <c r="L349" s="117"/>
    </row>
    <row r="350" customFormat="false" ht="15" hidden="false" customHeight="false" outlineLevel="0" collapsed="false">
      <c r="A350" s="117" t="s">
        <v>467</v>
      </c>
      <c r="B350" s="117" t="s">
        <v>721</v>
      </c>
      <c r="C350" s="117" t="s">
        <v>655</v>
      </c>
      <c r="D350" s="117" t="s">
        <v>9</v>
      </c>
      <c r="E350" s="117" t="s">
        <v>863</v>
      </c>
      <c r="F350" s="118" t="s">
        <v>87</v>
      </c>
      <c r="G350" s="117" t="s">
        <v>88</v>
      </c>
      <c r="H350" s="117" t="s">
        <v>397</v>
      </c>
      <c r="I350" s="119" t="n">
        <v>1</v>
      </c>
      <c r="J350" s="119" t="n">
        <v>0</v>
      </c>
      <c r="K350" s="117"/>
      <c r="L350" s="117"/>
    </row>
    <row r="351" customFormat="false" ht="15" hidden="false" customHeight="false" outlineLevel="0" collapsed="false">
      <c r="A351" s="117" t="s">
        <v>509</v>
      </c>
      <c r="B351" s="117" t="s">
        <v>721</v>
      </c>
      <c r="C351" s="117" t="s">
        <v>655</v>
      </c>
      <c r="D351" s="117" t="s">
        <v>9</v>
      </c>
      <c r="E351" s="117" t="s">
        <v>864</v>
      </c>
      <c r="F351" s="118" t="s">
        <v>69</v>
      </c>
      <c r="G351" s="117" t="s">
        <v>70</v>
      </c>
      <c r="H351" s="117" t="s">
        <v>397</v>
      </c>
      <c r="I351" s="119" t="n">
        <v>0</v>
      </c>
      <c r="J351" s="119" t="n">
        <v>1</v>
      </c>
      <c r="K351" s="117"/>
      <c r="L351" s="117"/>
    </row>
    <row r="352" customFormat="false" ht="15" hidden="false" customHeight="false" outlineLevel="0" collapsed="false">
      <c r="A352" s="117" t="s">
        <v>471</v>
      </c>
      <c r="B352" s="117" t="s">
        <v>721</v>
      </c>
      <c r="C352" s="117" t="s">
        <v>655</v>
      </c>
      <c r="D352" s="117" t="s">
        <v>9</v>
      </c>
      <c r="E352" s="117" t="s">
        <v>865</v>
      </c>
      <c r="F352" s="118" t="s">
        <v>87</v>
      </c>
      <c r="G352" s="117" t="s">
        <v>88</v>
      </c>
      <c r="H352" s="117" t="s">
        <v>397</v>
      </c>
      <c r="I352" s="119" t="n">
        <v>1</v>
      </c>
      <c r="J352" s="119" t="n">
        <v>0</v>
      </c>
      <c r="K352" s="117"/>
      <c r="L352" s="117"/>
    </row>
    <row r="353" customFormat="false" ht="15" hidden="false" customHeight="false" outlineLevel="0" collapsed="false">
      <c r="A353" s="117" t="s">
        <v>700</v>
      </c>
      <c r="B353" s="117" t="s">
        <v>721</v>
      </c>
      <c r="C353" s="117" t="s">
        <v>655</v>
      </c>
      <c r="D353" s="117" t="s">
        <v>9</v>
      </c>
      <c r="E353" s="117" t="s">
        <v>866</v>
      </c>
      <c r="F353" s="118" t="s">
        <v>69</v>
      </c>
      <c r="G353" s="117" t="s">
        <v>70</v>
      </c>
      <c r="H353" s="117" t="s">
        <v>397</v>
      </c>
      <c r="I353" s="119" t="n">
        <v>1</v>
      </c>
      <c r="J353" s="119" t="n">
        <v>0</v>
      </c>
      <c r="K353" s="117"/>
      <c r="L353" s="117"/>
    </row>
    <row r="354" customFormat="false" ht="15" hidden="false" customHeight="false" outlineLevel="0" collapsed="false">
      <c r="A354" s="117" t="s">
        <v>564</v>
      </c>
      <c r="B354" s="117" t="s">
        <v>721</v>
      </c>
      <c r="C354" s="117" t="s">
        <v>655</v>
      </c>
      <c r="D354" s="117" t="s">
        <v>9</v>
      </c>
      <c r="E354" s="117" t="s">
        <v>867</v>
      </c>
      <c r="F354" s="118" t="s">
        <v>69</v>
      </c>
      <c r="G354" s="117" t="s">
        <v>70</v>
      </c>
      <c r="H354" s="117" t="s">
        <v>397</v>
      </c>
      <c r="I354" s="119" t="n">
        <v>1</v>
      </c>
      <c r="J354" s="119" t="n">
        <v>0</v>
      </c>
      <c r="K354" s="117"/>
      <c r="L354" s="117"/>
    </row>
    <row r="355" customFormat="false" ht="15" hidden="false" customHeight="false" outlineLevel="0" collapsed="false">
      <c r="A355" s="117" t="s">
        <v>868</v>
      </c>
      <c r="B355" s="117" t="s">
        <v>721</v>
      </c>
      <c r="C355" s="117" t="s">
        <v>655</v>
      </c>
      <c r="D355" s="117" t="s">
        <v>9</v>
      </c>
      <c r="E355" s="117" t="s">
        <v>869</v>
      </c>
      <c r="F355" s="118" t="s">
        <v>69</v>
      </c>
      <c r="G355" s="117" t="s">
        <v>70</v>
      </c>
      <c r="H355" s="117" t="s">
        <v>397</v>
      </c>
      <c r="I355" s="119" t="n">
        <v>1</v>
      </c>
      <c r="J355" s="119" t="n">
        <v>0</v>
      </c>
      <c r="K355" s="117"/>
      <c r="L355" s="117"/>
    </row>
    <row r="356" customFormat="false" ht="15" hidden="false" customHeight="false" outlineLevel="0" collapsed="false">
      <c r="A356" s="117" t="s">
        <v>620</v>
      </c>
      <c r="B356" s="117" t="s">
        <v>721</v>
      </c>
      <c r="C356" s="117" t="s">
        <v>655</v>
      </c>
      <c r="D356" s="117" t="s">
        <v>9</v>
      </c>
      <c r="E356" s="117" t="s">
        <v>870</v>
      </c>
      <c r="F356" s="118" t="s">
        <v>69</v>
      </c>
      <c r="G356" s="117" t="s">
        <v>70</v>
      </c>
      <c r="H356" s="117" t="s">
        <v>397</v>
      </c>
      <c r="I356" s="119" t="n">
        <v>1</v>
      </c>
      <c r="J356" s="119" t="n">
        <v>0</v>
      </c>
      <c r="K356" s="117"/>
      <c r="L356" s="117"/>
    </row>
    <row r="357" customFormat="false" ht="15" hidden="false" customHeight="false" outlineLevel="0" collapsed="false">
      <c r="A357" s="117" t="s">
        <v>871</v>
      </c>
      <c r="B357" s="117" t="s">
        <v>721</v>
      </c>
      <c r="C357" s="117" t="s">
        <v>655</v>
      </c>
      <c r="D357" s="117" t="s">
        <v>9</v>
      </c>
      <c r="E357" s="117" t="s">
        <v>872</v>
      </c>
      <c r="F357" s="118" t="s">
        <v>69</v>
      </c>
      <c r="G357" s="117" t="s">
        <v>70</v>
      </c>
      <c r="H357" s="117" t="s">
        <v>397</v>
      </c>
      <c r="I357" s="119" t="n">
        <v>1</v>
      </c>
      <c r="J357" s="119" t="n">
        <v>0</v>
      </c>
      <c r="K357" s="117"/>
      <c r="L357" s="117"/>
    </row>
    <row r="358" customFormat="false" ht="15" hidden="false" customHeight="false" outlineLevel="0" collapsed="false">
      <c r="A358" s="117" t="s">
        <v>873</v>
      </c>
      <c r="B358" s="117" t="s">
        <v>721</v>
      </c>
      <c r="C358" s="117" t="s">
        <v>655</v>
      </c>
      <c r="D358" s="117" t="s">
        <v>9</v>
      </c>
      <c r="E358" s="117" t="s">
        <v>874</v>
      </c>
      <c r="F358" s="118" t="s">
        <v>69</v>
      </c>
      <c r="G358" s="117" t="s">
        <v>70</v>
      </c>
      <c r="H358" s="117" t="s">
        <v>397</v>
      </c>
      <c r="I358" s="119" t="n">
        <v>1</v>
      </c>
      <c r="J358" s="119" t="n">
        <v>0</v>
      </c>
      <c r="K358" s="117"/>
      <c r="L358" s="117"/>
    </row>
    <row r="359" customFormat="false" ht="15" hidden="false" customHeight="false" outlineLevel="0" collapsed="false">
      <c r="A359" s="117" t="s">
        <v>419</v>
      </c>
      <c r="B359" s="117" t="s">
        <v>721</v>
      </c>
      <c r="C359" s="117" t="s">
        <v>655</v>
      </c>
      <c r="D359" s="117" t="s">
        <v>9</v>
      </c>
      <c r="E359" s="117" t="s">
        <v>875</v>
      </c>
      <c r="F359" s="118" t="s">
        <v>69</v>
      </c>
      <c r="G359" s="117" t="s">
        <v>70</v>
      </c>
      <c r="H359" s="117" t="s">
        <v>397</v>
      </c>
      <c r="I359" s="119" t="n">
        <v>1</v>
      </c>
      <c r="J359" s="119" t="n">
        <v>0</v>
      </c>
      <c r="K359" s="117"/>
      <c r="L359" s="117"/>
    </row>
    <row r="360" customFormat="false" ht="15" hidden="false" customHeight="false" outlineLevel="0" collapsed="false">
      <c r="A360" s="117" t="s">
        <v>421</v>
      </c>
      <c r="B360" s="117" t="s">
        <v>721</v>
      </c>
      <c r="C360" s="117" t="s">
        <v>655</v>
      </c>
      <c r="D360" s="117" t="s">
        <v>9</v>
      </c>
      <c r="E360" s="117" t="s">
        <v>876</v>
      </c>
      <c r="F360" s="118" t="s">
        <v>69</v>
      </c>
      <c r="G360" s="117" t="s">
        <v>70</v>
      </c>
      <c r="H360" s="117" t="s">
        <v>397</v>
      </c>
      <c r="I360" s="119" t="n">
        <v>1</v>
      </c>
      <c r="J360" s="119" t="n">
        <v>0</v>
      </c>
      <c r="K360" s="117"/>
      <c r="L360" s="117"/>
    </row>
    <row r="361" customFormat="false" ht="15" hidden="false" customHeight="false" outlineLevel="0" collapsed="false">
      <c r="A361" s="117" t="s">
        <v>422</v>
      </c>
      <c r="B361" s="117" t="s">
        <v>721</v>
      </c>
      <c r="C361" s="117" t="s">
        <v>655</v>
      </c>
      <c r="D361" s="117" t="s">
        <v>9</v>
      </c>
      <c r="E361" s="117" t="s">
        <v>877</v>
      </c>
      <c r="F361" s="118" t="s">
        <v>69</v>
      </c>
      <c r="G361" s="117" t="s">
        <v>70</v>
      </c>
      <c r="H361" s="117" t="s">
        <v>397</v>
      </c>
      <c r="I361" s="119" t="n">
        <v>1</v>
      </c>
      <c r="J361" s="119" t="n">
        <v>0</v>
      </c>
      <c r="K361" s="117"/>
      <c r="L361" s="117"/>
    </row>
    <row r="362" customFormat="false" ht="15" hidden="false" customHeight="false" outlineLevel="0" collapsed="false">
      <c r="A362" s="117" t="s">
        <v>465</v>
      </c>
      <c r="B362" s="117" t="s">
        <v>721</v>
      </c>
      <c r="C362" s="117" t="s">
        <v>878</v>
      </c>
      <c r="D362" s="117" t="s">
        <v>10</v>
      </c>
      <c r="E362" s="117" t="s">
        <v>879</v>
      </c>
      <c r="F362" s="118" t="s">
        <v>69</v>
      </c>
      <c r="G362" s="117" t="s">
        <v>70</v>
      </c>
      <c r="H362" s="117" t="s">
        <v>397</v>
      </c>
      <c r="I362" s="119" t="n">
        <v>0</v>
      </c>
      <c r="J362" s="119" t="n">
        <v>1</v>
      </c>
      <c r="K362" s="117"/>
      <c r="L362" s="117"/>
    </row>
    <row r="363" customFormat="false" ht="15" hidden="false" customHeight="false" outlineLevel="0" collapsed="false">
      <c r="A363" s="117" t="s">
        <v>469</v>
      </c>
      <c r="B363" s="117" t="s">
        <v>721</v>
      </c>
      <c r="C363" s="117" t="s">
        <v>878</v>
      </c>
      <c r="D363" s="117" t="s">
        <v>10</v>
      </c>
      <c r="E363" s="117" t="s">
        <v>880</v>
      </c>
      <c r="F363" s="118" t="s">
        <v>69</v>
      </c>
      <c r="G363" s="117" t="s">
        <v>70</v>
      </c>
      <c r="H363" s="117" t="s">
        <v>397</v>
      </c>
      <c r="I363" s="119" t="n">
        <v>1</v>
      </c>
      <c r="J363" s="119" t="n">
        <v>0</v>
      </c>
      <c r="K363" s="117"/>
      <c r="L363" s="117"/>
    </row>
    <row r="364" customFormat="false" ht="15" hidden="false" customHeight="false" outlineLevel="0" collapsed="false">
      <c r="A364" s="117" t="s">
        <v>473</v>
      </c>
      <c r="B364" s="117" t="s">
        <v>721</v>
      </c>
      <c r="C364" s="117" t="s">
        <v>878</v>
      </c>
      <c r="D364" s="117" t="s">
        <v>10</v>
      </c>
      <c r="E364" s="117" t="s">
        <v>881</v>
      </c>
      <c r="F364" s="118" t="s">
        <v>69</v>
      </c>
      <c r="G364" s="117" t="s">
        <v>70</v>
      </c>
      <c r="H364" s="117" t="s">
        <v>397</v>
      </c>
      <c r="I364" s="119" t="n">
        <v>0</v>
      </c>
      <c r="J364" s="119" t="n">
        <v>1</v>
      </c>
      <c r="K364" s="117"/>
      <c r="L364" s="117"/>
    </row>
    <row r="365" customFormat="false" ht="15" hidden="false" customHeight="false" outlineLevel="0" collapsed="false">
      <c r="A365" s="117" t="s">
        <v>476</v>
      </c>
      <c r="B365" s="117" t="s">
        <v>721</v>
      </c>
      <c r="C365" s="117" t="s">
        <v>878</v>
      </c>
      <c r="D365" s="117" t="s">
        <v>10</v>
      </c>
      <c r="E365" s="117" t="s">
        <v>882</v>
      </c>
      <c r="F365" s="118" t="s">
        <v>69</v>
      </c>
      <c r="G365" s="117" t="s">
        <v>70</v>
      </c>
      <c r="H365" s="117" t="s">
        <v>397</v>
      </c>
      <c r="I365" s="119" t="n">
        <v>0</v>
      </c>
      <c r="J365" s="119" t="n">
        <v>1</v>
      </c>
      <c r="K365" s="117"/>
      <c r="L365" s="117"/>
    </row>
    <row r="366" customFormat="false" ht="15" hidden="false" customHeight="false" outlineLevel="0" collapsed="false">
      <c r="A366" s="117" t="s">
        <v>479</v>
      </c>
      <c r="B366" s="117" t="s">
        <v>721</v>
      </c>
      <c r="C366" s="117" t="s">
        <v>878</v>
      </c>
      <c r="D366" s="117" t="s">
        <v>10</v>
      </c>
      <c r="E366" s="117" t="s">
        <v>883</v>
      </c>
      <c r="F366" s="118" t="s">
        <v>69</v>
      </c>
      <c r="G366" s="117" t="s">
        <v>70</v>
      </c>
      <c r="H366" s="117" t="s">
        <v>397</v>
      </c>
      <c r="I366" s="119" t="n">
        <v>1</v>
      </c>
      <c r="J366" s="119" t="n">
        <v>0</v>
      </c>
      <c r="K366" s="117"/>
      <c r="L366" s="117"/>
    </row>
    <row r="367" customFormat="false" ht="15" hidden="false" customHeight="false" outlineLevel="0" collapsed="false">
      <c r="A367" s="117" t="s">
        <v>482</v>
      </c>
      <c r="B367" s="117" t="s">
        <v>721</v>
      </c>
      <c r="C367" s="117" t="s">
        <v>878</v>
      </c>
      <c r="D367" s="117" t="s">
        <v>10</v>
      </c>
      <c r="E367" s="117" t="s">
        <v>884</v>
      </c>
      <c r="F367" s="118" t="s">
        <v>69</v>
      </c>
      <c r="G367" s="117" t="s">
        <v>70</v>
      </c>
      <c r="H367" s="117" t="s">
        <v>397</v>
      </c>
      <c r="I367" s="119" t="n">
        <v>0</v>
      </c>
      <c r="J367" s="119" t="n">
        <v>1</v>
      </c>
      <c r="K367" s="117"/>
      <c r="L367" s="117"/>
    </row>
    <row r="368" customFormat="false" ht="15" hidden="false" customHeight="false" outlineLevel="0" collapsed="false">
      <c r="A368" s="117" t="s">
        <v>533</v>
      </c>
      <c r="B368" s="117" t="s">
        <v>721</v>
      </c>
      <c r="C368" s="117" t="s">
        <v>878</v>
      </c>
      <c r="D368" s="117" t="s">
        <v>10</v>
      </c>
      <c r="E368" s="117" t="s">
        <v>885</v>
      </c>
      <c r="F368" s="118" t="s">
        <v>69</v>
      </c>
      <c r="G368" s="117" t="s">
        <v>70</v>
      </c>
      <c r="H368" s="117" t="s">
        <v>397</v>
      </c>
      <c r="I368" s="119" t="n">
        <v>1</v>
      </c>
      <c r="J368" s="119" t="n">
        <v>0</v>
      </c>
      <c r="K368" s="117"/>
      <c r="L368" s="117"/>
    </row>
    <row r="369" customFormat="false" ht="15" hidden="false" customHeight="false" outlineLevel="0" collapsed="false">
      <c r="A369" s="117" t="s">
        <v>581</v>
      </c>
      <c r="B369" s="117" t="s">
        <v>721</v>
      </c>
      <c r="C369" s="117" t="s">
        <v>878</v>
      </c>
      <c r="D369" s="117" t="s">
        <v>10</v>
      </c>
      <c r="E369" s="117" t="s">
        <v>886</v>
      </c>
      <c r="F369" s="118" t="s">
        <v>69</v>
      </c>
      <c r="G369" s="117" t="s">
        <v>70</v>
      </c>
      <c r="H369" s="117" t="s">
        <v>397</v>
      </c>
      <c r="I369" s="119" t="n">
        <v>1</v>
      </c>
      <c r="J369" s="119" t="n">
        <v>0</v>
      </c>
      <c r="K369" s="117"/>
      <c r="L369" s="117"/>
    </row>
    <row r="370" customFormat="false" ht="15" hidden="false" customHeight="false" outlineLevel="0" collapsed="false">
      <c r="A370" s="117" t="s">
        <v>394</v>
      </c>
      <c r="B370" s="117" t="s">
        <v>721</v>
      </c>
      <c r="C370" s="117" t="s">
        <v>878</v>
      </c>
      <c r="D370" s="117" t="s">
        <v>10</v>
      </c>
      <c r="E370" s="117" t="s">
        <v>887</v>
      </c>
      <c r="F370" s="118" t="s">
        <v>69</v>
      </c>
      <c r="G370" s="117" t="s">
        <v>70</v>
      </c>
      <c r="H370" s="117" t="s">
        <v>397</v>
      </c>
      <c r="I370" s="119" t="n">
        <v>1</v>
      </c>
      <c r="J370" s="119" t="n">
        <v>0</v>
      </c>
      <c r="K370" s="117"/>
      <c r="L370" s="117"/>
    </row>
    <row r="371" customFormat="false" ht="15" hidden="false" customHeight="false" outlineLevel="0" collapsed="false">
      <c r="A371" s="117" t="s">
        <v>398</v>
      </c>
      <c r="B371" s="117" t="s">
        <v>721</v>
      </c>
      <c r="C371" s="117" t="s">
        <v>878</v>
      </c>
      <c r="D371" s="117" t="s">
        <v>10</v>
      </c>
      <c r="E371" s="117" t="s">
        <v>888</v>
      </c>
      <c r="F371" s="118" t="s">
        <v>69</v>
      </c>
      <c r="G371" s="117" t="s">
        <v>70</v>
      </c>
      <c r="H371" s="117" t="s">
        <v>397</v>
      </c>
      <c r="I371" s="119" t="n">
        <v>1</v>
      </c>
      <c r="J371" s="119" t="n">
        <v>0</v>
      </c>
      <c r="K371" s="117"/>
      <c r="L371" s="117"/>
    </row>
    <row r="372" customFormat="false" ht="15" hidden="false" customHeight="false" outlineLevel="0" collapsed="false">
      <c r="A372" s="117" t="s">
        <v>399</v>
      </c>
      <c r="B372" s="117" t="s">
        <v>721</v>
      </c>
      <c r="C372" s="117" t="s">
        <v>878</v>
      </c>
      <c r="D372" s="117" t="s">
        <v>10</v>
      </c>
      <c r="E372" s="117" t="s">
        <v>889</v>
      </c>
      <c r="F372" s="118" t="s">
        <v>69</v>
      </c>
      <c r="G372" s="117" t="s">
        <v>70</v>
      </c>
      <c r="H372" s="117" t="s">
        <v>397</v>
      </c>
      <c r="I372" s="119" t="n">
        <v>1</v>
      </c>
      <c r="J372" s="119" t="n">
        <v>0</v>
      </c>
      <c r="K372" s="117"/>
      <c r="L372" s="117"/>
    </row>
    <row r="373" customFormat="false" ht="15" hidden="false" customHeight="false" outlineLevel="0" collapsed="false">
      <c r="A373" s="117" t="s">
        <v>583</v>
      </c>
      <c r="B373" s="117" t="s">
        <v>721</v>
      </c>
      <c r="C373" s="117" t="s">
        <v>878</v>
      </c>
      <c r="D373" s="117" t="s">
        <v>10</v>
      </c>
      <c r="E373" s="117" t="s">
        <v>890</v>
      </c>
      <c r="F373" s="118" t="s">
        <v>69</v>
      </c>
      <c r="G373" s="117" t="s">
        <v>70</v>
      </c>
      <c r="H373" s="117" t="s">
        <v>397</v>
      </c>
      <c r="I373" s="119" t="n">
        <v>1</v>
      </c>
      <c r="J373" s="119" t="n">
        <v>0</v>
      </c>
      <c r="K373" s="117"/>
      <c r="L373" s="117"/>
    </row>
    <row r="374" customFormat="false" ht="15" hidden="false" customHeight="false" outlineLevel="0" collapsed="false">
      <c r="A374" s="117" t="s">
        <v>534</v>
      </c>
      <c r="B374" s="117" t="s">
        <v>721</v>
      </c>
      <c r="C374" s="117" t="s">
        <v>878</v>
      </c>
      <c r="D374" s="117" t="s">
        <v>10</v>
      </c>
      <c r="E374" s="117" t="s">
        <v>891</v>
      </c>
      <c r="F374" s="118" t="s">
        <v>69</v>
      </c>
      <c r="G374" s="117" t="s">
        <v>70</v>
      </c>
      <c r="H374" s="117" t="s">
        <v>397</v>
      </c>
      <c r="I374" s="119" t="n">
        <v>1</v>
      </c>
      <c r="J374" s="119" t="n">
        <v>0</v>
      </c>
      <c r="K374" s="117"/>
      <c r="L374" s="117"/>
    </row>
    <row r="375" customFormat="false" ht="15" hidden="false" customHeight="false" outlineLevel="0" collapsed="false">
      <c r="A375" s="117" t="s">
        <v>584</v>
      </c>
      <c r="B375" s="117" t="s">
        <v>721</v>
      </c>
      <c r="C375" s="117" t="s">
        <v>878</v>
      </c>
      <c r="D375" s="117" t="s">
        <v>10</v>
      </c>
      <c r="E375" s="117" t="s">
        <v>892</v>
      </c>
      <c r="F375" s="118" t="s">
        <v>69</v>
      </c>
      <c r="G375" s="117" t="s">
        <v>70</v>
      </c>
      <c r="H375" s="117" t="s">
        <v>397</v>
      </c>
      <c r="I375" s="119" t="n">
        <v>1</v>
      </c>
      <c r="J375" s="119" t="n">
        <v>0</v>
      </c>
      <c r="K375" s="117"/>
      <c r="L375" s="117"/>
    </row>
    <row r="376" customFormat="false" ht="15" hidden="false" customHeight="false" outlineLevel="0" collapsed="false">
      <c r="A376" s="117" t="s">
        <v>492</v>
      </c>
      <c r="B376" s="117" t="s">
        <v>721</v>
      </c>
      <c r="C376" s="117" t="s">
        <v>878</v>
      </c>
      <c r="D376" s="117" t="s">
        <v>10</v>
      </c>
      <c r="E376" s="117" t="s">
        <v>893</v>
      </c>
      <c r="F376" s="118" t="s">
        <v>69</v>
      </c>
      <c r="G376" s="117" t="s">
        <v>70</v>
      </c>
      <c r="H376" s="117" t="s">
        <v>397</v>
      </c>
      <c r="I376" s="119" t="n">
        <v>1</v>
      </c>
      <c r="J376" s="119" t="n">
        <v>0</v>
      </c>
      <c r="K376" s="117"/>
      <c r="L376" s="117"/>
    </row>
    <row r="377" customFormat="false" ht="15" hidden="false" customHeight="false" outlineLevel="0" collapsed="false">
      <c r="A377" s="117" t="s">
        <v>894</v>
      </c>
      <c r="B377" s="117" t="s">
        <v>721</v>
      </c>
      <c r="C377" s="117" t="s">
        <v>878</v>
      </c>
      <c r="D377" s="117" t="s">
        <v>10</v>
      </c>
      <c r="E377" s="117" t="s">
        <v>895</v>
      </c>
      <c r="F377" s="118" t="s">
        <v>69</v>
      </c>
      <c r="G377" s="117" t="s">
        <v>70</v>
      </c>
      <c r="H377" s="117" t="s">
        <v>397</v>
      </c>
      <c r="I377" s="119" t="n">
        <v>0</v>
      </c>
      <c r="J377" s="119" t="n">
        <v>1</v>
      </c>
      <c r="K377" s="117"/>
      <c r="L377" s="117"/>
    </row>
    <row r="378" customFormat="false" ht="15" hidden="false" customHeight="false" outlineLevel="0" collapsed="false">
      <c r="A378" s="117" t="s">
        <v>535</v>
      </c>
      <c r="B378" s="117" t="s">
        <v>721</v>
      </c>
      <c r="C378" s="117" t="s">
        <v>878</v>
      </c>
      <c r="D378" s="117" t="s">
        <v>10</v>
      </c>
      <c r="E378" s="117" t="s">
        <v>896</v>
      </c>
      <c r="F378" s="118" t="s">
        <v>69</v>
      </c>
      <c r="G378" s="117" t="s">
        <v>70</v>
      </c>
      <c r="H378" s="117" t="s">
        <v>397</v>
      </c>
      <c r="I378" s="119" t="n">
        <v>1</v>
      </c>
      <c r="J378" s="119" t="n">
        <v>0</v>
      </c>
      <c r="K378" s="117"/>
      <c r="L378" s="117"/>
    </row>
    <row r="379" customFormat="false" ht="15" hidden="false" customHeight="false" outlineLevel="0" collapsed="false">
      <c r="A379" s="117" t="s">
        <v>537</v>
      </c>
      <c r="B379" s="117" t="s">
        <v>721</v>
      </c>
      <c r="C379" s="117" t="s">
        <v>878</v>
      </c>
      <c r="D379" s="117" t="s">
        <v>10</v>
      </c>
      <c r="E379" s="117" t="s">
        <v>897</v>
      </c>
      <c r="F379" s="118" t="s">
        <v>69</v>
      </c>
      <c r="G379" s="117" t="s">
        <v>70</v>
      </c>
      <c r="H379" s="117" t="s">
        <v>397</v>
      </c>
      <c r="I379" s="119" t="n">
        <v>1</v>
      </c>
      <c r="J379" s="119" t="n">
        <v>0</v>
      </c>
      <c r="K379" s="117"/>
      <c r="L379" s="117"/>
    </row>
    <row r="380" customFormat="false" ht="15" hidden="false" customHeight="false" outlineLevel="0" collapsed="false">
      <c r="A380" s="117" t="s">
        <v>547</v>
      </c>
      <c r="B380" s="117" t="s">
        <v>721</v>
      </c>
      <c r="C380" s="117" t="s">
        <v>878</v>
      </c>
      <c r="D380" s="117" t="s">
        <v>10</v>
      </c>
      <c r="E380" s="117" t="s">
        <v>898</v>
      </c>
      <c r="F380" s="118" t="s">
        <v>87</v>
      </c>
      <c r="G380" s="117" t="s">
        <v>88</v>
      </c>
      <c r="H380" s="117" t="s">
        <v>397</v>
      </c>
      <c r="I380" s="119" t="n">
        <v>1</v>
      </c>
      <c r="J380" s="119" t="n">
        <v>0</v>
      </c>
      <c r="K380" s="117"/>
      <c r="L380" s="117"/>
    </row>
    <row r="381" customFormat="false" ht="15" hidden="false" customHeight="false" outlineLevel="0" collapsed="false">
      <c r="A381" s="117" t="s">
        <v>549</v>
      </c>
      <c r="B381" s="117" t="s">
        <v>721</v>
      </c>
      <c r="C381" s="117" t="s">
        <v>878</v>
      </c>
      <c r="D381" s="117" t="s">
        <v>10</v>
      </c>
      <c r="E381" s="117" t="s">
        <v>899</v>
      </c>
      <c r="F381" s="118" t="s">
        <v>87</v>
      </c>
      <c r="G381" s="117" t="s">
        <v>88</v>
      </c>
      <c r="H381" s="117" t="s">
        <v>397</v>
      </c>
      <c r="I381" s="119" t="n">
        <v>1</v>
      </c>
      <c r="J381" s="119" t="n">
        <v>0</v>
      </c>
      <c r="K381" s="117"/>
      <c r="L381" s="117"/>
    </row>
    <row r="382" customFormat="false" ht="15" hidden="false" customHeight="false" outlineLevel="0" collapsed="false">
      <c r="A382" s="117" t="s">
        <v>900</v>
      </c>
      <c r="B382" s="117" t="s">
        <v>721</v>
      </c>
      <c r="C382" s="117" t="s">
        <v>901</v>
      </c>
      <c r="D382" s="117" t="s">
        <v>16</v>
      </c>
      <c r="E382" s="117" t="s">
        <v>902</v>
      </c>
      <c r="F382" s="118" t="s">
        <v>69</v>
      </c>
      <c r="G382" s="117" t="s">
        <v>70</v>
      </c>
      <c r="H382" s="117" t="s">
        <v>397</v>
      </c>
      <c r="I382" s="119" t="n">
        <v>1</v>
      </c>
      <c r="J382" s="119" t="n">
        <v>0</v>
      </c>
      <c r="K382" s="117"/>
      <c r="L382" s="117"/>
    </row>
    <row r="383" customFormat="false" ht="15" hidden="false" customHeight="false" outlineLevel="0" collapsed="false">
      <c r="A383" s="117" t="s">
        <v>903</v>
      </c>
      <c r="B383" s="117" t="s">
        <v>721</v>
      </c>
      <c r="C383" s="117" t="s">
        <v>901</v>
      </c>
      <c r="D383" s="117" t="s">
        <v>16</v>
      </c>
      <c r="E383" s="117" t="s">
        <v>904</v>
      </c>
      <c r="F383" s="118" t="s">
        <v>69</v>
      </c>
      <c r="G383" s="117" t="s">
        <v>70</v>
      </c>
      <c r="H383" s="117" t="s">
        <v>397</v>
      </c>
      <c r="I383" s="119" t="n">
        <v>1</v>
      </c>
      <c r="J383" s="119" t="n">
        <v>0</v>
      </c>
      <c r="K383" s="117"/>
      <c r="L383" s="117"/>
    </row>
    <row r="384" customFormat="false" ht="15" hidden="false" customHeight="false" outlineLevel="0" collapsed="false">
      <c r="A384" s="117" t="s">
        <v>905</v>
      </c>
      <c r="B384" s="117" t="s">
        <v>721</v>
      </c>
      <c r="C384" s="117" t="s">
        <v>24</v>
      </c>
      <c r="D384" s="117" t="s">
        <v>24</v>
      </c>
      <c r="E384" s="117" t="s">
        <v>906</v>
      </c>
      <c r="F384" s="118" t="s">
        <v>69</v>
      </c>
      <c r="G384" s="117" t="s">
        <v>70</v>
      </c>
      <c r="H384" s="117" t="s">
        <v>397</v>
      </c>
      <c r="I384" s="119" t="n">
        <v>0</v>
      </c>
      <c r="J384" s="119" t="n">
        <v>1</v>
      </c>
      <c r="K384" s="117"/>
      <c r="L384" s="117"/>
    </row>
    <row r="385" customFormat="false" ht="15" hidden="false" customHeight="false" outlineLevel="0" collapsed="false">
      <c r="A385" s="117" t="s">
        <v>907</v>
      </c>
      <c r="B385" s="117" t="s">
        <v>721</v>
      </c>
      <c r="C385" s="117" t="s">
        <v>24</v>
      </c>
      <c r="D385" s="117" t="s">
        <v>24</v>
      </c>
      <c r="E385" s="117" t="s">
        <v>908</v>
      </c>
      <c r="F385" s="118" t="s">
        <v>69</v>
      </c>
      <c r="G385" s="117" t="s">
        <v>70</v>
      </c>
      <c r="H385" s="117" t="s">
        <v>397</v>
      </c>
      <c r="I385" s="119" t="n">
        <v>0</v>
      </c>
      <c r="J385" s="119" t="n">
        <v>1</v>
      </c>
      <c r="K385" s="117"/>
      <c r="L385" s="117"/>
    </row>
    <row r="386" customFormat="false" ht="15" hidden="false" customHeight="false" outlineLevel="0" collapsed="false">
      <c r="A386" s="117" t="s">
        <v>909</v>
      </c>
      <c r="B386" s="117" t="s">
        <v>721</v>
      </c>
      <c r="C386" s="117" t="s">
        <v>24</v>
      </c>
      <c r="D386" s="117" t="s">
        <v>24</v>
      </c>
      <c r="E386" s="117" t="s">
        <v>910</v>
      </c>
      <c r="F386" s="118" t="s">
        <v>69</v>
      </c>
      <c r="G386" s="117" t="s">
        <v>70</v>
      </c>
      <c r="H386" s="117" t="s">
        <v>397</v>
      </c>
      <c r="I386" s="119" t="n">
        <v>1</v>
      </c>
      <c r="J386" s="119" t="n">
        <v>0</v>
      </c>
      <c r="K386" s="117"/>
      <c r="L386" s="117"/>
    </row>
    <row r="387" customFormat="false" ht="15" hidden="false" customHeight="false" outlineLevel="0" collapsed="false">
      <c r="A387" s="117" t="s">
        <v>911</v>
      </c>
      <c r="B387" s="117" t="s">
        <v>721</v>
      </c>
      <c r="C387" s="117" t="s">
        <v>24</v>
      </c>
      <c r="D387" s="117" t="s">
        <v>24</v>
      </c>
      <c r="E387" s="117" t="s">
        <v>912</v>
      </c>
      <c r="F387" s="118" t="s">
        <v>69</v>
      </c>
      <c r="G387" s="117" t="s">
        <v>70</v>
      </c>
      <c r="H387" s="117" t="s">
        <v>397</v>
      </c>
      <c r="I387" s="119" t="n">
        <v>1</v>
      </c>
      <c r="J387" s="119" t="n">
        <v>0</v>
      </c>
      <c r="K387" s="117"/>
      <c r="L387" s="117"/>
    </row>
    <row r="388" customFormat="false" ht="15" hidden="false" customHeight="false" outlineLevel="0" collapsed="false">
      <c r="A388" s="117" t="s">
        <v>913</v>
      </c>
      <c r="B388" s="117" t="s">
        <v>721</v>
      </c>
      <c r="C388" s="117" t="s">
        <v>24</v>
      </c>
      <c r="D388" s="117" t="s">
        <v>24</v>
      </c>
      <c r="E388" s="117" t="s">
        <v>914</v>
      </c>
      <c r="F388" s="118" t="s">
        <v>69</v>
      </c>
      <c r="G388" s="117" t="s">
        <v>70</v>
      </c>
      <c r="H388" s="117" t="s">
        <v>397</v>
      </c>
      <c r="I388" s="119" t="n">
        <v>1</v>
      </c>
      <c r="J388" s="119" t="n">
        <v>0</v>
      </c>
      <c r="K388" s="117"/>
      <c r="L388" s="117"/>
    </row>
    <row r="389" customFormat="false" ht="15" hidden="false" customHeight="false" outlineLevel="0" collapsed="false">
      <c r="A389" s="117" t="s">
        <v>915</v>
      </c>
      <c r="B389" s="117" t="s">
        <v>721</v>
      </c>
      <c r="C389" s="117" t="s">
        <v>24</v>
      </c>
      <c r="D389" s="117" t="s">
        <v>24</v>
      </c>
      <c r="E389" s="117" t="s">
        <v>916</v>
      </c>
      <c r="F389" s="118" t="s">
        <v>69</v>
      </c>
      <c r="G389" s="117" t="s">
        <v>70</v>
      </c>
      <c r="H389" s="117" t="s">
        <v>397</v>
      </c>
      <c r="I389" s="119" t="n">
        <v>1</v>
      </c>
      <c r="J389" s="119" t="n">
        <v>0</v>
      </c>
      <c r="K389" s="117"/>
      <c r="L389" s="117"/>
    </row>
    <row r="390" customFormat="false" ht="15" hidden="false" customHeight="false" outlineLevel="0" collapsed="false">
      <c r="A390" s="117" t="s">
        <v>917</v>
      </c>
      <c r="B390" s="117" t="s">
        <v>721</v>
      </c>
      <c r="C390" s="117" t="s">
        <v>24</v>
      </c>
      <c r="D390" s="117" t="s">
        <v>24</v>
      </c>
      <c r="E390" s="117" t="s">
        <v>918</v>
      </c>
      <c r="F390" s="118" t="s">
        <v>87</v>
      </c>
      <c r="G390" s="117" t="s">
        <v>88</v>
      </c>
      <c r="H390" s="117" t="s">
        <v>397</v>
      </c>
      <c r="I390" s="119" t="n">
        <v>1</v>
      </c>
      <c r="J390" s="119" t="n">
        <v>0</v>
      </c>
      <c r="K390" s="117"/>
      <c r="L390" s="117"/>
    </row>
    <row r="391" customFormat="false" ht="15" hidden="false" customHeight="false" outlineLevel="0" collapsed="false">
      <c r="A391" s="117" t="s">
        <v>919</v>
      </c>
      <c r="B391" s="117" t="s">
        <v>721</v>
      </c>
      <c r="C391" s="117" t="s">
        <v>920</v>
      </c>
      <c r="D391" s="117" t="s">
        <v>21</v>
      </c>
      <c r="E391" s="117" t="s">
        <v>921</v>
      </c>
      <c r="F391" s="118" t="s">
        <v>69</v>
      </c>
      <c r="G391" s="117" t="s">
        <v>70</v>
      </c>
      <c r="H391" s="117" t="s">
        <v>397</v>
      </c>
      <c r="I391" s="119" t="n">
        <v>1</v>
      </c>
      <c r="J391" s="119" t="n">
        <v>1</v>
      </c>
      <c r="K391" s="117"/>
      <c r="L391" s="117"/>
    </row>
    <row r="392" customFormat="false" ht="15" hidden="false" customHeight="false" outlineLevel="0" collapsed="false">
      <c r="A392" s="117" t="s">
        <v>922</v>
      </c>
      <c r="B392" s="117" t="s">
        <v>721</v>
      </c>
      <c r="C392" s="117" t="s">
        <v>920</v>
      </c>
      <c r="D392" s="117" t="s">
        <v>21</v>
      </c>
      <c r="E392" s="117" t="s">
        <v>923</v>
      </c>
      <c r="F392" s="118" t="s">
        <v>81</v>
      </c>
      <c r="G392" s="117" t="s">
        <v>82</v>
      </c>
      <c r="H392" s="117" t="s">
        <v>397</v>
      </c>
      <c r="I392" s="119" t="n">
        <v>1</v>
      </c>
      <c r="J392" s="119" t="n">
        <v>0</v>
      </c>
      <c r="K392" s="117"/>
      <c r="L392" s="117"/>
    </row>
    <row r="393" customFormat="false" ht="15" hidden="false" customHeight="false" outlineLevel="0" collapsed="false">
      <c r="A393" s="117" t="s">
        <v>924</v>
      </c>
      <c r="B393" s="117" t="s">
        <v>721</v>
      </c>
      <c r="C393" s="117" t="s">
        <v>920</v>
      </c>
      <c r="D393" s="117" t="s">
        <v>21</v>
      </c>
      <c r="E393" s="117" t="s">
        <v>925</v>
      </c>
      <c r="F393" s="118" t="s">
        <v>69</v>
      </c>
      <c r="G393" s="117" t="s">
        <v>70</v>
      </c>
      <c r="H393" s="117" t="s">
        <v>397</v>
      </c>
      <c r="I393" s="119" t="n">
        <v>0</v>
      </c>
      <c r="J393" s="119" t="n">
        <v>1</v>
      </c>
      <c r="K393" s="117"/>
      <c r="L393" s="117"/>
    </row>
    <row r="394" customFormat="false" ht="15" hidden="false" customHeight="false" outlineLevel="0" collapsed="false">
      <c r="A394" s="117" t="s">
        <v>926</v>
      </c>
      <c r="B394" s="117" t="s">
        <v>721</v>
      </c>
      <c r="C394" s="117" t="s">
        <v>920</v>
      </c>
      <c r="D394" s="117" t="s">
        <v>21</v>
      </c>
      <c r="E394" s="117" t="s">
        <v>927</v>
      </c>
      <c r="F394" s="118" t="s">
        <v>81</v>
      </c>
      <c r="G394" s="117" t="s">
        <v>82</v>
      </c>
      <c r="H394" s="117" t="s">
        <v>397</v>
      </c>
      <c r="I394" s="119" t="n">
        <v>1</v>
      </c>
      <c r="J394" s="119" t="n">
        <v>0</v>
      </c>
      <c r="K394" s="117"/>
      <c r="L394" s="117"/>
    </row>
    <row r="395" customFormat="false" ht="15" hidden="false" customHeight="false" outlineLevel="0" collapsed="false">
      <c r="A395" s="117" t="s">
        <v>928</v>
      </c>
      <c r="B395" s="117" t="s">
        <v>721</v>
      </c>
      <c r="C395" s="117" t="s">
        <v>920</v>
      </c>
      <c r="D395" s="117" t="s">
        <v>21</v>
      </c>
      <c r="E395" s="117" t="s">
        <v>929</v>
      </c>
      <c r="F395" s="118" t="s">
        <v>69</v>
      </c>
      <c r="G395" s="117" t="s">
        <v>70</v>
      </c>
      <c r="H395" s="117" t="s">
        <v>397</v>
      </c>
      <c r="I395" s="119" t="n">
        <v>0</v>
      </c>
      <c r="J395" s="119" t="n">
        <v>1</v>
      </c>
      <c r="K395" s="117"/>
      <c r="L395" s="117"/>
    </row>
    <row r="396" customFormat="false" ht="15" hidden="false" customHeight="false" outlineLevel="0" collapsed="false">
      <c r="A396" s="117" t="s">
        <v>930</v>
      </c>
      <c r="B396" s="117" t="s">
        <v>721</v>
      </c>
      <c r="C396" s="117" t="s">
        <v>920</v>
      </c>
      <c r="D396" s="117" t="s">
        <v>21</v>
      </c>
      <c r="E396" s="117" t="s">
        <v>931</v>
      </c>
      <c r="F396" s="118" t="s">
        <v>81</v>
      </c>
      <c r="G396" s="117" t="s">
        <v>82</v>
      </c>
      <c r="H396" s="117" t="s">
        <v>397</v>
      </c>
      <c r="I396" s="119" t="n">
        <v>1</v>
      </c>
      <c r="J396" s="119" t="n">
        <v>0</v>
      </c>
      <c r="K396" s="117"/>
      <c r="L396" s="117"/>
    </row>
    <row r="397" customFormat="false" ht="15" hidden="false" customHeight="false" outlineLevel="0" collapsed="false">
      <c r="A397" s="117" t="s">
        <v>932</v>
      </c>
      <c r="B397" s="117" t="s">
        <v>721</v>
      </c>
      <c r="C397" s="117" t="s">
        <v>920</v>
      </c>
      <c r="D397" s="117" t="s">
        <v>21</v>
      </c>
      <c r="E397" s="117" t="s">
        <v>933</v>
      </c>
      <c r="F397" s="118" t="s">
        <v>69</v>
      </c>
      <c r="G397" s="117" t="s">
        <v>70</v>
      </c>
      <c r="H397" s="117" t="s">
        <v>397</v>
      </c>
      <c r="I397" s="119" t="n">
        <v>1</v>
      </c>
      <c r="J397" s="119" t="n">
        <v>0</v>
      </c>
      <c r="K397" s="117"/>
      <c r="L397" s="117"/>
    </row>
    <row r="398" customFormat="false" ht="15" hidden="false" customHeight="false" outlineLevel="0" collapsed="false">
      <c r="A398" s="117" t="s">
        <v>934</v>
      </c>
      <c r="B398" s="117" t="s">
        <v>721</v>
      </c>
      <c r="C398" s="117" t="s">
        <v>920</v>
      </c>
      <c r="D398" s="117" t="s">
        <v>21</v>
      </c>
      <c r="E398" s="117" t="s">
        <v>935</v>
      </c>
      <c r="F398" s="118" t="s">
        <v>81</v>
      </c>
      <c r="G398" s="117" t="s">
        <v>82</v>
      </c>
      <c r="H398" s="117" t="s">
        <v>397</v>
      </c>
      <c r="I398" s="119" t="n">
        <v>1</v>
      </c>
      <c r="J398" s="119" t="n">
        <v>0</v>
      </c>
      <c r="K398" s="117"/>
      <c r="L398" s="117"/>
    </row>
    <row r="399" customFormat="false" ht="15" hidden="false" customHeight="false" outlineLevel="0" collapsed="false">
      <c r="A399" s="117" t="s">
        <v>936</v>
      </c>
      <c r="B399" s="117" t="s">
        <v>721</v>
      </c>
      <c r="C399" s="117" t="s">
        <v>920</v>
      </c>
      <c r="D399" s="117" t="s">
        <v>21</v>
      </c>
      <c r="E399" s="117" t="s">
        <v>937</v>
      </c>
      <c r="F399" s="118" t="s">
        <v>69</v>
      </c>
      <c r="G399" s="117" t="s">
        <v>70</v>
      </c>
      <c r="H399" s="117" t="s">
        <v>397</v>
      </c>
      <c r="I399" s="119" t="n">
        <v>0</v>
      </c>
      <c r="J399" s="119" t="n">
        <v>1</v>
      </c>
      <c r="K399" s="117"/>
      <c r="L399" s="117"/>
    </row>
    <row r="400" customFormat="false" ht="15" hidden="false" customHeight="false" outlineLevel="0" collapsed="false">
      <c r="A400" s="117" t="s">
        <v>938</v>
      </c>
      <c r="B400" s="117" t="s">
        <v>721</v>
      </c>
      <c r="C400" s="117" t="s">
        <v>920</v>
      </c>
      <c r="D400" s="117" t="s">
        <v>21</v>
      </c>
      <c r="E400" s="117" t="s">
        <v>939</v>
      </c>
      <c r="F400" s="118" t="s">
        <v>69</v>
      </c>
      <c r="G400" s="117" t="s">
        <v>70</v>
      </c>
      <c r="H400" s="117" t="s">
        <v>397</v>
      </c>
      <c r="I400" s="119" t="n">
        <v>1</v>
      </c>
      <c r="J400" s="119" t="n">
        <v>0</v>
      </c>
      <c r="K400" s="117"/>
      <c r="L400" s="117"/>
    </row>
    <row r="401" customFormat="false" ht="15" hidden="false" customHeight="false" outlineLevel="0" collapsed="false">
      <c r="A401" s="117" t="s">
        <v>940</v>
      </c>
      <c r="B401" s="117" t="s">
        <v>721</v>
      </c>
      <c r="C401" s="117" t="s">
        <v>920</v>
      </c>
      <c r="D401" s="117" t="s">
        <v>21</v>
      </c>
      <c r="E401" s="117" t="s">
        <v>941</v>
      </c>
      <c r="F401" s="118" t="s">
        <v>69</v>
      </c>
      <c r="G401" s="117" t="s">
        <v>70</v>
      </c>
      <c r="H401" s="117" t="s">
        <v>397</v>
      </c>
      <c r="I401" s="119" t="n">
        <v>1</v>
      </c>
      <c r="J401" s="119" t="n">
        <v>0</v>
      </c>
      <c r="K401" s="117"/>
      <c r="L401" s="117"/>
    </row>
    <row r="402" customFormat="false" ht="15" hidden="false" customHeight="false" outlineLevel="0" collapsed="false">
      <c r="A402" s="117" t="s">
        <v>942</v>
      </c>
      <c r="B402" s="117" t="s">
        <v>721</v>
      </c>
      <c r="C402" s="117" t="s">
        <v>920</v>
      </c>
      <c r="D402" s="117" t="s">
        <v>21</v>
      </c>
      <c r="E402" s="117" t="s">
        <v>943</v>
      </c>
      <c r="F402" s="118" t="s">
        <v>69</v>
      </c>
      <c r="G402" s="117" t="s">
        <v>70</v>
      </c>
      <c r="H402" s="117" t="s">
        <v>397</v>
      </c>
      <c r="I402" s="119" t="n">
        <v>1</v>
      </c>
      <c r="J402" s="119" t="n">
        <v>0</v>
      </c>
      <c r="K402" s="117"/>
      <c r="L402" s="117"/>
    </row>
    <row r="403" customFormat="false" ht="15" hidden="false" customHeight="false" outlineLevel="0" collapsed="false">
      <c r="A403" s="117" t="s">
        <v>944</v>
      </c>
      <c r="B403" s="117" t="s">
        <v>721</v>
      </c>
      <c r="C403" s="117" t="s">
        <v>920</v>
      </c>
      <c r="D403" s="117" t="s">
        <v>21</v>
      </c>
      <c r="E403" s="117" t="s">
        <v>945</v>
      </c>
      <c r="F403" s="118" t="s">
        <v>69</v>
      </c>
      <c r="G403" s="117" t="s">
        <v>70</v>
      </c>
      <c r="H403" s="117" t="s">
        <v>397</v>
      </c>
      <c r="I403" s="119" t="n">
        <v>1</v>
      </c>
      <c r="J403" s="119" t="n">
        <v>1</v>
      </c>
      <c r="K403" s="117"/>
      <c r="L403" s="117"/>
    </row>
    <row r="404" customFormat="false" ht="15" hidden="false" customHeight="false" outlineLevel="0" collapsed="false">
      <c r="A404" s="117" t="s">
        <v>946</v>
      </c>
      <c r="B404" s="117" t="s">
        <v>721</v>
      </c>
      <c r="C404" s="117" t="s">
        <v>920</v>
      </c>
      <c r="D404" s="117" t="s">
        <v>21</v>
      </c>
      <c r="E404" s="117" t="s">
        <v>947</v>
      </c>
      <c r="F404" s="118" t="s">
        <v>69</v>
      </c>
      <c r="G404" s="117" t="s">
        <v>70</v>
      </c>
      <c r="H404" s="117" t="s">
        <v>397</v>
      </c>
      <c r="I404" s="119" t="n">
        <v>1</v>
      </c>
      <c r="J404" s="119" t="n">
        <v>0</v>
      </c>
      <c r="K404" s="117"/>
      <c r="L404" s="117"/>
    </row>
    <row r="405" customFormat="false" ht="15" hidden="false" customHeight="false" outlineLevel="0" collapsed="false">
      <c r="A405" s="117" t="s">
        <v>948</v>
      </c>
      <c r="B405" s="117" t="s">
        <v>721</v>
      </c>
      <c r="C405" s="117" t="s">
        <v>920</v>
      </c>
      <c r="D405" s="117" t="s">
        <v>21</v>
      </c>
      <c r="E405" s="117" t="s">
        <v>949</v>
      </c>
      <c r="F405" s="118" t="s">
        <v>69</v>
      </c>
      <c r="G405" s="117" t="s">
        <v>70</v>
      </c>
      <c r="H405" s="117" t="s">
        <v>397</v>
      </c>
      <c r="I405" s="119" t="n">
        <v>1</v>
      </c>
      <c r="J405" s="119" t="n">
        <v>0</v>
      </c>
      <c r="K405" s="117"/>
      <c r="L405" s="117"/>
    </row>
    <row r="406" customFormat="false" ht="15" hidden="false" customHeight="false" outlineLevel="0" collapsed="false">
      <c r="A406" s="117" t="s">
        <v>950</v>
      </c>
      <c r="B406" s="117" t="s">
        <v>721</v>
      </c>
      <c r="C406" s="117" t="s">
        <v>920</v>
      </c>
      <c r="D406" s="117" t="s">
        <v>21</v>
      </c>
      <c r="E406" s="117" t="s">
        <v>951</v>
      </c>
      <c r="F406" s="118" t="s">
        <v>69</v>
      </c>
      <c r="G406" s="117" t="s">
        <v>70</v>
      </c>
      <c r="H406" s="117" t="s">
        <v>397</v>
      </c>
      <c r="I406" s="119" t="n">
        <v>1</v>
      </c>
      <c r="J406" s="119" t="n">
        <v>0</v>
      </c>
      <c r="K406" s="117"/>
      <c r="L406" s="117"/>
    </row>
    <row r="407" customFormat="false" ht="15" hidden="false" customHeight="false" outlineLevel="0" collapsed="false">
      <c r="A407" s="117" t="s">
        <v>952</v>
      </c>
      <c r="B407" s="117" t="s">
        <v>721</v>
      </c>
      <c r="C407" s="117" t="s">
        <v>920</v>
      </c>
      <c r="D407" s="117" t="s">
        <v>21</v>
      </c>
      <c r="E407" s="117" t="s">
        <v>953</v>
      </c>
      <c r="F407" s="118" t="s">
        <v>69</v>
      </c>
      <c r="G407" s="117" t="s">
        <v>70</v>
      </c>
      <c r="H407" s="117" t="s">
        <v>397</v>
      </c>
      <c r="I407" s="119" t="n">
        <v>1</v>
      </c>
      <c r="J407" s="119" t="n">
        <v>0</v>
      </c>
      <c r="K407" s="117"/>
      <c r="L407" s="117"/>
    </row>
    <row r="408" customFormat="false" ht="15" hidden="false" customHeight="false" outlineLevel="0" collapsed="false">
      <c r="A408" s="117" t="s">
        <v>954</v>
      </c>
      <c r="B408" s="117" t="s">
        <v>721</v>
      </c>
      <c r="C408" s="117" t="s">
        <v>920</v>
      </c>
      <c r="D408" s="117" t="s">
        <v>21</v>
      </c>
      <c r="E408" s="117" t="s">
        <v>955</v>
      </c>
      <c r="F408" s="118" t="s">
        <v>69</v>
      </c>
      <c r="G408" s="117" t="s">
        <v>70</v>
      </c>
      <c r="H408" s="117" t="s">
        <v>397</v>
      </c>
      <c r="I408" s="119" t="n">
        <v>1</v>
      </c>
      <c r="J408" s="119" t="n">
        <v>0</v>
      </c>
      <c r="K408" s="117"/>
      <c r="L408" s="117"/>
    </row>
    <row r="409" customFormat="false" ht="15" hidden="false" customHeight="false" outlineLevel="0" collapsed="false">
      <c r="A409" s="117" t="s">
        <v>956</v>
      </c>
      <c r="B409" s="117" t="s">
        <v>721</v>
      </c>
      <c r="C409" s="117" t="s">
        <v>920</v>
      </c>
      <c r="D409" s="117" t="s">
        <v>21</v>
      </c>
      <c r="E409" s="117" t="s">
        <v>957</v>
      </c>
      <c r="F409" s="118" t="s">
        <v>69</v>
      </c>
      <c r="G409" s="117" t="s">
        <v>70</v>
      </c>
      <c r="H409" s="117" t="s">
        <v>397</v>
      </c>
      <c r="I409" s="119" t="n">
        <v>0</v>
      </c>
      <c r="J409" s="119" t="n">
        <v>1</v>
      </c>
      <c r="K409" s="117"/>
      <c r="L409" s="117"/>
    </row>
    <row r="410" customFormat="false" ht="15" hidden="false" customHeight="false" outlineLevel="0" collapsed="false">
      <c r="A410" s="117" t="s">
        <v>958</v>
      </c>
      <c r="B410" s="117" t="s">
        <v>721</v>
      </c>
      <c r="C410" s="117" t="s">
        <v>920</v>
      </c>
      <c r="D410" s="117" t="s">
        <v>21</v>
      </c>
      <c r="E410" s="117" t="s">
        <v>959</v>
      </c>
      <c r="F410" s="118" t="s">
        <v>69</v>
      </c>
      <c r="G410" s="117" t="s">
        <v>70</v>
      </c>
      <c r="H410" s="117" t="s">
        <v>397</v>
      </c>
      <c r="I410" s="119" t="n">
        <v>0</v>
      </c>
      <c r="J410" s="119" t="n">
        <v>1</v>
      </c>
      <c r="K410" s="117"/>
      <c r="L410" s="117"/>
    </row>
    <row r="411" customFormat="false" ht="15" hidden="false" customHeight="false" outlineLevel="0" collapsed="false">
      <c r="A411" s="117" t="s">
        <v>960</v>
      </c>
      <c r="B411" s="117" t="s">
        <v>721</v>
      </c>
      <c r="C411" s="117" t="s">
        <v>920</v>
      </c>
      <c r="D411" s="117" t="s">
        <v>21</v>
      </c>
      <c r="E411" s="117" t="s">
        <v>961</v>
      </c>
      <c r="F411" s="118" t="s">
        <v>69</v>
      </c>
      <c r="G411" s="117" t="s">
        <v>70</v>
      </c>
      <c r="H411" s="117" t="s">
        <v>397</v>
      </c>
      <c r="I411" s="119" t="n">
        <v>0</v>
      </c>
      <c r="J411" s="119" t="n">
        <v>1</v>
      </c>
      <c r="K411" s="117"/>
      <c r="L411" s="117"/>
    </row>
    <row r="412" customFormat="false" ht="15" hidden="false" customHeight="false" outlineLevel="0" collapsed="false">
      <c r="A412" s="117" t="s">
        <v>962</v>
      </c>
      <c r="B412" s="117" t="s">
        <v>721</v>
      </c>
      <c r="C412" s="117" t="s">
        <v>963</v>
      </c>
      <c r="D412" s="117" t="s">
        <v>22</v>
      </c>
      <c r="E412" s="117" t="s">
        <v>964</v>
      </c>
      <c r="F412" s="118" t="s">
        <v>87</v>
      </c>
      <c r="G412" s="117" t="s">
        <v>88</v>
      </c>
      <c r="H412" s="117" t="s">
        <v>397</v>
      </c>
      <c r="I412" s="119" t="n">
        <v>1</v>
      </c>
      <c r="J412" s="119" t="n">
        <v>0</v>
      </c>
      <c r="K412" s="117"/>
      <c r="L412" s="117"/>
    </row>
    <row r="413" customFormat="false" ht="15" hidden="false" customHeight="false" outlineLevel="0" collapsed="false">
      <c r="A413" s="117" t="s">
        <v>965</v>
      </c>
      <c r="B413" s="117" t="s">
        <v>721</v>
      </c>
      <c r="C413" s="117" t="s">
        <v>963</v>
      </c>
      <c r="D413" s="117" t="s">
        <v>22</v>
      </c>
      <c r="E413" s="117" t="s">
        <v>966</v>
      </c>
      <c r="F413" s="118" t="s">
        <v>87</v>
      </c>
      <c r="G413" s="117" t="s">
        <v>88</v>
      </c>
      <c r="H413" s="117" t="s">
        <v>397</v>
      </c>
      <c r="I413" s="119" t="n">
        <v>1</v>
      </c>
      <c r="J413" s="119" t="n">
        <v>0</v>
      </c>
      <c r="K413" s="117"/>
      <c r="L413" s="117"/>
    </row>
    <row r="414" customFormat="false" ht="15" hidden="false" customHeight="false" outlineLevel="0" collapsed="false">
      <c r="A414" s="117" t="s">
        <v>967</v>
      </c>
      <c r="B414" s="117" t="s">
        <v>721</v>
      </c>
      <c r="C414" s="117" t="s">
        <v>963</v>
      </c>
      <c r="D414" s="117" t="s">
        <v>22</v>
      </c>
      <c r="E414" s="117" t="s">
        <v>281</v>
      </c>
      <c r="F414" s="118" t="s">
        <v>59</v>
      </c>
      <c r="G414" s="117" t="s">
        <v>60</v>
      </c>
      <c r="H414" s="117" t="s">
        <v>397</v>
      </c>
      <c r="I414" s="119" t="n">
        <v>0</v>
      </c>
      <c r="J414" s="119" t="n">
        <v>1</v>
      </c>
      <c r="K414" s="117"/>
      <c r="L414" s="117"/>
    </row>
    <row r="415" customFormat="false" ht="15" hidden="false" customHeight="false" outlineLevel="0" collapsed="false">
      <c r="A415" s="117" t="s">
        <v>968</v>
      </c>
      <c r="B415" s="117" t="s">
        <v>721</v>
      </c>
      <c r="C415" s="117" t="s">
        <v>963</v>
      </c>
      <c r="D415" s="117" t="s">
        <v>22</v>
      </c>
      <c r="E415" s="117" t="s">
        <v>287</v>
      </c>
      <c r="F415" s="118" t="s">
        <v>59</v>
      </c>
      <c r="G415" s="117" t="s">
        <v>60</v>
      </c>
      <c r="H415" s="117" t="s">
        <v>397</v>
      </c>
      <c r="I415" s="119" t="n">
        <v>1</v>
      </c>
      <c r="J415" s="119" t="n">
        <v>0</v>
      </c>
      <c r="K415" s="117"/>
      <c r="L415" s="117"/>
    </row>
    <row r="416" customFormat="false" ht="15" hidden="false" customHeight="false" outlineLevel="0" collapsed="false">
      <c r="A416" s="117" t="s">
        <v>969</v>
      </c>
      <c r="B416" s="117" t="s">
        <v>721</v>
      </c>
      <c r="C416" s="117" t="s">
        <v>963</v>
      </c>
      <c r="D416" s="117" t="s">
        <v>22</v>
      </c>
      <c r="E416" s="117" t="s">
        <v>970</v>
      </c>
      <c r="F416" s="118" t="s">
        <v>69</v>
      </c>
      <c r="G416" s="117" t="s">
        <v>70</v>
      </c>
      <c r="H416" s="117" t="s">
        <v>397</v>
      </c>
      <c r="I416" s="119" t="n">
        <v>1</v>
      </c>
      <c r="J416" s="119" t="n">
        <v>0</v>
      </c>
      <c r="K416" s="117"/>
      <c r="L416" s="117"/>
    </row>
    <row r="417" customFormat="false" ht="15" hidden="false" customHeight="false" outlineLevel="0" collapsed="false">
      <c r="A417" s="117" t="s">
        <v>971</v>
      </c>
      <c r="B417" s="117" t="s">
        <v>721</v>
      </c>
      <c r="C417" s="117" t="s">
        <v>963</v>
      </c>
      <c r="D417" s="117" t="s">
        <v>22</v>
      </c>
      <c r="E417" s="117" t="s">
        <v>972</v>
      </c>
      <c r="F417" s="118" t="s">
        <v>69</v>
      </c>
      <c r="G417" s="117" t="s">
        <v>70</v>
      </c>
      <c r="H417" s="117" t="s">
        <v>397</v>
      </c>
      <c r="I417" s="119" t="n">
        <v>1</v>
      </c>
      <c r="J417" s="119" t="n">
        <v>0</v>
      </c>
      <c r="K417" s="117"/>
      <c r="L417" s="117"/>
    </row>
    <row r="418" customFormat="false" ht="15" hidden="false" customHeight="false" outlineLevel="0" collapsed="false">
      <c r="A418" s="117" t="s">
        <v>973</v>
      </c>
      <c r="B418" s="117" t="s">
        <v>721</v>
      </c>
      <c r="C418" s="117" t="s">
        <v>19</v>
      </c>
      <c r="D418" s="117" t="s">
        <v>19</v>
      </c>
      <c r="E418" s="117" t="s">
        <v>974</v>
      </c>
      <c r="F418" s="118" t="s">
        <v>69</v>
      </c>
      <c r="G418" s="117" t="s">
        <v>70</v>
      </c>
      <c r="H418" s="117" t="s">
        <v>397</v>
      </c>
      <c r="I418" s="119" t="n">
        <v>1</v>
      </c>
      <c r="J418" s="119" t="n">
        <v>0</v>
      </c>
      <c r="K418" s="117"/>
      <c r="L418" s="117"/>
    </row>
    <row r="419" customFormat="false" ht="15" hidden="false" customHeight="false" outlineLevel="0" collapsed="false">
      <c r="A419" s="117" t="s">
        <v>975</v>
      </c>
      <c r="B419" s="117" t="s">
        <v>721</v>
      </c>
      <c r="C419" s="117" t="s">
        <v>19</v>
      </c>
      <c r="D419" s="117" t="s">
        <v>19</v>
      </c>
      <c r="E419" s="117" t="s">
        <v>976</v>
      </c>
      <c r="F419" s="118" t="s">
        <v>69</v>
      </c>
      <c r="G419" s="117" t="s">
        <v>70</v>
      </c>
      <c r="H419" s="117" t="s">
        <v>397</v>
      </c>
      <c r="I419" s="119" t="n">
        <v>0</v>
      </c>
      <c r="J419" s="119" t="n">
        <v>1</v>
      </c>
      <c r="K419" s="117"/>
      <c r="L419" s="117"/>
    </row>
    <row r="420" customFormat="false" ht="15" hidden="false" customHeight="false" outlineLevel="0" collapsed="false">
      <c r="A420" s="117" t="s">
        <v>977</v>
      </c>
      <c r="B420" s="117" t="s">
        <v>721</v>
      </c>
      <c r="C420" s="117" t="s">
        <v>19</v>
      </c>
      <c r="D420" s="117" t="s">
        <v>19</v>
      </c>
      <c r="E420" s="117" t="s">
        <v>978</v>
      </c>
      <c r="F420" s="118" t="s">
        <v>69</v>
      </c>
      <c r="G420" s="117" t="s">
        <v>70</v>
      </c>
      <c r="H420" s="117" t="s">
        <v>397</v>
      </c>
      <c r="I420" s="119" t="n">
        <v>1</v>
      </c>
      <c r="J420" s="119" t="n">
        <v>0</v>
      </c>
      <c r="K420" s="117"/>
      <c r="L420" s="117"/>
    </row>
    <row r="421" customFormat="false" ht="15" hidden="false" customHeight="false" outlineLevel="0" collapsed="false">
      <c r="A421" s="117" t="s">
        <v>979</v>
      </c>
      <c r="B421" s="117" t="s">
        <v>721</v>
      </c>
      <c r="C421" s="117" t="s">
        <v>19</v>
      </c>
      <c r="D421" s="117" t="s">
        <v>19</v>
      </c>
      <c r="E421" s="117" t="s">
        <v>980</v>
      </c>
      <c r="F421" s="118" t="s">
        <v>69</v>
      </c>
      <c r="G421" s="117" t="s">
        <v>70</v>
      </c>
      <c r="H421" s="117" t="s">
        <v>397</v>
      </c>
      <c r="I421" s="119" t="n">
        <v>1</v>
      </c>
      <c r="J421" s="119" t="n">
        <v>0</v>
      </c>
      <c r="K421" s="117"/>
      <c r="L421" s="117"/>
    </row>
    <row r="422" customFormat="false" ht="15" hidden="false" customHeight="false" outlineLevel="0" collapsed="false">
      <c r="A422" s="117" t="s">
        <v>981</v>
      </c>
      <c r="B422" s="117" t="s">
        <v>721</v>
      </c>
      <c r="C422" s="117" t="s">
        <v>19</v>
      </c>
      <c r="D422" s="117" t="s">
        <v>19</v>
      </c>
      <c r="E422" s="117" t="s">
        <v>982</v>
      </c>
      <c r="F422" s="118" t="s">
        <v>69</v>
      </c>
      <c r="G422" s="117" t="s">
        <v>70</v>
      </c>
      <c r="H422" s="117" t="s">
        <v>397</v>
      </c>
      <c r="I422" s="119" t="n">
        <v>1</v>
      </c>
      <c r="J422" s="119" t="n">
        <v>0</v>
      </c>
      <c r="K422" s="117"/>
      <c r="L422" s="117"/>
    </row>
    <row r="423" customFormat="false" ht="15" hidden="false" customHeight="false" outlineLevel="0" collapsed="false">
      <c r="A423" s="117" t="s">
        <v>983</v>
      </c>
      <c r="B423" s="117" t="s">
        <v>721</v>
      </c>
      <c r="C423" s="117" t="s">
        <v>19</v>
      </c>
      <c r="D423" s="117" t="s">
        <v>19</v>
      </c>
      <c r="E423" s="117" t="s">
        <v>984</v>
      </c>
      <c r="F423" s="118" t="s">
        <v>69</v>
      </c>
      <c r="G423" s="117" t="s">
        <v>70</v>
      </c>
      <c r="H423" s="117" t="s">
        <v>397</v>
      </c>
      <c r="I423" s="119" t="n">
        <v>1</v>
      </c>
      <c r="J423" s="119" t="n">
        <v>0</v>
      </c>
      <c r="K423" s="117"/>
      <c r="L423" s="117"/>
    </row>
    <row r="424" customFormat="false" ht="15" hidden="false" customHeight="false" outlineLevel="0" collapsed="false">
      <c r="A424" s="117" t="s">
        <v>985</v>
      </c>
      <c r="B424" s="117" t="s">
        <v>721</v>
      </c>
      <c r="C424" s="117" t="s">
        <v>19</v>
      </c>
      <c r="D424" s="117" t="s">
        <v>19</v>
      </c>
      <c r="E424" s="117" t="s">
        <v>986</v>
      </c>
      <c r="F424" s="118" t="s">
        <v>69</v>
      </c>
      <c r="G424" s="117" t="s">
        <v>70</v>
      </c>
      <c r="H424" s="117" t="s">
        <v>397</v>
      </c>
      <c r="I424" s="119" t="n">
        <v>0</v>
      </c>
      <c r="J424" s="119" t="n">
        <v>1</v>
      </c>
      <c r="K424" s="117"/>
      <c r="L424" s="117"/>
    </row>
    <row r="425" customFormat="false" ht="15" hidden="false" customHeight="false" outlineLevel="0" collapsed="false">
      <c r="A425" s="117" t="s">
        <v>987</v>
      </c>
      <c r="B425" s="117" t="s">
        <v>721</v>
      </c>
      <c r="C425" s="117" t="s">
        <v>988</v>
      </c>
      <c r="D425" s="117" t="s">
        <v>19</v>
      </c>
      <c r="E425" s="117" t="s">
        <v>989</v>
      </c>
      <c r="F425" s="118" t="s">
        <v>87</v>
      </c>
      <c r="G425" s="117" t="s">
        <v>88</v>
      </c>
      <c r="H425" s="117" t="s">
        <v>397</v>
      </c>
      <c r="I425" s="119" t="n">
        <v>1</v>
      </c>
      <c r="J425" s="119" t="n">
        <v>0</v>
      </c>
      <c r="K425" s="117"/>
      <c r="L425" s="117"/>
    </row>
    <row r="426" customFormat="false" ht="15" hidden="false" customHeight="false" outlineLevel="0" collapsed="false">
      <c r="A426" s="117" t="s">
        <v>990</v>
      </c>
      <c r="B426" s="117" t="s">
        <v>721</v>
      </c>
      <c r="C426" s="117" t="s">
        <v>988</v>
      </c>
      <c r="D426" s="117" t="s">
        <v>19</v>
      </c>
      <c r="E426" s="117" t="s">
        <v>991</v>
      </c>
      <c r="F426" s="118" t="s">
        <v>87</v>
      </c>
      <c r="G426" s="117" t="s">
        <v>88</v>
      </c>
      <c r="H426" s="117" t="s">
        <v>397</v>
      </c>
      <c r="I426" s="119" t="n">
        <v>1</v>
      </c>
      <c r="J426" s="119" t="n">
        <v>0</v>
      </c>
      <c r="K426" s="117"/>
      <c r="L426" s="117"/>
    </row>
    <row r="427" customFormat="false" ht="15" hidden="false" customHeight="false" outlineLevel="0" collapsed="false">
      <c r="A427" s="117" t="s">
        <v>992</v>
      </c>
      <c r="B427" s="117" t="s">
        <v>721</v>
      </c>
      <c r="C427" s="117" t="s">
        <v>988</v>
      </c>
      <c r="D427" s="117" t="s">
        <v>19</v>
      </c>
      <c r="E427" s="117" t="s">
        <v>993</v>
      </c>
      <c r="F427" s="118" t="s">
        <v>87</v>
      </c>
      <c r="G427" s="117" t="s">
        <v>88</v>
      </c>
      <c r="H427" s="117" t="s">
        <v>397</v>
      </c>
      <c r="I427" s="119" t="n">
        <v>1</v>
      </c>
      <c r="J427" s="119" t="n">
        <v>0</v>
      </c>
      <c r="K427" s="117"/>
      <c r="L427" s="117"/>
    </row>
    <row r="428" customFormat="false" ht="15" hidden="false" customHeight="false" outlineLevel="0" collapsed="false">
      <c r="A428" s="117" t="s">
        <v>416</v>
      </c>
      <c r="B428" s="117" t="s">
        <v>721</v>
      </c>
      <c r="C428" s="117" t="s">
        <v>12</v>
      </c>
      <c r="D428" s="117" t="s">
        <v>12</v>
      </c>
      <c r="E428" s="117" t="s">
        <v>994</v>
      </c>
      <c r="F428" s="118" t="s">
        <v>69</v>
      </c>
      <c r="G428" s="117" t="s">
        <v>70</v>
      </c>
      <c r="H428" s="117" t="s">
        <v>397</v>
      </c>
      <c r="I428" s="119" t="n">
        <v>0</v>
      </c>
      <c r="J428" s="119" t="n">
        <v>1</v>
      </c>
      <c r="K428" s="117"/>
      <c r="L428" s="117"/>
    </row>
    <row r="429" customFormat="false" ht="15" hidden="false" customHeight="false" outlineLevel="0" collapsed="false">
      <c r="A429" s="117" t="s">
        <v>995</v>
      </c>
      <c r="B429" s="117" t="s">
        <v>721</v>
      </c>
      <c r="C429" s="117" t="s">
        <v>12</v>
      </c>
      <c r="D429" s="117" t="s">
        <v>12</v>
      </c>
      <c r="E429" s="117" t="s">
        <v>996</v>
      </c>
      <c r="F429" s="118" t="s">
        <v>69</v>
      </c>
      <c r="G429" s="117" t="s">
        <v>70</v>
      </c>
      <c r="H429" s="117" t="s">
        <v>397</v>
      </c>
      <c r="I429" s="119" t="n">
        <v>1</v>
      </c>
      <c r="J429" s="119" t="n">
        <v>0</v>
      </c>
      <c r="K429" s="117"/>
      <c r="L429" s="117"/>
    </row>
    <row r="430" customFormat="false" ht="15" hidden="false" customHeight="false" outlineLevel="0" collapsed="false">
      <c r="A430" s="117" t="s">
        <v>640</v>
      </c>
      <c r="B430" s="117" t="s">
        <v>721</v>
      </c>
      <c r="C430" s="117" t="s">
        <v>12</v>
      </c>
      <c r="D430" s="117" t="s">
        <v>12</v>
      </c>
      <c r="E430" s="117" t="s">
        <v>997</v>
      </c>
      <c r="F430" s="118" t="s">
        <v>69</v>
      </c>
      <c r="G430" s="117" t="s">
        <v>70</v>
      </c>
      <c r="H430" s="117" t="s">
        <v>397</v>
      </c>
      <c r="I430" s="119" t="n">
        <v>1</v>
      </c>
      <c r="J430" s="119" t="n">
        <v>0</v>
      </c>
      <c r="K430" s="117"/>
      <c r="L430" s="117"/>
    </row>
    <row r="431" customFormat="false" ht="15" hidden="false" customHeight="false" outlineLevel="0" collapsed="false">
      <c r="A431" s="117" t="s">
        <v>497</v>
      </c>
      <c r="B431" s="117" t="s">
        <v>721</v>
      </c>
      <c r="C431" s="117" t="s">
        <v>12</v>
      </c>
      <c r="D431" s="117" t="s">
        <v>12</v>
      </c>
      <c r="E431" s="117" t="s">
        <v>998</v>
      </c>
      <c r="F431" s="118" t="s">
        <v>69</v>
      </c>
      <c r="G431" s="117" t="s">
        <v>70</v>
      </c>
      <c r="H431" s="117" t="s">
        <v>397</v>
      </c>
      <c r="I431" s="119" t="n">
        <v>1</v>
      </c>
      <c r="J431" s="119" t="n">
        <v>0</v>
      </c>
      <c r="K431" s="117"/>
      <c r="L431" s="117"/>
    </row>
    <row r="432" customFormat="false" ht="15" hidden="false" customHeight="false" outlineLevel="0" collapsed="false">
      <c r="A432" s="117" t="s">
        <v>500</v>
      </c>
      <c r="B432" s="117" t="s">
        <v>721</v>
      </c>
      <c r="C432" s="117" t="s">
        <v>12</v>
      </c>
      <c r="D432" s="117" t="s">
        <v>12</v>
      </c>
      <c r="E432" s="117" t="s">
        <v>999</v>
      </c>
      <c r="F432" s="118" t="s">
        <v>69</v>
      </c>
      <c r="G432" s="117" t="s">
        <v>70</v>
      </c>
      <c r="H432" s="117" t="s">
        <v>397</v>
      </c>
      <c r="I432" s="119" t="n">
        <v>1</v>
      </c>
      <c r="J432" s="119" t="n">
        <v>0</v>
      </c>
      <c r="K432" s="117"/>
      <c r="L432" s="117"/>
    </row>
    <row r="433" customFormat="false" ht="15" hidden="false" customHeight="false" outlineLevel="0" collapsed="false">
      <c r="A433" s="117" t="s">
        <v>502</v>
      </c>
      <c r="B433" s="117" t="s">
        <v>721</v>
      </c>
      <c r="C433" s="117" t="s">
        <v>12</v>
      </c>
      <c r="D433" s="117" t="s">
        <v>12</v>
      </c>
      <c r="E433" s="117" t="s">
        <v>1000</v>
      </c>
      <c r="F433" s="118" t="s">
        <v>69</v>
      </c>
      <c r="G433" s="117" t="s">
        <v>70</v>
      </c>
      <c r="H433" s="117" t="s">
        <v>397</v>
      </c>
      <c r="I433" s="119" t="n">
        <v>1</v>
      </c>
      <c r="J433" s="119" t="n">
        <v>0</v>
      </c>
      <c r="K433" s="117"/>
      <c r="L433" s="117"/>
    </row>
    <row r="434" customFormat="false" ht="15" hidden="false" customHeight="false" outlineLevel="0" collapsed="false">
      <c r="A434" s="117" t="s">
        <v>1001</v>
      </c>
      <c r="B434" s="117" t="s">
        <v>721</v>
      </c>
      <c r="C434" s="117" t="s">
        <v>12</v>
      </c>
      <c r="D434" s="117" t="s">
        <v>12</v>
      </c>
      <c r="E434" s="117" t="s">
        <v>1002</v>
      </c>
      <c r="F434" s="118" t="s">
        <v>69</v>
      </c>
      <c r="G434" s="117" t="s">
        <v>70</v>
      </c>
      <c r="H434" s="117" t="s">
        <v>397</v>
      </c>
      <c r="I434" s="119" t="n">
        <v>1</v>
      </c>
      <c r="J434" s="119" t="n">
        <v>0</v>
      </c>
      <c r="K434" s="117"/>
      <c r="L434" s="117"/>
    </row>
    <row r="435" customFormat="false" ht="15" hidden="false" customHeight="false" outlineLevel="0" collapsed="false">
      <c r="A435" s="117" t="s">
        <v>1003</v>
      </c>
      <c r="B435" s="117" t="s">
        <v>721</v>
      </c>
      <c r="C435" s="117" t="s">
        <v>12</v>
      </c>
      <c r="D435" s="117" t="s">
        <v>12</v>
      </c>
      <c r="E435" s="117" t="s">
        <v>1004</v>
      </c>
      <c r="F435" s="118" t="s">
        <v>69</v>
      </c>
      <c r="G435" s="117" t="s">
        <v>70</v>
      </c>
      <c r="H435" s="117" t="s">
        <v>397</v>
      </c>
      <c r="I435" s="119" t="n">
        <v>1</v>
      </c>
      <c r="J435" s="119" t="n">
        <v>0</v>
      </c>
      <c r="K435" s="117"/>
      <c r="L435" s="117"/>
    </row>
    <row r="436" customFormat="false" ht="15" hidden="false" customHeight="false" outlineLevel="0" collapsed="false">
      <c r="A436" s="117" t="s">
        <v>1005</v>
      </c>
      <c r="B436" s="117" t="s">
        <v>721</v>
      </c>
      <c r="C436" s="117" t="s">
        <v>12</v>
      </c>
      <c r="D436" s="117" t="s">
        <v>12</v>
      </c>
      <c r="E436" s="117" t="s">
        <v>1006</v>
      </c>
      <c r="F436" s="118" t="s">
        <v>69</v>
      </c>
      <c r="G436" s="117" t="s">
        <v>70</v>
      </c>
      <c r="H436" s="117" t="s">
        <v>397</v>
      </c>
      <c r="I436" s="119" t="n">
        <v>1</v>
      </c>
      <c r="J436" s="119" t="n">
        <v>0</v>
      </c>
      <c r="K436" s="117"/>
      <c r="L436" s="117"/>
    </row>
    <row r="437" customFormat="false" ht="15" hidden="false" customHeight="false" outlineLevel="0" collapsed="false">
      <c r="A437" s="117" t="s">
        <v>1007</v>
      </c>
      <c r="B437" s="117" t="s">
        <v>721</v>
      </c>
      <c r="C437" s="117" t="s">
        <v>12</v>
      </c>
      <c r="D437" s="117" t="s">
        <v>12</v>
      </c>
      <c r="E437" s="117" t="s">
        <v>1008</v>
      </c>
      <c r="F437" s="118" t="s">
        <v>69</v>
      </c>
      <c r="G437" s="117" t="s">
        <v>70</v>
      </c>
      <c r="H437" s="117" t="s">
        <v>397</v>
      </c>
      <c r="I437" s="119" t="n">
        <v>1</v>
      </c>
      <c r="J437" s="119" t="n">
        <v>0</v>
      </c>
      <c r="K437" s="117"/>
      <c r="L437" s="117"/>
    </row>
    <row r="438" customFormat="false" ht="15" hidden="false" customHeight="false" outlineLevel="0" collapsed="false">
      <c r="A438" s="117" t="s">
        <v>1009</v>
      </c>
      <c r="B438" s="117" t="s">
        <v>721</v>
      </c>
      <c r="C438" s="117" t="s">
        <v>12</v>
      </c>
      <c r="D438" s="117" t="s">
        <v>12</v>
      </c>
      <c r="E438" s="117" t="s">
        <v>1010</v>
      </c>
      <c r="F438" s="118" t="s">
        <v>69</v>
      </c>
      <c r="G438" s="117" t="s">
        <v>70</v>
      </c>
      <c r="H438" s="117" t="s">
        <v>397</v>
      </c>
      <c r="I438" s="119" t="n">
        <v>1</v>
      </c>
      <c r="J438" s="119" t="n">
        <v>0</v>
      </c>
      <c r="K438" s="117"/>
      <c r="L438" s="117"/>
    </row>
    <row r="439" customFormat="false" ht="15" hidden="false" customHeight="false" outlineLevel="0" collapsed="false">
      <c r="A439" s="117" t="s">
        <v>401</v>
      </c>
      <c r="B439" s="117" t="s">
        <v>721</v>
      </c>
      <c r="C439" s="117" t="s">
        <v>558</v>
      </c>
      <c r="D439" s="117" t="s">
        <v>11</v>
      </c>
      <c r="E439" s="117" t="s">
        <v>1011</v>
      </c>
      <c r="F439" s="118" t="s">
        <v>69</v>
      </c>
      <c r="G439" s="117" t="s">
        <v>70</v>
      </c>
      <c r="H439" s="117" t="s">
        <v>397</v>
      </c>
      <c r="I439" s="119" t="n">
        <v>1</v>
      </c>
      <c r="J439" s="119" t="n">
        <v>0</v>
      </c>
      <c r="K439" s="117"/>
      <c r="L439" s="117"/>
    </row>
    <row r="440" customFormat="false" ht="15" hidden="false" customHeight="false" outlineLevel="0" collapsed="false">
      <c r="A440" s="117" t="s">
        <v>1012</v>
      </c>
      <c r="B440" s="117" t="s">
        <v>721</v>
      </c>
      <c r="C440" s="117" t="s">
        <v>1013</v>
      </c>
      <c r="D440" s="117" t="s">
        <v>29</v>
      </c>
      <c r="E440" s="117" t="s">
        <v>1014</v>
      </c>
      <c r="F440" s="118" t="s">
        <v>69</v>
      </c>
      <c r="G440" s="117" t="s">
        <v>70</v>
      </c>
      <c r="H440" s="117" t="s">
        <v>397</v>
      </c>
      <c r="I440" s="119" t="n">
        <v>1</v>
      </c>
      <c r="J440" s="119" t="n">
        <v>0</v>
      </c>
      <c r="K440" s="117"/>
      <c r="L440" s="117"/>
    </row>
    <row r="441" customFormat="false" ht="15" hidden="false" customHeight="false" outlineLevel="0" collapsed="false">
      <c r="A441" s="117" t="s">
        <v>1015</v>
      </c>
      <c r="B441" s="117" t="s">
        <v>721</v>
      </c>
      <c r="C441" s="117" t="s">
        <v>1013</v>
      </c>
      <c r="D441" s="117" t="s">
        <v>29</v>
      </c>
      <c r="E441" s="117" t="s">
        <v>1016</v>
      </c>
      <c r="F441" s="118" t="s">
        <v>69</v>
      </c>
      <c r="G441" s="117" t="s">
        <v>70</v>
      </c>
      <c r="H441" s="117" t="s">
        <v>397</v>
      </c>
      <c r="I441" s="119" t="n">
        <v>1</v>
      </c>
      <c r="J441" s="119" t="n">
        <v>0</v>
      </c>
      <c r="K441" s="117"/>
      <c r="L441" s="117"/>
    </row>
    <row r="442" customFormat="false" ht="15" hidden="false" customHeight="false" outlineLevel="0" collapsed="false">
      <c r="A442" s="117" t="s">
        <v>1017</v>
      </c>
      <c r="B442" s="117" t="s">
        <v>721</v>
      </c>
      <c r="C442" s="117" t="s">
        <v>1013</v>
      </c>
      <c r="D442" s="117" t="s">
        <v>29</v>
      </c>
      <c r="E442" s="117" t="s">
        <v>1018</v>
      </c>
      <c r="F442" s="118" t="s">
        <v>69</v>
      </c>
      <c r="G442" s="117" t="s">
        <v>70</v>
      </c>
      <c r="H442" s="117" t="s">
        <v>397</v>
      </c>
      <c r="I442" s="119" t="n">
        <v>1</v>
      </c>
      <c r="J442" s="119" t="n">
        <v>0</v>
      </c>
      <c r="K442" s="117"/>
      <c r="L442" s="117"/>
    </row>
    <row r="443" customFormat="false" ht="15" hidden="false" customHeight="false" outlineLevel="0" collapsed="false">
      <c r="A443" s="117" t="s">
        <v>642</v>
      </c>
      <c r="B443" s="117" t="s">
        <v>721</v>
      </c>
      <c r="C443" s="117" t="s">
        <v>1019</v>
      </c>
      <c r="D443" s="117" t="s">
        <v>13</v>
      </c>
      <c r="E443" s="117" t="s">
        <v>1020</v>
      </c>
      <c r="F443" s="118" t="s">
        <v>69</v>
      </c>
      <c r="G443" s="117" t="s">
        <v>70</v>
      </c>
      <c r="H443" s="117" t="s">
        <v>397</v>
      </c>
      <c r="I443" s="119" t="n">
        <v>1</v>
      </c>
      <c r="J443" s="119" t="n">
        <v>1</v>
      </c>
      <c r="K443" s="117"/>
      <c r="L443" s="117"/>
    </row>
    <row r="444" customFormat="false" ht="15" hidden="false" customHeight="false" outlineLevel="0" collapsed="false">
      <c r="A444" s="117" t="s">
        <v>1021</v>
      </c>
      <c r="B444" s="117" t="s">
        <v>721</v>
      </c>
      <c r="C444" s="117" t="s">
        <v>1019</v>
      </c>
      <c r="D444" s="117" t="s">
        <v>13</v>
      </c>
      <c r="E444" s="117" t="s">
        <v>1022</v>
      </c>
      <c r="F444" s="118" t="s">
        <v>69</v>
      </c>
      <c r="G444" s="117" t="s">
        <v>70</v>
      </c>
      <c r="H444" s="117" t="s">
        <v>397</v>
      </c>
      <c r="I444" s="119" t="n">
        <v>1</v>
      </c>
      <c r="J444" s="119" t="n">
        <v>1</v>
      </c>
      <c r="K444" s="117"/>
      <c r="L444" s="117"/>
    </row>
    <row r="445" customFormat="false" ht="15" hidden="false" customHeight="false" outlineLevel="0" collapsed="false">
      <c r="A445" s="117" t="s">
        <v>1023</v>
      </c>
      <c r="B445" s="117" t="s">
        <v>721</v>
      </c>
      <c r="C445" s="117" t="s">
        <v>1019</v>
      </c>
      <c r="D445" s="117" t="s">
        <v>13</v>
      </c>
      <c r="E445" s="117" t="s">
        <v>1024</v>
      </c>
      <c r="F445" s="118" t="s">
        <v>69</v>
      </c>
      <c r="G445" s="117" t="s">
        <v>70</v>
      </c>
      <c r="H445" s="117" t="s">
        <v>397</v>
      </c>
      <c r="I445" s="119" t="n">
        <v>1</v>
      </c>
      <c r="J445" s="119" t="n">
        <v>0</v>
      </c>
      <c r="K445" s="117"/>
      <c r="L445" s="117"/>
    </row>
    <row r="446" customFormat="false" ht="15" hidden="false" customHeight="false" outlineLevel="0" collapsed="false">
      <c r="A446" s="117" t="s">
        <v>1025</v>
      </c>
      <c r="B446" s="117" t="s">
        <v>721</v>
      </c>
      <c r="C446" s="117" t="s">
        <v>1019</v>
      </c>
      <c r="D446" s="117" t="s">
        <v>13</v>
      </c>
      <c r="E446" s="117" t="s">
        <v>1026</v>
      </c>
      <c r="F446" s="118" t="s">
        <v>69</v>
      </c>
      <c r="G446" s="117" t="s">
        <v>70</v>
      </c>
      <c r="H446" s="117" t="s">
        <v>397</v>
      </c>
      <c r="I446" s="119" t="n">
        <v>1</v>
      </c>
      <c r="J446" s="119" t="n">
        <v>0</v>
      </c>
      <c r="K446" s="117"/>
      <c r="L446" s="117"/>
    </row>
    <row r="447" customFormat="false" ht="15" hidden="false" customHeight="false" outlineLevel="0" collapsed="false">
      <c r="A447" s="117" t="s">
        <v>1027</v>
      </c>
      <c r="B447" s="117" t="s">
        <v>721</v>
      </c>
      <c r="C447" s="117" t="s">
        <v>1019</v>
      </c>
      <c r="D447" s="117" t="s">
        <v>13</v>
      </c>
      <c r="E447" s="117" t="s">
        <v>1028</v>
      </c>
      <c r="F447" s="118" t="s">
        <v>69</v>
      </c>
      <c r="G447" s="117" t="s">
        <v>70</v>
      </c>
      <c r="H447" s="117" t="s">
        <v>397</v>
      </c>
      <c r="I447" s="119" t="n">
        <v>1</v>
      </c>
      <c r="J447" s="119" t="n">
        <v>0</v>
      </c>
      <c r="K447" s="117"/>
      <c r="L447" s="117"/>
    </row>
    <row r="448" customFormat="false" ht="15" hidden="false" customHeight="false" outlineLevel="0" collapsed="false">
      <c r="A448" s="117" t="s">
        <v>1029</v>
      </c>
      <c r="B448" s="117" t="s">
        <v>721</v>
      </c>
      <c r="C448" s="117" t="s">
        <v>1019</v>
      </c>
      <c r="D448" s="117" t="s">
        <v>13</v>
      </c>
      <c r="E448" s="117" t="s">
        <v>1030</v>
      </c>
      <c r="F448" s="118" t="s">
        <v>69</v>
      </c>
      <c r="G448" s="117" t="s">
        <v>70</v>
      </c>
      <c r="H448" s="117" t="s">
        <v>397</v>
      </c>
      <c r="I448" s="119" t="n">
        <v>1</v>
      </c>
      <c r="J448" s="119" t="n">
        <v>0</v>
      </c>
      <c r="K448" s="117"/>
      <c r="L448" s="117"/>
    </row>
    <row r="449" customFormat="false" ht="15" hidden="false" customHeight="false" outlineLevel="0" collapsed="false">
      <c r="A449" s="117" t="s">
        <v>1031</v>
      </c>
      <c r="B449" s="117" t="s">
        <v>721</v>
      </c>
      <c r="C449" s="117" t="s">
        <v>1019</v>
      </c>
      <c r="D449" s="117" t="s">
        <v>13</v>
      </c>
      <c r="E449" s="117" t="s">
        <v>1032</v>
      </c>
      <c r="F449" s="118" t="s">
        <v>69</v>
      </c>
      <c r="G449" s="117" t="s">
        <v>70</v>
      </c>
      <c r="H449" s="117" t="s">
        <v>397</v>
      </c>
      <c r="I449" s="119" t="n">
        <v>1</v>
      </c>
      <c r="J449" s="119" t="n">
        <v>0</v>
      </c>
      <c r="K449" s="117"/>
      <c r="L449" s="117"/>
    </row>
    <row r="450" customFormat="false" ht="15" hidden="false" customHeight="false" outlineLevel="0" collapsed="false">
      <c r="A450" s="117" t="s">
        <v>1033</v>
      </c>
      <c r="B450" s="117" t="s">
        <v>721</v>
      </c>
      <c r="C450" s="117" t="s">
        <v>1019</v>
      </c>
      <c r="D450" s="117" t="s">
        <v>13</v>
      </c>
      <c r="E450" s="117" t="s">
        <v>1034</v>
      </c>
      <c r="F450" s="118" t="s">
        <v>69</v>
      </c>
      <c r="G450" s="117" t="s">
        <v>70</v>
      </c>
      <c r="H450" s="117" t="s">
        <v>397</v>
      </c>
      <c r="I450" s="119" t="n">
        <v>1</v>
      </c>
      <c r="J450" s="119" t="n">
        <v>0</v>
      </c>
      <c r="K450" s="117"/>
      <c r="L450" s="117"/>
    </row>
    <row r="451" customFormat="false" ht="15" hidden="false" customHeight="false" outlineLevel="0" collapsed="false">
      <c r="A451" s="117" t="s">
        <v>1035</v>
      </c>
      <c r="B451" s="117" t="s">
        <v>721</v>
      </c>
      <c r="C451" s="117" t="s">
        <v>1019</v>
      </c>
      <c r="D451" s="117" t="s">
        <v>13</v>
      </c>
      <c r="E451" s="117" t="s">
        <v>1036</v>
      </c>
      <c r="F451" s="118" t="s">
        <v>69</v>
      </c>
      <c r="G451" s="117" t="s">
        <v>70</v>
      </c>
      <c r="H451" s="117" t="s">
        <v>397</v>
      </c>
      <c r="I451" s="119" t="n">
        <v>1</v>
      </c>
      <c r="J451" s="119" t="n">
        <v>0</v>
      </c>
      <c r="K451" s="117"/>
      <c r="L451" s="117"/>
    </row>
    <row r="452" customFormat="false" ht="15" hidden="false" customHeight="false" outlineLevel="0" collapsed="false">
      <c r="A452" s="117" t="s">
        <v>1037</v>
      </c>
      <c r="B452" s="117" t="s">
        <v>721</v>
      </c>
      <c r="C452" s="117" t="s">
        <v>1019</v>
      </c>
      <c r="D452" s="117" t="s">
        <v>13</v>
      </c>
      <c r="E452" s="117" t="s">
        <v>1038</v>
      </c>
      <c r="F452" s="118" t="s">
        <v>69</v>
      </c>
      <c r="G452" s="117" t="s">
        <v>70</v>
      </c>
      <c r="H452" s="117" t="s">
        <v>397</v>
      </c>
      <c r="I452" s="119" t="n">
        <v>1</v>
      </c>
      <c r="J452" s="119" t="n">
        <v>0</v>
      </c>
      <c r="K452" s="117"/>
      <c r="L452" s="117"/>
    </row>
    <row r="453" customFormat="false" ht="15" hidden="false" customHeight="false" outlineLevel="0" collapsed="false">
      <c r="A453" s="117" t="s">
        <v>1039</v>
      </c>
      <c r="B453" s="117" t="s">
        <v>721</v>
      </c>
      <c r="C453" s="117" t="s">
        <v>1019</v>
      </c>
      <c r="D453" s="117" t="s">
        <v>13</v>
      </c>
      <c r="E453" s="117" t="s">
        <v>1040</v>
      </c>
      <c r="F453" s="118" t="s">
        <v>69</v>
      </c>
      <c r="G453" s="117" t="s">
        <v>70</v>
      </c>
      <c r="H453" s="117" t="s">
        <v>397</v>
      </c>
      <c r="I453" s="119" t="n">
        <v>1</v>
      </c>
      <c r="J453" s="119" t="n">
        <v>0</v>
      </c>
      <c r="K453" s="117"/>
      <c r="L453" s="117"/>
    </row>
    <row r="454" customFormat="false" ht="15" hidden="false" customHeight="false" outlineLevel="0" collapsed="false">
      <c r="A454" s="117" t="s">
        <v>1041</v>
      </c>
      <c r="B454" s="117" t="s">
        <v>721</v>
      </c>
      <c r="C454" s="117" t="s">
        <v>1019</v>
      </c>
      <c r="D454" s="117" t="s">
        <v>13</v>
      </c>
      <c r="E454" s="117" t="s">
        <v>1042</v>
      </c>
      <c r="F454" s="118" t="s">
        <v>69</v>
      </c>
      <c r="G454" s="117" t="s">
        <v>70</v>
      </c>
      <c r="H454" s="117" t="s">
        <v>397</v>
      </c>
      <c r="I454" s="119" t="n">
        <v>1</v>
      </c>
      <c r="J454" s="119" t="n">
        <v>0</v>
      </c>
      <c r="K454" s="117"/>
      <c r="L454" s="117"/>
    </row>
    <row r="455" customFormat="false" ht="15" hidden="false" customHeight="false" outlineLevel="0" collapsed="false">
      <c r="A455" s="117" t="s">
        <v>1043</v>
      </c>
      <c r="B455" s="117" t="s">
        <v>721</v>
      </c>
      <c r="C455" s="117" t="s">
        <v>1019</v>
      </c>
      <c r="D455" s="117" t="s">
        <v>13</v>
      </c>
      <c r="E455" s="117" t="s">
        <v>1044</v>
      </c>
      <c r="F455" s="118" t="s">
        <v>69</v>
      </c>
      <c r="G455" s="117" t="s">
        <v>70</v>
      </c>
      <c r="H455" s="117" t="s">
        <v>397</v>
      </c>
      <c r="I455" s="119" t="n">
        <v>1</v>
      </c>
      <c r="J455" s="119" t="n">
        <v>0</v>
      </c>
      <c r="K455" s="117"/>
      <c r="L455" s="117"/>
    </row>
    <row r="456" customFormat="false" ht="15" hidden="false" customHeight="false" outlineLevel="0" collapsed="false">
      <c r="A456" s="117" t="s">
        <v>1045</v>
      </c>
      <c r="B456" s="117" t="s">
        <v>721</v>
      </c>
      <c r="C456" s="117" t="s">
        <v>1019</v>
      </c>
      <c r="D456" s="117" t="s">
        <v>13</v>
      </c>
      <c r="E456" s="117" t="s">
        <v>1046</v>
      </c>
      <c r="F456" s="118" t="s">
        <v>69</v>
      </c>
      <c r="G456" s="117" t="s">
        <v>70</v>
      </c>
      <c r="H456" s="117" t="s">
        <v>397</v>
      </c>
      <c r="I456" s="119" t="n">
        <v>0</v>
      </c>
      <c r="J456" s="119" t="n">
        <v>1</v>
      </c>
      <c r="K456" s="117"/>
      <c r="L456" s="117"/>
    </row>
    <row r="457" customFormat="false" ht="15" hidden="false" customHeight="false" outlineLevel="0" collapsed="false">
      <c r="A457" s="117" t="s">
        <v>1047</v>
      </c>
      <c r="B457" s="117" t="s">
        <v>1048</v>
      </c>
      <c r="C457" s="117" t="s">
        <v>1049</v>
      </c>
      <c r="D457" s="117" t="s">
        <v>45</v>
      </c>
      <c r="E457" s="117" t="s">
        <v>1050</v>
      </c>
      <c r="F457" s="118" t="s">
        <v>71</v>
      </c>
      <c r="G457" s="117" t="s">
        <v>72</v>
      </c>
      <c r="H457" s="117" t="s">
        <v>397</v>
      </c>
      <c r="I457" s="119" t="n">
        <v>1</v>
      </c>
      <c r="J457" s="119" t="n">
        <v>0</v>
      </c>
      <c r="K457" s="117"/>
      <c r="L457" s="117"/>
    </row>
    <row r="458" customFormat="false" ht="15" hidden="false" customHeight="false" outlineLevel="0" collapsed="false">
      <c r="A458" s="117" t="s">
        <v>443</v>
      </c>
      <c r="B458" s="117" t="s">
        <v>1048</v>
      </c>
      <c r="C458" s="117" t="s">
        <v>32</v>
      </c>
      <c r="D458" s="117" t="s">
        <v>32</v>
      </c>
      <c r="E458" s="117" t="s">
        <v>1051</v>
      </c>
      <c r="F458" s="118" t="s">
        <v>71</v>
      </c>
      <c r="G458" s="117" t="s">
        <v>72</v>
      </c>
      <c r="H458" s="117" t="s">
        <v>397</v>
      </c>
      <c r="I458" s="119" t="n">
        <v>0</v>
      </c>
      <c r="J458" s="119" t="n">
        <v>1</v>
      </c>
      <c r="K458" s="117"/>
      <c r="L458" s="117"/>
    </row>
    <row r="459" customFormat="false" ht="15" hidden="false" customHeight="false" outlineLevel="0" collapsed="false">
      <c r="A459" s="117" t="s">
        <v>444</v>
      </c>
      <c r="B459" s="117" t="s">
        <v>1048</v>
      </c>
      <c r="C459" s="117" t="s">
        <v>32</v>
      </c>
      <c r="D459" s="117" t="s">
        <v>32</v>
      </c>
      <c r="E459" s="117" t="s">
        <v>1052</v>
      </c>
      <c r="F459" s="118" t="s">
        <v>71</v>
      </c>
      <c r="G459" s="117" t="s">
        <v>72</v>
      </c>
      <c r="H459" s="117" t="s">
        <v>397</v>
      </c>
      <c r="I459" s="119" t="n">
        <v>1</v>
      </c>
      <c r="J459" s="119" t="n">
        <v>0</v>
      </c>
      <c r="K459" s="117"/>
      <c r="L459" s="117"/>
    </row>
    <row r="460" customFormat="false" ht="15" hidden="false" customHeight="false" outlineLevel="0" collapsed="false">
      <c r="A460" s="117" t="s">
        <v>445</v>
      </c>
      <c r="B460" s="117" t="s">
        <v>1048</v>
      </c>
      <c r="C460" s="117" t="s">
        <v>32</v>
      </c>
      <c r="D460" s="117" t="s">
        <v>32</v>
      </c>
      <c r="E460" s="117" t="s">
        <v>1053</v>
      </c>
      <c r="F460" s="118" t="s">
        <v>71</v>
      </c>
      <c r="G460" s="117" t="s">
        <v>72</v>
      </c>
      <c r="H460" s="117" t="s">
        <v>397</v>
      </c>
      <c r="I460" s="119" t="n">
        <v>1</v>
      </c>
      <c r="J460" s="119" t="n">
        <v>0</v>
      </c>
      <c r="K460" s="117"/>
      <c r="L460" s="117"/>
    </row>
    <row r="461" customFormat="false" ht="15" hidden="false" customHeight="false" outlineLevel="0" collapsed="false">
      <c r="A461" s="117" t="s">
        <v>514</v>
      </c>
      <c r="B461" s="117" t="s">
        <v>1048</v>
      </c>
      <c r="C461" s="117" t="s">
        <v>20</v>
      </c>
      <c r="D461" s="117" t="s">
        <v>20</v>
      </c>
      <c r="E461" s="117" t="s">
        <v>1054</v>
      </c>
      <c r="F461" s="118" t="s">
        <v>71</v>
      </c>
      <c r="G461" s="117" t="s">
        <v>72</v>
      </c>
      <c r="H461" s="117" t="s">
        <v>397</v>
      </c>
      <c r="I461" s="119" t="n">
        <v>1</v>
      </c>
      <c r="J461" s="119" t="n">
        <v>0</v>
      </c>
      <c r="K461" s="117"/>
      <c r="L461" s="117"/>
    </row>
    <row r="462" customFormat="false" ht="15" hidden="false" customHeight="false" outlineLevel="0" collapsed="false">
      <c r="A462" s="117" t="s">
        <v>900</v>
      </c>
      <c r="B462" s="117" t="s">
        <v>1048</v>
      </c>
      <c r="C462" s="117" t="s">
        <v>20</v>
      </c>
      <c r="D462" s="117" t="s">
        <v>20</v>
      </c>
      <c r="E462" s="117" t="s">
        <v>1055</v>
      </c>
      <c r="F462" s="118" t="s">
        <v>81</v>
      </c>
      <c r="G462" s="117" t="s">
        <v>82</v>
      </c>
      <c r="H462" s="117" t="s">
        <v>397</v>
      </c>
      <c r="I462" s="119" t="n">
        <v>1</v>
      </c>
      <c r="J462" s="119" t="n">
        <v>0</v>
      </c>
      <c r="K462" s="117"/>
      <c r="L462" s="117"/>
    </row>
    <row r="463" customFormat="false" ht="15" hidden="false" customHeight="false" outlineLevel="0" collapsed="false">
      <c r="A463" s="117" t="s">
        <v>903</v>
      </c>
      <c r="B463" s="117" t="s">
        <v>1048</v>
      </c>
      <c r="C463" s="117" t="s">
        <v>20</v>
      </c>
      <c r="D463" s="117" t="s">
        <v>20</v>
      </c>
      <c r="E463" s="117" t="s">
        <v>1056</v>
      </c>
      <c r="F463" s="118" t="s">
        <v>109</v>
      </c>
      <c r="G463" s="117" t="s">
        <v>110</v>
      </c>
      <c r="H463" s="117" t="s">
        <v>397</v>
      </c>
      <c r="I463" s="119" t="n">
        <v>1</v>
      </c>
      <c r="J463" s="119" t="n">
        <v>0</v>
      </c>
      <c r="K463" s="117"/>
      <c r="L463" s="117"/>
    </row>
    <row r="464" customFormat="false" ht="15" hidden="false" customHeight="false" outlineLevel="0" collapsed="false">
      <c r="A464" s="117" t="s">
        <v>1057</v>
      </c>
      <c r="B464" s="117" t="s">
        <v>1048</v>
      </c>
      <c r="C464" s="117" t="s">
        <v>20</v>
      </c>
      <c r="D464" s="117" t="s">
        <v>20</v>
      </c>
      <c r="E464" s="117" t="s">
        <v>1058</v>
      </c>
      <c r="F464" s="118" t="s">
        <v>109</v>
      </c>
      <c r="G464" s="117" t="s">
        <v>110</v>
      </c>
      <c r="H464" s="117" t="s">
        <v>397</v>
      </c>
      <c r="I464" s="119" t="n">
        <v>1</v>
      </c>
      <c r="J464" s="119" t="n">
        <v>0</v>
      </c>
      <c r="K464" s="117"/>
      <c r="L464" s="117"/>
    </row>
    <row r="465" customFormat="false" ht="15" hidden="false" customHeight="false" outlineLevel="0" collapsed="false">
      <c r="A465" s="117" t="s">
        <v>1059</v>
      </c>
      <c r="B465" s="117" t="s">
        <v>1048</v>
      </c>
      <c r="C465" s="117" t="s">
        <v>28</v>
      </c>
      <c r="D465" s="117" t="s">
        <v>28</v>
      </c>
      <c r="E465" s="117" t="s">
        <v>1060</v>
      </c>
      <c r="F465" s="118" t="s">
        <v>71</v>
      </c>
      <c r="G465" s="117" t="s">
        <v>72</v>
      </c>
      <c r="H465" s="117" t="s">
        <v>397</v>
      </c>
      <c r="I465" s="119" t="n">
        <v>1</v>
      </c>
      <c r="J465" s="119" t="n">
        <v>0</v>
      </c>
      <c r="K465" s="117"/>
      <c r="L465" s="117"/>
    </row>
    <row r="466" customFormat="false" ht="15" hidden="false" customHeight="false" outlineLevel="0" collapsed="false">
      <c r="A466" s="117" t="s">
        <v>511</v>
      </c>
      <c r="B466" s="117" t="s">
        <v>1048</v>
      </c>
      <c r="C466" s="117" t="s">
        <v>38</v>
      </c>
      <c r="D466" s="117" t="s">
        <v>38</v>
      </c>
      <c r="E466" s="117" t="s">
        <v>1061</v>
      </c>
      <c r="F466" s="118" t="s">
        <v>71</v>
      </c>
      <c r="G466" s="117" t="s">
        <v>72</v>
      </c>
      <c r="H466" s="117" t="s">
        <v>397</v>
      </c>
      <c r="I466" s="119" t="n">
        <v>1</v>
      </c>
      <c r="J466" s="119" t="n">
        <v>0</v>
      </c>
      <c r="K466" s="117"/>
      <c r="L466" s="117"/>
    </row>
    <row r="467" customFormat="false" ht="15" hidden="false" customHeight="false" outlineLevel="0" collapsed="false">
      <c r="A467" s="117" t="s">
        <v>1062</v>
      </c>
      <c r="B467" s="117" t="s">
        <v>1048</v>
      </c>
      <c r="C467" s="117" t="s">
        <v>27</v>
      </c>
      <c r="D467" s="117" t="s">
        <v>27</v>
      </c>
      <c r="E467" s="117" t="s">
        <v>1063</v>
      </c>
      <c r="F467" s="118" t="s">
        <v>69</v>
      </c>
      <c r="G467" s="117" t="s">
        <v>70</v>
      </c>
      <c r="H467" s="117" t="s">
        <v>397</v>
      </c>
      <c r="I467" s="119" t="n">
        <v>1</v>
      </c>
      <c r="J467" s="119" t="n">
        <v>0</v>
      </c>
      <c r="K467" s="117"/>
      <c r="L467" s="117"/>
    </row>
    <row r="468" customFormat="false" ht="15" hidden="false" customHeight="false" outlineLevel="0" collapsed="false">
      <c r="A468" s="117" t="s">
        <v>1064</v>
      </c>
      <c r="B468" s="117" t="s">
        <v>1048</v>
      </c>
      <c r="C468" s="117" t="s">
        <v>34</v>
      </c>
      <c r="D468" s="117" t="s">
        <v>34</v>
      </c>
      <c r="E468" s="117" t="s">
        <v>1065</v>
      </c>
      <c r="F468" s="118" t="s">
        <v>71</v>
      </c>
      <c r="G468" s="117" t="s">
        <v>72</v>
      </c>
      <c r="H468" s="117" t="s">
        <v>397</v>
      </c>
      <c r="I468" s="119" t="n">
        <v>1</v>
      </c>
      <c r="J468" s="119" t="n">
        <v>0</v>
      </c>
      <c r="K468" s="117"/>
      <c r="L468" s="117"/>
    </row>
    <row r="469" customFormat="false" ht="15" hidden="false" customHeight="false" outlineLevel="0" collapsed="false">
      <c r="A469" s="117" t="s">
        <v>539</v>
      </c>
      <c r="B469" s="117" t="s">
        <v>1048</v>
      </c>
      <c r="C469" s="117" t="s">
        <v>18</v>
      </c>
      <c r="D469" s="117" t="s">
        <v>18</v>
      </c>
      <c r="E469" s="117" t="s">
        <v>1066</v>
      </c>
      <c r="F469" s="118" t="s">
        <v>69</v>
      </c>
      <c r="G469" s="117" t="s">
        <v>70</v>
      </c>
      <c r="H469" s="117" t="s">
        <v>397</v>
      </c>
      <c r="I469" s="119" t="n">
        <v>0</v>
      </c>
      <c r="J469" s="119" t="n">
        <v>1</v>
      </c>
      <c r="K469" s="117"/>
      <c r="L469" s="117"/>
    </row>
    <row r="470" customFormat="false" ht="15" hidden="false" customHeight="false" outlineLevel="0" collapsed="false">
      <c r="A470" s="117" t="s">
        <v>541</v>
      </c>
      <c r="B470" s="117" t="s">
        <v>1048</v>
      </c>
      <c r="C470" s="117" t="s">
        <v>18</v>
      </c>
      <c r="D470" s="117" t="s">
        <v>18</v>
      </c>
      <c r="E470" s="117" t="s">
        <v>1067</v>
      </c>
      <c r="F470" s="118" t="s">
        <v>71</v>
      </c>
      <c r="G470" s="117" t="s">
        <v>72</v>
      </c>
      <c r="H470" s="117" t="s">
        <v>397</v>
      </c>
      <c r="I470" s="119" t="n">
        <v>1</v>
      </c>
      <c r="J470" s="119" t="n">
        <v>0</v>
      </c>
      <c r="K470" s="117"/>
      <c r="L470" s="117"/>
    </row>
    <row r="471" customFormat="false" ht="15" hidden="false" customHeight="false" outlineLevel="0" collapsed="false">
      <c r="A471" s="117" t="s">
        <v>642</v>
      </c>
      <c r="B471" s="117" t="s">
        <v>1048</v>
      </c>
      <c r="C471" s="117" t="s">
        <v>23</v>
      </c>
      <c r="D471" s="117" t="s">
        <v>23</v>
      </c>
      <c r="E471" s="117" t="s">
        <v>1068</v>
      </c>
      <c r="F471" s="118" t="s">
        <v>71</v>
      </c>
      <c r="G471" s="117" t="s">
        <v>72</v>
      </c>
      <c r="H471" s="117" t="s">
        <v>397</v>
      </c>
      <c r="I471" s="119" t="n">
        <v>1</v>
      </c>
      <c r="J471" s="119" t="n">
        <v>0</v>
      </c>
      <c r="K471" s="117"/>
      <c r="L471" s="117"/>
    </row>
    <row r="472" customFormat="false" ht="15" hidden="false" customHeight="false" outlineLevel="0" collapsed="false">
      <c r="A472" s="117" t="s">
        <v>1021</v>
      </c>
      <c r="B472" s="117" t="s">
        <v>1048</v>
      </c>
      <c r="C472" s="117" t="s">
        <v>23</v>
      </c>
      <c r="D472" s="117" t="s">
        <v>23</v>
      </c>
      <c r="E472" s="117" t="s">
        <v>1069</v>
      </c>
      <c r="F472" s="118" t="s">
        <v>75</v>
      </c>
      <c r="G472" s="117" t="s">
        <v>76</v>
      </c>
      <c r="H472" s="117" t="s">
        <v>397</v>
      </c>
      <c r="I472" s="119" t="n">
        <v>1</v>
      </c>
      <c r="J472" s="119" t="n">
        <v>0</v>
      </c>
      <c r="K472" s="117"/>
      <c r="L472" s="117"/>
    </row>
    <row r="473" customFormat="false" ht="15" hidden="false" customHeight="false" outlineLevel="0" collapsed="false">
      <c r="A473" s="117" t="s">
        <v>1023</v>
      </c>
      <c r="B473" s="117" t="s">
        <v>1048</v>
      </c>
      <c r="C473" s="117" t="s">
        <v>23</v>
      </c>
      <c r="D473" s="117" t="s">
        <v>23</v>
      </c>
      <c r="E473" s="117" t="s">
        <v>1070</v>
      </c>
      <c r="F473" s="118" t="s">
        <v>75</v>
      </c>
      <c r="G473" s="117" t="s">
        <v>76</v>
      </c>
      <c r="H473" s="117" t="s">
        <v>397</v>
      </c>
      <c r="I473" s="119" t="n">
        <v>1</v>
      </c>
      <c r="J473" s="119" t="n">
        <v>0</v>
      </c>
      <c r="K473" s="117"/>
      <c r="L473" s="117"/>
    </row>
    <row r="474" customFormat="false" ht="15" hidden="false" customHeight="false" outlineLevel="0" collapsed="false">
      <c r="A474" s="117" t="s">
        <v>1025</v>
      </c>
      <c r="B474" s="117" t="s">
        <v>1048</v>
      </c>
      <c r="C474" s="117" t="s">
        <v>23</v>
      </c>
      <c r="D474" s="117" t="s">
        <v>23</v>
      </c>
      <c r="E474" s="117" t="s">
        <v>1071</v>
      </c>
      <c r="F474" s="118" t="s">
        <v>71</v>
      </c>
      <c r="G474" s="117" t="s">
        <v>72</v>
      </c>
      <c r="H474" s="117" t="s">
        <v>397</v>
      </c>
      <c r="I474" s="119" t="n">
        <v>1</v>
      </c>
      <c r="J474" s="119" t="n">
        <v>0</v>
      </c>
      <c r="K474" s="117"/>
      <c r="L474" s="117"/>
    </row>
    <row r="475" customFormat="false" ht="15" hidden="false" customHeight="false" outlineLevel="0" collapsed="false">
      <c r="A475" s="117" t="s">
        <v>1027</v>
      </c>
      <c r="B475" s="117" t="s">
        <v>1048</v>
      </c>
      <c r="C475" s="117" t="s">
        <v>23</v>
      </c>
      <c r="D475" s="117" t="s">
        <v>23</v>
      </c>
      <c r="E475" s="117" t="s">
        <v>1072</v>
      </c>
      <c r="F475" s="118" t="s">
        <v>71</v>
      </c>
      <c r="G475" s="117" t="s">
        <v>72</v>
      </c>
      <c r="H475" s="117" t="s">
        <v>397</v>
      </c>
      <c r="I475" s="119" t="n">
        <v>1</v>
      </c>
      <c r="J475" s="119" t="n">
        <v>0</v>
      </c>
      <c r="K475" s="117"/>
      <c r="L475" s="117"/>
    </row>
    <row r="476" customFormat="false" ht="15" hidden="false" customHeight="false" outlineLevel="0" collapsed="false">
      <c r="A476" s="117" t="s">
        <v>1029</v>
      </c>
      <c r="B476" s="117" t="s">
        <v>1048</v>
      </c>
      <c r="C476" s="117" t="s">
        <v>23</v>
      </c>
      <c r="D476" s="117" t="s">
        <v>23</v>
      </c>
      <c r="E476" s="117" t="s">
        <v>1073</v>
      </c>
      <c r="F476" s="118" t="s">
        <v>71</v>
      </c>
      <c r="G476" s="117" t="s">
        <v>72</v>
      </c>
      <c r="H476" s="117" t="s">
        <v>397</v>
      </c>
      <c r="I476" s="119" t="n">
        <v>1</v>
      </c>
      <c r="J476" s="119" t="n">
        <v>0</v>
      </c>
      <c r="K476" s="117"/>
      <c r="L476" s="117"/>
    </row>
    <row r="477" customFormat="false" ht="15" hidden="false" customHeight="false" outlineLevel="0" collapsed="false">
      <c r="A477" s="117" t="s">
        <v>1031</v>
      </c>
      <c r="B477" s="117" t="s">
        <v>1048</v>
      </c>
      <c r="C477" s="117" t="s">
        <v>23</v>
      </c>
      <c r="D477" s="117" t="s">
        <v>23</v>
      </c>
      <c r="E477" s="117" t="s">
        <v>1074</v>
      </c>
      <c r="F477" s="118" t="s">
        <v>71</v>
      </c>
      <c r="G477" s="117" t="s">
        <v>72</v>
      </c>
      <c r="H477" s="117" t="s">
        <v>397</v>
      </c>
      <c r="I477" s="119" t="n">
        <v>1</v>
      </c>
      <c r="J477" s="119" t="n">
        <v>0</v>
      </c>
      <c r="K477" s="117"/>
      <c r="L477" s="117"/>
    </row>
    <row r="478" customFormat="false" ht="15" hidden="false" customHeight="false" outlineLevel="0" collapsed="false">
      <c r="A478" s="117" t="s">
        <v>1033</v>
      </c>
      <c r="B478" s="117" t="s">
        <v>1048</v>
      </c>
      <c r="C478" s="117" t="s">
        <v>23</v>
      </c>
      <c r="D478" s="117" t="s">
        <v>23</v>
      </c>
      <c r="E478" s="117" t="s">
        <v>1075</v>
      </c>
      <c r="F478" s="118" t="s">
        <v>71</v>
      </c>
      <c r="G478" s="117" t="s">
        <v>72</v>
      </c>
      <c r="H478" s="117" t="s">
        <v>397</v>
      </c>
      <c r="I478" s="119" t="n">
        <v>1</v>
      </c>
      <c r="J478" s="119" t="n">
        <v>0</v>
      </c>
      <c r="K478" s="117"/>
      <c r="L478" s="117"/>
    </row>
    <row r="479" customFormat="false" ht="15" hidden="false" customHeight="false" outlineLevel="0" collapsed="false">
      <c r="A479" s="117" t="s">
        <v>1035</v>
      </c>
      <c r="B479" s="117" t="s">
        <v>1048</v>
      </c>
      <c r="C479" s="117" t="s">
        <v>23</v>
      </c>
      <c r="D479" s="117" t="s">
        <v>23</v>
      </c>
      <c r="E479" s="117" t="s">
        <v>1076</v>
      </c>
      <c r="F479" s="118" t="s">
        <v>71</v>
      </c>
      <c r="G479" s="117" t="s">
        <v>72</v>
      </c>
      <c r="H479" s="117" t="s">
        <v>397</v>
      </c>
      <c r="I479" s="119" t="n">
        <v>1</v>
      </c>
      <c r="J479" s="119" t="n">
        <v>0</v>
      </c>
      <c r="K479" s="117"/>
      <c r="L479" s="117"/>
    </row>
    <row r="480" customFormat="false" ht="15" hidden="false" customHeight="false" outlineLevel="0" collapsed="false">
      <c r="A480" s="117" t="s">
        <v>1037</v>
      </c>
      <c r="B480" s="117" t="s">
        <v>1048</v>
      </c>
      <c r="C480" s="117" t="s">
        <v>23</v>
      </c>
      <c r="D480" s="117" t="s">
        <v>23</v>
      </c>
      <c r="E480" s="117" t="s">
        <v>1077</v>
      </c>
      <c r="F480" s="118" t="s">
        <v>71</v>
      </c>
      <c r="G480" s="117" t="s">
        <v>72</v>
      </c>
      <c r="H480" s="117" t="s">
        <v>397</v>
      </c>
      <c r="I480" s="119" t="n">
        <v>1</v>
      </c>
      <c r="J480" s="119" t="n">
        <v>0</v>
      </c>
      <c r="K480" s="117"/>
      <c r="L480" s="117"/>
    </row>
    <row r="481" customFormat="false" ht="15" hidden="false" customHeight="false" outlineLevel="0" collapsed="false">
      <c r="A481" s="117" t="s">
        <v>1039</v>
      </c>
      <c r="B481" s="117" t="s">
        <v>1048</v>
      </c>
      <c r="C481" s="117" t="s">
        <v>23</v>
      </c>
      <c r="D481" s="117" t="s">
        <v>23</v>
      </c>
      <c r="E481" s="117" t="s">
        <v>1078</v>
      </c>
      <c r="F481" s="118" t="s">
        <v>89</v>
      </c>
      <c r="G481" s="117" t="s">
        <v>90</v>
      </c>
      <c r="H481" s="117" t="s">
        <v>397</v>
      </c>
      <c r="I481" s="119" t="n">
        <v>1</v>
      </c>
      <c r="J481" s="119" t="n">
        <v>1</v>
      </c>
      <c r="K481" s="117"/>
      <c r="L481" s="117"/>
    </row>
    <row r="482" customFormat="false" ht="15" hidden="false" customHeight="false" outlineLevel="0" collapsed="false">
      <c r="A482" s="117" t="s">
        <v>1041</v>
      </c>
      <c r="B482" s="117" t="s">
        <v>1048</v>
      </c>
      <c r="C482" s="117" t="s">
        <v>23</v>
      </c>
      <c r="D482" s="117" t="s">
        <v>23</v>
      </c>
      <c r="E482" s="117" t="s">
        <v>1079</v>
      </c>
      <c r="F482" s="118" t="s">
        <v>69</v>
      </c>
      <c r="G482" s="117" t="s">
        <v>70</v>
      </c>
      <c r="H482" s="117" t="s">
        <v>397</v>
      </c>
      <c r="I482" s="119" t="n">
        <v>0</v>
      </c>
      <c r="J482" s="119" t="n">
        <v>1</v>
      </c>
      <c r="K482" s="117"/>
      <c r="L482" s="117"/>
    </row>
    <row r="483" customFormat="false" ht="15" hidden="false" customHeight="false" outlineLevel="0" collapsed="false">
      <c r="A483" s="117" t="s">
        <v>524</v>
      </c>
      <c r="B483" s="117" t="s">
        <v>1048</v>
      </c>
      <c r="C483" s="117" t="s">
        <v>1080</v>
      </c>
      <c r="D483" s="117" t="s">
        <v>46</v>
      </c>
      <c r="E483" s="117" t="s">
        <v>1081</v>
      </c>
      <c r="F483" s="118" t="s">
        <v>79</v>
      </c>
      <c r="G483" s="117" t="s">
        <v>80</v>
      </c>
      <c r="H483" s="117" t="s">
        <v>397</v>
      </c>
      <c r="I483" s="119" t="n">
        <v>1</v>
      </c>
      <c r="J483" s="119" t="n">
        <v>0</v>
      </c>
      <c r="K483" s="117"/>
      <c r="L483" s="117"/>
    </row>
    <row r="484" customFormat="false" ht="15" hidden="false" customHeight="false" outlineLevel="0" collapsed="false">
      <c r="A484" s="117" t="s">
        <v>1082</v>
      </c>
      <c r="B484" s="117" t="s">
        <v>1048</v>
      </c>
      <c r="C484" s="117" t="s">
        <v>1080</v>
      </c>
      <c r="D484" s="117" t="s">
        <v>46</v>
      </c>
      <c r="E484" s="117" t="s">
        <v>1083</v>
      </c>
      <c r="F484" s="118" t="s">
        <v>79</v>
      </c>
      <c r="G484" s="117" t="s">
        <v>80</v>
      </c>
      <c r="H484" s="117" t="s">
        <v>397</v>
      </c>
      <c r="I484" s="119" t="n">
        <v>1</v>
      </c>
      <c r="J484" s="119" t="n">
        <v>0</v>
      </c>
      <c r="K484" s="117"/>
      <c r="L484" s="117"/>
    </row>
    <row r="485" customFormat="false" ht="15" hidden="false" customHeight="false" outlineLevel="0" collapsed="false">
      <c r="A485" s="117" t="s">
        <v>1084</v>
      </c>
      <c r="B485" s="117" t="s">
        <v>1048</v>
      </c>
      <c r="C485" s="117" t="s">
        <v>1080</v>
      </c>
      <c r="D485" s="117" t="s">
        <v>46</v>
      </c>
      <c r="E485" s="117" t="s">
        <v>1085</v>
      </c>
      <c r="F485" s="118" t="s">
        <v>79</v>
      </c>
      <c r="G485" s="117" t="s">
        <v>80</v>
      </c>
      <c r="H485" s="117" t="s">
        <v>397</v>
      </c>
      <c r="I485" s="119" t="n">
        <v>0</v>
      </c>
      <c r="J485" s="119" t="n">
        <v>1</v>
      </c>
      <c r="K485" s="117"/>
      <c r="L485" s="117"/>
    </row>
    <row r="486" customFormat="false" ht="15" hidden="false" customHeight="false" outlineLevel="0" collapsed="false">
      <c r="A486" s="117" t="s">
        <v>1086</v>
      </c>
      <c r="B486" s="117" t="s">
        <v>1048</v>
      </c>
      <c r="C486" s="117" t="s">
        <v>1080</v>
      </c>
      <c r="D486" s="117" t="s">
        <v>46</v>
      </c>
      <c r="E486" s="117" t="s">
        <v>1087</v>
      </c>
      <c r="F486" s="118" t="s">
        <v>79</v>
      </c>
      <c r="G486" s="117" t="s">
        <v>80</v>
      </c>
      <c r="H486" s="117" t="s">
        <v>397</v>
      </c>
      <c r="I486" s="119" t="n">
        <v>1</v>
      </c>
      <c r="J486" s="119" t="n">
        <v>0</v>
      </c>
      <c r="K486" s="117"/>
      <c r="L486" s="117"/>
    </row>
    <row r="487" customFormat="false" ht="15" hidden="false" customHeight="false" outlineLevel="0" collapsed="false">
      <c r="A487" s="117" t="s">
        <v>1088</v>
      </c>
      <c r="B487" s="117" t="s">
        <v>1048</v>
      </c>
      <c r="C487" s="117" t="s">
        <v>1080</v>
      </c>
      <c r="D487" s="117" t="s">
        <v>46</v>
      </c>
      <c r="E487" s="117" t="s">
        <v>1089</v>
      </c>
      <c r="F487" s="118" t="s">
        <v>79</v>
      </c>
      <c r="G487" s="117" t="s">
        <v>80</v>
      </c>
      <c r="H487" s="117" t="s">
        <v>397</v>
      </c>
      <c r="I487" s="119" t="n">
        <v>0</v>
      </c>
      <c r="J487" s="119" t="n">
        <v>1</v>
      </c>
      <c r="K487" s="117"/>
      <c r="L487" s="117"/>
    </row>
    <row r="488" customFormat="false" ht="15" hidden="false" customHeight="false" outlineLevel="0" collapsed="false">
      <c r="A488" s="117" t="s">
        <v>1090</v>
      </c>
      <c r="B488" s="117" t="s">
        <v>1048</v>
      </c>
      <c r="C488" s="117" t="s">
        <v>1080</v>
      </c>
      <c r="D488" s="117" t="s">
        <v>46</v>
      </c>
      <c r="E488" s="117" t="s">
        <v>1091</v>
      </c>
      <c r="F488" s="118" t="s">
        <v>79</v>
      </c>
      <c r="G488" s="117" t="s">
        <v>80</v>
      </c>
      <c r="H488" s="117" t="s">
        <v>397</v>
      </c>
      <c r="I488" s="119" t="n">
        <v>0</v>
      </c>
      <c r="J488" s="119" t="n">
        <v>1</v>
      </c>
      <c r="K488" s="117"/>
      <c r="L488" s="117"/>
    </row>
    <row r="489" customFormat="false" ht="15" hidden="false" customHeight="false" outlineLevel="0" collapsed="false">
      <c r="A489" s="117" t="s">
        <v>1092</v>
      </c>
      <c r="B489" s="117" t="s">
        <v>1048</v>
      </c>
      <c r="C489" s="117" t="s">
        <v>1080</v>
      </c>
      <c r="D489" s="117" t="s">
        <v>46</v>
      </c>
      <c r="E489" s="117" t="s">
        <v>1093</v>
      </c>
      <c r="F489" s="118" t="s">
        <v>79</v>
      </c>
      <c r="G489" s="117" t="s">
        <v>80</v>
      </c>
      <c r="H489" s="117" t="s">
        <v>397</v>
      </c>
      <c r="I489" s="119" t="n">
        <v>1</v>
      </c>
      <c r="J489" s="119" t="n">
        <v>0</v>
      </c>
      <c r="K489" s="117"/>
      <c r="L489" s="117"/>
    </row>
    <row r="490" customFormat="false" ht="15" hidden="false" customHeight="false" outlineLevel="0" collapsed="false">
      <c r="A490" s="117" t="s">
        <v>485</v>
      </c>
      <c r="B490" s="117" t="s">
        <v>1048</v>
      </c>
      <c r="C490" s="117" t="s">
        <v>25</v>
      </c>
      <c r="D490" s="117" t="s">
        <v>25</v>
      </c>
      <c r="E490" s="117" t="s">
        <v>1094</v>
      </c>
      <c r="F490" s="118" t="s">
        <v>69</v>
      </c>
      <c r="G490" s="117" t="s">
        <v>70</v>
      </c>
      <c r="H490" s="117" t="s">
        <v>397</v>
      </c>
      <c r="I490" s="119" t="n">
        <v>1</v>
      </c>
      <c r="J490" s="119" t="n">
        <v>0</v>
      </c>
      <c r="K490" s="117"/>
      <c r="L490" s="117"/>
    </row>
    <row r="491" customFormat="false" ht="15" hidden="false" customHeight="false" outlineLevel="0" collapsed="false">
      <c r="A491" s="117" t="s">
        <v>1095</v>
      </c>
      <c r="B491" s="117" t="s">
        <v>1048</v>
      </c>
      <c r="C491" s="117" t="s">
        <v>33</v>
      </c>
      <c r="D491" s="117" t="s">
        <v>33</v>
      </c>
      <c r="E491" s="117" t="s">
        <v>1096</v>
      </c>
      <c r="F491" s="118" t="s">
        <v>69</v>
      </c>
      <c r="G491" s="117" t="s">
        <v>70</v>
      </c>
      <c r="H491" s="117" t="s">
        <v>397</v>
      </c>
      <c r="I491" s="119" t="n">
        <v>1</v>
      </c>
      <c r="J491" s="119" t="n">
        <v>0</v>
      </c>
      <c r="K491" s="117"/>
      <c r="L491" s="117"/>
    </row>
    <row r="492" customFormat="false" ht="15" hidden="false" customHeight="false" outlineLevel="0" collapsed="false">
      <c r="A492" s="117" t="s">
        <v>1097</v>
      </c>
      <c r="B492" s="117" t="s">
        <v>1048</v>
      </c>
      <c r="C492" s="117" t="s">
        <v>31</v>
      </c>
      <c r="D492" s="117" t="s">
        <v>31</v>
      </c>
      <c r="E492" s="117" t="s">
        <v>1098</v>
      </c>
      <c r="F492" s="118" t="s">
        <v>69</v>
      </c>
      <c r="G492" s="117" t="s">
        <v>70</v>
      </c>
      <c r="H492" s="117" t="s">
        <v>397</v>
      </c>
      <c r="I492" s="119" t="n">
        <v>1</v>
      </c>
      <c r="J492" s="119" t="n">
        <v>0</v>
      </c>
      <c r="K492" s="117"/>
      <c r="L492" s="117"/>
    </row>
    <row r="493" customFormat="false" ht="15" hidden="false" customHeight="false" outlineLevel="0" collapsed="false">
      <c r="A493" s="117" t="s">
        <v>1099</v>
      </c>
      <c r="B493" s="117" t="s">
        <v>1048</v>
      </c>
      <c r="C493" s="117" t="s">
        <v>1100</v>
      </c>
      <c r="D493" s="117" t="s">
        <v>36</v>
      </c>
      <c r="E493" s="117" t="s">
        <v>1101</v>
      </c>
      <c r="F493" s="118" t="s">
        <v>75</v>
      </c>
      <c r="G493" s="117" t="s">
        <v>76</v>
      </c>
      <c r="H493" s="117" t="s">
        <v>397</v>
      </c>
      <c r="I493" s="119" t="n">
        <v>1</v>
      </c>
      <c r="J493" s="119" t="n">
        <v>0</v>
      </c>
      <c r="K493" s="117"/>
      <c r="L493" s="117"/>
    </row>
    <row r="494" customFormat="false" ht="15" hidden="false" customHeight="false" outlineLevel="0" collapsed="false">
      <c r="A494" s="117" t="s">
        <v>1102</v>
      </c>
      <c r="B494" s="117" t="s">
        <v>1048</v>
      </c>
      <c r="C494" s="117" t="s">
        <v>17</v>
      </c>
      <c r="D494" s="117" t="s">
        <v>17</v>
      </c>
      <c r="E494" s="117" t="s">
        <v>1103</v>
      </c>
      <c r="F494" s="118" t="s">
        <v>83</v>
      </c>
      <c r="G494" s="117" t="s">
        <v>84</v>
      </c>
      <c r="H494" s="117" t="s">
        <v>397</v>
      </c>
      <c r="I494" s="119" t="n">
        <v>1</v>
      </c>
      <c r="J494" s="119" t="n">
        <v>0</v>
      </c>
      <c r="K494" s="117"/>
      <c r="L494" s="117"/>
    </row>
    <row r="495" customFormat="false" ht="15" hidden="false" customHeight="false" outlineLevel="0" collapsed="false">
      <c r="A495" s="117" t="s">
        <v>461</v>
      </c>
      <c r="B495" s="117" t="s">
        <v>1048</v>
      </c>
      <c r="C495" s="117" t="s">
        <v>15</v>
      </c>
      <c r="D495" s="117" t="s">
        <v>15</v>
      </c>
      <c r="E495" s="117" t="s">
        <v>1104</v>
      </c>
      <c r="F495" s="118" t="s">
        <v>71</v>
      </c>
      <c r="G495" s="117" t="s">
        <v>72</v>
      </c>
      <c r="H495" s="117" t="s">
        <v>397</v>
      </c>
      <c r="I495" s="119" t="n">
        <v>1</v>
      </c>
      <c r="J495" s="119" t="n">
        <v>0</v>
      </c>
      <c r="K495" s="117"/>
      <c r="L495" s="117"/>
    </row>
    <row r="496" customFormat="false" ht="15" hidden="false" customHeight="false" outlineLevel="0" collapsed="false">
      <c r="A496" s="117" t="s">
        <v>434</v>
      </c>
      <c r="B496" s="117" t="s">
        <v>1048</v>
      </c>
      <c r="C496" s="117" t="s">
        <v>43</v>
      </c>
      <c r="D496" s="117" t="s">
        <v>43</v>
      </c>
      <c r="E496" s="117" t="s">
        <v>1105</v>
      </c>
      <c r="F496" s="118" t="s">
        <v>71</v>
      </c>
      <c r="G496" s="117" t="s">
        <v>72</v>
      </c>
      <c r="H496" s="117" t="s">
        <v>397</v>
      </c>
      <c r="I496" s="119" t="n">
        <v>0</v>
      </c>
      <c r="J496" s="119" t="n">
        <v>1</v>
      </c>
      <c r="K496" s="117"/>
      <c r="L496" s="117"/>
    </row>
    <row r="497" customFormat="false" ht="15" hidden="false" customHeight="false" outlineLevel="0" collapsed="false">
      <c r="A497" s="117" t="s">
        <v>437</v>
      </c>
      <c r="B497" s="117" t="s">
        <v>1048</v>
      </c>
      <c r="C497" s="117" t="s">
        <v>43</v>
      </c>
      <c r="D497" s="117" t="s">
        <v>43</v>
      </c>
      <c r="E497" s="117" t="s">
        <v>1106</v>
      </c>
      <c r="F497" s="118" t="s">
        <v>71</v>
      </c>
      <c r="G497" s="117" t="s">
        <v>72</v>
      </c>
      <c r="H497" s="117" t="s">
        <v>397</v>
      </c>
      <c r="I497" s="119" t="n">
        <v>1</v>
      </c>
      <c r="J497" s="119" t="n">
        <v>0</v>
      </c>
      <c r="K497" s="117"/>
      <c r="L497" s="117"/>
    </row>
    <row r="498" customFormat="false" ht="15" hidden="false" customHeight="false" outlineLevel="0" collapsed="false">
      <c r="A498" s="117" t="s">
        <v>687</v>
      </c>
      <c r="B498" s="117" t="s">
        <v>1048</v>
      </c>
      <c r="C498" s="117" t="s">
        <v>30</v>
      </c>
      <c r="D498" s="117" t="s">
        <v>30</v>
      </c>
      <c r="E498" s="117" t="s">
        <v>1107</v>
      </c>
      <c r="F498" s="118" t="s">
        <v>71</v>
      </c>
      <c r="G498" s="117" t="s">
        <v>72</v>
      </c>
      <c r="H498" s="117" t="s">
        <v>397</v>
      </c>
      <c r="I498" s="119" t="n">
        <v>1</v>
      </c>
      <c r="J498" s="119" t="n">
        <v>0</v>
      </c>
      <c r="K498" s="117"/>
      <c r="L498" s="117"/>
    </row>
    <row r="499" customFormat="false" ht="15" hidden="false" customHeight="false" outlineLevel="0" collapsed="false">
      <c r="A499" s="117" t="s">
        <v>432</v>
      </c>
      <c r="B499" s="117" t="s">
        <v>1048</v>
      </c>
      <c r="C499" s="117" t="s">
        <v>30</v>
      </c>
      <c r="D499" s="117" t="s">
        <v>30</v>
      </c>
      <c r="E499" s="117" t="s">
        <v>1108</v>
      </c>
      <c r="F499" s="118" t="s">
        <v>71</v>
      </c>
      <c r="G499" s="117" t="s">
        <v>72</v>
      </c>
      <c r="H499" s="117" t="s">
        <v>397</v>
      </c>
      <c r="I499" s="119" t="n">
        <v>1</v>
      </c>
      <c r="J499" s="119" t="n">
        <v>0</v>
      </c>
      <c r="K499" s="117"/>
      <c r="L499" s="117"/>
    </row>
    <row r="500" customFormat="false" ht="15" hidden="false" customHeight="false" outlineLevel="0" collapsed="false">
      <c r="A500" s="117" t="s">
        <v>492</v>
      </c>
      <c r="B500" s="117" t="s">
        <v>1048</v>
      </c>
      <c r="C500" s="117" t="s">
        <v>37</v>
      </c>
      <c r="D500" s="117" t="s">
        <v>37</v>
      </c>
      <c r="E500" s="117" t="s">
        <v>1109</v>
      </c>
      <c r="F500" s="118" t="s">
        <v>71</v>
      </c>
      <c r="G500" s="117" t="s">
        <v>72</v>
      </c>
      <c r="H500" s="117" t="s">
        <v>397</v>
      </c>
      <c r="I500" s="119" t="n">
        <v>1</v>
      </c>
      <c r="J500" s="119" t="n">
        <v>0</v>
      </c>
      <c r="K500" s="117"/>
      <c r="L500" s="117"/>
    </row>
    <row r="501" customFormat="false" ht="15" hidden="false" customHeight="false" outlineLevel="0" collapsed="false">
      <c r="A501" s="117" t="s">
        <v>894</v>
      </c>
      <c r="B501" s="117" t="s">
        <v>1048</v>
      </c>
      <c r="C501" s="117" t="s">
        <v>37</v>
      </c>
      <c r="D501" s="117" t="s">
        <v>37</v>
      </c>
      <c r="E501" s="117" t="s">
        <v>1110</v>
      </c>
      <c r="F501" s="118" t="s">
        <v>71</v>
      </c>
      <c r="G501" s="117" t="s">
        <v>72</v>
      </c>
      <c r="H501" s="117" t="s">
        <v>397</v>
      </c>
      <c r="I501" s="119" t="n">
        <v>1</v>
      </c>
      <c r="J501" s="119" t="n">
        <v>0</v>
      </c>
      <c r="K501" s="117"/>
      <c r="L501" s="117"/>
    </row>
    <row r="502" customFormat="false" ht="15" hidden="false" customHeight="false" outlineLevel="0" collapsed="false">
      <c r="A502" s="117" t="s">
        <v>581</v>
      </c>
      <c r="B502" s="117" t="s">
        <v>1048</v>
      </c>
      <c r="C502" s="117" t="s">
        <v>26</v>
      </c>
      <c r="D502" s="117" t="s">
        <v>26</v>
      </c>
      <c r="E502" s="117" t="s">
        <v>1111</v>
      </c>
      <c r="F502" s="118" t="s">
        <v>69</v>
      </c>
      <c r="G502" s="117" t="s">
        <v>70</v>
      </c>
      <c r="H502" s="117" t="s">
        <v>397</v>
      </c>
      <c r="I502" s="119" t="n">
        <v>1</v>
      </c>
      <c r="J502" s="119" t="n">
        <v>0</v>
      </c>
      <c r="K502" s="117"/>
      <c r="L502" s="117"/>
    </row>
    <row r="503" customFormat="false" ht="15" hidden="false" customHeight="false" outlineLevel="0" collapsed="false">
      <c r="A503" s="117" t="s">
        <v>429</v>
      </c>
      <c r="B503" s="117" t="s">
        <v>1048</v>
      </c>
      <c r="C503" s="117" t="s">
        <v>435</v>
      </c>
      <c r="D503" s="117" t="s">
        <v>8</v>
      </c>
      <c r="E503" s="117" t="s">
        <v>1112</v>
      </c>
      <c r="F503" s="118" t="s">
        <v>71</v>
      </c>
      <c r="G503" s="117" t="s">
        <v>72</v>
      </c>
      <c r="H503" s="117" t="s">
        <v>397</v>
      </c>
      <c r="I503" s="119" t="n">
        <v>1</v>
      </c>
      <c r="J503" s="119" t="n">
        <v>0</v>
      </c>
      <c r="K503" s="117"/>
      <c r="L503" s="117"/>
    </row>
    <row r="504" customFormat="false" ht="15" hidden="false" customHeight="false" outlineLevel="0" collapsed="false">
      <c r="A504" s="117" t="s">
        <v>658</v>
      </c>
      <c r="B504" s="117" t="s">
        <v>1048</v>
      </c>
      <c r="C504" s="117" t="s">
        <v>435</v>
      </c>
      <c r="D504" s="117" t="s">
        <v>8</v>
      </c>
      <c r="E504" s="117" t="s">
        <v>1113</v>
      </c>
      <c r="F504" s="118" t="s">
        <v>71</v>
      </c>
      <c r="G504" s="117" t="s">
        <v>72</v>
      </c>
      <c r="H504" s="117" t="s">
        <v>397</v>
      </c>
      <c r="I504" s="119" t="n">
        <v>1</v>
      </c>
      <c r="J504" s="119" t="n">
        <v>0</v>
      </c>
      <c r="K504" s="117"/>
      <c r="L504" s="117"/>
    </row>
    <row r="505" customFormat="false" ht="15" hidden="false" customHeight="false" outlineLevel="0" collapsed="false">
      <c r="A505" s="117" t="s">
        <v>827</v>
      </c>
      <c r="B505" s="117" t="s">
        <v>1048</v>
      </c>
      <c r="C505" s="117" t="s">
        <v>435</v>
      </c>
      <c r="D505" s="117" t="s">
        <v>8</v>
      </c>
      <c r="E505" s="117" t="s">
        <v>1114</v>
      </c>
      <c r="F505" s="118" t="s">
        <v>71</v>
      </c>
      <c r="G505" s="117" t="s">
        <v>72</v>
      </c>
      <c r="H505" s="117" t="s">
        <v>397</v>
      </c>
      <c r="I505" s="119" t="n">
        <v>1</v>
      </c>
      <c r="J505" s="119" t="n">
        <v>0</v>
      </c>
      <c r="K505" s="117"/>
      <c r="L505" s="117"/>
    </row>
    <row r="506" customFormat="false" ht="15" hidden="false" customHeight="false" outlineLevel="0" collapsed="false">
      <c r="A506" s="117" t="s">
        <v>494</v>
      </c>
      <c r="B506" s="117" t="s">
        <v>1048</v>
      </c>
      <c r="C506" s="117" t="s">
        <v>435</v>
      </c>
      <c r="D506" s="117" t="s">
        <v>8</v>
      </c>
      <c r="E506" s="117" t="s">
        <v>1115</v>
      </c>
      <c r="F506" s="118" t="s">
        <v>71</v>
      </c>
      <c r="G506" s="117" t="s">
        <v>72</v>
      </c>
      <c r="H506" s="117" t="s">
        <v>397</v>
      </c>
      <c r="I506" s="119" t="n">
        <v>1</v>
      </c>
      <c r="J506" s="119" t="n">
        <v>0</v>
      </c>
      <c r="K506" s="117"/>
      <c r="L506" s="117"/>
    </row>
    <row r="507" customFormat="false" ht="15" hidden="false" customHeight="false" outlineLevel="0" collapsed="false">
      <c r="A507" s="117" t="s">
        <v>496</v>
      </c>
      <c r="B507" s="117" t="s">
        <v>1048</v>
      </c>
      <c r="C507" s="117" t="s">
        <v>435</v>
      </c>
      <c r="D507" s="117" t="s">
        <v>8</v>
      </c>
      <c r="E507" s="117" t="s">
        <v>1116</v>
      </c>
      <c r="F507" s="118" t="s">
        <v>71</v>
      </c>
      <c r="G507" s="117" t="s">
        <v>72</v>
      </c>
      <c r="H507" s="117" t="s">
        <v>397</v>
      </c>
      <c r="I507" s="119" t="n">
        <v>1</v>
      </c>
      <c r="J507" s="119" t="n">
        <v>0</v>
      </c>
      <c r="K507" s="117"/>
      <c r="L507" s="117"/>
    </row>
    <row r="508" customFormat="false" ht="15" hidden="false" customHeight="false" outlineLevel="0" collapsed="false">
      <c r="A508" s="117" t="s">
        <v>1117</v>
      </c>
      <c r="B508" s="117" t="s">
        <v>1048</v>
      </c>
      <c r="C508" s="117" t="s">
        <v>435</v>
      </c>
      <c r="D508" s="117" t="s">
        <v>8</v>
      </c>
      <c r="E508" s="117" t="s">
        <v>1118</v>
      </c>
      <c r="F508" s="118" t="s">
        <v>71</v>
      </c>
      <c r="G508" s="117" t="s">
        <v>72</v>
      </c>
      <c r="H508" s="117" t="s">
        <v>397</v>
      </c>
      <c r="I508" s="119" t="n">
        <v>1</v>
      </c>
      <c r="J508" s="119" t="n">
        <v>0</v>
      </c>
      <c r="K508" s="117"/>
      <c r="L508" s="117"/>
    </row>
    <row r="509" customFormat="false" ht="15" hidden="false" customHeight="false" outlineLevel="0" collapsed="false">
      <c r="A509" s="117" t="s">
        <v>525</v>
      </c>
      <c r="B509" s="117" t="s">
        <v>1048</v>
      </c>
      <c r="C509" s="117" t="s">
        <v>435</v>
      </c>
      <c r="D509" s="117" t="s">
        <v>8</v>
      </c>
      <c r="E509" s="117" t="s">
        <v>1119</v>
      </c>
      <c r="F509" s="118" t="s">
        <v>71</v>
      </c>
      <c r="G509" s="117" t="s">
        <v>72</v>
      </c>
      <c r="H509" s="117" t="s">
        <v>397</v>
      </c>
      <c r="I509" s="119" t="n">
        <v>1</v>
      </c>
      <c r="J509" s="119" t="n">
        <v>0</v>
      </c>
      <c r="K509" s="117"/>
      <c r="L509" s="117"/>
    </row>
    <row r="510" customFormat="false" ht="15" hidden="false" customHeight="false" outlineLevel="0" collapsed="false">
      <c r="A510" s="117" t="s">
        <v>426</v>
      </c>
      <c r="B510" s="117" t="s">
        <v>1048</v>
      </c>
      <c r="C510" s="117" t="s">
        <v>435</v>
      </c>
      <c r="D510" s="117" t="s">
        <v>8</v>
      </c>
      <c r="E510" s="117" t="s">
        <v>1120</v>
      </c>
      <c r="F510" s="118" t="s">
        <v>71</v>
      </c>
      <c r="G510" s="117" t="s">
        <v>72</v>
      </c>
      <c r="H510" s="117" t="s">
        <v>397</v>
      </c>
      <c r="I510" s="119" t="n">
        <v>1</v>
      </c>
      <c r="J510" s="119" t="n">
        <v>0</v>
      </c>
      <c r="K510" s="117"/>
      <c r="L510" s="117"/>
    </row>
    <row r="511" customFormat="false" ht="15" hidden="false" customHeight="false" outlineLevel="0" collapsed="false">
      <c r="A511" s="117" t="s">
        <v>680</v>
      </c>
      <c r="B511" s="117" t="s">
        <v>1048</v>
      </c>
      <c r="C511" s="117" t="s">
        <v>435</v>
      </c>
      <c r="D511" s="117" t="s">
        <v>8</v>
      </c>
      <c r="E511" s="117" t="s">
        <v>1121</v>
      </c>
      <c r="F511" s="118" t="s">
        <v>71</v>
      </c>
      <c r="G511" s="117" t="s">
        <v>72</v>
      </c>
      <c r="H511" s="117" t="s">
        <v>397</v>
      </c>
      <c r="I511" s="119" t="n">
        <v>1</v>
      </c>
      <c r="J511" s="119" t="n">
        <v>0</v>
      </c>
      <c r="K511" s="117"/>
      <c r="L511" s="117"/>
    </row>
    <row r="512" customFormat="false" ht="15" hidden="false" customHeight="false" outlineLevel="0" collapsed="false">
      <c r="A512" s="117" t="s">
        <v>685</v>
      </c>
      <c r="B512" s="117" t="s">
        <v>1048</v>
      </c>
      <c r="C512" s="117" t="s">
        <v>435</v>
      </c>
      <c r="D512" s="117" t="s">
        <v>8</v>
      </c>
      <c r="E512" s="117" t="s">
        <v>1122</v>
      </c>
      <c r="F512" s="118" t="s">
        <v>71</v>
      </c>
      <c r="G512" s="117" t="s">
        <v>72</v>
      </c>
      <c r="H512" s="117" t="s">
        <v>397</v>
      </c>
      <c r="I512" s="119" t="n">
        <v>1</v>
      </c>
      <c r="J512" s="119" t="n">
        <v>0</v>
      </c>
      <c r="K512" s="117"/>
      <c r="L512" s="117"/>
    </row>
    <row r="513" customFormat="false" ht="15" hidden="false" customHeight="false" outlineLevel="0" collapsed="false">
      <c r="A513" s="117" t="s">
        <v>689</v>
      </c>
      <c r="B513" s="117" t="s">
        <v>1048</v>
      </c>
      <c r="C513" s="117" t="s">
        <v>435</v>
      </c>
      <c r="D513" s="117" t="s">
        <v>8</v>
      </c>
      <c r="E513" s="117" t="s">
        <v>1123</v>
      </c>
      <c r="F513" s="118" t="s">
        <v>71</v>
      </c>
      <c r="G513" s="117" t="s">
        <v>72</v>
      </c>
      <c r="H513" s="117" t="s">
        <v>397</v>
      </c>
      <c r="I513" s="119" t="n">
        <v>0</v>
      </c>
      <c r="J513" s="119" t="n">
        <v>1</v>
      </c>
      <c r="K513" s="117"/>
      <c r="L513" s="117"/>
    </row>
    <row r="514" customFormat="false" ht="15" hidden="false" customHeight="false" outlineLevel="0" collapsed="false">
      <c r="A514" s="117" t="s">
        <v>692</v>
      </c>
      <c r="B514" s="117" t="s">
        <v>1048</v>
      </c>
      <c r="C514" s="117" t="s">
        <v>435</v>
      </c>
      <c r="D514" s="117" t="s">
        <v>8</v>
      </c>
      <c r="E514" s="117" t="s">
        <v>1124</v>
      </c>
      <c r="F514" s="118" t="s">
        <v>69</v>
      </c>
      <c r="G514" s="117" t="s">
        <v>70</v>
      </c>
      <c r="H514" s="117" t="s">
        <v>397</v>
      </c>
      <c r="I514" s="119" t="n">
        <v>0</v>
      </c>
      <c r="J514" s="119" t="n">
        <v>1</v>
      </c>
      <c r="K514" s="117"/>
      <c r="L514" s="117"/>
    </row>
    <row r="515" customFormat="false" ht="15" hidden="false" customHeight="false" outlineLevel="0" collapsed="false">
      <c r="A515" s="117" t="s">
        <v>735</v>
      </c>
      <c r="B515" s="117" t="s">
        <v>1048</v>
      </c>
      <c r="C515" s="117" t="s">
        <v>435</v>
      </c>
      <c r="D515" s="117" t="s">
        <v>8</v>
      </c>
      <c r="E515" s="117" t="s">
        <v>1125</v>
      </c>
      <c r="F515" s="118" t="s">
        <v>101</v>
      </c>
      <c r="G515" s="117" t="s">
        <v>102</v>
      </c>
      <c r="H515" s="117" t="s">
        <v>397</v>
      </c>
      <c r="I515" s="119" t="n">
        <v>1</v>
      </c>
      <c r="J515" s="119" t="n">
        <v>0</v>
      </c>
      <c r="K515" s="117"/>
      <c r="L515" s="117"/>
    </row>
    <row r="516" customFormat="false" ht="15" hidden="false" customHeight="false" outlineLevel="0" collapsed="false">
      <c r="A516" s="117" t="s">
        <v>1126</v>
      </c>
      <c r="B516" s="117" t="s">
        <v>1048</v>
      </c>
      <c r="C516" s="117" t="s">
        <v>435</v>
      </c>
      <c r="D516" s="117" t="s">
        <v>8</v>
      </c>
      <c r="E516" s="117" t="s">
        <v>165</v>
      </c>
      <c r="F516" s="118" t="s">
        <v>49</v>
      </c>
      <c r="G516" s="117" t="s">
        <v>50</v>
      </c>
      <c r="H516" s="117" t="s">
        <v>397</v>
      </c>
      <c r="I516" s="119" t="n">
        <v>1</v>
      </c>
      <c r="J516" s="119" t="n">
        <v>0</v>
      </c>
      <c r="K516" s="117"/>
      <c r="L516" s="117"/>
    </row>
    <row r="517" customFormat="false" ht="15" hidden="false" customHeight="false" outlineLevel="0" collapsed="false">
      <c r="A517" s="117" t="s">
        <v>1127</v>
      </c>
      <c r="B517" s="117" t="s">
        <v>1048</v>
      </c>
      <c r="C517" s="117" t="s">
        <v>435</v>
      </c>
      <c r="D517" s="117" t="s">
        <v>8</v>
      </c>
      <c r="E517" s="117" t="s">
        <v>167</v>
      </c>
      <c r="F517" s="118" t="s">
        <v>49</v>
      </c>
      <c r="G517" s="117" t="s">
        <v>50</v>
      </c>
      <c r="H517" s="117" t="s">
        <v>397</v>
      </c>
      <c r="I517" s="119" t="n">
        <v>1</v>
      </c>
      <c r="J517" s="119" t="n">
        <v>0</v>
      </c>
      <c r="K517" s="117"/>
      <c r="L517" s="117"/>
    </row>
    <row r="518" customFormat="false" ht="15" hidden="false" customHeight="false" outlineLevel="0" collapsed="false">
      <c r="A518" s="117" t="s">
        <v>750</v>
      </c>
      <c r="B518" s="117" t="s">
        <v>1048</v>
      </c>
      <c r="C518" s="117" t="s">
        <v>435</v>
      </c>
      <c r="D518" s="117" t="s">
        <v>8</v>
      </c>
      <c r="E518" s="117" t="s">
        <v>169</v>
      </c>
      <c r="F518" s="118" t="s">
        <v>49</v>
      </c>
      <c r="G518" s="117" t="s">
        <v>50</v>
      </c>
      <c r="H518" s="117" t="s">
        <v>397</v>
      </c>
      <c r="I518" s="119" t="n">
        <v>0</v>
      </c>
      <c r="J518" s="119" t="n">
        <v>1</v>
      </c>
      <c r="K518" s="117"/>
      <c r="L518" s="117"/>
    </row>
    <row r="519" customFormat="false" ht="15" hidden="false" customHeight="false" outlineLevel="0" collapsed="false">
      <c r="A519" s="117" t="s">
        <v>446</v>
      </c>
      <c r="B519" s="117" t="s">
        <v>1048</v>
      </c>
      <c r="C519" s="117" t="s">
        <v>1128</v>
      </c>
      <c r="D519" s="117" t="s">
        <v>9</v>
      </c>
      <c r="E519" s="117" t="s">
        <v>1129</v>
      </c>
      <c r="F519" s="118" t="s">
        <v>71</v>
      </c>
      <c r="G519" s="117" t="s">
        <v>72</v>
      </c>
      <c r="H519" s="117" t="s">
        <v>397</v>
      </c>
      <c r="I519" s="119" t="n">
        <v>1</v>
      </c>
      <c r="J519" s="119" t="n">
        <v>0</v>
      </c>
      <c r="K519" s="117"/>
      <c r="L519" s="117"/>
    </row>
    <row r="520" customFormat="false" ht="15" hidden="false" customHeight="false" outlineLevel="0" collapsed="false">
      <c r="A520" s="117" t="s">
        <v>448</v>
      </c>
      <c r="B520" s="117" t="s">
        <v>1048</v>
      </c>
      <c r="C520" s="117" t="s">
        <v>1128</v>
      </c>
      <c r="D520" s="117" t="s">
        <v>9</v>
      </c>
      <c r="E520" s="117" t="s">
        <v>1130</v>
      </c>
      <c r="F520" s="118" t="s">
        <v>71</v>
      </c>
      <c r="G520" s="117" t="s">
        <v>72</v>
      </c>
      <c r="H520" s="117" t="s">
        <v>397</v>
      </c>
      <c r="I520" s="119" t="n">
        <v>1</v>
      </c>
      <c r="J520" s="119" t="n">
        <v>0</v>
      </c>
      <c r="K520" s="117"/>
      <c r="L520" s="117"/>
    </row>
    <row r="521" customFormat="false" ht="15" hidden="false" customHeight="false" outlineLevel="0" collapsed="false">
      <c r="A521" s="117" t="s">
        <v>449</v>
      </c>
      <c r="B521" s="117" t="s">
        <v>1048</v>
      </c>
      <c r="C521" s="117" t="s">
        <v>1128</v>
      </c>
      <c r="D521" s="117" t="s">
        <v>9</v>
      </c>
      <c r="E521" s="117" t="s">
        <v>1131</v>
      </c>
      <c r="F521" s="118" t="s">
        <v>71</v>
      </c>
      <c r="G521" s="117" t="s">
        <v>72</v>
      </c>
      <c r="H521" s="117" t="s">
        <v>397</v>
      </c>
      <c r="I521" s="119" t="n">
        <v>1</v>
      </c>
      <c r="J521" s="119" t="n">
        <v>0</v>
      </c>
      <c r="K521" s="117"/>
      <c r="L521" s="117"/>
    </row>
    <row r="522" customFormat="false" ht="15" hidden="false" customHeight="false" outlineLevel="0" collapsed="false">
      <c r="A522" s="117" t="s">
        <v>450</v>
      </c>
      <c r="B522" s="117" t="s">
        <v>1048</v>
      </c>
      <c r="C522" s="117" t="s">
        <v>1128</v>
      </c>
      <c r="D522" s="117" t="s">
        <v>9</v>
      </c>
      <c r="E522" s="117" t="s">
        <v>1132</v>
      </c>
      <c r="F522" s="118" t="s">
        <v>71</v>
      </c>
      <c r="G522" s="117" t="s">
        <v>72</v>
      </c>
      <c r="H522" s="117" t="s">
        <v>397</v>
      </c>
      <c r="I522" s="119" t="n">
        <v>1</v>
      </c>
      <c r="J522" s="119" t="n">
        <v>0</v>
      </c>
      <c r="K522" s="117"/>
      <c r="L522" s="117"/>
    </row>
    <row r="523" customFormat="false" ht="15" hidden="false" customHeight="false" outlineLevel="0" collapsed="false">
      <c r="A523" s="117" t="s">
        <v>451</v>
      </c>
      <c r="B523" s="117" t="s">
        <v>1048</v>
      </c>
      <c r="C523" s="117" t="s">
        <v>1128</v>
      </c>
      <c r="D523" s="117" t="s">
        <v>9</v>
      </c>
      <c r="E523" s="117" t="s">
        <v>1133</v>
      </c>
      <c r="F523" s="118" t="s">
        <v>71</v>
      </c>
      <c r="G523" s="117" t="s">
        <v>72</v>
      </c>
      <c r="H523" s="117" t="s">
        <v>397</v>
      </c>
      <c r="I523" s="119" t="n">
        <v>1</v>
      </c>
      <c r="J523" s="119" t="n">
        <v>0</v>
      </c>
      <c r="K523" s="117"/>
      <c r="L523" s="117"/>
    </row>
    <row r="524" customFormat="false" ht="15" hidden="false" customHeight="false" outlineLevel="0" collapsed="false">
      <c r="A524" s="117" t="s">
        <v>452</v>
      </c>
      <c r="B524" s="117" t="s">
        <v>1048</v>
      </c>
      <c r="C524" s="117" t="s">
        <v>1128</v>
      </c>
      <c r="D524" s="117" t="s">
        <v>9</v>
      </c>
      <c r="E524" s="117" t="s">
        <v>1134</v>
      </c>
      <c r="F524" s="118" t="s">
        <v>71</v>
      </c>
      <c r="G524" s="117" t="s">
        <v>72</v>
      </c>
      <c r="H524" s="117" t="s">
        <v>397</v>
      </c>
      <c r="I524" s="119" t="n">
        <v>1</v>
      </c>
      <c r="J524" s="119" t="n">
        <v>0</v>
      </c>
      <c r="K524" s="117"/>
      <c r="L524" s="117"/>
    </row>
    <row r="525" customFormat="false" ht="15" hidden="false" customHeight="false" outlineLevel="0" collapsed="false">
      <c r="A525" s="117" t="s">
        <v>453</v>
      </c>
      <c r="B525" s="117" t="s">
        <v>1048</v>
      </c>
      <c r="C525" s="117" t="s">
        <v>1128</v>
      </c>
      <c r="D525" s="117" t="s">
        <v>9</v>
      </c>
      <c r="E525" s="117" t="s">
        <v>1135</v>
      </c>
      <c r="F525" s="118" t="s">
        <v>71</v>
      </c>
      <c r="G525" s="117" t="s">
        <v>72</v>
      </c>
      <c r="H525" s="117" t="s">
        <v>397</v>
      </c>
      <c r="I525" s="119" t="n">
        <v>1</v>
      </c>
      <c r="J525" s="119" t="n">
        <v>0</v>
      </c>
      <c r="K525" s="117"/>
      <c r="L525" s="117"/>
    </row>
    <row r="526" customFormat="false" ht="15" hidden="false" customHeight="false" outlineLevel="0" collapsed="false">
      <c r="A526" s="117" t="s">
        <v>454</v>
      </c>
      <c r="B526" s="117" t="s">
        <v>1048</v>
      </c>
      <c r="C526" s="117" t="s">
        <v>1128</v>
      </c>
      <c r="D526" s="117" t="s">
        <v>9</v>
      </c>
      <c r="E526" s="117" t="s">
        <v>1136</v>
      </c>
      <c r="F526" s="118" t="s">
        <v>69</v>
      </c>
      <c r="G526" s="117" t="s">
        <v>70</v>
      </c>
      <c r="H526" s="117" t="s">
        <v>397</v>
      </c>
      <c r="I526" s="119" t="n">
        <v>0</v>
      </c>
      <c r="J526" s="119" t="n">
        <v>1</v>
      </c>
      <c r="K526" s="117"/>
      <c r="L526" s="117"/>
    </row>
    <row r="527" customFormat="false" ht="15" hidden="false" customHeight="false" outlineLevel="0" collapsed="false">
      <c r="A527" s="117" t="s">
        <v>1137</v>
      </c>
      <c r="B527" s="117" t="s">
        <v>1048</v>
      </c>
      <c r="C527" s="117" t="s">
        <v>1128</v>
      </c>
      <c r="D527" s="117" t="s">
        <v>9</v>
      </c>
      <c r="E527" s="117" t="s">
        <v>174</v>
      </c>
      <c r="F527" s="118" t="s">
        <v>49</v>
      </c>
      <c r="G527" s="117" t="s">
        <v>50</v>
      </c>
      <c r="H527" s="117" t="s">
        <v>397</v>
      </c>
      <c r="I527" s="119" t="n">
        <v>1</v>
      </c>
      <c r="J527" s="119" t="n">
        <v>0</v>
      </c>
      <c r="K527" s="117"/>
      <c r="L527" s="117"/>
    </row>
    <row r="528" customFormat="false" ht="15" hidden="false" customHeight="false" outlineLevel="0" collapsed="false">
      <c r="A528" s="117" t="s">
        <v>504</v>
      </c>
      <c r="B528" s="117" t="s">
        <v>1048</v>
      </c>
      <c r="C528" s="117" t="s">
        <v>447</v>
      </c>
      <c r="D528" s="117" t="s">
        <v>10</v>
      </c>
      <c r="E528" s="117" t="s">
        <v>1138</v>
      </c>
      <c r="F528" s="118" t="s">
        <v>71</v>
      </c>
      <c r="G528" s="117" t="s">
        <v>72</v>
      </c>
      <c r="H528" s="117" t="s">
        <v>397</v>
      </c>
      <c r="I528" s="119" t="n">
        <v>1</v>
      </c>
      <c r="J528" s="119" t="n">
        <v>0</v>
      </c>
      <c r="K528" s="117"/>
      <c r="L528" s="117"/>
    </row>
    <row r="529" customFormat="false" ht="15" hidden="false" customHeight="false" outlineLevel="0" collapsed="false">
      <c r="A529" s="117" t="s">
        <v>507</v>
      </c>
      <c r="B529" s="117" t="s">
        <v>1048</v>
      </c>
      <c r="C529" s="117" t="s">
        <v>447</v>
      </c>
      <c r="D529" s="117" t="s">
        <v>10</v>
      </c>
      <c r="E529" s="117" t="s">
        <v>1139</v>
      </c>
      <c r="F529" s="118" t="s">
        <v>71</v>
      </c>
      <c r="G529" s="117" t="s">
        <v>72</v>
      </c>
      <c r="H529" s="117" t="s">
        <v>397</v>
      </c>
      <c r="I529" s="119" t="n">
        <v>1</v>
      </c>
      <c r="J529" s="119" t="n">
        <v>0</v>
      </c>
      <c r="K529" s="117"/>
      <c r="L529" s="117"/>
    </row>
    <row r="530" customFormat="false" ht="15" hidden="false" customHeight="false" outlineLevel="0" collapsed="false">
      <c r="A530" s="117" t="s">
        <v>509</v>
      </c>
      <c r="B530" s="117" t="s">
        <v>1048</v>
      </c>
      <c r="C530" s="117" t="s">
        <v>447</v>
      </c>
      <c r="D530" s="117" t="s">
        <v>10</v>
      </c>
      <c r="E530" s="117" t="s">
        <v>1140</v>
      </c>
      <c r="F530" s="118" t="s">
        <v>71</v>
      </c>
      <c r="G530" s="117" t="s">
        <v>72</v>
      </c>
      <c r="H530" s="117" t="s">
        <v>397</v>
      </c>
      <c r="I530" s="119" t="n">
        <v>1</v>
      </c>
      <c r="J530" s="119" t="n">
        <v>0</v>
      </c>
      <c r="K530" s="117"/>
      <c r="L530" s="117"/>
    </row>
    <row r="531" customFormat="false" ht="15" hidden="false" customHeight="false" outlineLevel="0" collapsed="false">
      <c r="A531" s="117" t="s">
        <v>700</v>
      </c>
      <c r="B531" s="117" t="s">
        <v>1048</v>
      </c>
      <c r="C531" s="117" t="s">
        <v>447</v>
      </c>
      <c r="D531" s="117" t="s">
        <v>10</v>
      </c>
      <c r="E531" s="117" t="s">
        <v>1141</v>
      </c>
      <c r="F531" s="118" t="s">
        <v>71</v>
      </c>
      <c r="G531" s="117" t="s">
        <v>72</v>
      </c>
      <c r="H531" s="117" t="s">
        <v>397</v>
      </c>
      <c r="I531" s="119" t="n">
        <v>1</v>
      </c>
      <c r="J531" s="119" t="n">
        <v>0</v>
      </c>
      <c r="K531" s="117"/>
      <c r="L531" s="117"/>
    </row>
    <row r="532" customFormat="false" ht="15" hidden="false" customHeight="false" outlineLevel="0" collapsed="false">
      <c r="A532" s="117" t="s">
        <v>564</v>
      </c>
      <c r="B532" s="117" t="s">
        <v>1048</v>
      </c>
      <c r="C532" s="117" t="s">
        <v>447</v>
      </c>
      <c r="D532" s="117" t="s">
        <v>10</v>
      </c>
      <c r="E532" s="117" t="s">
        <v>1142</v>
      </c>
      <c r="F532" s="118" t="s">
        <v>71</v>
      </c>
      <c r="G532" s="117" t="s">
        <v>72</v>
      </c>
      <c r="H532" s="117" t="s">
        <v>397</v>
      </c>
      <c r="I532" s="119" t="n">
        <v>1</v>
      </c>
      <c r="J532" s="119" t="n">
        <v>0</v>
      </c>
      <c r="K532" s="117"/>
      <c r="L532" s="117"/>
    </row>
    <row r="533" customFormat="false" ht="15" hidden="false" customHeight="false" outlineLevel="0" collapsed="false">
      <c r="A533" s="117" t="s">
        <v>868</v>
      </c>
      <c r="B533" s="117" t="s">
        <v>1048</v>
      </c>
      <c r="C533" s="117" t="s">
        <v>447</v>
      </c>
      <c r="D533" s="117" t="s">
        <v>10</v>
      </c>
      <c r="E533" s="117" t="s">
        <v>1143</v>
      </c>
      <c r="F533" s="118" t="s">
        <v>71</v>
      </c>
      <c r="G533" s="117" t="s">
        <v>72</v>
      </c>
      <c r="H533" s="117" t="s">
        <v>397</v>
      </c>
      <c r="I533" s="119" t="n">
        <v>1</v>
      </c>
      <c r="J533" s="119" t="n">
        <v>0</v>
      </c>
      <c r="K533" s="117"/>
      <c r="L533" s="117"/>
    </row>
    <row r="534" customFormat="false" ht="15" hidden="false" customHeight="false" outlineLevel="0" collapsed="false">
      <c r="A534" s="117" t="s">
        <v>620</v>
      </c>
      <c r="B534" s="117" t="s">
        <v>1048</v>
      </c>
      <c r="C534" s="117" t="s">
        <v>447</v>
      </c>
      <c r="D534" s="117" t="s">
        <v>10</v>
      </c>
      <c r="E534" s="117" t="s">
        <v>1144</v>
      </c>
      <c r="F534" s="118" t="s">
        <v>71</v>
      </c>
      <c r="G534" s="117" t="s">
        <v>72</v>
      </c>
      <c r="H534" s="117" t="s">
        <v>397</v>
      </c>
      <c r="I534" s="119" t="n">
        <v>1</v>
      </c>
      <c r="J534" s="119" t="n">
        <v>0</v>
      </c>
      <c r="K534" s="117"/>
      <c r="L534" s="117"/>
    </row>
    <row r="535" customFormat="false" ht="15" hidden="false" customHeight="false" outlineLevel="0" collapsed="false">
      <c r="A535" s="117" t="s">
        <v>871</v>
      </c>
      <c r="B535" s="117" t="s">
        <v>1048</v>
      </c>
      <c r="C535" s="117" t="s">
        <v>447</v>
      </c>
      <c r="D535" s="117" t="s">
        <v>10</v>
      </c>
      <c r="E535" s="117" t="s">
        <v>1145</v>
      </c>
      <c r="F535" s="118" t="s">
        <v>71</v>
      </c>
      <c r="G535" s="117" t="s">
        <v>72</v>
      </c>
      <c r="H535" s="117" t="s">
        <v>397</v>
      </c>
      <c r="I535" s="119" t="n">
        <v>1</v>
      </c>
      <c r="J535" s="119" t="n">
        <v>0</v>
      </c>
      <c r="K535" s="117"/>
      <c r="L535" s="117"/>
    </row>
    <row r="536" customFormat="false" ht="15" hidden="false" customHeight="false" outlineLevel="0" collapsed="false">
      <c r="A536" s="117" t="s">
        <v>873</v>
      </c>
      <c r="B536" s="117" t="s">
        <v>1048</v>
      </c>
      <c r="C536" s="117" t="s">
        <v>447</v>
      </c>
      <c r="D536" s="117" t="s">
        <v>10</v>
      </c>
      <c r="E536" s="117" t="s">
        <v>1146</v>
      </c>
      <c r="F536" s="118" t="s">
        <v>71</v>
      </c>
      <c r="G536" s="117" t="s">
        <v>72</v>
      </c>
      <c r="H536" s="117" t="s">
        <v>397</v>
      </c>
      <c r="I536" s="119" t="n">
        <v>1</v>
      </c>
      <c r="J536" s="119" t="n">
        <v>0</v>
      </c>
      <c r="K536" s="117"/>
      <c r="L536" s="117"/>
    </row>
    <row r="537" customFormat="false" ht="15" hidden="false" customHeight="false" outlineLevel="0" collapsed="false">
      <c r="A537" s="117" t="s">
        <v>419</v>
      </c>
      <c r="B537" s="117" t="s">
        <v>1048</v>
      </c>
      <c r="C537" s="117" t="s">
        <v>447</v>
      </c>
      <c r="D537" s="117" t="s">
        <v>10</v>
      </c>
      <c r="E537" s="117" t="s">
        <v>1147</v>
      </c>
      <c r="F537" s="118" t="s">
        <v>69</v>
      </c>
      <c r="G537" s="117" t="s">
        <v>70</v>
      </c>
      <c r="H537" s="117" t="s">
        <v>397</v>
      </c>
      <c r="I537" s="119" t="n">
        <v>0</v>
      </c>
      <c r="J537" s="119" t="n">
        <v>1</v>
      </c>
      <c r="K537" s="117"/>
      <c r="L537" s="117"/>
    </row>
    <row r="538" customFormat="false" ht="15" hidden="false" customHeight="false" outlineLevel="0" collapsed="false">
      <c r="A538" s="117" t="s">
        <v>1148</v>
      </c>
      <c r="B538" s="117" t="s">
        <v>1048</v>
      </c>
      <c r="C538" s="117" t="s">
        <v>447</v>
      </c>
      <c r="D538" s="117" t="s">
        <v>10</v>
      </c>
      <c r="E538" s="117" t="s">
        <v>179</v>
      </c>
      <c r="F538" s="118" t="s">
        <v>49</v>
      </c>
      <c r="G538" s="117" t="s">
        <v>50</v>
      </c>
      <c r="H538" s="117" t="s">
        <v>397</v>
      </c>
      <c r="I538" s="119" t="n">
        <v>1</v>
      </c>
      <c r="J538" s="119" t="n">
        <v>0</v>
      </c>
      <c r="K538" s="117"/>
      <c r="L538" s="117"/>
    </row>
    <row r="539" customFormat="false" ht="15" hidden="false" customHeight="false" outlineLevel="0" collapsed="false">
      <c r="A539" s="117" t="s">
        <v>1149</v>
      </c>
      <c r="B539" s="117" t="s">
        <v>1048</v>
      </c>
      <c r="C539" s="117" t="s">
        <v>447</v>
      </c>
      <c r="D539" s="117" t="s">
        <v>10</v>
      </c>
      <c r="E539" s="117" t="s">
        <v>181</v>
      </c>
      <c r="F539" s="118" t="s">
        <v>49</v>
      </c>
      <c r="G539" s="117" t="s">
        <v>50</v>
      </c>
      <c r="H539" s="117" t="s">
        <v>397</v>
      </c>
      <c r="I539" s="119" t="n">
        <v>1</v>
      </c>
      <c r="J539" s="119" t="n">
        <v>0</v>
      </c>
      <c r="K539" s="117"/>
      <c r="L539" s="117"/>
    </row>
    <row r="540" customFormat="false" ht="15" hidden="false" customHeight="false" outlineLevel="0" collapsed="false">
      <c r="A540" s="117" t="s">
        <v>1150</v>
      </c>
      <c r="B540" s="117" t="s">
        <v>1048</v>
      </c>
      <c r="C540" s="117" t="s">
        <v>447</v>
      </c>
      <c r="D540" s="117" t="s">
        <v>10</v>
      </c>
      <c r="E540" s="117" t="s">
        <v>184</v>
      </c>
      <c r="F540" s="118" t="s">
        <v>49</v>
      </c>
      <c r="G540" s="117" t="s">
        <v>50</v>
      </c>
      <c r="H540" s="117" t="s">
        <v>397</v>
      </c>
      <c r="I540" s="119" t="n">
        <v>1</v>
      </c>
      <c r="J540" s="119" t="n">
        <v>0</v>
      </c>
      <c r="K540" s="117"/>
      <c r="L540" s="117"/>
    </row>
    <row r="541" customFormat="false" ht="15" hidden="false" customHeight="false" outlineLevel="0" collapsed="false">
      <c r="A541" s="117" t="s">
        <v>1151</v>
      </c>
      <c r="B541" s="117" t="s">
        <v>1048</v>
      </c>
      <c r="C541" s="117" t="s">
        <v>447</v>
      </c>
      <c r="D541" s="117" t="s">
        <v>10</v>
      </c>
      <c r="E541" s="117" t="s">
        <v>186</v>
      </c>
      <c r="F541" s="118" t="s">
        <v>49</v>
      </c>
      <c r="G541" s="117" t="s">
        <v>50</v>
      </c>
      <c r="H541" s="117" t="s">
        <v>397</v>
      </c>
      <c r="I541" s="119" t="n">
        <v>0</v>
      </c>
      <c r="J541" s="119" t="n">
        <v>1</v>
      </c>
      <c r="K541" s="117"/>
      <c r="L541" s="117"/>
    </row>
    <row r="542" customFormat="false" ht="15" hidden="false" customHeight="false" outlineLevel="0" collapsed="false">
      <c r="A542" s="117" t="s">
        <v>401</v>
      </c>
      <c r="B542" s="117" t="s">
        <v>1048</v>
      </c>
      <c r="C542" s="117" t="s">
        <v>16</v>
      </c>
      <c r="D542" s="117" t="s">
        <v>16</v>
      </c>
      <c r="E542" s="117" t="s">
        <v>1152</v>
      </c>
      <c r="F542" s="118" t="s">
        <v>73</v>
      </c>
      <c r="G542" s="117" t="s">
        <v>74</v>
      </c>
      <c r="H542" s="117" t="s">
        <v>397</v>
      </c>
      <c r="I542" s="119" t="n">
        <v>1</v>
      </c>
      <c r="J542" s="119" t="n">
        <v>0</v>
      </c>
      <c r="K542" s="117"/>
      <c r="L542" s="117"/>
    </row>
    <row r="543" customFormat="false" ht="15" hidden="false" customHeight="false" outlineLevel="0" collapsed="false">
      <c r="A543" s="117" t="s">
        <v>404</v>
      </c>
      <c r="B543" s="117" t="s">
        <v>1048</v>
      </c>
      <c r="C543" s="117" t="s">
        <v>16</v>
      </c>
      <c r="D543" s="117" t="s">
        <v>16</v>
      </c>
      <c r="E543" s="117" t="s">
        <v>1153</v>
      </c>
      <c r="F543" s="118" t="s">
        <v>73</v>
      </c>
      <c r="G543" s="117" t="s">
        <v>74</v>
      </c>
      <c r="H543" s="117" t="s">
        <v>397</v>
      </c>
      <c r="I543" s="119" t="n">
        <v>1</v>
      </c>
      <c r="J543" s="119" t="n">
        <v>0</v>
      </c>
      <c r="K543" s="117"/>
      <c r="L543" s="117"/>
    </row>
    <row r="544" customFormat="false" ht="15" hidden="false" customHeight="false" outlineLevel="0" collapsed="false">
      <c r="A544" s="117" t="s">
        <v>406</v>
      </c>
      <c r="B544" s="117" t="s">
        <v>1048</v>
      </c>
      <c r="C544" s="117" t="s">
        <v>16</v>
      </c>
      <c r="D544" s="117" t="s">
        <v>16</v>
      </c>
      <c r="E544" s="117" t="s">
        <v>1154</v>
      </c>
      <c r="F544" s="118" t="s">
        <v>73</v>
      </c>
      <c r="G544" s="117" t="s">
        <v>74</v>
      </c>
      <c r="H544" s="117" t="s">
        <v>397</v>
      </c>
      <c r="I544" s="119" t="n">
        <v>1</v>
      </c>
      <c r="J544" s="119" t="n">
        <v>0</v>
      </c>
      <c r="K544" s="117"/>
      <c r="L544" s="117"/>
    </row>
    <row r="545" customFormat="false" ht="15" hidden="false" customHeight="false" outlineLevel="0" collapsed="false">
      <c r="A545" s="117" t="s">
        <v>408</v>
      </c>
      <c r="B545" s="117" t="s">
        <v>1048</v>
      </c>
      <c r="C545" s="117" t="s">
        <v>16</v>
      </c>
      <c r="D545" s="117" t="s">
        <v>16</v>
      </c>
      <c r="E545" s="117" t="s">
        <v>1155</v>
      </c>
      <c r="F545" s="118" t="s">
        <v>73</v>
      </c>
      <c r="G545" s="117" t="s">
        <v>74</v>
      </c>
      <c r="H545" s="117" t="s">
        <v>397</v>
      </c>
      <c r="I545" s="119" t="n">
        <v>1</v>
      </c>
      <c r="J545" s="119" t="n">
        <v>0</v>
      </c>
      <c r="K545" s="117"/>
      <c r="L545" s="117"/>
    </row>
    <row r="546" customFormat="false" ht="15" hidden="false" customHeight="false" outlineLevel="0" collapsed="false">
      <c r="A546" s="117" t="s">
        <v>410</v>
      </c>
      <c r="B546" s="117" t="s">
        <v>1048</v>
      </c>
      <c r="C546" s="117" t="s">
        <v>16</v>
      </c>
      <c r="D546" s="117" t="s">
        <v>16</v>
      </c>
      <c r="E546" s="117" t="s">
        <v>1156</v>
      </c>
      <c r="F546" s="118" t="s">
        <v>69</v>
      </c>
      <c r="G546" s="117" t="s">
        <v>70</v>
      </c>
      <c r="H546" s="117" t="s">
        <v>397</v>
      </c>
      <c r="I546" s="119" t="n">
        <v>1</v>
      </c>
      <c r="J546" s="119" t="n">
        <v>0</v>
      </c>
      <c r="K546" s="117"/>
      <c r="L546" s="117"/>
    </row>
    <row r="547" customFormat="false" ht="15" hidden="false" customHeight="false" outlineLevel="0" collapsed="false">
      <c r="A547" s="117" t="s">
        <v>412</v>
      </c>
      <c r="B547" s="117" t="s">
        <v>1048</v>
      </c>
      <c r="C547" s="117" t="s">
        <v>16</v>
      </c>
      <c r="D547" s="117" t="s">
        <v>16</v>
      </c>
      <c r="E547" s="117" t="s">
        <v>1157</v>
      </c>
      <c r="F547" s="118" t="s">
        <v>107</v>
      </c>
      <c r="G547" s="117" t="s">
        <v>108</v>
      </c>
      <c r="H547" s="117" t="s">
        <v>397</v>
      </c>
      <c r="I547" s="119" t="n">
        <v>1</v>
      </c>
      <c r="J547" s="119" t="n">
        <v>0</v>
      </c>
      <c r="K547" s="117"/>
      <c r="L547" s="117"/>
    </row>
    <row r="548" customFormat="false" ht="15" hidden="false" customHeight="false" outlineLevel="0" collapsed="false">
      <c r="A548" s="117" t="s">
        <v>414</v>
      </c>
      <c r="B548" s="117" t="s">
        <v>1048</v>
      </c>
      <c r="C548" s="117" t="s">
        <v>16</v>
      </c>
      <c r="D548" s="117" t="s">
        <v>16</v>
      </c>
      <c r="E548" s="117" t="s">
        <v>1158</v>
      </c>
      <c r="F548" s="118" t="s">
        <v>107</v>
      </c>
      <c r="G548" s="117" t="s">
        <v>108</v>
      </c>
      <c r="H548" s="117" t="s">
        <v>397</v>
      </c>
      <c r="I548" s="119" t="n">
        <v>1</v>
      </c>
      <c r="J548" s="119" t="n">
        <v>0</v>
      </c>
      <c r="K548" s="117"/>
      <c r="L548" s="117"/>
    </row>
    <row r="549" customFormat="false" ht="15" hidden="false" customHeight="false" outlineLevel="0" collapsed="false">
      <c r="A549" s="117" t="s">
        <v>572</v>
      </c>
      <c r="B549" s="117" t="s">
        <v>1048</v>
      </c>
      <c r="C549" s="117" t="s">
        <v>16</v>
      </c>
      <c r="D549" s="117" t="s">
        <v>16</v>
      </c>
      <c r="E549" s="117" t="s">
        <v>1159</v>
      </c>
      <c r="F549" s="118" t="s">
        <v>107</v>
      </c>
      <c r="G549" s="117" t="s">
        <v>108</v>
      </c>
      <c r="H549" s="117" t="s">
        <v>397</v>
      </c>
      <c r="I549" s="119" t="n">
        <v>0</v>
      </c>
      <c r="J549" s="119" t="n">
        <v>1</v>
      </c>
      <c r="K549" s="117"/>
      <c r="L549" s="117"/>
    </row>
    <row r="550" customFormat="false" ht="15" hidden="false" customHeight="false" outlineLevel="0" collapsed="false">
      <c r="A550" s="117" t="s">
        <v>703</v>
      </c>
      <c r="B550" s="117" t="s">
        <v>1048</v>
      </c>
      <c r="C550" s="117" t="s">
        <v>21</v>
      </c>
      <c r="D550" s="117" t="s">
        <v>21</v>
      </c>
      <c r="E550" s="117" t="s">
        <v>1160</v>
      </c>
      <c r="F550" s="118" t="s">
        <v>69</v>
      </c>
      <c r="G550" s="117" t="s">
        <v>70</v>
      </c>
      <c r="H550" s="117" t="s">
        <v>397</v>
      </c>
      <c r="I550" s="119" t="n">
        <v>0</v>
      </c>
      <c r="J550" s="119" t="n">
        <v>1</v>
      </c>
      <c r="K550" s="117"/>
      <c r="L550" s="117"/>
    </row>
    <row r="551" customFormat="false" ht="15" hidden="false" customHeight="false" outlineLevel="0" collapsed="false">
      <c r="A551" s="117" t="s">
        <v>556</v>
      </c>
      <c r="B551" s="117" t="s">
        <v>1048</v>
      </c>
      <c r="C551" s="117" t="s">
        <v>21</v>
      </c>
      <c r="D551" s="117" t="s">
        <v>21</v>
      </c>
      <c r="E551" s="117" t="s">
        <v>1161</v>
      </c>
      <c r="F551" s="118" t="s">
        <v>73</v>
      </c>
      <c r="G551" s="117" t="s">
        <v>74</v>
      </c>
      <c r="H551" s="117" t="s">
        <v>397</v>
      </c>
      <c r="I551" s="119" t="n">
        <v>1</v>
      </c>
      <c r="J551" s="119" t="n">
        <v>0</v>
      </c>
      <c r="K551" s="117"/>
      <c r="L551" s="117"/>
    </row>
    <row r="552" customFormat="false" ht="15" hidden="false" customHeight="false" outlineLevel="0" collapsed="false">
      <c r="A552" s="117" t="s">
        <v>1162</v>
      </c>
      <c r="B552" s="117" t="s">
        <v>1048</v>
      </c>
      <c r="C552" s="117" t="s">
        <v>21</v>
      </c>
      <c r="D552" s="117" t="s">
        <v>21</v>
      </c>
      <c r="E552" s="117" t="s">
        <v>1163</v>
      </c>
      <c r="F552" s="118" t="s">
        <v>69</v>
      </c>
      <c r="G552" s="117" t="s">
        <v>70</v>
      </c>
      <c r="H552" s="117" t="s">
        <v>397</v>
      </c>
      <c r="I552" s="119" t="n">
        <v>1</v>
      </c>
      <c r="J552" s="119" t="n">
        <v>0</v>
      </c>
      <c r="K552" s="117"/>
      <c r="L552" s="117"/>
    </row>
    <row r="553" customFormat="false" ht="15" hidden="false" customHeight="false" outlineLevel="0" collapsed="false">
      <c r="A553" s="117" t="s">
        <v>1164</v>
      </c>
      <c r="B553" s="117" t="s">
        <v>1048</v>
      </c>
      <c r="C553" s="117" t="s">
        <v>21</v>
      </c>
      <c r="D553" s="117" t="s">
        <v>21</v>
      </c>
      <c r="E553" s="117" t="s">
        <v>1165</v>
      </c>
      <c r="F553" s="118" t="s">
        <v>69</v>
      </c>
      <c r="G553" s="117" t="s">
        <v>70</v>
      </c>
      <c r="H553" s="117" t="s">
        <v>397</v>
      </c>
      <c r="I553" s="119" t="n">
        <v>1</v>
      </c>
      <c r="J553" s="119" t="n">
        <v>0</v>
      </c>
      <c r="K553" s="117"/>
      <c r="L553" s="117"/>
    </row>
    <row r="554" customFormat="false" ht="15" hidden="false" customHeight="false" outlineLevel="0" collapsed="false">
      <c r="A554" s="117" t="s">
        <v>1166</v>
      </c>
      <c r="B554" s="117" t="s">
        <v>1048</v>
      </c>
      <c r="C554" s="117" t="s">
        <v>21</v>
      </c>
      <c r="D554" s="117" t="s">
        <v>21</v>
      </c>
      <c r="E554" s="117" t="s">
        <v>1167</v>
      </c>
      <c r="F554" s="118" t="s">
        <v>69</v>
      </c>
      <c r="G554" s="117" t="s">
        <v>70</v>
      </c>
      <c r="H554" s="117" t="s">
        <v>397</v>
      </c>
      <c r="I554" s="119" t="n">
        <v>1</v>
      </c>
      <c r="J554" s="119" t="n">
        <v>0</v>
      </c>
      <c r="K554" s="117"/>
      <c r="L554" s="117"/>
    </row>
    <row r="555" customFormat="false" ht="15" hidden="false" customHeight="false" outlineLevel="0" collapsed="false">
      <c r="A555" s="117" t="s">
        <v>779</v>
      </c>
      <c r="B555" s="117" t="s">
        <v>1048</v>
      </c>
      <c r="C555" s="117" t="s">
        <v>21</v>
      </c>
      <c r="D555" s="117" t="s">
        <v>21</v>
      </c>
      <c r="E555" s="117" t="s">
        <v>194</v>
      </c>
      <c r="F555" s="118" t="s">
        <v>49</v>
      </c>
      <c r="G555" s="117" t="s">
        <v>50</v>
      </c>
      <c r="H555" s="117" t="s">
        <v>397</v>
      </c>
      <c r="I555" s="119" t="n">
        <v>1</v>
      </c>
      <c r="J555" s="119" t="n">
        <v>0</v>
      </c>
      <c r="K555" s="117"/>
      <c r="L555" s="117"/>
    </row>
    <row r="556" customFormat="false" ht="15" hidden="false" customHeight="false" outlineLevel="0" collapsed="false">
      <c r="A556" s="117" t="s">
        <v>781</v>
      </c>
      <c r="B556" s="117" t="s">
        <v>1048</v>
      </c>
      <c r="C556" s="117" t="s">
        <v>21</v>
      </c>
      <c r="D556" s="117" t="s">
        <v>21</v>
      </c>
      <c r="E556" s="117" t="s">
        <v>200</v>
      </c>
      <c r="F556" s="118" t="s">
        <v>49</v>
      </c>
      <c r="G556" s="117" t="s">
        <v>50</v>
      </c>
      <c r="H556" s="117" t="s">
        <v>397</v>
      </c>
      <c r="I556" s="119" t="n">
        <v>1</v>
      </c>
      <c r="J556" s="119" t="n">
        <v>0</v>
      </c>
      <c r="K556" s="117"/>
      <c r="L556" s="117"/>
    </row>
    <row r="557" customFormat="false" ht="15" hidden="false" customHeight="false" outlineLevel="0" collapsed="false">
      <c r="A557" s="117" t="s">
        <v>783</v>
      </c>
      <c r="B557" s="117" t="s">
        <v>1048</v>
      </c>
      <c r="C557" s="117" t="s">
        <v>21</v>
      </c>
      <c r="D557" s="117" t="s">
        <v>21</v>
      </c>
      <c r="E557" s="117" t="s">
        <v>202</v>
      </c>
      <c r="F557" s="118" t="s">
        <v>49</v>
      </c>
      <c r="G557" s="117" t="s">
        <v>50</v>
      </c>
      <c r="H557" s="117" t="s">
        <v>397</v>
      </c>
      <c r="I557" s="119" t="n">
        <v>1</v>
      </c>
      <c r="J557" s="119" t="n">
        <v>0</v>
      </c>
      <c r="K557" s="117"/>
      <c r="L557" s="117"/>
    </row>
    <row r="558" customFormat="false" ht="15" hidden="false" customHeight="false" outlineLevel="0" collapsed="false">
      <c r="A558" s="117" t="s">
        <v>785</v>
      </c>
      <c r="B558" s="117" t="s">
        <v>1048</v>
      </c>
      <c r="C558" s="117" t="s">
        <v>21</v>
      </c>
      <c r="D558" s="117" t="s">
        <v>21</v>
      </c>
      <c r="E558" s="117" t="s">
        <v>204</v>
      </c>
      <c r="F558" s="118" t="s">
        <v>49</v>
      </c>
      <c r="G558" s="117" t="s">
        <v>50</v>
      </c>
      <c r="H558" s="117" t="s">
        <v>397</v>
      </c>
      <c r="I558" s="119" t="n">
        <v>1</v>
      </c>
      <c r="J558" s="119" t="n">
        <v>0</v>
      </c>
      <c r="K558" s="117"/>
      <c r="L558" s="117"/>
    </row>
    <row r="559" customFormat="false" ht="15" hidden="false" customHeight="false" outlineLevel="0" collapsed="false">
      <c r="A559" s="117" t="s">
        <v>1168</v>
      </c>
      <c r="B559" s="117" t="s">
        <v>1048</v>
      </c>
      <c r="C559" s="117" t="s">
        <v>21</v>
      </c>
      <c r="D559" s="117" t="s">
        <v>21</v>
      </c>
      <c r="E559" s="117" t="s">
        <v>198</v>
      </c>
      <c r="F559" s="118" t="s">
        <v>49</v>
      </c>
      <c r="G559" s="117" t="s">
        <v>50</v>
      </c>
      <c r="H559" s="117" t="s">
        <v>397</v>
      </c>
      <c r="I559" s="119" t="n">
        <v>1</v>
      </c>
      <c r="J559" s="119" t="n">
        <v>1</v>
      </c>
      <c r="K559" s="117"/>
      <c r="L559" s="117"/>
    </row>
    <row r="560" customFormat="false" ht="15" hidden="false" customHeight="false" outlineLevel="0" collapsed="false">
      <c r="A560" s="117" t="s">
        <v>1169</v>
      </c>
      <c r="B560" s="117" t="s">
        <v>1048</v>
      </c>
      <c r="C560" s="117" t="s">
        <v>21</v>
      </c>
      <c r="D560" s="117" t="s">
        <v>21</v>
      </c>
      <c r="E560" s="117" t="s">
        <v>192</v>
      </c>
      <c r="F560" s="118" t="s">
        <v>49</v>
      </c>
      <c r="G560" s="117" t="s">
        <v>50</v>
      </c>
      <c r="H560" s="117" t="s">
        <v>397</v>
      </c>
      <c r="I560" s="119" t="n">
        <v>0</v>
      </c>
      <c r="J560" s="119" t="n">
        <v>1</v>
      </c>
      <c r="K560" s="117"/>
      <c r="L560" s="117"/>
    </row>
    <row r="561" customFormat="false" ht="15" hidden="false" customHeight="false" outlineLevel="0" collapsed="false">
      <c r="A561" s="117" t="s">
        <v>1170</v>
      </c>
      <c r="B561" s="117" t="s">
        <v>1048</v>
      </c>
      <c r="C561" s="117" t="s">
        <v>21</v>
      </c>
      <c r="D561" s="117" t="s">
        <v>21</v>
      </c>
      <c r="E561" s="117" t="s">
        <v>196</v>
      </c>
      <c r="F561" s="118" t="s">
        <v>49</v>
      </c>
      <c r="G561" s="117" t="s">
        <v>50</v>
      </c>
      <c r="H561" s="117" t="s">
        <v>397</v>
      </c>
      <c r="I561" s="119" t="n">
        <v>0</v>
      </c>
      <c r="J561" s="119" t="n">
        <v>1</v>
      </c>
      <c r="K561" s="117"/>
      <c r="L561" s="117"/>
    </row>
    <row r="562" customFormat="false" ht="15" hidden="false" customHeight="false" outlineLevel="0" collapsed="false">
      <c r="A562" s="117" t="s">
        <v>1171</v>
      </c>
      <c r="B562" s="117" t="s">
        <v>1048</v>
      </c>
      <c r="C562" s="117" t="s">
        <v>21</v>
      </c>
      <c r="D562" s="117" t="s">
        <v>21</v>
      </c>
      <c r="E562" s="117" t="s">
        <v>1172</v>
      </c>
      <c r="F562" s="118" t="s">
        <v>107</v>
      </c>
      <c r="G562" s="117" t="s">
        <v>108</v>
      </c>
      <c r="H562" s="117" t="s">
        <v>397</v>
      </c>
      <c r="I562" s="119" t="n">
        <v>1</v>
      </c>
      <c r="J562" s="119" t="n">
        <v>0</v>
      </c>
      <c r="K562" s="117"/>
      <c r="L562" s="117"/>
    </row>
    <row r="563" customFormat="false" ht="15" hidden="false" customHeight="false" outlineLevel="0" collapsed="false">
      <c r="A563" s="117" t="s">
        <v>1173</v>
      </c>
      <c r="B563" s="117" t="s">
        <v>1048</v>
      </c>
      <c r="C563" s="117" t="s">
        <v>21</v>
      </c>
      <c r="D563" s="117" t="s">
        <v>21</v>
      </c>
      <c r="E563" s="117" t="s">
        <v>1174</v>
      </c>
      <c r="F563" s="118" t="s">
        <v>109</v>
      </c>
      <c r="G563" s="117" t="s">
        <v>110</v>
      </c>
      <c r="H563" s="117" t="s">
        <v>397</v>
      </c>
      <c r="I563" s="119" t="n">
        <v>1</v>
      </c>
      <c r="J563" s="119" t="n">
        <v>0</v>
      </c>
      <c r="K563" s="117"/>
      <c r="L563" s="117"/>
    </row>
    <row r="564" customFormat="false" ht="15" hidden="false" customHeight="false" outlineLevel="0" collapsed="false">
      <c r="A564" s="117" t="s">
        <v>465</v>
      </c>
      <c r="B564" s="117" t="s">
        <v>1048</v>
      </c>
      <c r="C564" s="117" t="s">
        <v>19</v>
      </c>
      <c r="D564" s="117" t="s">
        <v>19</v>
      </c>
      <c r="E564" s="117" t="s">
        <v>1175</v>
      </c>
      <c r="F564" s="118" t="s">
        <v>69</v>
      </c>
      <c r="G564" s="117" t="s">
        <v>70</v>
      </c>
      <c r="H564" s="117" t="s">
        <v>397</v>
      </c>
      <c r="I564" s="119" t="n">
        <v>1</v>
      </c>
      <c r="J564" s="119" t="n">
        <v>0</v>
      </c>
      <c r="K564" s="117"/>
      <c r="L564" s="117"/>
    </row>
    <row r="565" customFormat="false" ht="15" hidden="false" customHeight="false" outlineLevel="0" collapsed="false">
      <c r="A565" s="117" t="s">
        <v>462</v>
      </c>
      <c r="B565" s="117" t="s">
        <v>1048</v>
      </c>
      <c r="C565" s="117" t="s">
        <v>12</v>
      </c>
      <c r="D565" s="117" t="s">
        <v>12</v>
      </c>
      <c r="E565" s="117" t="s">
        <v>1176</v>
      </c>
      <c r="F565" s="118" t="s">
        <v>71</v>
      </c>
      <c r="G565" s="117" t="s">
        <v>72</v>
      </c>
      <c r="H565" s="117" t="s">
        <v>397</v>
      </c>
      <c r="I565" s="119" t="n">
        <v>1</v>
      </c>
      <c r="J565" s="119" t="n">
        <v>0</v>
      </c>
      <c r="K565" s="117"/>
      <c r="L565" s="117"/>
    </row>
    <row r="566" customFormat="false" ht="15" hidden="false" customHeight="false" outlineLevel="0" collapsed="false">
      <c r="A566" s="117" t="s">
        <v>467</v>
      </c>
      <c r="B566" s="117" t="s">
        <v>1048</v>
      </c>
      <c r="C566" s="117" t="s">
        <v>12</v>
      </c>
      <c r="D566" s="117" t="s">
        <v>12</v>
      </c>
      <c r="E566" s="117" t="s">
        <v>189</v>
      </c>
      <c r="F566" s="118" t="s">
        <v>49</v>
      </c>
      <c r="G566" s="117" t="s">
        <v>50</v>
      </c>
      <c r="H566" s="117" t="s">
        <v>397</v>
      </c>
      <c r="I566" s="119" t="n">
        <v>1</v>
      </c>
      <c r="J566" s="119" t="n">
        <v>0</v>
      </c>
      <c r="K566" s="117"/>
      <c r="L566" s="117"/>
    </row>
    <row r="567" customFormat="false" ht="15" hidden="false" customHeight="false" outlineLevel="0" collapsed="false">
      <c r="A567" s="117" t="s">
        <v>1003</v>
      </c>
      <c r="B567" s="117" t="s">
        <v>1048</v>
      </c>
      <c r="C567" s="117" t="s">
        <v>558</v>
      </c>
      <c r="D567" s="117" t="s">
        <v>11</v>
      </c>
      <c r="E567" s="117" t="s">
        <v>188</v>
      </c>
      <c r="F567" s="118" t="s">
        <v>49</v>
      </c>
      <c r="G567" s="117" t="s">
        <v>50</v>
      </c>
      <c r="H567" s="117" t="s">
        <v>397</v>
      </c>
      <c r="I567" s="119" t="n">
        <v>1</v>
      </c>
      <c r="J567" s="119" t="n">
        <v>0</v>
      </c>
      <c r="K567" s="117"/>
      <c r="L567" s="117"/>
    </row>
    <row r="568" customFormat="false" ht="15" hidden="false" customHeight="false" outlineLevel="0" collapsed="false">
      <c r="A568" s="117" t="s">
        <v>1177</v>
      </c>
      <c r="B568" s="117" t="s">
        <v>1048</v>
      </c>
      <c r="C568" s="117" t="s">
        <v>29</v>
      </c>
      <c r="D568" s="117" t="s">
        <v>29</v>
      </c>
      <c r="E568" s="117" t="s">
        <v>1178</v>
      </c>
      <c r="F568" s="118" t="s">
        <v>131</v>
      </c>
      <c r="G568" s="117" t="s">
        <v>132</v>
      </c>
      <c r="H568" s="117" t="s">
        <v>397</v>
      </c>
      <c r="I568" s="119" t="n">
        <v>1</v>
      </c>
      <c r="J568" s="119" t="n">
        <v>0</v>
      </c>
      <c r="K568" s="117"/>
      <c r="L568" s="117"/>
    </row>
    <row r="569" customFormat="false" ht="15" hidden="false" customHeight="false" outlineLevel="0" collapsed="false">
      <c r="A569" s="117" t="s">
        <v>1179</v>
      </c>
      <c r="B569" s="117" t="s">
        <v>1048</v>
      </c>
      <c r="C569" s="117" t="s">
        <v>29</v>
      </c>
      <c r="D569" s="117" t="s">
        <v>29</v>
      </c>
      <c r="E569" s="117" t="s">
        <v>1180</v>
      </c>
      <c r="F569" s="118" t="s">
        <v>131</v>
      </c>
      <c r="G569" s="117" t="s">
        <v>132</v>
      </c>
      <c r="H569" s="117" t="s">
        <v>397</v>
      </c>
      <c r="I569" s="119" t="n">
        <v>1</v>
      </c>
      <c r="J569" s="119" t="n">
        <v>0</v>
      </c>
      <c r="K569" s="117"/>
      <c r="L569" s="117"/>
    </row>
    <row r="570" customFormat="false" ht="15" hidden="false" customHeight="false" outlineLevel="0" collapsed="false">
      <c r="A570" s="117" t="s">
        <v>1181</v>
      </c>
      <c r="B570" s="117" t="s">
        <v>1048</v>
      </c>
      <c r="C570" s="117" t="s">
        <v>29</v>
      </c>
      <c r="D570" s="117" t="s">
        <v>29</v>
      </c>
      <c r="E570" s="117" t="s">
        <v>1182</v>
      </c>
      <c r="F570" s="118" t="s">
        <v>131</v>
      </c>
      <c r="G570" s="117" t="s">
        <v>132</v>
      </c>
      <c r="H570" s="117" t="s">
        <v>397</v>
      </c>
      <c r="I570" s="119" t="n">
        <v>0</v>
      </c>
      <c r="J570" s="119" t="n">
        <v>1</v>
      </c>
      <c r="K570" s="117"/>
      <c r="L570" s="117"/>
    </row>
    <row r="571" customFormat="false" ht="15" hidden="false" customHeight="false" outlineLevel="0" collapsed="false">
      <c r="A571" s="117" t="s">
        <v>416</v>
      </c>
      <c r="B571" s="117" t="s">
        <v>1048</v>
      </c>
      <c r="C571" s="117" t="s">
        <v>13</v>
      </c>
      <c r="D571" s="117" t="s">
        <v>13</v>
      </c>
      <c r="E571" s="117" t="s">
        <v>1183</v>
      </c>
      <c r="F571" s="118" t="s">
        <v>69</v>
      </c>
      <c r="G571" s="117" t="s">
        <v>70</v>
      </c>
      <c r="H571" s="117" t="s">
        <v>397</v>
      </c>
      <c r="I571" s="119" t="n">
        <v>1</v>
      </c>
      <c r="J571" s="119" t="n">
        <v>0</v>
      </c>
      <c r="K571" s="117"/>
      <c r="L571" s="117"/>
    </row>
    <row r="572" customFormat="false" ht="15" hidden="false" customHeight="false" outlineLevel="0" collapsed="false">
      <c r="A572" s="117" t="s">
        <v>995</v>
      </c>
      <c r="B572" s="117" t="s">
        <v>1048</v>
      </c>
      <c r="C572" s="117" t="s">
        <v>13</v>
      </c>
      <c r="D572" s="117" t="s">
        <v>13</v>
      </c>
      <c r="E572" s="117" t="s">
        <v>1184</v>
      </c>
      <c r="F572" s="118" t="s">
        <v>71</v>
      </c>
      <c r="G572" s="117" t="s">
        <v>72</v>
      </c>
      <c r="H572" s="117" t="s">
        <v>397</v>
      </c>
      <c r="I572" s="119" t="n">
        <v>1</v>
      </c>
      <c r="J572" s="119" t="n">
        <v>0</v>
      </c>
      <c r="K572" s="117"/>
      <c r="L572" s="117"/>
    </row>
    <row r="573" customFormat="false" ht="15" hidden="false" customHeight="false" outlineLevel="0" collapsed="false">
      <c r="A573" s="117" t="s">
        <v>497</v>
      </c>
      <c r="B573" s="117" t="s">
        <v>1048</v>
      </c>
      <c r="C573" s="117" t="s">
        <v>13</v>
      </c>
      <c r="D573" s="117" t="s">
        <v>13</v>
      </c>
      <c r="E573" s="117" t="s">
        <v>1185</v>
      </c>
      <c r="F573" s="118" t="s">
        <v>69</v>
      </c>
      <c r="G573" s="117" t="s">
        <v>70</v>
      </c>
      <c r="H573" s="117" t="s">
        <v>397</v>
      </c>
      <c r="I573" s="119" t="n">
        <v>1</v>
      </c>
      <c r="J573" s="119" t="n">
        <v>0</v>
      </c>
      <c r="K573" s="117"/>
      <c r="L573" s="117"/>
    </row>
    <row r="574" customFormat="false" ht="15" hidden="false" customHeight="false" outlineLevel="0" collapsed="false">
      <c r="A574" s="117" t="s">
        <v>642</v>
      </c>
      <c r="B574" s="117" t="s">
        <v>1186</v>
      </c>
      <c r="C574" s="117" t="s">
        <v>20</v>
      </c>
      <c r="D574" s="117" t="s">
        <v>20</v>
      </c>
      <c r="E574" s="117" t="s">
        <v>1187</v>
      </c>
      <c r="F574" s="118" t="s">
        <v>97</v>
      </c>
      <c r="G574" s="117" t="s">
        <v>98</v>
      </c>
      <c r="H574" s="117" t="s">
        <v>397</v>
      </c>
      <c r="I574" s="119" t="n">
        <v>1</v>
      </c>
      <c r="J574" s="119" t="n">
        <v>0</v>
      </c>
      <c r="K574" s="117"/>
      <c r="L574" s="117"/>
    </row>
    <row r="575" customFormat="false" ht="15" hidden="false" customHeight="false" outlineLevel="0" collapsed="false">
      <c r="A575" s="117" t="s">
        <v>1021</v>
      </c>
      <c r="B575" s="117" t="s">
        <v>1186</v>
      </c>
      <c r="C575" s="117" t="s">
        <v>20</v>
      </c>
      <c r="D575" s="117" t="s">
        <v>20</v>
      </c>
      <c r="E575" s="117" t="s">
        <v>310</v>
      </c>
      <c r="F575" s="118" t="s">
        <v>135</v>
      </c>
      <c r="G575" s="117" t="s">
        <v>136</v>
      </c>
      <c r="H575" s="117" t="s">
        <v>397</v>
      </c>
      <c r="I575" s="119" t="n">
        <v>1</v>
      </c>
      <c r="J575" s="119" t="n">
        <v>0</v>
      </c>
      <c r="K575" s="117"/>
      <c r="L575" s="117"/>
    </row>
    <row r="576" customFormat="false" ht="15" hidden="false" customHeight="false" outlineLevel="0" collapsed="false">
      <c r="A576" s="117" t="s">
        <v>1023</v>
      </c>
      <c r="B576" s="117" t="s">
        <v>1186</v>
      </c>
      <c r="C576" s="117" t="s">
        <v>20</v>
      </c>
      <c r="D576" s="117" t="s">
        <v>20</v>
      </c>
      <c r="E576" s="117" t="s">
        <v>316</v>
      </c>
      <c r="F576" s="118" t="s">
        <v>135</v>
      </c>
      <c r="G576" s="117" t="s">
        <v>136</v>
      </c>
      <c r="H576" s="117" t="s">
        <v>397</v>
      </c>
      <c r="I576" s="119" t="n">
        <v>1</v>
      </c>
      <c r="J576" s="119" t="n">
        <v>0</v>
      </c>
      <c r="K576" s="117"/>
      <c r="L576" s="117"/>
    </row>
    <row r="577" customFormat="false" ht="15" hidden="false" customHeight="false" outlineLevel="0" collapsed="false">
      <c r="A577" s="117" t="s">
        <v>1025</v>
      </c>
      <c r="B577" s="117" t="s">
        <v>1186</v>
      </c>
      <c r="C577" s="117" t="s">
        <v>20</v>
      </c>
      <c r="D577" s="117" t="s">
        <v>20</v>
      </c>
      <c r="E577" s="117" t="s">
        <v>1188</v>
      </c>
      <c r="F577" s="118" t="s">
        <v>137</v>
      </c>
      <c r="G577" s="117" t="s">
        <v>138</v>
      </c>
      <c r="H577" s="117" t="s">
        <v>397</v>
      </c>
      <c r="I577" s="119" t="n">
        <v>1</v>
      </c>
      <c r="J577" s="119" t="n">
        <v>0</v>
      </c>
      <c r="K577" s="117"/>
      <c r="L577" s="117"/>
    </row>
    <row r="578" customFormat="false" ht="15" hidden="false" customHeight="false" outlineLevel="0" collapsed="false">
      <c r="A578" s="117" t="s">
        <v>511</v>
      </c>
      <c r="B578" s="117" t="s">
        <v>1186</v>
      </c>
      <c r="C578" s="117" t="s">
        <v>1189</v>
      </c>
      <c r="D578" s="117" t="s">
        <v>28</v>
      </c>
      <c r="E578" s="117" t="s">
        <v>356</v>
      </c>
      <c r="F578" s="118" t="s">
        <v>135</v>
      </c>
      <c r="G578" s="117" t="s">
        <v>136</v>
      </c>
      <c r="H578" s="117" t="s">
        <v>397</v>
      </c>
      <c r="I578" s="119" t="n">
        <v>0</v>
      </c>
      <c r="J578" s="119" t="n">
        <v>1</v>
      </c>
      <c r="K578" s="117"/>
      <c r="L578" s="117"/>
    </row>
    <row r="579" customFormat="false" ht="15" hidden="false" customHeight="false" outlineLevel="0" collapsed="false">
      <c r="A579" s="117" t="s">
        <v>1190</v>
      </c>
      <c r="B579" s="117" t="s">
        <v>1186</v>
      </c>
      <c r="C579" s="117" t="s">
        <v>1189</v>
      </c>
      <c r="D579" s="117" t="s">
        <v>28</v>
      </c>
      <c r="E579" s="117" t="s">
        <v>349</v>
      </c>
      <c r="F579" s="118" t="s">
        <v>135</v>
      </c>
      <c r="G579" s="117" t="s">
        <v>136</v>
      </c>
      <c r="H579" s="117" t="s">
        <v>397</v>
      </c>
      <c r="I579" s="119" t="n">
        <v>1</v>
      </c>
      <c r="J579" s="119" t="n">
        <v>0</v>
      </c>
      <c r="K579" s="117"/>
      <c r="L579" s="117"/>
    </row>
    <row r="580" customFormat="false" ht="15" hidden="false" customHeight="false" outlineLevel="0" collapsed="false">
      <c r="A580" s="117" t="s">
        <v>1191</v>
      </c>
      <c r="B580" s="117" t="s">
        <v>1186</v>
      </c>
      <c r="C580" s="117" t="s">
        <v>1192</v>
      </c>
      <c r="D580" s="117" t="s">
        <v>27</v>
      </c>
      <c r="E580" s="117" t="s">
        <v>343</v>
      </c>
      <c r="F580" s="118" t="s">
        <v>135</v>
      </c>
      <c r="G580" s="117" t="s">
        <v>136</v>
      </c>
      <c r="H580" s="117" t="s">
        <v>397</v>
      </c>
      <c r="I580" s="119" t="n">
        <v>1</v>
      </c>
      <c r="J580" s="119" t="n">
        <v>0</v>
      </c>
      <c r="K580" s="117"/>
      <c r="L580" s="117"/>
    </row>
    <row r="581" customFormat="false" ht="15" hidden="false" customHeight="false" outlineLevel="0" collapsed="false">
      <c r="A581" s="117" t="s">
        <v>765</v>
      </c>
      <c r="B581" s="117" t="s">
        <v>1186</v>
      </c>
      <c r="C581" s="117" t="s">
        <v>402</v>
      </c>
      <c r="D581" s="117" t="s">
        <v>23</v>
      </c>
      <c r="E581" s="117" t="s">
        <v>1193</v>
      </c>
      <c r="F581" s="118" t="s">
        <v>137</v>
      </c>
      <c r="G581" s="117" t="s">
        <v>138</v>
      </c>
      <c r="H581" s="117" t="s">
        <v>397</v>
      </c>
      <c r="I581" s="119" t="n">
        <v>0</v>
      </c>
      <c r="J581" s="119" t="n">
        <v>1</v>
      </c>
      <c r="K581" s="117"/>
      <c r="L581" s="117"/>
    </row>
    <row r="582" customFormat="false" ht="15" hidden="false" customHeight="false" outlineLevel="0" collapsed="false">
      <c r="A582" s="117" t="s">
        <v>1037</v>
      </c>
      <c r="B582" s="117" t="s">
        <v>1186</v>
      </c>
      <c r="C582" s="117" t="s">
        <v>14</v>
      </c>
      <c r="D582" s="117" t="s">
        <v>14</v>
      </c>
      <c r="E582" s="117" t="s">
        <v>230</v>
      </c>
      <c r="F582" s="118" t="s">
        <v>51</v>
      </c>
      <c r="G582" s="117" t="s">
        <v>52</v>
      </c>
      <c r="H582" s="117" t="s">
        <v>397</v>
      </c>
      <c r="I582" s="119" t="n">
        <v>1</v>
      </c>
      <c r="J582" s="119" t="n">
        <v>0</v>
      </c>
      <c r="K582" s="117"/>
      <c r="L582" s="117"/>
    </row>
    <row r="583" customFormat="false" ht="15" hidden="false" customHeight="false" outlineLevel="0" collapsed="false">
      <c r="A583" s="117" t="s">
        <v>1039</v>
      </c>
      <c r="B583" s="117" t="s">
        <v>1186</v>
      </c>
      <c r="C583" s="117" t="s">
        <v>14</v>
      </c>
      <c r="D583" s="117" t="s">
        <v>14</v>
      </c>
      <c r="E583" s="117" t="s">
        <v>232</v>
      </c>
      <c r="F583" s="118" t="s">
        <v>51</v>
      </c>
      <c r="G583" s="117" t="s">
        <v>52</v>
      </c>
      <c r="H583" s="117" t="s">
        <v>397</v>
      </c>
      <c r="I583" s="119" t="n">
        <v>1</v>
      </c>
      <c r="J583" s="119" t="n">
        <v>0</v>
      </c>
      <c r="K583" s="117"/>
      <c r="L583" s="117"/>
    </row>
    <row r="584" customFormat="false" ht="15" hidden="false" customHeight="false" outlineLevel="0" collapsed="false">
      <c r="A584" s="117" t="s">
        <v>462</v>
      </c>
      <c r="B584" s="117" t="s">
        <v>1186</v>
      </c>
      <c r="C584" s="117" t="s">
        <v>1194</v>
      </c>
      <c r="D584" s="117" t="s">
        <v>17</v>
      </c>
      <c r="E584" s="117" t="s">
        <v>1195</v>
      </c>
      <c r="F584" s="118" t="s">
        <v>89</v>
      </c>
      <c r="G584" s="117" t="s">
        <v>90</v>
      </c>
      <c r="H584" s="117" t="s">
        <v>397</v>
      </c>
      <c r="I584" s="119" t="n">
        <v>1</v>
      </c>
      <c r="J584" s="119" t="n">
        <v>0</v>
      </c>
      <c r="K584" s="117"/>
      <c r="L584" s="117"/>
    </row>
    <row r="585" customFormat="false" ht="15" hidden="false" customHeight="false" outlineLevel="0" collapsed="false">
      <c r="A585" s="117" t="s">
        <v>465</v>
      </c>
      <c r="B585" s="117" t="s">
        <v>1186</v>
      </c>
      <c r="C585" s="117" t="s">
        <v>1194</v>
      </c>
      <c r="D585" s="117" t="s">
        <v>17</v>
      </c>
      <c r="E585" s="117" t="s">
        <v>1196</v>
      </c>
      <c r="F585" s="118" t="s">
        <v>89</v>
      </c>
      <c r="G585" s="117" t="s">
        <v>90</v>
      </c>
      <c r="H585" s="117" t="s">
        <v>397</v>
      </c>
      <c r="I585" s="119" t="n">
        <v>1</v>
      </c>
      <c r="J585" s="119" t="n">
        <v>0</v>
      </c>
      <c r="K585" s="117"/>
      <c r="L585" s="117"/>
    </row>
    <row r="586" customFormat="false" ht="15" hidden="false" customHeight="false" outlineLevel="0" collapsed="false">
      <c r="A586" s="117" t="s">
        <v>467</v>
      </c>
      <c r="B586" s="117" t="s">
        <v>1186</v>
      </c>
      <c r="C586" s="117" t="s">
        <v>1194</v>
      </c>
      <c r="D586" s="117" t="s">
        <v>17</v>
      </c>
      <c r="E586" s="117" t="s">
        <v>1197</v>
      </c>
      <c r="F586" s="118" t="s">
        <v>89</v>
      </c>
      <c r="G586" s="117" t="s">
        <v>90</v>
      </c>
      <c r="H586" s="117" t="s">
        <v>397</v>
      </c>
      <c r="I586" s="119" t="n">
        <v>1</v>
      </c>
      <c r="J586" s="119" t="n">
        <v>0</v>
      </c>
      <c r="K586" s="117"/>
      <c r="L586" s="117"/>
    </row>
    <row r="587" customFormat="false" ht="15" hidden="false" customHeight="false" outlineLevel="0" collapsed="false">
      <c r="A587" s="117" t="s">
        <v>469</v>
      </c>
      <c r="B587" s="117" t="s">
        <v>1186</v>
      </c>
      <c r="C587" s="117" t="s">
        <v>1194</v>
      </c>
      <c r="D587" s="117" t="s">
        <v>17</v>
      </c>
      <c r="E587" s="117" t="s">
        <v>1198</v>
      </c>
      <c r="F587" s="118" t="s">
        <v>89</v>
      </c>
      <c r="G587" s="117" t="s">
        <v>90</v>
      </c>
      <c r="H587" s="117" t="s">
        <v>397</v>
      </c>
      <c r="I587" s="119" t="n">
        <v>1</v>
      </c>
      <c r="J587" s="119" t="n">
        <v>0</v>
      </c>
      <c r="K587" s="117"/>
      <c r="L587" s="117"/>
    </row>
    <row r="588" customFormat="false" ht="15" hidden="false" customHeight="false" outlineLevel="0" collapsed="false">
      <c r="A588" s="117" t="s">
        <v>471</v>
      </c>
      <c r="B588" s="117" t="s">
        <v>1186</v>
      </c>
      <c r="C588" s="117" t="s">
        <v>1194</v>
      </c>
      <c r="D588" s="117" t="s">
        <v>17</v>
      </c>
      <c r="E588" s="117" t="s">
        <v>1199</v>
      </c>
      <c r="F588" s="118" t="s">
        <v>89</v>
      </c>
      <c r="G588" s="117" t="s">
        <v>90</v>
      </c>
      <c r="H588" s="117" t="s">
        <v>397</v>
      </c>
      <c r="I588" s="119" t="n">
        <v>1</v>
      </c>
      <c r="J588" s="119" t="n">
        <v>0</v>
      </c>
      <c r="K588" s="117"/>
      <c r="L588" s="117"/>
    </row>
    <row r="589" customFormat="false" ht="15" hidden="false" customHeight="false" outlineLevel="0" collapsed="false">
      <c r="A589" s="117" t="s">
        <v>473</v>
      </c>
      <c r="B589" s="117" t="s">
        <v>1186</v>
      </c>
      <c r="C589" s="117" t="s">
        <v>1194</v>
      </c>
      <c r="D589" s="117" t="s">
        <v>17</v>
      </c>
      <c r="E589" s="117" t="s">
        <v>1200</v>
      </c>
      <c r="F589" s="118" t="s">
        <v>89</v>
      </c>
      <c r="G589" s="117" t="s">
        <v>90</v>
      </c>
      <c r="H589" s="117" t="s">
        <v>397</v>
      </c>
      <c r="I589" s="119" t="n">
        <v>1</v>
      </c>
      <c r="J589" s="119" t="n">
        <v>0</v>
      </c>
      <c r="K589" s="117"/>
      <c r="L589" s="117"/>
    </row>
    <row r="590" customFormat="false" ht="15" hidden="false" customHeight="false" outlineLevel="0" collapsed="false">
      <c r="A590" s="117" t="s">
        <v>475</v>
      </c>
      <c r="B590" s="117" t="s">
        <v>1186</v>
      </c>
      <c r="C590" s="117" t="s">
        <v>1194</v>
      </c>
      <c r="D590" s="117" t="s">
        <v>17</v>
      </c>
      <c r="E590" s="117" t="s">
        <v>1201</v>
      </c>
      <c r="F590" s="118" t="s">
        <v>89</v>
      </c>
      <c r="G590" s="117" t="s">
        <v>90</v>
      </c>
      <c r="H590" s="117" t="s">
        <v>397</v>
      </c>
      <c r="I590" s="119" t="n">
        <v>1</v>
      </c>
      <c r="J590" s="119" t="n">
        <v>0</v>
      </c>
      <c r="K590" s="117"/>
      <c r="L590" s="117"/>
    </row>
    <row r="591" customFormat="false" ht="15" hidden="false" customHeight="false" outlineLevel="0" collapsed="false">
      <c r="A591" s="117" t="s">
        <v>476</v>
      </c>
      <c r="B591" s="117" t="s">
        <v>1186</v>
      </c>
      <c r="C591" s="117" t="s">
        <v>1194</v>
      </c>
      <c r="D591" s="117" t="s">
        <v>17</v>
      </c>
      <c r="E591" s="117" t="s">
        <v>1202</v>
      </c>
      <c r="F591" s="118" t="s">
        <v>89</v>
      </c>
      <c r="G591" s="117" t="s">
        <v>90</v>
      </c>
      <c r="H591" s="117" t="s">
        <v>397</v>
      </c>
      <c r="I591" s="119" t="n">
        <v>1</v>
      </c>
      <c r="J591" s="119" t="n">
        <v>0</v>
      </c>
      <c r="K591" s="117"/>
      <c r="L591" s="117"/>
    </row>
    <row r="592" customFormat="false" ht="15" hidden="false" customHeight="false" outlineLevel="0" collapsed="false">
      <c r="A592" s="117" t="s">
        <v>478</v>
      </c>
      <c r="B592" s="117" t="s">
        <v>1186</v>
      </c>
      <c r="C592" s="117" t="s">
        <v>1194</v>
      </c>
      <c r="D592" s="117" t="s">
        <v>17</v>
      </c>
      <c r="E592" s="117" t="s">
        <v>1203</v>
      </c>
      <c r="F592" s="118" t="s">
        <v>89</v>
      </c>
      <c r="G592" s="117" t="s">
        <v>90</v>
      </c>
      <c r="H592" s="117" t="s">
        <v>397</v>
      </c>
      <c r="I592" s="119" t="n">
        <v>1</v>
      </c>
      <c r="J592" s="119" t="n">
        <v>0</v>
      </c>
      <c r="K592" s="117"/>
      <c r="L592" s="117"/>
    </row>
    <row r="593" customFormat="false" ht="15" hidden="false" customHeight="false" outlineLevel="0" collapsed="false">
      <c r="A593" s="117" t="s">
        <v>479</v>
      </c>
      <c r="B593" s="117" t="s">
        <v>1186</v>
      </c>
      <c r="C593" s="117" t="s">
        <v>1194</v>
      </c>
      <c r="D593" s="117" t="s">
        <v>17</v>
      </c>
      <c r="E593" s="117" t="s">
        <v>1204</v>
      </c>
      <c r="F593" s="118" t="s">
        <v>89</v>
      </c>
      <c r="G593" s="117" t="s">
        <v>90</v>
      </c>
      <c r="H593" s="117" t="s">
        <v>397</v>
      </c>
      <c r="I593" s="119" t="n">
        <v>1</v>
      </c>
      <c r="J593" s="119" t="n">
        <v>0</v>
      </c>
      <c r="K593" s="117"/>
      <c r="L593" s="117"/>
    </row>
    <row r="594" customFormat="false" ht="15" hidden="false" customHeight="false" outlineLevel="0" collapsed="false">
      <c r="A594" s="117" t="s">
        <v>481</v>
      </c>
      <c r="B594" s="117" t="s">
        <v>1186</v>
      </c>
      <c r="C594" s="117" t="s">
        <v>1194</v>
      </c>
      <c r="D594" s="117" t="s">
        <v>17</v>
      </c>
      <c r="E594" s="117" t="s">
        <v>1205</v>
      </c>
      <c r="F594" s="118" t="s">
        <v>89</v>
      </c>
      <c r="G594" s="117" t="s">
        <v>90</v>
      </c>
      <c r="H594" s="117" t="s">
        <v>397</v>
      </c>
      <c r="I594" s="119" t="n">
        <v>1</v>
      </c>
      <c r="J594" s="119" t="n">
        <v>0</v>
      </c>
      <c r="K594" s="117"/>
      <c r="L594" s="117"/>
    </row>
    <row r="595" customFormat="false" ht="15" hidden="false" customHeight="false" outlineLevel="0" collapsed="false">
      <c r="A595" s="117" t="s">
        <v>482</v>
      </c>
      <c r="B595" s="117" t="s">
        <v>1186</v>
      </c>
      <c r="C595" s="117" t="s">
        <v>1194</v>
      </c>
      <c r="D595" s="117" t="s">
        <v>17</v>
      </c>
      <c r="E595" s="117" t="s">
        <v>1206</v>
      </c>
      <c r="F595" s="118" t="s">
        <v>89</v>
      </c>
      <c r="G595" s="117" t="s">
        <v>90</v>
      </c>
      <c r="H595" s="117" t="s">
        <v>397</v>
      </c>
      <c r="I595" s="119" t="n">
        <v>1</v>
      </c>
      <c r="J595" s="119" t="n">
        <v>0</v>
      </c>
      <c r="K595" s="117"/>
      <c r="L595" s="117"/>
    </row>
    <row r="596" customFormat="false" ht="15" hidden="false" customHeight="false" outlineLevel="0" collapsed="false">
      <c r="A596" s="117" t="s">
        <v>484</v>
      </c>
      <c r="B596" s="117" t="s">
        <v>1186</v>
      </c>
      <c r="C596" s="117" t="s">
        <v>1194</v>
      </c>
      <c r="D596" s="117" t="s">
        <v>17</v>
      </c>
      <c r="E596" s="117" t="s">
        <v>1207</v>
      </c>
      <c r="F596" s="118" t="s">
        <v>89</v>
      </c>
      <c r="G596" s="117" t="s">
        <v>90</v>
      </c>
      <c r="H596" s="117" t="s">
        <v>397</v>
      </c>
      <c r="I596" s="119" t="n">
        <v>1</v>
      </c>
      <c r="J596" s="119" t="n">
        <v>0</v>
      </c>
      <c r="K596" s="117"/>
      <c r="L596" s="117"/>
    </row>
    <row r="597" customFormat="false" ht="15" hidden="false" customHeight="false" outlineLevel="0" collapsed="false">
      <c r="A597" s="117" t="s">
        <v>533</v>
      </c>
      <c r="B597" s="117" t="s">
        <v>1186</v>
      </c>
      <c r="C597" s="117" t="s">
        <v>1194</v>
      </c>
      <c r="D597" s="117" t="s">
        <v>17</v>
      </c>
      <c r="E597" s="117" t="s">
        <v>1208</v>
      </c>
      <c r="F597" s="118" t="s">
        <v>89</v>
      </c>
      <c r="G597" s="117" t="s">
        <v>90</v>
      </c>
      <c r="H597" s="117" t="s">
        <v>397</v>
      </c>
      <c r="I597" s="119" t="n">
        <v>0</v>
      </c>
      <c r="J597" s="119" t="n">
        <v>1</v>
      </c>
      <c r="K597" s="117"/>
      <c r="L597" s="117"/>
    </row>
    <row r="598" customFormat="false" ht="15" hidden="false" customHeight="false" outlineLevel="0" collapsed="false">
      <c r="A598" s="117" t="s">
        <v>485</v>
      </c>
      <c r="B598" s="117" t="s">
        <v>1186</v>
      </c>
      <c r="C598" s="117" t="s">
        <v>1194</v>
      </c>
      <c r="D598" s="117" t="s">
        <v>17</v>
      </c>
      <c r="E598" s="117" t="s">
        <v>1209</v>
      </c>
      <c r="F598" s="118" t="s">
        <v>89</v>
      </c>
      <c r="G598" s="117" t="s">
        <v>90</v>
      </c>
      <c r="H598" s="117" t="s">
        <v>397</v>
      </c>
      <c r="I598" s="119" t="n">
        <v>1</v>
      </c>
      <c r="J598" s="119" t="n">
        <v>0</v>
      </c>
      <c r="K598" s="117"/>
      <c r="L598" s="117"/>
    </row>
    <row r="599" customFormat="false" ht="15" hidden="false" customHeight="false" outlineLevel="0" collapsed="false">
      <c r="A599" s="117" t="s">
        <v>581</v>
      </c>
      <c r="B599" s="117" t="s">
        <v>1186</v>
      </c>
      <c r="C599" s="117" t="s">
        <v>1194</v>
      </c>
      <c r="D599" s="117" t="s">
        <v>17</v>
      </c>
      <c r="E599" s="117" t="s">
        <v>1210</v>
      </c>
      <c r="F599" s="118" t="s">
        <v>89</v>
      </c>
      <c r="G599" s="117" t="s">
        <v>90</v>
      </c>
      <c r="H599" s="117" t="s">
        <v>397</v>
      </c>
      <c r="I599" s="119" t="n">
        <v>1</v>
      </c>
      <c r="J599" s="119" t="n">
        <v>0</v>
      </c>
      <c r="K599" s="117"/>
      <c r="L599" s="117"/>
    </row>
    <row r="600" customFormat="false" ht="15" hidden="false" customHeight="false" outlineLevel="0" collapsed="false">
      <c r="A600" s="117" t="s">
        <v>486</v>
      </c>
      <c r="B600" s="117" t="s">
        <v>1186</v>
      </c>
      <c r="C600" s="117" t="s">
        <v>1194</v>
      </c>
      <c r="D600" s="117" t="s">
        <v>17</v>
      </c>
      <c r="E600" s="117" t="s">
        <v>1211</v>
      </c>
      <c r="F600" s="118" t="s">
        <v>89</v>
      </c>
      <c r="G600" s="117" t="s">
        <v>90</v>
      </c>
      <c r="H600" s="117" t="s">
        <v>397</v>
      </c>
      <c r="I600" s="119" t="n">
        <v>1</v>
      </c>
      <c r="J600" s="119" t="n">
        <v>0</v>
      </c>
      <c r="K600" s="117"/>
      <c r="L600" s="117"/>
    </row>
    <row r="601" customFormat="false" ht="15" hidden="false" customHeight="false" outlineLevel="0" collapsed="false">
      <c r="A601" s="117" t="s">
        <v>394</v>
      </c>
      <c r="B601" s="117" t="s">
        <v>1186</v>
      </c>
      <c r="C601" s="117" t="s">
        <v>1194</v>
      </c>
      <c r="D601" s="117" t="s">
        <v>17</v>
      </c>
      <c r="E601" s="117" t="s">
        <v>1212</v>
      </c>
      <c r="F601" s="118" t="s">
        <v>89</v>
      </c>
      <c r="G601" s="117" t="s">
        <v>90</v>
      </c>
      <c r="H601" s="117" t="s">
        <v>397</v>
      </c>
      <c r="I601" s="119" t="n">
        <v>1</v>
      </c>
      <c r="J601" s="119" t="n">
        <v>0</v>
      </c>
      <c r="K601" s="117"/>
      <c r="L601" s="117"/>
    </row>
    <row r="602" customFormat="false" ht="15" hidden="false" customHeight="false" outlineLevel="0" collapsed="false">
      <c r="A602" s="117" t="s">
        <v>487</v>
      </c>
      <c r="B602" s="117" t="s">
        <v>1186</v>
      </c>
      <c r="C602" s="117" t="s">
        <v>1194</v>
      </c>
      <c r="D602" s="117" t="s">
        <v>17</v>
      </c>
      <c r="E602" s="117" t="s">
        <v>1213</v>
      </c>
      <c r="F602" s="118" t="s">
        <v>89</v>
      </c>
      <c r="G602" s="117" t="s">
        <v>90</v>
      </c>
      <c r="H602" s="117" t="s">
        <v>397</v>
      </c>
      <c r="I602" s="119" t="n">
        <v>1</v>
      </c>
      <c r="J602" s="119" t="n">
        <v>1</v>
      </c>
      <c r="K602" s="117"/>
      <c r="L602" s="117"/>
    </row>
    <row r="603" customFormat="false" ht="15" hidden="false" customHeight="false" outlineLevel="0" collapsed="false">
      <c r="A603" s="117" t="s">
        <v>398</v>
      </c>
      <c r="B603" s="117" t="s">
        <v>1186</v>
      </c>
      <c r="C603" s="117" t="s">
        <v>1194</v>
      </c>
      <c r="D603" s="117" t="s">
        <v>17</v>
      </c>
      <c r="E603" s="117" t="s">
        <v>1214</v>
      </c>
      <c r="F603" s="118" t="s">
        <v>89</v>
      </c>
      <c r="G603" s="117" t="s">
        <v>90</v>
      </c>
      <c r="H603" s="117" t="s">
        <v>397</v>
      </c>
      <c r="I603" s="119" t="n">
        <v>1</v>
      </c>
      <c r="J603" s="119" t="n">
        <v>0</v>
      </c>
      <c r="K603" s="117"/>
      <c r="L603" s="117"/>
    </row>
    <row r="604" customFormat="false" ht="15" hidden="false" customHeight="false" outlineLevel="0" collapsed="false">
      <c r="A604" s="117" t="s">
        <v>1007</v>
      </c>
      <c r="B604" s="117" t="s">
        <v>1186</v>
      </c>
      <c r="C604" s="117" t="s">
        <v>1194</v>
      </c>
      <c r="D604" s="117" t="s">
        <v>17</v>
      </c>
      <c r="E604" s="117" t="s">
        <v>239</v>
      </c>
      <c r="F604" s="118" t="s">
        <v>59</v>
      </c>
      <c r="G604" s="117" t="s">
        <v>60</v>
      </c>
      <c r="H604" s="117" t="s">
        <v>397</v>
      </c>
      <c r="I604" s="119" t="n">
        <v>1</v>
      </c>
      <c r="J604" s="119" t="n">
        <v>0</v>
      </c>
      <c r="K604" s="117"/>
      <c r="L604" s="117"/>
    </row>
    <row r="605" customFormat="false" ht="15" hidden="false" customHeight="false" outlineLevel="0" collapsed="false">
      <c r="A605" s="117" t="s">
        <v>488</v>
      </c>
      <c r="B605" s="117" t="s">
        <v>1186</v>
      </c>
      <c r="C605" s="117" t="s">
        <v>1194</v>
      </c>
      <c r="D605" s="117" t="s">
        <v>17</v>
      </c>
      <c r="E605" s="117" t="s">
        <v>1215</v>
      </c>
      <c r="F605" s="118" t="s">
        <v>89</v>
      </c>
      <c r="G605" s="117" t="s">
        <v>90</v>
      </c>
      <c r="H605" s="117" t="s">
        <v>397</v>
      </c>
      <c r="I605" s="119" t="n">
        <v>1</v>
      </c>
      <c r="J605" s="119" t="n">
        <v>0</v>
      </c>
      <c r="K605" s="117"/>
      <c r="L605" s="117"/>
    </row>
    <row r="606" customFormat="false" ht="15" hidden="false" customHeight="false" outlineLevel="0" collapsed="false">
      <c r="A606" s="117" t="s">
        <v>399</v>
      </c>
      <c r="B606" s="117" t="s">
        <v>1186</v>
      </c>
      <c r="C606" s="117" t="s">
        <v>1194</v>
      </c>
      <c r="D606" s="117" t="s">
        <v>17</v>
      </c>
      <c r="E606" s="117" t="s">
        <v>1216</v>
      </c>
      <c r="F606" s="118" t="s">
        <v>89</v>
      </c>
      <c r="G606" s="117" t="s">
        <v>90</v>
      </c>
      <c r="H606" s="117" t="s">
        <v>397</v>
      </c>
      <c r="I606" s="119" t="n">
        <v>1</v>
      </c>
      <c r="J606" s="119" t="n">
        <v>0</v>
      </c>
      <c r="K606" s="117"/>
      <c r="L606" s="117"/>
    </row>
    <row r="607" customFormat="false" ht="15" hidden="false" customHeight="false" outlineLevel="0" collapsed="false">
      <c r="A607" s="117" t="s">
        <v>1009</v>
      </c>
      <c r="B607" s="117" t="s">
        <v>1186</v>
      </c>
      <c r="C607" s="117" t="s">
        <v>1194</v>
      </c>
      <c r="D607" s="117" t="s">
        <v>17</v>
      </c>
      <c r="E607" s="117" t="s">
        <v>297</v>
      </c>
      <c r="F607" s="118" t="s">
        <v>135</v>
      </c>
      <c r="G607" s="117" t="s">
        <v>136</v>
      </c>
      <c r="H607" s="117" t="s">
        <v>397</v>
      </c>
      <c r="I607" s="119" t="n">
        <v>1</v>
      </c>
      <c r="J607" s="119" t="n">
        <v>0</v>
      </c>
      <c r="K607" s="117"/>
      <c r="L607" s="117"/>
    </row>
    <row r="608" customFormat="false" ht="15" hidden="false" customHeight="false" outlineLevel="0" collapsed="false">
      <c r="A608" s="117" t="s">
        <v>489</v>
      </c>
      <c r="B608" s="117" t="s">
        <v>1186</v>
      </c>
      <c r="C608" s="117" t="s">
        <v>1194</v>
      </c>
      <c r="D608" s="117" t="s">
        <v>17</v>
      </c>
      <c r="E608" s="117" t="s">
        <v>1217</v>
      </c>
      <c r="F608" s="118" t="s">
        <v>89</v>
      </c>
      <c r="G608" s="117" t="s">
        <v>90</v>
      </c>
      <c r="H608" s="117" t="s">
        <v>397</v>
      </c>
      <c r="I608" s="119" t="n">
        <v>1</v>
      </c>
      <c r="J608" s="119" t="n">
        <v>0</v>
      </c>
      <c r="K608" s="117"/>
      <c r="L608" s="117"/>
    </row>
    <row r="609" customFormat="false" ht="15" hidden="false" customHeight="false" outlineLevel="0" collapsed="false">
      <c r="A609" s="117" t="s">
        <v>583</v>
      </c>
      <c r="B609" s="117" t="s">
        <v>1186</v>
      </c>
      <c r="C609" s="117" t="s">
        <v>1194</v>
      </c>
      <c r="D609" s="117" t="s">
        <v>17</v>
      </c>
      <c r="E609" s="117" t="s">
        <v>1218</v>
      </c>
      <c r="F609" s="118" t="s">
        <v>89</v>
      </c>
      <c r="G609" s="117" t="s">
        <v>90</v>
      </c>
      <c r="H609" s="117" t="s">
        <v>397</v>
      </c>
      <c r="I609" s="119" t="n">
        <v>1</v>
      </c>
      <c r="J609" s="119" t="n">
        <v>0</v>
      </c>
      <c r="K609" s="117"/>
      <c r="L609" s="117"/>
    </row>
    <row r="610" customFormat="false" ht="15" hidden="false" customHeight="false" outlineLevel="0" collapsed="false">
      <c r="A610" s="117" t="s">
        <v>534</v>
      </c>
      <c r="B610" s="117" t="s">
        <v>1186</v>
      </c>
      <c r="C610" s="117" t="s">
        <v>1194</v>
      </c>
      <c r="D610" s="117" t="s">
        <v>17</v>
      </c>
      <c r="E610" s="117" t="s">
        <v>1219</v>
      </c>
      <c r="F610" s="118" t="s">
        <v>89</v>
      </c>
      <c r="G610" s="117" t="s">
        <v>90</v>
      </c>
      <c r="H610" s="117" t="s">
        <v>397</v>
      </c>
      <c r="I610" s="119" t="n">
        <v>1</v>
      </c>
      <c r="J610" s="119" t="n">
        <v>0</v>
      </c>
      <c r="K610" s="117"/>
      <c r="L610" s="117"/>
    </row>
    <row r="611" customFormat="false" ht="15" hidden="false" customHeight="false" outlineLevel="0" collapsed="false">
      <c r="A611" s="117" t="s">
        <v>703</v>
      </c>
      <c r="B611" s="117" t="s">
        <v>1186</v>
      </c>
      <c r="C611" s="117" t="s">
        <v>430</v>
      </c>
      <c r="D611" s="117" t="s">
        <v>15</v>
      </c>
      <c r="E611" s="117" t="s">
        <v>237</v>
      </c>
      <c r="F611" s="118" t="s">
        <v>59</v>
      </c>
      <c r="G611" s="117" t="s">
        <v>60</v>
      </c>
      <c r="H611" s="117" t="s">
        <v>397</v>
      </c>
      <c r="I611" s="119" t="n">
        <v>1</v>
      </c>
      <c r="J611" s="119" t="n">
        <v>0</v>
      </c>
      <c r="K611" s="117"/>
      <c r="L611" s="117"/>
    </row>
    <row r="612" customFormat="false" ht="15" hidden="false" customHeight="false" outlineLevel="0" collapsed="false">
      <c r="A612" s="117" t="s">
        <v>556</v>
      </c>
      <c r="B612" s="117" t="s">
        <v>1186</v>
      </c>
      <c r="C612" s="117" t="s">
        <v>430</v>
      </c>
      <c r="D612" s="117" t="s">
        <v>15</v>
      </c>
      <c r="E612" s="117" t="s">
        <v>337</v>
      </c>
      <c r="F612" s="118" t="s">
        <v>55</v>
      </c>
      <c r="G612" s="117" t="s">
        <v>56</v>
      </c>
      <c r="H612" s="117" t="s">
        <v>397</v>
      </c>
      <c r="I612" s="119" t="n">
        <v>1</v>
      </c>
      <c r="J612" s="119" t="n">
        <v>0</v>
      </c>
      <c r="K612" s="117"/>
      <c r="L612" s="117"/>
    </row>
    <row r="613" customFormat="false" ht="15" hidden="false" customHeight="false" outlineLevel="0" collapsed="false">
      <c r="A613" s="117" t="s">
        <v>1162</v>
      </c>
      <c r="B613" s="117" t="s">
        <v>1186</v>
      </c>
      <c r="C613" s="117" t="s">
        <v>430</v>
      </c>
      <c r="D613" s="117" t="s">
        <v>15</v>
      </c>
      <c r="E613" s="117" t="s">
        <v>234</v>
      </c>
      <c r="F613" s="118" t="s">
        <v>51</v>
      </c>
      <c r="G613" s="117" t="s">
        <v>52</v>
      </c>
      <c r="H613" s="117" t="s">
        <v>397</v>
      </c>
      <c r="I613" s="119" t="n">
        <v>1</v>
      </c>
      <c r="J613" s="119" t="n">
        <v>0</v>
      </c>
      <c r="K613" s="117"/>
      <c r="L613" s="117"/>
    </row>
    <row r="614" customFormat="false" ht="15" hidden="false" customHeight="false" outlineLevel="0" collapsed="false">
      <c r="A614" s="117" t="s">
        <v>434</v>
      </c>
      <c r="B614" s="117" t="s">
        <v>1186</v>
      </c>
      <c r="C614" s="117" t="s">
        <v>8</v>
      </c>
      <c r="D614" s="117" t="s">
        <v>8</v>
      </c>
      <c r="E614" s="117" t="s">
        <v>229</v>
      </c>
      <c r="F614" s="118" t="s">
        <v>59</v>
      </c>
      <c r="G614" s="117" t="s">
        <v>60</v>
      </c>
      <c r="H614" s="117" t="s">
        <v>397</v>
      </c>
      <c r="I614" s="119" t="n">
        <v>1</v>
      </c>
      <c r="J614" s="119" t="n">
        <v>0</v>
      </c>
      <c r="K614" s="117"/>
      <c r="L614" s="117"/>
    </row>
    <row r="615" customFormat="false" ht="15" hidden="false" customHeight="false" outlineLevel="0" collapsed="false">
      <c r="A615" s="117" t="s">
        <v>437</v>
      </c>
      <c r="B615" s="117" t="s">
        <v>1186</v>
      </c>
      <c r="C615" s="117" t="s">
        <v>8</v>
      </c>
      <c r="D615" s="117" t="s">
        <v>8</v>
      </c>
      <c r="E615" s="117" t="s">
        <v>298</v>
      </c>
      <c r="F615" s="118" t="s">
        <v>55</v>
      </c>
      <c r="G615" s="117" t="s">
        <v>56</v>
      </c>
      <c r="H615" s="117" t="s">
        <v>397</v>
      </c>
      <c r="I615" s="119" t="n">
        <v>1</v>
      </c>
      <c r="J615" s="119" t="n">
        <v>0</v>
      </c>
      <c r="K615" s="117"/>
      <c r="L615" s="117"/>
    </row>
    <row r="616" customFormat="false" ht="15" hidden="false" customHeight="false" outlineLevel="0" collapsed="false">
      <c r="A616" s="117" t="s">
        <v>439</v>
      </c>
      <c r="B616" s="117" t="s">
        <v>1186</v>
      </c>
      <c r="C616" s="117" t="s">
        <v>8</v>
      </c>
      <c r="D616" s="117" t="s">
        <v>8</v>
      </c>
      <c r="E616" s="117" t="s">
        <v>1220</v>
      </c>
      <c r="F616" s="118" t="s">
        <v>111</v>
      </c>
      <c r="G616" s="117" t="s">
        <v>112</v>
      </c>
      <c r="H616" s="117" t="s">
        <v>397</v>
      </c>
      <c r="I616" s="119" t="n">
        <v>1</v>
      </c>
      <c r="J616" s="119" t="n">
        <v>0</v>
      </c>
      <c r="K616" s="117"/>
      <c r="L616" s="117"/>
    </row>
    <row r="617" customFormat="false" ht="15" hidden="false" customHeight="false" outlineLevel="0" collapsed="false">
      <c r="A617" s="117" t="s">
        <v>441</v>
      </c>
      <c r="B617" s="117" t="s">
        <v>1186</v>
      </c>
      <c r="C617" s="117" t="s">
        <v>8</v>
      </c>
      <c r="D617" s="117" t="s">
        <v>8</v>
      </c>
      <c r="E617" s="117" t="s">
        <v>1221</v>
      </c>
      <c r="F617" s="118" t="s">
        <v>111</v>
      </c>
      <c r="G617" s="117" t="s">
        <v>112</v>
      </c>
      <c r="H617" s="117" t="s">
        <v>397</v>
      </c>
      <c r="I617" s="119" t="n">
        <v>0</v>
      </c>
      <c r="J617" s="119" t="n">
        <v>1</v>
      </c>
      <c r="K617" s="117"/>
      <c r="L617" s="117"/>
    </row>
    <row r="618" customFormat="false" ht="15" hidden="false" customHeight="false" outlineLevel="0" collapsed="false">
      <c r="A618" s="117" t="s">
        <v>442</v>
      </c>
      <c r="B618" s="117" t="s">
        <v>1186</v>
      </c>
      <c r="C618" s="117" t="s">
        <v>8</v>
      </c>
      <c r="D618" s="117" t="s">
        <v>8</v>
      </c>
      <c r="E618" s="117" t="s">
        <v>222</v>
      </c>
      <c r="F618" s="118" t="s">
        <v>51</v>
      </c>
      <c r="G618" s="117" t="s">
        <v>52</v>
      </c>
      <c r="H618" s="117" t="s">
        <v>397</v>
      </c>
      <c r="I618" s="119" t="n">
        <v>1</v>
      </c>
      <c r="J618" s="119" t="n">
        <v>0</v>
      </c>
      <c r="K618" s="117"/>
      <c r="L618" s="117"/>
    </row>
    <row r="619" customFormat="false" ht="15" hidden="false" customHeight="false" outlineLevel="0" collapsed="false">
      <c r="A619" s="117" t="s">
        <v>429</v>
      </c>
      <c r="B619" s="117" t="s">
        <v>1186</v>
      </c>
      <c r="C619" s="117" t="s">
        <v>9</v>
      </c>
      <c r="D619" s="117" t="s">
        <v>9</v>
      </c>
      <c r="E619" s="117" t="s">
        <v>304</v>
      </c>
      <c r="F619" s="118" t="s">
        <v>55</v>
      </c>
      <c r="G619" s="117" t="s">
        <v>56</v>
      </c>
      <c r="H619" s="117" t="s">
        <v>397</v>
      </c>
      <c r="I619" s="119" t="n">
        <v>1</v>
      </c>
      <c r="J619" s="119" t="n">
        <v>0</v>
      </c>
      <c r="K619" s="117"/>
      <c r="L619" s="117"/>
    </row>
    <row r="620" customFormat="false" ht="15" hidden="false" customHeight="false" outlineLevel="0" collapsed="false">
      <c r="A620" s="117" t="s">
        <v>658</v>
      </c>
      <c r="B620" s="117" t="s">
        <v>1186</v>
      </c>
      <c r="C620" s="117" t="s">
        <v>9</v>
      </c>
      <c r="D620" s="117" t="s">
        <v>9</v>
      </c>
      <c r="E620" s="117" t="s">
        <v>224</v>
      </c>
      <c r="F620" s="118" t="s">
        <v>51</v>
      </c>
      <c r="G620" s="117" t="s">
        <v>52</v>
      </c>
      <c r="H620" s="117" t="s">
        <v>397</v>
      </c>
      <c r="I620" s="119" t="n">
        <v>1</v>
      </c>
      <c r="J620" s="119" t="n">
        <v>0</v>
      </c>
      <c r="K620" s="117"/>
      <c r="L620" s="117"/>
    </row>
    <row r="621" customFormat="false" ht="15" hidden="false" customHeight="false" outlineLevel="0" collapsed="false">
      <c r="A621" s="117" t="s">
        <v>827</v>
      </c>
      <c r="B621" s="117" t="s">
        <v>1186</v>
      </c>
      <c r="C621" s="117" t="s">
        <v>9</v>
      </c>
      <c r="D621" s="117" t="s">
        <v>9</v>
      </c>
      <c r="E621" s="117" t="s">
        <v>1222</v>
      </c>
      <c r="F621" s="118" t="s">
        <v>147</v>
      </c>
      <c r="G621" s="117" t="s">
        <v>148</v>
      </c>
      <c r="H621" s="117" t="s">
        <v>397</v>
      </c>
      <c r="I621" s="119" t="n">
        <v>1</v>
      </c>
      <c r="J621" s="119" t="n">
        <v>0</v>
      </c>
      <c r="K621" s="117"/>
      <c r="L621" s="117"/>
    </row>
    <row r="622" customFormat="false" ht="15" hidden="false" customHeight="false" outlineLevel="0" collapsed="false">
      <c r="A622" s="117" t="s">
        <v>494</v>
      </c>
      <c r="B622" s="117" t="s">
        <v>1186</v>
      </c>
      <c r="C622" s="117" t="s">
        <v>9</v>
      </c>
      <c r="D622" s="117" t="s">
        <v>9</v>
      </c>
      <c r="E622" s="117" t="s">
        <v>1223</v>
      </c>
      <c r="F622" s="118" t="s">
        <v>147</v>
      </c>
      <c r="G622" s="117" t="s">
        <v>148</v>
      </c>
      <c r="H622" s="117" t="s">
        <v>397</v>
      </c>
      <c r="I622" s="119" t="n">
        <v>1</v>
      </c>
      <c r="J622" s="119" t="n">
        <v>0</v>
      </c>
      <c r="K622" s="117"/>
      <c r="L622" s="117"/>
    </row>
    <row r="623" customFormat="false" ht="15" hidden="false" customHeight="false" outlineLevel="0" collapsed="false">
      <c r="A623" s="117" t="s">
        <v>496</v>
      </c>
      <c r="B623" s="117" t="s">
        <v>1186</v>
      </c>
      <c r="C623" s="117" t="s">
        <v>9</v>
      </c>
      <c r="D623" s="117" t="s">
        <v>9</v>
      </c>
      <c r="E623" s="117" t="s">
        <v>1224</v>
      </c>
      <c r="F623" s="118" t="s">
        <v>147</v>
      </c>
      <c r="G623" s="117" t="s">
        <v>148</v>
      </c>
      <c r="H623" s="117" t="s">
        <v>397</v>
      </c>
      <c r="I623" s="119" t="n">
        <v>1</v>
      </c>
      <c r="J623" s="119" t="n">
        <v>0</v>
      </c>
      <c r="K623" s="117"/>
      <c r="L623" s="117"/>
    </row>
    <row r="624" customFormat="false" ht="15" hidden="false" customHeight="false" outlineLevel="0" collapsed="false">
      <c r="A624" s="117" t="s">
        <v>1117</v>
      </c>
      <c r="B624" s="117" t="s">
        <v>1186</v>
      </c>
      <c r="C624" s="117" t="s">
        <v>9</v>
      </c>
      <c r="D624" s="117" t="s">
        <v>9</v>
      </c>
      <c r="E624" s="117" t="s">
        <v>1225</v>
      </c>
      <c r="F624" s="118" t="s">
        <v>147</v>
      </c>
      <c r="G624" s="117" t="s">
        <v>148</v>
      </c>
      <c r="H624" s="117" t="s">
        <v>397</v>
      </c>
      <c r="I624" s="119" t="n">
        <v>1</v>
      </c>
      <c r="J624" s="119" t="n">
        <v>0</v>
      </c>
      <c r="K624" s="117"/>
      <c r="L624" s="117"/>
    </row>
    <row r="625" customFormat="false" ht="15" hidden="false" customHeight="false" outlineLevel="0" collapsed="false">
      <c r="A625" s="117" t="s">
        <v>525</v>
      </c>
      <c r="B625" s="117" t="s">
        <v>1186</v>
      </c>
      <c r="C625" s="117" t="s">
        <v>9</v>
      </c>
      <c r="D625" s="117" t="s">
        <v>9</v>
      </c>
      <c r="E625" s="117" t="s">
        <v>1226</v>
      </c>
      <c r="F625" s="118" t="s">
        <v>147</v>
      </c>
      <c r="G625" s="117" t="s">
        <v>148</v>
      </c>
      <c r="H625" s="117" t="s">
        <v>397</v>
      </c>
      <c r="I625" s="119" t="n">
        <v>1</v>
      </c>
      <c r="J625" s="119" t="n">
        <v>0</v>
      </c>
      <c r="K625" s="117"/>
      <c r="L625" s="117"/>
    </row>
    <row r="626" customFormat="false" ht="15" hidden="false" customHeight="false" outlineLevel="0" collapsed="false">
      <c r="A626" s="117" t="s">
        <v>446</v>
      </c>
      <c r="B626" s="117" t="s">
        <v>1186</v>
      </c>
      <c r="C626" s="117" t="s">
        <v>10</v>
      </c>
      <c r="D626" s="117" t="s">
        <v>10</v>
      </c>
      <c r="E626" s="117" t="s">
        <v>233</v>
      </c>
      <c r="F626" s="118" t="s">
        <v>59</v>
      </c>
      <c r="G626" s="117" t="s">
        <v>60</v>
      </c>
      <c r="H626" s="117" t="s">
        <v>397</v>
      </c>
      <c r="I626" s="119" t="n">
        <v>1</v>
      </c>
      <c r="J626" s="119" t="n">
        <v>0</v>
      </c>
      <c r="K626" s="117"/>
      <c r="L626" s="117"/>
    </row>
    <row r="627" customFormat="false" ht="15" hidden="false" customHeight="false" outlineLevel="0" collapsed="false">
      <c r="A627" s="117" t="s">
        <v>448</v>
      </c>
      <c r="B627" s="117" t="s">
        <v>1186</v>
      </c>
      <c r="C627" s="117" t="s">
        <v>10</v>
      </c>
      <c r="D627" s="117" t="s">
        <v>10</v>
      </c>
      <c r="E627" s="117" t="s">
        <v>311</v>
      </c>
      <c r="F627" s="118" t="s">
        <v>55</v>
      </c>
      <c r="G627" s="117" t="s">
        <v>56</v>
      </c>
      <c r="H627" s="117" t="s">
        <v>397</v>
      </c>
      <c r="I627" s="119" t="n">
        <v>1</v>
      </c>
      <c r="J627" s="119" t="n">
        <v>0</v>
      </c>
      <c r="K627" s="117"/>
      <c r="L627" s="117"/>
    </row>
    <row r="628" customFormat="false" ht="15" hidden="false" customHeight="false" outlineLevel="0" collapsed="false">
      <c r="A628" s="117" t="s">
        <v>449</v>
      </c>
      <c r="B628" s="117" t="s">
        <v>1186</v>
      </c>
      <c r="C628" s="117" t="s">
        <v>10</v>
      </c>
      <c r="D628" s="117" t="s">
        <v>10</v>
      </c>
      <c r="E628" s="117" t="s">
        <v>317</v>
      </c>
      <c r="F628" s="118" t="s">
        <v>55</v>
      </c>
      <c r="G628" s="117" t="s">
        <v>56</v>
      </c>
      <c r="H628" s="117" t="s">
        <v>397</v>
      </c>
      <c r="I628" s="119" t="n">
        <v>1</v>
      </c>
      <c r="J628" s="119" t="n">
        <v>0</v>
      </c>
      <c r="K628" s="117"/>
      <c r="L628" s="117"/>
    </row>
    <row r="629" customFormat="false" ht="15" hidden="false" customHeight="false" outlineLevel="0" collapsed="false">
      <c r="A629" s="117" t="s">
        <v>450</v>
      </c>
      <c r="B629" s="117" t="s">
        <v>1186</v>
      </c>
      <c r="C629" s="117" t="s">
        <v>10</v>
      </c>
      <c r="D629" s="117" t="s">
        <v>10</v>
      </c>
      <c r="E629" s="117" t="s">
        <v>1227</v>
      </c>
      <c r="F629" s="118" t="s">
        <v>111</v>
      </c>
      <c r="G629" s="117" t="s">
        <v>112</v>
      </c>
      <c r="H629" s="117" t="s">
        <v>397</v>
      </c>
      <c r="I629" s="119" t="n">
        <v>1</v>
      </c>
      <c r="J629" s="119" t="n">
        <v>0</v>
      </c>
      <c r="K629" s="117"/>
      <c r="L629" s="117"/>
    </row>
    <row r="630" customFormat="false" ht="15" hidden="false" customHeight="false" outlineLevel="0" collapsed="false">
      <c r="A630" s="117" t="s">
        <v>451</v>
      </c>
      <c r="B630" s="117" t="s">
        <v>1186</v>
      </c>
      <c r="C630" s="117" t="s">
        <v>10</v>
      </c>
      <c r="D630" s="117" t="s">
        <v>10</v>
      </c>
      <c r="E630" s="117" t="s">
        <v>226</v>
      </c>
      <c r="F630" s="118" t="s">
        <v>51</v>
      </c>
      <c r="G630" s="117" t="s">
        <v>52</v>
      </c>
      <c r="H630" s="117" t="s">
        <v>397</v>
      </c>
      <c r="I630" s="119" t="n">
        <v>1</v>
      </c>
      <c r="J630" s="119" t="n">
        <v>0</v>
      </c>
      <c r="K630" s="117"/>
      <c r="L630" s="117"/>
    </row>
    <row r="631" customFormat="false" ht="15" hidden="false" customHeight="false" outlineLevel="0" collapsed="false">
      <c r="A631" s="117" t="s">
        <v>452</v>
      </c>
      <c r="B631" s="117" t="s">
        <v>1186</v>
      </c>
      <c r="C631" s="117" t="s">
        <v>10</v>
      </c>
      <c r="D631" s="117" t="s">
        <v>10</v>
      </c>
      <c r="E631" s="117" t="s">
        <v>227</v>
      </c>
      <c r="F631" s="118" t="s">
        <v>51</v>
      </c>
      <c r="G631" s="117" t="s">
        <v>52</v>
      </c>
      <c r="H631" s="117" t="s">
        <v>397</v>
      </c>
      <c r="I631" s="119" t="n">
        <v>1</v>
      </c>
      <c r="J631" s="119" t="n">
        <v>0</v>
      </c>
      <c r="K631" s="117"/>
      <c r="L631" s="117"/>
    </row>
    <row r="632" customFormat="false" ht="15" hidden="false" customHeight="false" outlineLevel="0" collapsed="false">
      <c r="A632" s="117" t="s">
        <v>1228</v>
      </c>
      <c r="B632" s="117" t="s">
        <v>1186</v>
      </c>
      <c r="C632" s="117" t="s">
        <v>1229</v>
      </c>
      <c r="D632" s="117" t="s">
        <v>16</v>
      </c>
      <c r="E632" s="117" t="s">
        <v>344</v>
      </c>
      <c r="F632" s="118" t="s">
        <v>55</v>
      </c>
      <c r="G632" s="117" t="s">
        <v>56</v>
      </c>
      <c r="H632" s="117" t="s">
        <v>397</v>
      </c>
      <c r="I632" s="119" t="n">
        <v>1</v>
      </c>
      <c r="J632" s="119" t="n">
        <v>0</v>
      </c>
      <c r="K632" s="117"/>
      <c r="L632" s="117"/>
    </row>
    <row r="633" customFormat="false" ht="15" hidden="false" customHeight="false" outlineLevel="0" collapsed="false">
      <c r="A633" s="117" t="s">
        <v>416</v>
      </c>
      <c r="B633" s="117" t="s">
        <v>1186</v>
      </c>
      <c r="C633" s="117" t="s">
        <v>24</v>
      </c>
      <c r="D633" s="117" t="s">
        <v>24</v>
      </c>
      <c r="E633" s="117" t="s">
        <v>1230</v>
      </c>
      <c r="F633" s="118" t="s">
        <v>117</v>
      </c>
      <c r="G633" s="117" t="s">
        <v>118</v>
      </c>
      <c r="H633" s="117" t="s">
        <v>397</v>
      </c>
      <c r="I633" s="119" t="n">
        <v>0</v>
      </c>
      <c r="J633" s="119" t="n">
        <v>1</v>
      </c>
      <c r="K633" s="117"/>
      <c r="L633" s="117"/>
    </row>
    <row r="634" customFormat="false" ht="15" hidden="false" customHeight="false" outlineLevel="0" collapsed="false">
      <c r="A634" s="117" t="s">
        <v>995</v>
      </c>
      <c r="B634" s="117" t="s">
        <v>1186</v>
      </c>
      <c r="C634" s="117" t="s">
        <v>24</v>
      </c>
      <c r="D634" s="117" t="s">
        <v>24</v>
      </c>
      <c r="E634" s="117" t="s">
        <v>1231</v>
      </c>
      <c r="F634" s="118" t="s">
        <v>117</v>
      </c>
      <c r="G634" s="117" t="s">
        <v>118</v>
      </c>
      <c r="H634" s="117" t="s">
        <v>397</v>
      </c>
      <c r="I634" s="119" t="n">
        <v>1</v>
      </c>
      <c r="J634" s="119" t="n">
        <v>0</v>
      </c>
      <c r="K634" s="117"/>
      <c r="L634" s="117"/>
    </row>
    <row r="635" customFormat="false" ht="15" hidden="false" customHeight="false" outlineLevel="0" collapsed="false">
      <c r="A635" s="117" t="s">
        <v>640</v>
      </c>
      <c r="B635" s="117" t="s">
        <v>1186</v>
      </c>
      <c r="C635" s="117" t="s">
        <v>24</v>
      </c>
      <c r="D635" s="117" t="s">
        <v>24</v>
      </c>
      <c r="E635" s="117" t="s">
        <v>1232</v>
      </c>
      <c r="F635" s="118" t="s">
        <v>117</v>
      </c>
      <c r="G635" s="117" t="s">
        <v>118</v>
      </c>
      <c r="H635" s="117" t="s">
        <v>397</v>
      </c>
      <c r="I635" s="119" t="n">
        <v>1</v>
      </c>
      <c r="J635" s="119" t="n">
        <v>0</v>
      </c>
      <c r="K635" s="117"/>
      <c r="L635" s="117"/>
    </row>
    <row r="636" customFormat="false" ht="15" hidden="false" customHeight="false" outlineLevel="0" collapsed="false">
      <c r="A636" s="117" t="s">
        <v>497</v>
      </c>
      <c r="B636" s="117" t="s">
        <v>1186</v>
      </c>
      <c r="C636" s="117" t="s">
        <v>24</v>
      </c>
      <c r="D636" s="117" t="s">
        <v>24</v>
      </c>
      <c r="E636" s="117" t="s">
        <v>1233</v>
      </c>
      <c r="F636" s="118" t="s">
        <v>117</v>
      </c>
      <c r="G636" s="117" t="s">
        <v>118</v>
      </c>
      <c r="H636" s="117" t="s">
        <v>397</v>
      </c>
      <c r="I636" s="119" t="n">
        <v>1</v>
      </c>
      <c r="J636" s="119" t="n">
        <v>0</v>
      </c>
      <c r="K636" s="117"/>
      <c r="L636" s="117"/>
    </row>
    <row r="637" customFormat="false" ht="15" hidden="false" customHeight="false" outlineLevel="0" collapsed="false">
      <c r="A637" s="117" t="s">
        <v>401</v>
      </c>
      <c r="B637" s="117" t="s">
        <v>1186</v>
      </c>
      <c r="C637" s="117" t="s">
        <v>532</v>
      </c>
      <c r="D637" s="117" t="s">
        <v>21</v>
      </c>
      <c r="E637" s="117" t="s">
        <v>243</v>
      </c>
      <c r="F637" s="118" t="s">
        <v>59</v>
      </c>
      <c r="G637" s="117" t="s">
        <v>60</v>
      </c>
      <c r="H637" s="117" t="s">
        <v>397</v>
      </c>
      <c r="I637" s="119" t="n">
        <v>1</v>
      </c>
      <c r="J637" s="119" t="n">
        <v>0</v>
      </c>
      <c r="K637" s="117"/>
      <c r="L637" s="117"/>
    </row>
    <row r="638" customFormat="false" ht="15" hidden="false" customHeight="false" outlineLevel="0" collapsed="false">
      <c r="A638" s="117" t="s">
        <v>404</v>
      </c>
      <c r="B638" s="117" t="s">
        <v>1186</v>
      </c>
      <c r="C638" s="117" t="s">
        <v>532</v>
      </c>
      <c r="D638" s="117" t="s">
        <v>21</v>
      </c>
      <c r="E638" s="117" t="s">
        <v>245</v>
      </c>
      <c r="F638" s="118" t="s">
        <v>59</v>
      </c>
      <c r="G638" s="117" t="s">
        <v>60</v>
      </c>
      <c r="H638" s="117" t="s">
        <v>397</v>
      </c>
      <c r="I638" s="119" t="n">
        <v>1</v>
      </c>
      <c r="J638" s="119" t="n">
        <v>0</v>
      </c>
      <c r="K638" s="117"/>
      <c r="L638" s="117"/>
    </row>
    <row r="639" customFormat="false" ht="15" hidden="false" customHeight="false" outlineLevel="0" collapsed="false">
      <c r="A639" s="117" t="s">
        <v>406</v>
      </c>
      <c r="B639" s="117" t="s">
        <v>1186</v>
      </c>
      <c r="C639" s="117" t="s">
        <v>532</v>
      </c>
      <c r="D639" s="117" t="s">
        <v>21</v>
      </c>
      <c r="E639" s="117" t="s">
        <v>247</v>
      </c>
      <c r="F639" s="118" t="s">
        <v>59</v>
      </c>
      <c r="G639" s="117" t="s">
        <v>60</v>
      </c>
      <c r="H639" s="117" t="s">
        <v>397</v>
      </c>
      <c r="I639" s="119" t="n">
        <v>0</v>
      </c>
      <c r="J639" s="119" t="n">
        <v>1</v>
      </c>
      <c r="K639" s="117"/>
      <c r="L639" s="117"/>
    </row>
    <row r="640" customFormat="false" ht="15" hidden="false" customHeight="false" outlineLevel="0" collapsed="false">
      <c r="A640" s="117" t="s">
        <v>408</v>
      </c>
      <c r="B640" s="117" t="s">
        <v>1186</v>
      </c>
      <c r="C640" s="117" t="s">
        <v>532</v>
      </c>
      <c r="D640" s="117" t="s">
        <v>21</v>
      </c>
      <c r="E640" s="117" t="s">
        <v>249</v>
      </c>
      <c r="F640" s="118" t="s">
        <v>59</v>
      </c>
      <c r="G640" s="117" t="s">
        <v>60</v>
      </c>
      <c r="H640" s="117" t="s">
        <v>397</v>
      </c>
      <c r="I640" s="119" t="n">
        <v>0</v>
      </c>
      <c r="J640" s="119" t="n">
        <v>1</v>
      </c>
      <c r="K640" s="117"/>
      <c r="L640" s="117"/>
    </row>
    <row r="641" customFormat="false" ht="15" hidden="false" customHeight="false" outlineLevel="0" collapsed="false">
      <c r="A641" s="117" t="s">
        <v>410</v>
      </c>
      <c r="B641" s="117" t="s">
        <v>1186</v>
      </c>
      <c r="C641" s="117" t="s">
        <v>532</v>
      </c>
      <c r="D641" s="117" t="s">
        <v>21</v>
      </c>
      <c r="E641" s="117" t="s">
        <v>251</v>
      </c>
      <c r="F641" s="118" t="s">
        <v>59</v>
      </c>
      <c r="G641" s="117" t="s">
        <v>60</v>
      </c>
      <c r="H641" s="117" t="s">
        <v>397</v>
      </c>
      <c r="I641" s="119" t="n">
        <v>0</v>
      </c>
      <c r="J641" s="119" t="n">
        <v>1</v>
      </c>
      <c r="K641" s="117"/>
      <c r="L641" s="117"/>
    </row>
    <row r="642" customFormat="false" ht="15" hidden="false" customHeight="false" outlineLevel="0" collapsed="false">
      <c r="A642" s="117" t="s">
        <v>412</v>
      </c>
      <c r="B642" s="117" t="s">
        <v>1186</v>
      </c>
      <c r="C642" s="117" t="s">
        <v>532</v>
      </c>
      <c r="D642" s="117" t="s">
        <v>21</v>
      </c>
      <c r="E642" s="117" t="s">
        <v>255</v>
      </c>
      <c r="F642" s="118" t="s">
        <v>59</v>
      </c>
      <c r="G642" s="117" t="s">
        <v>60</v>
      </c>
      <c r="H642" s="117" t="s">
        <v>397</v>
      </c>
      <c r="I642" s="119" t="n">
        <v>1</v>
      </c>
      <c r="J642" s="119" t="n">
        <v>0</v>
      </c>
      <c r="K642" s="117"/>
      <c r="L642" s="117"/>
    </row>
    <row r="643" customFormat="false" ht="15" hidden="false" customHeight="false" outlineLevel="0" collapsed="false">
      <c r="A643" s="117" t="s">
        <v>414</v>
      </c>
      <c r="B643" s="117" t="s">
        <v>1186</v>
      </c>
      <c r="C643" s="117" t="s">
        <v>532</v>
      </c>
      <c r="D643" s="117" t="s">
        <v>21</v>
      </c>
      <c r="E643" s="117" t="s">
        <v>357</v>
      </c>
      <c r="F643" s="118" t="s">
        <v>55</v>
      </c>
      <c r="G643" s="117" t="s">
        <v>56</v>
      </c>
      <c r="H643" s="117" t="s">
        <v>397</v>
      </c>
      <c r="I643" s="119" t="n">
        <v>0</v>
      </c>
      <c r="J643" s="119" t="n">
        <v>1</v>
      </c>
      <c r="K643" s="117"/>
      <c r="L643" s="117"/>
    </row>
    <row r="644" customFormat="false" ht="15" hidden="false" customHeight="false" outlineLevel="0" collapsed="false">
      <c r="A644" s="117" t="s">
        <v>572</v>
      </c>
      <c r="B644" s="117" t="s">
        <v>1186</v>
      </c>
      <c r="C644" s="117" t="s">
        <v>532</v>
      </c>
      <c r="D644" s="117" t="s">
        <v>21</v>
      </c>
      <c r="E644" s="117" t="s">
        <v>363</v>
      </c>
      <c r="F644" s="118" t="s">
        <v>55</v>
      </c>
      <c r="G644" s="117" t="s">
        <v>56</v>
      </c>
      <c r="H644" s="117" t="s">
        <v>397</v>
      </c>
      <c r="I644" s="119" t="n">
        <v>0</v>
      </c>
      <c r="J644" s="119" t="n">
        <v>1</v>
      </c>
      <c r="K644" s="117"/>
      <c r="L644" s="117"/>
    </row>
    <row r="645" customFormat="false" ht="15" hidden="false" customHeight="false" outlineLevel="0" collapsed="false">
      <c r="A645" s="117" t="s">
        <v>741</v>
      </c>
      <c r="B645" s="117" t="s">
        <v>1186</v>
      </c>
      <c r="C645" s="117" t="s">
        <v>532</v>
      </c>
      <c r="D645" s="117" t="s">
        <v>21</v>
      </c>
      <c r="E645" s="117" t="s">
        <v>369</v>
      </c>
      <c r="F645" s="118" t="s">
        <v>55</v>
      </c>
      <c r="G645" s="117" t="s">
        <v>56</v>
      </c>
      <c r="H645" s="117" t="s">
        <v>397</v>
      </c>
      <c r="I645" s="119" t="n">
        <v>1</v>
      </c>
      <c r="J645" s="119" t="n">
        <v>0</v>
      </c>
      <c r="K645" s="117"/>
      <c r="L645" s="117"/>
    </row>
    <row r="646" customFormat="false" ht="15" hidden="false" customHeight="false" outlineLevel="0" collapsed="false">
      <c r="A646" s="117" t="s">
        <v>743</v>
      </c>
      <c r="B646" s="117" t="s">
        <v>1186</v>
      </c>
      <c r="C646" s="117" t="s">
        <v>532</v>
      </c>
      <c r="D646" s="117" t="s">
        <v>21</v>
      </c>
      <c r="E646" s="117" t="s">
        <v>375</v>
      </c>
      <c r="F646" s="118" t="s">
        <v>55</v>
      </c>
      <c r="G646" s="117" t="s">
        <v>56</v>
      </c>
      <c r="H646" s="117" t="s">
        <v>397</v>
      </c>
      <c r="I646" s="119" t="n">
        <v>0</v>
      </c>
      <c r="J646" s="119" t="n">
        <v>1</v>
      </c>
      <c r="K646" s="117"/>
      <c r="L646" s="117"/>
    </row>
    <row r="647" customFormat="false" ht="15" hidden="false" customHeight="false" outlineLevel="0" collapsed="false">
      <c r="A647" s="117" t="s">
        <v>531</v>
      </c>
      <c r="B647" s="117" t="s">
        <v>1186</v>
      </c>
      <c r="C647" s="117" t="s">
        <v>532</v>
      </c>
      <c r="D647" s="117" t="s">
        <v>21</v>
      </c>
      <c r="E647" s="117" t="s">
        <v>381</v>
      </c>
      <c r="F647" s="118" t="s">
        <v>55</v>
      </c>
      <c r="G647" s="117" t="s">
        <v>56</v>
      </c>
      <c r="H647" s="117" t="s">
        <v>397</v>
      </c>
      <c r="I647" s="119" t="n">
        <v>1</v>
      </c>
      <c r="J647" s="119" t="n">
        <v>0</v>
      </c>
      <c r="K647" s="117"/>
      <c r="L647" s="117"/>
    </row>
    <row r="648" customFormat="false" ht="15" hidden="false" customHeight="false" outlineLevel="0" collapsed="false">
      <c r="A648" s="117" t="s">
        <v>746</v>
      </c>
      <c r="B648" s="117" t="s">
        <v>1186</v>
      </c>
      <c r="C648" s="117" t="s">
        <v>532</v>
      </c>
      <c r="D648" s="117" t="s">
        <v>21</v>
      </c>
      <c r="E648" s="117" t="s">
        <v>166</v>
      </c>
      <c r="F648" s="118" t="s">
        <v>55</v>
      </c>
      <c r="G648" s="117" t="s">
        <v>56</v>
      </c>
      <c r="H648" s="117" t="s">
        <v>397</v>
      </c>
      <c r="I648" s="119" t="n">
        <v>0</v>
      </c>
      <c r="J648" s="119" t="n">
        <v>1</v>
      </c>
      <c r="K648" s="117"/>
      <c r="L648" s="117"/>
    </row>
    <row r="649" customFormat="false" ht="15" hidden="false" customHeight="false" outlineLevel="0" collapsed="false">
      <c r="A649" s="117" t="s">
        <v>1234</v>
      </c>
      <c r="B649" s="117" t="s">
        <v>1186</v>
      </c>
      <c r="C649" s="117" t="s">
        <v>532</v>
      </c>
      <c r="D649" s="117" t="s">
        <v>21</v>
      </c>
      <c r="E649" s="117" t="s">
        <v>168</v>
      </c>
      <c r="F649" s="118" t="s">
        <v>55</v>
      </c>
      <c r="G649" s="117" t="s">
        <v>56</v>
      </c>
      <c r="H649" s="117" t="s">
        <v>397</v>
      </c>
      <c r="I649" s="119" t="n">
        <v>1</v>
      </c>
      <c r="J649" s="119" t="n">
        <v>0</v>
      </c>
      <c r="K649" s="117"/>
      <c r="L649" s="117"/>
    </row>
    <row r="650" customFormat="false" ht="15" hidden="false" customHeight="false" outlineLevel="0" collapsed="false">
      <c r="A650" s="117" t="s">
        <v>1235</v>
      </c>
      <c r="B650" s="117" t="s">
        <v>1186</v>
      </c>
      <c r="C650" s="117" t="s">
        <v>532</v>
      </c>
      <c r="D650" s="117" t="s">
        <v>21</v>
      </c>
      <c r="E650" s="117" t="s">
        <v>170</v>
      </c>
      <c r="F650" s="118" t="s">
        <v>55</v>
      </c>
      <c r="G650" s="117" t="s">
        <v>56</v>
      </c>
      <c r="H650" s="117" t="s">
        <v>397</v>
      </c>
      <c r="I650" s="119" t="n">
        <v>0</v>
      </c>
      <c r="J650" s="119" t="n">
        <v>1</v>
      </c>
      <c r="K650" s="117"/>
      <c r="L650" s="117"/>
    </row>
    <row r="651" customFormat="false" ht="15" hidden="false" customHeight="false" outlineLevel="0" collapsed="false">
      <c r="A651" s="117" t="s">
        <v>1064</v>
      </c>
      <c r="B651" s="117" t="s">
        <v>1186</v>
      </c>
      <c r="C651" s="117" t="s">
        <v>532</v>
      </c>
      <c r="D651" s="117" t="s">
        <v>21</v>
      </c>
      <c r="E651" s="117" t="s">
        <v>172</v>
      </c>
      <c r="F651" s="118" t="s">
        <v>55</v>
      </c>
      <c r="G651" s="117" t="s">
        <v>56</v>
      </c>
      <c r="H651" s="117" t="s">
        <v>397</v>
      </c>
      <c r="I651" s="119" t="n">
        <v>1</v>
      </c>
      <c r="J651" s="119" t="n">
        <v>0</v>
      </c>
      <c r="K651" s="117"/>
      <c r="L651" s="117"/>
    </row>
    <row r="652" customFormat="false" ht="15" hidden="false" customHeight="false" outlineLevel="0" collapsed="false">
      <c r="A652" s="117" t="s">
        <v>629</v>
      </c>
      <c r="B652" s="117" t="s">
        <v>1186</v>
      </c>
      <c r="C652" s="117" t="s">
        <v>532</v>
      </c>
      <c r="D652" s="117" t="s">
        <v>21</v>
      </c>
      <c r="E652" s="117" t="s">
        <v>322</v>
      </c>
      <c r="F652" s="118" t="s">
        <v>135</v>
      </c>
      <c r="G652" s="117" t="s">
        <v>136</v>
      </c>
      <c r="H652" s="117" t="s">
        <v>397</v>
      </c>
      <c r="I652" s="119" t="n">
        <v>1</v>
      </c>
      <c r="J652" s="119" t="n">
        <v>1</v>
      </c>
      <c r="K652" s="117"/>
      <c r="L652" s="117"/>
    </row>
    <row r="653" customFormat="false" ht="15" hidden="false" customHeight="false" outlineLevel="0" collapsed="false">
      <c r="A653" s="117" t="s">
        <v>631</v>
      </c>
      <c r="B653" s="117" t="s">
        <v>1186</v>
      </c>
      <c r="C653" s="117" t="s">
        <v>532</v>
      </c>
      <c r="D653" s="117" t="s">
        <v>21</v>
      </c>
      <c r="E653" s="117" t="s">
        <v>329</v>
      </c>
      <c r="F653" s="118" t="s">
        <v>135</v>
      </c>
      <c r="G653" s="117" t="s">
        <v>136</v>
      </c>
      <c r="H653" s="117" t="s">
        <v>397</v>
      </c>
      <c r="I653" s="119" t="n">
        <v>1</v>
      </c>
      <c r="J653" s="119" t="n">
        <v>0</v>
      </c>
      <c r="K653" s="117"/>
      <c r="L653" s="117"/>
    </row>
    <row r="654" customFormat="false" ht="15" hidden="false" customHeight="false" outlineLevel="0" collapsed="false">
      <c r="A654" s="117" t="s">
        <v>1168</v>
      </c>
      <c r="B654" s="117" t="s">
        <v>1186</v>
      </c>
      <c r="C654" s="117" t="s">
        <v>19</v>
      </c>
      <c r="D654" s="117" t="s">
        <v>19</v>
      </c>
      <c r="E654" s="117" t="s">
        <v>303</v>
      </c>
      <c r="F654" s="118" t="s">
        <v>135</v>
      </c>
      <c r="G654" s="117" t="s">
        <v>136</v>
      </c>
      <c r="H654" s="117" t="s">
        <v>397</v>
      </c>
      <c r="I654" s="119" t="n">
        <v>1</v>
      </c>
      <c r="J654" s="119" t="n">
        <v>0</v>
      </c>
      <c r="K654" s="117"/>
      <c r="L654" s="117"/>
    </row>
    <row r="655" customFormat="false" ht="15" hidden="false" customHeight="false" outlineLevel="0" collapsed="false">
      <c r="A655" s="117" t="s">
        <v>1169</v>
      </c>
      <c r="B655" s="117" t="s">
        <v>1186</v>
      </c>
      <c r="C655" s="117" t="s">
        <v>19</v>
      </c>
      <c r="D655" s="117" t="s">
        <v>19</v>
      </c>
      <c r="E655" s="117" t="s">
        <v>350</v>
      </c>
      <c r="F655" s="118" t="s">
        <v>55</v>
      </c>
      <c r="G655" s="117" t="s">
        <v>56</v>
      </c>
      <c r="H655" s="117" t="s">
        <v>397</v>
      </c>
      <c r="I655" s="119" t="n">
        <v>1</v>
      </c>
      <c r="J655" s="119" t="n">
        <v>0</v>
      </c>
      <c r="K655" s="117"/>
      <c r="L655" s="117"/>
    </row>
    <row r="656" customFormat="false" ht="15" hidden="false" customHeight="false" outlineLevel="0" collapsed="false">
      <c r="A656" s="117" t="s">
        <v>557</v>
      </c>
      <c r="B656" s="117" t="s">
        <v>1186</v>
      </c>
      <c r="C656" s="117" t="s">
        <v>498</v>
      </c>
      <c r="D656" s="117" t="s">
        <v>12</v>
      </c>
      <c r="E656" s="117" t="s">
        <v>235</v>
      </c>
      <c r="F656" s="118" t="s">
        <v>59</v>
      </c>
      <c r="G656" s="117" t="s">
        <v>60</v>
      </c>
      <c r="H656" s="117" t="s">
        <v>397</v>
      </c>
      <c r="I656" s="119" t="n">
        <v>1</v>
      </c>
      <c r="J656" s="119" t="n">
        <v>0</v>
      </c>
      <c r="K656" s="117"/>
      <c r="L656" s="117"/>
    </row>
    <row r="657" customFormat="false" ht="15" hidden="false" customHeight="false" outlineLevel="0" collapsed="false">
      <c r="A657" s="117" t="s">
        <v>788</v>
      </c>
      <c r="B657" s="117" t="s">
        <v>1186</v>
      </c>
      <c r="C657" s="117" t="s">
        <v>498</v>
      </c>
      <c r="D657" s="117" t="s">
        <v>12</v>
      </c>
      <c r="E657" s="117" t="s">
        <v>228</v>
      </c>
      <c r="F657" s="118" t="s">
        <v>51</v>
      </c>
      <c r="G657" s="117" t="s">
        <v>52</v>
      </c>
      <c r="H657" s="117" t="s">
        <v>397</v>
      </c>
      <c r="I657" s="119" t="n">
        <v>1</v>
      </c>
      <c r="J657" s="119" t="n">
        <v>0</v>
      </c>
      <c r="K657" s="117"/>
      <c r="L657" s="117"/>
    </row>
    <row r="658" customFormat="false" ht="15" hidden="false" customHeight="false" outlineLevel="0" collapsed="false">
      <c r="A658" s="117" t="s">
        <v>1236</v>
      </c>
      <c r="B658" s="117" t="s">
        <v>1186</v>
      </c>
      <c r="C658" s="117" t="s">
        <v>558</v>
      </c>
      <c r="D658" s="117" t="s">
        <v>11</v>
      </c>
      <c r="E658" s="117" t="s">
        <v>323</v>
      </c>
      <c r="F658" s="118" t="s">
        <v>55</v>
      </c>
      <c r="G658" s="117" t="s">
        <v>56</v>
      </c>
      <c r="H658" s="117" t="s">
        <v>397</v>
      </c>
      <c r="I658" s="119" t="n">
        <v>1</v>
      </c>
      <c r="J658" s="119" t="n">
        <v>0</v>
      </c>
      <c r="K658" s="117"/>
      <c r="L658" s="117"/>
    </row>
    <row r="659" customFormat="false" ht="15" hidden="false" customHeight="false" outlineLevel="0" collapsed="false">
      <c r="A659" s="117" t="s">
        <v>504</v>
      </c>
      <c r="B659" s="117" t="s">
        <v>1186</v>
      </c>
      <c r="C659" s="117" t="s">
        <v>1237</v>
      </c>
      <c r="D659" s="117" t="s">
        <v>13</v>
      </c>
      <c r="E659" s="117" t="s">
        <v>236</v>
      </c>
      <c r="F659" s="118" t="s">
        <v>59</v>
      </c>
      <c r="G659" s="117" t="s">
        <v>60</v>
      </c>
      <c r="H659" s="117" t="s">
        <v>397</v>
      </c>
      <c r="I659" s="119" t="n">
        <v>1</v>
      </c>
      <c r="J659" s="119" t="n">
        <v>0</v>
      </c>
      <c r="K659" s="117"/>
      <c r="L659" s="117"/>
    </row>
    <row r="660" customFormat="false" ht="15" hidden="false" customHeight="false" outlineLevel="0" collapsed="false">
      <c r="A660" s="117" t="s">
        <v>507</v>
      </c>
      <c r="B660" s="117" t="s">
        <v>1186</v>
      </c>
      <c r="C660" s="117" t="s">
        <v>1237</v>
      </c>
      <c r="D660" s="117" t="s">
        <v>13</v>
      </c>
      <c r="E660" s="117" t="s">
        <v>330</v>
      </c>
      <c r="F660" s="118" t="s">
        <v>55</v>
      </c>
      <c r="G660" s="117" t="s">
        <v>56</v>
      </c>
      <c r="H660" s="117" t="s">
        <v>397</v>
      </c>
      <c r="I660" s="119" t="n">
        <v>1</v>
      </c>
      <c r="J660" s="119" t="n">
        <v>0</v>
      </c>
      <c r="K660" s="117"/>
      <c r="L660" s="117"/>
    </row>
    <row r="661" customFormat="false" ht="15" hidden="false" customHeight="false" outlineLevel="0" collapsed="false">
      <c r="A661" s="117" t="s">
        <v>509</v>
      </c>
      <c r="B661" s="117" t="s">
        <v>1186</v>
      </c>
      <c r="C661" s="117" t="s">
        <v>1237</v>
      </c>
      <c r="D661" s="117" t="s">
        <v>13</v>
      </c>
      <c r="E661" s="117" t="s">
        <v>1238</v>
      </c>
      <c r="F661" s="118" t="s">
        <v>111</v>
      </c>
      <c r="G661" s="117" t="s">
        <v>112</v>
      </c>
      <c r="H661" s="117" t="s">
        <v>397</v>
      </c>
      <c r="I661" s="119" t="n">
        <v>1</v>
      </c>
      <c r="J661" s="119" t="n">
        <v>0</v>
      </c>
      <c r="K661" s="117"/>
      <c r="L661" s="117"/>
    </row>
    <row r="662" customFormat="false" ht="15" hidden="false" customHeight="false" outlineLevel="0" collapsed="false">
      <c r="A662" s="117" t="s">
        <v>700</v>
      </c>
      <c r="B662" s="117" t="s">
        <v>1186</v>
      </c>
      <c r="C662" s="117" t="s">
        <v>1237</v>
      </c>
      <c r="D662" s="117" t="s">
        <v>13</v>
      </c>
      <c r="E662" s="117" t="s">
        <v>1239</v>
      </c>
      <c r="F662" s="118" t="s">
        <v>111</v>
      </c>
      <c r="G662" s="117" t="s">
        <v>112</v>
      </c>
      <c r="H662" s="117" t="s">
        <v>397</v>
      </c>
      <c r="I662" s="119" t="n">
        <v>1</v>
      </c>
      <c r="J662" s="119" t="n">
        <v>0</v>
      </c>
      <c r="K662" s="117"/>
      <c r="L662" s="117"/>
    </row>
    <row r="663" customFormat="false" ht="15" hidden="false" customHeight="false" outlineLevel="0" collapsed="false">
      <c r="A663" s="117" t="s">
        <v>564</v>
      </c>
      <c r="B663" s="117" t="s">
        <v>1186</v>
      </c>
      <c r="C663" s="117" t="s">
        <v>1237</v>
      </c>
      <c r="D663" s="117" t="s">
        <v>13</v>
      </c>
      <c r="E663" s="117" t="s">
        <v>1240</v>
      </c>
      <c r="F663" s="118" t="s">
        <v>111</v>
      </c>
      <c r="G663" s="117" t="s">
        <v>112</v>
      </c>
      <c r="H663" s="117" t="s">
        <v>397</v>
      </c>
      <c r="I663" s="119" t="n">
        <v>1</v>
      </c>
      <c r="J663" s="119" t="n">
        <v>0</v>
      </c>
      <c r="K663" s="117"/>
      <c r="L663" s="117"/>
    </row>
    <row r="664" customFormat="false" ht="15" hidden="false" customHeight="false" outlineLevel="0" collapsed="false">
      <c r="A664" s="117" t="s">
        <v>868</v>
      </c>
      <c r="B664" s="117" t="s">
        <v>1186</v>
      </c>
      <c r="C664" s="117" t="s">
        <v>1237</v>
      </c>
      <c r="D664" s="117" t="s">
        <v>13</v>
      </c>
      <c r="E664" s="117" t="s">
        <v>1241</v>
      </c>
      <c r="F664" s="118" t="s">
        <v>111</v>
      </c>
      <c r="G664" s="117" t="s">
        <v>112</v>
      </c>
      <c r="H664" s="117" t="s">
        <v>397</v>
      </c>
      <c r="I664" s="119" t="n">
        <v>1</v>
      </c>
      <c r="J664" s="119" t="n">
        <v>0</v>
      </c>
      <c r="K664" s="117"/>
      <c r="L664" s="117"/>
    </row>
  </sheetData>
  <autoFilter ref="A1:L6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2026-10-27T11:22:00Z</dcterms:created>
  <dc:creator>openpyxl</dc:creator>
  <dc:description/>
  <dc:language>en-US</dc:language>
  <cp:lastModifiedBy/>
  <dcterms:modified xsi:type="dcterms:W3CDTF">2026-10-27T11:22:00Z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