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<sst xmlns="http://schemas.openxmlformats.org/spreadsheetml/2006/main" count="6045" uniqueCount="1244">
  <si>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</si>
  <si>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</si>
  <si>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</si>
  <si>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</si>
  <si>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</si>
  <si>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</si>
  <si>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</si>
  <si>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</si>
  <si>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</si>
  <si>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</si>
  <si>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</si>
  <si>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</si>
  <si>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</si>
  <si>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</si>
  <si>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</si>
  <si>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</si>
  <si>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</si>
  <si>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</si>
  <si>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</si>
  <si>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</si>
  <si>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</si>
  <si>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</si>
  <si>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</si>
  <si>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</si>
  <si>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</si>
  <si>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</si>
  <si>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</si>
  <si>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</si>
  <si>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</si>
  <si>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</si>
  <si>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</si>
  <si>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</si>
  <si>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</si>
  <si>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</si>
  <si>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</si>
  <si>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</si>
  <si>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</si>
  <si>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</si>
  <si>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</si>
  <si>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</si>
  <si>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СМУ УТТ</t>
  </si>
  <si>
    <t xml:space="preserve">СБ</t>
  </si>
  <si>
    <t xml:space="preserve">БПО</t>
  </si>
  <si>
    <t xml:space="preserve">МГС</t>
  </si>
  <si>
    <t xml:space="preserve">РМУ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</si>
  <si>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</si>
  <si>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</si>
  <si>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</si>
  <si>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</si>
  <si>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</si>
  <si>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</si>
  <si>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</si>
  <si>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</si>
  <si>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</si>
  <si>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</si>
  <si>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</si>
  <si>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</si>
  <si>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</si>
  <si>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</si>
  <si>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</si>
  <si>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</si>
  <si>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</si>
  <si>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</si>
  <si>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</si>
  <si>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</si>
  <si>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</si>
  <si>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</si>
  <si>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</si>
  <si>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</si>
  <si>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</si>
  <si>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</si>
  <si>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</si>
  <si>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</si>
  <si>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</si>
  <si>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</si>
  <si>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</si>
  <si>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</si>
  <si>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</si>
  <si>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</si>
  <si>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</si>
  <si>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</si>
  <si>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</si>
  <si>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</si>
  <si>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</si>
  <si>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</si>
  <si>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</si>
  <si>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</si>
  <si>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</si>
  <si>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</si>
  <si>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</si>
  <si>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</si>
  <si>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</si>
  <si>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</si>
  <si>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</si>
  <si>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</si>
  <si>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</si>
  <si>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</si>
  <si>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</si>
  <si>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</si>
  <si>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</si>
  <si>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</si>
  <si>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</si>
  <si>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</si>
  <si>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</si>
  <si>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</si>
  <si>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</si>
  <si>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</si>
  <si>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</si>
  <si>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</si>
  <si>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</si>
  <si>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</si>
  <si>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</si>
  <si>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</si>
  <si>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</si>
  <si>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</si>
  <si>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</si>
  <si>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</si>
  <si>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</si>
  <si>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</si>
  <si>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</si>
  <si>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</si>
  <si>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</si>
  <si>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</si>
  <si>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</si>
  <si>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</si>
  <si>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</si>
  <si>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</si>
  <si>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</si>
  <si>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</si>
  <si>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</si>
  <si>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</si>
  <si>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</si>
  <si>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</si>
  <si>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</si>
  <si>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</si>
  <si>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</si>
  <si>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</si>
  <si>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</si>
  <si>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</si>
  <si>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</si>
  <si>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</si>
  <si>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</si>
  <si>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</si>
  <si>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</si>
  <si>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</si>
  <si>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</si>
  <si>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</si>
  <si>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</si>
  <si>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</si>
  <si>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</si>
  <si>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</si>
  <si>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</si>
  <si>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</si>
  <si>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</si>
  <si>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</si>
  <si>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</si>
  <si>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</si>
  <si>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</si>
  <si>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23.10.2026ж.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</si>
  <si>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</si>
  <si>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</si>
  <si>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</si>
  <si>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</si>
  <si>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28-3145н</t>
  </si>
  <si>
    <t xml:space="preserve">34-Н287012д</t>
  </si>
  <si>
    <t xml:space="preserve">28-3165</t>
  </si>
  <si>
    <t xml:space="preserve">34-Н3400/12н</t>
  </si>
  <si>
    <t xml:space="preserve">28-3195н</t>
  </si>
  <si>
    <t xml:space="preserve">34-Н284612</t>
  </si>
  <si>
    <t xml:space="preserve">28-3209</t>
  </si>
  <si>
    <t xml:space="preserve">34-Н2880/12</t>
  </si>
  <si>
    <t xml:space="preserve">28-3421н</t>
  </si>
  <si>
    <t xml:space="preserve">34-Н2869/12</t>
  </si>
  <si>
    <t xml:space="preserve">28-647</t>
  </si>
  <si>
    <t xml:space="preserve">Вакуум уст.</t>
  </si>
  <si>
    <t xml:space="preserve">34-Н2875/12</t>
  </si>
  <si>
    <t xml:space="preserve">28-H299612н</t>
  </si>
  <si>
    <t xml:space="preserve">34-Н3391/12н</t>
  </si>
  <si>
    <t xml:space="preserve">28-H314712д/н</t>
  </si>
  <si>
    <t xml:space="preserve">Автокран</t>
  </si>
  <si>
    <t xml:space="preserve">34-Н3407/12</t>
  </si>
  <si>
    <t xml:space="preserve">28-Н320212</t>
  </si>
  <si>
    <t xml:space="preserve">34-Н2855/12</t>
  </si>
  <si>
    <t xml:space="preserve">ТРАЛ</t>
  </si>
  <si>
    <t xml:space="preserve">34-Н3404/12</t>
  </si>
  <si>
    <t xml:space="preserve">34-821АІ/12</t>
  </si>
  <si>
    <t xml:space="preserve">22-H2894/12</t>
  </si>
  <si>
    <t xml:space="preserve">АРОК (КМУ)</t>
  </si>
  <si>
    <t xml:space="preserve">34-Н2795/12н</t>
  </si>
  <si>
    <t xml:space="preserve">22-H2885/12</t>
  </si>
  <si>
    <t xml:space="preserve">34-Н2797/12н</t>
  </si>
  <si>
    <t xml:space="preserve">22-H3570/12</t>
  </si>
  <si>
    <t xml:space="preserve">34-Н2892/12</t>
  </si>
  <si>
    <t xml:space="preserve">22-H2856/12</t>
  </si>
  <si>
    <t xml:space="preserve">34-Н3160/12н</t>
  </si>
  <si>
    <t xml:space="preserve">22-H360612</t>
  </si>
  <si>
    <t xml:space="preserve">34-Н3164/12</t>
  </si>
  <si>
    <t xml:space="preserve">22-H194212</t>
  </si>
  <si>
    <t xml:space="preserve">34-Н3400/12д</t>
  </si>
  <si>
    <t xml:space="preserve">22-H265112</t>
  </si>
  <si>
    <t xml:space="preserve">34-Н284512д/н</t>
  </si>
  <si>
    <t xml:space="preserve">22-H2653/12</t>
  </si>
  <si>
    <t xml:space="preserve">34-Н287012н</t>
  </si>
  <si>
    <t xml:space="preserve">Погрузчик</t>
  </si>
  <si>
    <t xml:space="preserve">34-Н322012</t>
  </si>
  <si>
    <t xml:space="preserve">22-H269312</t>
  </si>
  <si>
    <t xml:space="preserve">34-Н340912</t>
  </si>
  <si>
    <t xml:space="preserve">22-H2862/12</t>
  </si>
  <si>
    <t xml:space="preserve">Техникаға сұраныс</t>
  </si>
  <si>
    <t xml:space="preserve">34-Н347812н</t>
  </si>
  <si>
    <t xml:space="preserve">22-H3036/12</t>
  </si>
  <si>
    <t xml:space="preserve">34-Н3391/12д</t>
  </si>
  <si>
    <t xml:space="preserve">22-H3051/12</t>
  </si>
  <si>
    <t xml:space="preserve">22-H279412</t>
  </si>
  <si>
    <t xml:space="preserve">22-H296812н</t>
  </si>
  <si>
    <t xml:space="preserve">47-451</t>
  </si>
  <si>
    <t xml:space="preserve">22-H304612д/н</t>
  </si>
  <si>
    <t xml:space="preserve">47-341</t>
  </si>
  <si>
    <t xml:space="preserve">22-Н363812д/н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</si>
  <si>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</si>
  <si>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</si>
  <si>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</si>
  <si>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</si>
  <si>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</si>
  <si>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27-H361712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</si>
  <si>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</si>
  <si>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</si>
  <si>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</si>
  <si>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</si>
  <si>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</si>
  <si>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</si>
  <si>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</t>
  </si>
  <si>
    <t xml:space="preserve">27-3595</t>
  </si>
  <si>
    <t xml:space="preserve">49-Н1507/12 н</t>
  </si>
  <si>
    <t xml:space="preserve">27-H345812</t>
  </si>
  <si>
    <t xml:space="preserve">49-Н1801/12 н</t>
  </si>
  <si>
    <t xml:space="preserve">27-0995</t>
  </si>
  <si>
    <t xml:space="preserve">49-Н2960/12</t>
  </si>
  <si>
    <t xml:space="preserve">27-1442</t>
  </si>
  <si>
    <t xml:space="preserve">49-Н2988/12</t>
  </si>
  <si>
    <t xml:space="preserve">27-1523н</t>
  </si>
  <si>
    <t xml:space="preserve">49-167AG/12</t>
  </si>
  <si>
    <t xml:space="preserve">27-3594н</t>
  </si>
  <si>
    <t xml:space="preserve">49-Н3390/12н</t>
  </si>
  <si>
    <t xml:space="preserve">27-3651н</t>
  </si>
  <si>
    <t xml:space="preserve">49-Н3446/12</t>
  </si>
  <si>
    <t xml:space="preserve">27-H358912</t>
  </si>
  <si>
    <t xml:space="preserve">ЦА-320 (прод.)</t>
  </si>
  <si>
    <t xml:space="preserve">АЦН (прод.)</t>
  </si>
  <si>
    <t xml:space="preserve">Погрузчик (прод.)</t>
  </si>
  <si>
    <t xml:space="preserve">49-Н1545/12</t>
  </si>
  <si>
    <t xml:space="preserve">27-Н348112н</t>
  </si>
  <si>
    <t xml:space="preserve">31-Н3047/12</t>
  </si>
  <si>
    <t xml:space="preserve">31-Н319812н</t>
  </si>
  <si>
    <t xml:space="preserve">35-Н2291/12 н</t>
  </si>
  <si>
    <t xml:space="preserve">35-348АS12</t>
  </si>
  <si>
    <t xml:space="preserve">53-961</t>
  </si>
  <si>
    <t xml:space="preserve">49-166AG/12 н</t>
  </si>
  <si>
    <t xml:space="preserve">60-27-131AP12</t>
  </si>
  <si>
    <t xml:space="preserve">31-Н3049/12</t>
  </si>
  <si>
    <t xml:space="preserve">35-Н2706/12</t>
  </si>
  <si>
    <t xml:space="preserve">35-903AG12</t>
  </si>
  <si>
    <t xml:space="preserve">53-970</t>
  </si>
  <si>
    <t xml:space="preserve">49-Н3192/12н</t>
  </si>
  <si>
    <t xml:space="preserve">60-27-635AV12н</t>
  </si>
  <si>
    <t xml:space="preserve">31-Н3445/12 н</t>
  </si>
  <si>
    <t xml:space="preserve">35-Н2708/12</t>
  </si>
  <si>
    <t xml:space="preserve">35-967AG12н</t>
  </si>
  <si>
    <t xml:space="preserve">53-020д/н</t>
  </si>
  <si>
    <t xml:space="preserve">49-Н319212</t>
  </si>
  <si>
    <t xml:space="preserve">31-H3483/12</t>
  </si>
  <si>
    <t xml:space="preserve">35-216AG12</t>
  </si>
  <si>
    <t xml:space="preserve">35-Н2710/12</t>
  </si>
  <si>
    <t xml:space="preserve">35-H316912н</t>
  </si>
  <si>
    <t xml:space="preserve">53-968</t>
  </si>
  <si>
    <t xml:space="preserve">49-H304112н</t>
  </si>
  <si>
    <t xml:space="preserve">31-Н1559/12н</t>
  </si>
  <si>
    <t xml:space="preserve">35-217AG12 н</t>
  </si>
  <si>
    <t xml:space="preserve">35-Н2713/12</t>
  </si>
  <si>
    <t xml:space="preserve">35-H323012н</t>
  </si>
  <si>
    <t xml:space="preserve">53-R964AKE</t>
  </si>
  <si>
    <t xml:space="preserve">31-H2994/12</t>
  </si>
  <si>
    <t xml:space="preserve">31-Н2978/12н</t>
  </si>
  <si>
    <t xml:space="preserve">35-H317012</t>
  </si>
  <si>
    <t xml:space="preserve">35-228AG12 н</t>
  </si>
  <si>
    <t xml:space="preserve">35-H358212</t>
  </si>
  <si>
    <t xml:space="preserve">53-598</t>
  </si>
  <si>
    <t xml:space="preserve">49-H343912</t>
  </si>
  <si>
    <t xml:space="preserve">31-Н297912</t>
  </si>
  <si>
    <t xml:space="preserve">31-Н3151/12</t>
  </si>
  <si>
    <t xml:space="preserve">35-H322812</t>
  </si>
  <si>
    <t xml:space="preserve">35-337AS12</t>
  </si>
  <si>
    <t xml:space="preserve">35-H361412н</t>
  </si>
  <si>
    <t xml:space="preserve">53-962</t>
  </si>
  <si>
    <t xml:space="preserve">31-Н2980/12</t>
  </si>
  <si>
    <t xml:space="preserve">31-Н3152/12н</t>
  </si>
  <si>
    <t xml:space="preserve">35-Н2714/12 н</t>
  </si>
  <si>
    <t xml:space="preserve">35-Н3180/12</t>
  </si>
  <si>
    <t xml:space="preserve">35-Н314912</t>
  </si>
  <si>
    <t xml:space="preserve">53-966н</t>
  </si>
  <si>
    <t xml:space="preserve">31-Н2994/12 н</t>
  </si>
  <si>
    <t xml:space="preserve">31-Н3162/12 н</t>
  </si>
  <si>
    <t xml:space="preserve">35-Н3218/12</t>
  </si>
  <si>
    <t xml:space="preserve">35-206AG 12 н</t>
  </si>
  <si>
    <t xml:space="preserve">35-Н317112н</t>
  </si>
  <si>
    <t xml:space="preserve">31-Н3486/12</t>
  </si>
  <si>
    <t xml:space="preserve">31-Н3205/12 н</t>
  </si>
  <si>
    <t xml:space="preserve">35-Н3564/12</t>
  </si>
  <si>
    <t xml:space="preserve">35-219AG12 н</t>
  </si>
  <si>
    <t xml:space="preserve">35-213AG12</t>
  </si>
  <si>
    <t xml:space="preserve">28-3140</t>
  </si>
  <si>
    <t xml:space="preserve">31-Н3039/12</t>
  </si>
  <si>
    <t xml:space="preserve">31-Н3222/12</t>
  </si>
  <si>
    <t xml:space="preserve">35-Н3136/12</t>
  </si>
  <si>
    <t xml:space="preserve">35-341AS12 н</t>
  </si>
  <si>
    <t xml:space="preserve">35-Н3196/12</t>
  </si>
  <si>
    <t xml:space="preserve">28-3167</t>
  </si>
  <si>
    <t xml:space="preserve">31-863AI/12</t>
  </si>
  <si>
    <t xml:space="preserve">31-Н3430/12</t>
  </si>
  <si>
    <t xml:space="preserve">35-209AG12</t>
  </si>
  <si>
    <t xml:space="preserve">35-352AS12 н</t>
  </si>
  <si>
    <t xml:space="preserve">28-2889</t>
  </si>
  <si>
    <t xml:space="preserve">31-H0004/12</t>
  </si>
  <si>
    <t xml:space="preserve">31-Н3464/12</t>
  </si>
  <si>
    <t xml:space="preserve">35-214AG12</t>
  </si>
  <si>
    <t xml:space="preserve">35-968AC12</t>
  </si>
  <si>
    <t xml:space="preserve">28-3190</t>
  </si>
  <si>
    <t xml:space="preserve">31-H3134/12</t>
  </si>
  <si>
    <t xml:space="preserve">31-Н3474/12н</t>
  </si>
  <si>
    <t xml:space="preserve">35-215AG12</t>
  </si>
  <si>
    <t xml:space="preserve">35-Н2705/12</t>
  </si>
  <si>
    <t xml:space="preserve">50-AKE023R</t>
  </si>
  <si>
    <t xml:space="preserve">28-3156</t>
  </si>
  <si>
    <t xml:space="preserve">31-Н1560/12</t>
  </si>
  <si>
    <t xml:space="preserve">31-Н3486/12н</t>
  </si>
  <si>
    <t xml:space="preserve">35-218AG12</t>
  </si>
  <si>
    <t xml:space="preserve">35-Н2715/12 н</t>
  </si>
  <si>
    <t xml:space="preserve">50-AKE024R</t>
  </si>
  <si>
    <t xml:space="preserve">28-3161</t>
  </si>
  <si>
    <t xml:space="preserve">31-Н2997/12</t>
  </si>
  <si>
    <t xml:space="preserve">31-H304312н</t>
  </si>
  <si>
    <t xml:space="preserve">35-349AS12</t>
  </si>
  <si>
    <t xml:space="preserve">35-Н2716/12</t>
  </si>
  <si>
    <t xml:space="preserve">28-2977</t>
  </si>
  <si>
    <t xml:space="preserve">31-Н3002/12н</t>
  </si>
  <si>
    <t xml:space="preserve">31-H346012д</t>
  </si>
  <si>
    <t xml:space="preserve">35-827AI12</t>
  </si>
  <si>
    <t xml:space="preserve">35-Н2939/12</t>
  </si>
  <si>
    <t xml:space="preserve">28-1877</t>
  </si>
  <si>
    <t xml:space="preserve">31-Н3006/12</t>
  </si>
  <si>
    <t xml:space="preserve">31-H347512н</t>
  </si>
  <si>
    <t xml:space="preserve">35-847AI12</t>
  </si>
  <si>
    <t xml:space="preserve">35-Н3135/12</t>
  </si>
  <si>
    <t xml:space="preserve">53-R963AKE</t>
  </si>
  <si>
    <t xml:space="preserve">28-1105н</t>
  </si>
  <si>
    <t xml:space="preserve">31-Н3013/12</t>
  </si>
  <si>
    <t xml:space="preserve">31-Н296312н</t>
  </si>
  <si>
    <t xml:space="preserve">35-857AI12 н</t>
  </si>
  <si>
    <t xml:space="preserve">35-Н3153/12 н</t>
  </si>
  <si>
    <t xml:space="preserve">53-R969AKE</t>
  </si>
  <si>
    <t xml:space="preserve">28-2995н</t>
  </si>
  <si>
    <t xml:space="preserve">31-Н3015/12</t>
  </si>
  <si>
    <t xml:space="preserve">31-Н301812н</t>
  </si>
  <si>
    <t xml:space="preserve">35-987AC12</t>
  </si>
  <si>
    <t xml:space="preserve">35-Н3204/12 н</t>
  </si>
  <si>
    <t xml:space="preserve">53-967</t>
  </si>
  <si>
    <t xml:space="preserve">28-3141</t>
  </si>
  <si>
    <t xml:space="preserve">31-Н3015/12 н</t>
  </si>
  <si>
    <t xml:space="preserve">31-Н318312</t>
  </si>
  <si>
    <t xml:space="preserve">35-Н1544/12 н</t>
  </si>
  <si>
    <t xml:space="preserve">35-Н3569/12</t>
  </si>
  <si>
    <t xml:space="preserve">53-599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</si>
  <si>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</si>
  <si>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</si>
  <si>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</si>
  <si>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</si>
  <si>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</si>
  <si>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</si>
  <si>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</si>
  <si>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</si>
  <si>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</si>
  <si>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(23.10)</t>
  </si>
  <si>
    <t xml:space="preserve">20-H3574/12</t>
  </si>
  <si>
    <t xml:space="preserve">23.10.2026</t>
  </si>
  <si>
    <t xml:space="preserve">F12</t>
  </si>
  <si>
    <t xml:space="preserve">F13</t>
  </si>
  <si>
    <t xml:space="preserve">H3</t>
  </si>
  <si>
    <t xml:space="preserve">ДТТ</t>
  </si>
  <si>
    <t xml:space="preserve">20-149AG12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</si>
  <si>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</si>
  <si>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</si>
  <si>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</si>
  <si>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</si>
  <si>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</si>
  <si>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</si>
  <si>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</si>
  <si>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</si>
  <si>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</si>
  <si>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</si>
  <si>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</si>
  <si>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</si>
  <si>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</si>
  <si>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</si>
  <si>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</si>
  <si>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</si>
  <si>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</si>
  <si>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</si>
  <si>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</si>
  <si>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</si>
  <si>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</si>
  <si>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</si>
  <si>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</si>
  <si>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</si>
  <si>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</si>
  <si>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</si>
  <si>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</si>
  <si>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</si>
  <si>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</si>
  <si>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</si>
  <si>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</si>
  <si>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</si>
  <si>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</si>
  <si>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</si>
  <si>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</si>
  <si>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</si>
  <si>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</si>
  <si>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</si>
  <si>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</si>
  <si>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</si>
  <si>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</si>
  <si>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</si>
  <si>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</si>
  <si>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</si>
  <si>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</si>
  <si>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</si>
  <si>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</si>
  <si>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</si>
  <si>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</si>
  <si>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</si>
  <si>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</si>
  <si>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</si>
  <si>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</si>
  <si>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</si>
  <si>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</si>
  <si>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</si>
  <si>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</si>
  <si>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</si>
  <si>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</si>
  <si>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</si>
  <si>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</si>
  <si>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</si>
  <si>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</si>
  <si>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</si>
  <si>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</si>
  <si>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</si>
  <si>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</si>
  <si>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</si>
  <si>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</si>
  <si>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</si>
  <si>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</si>
  <si>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</si>
  <si>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</si>
  <si>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</si>
  <si>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</si>
  <si>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</si>
  <si>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</si>
  <si>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</si>
  <si>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20-192AG12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</si>
  <si>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</si>
  <si>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</si>
  <si>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</si>
  <si>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</si>
  <si>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</si>
  <si>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</si>
  <si>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</si>
  <si>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</si>
  <si>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</si>
  <si>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</si>
  <si>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</si>
  <si>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</si>
  <si>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</si>
  <si>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20-Н0592/12</t>
  </si>
  <si>
    <t xml:space="preserve">A14</t>
  </si>
  <si>
    <t xml:space="preserve">20-H614805</t>
  </si>
  <si>
    <t xml:space="preserve">G8</t>
  </si>
  <si>
    <t xml:space="preserve">ППД</t>
  </si>
  <si>
    <t xml:space="preserve">20-Н2695/12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</si>
  <si>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</si>
  <si>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</si>
  <si>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</si>
  <si>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</si>
  <si>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</si>
  <si>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</si>
  <si>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</si>
  <si>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</si>
  <si>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</si>
  <si>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</si>
  <si>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</si>
  <si>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</si>
  <si>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(23.10)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</si>
  <si>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</si>
  <si>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</si>
  <si>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</si>
  <si>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</si>
  <si>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</si>
  <si>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</si>
  <si>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</si>
  <si>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</si>
  <si>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</si>
  <si>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</si>
  <si>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</si>
  <si>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</si>
  <si>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</si>
  <si>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</si>
  <si>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</si>
  <si>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</si>
  <si>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</si>
  <si>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</si>
  <si>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</si>
  <si>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</si>
  <si>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</si>
  <si>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</si>
  <si>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</si>
  <si>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</si>
  <si>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</si>
  <si>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</si>
  <si>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</si>
  <si>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I15</t>
  </si>
  <si>
    <t xml:space="preserve">ПКРС</t>
  </si>
  <si>
    <t xml:space="preserve">F9</t>
  </si>
  <si>
    <t xml:space="preserve">24-Н3649/12</t>
  </si>
  <si>
    <t xml:space="preserve">44-H3647/12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</si>
  <si>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</si>
  <si>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</si>
  <si>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</si>
  <si>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</si>
  <si>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</si>
  <si>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</si>
  <si>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</si>
  <si>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</si>
  <si>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</si>
  <si>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</si>
  <si>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</si>
  <si>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</si>
  <si>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</si>
  <si>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</si>
  <si>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</si>
  <si>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</si>
  <si>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</si>
  <si>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</si>
  <si>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</si>
  <si>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</si>
  <si>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</si>
  <si>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ПКРС/УТТ</t>
  </si>
  <si>
    <t xml:space="preserve">24-Н3634/12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</si>
  <si>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</si>
  <si>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</si>
  <si>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</si>
  <si>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</si>
  <si>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</si>
  <si>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</si>
  <si>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</si>
  <si>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</si>
  <si>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</si>
  <si>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</si>
  <si>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C23</t>
  </si>
  <si>
    <t xml:space="preserve">Диспетчер №7 (ПКРС/ТМС/УТТ) (23.10)</t>
  </si>
  <si>
    <t xml:space="preserve">УПТОК</t>
  </si>
  <si>
    <t xml:space="preserve">37-Н319312</t>
  </si>
  <si>
    <t xml:space="preserve">УТТ</t>
  </si>
  <si>
    <t xml:space="preserve">H17</t>
  </si>
  <si>
    <t xml:space="preserve">32-Н270712</t>
  </si>
  <si>
    <t xml:space="preserve">B7</t>
  </si>
  <si>
    <t xml:space="preserve">B8</t>
  </si>
  <si>
    <t xml:space="preserve">62-Н360112</t>
  </si>
  <si>
    <t xml:space="preserve">F2</t>
  </si>
  <si>
    <t xml:space="preserve">ДБ и ПКРС(1)</t>
  </si>
  <si>
    <t xml:space="preserve">32-Н270912д</t>
  </si>
  <si>
    <t xml:space="preserve">F17</t>
  </si>
  <si>
    <t xml:space="preserve">ПКРС (2)</t>
  </si>
  <si>
    <t xml:space="preserve">F18</t>
  </si>
  <si>
    <t xml:space="preserve">F19</t>
  </si>
  <si>
    <t xml:space="preserve">F20</t>
  </si>
  <si>
    <t xml:space="preserve">F21</t>
  </si>
  <si>
    <t xml:space="preserve">F24</t>
  </si>
  <si>
    <t xml:space="preserve">F25</t>
  </si>
  <si>
    <t xml:space="preserve">F27</t>
  </si>
  <si>
    <t xml:space="preserve">F28</t>
  </si>
  <si>
    <t xml:space="preserve">F29</t>
  </si>
  <si>
    <t xml:space="preserve">F32</t>
  </si>
  <si>
    <t xml:space="preserve">F33</t>
  </si>
  <si>
    <t xml:space="preserve">F35</t>
  </si>
  <si>
    <t xml:space="preserve">F36</t>
  </si>
  <si>
    <t xml:space="preserve">F38</t>
  </si>
  <si>
    <t xml:space="preserve">F39</t>
  </si>
  <si>
    <t xml:space="preserve">F40</t>
  </si>
  <si>
    <t xml:space="preserve">F42</t>
  </si>
  <si>
    <t xml:space="preserve">F43</t>
  </si>
  <si>
    <t xml:space="preserve">F44</t>
  </si>
  <si>
    <t xml:space="preserve">F45</t>
  </si>
  <si>
    <t xml:space="preserve">F46</t>
  </si>
  <si>
    <t xml:space="preserve">F47</t>
  </si>
  <si>
    <t xml:space="preserve">F50</t>
  </si>
  <si>
    <t xml:space="preserve">F51</t>
  </si>
  <si>
    <t xml:space="preserve">F52</t>
  </si>
  <si>
    <t xml:space="preserve">F54</t>
  </si>
  <si>
    <t xml:space="preserve">44-Н365612д/н</t>
  </si>
  <si>
    <t xml:space="preserve">F55</t>
  </si>
  <si>
    <t xml:space="preserve">62-Н359212д/н</t>
  </si>
  <si>
    <t xml:space="preserve">F57</t>
  </si>
  <si>
    <t xml:space="preserve">F58</t>
  </si>
  <si>
    <t xml:space="preserve">F59</t>
  </si>
  <si>
    <t xml:space="preserve">F61</t>
  </si>
  <si>
    <t xml:space="preserve">F62</t>
  </si>
  <si>
    <t xml:space="preserve">F63</t>
  </si>
  <si>
    <t xml:space="preserve">F64</t>
  </si>
  <si>
    <t xml:space="preserve">F65</t>
  </si>
  <si>
    <t xml:space="preserve">G7</t>
  </si>
  <si>
    <t xml:space="preserve">К-8 (месячный файл) (23.10)</t>
  </si>
  <si>
    <t xml:space="preserve">13-Н2826н</t>
  </si>
  <si>
    <t xml:space="preserve">13-Н2827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</si>
  <si>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</si>
  <si>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</si>
  <si>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</si>
  <si>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</si>
  <si>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</si>
  <si>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ГУ</t>
  </si>
  <si>
    <t xml:space="preserve">20-176AG12</t>
  </si>
  <si>
    <t xml:space="preserve">A15</t>
  </si>
  <si>
    <t xml:space="preserve">С 13-Н2882</t>
  </si>
  <si>
    <t xml:space="preserve">С 13-Н2888</t>
  </si>
  <si>
    <t xml:space="preserve">С 13-H359912</t>
  </si>
  <si>
    <t xml:space="preserve">A18</t>
  </si>
  <si>
    <t xml:space="preserve">С 13-759BU д/н</t>
  </si>
  <si>
    <t xml:space="preserve">A19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</si>
  <si>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</si>
  <si>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</si>
  <si>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</si>
  <si>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</si>
  <si>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</si>
  <si>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</si>
  <si>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</si>
  <si>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13-Н2829</t>
  </si>
  <si>
    <t xml:space="preserve">H16</t>
  </si>
  <si>
    <t xml:space="preserve">56-493ADD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</si>
  <si>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</si>
  <si>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</si>
  <si>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</si>
  <si>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</si>
  <si>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</si>
  <si>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</si>
  <si>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</si>
  <si>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</si>
  <si>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</si>
  <si>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</si>
  <si>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</si>
  <si>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</si>
  <si>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</si>
  <si>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</si>
  <si>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55-R044AKF</t>
  </si>
  <si>
    <t xml:space="preserve">I16</t>
  </si>
  <si>
    <t xml:space="preserve">C 13-Н2645</t>
  </si>
  <si>
    <t xml:space="preserve">F15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</si>
  <si>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</si>
  <si>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</si>
  <si>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</si>
  <si>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</si>
  <si>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</si>
  <si>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</si>
  <si>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</si>
  <si>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</si>
  <si>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</si>
  <si>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</si>
  <si>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</si>
  <si>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</si>
  <si>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</si>
  <si>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</si>
  <si>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</si>
  <si>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</si>
  <si>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</si>
  <si>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</si>
  <si>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</si>
  <si>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</si>
  <si>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</si>
  <si>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</si>
  <si>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</si>
  <si>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</si>
  <si>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</si>
  <si>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</si>
  <si>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</si>
  <si>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</si>
  <si>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13-Н2841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</si>
  <si>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</si>
  <si>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</si>
  <si>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</si>
  <si>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</si>
  <si>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</si>
  <si>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</si>
  <si>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</si>
  <si>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</si>
  <si>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</si>
  <si>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</si>
  <si>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</si>
  <si>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</si>
  <si>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</si>
  <si>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</si>
  <si>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</si>
  <si>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</si>
  <si>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</si>
  <si>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</si>
  <si>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</si>
  <si>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</si>
  <si>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</si>
  <si>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</si>
  <si>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</si>
  <si>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</si>
  <si>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</si>
  <si>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</si>
  <si>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</si>
  <si>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</si>
  <si>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</si>
  <si>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</si>
  <si>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</si>
  <si>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</si>
  <si>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(23.10)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</si>
  <si>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</si>
  <si>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</si>
  <si>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</si>
  <si>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</si>
  <si>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</si>
  <si>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</si>
  <si>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</si>
  <si>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</si>
  <si>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</si>
  <si>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</si>
  <si>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</si>
  <si>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</si>
  <si>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</si>
  <si>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</si>
  <si>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</si>
  <si>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</si>
  <si>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</si>
  <si>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</si>
  <si>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</si>
  <si>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</si>
  <si>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</si>
  <si>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</si>
  <si>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</si>
  <si>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</si>
  <si>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</si>
  <si>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</si>
  <si>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</si>
  <si>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</si>
  <si>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</si>
  <si>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</si>
  <si>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</si>
  <si>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</si>
  <si>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</si>
  <si>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</si>
  <si>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</si>
  <si>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</si>
  <si>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</si>
  <si>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</si>
  <si>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</si>
  <si>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</si>
  <si>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</si>
  <si>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</si>
  <si>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</si>
  <si>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</si>
  <si>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</si>
  <si>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</si>
  <si>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</si>
  <si>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</si>
  <si>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</si>
  <si>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</si>
  <si>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</si>
  <si>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</si>
  <si>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</si>
  <si>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</si>
  <si>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</si>
  <si>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</si>
  <si>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</si>
  <si>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</si>
  <si>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</si>
  <si>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</si>
  <si>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</si>
  <si>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</si>
  <si>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</si>
  <si>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</si>
  <si>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</si>
  <si>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</si>
  <si>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</si>
  <si>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</si>
  <si>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</si>
  <si>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</si>
  <si>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</si>
  <si>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</si>
  <si>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</si>
  <si>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</si>
  <si>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</si>
  <si>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</si>
  <si>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</si>
  <si>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</si>
  <si>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</si>
  <si>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</si>
  <si>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</si>
  <si>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</si>
  <si>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</si>
  <si>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</si>
  <si>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</si>
  <si>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</si>
  <si>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</si>
  <si>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</si>
  <si>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</si>
  <si>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</si>
  <si>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</si>
  <si>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</si>
  <si>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</si>
  <si>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</si>
  <si>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</si>
  <si>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</si>
  <si>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</si>
  <si>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</si>
  <si>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</si>
  <si>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</si>
  <si>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</si>
  <si>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</si>
  <si>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</si>
  <si>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</si>
  <si>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</si>
  <si>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</si>
  <si>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</si>
  <si>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</si>
  <si>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</si>
  <si>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</si>
  <si>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</si>
  <si>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</si>
  <si>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</si>
  <si>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</si>
  <si>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</si>
  <si>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</si>
  <si>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</si>
  <si>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</si>
  <si>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</si>
  <si>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</si>
  <si>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</si>
  <si>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</si>
  <si>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</si>
  <si>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</si>
  <si>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</si>
  <si>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</si>
  <si>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</si>
  <si>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</si>
  <si>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</si>
  <si>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</si>
  <si>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</si>
  <si>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</si>
  <si>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</si>
  <si>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</si>
  <si>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</si>
  <si>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</si>
  <si>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</si>
  <si>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</si>
  <si>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</si>
  <si>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</si>
  <si>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</si>
  <si>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</si>
  <si>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</si>
  <si>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</si>
  <si>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</si>
  <si>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</si>
  <si>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</si>
  <si>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</si>
  <si>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</si>
  <si>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</si>
  <si>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</si>
  <si>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</si>
  <si>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</si>
  <si>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</si>
  <si>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</si>
  <si>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</si>
  <si>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</si>
  <si>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</si>
  <si>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</si>
  <si>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</si>
  <si>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</si>
  <si>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</si>
  <si>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</si>
  <si>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</si>
  <si>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</si>
  <si>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</si>
  <si>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</si>
  <si>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</si>
  <si>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</si>
  <si>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</si>
  <si>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</si>
  <si>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</si>
  <si>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</si>
  <si>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</si>
  <si>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</si>
  <si>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</si>
  <si>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60-13-967АR12н</t>
  </si>
  <si>
    <t xml:space="preserve">60-13-472АКМ12</t>
  </si>
  <si>
    <t xml:space="preserve">60-13-759ALN12</t>
  </si>
  <si>
    <t xml:space="preserve">60-13-803BJ12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</si>
  <si>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</si>
  <si>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</si>
  <si>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</si>
  <si>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</si>
  <si>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</si>
  <si>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</si>
  <si>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</si>
  <si>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</si>
  <si>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</si>
  <si>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</si>
  <si>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</si>
  <si>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</si>
  <si>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</si>
  <si>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</si>
  <si>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</si>
  <si>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</si>
  <si>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</si>
  <si>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</si>
  <si>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</si>
  <si>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</si>
  <si>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</si>
  <si>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</si>
  <si>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</si>
  <si>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</si>
  <si>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</si>
  <si>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</si>
  <si>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</si>
  <si>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</si>
  <si>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</si>
  <si>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</si>
  <si>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</si>
  <si>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</si>
  <si>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</si>
  <si>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</si>
  <si>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</si>
  <si>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</si>
  <si>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</si>
  <si>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</si>
  <si>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</si>
  <si>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</si>
  <si>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</si>
  <si>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</si>
  <si>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</si>
  <si>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</si>
  <si>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</si>
  <si>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</si>
  <si>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</si>
  <si>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</si>
  <si>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</si>
  <si>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</si>
  <si>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</si>
  <si>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</si>
  <si>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</si>
  <si>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</si>
  <si>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</si>
  <si>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</si>
  <si>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</si>
  <si>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</si>
  <si>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</si>
  <si>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</si>
  <si>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</si>
  <si>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</si>
  <si>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</si>
  <si>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</si>
  <si>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</si>
  <si>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</si>
  <si>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</si>
  <si>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</si>
  <si>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</si>
  <si>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</si>
  <si>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</si>
  <si>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</si>
  <si>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</si>
  <si>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</si>
  <si>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</si>
  <si>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</si>
  <si>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</si>
  <si>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</si>
  <si>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</si>
  <si>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</si>
  <si>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</si>
  <si>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</si>
  <si>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</si>
  <si>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</si>
  <si>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</si>
  <si>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</si>
  <si>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</si>
  <si>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</si>
  <si>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</si>
  <si>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</si>
  <si>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</si>
  <si>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</si>
  <si>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</si>
  <si>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</si>
  <si>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</si>
  <si>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</si>
  <si>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</si>
  <si>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</si>
  <si>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</si>
  <si>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</si>
  <si>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</si>
  <si>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</si>
  <si>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</si>
  <si>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</si>
  <si>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</si>
  <si>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</si>
  <si>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</si>
  <si>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</si>
  <si>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</si>
  <si>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</si>
  <si>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</si>
  <si>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</si>
  <si>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</si>
  <si>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</si>
  <si>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</si>
  <si>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</si>
  <si>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</si>
  <si>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</si>
  <si>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</si>
  <si>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</si>
  <si>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</si>
  <si>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</si>
  <si>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</si>
  <si>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</si>
  <si>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</si>
  <si>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</si>
  <si>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</si>
  <si>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</si>
  <si>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</si>
  <si>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</si>
  <si>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</si>
  <si>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</si>
  <si>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</si>
  <si>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</si>
  <si>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</si>
  <si>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</si>
  <si>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</si>
  <si>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</si>
  <si>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</si>
  <si>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</si>
  <si>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</si>
  <si>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</si>
  <si>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</si>
  <si>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</si>
  <si>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</si>
  <si>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</si>
  <si>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</si>
  <si>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</si>
  <si>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</si>
  <si>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</si>
  <si>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</si>
  <si>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(23.10)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</si>
  <si>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</si>
  <si>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</si>
  <si>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</si>
  <si>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</si>
  <si>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</si>
  <si>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</si>
  <si>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</si>
  <si>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</si>
  <si>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</si>
  <si>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37-H3048/12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</si>
  <si>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</si>
  <si>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</si>
  <si>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</si>
  <si>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</si>
  <si>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</si>
  <si>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</si>
  <si>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</si>
  <si>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</si>
  <si>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</si>
  <si>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</si>
  <si>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</si>
  <si>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</si>
  <si>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</si>
  <si>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</si>
  <si>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</si>
  <si>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</si>
  <si>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</si>
  <si>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</si>
  <si>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</si>
  <si>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</si>
  <si>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</si>
  <si>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</si>
  <si>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</si>
  <si>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</si>
  <si>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</si>
  <si>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</si>
  <si>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</si>
  <si>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</si>
  <si>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</si>
  <si>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</si>
  <si>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</si>
  <si>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</si>
  <si>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</si>
  <si>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</si>
  <si>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</si>
  <si>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</si>
  <si>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</si>
  <si>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</si>
  <si>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</si>
  <si>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</si>
  <si>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</si>
  <si>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</si>
  <si>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</si>
  <si>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</si>
  <si>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A13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</si>
  <si>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</si>
  <si>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</si>
  <si>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</si>
  <si>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</si>
  <si>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</si>
  <si>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</si>
  <si>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</si>
  <si>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</si>
  <si>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</si>
  <si>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</si>
  <si>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</si>
  <si>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</si>
  <si>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</si>
  <si>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</si>
  <si>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</si>
  <si>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</si>
  <si>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</si>
  <si>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</si>
  <si>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</si>
  <si>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</si>
  <si>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</si>
  <si>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</si>
  <si>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</si>
  <si>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</si>
  <si>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</si>
  <si>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</si>
  <si>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</si>
  <si>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</si>
  <si>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</si>
  <si>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</si>
  <si>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</si>
  <si>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</si>
  <si>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</si>
  <si>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</si>
  <si>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</si>
  <si>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</si>
  <si>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</si>
  <si>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</si>
  <si>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</si>
  <si>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</si>
  <si>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</si>
  <si>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</si>
  <si>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</si>
  <si>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</si>
  <si>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</si>
  <si>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</si>
  <si>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</si>
  <si>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</si>
  <si>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</si>
  <si>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</si>
  <si>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</si>
  <si>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</si>
  <si>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36-H3206/12д/н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</si>
  <si>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</si>
  <si>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</si>
  <si>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</si>
  <si>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</si>
  <si>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</si>
  <si>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</si>
  <si>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</si>
  <si>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</si>
  <si>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</si>
  <si>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</si>
  <si>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</si>
  <si>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</si>
  <si>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</si>
  <si>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</si>
  <si>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</si>
  <si>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</si>
  <si>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</si>
  <si>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</si>
  <si>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</si>
  <si>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</si>
  <si>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</si>
  <si>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</si>
  <si>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</si>
  <si>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</si>
  <si>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</si>
  <si>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(23.10)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</si>
  <si>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</si>
  <si>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</si>
  <si>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</si>
  <si>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</si>
  <si>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</si>
  <si>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</si>
  <si>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</si>
  <si>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</si>
  <si>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</si>
  <si>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</si>
  <si>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</si>
  <si>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</si>
  <si>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</si>
  <si>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</si>
  <si>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</si>
  <si>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</si>
  <si>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</si>
  <si>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</si>
  <si>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</si>
  <si>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</si>
  <si>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</si>
  <si>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</si>
  <si>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</si>
  <si>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</si>
  <si>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</si>
  <si>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</si>
  <si>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</si>
  <si>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</si>
  <si>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</si>
  <si>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</si>
  <si>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</si>
  <si>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</si>
  <si>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</si>
  <si>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A6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</si>
  <si>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</si>
  <si>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</si>
  <si>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</si>
  <si>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</si>
  <si>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</si>
  <si>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</si>
  <si>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</si>
  <si>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</si>
  <si>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</si>
  <si>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</si>
  <si>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</si>
  <si>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</si>
  <si>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</si>
  <si>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M12</t>
  </si>
  <si>
    <t xml:space="preserve">цпс</t>
  </si>
  <si>
    <t xml:space="preserve">ЭЛ ЦЕХ</t>
  </si>
  <si>
    <t xml:space="preserve">38-0619</t>
  </si>
  <si>
    <t xml:space="preserve">38-3560</t>
  </si>
  <si>
    <t xml:space="preserve">38-3583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</si>
</sst>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I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7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47</v>
      </c>
      <c r="I2" s="1" t="s">
        <v>48</v>
      </c>
      <c r="J2" s="1" t="s">
        <v>47</v>
      </c>
      <c r="K2" s="1" t="s">
        <v>48</v>
      </c>
      <c r="L2" s="1" t="s">
        <v>47</v>
      </c>
      <c r="M2" s="1" t="s">
        <v>48</v>
      </c>
      <c r="N2" s="1" t="s">
        <v>47</v>
      </c>
      <c r="O2" s="1" t="s">
        <v>48</v>
      </c>
      <c r="P2" s="1" t="s">
        <v>47</v>
      </c>
      <c r="Q2" s="1" t="s">
        <v>48</v>
      </c>
      <c r="R2" s="1" t="s">
        <v>47</v>
      </c>
      <c r="S2" s="1" t="s">
        <v>48</v>
      </c>
      <c r="T2" s="1" t="s">
        <v>47</v>
      </c>
      <c r="U2" s="1" t="s">
        <v>48</v>
      </c>
      <c r="V2" s="1" t="s">
        <v>47</v>
      </c>
      <c r="W2" s="1" t="s">
        <v>48</v>
      </c>
      <c r="X2" s="1" t="s">
        <v>47</v>
      </c>
      <c r="Y2" s="1" t="s">
        <v>48</v>
      </c>
      <c r="Z2" s="1" t="s">
        <v>47</v>
      </c>
      <c r="AA2" s="1" t="s">
        <v>48</v>
      </c>
      <c r="AB2" s="1" t="s">
        <v>47</v>
      </c>
      <c r="AC2" s="1" t="s">
        <v>48</v>
      </c>
      <c r="AD2" s="1" t="s">
        <v>47</v>
      </c>
      <c r="AE2" s="1" t="s">
        <v>48</v>
      </c>
      <c r="AF2" s="1" t="s">
        <v>47</v>
      </c>
      <c r="AG2" s="1" t="s">
        <v>48</v>
      </c>
      <c r="AH2" s="1" t="s">
        <v>47</v>
      </c>
      <c r="AI2" s="1" t="s">
        <v>48</v>
      </c>
      <c r="AJ2" s="1" t="s">
        <v>47</v>
      </c>
      <c r="AK2" s="1" t="s">
        <v>48</v>
      </c>
      <c r="AL2" s="1" t="s">
        <v>47</v>
      </c>
      <c r="AM2" s="1" t="s">
        <v>48</v>
      </c>
      <c r="AN2" s="1" t="s">
        <v>47</v>
      </c>
      <c r="AO2" s="1" t="s">
        <v>48</v>
      </c>
      <c r="AP2" s="1" t="s">
        <v>47</v>
      </c>
      <c r="AQ2" s="1" t="s">
        <v>48</v>
      </c>
      <c r="AR2" s="1" t="s">
        <v>47</v>
      </c>
      <c r="AS2" s="1" t="s">
        <v>48</v>
      </c>
      <c r="AT2" s="1" t="s">
        <v>47</v>
      </c>
      <c r="AU2" s="1" t="s">
        <v>48</v>
      </c>
      <c r="AV2" s="1" t="s">
        <v>47</v>
      </c>
      <c r="AW2" s="1" t="s">
        <v>48</v>
      </c>
      <c r="AX2" s="1" t="s">
        <v>47</v>
      </c>
      <c r="AY2" s="1" t="s">
        <v>48</v>
      </c>
      <c r="AZ2" s="1" t="s">
        <v>47</v>
      </c>
      <c r="BA2" s="1" t="s">
        <v>48</v>
      </c>
      <c r="BB2" s="1" t="s">
        <v>47</v>
      </c>
      <c r="BC2" s="1" t="s">
        <v>48</v>
      </c>
      <c r="BD2" s="1" t="s">
        <v>47</v>
      </c>
      <c r="BE2" s="1" t="s">
        <v>48</v>
      </c>
      <c r="BF2" s="1" t="s">
        <v>47</v>
      </c>
      <c r="BG2" s="1" t="s">
        <v>48</v>
      </c>
      <c r="BH2" s="1" t="s">
        <v>47</v>
      </c>
      <c r="BI2" s="1" t="s">
        <v>48</v>
      </c>
      <c r="BJ2" s="1" t="s">
        <v>47</v>
      </c>
      <c r="BK2" s="1" t="s">
        <v>48</v>
      </c>
      <c r="BL2" s="1" t="s">
        <v>47</v>
      </c>
      <c r="BM2" s="1" t="s">
        <v>48</v>
      </c>
      <c r="BN2" s="1" t="s">
        <v>47</v>
      </c>
      <c r="BO2" s="1" t="s">
        <v>48</v>
      </c>
      <c r="BP2" s="1" t="s">
        <v>47</v>
      </c>
      <c r="BQ2" s="1" t="s">
        <v>48</v>
      </c>
      <c r="BR2" s="1" t="s">
        <v>47</v>
      </c>
      <c r="BS2" s="1" t="s">
        <v>48</v>
      </c>
      <c r="BT2" s="1" t="s">
        <v>47</v>
      </c>
      <c r="BU2" s="1" t="s">
        <v>48</v>
      </c>
      <c r="BV2" s="1" t="s">
        <v>47</v>
      </c>
      <c r="BW2" s="1" t="s">
        <v>48</v>
      </c>
      <c r="BX2" s="1" t="s">
        <v>47</v>
      </c>
      <c r="BY2" s="1" t="s">
        <v>48</v>
      </c>
      <c r="BZ2" s="1" t="s">
        <v>47</v>
      </c>
      <c r="CA2" s="1" t="s">
        <v>48</v>
      </c>
      <c r="CB2" s="1" t="s">
        <v>47</v>
      </c>
      <c r="CC2" s="1" t="s">
        <v>48</v>
      </c>
      <c r="CD2" s="1" t="s">
        <v>47</v>
      </c>
      <c r="CE2" s="1" t="s">
        <v>48</v>
      </c>
      <c r="CF2" s="1" t="s">
        <v>47</v>
      </c>
      <c r="CG2" s="1" t="s">
        <v>48</v>
      </c>
      <c r="CH2" s="1" t="s">
        <v>47</v>
      </c>
      <c r="CI2" s="1" t="s">
        <v>48</v>
      </c>
    </row>
    <row r="3" customFormat="false" ht="15" hidden="false" customHeight="false" outlineLevel="0" collapsed="false">
      <c r="A3" s="3" t="s">
        <v>49</v>
      </c>
      <c r="B3" s="4" t="s">
        <v>50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SUMIFS($H3:$CI3,$H$2:$CI$2,"День")</f>
        <v>17</v>
      </c>
      <c r="G3" s="5" t="n">
        <f aca="false">SUMIFS($H3:$CI3,$H$2:$CI$2,"Ночь")</f>
        <v>8</v>
      </c>
      <c r="H3" s="4" t="n">
        <f aca="false">SUMIFS('Исходные данные'!$I$2:$I$954,'Исходные данные'!$D$2:$D$954,H$1,'Исходные данные'!$F$2:$F$954,$A3)</f>
        <v>2</v>
      </c>
      <c r="I3" s="4" t="n">
        <f aca="false">SUMIFS('Исходные данные'!$J$2:$J$954,'Исходные данные'!$D$2:$D$954,H$1,'Исходные данные'!$F$2:$F$954,$A3)</f>
        <v>1</v>
      </c>
      <c r="J3" s="4" t="n">
        <f aca="false">SUMIFS('Исходные данные'!$I$2:$I$954,'Исходные данные'!$D$2:$D$954,J$1,'Исходные данные'!$F$2:$F$954,$A3)</f>
        <v>2</v>
      </c>
      <c r="K3" s="4" t="n">
        <f aca="false">SUMIFS('Исходные данные'!$J$2:$J$954,'Исходные данные'!$D$2:$D$954,J$1,'Исходные данные'!$F$2:$F$954,$A3)</f>
        <v>0</v>
      </c>
      <c r="L3" s="4" t="n">
        <f aca="false">SUMIFS('Исходные данные'!$I$2:$I$954,'Исходные данные'!$D$2:$D$954,L$1,'Исходные данные'!$F$2:$F$954,$A3)</f>
        <v>2</v>
      </c>
      <c r="M3" s="4" t="n">
        <f aca="false">SUMIFS('Исходные данные'!$J$2:$J$954,'Исходные данные'!$D$2:$D$954,L$1,'Исходные данные'!$F$2:$F$954,$A3)</f>
        <v>1</v>
      </c>
      <c r="N3" s="4" t="n">
        <f aca="false">SUMIFS('Исходные данные'!$I$2:$I$954,'Исходные данные'!$D$2:$D$954,N$1,'Исходные данные'!$F$2:$F$954,$A3)</f>
        <v>1</v>
      </c>
      <c r="O3" s="4" t="n">
        <f aca="false">SUMIFS('Исходные данные'!$J$2:$J$954,'Исходные данные'!$D$2:$D$954,N$1,'Исходные данные'!$F$2:$F$954,$A3)</f>
        <v>0</v>
      </c>
      <c r="P3" s="4" t="n">
        <f aca="false">SUMIFS('Исходные данные'!$I$2:$I$954,'Исходные данные'!$D$2:$D$954,P$1,'Исходные данные'!$F$2:$F$954,$A3)</f>
        <v>1</v>
      </c>
      <c r="Q3" s="4" t="n">
        <f aca="false">SUMIFS('Исходные данные'!$J$2:$J$954,'Исходные данные'!$D$2:$D$954,P$1,'Исходные данные'!$F$2:$F$954,$A3)</f>
        <v>0</v>
      </c>
      <c r="R3" s="4" t="n">
        <f aca="false">SUMIFS('Исходные данные'!$I$2:$I$954,'Исходные данные'!$D$2:$D$954,R$1,'Исходные данные'!$F$2:$F$954,$A3)</f>
        <v>0</v>
      </c>
      <c r="S3" s="4" t="n">
        <f aca="false">SUMIFS('Исходные данные'!$J$2:$J$954,'Исходные данные'!$D$2:$D$954,R$1,'Исходные данные'!$F$2:$F$954,$A3)</f>
        <v>0</v>
      </c>
      <c r="T3" s="4" t="n">
        <f aca="false">SUMIFS('Исходные данные'!$I$2:$I$954,'Исходные данные'!$D$2:$D$954,T$1,'Исходные данные'!$F$2:$F$954,$A3)</f>
        <v>0</v>
      </c>
      <c r="U3" s="4" t="n">
        <f aca="false">SUMIFS('Исходные данные'!$J$2:$J$954,'Исходные данные'!$D$2:$D$954,T$1,'Исходные данные'!$F$2:$F$954,$A3)</f>
        <v>0</v>
      </c>
      <c r="V3" s="4" t="n">
        <f aca="false">SUMIFS('Исходные данные'!$I$2:$I$954,'Исходные данные'!$D$2:$D$954,V$1,'Исходные данные'!$F$2:$F$954,$A3)</f>
        <v>0</v>
      </c>
      <c r="W3" s="4" t="n">
        <f aca="false">SUMIFS('Исходные данные'!$J$2:$J$954,'Исходные данные'!$D$2:$D$954,V$1,'Исходные данные'!$F$2:$F$954,$A3)</f>
        <v>0</v>
      </c>
      <c r="X3" s="4" t="n">
        <f aca="false">SUMIFS('Исходные данные'!$I$2:$I$954,'Исходные данные'!$D$2:$D$954,X$1,'Исходные данные'!$F$2:$F$954,$A3)</f>
        <v>0</v>
      </c>
      <c r="Y3" s="4" t="n">
        <f aca="false">SUMIFS('Исходные данные'!$J$2:$J$954,'Исходные данные'!$D$2:$D$954,X$1,'Исходные данные'!$F$2:$F$954,$A3)</f>
        <v>0</v>
      </c>
      <c r="Z3" s="4" t="n">
        <f aca="false">SUMIFS('Исходные данные'!$I$2:$I$954,'Исходные данные'!$D$2:$D$954,Z$1,'Исходные данные'!$F$2:$F$954,$A3)</f>
        <v>0</v>
      </c>
      <c r="AA3" s="4" t="n">
        <f aca="false">SUMIFS('Исходные данные'!$J$2:$J$954,'Исходные данные'!$D$2:$D$954,Z$1,'Исходные данные'!$F$2:$F$954,$A3)</f>
        <v>0</v>
      </c>
      <c r="AB3" s="4" t="n">
        <f aca="false">SUMIFS('Исходные данные'!$I$2:$I$954,'Исходные данные'!$D$2:$D$954,AB$1,'Исходные данные'!$F$2:$F$954,$A3)</f>
        <v>0</v>
      </c>
      <c r="AC3" s="4" t="n">
        <f aca="false">SUMIFS('Исходные данные'!$J$2:$J$954,'Исходные данные'!$D$2:$D$954,AB$1,'Исходные данные'!$F$2:$F$954,$A3)</f>
        <v>0</v>
      </c>
      <c r="AD3" s="4" t="n">
        <f aca="false">SUMIFS('Исходные данные'!$I$2:$I$954,'Исходные данные'!$D$2:$D$954,AD$1,'Исходные данные'!$F$2:$F$954,$A3)</f>
        <v>1</v>
      </c>
      <c r="AE3" s="4" t="n">
        <f aca="false">SUMIFS('Исходные данные'!$J$2:$J$954,'Исходные данные'!$D$2:$D$954,AD$1,'Исходные данные'!$F$2:$F$954,$A3)</f>
        <v>0</v>
      </c>
      <c r="AF3" s="4" t="n">
        <f aca="false">SUMIFS('Исходные данные'!$I$2:$I$954,'Исходные данные'!$D$2:$D$954,AF$1,'Исходные данные'!$F$2:$F$954,$A3)</f>
        <v>0</v>
      </c>
      <c r="AG3" s="4" t="n">
        <f aca="false">SUMIFS('Исходные данные'!$J$2:$J$954,'Исходные данные'!$D$2:$D$954,AF$1,'Исходные данные'!$F$2:$F$954,$A3)</f>
        <v>0</v>
      </c>
      <c r="AH3" s="4" t="n">
        <f aca="false">SUMIFS('Исходные данные'!$I$2:$I$954,'Исходные данные'!$D$2:$D$954,AH$1,'Исходные данные'!$F$2:$F$954,$A3)</f>
        <v>4</v>
      </c>
      <c r="AI3" s="4" t="n">
        <f aca="false">SUMIFS('Исходные данные'!$J$2:$J$954,'Исходные данные'!$D$2:$D$954,AH$1,'Исходные данные'!$F$2:$F$954,$A3)</f>
        <v>3</v>
      </c>
      <c r="AJ3" s="4" t="n">
        <f aca="false">SUMIFS('Исходные данные'!$I$2:$I$954,'Исходные данные'!$D$2:$D$954,AJ$1,'Исходные данные'!$F$2:$F$954,$A3)</f>
        <v>3</v>
      </c>
      <c r="AK3" s="4" t="n">
        <f aca="false">SUMIFS('Исходные данные'!$J$2:$J$954,'Исходные данные'!$D$2:$D$954,AJ$1,'Исходные данные'!$F$2:$F$954,$A3)</f>
        <v>3</v>
      </c>
      <c r="AL3" s="4" t="n">
        <f aca="false">SUMIFS('Исходные данные'!$I$2:$I$954,'Исходные данные'!$D$2:$D$954,AL$1,'Исходные данные'!$F$2:$F$954,$A3)</f>
        <v>1</v>
      </c>
      <c r="AM3" s="4" t="n">
        <f aca="false">SUMIFS('Исходные данные'!$J$2:$J$954,'Исходные данные'!$D$2:$D$954,AL$1,'Исходные данные'!$F$2:$F$954,$A3)</f>
        <v>0</v>
      </c>
      <c r="AN3" s="4" t="n">
        <f aca="false">SUMIFS('Исходные данные'!$I$2:$I$954,'Исходные данные'!$D$2:$D$954,AN$1,'Исходные данные'!$F$2:$F$954,$A3)</f>
        <v>0</v>
      </c>
      <c r="AO3" s="4" t="n">
        <f aca="false">SUMIFS('Исходные данные'!$J$2:$J$954,'Исходные данные'!$D$2:$D$954,AN$1,'Исходные данные'!$F$2:$F$954,$A3)</f>
        <v>0</v>
      </c>
      <c r="AP3" s="4" t="n">
        <f aca="false">SUMIFS('Исходные данные'!$I$2:$I$954,'Исходные данные'!$D$2:$D$954,AP$1,'Исходные данные'!$F$2:$F$954,$A3)</f>
        <v>0</v>
      </c>
      <c r="AQ3" s="4" t="n">
        <f aca="false">SUMIFS('Исходные данные'!$J$2:$J$954,'Исходные данные'!$D$2:$D$954,AP$1,'Исходные данные'!$F$2:$F$954,$A3)</f>
        <v>0</v>
      </c>
      <c r="AR3" s="4" t="n">
        <f aca="false">SUMIFS('Исходные данные'!$I$2:$I$954,'Исходные данные'!$D$2:$D$954,AR$1,'Исходные данные'!$F$2:$F$954,$A3)</f>
        <v>0</v>
      </c>
      <c r="AS3" s="4" t="n">
        <f aca="false">SUMIFS('Исходные данные'!$J$2:$J$954,'Исходные данные'!$D$2:$D$954,AR$1,'Исходные данные'!$F$2:$F$954,$A3)</f>
        <v>0</v>
      </c>
      <c r="AT3" s="4" t="n">
        <f aca="false">SUMIFS('Исходные данные'!$I$2:$I$954,'Исходные данные'!$D$2:$D$954,AT$1,'Исходные данные'!$F$2:$F$954,$A3)</f>
        <v>0</v>
      </c>
      <c r="AU3" s="4" t="n">
        <f aca="false">SUMIFS('Исходные данные'!$J$2:$J$954,'Исходные данные'!$D$2:$D$954,AT$1,'Исходные данные'!$F$2:$F$954,$A3)</f>
        <v>0</v>
      </c>
      <c r="AV3" s="4" t="n">
        <f aca="false">SUMIFS('Исходные данные'!$I$2:$I$954,'Исходные данные'!$D$2:$D$954,AV$1,'Исходные данные'!$F$2:$F$954,$A3)</f>
        <v>0</v>
      </c>
      <c r="AW3" s="4" t="n">
        <f aca="false">SUMIFS('Исходные данные'!$J$2:$J$954,'Исходные данные'!$D$2:$D$954,AV$1,'Исходные данные'!$F$2:$F$954,$A3)</f>
        <v>0</v>
      </c>
      <c r="AX3" s="4" t="n">
        <f aca="false">SUMIFS('Исходные данные'!$I$2:$I$954,'Исходные данные'!$D$2:$D$954,AX$1,'Исходные данные'!$F$2:$F$954,$A3)</f>
        <v>0</v>
      </c>
      <c r="AY3" s="4" t="n">
        <f aca="false">SUMIFS('Исходные данные'!$J$2:$J$954,'Исходные данные'!$D$2:$D$954,AX$1,'Исходные данные'!$F$2:$F$954,$A3)</f>
        <v>0</v>
      </c>
      <c r="AZ3" s="4" t="n">
        <f aca="false">SUMIFS('Исходные данные'!$I$2:$I$954,'Исходные данные'!$D$2:$D$954,AZ$1,'Исходные данные'!$F$2:$F$954,$A3)</f>
        <v>0</v>
      </c>
      <c r="BA3" s="4" t="n">
        <f aca="false">SUMIFS('Исходные данные'!$J$2:$J$954,'Исходные данные'!$D$2:$D$954,AZ$1,'Исходные данные'!$F$2:$F$954,$A3)</f>
        <v>0</v>
      </c>
      <c r="BB3" s="4" t="n">
        <f aca="false">SUMIFS('Исходные данные'!$I$2:$I$954,'Исходные данные'!$D$2:$D$954,BB$1,'Исходные данные'!$F$2:$F$954,$A3)</f>
        <v>0</v>
      </c>
      <c r="BC3" s="4" t="n">
        <f aca="false">SUMIFS('Исходные данные'!$J$2:$J$954,'Исходные данные'!$D$2:$D$954,BB$1,'Исходные данные'!$F$2:$F$954,$A3)</f>
        <v>0</v>
      </c>
      <c r="BD3" s="4" t="n">
        <f aca="false">SUMIFS('Исходные данные'!$I$2:$I$954,'Исходные данные'!$D$2:$D$954,BD$1,'Исходные данные'!$F$2:$F$954,$A3)</f>
        <v>0</v>
      </c>
      <c r="BE3" s="4" t="n">
        <f aca="false">SUMIFS('Исходные данные'!$J$2:$J$954,'Исходные данные'!$D$2:$D$954,BD$1,'Исходные данные'!$F$2:$F$954,$A3)</f>
        <v>0</v>
      </c>
      <c r="BF3" s="4" t="n">
        <f aca="false">SUMIFS('Исходные данные'!$I$2:$I$954,'Исходные данные'!$D$2:$D$954,BF$1,'Исходные данные'!$F$2:$F$954,$A3)</f>
        <v>0</v>
      </c>
      <c r="BG3" s="4" t="n">
        <f aca="false">SUMIFS('Исходные данные'!$J$2:$J$954,'Исходные данные'!$D$2:$D$954,BF$1,'Исходные данные'!$F$2:$F$954,$A3)</f>
        <v>0</v>
      </c>
      <c r="BH3" s="4" t="n">
        <f aca="false">SUMIFS('Исходные данные'!$I$2:$I$954,'Исходные данные'!$D$2:$D$954,BH$1,'Исходные данные'!$F$2:$F$954,$A3)</f>
        <v>0</v>
      </c>
      <c r="BI3" s="4" t="n">
        <f aca="false">SUMIFS('Исходные данные'!$J$2:$J$954,'Исходные данные'!$D$2:$D$954,BH$1,'Исходные данные'!$F$2:$F$954,$A3)</f>
        <v>0</v>
      </c>
      <c r="BJ3" s="4" t="n">
        <f aca="false">SUMIFS('Исходные данные'!$I$2:$I$954,'Исходные данные'!$D$2:$D$954,BJ$1,'Исходные данные'!$F$2:$F$954,$A3)</f>
        <v>0</v>
      </c>
      <c r="BK3" s="4" t="n">
        <f aca="false">SUMIFS('Исходные данные'!$J$2:$J$954,'Исходные данные'!$D$2:$D$954,BJ$1,'Исходные данные'!$F$2:$F$954,$A3)</f>
        <v>0</v>
      </c>
      <c r="BL3" s="4" t="n">
        <f aca="false">SUMIFS('Исходные данные'!$I$2:$I$954,'Исходные данные'!$D$2:$D$954,BL$1,'Исходные данные'!$F$2:$F$954,$A3)</f>
        <v>0</v>
      </c>
      <c r="BM3" s="4" t="n">
        <f aca="false">SUMIFS('Исходные данные'!$J$2:$J$954,'Исходные данные'!$D$2:$D$954,BL$1,'Исходные данные'!$F$2:$F$954,$A3)</f>
        <v>0</v>
      </c>
      <c r="BN3" s="4" t="n">
        <f aca="false">SUMIFS('Исходные данные'!$I$2:$I$954,'Исходные данные'!$D$2:$D$954,BN$1,'Исходные данные'!$F$2:$F$954,$A3)</f>
        <v>0</v>
      </c>
      <c r="BO3" s="4" t="n">
        <f aca="false">SUMIFS('Исходные данные'!$J$2:$J$954,'Исходные данные'!$D$2:$D$954,BN$1,'Исходные данные'!$F$2:$F$954,$A3)</f>
        <v>0</v>
      </c>
      <c r="BP3" s="4" t="n">
        <f aca="false">SUMIFS('Исходные данные'!$I$2:$I$954,'Исходные данные'!$D$2:$D$954,BP$1,'Исходные данные'!$F$2:$F$954,$A3)</f>
        <v>0</v>
      </c>
      <c r="BQ3" s="4" t="n">
        <f aca="false">SUMIFS('Исходные данные'!$J$2:$J$954,'Исходные данные'!$D$2:$D$954,BP$1,'Исходные данные'!$F$2:$F$954,$A3)</f>
        <v>0</v>
      </c>
      <c r="BR3" s="4" t="n">
        <f aca="false">SUMIFS('Исходные данные'!$I$2:$I$954,'Исходные данные'!$D$2:$D$954,BR$1,'Исходные данные'!$F$2:$F$954,$A3)</f>
        <v>0</v>
      </c>
      <c r="BS3" s="4" t="n">
        <f aca="false">SUMIFS('Исходные данные'!$J$2:$J$954,'Исходные данные'!$D$2:$D$954,BR$1,'Исходные данные'!$F$2:$F$954,$A3)</f>
        <v>0</v>
      </c>
      <c r="BT3" s="4" t="n">
        <f aca="false">SUMIFS('Исходные данные'!$I$2:$I$954,'Исходные данные'!$D$2:$D$954,BT$1,'Исходные данные'!$F$2:$F$954,$A3)</f>
        <v>0</v>
      </c>
      <c r="BU3" s="4" t="n">
        <f aca="false">SUMIFS('Исходные данные'!$J$2:$J$954,'Исходные данные'!$D$2:$D$954,BT$1,'Исходные данные'!$F$2:$F$954,$A3)</f>
        <v>0</v>
      </c>
      <c r="BV3" s="4" t="n">
        <f aca="false">SUMIFS('Исходные данные'!$I$2:$I$954,'Исходные данные'!$D$2:$D$954,BV$1,'Исходные данные'!$F$2:$F$954,$A3)</f>
        <v>0</v>
      </c>
      <c r="BW3" s="4" t="n">
        <f aca="false">SUMIFS('Исходные данные'!$J$2:$J$954,'Исходные данные'!$D$2:$D$954,BV$1,'Исходные данные'!$F$2:$F$954,$A3)</f>
        <v>0</v>
      </c>
      <c r="BX3" s="4" t="n">
        <f aca="false">SUMIFS('Исходные данные'!$I$2:$I$954,'Исходные данные'!$D$2:$D$954,BX$1,'Исходные данные'!$F$2:$F$954,$A3)</f>
        <v>0</v>
      </c>
      <c r="BY3" s="4" t="n">
        <f aca="false">SUMIFS('Исходные данные'!$J$2:$J$954,'Исходные данные'!$D$2:$D$954,BX$1,'Исходные данные'!$F$2:$F$954,$A3)</f>
        <v>0</v>
      </c>
      <c r="BZ3" s="4" t="n">
        <f aca="false">SUMIFS('Исходные данные'!$I$2:$I$954,'Исходные данные'!$D$2:$D$954,BZ$1,'Исходные данные'!$F$2:$F$954,$A3)</f>
        <v>0</v>
      </c>
      <c r="CA3" s="4" t="n">
        <f aca="false">SUMIFS('Исходные данные'!$J$2:$J$954,'Исходные данные'!$D$2:$D$954,BZ$1,'Исходные данные'!$F$2:$F$954,$A3)</f>
        <v>0</v>
      </c>
      <c r="CB3" s="4" t="n">
        <f aca="false">SUMIFS('Исходные данные'!$I$2:$I$954,'Исходные данные'!$D$2:$D$954,CB$1,'Исходные данные'!$F$2:$F$954,$A3)</f>
        <v>0</v>
      </c>
      <c r="CC3" s="4" t="n">
        <f aca="false">SUMIFS('Исходные данные'!$J$2:$J$954,'Исходные данные'!$D$2:$D$954,CB$1,'Исходные данные'!$F$2:$F$954,$A3)</f>
        <v>0</v>
      </c>
      <c r="CD3" s="4" t="n">
        <f aca="false">SUMIFS('Исходные данные'!$I$2:$I$954,'Исходные данные'!$D$2:$D$954,CD$1,'Исходные данные'!$F$2:$F$954,$A3)</f>
        <v>0</v>
      </c>
      <c r="CE3" s="4" t="n">
        <f aca="false">SUMIFS('Исходные данные'!$J$2:$J$954,'Исходные данные'!$D$2:$D$954,CD$1,'Исходные данные'!$F$2:$F$954,$A3)</f>
        <v>0</v>
      </c>
      <c r="CF3" s="4" t="n">
        <f aca="false">SUMIFS('Исходные данные'!$I$2:$I$954,'Исходные данные'!$D$2:$D$954,CF$1,'Исходные данные'!$F$2:$F$954,$A3)</f>
        <v>0</v>
      </c>
      <c r="CG3" s="4" t="n">
        <f aca="false">SUMIFS('Исходные данные'!$J$2:$J$954,'Исходные данные'!$D$2:$D$954,CF$1,'Исходные данные'!$F$2:$F$954,$A3)</f>
        <v>0</v>
      </c>
      <c r="CH3" s="4" t="n">
        <f aca="false">SUMIFS('Исходные данные'!$I$2:$I$954,'Исходные данные'!$D$2:$D$954,CH$1,'Исходные данные'!$F$2:$F$954,$A3)</f>
        <v>0</v>
      </c>
      <c r="CI3" s="4" t="n">
        <f aca="false">SUMIFS('Исходные данные'!$J$2:$J$954,'Исходные данные'!$D$2:$D$954,CH$1,'Исходные данные'!$F$2:$F$954,$A3)</f>
        <v>0</v>
      </c>
    </row>
    <row r="4" customFormat="false" ht="15" hidden="false" customHeight="false" outlineLevel="0" collapsed="false">
      <c r="A4" s="3" t="s">
        <v>51</v>
      </c>
      <c r="B4" s="4" t="s">
        <v>52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SUMIFS($H4:$CI4,$H$2:$CI$2,"День")</f>
        <v>8</v>
      </c>
      <c r="G4" s="5" t="n">
        <f aca="false">SUMIFS($H4:$CI4,$H$2:$CI$2,"Ночь")</f>
        <v>0</v>
      </c>
      <c r="H4" s="4" t="n">
        <f aca="false">SUMIFS('Исходные данные'!$I$2:$I$954,'Исходные данные'!$D$2:$D$954,H$1,'Исходные данные'!$F$2:$F$954,$A4)</f>
        <v>1</v>
      </c>
      <c r="I4" s="4" t="n">
        <f aca="false">SUMIFS('Исходные данные'!$J$2:$J$954,'Исходные данные'!$D$2:$D$954,H$1,'Исходные данные'!$F$2:$F$954,$A4)</f>
        <v>0</v>
      </c>
      <c r="J4" s="4" t="n">
        <f aca="false">SUMIFS('Исходные данные'!$I$2:$I$954,'Исходные данные'!$D$2:$D$954,J$1,'Исходные данные'!$F$2:$F$954,$A4)</f>
        <v>1</v>
      </c>
      <c r="K4" s="4" t="n">
        <f aca="false">SUMIFS('Исходные данные'!$J$2:$J$954,'Исходные данные'!$D$2:$D$954,J$1,'Исходные данные'!$F$2:$F$954,$A4)</f>
        <v>0</v>
      </c>
      <c r="L4" s="4" t="n">
        <f aca="false">SUMIFS('Исходные данные'!$I$2:$I$954,'Исходные данные'!$D$2:$D$954,L$1,'Исходные данные'!$F$2:$F$954,$A4)</f>
        <v>2</v>
      </c>
      <c r="M4" s="4" t="n">
        <f aca="false">SUMIFS('Исходные данные'!$J$2:$J$954,'Исходные данные'!$D$2:$D$954,L$1,'Исходные данные'!$F$2:$F$954,$A4)</f>
        <v>0</v>
      </c>
      <c r="N4" s="4" t="n">
        <f aca="false">SUMIFS('Исходные данные'!$I$2:$I$954,'Исходные данные'!$D$2:$D$954,N$1,'Исходные данные'!$F$2:$F$954,$A4)</f>
        <v>0</v>
      </c>
      <c r="O4" s="4" t="n">
        <f aca="false">SUMIFS('Исходные данные'!$J$2:$J$954,'Исходные данные'!$D$2:$D$954,N$1,'Исходные данные'!$F$2:$F$954,$A4)</f>
        <v>0</v>
      </c>
      <c r="P4" s="4" t="n">
        <f aca="false">SUMIFS('Исходные данные'!$I$2:$I$954,'Исходные данные'!$D$2:$D$954,P$1,'Исходные данные'!$F$2:$F$954,$A4)</f>
        <v>1</v>
      </c>
      <c r="Q4" s="4" t="n">
        <f aca="false">SUMIFS('Исходные данные'!$J$2:$J$954,'Исходные данные'!$D$2:$D$954,P$1,'Исходные данные'!$F$2:$F$954,$A4)</f>
        <v>0</v>
      </c>
      <c r="R4" s="4" t="n">
        <f aca="false">SUMIFS('Исходные данные'!$I$2:$I$954,'Исходные данные'!$D$2:$D$954,R$1,'Исходные данные'!$F$2:$F$954,$A4)</f>
        <v>0</v>
      </c>
      <c r="S4" s="4" t="n">
        <f aca="false">SUMIFS('Исходные данные'!$J$2:$J$954,'Исходные данные'!$D$2:$D$954,R$1,'Исходные данные'!$F$2:$F$954,$A4)</f>
        <v>0</v>
      </c>
      <c r="T4" s="4" t="n">
        <f aca="false">SUMIFS('Исходные данные'!$I$2:$I$954,'Исходные данные'!$D$2:$D$954,T$1,'Исходные данные'!$F$2:$F$954,$A4)</f>
        <v>2</v>
      </c>
      <c r="U4" s="4" t="n">
        <f aca="false">SUMIFS('Исходные данные'!$J$2:$J$954,'Исходные данные'!$D$2:$D$954,T$1,'Исходные данные'!$F$2:$F$954,$A4)</f>
        <v>0</v>
      </c>
      <c r="V4" s="4" t="n">
        <f aca="false">SUMIFS('Исходные данные'!$I$2:$I$954,'Исходные данные'!$D$2:$D$954,V$1,'Исходные данные'!$F$2:$F$954,$A4)</f>
        <v>1</v>
      </c>
      <c r="W4" s="4" t="n">
        <f aca="false">SUMIFS('Исходные данные'!$J$2:$J$954,'Исходные данные'!$D$2:$D$954,V$1,'Исходные данные'!$F$2:$F$954,$A4)</f>
        <v>0</v>
      </c>
      <c r="X4" s="4" t="n">
        <f aca="false">SUMIFS('Исходные данные'!$I$2:$I$954,'Исходные данные'!$D$2:$D$954,X$1,'Исходные данные'!$F$2:$F$954,$A4)</f>
        <v>0</v>
      </c>
      <c r="Y4" s="4" t="n">
        <f aca="false">SUMIFS('Исходные данные'!$J$2:$J$954,'Исходные данные'!$D$2:$D$954,X$1,'Исходные данные'!$F$2:$F$954,$A4)</f>
        <v>0</v>
      </c>
      <c r="Z4" s="4" t="n">
        <f aca="false">SUMIFS('Исходные данные'!$I$2:$I$954,'Исходные данные'!$D$2:$D$954,Z$1,'Исходные данные'!$F$2:$F$954,$A4)</f>
        <v>0</v>
      </c>
      <c r="AA4" s="4" t="n">
        <f aca="false">SUMIFS('Исходные данные'!$J$2:$J$954,'Исходные данные'!$D$2:$D$954,Z$1,'Исходные данные'!$F$2:$F$954,$A4)</f>
        <v>0</v>
      </c>
      <c r="AB4" s="4" t="n">
        <f aca="false">SUMIFS('Исходные данные'!$I$2:$I$954,'Исходные данные'!$D$2:$D$954,AB$1,'Исходные данные'!$F$2:$F$954,$A4)</f>
        <v>0</v>
      </c>
      <c r="AC4" s="4" t="n">
        <f aca="false">SUMIFS('Исходные данные'!$J$2:$J$954,'Исходные данные'!$D$2:$D$954,AB$1,'Исходные данные'!$F$2:$F$954,$A4)</f>
        <v>0</v>
      </c>
      <c r="AD4" s="4" t="n">
        <f aca="false">SUMIFS('Исходные данные'!$I$2:$I$954,'Исходные данные'!$D$2:$D$954,AD$1,'Исходные данные'!$F$2:$F$954,$A4)</f>
        <v>0</v>
      </c>
      <c r="AE4" s="4" t="n">
        <f aca="false">SUMIFS('Исходные данные'!$J$2:$J$954,'Исходные данные'!$D$2:$D$954,AD$1,'Исходные данные'!$F$2:$F$954,$A4)</f>
        <v>0</v>
      </c>
      <c r="AF4" s="4" t="n">
        <f aca="false">SUMIFS('Исходные данные'!$I$2:$I$954,'Исходные данные'!$D$2:$D$954,AF$1,'Исходные данные'!$F$2:$F$954,$A4)</f>
        <v>0</v>
      </c>
      <c r="AG4" s="4" t="n">
        <f aca="false">SUMIFS('Исходные данные'!$J$2:$J$954,'Исходные данные'!$D$2:$D$954,AF$1,'Исходные данные'!$F$2:$F$954,$A4)</f>
        <v>0</v>
      </c>
      <c r="AH4" s="4" t="n">
        <f aca="false">SUMIFS('Исходные данные'!$I$2:$I$954,'Исходные данные'!$D$2:$D$954,AH$1,'Исходные данные'!$F$2:$F$954,$A4)</f>
        <v>0</v>
      </c>
      <c r="AI4" s="4" t="n">
        <f aca="false">SUMIFS('Исходные данные'!$J$2:$J$954,'Исходные данные'!$D$2:$D$954,AH$1,'Исходные данные'!$F$2:$F$954,$A4)</f>
        <v>0</v>
      </c>
      <c r="AJ4" s="4" t="n">
        <f aca="false">SUMIFS('Исходные данные'!$I$2:$I$954,'Исходные данные'!$D$2:$D$954,AJ$1,'Исходные данные'!$F$2:$F$954,$A4)</f>
        <v>0</v>
      </c>
      <c r="AK4" s="4" t="n">
        <f aca="false">SUMIFS('Исходные данные'!$J$2:$J$954,'Исходные данные'!$D$2:$D$954,AJ$1,'Исходные данные'!$F$2:$F$954,$A4)</f>
        <v>0</v>
      </c>
      <c r="AL4" s="4" t="n">
        <f aca="false">SUMIFS('Исходные данные'!$I$2:$I$954,'Исходные данные'!$D$2:$D$954,AL$1,'Исходные данные'!$F$2:$F$954,$A4)</f>
        <v>0</v>
      </c>
      <c r="AM4" s="4" t="n">
        <f aca="false">SUMIFS('Исходные данные'!$J$2:$J$954,'Исходные данные'!$D$2:$D$954,AL$1,'Исходные данные'!$F$2:$F$954,$A4)</f>
        <v>0</v>
      </c>
      <c r="AN4" s="4" t="n">
        <f aca="false">SUMIFS('Исходные данные'!$I$2:$I$954,'Исходные данные'!$D$2:$D$954,AN$1,'Исходные данные'!$F$2:$F$954,$A4)</f>
        <v>0</v>
      </c>
      <c r="AO4" s="4" t="n">
        <f aca="false">SUMIFS('Исходные данные'!$J$2:$J$954,'Исходные данные'!$D$2:$D$954,AN$1,'Исходные данные'!$F$2:$F$954,$A4)</f>
        <v>0</v>
      </c>
      <c r="AP4" s="4" t="n">
        <f aca="false">SUMIFS('Исходные данные'!$I$2:$I$954,'Исходные данные'!$D$2:$D$954,AP$1,'Исходные данные'!$F$2:$F$954,$A4)</f>
        <v>0</v>
      </c>
      <c r="AQ4" s="4" t="n">
        <f aca="false">SUMIFS('Исходные данные'!$J$2:$J$954,'Исходные данные'!$D$2:$D$954,AP$1,'Исходные данные'!$F$2:$F$954,$A4)</f>
        <v>0</v>
      </c>
      <c r="AR4" s="4" t="n">
        <f aca="false">SUMIFS('Исходные данные'!$I$2:$I$954,'Исходные данные'!$D$2:$D$954,AR$1,'Исходные данные'!$F$2:$F$954,$A4)</f>
        <v>0</v>
      </c>
      <c r="AS4" s="4" t="n">
        <f aca="false">SUMIFS('Исходные данные'!$J$2:$J$954,'Исходные данные'!$D$2:$D$954,AR$1,'Исходные данные'!$F$2:$F$954,$A4)</f>
        <v>0</v>
      </c>
      <c r="AT4" s="4" t="n">
        <f aca="false">SUMIFS('Исходные данные'!$I$2:$I$954,'Исходные данные'!$D$2:$D$954,AT$1,'Исходные данные'!$F$2:$F$954,$A4)</f>
        <v>0</v>
      </c>
      <c r="AU4" s="4" t="n">
        <f aca="false">SUMIFS('Исходные данные'!$J$2:$J$954,'Исходные данные'!$D$2:$D$954,AT$1,'Исходные данные'!$F$2:$F$954,$A4)</f>
        <v>0</v>
      </c>
      <c r="AV4" s="4" t="n">
        <f aca="false">SUMIFS('Исходные данные'!$I$2:$I$954,'Исходные данные'!$D$2:$D$954,AV$1,'Исходные данные'!$F$2:$F$954,$A4)</f>
        <v>0</v>
      </c>
      <c r="AW4" s="4" t="n">
        <f aca="false">SUMIFS('Исходные данные'!$J$2:$J$954,'Исходные данные'!$D$2:$D$954,AV$1,'Исходные данные'!$F$2:$F$954,$A4)</f>
        <v>0</v>
      </c>
      <c r="AX4" s="4" t="n">
        <f aca="false">SUMIFS('Исходные данные'!$I$2:$I$954,'Исходные данные'!$D$2:$D$954,AX$1,'Исходные данные'!$F$2:$F$954,$A4)</f>
        <v>0</v>
      </c>
      <c r="AY4" s="4" t="n">
        <f aca="false">SUMIFS('Исходные данные'!$J$2:$J$954,'Исходные данные'!$D$2:$D$954,AX$1,'Исходные данные'!$F$2:$F$954,$A4)</f>
        <v>0</v>
      </c>
      <c r="AZ4" s="4" t="n">
        <f aca="false">SUMIFS('Исходные данные'!$I$2:$I$954,'Исходные данные'!$D$2:$D$954,AZ$1,'Исходные данные'!$F$2:$F$954,$A4)</f>
        <v>0</v>
      </c>
      <c r="BA4" s="4" t="n">
        <f aca="false">SUMIFS('Исходные данные'!$J$2:$J$954,'Исходные данные'!$D$2:$D$954,AZ$1,'Исходные данные'!$F$2:$F$954,$A4)</f>
        <v>0</v>
      </c>
      <c r="BB4" s="4" t="n">
        <f aca="false">SUMIFS('Исходные данные'!$I$2:$I$954,'Исходные данные'!$D$2:$D$954,BB$1,'Исходные данные'!$F$2:$F$954,$A4)</f>
        <v>0</v>
      </c>
      <c r="BC4" s="4" t="n">
        <f aca="false">SUMIFS('Исходные данные'!$J$2:$J$954,'Исходные данные'!$D$2:$D$954,BB$1,'Исходные данные'!$F$2:$F$954,$A4)</f>
        <v>0</v>
      </c>
      <c r="BD4" s="4" t="n">
        <f aca="false">SUMIFS('Исходные данные'!$I$2:$I$954,'Исходные данные'!$D$2:$D$954,BD$1,'Исходные данные'!$F$2:$F$954,$A4)</f>
        <v>0</v>
      </c>
      <c r="BE4" s="4" t="n">
        <f aca="false">SUMIFS('Исходные данные'!$J$2:$J$954,'Исходные данные'!$D$2:$D$954,BD$1,'Исходные данные'!$F$2:$F$954,$A4)</f>
        <v>0</v>
      </c>
      <c r="BF4" s="4" t="n">
        <f aca="false">SUMIFS('Исходные данные'!$I$2:$I$954,'Исходные данные'!$D$2:$D$954,BF$1,'Исходные данные'!$F$2:$F$954,$A4)</f>
        <v>0</v>
      </c>
      <c r="BG4" s="4" t="n">
        <f aca="false">SUMIFS('Исходные данные'!$J$2:$J$954,'Исходные данные'!$D$2:$D$954,BF$1,'Исходные данные'!$F$2:$F$954,$A4)</f>
        <v>0</v>
      </c>
      <c r="BH4" s="4" t="n">
        <f aca="false">SUMIFS('Исходные данные'!$I$2:$I$954,'Исходные данные'!$D$2:$D$954,BH$1,'Исходные данные'!$F$2:$F$954,$A4)</f>
        <v>0</v>
      </c>
      <c r="BI4" s="4" t="n">
        <f aca="false">SUMIFS('Исходные данные'!$J$2:$J$954,'Исходные данные'!$D$2:$D$954,BH$1,'Исходные данные'!$F$2:$F$954,$A4)</f>
        <v>0</v>
      </c>
      <c r="BJ4" s="4" t="n">
        <f aca="false">SUMIFS('Исходные данные'!$I$2:$I$954,'Исходные данные'!$D$2:$D$954,BJ$1,'Исходные данные'!$F$2:$F$954,$A4)</f>
        <v>0</v>
      </c>
      <c r="BK4" s="4" t="n">
        <f aca="false">SUMIFS('Исходные данные'!$J$2:$J$954,'Исходные данные'!$D$2:$D$954,BJ$1,'Исходные данные'!$F$2:$F$954,$A4)</f>
        <v>0</v>
      </c>
      <c r="BL4" s="4" t="n">
        <f aca="false">SUMIFS('Исходные данные'!$I$2:$I$954,'Исходные данные'!$D$2:$D$954,BL$1,'Исходные данные'!$F$2:$F$954,$A4)</f>
        <v>0</v>
      </c>
      <c r="BM4" s="4" t="n">
        <f aca="false">SUMIFS('Исходные данные'!$J$2:$J$954,'Исходные данные'!$D$2:$D$954,BL$1,'Исходные данные'!$F$2:$F$954,$A4)</f>
        <v>0</v>
      </c>
      <c r="BN4" s="4" t="n">
        <f aca="false">SUMIFS('Исходные данные'!$I$2:$I$954,'Исходные данные'!$D$2:$D$954,BN$1,'Исходные данные'!$F$2:$F$954,$A4)</f>
        <v>0</v>
      </c>
      <c r="BO4" s="4" t="n">
        <f aca="false">SUMIFS('Исходные данные'!$J$2:$J$954,'Исходные данные'!$D$2:$D$954,BN$1,'Исходные данные'!$F$2:$F$954,$A4)</f>
        <v>0</v>
      </c>
      <c r="BP4" s="4" t="n">
        <f aca="false">SUMIFS('Исходные данные'!$I$2:$I$954,'Исходные данные'!$D$2:$D$954,BP$1,'Исходные данные'!$F$2:$F$954,$A4)</f>
        <v>0</v>
      </c>
      <c r="BQ4" s="4" t="n">
        <f aca="false">SUMIFS('Исходные данные'!$J$2:$J$954,'Исходные данные'!$D$2:$D$954,BP$1,'Исходные данные'!$F$2:$F$954,$A4)</f>
        <v>0</v>
      </c>
      <c r="BR4" s="4" t="n">
        <f aca="false">SUMIFS('Исходные данные'!$I$2:$I$954,'Исходные данные'!$D$2:$D$954,BR$1,'Исходные данные'!$F$2:$F$954,$A4)</f>
        <v>0</v>
      </c>
      <c r="BS4" s="4" t="n">
        <f aca="false">SUMIFS('Исходные данные'!$J$2:$J$954,'Исходные данные'!$D$2:$D$954,BR$1,'Исходные данные'!$F$2:$F$954,$A4)</f>
        <v>0</v>
      </c>
      <c r="BT4" s="4" t="n">
        <f aca="false">SUMIFS('Исходные данные'!$I$2:$I$954,'Исходные данные'!$D$2:$D$954,BT$1,'Исходные данные'!$F$2:$F$954,$A4)</f>
        <v>0</v>
      </c>
      <c r="BU4" s="4" t="n">
        <f aca="false">SUMIFS('Исходные данные'!$J$2:$J$954,'Исходные данные'!$D$2:$D$954,BT$1,'Исходные данные'!$F$2:$F$954,$A4)</f>
        <v>0</v>
      </c>
      <c r="BV4" s="4" t="n">
        <f aca="false">SUMIFS('Исходные данные'!$I$2:$I$954,'Исходные данные'!$D$2:$D$954,BV$1,'Исходные данные'!$F$2:$F$954,$A4)</f>
        <v>0</v>
      </c>
      <c r="BW4" s="4" t="n">
        <f aca="false">SUMIFS('Исходные данные'!$J$2:$J$954,'Исходные данные'!$D$2:$D$954,BV$1,'Исходные данные'!$F$2:$F$954,$A4)</f>
        <v>0</v>
      </c>
      <c r="BX4" s="4" t="n">
        <f aca="false">SUMIFS('Исходные данные'!$I$2:$I$954,'Исходные данные'!$D$2:$D$954,BX$1,'Исходные данные'!$F$2:$F$954,$A4)</f>
        <v>0</v>
      </c>
      <c r="BY4" s="4" t="n">
        <f aca="false">SUMIFS('Исходные данные'!$J$2:$J$954,'Исходные данные'!$D$2:$D$954,BX$1,'Исходные данные'!$F$2:$F$954,$A4)</f>
        <v>0</v>
      </c>
      <c r="BZ4" s="4" t="n">
        <f aca="false">SUMIFS('Исходные данные'!$I$2:$I$954,'Исходные данные'!$D$2:$D$954,BZ$1,'Исходные данные'!$F$2:$F$954,$A4)</f>
        <v>0</v>
      </c>
      <c r="CA4" s="4" t="n">
        <f aca="false">SUMIFS('Исходные данные'!$J$2:$J$954,'Исходные данные'!$D$2:$D$954,BZ$1,'Исходные данные'!$F$2:$F$954,$A4)</f>
        <v>0</v>
      </c>
      <c r="CB4" s="4" t="n">
        <f aca="false">SUMIFS('Исходные данные'!$I$2:$I$954,'Исходные данные'!$D$2:$D$954,CB$1,'Исходные данные'!$F$2:$F$954,$A4)</f>
        <v>0</v>
      </c>
      <c r="CC4" s="4" t="n">
        <f aca="false">SUMIFS('Исходные данные'!$J$2:$J$954,'Исходные данные'!$D$2:$D$954,CB$1,'Исходные данные'!$F$2:$F$954,$A4)</f>
        <v>0</v>
      </c>
      <c r="CD4" s="4" t="n">
        <f aca="false">SUMIFS('Исходные данные'!$I$2:$I$954,'Исходные данные'!$D$2:$D$954,CD$1,'Исходные данные'!$F$2:$F$954,$A4)</f>
        <v>0</v>
      </c>
      <c r="CE4" s="4" t="n">
        <f aca="false">SUMIFS('Исходные данные'!$J$2:$J$954,'Исходные данные'!$D$2:$D$954,CD$1,'Исходные данные'!$F$2:$F$954,$A4)</f>
        <v>0</v>
      </c>
      <c r="CF4" s="4" t="n">
        <f aca="false">SUMIFS('Исходные данные'!$I$2:$I$954,'Исходные данные'!$D$2:$D$954,CF$1,'Исходные данные'!$F$2:$F$954,$A4)</f>
        <v>0</v>
      </c>
      <c r="CG4" s="4" t="n">
        <f aca="false">SUMIFS('Исходные данные'!$J$2:$J$954,'Исходные данные'!$D$2:$D$954,CF$1,'Исходные данные'!$F$2:$F$954,$A4)</f>
        <v>0</v>
      </c>
      <c r="CH4" s="4" t="n">
        <f aca="false">SUMIFS('Исходные данные'!$I$2:$I$954,'Исходные данные'!$D$2:$D$954,CH$1,'Исходные данные'!$F$2:$F$954,$A4)</f>
        <v>0</v>
      </c>
      <c r="CI4" s="4" t="n">
        <f aca="false">SUMIFS('Исходные данные'!$J$2:$J$954,'Исходные данные'!$D$2:$D$954,CH$1,'Исходные данные'!$F$2:$F$954,$A4)</f>
        <v>0</v>
      </c>
    </row>
    <row r="5" customFormat="false" ht="15" hidden="false" customHeight="false" outlineLevel="0" collapsed="false">
      <c r="A5" s="3" t="s">
        <v>53</v>
      </c>
      <c r="B5" s="4" t="s">
        <v>54</v>
      </c>
      <c r="C5" s="5" t="n">
        <v>15</v>
      </c>
      <c r="D5" s="5" t="n">
        <f aca="false">F5+G5</f>
        <v>16</v>
      </c>
      <c r="E5" s="5" t="n">
        <f aca="false">D5-C5</f>
        <v>1</v>
      </c>
      <c r="F5" s="5" t="n">
        <f aca="false">SUMIFS($H5:$CI5,$H$2:$CI$2,"День")</f>
        <v>9</v>
      </c>
      <c r="G5" s="5" t="n">
        <f aca="false">SUMIFS($H5:$CI5,$H$2:$CI$2,"Ночь")</f>
        <v>7</v>
      </c>
      <c r="H5" s="4" t="n">
        <f aca="false">SUMIFS('Исходные данные'!$I$2:$I$954,'Исходные данные'!$D$2:$D$954,H$1,'Исходные данные'!$F$2:$F$954,$A5)</f>
        <v>2</v>
      </c>
      <c r="I5" s="4" t="n">
        <f aca="false">SUMIFS('Исходные данные'!$J$2:$J$954,'Исходные данные'!$D$2:$D$954,H$1,'Исходные данные'!$F$2:$F$954,$A5)</f>
        <v>2</v>
      </c>
      <c r="J5" s="4" t="n">
        <f aca="false">SUMIFS('Исходные данные'!$I$2:$I$954,'Исходные данные'!$D$2:$D$954,J$1,'Исходные данные'!$F$2:$F$954,$A5)</f>
        <v>1</v>
      </c>
      <c r="K5" s="4" t="n">
        <f aca="false">SUMIFS('Исходные данные'!$J$2:$J$954,'Исходные данные'!$D$2:$D$954,J$1,'Исходные данные'!$F$2:$F$954,$A5)</f>
        <v>0</v>
      </c>
      <c r="L5" s="4" t="n">
        <f aca="false">SUMIFS('Исходные данные'!$I$2:$I$954,'Исходные данные'!$D$2:$D$954,L$1,'Исходные данные'!$F$2:$F$954,$A5)</f>
        <v>2</v>
      </c>
      <c r="M5" s="4" t="n">
        <f aca="false">SUMIFS('Исходные данные'!$J$2:$J$954,'Исходные данные'!$D$2:$D$954,L$1,'Исходные данные'!$F$2:$F$954,$A5)</f>
        <v>1</v>
      </c>
      <c r="N5" s="4" t="n">
        <f aca="false">SUMIFS('Исходные данные'!$I$2:$I$954,'Исходные данные'!$D$2:$D$954,N$1,'Исходные данные'!$F$2:$F$954,$A5)</f>
        <v>0</v>
      </c>
      <c r="O5" s="4" t="n">
        <f aca="false">SUMIFS('Исходные данные'!$J$2:$J$954,'Исходные данные'!$D$2:$D$954,N$1,'Исходные данные'!$F$2:$F$954,$A5)</f>
        <v>0</v>
      </c>
      <c r="P5" s="4" t="n">
        <f aca="false">SUMIFS('Исходные данные'!$I$2:$I$954,'Исходные данные'!$D$2:$D$954,P$1,'Исходные данные'!$F$2:$F$954,$A5)</f>
        <v>0</v>
      </c>
      <c r="Q5" s="4" t="n">
        <f aca="false">SUMIFS('Исходные данные'!$J$2:$J$954,'Исходные данные'!$D$2:$D$954,P$1,'Исходные данные'!$F$2:$F$954,$A5)</f>
        <v>0</v>
      </c>
      <c r="R5" s="4" t="n">
        <f aca="false">SUMIFS('Исходные данные'!$I$2:$I$954,'Исходные данные'!$D$2:$D$954,R$1,'Исходные данные'!$F$2:$F$954,$A5)</f>
        <v>0</v>
      </c>
      <c r="S5" s="4" t="n">
        <f aca="false">SUMIFS('Исходные данные'!$J$2:$J$954,'Исходные данные'!$D$2:$D$954,R$1,'Исходные данные'!$F$2:$F$954,$A5)</f>
        <v>0</v>
      </c>
      <c r="T5" s="4" t="n">
        <f aca="false">SUMIFS('Исходные данные'!$I$2:$I$954,'Исходные данные'!$D$2:$D$954,T$1,'Исходные данные'!$F$2:$F$954,$A5)</f>
        <v>0</v>
      </c>
      <c r="U5" s="4" t="n">
        <f aca="false">SUMIFS('Исходные данные'!$J$2:$J$954,'Исходные данные'!$D$2:$D$954,T$1,'Исходные данные'!$F$2:$F$954,$A5)</f>
        <v>0</v>
      </c>
      <c r="V5" s="4" t="n">
        <f aca="false">SUMIFS('Исходные данные'!$I$2:$I$954,'Исходные данные'!$D$2:$D$954,V$1,'Исходные данные'!$F$2:$F$954,$A5)</f>
        <v>0</v>
      </c>
      <c r="W5" s="4" t="n">
        <f aca="false">SUMIFS('Исходные данные'!$J$2:$J$954,'Исходные данные'!$D$2:$D$954,V$1,'Исходные данные'!$F$2:$F$954,$A5)</f>
        <v>0</v>
      </c>
      <c r="X5" s="4" t="n">
        <f aca="false">SUMIFS('Исходные данные'!$I$2:$I$954,'Исходные данные'!$D$2:$D$954,X$1,'Исходные данные'!$F$2:$F$954,$A5)</f>
        <v>1</v>
      </c>
      <c r="Y5" s="4" t="n">
        <f aca="false">SUMIFS('Исходные данные'!$J$2:$J$954,'Исходные данные'!$D$2:$D$954,X$1,'Исходные данные'!$F$2:$F$954,$A5)</f>
        <v>0</v>
      </c>
      <c r="Z5" s="4" t="n">
        <f aca="false">SUMIFS('Исходные данные'!$I$2:$I$954,'Исходные данные'!$D$2:$D$954,Z$1,'Исходные данные'!$F$2:$F$954,$A5)</f>
        <v>0</v>
      </c>
      <c r="AA5" s="4" t="n">
        <f aca="false">SUMIFS('Исходные данные'!$J$2:$J$954,'Исходные данные'!$D$2:$D$954,Z$1,'Исходные данные'!$F$2:$F$954,$A5)</f>
        <v>0</v>
      </c>
      <c r="AB5" s="4" t="n">
        <f aca="false">SUMIFS('Исходные данные'!$I$2:$I$954,'Исходные данные'!$D$2:$D$954,AB$1,'Исходные данные'!$F$2:$F$954,$A5)</f>
        <v>0</v>
      </c>
      <c r="AC5" s="4" t="n">
        <f aca="false">SUMIFS('Исходные данные'!$J$2:$J$954,'Исходные данные'!$D$2:$D$954,AB$1,'Исходные данные'!$F$2:$F$954,$A5)</f>
        <v>0</v>
      </c>
      <c r="AD5" s="4" t="n">
        <f aca="false">SUMIFS('Исходные данные'!$I$2:$I$954,'Исходные данные'!$D$2:$D$954,AD$1,'Исходные данные'!$F$2:$F$954,$A5)</f>
        <v>0</v>
      </c>
      <c r="AE5" s="4" t="n">
        <f aca="false">SUMIFS('Исходные данные'!$J$2:$J$954,'Исходные данные'!$D$2:$D$954,AD$1,'Исходные данные'!$F$2:$F$954,$A5)</f>
        <v>0</v>
      </c>
      <c r="AF5" s="4" t="n">
        <f aca="false">SUMIFS('Исходные данные'!$I$2:$I$954,'Исходные данные'!$D$2:$D$954,AF$1,'Исходные данные'!$F$2:$F$954,$A5)</f>
        <v>0</v>
      </c>
      <c r="AG5" s="4" t="n">
        <f aca="false">SUMIFS('Исходные данные'!$J$2:$J$954,'Исходные данные'!$D$2:$D$954,AF$1,'Исходные данные'!$F$2:$F$954,$A5)</f>
        <v>0</v>
      </c>
      <c r="AH5" s="4" t="n">
        <f aca="false">SUMIFS('Исходные данные'!$I$2:$I$954,'Исходные данные'!$D$2:$D$954,AH$1,'Исходные данные'!$F$2:$F$954,$A5)</f>
        <v>1</v>
      </c>
      <c r="AI5" s="4" t="n">
        <f aca="false">SUMIFS('Исходные данные'!$J$2:$J$954,'Исходные данные'!$D$2:$D$954,AH$1,'Исходные данные'!$F$2:$F$954,$A5)</f>
        <v>2</v>
      </c>
      <c r="AJ5" s="4" t="n">
        <f aca="false">SUMIFS('Исходные данные'!$I$2:$I$954,'Исходные данные'!$D$2:$D$954,AJ$1,'Исходные данные'!$F$2:$F$954,$A5)</f>
        <v>2</v>
      </c>
      <c r="AK5" s="4" t="n">
        <f aca="false">SUMIFS('Исходные данные'!$J$2:$J$954,'Исходные данные'!$D$2:$D$954,AJ$1,'Исходные данные'!$F$2:$F$954,$A5)</f>
        <v>2</v>
      </c>
      <c r="AL5" s="4" t="n">
        <f aca="false">SUMIFS('Исходные данные'!$I$2:$I$954,'Исходные данные'!$D$2:$D$954,AL$1,'Исходные данные'!$F$2:$F$954,$A5)</f>
        <v>0</v>
      </c>
      <c r="AM5" s="4" t="n">
        <f aca="false">SUMIFS('Исходные данные'!$J$2:$J$954,'Исходные данные'!$D$2:$D$954,AL$1,'Исходные данные'!$F$2:$F$954,$A5)</f>
        <v>0</v>
      </c>
      <c r="AN5" s="4" t="n">
        <f aca="false">SUMIFS('Исходные данные'!$I$2:$I$954,'Исходные данные'!$D$2:$D$954,AN$1,'Исходные данные'!$F$2:$F$954,$A5)</f>
        <v>0</v>
      </c>
      <c r="AO5" s="4" t="n">
        <f aca="false">SUMIFS('Исходные данные'!$J$2:$J$954,'Исходные данные'!$D$2:$D$954,AN$1,'Исходные данные'!$F$2:$F$954,$A5)</f>
        <v>0</v>
      </c>
      <c r="AP5" s="4" t="n">
        <f aca="false">SUMIFS('Исходные данные'!$I$2:$I$954,'Исходные данные'!$D$2:$D$954,AP$1,'Исходные данные'!$F$2:$F$954,$A5)</f>
        <v>0</v>
      </c>
      <c r="AQ5" s="4" t="n">
        <f aca="false">SUMIFS('Исходные данные'!$J$2:$J$954,'Исходные данные'!$D$2:$D$954,AP$1,'Исходные данные'!$F$2:$F$954,$A5)</f>
        <v>0</v>
      </c>
      <c r="AR5" s="4" t="n">
        <f aca="false">SUMIFS('Исходные данные'!$I$2:$I$954,'Исходные данные'!$D$2:$D$954,AR$1,'Исходные данные'!$F$2:$F$954,$A5)</f>
        <v>0</v>
      </c>
      <c r="AS5" s="4" t="n">
        <f aca="false">SUMIFS('Исходные данные'!$J$2:$J$954,'Исходные данные'!$D$2:$D$954,AR$1,'Исходные данные'!$F$2:$F$954,$A5)</f>
        <v>0</v>
      </c>
      <c r="AT5" s="4" t="n">
        <f aca="false">SUMIFS('Исходные данные'!$I$2:$I$954,'Исходные данные'!$D$2:$D$954,AT$1,'Исходные данные'!$F$2:$F$954,$A5)</f>
        <v>0</v>
      </c>
      <c r="AU5" s="4" t="n">
        <f aca="false">SUMIFS('Исходные данные'!$J$2:$J$954,'Исходные данные'!$D$2:$D$954,AT$1,'Исходные данные'!$F$2:$F$954,$A5)</f>
        <v>0</v>
      </c>
      <c r="AV5" s="4" t="n">
        <f aca="false">SUMIFS('Исходные данные'!$I$2:$I$954,'Исходные данные'!$D$2:$D$954,AV$1,'Исходные данные'!$F$2:$F$954,$A5)</f>
        <v>0</v>
      </c>
      <c r="AW5" s="4" t="n">
        <f aca="false">SUMIFS('Исходные данные'!$J$2:$J$954,'Исходные данные'!$D$2:$D$954,AV$1,'Исходные данные'!$F$2:$F$954,$A5)</f>
        <v>0</v>
      </c>
      <c r="AX5" s="4" t="n">
        <f aca="false">SUMIFS('Исходные данные'!$I$2:$I$954,'Исходные данные'!$D$2:$D$954,AX$1,'Исходные данные'!$F$2:$F$954,$A5)</f>
        <v>0</v>
      </c>
      <c r="AY5" s="4" t="n">
        <f aca="false">SUMIFS('Исходные данные'!$J$2:$J$954,'Исходные данные'!$D$2:$D$954,AX$1,'Исходные данные'!$F$2:$F$954,$A5)</f>
        <v>0</v>
      </c>
      <c r="AZ5" s="4" t="n">
        <f aca="false">SUMIFS('Исходные данные'!$I$2:$I$954,'Исходные данные'!$D$2:$D$954,AZ$1,'Исходные данные'!$F$2:$F$954,$A5)</f>
        <v>0</v>
      </c>
      <c r="BA5" s="4" t="n">
        <f aca="false">SUMIFS('Исходные данные'!$J$2:$J$954,'Исходные данные'!$D$2:$D$954,AZ$1,'Исходные данные'!$F$2:$F$954,$A5)</f>
        <v>0</v>
      </c>
      <c r="BB5" s="4" t="n">
        <f aca="false">SUMIFS('Исходные данные'!$I$2:$I$954,'Исходные данные'!$D$2:$D$954,BB$1,'Исходные данные'!$F$2:$F$954,$A5)</f>
        <v>0</v>
      </c>
      <c r="BC5" s="4" t="n">
        <f aca="false">SUMIFS('Исходные данные'!$J$2:$J$954,'Исходные данные'!$D$2:$D$954,BB$1,'Исходные данные'!$F$2:$F$954,$A5)</f>
        <v>0</v>
      </c>
      <c r="BD5" s="4" t="n">
        <f aca="false">SUMIFS('Исходные данные'!$I$2:$I$954,'Исходные данные'!$D$2:$D$954,BD$1,'Исходные данные'!$F$2:$F$954,$A5)</f>
        <v>0</v>
      </c>
      <c r="BE5" s="4" t="n">
        <f aca="false">SUMIFS('Исходные данные'!$J$2:$J$954,'Исходные данные'!$D$2:$D$954,BD$1,'Исходные данные'!$F$2:$F$954,$A5)</f>
        <v>0</v>
      </c>
      <c r="BF5" s="4" t="n">
        <f aca="false">SUMIFS('Исходные данные'!$I$2:$I$954,'Исходные данные'!$D$2:$D$954,BF$1,'Исходные данные'!$F$2:$F$954,$A5)</f>
        <v>0</v>
      </c>
      <c r="BG5" s="4" t="n">
        <f aca="false">SUMIFS('Исходные данные'!$J$2:$J$954,'Исходные данные'!$D$2:$D$954,BF$1,'Исходные данные'!$F$2:$F$954,$A5)</f>
        <v>0</v>
      </c>
      <c r="BH5" s="4" t="n">
        <f aca="false">SUMIFS('Исходные данные'!$I$2:$I$954,'Исходные данные'!$D$2:$D$954,BH$1,'Исходные данные'!$F$2:$F$954,$A5)</f>
        <v>0</v>
      </c>
      <c r="BI5" s="4" t="n">
        <f aca="false">SUMIFS('Исходные данные'!$J$2:$J$954,'Исходные данные'!$D$2:$D$954,BH$1,'Исходные данные'!$F$2:$F$954,$A5)</f>
        <v>0</v>
      </c>
      <c r="BJ5" s="4" t="n">
        <f aca="false">SUMIFS('Исходные данные'!$I$2:$I$954,'Исходные данные'!$D$2:$D$954,BJ$1,'Исходные данные'!$F$2:$F$954,$A5)</f>
        <v>0</v>
      </c>
      <c r="BK5" s="4" t="n">
        <f aca="false">SUMIFS('Исходные данные'!$J$2:$J$954,'Исходные данные'!$D$2:$D$954,BJ$1,'Исходные данные'!$F$2:$F$954,$A5)</f>
        <v>0</v>
      </c>
      <c r="BL5" s="4" t="n">
        <f aca="false">SUMIFS('Исходные данные'!$I$2:$I$954,'Исходные данные'!$D$2:$D$954,BL$1,'Исходные данные'!$F$2:$F$954,$A5)</f>
        <v>0</v>
      </c>
      <c r="BM5" s="4" t="n">
        <f aca="false">SUMIFS('Исходные данные'!$J$2:$J$954,'Исходные данные'!$D$2:$D$954,BL$1,'Исходные данные'!$F$2:$F$954,$A5)</f>
        <v>0</v>
      </c>
      <c r="BN5" s="4" t="n">
        <f aca="false">SUMIFS('Исходные данные'!$I$2:$I$954,'Исходные данные'!$D$2:$D$954,BN$1,'Исходные данные'!$F$2:$F$954,$A5)</f>
        <v>0</v>
      </c>
      <c r="BO5" s="4" t="n">
        <f aca="false">SUMIFS('Исходные данные'!$J$2:$J$954,'Исходные данные'!$D$2:$D$954,BN$1,'Исходные данные'!$F$2:$F$954,$A5)</f>
        <v>0</v>
      </c>
      <c r="BP5" s="4" t="n">
        <f aca="false">SUMIFS('Исходные данные'!$I$2:$I$954,'Исходные данные'!$D$2:$D$954,BP$1,'Исходные данные'!$F$2:$F$954,$A5)</f>
        <v>0</v>
      </c>
      <c r="BQ5" s="4" t="n">
        <f aca="false">SUMIFS('Исходные данные'!$J$2:$J$954,'Исходные данные'!$D$2:$D$954,BP$1,'Исходные данные'!$F$2:$F$954,$A5)</f>
        <v>0</v>
      </c>
      <c r="BR5" s="4" t="n">
        <f aca="false">SUMIFS('Исходные данные'!$I$2:$I$954,'Исходные данные'!$D$2:$D$954,BR$1,'Исходные данные'!$F$2:$F$954,$A5)</f>
        <v>0</v>
      </c>
      <c r="BS5" s="4" t="n">
        <f aca="false">SUMIFS('Исходные данные'!$J$2:$J$954,'Исходные данные'!$D$2:$D$954,BR$1,'Исходные данные'!$F$2:$F$954,$A5)</f>
        <v>0</v>
      </c>
      <c r="BT5" s="4" t="n">
        <f aca="false">SUMIFS('Исходные данные'!$I$2:$I$954,'Исходные данные'!$D$2:$D$954,BT$1,'Исходные данные'!$F$2:$F$954,$A5)</f>
        <v>0</v>
      </c>
      <c r="BU5" s="4" t="n">
        <f aca="false">SUMIFS('Исходные данные'!$J$2:$J$954,'Исходные данные'!$D$2:$D$954,BT$1,'Исходные данные'!$F$2:$F$954,$A5)</f>
        <v>0</v>
      </c>
      <c r="BV5" s="4" t="n">
        <f aca="false">SUMIFS('Исходные данные'!$I$2:$I$954,'Исходные данные'!$D$2:$D$954,BV$1,'Исходные данные'!$F$2:$F$954,$A5)</f>
        <v>0</v>
      </c>
      <c r="BW5" s="4" t="n">
        <f aca="false">SUMIFS('Исходные данные'!$J$2:$J$954,'Исходные данные'!$D$2:$D$954,BV$1,'Исходные данные'!$F$2:$F$954,$A5)</f>
        <v>0</v>
      </c>
      <c r="BX5" s="4" t="n">
        <f aca="false">SUMIFS('Исходные данные'!$I$2:$I$954,'Исходные данные'!$D$2:$D$954,BX$1,'Исходные данные'!$F$2:$F$954,$A5)</f>
        <v>0</v>
      </c>
      <c r="BY5" s="4" t="n">
        <f aca="false">SUMIFS('Исходные данные'!$J$2:$J$954,'Исходные данные'!$D$2:$D$954,BX$1,'Исходные данные'!$F$2:$F$954,$A5)</f>
        <v>0</v>
      </c>
      <c r="BZ5" s="4" t="n">
        <f aca="false">SUMIFS('Исходные данные'!$I$2:$I$954,'Исходные данные'!$D$2:$D$954,BZ$1,'Исходные данные'!$F$2:$F$954,$A5)</f>
        <v>0</v>
      </c>
      <c r="CA5" s="4" t="n">
        <f aca="false">SUMIFS('Исходные данные'!$J$2:$J$954,'Исходные данные'!$D$2:$D$954,BZ$1,'Исходные данные'!$F$2:$F$954,$A5)</f>
        <v>0</v>
      </c>
      <c r="CB5" s="4" t="n">
        <f aca="false">SUMIFS('Исходные данные'!$I$2:$I$954,'Исходные данные'!$D$2:$D$954,CB$1,'Исходные данные'!$F$2:$F$954,$A5)</f>
        <v>0</v>
      </c>
      <c r="CC5" s="4" t="n">
        <f aca="false">SUMIFS('Исходные данные'!$J$2:$J$954,'Исходные данные'!$D$2:$D$954,CB$1,'Исходные данные'!$F$2:$F$954,$A5)</f>
        <v>0</v>
      </c>
      <c r="CD5" s="4" t="n">
        <f aca="false">SUMIFS('Исходные данные'!$I$2:$I$954,'Исходные данные'!$D$2:$D$954,CD$1,'Исходные данные'!$F$2:$F$954,$A5)</f>
        <v>0</v>
      </c>
      <c r="CE5" s="4" t="n">
        <f aca="false">SUMIFS('Исходные данные'!$J$2:$J$954,'Исходные данные'!$D$2:$D$954,CD$1,'Исходные данные'!$F$2:$F$954,$A5)</f>
        <v>0</v>
      </c>
      <c r="CF5" s="4" t="n">
        <f aca="false">SUMIFS('Исходные данные'!$I$2:$I$954,'Исходные данные'!$D$2:$D$954,CF$1,'Исходные данные'!$F$2:$F$954,$A5)</f>
        <v>0</v>
      </c>
      <c r="CG5" s="4" t="n">
        <f aca="false">SUMIFS('Исходные данные'!$J$2:$J$954,'Исходные данные'!$D$2:$D$954,CF$1,'Исходные данные'!$F$2:$F$954,$A5)</f>
        <v>0</v>
      </c>
      <c r="CH5" s="4" t="n">
        <f aca="false">SUMIFS('Исходные данные'!$I$2:$I$954,'Исходные данные'!$D$2:$D$954,CH$1,'Исходные данные'!$F$2:$F$954,$A5)</f>
        <v>0</v>
      </c>
      <c r="CI5" s="4" t="n">
        <f aca="false">SUMIFS('Исходные данные'!$J$2:$J$954,'Исходные данные'!$D$2:$D$954,CH$1,'Исходные данные'!$F$2:$F$954,$A5)</f>
        <v>0</v>
      </c>
    </row>
    <row r="6" customFormat="false" ht="15" hidden="false" customHeight="false" outlineLevel="0" collapsed="false">
      <c r="A6" s="3" t="s">
        <v>55</v>
      </c>
      <c r="B6" s="6" t="s">
        <v>56</v>
      </c>
      <c r="C6" s="7" t="n">
        <v>25</v>
      </c>
      <c r="D6" s="7" t="n">
        <f aca="false">F6+G6</f>
        <v>21</v>
      </c>
      <c r="E6" s="7" t="n">
        <f aca="false">D6-C6</f>
        <v>-4</v>
      </c>
      <c r="F6" s="7" t="n">
        <f aca="false">SUMIFS($H6:$CI6,$H$2:$CI$2,"День")</f>
        <v>14</v>
      </c>
      <c r="G6" s="7" t="n">
        <f aca="false">SUMIFS($H6:$CI6,$H$2:$CI$2,"Ночь")</f>
        <v>7</v>
      </c>
      <c r="H6" s="6" t="n">
        <f aca="false">SUMIFS('Исходные данные'!$I$2:$I$954,'Исходные данные'!$D$2:$D$954,H$1,'Исходные данные'!$F$2:$F$954,$A6)</f>
        <v>1</v>
      </c>
      <c r="I6" s="6" t="n">
        <f aca="false">SUMIFS('Исходные данные'!$J$2:$J$954,'Исходные данные'!$D$2:$D$954,H$1,'Исходные данные'!$F$2:$F$954,$A6)</f>
        <v>0</v>
      </c>
      <c r="J6" s="6" t="n">
        <f aca="false">SUMIFS('Исходные данные'!$I$2:$I$954,'Исходные данные'!$D$2:$D$954,J$1,'Исходные данные'!$F$2:$F$954,$A6)</f>
        <v>1</v>
      </c>
      <c r="K6" s="6" t="n">
        <f aca="false">SUMIFS('Исходные данные'!$J$2:$J$954,'Исходные данные'!$D$2:$D$954,J$1,'Исходные данные'!$F$2:$F$954,$A6)</f>
        <v>0</v>
      </c>
      <c r="L6" s="6" t="n">
        <f aca="false">SUMIFS('Исходные данные'!$I$2:$I$954,'Исходные данные'!$D$2:$D$954,L$1,'Исходные данные'!$F$2:$F$954,$A6)</f>
        <v>1</v>
      </c>
      <c r="M6" s="6" t="n">
        <f aca="false">SUMIFS('Исходные данные'!$J$2:$J$954,'Исходные данные'!$D$2:$D$954,L$1,'Исходные данные'!$F$2:$F$954,$A6)</f>
        <v>0</v>
      </c>
      <c r="N6" s="6" t="n">
        <f aca="false">SUMIFS('Исходные данные'!$I$2:$I$954,'Исходные данные'!$D$2:$D$954,N$1,'Исходные данные'!$F$2:$F$954,$A6)</f>
        <v>1</v>
      </c>
      <c r="O6" s="6" t="n">
        <f aca="false">SUMIFS('Исходные данные'!$J$2:$J$954,'Исходные данные'!$D$2:$D$954,N$1,'Исходные данные'!$F$2:$F$954,$A6)</f>
        <v>0</v>
      </c>
      <c r="P6" s="6" t="n">
        <f aca="false">SUMIFS('Исходные данные'!$I$2:$I$954,'Исходные данные'!$D$2:$D$954,P$1,'Исходные данные'!$F$2:$F$954,$A6)</f>
        <v>1</v>
      </c>
      <c r="Q6" s="6" t="n">
        <f aca="false">SUMIFS('Исходные данные'!$J$2:$J$954,'Исходные данные'!$D$2:$D$954,P$1,'Исходные данные'!$F$2:$F$954,$A6)</f>
        <v>0</v>
      </c>
      <c r="R6" s="6" t="n">
        <f aca="false">SUMIFS('Исходные данные'!$I$2:$I$954,'Исходные данные'!$D$2:$D$954,R$1,'Исходные данные'!$F$2:$F$954,$A6)</f>
        <v>1</v>
      </c>
      <c r="S6" s="6" t="n">
        <f aca="false">SUMIFS('Исходные данные'!$J$2:$J$954,'Исходные данные'!$D$2:$D$954,R$1,'Исходные данные'!$F$2:$F$954,$A6)</f>
        <v>0</v>
      </c>
      <c r="T6" s="6" t="n">
        <f aca="false">SUMIFS('Исходные данные'!$I$2:$I$954,'Исходные данные'!$D$2:$D$954,T$1,'Исходные данные'!$F$2:$F$954,$A6)</f>
        <v>0</v>
      </c>
      <c r="U6" s="6" t="n">
        <f aca="false">SUMIFS('Исходные данные'!$J$2:$J$954,'Исходные данные'!$D$2:$D$954,T$1,'Исходные данные'!$F$2:$F$954,$A6)</f>
        <v>0</v>
      </c>
      <c r="V6" s="6" t="n">
        <f aca="false">SUMIFS('Исходные данные'!$I$2:$I$954,'Исходные данные'!$D$2:$D$954,V$1,'Исходные данные'!$F$2:$F$954,$A6)</f>
        <v>0</v>
      </c>
      <c r="W6" s="6" t="n">
        <f aca="false">SUMIFS('Исходные данные'!$J$2:$J$954,'Исходные данные'!$D$2:$D$954,V$1,'Исходные данные'!$F$2:$F$954,$A6)</f>
        <v>0</v>
      </c>
      <c r="X6" s="6" t="n">
        <f aca="false">SUMIFS('Исходные данные'!$I$2:$I$954,'Исходные данные'!$D$2:$D$954,X$1,'Исходные данные'!$F$2:$F$954,$A6)</f>
        <v>1</v>
      </c>
      <c r="Y6" s="6" t="n">
        <f aca="false">SUMIFS('Исходные данные'!$J$2:$J$954,'Исходные данные'!$D$2:$D$954,X$1,'Исходные данные'!$F$2:$F$954,$A6)</f>
        <v>0</v>
      </c>
      <c r="Z6" s="6" t="n">
        <f aca="false">SUMIFS('Исходные данные'!$I$2:$I$954,'Исходные данные'!$D$2:$D$954,Z$1,'Исходные данные'!$F$2:$F$954,$A6)</f>
        <v>0</v>
      </c>
      <c r="AA6" s="6" t="n">
        <f aca="false">SUMIFS('Исходные данные'!$J$2:$J$954,'Исходные данные'!$D$2:$D$954,Z$1,'Исходные данные'!$F$2:$F$954,$A6)</f>
        <v>0</v>
      </c>
      <c r="AB6" s="6" t="n">
        <f aca="false">SUMIFS('Исходные данные'!$I$2:$I$954,'Исходные данные'!$D$2:$D$954,AB$1,'Исходные данные'!$F$2:$F$954,$A6)</f>
        <v>0</v>
      </c>
      <c r="AC6" s="6" t="n">
        <f aca="false">SUMIFS('Исходные данные'!$J$2:$J$954,'Исходные данные'!$D$2:$D$954,AB$1,'Исходные данные'!$F$2:$F$954,$A6)</f>
        <v>0</v>
      </c>
      <c r="AD6" s="6" t="n">
        <f aca="false">SUMIFS('Исходные данные'!$I$2:$I$954,'Исходные данные'!$D$2:$D$954,AD$1,'Исходные данные'!$F$2:$F$954,$A6)</f>
        <v>1</v>
      </c>
      <c r="AE6" s="6" t="n">
        <f aca="false">SUMIFS('Исходные данные'!$J$2:$J$954,'Исходные данные'!$D$2:$D$954,AD$1,'Исходные данные'!$F$2:$F$954,$A6)</f>
        <v>0</v>
      </c>
      <c r="AF6" s="6" t="n">
        <f aca="false">SUMIFS('Исходные данные'!$I$2:$I$954,'Исходные данные'!$D$2:$D$954,AF$1,'Исходные данные'!$F$2:$F$954,$A6)</f>
        <v>0</v>
      </c>
      <c r="AG6" s="6" t="n">
        <f aca="false">SUMIFS('Исходные данные'!$J$2:$J$954,'Исходные данные'!$D$2:$D$954,AF$1,'Исходные данные'!$F$2:$F$954,$A6)</f>
        <v>0</v>
      </c>
      <c r="AH6" s="6" t="n">
        <f aca="false">SUMIFS('Исходные данные'!$I$2:$I$954,'Исходные данные'!$D$2:$D$954,AH$1,'Исходные данные'!$F$2:$F$954,$A6)</f>
        <v>4</v>
      </c>
      <c r="AI6" s="6" t="n">
        <f aca="false">SUMIFS('Исходные данные'!$J$2:$J$954,'Исходные данные'!$D$2:$D$954,AH$1,'Исходные данные'!$F$2:$F$954,$A6)</f>
        <v>5</v>
      </c>
      <c r="AJ6" s="6" t="n">
        <f aca="false">SUMIFS('Исходные данные'!$I$2:$I$954,'Исходные данные'!$D$2:$D$954,AJ$1,'Исходные данные'!$F$2:$F$954,$A6)</f>
        <v>2</v>
      </c>
      <c r="AK6" s="6" t="n">
        <f aca="false">SUMIFS('Исходные данные'!$J$2:$J$954,'Исходные данные'!$D$2:$D$954,AJ$1,'Исходные данные'!$F$2:$F$954,$A6)</f>
        <v>2</v>
      </c>
      <c r="AL6" s="6" t="n">
        <f aca="false">SUMIFS('Исходные данные'!$I$2:$I$954,'Исходные данные'!$D$2:$D$954,AL$1,'Исходные данные'!$F$2:$F$954,$A6)</f>
        <v>0</v>
      </c>
      <c r="AM6" s="6" t="n">
        <f aca="false">SUMIFS('Исходные данные'!$J$2:$J$954,'Исходные данные'!$D$2:$D$954,AL$1,'Исходные данные'!$F$2:$F$954,$A6)</f>
        <v>0</v>
      </c>
      <c r="AN6" s="6" t="n">
        <f aca="false">SUMIFS('Исходные данные'!$I$2:$I$954,'Исходные данные'!$D$2:$D$954,AN$1,'Исходные данные'!$F$2:$F$954,$A6)</f>
        <v>0</v>
      </c>
      <c r="AO6" s="6" t="n">
        <f aca="false">SUMIFS('Исходные данные'!$J$2:$J$954,'Исходные данные'!$D$2:$D$954,AN$1,'Исходные данные'!$F$2:$F$954,$A6)</f>
        <v>0</v>
      </c>
      <c r="AP6" s="6" t="n">
        <f aca="false">SUMIFS('Исходные данные'!$I$2:$I$954,'Исходные данные'!$D$2:$D$954,AP$1,'Исходные данные'!$F$2:$F$954,$A6)</f>
        <v>0</v>
      </c>
      <c r="AQ6" s="6" t="n">
        <f aca="false">SUMIFS('Исходные данные'!$J$2:$J$954,'Исходные данные'!$D$2:$D$954,AP$1,'Исходные данные'!$F$2:$F$954,$A6)</f>
        <v>0</v>
      </c>
      <c r="AR6" s="6" t="n">
        <f aca="false">SUMIFS('Исходные данные'!$I$2:$I$954,'Исходные данные'!$D$2:$D$954,AR$1,'Исходные данные'!$F$2:$F$954,$A6)</f>
        <v>0</v>
      </c>
      <c r="AS6" s="6" t="n">
        <f aca="false">SUMIFS('Исходные данные'!$J$2:$J$954,'Исходные данные'!$D$2:$D$954,AR$1,'Исходные данные'!$F$2:$F$954,$A6)</f>
        <v>0</v>
      </c>
      <c r="AT6" s="6" t="n">
        <f aca="false">SUMIFS('Исходные данные'!$I$2:$I$954,'Исходные данные'!$D$2:$D$954,AT$1,'Исходные данные'!$F$2:$F$954,$A6)</f>
        <v>0</v>
      </c>
      <c r="AU6" s="6" t="n">
        <f aca="false">SUMIFS('Исходные данные'!$J$2:$J$954,'Исходные данные'!$D$2:$D$954,AT$1,'Исходные данные'!$F$2:$F$954,$A6)</f>
        <v>0</v>
      </c>
      <c r="AV6" s="6" t="n">
        <f aca="false">SUMIFS('Исходные данные'!$I$2:$I$954,'Исходные данные'!$D$2:$D$954,AV$1,'Исходные данные'!$F$2:$F$954,$A6)</f>
        <v>0</v>
      </c>
      <c r="AW6" s="6" t="n">
        <f aca="false">SUMIFS('Исходные данные'!$J$2:$J$954,'Исходные данные'!$D$2:$D$954,AV$1,'Исходные данные'!$F$2:$F$954,$A6)</f>
        <v>0</v>
      </c>
      <c r="AX6" s="6" t="n">
        <f aca="false">SUMIFS('Исходные данные'!$I$2:$I$954,'Исходные данные'!$D$2:$D$954,AX$1,'Исходные данные'!$F$2:$F$954,$A6)</f>
        <v>0</v>
      </c>
      <c r="AY6" s="6" t="n">
        <f aca="false">SUMIFS('Исходные данные'!$J$2:$J$954,'Исходные данные'!$D$2:$D$954,AX$1,'Исходные данные'!$F$2:$F$954,$A6)</f>
        <v>0</v>
      </c>
      <c r="AZ6" s="6" t="n">
        <f aca="false">SUMIFS('Исходные данные'!$I$2:$I$954,'Исходные данные'!$D$2:$D$954,AZ$1,'Исходные данные'!$F$2:$F$954,$A6)</f>
        <v>0</v>
      </c>
      <c r="BA6" s="6" t="n">
        <f aca="false">SUMIFS('Исходные данные'!$J$2:$J$954,'Исходные данные'!$D$2:$D$954,AZ$1,'Исходные данные'!$F$2:$F$954,$A6)</f>
        <v>0</v>
      </c>
      <c r="BB6" s="6" t="n">
        <f aca="false">SUMIFS('Исходные данные'!$I$2:$I$954,'Исходные данные'!$D$2:$D$954,BB$1,'Исходные данные'!$F$2:$F$954,$A6)</f>
        <v>0</v>
      </c>
      <c r="BC6" s="6" t="n">
        <f aca="false">SUMIFS('Исходные данные'!$J$2:$J$954,'Исходные данные'!$D$2:$D$954,BB$1,'Исходные данные'!$F$2:$F$954,$A6)</f>
        <v>0</v>
      </c>
      <c r="BD6" s="6" t="n">
        <f aca="false">SUMIFS('Исходные данные'!$I$2:$I$954,'Исходные данные'!$D$2:$D$954,BD$1,'Исходные данные'!$F$2:$F$954,$A6)</f>
        <v>0</v>
      </c>
      <c r="BE6" s="6" t="n">
        <f aca="false">SUMIFS('Исходные данные'!$J$2:$J$954,'Исходные данные'!$D$2:$D$954,BD$1,'Исходные данные'!$F$2:$F$954,$A6)</f>
        <v>0</v>
      </c>
      <c r="BF6" s="6" t="n">
        <f aca="false">SUMIFS('Исходные данные'!$I$2:$I$954,'Исходные данные'!$D$2:$D$954,BF$1,'Исходные данные'!$F$2:$F$954,$A6)</f>
        <v>0</v>
      </c>
      <c r="BG6" s="6" t="n">
        <f aca="false">SUMIFS('Исходные данные'!$J$2:$J$954,'Исходные данные'!$D$2:$D$954,BF$1,'Исходные данные'!$F$2:$F$954,$A6)</f>
        <v>0</v>
      </c>
      <c r="BH6" s="6" t="n">
        <f aca="false">SUMIFS('Исходные данные'!$I$2:$I$954,'Исходные данные'!$D$2:$D$954,BH$1,'Исходные данные'!$F$2:$F$954,$A6)</f>
        <v>0</v>
      </c>
      <c r="BI6" s="6" t="n">
        <f aca="false">SUMIFS('Исходные данные'!$J$2:$J$954,'Исходные данные'!$D$2:$D$954,BH$1,'Исходные данные'!$F$2:$F$954,$A6)</f>
        <v>0</v>
      </c>
      <c r="BJ6" s="6" t="n">
        <f aca="false">SUMIFS('Исходные данные'!$I$2:$I$954,'Исходные данные'!$D$2:$D$954,BJ$1,'Исходные данные'!$F$2:$F$954,$A6)</f>
        <v>0</v>
      </c>
      <c r="BK6" s="6" t="n">
        <f aca="false">SUMIFS('Исходные данные'!$J$2:$J$954,'Исходные данные'!$D$2:$D$954,BJ$1,'Исходные данные'!$F$2:$F$954,$A6)</f>
        <v>0</v>
      </c>
      <c r="BL6" s="6" t="n">
        <f aca="false">SUMIFS('Исходные данные'!$I$2:$I$954,'Исходные данные'!$D$2:$D$954,BL$1,'Исходные данные'!$F$2:$F$954,$A6)</f>
        <v>0</v>
      </c>
      <c r="BM6" s="6" t="n">
        <f aca="false">SUMIFS('Исходные данные'!$J$2:$J$954,'Исходные данные'!$D$2:$D$954,BL$1,'Исходные данные'!$F$2:$F$954,$A6)</f>
        <v>0</v>
      </c>
      <c r="BN6" s="6" t="n">
        <f aca="false">SUMIFS('Исходные данные'!$I$2:$I$954,'Исходные данные'!$D$2:$D$954,BN$1,'Исходные данные'!$F$2:$F$954,$A6)</f>
        <v>0</v>
      </c>
      <c r="BO6" s="6" t="n">
        <f aca="false">SUMIFS('Исходные данные'!$J$2:$J$954,'Исходные данные'!$D$2:$D$954,BN$1,'Исходные данные'!$F$2:$F$954,$A6)</f>
        <v>0</v>
      </c>
      <c r="BP6" s="6" t="n">
        <f aca="false">SUMIFS('Исходные данные'!$I$2:$I$954,'Исходные данные'!$D$2:$D$954,BP$1,'Исходные данные'!$F$2:$F$954,$A6)</f>
        <v>0</v>
      </c>
      <c r="BQ6" s="6" t="n">
        <f aca="false">SUMIFS('Исходные данные'!$J$2:$J$954,'Исходные данные'!$D$2:$D$954,BP$1,'Исходные данные'!$F$2:$F$954,$A6)</f>
        <v>0</v>
      </c>
      <c r="BR6" s="6" t="n">
        <f aca="false">SUMIFS('Исходные данные'!$I$2:$I$954,'Исходные данные'!$D$2:$D$954,BR$1,'Исходные данные'!$F$2:$F$954,$A6)</f>
        <v>0</v>
      </c>
      <c r="BS6" s="6" t="n">
        <f aca="false">SUMIFS('Исходные данные'!$J$2:$J$954,'Исходные данные'!$D$2:$D$954,BR$1,'Исходные данные'!$F$2:$F$954,$A6)</f>
        <v>0</v>
      </c>
      <c r="BT6" s="6" t="n">
        <f aca="false">SUMIFS('Исходные данные'!$I$2:$I$954,'Исходные данные'!$D$2:$D$954,BT$1,'Исходные данные'!$F$2:$F$954,$A6)</f>
        <v>0</v>
      </c>
      <c r="BU6" s="6" t="n">
        <f aca="false">SUMIFS('Исходные данные'!$J$2:$J$954,'Исходные данные'!$D$2:$D$954,BT$1,'Исходные данные'!$F$2:$F$954,$A6)</f>
        <v>0</v>
      </c>
      <c r="BV6" s="6" t="n">
        <f aca="false">SUMIFS('Исходные данные'!$I$2:$I$954,'Исходные данные'!$D$2:$D$954,BV$1,'Исходные данные'!$F$2:$F$954,$A6)</f>
        <v>0</v>
      </c>
      <c r="BW6" s="6" t="n">
        <f aca="false">SUMIFS('Исходные данные'!$J$2:$J$954,'Исходные данные'!$D$2:$D$954,BV$1,'Исходные данные'!$F$2:$F$954,$A6)</f>
        <v>0</v>
      </c>
      <c r="BX6" s="6" t="n">
        <f aca="false">SUMIFS('Исходные данные'!$I$2:$I$954,'Исходные данные'!$D$2:$D$954,BX$1,'Исходные данные'!$F$2:$F$954,$A6)</f>
        <v>0</v>
      </c>
      <c r="BY6" s="6" t="n">
        <f aca="false">SUMIFS('Исходные данные'!$J$2:$J$954,'Исходные данные'!$D$2:$D$954,BX$1,'Исходные данные'!$F$2:$F$954,$A6)</f>
        <v>0</v>
      </c>
      <c r="BZ6" s="6" t="n">
        <f aca="false">SUMIFS('Исходные данные'!$I$2:$I$954,'Исходные данные'!$D$2:$D$954,BZ$1,'Исходные данные'!$F$2:$F$954,$A6)</f>
        <v>0</v>
      </c>
      <c r="CA6" s="6" t="n">
        <f aca="false">SUMIFS('Исходные данные'!$J$2:$J$954,'Исходные данные'!$D$2:$D$954,BZ$1,'Исходные данные'!$F$2:$F$954,$A6)</f>
        <v>0</v>
      </c>
      <c r="CB6" s="6" t="n">
        <f aca="false">SUMIFS('Исходные данные'!$I$2:$I$954,'Исходные данные'!$D$2:$D$954,CB$1,'Исходные данные'!$F$2:$F$954,$A6)</f>
        <v>0</v>
      </c>
      <c r="CC6" s="6" t="n">
        <f aca="false">SUMIFS('Исходные данные'!$J$2:$J$954,'Исходные данные'!$D$2:$D$954,CB$1,'Исходные данные'!$F$2:$F$954,$A6)</f>
        <v>0</v>
      </c>
      <c r="CD6" s="6" t="n">
        <f aca="false">SUMIFS('Исходные данные'!$I$2:$I$954,'Исходные данные'!$D$2:$D$954,CD$1,'Исходные данные'!$F$2:$F$954,$A6)</f>
        <v>0</v>
      </c>
      <c r="CE6" s="6" t="n">
        <f aca="false">SUMIFS('Исходные данные'!$J$2:$J$954,'Исходные данные'!$D$2:$D$954,CD$1,'Исходные данные'!$F$2:$F$954,$A6)</f>
        <v>0</v>
      </c>
      <c r="CF6" s="6" t="n">
        <f aca="false">SUMIFS('Исходные данные'!$I$2:$I$954,'Исходные данные'!$D$2:$D$954,CF$1,'Исходные данные'!$F$2:$F$954,$A6)</f>
        <v>0</v>
      </c>
      <c r="CG6" s="6" t="n">
        <f aca="false">SUMIFS('Исходные данные'!$J$2:$J$954,'Исходные данные'!$D$2:$D$954,CF$1,'Исходные данные'!$F$2:$F$954,$A6)</f>
        <v>0</v>
      </c>
      <c r="CH6" s="6" t="n">
        <f aca="false">SUMIFS('Исходные данные'!$I$2:$I$954,'Исходные данные'!$D$2:$D$954,CH$1,'Исходные данные'!$F$2:$F$954,$A6)</f>
        <v>0</v>
      </c>
      <c r="CI6" s="6" t="n">
        <f aca="false">SUMIFS('Исходные данные'!$J$2:$J$954,'Исходные данные'!$D$2:$D$954,CH$1,'Исходные данные'!$F$2:$F$954,$A6)</f>
        <v>0</v>
      </c>
    </row>
    <row r="7" customFormat="false" ht="15" hidden="false" customHeight="false" outlineLevel="0" collapsed="false">
      <c r="A7" s="3" t="s">
        <v>57</v>
      </c>
      <c r="B7" s="4" t="s">
        <v>58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SUMIFS($H7:$CI7,$H$2:$CI$2,"День")</f>
        <v>12</v>
      </c>
      <c r="G7" s="5" t="n">
        <f aca="false">SUMIFS($H7:$CI7,$H$2:$CI$2,"Ночь")</f>
        <v>7</v>
      </c>
      <c r="H7" s="4" t="n">
        <f aca="false">SUMIFS('Исходные данные'!$I$2:$I$954,'Исходные данные'!$D$2:$D$954,H$1,'Исходные данные'!$F$2:$F$954,$A7)</f>
        <v>1</v>
      </c>
      <c r="I7" s="4" t="n">
        <f aca="false">SUMIFS('Исходные данные'!$J$2:$J$954,'Исходные данные'!$D$2:$D$954,H$1,'Исходные данные'!$F$2:$F$954,$A7)</f>
        <v>0</v>
      </c>
      <c r="J7" s="4" t="n">
        <f aca="false">SUMIFS('Исходные данные'!$I$2:$I$954,'Исходные данные'!$D$2:$D$954,J$1,'Исходные данные'!$F$2:$F$954,$A7)</f>
        <v>1</v>
      </c>
      <c r="K7" s="4" t="n">
        <f aca="false">SUMIFS('Исходные данные'!$J$2:$J$954,'Исходные данные'!$D$2:$D$954,J$1,'Исходные данные'!$F$2:$F$954,$A7)</f>
        <v>0</v>
      </c>
      <c r="L7" s="4" t="n">
        <f aca="false">SUMIFS('Исходные данные'!$I$2:$I$954,'Исходные данные'!$D$2:$D$954,L$1,'Исходные данные'!$F$2:$F$954,$A7)</f>
        <v>0</v>
      </c>
      <c r="M7" s="4" t="n">
        <f aca="false">SUMIFS('Исходные данные'!$J$2:$J$954,'Исходные данные'!$D$2:$D$954,L$1,'Исходные данные'!$F$2:$F$954,$A7)</f>
        <v>0</v>
      </c>
      <c r="N7" s="4" t="n">
        <f aca="false">SUMIFS('Исходные данные'!$I$2:$I$954,'Исходные данные'!$D$2:$D$954,N$1,'Исходные данные'!$F$2:$F$954,$A7)</f>
        <v>0</v>
      </c>
      <c r="O7" s="4" t="n">
        <f aca="false">SUMIFS('Исходные данные'!$J$2:$J$954,'Исходные данные'!$D$2:$D$954,N$1,'Исходные данные'!$F$2:$F$954,$A7)</f>
        <v>0</v>
      </c>
      <c r="P7" s="4" t="n">
        <f aca="false">SUMIFS('Исходные данные'!$I$2:$I$954,'Исходные данные'!$D$2:$D$954,P$1,'Исходные данные'!$F$2:$F$954,$A7)</f>
        <v>0</v>
      </c>
      <c r="Q7" s="4" t="n">
        <f aca="false">SUMIFS('Исходные данные'!$J$2:$J$954,'Исходные данные'!$D$2:$D$954,P$1,'Исходные данные'!$F$2:$F$954,$A7)</f>
        <v>0</v>
      </c>
      <c r="R7" s="4" t="n">
        <f aca="false">SUMIFS('Исходные данные'!$I$2:$I$954,'Исходные данные'!$D$2:$D$954,R$1,'Исходные данные'!$F$2:$F$954,$A7)</f>
        <v>1</v>
      </c>
      <c r="S7" s="4" t="n">
        <f aca="false">SUMIFS('Исходные данные'!$J$2:$J$954,'Исходные данные'!$D$2:$D$954,R$1,'Исходные данные'!$F$2:$F$954,$A7)</f>
        <v>0</v>
      </c>
      <c r="T7" s="4" t="n">
        <f aca="false">SUMIFS('Исходные данные'!$I$2:$I$954,'Исходные данные'!$D$2:$D$954,T$1,'Исходные данные'!$F$2:$F$954,$A7)</f>
        <v>0</v>
      </c>
      <c r="U7" s="4" t="n">
        <f aca="false">SUMIFS('Исходные данные'!$J$2:$J$954,'Исходные данные'!$D$2:$D$954,T$1,'Исходные данные'!$F$2:$F$954,$A7)</f>
        <v>0</v>
      </c>
      <c r="V7" s="4" t="n">
        <f aca="false">SUMIFS('Исходные данные'!$I$2:$I$954,'Исходные данные'!$D$2:$D$954,V$1,'Исходные данные'!$F$2:$F$954,$A7)</f>
        <v>0</v>
      </c>
      <c r="W7" s="4" t="n">
        <f aca="false">SUMIFS('Исходные данные'!$J$2:$J$954,'Исходные данные'!$D$2:$D$954,V$1,'Исходные данные'!$F$2:$F$954,$A7)</f>
        <v>0</v>
      </c>
      <c r="X7" s="4" t="n">
        <f aca="false">SUMIFS('Исходные данные'!$I$2:$I$954,'Исходные данные'!$D$2:$D$954,X$1,'Исходные данные'!$F$2:$F$954,$A7)</f>
        <v>0</v>
      </c>
      <c r="Y7" s="4" t="n">
        <f aca="false">SUMIFS('Исходные данные'!$J$2:$J$954,'Исходные данные'!$D$2:$D$954,X$1,'Исходные данные'!$F$2:$F$954,$A7)</f>
        <v>0</v>
      </c>
      <c r="Z7" s="4" t="n">
        <f aca="false">SUMIFS('Исходные данные'!$I$2:$I$954,'Исходные данные'!$D$2:$D$954,Z$1,'Исходные данные'!$F$2:$F$954,$A7)</f>
        <v>0</v>
      </c>
      <c r="AA7" s="4" t="n">
        <f aca="false">SUMIFS('Исходные данные'!$J$2:$J$954,'Исходные данные'!$D$2:$D$954,Z$1,'Исходные данные'!$F$2:$F$954,$A7)</f>
        <v>0</v>
      </c>
      <c r="AB7" s="4" t="n">
        <f aca="false">SUMIFS('Исходные данные'!$I$2:$I$954,'Исходные данные'!$D$2:$D$954,AB$1,'Исходные данные'!$F$2:$F$954,$A7)</f>
        <v>0</v>
      </c>
      <c r="AC7" s="4" t="n">
        <f aca="false">SUMIFS('Исходные данные'!$J$2:$J$954,'Исходные данные'!$D$2:$D$954,AB$1,'Исходные данные'!$F$2:$F$954,$A7)</f>
        <v>0</v>
      </c>
      <c r="AD7" s="4" t="n">
        <f aca="false">SUMIFS('Исходные данные'!$I$2:$I$954,'Исходные данные'!$D$2:$D$954,AD$1,'Исходные данные'!$F$2:$F$954,$A7)</f>
        <v>0</v>
      </c>
      <c r="AE7" s="4" t="n">
        <f aca="false">SUMIFS('Исходные данные'!$J$2:$J$954,'Исходные данные'!$D$2:$D$954,AD$1,'Исходные данные'!$F$2:$F$954,$A7)</f>
        <v>0</v>
      </c>
      <c r="AF7" s="4" t="n">
        <f aca="false">SUMIFS('Исходные данные'!$I$2:$I$954,'Исходные данные'!$D$2:$D$954,AF$1,'Исходные данные'!$F$2:$F$954,$A7)</f>
        <v>2</v>
      </c>
      <c r="AG7" s="4" t="n">
        <f aca="false">SUMIFS('Исходные данные'!$J$2:$J$954,'Исходные данные'!$D$2:$D$954,AF$1,'Исходные данные'!$F$2:$F$954,$A7)</f>
        <v>0</v>
      </c>
      <c r="AH7" s="4" t="n">
        <f aca="false">SUMIFS('Исходные данные'!$I$2:$I$954,'Исходные данные'!$D$2:$D$954,AH$1,'Исходные данные'!$F$2:$F$954,$A7)</f>
        <v>4</v>
      </c>
      <c r="AI7" s="4" t="n">
        <f aca="false">SUMIFS('Исходные данные'!$J$2:$J$954,'Исходные данные'!$D$2:$D$954,AH$1,'Исходные данные'!$F$2:$F$954,$A7)</f>
        <v>4</v>
      </c>
      <c r="AJ7" s="4" t="n">
        <f aca="false">SUMIFS('Исходные данные'!$I$2:$I$954,'Исходные данные'!$D$2:$D$954,AJ$1,'Исходные данные'!$F$2:$F$954,$A7)</f>
        <v>3</v>
      </c>
      <c r="AK7" s="4" t="n">
        <f aca="false">SUMIFS('Исходные данные'!$J$2:$J$954,'Исходные данные'!$D$2:$D$954,AJ$1,'Исходные данные'!$F$2:$F$954,$A7)</f>
        <v>3</v>
      </c>
      <c r="AL7" s="4" t="n">
        <f aca="false">SUMIFS('Исходные данные'!$I$2:$I$954,'Исходные данные'!$D$2:$D$954,AL$1,'Исходные данные'!$F$2:$F$954,$A7)</f>
        <v>0</v>
      </c>
      <c r="AM7" s="4" t="n">
        <f aca="false">SUMIFS('Исходные данные'!$J$2:$J$954,'Исходные данные'!$D$2:$D$954,AL$1,'Исходные данные'!$F$2:$F$954,$A7)</f>
        <v>0</v>
      </c>
      <c r="AN7" s="4" t="n">
        <f aca="false">SUMIFS('Исходные данные'!$I$2:$I$954,'Исходные данные'!$D$2:$D$954,AN$1,'Исходные данные'!$F$2:$F$954,$A7)</f>
        <v>0</v>
      </c>
      <c r="AO7" s="4" t="n">
        <f aca="false">SUMIFS('Исходные данные'!$J$2:$J$954,'Исходные данные'!$D$2:$D$954,AN$1,'Исходные данные'!$F$2:$F$954,$A7)</f>
        <v>0</v>
      </c>
      <c r="AP7" s="4" t="n">
        <f aca="false">SUMIFS('Исходные данные'!$I$2:$I$954,'Исходные данные'!$D$2:$D$954,AP$1,'Исходные данные'!$F$2:$F$954,$A7)</f>
        <v>0</v>
      </c>
      <c r="AQ7" s="4" t="n">
        <f aca="false">SUMIFS('Исходные данные'!$J$2:$J$954,'Исходные данные'!$D$2:$D$954,AP$1,'Исходные данные'!$F$2:$F$954,$A7)</f>
        <v>0</v>
      </c>
      <c r="AR7" s="4" t="n">
        <f aca="false">SUMIFS('Исходные данные'!$I$2:$I$954,'Исходные данные'!$D$2:$D$954,AR$1,'Исходные данные'!$F$2:$F$954,$A7)</f>
        <v>0</v>
      </c>
      <c r="AS7" s="4" t="n">
        <f aca="false">SUMIFS('Исходные данные'!$J$2:$J$954,'Исходные данные'!$D$2:$D$954,AR$1,'Исходные данные'!$F$2:$F$954,$A7)</f>
        <v>0</v>
      </c>
      <c r="AT7" s="4" t="n">
        <f aca="false">SUMIFS('Исходные данные'!$I$2:$I$954,'Исходные данные'!$D$2:$D$954,AT$1,'Исходные данные'!$F$2:$F$954,$A7)</f>
        <v>0</v>
      </c>
      <c r="AU7" s="4" t="n">
        <f aca="false">SUMIFS('Исходные данные'!$J$2:$J$954,'Исходные данные'!$D$2:$D$954,AT$1,'Исходные данные'!$F$2:$F$954,$A7)</f>
        <v>0</v>
      </c>
      <c r="AV7" s="4" t="n">
        <f aca="false">SUMIFS('Исходные данные'!$I$2:$I$954,'Исходные данные'!$D$2:$D$954,AV$1,'Исходные данные'!$F$2:$F$954,$A7)</f>
        <v>0</v>
      </c>
      <c r="AW7" s="4" t="n">
        <f aca="false">SUMIFS('Исходные данные'!$J$2:$J$954,'Исходные данные'!$D$2:$D$954,AV$1,'Исходные данные'!$F$2:$F$954,$A7)</f>
        <v>0</v>
      </c>
      <c r="AX7" s="4" t="n">
        <f aca="false">SUMIFS('Исходные данные'!$I$2:$I$954,'Исходные данные'!$D$2:$D$954,AX$1,'Исходные данные'!$F$2:$F$954,$A7)</f>
        <v>0</v>
      </c>
      <c r="AY7" s="4" t="n">
        <f aca="false">SUMIFS('Исходные данные'!$J$2:$J$954,'Исходные данные'!$D$2:$D$954,AX$1,'Исходные данные'!$F$2:$F$954,$A7)</f>
        <v>0</v>
      </c>
      <c r="AZ7" s="4" t="n">
        <f aca="false">SUMIFS('Исходные данные'!$I$2:$I$954,'Исходные данные'!$D$2:$D$954,AZ$1,'Исходные данные'!$F$2:$F$954,$A7)</f>
        <v>0</v>
      </c>
      <c r="BA7" s="4" t="n">
        <f aca="false">SUMIFS('Исходные данные'!$J$2:$J$954,'Исходные данные'!$D$2:$D$954,AZ$1,'Исходные данные'!$F$2:$F$954,$A7)</f>
        <v>0</v>
      </c>
      <c r="BB7" s="4" t="n">
        <f aca="false">SUMIFS('Исходные данные'!$I$2:$I$954,'Исходные данные'!$D$2:$D$954,BB$1,'Исходные данные'!$F$2:$F$954,$A7)</f>
        <v>0</v>
      </c>
      <c r="BC7" s="4" t="n">
        <f aca="false">SUMIFS('Исходные данные'!$J$2:$J$954,'Исходные данные'!$D$2:$D$954,BB$1,'Исходные данные'!$F$2:$F$954,$A7)</f>
        <v>0</v>
      </c>
      <c r="BD7" s="4" t="n">
        <f aca="false">SUMIFS('Исходные данные'!$I$2:$I$954,'Исходные данные'!$D$2:$D$954,BD$1,'Исходные данные'!$F$2:$F$954,$A7)</f>
        <v>0</v>
      </c>
      <c r="BE7" s="4" t="n">
        <f aca="false">SUMIFS('Исходные данные'!$J$2:$J$954,'Исходные данные'!$D$2:$D$954,BD$1,'Исходные данные'!$F$2:$F$954,$A7)</f>
        <v>0</v>
      </c>
      <c r="BF7" s="4" t="n">
        <f aca="false">SUMIFS('Исходные данные'!$I$2:$I$954,'Исходные данные'!$D$2:$D$954,BF$1,'Исходные данные'!$F$2:$F$954,$A7)</f>
        <v>0</v>
      </c>
      <c r="BG7" s="4" t="n">
        <f aca="false">SUMIFS('Исходные данные'!$J$2:$J$954,'Исходные данные'!$D$2:$D$954,BF$1,'Исходные данные'!$F$2:$F$954,$A7)</f>
        <v>0</v>
      </c>
      <c r="BH7" s="4" t="n">
        <f aca="false">SUMIFS('Исходные данные'!$I$2:$I$954,'Исходные данные'!$D$2:$D$954,BH$1,'Исходные данные'!$F$2:$F$954,$A7)</f>
        <v>0</v>
      </c>
      <c r="BI7" s="4" t="n">
        <f aca="false">SUMIFS('Исходные данные'!$J$2:$J$954,'Исходные данные'!$D$2:$D$954,BH$1,'Исходные данные'!$F$2:$F$954,$A7)</f>
        <v>0</v>
      </c>
      <c r="BJ7" s="4" t="n">
        <f aca="false">SUMIFS('Исходные данные'!$I$2:$I$954,'Исходные данные'!$D$2:$D$954,BJ$1,'Исходные данные'!$F$2:$F$954,$A7)</f>
        <v>0</v>
      </c>
      <c r="BK7" s="4" t="n">
        <f aca="false">SUMIFS('Исходные данные'!$J$2:$J$954,'Исходные данные'!$D$2:$D$954,BJ$1,'Исходные данные'!$F$2:$F$954,$A7)</f>
        <v>0</v>
      </c>
      <c r="BL7" s="4" t="n">
        <f aca="false">SUMIFS('Исходные данные'!$I$2:$I$954,'Исходные данные'!$D$2:$D$954,BL$1,'Исходные данные'!$F$2:$F$954,$A7)</f>
        <v>0</v>
      </c>
      <c r="BM7" s="4" t="n">
        <f aca="false">SUMIFS('Исходные данные'!$J$2:$J$954,'Исходные данные'!$D$2:$D$954,BL$1,'Исходные данные'!$F$2:$F$954,$A7)</f>
        <v>0</v>
      </c>
      <c r="BN7" s="4" t="n">
        <f aca="false">SUMIFS('Исходные данные'!$I$2:$I$954,'Исходные данные'!$D$2:$D$954,BN$1,'Исходные данные'!$F$2:$F$954,$A7)</f>
        <v>0</v>
      </c>
      <c r="BO7" s="4" t="n">
        <f aca="false">SUMIFS('Исходные данные'!$J$2:$J$954,'Исходные данные'!$D$2:$D$954,BN$1,'Исходные данные'!$F$2:$F$954,$A7)</f>
        <v>0</v>
      </c>
      <c r="BP7" s="4" t="n">
        <f aca="false">SUMIFS('Исходные данные'!$I$2:$I$954,'Исходные данные'!$D$2:$D$954,BP$1,'Исходные данные'!$F$2:$F$954,$A7)</f>
        <v>0</v>
      </c>
      <c r="BQ7" s="4" t="n">
        <f aca="false">SUMIFS('Исходные данные'!$J$2:$J$954,'Исходные данные'!$D$2:$D$954,BP$1,'Исходные данные'!$F$2:$F$954,$A7)</f>
        <v>0</v>
      </c>
      <c r="BR7" s="4" t="n">
        <f aca="false">SUMIFS('Исходные данные'!$I$2:$I$954,'Исходные данные'!$D$2:$D$954,BR$1,'Исходные данные'!$F$2:$F$954,$A7)</f>
        <v>0</v>
      </c>
      <c r="BS7" s="4" t="n">
        <f aca="false">SUMIFS('Исходные данные'!$J$2:$J$954,'Исходные данные'!$D$2:$D$954,BR$1,'Исходные данные'!$F$2:$F$954,$A7)</f>
        <v>0</v>
      </c>
      <c r="BT7" s="4" t="n">
        <f aca="false">SUMIFS('Исходные данные'!$I$2:$I$954,'Исходные данные'!$D$2:$D$954,BT$1,'Исходные данные'!$F$2:$F$954,$A7)</f>
        <v>0</v>
      </c>
      <c r="BU7" s="4" t="n">
        <f aca="false">SUMIFS('Исходные данные'!$J$2:$J$954,'Исходные данные'!$D$2:$D$954,BT$1,'Исходные данные'!$F$2:$F$954,$A7)</f>
        <v>0</v>
      </c>
      <c r="BV7" s="4" t="n">
        <f aca="false">SUMIFS('Исходные данные'!$I$2:$I$954,'Исходные данные'!$D$2:$D$954,BV$1,'Исходные данные'!$F$2:$F$954,$A7)</f>
        <v>0</v>
      </c>
      <c r="BW7" s="4" t="n">
        <f aca="false">SUMIFS('Исходные данные'!$J$2:$J$954,'Исходные данные'!$D$2:$D$954,BV$1,'Исходные данные'!$F$2:$F$954,$A7)</f>
        <v>0</v>
      </c>
      <c r="BX7" s="4" t="n">
        <f aca="false">SUMIFS('Исходные данные'!$I$2:$I$954,'Исходные данные'!$D$2:$D$954,BX$1,'Исходные данные'!$F$2:$F$954,$A7)</f>
        <v>0</v>
      </c>
      <c r="BY7" s="4" t="n">
        <f aca="false">SUMIFS('Исходные данные'!$J$2:$J$954,'Исходные данные'!$D$2:$D$954,BX$1,'Исходные данные'!$F$2:$F$954,$A7)</f>
        <v>0</v>
      </c>
      <c r="BZ7" s="4" t="n">
        <f aca="false">SUMIFS('Исходные данные'!$I$2:$I$954,'Исходные данные'!$D$2:$D$954,BZ$1,'Исходные данные'!$F$2:$F$954,$A7)</f>
        <v>0</v>
      </c>
      <c r="CA7" s="4" t="n">
        <f aca="false">SUMIFS('Исходные данные'!$J$2:$J$954,'Исходные данные'!$D$2:$D$954,BZ$1,'Исходные данные'!$F$2:$F$954,$A7)</f>
        <v>0</v>
      </c>
      <c r="CB7" s="4" t="n">
        <f aca="false">SUMIFS('Исходные данные'!$I$2:$I$954,'Исходные данные'!$D$2:$D$954,CB$1,'Исходные данные'!$F$2:$F$954,$A7)</f>
        <v>0</v>
      </c>
      <c r="CC7" s="4" t="n">
        <f aca="false">SUMIFS('Исходные данные'!$J$2:$J$954,'Исходные данные'!$D$2:$D$954,CB$1,'Исходные данные'!$F$2:$F$954,$A7)</f>
        <v>0</v>
      </c>
      <c r="CD7" s="4" t="n">
        <f aca="false">SUMIFS('Исходные данные'!$I$2:$I$954,'Исходные данные'!$D$2:$D$954,CD$1,'Исходные данные'!$F$2:$F$954,$A7)</f>
        <v>0</v>
      </c>
      <c r="CE7" s="4" t="n">
        <f aca="false">SUMIFS('Исходные данные'!$J$2:$J$954,'Исходные данные'!$D$2:$D$954,CD$1,'Исходные данные'!$F$2:$F$954,$A7)</f>
        <v>0</v>
      </c>
      <c r="CF7" s="4" t="n">
        <f aca="false">SUMIFS('Исходные данные'!$I$2:$I$954,'Исходные данные'!$D$2:$D$954,CF$1,'Исходные данные'!$F$2:$F$954,$A7)</f>
        <v>0</v>
      </c>
      <c r="CG7" s="4" t="n">
        <f aca="false">SUMIFS('Исходные данные'!$J$2:$J$954,'Исходные данные'!$D$2:$D$954,CF$1,'Исходные данные'!$F$2:$F$954,$A7)</f>
        <v>0</v>
      </c>
      <c r="CH7" s="4" t="n">
        <f aca="false">SUMIFS('Исходные данные'!$I$2:$I$954,'Исходные данные'!$D$2:$D$954,CH$1,'Исходные данные'!$F$2:$F$954,$A7)</f>
        <v>0</v>
      </c>
      <c r="CI7" s="4" t="n">
        <f aca="false">SUMIFS('Исходные данные'!$J$2:$J$954,'Исходные данные'!$D$2:$D$954,CH$1,'Исходные данные'!$F$2:$F$954,$A7)</f>
        <v>0</v>
      </c>
    </row>
    <row r="8" customFormat="false" ht="15" hidden="false" customHeight="false" outlineLevel="0" collapsed="false">
      <c r="A8" s="3" t="s">
        <v>59</v>
      </c>
      <c r="B8" s="4" t="s">
        <v>60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SUMIFS($H8:$CI8,$H$2:$CI$2,"День")</f>
        <v>12</v>
      </c>
      <c r="G8" s="5" t="n">
        <f aca="false">SUMIFS($H8:$CI8,$H$2:$CI$2,"Ночь")</f>
        <v>5</v>
      </c>
      <c r="H8" s="4" t="n">
        <f aca="false">SUMIFS('Исходные данные'!$I$2:$I$954,'Исходные данные'!$D$2:$D$954,H$1,'Исходные данные'!$F$2:$F$954,$A8)</f>
        <v>1</v>
      </c>
      <c r="I8" s="4" t="n">
        <f aca="false">SUMIFS('Исходные данные'!$J$2:$J$954,'Исходные данные'!$D$2:$D$954,H$1,'Исходные данные'!$F$2:$F$954,$A8)</f>
        <v>0</v>
      </c>
      <c r="J8" s="4" t="n">
        <f aca="false">SUMIFS('Исходные данные'!$I$2:$I$954,'Исходные данные'!$D$2:$D$954,J$1,'Исходные данные'!$F$2:$F$954,$A8)</f>
        <v>1</v>
      </c>
      <c r="K8" s="4" t="n">
        <f aca="false">SUMIFS('Исходные данные'!$J$2:$J$954,'Исходные данные'!$D$2:$D$954,J$1,'Исходные данные'!$F$2:$F$954,$A8)</f>
        <v>0</v>
      </c>
      <c r="L8" s="4" t="n">
        <f aca="false">SUMIFS('Исходные данные'!$I$2:$I$954,'Исходные данные'!$D$2:$D$954,L$1,'Исходные данные'!$F$2:$F$954,$A8)</f>
        <v>1</v>
      </c>
      <c r="M8" s="4" t="n">
        <f aca="false">SUMIFS('Исходные данные'!$J$2:$J$954,'Исходные данные'!$D$2:$D$954,L$1,'Исходные данные'!$F$2:$F$954,$A8)</f>
        <v>0</v>
      </c>
      <c r="N8" s="4" t="n">
        <f aca="false">SUMIFS('Исходные данные'!$I$2:$I$954,'Исходные данные'!$D$2:$D$954,N$1,'Исходные данные'!$F$2:$F$954,$A8)</f>
        <v>0</v>
      </c>
      <c r="O8" s="4" t="n">
        <f aca="false">SUMIFS('Исходные данные'!$J$2:$J$954,'Исходные данные'!$D$2:$D$954,N$1,'Исходные данные'!$F$2:$F$954,$A8)</f>
        <v>0</v>
      </c>
      <c r="P8" s="4" t="n">
        <f aca="false">SUMIFS('Исходные данные'!$I$2:$I$954,'Исходные данные'!$D$2:$D$954,P$1,'Исходные данные'!$F$2:$F$954,$A8)</f>
        <v>1</v>
      </c>
      <c r="Q8" s="4" t="n">
        <f aca="false">SUMIFS('Исходные данные'!$J$2:$J$954,'Исходные данные'!$D$2:$D$954,P$1,'Исходные данные'!$F$2:$F$954,$A8)</f>
        <v>0</v>
      </c>
      <c r="R8" s="4" t="n">
        <f aca="false">SUMIFS('Исходные данные'!$I$2:$I$954,'Исходные данные'!$D$2:$D$954,R$1,'Исходные данные'!$F$2:$F$954,$A8)</f>
        <v>1</v>
      </c>
      <c r="S8" s="4" t="n">
        <f aca="false">SUMIFS('Исходные данные'!$J$2:$J$954,'Исходные данные'!$D$2:$D$954,R$1,'Исходные данные'!$F$2:$F$954,$A8)</f>
        <v>0</v>
      </c>
      <c r="T8" s="4" t="n">
        <f aca="false">SUMIFS('Исходные данные'!$I$2:$I$954,'Исходные данные'!$D$2:$D$954,T$1,'Исходные данные'!$F$2:$F$954,$A8)</f>
        <v>0</v>
      </c>
      <c r="U8" s="4" t="n">
        <f aca="false">SUMIFS('Исходные данные'!$J$2:$J$954,'Исходные данные'!$D$2:$D$954,T$1,'Исходные данные'!$F$2:$F$954,$A8)</f>
        <v>0</v>
      </c>
      <c r="V8" s="4" t="n">
        <f aca="false">SUMIFS('Исходные данные'!$I$2:$I$954,'Исходные данные'!$D$2:$D$954,V$1,'Исходные данные'!$F$2:$F$954,$A8)</f>
        <v>1</v>
      </c>
      <c r="W8" s="4" t="n">
        <f aca="false">SUMIFS('Исходные данные'!$J$2:$J$954,'Исходные данные'!$D$2:$D$954,V$1,'Исходные данные'!$F$2:$F$954,$A8)</f>
        <v>0</v>
      </c>
      <c r="X8" s="4" t="n">
        <f aca="false">SUMIFS('Исходные данные'!$I$2:$I$954,'Исходные данные'!$D$2:$D$954,X$1,'Исходные данные'!$F$2:$F$954,$A8)</f>
        <v>0</v>
      </c>
      <c r="Y8" s="4" t="n">
        <f aca="false">SUMIFS('Исходные данные'!$J$2:$J$954,'Исходные данные'!$D$2:$D$954,X$1,'Исходные данные'!$F$2:$F$954,$A8)</f>
        <v>0</v>
      </c>
      <c r="Z8" s="4" t="n">
        <f aca="false">SUMIFS('Исходные данные'!$I$2:$I$954,'Исходные данные'!$D$2:$D$954,Z$1,'Исходные данные'!$F$2:$F$954,$A8)</f>
        <v>1</v>
      </c>
      <c r="AA8" s="4" t="n">
        <f aca="false">SUMIFS('Исходные данные'!$J$2:$J$954,'Исходные данные'!$D$2:$D$954,Z$1,'Исходные данные'!$F$2:$F$954,$A8)</f>
        <v>0</v>
      </c>
      <c r="AB8" s="4" t="n">
        <f aca="false">SUMIFS('Исходные данные'!$I$2:$I$954,'Исходные данные'!$D$2:$D$954,AB$1,'Исходные данные'!$F$2:$F$954,$A8)</f>
        <v>0</v>
      </c>
      <c r="AC8" s="4" t="n">
        <f aca="false">SUMIFS('Исходные данные'!$J$2:$J$954,'Исходные данные'!$D$2:$D$954,AB$1,'Исходные данные'!$F$2:$F$954,$A8)</f>
        <v>0</v>
      </c>
      <c r="AD8" s="4" t="n">
        <f aca="false">SUMIFS('Исходные данные'!$I$2:$I$954,'Исходные данные'!$D$2:$D$954,AD$1,'Исходные данные'!$F$2:$F$954,$A8)</f>
        <v>1</v>
      </c>
      <c r="AE8" s="4" t="n">
        <f aca="false">SUMIFS('Исходные данные'!$J$2:$J$954,'Исходные данные'!$D$2:$D$954,AD$1,'Исходные данные'!$F$2:$F$954,$A8)</f>
        <v>0</v>
      </c>
      <c r="AF8" s="4" t="n">
        <f aca="false">SUMIFS('Исходные данные'!$I$2:$I$954,'Исходные данные'!$D$2:$D$954,AF$1,'Исходные данные'!$F$2:$F$954,$A8)</f>
        <v>0</v>
      </c>
      <c r="AG8" s="4" t="n">
        <f aca="false">SUMIFS('Исходные данные'!$J$2:$J$954,'Исходные данные'!$D$2:$D$954,AF$1,'Исходные данные'!$F$2:$F$954,$A8)</f>
        <v>0</v>
      </c>
      <c r="AH8" s="4" t="n">
        <f aca="false">SUMIFS('Исходные данные'!$I$2:$I$954,'Исходные данные'!$D$2:$D$954,AH$1,'Исходные данные'!$F$2:$F$954,$A8)</f>
        <v>2</v>
      </c>
      <c r="AI8" s="4" t="n">
        <f aca="false">SUMIFS('Исходные данные'!$J$2:$J$954,'Исходные данные'!$D$2:$D$954,AH$1,'Исходные данные'!$F$2:$F$954,$A8)</f>
        <v>3</v>
      </c>
      <c r="AJ8" s="4" t="n">
        <f aca="false">SUMIFS('Исходные данные'!$I$2:$I$954,'Исходные данные'!$D$2:$D$954,AJ$1,'Исходные данные'!$F$2:$F$954,$A8)</f>
        <v>2</v>
      </c>
      <c r="AK8" s="4" t="n">
        <f aca="false">SUMIFS('Исходные данные'!$J$2:$J$954,'Исходные данные'!$D$2:$D$954,AJ$1,'Исходные данные'!$F$2:$F$954,$A8)</f>
        <v>2</v>
      </c>
      <c r="AL8" s="4" t="n">
        <f aca="false">SUMIFS('Исходные данные'!$I$2:$I$954,'Исходные данные'!$D$2:$D$954,AL$1,'Исходные данные'!$F$2:$F$954,$A8)</f>
        <v>0</v>
      </c>
      <c r="AM8" s="4" t="n">
        <f aca="false">SUMIFS('Исходные данные'!$J$2:$J$954,'Исходные данные'!$D$2:$D$954,AL$1,'Исходные данные'!$F$2:$F$954,$A8)</f>
        <v>0</v>
      </c>
      <c r="AN8" s="4" t="n">
        <f aca="false">SUMIFS('Исходные данные'!$I$2:$I$954,'Исходные данные'!$D$2:$D$954,AN$1,'Исходные данные'!$F$2:$F$954,$A8)</f>
        <v>0</v>
      </c>
      <c r="AO8" s="4" t="n">
        <f aca="false">SUMIFS('Исходные данные'!$J$2:$J$954,'Исходные данные'!$D$2:$D$954,AN$1,'Исходные данные'!$F$2:$F$954,$A8)</f>
        <v>0</v>
      </c>
      <c r="AP8" s="4" t="n">
        <f aca="false">SUMIFS('Исходные данные'!$I$2:$I$954,'Исходные данные'!$D$2:$D$954,AP$1,'Исходные данные'!$F$2:$F$954,$A8)</f>
        <v>0</v>
      </c>
      <c r="AQ8" s="4" t="n">
        <f aca="false">SUMIFS('Исходные данные'!$J$2:$J$954,'Исходные данные'!$D$2:$D$954,AP$1,'Исходные данные'!$F$2:$F$954,$A8)</f>
        <v>0</v>
      </c>
      <c r="AR8" s="4" t="n">
        <f aca="false">SUMIFS('Исходные данные'!$I$2:$I$954,'Исходные данные'!$D$2:$D$954,AR$1,'Исходные данные'!$F$2:$F$954,$A8)</f>
        <v>0</v>
      </c>
      <c r="AS8" s="4" t="n">
        <f aca="false">SUMIFS('Исходные данные'!$J$2:$J$954,'Исходные данные'!$D$2:$D$954,AR$1,'Исходные данные'!$F$2:$F$954,$A8)</f>
        <v>0</v>
      </c>
      <c r="AT8" s="4" t="n">
        <f aca="false">SUMIFS('Исходные данные'!$I$2:$I$954,'Исходные данные'!$D$2:$D$954,AT$1,'Исходные данные'!$F$2:$F$954,$A8)</f>
        <v>0</v>
      </c>
      <c r="AU8" s="4" t="n">
        <f aca="false">SUMIFS('Исходные данные'!$J$2:$J$954,'Исходные данные'!$D$2:$D$954,AT$1,'Исходные данные'!$F$2:$F$954,$A8)</f>
        <v>0</v>
      </c>
      <c r="AV8" s="4" t="n">
        <f aca="false">SUMIFS('Исходные данные'!$I$2:$I$954,'Исходные данные'!$D$2:$D$954,AV$1,'Исходные данные'!$F$2:$F$954,$A8)</f>
        <v>0</v>
      </c>
      <c r="AW8" s="4" t="n">
        <f aca="false">SUMIFS('Исходные данные'!$J$2:$J$954,'Исходные данные'!$D$2:$D$954,AV$1,'Исходные данные'!$F$2:$F$954,$A8)</f>
        <v>0</v>
      </c>
      <c r="AX8" s="4" t="n">
        <f aca="false">SUMIFS('Исходные данные'!$I$2:$I$954,'Исходные данные'!$D$2:$D$954,AX$1,'Исходные данные'!$F$2:$F$954,$A8)</f>
        <v>0</v>
      </c>
      <c r="AY8" s="4" t="n">
        <f aca="false">SUMIFS('Исходные данные'!$J$2:$J$954,'Исходные данные'!$D$2:$D$954,AX$1,'Исходные данные'!$F$2:$F$954,$A8)</f>
        <v>0</v>
      </c>
      <c r="AZ8" s="4" t="n">
        <f aca="false">SUMIFS('Исходные данные'!$I$2:$I$954,'Исходные данные'!$D$2:$D$954,AZ$1,'Исходные данные'!$F$2:$F$954,$A8)</f>
        <v>0</v>
      </c>
      <c r="BA8" s="4" t="n">
        <f aca="false">SUMIFS('Исходные данные'!$J$2:$J$954,'Исходные данные'!$D$2:$D$954,AZ$1,'Исходные данные'!$F$2:$F$954,$A8)</f>
        <v>0</v>
      </c>
      <c r="BB8" s="4" t="n">
        <f aca="false">SUMIFS('Исходные данные'!$I$2:$I$954,'Исходные данные'!$D$2:$D$954,BB$1,'Исходные данные'!$F$2:$F$954,$A8)</f>
        <v>0</v>
      </c>
      <c r="BC8" s="4" t="n">
        <f aca="false">SUMIFS('Исходные данные'!$J$2:$J$954,'Исходные данные'!$D$2:$D$954,BB$1,'Исходные данные'!$F$2:$F$954,$A8)</f>
        <v>0</v>
      </c>
      <c r="BD8" s="4" t="n">
        <f aca="false">SUMIFS('Исходные данные'!$I$2:$I$954,'Исходные данные'!$D$2:$D$954,BD$1,'Исходные данные'!$F$2:$F$954,$A8)</f>
        <v>0</v>
      </c>
      <c r="BE8" s="4" t="n">
        <f aca="false">SUMIFS('Исходные данные'!$J$2:$J$954,'Исходные данные'!$D$2:$D$954,BD$1,'Исходные данные'!$F$2:$F$954,$A8)</f>
        <v>0</v>
      </c>
      <c r="BF8" s="4" t="n">
        <f aca="false">SUMIFS('Исходные данные'!$I$2:$I$954,'Исходные данные'!$D$2:$D$954,BF$1,'Исходные данные'!$F$2:$F$954,$A8)</f>
        <v>0</v>
      </c>
      <c r="BG8" s="4" t="n">
        <f aca="false">SUMIFS('Исходные данные'!$J$2:$J$954,'Исходные данные'!$D$2:$D$954,BF$1,'Исходные данные'!$F$2:$F$954,$A8)</f>
        <v>0</v>
      </c>
      <c r="BH8" s="4" t="n">
        <f aca="false">SUMIFS('Исходные данные'!$I$2:$I$954,'Исходные данные'!$D$2:$D$954,BH$1,'Исходные данные'!$F$2:$F$954,$A8)</f>
        <v>0</v>
      </c>
      <c r="BI8" s="4" t="n">
        <f aca="false">SUMIFS('Исходные данные'!$J$2:$J$954,'Исходные данные'!$D$2:$D$954,BH$1,'Исходные данные'!$F$2:$F$954,$A8)</f>
        <v>0</v>
      </c>
      <c r="BJ8" s="4" t="n">
        <f aca="false">SUMIFS('Исходные данные'!$I$2:$I$954,'Исходные данные'!$D$2:$D$954,BJ$1,'Исходные данные'!$F$2:$F$954,$A8)</f>
        <v>0</v>
      </c>
      <c r="BK8" s="4" t="n">
        <f aca="false">SUMIFS('Исходные данные'!$J$2:$J$954,'Исходные данные'!$D$2:$D$954,BJ$1,'Исходные данные'!$F$2:$F$954,$A8)</f>
        <v>0</v>
      </c>
      <c r="BL8" s="4" t="n">
        <f aca="false">SUMIFS('Исходные данные'!$I$2:$I$954,'Исходные данные'!$D$2:$D$954,BL$1,'Исходные данные'!$F$2:$F$954,$A8)</f>
        <v>0</v>
      </c>
      <c r="BM8" s="4" t="n">
        <f aca="false">SUMIFS('Исходные данные'!$J$2:$J$954,'Исходные данные'!$D$2:$D$954,BL$1,'Исходные данные'!$F$2:$F$954,$A8)</f>
        <v>0</v>
      </c>
      <c r="BN8" s="4" t="n">
        <f aca="false">SUMIFS('Исходные данные'!$I$2:$I$954,'Исходные данные'!$D$2:$D$954,BN$1,'Исходные данные'!$F$2:$F$954,$A8)</f>
        <v>0</v>
      </c>
      <c r="BO8" s="4" t="n">
        <f aca="false">SUMIFS('Исходные данные'!$J$2:$J$954,'Исходные данные'!$D$2:$D$954,BN$1,'Исходные данные'!$F$2:$F$954,$A8)</f>
        <v>0</v>
      </c>
      <c r="BP8" s="4" t="n">
        <f aca="false">SUMIFS('Исходные данные'!$I$2:$I$954,'Исходные данные'!$D$2:$D$954,BP$1,'Исходные данные'!$F$2:$F$954,$A8)</f>
        <v>0</v>
      </c>
      <c r="BQ8" s="4" t="n">
        <f aca="false">SUMIFS('Исходные данные'!$J$2:$J$954,'Исходные данные'!$D$2:$D$954,BP$1,'Исходные данные'!$F$2:$F$954,$A8)</f>
        <v>0</v>
      </c>
      <c r="BR8" s="4" t="n">
        <f aca="false">SUMIFS('Исходные данные'!$I$2:$I$954,'Исходные данные'!$D$2:$D$954,BR$1,'Исходные данные'!$F$2:$F$954,$A8)</f>
        <v>0</v>
      </c>
      <c r="BS8" s="4" t="n">
        <f aca="false">SUMIFS('Исходные данные'!$J$2:$J$954,'Исходные данные'!$D$2:$D$954,BR$1,'Исходные данные'!$F$2:$F$954,$A8)</f>
        <v>0</v>
      </c>
      <c r="BT8" s="4" t="n">
        <f aca="false">SUMIFS('Исходные данные'!$I$2:$I$954,'Исходные данные'!$D$2:$D$954,BT$1,'Исходные данные'!$F$2:$F$954,$A8)</f>
        <v>0</v>
      </c>
      <c r="BU8" s="4" t="n">
        <f aca="false">SUMIFS('Исходные данные'!$J$2:$J$954,'Исходные данные'!$D$2:$D$954,BT$1,'Исходные данные'!$F$2:$F$954,$A8)</f>
        <v>0</v>
      </c>
      <c r="BV8" s="4" t="n">
        <f aca="false">SUMIFS('Исходные данные'!$I$2:$I$954,'Исходные данные'!$D$2:$D$954,BV$1,'Исходные данные'!$F$2:$F$954,$A8)</f>
        <v>0</v>
      </c>
      <c r="BW8" s="4" t="n">
        <f aca="false">SUMIFS('Исходные данные'!$J$2:$J$954,'Исходные данные'!$D$2:$D$954,BV$1,'Исходные данные'!$F$2:$F$954,$A8)</f>
        <v>0</v>
      </c>
      <c r="BX8" s="4" t="n">
        <f aca="false">SUMIFS('Исходные данные'!$I$2:$I$954,'Исходные данные'!$D$2:$D$954,BX$1,'Исходные данные'!$F$2:$F$954,$A8)</f>
        <v>0</v>
      </c>
      <c r="BY8" s="4" t="n">
        <f aca="false">SUMIFS('Исходные данные'!$J$2:$J$954,'Исходные данные'!$D$2:$D$954,BX$1,'Исходные данные'!$F$2:$F$954,$A8)</f>
        <v>0</v>
      </c>
      <c r="BZ8" s="4" t="n">
        <f aca="false">SUMIFS('Исходные данные'!$I$2:$I$954,'Исходные данные'!$D$2:$D$954,BZ$1,'Исходные данные'!$F$2:$F$954,$A8)</f>
        <v>0</v>
      </c>
      <c r="CA8" s="4" t="n">
        <f aca="false">SUMIFS('Исходные данные'!$J$2:$J$954,'Исходные данные'!$D$2:$D$954,BZ$1,'Исходные данные'!$F$2:$F$954,$A8)</f>
        <v>0</v>
      </c>
      <c r="CB8" s="4" t="n">
        <f aca="false">SUMIFS('Исходные данные'!$I$2:$I$954,'Исходные данные'!$D$2:$D$954,CB$1,'Исходные данные'!$F$2:$F$954,$A8)</f>
        <v>0</v>
      </c>
      <c r="CC8" s="4" t="n">
        <f aca="false">SUMIFS('Исходные данные'!$J$2:$J$954,'Исходные данные'!$D$2:$D$954,CB$1,'Исходные данные'!$F$2:$F$954,$A8)</f>
        <v>0</v>
      </c>
      <c r="CD8" s="4" t="n">
        <f aca="false">SUMIFS('Исходные данные'!$I$2:$I$954,'Исходные данные'!$D$2:$D$954,CD$1,'Исходные данные'!$F$2:$F$954,$A8)</f>
        <v>0</v>
      </c>
      <c r="CE8" s="4" t="n">
        <f aca="false">SUMIFS('Исходные данные'!$J$2:$J$954,'Исходные данные'!$D$2:$D$954,CD$1,'Исходные данные'!$F$2:$F$954,$A8)</f>
        <v>0</v>
      </c>
      <c r="CF8" s="4" t="n">
        <f aca="false">SUMIFS('Исходные данные'!$I$2:$I$954,'Исходные данные'!$D$2:$D$954,CF$1,'Исходные данные'!$F$2:$F$954,$A8)</f>
        <v>0</v>
      </c>
      <c r="CG8" s="4" t="n">
        <f aca="false">SUMIFS('Исходные данные'!$J$2:$J$954,'Исходные данные'!$D$2:$D$954,CF$1,'Исходные данные'!$F$2:$F$954,$A8)</f>
        <v>0</v>
      </c>
      <c r="CH8" s="4" t="n">
        <f aca="false">SUMIFS('Исходные данные'!$I$2:$I$954,'Исходные данные'!$D$2:$D$954,CH$1,'Исходные данные'!$F$2:$F$954,$A8)</f>
        <v>0</v>
      </c>
      <c r="CI8" s="4" t="n">
        <f aca="false">SUMIFS('Исходные данные'!$J$2:$J$954,'Исходные данные'!$D$2:$D$954,CH$1,'Исходные данные'!$F$2:$F$954,$A8)</f>
        <v>0</v>
      </c>
    </row>
    <row r="9" customFormat="false" ht="15" hidden="false" customHeight="false" outlineLevel="0" collapsed="false">
      <c r="A9" s="3" t="s">
        <v>61</v>
      </c>
      <c r="B9" s="4" t="s">
        <v>62</v>
      </c>
      <c r="C9" s="5" t="n">
        <v>43</v>
      </c>
      <c r="D9" s="5" t="n">
        <f aca="false">F9+G9</f>
        <v>38</v>
      </c>
      <c r="E9" s="5" t="n">
        <f aca="false">D9-C9</f>
        <v>-5</v>
      </c>
      <c r="F9" s="5" t="n">
        <f aca="false">SUMIFS($H9:$CI9,$H$2:$CI$2,"День")</f>
        <v>22</v>
      </c>
      <c r="G9" s="5" t="n">
        <f aca="false">SUMIFS($H9:$CI9,$H$2:$CI$2,"Ночь")</f>
        <v>16</v>
      </c>
      <c r="H9" s="4" t="n">
        <f aca="false">SUMIFS('Исходные данные'!$I$2:$I$954,'Исходные данные'!$D$2:$D$954,H$1,'Исходные данные'!$F$2:$F$954,$A9)</f>
        <v>4</v>
      </c>
      <c r="I9" s="4" t="n">
        <f aca="false">SUMIFS('Исходные данные'!$J$2:$J$954,'Исходные данные'!$D$2:$D$954,H$1,'Исходные данные'!$F$2:$F$954,$A9)</f>
        <v>1</v>
      </c>
      <c r="J9" s="4" t="n">
        <f aca="false">SUMIFS('Исходные данные'!$I$2:$I$954,'Исходные данные'!$D$2:$D$954,J$1,'Исходные данные'!$F$2:$F$954,$A9)</f>
        <v>1</v>
      </c>
      <c r="K9" s="4" t="n">
        <f aca="false">SUMIFS('Исходные данные'!$J$2:$J$954,'Исходные данные'!$D$2:$D$954,J$1,'Исходные данные'!$F$2:$F$954,$A9)</f>
        <v>0</v>
      </c>
      <c r="L9" s="4" t="n">
        <f aca="false">SUMIFS('Исходные данные'!$I$2:$I$954,'Исходные данные'!$D$2:$D$954,L$1,'Исходные данные'!$F$2:$F$954,$A9)</f>
        <v>10</v>
      </c>
      <c r="M9" s="4" t="n">
        <f aca="false">SUMIFS('Исходные данные'!$J$2:$J$954,'Исходные данные'!$D$2:$D$954,L$1,'Исходные данные'!$F$2:$F$954,$A9)</f>
        <v>3</v>
      </c>
      <c r="N9" s="4" t="n">
        <f aca="false">SUMIFS('Исходные данные'!$I$2:$I$954,'Исходные данные'!$D$2:$D$954,N$1,'Исходные данные'!$F$2:$F$954,$A9)</f>
        <v>0</v>
      </c>
      <c r="O9" s="4" t="n">
        <f aca="false">SUMIFS('Исходные данные'!$J$2:$J$954,'Исходные данные'!$D$2:$D$954,N$1,'Исходные данные'!$F$2:$F$954,$A9)</f>
        <v>0</v>
      </c>
      <c r="P9" s="4" t="n">
        <f aca="false">SUMIFS('Исходные данные'!$I$2:$I$954,'Исходные данные'!$D$2:$D$954,P$1,'Исходные данные'!$F$2:$F$954,$A9)</f>
        <v>0</v>
      </c>
      <c r="Q9" s="4" t="n">
        <f aca="false">SUMIFS('Исходные данные'!$J$2:$J$954,'Исходные данные'!$D$2:$D$954,P$1,'Исходные данные'!$F$2:$F$954,$A9)</f>
        <v>0</v>
      </c>
      <c r="R9" s="4" t="n">
        <f aca="false">SUMIFS('Исходные данные'!$I$2:$I$954,'Исходные данные'!$D$2:$D$954,R$1,'Исходные данные'!$F$2:$F$954,$A9)</f>
        <v>0</v>
      </c>
      <c r="S9" s="4" t="n">
        <f aca="false">SUMIFS('Исходные данные'!$J$2:$J$954,'Исходные данные'!$D$2:$D$954,R$1,'Исходные данные'!$F$2:$F$954,$A9)</f>
        <v>0</v>
      </c>
      <c r="T9" s="4" t="n">
        <f aca="false">SUMIFS('Исходные данные'!$I$2:$I$954,'Исходные данные'!$D$2:$D$954,T$1,'Исходные данные'!$F$2:$F$954,$A9)</f>
        <v>0</v>
      </c>
      <c r="U9" s="4" t="n">
        <f aca="false">SUMIFS('Исходные данные'!$J$2:$J$954,'Исходные данные'!$D$2:$D$954,T$1,'Исходные данные'!$F$2:$F$954,$A9)</f>
        <v>0</v>
      </c>
      <c r="V9" s="4" t="n">
        <f aca="false">SUMIFS('Исходные данные'!$I$2:$I$954,'Исходные данные'!$D$2:$D$954,V$1,'Исходные данные'!$F$2:$F$954,$A9)</f>
        <v>0</v>
      </c>
      <c r="W9" s="4" t="n">
        <f aca="false">SUMIFS('Исходные данные'!$J$2:$J$954,'Исходные данные'!$D$2:$D$954,V$1,'Исходные данные'!$F$2:$F$954,$A9)</f>
        <v>0</v>
      </c>
      <c r="X9" s="4" t="n">
        <f aca="false">SUMIFS('Исходные данные'!$I$2:$I$954,'Исходные данные'!$D$2:$D$954,X$1,'Исходные данные'!$F$2:$F$954,$A9)</f>
        <v>0</v>
      </c>
      <c r="Y9" s="4" t="n">
        <f aca="false">SUMIFS('Исходные данные'!$J$2:$J$954,'Исходные данные'!$D$2:$D$954,X$1,'Исходные данные'!$F$2:$F$954,$A9)</f>
        <v>0</v>
      </c>
      <c r="Z9" s="4" t="n">
        <f aca="false">SUMIFS('Исходные данные'!$I$2:$I$954,'Исходные данные'!$D$2:$D$954,Z$1,'Исходные данные'!$F$2:$F$954,$A9)</f>
        <v>0</v>
      </c>
      <c r="AA9" s="4" t="n">
        <f aca="false">SUMIFS('Исходные данные'!$J$2:$J$954,'Исходные данные'!$D$2:$D$954,Z$1,'Исходные данные'!$F$2:$F$954,$A9)</f>
        <v>0</v>
      </c>
      <c r="AB9" s="4" t="n">
        <f aca="false">SUMIFS('Исходные данные'!$I$2:$I$954,'Исходные данные'!$D$2:$D$954,AB$1,'Исходные данные'!$F$2:$F$954,$A9)</f>
        <v>0</v>
      </c>
      <c r="AC9" s="4" t="n">
        <f aca="false">SUMIFS('Исходные данные'!$J$2:$J$954,'Исходные данные'!$D$2:$D$954,AB$1,'Исходные данные'!$F$2:$F$954,$A9)</f>
        <v>0</v>
      </c>
      <c r="AD9" s="4" t="n">
        <f aca="false">SUMIFS('Исходные данные'!$I$2:$I$954,'Исходные данные'!$D$2:$D$954,AD$1,'Исходные данные'!$F$2:$F$954,$A9)</f>
        <v>0</v>
      </c>
      <c r="AE9" s="4" t="n">
        <f aca="false">SUMIFS('Исходные данные'!$J$2:$J$954,'Исходные данные'!$D$2:$D$954,AD$1,'Исходные данные'!$F$2:$F$954,$A9)</f>
        <v>0</v>
      </c>
      <c r="AF9" s="4" t="n">
        <f aca="false">SUMIFS('Исходные данные'!$I$2:$I$954,'Исходные данные'!$D$2:$D$954,AF$1,'Исходные данные'!$F$2:$F$954,$A9)</f>
        <v>0</v>
      </c>
      <c r="AG9" s="4" t="n">
        <f aca="false">SUMIFS('Исходные данные'!$J$2:$J$954,'Исходные данные'!$D$2:$D$954,AF$1,'Исходные данные'!$F$2:$F$954,$A9)</f>
        <v>0</v>
      </c>
      <c r="AH9" s="4" t="n">
        <f aca="false">SUMIFS('Исходные данные'!$I$2:$I$954,'Исходные данные'!$D$2:$D$954,AH$1,'Исходные данные'!$F$2:$F$954,$A9)</f>
        <v>5</v>
      </c>
      <c r="AI9" s="4" t="n">
        <f aca="false">SUMIFS('Исходные данные'!$J$2:$J$954,'Исходные данные'!$D$2:$D$954,AH$1,'Исходные данные'!$F$2:$F$954,$A9)</f>
        <v>7</v>
      </c>
      <c r="AJ9" s="4" t="n">
        <f aca="false">SUMIFS('Исходные данные'!$I$2:$I$954,'Исходные данные'!$D$2:$D$954,AJ$1,'Исходные данные'!$F$2:$F$954,$A9)</f>
        <v>2</v>
      </c>
      <c r="AK9" s="4" t="n">
        <f aca="false">SUMIFS('Исходные данные'!$J$2:$J$954,'Исходные данные'!$D$2:$D$954,AJ$1,'Исходные данные'!$F$2:$F$954,$A9)</f>
        <v>5</v>
      </c>
      <c r="AL9" s="4" t="n">
        <f aca="false">SUMIFS('Исходные данные'!$I$2:$I$954,'Исходные данные'!$D$2:$D$954,AL$1,'Исходные данные'!$F$2:$F$954,$A9)</f>
        <v>0</v>
      </c>
      <c r="AM9" s="4" t="n">
        <f aca="false">SUMIFS('Исходные данные'!$J$2:$J$954,'Исходные данные'!$D$2:$D$954,AL$1,'Исходные данные'!$F$2:$F$954,$A9)</f>
        <v>0</v>
      </c>
      <c r="AN9" s="4" t="n">
        <f aca="false">SUMIFS('Исходные данные'!$I$2:$I$954,'Исходные данные'!$D$2:$D$954,AN$1,'Исходные данные'!$F$2:$F$954,$A9)</f>
        <v>0</v>
      </c>
      <c r="AO9" s="4" t="n">
        <f aca="false">SUMIFS('Исходные данные'!$J$2:$J$954,'Исходные данные'!$D$2:$D$954,AN$1,'Исходные данные'!$F$2:$F$954,$A9)</f>
        <v>0</v>
      </c>
      <c r="AP9" s="4" t="n">
        <f aca="false">SUMIFS('Исходные данные'!$I$2:$I$954,'Исходные данные'!$D$2:$D$954,AP$1,'Исходные данные'!$F$2:$F$954,$A9)</f>
        <v>0</v>
      </c>
      <c r="AQ9" s="4" t="n">
        <f aca="false">SUMIFS('Исходные данные'!$J$2:$J$954,'Исходные данные'!$D$2:$D$954,AP$1,'Исходные данные'!$F$2:$F$954,$A9)</f>
        <v>0</v>
      </c>
      <c r="AR9" s="4" t="n">
        <f aca="false">SUMIFS('Исходные данные'!$I$2:$I$954,'Исходные данные'!$D$2:$D$954,AR$1,'Исходные данные'!$F$2:$F$954,$A9)</f>
        <v>0</v>
      </c>
      <c r="AS9" s="4" t="n">
        <f aca="false">SUMIFS('Исходные данные'!$J$2:$J$954,'Исходные данные'!$D$2:$D$954,AR$1,'Исходные данные'!$F$2:$F$954,$A9)</f>
        <v>0</v>
      </c>
      <c r="AT9" s="4" t="n">
        <f aca="false">SUMIFS('Исходные данные'!$I$2:$I$954,'Исходные данные'!$D$2:$D$954,AT$1,'Исходные данные'!$F$2:$F$954,$A9)</f>
        <v>0</v>
      </c>
      <c r="AU9" s="4" t="n">
        <f aca="false">SUMIFS('Исходные данные'!$J$2:$J$954,'Исходные данные'!$D$2:$D$954,AT$1,'Исходные данные'!$F$2:$F$954,$A9)</f>
        <v>0</v>
      </c>
      <c r="AV9" s="4" t="n">
        <f aca="false">SUMIFS('Исходные данные'!$I$2:$I$954,'Исходные данные'!$D$2:$D$954,AV$1,'Исходные данные'!$F$2:$F$954,$A9)</f>
        <v>0</v>
      </c>
      <c r="AW9" s="4" t="n">
        <f aca="false">SUMIFS('Исходные данные'!$J$2:$J$954,'Исходные данные'!$D$2:$D$954,AV$1,'Исходные данные'!$F$2:$F$954,$A9)</f>
        <v>0</v>
      </c>
      <c r="AX9" s="4" t="n">
        <f aca="false">SUMIFS('Исходные данные'!$I$2:$I$954,'Исходные данные'!$D$2:$D$954,AX$1,'Исходные данные'!$F$2:$F$954,$A9)</f>
        <v>0</v>
      </c>
      <c r="AY9" s="4" t="n">
        <f aca="false">SUMIFS('Исходные данные'!$J$2:$J$954,'Исходные данные'!$D$2:$D$954,AX$1,'Исходные данные'!$F$2:$F$954,$A9)</f>
        <v>0</v>
      </c>
      <c r="AZ9" s="4" t="n">
        <f aca="false">SUMIFS('Исходные данные'!$I$2:$I$954,'Исходные данные'!$D$2:$D$954,AZ$1,'Исходные данные'!$F$2:$F$954,$A9)</f>
        <v>0</v>
      </c>
      <c r="BA9" s="4" t="n">
        <f aca="false">SUMIFS('Исходные данные'!$J$2:$J$954,'Исходные данные'!$D$2:$D$954,AZ$1,'Исходные данные'!$F$2:$F$954,$A9)</f>
        <v>0</v>
      </c>
      <c r="BB9" s="4" t="n">
        <f aca="false">SUMIFS('Исходные данные'!$I$2:$I$954,'Исходные данные'!$D$2:$D$954,BB$1,'Исходные данные'!$F$2:$F$954,$A9)</f>
        <v>0</v>
      </c>
      <c r="BC9" s="4" t="n">
        <f aca="false">SUMIFS('Исходные данные'!$J$2:$J$954,'Исходные данные'!$D$2:$D$954,BB$1,'Исходные данные'!$F$2:$F$954,$A9)</f>
        <v>0</v>
      </c>
      <c r="BD9" s="4" t="n">
        <f aca="false">SUMIFS('Исходные данные'!$I$2:$I$954,'Исходные данные'!$D$2:$D$954,BD$1,'Исходные данные'!$F$2:$F$954,$A9)</f>
        <v>0</v>
      </c>
      <c r="BE9" s="4" t="n">
        <f aca="false">SUMIFS('Исходные данные'!$J$2:$J$954,'Исходные данные'!$D$2:$D$954,BD$1,'Исходные данные'!$F$2:$F$954,$A9)</f>
        <v>0</v>
      </c>
      <c r="BF9" s="4" t="n">
        <f aca="false">SUMIFS('Исходные данные'!$I$2:$I$954,'Исходные данные'!$D$2:$D$954,BF$1,'Исходные данные'!$F$2:$F$954,$A9)</f>
        <v>0</v>
      </c>
      <c r="BG9" s="4" t="n">
        <f aca="false">SUMIFS('Исходные данные'!$J$2:$J$954,'Исходные данные'!$D$2:$D$954,BF$1,'Исходные данные'!$F$2:$F$954,$A9)</f>
        <v>0</v>
      </c>
      <c r="BH9" s="4" t="n">
        <f aca="false">SUMIFS('Исходные данные'!$I$2:$I$954,'Исходные данные'!$D$2:$D$954,BH$1,'Исходные данные'!$F$2:$F$954,$A9)</f>
        <v>0</v>
      </c>
      <c r="BI9" s="4" t="n">
        <f aca="false">SUMIFS('Исходные данные'!$J$2:$J$954,'Исходные данные'!$D$2:$D$954,BH$1,'Исходные данные'!$F$2:$F$954,$A9)</f>
        <v>0</v>
      </c>
      <c r="BJ9" s="4" t="n">
        <f aca="false">SUMIFS('Исходные данные'!$I$2:$I$954,'Исходные данные'!$D$2:$D$954,BJ$1,'Исходные данные'!$F$2:$F$954,$A9)</f>
        <v>0</v>
      </c>
      <c r="BK9" s="4" t="n">
        <f aca="false">SUMIFS('Исходные данные'!$J$2:$J$954,'Исходные данные'!$D$2:$D$954,BJ$1,'Исходные данные'!$F$2:$F$954,$A9)</f>
        <v>0</v>
      </c>
      <c r="BL9" s="4" t="n">
        <f aca="false">SUMIFS('Исходные данные'!$I$2:$I$954,'Исходные данные'!$D$2:$D$954,BL$1,'Исходные данные'!$F$2:$F$954,$A9)</f>
        <v>0</v>
      </c>
      <c r="BM9" s="4" t="n">
        <f aca="false">SUMIFS('Исходные данные'!$J$2:$J$954,'Исходные данные'!$D$2:$D$954,BL$1,'Исходные данные'!$F$2:$F$954,$A9)</f>
        <v>0</v>
      </c>
      <c r="BN9" s="4" t="n">
        <f aca="false">SUMIFS('Исходные данные'!$I$2:$I$954,'Исходные данные'!$D$2:$D$954,BN$1,'Исходные данные'!$F$2:$F$954,$A9)</f>
        <v>0</v>
      </c>
      <c r="BO9" s="4" t="n">
        <f aca="false">SUMIFS('Исходные данные'!$J$2:$J$954,'Исходные данные'!$D$2:$D$954,BN$1,'Исходные данные'!$F$2:$F$954,$A9)</f>
        <v>0</v>
      </c>
      <c r="BP9" s="4" t="n">
        <f aca="false">SUMIFS('Исходные данные'!$I$2:$I$954,'Исходные данные'!$D$2:$D$954,BP$1,'Исходные данные'!$F$2:$F$954,$A9)</f>
        <v>0</v>
      </c>
      <c r="BQ9" s="4" t="n">
        <f aca="false">SUMIFS('Исходные данные'!$J$2:$J$954,'Исходные данные'!$D$2:$D$954,BP$1,'Исходные данные'!$F$2:$F$954,$A9)</f>
        <v>0</v>
      </c>
      <c r="BR9" s="4" t="n">
        <f aca="false">SUMIFS('Исходные данные'!$I$2:$I$954,'Исходные данные'!$D$2:$D$954,BR$1,'Исходные данные'!$F$2:$F$954,$A9)</f>
        <v>0</v>
      </c>
      <c r="BS9" s="4" t="n">
        <f aca="false">SUMIFS('Исходные данные'!$J$2:$J$954,'Исходные данные'!$D$2:$D$954,BR$1,'Исходные данные'!$F$2:$F$954,$A9)</f>
        <v>0</v>
      </c>
      <c r="BT9" s="4" t="n">
        <f aca="false">SUMIFS('Исходные данные'!$I$2:$I$954,'Исходные данные'!$D$2:$D$954,BT$1,'Исходные данные'!$F$2:$F$954,$A9)</f>
        <v>0</v>
      </c>
      <c r="BU9" s="4" t="n">
        <f aca="false">SUMIFS('Исходные данные'!$J$2:$J$954,'Исходные данные'!$D$2:$D$954,BT$1,'Исходные данные'!$F$2:$F$954,$A9)</f>
        <v>0</v>
      </c>
      <c r="BV9" s="4" t="n">
        <f aca="false">SUMIFS('Исходные данные'!$I$2:$I$954,'Исходные данные'!$D$2:$D$954,BV$1,'Исходные данные'!$F$2:$F$954,$A9)</f>
        <v>0</v>
      </c>
      <c r="BW9" s="4" t="n">
        <f aca="false">SUMIFS('Исходные данные'!$J$2:$J$954,'Исходные данные'!$D$2:$D$954,BV$1,'Исходные данные'!$F$2:$F$954,$A9)</f>
        <v>0</v>
      </c>
      <c r="BX9" s="4" t="n">
        <f aca="false">SUMIFS('Исходные данные'!$I$2:$I$954,'Исходные данные'!$D$2:$D$954,BX$1,'Исходные данные'!$F$2:$F$954,$A9)</f>
        <v>0</v>
      </c>
      <c r="BY9" s="4" t="n">
        <f aca="false">SUMIFS('Исходные данные'!$J$2:$J$954,'Исходные данные'!$D$2:$D$954,BX$1,'Исходные данные'!$F$2:$F$954,$A9)</f>
        <v>0</v>
      </c>
      <c r="BZ9" s="4" t="n">
        <f aca="false">SUMIFS('Исходные данные'!$I$2:$I$954,'Исходные данные'!$D$2:$D$954,BZ$1,'Исходные данные'!$F$2:$F$954,$A9)</f>
        <v>0</v>
      </c>
      <c r="CA9" s="4" t="n">
        <f aca="false">SUMIFS('Исходные данные'!$J$2:$J$954,'Исходные данные'!$D$2:$D$954,BZ$1,'Исходные данные'!$F$2:$F$954,$A9)</f>
        <v>0</v>
      </c>
      <c r="CB9" s="4" t="n">
        <f aca="false">SUMIFS('Исходные данные'!$I$2:$I$954,'Исходные данные'!$D$2:$D$954,CB$1,'Исходные данные'!$F$2:$F$954,$A9)</f>
        <v>0</v>
      </c>
      <c r="CC9" s="4" t="n">
        <f aca="false">SUMIFS('Исходные данные'!$J$2:$J$954,'Исходные данные'!$D$2:$D$954,CB$1,'Исходные данные'!$F$2:$F$954,$A9)</f>
        <v>0</v>
      </c>
      <c r="CD9" s="4" t="n">
        <f aca="false">SUMIFS('Исходные данные'!$I$2:$I$954,'Исходные данные'!$D$2:$D$954,CD$1,'Исходные данные'!$F$2:$F$954,$A9)</f>
        <v>0</v>
      </c>
      <c r="CE9" s="4" t="n">
        <f aca="false">SUMIFS('Исходные данные'!$J$2:$J$954,'Исходные данные'!$D$2:$D$954,CD$1,'Исходные данные'!$F$2:$F$954,$A9)</f>
        <v>0</v>
      </c>
      <c r="CF9" s="4" t="n">
        <f aca="false">SUMIFS('Исходные данные'!$I$2:$I$954,'Исходные данные'!$D$2:$D$954,CF$1,'Исходные данные'!$F$2:$F$954,$A9)</f>
        <v>0</v>
      </c>
      <c r="CG9" s="4" t="n">
        <f aca="false">SUMIFS('Исходные данные'!$J$2:$J$954,'Исходные данные'!$D$2:$D$954,CF$1,'Исходные данные'!$F$2:$F$954,$A9)</f>
        <v>0</v>
      </c>
      <c r="CH9" s="4" t="n">
        <f aca="false">SUMIFS('Исходные данные'!$I$2:$I$954,'Исходные данные'!$D$2:$D$954,CH$1,'Исходные данные'!$F$2:$F$954,$A9)</f>
        <v>0</v>
      </c>
      <c r="CI9" s="4" t="n">
        <f aca="false">SUMIFS('Исходные данные'!$J$2:$J$954,'Исходные данные'!$D$2:$D$954,CH$1,'Исходные данные'!$F$2:$F$954,$A9)</f>
        <v>0</v>
      </c>
    </row>
    <row r="10" customFormat="false" ht="15" hidden="false" customHeight="false" outlineLevel="0" collapsed="false">
      <c r="A10" s="3" t="s">
        <v>63</v>
      </c>
      <c r="B10" s="4" t="s">
        <v>64</v>
      </c>
      <c r="C10" s="5" t="n">
        <v>52</v>
      </c>
      <c r="D10" s="5" t="n">
        <f aca="false">F10+G10</f>
        <v>50</v>
      </c>
      <c r="E10" s="5" t="n">
        <f aca="false">D10-C10</f>
        <v>-2</v>
      </c>
      <c r="F10" s="5" t="n">
        <f aca="false">SUMIFS($H10:$CI10,$H$2:$CI$2,"День")</f>
        <v>31</v>
      </c>
      <c r="G10" s="5" t="n">
        <f aca="false">SUMIFS($H10:$CI10,$H$2:$CI$2,"Ночь")</f>
        <v>19</v>
      </c>
      <c r="H10" s="4" t="n">
        <f aca="false">SUMIFS('Исходные данные'!$I$2:$I$954,'Исходные данные'!$D$2:$D$954,H$1,'Исходные данные'!$F$2:$F$954,$A10)</f>
        <v>5</v>
      </c>
      <c r="I10" s="4" t="n">
        <f aca="false">SUMIFS('Исходные данные'!$J$2:$J$954,'Исходные данные'!$D$2:$D$954,H$1,'Исходные данные'!$F$2:$F$954,$A10)</f>
        <v>2</v>
      </c>
      <c r="J10" s="4" t="n">
        <f aca="false">SUMIFS('Исходные данные'!$I$2:$I$954,'Исходные данные'!$D$2:$D$954,J$1,'Исходные данные'!$F$2:$F$954,$A10)</f>
        <v>1</v>
      </c>
      <c r="K10" s="4" t="n">
        <f aca="false">SUMIFS('Исходные данные'!$J$2:$J$954,'Исходные данные'!$D$2:$D$954,J$1,'Исходные данные'!$F$2:$F$954,$A10)</f>
        <v>0</v>
      </c>
      <c r="L10" s="4" t="n">
        <f aca="false">SUMIFS('Исходные данные'!$I$2:$I$954,'Исходные данные'!$D$2:$D$954,L$1,'Исходные данные'!$F$2:$F$954,$A10)</f>
        <v>12</v>
      </c>
      <c r="M10" s="4" t="n">
        <f aca="false">SUMIFS('Исходные данные'!$J$2:$J$954,'Исходные данные'!$D$2:$D$954,L$1,'Исходные данные'!$F$2:$F$954,$A10)</f>
        <v>3</v>
      </c>
      <c r="N10" s="4" t="n">
        <f aca="false">SUMIFS('Исходные данные'!$I$2:$I$954,'Исходные данные'!$D$2:$D$954,N$1,'Исходные данные'!$F$2:$F$954,$A10)</f>
        <v>0</v>
      </c>
      <c r="O10" s="4" t="n">
        <f aca="false">SUMIFS('Исходные данные'!$J$2:$J$954,'Исходные данные'!$D$2:$D$954,N$1,'Исходные данные'!$F$2:$F$954,$A10)</f>
        <v>0</v>
      </c>
      <c r="P10" s="4" t="n">
        <f aca="false">SUMIFS('Исходные данные'!$I$2:$I$954,'Исходные данные'!$D$2:$D$954,P$1,'Исходные данные'!$F$2:$F$954,$A10)</f>
        <v>0</v>
      </c>
      <c r="Q10" s="4" t="n">
        <f aca="false">SUMIFS('Исходные данные'!$J$2:$J$954,'Исходные данные'!$D$2:$D$954,P$1,'Исходные данные'!$F$2:$F$954,$A10)</f>
        <v>0</v>
      </c>
      <c r="R10" s="4" t="n">
        <f aca="false">SUMIFS('Исходные данные'!$I$2:$I$954,'Исходные данные'!$D$2:$D$954,R$1,'Исходные данные'!$F$2:$F$954,$A10)</f>
        <v>0</v>
      </c>
      <c r="S10" s="4" t="n">
        <f aca="false">SUMIFS('Исходные данные'!$J$2:$J$954,'Исходные данные'!$D$2:$D$954,R$1,'Исходные данные'!$F$2:$F$954,$A10)</f>
        <v>0</v>
      </c>
      <c r="T10" s="4" t="n">
        <f aca="false">SUMIFS('Исходные данные'!$I$2:$I$954,'Исходные данные'!$D$2:$D$954,T$1,'Исходные данные'!$F$2:$F$954,$A10)</f>
        <v>2</v>
      </c>
      <c r="U10" s="4" t="n">
        <f aca="false">SUMIFS('Исходные данные'!$J$2:$J$954,'Исходные данные'!$D$2:$D$954,T$1,'Исходные данные'!$F$2:$F$954,$A10)</f>
        <v>1</v>
      </c>
      <c r="V10" s="4" t="n">
        <f aca="false">SUMIFS('Исходные данные'!$I$2:$I$954,'Исходные данные'!$D$2:$D$954,V$1,'Исходные данные'!$F$2:$F$954,$A10)</f>
        <v>0</v>
      </c>
      <c r="W10" s="4" t="n">
        <f aca="false">SUMIFS('Исходные данные'!$J$2:$J$954,'Исходные данные'!$D$2:$D$954,V$1,'Исходные данные'!$F$2:$F$954,$A10)</f>
        <v>0</v>
      </c>
      <c r="X10" s="4" t="n">
        <f aca="false">SUMIFS('Исходные данные'!$I$2:$I$954,'Исходные данные'!$D$2:$D$954,X$1,'Исходные данные'!$F$2:$F$954,$A10)</f>
        <v>0</v>
      </c>
      <c r="Y10" s="4" t="n">
        <f aca="false">SUMIFS('Исходные данные'!$J$2:$J$954,'Исходные данные'!$D$2:$D$954,X$1,'Исходные данные'!$F$2:$F$954,$A10)</f>
        <v>0</v>
      </c>
      <c r="Z10" s="4" t="n">
        <f aca="false">SUMIFS('Исходные данные'!$I$2:$I$954,'Исходные данные'!$D$2:$D$954,Z$1,'Исходные данные'!$F$2:$F$954,$A10)</f>
        <v>0</v>
      </c>
      <c r="AA10" s="4" t="n">
        <f aca="false">SUMIFS('Исходные данные'!$J$2:$J$954,'Исходные данные'!$D$2:$D$954,Z$1,'Исходные данные'!$F$2:$F$954,$A10)</f>
        <v>0</v>
      </c>
      <c r="AB10" s="4" t="n">
        <f aca="false">SUMIFS('Исходные данные'!$I$2:$I$954,'Исходные данные'!$D$2:$D$954,AB$1,'Исходные данные'!$F$2:$F$954,$A10)</f>
        <v>0</v>
      </c>
      <c r="AC10" s="4" t="n">
        <f aca="false">SUMIFS('Исходные данные'!$J$2:$J$954,'Исходные данные'!$D$2:$D$954,AB$1,'Исходные данные'!$F$2:$F$954,$A10)</f>
        <v>0</v>
      </c>
      <c r="AD10" s="4" t="n">
        <f aca="false">SUMIFS('Исходные данные'!$I$2:$I$954,'Исходные данные'!$D$2:$D$954,AD$1,'Исходные данные'!$F$2:$F$954,$A10)</f>
        <v>0</v>
      </c>
      <c r="AE10" s="4" t="n">
        <f aca="false">SUMIFS('Исходные данные'!$J$2:$J$954,'Исходные данные'!$D$2:$D$954,AD$1,'Исходные данные'!$F$2:$F$954,$A10)</f>
        <v>0</v>
      </c>
      <c r="AF10" s="4" t="n">
        <f aca="false">SUMIFS('Исходные данные'!$I$2:$I$954,'Исходные данные'!$D$2:$D$954,AF$1,'Исходные данные'!$F$2:$F$954,$A10)</f>
        <v>0</v>
      </c>
      <c r="AG10" s="4" t="n">
        <f aca="false">SUMIFS('Исходные данные'!$J$2:$J$954,'Исходные данные'!$D$2:$D$954,AF$1,'Исходные данные'!$F$2:$F$954,$A10)</f>
        <v>0</v>
      </c>
      <c r="AH10" s="4" t="n">
        <f aca="false">SUMIFS('Исходные данные'!$I$2:$I$954,'Исходные данные'!$D$2:$D$954,AH$1,'Исходные данные'!$F$2:$F$954,$A10)</f>
        <v>6</v>
      </c>
      <c r="AI10" s="4" t="n">
        <f aca="false">SUMIFS('Исходные данные'!$J$2:$J$954,'Исходные данные'!$D$2:$D$954,AH$1,'Исходные данные'!$F$2:$F$954,$A10)</f>
        <v>7</v>
      </c>
      <c r="AJ10" s="4" t="n">
        <f aca="false">SUMIFS('Исходные данные'!$I$2:$I$954,'Исходные данные'!$D$2:$D$954,AJ$1,'Исходные данные'!$F$2:$F$954,$A10)</f>
        <v>4</v>
      </c>
      <c r="AK10" s="4" t="n">
        <f aca="false">SUMIFS('Исходные данные'!$J$2:$J$954,'Исходные данные'!$D$2:$D$954,AJ$1,'Исходные данные'!$F$2:$F$954,$A10)</f>
        <v>5</v>
      </c>
      <c r="AL10" s="4" t="n">
        <f aca="false">SUMIFS('Исходные данные'!$I$2:$I$954,'Исходные данные'!$D$2:$D$954,AL$1,'Исходные данные'!$F$2:$F$954,$A10)</f>
        <v>0</v>
      </c>
      <c r="AM10" s="4" t="n">
        <f aca="false">SUMIFS('Исходные данные'!$J$2:$J$954,'Исходные данные'!$D$2:$D$954,AL$1,'Исходные данные'!$F$2:$F$954,$A10)</f>
        <v>0</v>
      </c>
      <c r="AN10" s="4" t="n">
        <f aca="false">SUMIFS('Исходные данные'!$I$2:$I$954,'Исходные данные'!$D$2:$D$954,AN$1,'Исходные данные'!$F$2:$F$954,$A10)</f>
        <v>0</v>
      </c>
      <c r="AO10" s="4" t="n">
        <f aca="false">SUMIFS('Исходные данные'!$J$2:$J$954,'Исходные данные'!$D$2:$D$954,AN$1,'Исходные данные'!$F$2:$F$954,$A10)</f>
        <v>0</v>
      </c>
      <c r="AP10" s="4" t="n">
        <f aca="false">SUMIFS('Исходные данные'!$I$2:$I$954,'Исходные данные'!$D$2:$D$954,AP$1,'Исходные данные'!$F$2:$F$954,$A10)</f>
        <v>0</v>
      </c>
      <c r="AQ10" s="4" t="n">
        <f aca="false">SUMIFS('Исходные данные'!$J$2:$J$954,'Исходные данные'!$D$2:$D$954,AP$1,'Исходные данные'!$F$2:$F$954,$A10)</f>
        <v>0</v>
      </c>
      <c r="AR10" s="4" t="n">
        <f aca="false">SUMIFS('Исходные данные'!$I$2:$I$954,'Исходные данные'!$D$2:$D$954,AR$1,'Исходные данные'!$F$2:$F$954,$A10)</f>
        <v>0</v>
      </c>
      <c r="AS10" s="4" t="n">
        <f aca="false">SUMIFS('Исходные данные'!$J$2:$J$954,'Исходные данные'!$D$2:$D$954,AR$1,'Исходные данные'!$F$2:$F$954,$A10)</f>
        <v>0</v>
      </c>
      <c r="AT10" s="4" t="n">
        <f aca="false">SUMIFS('Исходные данные'!$I$2:$I$954,'Исходные данные'!$D$2:$D$954,AT$1,'Исходные данные'!$F$2:$F$954,$A10)</f>
        <v>0</v>
      </c>
      <c r="AU10" s="4" t="n">
        <f aca="false">SUMIFS('Исходные данные'!$J$2:$J$954,'Исходные данные'!$D$2:$D$954,AT$1,'Исходные данные'!$F$2:$F$954,$A10)</f>
        <v>0</v>
      </c>
      <c r="AV10" s="4" t="n">
        <f aca="false">SUMIFS('Исходные данные'!$I$2:$I$954,'Исходные данные'!$D$2:$D$954,AV$1,'Исходные данные'!$F$2:$F$954,$A10)</f>
        <v>1</v>
      </c>
      <c r="AW10" s="4" t="n">
        <f aca="false">SUMIFS('Исходные данные'!$J$2:$J$954,'Исходные данные'!$D$2:$D$954,AV$1,'Исходные данные'!$F$2:$F$954,$A10)</f>
        <v>1</v>
      </c>
      <c r="AX10" s="4" t="n">
        <f aca="false">SUMIFS('Исходные данные'!$I$2:$I$954,'Исходные данные'!$D$2:$D$954,AX$1,'Исходные данные'!$F$2:$F$954,$A10)</f>
        <v>0</v>
      </c>
      <c r="AY10" s="4" t="n">
        <f aca="false">SUMIFS('Исходные данные'!$J$2:$J$954,'Исходные данные'!$D$2:$D$954,AX$1,'Исходные данные'!$F$2:$F$954,$A10)</f>
        <v>0</v>
      </c>
      <c r="AZ10" s="4" t="n">
        <f aca="false">SUMIFS('Исходные данные'!$I$2:$I$954,'Исходные данные'!$D$2:$D$954,AZ$1,'Исходные данные'!$F$2:$F$954,$A10)</f>
        <v>0</v>
      </c>
      <c r="BA10" s="4" t="n">
        <f aca="false">SUMIFS('Исходные данные'!$J$2:$J$954,'Исходные данные'!$D$2:$D$954,AZ$1,'Исходные данные'!$F$2:$F$954,$A10)</f>
        <v>0</v>
      </c>
      <c r="BB10" s="4" t="n">
        <f aca="false">SUMIFS('Исходные данные'!$I$2:$I$954,'Исходные данные'!$D$2:$D$954,BB$1,'Исходные данные'!$F$2:$F$954,$A10)</f>
        <v>0</v>
      </c>
      <c r="BC10" s="4" t="n">
        <f aca="false">SUMIFS('Исходные данные'!$J$2:$J$954,'Исходные данные'!$D$2:$D$954,BB$1,'Исходные данные'!$F$2:$F$954,$A10)</f>
        <v>0</v>
      </c>
      <c r="BD10" s="4" t="n">
        <f aca="false">SUMIFS('Исходные данные'!$I$2:$I$954,'Исходные данные'!$D$2:$D$954,BD$1,'Исходные данные'!$F$2:$F$954,$A10)</f>
        <v>0</v>
      </c>
      <c r="BE10" s="4" t="n">
        <f aca="false">SUMIFS('Исходные данные'!$J$2:$J$954,'Исходные данные'!$D$2:$D$954,BD$1,'Исходные данные'!$F$2:$F$954,$A10)</f>
        <v>0</v>
      </c>
      <c r="BF10" s="4" t="n">
        <f aca="false">SUMIFS('Исходные данные'!$I$2:$I$954,'Исходные данные'!$D$2:$D$954,BF$1,'Исходные данные'!$F$2:$F$954,$A10)</f>
        <v>0</v>
      </c>
      <c r="BG10" s="4" t="n">
        <f aca="false">SUMIFS('Исходные данные'!$J$2:$J$954,'Исходные данные'!$D$2:$D$954,BF$1,'Исходные данные'!$F$2:$F$954,$A10)</f>
        <v>0</v>
      </c>
      <c r="BH10" s="4" t="n">
        <f aca="false">SUMIFS('Исходные данные'!$I$2:$I$954,'Исходные данные'!$D$2:$D$954,BH$1,'Исходные данные'!$F$2:$F$954,$A10)</f>
        <v>0</v>
      </c>
      <c r="BI10" s="4" t="n">
        <f aca="false">SUMIFS('Исходные данные'!$J$2:$J$954,'Исходные данные'!$D$2:$D$954,BH$1,'Исходные данные'!$F$2:$F$954,$A10)</f>
        <v>0</v>
      </c>
      <c r="BJ10" s="4" t="n">
        <f aca="false">SUMIFS('Исходные данные'!$I$2:$I$954,'Исходные данные'!$D$2:$D$954,BJ$1,'Исходные данные'!$F$2:$F$954,$A10)</f>
        <v>0</v>
      </c>
      <c r="BK10" s="4" t="n">
        <f aca="false">SUMIFS('Исходные данные'!$J$2:$J$954,'Исходные данные'!$D$2:$D$954,BJ$1,'Исходные данные'!$F$2:$F$954,$A10)</f>
        <v>0</v>
      </c>
      <c r="BL10" s="4" t="n">
        <f aca="false">SUMIFS('Исходные данные'!$I$2:$I$954,'Исходные данные'!$D$2:$D$954,BL$1,'Исходные данные'!$F$2:$F$954,$A10)</f>
        <v>0</v>
      </c>
      <c r="BM10" s="4" t="n">
        <f aca="false">SUMIFS('Исходные данные'!$J$2:$J$954,'Исходные данные'!$D$2:$D$954,BL$1,'Исходные данные'!$F$2:$F$954,$A10)</f>
        <v>0</v>
      </c>
      <c r="BN10" s="4" t="n">
        <f aca="false">SUMIFS('Исходные данные'!$I$2:$I$954,'Исходные данные'!$D$2:$D$954,BN$1,'Исходные данные'!$F$2:$F$954,$A10)</f>
        <v>0</v>
      </c>
      <c r="BO10" s="4" t="n">
        <f aca="false">SUMIFS('Исходные данные'!$J$2:$J$954,'Исходные данные'!$D$2:$D$954,BN$1,'Исходные данные'!$F$2:$F$954,$A10)</f>
        <v>0</v>
      </c>
      <c r="BP10" s="4" t="n">
        <f aca="false">SUMIFS('Исходные данные'!$I$2:$I$954,'Исходные данные'!$D$2:$D$954,BP$1,'Исходные данные'!$F$2:$F$954,$A10)</f>
        <v>0</v>
      </c>
      <c r="BQ10" s="4" t="n">
        <f aca="false">SUMIFS('Исходные данные'!$J$2:$J$954,'Исходные данные'!$D$2:$D$954,BP$1,'Исходные данные'!$F$2:$F$954,$A10)</f>
        <v>0</v>
      </c>
      <c r="BR10" s="4" t="n">
        <f aca="false">SUMIFS('Исходные данные'!$I$2:$I$954,'Исходные данные'!$D$2:$D$954,BR$1,'Исходные данные'!$F$2:$F$954,$A10)</f>
        <v>0</v>
      </c>
      <c r="BS10" s="4" t="n">
        <f aca="false">SUMIFS('Исходные данные'!$J$2:$J$954,'Исходные данные'!$D$2:$D$954,BR$1,'Исходные данные'!$F$2:$F$954,$A10)</f>
        <v>0</v>
      </c>
      <c r="BT10" s="4" t="n">
        <f aca="false">SUMIFS('Исходные данные'!$I$2:$I$954,'Исходные данные'!$D$2:$D$954,BT$1,'Исходные данные'!$F$2:$F$954,$A10)</f>
        <v>0</v>
      </c>
      <c r="BU10" s="4" t="n">
        <f aca="false">SUMIFS('Исходные данные'!$J$2:$J$954,'Исходные данные'!$D$2:$D$954,BT$1,'Исходные данные'!$F$2:$F$954,$A10)</f>
        <v>0</v>
      </c>
      <c r="BV10" s="4" t="n">
        <f aca="false">SUMIFS('Исходные данные'!$I$2:$I$954,'Исходные данные'!$D$2:$D$954,BV$1,'Исходные данные'!$F$2:$F$954,$A10)</f>
        <v>0</v>
      </c>
      <c r="BW10" s="4" t="n">
        <f aca="false">SUMIFS('Исходные данные'!$J$2:$J$954,'Исходные данные'!$D$2:$D$954,BV$1,'Исходные данные'!$F$2:$F$954,$A10)</f>
        <v>0</v>
      </c>
      <c r="BX10" s="4" t="n">
        <f aca="false">SUMIFS('Исходные данные'!$I$2:$I$954,'Исходные данные'!$D$2:$D$954,BX$1,'Исходные данные'!$F$2:$F$954,$A10)</f>
        <v>0</v>
      </c>
      <c r="BY10" s="4" t="n">
        <f aca="false">SUMIFS('Исходные данные'!$J$2:$J$954,'Исходные данные'!$D$2:$D$954,BX$1,'Исходные данные'!$F$2:$F$954,$A10)</f>
        <v>0</v>
      </c>
      <c r="BZ10" s="4" t="n">
        <f aca="false">SUMIFS('Исходные данные'!$I$2:$I$954,'Исходные данные'!$D$2:$D$954,BZ$1,'Исходные данные'!$F$2:$F$954,$A10)</f>
        <v>0</v>
      </c>
      <c r="CA10" s="4" t="n">
        <f aca="false">SUMIFS('Исходные данные'!$J$2:$J$954,'Исходные данные'!$D$2:$D$954,BZ$1,'Исходные данные'!$F$2:$F$954,$A10)</f>
        <v>0</v>
      </c>
      <c r="CB10" s="4" t="n">
        <f aca="false">SUMIFS('Исходные данные'!$I$2:$I$954,'Исходные данные'!$D$2:$D$954,CB$1,'Исходные данные'!$F$2:$F$954,$A10)</f>
        <v>0</v>
      </c>
      <c r="CC10" s="4" t="n">
        <f aca="false">SUMIFS('Исходные данные'!$J$2:$J$954,'Исходные данные'!$D$2:$D$954,CB$1,'Исходные данные'!$F$2:$F$954,$A10)</f>
        <v>0</v>
      </c>
      <c r="CD10" s="4" t="n">
        <f aca="false">SUMIFS('Исходные данные'!$I$2:$I$954,'Исходные данные'!$D$2:$D$954,CD$1,'Исходные данные'!$F$2:$F$954,$A10)</f>
        <v>0</v>
      </c>
      <c r="CE10" s="4" t="n">
        <f aca="false">SUMIFS('Исходные данные'!$J$2:$J$954,'Исходные данные'!$D$2:$D$954,CD$1,'Исходные данные'!$F$2:$F$954,$A10)</f>
        <v>0</v>
      </c>
      <c r="CF10" s="4" t="n">
        <f aca="false">SUMIFS('Исходные данные'!$I$2:$I$954,'Исходные данные'!$D$2:$D$954,CF$1,'Исходные данные'!$F$2:$F$954,$A10)</f>
        <v>0</v>
      </c>
      <c r="CG10" s="4" t="n">
        <f aca="false">SUMIFS('Исходные данные'!$J$2:$J$954,'Исходные данные'!$D$2:$D$954,CF$1,'Исходные данные'!$F$2:$F$954,$A10)</f>
        <v>0</v>
      </c>
      <c r="CH10" s="4" t="n">
        <f aca="false">SUMIFS('Исходные данные'!$I$2:$I$954,'Исходные данные'!$D$2:$D$954,CH$1,'Исходные данные'!$F$2:$F$954,$A10)</f>
        <v>0</v>
      </c>
      <c r="CI10" s="4" t="n">
        <f aca="false">SUMIFS('Исходные данные'!$J$2:$J$954,'Исходные данные'!$D$2:$D$954,CH$1,'Исходные данные'!$F$2:$F$954,$A10)</f>
        <v>0</v>
      </c>
    </row>
    <row r="11" customFormat="false" ht="15" hidden="false" customHeight="false" outlineLevel="0" collapsed="false">
      <c r="A11" s="3" t="s">
        <v>65</v>
      </c>
      <c r="B11" s="4" t="s">
        <v>66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SUMIFS($H11:$CI11,$H$2:$CI$2,"День")</f>
        <v>2</v>
      </c>
      <c r="G11" s="5" t="n">
        <f aca="false">SUMIFS($H11:$CI11,$H$2:$CI$2,"Ночь")</f>
        <v>0</v>
      </c>
      <c r="H11" s="4" t="n">
        <f aca="false">SUMIFS('Исходные данные'!$I$2:$I$954,'Исходные данные'!$D$2:$D$954,H$1,'Исходные данные'!$F$2:$F$954,$A11)</f>
        <v>0</v>
      </c>
      <c r="I11" s="4" t="n">
        <f aca="false">SUMIFS('Исходные данные'!$J$2:$J$954,'Исходные данные'!$D$2:$D$954,H$1,'Исходные данные'!$F$2:$F$954,$A11)</f>
        <v>0</v>
      </c>
      <c r="J11" s="4" t="n">
        <f aca="false">SUMIFS('Исходные данные'!$I$2:$I$954,'Исходные данные'!$D$2:$D$954,J$1,'Исходные данные'!$F$2:$F$954,$A11)</f>
        <v>0</v>
      </c>
      <c r="K11" s="4" t="n">
        <f aca="false">SUMIFS('Исходные данные'!$J$2:$J$954,'Исходные данные'!$D$2:$D$954,J$1,'Исходные данные'!$F$2:$F$954,$A11)</f>
        <v>0</v>
      </c>
      <c r="L11" s="4" t="n">
        <f aca="false">SUMIFS('Исходные данные'!$I$2:$I$954,'Исходные данные'!$D$2:$D$954,L$1,'Исходные данные'!$F$2:$F$954,$A11)</f>
        <v>0</v>
      </c>
      <c r="M11" s="4" t="n">
        <f aca="false">SUMIFS('Исходные данные'!$J$2:$J$954,'Исходные данные'!$D$2:$D$954,L$1,'Исходные данные'!$F$2:$F$954,$A11)</f>
        <v>0</v>
      </c>
      <c r="N11" s="4" t="n">
        <f aca="false">SUMIFS('Исходные данные'!$I$2:$I$954,'Исходные данные'!$D$2:$D$954,N$1,'Исходные данные'!$F$2:$F$954,$A11)</f>
        <v>0</v>
      </c>
      <c r="O11" s="4" t="n">
        <f aca="false">SUMIFS('Исходные данные'!$J$2:$J$954,'Исходные данные'!$D$2:$D$954,N$1,'Исходные данные'!$F$2:$F$954,$A11)</f>
        <v>0</v>
      </c>
      <c r="P11" s="4" t="n">
        <f aca="false">SUMIFS('Исходные данные'!$I$2:$I$954,'Исходные данные'!$D$2:$D$954,P$1,'Исходные данные'!$F$2:$F$954,$A11)</f>
        <v>0</v>
      </c>
      <c r="Q11" s="4" t="n">
        <f aca="false">SUMIFS('Исходные данные'!$J$2:$J$954,'Исходные данные'!$D$2:$D$954,P$1,'Исходные данные'!$F$2:$F$954,$A11)</f>
        <v>0</v>
      </c>
      <c r="R11" s="4" t="n">
        <f aca="false">SUMIFS('Исходные данные'!$I$2:$I$954,'Исходные данные'!$D$2:$D$954,R$1,'Исходные данные'!$F$2:$F$954,$A11)</f>
        <v>0</v>
      </c>
      <c r="S11" s="4" t="n">
        <f aca="false">SUMIFS('Исходные данные'!$J$2:$J$954,'Исходные данные'!$D$2:$D$954,R$1,'Исходные данные'!$F$2:$F$954,$A11)</f>
        <v>0</v>
      </c>
      <c r="T11" s="4" t="n">
        <f aca="false">SUMIFS('Исходные данные'!$I$2:$I$954,'Исходные данные'!$D$2:$D$954,T$1,'Исходные данные'!$F$2:$F$954,$A11)</f>
        <v>2</v>
      </c>
      <c r="U11" s="4" t="n">
        <f aca="false">SUMIFS('Исходные данные'!$J$2:$J$954,'Исходные данные'!$D$2:$D$954,T$1,'Исходные данные'!$F$2:$F$954,$A11)</f>
        <v>0</v>
      </c>
      <c r="V11" s="4" t="n">
        <f aca="false">SUMIFS('Исходные данные'!$I$2:$I$954,'Исходные данные'!$D$2:$D$954,V$1,'Исходные данные'!$F$2:$F$954,$A11)</f>
        <v>0</v>
      </c>
      <c r="W11" s="4" t="n">
        <f aca="false">SUMIFS('Исходные данные'!$J$2:$J$954,'Исходные данные'!$D$2:$D$954,V$1,'Исходные данные'!$F$2:$F$954,$A11)</f>
        <v>0</v>
      </c>
      <c r="X11" s="4" t="n">
        <f aca="false">SUMIFS('Исходные данные'!$I$2:$I$954,'Исходные данные'!$D$2:$D$954,X$1,'Исходные данные'!$F$2:$F$954,$A11)</f>
        <v>0</v>
      </c>
      <c r="Y11" s="4" t="n">
        <f aca="false">SUMIFS('Исходные данные'!$J$2:$J$954,'Исходные данные'!$D$2:$D$954,X$1,'Исходные данные'!$F$2:$F$954,$A11)</f>
        <v>0</v>
      </c>
      <c r="Z11" s="4" t="n">
        <f aca="false">SUMIFS('Исходные данные'!$I$2:$I$954,'Исходные данные'!$D$2:$D$954,Z$1,'Исходные данные'!$F$2:$F$954,$A11)</f>
        <v>0</v>
      </c>
      <c r="AA11" s="4" t="n">
        <f aca="false">SUMIFS('Исходные данные'!$J$2:$J$954,'Исходные данные'!$D$2:$D$954,Z$1,'Исходные данные'!$F$2:$F$954,$A11)</f>
        <v>0</v>
      </c>
      <c r="AB11" s="4" t="n">
        <f aca="false">SUMIFS('Исходные данные'!$I$2:$I$954,'Исходные данные'!$D$2:$D$954,AB$1,'Исходные данные'!$F$2:$F$954,$A11)</f>
        <v>0</v>
      </c>
      <c r="AC11" s="4" t="n">
        <f aca="false">SUMIFS('Исходные данные'!$J$2:$J$954,'Исходные данные'!$D$2:$D$954,AB$1,'Исходные данные'!$F$2:$F$954,$A11)</f>
        <v>0</v>
      </c>
      <c r="AD11" s="4" t="n">
        <f aca="false">SUMIFS('Исходные данные'!$I$2:$I$954,'Исходные данные'!$D$2:$D$954,AD$1,'Исходные данные'!$F$2:$F$954,$A11)</f>
        <v>0</v>
      </c>
      <c r="AE11" s="4" t="n">
        <f aca="false">SUMIFS('Исходные данные'!$J$2:$J$954,'Исходные данные'!$D$2:$D$954,AD$1,'Исходные данные'!$F$2:$F$954,$A11)</f>
        <v>0</v>
      </c>
      <c r="AF11" s="4" t="n">
        <f aca="false">SUMIFS('Исходные данные'!$I$2:$I$954,'Исходные данные'!$D$2:$D$954,AF$1,'Исходные данные'!$F$2:$F$954,$A11)</f>
        <v>0</v>
      </c>
      <c r="AG11" s="4" t="n">
        <f aca="false">SUMIFS('Исходные данные'!$J$2:$J$954,'Исходные данные'!$D$2:$D$954,AF$1,'Исходные данные'!$F$2:$F$954,$A11)</f>
        <v>0</v>
      </c>
      <c r="AH11" s="4" t="n">
        <f aca="false">SUMIFS('Исходные данные'!$I$2:$I$954,'Исходные данные'!$D$2:$D$954,AH$1,'Исходные данные'!$F$2:$F$954,$A11)</f>
        <v>0</v>
      </c>
      <c r="AI11" s="4" t="n">
        <f aca="false">SUMIFS('Исходные данные'!$J$2:$J$954,'Исходные данные'!$D$2:$D$954,AH$1,'Исходные данные'!$F$2:$F$954,$A11)</f>
        <v>0</v>
      </c>
      <c r="AJ11" s="4" t="n">
        <f aca="false">SUMIFS('Исходные данные'!$I$2:$I$954,'Исходные данные'!$D$2:$D$954,AJ$1,'Исходные данные'!$F$2:$F$954,$A11)</f>
        <v>0</v>
      </c>
      <c r="AK11" s="4" t="n">
        <f aca="false">SUMIFS('Исходные данные'!$J$2:$J$954,'Исходные данные'!$D$2:$D$954,AJ$1,'Исходные данные'!$F$2:$F$954,$A11)</f>
        <v>0</v>
      </c>
      <c r="AL11" s="4" t="n">
        <f aca="false">SUMIFS('Исходные данные'!$I$2:$I$954,'Исходные данные'!$D$2:$D$954,AL$1,'Исходные данные'!$F$2:$F$954,$A11)</f>
        <v>0</v>
      </c>
      <c r="AM11" s="4" t="n">
        <f aca="false">SUMIFS('Исходные данные'!$J$2:$J$954,'Исходные данные'!$D$2:$D$954,AL$1,'Исходные данные'!$F$2:$F$954,$A11)</f>
        <v>0</v>
      </c>
      <c r="AN11" s="4" t="n">
        <f aca="false">SUMIFS('Исходные данные'!$I$2:$I$954,'Исходные данные'!$D$2:$D$954,AN$1,'Исходные данные'!$F$2:$F$954,$A11)</f>
        <v>0</v>
      </c>
      <c r="AO11" s="4" t="n">
        <f aca="false">SUMIFS('Исходные данные'!$J$2:$J$954,'Исходные данные'!$D$2:$D$954,AN$1,'Исходные данные'!$F$2:$F$954,$A11)</f>
        <v>0</v>
      </c>
      <c r="AP11" s="4" t="n">
        <f aca="false">SUMIFS('Исходные данные'!$I$2:$I$954,'Исходные данные'!$D$2:$D$954,AP$1,'Исходные данные'!$F$2:$F$954,$A11)</f>
        <v>0</v>
      </c>
      <c r="AQ11" s="4" t="n">
        <f aca="false">SUMIFS('Исходные данные'!$J$2:$J$954,'Исходные данные'!$D$2:$D$954,AP$1,'Исходные данные'!$F$2:$F$954,$A11)</f>
        <v>0</v>
      </c>
      <c r="AR11" s="4" t="n">
        <f aca="false">SUMIFS('Исходные данные'!$I$2:$I$954,'Исходные данные'!$D$2:$D$954,AR$1,'Исходные данные'!$F$2:$F$954,$A11)</f>
        <v>0</v>
      </c>
      <c r="AS11" s="4" t="n">
        <f aca="false">SUMIFS('Исходные данные'!$J$2:$J$954,'Исходные данные'!$D$2:$D$954,AR$1,'Исходные данные'!$F$2:$F$954,$A11)</f>
        <v>0</v>
      </c>
      <c r="AT11" s="4" t="n">
        <f aca="false">SUMIFS('Исходные данные'!$I$2:$I$954,'Исходные данные'!$D$2:$D$954,AT$1,'Исходные данные'!$F$2:$F$954,$A11)</f>
        <v>0</v>
      </c>
      <c r="AU11" s="4" t="n">
        <f aca="false">SUMIFS('Исходные данные'!$J$2:$J$954,'Исходные данные'!$D$2:$D$954,AT$1,'Исходные данные'!$F$2:$F$954,$A11)</f>
        <v>0</v>
      </c>
      <c r="AV11" s="4" t="n">
        <f aca="false">SUMIFS('Исходные данные'!$I$2:$I$954,'Исходные данные'!$D$2:$D$954,AV$1,'Исходные данные'!$F$2:$F$954,$A11)</f>
        <v>0</v>
      </c>
      <c r="AW11" s="4" t="n">
        <f aca="false">SUMIFS('Исходные данные'!$J$2:$J$954,'Исходные данные'!$D$2:$D$954,AV$1,'Исходные данные'!$F$2:$F$954,$A11)</f>
        <v>0</v>
      </c>
      <c r="AX11" s="4" t="n">
        <f aca="false">SUMIFS('Исходные данные'!$I$2:$I$954,'Исходные данные'!$D$2:$D$954,AX$1,'Исходные данные'!$F$2:$F$954,$A11)</f>
        <v>0</v>
      </c>
      <c r="AY11" s="4" t="n">
        <f aca="false">SUMIFS('Исходные данные'!$J$2:$J$954,'Исходные данные'!$D$2:$D$954,AX$1,'Исходные данные'!$F$2:$F$954,$A11)</f>
        <v>0</v>
      </c>
      <c r="AZ11" s="4" t="n">
        <f aca="false">SUMIFS('Исходные данные'!$I$2:$I$954,'Исходные данные'!$D$2:$D$954,AZ$1,'Исходные данные'!$F$2:$F$954,$A11)</f>
        <v>0</v>
      </c>
      <c r="BA11" s="4" t="n">
        <f aca="false">SUMIFS('Исходные данные'!$J$2:$J$954,'Исходные данные'!$D$2:$D$954,AZ$1,'Исходные данные'!$F$2:$F$954,$A11)</f>
        <v>0</v>
      </c>
      <c r="BB11" s="4" t="n">
        <f aca="false">SUMIFS('Исходные данные'!$I$2:$I$954,'Исходные данные'!$D$2:$D$954,BB$1,'Исходные данные'!$F$2:$F$954,$A11)</f>
        <v>0</v>
      </c>
      <c r="BC11" s="4" t="n">
        <f aca="false">SUMIFS('Исходные данные'!$J$2:$J$954,'Исходные данные'!$D$2:$D$954,BB$1,'Исходные данные'!$F$2:$F$954,$A11)</f>
        <v>0</v>
      </c>
      <c r="BD11" s="4" t="n">
        <f aca="false">SUMIFS('Исходные данные'!$I$2:$I$954,'Исходные данные'!$D$2:$D$954,BD$1,'Исходные данные'!$F$2:$F$954,$A11)</f>
        <v>0</v>
      </c>
      <c r="BE11" s="4" t="n">
        <f aca="false">SUMIFS('Исходные данные'!$J$2:$J$954,'Исходные данные'!$D$2:$D$954,BD$1,'Исходные данные'!$F$2:$F$954,$A11)</f>
        <v>0</v>
      </c>
      <c r="BF11" s="4" t="n">
        <f aca="false">SUMIFS('Исходные данные'!$I$2:$I$954,'Исходные данные'!$D$2:$D$954,BF$1,'Исходные данные'!$F$2:$F$954,$A11)</f>
        <v>0</v>
      </c>
      <c r="BG11" s="4" t="n">
        <f aca="false">SUMIFS('Исходные данные'!$J$2:$J$954,'Исходные данные'!$D$2:$D$954,BF$1,'Исходные данные'!$F$2:$F$954,$A11)</f>
        <v>0</v>
      </c>
      <c r="BH11" s="4" t="n">
        <f aca="false">SUMIFS('Исходные данные'!$I$2:$I$954,'Исходные данные'!$D$2:$D$954,BH$1,'Исходные данные'!$F$2:$F$954,$A11)</f>
        <v>0</v>
      </c>
      <c r="BI11" s="4" t="n">
        <f aca="false">SUMIFS('Исходные данные'!$J$2:$J$954,'Исходные данные'!$D$2:$D$954,BH$1,'Исходные данные'!$F$2:$F$954,$A11)</f>
        <v>0</v>
      </c>
      <c r="BJ11" s="4" t="n">
        <f aca="false">SUMIFS('Исходные данные'!$I$2:$I$954,'Исходные данные'!$D$2:$D$954,BJ$1,'Исходные данные'!$F$2:$F$954,$A11)</f>
        <v>0</v>
      </c>
      <c r="BK11" s="4" t="n">
        <f aca="false">SUMIFS('Исходные данные'!$J$2:$J$954,'Исходные данные'!$D$2:$D$954,BJ$1,'Исходные данные'!$F$2:$F$954,$A11)</f>
        <v>0</v>
      </c>
      <c r="BL11" s="4" t="n">
        <f aca="false">SUMIFS('Исходные данные'!$I$2:$I$954,'Исходные данные'!$D$2:$D$954,BL$1,'Исходные данные'!$F$2:$F$954,$A11)</f>
        <v>0</v>
      </c>
      <c r="BM11" s="4" t="n">
        <f aca="false">SUMIFS('Исходные данные'!$J$2:$J$954,'Исходные данные'!$D$2:$D$954,BL$1,'Исходные данные'!$F$2:$F$954,$A11)</f>
        <v>0</v>
      </c>
      <c r="BN11" s="4" t="n">
        <f aca="false">SUMIFS('Исходные данные'!$I$2:$I$954,'Исходные данные'!$D$2:$D$954,BN$1,'Исходные данные'!$F$2:$F$954,$A11)</f>
        <v>0</v>
      </c>
      <c r="BO11" s="4" t="n">
        <f aca="false">SUMIFS('Исходные данные'!$J$2:$J$954,'Исходные данные'!$D$2:$D$954,BN$1,'Исходные данные'!$F$2:$F$954,$A11)</f>
        <v>0</v>
      </c>
      <c r="BP11" s="4" t="n">
        <f aca="false">SUMIFS('Исходные данные'!$I$2:$I$954,'Исходные данные'!$D$2:$D$954,BP$1,'Исходные данные'!$F$2:$F$954,$A11)</f>
        <v>0</v>
      </c>
      <c r="BQ11" s="4" t="n">
        <f aca="false">SUMIFS('Исходные данные'!$J$2:$J$954,'Исходные данные'!$D$2:$D$954,BP$1,'Исходные данные'!$F$2:$F$954,$A11)</f>
        <v>0</v>
      </c>
      <c r="BR11" s="4" t="n">
        <f aca="false">SUMIFS('Исходные данные'!$I$2:$I$954,'Исходные данные'!$D$2:$D$954,BR$1,'Исходные данные'!$F$2:$F$954,$A11)</f>
        <v>0</v>
      </c>
      <c r="BS11" s="4" t="n">
        <f aca="false">SUMIFS('Исходные данные'!$J$2:$J$954,'Исходные данные'!$D$2:$D$954,BR$1,'Исходные данные'!$F$2:$F$954,$A11)</f>
        <v>0</v>
      </c>
      <c r="BT11" s="4" t="n">
        <f aca="false">SUMIFS('Исходные данные'!$I$2:$I$954,'Исходные данные'!$D$2:$D$954,BT$1,'Исходные данные'!$F$2:$F$954,$A11)</f>
        <v>0</v>
      </c>
      <c r="BU11" s="4" t="n">
        <f aca="false">SUMIFS('Исходные данные'!$J$2:$J$954,'Исходные данные'!$D$2:$D$954,BT$1,'Исходные данные'!$F$2:$F$954,$A11)</f>
        <v>0</v>
      </c>
      <c r="BV11" s="4" t="n">
        <f aca="false">SUMIFS('Исходные данные'!$I$2:$I$954,'Исходные данные'!$D$2:$D$954,BV$1,'Исходные данные'!$F$2:$F$954,$A11)</f>
        <v>0</v>
      </c>
      <c r="BW11" s="4" t="n">
        <f aca="false">SUMIFS('Исходные данные'!$J$2:$J$954,'Исходные данные'!$D$2:$D$954,BV$1,'Исходные данные'!$F$2:$F$954,$A11)</f>
        <v>0</v>
      </c>
      <c r="BX11" s="4" t="n">
        <f aca="false">SUMIFS('Исходные данные'!$I$2:$I$954,'Исходные данные'!$D$2:$D$954,BX$1,'Исходные данные'!$F$2:$F$954,$A11)</f>
        <v>0</v>
      </c>
      <c r="BY11" s="4" t="n">
        <f aca="false">SUMIFS('Исходные данные'!$J$2:$J$954,'Исходные данные'!$D$2:$D$954,BX$1,'Исходные данные'!$F$2:$F$954,$A11)</f>
        <v>0</v>
      </c>
      <c r="BZ11" s="4" t="n">
        <f aca="false">SUMIFS('Исходные данные'!$I$2:$I$954,'Исходные данные'!$D$2:$D$954,BZ$1,'Исходные данные'!$F$2:$F$954,$A11)</f>
        <v>0</v>
      </c>
      <c r="CA11" s="4" t="n">
        <f aca="false">SUMIFS('Исходные данные'!$J$2:$J$954,'Исходные данные'!$D$2:$D$954,BZ$1,'Исходные данные'!$F$2:$F$954,$A11)</f>
        <v>0</v>
      </c>
      <c r="CB11" s="4" t="n">
        <f aca="false">SUMIFS('Исходные данные'!$I$2:$I$954,'Исходные данные'!$D$2:$D$954,CB$1,'Исходные данные'!$F$2:$F$954,$A11)</f>
        <v>0</v>
      </c>
      <c r="CC11" s="4" t="n">
        <f aca="false">SUMIFS('Исходные данные'!$J$2:$J$954,'Исходные данные'!$D$2:$D$954,CB$1,'Исходные данные'!$F$2:$F$954,$A11)</f>
        <v>0</v>
      </c>
      <c r="CD11" s="4" t="n">
        <f aca="false">SUMIFS('Исходные данные'!$I$2:$I$954,'Исходные данные'!$D$2:$D$954,CD$1,'Исходные данные'!$F$2:$F$954,$A11)</f>
        <v>0</v>
      </c>
      <c r="CE11" s="4" t="n">
        <f aca="false">SUMIFS('Исходные данные'!$J$2:$J$954,'Исходные данные'!$D$2:$D$954,CD$1,'Исходные данные'!$F$2:$F$954,$A11)</f>
        <v>0</v>
      </c>
      <c r="CF11" s="4" t="n">
        <f aca="false">SUMIFS('Исходные данные'!$I$2:$I$954,'Исходные данные'!$D$2:$D$954,CF$1,'Исходные данные'!$F$2:$F$954,$A11)</f>
        <v>0</v>
      </c>
      <c r="CG11" s="4" t="n">
        <f aca="false">SUMIFS('Исходные данные'!$J$2:$J$954,'Исходные данные'!$D$2:$D$954,CF$1,'Исходные данные'!$F$2:$F$954,$A11)</f>
        <v>0</v>
      </c>
      <c r="CH11" s="4" t="n">
        <f aca="false">SUMIFS('Исходные данные'!$I$2:$I$954,'Исходные данные'!$D$2:$D$954,CH$1,'Исходные данные'!$F$2:$F$954,$A11)</f>
        <v>0</v>
      </c>
      <c r="CI11" s="4" t="n">
        <f aca="false">SUMIFS('Исходные данные'!$J$2:$J$954,'Исходные данные'!$D$2:$D$954,CH$1,'Исходные данные'!$F$2:$F$954,$A11)</f>
        <v>0</v>
      </c>
    </row>
    <row r="12" customFormat="false" ht="15" hidden="false" customHeight="false" outlineLevel="0" collapsed="false">
      <c r="A12" s="8" t="s">
        <v>67</v>
      </c>
      <c r="B12" s="9" t="s">
        <v>68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SUMIFS($H12:$CI12,$H$2:$CI$2,"День")</f>
        <v>3</v>
      </c>
      <c r="G12" s="5" t="n">
        <f aca="false">SUMIFS($H12:$CI12,$H$2:$CI$2,"Ночь")</f>
        <v>0</v>
      </c>
      <c r="H12" s="9" t="n">
        <f aca="false">SUMIFS('Исходные данные'!$I$2:$I$954,'Исходные данные'!$D$2:$D$954,H$1,'Исходные данные'!$F$2:$F$954,$A12)</f>
        <v>0</v>
      </c>
      <c r="I12" s="9" t="n">
        <f aca="false">SUMIFS('Исходные данные'!$J$2:$J$954,'Исходные данные'!$D$2:$D$954,H$1,'Исходные данные'!$F$2:$F$954,$A12)</f>
        <v>0</v>
      </c>
      <c r="J12" s="9" t="n">
        <f aca="false">SUMIFS('Исходные данные'!$I$2:$I$954,'Исходные данные'!$D$2:$D$954,J$1,'Исходные данные'!$F$2:$F$954,$A12)</f>
        <v>0</v>
      </c>
      <c r="K12" s="9" t="n">
        <f aca="false">SUMIFS('Исходные данные'!$J$2:$J$954,'Исходные данные'!$D$2:$D$954,J$1,'Исходные данные'!$F$2:$F$954,$A12)</f>
        <v>0</v>
      </c>
      <c r="L12" s="9" t="n">
        <f aca="false">SUMIFS('Исходные данные'!$I$2:$I$954,'Исходные данные'!$D$2:$D$954,L$1,'Исходные данные'!$F$2:$F$954,$A12)</f>
        <v>1</v>
      </c>
      <c r="M12" s="9" t="n">
        <f aca="false">SUMIFS('Исходные данные'!$J$2:$J$954,'Исходные данные'!$D$2:$D$954,L$1,'Исходные данные'!$F$2:$F$954,$A12)</f>
        <v>0</v>
      </c>
      <c r="N12" s="9" t="n">
        <f aca="false">SUMIFS('Исходные данные'!$I$2:$I$954,'Исходные данные'!$D$2:$D$954,N$1,'Исходные данные'!$F$2:$F$954,$A12)</f>
        <v>0</v>
      </c>
      <c r="O12" s="9" t="n">
        <f aca="false">SUMIFS('Исходные данные'!$J$2:$J$954,'Исходные данные'!$D$2:$D$954,N$1,'Исходные данные'!$F$2:$F$954,$A12)</f>
        <v>0</v>
      </c>
      <c r="P12" s="9" t="n">
        <f aca="false">SUMIFS('Исходные данные'!$I$2:$I$954,'Исходные данные'!$D$2:$D$954,P$1,'Исходные данные'!$F$2:$F$954,$A12)</f>
        <v>0</v>
      </c>
      <c r="Q12" s="9" t="n">
        <f aca="false">SUMIFS('Исходные данные'!$J$2:$J$954,'Исходные данные'!$D$2:$D$954,P$1,'Исходные данные'!$F$2:$F$954,$A12)</f>
        <v>0</v>
      </c>
      <c r="R12" s="9" t="n">
        <f aca="false">SUMIFS('Исходные данные'!$I$2:$I$954,'Исходные данные'!$D$2:$D$954,R$1,'Исходные данные'!$F$2:$F$954,$A12)</f>
        <v>0</v>
      </c>
      <c r="S12" s="9" t="n">
        <f aca="false">SUMIFS('Исходные данные'!$J$2:$J$954,'Исходные данные'!$D$2:$D$954,R$1,'Исходные данные'!$F$2:$F$954,$A12)</f>
        <v>0</v>
      </c>
      <c r="T12" s="9" t="n">
        <f aca="false">SUMIFS('Исходные данные'!$I$2:$I$954,'Исходные данные'!$D$2:$D$954,T$1,'Исходные данные'!$F$2:$F$954,$A12)</f>
        <v>0</v>
      </c>
      <c r="U12" s="9" t="n">
        <f aca="false">SUMIFS('Исходные данные'!$J$2:$J$954,'Исходные данные'!$D$2:$D$954,T$1,'Исходные данные'!$F$2:$F$954,$A12)</f>
        <v>0</v>
      </c>
      <c r="V12" s="9" t="n">
        <f aca="false">SUMIFS('Исходные данные'!$I$2:$I$954,'Исходные данные'!$D$2:$D$954,V$1,'Исходные данные'!$F$2:$F$954,$A12)</f>
        <v>0</v>
      </c>
      <c r="W12" s="9" t="n">
        <f aca="false">SUMIFS('Исходные данные'!$J$2:$J$954,'Исходные данные'!$D$2:$D$954,V$1,'Исходные данные'!$F$2:$F$954,$A12)</f>
        <v>0</v>
      </c>
      <c r="X12" s="9" t="n">
        <f aca="false">SUMIFS('Исходные данные'!$I$2:$I$954,'Исходные данные'!$D$2:$D$954,X$1,'Исходные данные'!$F$2:$F$954,$A12)</f>
        <v>1</v>
      </c>
      <c r="Y12" s="9" t="n">
        <f aca="false">SUMIFS('Исходные данные'!$J$2:$J$954,'Исходные данные'!$D$2:$D$954,X$1,'Исходные данные'!$F$2:$F$954,$A12)</f>
        <v>0</v>
      </c>
      <c r="Z12" s="9" t="n">
        <f aca="false">SUMIFS('Исходные данные'!$I$2:$I$954,'Исходные данные'!$D$2:$D$954,Z$1,'Исходные данные'!$F$2:$F$954,$A12)</f>
        <v>0</v>
      </c>
      <c r="AA12" s="9" t="n">
        <f aca="false">SUMIFS('Исходные данные'!$J$2:$J$954,'Исходные данные'!$D$2:$D$954,Z$1,'Исходные данные'!$F$2:$F$954,$A12)</f>
        <v>0</v>
      </c>
      <c r="AB12" s="9" t="n">
        <f aca="false">SUMIFS('Исходные данные'!$I$2:$I$954,'Исходные данные'!$D$2:$D$954,AB$1,'Исходные данные'!$F$2:$F$954,$A12)</f>
        <v>0</v>
      </c>
      <c r="AC12" s="9" t="n">
        <f aca="false">SUMIFS('Исходные данные'!$J$2:$J$954,'Исходные данные'!$D$2:$D$954,AB$1,'Исходные данные'!$F$2:$F$954,$A12)</f>
        <v>0</v>
      </c>
      <c r="AD12" s="9" t="n">
        <f aca="false">SUMIFS('Исходные данные'!$I$2:$I$954,'Исходные данные'!$D$2:$D$954,AD$1,'Исходные данные'!$F$2:$F$954,$A12)</f>
        <v>0</v>
      </c>
      <c r="AE12" s="9" t="n">
        <f aca="false">SUMIFS('Исходные данные'!$J$2:$J$954,'Исходные данные'!$D$2:$D$954,AD$1,'Исходные данные'!$F$2:$F$954,$A12)</f>
        <v>0</v>
      </c>
      <c r="AF12" s="9" t="n">
        <f aca="false">SUMIFS('Исходные данные'!$I$2:$I$954,'Исходные данные'!$D$2:$D$954,AF$1,'Исходные данные'!$F$2:$F$954,$A12)</f>
        <v>1</v>
      </c>
      <c r="AG12" s="9" t="n">
        <f aca="false">SUMIFS('Исходные данные'!$J$2:$J$954,'Исходные данные'!$D$2:$D$954,AF$1,'Исходные данные'!$F$2:$F$954,$A12)</f>
        <v>0</v>
      </c>
      <c r="AH12" s="9" t="n">
        <f aca="false">SUMIFS('Исходные данные'!$I$2:$I$954,'Исходные данные'!$D$2:$D$954,AH$1,'Исходные данные'!$F$2:$F$954,$A12)</f>
        <v>0</v>
      </c>
      <c r="AI12" s="9" t="n">
        <f aca="false">SUMIFS('Исходные данные'!$J$2:$J$954,'Исходные данные'!$D$2:$D$954,AH$1,'Исходные данные'!$F$2:$F$954,$A12)</f>
        <v>0</v>
      </c>
      <c r="AJ12" s="9" t="n">
        <f aca="false">SUMIFS('Исходные данные'!$I$2:$I$954,'Исходные данные'!$D$2:$D$954,AJ$1,'Исходные данные'!$F$2:$F$954,$A12)</f>
        <v>0</v>
      </c>
      <c r="AK12" s="9" t="n">
        <f aca="false">SUMIFS('Исходные данные'!$J$2:$J$954,'Исходные данные'!$D$2:$D$954,AJ$1,'Исходные данные'!$F$2:$F$954,$A12)</f>
        <v>0</v>
      </c>
      <c r="AL12" s="9" t="n">
        <f aca="false">SUMIFS('Исходные данные'!$I$2:$I$954,'Исходные данные'!$D$2:$D$954,AL$1,'Исходные данные'!$F$2:$F$954,$A12)</f>
        <v>0</v>
      </c>
      <c r="AM12" s="9" t="n">
        <f aca="false">SUMIFS('Исходные данные'!$J$2:$J$954,'Исходные данные'!$D$2:$D$954,AL$1,'Исходные данные'!$F$2:$F$954,$A12)</f>
        <v>0</v>
      </c>
      <c r="AN12" s="9" t="n">
        <f aca="false">SUMIFS('Исходные данные'!$I$2:$I$954,'Исходные данные'!$D$2:$D$954,AN$1,'Исходные данные'!$F$2:$F$954,$A12)</f>
        <v>0</v>
      </c>
      <c r="AO12" s="9" t="n">
        <f aca="false">SUMIFS('Исходные данные'!$J$2:$J$954,'Исходные данные'!$D$2:$D$954,AN$1,'Исходные данные'!$F$2:$F$954,$A12)</f>
        <v>0</v>
      </c>
      <c r="AP12" s="9" t="n">
        <f aca="false">SUMIFS('Исходные данные'!$I$2:$I$954,'Исходные данные'!$D$2:$D$954,AP$1,'Исходные данные'!$F$2:$F$954,$A12)</f>
        <v>0</v>
      </c>
      <c r="AQ12" s="9" t="n">
        <f aca="false">SUMIFS('Исходные данные'!$J$2:$J$954,'Исходные данные'!$D$2:$D$954,AP$1,'Исходные данные'!$F$2:$F$954,$A12)</f>
        <v>0</v>
      </c>
      <c r="AR12" s="9" t="n">
        <f aca="false">SUMIFS('Исходные данные'!$I$2:$I$954,'Исходные данные'!$D$2:$D$954,AR$1,'Исходные данные'!$F$2:$F$954,$A12)</f>
        <v>0</v>
      </c>
      <c r="AS12" s="9" t="n">
        <f aca="false">SUMIFS('Исходные данные'!$J$2:$J$954,'Исходные данные'!$D$2:$D$954,AR$1,'Исходные данные'!$F$2:$F$954,$A12)</f>
        <v>0</v>
      </c>
      <c r="AT12" s="9" t="n">
        <f aca="false">SUMIFS('Исходные данные'!$I$2:$I$954,'Исходные данные'!$D$2:$D$954,AT$1,'Исходные данные'!$F$2:$F$954,$A12)</f>
        <v>0</v>
      </c>
      <c r="AU12" s="9" t="n">
        <f aca="false">SUMIFS('Исходные данные'!$J$2:$J$954,'Исходные данные'!$D$2:$D$954,AT$1,'Исходные данные'!$F$2:$F$954,$A12)</f>
        <v>0</v>
      </c>
      <c r="AV12" s="9" t="n">
        <f aca="false">SUMIFS('Исходные данные'!$I$2:$I$954,'Исходные данные'!$D$2:$D$954,AV$1,'Исходные данные'!$F$2:$F$954,$A12)</f>
        <v>0</v>
      </c>
      <c r="AW12" s="9" t="n">
        <f aca="false">SUMIFS('Исходные данные'!$J$2:$J$954,'Исходные данные'!$D$2:$D$954,AV$1,'Исходные данные'!$F$2:$F$954,$A12)</f>
        <v>0</v>
      </c>
      <c r="AX12" s="9" t="n">
        <f aca="false">SUMIFS('Исходные данные'!$I$2:$I$954,'Исходные данные'!$D$2:$D$954,AX$1,'Исходные данные'!$F$2:$F$954,$A12)</f>
        <v>0</v>
      </c>
      <c r="AY12" s="9" t="n">
        <f aca="false">SUMIFS('Исходные данные'!$J$2:$J$954,'Исходные данные'!$D$2:$D$954,AX$1,'Исходные данные'!$F$2:$F$954,$A12)</f>
        <v>0</v>
      </c>
      <c r="AZ12" s="9" t="n">
        <f aca="false">SUMIFS('Исходные данные'!$I$2:$I$954,'Исходные данные'!$D$2:$D$954,AZ$1,'Исходные данные'!$F$2:$F$954,$A12)</f>
        <v>0</v>
      </c>
      <c r="BA12" s="9" t="n">
        <f aca="false">SUMIFS('Исходные данные'!$J$2:$J$954,'Исходные данные'!$D$2:$D$954,AZ$1,'Исходные данные'!$F$2:$F$954,$A12)</f>
        <v>0</v>
      </c>
      <c r="BB12" s="9" t="n">
        <f aca="false">SUMIFS('Исходные данные'!$I$2:$I$954,'Исходные данные'!$D$2:$D$954,BB$1,'Исходные данные'!$F$2:$F$954,$A12)</f>
        <v>0</v>
      </c>
      <c r="BC12" s="9" t="n">
        <f aca="false">SUMIFS('Исходные данные'!$J$2:$J$954,'Исходные данные'!$D$2:$D$954,BB$1,'Исходные данные'!$F$2:$F$954,$A12)</f>
        <v>0</v>
      </c>
      <c r="BD12" s="9" t="n">
        <f aca="false">SUMIFS('Исходные данные'!$I$2:$I$954,'Исходные данные'!$D$2:$D$954,BD$1,'Исходные данные'!$F$2:$F$954,$A12)</f>
        <v>0</v>
      </c>
      <c r="BE12" s="9" t="n">
        <f aca="false">SUMIFS('Исходные данные'!$J$2:$J$954,'Исходные данные'!$D$2:$D$954,BD$1,'Исходные данные'!$F$2:$F$954,$A12)</f>
        <v>0</v>
      </c>
      <c r="BF12" s="9" t="n">
        <f aca="false">SUMIFS('Исходные данные'!$I$2:$I$954,'Исходные данные'!$D$2:$D$954,BF$1,'Исходные данные'!$F$2:$F$954,$A12)</f>
        <v>0</v>
      </c>
      <c r="BG12" s="9" t="n">
        <f aca="false">SUMIFS('Исходные данные'!$J$2:$J$954,'Исходные данные'!$D$2:$D$954,BF$1,'Исходные данные'!$F$2:$F$954,$A12)</f>
        <v>0</v>
      </c>
      <c r="BH12" s="9" t="n">
        <f aca="false">SUMIFS('Исходные данные'!$I$2:$I$954,'Исходные данные'!$D$2:$D$954,BH$1,'Исходные данные'!$F$2:$F$954,$A12)</f>
        <v>0</v>
      </c>
      <c r="BI12" s="9" t="n">
        <f aca="false">SUMIFS('Исходные данные'!$J$2:$J$954,'Исходные данные'!$D$2:$D$954,BH$1,'Исходные данные'!$F$2:$F$954,$A12)</f>
        <v>0</v>
      </c>
      <c r="BJ12" s="9" t="n">
        <f aca="false">SUMIFS('Исходные данные'!$I$2:$I$954,'Исходные данные'!$D$2:$D$954,BJ$1,'Исходные данные'!$F$2:$F$954,$A12)</f>
        <v>0</v>
      </c>
      <c r="BK12" s="9" t="n">
        <f aca="false">SUMIFS('Исходные данные'!$J$2:$J$954,'Исходные данные'!$D$2:$D$954,BJ$1,'Исходные данные'!$F$2:$F$954,$A12)</f>
        <v>0</v>
      </c>
      <c r="BL12" s="9" t="n">
        <f aca="false">SUMIFS('Исходные данные'!$I$2:$I$954,'Исходные данные'!$D$2:$D$954,BL$1,'Исходные данные'!$F$2:$F$954,$A12)</f>
        <v>0</v>
      </c>
      <c r="BM12" s="9" t="n">
        <f aca="false">SUMIFS('Исходные данные'!$J$2:$J$954,'Исходные данные'!$D$2:$D$954,BL$1,'Исходные данные'!$F$2:$F$954,$A12)</f>
        <v>0</v>
      </c>
      <c r="BN12" s="9" t="n">
        <f aca="false">SUMIFS('Исходные данные'!$I$2:$I$954,'Исходные данные'!$D$2:$D$954,BN$1,'Исходные данные'!$F$2:$F$954,$A12)</f>
        <v>0</v>
      </c>
      <c r="BO12" s="9" t="n">
        <f aca="false">SUMIFS('Исходные данные'!$J$2:$J$954,'Исходные данные'!$D$2:$D$954,BN$1,'Исходные данные'!$F$2:$F$954,$A12)</f>
        <v>0</v>
      </c>
      <c r="BP12" s="9" t="n">
        <f aca="false">SUMIFS('Исходные данные'!$I$2:$I$954,'Исходные данные'!$D$2:$D$954,BP$1,'Исходные данные'!$F$2:$F$954,$A12)</f>
        <v>0</v>
      </c>
      <c r="BQ12" s="9" t="n">
        <f aca="false">SUMIFS('Исходные данные'!$J$2:$J$954,'Исходные данные'!$D$2:$D$954,BP$1,'Исходные данные'!$F$2:$F$954,$A12)</f>
        <v>0</v>
      </c>
      <c r="BR12" s="9" t="n">
        <f aca="false">SUMIFS('Исходные данные'!$I$2:$I$954,'Исходные данные'!$D$2:$D$954,BR$1,'Исходные данные'!$F$2:$F$954,$A12)</f>
        <v>0</v>
      </c>
      <c r="BS12" s="9" t="n">
        <f aca="false">SUMIFS('Исходные данные'!$J$2:$J$954,'Исходные данные'!$D$2:$D$954,BR$1,'Исходные данные'!$F$2:$F$954,$A12)</f>
        <v>0</v>
      </c>
      <c r="BT12" s="9" t="n">
        <f aca="false">SUMIFS('Исходные данные'!$I$2:$I$954,'Исходные данные'!$D$2:$D$954,BT$1,'Исходные данные'!$F$2:$F$954,$A12)</f>
        <v>0</v>
      </c>
      <c r="BU12" s="9" t="n">
        <f aca="false">SUMIFS('Исходные данные'!$J$2:$J$954,'Исходные данные'!$D$2:$D$954,BT$1,'Исходные данные'!$F$2:$F$954,$A12)</f>
        <v>0</v>
      </c>
      <c r="BV12" s="9" t="n">
        <f aca="false">SUMIFS('Исходные данные'!$I$2:$I$954,'Исходные данные'!$D$2:$D$954,BV$1,'Исходные данные'!$F$2:$F$954,$A12)</f>
        <v>0</v>
      </c>
      <c r="BW12" s="9" t="n">
        <f aca="false">SUMIFS('Исходные данные'!$J$2:$J$954,'Исходные данные'!$D$2:$D$954,BV$1,'Исходные данные'!$F$2:$F$954,$A12)</f>
        <v>0</v>
      </c>
      <c r="BX12" s="9" t="n">
        <f aca="false">SUMIFS('Исходные данные'!$I$2:$I$954,'Исходные данные'!$D$2:$D$954,BX$1,'Исходные данные'!$F$2:$F$954,$A12)</f>
        <v>0</v>
      </c>
      <c r="BY12" s="9" t="n">
        <f aca="false">SUMIFS('Исходные данные'!$J$2:$J$954,'Исходные данные'!$D$2:$D$954,BX$1,'Исходные данные'!$F$2:$F$954,$A12)</f>
        <v>0</v>
      </c>
      <c r="BZ12" s="9" t="n">
        <f aca="false">SUMIFS('Исходные данные'!$I$2:$I$954,'Исходные данные'!$D$2:$D$954,BZ$1,'Исходные данные'!$F$2:$F$954,$A12)</f>
        <v>0</v>
      </c>
      <c r="CA12" s="9" t="n">
        <f aca="false">SUMIFS('Исходные данные'!$J$2:$J$954,'Исходные данные'!$D$2:$D$954,BZ$1,'Исходные данные'!$F$2:$F$954,$A12)</f>
        <v>0</v>
      </c>
      <c r="CB12" s="9" t="n">
        <f aca="false">SUMIFS('Исходные данные'!$I$2:$I$954,'Исходные данные'!$D$2:$D$954,CB$1,'Исходные данные'!$F$2:$F$954,$A12)</f>
        <v>0</v>
      </c>
      <c r="CC12" s="9" t="n">
        <f aca="false">SUMIFS('Исходные данные'!$J$2:$J$954,'Исходные данные'!$D$2:$D$954,CB$1,'Исходные данные'!$F$2:$F$954,$A12)</f>
        <v>0</v>
      </c>
      <c r="CD12" s="9" t="n">
        <f aca="false">SUMIFS('Исходные данные'!$I$2:$I$954,'Исходные данные'!$D$2:$D$954,CD$1,'Исходные данные'!$F$2:$F$954,$A12)</f>
        <v>0</v>
      </c>
      <c r="CE12" s="9" t="n">
        <f aca="false">SUMIFS('Исходные данные'!$J$2:$J$954,'Исходные данные'!$D$2:$D$954,CD$1,'Исходные данные'!$F$2:$F$954,$A12)</f>
        <v>0</v>
      </c>
      <c r="CF12" s="9" t="n">
        <f aca="false">SUMIFS('Исходные данные'!$I$2:$I$954,'Исходные данные'!$D$2:$D$954,CF$1,'Исходные данные'!$F$2:$F$954,$A12)</f>
        <v>0</v>
      </c>
      <c r="CG12" s="9" t="n">
        <f aca="false">SUMIFS('Исходные данные'!$J$2:$J$954,'Исходные данные'!$D$2:$D$954,CF$1,'Исходные данные'!$F$2:$F$954,$A12)</f>
        <v>0</v>
      </c>
      <c r="CH12" s="9" t="n">
        <f aca="false">SUMIFS('Исходные данные'!$I$2:$I$954,'Исходные данные'!$D$2:$D$954,CH$1,'Исходные данные'!$F$2:$F$954,$A12)</f>
        <v>0</v>
      </c>
      <c r="CI12" s="9" t="n">
        <f aca="false">SUMIFS('Исходные данные'!$J$2:$J$954,'Исходные данные'!$D$2:$D$954,CH$1,'Исходные данные'!$F$2:$F$954,$A12)</f>
        <v>0</v>
      </c>
    </row>
    <row r="13" customFormat="false" ht="15" hidden="false" customHeight="false" outlineLevel="0" collapsed="false">
      <c r="A13" s="8" t="s">
        <v>69</v>
      </c>
      <c r="B13" s="9" t="s">
        <v>70</v>
      </c>
      <c r="C13" s="5" t="n">
        <v>217</v>
      </c>
      <c r="D13" s="5" t="n">
        <f aca="false">F13+G13</f>
        <v>209</v>
      </c>
      <c r="E13" s="5" t="n">
        <f aca="false">D13-C13</f>
        <v>-8</v>
      </c>
      <c r="F13" s="5" t="n">
        <f aca="false">SUMIFS($H13:$CI13,$H$2:$CI$2,"День")</f>
        <v>158</v>
      </c>
      <c r="G13" s="5" t="n">
        <f aca="false">SUMIFS($H13:$CI13,$H$2:$CI$2,"Ночь")</f>
        <v>51</v>
      </c>
      <c r="H13" s="9" t="n">
        <f aca="false">SUMIFS('Исходные данные'!$I$2:$I$954,'Исходные данные'!$D$2:$D$954,H$1,'Исходные данные'!$F$2:$F$954,$A13)</f>
        <v>11</v>
      </c>
      <c r="I13" s="9" t="n">
        <f aca="false">SUMIFS('Исходные данные'!$J$2:$J$954,'Исходные данные'!$D$2:$D$954,H$1,'Исходные данные'!$F$2:$F$954,$A13)</f>
        <v>6</v>
      </c>
      <c r="J13" s="9" t="n">
        <f aca="false">SUMIFS('Исходные данные'!$I$2:$I$954,'Исходные данные'!$D$2:$D$954,J$1,'Исходные данные'!$F$2:$F$954,$A13)</f>
        <v>9</v>
      </c>
      <c r="K13" s="9" t="n">
        <f aca="false">SUMIFS('Исходные данные'!$J$2:$J$954,'Исходные данные'!$D$2:$D$954,J$1,'Исходные данные'!$F$2:$F$954,$A13)</f>
        <v>6</v>
      </c>
      <c r="L13" s="9" t="n">
        <f aca="false">SUMIFS('Исходные данные'!$I$2:$I$954,'Исходные данные'!$D$2:$D$954,L$1,'Исходные данные'!$F$2:$F$954,$A13)</f>
        <v>14</v>
      </c>
      <c r="M13" s="9" t="n">
        <f aca="false">SUMIFS('Исходные данные'!$J$2:$J$954,'Исходные данные'!$D$2:$D$954,L$1,'Исходные данные'!$F$2:$F$954,$A13)</f>
        <v>7</v>
      </c>
      <c r="N13" s="9" t="n">
        <f aca="false">SUMIFS('Исходные данные'!$I$2:$I$954,'Исходные данные'!$D$2:$D$954,N$1,'Исходные данные'!$F$2:$F$954,$A13)</f>
        <v>1</v>
      </c>
      <c r="O13" s="9" t="n">
        <f aca="false">SUMIFS('Исходные данные'!$J$2:$J$954,'Исходные данные'!$D$2:$D$954,N$1,'Исходные данные'!$F$2:$F$954,$A13)</f>
        <v>0</v>
      </c>
      <c r="P13" s="9" t="n">
        <f aca="false">SUMIFS('Исходные данные'!$I$2:$I$954,'Исходные данные'!$D$2:$D$954,P$1,'Исходные данные'!$F$2:$F$954,$A13)</f>
        <v>12</v>
      </c>
      <c r="Q13" s="9" t="n">
        <f aca="false">SUMIFS('Исходные данные'!$J$2:$J$954,'Исходные данные'!$D$2:$D$954,P$1,'Исходные данные'!$F$2:$F$954,$A13)</f>
        <v>1</v>
      </c>
      <c r="R13" s="9" t="n">
        <f aca="false">SUMIFS('Исходные данные'!$I$2:$I$954,'Исходные данные'!$D$2:$D$954,R$1,'Исходные данные'!$F$2:$F$954,$A13)</f>
        <v>15</v>
      </c>
      <c r="S13" s="9" t="n">
        <f aca="false">SUMIFS('Исходные данные'!$J$2:$J$954,'Исходные данные'!$D$2:$D$954,R$1,'Исходные данные'!$F$2:$F$954,$A13)</f>
        <v>4</v>
      </c>
      <c r="T13" s="9" t="n">
        <f aca="false">SUMIFS('Исходные данные'!$I$2:$I$954,'Исходные данные'!$D$2:$D$954,T$1,'Исходные данные'!$F$2:$F$954,$A13)</f>
        <v>6</v>
      </c>
      <c r="U13" s="9" t="n">
        <f aca="false">SUMIFS('Исходные данные'!$J$2:$J$954,'Исходные данные'!$D$2:$D$954,T$1,'Исходные данные'!$F$2:$F$954,$A13)</f>
        <v>0</v>
      </c>
      <c r="V13" s="9" t="n">
        <f aca="false">SUMIFS('Исходные данные'!$I$2:$I$954,'Исходные данные'!$D$2:$D$954,V$1,'Исходные данные'!$F$2:$F$954,$A13)</f>
        <v>4</v>
      </c>
      <c r="W13" s="9" t="n">
        <f aca="false">SUMIFS('Исходные данные'!$J$2:$J$954,'Исходные данные'!$D$2:$D$954,V$1,'Исходные данные'!$F$2:$F$954,$A13)</f>
        <v>0</v>
      </c>
      <c r="X13" s="9" t="n">
        <f aca="false">SUMIFS('Исходные данные'!$I$2:$I$954,'Исходные данные'!$D$2:$D$954,X$1,'Исходные данные'!$F$2:$F$954,$A13)</f>
        <v>3</v>
      </c>
      <c r="Y13" s="9" t="n">
        <f aca="false">SUMIFS('Исходные данные'!$J$2:$J$954,'Исходные данные'!$D$2:$D$954,X$1,'Исходные данные'!$F$2:$F$954,$A13)</f>
        <v>0</v>
      </c>
      <c r="Z13" s="9" t="n">
        <f aca="false">SUMIFS('Исходные данные'!$I$2:$I$954,'Исходные данные'!$D$2:$D$954,Z$1,'Исходные данные'!$F$2:$F$954,$A13)</f>
        <v>9</v>
      </c>
      <c r="AA13" s="9" t="n">
        <f aca="false">SUMIFS('Исходные данные'!$J$2:$J$954,'Исходные данные'!$D$2:$D$954,Z$1,'Исходные данные'!$F$2:$F$954,$A13)</f>
        <v>0</v>
      </c>
      <c r="AB13" s="9" t="n">
        <f aca="false">SUMIFS('Исходные данные'!$I$2:$I$954,'Исходные данные'!$D$2:$D$954,AB$1,'Исходные данные'!$F$2:$F$954,$A13)</f>
        <v>6</v>
      </c>
      <c r="AC13" s="9" t="n">
        <f aca="false">SUMIFS('Исходные данные'!$J$2:$J$954,'Исходные данные'!$D$2:$D$954,AB$1,'Исходные данные'!$F$2:$F$954,$A13)</f>
        <v>2</v>
      </c>
      <c r="AD13" s="9" t="n">
        <f aca="false">SUMIFS('Исходные данные'!$I$2:$I$954,'Исходные данные'!$D$2:$D$954,AD$1,'Исходные данные'!$F$2:$F$954,$A13)</f>
        <v>7</v>
      </c>
      <c r="AE13" s="9" t="n">
        <f aca="false">SUMIFS('Исходные данные'!$J$2:$J$954,'Исходные данные'!$D$2:$D$954,AD$1,'Исходные данные'!$F$2:$F$954,$A13)</f>
        <v>3</v>
      </c>
      <c r="AF13" s="9" t="n">
        <f aca="false">SUMIFS('Исходные данные'!$I$2:$I$954,'Исходные данные'!$D$2:$D$954,AF$1,'Исходные данные'!$F$2:$F$954,$A13)</f>
        <v>1</v>
      </c>
      <c r="AG13" s="9" t="n">
        <f aca="false">SUMIFS('Исходные данные'!$J$2:$J$954,'Исходные данные'!$D$2:$D$954,AF$1,'Исходные данные'!$F$2:$F$954,$A13)</f>
        <v>0</v>
      </c>
      <c r="AH13" s="9" t="n">
        <f aca="false">SUMIFS('Исходные данные'!$I$2:$I$954,'Исходные данные'!$D$2:$D$954,AH$1,'Исходные данные'!$F$2:$F$954,$A13)</f>
        <v>13</v>
      </c>
      <c r="AI13" s="9" t="n">
        <f aca="false">SUMIFS('Исходные данные'!$J$2:$J$954,'Исходные данные'!$D$2:$D$954,AH$1,'Исходные данные'!$F$2:$F$954,$A13)</f>
        <v>9</v>
      </c>
      <c r="AJ13" s="9" t="n">
        <f aca="false">SUMIFS('Исходные данные'!$I$2:$I$954,'Исходные данные'!$D$2:$D$954,AJ$1,'Исходные данные'!$F$2:$F$954,$A13)</f>
        <v>5</v>
      </c>
      <c r="AK13" s="9" t="n">
        <f aca="false">SUMIFS('Исходные данные'!$J$2:$J$954,'Исходные данные'!$D$2:$D$954,AJ$1,'Исходные данные'!$F$2:$F$954,$A13)</f>
        <v>3</v>
      </c>
      <c r="AL13" s="9" t="n">
        <f aca="false">SUMIFS('Исходные данные'!$I$2:$I$954,'Исходные данные'!$D$2:$D$954,AL$1,'Исходные данные'!$F$2:$F$954,$A13)</f>
        <v>0</v>
      </c>
      <c r="AM13" s="9" t="n">
        <f aca="false">SUMIFS('Исходные данные'!$J$2:$J$954,'Исходные данные'!$D$2:$D$954,AL$1,'Исходные данные'!$F$2:$F$954,$A13)</f>
        <v>1</v>
      </c>
      <c r="AN13" s="9" t="n">
        <f aca="false">SUMIFS('Исходные данные'!$I$2:$I$954,'Исходные данные'!$D$2:$D$954,AN$1,'Исходные данные'!$F$2:$F$954,$A13)</f>
        <v>5</v>
      </c>
      <c r="AO13" s="9" t="n">
        <f aca="false">SUMIFS('Исходные данные'!$J$2:$J$954,'Исходные данные'!$D$2:$D$954,AN$1,'Исходные данные'!$F$2:$F$954,$A13)</f>
        <v>2</v>
      </c>
      <c r="AP13" s="9" t="n">
        <f aca="false">SUMIFS('Исходные данные'!$I$2:$I$954,'Исходные данные'!$D$2:$D$954,AP$1,'Исходные данные'!$F$2:$F$954,$A13)</f>
        <v>6</v>
      </c>
      <c r="AQ13" s="9" t="n">
        <f aca="false">SUMIFS('Исходные данные'!$J$2:$J$954,'Исходные данные'!$D$2:$D$954,AP$1,'Исходные данные'!$F$2:$F$954,$A13)</f>
        <v>4</v>
      </c>
      <c r="AR13" s="9" t="n">
        <f aca="false">SUMIFS('Исходные данные'!$I$2:$I$954,'Исходные данные'!$D$2:$D$954,AR$1,'Исходные данные'!$F$2:$F$954,$A13)</f>
        <v>7</v>
      </c>
      <c r="AS13" s="9" t="n">
        <f aca="false">SUMIFS('Исходные данные'!$J$2:$J$954,'Исходные данные'!$D$2:$D$954,AR$1,'Исходные данные'!$F$2:$F$954,$A13)</f>
        <v>1</v>
      </c>
      <c r="AT13" s="9" t="n">
        <f aca="false">SUMIFS('Исходные данные'!$I$2:$I$954,'Исходные данные'!$D$2:$D$954,AT$1,'Исходные данные'!$F$2:$F$954,$A13)</f>
        <v>2</v>
      </c>
      <c r="AU13" s="9" t="n">
        <f aca="false">SUMIFS('Исходные данные'!$J$2:$J$954,'Исходные данные'!$D$2:$D$954,AT$1,'Исходные данные'!$F$2:$F$954,$A13)</f>
        <v>0</v>
      </c>
      <c r="AV13" s="9" t="n">
        <f aca="false">SUMIFS('Исходные данные'!$I$2:$I$954,'Исходные данные'!$D$2:$D$954,AV$1,'Исходные данные'!$F$2:$F$954,$A13)</f>
        <v>1</v>
      </c>
      <c r="AW13" s="9" t="n">
        <f aca="false">SUMIFS('Исходные данные'!$J$2:$J$954,'Исходные данные'!$D$2:$D$954,AV$1,'Исходные данные'!$F$2:$F$954,$A13)</f>
        <v>0</v>
      </c>
      <c r="AX13" s="9" t="n">
        <f aca="false">SUMIFS('Исходные данные'!$I$2:$I$954,'Исходные данные'!$D$2:$D$954,AX$1,'Исходные данные'!$F$2:$F$954,$A13)</f>
        <v>3</v>
      </c>
      <c r="AY13" s="9" t="n">
        <f aca="false">SUMIFS('Исходные данные'!$J$2:$J$954,'Исходные данные'!$D$2:$D$954,AX$1,'Исходные данные'!$F$2:$F$954,$A13)</f>
        <v>0</v>
      </c>
      <c r="AZ13" s="9" t="n">
        <f aca="false">SUMIFS('Исходные данные'!$I$2:$I$954,'Исходные данные'!$D$2:$D$954,AZ$1,'Исходные данные'!$F$2:$F$954,$A13)</f>
        <v>5</v>
      </c>
      <c r="BA13" s="9" t="n">
        <f aca="false">SUMIFS('Исходные данные'!$J$2:$J$954,'Исходные данные'!$D$2:$D$954,AZ$1,'Исходные данные'!$F$2:$F$954,$A13)</f>
        <v>0</v>
      </c>
      <c r="BB13" s="9" t="n">
        <f aca="false">SUMIFS('Исходные данные'!$I$2:$I$954,'Исходные данные'!$D$2:$D$954,BB$1,'Исходные данные'!$F$2:$F$954,$A13)</f>
        <v>5</v>
      </c>
      <c r="BC13" s="9" t="n">
        <f aca="false">SUMIFS('Исходные данные'!$J$2:$J$954,'Исходные данные'!$D$2:$D$954,BB$1,'Исходные данные'!$F$2:$F$954,$A13)</f>
        <v>1</v>
      </c>
      <c r="BD13" s="9" t="n">
        <f aca="false">SUMIFS('Исходные данные'!$I$2:$I$954,'Исходные данные'!$D$2:$D$954,BD$1,'Исходные данные'!$F$2:$F$954,$A13)</f>
        <v>0</v>
      </c>
      <c r="BE13" s="9" t="n">
        <f aca="false">SUMIFS('Исходные данные'!$J$2:$J$954,'Исходные данные'!$D$2:$D$954,BD$1,'Исходные данные'!$F$2:$F$954,$A13)</f>
        <v>0</v>
      </c>
      <c r="BF13" s="9" t="n">
        <f aca="false">SUMIFS('Исходные данные'!$I$2:$I$954,'Исходные данные'!$D$2:$D$954,BF$1,'Исходные данные'!$F$2:$F$954,$A13)</f>
        <v>2</v>
      </c>
      <c r="BG13" s="9" t="n">
        <f aca="false">SUMIFS('Исходные данные'!$J$2:$J$954,'Исходные данные'!$D$2:$D$954,BF$1,'Исходные данные'!$F$2:$F$954,$A13)</f>
        <v>0</v>
      </c>
      <c r="BH13" s="9" t="n">
        <f aca="false">SUMIFS('Исходные данные'!$I$2:$I$954,'Исходные данные'!$D$2:$D$954,BH$1,'Исходные данные'!$F$2:$F$954,$A13)</f>
        <v>0</v>
      </c>
      <c r="BI13" s="9" t="n">
        <f aca="false">SUMIFS('Исходные данные'!$J$2:$J$954,'Исходные данные'!$D$2:$D$954,BH$1,'Исходные данные'!$F$2:$F$954,$A13)</f>
        <v>0</v>
      </c>
      <c r="BJ13" s="9" t="n">
        <f aca="false">SUMIFS('Исходные данные'!$I$2:$I$954,'Исходные данные'!$D$2:$D$954,BJ$1,'Исходные данные'!$F$2:$F$954,$A13)</f>
        <v>2</v>
      </c>
      <c r="BK13" s="9" t="n">
        <f aca="false">SUMIFS('Исходные данные'!$J$2:$J$954,'Исходные данные'!$D$2:$D$954,BJ$1,'Исходные данные'!$F$2:$F$954,$A13)</f>
        <v>0</v>
      </c>
      <c r="BL13" s="9" t="n">
        <f aca="false">SUMIFS('Исходные данные'!$I$2:$I$954,'Исходные данные'!$D$2:$D$954,BL$1,'Исходные данные'!$F$2:$F$954,$A13)</f>
        <v>0</v>
      </c>
      <c r="BM13" s="9" t="n">
        <f aca="false">SUMIFS('Исходные данные'!$J$2:$J$954,'Исходные данные'!$D$2:$D$954,BL$1,'Исходные данные'!$F$2:$F$954,$A13)</f>
        <v>0</v>
      </c>
      <c r="BN13" s="9" t="n">
        <f aca="false">SUMIFS('Исходные данные'!$I$2:$I$954,'Исходные данные'!$D$2:$D$954,BN$1,'Исходные данные'!$F$2:$F$954,$A13)</f>
        <v>0</v>
      </c>
      <c r="BO13" s="9" t="n">
        <f aca="false">SUMIFS('Исходные данные'!$J$2:$J$954,'Исходные данные'!$D$2:$D$954,BN$1,'Исходные данные'!$F$2:$F$954,$A13)</f>
        <v>0</v>
      </c>
      <c r="BP13" s="9" t="n">
        <f aca="false">SUMIFS('Исходные данные'!$I$2:$I$954,'Исходные данные'!$D$2:$D$954,BP$1,'Исходные данные'!$F$2:$F$954,$A13)</f>
        <v>0</v>
      </c>
      <c r="BQ13" s="9" t="n">
        <f aca="false">SUMIFS('Исходные данные'!$J$2:$J$954,'Исходные данные'!$D$2:$D$954,BP$1,'Исходные данные'!$F$2:$F$954,$A13)</f>
        <v>0</v>
      </c>
      <c r="BR13" s="9" t="n">
        <f aca="false">SUMIFS('Исходные данные'!$I$2:$I$954,'Исходные данные'!$D$2:$D$954,BR$1,'Исходные данные'!$F$2:$F$954,$A13)</f>
        <v>1</v>
      </c>
      <c r="BS13" s="9" t="n">
        <f aca="false">SUMIFS('Исходные данные'!$J$2:$J$954,'Исходные данные'!$D$2:$D$954,BR$1,'Исходные данные'!$F$2:$F$954,$A13)</f>
        <v>0</v>
      </c>
      <c r="BT13" s="9" t="n">
        <f aca="false">SUMIFS('Исходные данные'!$I$2:$I$954,'Исходные данные'!$D$2:$D$954,BT$1,'Исходные данные'!$F$2:$F$954,$A13)</f>
        <v>1</v>
      </c>
      <c r="BU13" s="9" t="n">
        <f aca="false">SUMIFS('Исходные данные'!$J$2:$J$954,'Исходные данные'!$D$2:$D$954,BT$1,'Исходные данные'!$F$2:$F$954,$A13)</f>
        <v>0</v>
      </c>
      <c r="BV13" s="9" t="n">
        <f aca="false">SUMIFS('Исходные данные'!$I$2:$I$954,'Исходные данные'!$D$2:$D$954,BV$1,'Исходные данные'!$F$2:$F$954,$A13)</f>
        <v>0</v>
      </c>
      <c r="BW13" s="9" t="n">
        <f aca="false">SUMIFS('Исходные данные'!$J$2:$J$954,'Исходные данные'!$D$2:$D$954,BV$1,'Исходные данные'!$F$2:$F$954,$A13)</f>
        <v>0</v>
      </c>
      <c r="BX13" s="9" t="n">
        <f aca="false">SUMIFS('Исходные данные'!$I$2:$I$954,'Исходные данные'!$D$2:$D$954,BX$1,'Исходные данные'!$F$2:$F$954,$A13)</f>
        <v>0</v>
      </c>
      <c r="BY13" s="9" t="n">
        <f aca="false">SUMIFS('Исходные данные'!$J$2:$J$954,'Исходные данные'!$D$2:$D$954,BX$1,'Исходные данные'!$F$2:$F$954,$A13)</f>
        <v>0</v>
      </c>
      <c r="BZ13" s="9" t="n">
        <f aca="false">SUMIFS('Исходные данные'!$I$2:$I$954,'Исходные данные'!$D$2:$D$954,BZ$1,'Исходные данные'!$F$2:$F$954,$A13)</f>
        <v>1</v>
      </c>
      <c r="CA13" s="9" t="n">
        <f aca="false">SUMIFS('Исходные данные'!$J$2:$J$954,'Исходные данные'!$D$2:$D$954,BZ$1,'Исходные данные'!$F$2:$F$954,$A13)</f>
        <v>1</v>
      </c>
      <c r="CB13" s="9" t="n">
        <f aca="false">SUMIFS('Исходные данные'!$I$2:$I$954,'Исходные данные'!$D$2:$D$954,CB$1,'Исходные данные'!$F$2:$F$954,$A13)</f>
        <v>0</v>
      </c>
      <c r="CC13" s="9" t="n">
        <f aca="false">SUMIFS('Исходные данные'!$J$2:$J$954,'Исходные данные'!$D$2:$D$954,CB$1,'Исходные данные'!$F$2:$F$954,$A13)</f>
        <v>0</v>
      </c>
      <c r="CD13" s="9" t="n">
        <f aca="false">SUMIFS('Исходные данные'!$I$2:$I$954,'Исходные данные'!$D$2:$D$954,CD$1,'Исходные данные'!$F$2:$F$954,$A13)</f>
        <v>0</v>
      </c>
      <c r="CE13" s="9" t="n">
        <f aca="false">SUMIFS('Исходные данные'!$J$2:$J$954,'Исходные данные'!$D$2:$D$954,CD$1,'Исходные данные'!$F$2:$F$954,$A13)</f>
        <v>0</v>
      </c>
      <c r="CF13" s="9" t="n">
        <f aca="false">SUMIFS('Исходные данные'!$I$2:$I$954,'Исходные данные'!$D$2:$D$954,CF$1,'Исходные данные'!$F$2:$F$954,$A13)</f>
        <v>0</v>
      </c>
      <c r="CG13" s="9" t="n">
        <f aca="false">SUMIFS('Исходные данные'!$J$2:$J$954,'Исходные данные'!$D$2:$D$954,CF$1,'Исходные данные'!$F$2:$F$954,$A13)</f>
        <v>0</v>
      </c>
      <c r="CH13" s="9" t="n">
        <f aca="false">SUMIFS('Исходные данные'!$I$2:$I$954,'Исходные данные'!$D$2:$D$954,CH$1,'Исходные данные'!$F$2:$F$954,$A13)</f>
        <v>1</v>
      </c>
      <c r="CI13" s="9" t="n">
        <f aca="false">SUMIFS('Исходные данные'!$J$2:$J$954,'Исходные данные'!$D$2:$D$954,CH$1,'Исходные данные'!$F$2:$F$954,$A13)</f>
        <v>0</v>
      </c>
    </row>
    <row r="14" customFormat="false" ht="15" hidden="false" customHeight="false" outlineLevel="0" collapsed="false">
      <c r="A14" s="8" t="s">
        <v>71</v>
      </c>
      <c r="B14" s="9" t="s">
        <v>72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SUMIFS($H14:$CI14,$H$2:$CI$2,"День")</f>
        <v>62</v>
      </c>
      <c r="G14" s="5" t="n">
        <f aca="false">SUMIFS($H14:$CI14,$H$2:$CI$2,"Ночь")</f>
        <v>4</v>
      </c>
      <c r="H14" s="9" t="n">
        <f aca="false">SUMIFS('Исходные данные'!$I$2:$I$954,'Исходные данные'!$D$2:$D$954,H$1,'Исходные данные'!$F$2:$F$954,$A14)</f>
        <v>10</v>
      </c>
      <c r="I14" s="9" t="n">
        <f aca="false">SUMIFS('Исходные данные'!$J$2:$J$954,'Исходные данные'!$D$2:$D$954,H$1,'Исходные данные'!$F$2:$F$954,$A14)</f>
        <v>1</v>
      </c>
      <c r="J14" s="9" t="n">
        <f aca="false">SUMIFS('Исходные данные'!$I$2:$I$954,'Исходные данные'!$D$2:$D$954,J$1,'Исходные данные'!$F$2:$F$954,$A14)</f>
        <v>8</v>
      </c>
      <c r="K14" s="9" t="n">
        <f aca="false">SUMIFS('Исходные данные'!$J$2:$J$954,'Исходные данные'!$D$2:$D$954,J$1,'Исходные данные'!$F$2:$F$954,$A14)</f>
        <v>0</v>
      </c>
      <c r="L14" s="9" t="n">
        <f aca="false">SUMIFS('Исходные данные'!$I$2:$I$954,'Исходные данные'!$D$2:$D$954,L$1,'Исходные данные'!$F$2:$F$954,$A14)</f>
        <v>9</v>
      </c>
      <c r="M14" s="9" t="n">
        <f aca="false">SUMIFS('Исходные данные'!$J$2:$J$954,'Исходные данные'!$D$2:$D$954,L$1,'Исходные данные'!$F$2:$F$954,$A14)</f>
        <v>0</v>
      </c>
      <c r="N14" s="9" t="n">
        <f aca="false">SUMIFS('Исходные данные'!$I$2:$I$954,'Исходные данные'!$D$2:$D$954,N$1,'Исходные данные'!$F$2:$F$954,$A14)</f>
        <v>0</v>
      </c>
      <c r="O14" s="9" t="n">
        <f aca="false">SUMIFS('Исходные данные'!$J$2:$J$954,'Исходные данные'!$D$2:$D$954,N$1,'Исходные данные'!$F$2:$F$954,$A14)</f>
        <v>0</v>
      </c>
      <c r="P14" s="9" t="n">
        <f aca="false">SUMIFS('Исходные данные'!$I$2:$I$954,'Исходные данные'!$D$2:$D$954,P$1,'Исходные данные'!$F$2:$F$954,$A14)</f>
        <v>1</v>
      </c>
      <c r="Q14" s="9" t="n">
        <f aca="false">SUMIFS('Исходные данные'!$J$2:$J$954,'Исходные данные'!$D$2:$D$954,P$1,'Исходные данные'!$F$2:$F$954,$A14)</f>
        <v>0</v>
      </c>
      <c r="R14" s="9" t="n">
        <f aca="false">SUMIFS('Исходные данные'!$I$2:$I$954,'Исходные данные'!$D$2:$D$954,R$1,'Исходные данные'!$F$2:$F$954,$A14)</f>
        <v>3</v>
      </c>
      <c r="S14" s="9" t="n">
        <f aca="false">SUMIFS('Исходные данные'!$J$2:$J$954,'Исходные данные'!$D$2:$D$954,R$1,'Исходные данные'!$F$2:$F$954,$A14)</f>
        <v>0</v>
      </c>
      <c r="T14" s="9" t="n">
        <f aca="false">SUMIFS('Исходные данные'!$I$2:$I$954,'Исходные данные'!$D$2:$D$954,T$1,'Исходные данные'!$F$2:$F$954,$A14)</f>
        <v>1</v>
      </c>
      <c r="U14" s="9" t="n">
        <f aca="false">SUMIFS('Исходные данные'!$J$2:$J$954,'Исходные данные'!$D$2:$D$954,T$1,'Исходные данные'!$F$2:$F$954,$A14)</f>
        <v>0</v>
      </c>
      <c r="V14" s="9" t="n">
        <f aca="false">SUMIFS('Исходные данные'!$I$2:$I$954,'Исходные данные'!$D$2:$D$954,V$1,'Исходные данные'!$F$2:$F$954,$A14)</f>
        <v>2</v>
      </c>
      <c r="W14" s="9" t="n">
        <f aca="false">SUMIFS('Исходные данные'!$J$2:$J$954,'Исходные данные'!$D$2:$D$954,V$1,'Исходные данные'!$F$2:$F$954,$A14)</f>
        <v>0</v>
      </c>
      <c r="X14" s="9" t="n">
        <f aca="false">SUMIFS('Исходные данные'!$I$2:$I$954,'Исходные данные'!$D$2:$D$954,X$1,'Исходные данные'!$F$2:$F$954,$A14)</f>
        <v>0</v>
      </c>
      <c r="Y14" s="9" t="n">
        <f aca="false">SUMIFS('Исходные данные'!$J$2:$J$954,'Исходные данные'!$D$2:$D$954,X$1,'Исходные данные'!$F$2:$F$954,$A14)</f>
        <v>0</v>
      </c>
      <c r="Z14" s="9" t="n">
        <f aca="false">SUMIFS('Исходные данные'!$I$2:$I$954,'Исходные данные'!$D$2:$D$954,Z$1,'Исходные данные'!$F$2:$F$954,$A14)</f>
        <v>0</v>
      </c>
      <c r="AA14" s="9" t="n">
        <f aca="false">SUMIFS('Исходные данные'!$J$2:$J$954,'Исходные данные'!$D$2:$D$954,Z$1,'Исходные данные'!$F$2:$F$954,$A14)</f>
        <v>0</v>
      </c>
      <c r="AB14" s="9" t="n">
        <f aca="false">SUMIFS('Исходные данные'!$I$2:$I$954,'Исходные данные'!$D$2:$D$954,AB$1,'Исходные данные'!$F$2:$F$954,$A14)</f>
        <v>1</v>
      </c>
      <c r="AC14" s="9" t="n">
        <f aca="false">SUMIFS('Исходные данные'!$J$2:$J$954,'Исходные данные'!$D$2:$D$954,AB$1,'Исходные данные'!$F$2:$F$954,$A14)</f>
        <v>0</v>
      </c>
      <c r="AD14" s="9" t="n">
        <f aca="false">SUMIFS('Исходные данные'!$I$2:$I$954,'Исходные данные'!$D$2:$D$954,AD$1,'Исходные данные'!$F$2:$F$954,$A14)</f>
        <v>0</v>
      </c>
      <c r="AE14" s="9" t="n">
        <f aca="false">SUMIFS('Исходные данные'!$J$2:$J$954,'Исходные данные'!$D$2:$D$954,AD$1,'Исходные данные'!$F$2:$F$954,$A14)</f>
        <v>0</v>
      </c>
      <c r="AF14" s="9" t="n">
        <f aca="false">SUMIFS('Исходные данные'!$I$2:$I$954,'Исходные данные'!$D$2:$D$954,AF$1,'Исходные данные'!$F$2:$F$954,$A14)</f>
        <v>1</v>
      </c>
      <c r="AG14" s="9" t="n">
        <f aca="false">SUMIFS('Исходные данные'!$J$2:$J$954,'Исходные данные'!$D$2:$D$954,AF$1,'Исходные данные'!$F$2:$F$954,$A14)</f>
        <v>0</v>
      </c>
      <c r="AH14" s="9" t="n">
        <f aca="false">SUMIFS('Исходные данные'!$I$2:$I$954,'Исходные данные'!$D$2:$D$954,AH$1,'Исходные данные'!$F$2:$F$954,$A14)</f>
        <v>0</v>
      </c>
      <c r="AI14" s="9" t="n">
        <f aca="false">SUMIFS('Исходные данные'!$J$2:$J$954,'Исходные данные'!$D$2:$D$954,AH$1,'Исходные данные'!$F$2:$F$954,$A14)</f>
        <v>0</v>
      </c>
      <c r="AJ14" s="9" t="n">
        <f aca="false">SUMIFS('Исходные данные'!$I$2:$I$954,'Исходные данные'!$D$2:$D$954,AJ$1,'Исходные данные'!$F$2:$F$954,$A14)</f>
        <v>0</v>
      </c>
      <c r="AK14" s="9" t="n">
        <f aca="false">SUMIFS('Исходные данные'!$J$2:$J$954,'Исходные данные'!$D$2:$D$954,AJ$1,'Исходные данные'!$F$2:$F$954,$A14)</f>
        <v>0</v>
      </c>
      <c r="AL14" s="9" t="n">
        <f aca="false">SUMIFS('Исходные данные'!$I$2:$I$954,'Исходные данные'!$D$2:$D$954,AL$1,'Исходные данные'!$F$2:$F$954,$A14)</f>
        <v>12</v>
      </c>
      <c r="AM14" s="9" t="n">
        <f aca="false">SUMIFS('Исходные данные'!$J$2:$J$954,'Исходные данные'!$D$2:$D$954,AL$1,'Исходные данные'!$F$2:$F$954,$A14)</f>
        <v>1</v>
      </c>
      <c r="AN14" s="9" t="n">
        <f aca="false">SUMIFS('Исходные данные'!$I$2:$I$954,'Исходные данные'!$D$2:$D$954,AN$1,'Исходные данные'!$F$2:$F$954,$A14)</f>
        <v>0</v>
      </c>
      <c r="AO14" s="9" t="n">
        <f aca="false">SUMIFS('Исходные данные'!$J$2:$J$954,'Исходные данные'!$D$2:$D$954,AN$1,'Исходные данные'!$F$2:$F$954,$A14)</f>
        <v>0</v>
      </c>
      <c r="AP14" s="9" t="n">
        <f aca="false">SUMIFS('Исходные данные'!$I$2:$I$954,'Исходные данные'!$D$2:$D$954,AP$1,'Исходные данные'!$F$2:$F$954,$A14)</f>
        <v>0</v>
      </c>
      <c r="AQ14" s="9" t="n">
        <f aca="false">SUMIFS('Исходные данные'!$J$2:$J$954,'Исходные данные'!$D$2:$D$954,AP$1,'Исходные данные'!$F$2:$F$954,$A14)</f>
        <v>0</v>
      </c>
      <c r="AR14" s="9" t="n">
        <f aca="false">SUMIFS('Исходные данные'!$I$2:$I$954,'Исходные данные'!$D$2:$D$954,AR$1,'Исходные данные'!$F$2:$F$954,$A14)</f>
        <v>0</v>
      </c>
      <c r="AS14" s="9" t="n">
        <f aca="false">SUMIFS('Исходные данные'!$J$2:$J$954,'Исходные данные'!$D$2:$D$954,AR$1,'Исходные данные'!$F$2:$F$954,$A14)</f>
        <v>0</v>
      </c>
      <c r="AT14" s="9" t="n">
        <f aca="false">SUMIFS('Исходные данные'!$I$2:$I$954,'Исходные данные'!$D$2:$D$954,AT$1,'Исходные данные'!$F$2:$F$954,$A14)</f>
        <v>0</v>
      </c>
      <c r="AU14" s="9" t="n">
        <f aca="false">SUMIFS('Исходные данные'!$J$2:$J$954,'Исходные данные'!$D$2:$D$954,AT$1,'Исходные данные'!$F$2:$F$954,$A14)</f>
        <v>0</v>
      </c>
      <c r="AV14" s="9" t="n">
        <f aca="false">SUMIFS('Исходные данные'!$I$2:$I$954,'Исходные данные'!$D$2:$D$954,AV$1,'Исходные данные'!$F$2:$F$954,$A14)</f>
        <v>1</v>
      </c>
      <c r="AW14" s="9" t="n">
        <f aca="false">SUMIFS('Исходные данные'!$J$2:$J$954,'Исходные данные'!$D$2:$D$954,AV$1,'Исходные данные'!$F$2:$F$954,$A14)</f>
        <v>0</v>
      </c>
      <c r="AX14" s="9" t="n">
        <f aca="false">SUMIFS('Исходные данные'!$I$2:$I$954,'Исходные данные'!$D$2:$D$954,AX$1,'Исходные данные'!$F$2:$F$954,$A14)</f>
        <v>0</v>
      </c>
      <c r="AY14" s="9" t="n">
        <f aca="false">SUMIFS('Исходные данные'!$J$2:$J$954,'Исходные данные'!$D$2:$D$954,AX$1,'Исходные данные'!$F$2:$F$954,$A14)</f>
        <v>0</v>
      </c>
      <c r="AZ14" s="9" t="n">
        <f aca="false">SUMIFS('Исходные данные'!$I$2:$I$954,'Исходные данные'!$D$2:$D$954,AZ$1,'Исходные данные'!$F$2:$F$954,$A14)</f>
        <v>2</v>
      </c>
      <c r="BA14" s="9" t="n">
        <f aca="false">SUMIFS('Исходные данные'!$J$2:$J$954,'Исходные данные'!$D$2:$D$954,AZ$1,'Исходные данные'!$F$2:$F$954,$A14)</f>
        <v>0</v>
      </c>
      <c r="BB14" s="9" t="n">
        <f aca="false">SUMIFS('Исходные данные'!$I$2:$I$954,'Исходные данные'!$D$2:$D$954,BB$1,'Исходные данные'!$F$2:$F$954,$A14)</f>
        <v>0</v>
      </c>
      <c r="BC14" s="9" t="n">
        <f aca="false">SUMIFS('Исходные данные'!$J$2:$J$954,'Исходные данные'!$D$2:$D$954,BB$1,'Исходные данные'!$F$2:$F$954,$A14)</f>
        <v>0</v>
      </c>
      <c r="BD14" s="9" t="n">
        <f aca="false">SUMIFS('Исходные данные'!$I$2:$I$954,'Исходные данные'!$D$2:$D$954,BD$1,'Исходные данные'!$F$2:$F$954,$A14)</f>
        <v>2</v>
      </c>
      <c r="BE14" s="9" t="n">
        <f aca="false">SUMIFS('Исходные данные'!$J$2:$J$954,'Исходные данные'!$D$2:$D$954,BD$1,'Исходные данные'!$F$2:$F$954,$A14)</f>
        <v>1</v>
      </c>
      <c r="BF14" s="9" t="n">
        <f aca="false">SUMIFS('Исходные данные'!$I$2:$I$954,'Исходные данные'!$D$2:$D$954,BF$1,'Исходные данные'!$F$2:$F$954,$A14)</f>
        <v>0</v>
      </c>
      <c r="BG14" s="9" t="n">
        <f aca="false">SUMIFS('Исходные данные'!$J$2:$J$954,'Исходные данные'!$D$2:$D$954,BF$1,'Исходные данные'!$F$2:$F$954,$A14)</f>
        <v>0</v>
      </c>
      <c r="BH14" s="9" t="n">
        <f aca="false">SUMIFS('Исходные данные'!$I$2:$I$954,'Исходные данные'!$D$2:$D$954,BH$1,'Исходные данные'!$F$2:$F$954,$A14)</f>
        <v>1</v>
      </c>
      <c r="BI14" s="9" t="n">
        <f aca="false">SUMIFS('Исходные данные'!$J$2:$J$954,'Исходные данные'!$D$2:$D$954,BH$1,'Исходные данные'!$F$2:$F$954,$A14)</f>
        <v>0</v>
      </c>
      <c r="BJ14" s="9" t="n">
        <f aca="false">SUMIFS('Исходные данные'!$I$2:$I$954,'Исходные данные'!$D$2:$D$954,BJ$1,'Исходные данные'!$F$2:$F$954,$A14)</f>
        <v>0</v>
      </c>
      <c r="BK14" s="9" t="n">
        <f aca="false">SUMIFS('Исходные данные'!$J$2:$J$954,'Исходные данные'!$D$2:$D$954,BJ$1,'Исходные данные'!$F$2:$F$954,$A14)</f>
        <v>0</v>
      </c>
      <c r="BL14" s="9" t="n">
        <f aca="false">SUMIFS('Исходные данные'!$I$2:$I$954,'Исходные данные'!$D$2:$D$954,BL$1,'Исходные данные'!$F$2:$F$954,$A14)</f>
        <v>0</v>
      </c>
      <c r="BM14" s="9" t="n">
        <f aca="false">SUMIFS('Исходные данные'!$J$2:$J$954,'Исходные данные'!$D$2:$D$954,BL$1,'Исходные данные'!$F$2:$F$954,$A14)</f>
        <v>0</v>
      </c>
      <c r="BN14" s="9" t="n">
        <f aca="false">SUMIFS('Исходные данные'!$I$2:$I$954,'Исходные данные'!$D$2:$D$954,BN$1,'Исходные данные'!$F$2:$F$954,$A14)</f>
        <v>2</v>
      </c>
      <c r="BO14" s="9" t="n">
        <f aca="false">SUMIFS('Исходные данные'!$J$2:$J$954,'Исходные данные'!$D$2:$D$954,BN$1,'Исходные данные'!$F$2:$F$954,$A14)</f>
        <v>0</v>
      </c>
      <c r="BP14" s="9" t="n">
        <f aca="false">SUMIFS('Исходные данные'!$I$2:$I$954,'Исходные данные'!$D$2:$D$954,BP$1,'Исходные данные'!$F$2:$F$954,$A14)</f>
        <v>1</v>
      </c>
      <c r="BQ14" s="9" t="n">
        <f aca="false">SUMIFS('Исходные данные'!$J$2:$J$954,'Исходные данные'!$D$2:$D$954,BP$1,'Исходные данные'!$F$2:$F$954,$A14)</f>
        <v>0</v>
      </c>
      <c r="BR14" s="9" t="n">
        <f aca="false">SUMIFS('Исходные данные'!$I$2:$I$954,'Исходные данные'!$D$2:$D$954,BR$1,'Исходные данные'!$F$2:$F$954,$A14)</f>
        <v>0</v>
      </c>
      <c r="BS14" s="9" t="n">
        <f aca="false">SUMIFS('Исходные данные'!$J$2:$J$954,'Исходные данные'!$D$2:$D$954,BR$1,'Исходные данные'!$F$2:$F$954,$A14)</f>
        <v>0</v>
      </c>
      <c r="BT14" s="9" t="n">
        <f aca="false">SUMIFS('Исходные данные'!$I$2:$I$954,'Исходные данные'!$D$2:$D$954,BT$1,'Исходные данные'!$F$2:$F$954,$A14)</f>
        <v>0</v>
      </c>
      <c r="BU14" s="9" t="n">
        <f aca="false">SUMIFS('Исходные данные'!$J$2:$J$954,'Исходные данные'!$D$2:$D$954,BT$1,'Исходные данные'!$F$2:$F$954,$A14)</f>
        <v>0</v>
      </c>
      <c r="BV14" s="9" t="n">
        <f aca="false">SUMIFS('Исходные данные'!$I$2:$I$954,'Исходные данные'!$D$2:$D$954,BV$1,'Исходные данные'!$F$2:$F$954,$A14)</f>
        <v>0</v>
      </c>
      <c r="BW14" s="9" t="n">
        <f aca="false">SUMIFS('Исходные данные'!$J$2:$J$954,'Исходные данные'!$D$2:$D$954,BV$1,'Исходные данные'!$F$2:$F$954,$A14)</f>
        <v>0</v>
      </c>
      <c r="BX14" s="9" t="n">
        <f aca="false">SUMIFS('Исходные данные'!$I$2:$I$954,'Исходные данные'!$D$2:$D$954,BX$1,'Исходные данные'!$F$2:$F$954,$A14)</f>
        <v>3</v>
      </c>
      <c r="BY14" s="9" t="n">
        <f aca="false">SUMIFS('Исходные данные'!$J$2:$J$954,'Исходные данные'!$D$2:$D$954,BX$1,'Исходные данные'!$F$2:$F$954,$A14)</f>
        <v>1</v>
      </c>
      <c r="BZ14" s="9" t="n">
        <f aca="false">SUMIFS('Исходные данные'!$I$2:$I$954,'Исходные данные'!$D$2:$D$954,BZ$1,'Исходные данные'!$F$2:$F$954,$A14)</f>
        <v>0</v>
      </c>
      <c r="CA14" s="9" t="n">
        <f aca="false">SUMIFS('Исходные данные'!$J$2:$J$954,'Исходные данные'!$D$2:$D$954,BZ$1,'Исходные данные'!$F$2:$F$954,$A14)</f>
        <v>0</v>
      </c>
      <c r="CB14" s="9" t="n">
        <f aca="false">SUMIFS('Исходные данные'!$I$2:$I$954,'Исходные данные'!$D$2:$D$954,CB$1,'Исходные данные'!$F$2:$F$954,$A14)</f>
        <v>1</v>
      </c>
      <c r="CC14" s="9" t="n">
        <f aca="false">SUMIFS('Исходные данные'!$J$2:$J$954,'Исходные данные'!$D$2:$D$954,CB$1,'Исходные данные'!$F$2:$F$954,$A14)</f>
        <v>0</v>
      </c>
      <c r="CD14" s="9" t="n">
        <f aca="false">SUMIFS('Исходные данные'!$I$2:$I$954,'Исходные данные'!$D$2:$D$954,CD$1,'Исходные данные'!$F$2:$F$954,$A14)</f>
        <v>0</v>
      </c>
      <c r="CE14" s="9" t="n">
        <f aca="false">SUMIFS('Исходные данные'!$J$2:$J$954,'Исходные данные'!$D$2:$D$954,CD$1,'Исходные данные'!$F$2:$F$954,$A14)</f>
        <v>0</v>
      </c>
      <c r="CF14" s="9" t="n">
        <f aca="false">SUMIFS('Исходные данные'!$I$2:$I$954,'Исходные данные'!$D$2:$D$954,CF$1,'Исходные данные'!$F$2:$F$954,$A14)</f>
        <v>1</v>
      </c>
      <c r="CG14" s="9" t="n">
        <f aca="false">SUMIFS('Исходные данные'!$J$2:$J$954,'Исходные данные'!$D$2:$D$954,CF$1,'Исходные данные'!$F$2:$F$954,$A14)</f>
        <v>0</v>
      </c>
      <c r="CH14" s="9" t="n">
        <f aca="false">SUMIFS('Исходные данные'!$I$2:$I$954,'Исходные данные'!$D$2:$D$954,CH$1,'Исходные данные'!$F$2:$F$954,$A14)</f>
        <v>0</v>
      </c>
      <c r="CI14" s="9" t="n">
        <f aca="false">SUMIFS('Исходные данные'!$J$2:$J$954,'Исходные данные'!$D$2:$D$954,CH$1,'Исходные данные'!$F$2:$F$954,$A14)</f>
        <v>0</v>
      </c>
    </row>
    <row r="15" customFormat="false" ht="15" hidden="false" customHeight="false" outlineLevel="0" collapsed="false">
      <c r="A15" s="8" t="s">
        <v>73</v>
      </c>
      <c r="B15" s="9" t="s">
        <v>74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SUMIFS($H15:$CI15,$H$2:$CI$2,"День")</f>
        <v>5</v>
      </c>
      <c r="G15" s="5" t="n">
        <f aca="false">SUMIFS($H15:$CI15,$H$2:$CI$2,"Ночь")</f>
        <v>0</v>
      </c>
      <c r="H15" s="9" t="n">
        <f aca="false">SUMIFS('Исходные данные'!$I$2:$I$954,'Исходные данные'!$D$2:$D$954,H$1,'Исходные данные'!$F$2:$F$954,$A15)</f>
        <v>0</v>
      </c>
      <c r="I15" s="9" t="n">
        <f aca="false">SUMIFS('Исходные данные'!$J$2:$J$954,'Исходные данные'!$D$2:$D$954,H$1,'Исходные данные'!$F$2:$F$954,$A15)</f>
        <v>0</v>
      </c>
      <c r="J15" s="9" t="n">
        <f aca="false">SUMIFS('Исходные данные'!$I$2:$I$954,'Исходные данные'!$D$2:$D$954,J$1,'Исходные данные'!$F$2:$F$954,$A15)</f>
        <v>0</v>
      </c>
      <c r="K15" s="9" t="n">
        <f aca="false">SUMIFS('Исходные данные'!$J$2:$J$954,'Исходные данные'!$D$2:$D$954,J$1,'Исходные данные'!$F$2:$F$954,$A15)</f>
        <v>0</v>
      </c>
      <c r="L15" s="9" t="n">
        <f aca="false">SUMIFS('Исходные данные'!$I$2:$I$954,'Исходные данные'!$D$2:$D$954,L$1,'Исходные данные'!$F$2:$F$954,$A15)</f>
        <v>0</v>
      </c>
      <c r="M15" s="9" t="n">
        <f aca="false">SUMIFS('Исходные данные'!$J$2:$J$954,'Исходные данные'!$D$2:$D$954,L$1,'Исходные данные'!$F$2:$F$954,$A15)</f>
        <v>0</v>
      </c>
      <c r="N15" s="9" t="n">
        <f aca="false">SUMIFS('Исходные данные'!$I$2:$I$954,'Исходные данные'!$D$2:$D$954,N$1,'Исходные данные'!$F$2:$F$954,$A15)</f>
        <v>0</v>
      </c>
      <c r="O15" s="9" t="n">
        <f aca="false">SUMIFS('Исходные данные'!$J$2:$J$954,'Исходные данные'!$D$2:$D$954,N$1,'Исходные данные'!$F$2:$F$954,$A15)</f>
        <v>0</v>
      </c>
      <c r="P15" s="9" t="n">
        <f aca="false">SUMIFS('Исходные данные'!$I$2:$I$954,'Исходные данные'!$D$2:$D$954,P$1,'Исходные данные'!$F$2:$F$954,$A15)</f>
        <v>0</v>
      </c>
      <c r="Q15" s="9" t="n">
        <f aca="false">SUMIFS('Исходные данные'!$J$2:$J$954,'Исходные данные'!$D$2:$D$954,P$1,'Исходные данные'!$F$2:$F$954,$A15)</f>
        <v>0</v>
      </c>
      <c r="R15" s="9" t="n">
        <f aca="false">SUMIFS('Исходные данные'!$I$2:$I$954,'Исходные данные'!$D$2:$D$954,R$1,'Исходные данные'!$F$2:$F$954,$A15)</f>
        <v>0</v>
      </c>
      <c r="S15" s="9" t="n">
        <f aca="false">SUMIFS('Исходные данные'!$J$2:$J$954,'Исходные данные'!$D$2:$D$954,R$1,'Исходные данные'!$F$2:$F$954,$A15)</f>
        <v>0</v>
      </c>
      <c r="T15" s="9" t="n">
        <f aca="false">SUMIFS('Исходные данные'!$I$2:$I$954,'Исходные данные'!$D$2:$D$954,T$1,'Исходные данные'!$F$2:$F$954,$A15)</f>
        <v>0</v>
      </c>
      <c r="U15" s="9" t="n">
        <f aca="false">SUMIFS('Исходные данные'!$J$2:$J$954,'Исходные данные'!$D$2:$D$954,T$1,'Исходные данные'!$F$2:$F$954,$A15)</f>
        <v>0</v>
      </c>
      <c r="V15" s="9" t="n">
        <f aca="false">SUMIFS('Исходные данные'!$I$2:$I$954,'Исходные данные'!$D$2:$D$954,V$1,'Исходные данные'!$F$2:$F$954,$A15)</f>
        <v>0</v>
      </c>
      <c r="W15" s="9" t="n">
        <f aca="false">SUMIFS('Исходные данные'!$J$2:$J$954,'Исходные данные'!$D$2:$D$954,V$1,'Исходные данные'!$F$2:$F$954,$A15)</f>
        <v>0</v>
      </c>
      <c r="X15" s="9" t="n">
        <f aca="false">SUMIFS('Исходные данные'!$I$2:$I$954,'Исходные данные'!$D$2:$D$954,X$1,'Исходные данные'!$F$2:$F$954,$A15)</f>
        <v>4</v>
      </c>
      <c r="Y15" s="9" t="n">
        <f aca="false">SUMIFS('Исходные данные'!$J$2:$J$954,'Исходные данные'!$D$2:$D$954,X$1,'Исходные данные'!$F$2:$F$954,$A15)</f>
        <v>0</v>
      </c>
      <c r="Z15" s="9" t="n">
        <f aca="false">SUMIFS('Исходные данные'!$I$2:$I$954,'Исходные данные'!$D$2:$D$954,Z$1,'Исходные данные'!$F$2:$F$954,$A15)</f>
        <v>0</v>
      </c>
      <c r="AA15" s="9" t="n">
        <f aca="false">SUMIFS('Исходные данные'!$J$2:$J$954,'Исходные данные'!$D$2:$D$954,Z$1,'Исходные данные'!$F$2:$F$954,$A15)</f>
        <v>0</v>
      </c>
      <c r="AB15" s="9" t="n">
        <f aca="false">SUMIFS('Исходные данные'!$I$2:$I$954,'Исходные данные'!$D$2:$D$954,AB$1,'Исходные данные'!$F$2:$F$954,$A15)</f>
        <v>0</v>
      </c>
      <c r="AC15" s="9" t="n">
        <f aca="false">SUMIFS('Исходные данные'!$J$2:$J$954,'Исходные данные'!$D$2:$D$954,AB$1,'Исходные данные'!$F$2:$F$954,$A15)</f>
        <v>0</v>
      </c>
      <c r="AD15" s="9" t="n">
        <f aca="false">SUMIFS('Исходные данные'!$I$2:$I$954,'Исходные данные'!$D$2:$D$954,AD$1,'Исходные данные'!$F$2:$F$954,$A15)</f>
        <v>0</v>
      </c>
      <c r="AE15" s="9" t="n">
        <f aca="false">SUMIFS('Исходные данные'!$J$2:$J$954,'Исходные данные'!$D$2:$D$954,AD$1,'Исходные данные'!$F$2:$F$954,$A15)</f>
        <v>0</v>
      </c>
      <c r="AF15" s="9" t="n">
        <f aca="false">SUMIFS('Исходные данные'!$I$2:$I$954,'Исходные данные'!$D$2:$D$954,AF$1,'Исходные данные'!$F$2:$F$954,$A15)</f>
        <v>0</v>
      </c>
      <c r="AG15" s="9" t="n">
        <f aca="false">SUMIFS('Исходные данные'!$J$2:$J$954,'Исходные данные'!$D$2:$D$954,AF$1,'Исходные данные'!$F$2:$F$954,$A15)</f>
        <v>0</v>
      </c>
      <c r="AH15" s="9" t="n">
        <f aca="false">SUMIFS('Исходные данные'!$I$2:$I$954,'Исходные данные'!$D$2:$D$954,AH$1,'Исходные данные'!$F$2:$F$954,$A15)</f>
        <v>1</v>
      </c>
      <c r="AI15" s="9" t="n">
        <f aca="false">SUMIFS('Исходные данные'!$J$2:$J$954,'Исходные данные'!$D$2:$D$954,AH$1,'Исходные данные'!$F$2:$F$954,$A15)</f>
        <v>0</v>
      </c>
      <c r="AJ15" s="9" t="n">
        <f aca="false">SUMIFS('Исходные данные'!$I$2:$I$954,'Исходные данные'!$D$2:$D$954,AJ$1,'Исходные данные'!$F$2:$F$954,$A15)</f>
        <v>0</v>
      </c>
      <c r="AK15" s="9" t="n">
        <f aca="false">SUMIFS('Исходные данные'!$J$2:$J$954,'Исходные данные'!$D$2:$D$954,AJ$1,'Исходные данные'!$F$2:$F$954,$A15)</f>
        <v>0</v>
      </c>
      <c r="AL15" s="9" t="n">
        <f aca="false">SUMIFS('Исходные данные'!$I$2:$I$954,'Исходные данные'!$D$2:$D$954,AL$1,'Исходные данные'!$F$2:$F$954,$A15)</f>
        <v>0</v>
      </c>
      <c r="AM15" s="9" t="n">
        <f aca="false">SUMIFS('Исходные данные'!$J$2:$J$954,'Исходные данные'!$D$2:$D$954,AL$1,'Исходные данные'!$F$2:$F$954,$A15)</f>
        <v>0</v>
      </c>
      <c r="AN15" s="9" t="n">
        <f aca="false">SUMIFS('Исходные данные'!$I$2:$I$954,'Исходные данные'!$D$2:$D$954,AN$1,'Исходные данные'!$F$2:$F$954,$A15)</f>
        <v>0</v>
      </c>
      <c r="AO15" s="9" t="n">
        <f aca="false">SUMIFS('Исходные данные'!$J$2:$J$954,'Исходные данные'!$D$2:$D$954,AN$1,'Исходные данные'!$F$2:$F$954,$A15)</f>
        <v>0</v>
      </c>
      <c r="AP15" s="9" t="n">
        <f aca="false">SUMIFS('Исходные данные'!$I$2:$I$954,'Исходные данные'!$D$2:$D$954,AP$1,'Исходные данные'!$F$2:$F$954,$A15)</f>
        <v>0</v>
      </c>
      <c r="AQ15" s="9" t="n">
        <f aca="false">SUMIFS('Исходные данные'!$J$2:$J$954,'Исходные данные'!$D$2:$D$954,AP$1,'Исходные данные'!$F$2:$F$954,$A15)</f>
        <v>0</v>
      </c>
      <c r="AR15" s="9" t="n">
        <f aca="false">SUMIFS('Исходные данные'!$I$2:$I$954,'Исходные данные'!$D$2:$D$954,AR$1,'Исходные данные'!$F$2:$F$954,$A15)</f>
        <v>0</v>
      </c>
      <c r="AS15" s="9" t="n">
        <f aca="false">SUMIFS('Исходные данные'!$J$2:$J$954,'Исходные данные'!$D$2:$D$954,AR$1,'Исходные данные'!$F$2:$F$954,$A15)</f>
        <v>0</v>
      </c>
      <c r="AT15" s="9" t="n">
        <f aca="false">SUMIFS('Исходные данные'!$I$2:$I$954,'Исходные данные'!$D$2:$D$954,AT$1,'Исходные данные'!$F$2:$F$954,$A15)</f>
        <v>0</v>
      </c>
      <c r="AU15" s="9" t="n">
        <f aca="false">SUMIFS('Исходные данные'!$J$2:$J$954,'Исходные данные'!$D$2:$D$954,AT$1,'Исходные данные'!$F$2:$F$954,$A15)</f>
        <v>0</v>
      </c>
      <c r="AV15" s="9" t="n">
        <f aca="false">SUMIFS('Исходные данные'!$I$2:$I$954,'Исходные данные'!$D$2:$D$954,AV$1,'Исходные данные'!$F$2:$F$954,$A15)</f>
        <v>0</v>
      </c>
      <c r="AW15" s="9" t="n">
        <f aca="false">SUMIFS('Исходные данные'!$J$2:$J$954,'Исходные данные'!$D$2:$D$954,AV$1,'Исходные данные'!$F$2:$F$954,$A15)</f>
        <v>0</v>
      </c>
      <c r="AX15" s="9" t="n">
        <f aca="false">SUMIFS('Исходные данные'!$I$2:$I$954,'Исходные данные'!$D$2:$D$954,AX$1,'Исходные данные'!$F$2:$F$954,$A15)</f>
        <v>0</v>
      </c>
      <c r="AY15" s="9" t="n">
        <f aca="false">SUMIFS('Исходные данные'!$J$2:$J$954,'Исходные данные'!$D$2:$D$954,AX$1,'Исходные данные'!$F$2:$F$954,$A15)</f>
        <v>0</v>
      </c>
      <c r="AZ15" s="9" t="n">
        <f aca="false">SUMIFS('Исходные данные'!$I$2:$I$954,'Исходные данные'!$D$2:$D$954,AZ$1,'Исходные данные'!$F$2:$F$954,$A15)</f>
        <v>0</v>
      </c>
      <c r="BA15" s="9" t="n">
        <f aca="false">SUMIFS('Исходные данные'!$J$2:$J$954,'Исходные данные'!$D$2:$D$954,AZ$1,'Исходные данные'!$F$2:$F$954,$A15)</f>
        <v>0</v>
      </c>
      <c r="BB15" s="9" t="n">
        <f aca="false">SUMIFS('Исходные данные'!$I$2:$I$954,'Исходные данные'!$D$2:$D$954,BB$1,'Исходные данные'!$F$2:$F$954,$A15)</f>
        <v>0</v>
      </c>
      <c r="BC15" s="9" t="n">
        <f aca="false">SUMIFS('Исходные данные'!$J$2:$J$954,'Исходные данные'!$D$2:$D$954,BB$1,'Исходные данные'!$F$2:$F$954,$A15)</f>
        <v>0</v>
      </c>
      <c r="BD15" s="9" t="n">
        <f aca="false">SUMIFS('Исходные данные'!$I$2:$I$954,'Исходные данные'!$D$2:$D$954,BD$1,'Исходные данные'!$F$2:$F$954,$A15)</f>
        <v>0</v>
      </c>
      <c r="BE15" s="9" t="n">
        <f aca="false">SUMIFS('Исходные данные'!$J$2:$J$954,'Исходные данные'!$D$2:$D$954,BD$1,'Исходные данные'!$F$2:$F$954,$A15)</f>
        <v>0</v>
      </c>
      <c r="BF15" s="9" t="n">
        <f aca="false">SUMIFS('Исходные данные'!$I$2:$I$954,'Исходные данные'!$D$2:$D$954,BF$1,'Исходные данные'!$F$2:$F$954,$A15)</f>
        <v>0</v>
      </c>
      <c r="BG15" s="9" t="n">
        <f aca="false">SUMIFS('Исходные данные'!$J$2:$J$954,'Исходные данные'!$D$2:$D$954,BF$1,'Исходные данные'!$F$2:$F$954,$A15)</f>
        <v>0</v>
      </c>
      <c r="BH15" s="9" t="n">
        <f aca="false">SUMIFS('Исходные данные'!$I$2:$I$954,'Исходные данные'!$D$2:$D$954,BH$1,'Исходные данные'!$F$2:$F$954,$A15)</f>
        <v>0</v>
      </c>
      <c r="BI15" s="9" t="n">
        <f aca="false">SUMIFS('Исходные данные'!$J$2:$J$954,'Исходные данные'!$D$2:$D$954,BH$1,'Исходные данные'!$F$2:$F$954,$A15)</f>
        <v>0</v>
      </c>
      <c r="BJ15" s="9" t="n">
        <f aca="false">SUMIFS('Исходные данные'!$I$2:$I$954,'Исходные данные'!$D$2:$D$954,BJ$1,'Исходные данные'!$F$2:$F$954,$A15)</f>
        <v>0</v>
      </c>
      <c r="BK15" s="9" t="n">
        <f aca="false">SUMIFS('Исходные данные'!$J$2:$J$954,'Исходные данные'!$D$2:$D$954,BJ$1,'Исходные данные'!$F$2:$F$954,$A15)</f>
        <v>0</v>
      </c>
      <c r="BL15" s="9" t="n">
        <f aca="false">SUMIFS('Исходные данные'!$I$2:$I$954,'Исходные данные'!$D$2:$D$954,BL$1,'Исходные данные'!$F$2:$F$954,$A15)</f>
        <v>0</v>
      </c>
      <c r="BM15" s="9" t="n">
        <f aca="false">SUMIFS('Исходные данные'!$J$2:$J$954,'Исходные данные'!$D$2:$D$954,BL$1,'Исходные данные'!$F$2:$F$954,$A15)</f>
        <v>0</v>
      </c>
      <c r="BN15" s="9" t="n">
        <f aca="false">SUMIFS('Исходные данные'!$I$2:$I$954,'Исходные данные'!$D$2:$D$954,BN$1,'Исходные данные'!$F$2:$F$954,$A15)</f>
        <v>0</v>
      </c>
      <c r="BO15" s="9" t="n">
        <f aca="false">SUMIFS('Исходные данные'!$J$2:$J$954,'Исходные данные'!$D$2:$D$954,BN$1,'Исходные данные'!$F$2:$F$954,$A15)</f>
        <v>0</v>
      </c>
      <c r="BP15" s="9" t="n">
        <f aca="false">SUMIFS('Исходные данные'!$I$2:$I$954,'Исходные данные'!$D$2:$D$954,BP$1,'Исходные данные'!$F$2:$F$954,$A15)</f>
        <v>0</v>
      </c>
      <c r="BQ15" s="9" t="n">
        <f aca="false">SUMIFS('Исходные данные'!$J$2:$J$954,'Исходные данные'!$D$2:$D$954,BP$1,'Исходные данные'!$F$2:$F$954,$A15)</f>
        <v>0</v>
      </c>
      <c r="BR15" s="9" t="n">
        <f aca="false">SUMIFS('Исходные данные'!$I$2:$I$954,'Исходные данные'!$D$2:$D$954,BR$1,'Исходные данные'!$F$2:$F$954,$A15)</f>
        <v>0</v>
      </c>
      <c r="BS15" s="9" t="n">
        <f aca="false">SUMIFS('Исходные данные'!$J$2:$J$954,'Исходные данные'!$D$2:$D$954,BR$1,'Исходные данные'!$F$2:$F$954,$A15)</f>
        <v>0</v>
      </c>
      <c r="BT15" s="9" t="n">
        <f aca="false">SUMIFS('Исходные данные'!$I$2:$I$954,'Исходные данные'!$D$2:$D$954,BT$1,'Исходные данные'!$F$2:$F$954,$A15)</f>
        <v>0</v>
      </c>
      <c r="BU15" s="9" t="n">
        <f aca="false">SUMIFS('Исходные данные'!$J$2:$J$954,'Исходные данные'!$D$2:$D$954,BT$1,'Исходные данные'!$F$2:$F$954,$A15)</f>
        <v>0</v>
      </c>
      <c r="BV15" s="9" t="n">
        <f aca="false">SUMIFS('Исходные данные'!$I$2:$I$954,'Исходные данные'!$D$2:$D$954,BV$1,'Исходные данные'!$F$2:$F$954,$A15)</f>
        <v>0</v>
      </c>
      <c r="BW15" s="9" t="n">
        <f aca="false">SUMIFS('Исходные данные'!$J$2:$J$954,'Исходные данные'!$D$2:$D$954,BV$1,'Исходные данные'!$F$2:$F$954,$A15)</f>
        <v>0</v>
      </c>
      <c r="BX15" s="9" t="n">
        <f aca="false">SUMIFS('Исходные данные'!$I$2:$I$954,'Исходные данные'!$D$2:$D$954,BX$1,'Исходные данные'!$F$2:$F$954,$A15)</f>
        <v>0</v>
      </c>
      <c r="BY15" s="9" t="n">
        <f aca="false">SUMIFS('Исходные данные'!$J$2:$J$954,'Исходные данные'!$D$2:$D$954,BX$1,'Исходные данные'!$F$2:$F$954,$A15)</f>
        <v>0</v>
      </c>
      <c r="BZ15" s="9" t="n">
        <f aca="false">SUMIFS('Исходные данные'!$I$2:$I$954,'Исходные данные'!$D$2:$D$954,BZ$1,'Исходные данные'!$F$2:$F$954,$A15)</f>
        <v>0</v>
      </c>
      <c r="CA15" s="9" t="n">
        <f aca="false">SUMIFS('Исходные данные'!$J$2:$J$954,'Исходные данные'!$D$2:$D$954,BZ$1,'Исходные данные'!$F$2:$F$954,$A15)</f>
        <v>0</v>
      </c>
      <c r="CB15" s="9" t="n">
        <f aca="false">SUMIFS('Исходные данные'!$I$2:$I$954,'Исходные данные'!$D$2:$D$954,CB$1,'Исходные данные'!$F$2:$F$954,$A15)</f>
        <v>0</v>
      </c>
      <c r="CC15" s="9" t="n">
        <f aca="false">SUMIFS('Исходные данные'!$J$2:$J$954,'Исходные данные'!$D$2:$D$954,CB$1,'Исходные данные'!$F$2:$F$954,$A15)</f>
        <v>0</v>
      </c>
      <c r="CD15" s="9" t="n">
        <f aca="false">SUMIFS('Исходные данные'!$I$2:$I$954,'Исходные данные'!$D$2:$D$954,CD$1,'Исходные данные'!$F$2:$F$954,$A15)</f>
        <v>0</v>
      </c>
      <c r="CE15" s="9" t="n">
        <f aca="false">SUMIFS('Исходные данные'!$J$2:$J$954,'Исходные данные'!$D$2:$D$954,CD$1,'Исходные данные'!$F$2:$F$954,$A15)</f>
        <v>0</v>
      </c>
      <c r="CF15" s="9" t="n">
        <f aca="false">SUMIFS('Исходные данные'!$I$2:$I$954,'Исходные данные'!$D$2:$D$954,CF$1,'Исходные данные'!$F$2:$F$954,$A15)</f>
        <v>0</v>
      </c>
      <c r="CG15" s="9" t="n">
        <f aca="false">SUMIFS('Исходные данные'!$J$2:$J$954,'Исходные данные'!$D$2:$D$954,CF$1,'Исходные данные'!$F$2:$F$954,$A15)</f>
        <v>0</v>
      </c>
      <c r="CH15" s="9" t="n">
        <f aca="false">SUMIFS('Исходные данные'!$I$2:$I$954,'Исходные данные'!$D$2:$D$954,CH$1,'Исходные данные'!$F$2:$F$954,$A15)</f>
        <v>0</v>
      </c>
      <c r="CI15" s="9" t="n">
        <f aca="false">SUMIFS('Исходные данные'!$J$2:$J$954,'Исходные данные'!$D$2:$D$954,CH$1,'Исходные данные'!$F$2:$F$954,$A15)</f>
        <v>0</v>
      </c>
    </row>
    <row r="16" customFormat="false" ht="15" hidden="false" customHeight="false" outlineLevel="0" collapsed="false">
      <c r="A16" s="8" t="s">
        <v>75</v>
      </c>
      <c r="B16" s="9" t="s">
        <v>76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SUMIFS($H16:$CI16,$H$2:$CI$2,"День")</f>
        <v>3</v>
      </c>
      <c r="G16" s="5" t="n">
        <f aca="false">SUMIFS($H16:$CI16,$H$2:$CI$2,"Ночь")</f>
        <v>0</v>
      </c>
      <c r="H16" s="9" t="n">
        <f aca="false">SUMIFS('Исходные данные'!$I$2:$I$954,'Исходные данные'!$D$2:$D$954,H$1,'Исходные данные'!$F$2:$F$954,$A16)</f>
        <v>0</v>
      </c>
      <c r="I16" s="9" t="n">
        <f aca="false">SUMIFS('Исходные данные'!$J$2:$J$954,'Исходные данные'!$D$2:$D$954,H$1,'Исходные данные'!$F$2:$F$954,$A16)</f>
        <v>0</v>
      </c>
      <c r="J16" s="9" t="n">
        <f aca="false">SUMIFS('Исходные данные'!$I$2:$I$954,'Исходные данные'!$D$2:$D$954,J$1,'Исходные данные'!$F$2:$F$954,$A16)</f>
        <v>0</v>
      </c>
      <c r="K16" s="9" t="n">
        <f aca="false">SUMIFS('Исходные данные'!$J$2:$J$954,'Исходные данные'!$D$2:$D$954,J$1,'Исходные данные'!$F$2:$F$954,$A16)</f>
        <v>0</v>
      </c>
      <c r="L16" s="9" t="n">
        <f aca="false">SUMIFS('Исходные данные'!$I$2:$I$954,'Исходные данные'!$D$2:$D$954,L$1,'Исходные данные'!$F$2:$F$954,$A16)</f>
        <v>0</v>
      </c>
      <c r="M16" s="9" t="n">
        <f aca="false">SUMIFS('Исходные данные'!$J$2:$J$954,'Исходные данные'!$D$2:$D$954,L$1,'Исходные данные'!$F$2:$F$954,$A16)</f>
        <v>0</v>
      </c>
      <c r="N16" s="9" t="n">
        <f aca="false">SUMIFS('Исходные данные'!$I$2:$I$954,'Исходные данные'!$D$2:$D$954,N$1,'Исходные данные'!$F$2:$F$954,$A16)</f>
        <v>0</v>
      </c>
      <c r="O16" s="9" t="n">
        <f aca="false">SUMIFS('Исходные данные'!$J$2:$J$954,'Исходные данные'!$D$2:$D$954,N$1,'Исходные данные'!$F$2:$F$954,$A16)</f>
        <v>0</v>
      </c>
      <c r="P16" s="9" t="n">
        <f aca="false">SUMIFS('Исходные данные'!$I$2:$I$954,'Исходные данные'!$D$2:$D$954,P$1,'Исходные данные'!$F$2:$F$954,$A16)</f>
        <v>0</v>
      </c>
      <c r="Q16" s="9" t="n">
        <f aca="false">SUMIFS('Исходные данные'!$J$2:$J$954,'Исходные данные'!$D$2:$D$954,P$1,'Исходные данные'!$F$2:$F$954,$A16)</f>
        <v>0</v>
      </c>
      <c r="R16" s="9" t="n">
        <f aca="false">SUMIFS('Исходные данные'!$I$2:$I$954,'Исходные данные'!$D$2:$D$954,R$1,'Исходные данные'!$F$2:$F$954,$A16)</f>
        <v>0</v>
      </c>
      <c r="S16" s="9" t="n">
        <f aca="false">SUMIFS('Исходные данные'!$J$2:$J$954,'Исходные данные'!$D$2:$D$954,R$1,'Исходные данные'!$F$2:$F$954,$A16)</f>
        <v>0</v>
      </c>
      <c r="T16" s="9" t="n">
        <f aca="false">SUMIFS('Исходные данные'!$I$2:$I$954,'Исходные данные'!$D$2:$D$954,T$1,'Исходные данные'!$F$2:$F$954,$A16)</f>
        <v>0</v>
      </c>
      <c r="U16" s="9" t="n">
        <f aca="false">SUMIFS('Исходные данные'!$J$2:$J$954,'Исходные данные'!$D$2:$D$954,T$1,'Исходные данные'!$F$2:$F$954,$A16)</f>
        <v>0</v>
      </c>
      <c r="V16" s="9" t="n">
        <f aca="false">SUMIFS('Исходные данные'!$I$2:$I$954,'Исходные данные'!$D$2:$D$954,V$1,'Исходные данные'!$F$2:$F$954,$A16)</f>
        <v>0</v>
      </c>
      <c r="W16" s="9" t="n">
        <f aca="false">SUMIFS('Исходные данные'!$J$2:$J$954,'Исходные данные'!$D$2:$D$954,V$1,'Исходные данные'!$F$2:$F$954,$A16)</f>
        <v>0</v>
      </c>
      <c r="X16" s="9" t="n">
        <f aca="false">SUMIFS('Исходные данные'!$I$2:$I$954,'Исходные данные'!$D$2:$D$954,X$1,'Исходные данные'!$F$2:$F$954,$A16)</f>
        <v>0</v>
      </c>
      <c r="Y16" s="9" t="n">
        <f aca="false">SUMIFS('Исходные данные'!$J$2:$J$954,'Исходные данные'!$D$2:$D$954,X$1,'Исходные данные'!$F$2:$F$954,$A16)</f>
        <v>0</v>
      </c>
      <c r="Z16" s="9" t="n">
        <f aca="false">SUMIFS('Исходные данные'!$I$2:$I$954,'Исходные данные'!$D$2:$D$954,Z$1,'Исходные данные'!$F$2:$F$954,$A16)</f>
        <v>0</v>
      </c>
      <c r="AA16" s="9" t="n">
        <f aca="false">SUMIFS('Исходные данные'!$J$2:$J$954,'Исходные данные'!$D$2:$D$954,Z$1,'Исходные данные'!$F$2:$F$954,$A16)</f>
        <v>0</v>
      </c>
      <c r="AB16" s="9" t="n">
        <f aca="false">SUMIFS('Исходные данные'!$I$2:$I$954,'Исходные данные'!$D$2:$D$954,AB$1,'Исходные данные'!$F$2:$F$954,$A16)</f>
        <v>0</v>
      </c>
      <c r="AC16" s="9" t="n">
        <f aca="false">SUMIFS('Исходные данные'!$J$2:$J$954,'Исходные данные'!$D$2:$D$954,AB$1,'Исходные данные'!$F$2:$F$954,$A16)</f>
        <v>0</v>
      </c>
      <c r="AD16" s="9" t="n">
        <f aca="false">SUMIFS('Исходные данные'!$I$2:$I$954,'Исходные данные'!$D$2:$D$954,AD$1,'Исходные данные'!$F$2:$F$954,$A16)</f>
        <v>0</v>
      </c>
      <c r="AE16" s="9" t="n">
        <f aca="false">SUMIFS('Исходные данные'!$J$2:$J$954,'Исходные данные'!$D$2:$D$954,AD$1,'Исходные данные'!$F$2:$F$954,$A16)</f>
        <v>0</v>
      </c>
      <c r="AF16" s="9" t="n">
        <f aca="false">SUMIFS('Исходные данные'!$I$2:$I$954,'Исходные данные'!$D$2:$D$954,AF$1,'Исходные данные'!$F$2:$F$954,$A16)</f>
        <v>0</v>
      </c>
      <c r="AG16" s="9" t="n">
        <f aca="false">SUMIFS('Исходные данные'!$J$2:$J$954,'Исходные данные'!$D$2:$D$954,AF$1,'Исходные данные'!$F$2:$F$954,$A16)</f>
        <v>0</v>
      </c>
      <c r="AH16" s="9" t="n">
        <f aca="false">SUMIFS('Исходные данные'!$I$2:$I$954,'Исходные данные'!$D$2:$D$954,AH$1,'Исходные данные'!$F$2:$F$954,$A16)</f>
        <v>0</v>
      </c>
      <c r="AI16" s="9" t="n">
        <f aca="false">SUMIFS('Исходные данные'!$J$2:$J$954,'Исходные данные'!$D$2:$D$954,AH$1,'Исходные данные'!$F$2:$F$954,$A16)</f>
        <v>0</v>
      </c>
      <c r="AJ16" s="9" t="n">
        <f aca="false">SUMIFS('Исходные данные'!$I$2:$I$954,'Исходные данные'!$D$2:$D$954,AJ$1,'Исходные данные'!$F$2:$F$954,$A16)</f>
        <v>0</v>
      </c>
      <c r="AK16" s="9" t="n">
        <f aca="false">SUMIFS('Исходные данные'!$J$2:$J$954,'Исходные данные'!$D$2:$D$954,AJ$1,'Исходные данные'!$F$2:$F$954,$A16)</f>
        <v>0</v>
      </c>
      <c r="AL16" s="9" t="n">
        <f aca="false">SUMIFS('Исходные данные'!$I$2:$I$954,'Исходные данные'!$D$2:$D$954,AL$1,'Исходные данные'!$F$2:$F$954,$A16)</f>
        <v>2</v>
      </c>
      <c r="AM16" s="9" t="n">
        <f aca="false">SUMIFS('Исходные данные'!$J$2:$J$954,'Исходные данные'!$D$2:$D$954,AL$1,'Исходные данные'!$F$2:$F$954,$A16)</f>
        <v>0</v>
      </c>
      <c r="AN16" s="9" t="n">
        <f aca="false">SUMIFS('Исходные данные'!$I$2:$I$954,'Исходные данные'!$D$2:$D$954,AN$1,'Исходные данные'!$F$2:$F$954,$A16)</f>
        <v>0</v>
      </c>
      <c r="AO16" s="9" t="n">
        <f aca="false">SUMIFS('Исходные данные'!$J$2:$J$954,'Исходные данные'!$D$2:$D$954,AN$1,'Исходные данные'!$F$2:$F$954,$A16)</f>
        <v>0</v>
      </c>
      <c r="AP16" s="9" t="n">
        <f aca="false">SUMIFS('Исходные данные'!$I$2:$I$954,'Исходные данные'!$D$2:$D$954,AP$1,'Исходные данные'!$F$2:$F$954,$A16)</f>
        <v>0</v>
      </c>
      <c r="AQ16" s="9" t="n">
        <f aca="false">SUMIFS('Исходные данные'!$J$2:$J$954,'Исходные данные'!$D$2:$D$954,AP$1,'Исходные данные'!$F$2:$F$954,$A16)</f>
        <v>0</v>
      </c>
      <c r="AR16" s="9" t="n">
        <f aca="false">SUMIFS('Исходные данные'!$I$2:$I$954,'Исходные данные'!$D$2:$D$954,AR$1,'Исходные данные'!$F$2:$F$954,$A16)</f>
        <v>0</v>
      </c>
      <c r="AS16" s="9" t="n">
        <f aca="false">SUMIFS('Исходные данные'!$J$2:$J$954,'Исходные данные'!$D$2:$D$954,AR$1,'Исходные данные'!$F$2:$F$954,$A16)</f>
        <v>0</v>
      </c>
      <c r="AT16" s="9" t="n">
        <f aca="false">SUMIFS('Исходные данные'!$I$2:$I$954,'Исходные данные'!$D$2:$D$954,AT$1,'Исходные данные'!$F$2:$F$954,$A16)</f>
        <v>0</v>
      </c>
      <c r="AU16" s="9" t="n">
        <f aca="false">SUMIFS('Исходные данные'!$J$2:$J$954,'Исходные данные'!$D$2:$D$954,AT$1,'Исходные данные'!$F$2:$F$954,$A16)</f>
        <v>0</v>
      </c>
      <c r="AV16" s="9" t="n">
        <f aca="false">SUMIFS('Исходные данные'!$I$2:$I$954,'Исходные данные'!$D$2:$D$954,AV$1,'Исходные данные'!$F$2:$F$954,$A16)</f>
        <v>0</v>
      </c>
      <c r="AW16" s="9" t="n">
        <f aca="false">SUMIFS('Исходные данные'!$J$2:$J$954,'Исходные данные'!$D$2:$D$954,AV$1,'Исходные данные'!$F$2:$F$954,$A16)</f>
        <v>0</v>
      </c>
      <c r="AX16" s="9" t="n">
        <f aca="false">SUMIFS('Исходные данные'!$I$2:$I$954,'Исходные данные'!$D$2:$D$954,AX$1,'Исходные данные'!$F$2:$F$954,$A16)</f>
        <v>0</v>
      </c>
      <c r="AY16" s="9" t="n">
        <f aca="false">SUMIFS('Исходные данные'!$J$2:$J$954,'Исходные данные'!$D$2:$D$954,AX$1,'Исходные данные'!$F$2:$F$954,$A16)</f>
        <v>0</v>
      </c>
      <c r="AZ16" s="9" t="n">
        <f aca="false">SUMIFS('Исходные данные'!$I$2:$I$954,'Исходные данные'!$D$2:$D$954,AZ$1,'Исходные данные'!$F$2:$F$954,$A16)</f>
        <v>0</v>
      </c>
      <c r="BA16" s="9" t="n">
        <f aca="false">SUMIFS('Исходные данные'!$J$2:$J$954,'Исходные данные'!$D$2:$D$954,AZ$1,'Исходные данные'!$F$2:$F$954,$A16)</f>
        <v>0</v>
      </c>
      <c r="BB16" s="9" t="n">
        <f aca="false">SUMIFS('Исходные данные'!$I$2:$I$954,'Исходные данные'!$D$2:$D$954,BB$1,'Исходные данные'!$F$2:$F$954,$A16)</f>
        <v>0</v>
      </c>
      <c r="BC16" s="9" t="n">
        <f aca="false">SUMIFS('Исходные данные'!$J$2:$J$954,'Исходные данные'!$D$2:$D$954,BB$1,'Исходные данные'!$F$2:$F$954,$A16)</f>
        <v>0</v>
      </c>
      <c r="BD16" s="9" t="n">
        <f aca="false">SUMIFS('Исходные данные'!$I$2:$I$954,'Исходные данные'!$D$2:$D$954,BD$1,'Исходные данные'!$F$2:$F$954,$A16)</f>
        <v>0</v>
      </c>
      <c r="BE16" s="9" t="n">
        <f aca="false">SUMIFS('Исходные данные'!$J$2:$J$954,'Исходные данные'!$D$2:$D$954,BD$1,'Исходные данные'!$F$2:$F$954,$A16)</f>
        <v>0</v>
      </c>
      <c r="BF16" s="9" t="n">
        <f aca="false">SUMIFS('Исходные данные'!$I$2:$I$954,'Исходные данные'!$D$2:$D$954,BF$1,'Исходные данные'!$F$2:$F$954,$A16)</f>
        <v>0</v>
      </c>
      <c r="BG16" s="9" t="n">
        <f aca="false">SUMIFS('Исходные данные'!$J$2:$J$954,'Исходные данные'!$D$2:$D$954,BF$1,'Исходные данные'!$F$2:$F$954,$A16)</f>
        <v>0</v>
      </c>
      <c r="BH16" s="9" t="n">
        <f aca="false">SUMIFS('Исходные данные'!$I$2:$I$954,'Исходные данные'!$D$2:$D$954,BH$1,'Исходные данные'!$F$2:$F$954,$A16)</f>
        <v>0</v>
      </c>
      <c r="BI16" s="9" t="n">
        <f aca="false">SUMIFS('Исходные данные'!$J$2:$J$954,'Исходные данные'!$D$2:$D$954,BH$1,'Исходные данные'!$F$2:$F$954,$A16)</f>
        <v>0</v>
      </c>
      <c r="BJ16" s="9" t="n">
        <f aca="false">SUMIFS('Исходные данные'!$I$2:$I$954,'Исходные данные'!$D$2:$D$954,BJ$1,'Исходные данные'!$F$2:$F$954,$A16)</f>
        <v>0</v>
      </c>
      <c r="BK16" s="9" t="n">
        <f aca="false">SUMIFS('Исходные данные'!$J$2:$J$954,'Исходные данные'!$D$2:$D$954,BJ$1,'Исходные данные'!$F$2:$F$954,$A16)</f>
        <v>0</v>
      </c>
      <c r="BL16" s="9" t="n">
        <f aca="false">SUMIFS('Исходные данные'!$I$2:$I$954,'Исходные данные'!$D$2:$D$954,BL$1,'Исходные данные'!$F$2:$F$954,$A16)</f>
        <v>1</v>
      </c>
      <c r="BM16" s="9" t="n">
        <f aca="false">SUMIFS('Исходные данные'!$J$2:$J$954,'Исходные данные'!$D$2:$D$954,BL$1,'Исходные данные'!$F$2:$F$954,$A16)</f>
        <v>0</v>
      </c>
      <c r="BN16" s="9" t="n">
        <f aca="false">SUMIFS('Исходные данные'!$I$2:$I$954,'Исходные данные'!$D$2:$D$954,BN$1,'Исходные данные'!$F$2:$F$954,$A16)</f>
        <v>0</v>
      </c>
      <c r="BO16" s="9" t="n">
        <f aca="false">SUMIFS('Исходные данные'!$J$2:$J$954,'Исходные данные'!$D$2:$D$954,BN$1,'Исходные данные'!$F$2:$F$954,$A16)</f>
        <v>0</v>
      </c>
      <c r="BP16" s="9" t="n">
        <f aca="false">SUMIFS('Исходные данные'!$I$2:$I$954,'Исходные данные'!$D$2:$D$954,BP$1,'Исходные данные'!$F$2:$F$954,$A16)</f>
        <v>0</v>
      </c>
      <c r="BQ16" s="9" t="n">
        <f aca="false">SUMIFS('Исходные данные'!$J$2:$J$954,'Исходные данные'!$D$2:$D$954,BP$1,'Исходные данные'!$F$2:$F$954,$A16)</f>
        <v>0</v>
      </c>
      <c r="BR16" s="9" t="n">
        <f aca="false">SUMIFS('Исходные данные'!$I$2:$I$954,'Исходные данные'!$D$2:$D$954,BR$1,'Исходные данные'!$F$2:$F$954,$A16)</f>
        <v>0</v>
      </c>
      <c r="BS16" s="9" t="n">
        <f aca="false">SUMIFS('Исходные данные'!$J$2:$J$954,'Исходные данные'!$D$2:$D$954,BR$1,'Исходные данные'!$F$2:$F$954,$A16)</f>
        <v>0</v>
      </c>
      <c r="BT16" s="9" t="n">
        <f aca="false">SUMIFS('Исходные данные'!$I$2:$I$954,'Исходные данные'!$D$2:$D$954,BT$1,'Исходные данные'!$F$2:$F$954,$A16)</f>
        <v>0</v>
      </c>
      <c r="BU16" s="9" t="n">
        <f aca="false">SUMIFS('Исходные данные'!$J$2:$J$954,'Исходные данные'!$D$2:$D$954,BT$1,'Исходные данные'!$F$2:$F$954,$A16)</f>
        <v>0</v>
      </c>
      <c r="BV16" s="9" t="n">
        <f aca="false">SUMIFS('Исходные данные'!$I$2:$I$954,'Исходные данные'!$D$2:$D$954,BV$1,'Исходные данные'!$F$2:$F$954,$A16)</f>
        <v>0</v>
      </c>
      <c r="BW16" s="9" t="n">
        <f aca="false">SUMIFS('Исходные данные'!$J$2:$J$954,'Исходные данные'!$D$2:$D$954,BV$1,'Исходные данные'!$F$2:$F$954,$A16)</f>
        <v>0</v>
      </c>
      <c r="BX16" s="9" t="n">
        <f aca="false">SUMIFS('Исходные данные'!$I$2:$I$954,'Исходные данные'!$D$2:$D$954,BX$1,'Исходные данные'!$F$2:$F$954,$A16)</f>
        <v>0</v>
      </c>
      <c r="BY16" s="9" t="n">
        <f aca="false">SUMIFS('Исходные данные'!$J$2:$J$954,'Исходные данные'!$D$2:$D$954,BX$1,'Исходные данные'!$F$2:$F$954,$A16)</f>
        <v>0</v>
      </c>
      <c r="BZ16" s="9" t="n">
        <f aca="false">SUMIFS('Исходные данные'!$I$2:$I$954,'Исходные данные'!$D$2:$D$954,BZ$1,'Исходные данные'!$F$2:$F$954,$A16)</f>
        <v>0</v>
      </c>
      <c r="CA16" s="9" t="n">
        <f aca="false">SUMIFS('Исходные данные'!$J$2:$J$954,'Исходные данные'!$D$2:$D$954,BZ$1,'Исходные данные'!$F$2:$F$954,$A16)</f>
        <v>0</v>
      </c>
      <c r="CB16" s="9" t="n">
        <f aca="false">SUMIFS('Исходные данные'!$I$2:$I$954,'Исходные данные'!$D$2:$D$954,CB$1,'Исходные данные'!$F$2:$F$954,$A16)</f>
        <v>0</v>
      </c>
      <c r="CC16" s="9" t="n">
        <f aca="false">SUMIFS('Исходные данные'!$J$2:$J$954,'Исходные данные'!$D$2:$D$954,CB$1,'Исходные данные'!$F$2:$F$954,$A16)</f>
        <v>0</v>
      </c>
      <c r="CD16" s="9" t="n">
        <f aca="false">SUMIFS('Исходные данные'!$I$2:$I$954,'Исходные данные'!$D$2:$D$954,CD$1,'Исходные данные'!$F$2:$F$954,$A16)</f>
        <v>0</v>
      </c>
      <c r="CE16" s="9" t="n">
        <f aca="false">SUMIFS('Исходные данные'!$J$2:$J$954,'Исходные данные'!$D$2:$D$954,CD$1,'Исходные данные'!$F$2:$F$954,$A16)</f>
        <v>0</v>
      </c>
      <c r="CF16" s="9" t="n">
        <f aca="false">SUMIFS('Исходные данные'!$I$2:$I$954,'Исходные данные'!$D$2:$D$954,CF$1,'Исходные данные'!$F$2:$F$954,$A16)</f>
        <v>0</v>
      </c>
      <c r="CG16" s="9" t="n">
        <f aca="false">SUMIFS('Исходные данные'!$J$2:$J$954,'Исходные данные'!$D$2:$D$954,CF$1,'Исходные данные'!$F$2:$F$954,$A16)</f>
        <v>0</v>
      </c>
      <c r="CH16" s="9" t="n">
        <f aca="false">SUMIFS('Исходные данные'!$I$2:$I$954,'Исходные данные'!$D$2:$D$954,CH$1,'Исходные данные'!$F$2:$F$954,$A16)</f>
        <v>0</v>
      </c>
      <c r="CI16" s="9" t="n">
        <f aca="false">SUMIFS('Исходные данные'!$J$2:$J$954,'Исходные данные'!$D$2:$D$954,CH$1,'Исходные данные'!$F$2:$F$954,$A16)</f>
        <v>0</v>
      </c>
    </row>
    <row r="17" customFormat="false" ht="15" hidden="false" customHeight="false" outlineLevel="0" collapsed="false">
      <c r="A17" s="8" t="s">
        <v>77</v>
      </c>
      <c r="B17" s="9" t="s">
        <v>78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SUMIFS($H17:$CI17,$H$2:$CI$2,"День")</f>
        <v>3</v>
      </c>
      <c r="G17" s="5" t="n">
        <f aca="false">SUMIFS($H17:$CI17,$H$2:$CI$2,"Ночь")</f>
        <v>3</v>
      </c>
      <c r="H17" s="9" t="n">
        <f aca="false">SUMIFS('Исходные данные'!$I$2:$I$954,'Исходные данные'!$D$2:$D$954,H$1,'Исходные данные'!$F$2:$F$954,$A17)</f>
        <v>0</v>
      </c>
      <c r="I17" s="9" t="n">
        <f aca="false">SUMIFS('Исходные данные'!$J$2:$J$954,'Исходные данные'!$D$2:$D$954,H$1,'Исходные данные'!$F$2:$F$954,$A17)</f>
        <v>0</v>
      </c>
      <c r="J17" s="9" t="n">
        <f aca="false">SUMIFS('Исходные данные'!$I$2:$I$954,'Исходные данные'!$D$2:$D$954,J$1,'Исходные данные'!$F$2:$F$954,$A17)</f>
        <v>0</v>
      </c>
      <c r="K17" s="9" t="n">
        <f aca="false">SUMIFS('Исходные данные'!$J$2:$J$954,'Исходные данные'!$D$2:$D$954,J$1,'Исходные данные'!$F$2:$F$954,$A17)</f>
        <v>0</v>
      </c>
      <c r="L17" s="9" t="n">
        <f aca="false">SUMIFS('Исходные данные'!$I$2:$I$954,'Исходные данные'!$D$2:$D$954,L$1,'Исходные данные'!$F$2:$F$954,$A17)</f>
        <v>0</v>
      </c>
      <c r="M17" s="9" t="n">
        <f aca="false">SUMIFS('Исходные данные'!$J$2:$J$954,'Исходные данные'!$D$2:$D$954,L$1,'Исходные данные'!$F$2:$F$954,$A17)</f>
        <v>0</v>
      </c>
      <c r="N17" s="9" t="n">
        <f aca="false">SUMIFS('Исходные данные'!$I$2:$I$954,'Исходные данные'!$D$2:$D$954,N$1,'Исходные данные'!$F$2:$F$954,$A17)</f>
        <v>0</v>
      </c>
      <c r="O17" s="9" t="n">
        <f aca="false">SUMIFS('Исходные данные'!$J$2:$J$954,'Исходные данные'!$D$2:$D$954,N$1,'Исходные данные'!$F$2:$F$954,$A17)</f>
        <v>0</v>
      </c>
      <c r="P17" s="9" t="n">
        <f aca="false">SUMIFS('Исходные данные'!$I$2:$I$954,'Исходные данные'!$D$2:$D$954,P$1,'Исходные данные'!$F$2:$F$954,$A17)</f>
        <v>0</v>
      </c>
      <c r="Q17" s="9" t="n">
        <f aca="false">SUMIFS('Исходные данные'!$J$2:$J$954,'Исходные данные'!$D$2:$D$954,P$1,'Исходные данные'!$F$2:$F$954,$A17)</f>
        <v>0</v>
      </c>
      <c r="R17" s="9" t="n">
        <f aca="false">SUMIFS('Исходные данные'!$I$2:$I$954,'Исходные данные'!$D$2:$D$954,R$1,'Исходные данные'!$F$2:$F$954,$A17)</f>
        <v>0</v>
      </c>
      <c r="S17" s="9" t="n">
        <f aca="false">SUMIFS('Исходные данные'!$J$2:$J$954,'Исходные данные'!$D$2:$D$954,R$1,'Исходные данные'!$F$2:$F$954,$A17)</f>
        <v>0</v>
      </c>
      <c r="T17" s="9" t="n">
        <f aca="false">SUMIFS('Исходные данные'!$I$2:$I$954,'Исходные данные'!$D$2:$D$954,T$1,'Исходные данные'!$F$2:$F$954,$A17)</f>
        <v>0</v>
      </c>
      <c r="U17" s="9" t="n">
        <f aca="false">SUMIFS('Исходные данные'!$J$2:$J$954,'Исходные данные'!$D$2:$D$954,T$1,'Исходные данные'!$F$2:$F$954,$A17)</f>
        <v>0</v>
      </c>
      <c r="V17" s="9" t="n">
        <f aca="false">SUMIFS('Исходные данные'!$I$2:$I$954,'Исходные данные'!$D$2:$D$954,V$1,'Исходные данные'!$F$2:$F$954,$A17)</f>
        <v>0</v>
      </c>
      <c r="W17" s="9" t="n">
        <f aca="false">SUMIFS('Исходные данные'!$J$2:$J$954,'Исходные данные'!$D$2:$D$954,V$1,'Исходные данные'!$F$2:$F$954,$A17)</f>
        <v>0</v>
      </c>
      <c r="X17" s="9" t="n">
        <f aca="false">SUMIFS('Исходные данные'!$I$2:$I$954,'Исходные данные'!$D$2:$D$954,X$1,'Исходные данные'!$F$2:$F$954,$A17)</f>
        <v>0</v>
      </c>
      <c r="Y17" s="9" t="n">
        <f aca="false">SUMIFS('Исходные данные'!$J$2:$J$954,'Исходные данные'!$D$2:$D$954,X$1,'Исходные данные'!$F$2:$F$954,$A17)</f>
        <v>0</v>
      </c>
      <c r="Z17" s="9" t="n">
        <f aca="false">SUMIFS('Исходные данные'!$I$2:$I$954,'Исходные данные'!$D$2:$D$954,Z$1,'Исходные данные'!$F$2:$F$954,$A17)</f>
        <v>0</v>
      </c>
      <c r="AA17" s="9" t="n">
        <f aca="false">SUMIFS('Исходные данные'!$J$2:$J$954,'Исходные данные'!$D$2:$D$954,Z$1,'Исходные данные'!$F$2:$F$954,$A17)</f>
        <v>0</v>
      </c>
      <c r="AB17" s="9" t="n">
        <f aca="false">SUMIFS('Исходные данные'!$I$2:$I$954,'Исходные данные'!$D$2:$D$954,AB$1,'Исходные данные'!$F$2:$F$954,$A17)</f>
        <v>0</v>
      </c>
      <c r="AC17" s="9" t="n">
        <f aca="false">SUMIFS('Исходные данные'!$J$2:$J$954,'Исходные данные'!$D$2:$D$954,AB$1,'Исходные данные'!$F$2:$F$954,$A17)</f>
        <v>0</v>
      </c>
      <c r="AD17" s="9" t="n">
        <f aca="false">SUMIFS('Исходные данные'!$I$2:$I$954,'Исходные данные'!$D$2:$D$954,AD$1,'Исходные данные'!$F$2:$F$954,$A17)</f>
        <v>0</v>
      </c>
      <c r="AE17" s="9" t="n">
        <f aca="false">SUMIFS('Исходные данные'!$J$2:$J$954,'Исходные данные'!$D$2:$D$954,AD$1,'Исходные данные'!$F$2:$F$954,$A17)</f>
        <v>0</v>
      </c>
      <c r="AF17" s="9" t="n">
        <f aca="false">SUMIFS('Исходные данные'!$I$2:$I$954,'Исходные данные'!$D$2:$D$954,AF$1,'Исходные данные'!$F$2:$F$954,$A17)</f>
        <v>0</v>
      </c>
      <c r="AG17" s="9" t="n">
        <f aca="false">SUMIFS('Исходные данные'!$J$2:$J$954,'Исходные данные'!$D$2:$D$954,AF$1,'Исходные данные'!$F$2:$F$954,$A17)</f>
        <v>0</v>
      </c>
      <c r="AH17" s="9" t="n">
        <f aca="false">SUMIFS('Исходные данные'!$I$2:$I$954,'Исходные данные'!$D$2:$D$954,AH$1,'Исходные данные'!$F$2:$F$954,$A17)</f>
        <v>0</v>
      </c>
      <c r="AI17" s="9" t="n">
        <f aca="false">SUMIFS('Исходные данные'!$J$2:$J$954,'Исходные данные'!$D$2:$D$954,AH$1,'Исходные данные'!$F$2:$F$954,$A17)</f>
        <v>0</v>
      </c>
      <c r="AJ17" s="9" t="n">
        <f aca="false">SUMIFS('Исходные данные'!$I$2:$I$954,'Исходные данные'!$D$2:$D$954,AJ$1,'Исходные данные'!$F$2:$F$954,$A17)</f>
        <v>0</v>
      </c>
      <c r="AK17" s="9" t="n">
        <f aca="false">SUMIFS('Исходные данные'!$J$2:$J$954,'Исходные данные'!$D$2:$D$954,AJ$1,'Исходные данные'!$F$2:$F$954,$A17)</f>
        <v>0</v>
      </c>
      <c r="AL17" s="9" t="n">
        <f aca="false">SUMIFS('Исходные данные'!$I$2:$I$954,'Исходные данные'!$D$2:$D$954,AL$1,'Исходные данные'!$F$2:$F$954,$A17)</f>
        <v>0</v>
      </c>
      <c r="AM17" s="9" t="n">
        <f aca="false">SUMIFS('Исходные данные'!$J$2:$J$954,'Исходные данные'!$D$2:$D$954,AL$1,'Исходные данные'!$F$2:$F$954,$A17)</f>
        <v>0</v>
      </c>
      <c r="AN17" s="9" t="n">
        <f aca="false">SUMIFS('Исходные данные'!$I$2:$I$954,'Исходные данные'!$D$2:$D$954,AN$1,'Исходные данные'!$F$2:$F$954,$A17)</f>
        <v>0</v>
      </c>
      <c r="AO17" s="9" t="n">
        <f aca="false">SUMIFS('Исходные данные'!$J$2:$J$954,'Исходные данные'!$D$2:$D$954,AN$1,'Исходные данные'!$F$2:$F$954,$A17)</f>
        <v>0</v>
      </c>
      <c r="AP17" s="9" t="n">
        <f aca="false">SUMIFS('Исходные данные'!$I$2:$I$954,'Исходные данные'!$D$2:$D$954,AP$1,'Исходные данные'!$F$2:$F$954,$A17)</f>
        <v>0</v>
      </c>
      <c r="AQ17" s="9" t="n">
        <f aca="false">SUMIFS('Исходные данные'!$J$2:$J$954,'Исходные данные'!$D$2:$D$954,AP$1,'Исходные данные'!$F$2:$F$954,$A17)</f>
        <v>0</v>
      </c>
      <c r="AR17" s="9" t="n">
        <f aca="false">SUMIFS('Исходные данные'!$I$2:$I$954,'Исходные данные'!$D$2:$D$954,AR$1,'Исходные данные'!$F$2:$F$954,$A17)</f>
        <v>0</v>
      </c>
      <c r="AS17" s="9" t="n">
        <f aca="false">SUMIFS('Исходные данные'!$J$2:$J$954,'Исходные данные'!$D$2:$D$954,AR$1,'Исходные данные'!$F$2:$F$954,$A17)</f>
        <v>0</v>
      </c>
      <c r="AT17" s="9" t="n">
        <f aca="false">SUMIFS('Исходные данные'!$I$2:$I$954,'Исходные данные'!$D$2:$D$954,AT$1,'Исходные данные'!$F$2:$F$954,$A17)</f>
        <v>0</v>
      </c>
      <c r="AU17" s="9" t="n">
        <f aca="false">SUMIFS('Исходные данные'!$J$2:$J$954,'Исходные данные'!$D$2:$D$954,AT$1,'Исходные данные'!$F$2:$F$954,$A17)</f>
        <v>0</v>
      </c>
      <c r="AV17" s="9" t="n">
        <f aca="false">SUMIFS('Исходные данные'!$I$2:$I$954,'Исходные данные'!$D$2:$D$954,AV$1,'Исходные данные'!$F$2:$F$954,$A17)</f>
        <v>0</v>
      </c>
      <c r="AW17" s="9" t="n">
        <f aca="false">SUMIFS('Исходные данные'!$J$2:$J$954,'Исходные данные'!$D$2:$D$954,AV$1,'Исходные данные'!$F$2:$F$954,$A17)</f>
        <v>0</v>
      </c>
      <c r="AX17" s="9" t="n">
        <f aca="false">SUMIFS('Исходные данные'!$I$2:$I$954,'Исходные данные'!$D$2:$D$954,AX$1,'Исходные данные'!$F$2:$F$954,$A17)</f>
        <v>0</v>
      </c>
      <c r="AY17" s="9" t="n">
        <f aca="false">SUMIFS('Исходные данные'!$J$2:$J$954,'Исходные данные'!$D$2:$D$954,AX$1,'Исходные данные'!$F$2:$F$954,$A17)</f>
        <v>0</v>
      </c>
      <c r="AZ17" s="9" t="n">
        <f aca="false">SUMIFS('Исходные данные'!$I$2:$I$954,'Исходные данные'!$D$2:$D$954,AZ$1,'Исходные данные'!$F$2:$F$954,$A17)</f>
        <v>0</v>
      </c>
      <c r="BA17" s="9" t="n">
        <f aca="false">SUMIFS('Исходные данные'!$J$2:$J$954,'Исходные данные'!$D$2:$D$954,AZ$1,'Исходные данные'!$F$2:$F$954,$A17)</f>
        <v>0</v>
      </c>
      <c r="BB17" s="9" t="n">
        <f aca="false">SUMIFS('Исходные данные'!$I$2:$I$954,'Исходные данные'!$D$2:$D$954,BB$1,'Исходные данные'!$F$2:$F$954,$A17)</f>
        <v>0</v>
      </c>
      <c r="BC17" s="9" t="n">
        <f aca="false">SUMIFS('Исходные данные'!$J$2:$J$954,'Исходные данные'!$D$2:$D$954,BB$1,'Исходные данные'!$F$2:$F$954,$A17)</f>
        <v>0</v>
      </c>
      <c r="BD17" s="9" t="n">
        <f aca="false">SUMIFS('Исходные данные'!$I$2:$I$954,'Исходные данные'!$D$2:$D$954,BD$1,'Исходные данные'!$F$2:$F$954,$A17)</f>
        <v>0</v>
      </c>
      <c r="BE17" s="9" t="n">
        <f aca="false">SUMIFS('Исходные данные'!$J$2:$J$954,'Исходные данные'!$D$2:$D$954,BD$1,'Исходные данные'!$F$2:$F$954,$A17)</f>
        <v>0</v>
      </c>
      <c r="BF17" s="9" t="n">
        <f aca="false">SUMIFS('Исходные данные'!$I$2:$I$954,'Исходные данные'!$D$2:$D$954,BF$1,'Исходные данные'!$F$2:$F$954,$A17)</f>
        <v>0</v>
      </c>
      <c r="BG17" s="9" t="n">
        <f aca="false">SUMIFS('Исходные данные'!$J$2:$J$954,'Исходные данные'!$D$2:$D$954,BF$1,'Исходные данные'!$F$2:$F$954,$A17)</f>
        <v>0</v>
      </c>
      <c r="BH17" s="9" t="n">
        <f aca="false">SUMIFS('Исходные данные'!$I$2:$I$954,'Исходные данные'!$D$2:$D$954,BH$1,'Исходные данные'!$F$2:$F$954,$A17)</f>
        <v>0</v>
      </c>
      <c r="BI17" s="9" t="n">
        <f aca="false">SUMIFS('Исходные данные'!$J$2:$J$954,'Исходные данные'!$D$2:$D$954,BH$1,'Исходные данные'!$F$2:$F$954,$A17)</f>
        <v>0</v>
      </c>
      <c r="BJ17" s="9" t="n">
        <f aca="false">SUMIFS('Исходные данные'!$I$2:$I$954,'Исходные данные'!$D$2:$D$954,BJ$1,'Исходные данные'!$F$2:$F$954,$A17)</f>
        <v>0</v>
      </c>
      <c r="BK17" s="9" t="n">
        <f aca="false">SUMIFS('Исходные данные'!$J$2:$J$954,'Исходные данные'!$D$2:$D$954,BJ$1,'Исходные данные'!$F$2:$F$954,$A17)</f>
        <v>0</v>
      </c>
      <c r="BL17" s="9" t="n">
        <f aca="false">SUMIFS('Исходные данные'!$I$2:$I$954,'Исходные данные'!$D$2:$D$954,BL$1,'Исходные данные'!$F$2:$F$954,$A17)</f>
        <v>0</v>
      </c>
      <c r="BM17" s="9" t="n">
        <f aca="false">SUMIFS('Исходные данные'!$J$2:$J$954,'Исходные данные'!$D$2:$D$954,BL$1,'Исходные данные'!$F$2:$F$954,$A17)</f>
        <v>0</v>
      </c>
      <c r="BN17" s="9" t="n">
        <f aca="false">SUMIFS('Исходные данные'!$I$2:$I$954,'Исходные данные'!$D$2:$D$954,BN$1,'Исходные данные'!$F$2:$F$954,$A17)</f>
        <v>0</v>
      </c>
      <c r="BO17" s="9" t="n">
        <f aca="false">SUMIFS('Исходные данные'!$J$2:$J$954,'Исходные данные'!$D$2:$D$954,BN$1,'Исходные данные'!$F$2:$F$954,$A17)</f>
        <v>0</v>
      </c>
      <c r="BP17" s="9" t="n">
        <f aca="false">SUMIFS('Исходные данные'!$I$2:$I$954,'Исходные данные'!$D$2:$D$954,BP$1,'Исходные данные'!$F$2:$F$954,$A17)</f>
        <v>0</v>
      </c>
      <c r="BQ17" s="9" t="n">
        <f aca="false">SUMIFS('Исходные данные'!$J$2:$J$954,'Исходные данные'!$D$2:$D$954,BP$1,'Исходные данные'!$F$2:$F$954,$A17)</f>
        <v>0</v>
      </c>
      <c r="BR17" s="9" t="n">
        <f aca="false">SUMIFS('Исходные данные'!$I$2:$I$954,'Исходные данные'!$D$2:$D$954,BR$1,'Исходные данные'!$F$2:$F$954,$A17)</f>
        <v>0</v>
      </c>
      <c r="BS17" s="9" t="n">
        <f aca="false">SUMIFS('Исходные данные'!$J$2:$J$954,'Исходные данные'!$D$2:$D$954,BR$1,'Исходные данные'!$F$2:$F$954,$A17)</f>
        <v>0</v>
      </c>
      <c r="BT17" s="9" t="n">
        <f aca="false">SUMIFS('Исходные данные'!$I$2:$I$954,'Исходные данные'!$D$2:$D$954,BT$1,'Исходные данные'!$F$2:$F$954,$A17)</f>
        <v>0</v>
      </c>
      <c r="BU17" s="9" t="n">
        <f aca="false">SUMIFS('Исходные данные'!$J$2:$J$954,'Исходные данные'!$D$2:$D$954,BT$1,'Исходные данные'!$F$2:$F$954,$A17)</f>
        <v>0</v>
      </c>
      <c r="BV17" s="9" t="n">
        <f aca="false">SUMIFS('Исходные данные'!$I$2:$I$954,'Исходные данные'!$D$2:$D$954,BV$1,'Исходные данные'!$F$2:$F$954,$A17)</f>
        <v>0</v>
      </c>
      <c r="BW17" s="9" t="n">
        <f aca="false">SUMIFS('Исходные данные'!$J$2:$J$954,'Исходные данные'!$D$2:$D$954,BV$1,'Исходные данные'!$F$2:$F$954,$A17)</f>
        <v>0</v>
      </c>
      <c r="BX17" s="9" t="n">
        <f aca="false">SUMIFS('Исходные данные'!$I$2:$I$954,'Исходные данные'!$D$2:$D$954,BX$1,'Исходные данные'!$F$2:$F$954,$A17)</f>
        <v>0</v>
      </c>
      <c r="BY17" s="9" t="n">
        <f aca="false">SUMIFS('Исходные данные'!$J$2:$J$954,'Исходные данные'!$D$2:$D$954,BX$1,'Исходные данные'!$F$2:$F$954,$A17)</f>
        <v>0</v>
      </c>
      <c r="BZ17" s="9" t="n">
        <f aca="false">SUMIFS('Исходные данные'!$I$2:$I$954,'Исходные данные'!$D$2:$D$954,BZ$1,'Исходные данные'!$F$2:$F$954,$A17)</f>
        <v>0</v>
      </c>
      <c r="CA17" s="9" t="n">
        <f aca="false">SUMIFS('Исходные данные'!$J$2:$J$954,'Исходные данные'!$D$2:$D$954,BZ$1,'Исходные данные'!$F$2:$F$954,$A17)</f>
        <v>0</v>
      </c>
      <c r="CB17" s="9" t="n">
        <f aca="false">SUMIFS('Исходные данные'!$I$2:$I$954,'Исходные данные'!$D$2:$D$954,CB$1,'Исходные данные'!$F$2:$F$954,$A17)</f>
        <v>0</v>
      </c>
      <c r="CC17" s="9" t="n">
        <f aca="false">SUMIFS('Исходные данные'!$J$2:$J$954,'Исходные данные'!$D$2:$D$954,CB$1,'Исходные данные'!$F$2:$F$954,$A17)</f>
        <v>0</v>
      </c>
      <c r="CD17" s="9" t="n">
        <f aca="false">SUMIFS('Исходные данные'!$I$2:$I$954,'Исходные данные'!$D$2:$D$954,CD$1,'Исходные данные'!$F$2:$F$954,$A17)</f>
        <v>0</v>
      </c>
      <c r="CE17" s="9" t="n">
        <f aca="false">SUMIFS('Исходные данные'!$J$2:$J$954,'Исходные данные'!$D$2:$D$954,CD$1,'Исходные данные'!$F$2:$F$954,$A17)</f>
        <v>0</v>
      </c>
      <c r="CF17" s="9" t="n">
        <f aca="false">SUMIFS('Исходные данные'!$I$2:$I$954,'Исходные данные'!$D$2:$D$954,CF$1,'Исходные данные'!$F$2:$F$954,$A17)</f>
        <v>0</v>
      </c>
      <c r="CG17" s="9" t="n">
        <f aca="false">SUMIFS('Исходные данные'!$J$2:$J$954,'Исходные данные'!$D$2:$D$954,CF$1,'Исходные данные'!$F$2:$F$954,$A17)</f>
        <v>0</v>
      </c>
      <c r="CH17" s="9" t="n">
        <f aca="false">SUMIFS('Исходные данные'!$I$2:$I$954,'Исходные данные'!$D$2:$D$954,CH$1,'Исходные данные'!$F$2:$F$954,$A17)</f>
        <v>3</v>
      </c>
      <c r="CI17" s="9" t="n">
        <f aca="false">SUMIFS('Исходные данные'!$J$2:$J$954,'Исходные данные'!$D$2:$D$954,CH$1,'Исходные данные'!$F$2:$F$954,$A17)</f>
        <v>3</v>
      </c>
    </row>
    <row r="18" customFormat="false" ht="15" hidden="false" customHeight="false" outlineLevel="0" collapsed="false">
      <c r="A18" s="8" t="s">
        <v>79</v>
      </c>
      <c r="B18" s="9" t="s">
        <v>80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SUMIFS($H18:$CI18,$H$2:$CI$2,"День")</f>
        <v>4</v>
      </c>
      <c r="G18" s="5" t="n">
        <f aca="false">SUMIFS($H18:$CI18,$H$2:$CI$2,"Ночь")</f>
        <v>3</v>
      </c>
      <c r="H18" s="9" t="n">
        <f aca="false">SUMIFS('Исходные данные'!$I$2:$I$954,'Исходные данные'!$D$2:$D$954,H$1,'Исходные данные'!$F$2:$F$954,$A18)</f>
        <v>0</v>
      </c>
      <c r="I18" s="9" t="n">
        <f aca="false">SUMIFS('Исходные данные'!$J$2:$J$954,'Исходные данные'!$D$2:$D$954,H$1,'Исходные данные'!$F$2:$F$954,$A18)</f>
        <v>0</v>
      </c>
      <c r="J18" s="9" t="n">
        <f aca="false">SUMIFS('Исходные данные'!$I$2:$I$954,'Исходные данные'!$D$2:$D$954,J$1,'Исходные данные'!$F$2:$F$954,$A18)</f>
        <v>0</v>
      </c>
      <c r="K18" s="9" t="n">
        <f aca="false">SUMIFS('Исходные данные'!$J$2:$J$954,'Исходные данные'!$D$2:$D$954,J$1,'Исходные данные'!$F$2:$F$954,$A18)</f>
        <v>0</v>
      </c>
      <c r="L18" s="9" t="n">
        <f aca="false">SUMIFS('Исходные данные'!$I$2:$I$954,'Исходные данные'!$D$2:$D$954,L$1,'Исходные данные'!$F$2:$F$954,$A18)</f>
        <v>0</v>
      </c>
      <c r="M18" s="9" t="n">
        <f aca="false">SUMIFS('Исходные данные'!$J$2:$J$954,'Исходные данные'!$D$2:$D$954,L$1,'Исходные данные'!$F$2:$F$954,$A18)</f>
        <v>0</v>
      </c>
      <c r="N18" s="9" t="n">
        <f aca="false">SUMIFS('Исходные данные'!$I$2:$I$954,'Исходные данные'!$D$2:$D$954,N$1,'Исходные данные'!$F$2:$F$954,$A18)</f>
        <v>0</v>
      </c>
      <c r="O18" s="9" t="n">
        <f aca="false">SUMIFS('Исходные данные'!$J$2:$J$954,'Исходные данные'!$D$2:$D$954,N$1,'Исходные данные'!$F$2:$F$954,$A18)</f>
        <v>0</v>
      </c>
      <c r="P18" s="9" t="n">
        <f aca="false">SUMIFS('Исходные данные'!$I$2:$I$954,'Исходные данные'!$D$2:$D$954,P$1,'Исходные данные'!$F$2:$F$954,$A18)</f>
        <v>0</v>
      </c>
      <c r="Q18" s="9" t="n">
        <f aca="false">SUMIFS('Исходные данные'!$J$2:$J$954,'Исходные данные'!$D$2:$D$954,P$1,'Исходные данные'!$F$2:$F$954,$A18)</f>
        <v>0</v>
      </c>
      <c r="R18" s="9" t="n">
        <f aca="false">SUMIFS('Исходные данные'!$I$2:$I$954,'Исходные данные'!$D$2:$D$954,R$1,'Исходные данные'!$F$2:$F$954,$A18)</f>
        <v>0</v>
      </c>
      <c r="S18" s="9" t="n">
        <f aca="false">SUMIFS('Исходные данные'!$J$2:$J$954,'Исходные данные'!$D$2:$D$954,R$1,'Исходные данные'!$F$2:$F$954,$A18)</f>
        <v>0</v>
      </c>
      <c r="T18" s="9" t="n">
        <f aca="false">SUMIFS('Исходные данные'!$I$2:$I$954,'Исходные данные'!$D$2:$D$954,T$1,'Исходные данные'!$F$2:$F$954,$A18)</f>
        <v>0</v>
      </c>
      <c r="U18" s="9" t="n">
        <f aca="false">SUMIFS('Исходные данные'!$J$2:$J$954,'Исходные данные'!$D$2:$D$954,T$1,'Исходные данные'!$F$2:$F$954,$A18)</f>
        <v>0</v>
      </c>
      <c r="V18" s="9" t="n">
        <f aca="false">SUMIFS('Исходные данные'!$I$2:$I$954,'Исходные данные'!$D$2:$D$954,V$1,'Исходные данные'!$F$2:$F$954,$A18)</f>
        <v>0</v>
      </c>
      <c r="W18" s="9" t="n">
        <f aca="false">SUMIFS('Исходные данные'!$J$2:$J$954,'Исходные данные'!$D$2:$D$954,V$1,'Исходные данные'!$F$2:$F$954,$A18)</f>
        <v>0</v>
      </c>
      <c r="X18" s="9" t="n">
        <f aca="false">SUMIFS('Исходные данные'!$I$2:$I$954,'Исходные данные'!$D$2:$D$954,X$1,'Исходные данные'!$F$2:$F$954,$A18)</f>
        <v>0</v>
      </c>
      <c r="Y18" s="9" t="n">
        <f aca="false">SUMIFS('Исходные данные'!$J$2:$J$954,'Исходные данные'!$D$2:$D$954,X$1,'Исходные данные'!$F$2:$F$954,$A18)</f>
        <v>0</v>
      </c>
      <c r="Z18" s="9" t="n">
        <f aca="false">SUMIFS('Исходные данные'!$I$2:$I$954,'Исходные данные'!$D$2:$D$954,Z$1,'Исходные данные'!$F$2:$F$954,$A18)</f>
        <v>0</v>
      </c>
      <c r="AA18" s="9" t="n">
        <f aca="false">SUMIFS('Исходные данные'!$J$2:$J$954,'Исходные данные'!$D$2:$D$954,Z$1,'Исходные данные'!$F$2:$F$954,$A18)</f>
        <v>0</v>
      </c>
      <c r="AB18" s="9" t="n">
        <f aca="false">SUMIFS('Исходные данные'!$I$2:$I$954,'Исходные данные'!$D$2:$D$954,AB$1,'Исходные данные'!$F$2:$F$954,$A18)</f>
        <v>0</v>
      </c>
      <c r="AC18" s="9" t="n">
        <f aca="false">SUMIFS('Исходные данные'!$J$2:$J$954,'Исходные данные'!$D$2:$D$954,AB$1,'Исходные данные'!$F$2:$F$954,$A18)</f>
        <v>0</v>
      </c>
      <c r="AD18" s="9" t="n">
        <f aca="false">SUMIFS('Исходные данные'!$I$2:$I$954,'Исходные данные'!$D$2:$D$954,AD$1,'Исходные данные'!$F$2:$F$954,$A18)</f>
        <v>0</v>
      </c>
      <c r="AE18" s="9" t="n">
        <f aca="false">SUMIFS('Исходные данные'!$J$2:$J$954,'Исходные данные'!$D$2:$D$954,AD$1,'Исходные данные'!$F$2:$F$954,$A18)</f>
        <v>0</v>
      </c>
      <c r="AF18" s="9" t="n">
        <f aca="false">SUMIFS('Исходные данные'!$I$2:$I$954,'Исходные данные'!$D$2:$D$954,AF$1,'Исходные данные'!$F$2:$F$954,$A18)</f>
        <v>0</v>
      </c>
      <c r="AG18" s="9" t="n">
        <f aca="false">SUMIFS('Исходные данные'!$J$2:$J$954,'Исходные данные'!$D$2:$D$954,AF$1,'Исходные данные'!$F$2:$F$954,$A18)</f>
        <v>0</v>
      </c>
      <c r="AH18" s="9" t="n">
        <f aca="false">SUMIFS('Исходные данные'!$I$2:$I$954,'Исходные данные'!$D$2:$D$954,AH$1,'Исходные данные'!$F$2:$F$954,$A18)</f>
        <v>0</v>
      </c>
      <c r="AI18" s="9" t="n">
        <f aca="false">SUMIFS('Исходные данные'!$J$2:$J$954,'Исходные данные'!$D$2:$D$954,AH$1,'Исходные данные'!$F$2:$F$954,$A18)</f>
        <v>0</v>
      </c>
      <c r="AJ18" s="9" t="n">
        <f aca="false">SUMIFS('Исходные данные'!$I$2:$I$954,'Исходные данные'!$D$2:$D$954,AJ$1,'Исходные данные'!$F$2:$F$954,$A18)</f>
        <v>0</v>
      </c>
      <c r="AK18" s="9" t="n">
        <f aca="false">SUMIFS('Исходные данные'!$J$2:$J$954,'Исходные данные'!$D$2:$D$954,AJ$1,'Исходные данные'!$F$2:$F$954,$A18)</f>
        <v>0</v>
      </c>
      <c r="AL18" s="9" t="n">
        <f aca="false">SUMIFS('Исходные данные'!$I$2:$I$954,'Исходные данные'!$D$2:$D$954,AL$1,'Исходные данные'!$F$2:$F$954,$A18)</f>
        <v>0</v>
      </c>
      <c r="AM18" s="9" t="n">
        <f aca="false">SUMIFS('Исходные данные'!$J$2:$J$954,'Исходные данные'!$D$2:$D$954,AL$1,'Исходные данные'!$F$2:$F$954,$A18)</f>
        <v>0</v>
      </c>
      <c r="AN18" s="9" t="n">
        <f aca="false">SUMIFS('Исходные данные'!$I$2:$I$954,'Исходные данные'!$D$2:$D$954,AN$1,'Исходные данные'!$F$2:$F$954,$A18)</f>
        <v>0</v>
      </c>
      <c r="AO18" s="9" t="n">
        <f aca="false">SUMIFS('Исходные данные'!$J$2:$J$954,'Исходные данные'!$D$2:$D$954,AN$1,'Исходные данные'!$F$2:$F$954,$A18)</f>
        <v>0</v>
      </c>
      <c r="AP18" s="9" t="n">
        <f aca="false">SUMIFS('Исходные данные'!$I$2:$I$954,'Исходные данные'!$D$2:$D$954,AP$1,'Исходные данные'!$F$2:$F$954,$A18)</f>
        <v>0</v>
      </c>
      <c r="AQ18" s="9" t="n">
        <f aca="false">SUMIFS('Исходные данные'!$J$2:$J$954,'Исходные данные'!$D$2:$D$954,AP$1,'Исходные данные'!$F$2:$F$954,$A18)</f>
        <v>0</v>
      </c>
      <c r="AR18" s="9" t="n">
        <f aca="false">SUMIFS('Исходные данные'!$I$2:$I$954,'Исходные данные'!$D$2:$D$954,AR$1,'Исходные данные'!$F$2:$F$954,$A18)</f>
        <v>0</v>
      </c>
      <c r="AS18" s="9" t="n">
        <f aca="false">SUMIFS('Исходные данные'!$J$2:$J$954,'Исходные данные'!$D$2:$D$954,AR$1,'Исходные данные'!$F$2:$F$954,$A18)</f>
        <v>0</v>
      </c>
      <c r="AT18" s="9" t="n">
        <f aca="false">SUMIFS('Исходные данные'!$I$2:$I$954,'Исходные данные'!$D$2:$D$954,AT$1,'Исходные данные'!$F$2:$F$954,$A18)</f>
        <v>0</v>
      </c>
      <c r="AU18" s="9" t="n">
        <f aca="false">SUMIFS('Исходные данные'!$J$2:$J$954,'Исходные данные'!$D$2:$D$954,AT$1,'Исходные данные'!$F$2:$F$954,$A18)</f>
        <v>0</v>
      </c>
      <c r="AV18" s="9" t="n">
        <f aca="false">SUMIFS('Исходные данные'!$I$2:$I$954,'Исходные данные'!$D$2:$D$954,AV$1,'Исходные данные'!$F$2:$F$954,$A18)</f>
        <v>0</v>
      </c>
      <c r="AW18" s="9" t="n">
        <f aca="false">SUMIFS('Исходные данные'!$J$2:$J$954,'Исходные данные'!$D$2:$D$954,AV$1,'Исходные данные'!$F$2:$F$954,$A18)</f>
        <v>0</v>
      </c>
      <c r="AX18" s="9" t="n">
        <f aca="false">SUMIFS('Исходные данные'!$I$2:$I$954,'Исходные данные'!$D$2:$D$954,AX$1,'Исходные данные'!$F$2:$F$954,$A18)</f>
        <v>0</v>
      </c>
      <c r="AY18" s="9" t="n">
        <f aca="false">SUMIFS('Исходные данные'!$J$2:$J$954,'Исходные данные'!$D$2:$D$954,AX$1,'Исходные данные'!$F$2:$F$954,$A18)</f>
        <v>0</v>
      </c>
      <c r="AZ18" s="9" t="n">
        <f aca="false">SUMIFS('Исходные данные'!$I$2:$I$954,'Исходные данные'!$D$2:$D$954,AZ$1,'Исходные данные'!$F$2:$F$954,$A18)</f>
        <v>0</v>
      </c>
      <c r="BA18" s="9" t="n">
        <f aca="false">SUMIFS('Исходные данные'!$J$2:$J$954,'Исходные данные'!$D$2:$D$954,AZ$1,'Исходные данные'!$F$2:$F$954,$A18)</f>
        <v>0</v>
      </c>
      <c r="BB18" s="9" t="n">
        <f aca="false">SUMIFS('Исходные данные'!$I$2:$I$954,'Исходные данные'!$D$2:$D$954,BB$1,'Исходные данные'!$F$2:$F$954,$A18)</f>
        <v>0</v>
      </c>
      <c r="BC18" s="9" t="n">
        <f aca="false">SUMIFS('Исходные данные'!$J$2:$J$954,'Исходные данные'!$D$2:$D$954,BB$1,'Исходные данные'!$F$2:$F$954,$A18)</f>
        <v>0</v>
      </c>
      <c r="BD18" s="9" t="n">
        <f aca="false">SUMIFS('Исходные данные'!$I$2:$I$954,'Исходные данные'!$D$2:$D$954,BD$1,'Исходные данные'!$F$2:$F$954,$A18)</f>
        <v>0</v>
      </c>
      <c r="BE18" s="9" t="n">
        <f aca="false">SUMIFS('Исходные данные'!$J$2:$J$954,'Исходные данные'!$D$2:$D$954,BD$1,'Исходные данные'!$F$2:$F$954,$A18)</f>
        <v>0</v>
      </c>
      <c r="BF18" s="9" t="n">
        <f aca="false">SUMIFS('Исходные данные'!$I$2:$I$954,'Исходные данные'!$D$2:$D$954,BF$1,'Исходные данные'!$F$2:$F$954,$A18)</f>
        <v>0</v>
      </c>
      <c r="BG18" s="9" t="n">
        <f aca="false">SUMIFS('Исходные данные'!$J$2:$J$954,'Исходные данные'!$D$2:$D$954,BF$1,'Исходные данные'!$F$2:$F$954,$A18)</f>
        <v>0</v>
      </c>
      <c r="BH18" s="9" t="n">
        <f aca="false">SUMIFS('Исходные данные'!$I$2:$I$954,'Исходные данные'!$D$2:$D$954,BH$1,'Исходные данные'!$F$2:$F$954,$A18)</f>
        <v>0</v>
      </c>
      <c r="BI18" s="9" t="n">
        <f aca="false">SUMIFS('Исходные данные'!$J$2:$J$954,'Исходные данные'!$D$2:$D$954,BH$1,'Исходные данные'!$F$2:$F$954,$A18)</f>
        <v>0</v>
      </c>
      <c r="BJ18" s="9" t="n">
        <f aca="false">SUMIFS('Исходные данные'!$I$2:$I$954,'Исходные данные'!$D$2:$D$954,BJ$1,'Исходные данные'!$F$2:$F$954,$A18)</f>
        <v>0</v>
      </c>
      <c r="BK18" s="9" t="n">
        <f aca="false">SUMIFS('Исходные данные'!$J$2:$J$954,'Исходные данные'!$D$2:$D$954,BJ$1,'Исходные данные'!$F$2:$F$954,$A18)</f>
        <v>0</v>
      </c>
      <c r="BL18" s="9" t="n">
        <f aca="false">SUMIFS('Исходные данные'!$I$2:$I$954,'Исходные данные'!$D$2:$D$954,BL$1,'Исходные данные'!$F$2:$F$954,$A18)</f>
        <v>0</v>
      </c>
      <c r="BM18" s="9" t="n">
        <f aca="false">SUMIFS('Исходные данные'!$J$2:$J$954,'Исходные данные'!$D$2:$D$954,BL$1,'Исходные данные'!$F$2:$F$954,$A18)</f>
        <v>0</v>
      </c>
      <c r="BN18" s="9" t="n">
        <f aca="false">SUMIFS('Исходные данные'!$I$2:$I$954,'Исходные данные'!$D$2:$D$954,BN$1,'Исходные данные'!$F$2:$F$954,$A18)</f>
        <v>0</v>
      </c>
      <c r="BO18" s="9" t="n">
        <f aca="false">SUMIFS('Исходные данные'!$J$2:$J$954,'Исходные данные'!$D$2:$D$954,BN$1,'Исходные данные'!$F$2:$F$954,$A18)</f>
        <v>0</v>
      </c>
      <c r="BP18" s="9" t="n">
        <f aca="false">SUMIFS('Исходные данные'!$I$2:$I$954,'Исходные данные'!$D$2:$D$954,BP$1,'Исходные данные'!$F$2:$F$954,$A18)</f>
        <v>0</v>
      </c>
      <c r="BQ18" s="9" t="n">
        <f aca="false">SUMIFS('Исходные данные'!$J$2:$J$954,'Исходные данные'!$D$2:$D$954,BP$1,'Исходные данные'!$F$2:$F$954,$A18)</f>
        <v>0</v>
      </c>
      <c r="BR18" s="9" t="n">
        <f aca="false">SUMIFS('Исходные данные'!$I$2:$I$954,'Исходные данные'!$D$2:$D$954,BR$1,'Исходные данные'!$F$2:$F$954,$A18)</f>
        <v>0</v>
      </c>
      <c r="BS18" s="9" t="n">
        <f aca="false">SUMIFS('Исходные данные'!$J$2:$J$954,'Исходные данные'!$D$2:$D$954,BR$1,'Исходные данные'!$F$2:$F$954,$A18)</f>
        <v>0</v>
      </c>
      <c r="BT18" s="9" t="n">
        <f aca="false">SUMIFS('Исходные данные'!$I$2:$I$954,'Исходные данные'!$D$2:$D$954,BT$1,'Исходные данные'!$F$2:$F$954,$A18)</f>
        <v>0</v>
      </c>
      <c r="BU18" s="9" t="n">
        <f aca="false">SUMIFS('Исходные данные'!$J$2:$J$954,'Исходные данные'!$D$2:$D$954,BT$1,'Исходные данные'!$F$2:$F$954,$A18)</f>
        <v>0</v>
      </c>
      <c r="BV18" s="9" t="n">
        <f aca="false">SUMIFS('Исходные данные'!$I$2:$I$954,'Исходные данные'!$D$2:$D$954,BV$1,'Исходные данные'!$F$2:$F$954,$A18)</f>
        <v>0</v>
      </c>
      <c r="BW18" s="9" t="n">
        <f aca="false">SUMIFS('Исходные данные'!$J$2:$J$954,'Исходные данные'!$D$2:$D$954,BV$1,'Исходные данные'!$F$2:$F$954,$A18)</f>
        <v>0</v>
      </c>
      <c r="BX18" s="9" t="n">
        <f aca="false">SUMIFS('Исходные данные'!$I$2:$I$954,'Исходные данные'!$D$2:$D$954,BX$1,'Исходные данные'!$F$2:$F$954,$A18)</f>
        <v>0</v>
      </c>
      <c r="BY18" s="9" t="n">
        <f aca="false">SUMIFS('Исходные данные'!$J$2:$J$954,'Исходные данные'!$D$2:$D$954,BX$1,'Исходные данные'!$F$2:$F$954,$A18)</f>
        <v>0</v>
      </c>
      <c r="BZ18" s="9" t="n">
        <f aca="false">SUMIFS('Исходные данные'!$I$2:$I$954,'Исходные данные'!$D$2:$D$954,BZ$1,'Исходные данные'!$F$2:$F$954,$A18)</f>
        <v>0</v>
      </c>
      <c r="CA18" s="9" t="n">
        <f aca="false">SUMIFS('Исходные данные'!$J$2:$J$954,'Исходные данные'!$D$2:$D$954,BZ$1,'Исходные данные'!$F$2:$F$954,$A18)</f>
        <v>0</v>
      </c>
      <c r="CB18" s="9" t="n">
        <f aca="false">SUMIFS('Исходные данные'!$I$2:$I$954,'Исходные данные'!$D$2:$D$954,CB$1,'Исходные данные'!$F$2:$F$954,$A18)</f>
        <v>0</v>
      </c>
      <c r="CC18" s="9" t="n">
        <f aca="false">SUMIFS('Исходные данные'!$J$2:$J$954,'Исходные данные'!$D$2:$D$954,CB$1,'Исходные данные'!$F$2:$F$954,$A18)</f>
        <v>0</v>
      </c>
      <c r="CD18" s="9" t="n">
        <f aca="false">SUMIFS('Исходные данные'!$I$2:$I$954,'Исходные данные'!$D$2:$D$954,CD$1,'Исходные данные'!$F$2:$F$954,$A18)</f>
        <v>0</v>
      </c>
      <c r="CE18" s="9" t="n">
        <f aca="false">SUMIFS('Исходные данные'!$J$2:$J$954,'Исходные данные'!$D$2:$D$954,CD$1,'Исходные данные'!$F$2:$F$954,$A18)</f>
        <v>0</v>
      </c>
      <c r="CF18" s="9" t="n">
        <f aca="false">SUMIFS('Исходные данные'!$I$2:$I$954,'Исходные данные'!$D$2:$D$954,CF$1,'Исходные данные'!$F$2:$F$954,$A18)</f>
        <v>0</v>
      </c>
      <c r="CG18" s="9" t="n">
        <f aca="false">SUMIFS('Исходные данные'!$J$2:$J$954,'Исходные данные'!$D$2:$D$954,CF$1,'Исходные данные'!$F$2:$F$954,$A18)</f>
        <v>0</v>
      </c>
      <c r="CH18" s="9" t="n">
        <f aca="false">SUMIFS('Исходные данные'!$I$2:$I$954,'Исходные данные'!$D$2:$D$954,CH$1,'Исходные данные'!$F$2:$F$954,$A18)</f>
        <v>4</v>
      </c>
      <c r="CI18" s="9" t="n">
        <f aca="false">SUMIFS('Исходные данные'!$J$2:$J$954,'Исходные данные'!$D$2:$D$954,CH$1,'Исходные данные'!$F$2:$F$954,$A18)</f>
        <v>3</v>
      </c>
    </row>
    <row r="19" customFormat="false" ht="15" hidden="false" customHeight="false" outlineLevel="0" collapsed="false">
      <c r="A19" s="8" t="s">
        <v>81</v>
      </c>
      <c r="B19" s="9" t="s">
        <v>82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SUMIFS($H19:$CI19,$H$2:$CI$2,"День")</f>
        <v>5</v>
      </c>
      <c r="G19" s="5" t="n">
        <f aca="false">SUMIFS($H19:$CI19,$H$2:$CI$2,"Ночь")</f>
        <v>0</v>
      </c>
      <c r="H19" s="9" t="n">
        <f aca="false">SUMIFS('Исходные данные'!$I$2:$I$954,'Исходные данные'!$D$2:$D$954,H$1,'Исходные данные'!$F$2:$F$954,$A19)</f>
        <v>0</v>
      </c>
      <c r="I19" s="9" t="n">
        <f aca="false">SUMIFS('Исходные данные'!$J$2:$J$954,'Исходные данные'!$D$2:$D$954,H$1,'Исходные данные'!$F$2:$F$954,$A19)</f>
        <v>0</v>
      </c>
      <c r="J19" s="9" t="n">
        <f aca="false">SUMIFS('Исходные данные'!$I$2:$I$954,'Исходные данные'!$D$2:$D$954,J$1,'Исходные данные'!$F$2:$F$954,$A19)</f>
        <v>0</v>
      </c>
      <c r="K19" s="9" t="n">
        <f aca="false">SUMIFS('Исходные данные'!$J$2:$J$954,'Исходные данные'!$D$2:$D$954,J$1,'Исходные данные'!$F$2:$F$954,$A19)</f>
        <v>0</v>
      </c>
      <c r="L19" s="9" t="n">
        <f aca="false">SUMIFS('Исходные данные'!$I$2:$I$954,'Исходные данные'!$D$2:$D$954,L$1,'Исходные данные'!$F$2:$F$954,$A19)</f>
        <v>0</v>
      </c>
      <c r="M19" s="9" t="n">
        <f aca="false">SUMIFS('Исходные данные'!$J$2:$J$954,'Исходные данные'!$D$2:$D$954,L$1,'Исходные данные'!$F$2:$F$954,$A19)</f>
        <v>0</v>
      </c>
      <c r="N19" s="9" t="n">
        <f aca="false">SUMIFS('Исходные данные'!$I$2:$I$954,'Исходные данные'!$D$2:$D$954,N$1,'Исходные данные'!$F$2:$F$954,$A19)</f>
        <v>0</v>
      </c>
      <c r="O19" s="9" t="n">
        <f aca="false">SUMIFS('Исходные данные'!$J$2:$J$954,'Исходные данные'!$D$2:$D$954,N$1,'Исходные данные'!$F$2:$F$954,$A19)</f>
        <v>0</v>
      </c>
      <c r="P19" s="9" t="n">
        <f aca="false">SUMIFS('Исходные данные'!$I$2:$I$954,'Исходные данные'!$D$2:$D$954,P$1,'Исходные данные'!$F$2:$F$954,$A19)</f>
        <v>0</v>
      </c>
      <c r="Q19" s="9" t="n">
        <f aca="false">SUMIFS('Исходные данные'!$J$2:$J$954,'Исходные данные'!$D$2:$D$954,P$1,'Исходные данные'!$F$2:$F$954,$A19)</f>
        <v>0</v>
      </c>
      <c r="R19" s="9" t="n">
        <f aca="false">SUMIFS('Исходные данные'!$I$2:$I$954,'Исходные данные'!$D$2:$D$954,R$1,'Исходные данные'!$F$2:$F$954,$A19)</f>
        <v>0</v>
      </c>
      <c r="S19" s="9" t="n">
        <f aca="false">SUMIFS('Исходные данные'!$J$2:$J$954,'Исходные данные'!$D$2:$D$954,R$1,'Исходные данные'!$F$2:$F$954,$A19)</f>
        <v>0</v>
      </c>
      <c r="T19" s="9" t="n">
        <f aca="false">SUMIFS('Исходные данные'!$I$2:$I$954,'Исходные данные'!$D$2:$D$954,T$1,'Исходные данные'!$F$2:$F$954,$A19)</f>
        <v>0</v>
      </c>
      <c r="U19" s="9" t="n">
        <f aca="false">SUMIFS('Исходные данные'!$J$2:$J$954,'Исходные данные'!$D$2:$D$954,T$1,'Исходные данные'!$F$2:$F$954,$A19)</f>
        <v>0</v>
      </c>
      <c r="V19" s="9" t="n">
        <f aca="false">SUMIFS('Исходные данные'!$I$2:$I$954,'Исходные данные'!$D$2:$D$954,V$1,'Исходные данные'!$F$2:$F$954,$A19)</f>
        <v>0</v>
      </c>
      <c r="W19" s="9" t="n">
        <f aca="false">SUMIFS('Исходные данные'!$J$2:$J$954,'Исходные данные'!$D$2:$D$954,V$1,'Исходные данные'!$F$2:$F$954,$A19)</f>
        <v>0</v>
      </c>
      <c r="X19" s="9" t="n">
        <f aca="false">SUMIFS('Исходные данные'!$I$2:$I$954,'Исходные данные'!$D$2:$D$954,X$1,'Исходные данные'!$F$2:$F$954,$A19)</f>
        <v>0</v>
      </c>
      <c r="Y19" s="9" t="n">
        <f aca="false">SUMIFS('Исходные данные'!$J$2:$J$954,'Исходные данные'!$D$2:$D$954,X$1,'Исходные данные'!$F$2:$F$954,$A19)</f>
        <v>0</v>
      </c>
      <c r="Z19" s="9" t="n">
        <f aca="false">SUMIFS('Исходные данные'!$I$2:$I$954,'Исходные данные'!$D$2:$D$954,Z$1,'Исходные данные'!$F$2:$F$954,$A19)</f>
        <v>0</v>
      </c>
      <c r="AA19" s="9" t="n">
        <f aca="false">SUMIFS('Исходные данные'!$J$2:$J$954,'Исходные данные'!$D$2:$D$954,Z$1,'Исходные данные'!$F$2:$F$954,$A19)</f>
        <v>0</v>
      </c>
      <c r="AB19" s="9" t="n">
        <f aca="false">SUMIFS('Исходные данные'!$I$2:$I$954,'Исходные данные'!$D$2:$D$954,AB$1,'Исходные данные'!$F$2:$F$954,$A19)</f>
        <v>0</v>
      </c>
      <c r="AC19" s="9" t="n">
        <f aca="false">SUMIFS('Исходные данные'!$J$2:$J$954,'Исходные данные'!$D$2:$D$954,AB$1,'Исходные данные'!$F$2:$F$954,$A19)</f>
        <v>0</v>
      </c>
      <c r="AD19" s="9" t="n">
        <f aca="false">SUMIFS('Исходные данные'!$I$2:$I$954,'Исходные данные'!$D$2:$D$954,AD$1,'Исходные данные'!$F$2:$F$954,$A19)</f>
        <v>0</v>
      </c>
      <c r="AE19" s="9" t="n">
        <f aca="false">SUMIFS('Исходные данные'!$J$2:$J$954,'Исходные данные'!$D$2:$D$954,AD$1,'Исходные данные'!$F$2:$F$954,$A19)</f>
        <v>0</v>
      </c>
      <c r="AF19" s="9" t="n">
        <f aca="false">SUMIFS('Исходные данные'!$I$2:$I$954,'Исходные данные'!$D$2:$D$954,AF$1,'Исходные данные'!$F$2:$F$954,$A19)</f>
        <v>1</v>
      </c>
      <c r="AG19" s="9" t="n">
        <f aca="false">SUMIFS('Исходные данные'!$J$2:$J$954,'Исходные данные'!$D$2:$D$954,AF$1,'Исходные данные'!$F$2:$F$954,$A19)</f>
        <v>0</v>
      </c>
      <c r="AH19" s="9" t="n">
        <f aca="false">SUMIFS('Исходные данные'!$I$2:$I$954,'Исходные данные'!$D$2:$D$954,AH$1,'Исходные данные'!$F$2:$F$954,$A19)</f>
        <v>4</v>
      </c>
      <c r="AI19" s="9" t="n">
        <f aca="false">SUMIFS('Исходные данные'!$J$2:$J$954,'Исходные данные'!$D$2:$D$954,AH$1,'Исходные данные'!$F$2:$F$954,$A19)</f>
        <v>0</v>
      </c>
      <c r="AJ19" s="9" t="n">
        <f aca="false">SUMIFS('Исходные данные'!$I$2:$I$954,'Исходные данные'!$D$2:$D$954,AJ$1,'Исходные данные'!$F$2:$F$954,$A19)</f>
        <v>0</v>
      </c>
      <c r="AK19" s="9" t="n">
        <f aca="false">SUMIFS('Исходные данные'!$J$2:$J$954,'Исходные данные'!$D$2:$D$954,AJ$1,'Исходные данные'!$F$2:$F$954,$A19)</f>
        <v>0</v>
      </c>
      <c r="AL19" s="9" t="n">
        <f aca="false">SUMIFS('Исходные данные'!$I$2:$I$954,'Исходные данные'!$D$2:$D$954,AL$1,'Исходные данные'!$F$2:$F$954,$A19)</f>
        <v>0</v>
      </c>
      <c r="AM19" s="9" t="n">
        <f aca="false">SUMIFS('Исходные данные'!$J$2:$J$954,'Исходные данные'!$D$2:$D$954,AL$1,'Исходные данные'!$F$2:$F$954,$A19)</f>
        <v>0</v>
      </c>
      <c r="AN19" s="9" t="n">
        <f aca="false">SUMIFS('Исходные данные'!$I$2:$I$954,'Исходные данные'!$D$2:$D$954,AN$1,'Исходные данные'!$F$2:$F$954,$A19)</f>
        <v>0</v>
      </c>
      <c r="AO19" s="9" t="n">
        <f aca="false">SUMIFS('Исходные данные'!$J$2:$J$954,'Исходные данные'!$D$2:$D$954,AN$1,'Исходные данные'!$F$2:$F$954,$A19)</f>
        <v>0</v>
      </c>
      <c r="AP19" s="9" t="n">
        <f aca="false">SUMIFS('Исходные данные'!$I$2:$I$954,'Исходные данные'!$D$2:$D$954,AP$1,'Исходные данные'!$F$2:$F$954,$A19)</f>
        <v>0</v>
      </c>
      <c r="AQ19" s="9" t="n">
        <f aca="false">SUMIFS('Исходные данные'!$J$2:$J$954,'Исходные данные'!$D$2:$D$954,AP$1,'Исходные данные'!$F$2:$F$954,$A19)</f>
        <v>0</v>
      </c>
      <c r="AR19" s="9" t="n">
        <f aca="false">SUMIFS('Исходные данные'!$I$2:$I$954,'Исходные данные'!$D$2:$D$954,AR$1,'Исходные данные'!$F$2:$F$954,$A19)</f>
        <v>0</v>
      </c>
      <c r="AS19" s="9" t="n">
        <f aca="false">SUMIFS('Исходные данные'!$J$2:$J$954,'Исходные данные'!$D$2:$D$954,AR$1,'Исходные данные'!$F$2:$F$954,$A19)</f>
        <v>0</v>
      </c>
      <c r="AT19" s="9" t="n">
        <f aca="false">SUMIFS('Исходные данные'!$I$2:$I$954,'Исходные данные'!$D$2:$D$954,AT$1,'Исходные данные'!$F$2:$F$954,$A19)</f>
        <v>0</v>
      </c>
      <c r="AU19" s="9" t="n">
        <f aca="false">SUMIFS('Исходные данные'!$J$2:$J$954,'Исходные данные'!$D$2:$D$954,AT$1,'Исходные данные'!$F$2:$F$954,$A19)</f>
        <v>0</v>
      </c>
      <c r="AV19" s="9" t="n">
        <f aca="false">SUMIFS('Исходные данные'!$I$2:$I$954,'Исходные данные'!$D$2:$D$954,AV$1,'Исходные данные'!$F$2:$F$954,$A19)</f>
        <v>0</v>
      </c>
      <c r="AW19" s="9" t="n">
        <f aca="false">SUMIFS('Исходные данные'!$J$2:$J$954,'Исходные данные'!$D$2:$D$954,AV$1,'Исходные данные'!$F$2:$F$954,$A19)</f>
        <v>0</v>
      </c>
      <c r="AX19" s="9" t="n">
        <f aca="false">SUMIFS('Исходные данные'!$I$2:$I$954,'Исходные данные'!$D$2:$D$954,AX$1,'Исходные данные'!$F$2:$F$954,$A19)</f>
        <v>0</v>
      </c>
      <c r="AY19" s="9" t="n">
        <f aca="false">SUMIFS('Исходные данные'!$J$2:$J$954,'Исходные данные'!$D$2:$D$954,AX$1,'Исходные данные'!$F$2:$F$954,$A19)</f>
        <v>0</v>
      </c>
      <c r="AZ19" s="9" t="n">
        <f aca="false">SUMIFS('Исходные данные'!$I$2:$I$954,'Исходные данные'!$D$2:$D$954,AZ$1,'Исходные данные'!$F$2:$F$954,$A19)</f>
        <v>0</v>
      </c>
      <c r="BA19" s="9" t="n">
        <f aca="false">SUMIFS('Исходные данные'!$J$2:$J$954,'Исходные данные'!$D$2:$D$954,AZ$1,'Исходные данные'!$F$2:$F$954,$A19)</f>
        <v>0</v>
      </c>
      <c r="BB19" s="9" t="n">
        <f aca="false">SUMIFS('Исходные данные'!$I$2:$I$954,'Исходные данные'!$D$2:$D$954,BB$1,'Исходные данные'!$F$2:$F$954,$A19)</f>
        <v>0</v>
      </c>
      <c r="BC19" s="9" t="n">
        <f aca="false">SUMIFS('Исходные данные'!$J$2:$J$954,'Исходные данные'!$D$2:$D$954,BB$1,'Исходные данные'!$F$2:$F$954,$A19)</f>
        <v>0</v>
      </c>
      <c r="BD19" s="9" t="n">
        <f aca="false">SUMIFS('Исходные данные'!$I$2:$I$954,'Исходные данные'!$D$2:$D$954,BD$1,'Исходные данные'!$F$2:$F$954,$A19)</f>
        <v>0</v>
      </c>
      <c r="BE19" s="9" t="n">
        <f aca="false">SUMIFS('Исходные данные'!$J$2:$J$954,'Исходные данные'!$D$2:$D$954,BD$1,'Исходные данные'!$F$2:$F$954,$A19)</f>
        <v>0</v>
      </c>
      <c r="BF19" s="9" t="n">
        <f aca="false">SUMIFS('Исходные данные'!$I$2:$I$954,'Исходные данные'!$D$2:$D$954,BF$1,'Исходные данные'!$F$2:$F$954,$A19)</f>
        <v>0</v>
      </c>
      <c r="BG19" s="9" t="n">
        <f aca="false">SUMIFS('Исходные данные'!$J$2:$J$954,'Исходные данные'!$D$2:$D$954,BF$1,'Исходные данные'!$F$2:$F$954,$A19)</f>
        <v>0</v>
      </c>
      <c r="BH19" s="9" t="n">
        <f aca="false">SUMIFS('Исходные данные'!$I$2:$I$954,'Исходные данные'!$D$2:$D$954,BH$1,'Исходные данные'!$F$2:$F$954,$A19)</f>
        <v>0</v>
      </c>
      <c r="BI19" s="9" t="n">
        <f aca="false">SUMIFS('Исходные данные'!$J$2:$J$954,'Исходные данные'!$D$2:$D$954,BH$1,'Исходные данные'!$F$2:$F$954,$A19)</f>
        <v>0</v>
      </c>
      <c r="BJ19" s="9" t="n">
        <f aca="false">SUMIFS('Исходные данные'!$I$2:$I$954,'Исходные данные'!$D$2:$D$954,BJ$1,'Исходные данные'!$F$2:$F$954,$A19)</f>
        <v>0</v>
      </c>
      <c r="BK19" s="9" t="n">
        <f aca="false">SUMIFS('Исходные данные'!$J$2:$J$954,'Исходные данные'!$D$2:$D$954,BJ$1,'Исходные данные'!$F$2:$F$954,$A19)</f>
        <v>0</v>
      </c>
      <c r="BL19" s="9" t="n">
        <f aca="false">SUMIFS('Исходные данные'!$I$2:$I$954,'Исходные данные'!$D$2:$D$954,BL$1,'Исходные данные'!$F$2:$F$954,$A19)</f>
        <v>0</v>
      </c>
      <c r="BM19" s="9" t="n">
        <f aca="false">SUMIFS('Исходные данные'!$J$2:$J$954,'Исходные данные'!$D$2:$D$954,BL$1,'Исходные данные'!$F$2:$F$954,$A19)</f>
        <v>0</v>
      </c>
      <c r="BN19" s="9" t="n">
        <f aca="false">SUMIFS('Исходные данные'!$I$2:$I$954,'Исходные данные'!$D$2:$D$954,BN$1,'Исходные данные'!$F$2:$F$954,$A19)</f>
        <v>0</v>
      </c>
      <c r="BO19" s="9" t="n">
        <f aca="false">SUMIFS('Исходные данные'!$J$2:$J$954,'Исходные данные'!$D$2:$D$954,BN$1,'Исходные данные'!$F$2:$F$954,$A19)</f>
        <v>0</v>
      </c>
      <c r="BP19" s="9" t="n">
        <f aca="false">SUMIFS('Исходные данные'!$I$2:$I$954,'Исходные данные'!$D$2:$D$954,BP$1,'Исходные данные'!$F$2:$F$954,$A19)</f>
        <v>0</v>
      </c>
      <c r="BQ19" s="9" t="n">
        <f aca="false">SUMIFS('Исходные данные'!$J$2:$J$954,'Исходные данные'!$D$2:$D$954,BP$1,'Исходные данные'!$F$2:$F$954,$A19)</f>
        <v>0</v>
      </c>
      <c r="BR19" s="9" t="n">
        <f aca="false">SUMIFS('Исходные данные'!$I$2:$I$954,'Исходные данные'!$D$2:$D$954,BR$1,'Исходные данные'!$F$2:$F$954,$A19)</f>
        <v>0</v>
      </c>
      <c r="BS19" s="9" t="n">
        <f aca="false">SUMIFS('Исходные данные'!$J$2:$J$954,'Исходные данные'!$D$2:$D$954,BR$1,'Исходные данные'!$F$2:$F$954,$A19)</f>
        <v>0</v>
      </c>
      <c r="BT19" s="9" t="n">
        <f aca="false">SUMIFS('Исходные данные'!$I$2:$I$954,'Исходные данные'!$D$2:$D$954,BT$1,'Исходные данные'!$F$2:$F$954,$A19)</f>
        <v>0</v>
      </c>
      <c r="BU19" s="9" t="n">
        <f aca="false">SUMIFS('Исходные данные'!$J$2:$J$954,'Исходные данные'!$D$2:$D$954,BT$1,'Исходные данные'!$F$2:$F$954,$A19)</f>
        <v>0</v>
      </c>
      <c r="BV19" s="9" t="n">
        <f aca="false">SUMIFS('Исходные данные'!$I$2:$I$954,'Исходные данные'!$D$2:$D$954,BV$1,'Исходные данные'!$F$2:$F$954,$A19)</f>
        <v>0</v>
      </c>
      <c r="BW19" s="9" t="n">
        <f aca="false">SUMIFS('Исходные данные'!$J$2:$J$954,'Исходные данные'!$D$2:$D$954,BV$1,'Исходные данные'!$F$2:$F$954,$A19)</f>
        <v>0</v>
      </c>
      <c r="BX19" s="9" t="n">
        <f aca="false">SUMIFS('Исходные данные'!$I$2:$I$954,'Исходные данные'!$D$2:$D$954,BX$1,'Исходные данные'!$F$2:$F$954,$A19)</f>
        <v>0</v>
      </c>
      <c r="BY19" s="9" t="n">
        <f aca="false">SUMIFS('Исходные данные'!$J$2:$J$954,'Исходные данные'!$D$2:$D$954,BX$1,'Исходные данные'!$F$2:$F$954,$A19)</f>
        <v>0</v>
      </c>
      <c r="BZ19" s="9" t="n">
        <f aca="false">SUMIFS('Исходные данные'!$I$2:$I$954,'Исходные данные'!$D$2:$D$954,BZ$1,'Исходные данные'!$F$2:$F$954,$A19)</f>
        <v>0</v>
      </c>
      <c r="CA19" s="9" t="n">
        <f aca="false">SUMIFS('Исходные данные'!$J$2:$J$954,'Исходные данные'!$D$2:$D$954,BZ$1,'Исходные данные'!$F$2:$F$954,$A19)</f>
        <v>0</v>
      </c>
      <c r="CB19" s="9" t="n">
        <f aca="false">SUMIFS('Исходные данные'!$I$2:$I$954,'Исходные данные'!$D$2:$D$954,CB$1,'Исходные данные'!$F$2:$F$954,$A19)</f>
        <v>0</v>
      </c>
      <c r="CC19" s="9" t="n">
        <f aca="false">SUMIFS('Исходные данные'!$J$2:$J$954,'Исходные данные'!$D$2:$D$954,CB$1,'Исходные данные'!$F$2:$F$954,$A19)</f>
        <v>0</v>
      </c>
      <c r="CD19" s="9" t="n">
        <f aca="false">SUMIFS('Исходные данные'!$I$2:$I$954,'Исходные данные'!$D$2:$D$954,CD$1,'Исходные данные'!$F$2:$F$954,$A19)</f>
        <v>0</v>
      </c>
      <c r="CE19" s="9" t="n">
        <f aca="false">SUMIFS('Исходные данные'!$J$2:$J$954,'Исходные данные'!$D$2:$D$954,CD$1,'Исходные данные'!$F$2:$F$954,$A19)</f>
        <v>0</v>
      </c>
      <c r="CF19" s="9" t="n">
        <f aca="false">SUMIFS('Исходные данные'!$I$2:$I$954,'Исходные данные'!$D$2:$D$954,CF$1,'Исходные данные'!$F$2:$F$954,$A19)</f>
        <v>0</v>
      </c>
      <c r="CG19" s="9" t="n">
        <f aca="false">SUMIFS('Исходные данные'!$J$2:$J$954,'Исходные данные'!$D$2:$D$954,CF$1,'Исходные данные'!$F$2:$F$954,$A19)</f>
        <v>0</v>
      </c>
      <c r="CH19" s="9" t="n">
        <f aca="false">SUMIFS('Исходные данные'!$I$2:$I$954,'Исходные данные'!$D$2:$D$954,CH$1,'Исходные данные'!$F$2:$F$954,$A19)</f>
        <v>0</v>
      </c>
      <c r="CI19" s="9" t="n">
        <f aca="false">SUMIFS('Исходные данные'!$J$2:$J$954,'Исходные данные'!$D$2:$D$954,CH$1,'Исходные данные'!$F$2:$F$954,$A19)</f>
        <v>0</v>
      </c>
    </row>
    <row r="20" customFormat="false" ht="15" hidden="false" customHeight="false" outlineLevel="0" collapsed="false">
      <c r="A20" s="8" t="s">
        <v>83</v>
      </c>
      <c r="B20" s="9" t="s">
        <v>84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SUMIFS($H20:$CI20,$H$2:$CI$2,"День")</f>
        <v>1</v>
      </c>
      <c r="G20" s="5" t="n">
        <f aca="false">SUMIFS($H20:$CI20,$H$2:$CI$2,"Ночь")</f>
        <v>0</v>
      </c>
      <c r="H20" s="9" t="n">
        <f aca="false">SUMIFS('Исходные данные'!$I$2:$I$954,'Исходные данные'!$D$2:$D$954,H$1,'Исходные данные'!$F$2:$F$954,$A20)</f>
        <v>0</v>
      </c>
      <c r="I20" s="9" t="n">
        <f aca="false">SUMIFS('Исходные данные'!$J$2:$J$954,'Исходные данные'!$D$2:$D$954,H$1,'Исходные данные'!$F$2:$F$954,$A20)</f>
        <v>0</v>
      </c>
      <c r="J20" s="9" t="n">
        <f aca="false">SUMIFS('Исходные данные'!$I$2:$I$954,'Исходные данные'!$D$2:$D$954,J$1,'Исходные данные'!$F$2:$F$954,$A20)</f>
        <v>0</v>
      </c>
      <c r="K20" s="9" t="n">
        <f aca="false">SUMIFS('Исходные данные'!$J$2:$J$954,'Исходные данные'!$D$2:$D$954,J$1,'Исходные данные'!$F$2:$F$954,$A20)</f>
        <v>0</v>
      </c>
      <c r="L20" s="9" t="n">
        <f aca="false">SUMIFS('Исходные данные'!$I$2:$I$954,'Исходные данные'!$D$2:$D$954,L$1,'Исходные данные'!$F$2:$F$954,$A20)</f>
        <v>0</v>
      </c>
      <c r="M20" s="9" t="n">
        <f aca="false">SUMIFS('Исходные данные'!$J$2:$J$954,'Исходные данные'!$D$2:$D$954,L$1,'Исходные данные'!$F$2:$F$954,$A20)</f>
        <v>0</v>
      </c>
      <c r="N20" s="9" t="n">
        <f aca="false">SUMIFS('Исходные данные'!$I$2:$I$954,'Исходные данные'!$D$2:$D$954,N$1,'Исходные данные'!$F$2:$F$954,$A20)</f>
        <v>0</v>
      </c>
      <c r="O20" s="9" t="n">
        <f aca="false">SUMIFS('Исходные данные'!$J$2:$J$954,'Исходные данные'!$D$2:$D$954,N$1,'Исходные данные'!$F$2:$F$954,$A20)</f>
        <v>0</v>
      </c>
      <c r="P20" s="9" t="n">
        <f aca="false">SUMIFS('Исходные данные'!$I$2:$I$954,'Исходные данные'!$D$2:$D$954,P$1,'Исходные данные'!$F$2:$F$954,$A20)</f>
        <v>0</v>
      </c>
      <c r="Q20" s="9" t="n">
        <f aca="false">SUMIFS('Исходные данные'!$J$2:$J$954,'Исходные данные'!$D$2:$D$954,P$1,'Исходные данные'!$F$2:$F$954,$A20)</f>
        <v>0</v>
      </c>
      <c r="R20" s="9" t="n">
        <f aca="false">SUMIFS('Исходные данные'!$I$2:$I$954,'Исходные данные'!$D$2:$D$954,R$1,'Исходные данные'!$F$2:$F$954,$A20)</f>
        <v>0</v>
      </c>
      <c r="S20" s="9" t="n">
        <f aca="false">SUMIFS('Исходные данные'!$J$2:$J$954,'Исходные данные'!$D$2:$D$954,R$1,'Исходные данные'!$F$2:$F$954,$A20)</f>
        <v>0</v>
      </c>
      <c r="T20" s="9" t="n">
        <f aca="false">SUMIFS('Исходные данные'!$I$2:$I$954,'Исходные данные'!$D$2:$D$954,T$1,'Исходные данные'!$F$2:$F$954,$A20)</f>
        <v>0</v>
      </c>
      <c r="U20" s="9" t="n">
        <f aca="false">SUMIFS('Исходные данные'!$J$2:$J$954,'Исходные данные'!$D$2:$D$954,T$1,'Исходные данные'!$F$2:$F$954,$A20)</f>
        <v>0</v>
      </c>
      <c r="V20" s="9" t="n">
        <f aca="false">SUMIFS('Исходные данные'!$I$2:$I$954,'Исходные данные'!$D$2:$D$954,V$1,'Исходные данные'!$F$2:$F$954,$A20)</f>
        <v>0</v>
      </c>
      <c r="W20" s="9" t="n">
        <f aca="false">SUMIFS('Исходные данные'!$J$2:$J$954,'Исходные данные'!$D$2:$D$954,V$1,'Исходные данные'!$F$2:$F$954,$A20)</f>
        <v>0</v>
      </c>
      <c r="X20" s="9" t="n">
        <f aca="false">SUMIFS('Исходные данные'!$I$2:$I$954,'Исходные данные'!$D$2:$D$954,X$1,'Исходные данные'!$F$2:$F$954,$A20)</f>
        <v>0</v>
      </c>
      <c r="Y20" s="9" t="n">
        <f aca="false">SUMIFS('Исходные данные'!$J$2:$J$954,'Исходные данные'!$D$2:$D$954,X$1,'Исходные данные'!$F$2:$F$954,$A20)</f>
        <v>0</v>
      </c>
      <c r="Z20" s="9" t="n">
        <f aca="false">SUMIFS('Исходные данные'!$I$2:$I$954,'Исходные данные'!$D$2:$D$954,Z$1,'Исходные данные'!$F$2:$F$954,$A20)</f>
        <v>1</v>
      </c>
      <c r="AA20" s="9" t="n">
        <f aca="false">SUMIFS('Исходные данные'!$J$2:$J$954,'Исходные данные'!$D$2:$D$954,Z$1,'Исходные данные'!$F$2:$F$954,$A20)</f>
        <v>0</v>
      </c>
      <c r="AB20" s="9" t="n">
        <f aca="false">SUMIFS('Исходные данные'!$I$2:$I$954,'Исходные данные'!$D$2:$D$954,AB$1,'Исходные данные'!$F$2:$F$954,$A20)</f>
        <v>0</v>
      </c>
      <c r="AC20" s="9" t="n">
        <f aca="false">SUMIFS('Исходные данные'!$J$2:$J$954,'Исходные данные'!$D$2:$D$954,AB$1,'Исходные данные'!$F$2:$F$954,$A20)</f>
        <v>0</v>
      </c>
      <c r="AD20" s="9" t="n">
        <f aca="false">SUMIFS('Исходные данные'!$I$2:$I$954,'Исходные данные'!$D$2:$D$954,AD$1,'Исходные данные'!$F$2:$F$954,$A20)</f>
        <v>0</v>
      </c>
      <c r="AE20" s="9" t="n">
        <f aca="false">SUMIFS('Исходные данные'!$J$2:$J$954,'Исходные данные'!$D$2:$D$954,AD$1,'Исходные данные'!$F$2:$F$954,$A20)</f>
        <v>0</v>
      </c>
      <c r="AF20" s="9" t="n">
        <f aca="false">SUMIFS('Исходные данные'!$I$2:$I$954,'Исходные данные'!$D$2:$D$954,AF$1,'Исходные данные'!$F$2:$F$954,$A20)</f>
        <v>0</v>
      </c>
      <c r="AG20" s="9" t="n">
        <f aca="false">SUMIFS('Исходные данные'!$J$2:$J$954,'Исходные данные'!$D$2:$D$954,AF$1,'Исходные данные'!$F$2:$F$954,$A20)</f>
        <v>0</v>
      </c>
      <c r="AH20" s="9" t="n">
        <f aca="false">SUMIFS('Исходные данные'!$I$2:$I$954,'Исходные данные'!$D$2:$D$954,AH$1,'Исходные данные'!$F$2:$F$954,$A20)</f>
        <v>0</v>
      </c>
      <c r="AI20" s="9" t="n">
        <f aca="false">SUMIFS('Исходные данные'!$J$2:$J$954,'Исходные данные'!$D$2:$D$954,AH$1,'Исходные данные'!$F$2:$F$954,$A20)</f>
        <v>0</v>
      </c>
      <c r="AJ20" s="9" t="n">
        <f aca="false">SUMIFS('Исходные данные'!$I$2:$I$954,'Исходные данные'!$D$2:$D$954,AJ$1,'Исходные данные'!$F$2:$F$954,$A20)</f>
        <v>0</v>
      </c>
      <c r="AK20" s="9" t="n">
        <f aca="false">SUMIFS('Исходные данные'!$J$2:$J$954,'Исходные данные'!$D$2:$D$954,AJ$1,'Исходные данные'!$F$2:$F$954,$A20)</f>
        <v>0</v>
      </c>
      <c r="AL20" s="9" t="n">
        <f aca="false">SUMIFS('Исходные данные'!$I$2:$I$954,'Исходные данные'!$D$2:$D$954,AL$1,'Исходные данные'!$F$2:$F$954,$A20)</f>
        <v>0</v>
      </c>
      <c r="AM20" s="9" t="n">
        <f aca="false">SUMIFS('Исходные данные'!$J$2:$J$954,'Исходные данные'!$D$2:$D$954,AL$1,'Исходные данные'!$F$2:$F$954,$A20)</f>
        <v>0</v>
      </c>
      <c r="AN20" s="9" t="n">
        <f aca="false">SUMIFS('Исходные данные'!$I$2:$I$954,'Исходные данные'!$D$2:$D$954,AN$1,'Исходные данные'!$F$2:$F$954,$A20)</f>
        <v>0</v>
      </c>
      <c r="AO20" s="9" t="n">
        <f aca="false">SUMIFS('Исходные данные'!$J$2:$J$954,'Исходные данные'!$D$2:$D$954,AN$1,'Исходные данные'!$F$2:$F$954,$A20)</f>
        <v>0</v>
      </c>
      <c r="AP20" s="9" t="n">
        <f aca="false">SUMIFS('Исходные данные'!$I$2:$I$954,'Исходные данные'!$D$2:$D$954,AP$1,'Исходные данные'!$F$2:$F$954,$A20)</f>
        <v>0</v>
      </c>
      <c r="AQ20" s="9" t="n">
        <f aca="false">SUMIFS('Исходные данные'!$J$2:$J$954,'Исходные данные'!$D$2:$D$954,AP$1,'Исходные данные'!$F$2:$F$954,$A20)</f>
        <v>0</v>
      </c>
      <c r="AR20" s="9" t="n">
        <f aca="false">SUMIFS('Исходные данные'!$I$2:$I$954,'Исходные данные'!$D$2:$D$954,AR$1,'Исходные данные'!$F$2:$F$954,$A20)</f>
        <v>0</v>
      </c>
      <c r="AS20" s="9" t="n">
        <f aca="false">SUMIFS('Исходные данные'!$J$2:$J$954,'Исходные данные'!$D$2:$D$954,AR$1,'Исходные данные'!$F$2:$F$954,$A20)</f>
        <v>0</v>
      </c>
      <c r="AT20" s="9" t="n">
        <f aca="false">SUMIFS('Исходные данные'!$I$2:$I$954,'Исходные данные'!$D$2:$D$954,AT$1,'Исходные данные'!$F$2:$F$954,$A20)</f>
        <v>0</v>
      </c>
      <c r="AU20" s="9" t="n">
        <f aca="false">SUMIFS('Исходные данные'!$J$2:$J$954,'Исходные данные'!$D$2:$D$954,AT$1,'Исходные данные'!$F$2:$F$954,$A20)</f>
        <v>0</v>
      </c>
      <c r="AV20" s="9" t="n">
        <f aca="false">SUMIFS('Исходные данные'!$I$2:$I$954,'Исходные данные'!$D$2:$D$954,AV$1,'Исходные данные'!$F$2:$F$954,$A20)</f>
        <v>0</v>
      </c>
      <c r="AW20" s="9" t="n">
        <f aca="false">SUMIFS('Исходные данные'!$J$2:$J$954,'Исходные данные'!$D$2:$D$954,AV$1,'Исходные данные'!$F$2:$F$954,$A20)</f>
        <v>0</v>
      </c>
      <c r="AX20" s="9" t="n">
        <f aca="false">SUMIFS('Исходные данные'!$I$2:$I$954,'Исходные данные'!$D$2:$D$954,AX$1,'Исходные данные'!$F$2:$F$954,$A20)</f>
        <v>0</v>
      </c>
      <c r="AY20" s="9" t="n">
        <f aca="false">SUMIFS('Исходные данные'!$J$2:$J$954,'Исходные данные'!$D$2:$D$954,AX$1,'Исходные данные'!$F$2:$F$954,$A20)</f>
        <v>0</v>
      </c>
      <c r="AZ20" s="9" t="n">
        <f aca="false">SUMIFS('Исходные данные'!$I$2:$I$954,'Исходные данные'!$D$2:$D$954,AZ$1,'Исходные данные'!$F$2:$F$954,$A20)</f>
        <v>0</v>
      </c>
      <c r="BA20" s="9" t="n">
        <f aca="false">SUMIFS('Исходные данные'!$J$2:$J$954,'Исходные данные'!$D$2:$D$954,AZ$1,'Исходные данные'!$F$2:$F$954,$A20)</f>
        <v>0</v>
      </c>
      <c r="BB20" s="9" t="n">
        <f aca="false">SUMIFS('Исходные данные'!$I$2:$I$954,'Исходные данные'!$D$2:$D$954,BB$1,'Исходные данные'!$F$2:$F$954,$A20)</f>
        <v>0</v>
      </c>
      <c r="BC20" s="9" t="n">
        <f aca="false">SUMIFS('Исходные данные'!$J$2:$J$954,'Исходные данные'!$D$2:$D$954,BB$1,'Исходные данные'!$F$2:$F$954,$A20)</f>
        <v>0</v>
      </c>
      <c r="BD20" s="9" t="n">
        <f aca="false">SUMIFS('Исходные данные'!$I$2:$I$954,'Исходные данные'!$D$2:$D$954,BD$1,'Исходные данные'!$F$2:$F$954,$A20)</f>
        <v>0</v>
      </c>
      <c r="BE20" s="9" t="n">
        <f aca="false">SUMIFS('Исходные данные'!$J$2:$J$954,'Исходные данные'!$D$2:$D$954,BD$1,'Исходные данные'!$F$2:$F$954,$A20)</f>
        <v>0</v>
      </c>
      <c r="BF20" s="9" t="n">
        <f aca="false">SUMIFS('Исходные данные'!$I$2:$I$954,'Исходные данные'!$D$2:$D$954,BF$1,'Исходные данные'!$F$2:$F$954,$A20)</f>
        <v>0</v>
      </c>
      <c r="BG20" s="9" t="n">
        <f aca="false">SUMIFS('Исходные данные'!$J$2:$J$954,'Исходные данные'!$D$2:$D$954,BF$1,'Исходные данные'!$F$2:$F$954,$A20)</f>
        <v>0</v>
      </c>
      <c r="BH20" s="9" t="n">
        <f aca="false">SUMIFS('Исходные данные'!$I$2:$I$954,'Исходные данные'!$D$2:$D$954,BH$1,'Исходные данные'!$F$2:$F$954,$A20)</f>
        <v>0</v>
      </c>
      <c r="BI20" s="9" t="n">
        <f aca="false">SUMIFS('Исходные данные'!$J$2:$J$954,'Исходные данные'!$D$2:$D$954,BH$1,'Исходные данные'!$F$2:$F$954,$A20)</f>
        <v>0</v>
      </c>
      <c r="BJ20" s="9" t="n">
        <f aca="false">SUMIFS('Исходные данные'!$I$2:$I$954,'Исходные данные'!$D$2:$D$954,BJ$1,'Исходные данные'!$F$2:$F$954,$A20)</f>
        <v>0</v>
      </c>
      <c r="BK20" s="9" t="n">
        <f aca="false">SUMIFS('Исходные данные'!$J$2:$J$954,'Исходные данные'!$D$2:$D$954,BJ$1,'Исходные данные'!$F$2:$F$954,$A20)</f>
        <v>0</v>
      </c>
      <c r="BL20" s="9" t="n">
        <f aca="false">SUMIFS('Исходные данные'!$I$2:$I$954,'Исходные данные'!$D$2:$D$954,BL$1,'Исходные данные'!$F$2:$F$954,$A20)</f>
        <v>0</v>
      </c>
      <c r="BM20" s="9" t="n">
        <f aca="false">SUMIFS('Исходные данные'!$J$2:$J$954,'Исходные данные'!$D$2:$D$954,BL$1,'Исходные данные'!$F$2:$F$954,$A20)</f>
        <v>0</v>
      </c>
      <c r="BN20" s="9" t="n">
        <f aca="false">SUMIFS('Исходные данные'!$I$2:$I$954,'Исходные данные'!$D$2:$D$954,BN$1,'Исходные данные'!$F$2:$F$954,$A20)</f>
        <v>0</v>
      </c>
      <c r="BO20" s="9" t="n">
        <f aca="false">SUMIFS('Исходные данные'!$J$2:$J$954,'Исходные данные'!$D$2:$D$954,BN$1,'Исходные данные'!$F$2:$F$954,$A20)</f>
        <v>0</v>
      </c>
      <c r="BP20" s="9" t="n">
        <f aca="false">SUMIFS('Исходные данные'!$I$2:$I$954,'Исходные данные'!$D$2:$D$954,BP$1,'Исходные данные'!$F$2:$F$954,$A20)</f>
        <v>0</v>
      </c>
      <c r="BQ20" s="9" t="n">
        <f aca="false">SUMIFS('Исходные данные'!$J$2:$J$954,'Исходные данные'!$D$2:$D$954,BP$1,'Исходные данные'!$F$2:$F$954,$A20)</f>
        <v>0</v>
      </c>
      <c r="BR20" s="9" t="n">
        <f aca="false">SUMIFS('Исходные данные'!$I$2:$I$954,'Исходные данные'!$D$2:$D$954,BR$1,'Исходные данные'!$F$2:$F$954,$A20)</f>
        <v>0</v>
      </c>
      <c r="BS20" s="9" t="n">
        <f aca="false">SUMIFS('Исходные данные'!$J$2:$J$954,'Исходные данные'!$D$2:$D$954,BR$1,'Исходные данные'!$F$2:$F$954,$A20)</f>
        <v>0</v>
      </c>
      <c r="BT20" s="9" t="n">
        <f aca="false">SUMIFS('Исходные данные'!$I$2:$I$954,'Исходные данные'!$D$2:$D$954,BT$1,'Исходные данные'!$F$2:$F$954,$A20)</f>
        <v>0</v>
      </c>
      <c r="BU20" s="9" t="n">
        <f aca="false">SUMIFS('Исходные данные'!$J$2:$J$954,'Исходные данные'!$D$2:$D$954,BT$1,'Исходные данные'!$F$2:$F$954,$A20)</f>
        <v>0</v>
      </c>
      <c r="BV20" s="9" t="n">
        <f aca="false">SUMIFS('Исходные данные'!$I$2:$I$954,'Исходные данные'!$D$2:$D$954,BV$1,'Исходные данные'!$F$2:$F$954,$A20)</f>
        <v>0</v>
      </c>
      <c r="BW20" s="9" t="n">
        <f aca="false">SUMIFS('Исходные данные'!$J$2:$J$954,'Исходные данные'!$D$2:$D$954,BV$1,'Исходные данные'!$F$2:$F$954,$A20)</f>
        <v>0</v>
      </c>
      <c r="BX20" s="9" t="n">
        <f aca="false">SUMIFS('Исходные данные'!$I$2:$I$954,'Исходные данные'!$D$2:$D$954,BX$1,'Исходные данные'!$F$2:$F$954,$A20)</f>
        <v>0</v>
      </c>
      <c r="BY20" s="9" t="n">
        <f aca="false">SUMIFS('Исходные данные'!$J$2:$J$954,'Исходные данные'!$D$2:$D$954,BX$1,'Исходные данные'!$F$2:$F$954,$A20)</f>
        <v>0</v>
      </c>
      <c r="BZ20" s="9" t="n">
        <f aca="false">SUMIFS('Исходные данные'!$I$2:$I$954,'Исходные данные'!$D$2:$D$954,BZ$1,'Исходные данные'!$F$2:$F$954,$A20)</f>
        <v>0</v>
      </c>
      <c r="CA20" s="9" t="n">
        <f aca="false">SUMIFS('Исходные данные'!$J$2:$J$954,'Исходные данные'!$D$2:$D$954,BZ$1,'Исходные данные'!$F$2:$F$954,$A20)</f>
        <v>0</v>
      </c>
      <c r="CB20" s="9" t="n">
        <f aca="false">SUMIFS('Исходные данные'!$I$2:$I$954,'Исходные данные'!$D$2:$D$954,CB$1,'Исходные данные'!$F$2:$F$954,$A20)</f>
        <v>0</v>
      </c>
      <c r="CC20" s="9" t="n">
        <f aca="false">SUMIFS('Исходные данные'!$J$2:$J$954,'Исходные данные'!$D$2:$D$954,CB$1,'Исходные данные'!$F$2:$F$954,$A20)</f>
        <v>0</v>
      </c>
      <c r="CD20" s="9" t="n">
        <f aca="false">SUMIFS('Исходные данные'!$I$2:$I$954,'Исходные данные'!$D$2:$D$954,CD$1,'Исходные данные'!$F$2:$F$954,$A20)</f>
        <v>0</v>
      </c>
      <c r="CE20" s="9" t="n">
        <f aca="false">SUMIFS('Исходные данные'!$J$2:$J$954,'Исходные данные'!$D$2:$D$954,CD$1,'Исходные данные'!$F$2:$F$954,$A20)</f>
        <v>0</v>
      </c>
      <c r="CF20" s="9" t="n">
        <f aca="false">SUMIFS('Исходные данные'!$I$2:$I$954,'Исходные данные'!$D$2:$D$954,CF$1,'Исходные данные'!$F$2:$F$954,$A20)</f>
        <v>0</v>
      </c>
      <c r="CG20" s="9" t="n">
        <f aca="false">SUMIFS('Исходные данные'!$J$2:$J$954,'Исходные данные'!$D$2:$D$954,CF$1,'Исходные данные'!$F$2:$F$954,$A20)</f>
        <v>0</v>
      </c>
      <c r="CH20" s="9" t="n">
        <f aca="false">SUMIFS('Исходные данные'!$I$2:$I$954,'Исходные данные'!$D$2:$D$954,CH$1,'Исходные данные'!$F$2:$F$954,$A20)</f>
        <v>0</v>
      </c>
      <c r="CI20" s="9" t="n">
        <f aca="false">SUMIFS('Исходные данные'!$J$2:$J$954,'Исходные данные'!$D$2:$D$954,CH$1,'Исходные данные'!$F$2:$F$954,$A20)</f>
        <v>0</v>
      </c>
    </row>
    <row r="21" customFormat="false" ht="15" hidden="false" customHeight="false" outlineLevel="0" collapsed="false">
      <c r="A21" s="8" t="s">
        <v>85</v>
      </c>
      <c r="B21" s="9" t="s">
        <v>86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SUMIFS($H21:$CI21,$H$2:$CI$2,"День")</f>
        <v>0</v>
      </c>
      <c r="G21" s="5" t="n">
        <f aca="false">SUMIFS($H21:$CI21,$H$2:$CI$2,"Ночь")</f>
        <v>0</v>
      </c>
      <c r="H21" s="9" t="n">
        <f aca="false">SUMIFS('Исходные данные'!$I$2:$I$954,'Исходные данные'!$D$2:$D$954,H$1,'Исходные данные'!$F$2:$F$954,$A21)</f>
        <v>0</v>
      </c>
      <c r="I21" s="9" t="n">
        <f aca="false">SUMIFS('Исходные данные'!$J$2:$J$954,'Исходные данные'!$D$2:$D$954,H$1,'Исходные данные'!$F$2:$F$954,$A21)</f>
        <v>0</v>
      </c>
      <c r="J21" s="9" t="n">
        <f aca="false">SUMIFS('Исходные данные'!$I$2:$I$954,'Исходные данные'!$D$2:$D$954,J$1,'Исходные данные'!$F$2:$F$954,$A21)</f>
        <v>0</v>
      </c>
      <c r="K21" s="9" t="n">
        <f aca="false">SUMIFS('Исходные данные'!$J$2:$J$954,'Исходные данные'!$D$2:$D$954,J$1,'Исходные данные'!$F$2:$F$954,$A21)</f>
        <v>0</v>
      </c>
      <c r="L21" s="9" t="n">
        <f aca="false">SUMIFS('Исходные данные'!$I$2:$I$954,'Исходные данные'!$D$2:$D$954,L$1,'Исходные данные'!$F$2:$F$954,$A21)</f>
        <v>0</v>
      </c>
      <c r="M21" s="9" t="n">
        <f aca="false">SUMIFS('Исходные данные'!$J$2:$J$954,'Исходные данные'!$D$2:$D$954,L$1,'Исходные данные'!$F$2:$F$954,$A21)</f>
        <v>0</v>
      </c>
      <c r="N21" s="9" t="n">
        <f aca="false">SUMIFS('Исходные данные'!$I$2:$I$954,'Исходные данные'!$D$2:$D$954,N$1,'Исходные данные'!$F$2:$F$954,$A21)</f>
        <v>0</v>
      </c>
      <c r="O21" s="9" t="n">
        <f aca="false">SUMIFS('Исходные данные'!$J$2:$J$954,'Исходные данные'!$D$2:$D$954,N$1,'Исходные данные'!$F$2:$F$954,$A21)</f>
        <v>0</v>
      </c>
      <c r="P21" s="9" t="n">
        <f aca="false">SUMIFS('Исходные данные'!$I$2:$I$954,'Исходные данные'!$D$2:$D$954,P$1,'Исходные данные'!$F$2:$F$954,$A21)</f>
        <v>0</v>
      </c>
      <c r="Q21" s="9" t="n">
        <f aca="false">SUMIFS('Исходные данные'!$J$2:$J$954,'Исходные данные'!$D$2:$D$954,P$1,'Исходные данные'!$F$2:$F$954,$A21)</f>
        <v>0</v>
      </c>
      <c r="R21" s="9" t="n">
        <f aca="false">SUMIFS('Исходные данные'!$I$2:$I$954,'Исходные данные'!$D$2:$D$954,R$1,'Исходные данные'!$F$2:$F$954,$A21)</f>
        <v>0</v>
      </c>
      <c r="S21" s="9" t="n">
        <f aca="false">SUMIFS('Исходные данные'!$J$2:$J$954,'Исходные данные'!$D$2:$D$954,R$1,'Исходные данные'!$F$2:$F$954,$A21)</f>
        <v>0</v>
      </c>
      <c r="T21" s="9" t="n">
        <f aca="false">SUMIFS('Исходные данные'!$I$2:$I$954,'Исходные данные'!$D$2:$D$954,T$1,'Исходные данные'!$F$2:$F$954,$A21)</f>
        <v>0</v>
      </c>
      <c r="U21" s="9" t="n">
        <f aca="false">SUMIFS('Исходные данные'!$J$2:$J$954,'Исходные данные'!$D$2:$D$954,T$1,'Исходные данные'!$F$2:$F$954,$A21)</f>
        <v>0</v>
      </c>
      <c r="V21" s="9" t="n">
        <f aca="false">SUMIFS('Исходные данные'!$I$2:$I$954,'Исходные данные'!$D$2:$D$954,V$1,'Исходные данные'!$F$2:$F$954,$A21)</f>
        <v>0</v>
      </c>
      <c r="W21" s="9" t="n">
        <f aca="false">SUMIFS('Исходные данные'!$J$2:$J$954,'Исходные данные'!$D$2:$D$954,V$1,'Исходные данные'!$F$2:$F$954,$A21)</f>
        <v>0</v>
      </c>
      <c r="X21" s="9" t="n">
        <f aca="false">SUMIFS('Исходные данные'!$I$2:$I$954,'Исходные данные'!$D$2:$D$954,X$1,'Исходные данные'!$F$2:$F$954,$A21)</f>
        <v>0</v>
      </c>
      <c r="Y21" s="9" t="n">
        <f aca="false">SUMIFS('Исходные данные'!$J$2:$J$954,'Исходные данные'!$D$2:$D$954,X$1,'Исходные данные'!$F$2:$F$954,$A21)</f>
        <v>0</v>
      </c>
      <c r="Z21" s="9" t="n">
        <f aca="false">SUMIFS('Исходные данные'!$I$2:$I$954,'Исходные данные'!$D$2:$D$954,Z$1,'Исходные данные'!$F$2:$F$954,$A21)</f>
        <v>0</v>
      </c>
      <c r="AA21" s="9" t="n">
        <f aca="false">SUMIFS('Исходные данные'!$J$2:$J$954,'Исходные данные'!$D$2:$D$954,Z$1,'Исходные данные'!$F$2:$F$954,$A21)</f>
        <v>0</v>
      </c>
      <c r="AB21" s="9" t="n">
        <f aca="false">SUMIFS('Исходные данные'!$I$2:$I$954,'Исходные данные'!$D$2:$D$954,AB$1,'Исходные данные'!$F$2:$F$954,$A21)</f>
        <v>0</v>
      </c>
      <c r="AC21" s="9" t="n">
        <f aca="false">SUMIFS('Исходные данные'!$J$2:$J$954,'Исходные данные'!$D$2:$D$954,AB$1,'Исходные данные'!$F$2:$F$954,$A21)</f>
        <v>0</v>
      </c>
      <c r="AD21" s="9" t="n">
        <f aca="false">SUMIFS('Исходные данные'!$I$2:$I$954,'Исходные данные'!$D$2:$D$954,AD$1,'Исходные данные'!$F$2:$F$954,$A21)</f>
        <v>0</v>
      </c>
      <c r="AE21" s="9" t="n">
        <f aca="false">SUMIFS('Исходные данные'!$J$2:$J$954,'Исходные данные'!$D$2:$D$954,AD$1,'Исходные данные'!$F$2:$F$954,$A21)</f>
        <v>0</v>
      </c>
      <c r="AF21" s="9" t="n">
        <f aca="false">SUMIFS('Исходные данные'!$I$2:$I$954,'Исходные данные'!$D$2:$D$954,AF$1,'Исходные данные'!$F$2:$F$954,$A21)</f>
        <v>0</v>
      </c>
      <c r="AG21" s="9" t="n">
        <f aca="false">SUMIFS('Исходные данные'!$J$2:$J$954,'Исходные данные'!$D$2:$D$954,AF$1,'Исходные данные'!$F$2:$F$954,$A21)</f>
        <v>0</v>
      </c>
      <c r="AH21" s="9" t="n">
        <f aca="false">SUMIFS('Исходные данные'!$I$2:$I$954,'Исходные данные'!$D$2:$D$954,AH$1,'Исходные данные'!$F$2:$F$954,$A21)</f>
        <v>0</v>
      </c>
      <c r="AI21" s="9" t="n">
        <f aca="false">SUMIFS('Исходные данные'!$J$2:$J$954,'Исходные данные'!$D$2:$D$954,AH$1,'Исходные данные'!$F$2:$F$954,$A21)</f>
        <v>0</v>
      </c>
      <c r="AJ21" s="9" t="n">
        <f aca="false">SUMIFS('Исходные данные'!$I$2:$I$954,'Исходные данные'!$D$2:$D$954,AJ$1,'Исходные данные'!$F$2:$F$954,$A21)</f>
        <v>0</v>
      </c>
      <c r="AK21" s="9" t="n">
        <f aca="false">SUMIFS('Исходные данные'!$J$2:$J$954,'Исходные данные'!$D$2:$D$954,AJ$1,'Исходные данные'!$F$2:$F$954,$A21)</f>
        <v>0</v>
      </c>
      <c r="AL21" s="9" t="n">
        <f aca="false">SUMIFS('Исходные данные'!$I$2:$I$954,'Исходные данные'!$D$2:$D$954,AL$1,'Исходные данные'!$F$2:$F$954,$A21)</f>
        <v>0</v>
      </c>
      <c r="AM21" s="9" t="n">
        <f aca="false">SUMIFS('Исходные данные'!$J$2:$J$954,'Исходные данные'!$D$2:$D$954,AL$1,'Исходные данные'!$F$2:$F$954,$A21)</f>
        <v>0</v>
      </c>
      <c r="AN21" s="9" t="n">
        <f aca="false">SUMIFS('Исходные данные'!$I$2:$I$954,'Исходные данные'!$D$2:$D$954,AN$1,'Исходные данные'!$F$2:$F$954,$A21)</f>
        <v>0</v>
      </c>
      <c r="AO21" s="9" t="n">
        <f aca="false">SUMIFS('Исходные данные'!$J$2:$J$954,'Исходные данные'!$D$2:$D$954,AN$1,'Исходные данные'!$F$2:$F$954,$A21)</f>
        <v>0</v>
      </c>
      <c r="AP21" s="9" t="n">
        <f aca="false">SUMIFS('Исходные данные'!$I$2:$I$954,'Исходные данные'!$D$2:$D$954,AP$1,'Исходные данные'!$F$2:$F$954,$A21)</f>
        <v>0</v>
      </c>
      <c r="AQ21" s="9" t="n">
        <f aca="false">SUMIFS('Исходные данные'!$J$2:$J$954,'Исходные данные'!$D$2:$D$954,AP$1,'Исходные данные'!$F$2:$F$954,$A21)</f>
        <v>0</v>
      </c>
      <c r="AR21" s="9" t="n">
        <f aca="false">SUMIFS('Исходные данные'!$I$2:$I$954,'Исходные данные'!$D$2:$D$954,AR$1,'Исходные данные'!$F$2:$F$954,$A21)</f>
        <v>0</v>
      </c>
      <c r="AS21" s="9" t="n">
        <f aca="false">SUMIFS('Исходные данные'!$J$2:$J$954,'Исходные данные'!$D$2:$D$954,AR$1,'Исходные данные'!$F$2:$F$954,$A21)</f>
        <v>0</v>
      </c>
      <c r="AT21" s="9" t="n">
        <f aca="false">SUMIFS('Исходные данные'!$I$2:$I$954,'Исходные данные'!$D$2:$D$954,AT$1,'Исходные данные'!$F$2:$F$954,$A21)</f>
        <v>0</v>
      </c>
      <c r="AU21" s="9" t="n">
        <f aca="false">SUMIFS('Исходные данные'!$J$2:$J$954,'Исходные данные'!$D$2:$D$954,AT$1,'Исходные данные'!$F$2:$F$954,$A21)</f>
        <v>0</v>
      </c>
      <c r="AV21" s="9" t="n">
        <f aca="false">SUMIFS('Исходные данные'!$I$2:$I$954,'Исходные данные'!$D$2:$D$954,AV$1,'Исходные данные'!$F$2:$F$954,$A21)</f>
        <v>0</v>
      </c>
      <c r="AW21" s="9" t="n">
        <f aca="false">SUMIFS('Исходные данные'!$J$2:$J$954,'Исходные данные'!$D$2:$D$954,AV$1,'Исходные данные'!$F$2:$F$954,$A21)</f>
        <v>0</v>
      </c>
      <c r="AX21" s="9" t="n">
        <f aca="false">SUMIFS('Исходные данные'!$I$2:$I$954,'Исходные данные'!$D$2:$D$954,AX$1,'Исходные данные'!$F$2:$F$954,$A21)</f>
        <v>0</v>
      </c>
      <c r="AY21" s="9" t="n">
        <f aca="false">SUMIFS('Исходные данные'!$J$2:$J$954,'Исходные данные'!$D$2:$D$954,AX$1,'Исходные данные'!$F$2:$F$954,$A21)</f>
        <v>0</v>
      </c>
      <c r="AZ21" s="9" t="n">
        <f aca="false">SUMIFS('Исходные данные'!$I$2:$I$954,'Исходные данные'!$D$2:$D$954,AZ$1,'Исходные данные'!$F$2:$F$954,$A21)</f>
        <v>0</v>
      </c>
      <c r="BA21" s="9" t="n">
        <f aca="false">SUMIFS('Исходные данные'!$J$2:$J$954,'Исходные данные'!$D$2:$D$954,AZ$1,'Исходные данные'!$F$2:$F$954,$A21)</f>
        <v>0</v>
      </c>
      <c r="BB21" s="9" t="n">
        <f aca="false">SUMIFS('Исходные данные'!$I$2:$I$954,'Исходные данные'!$D$2:$D$954,BB$1,'Исходные данные'!$F$2:$F$954,$A21)</f>
        <v>0</v>
      </c>
      <c r="BC21" s="9" t="n">
        <f aca="false">SUMIFS('Исходные данные'!$J$2:$J$954,'Исходные данные'!$D$2:$D$954,BB$1,'Исходные данные'!$F$2:$F$954,$A21)</f>
        <v>0</v>
      </c>
      <c r="BD21" s="9" t="n">
        <f aca="false">SUMIFS('Исходные данные'!$I$2:$I$954,'Исходные данные'!$D$2:$D$954,BD$1,'Исходные данные'!$F$2:$F$954,$A21)</f>
        <v>0</v>
      </c>
      <c r="BE21" s="9" t="n">
        <f aca="false">SUMIFS('Исходные данные'!$J$2:$J$954,'Исходные данные'!$D$2:$D$954,BD$1,'Исходные данные'!$F$2:$F$954,$A21)</f>
        <v>0</v>
      </c>
      <c r="BF21" s="9" t="n">
        <f aca="false">SUMIFS('Исходные данные'!$I$2:$I$954,'Исходные данные'!$D$2:$D$954,BF$1,'Исходные данные'!$F$2:$F$954,$A21)</f>
        <v>0</v>
      </c>
      <c r="BG21" s="9" t="n">
        <f aca="false">SUMIFS('Исходные данные'!$J$2:$J$954,'Исходные данные'!$D$2:$D$954,BF$1,'Исходные данные'!$F$2:$F$954,$A21)</f>
        <v>0</v>
      </c>
      <c r="BH21" s="9" t="n">
        <f aca="false">SUMIFS('Исходные данные'!$I$2:$I$954,'Исходные данные'!$D$2:$D$954,BH$1,'Исходные данные'!$F$2:$F$954,$A21)</f>
        <v>0</v>
      </c>
      <c r="BI21" s="9" t="n">
        <f aca="false">SUMIFS('Исходные данные'!$J$2:$J$954,'Исходные данные'!$D$2:$D$954,BH$1,'Исходные данные'!$F$2:$F$954,$A21)</f>
        <v>0</v>
      </c>
      <c r="BJ21" s="9" t="n">
        <f aca="false">SUMIFS('Исходные данные'!$I$2:$I$954,'Исходные данные'!$D$2:$D$954,BJ$1,'Исходные данные'!$F$2:$F$954,$A21)</f>
        <v>0</v>
      </c>
      <c r="BK21" s="9" t="n">
        <f aca="false">SUMIFS('Исходные данные'!$J$2:$J$954,'Исходные данные'!$D$2:$D$954,BJ$1,'Исходные данные'!$F$2:$F$954,$A21)</f>
        <v>0</v>
      </c>
      <c r="BL21" s="9" t="n">
        <f aca="false">SUMIFS('Исходные данные'!$I$2:$I$954,'Исходные данные'!$D$2:$D$954,BL$1,'Исходные данные'!$F$2:$F$954,$A21)</f>
        <v>0</v>
      </c>
      <c r="BM21" s="9" t="n">
        <f aca="false">SUMIFS('Исходные данные'!$J$2:$J$954,'Исходные данные'!$D$2:$D$954,BL$1,'Исходные данные'!$F$2:$F$954,$A21)</f>
        <v>0</v>
      </c>
      <c r="BN21" s="9" t="n">
        <f aca="false">SUMIFS('Исходные данные'!$I$2:$I$954,'Исходные данные'!$D$2:$D$954,BN$1,'Исходные данные'!$F$2:$F$954,$A21)</f>
        <v>0</v>
      </c>
      <c r="BO21" s="9" t="n">
        <f aca="false">SUMIFS('Исходные данные'!$J$2:$J$954,'Исходные данные'!$D$2:$D$954,BN$1,'Исходные данные'!$F$2:$F$954,$A21)</f>
        <v>0</v>
      </c>
      <c r="BP21" s="9" t="n">
        <f aca="false">SUMIFS('Исходные данные'!$I$2:$I$954,'Исходные данные'!$D$2:$D$954,BP$1,'Исходные данные'!$F$2:$F$954,$A21)</f>
        <v>0</v>
      </c>
      <c r="BQ21" s="9" t="n">
        <f aca="false">SUMIFS('Исходные данные'!$J$2:$J$954,'Исходные данные'!$D$2:$D$954,BP$1,'Исходные данные'!$F$2:$F$954,$A21)</f>
        <v>0</v>
      </c>
      <c r="BR21" s="9" t="n">
        <f aca="false">SUMIFS('Исходные данные'!$I$2:$I$954,'Исходные данные'!$D$2:$D$954,BR$1,'Исходные данные'!$F$2:$F$954,$A21)</f>
        <v>0</v>
      </c>
      <c r="BS21" s="9" t="n">
        <f aca="false">SUMIFS('Исходные данные'!$J$2:$J$954,'Исходные данные'!$D$2:$D$954,BR$1,'Исходные данные'!$F$2:$F$954,$A21)</f>
        <v>0</v>
      </c>
      <c r="BT21" s="9" t="n">
        <f aca="false">SUMIFS('Исходные данные'!$I$2:$I$954,'Исходные данные'!$D$2:$D$954,BT$1,'Исходные данные'!$F$2:$F$954,$A21)</f>
        <v>0</v>
      </c>
      <c r="BU21" s="9" t="n">
        <f aca="false">SUMIFS('Исходные данные'!$J$2:$J$954,'Исходные данные'!$D$2:$D$954,BT$1,'Исходные данные'!$F$2:$F$954,$A21)</f>
        <v>0</v>
      </c>
      <c r="BV21" s="9" t="n">
        <f aca="false">SUMIFS('Исходные данные'!$I$2:$I$954,'Исходные данные'!$D$2:$D$954,BV$1,'Исходные данные'!$F$2:$F$954,$A21)</f>
        <v>0</v>
      </c>
      <c r="BW21" s="9" t="n">
        <f aca="false">SUMIFS('Исходные данные'!$J$2:$J$954,'Исходные данные'!$D$2:$D$954,BV$1,'Исходные данные'!$F$2:$F$954,$A21)</f>
        <v>0</v>
      </c>
      <c r="BX21" s="9" t="n">
        <f aca="false">SUMIFS('Исходные данные'!$I$2:$I$954,'Исходные данные'!$D$2:$D$954,BX$1,'Исходные данные'!$F$2:$F$954,$A21)</f>
        <v>0</v>
      </c>
      <c r="BY21" s="9" t="n">
        <f aca="false">SUMIFS('Исходные данные'!$J$2:$J$954,'Исходные данные'!$D$2:$D$954,BX$1,'Исходные данные'!$F$2:$F$954,$A21)</f>
        <v>0</v>
      </c>
      <c r="BZ21" s="9" t="n">
        <f aca="false">SUMIFS('Исходные данные'!$I$2:$I$954,'Исходные данные'!$D$2:$D$954,BZ$1,'Исходные данные'!$F$2:$F$954,$A21)</f>
        <v>0</v>
      </c>
      <c r="CA21" s="9" t="n">
        <f aca="false">SUMIFS('Исходные данные'!$J$2:$J$954,'Исходные данные'!$D$2:$D$954,BZ$1,'Исходные данные'!$F$2:$F$954,$A21)</f>
        <v>0</v>
      </c>
      <c r="CB21" s="9" t="n">
        <f aca="false">SUMIFS('Исходные данные'!$I$2:$I$954,'Исходные данные'!$D$2:$D$954,CB$1,'Исходные данные'!$F$2:$F$954,$A21)</f>
        <v>0</v>
      </c>
      <c r="CC21" s="9" t="n">
        <f aca="false">SUMIFS('Исходные данные'!$J$2:$J$954,'Исходные данные'!$D$2:$D$954,CB$1,'Исходные данные'!$F$2:$F$954,$A21)</f>
        <v>0</v>
      </c>
      <c r="CD21" s="9" t="n">
        <f aca="false">SUMIFS('Исходные данные'!$I$2:$I$954,'Исходные данные'!$D$2:$D$954,CD$1,'Исходные данные'!$F$2:$F$954,$A21)</f>
        <v>0</v>
      </c>
      <c r="CE21" s="9" t="n">
        <f aca="false">SUMIFS('Исходные данные'!$J$2:$J$954,'Исходные данные'!$D$2:$D$954,CD$1,'Исходные данные'!$F$2:$F$954,$A21)</f>
        <v>0</v>
      </c>
      <c r="CF21" s="9" t="n">
        <f aca="false">SUMIFS('Исходные данные'!$I$2:$I$954,'Исходные данные'!$D$2:$D$954,CF$1,'Исходные данные'!$F$2:$F$954,$A21)</f>
        <v>0</v>
      </c>
      <c r="CG21" s="9" t="n">
        <f aca="false">SUMIFS('Исходные данные'!$J$2:$J$954,'Исходные данные'!$D$2:$D$954,CF$1,'Исходные данные'!$F$2:$F$954,$A21)</f>
        <v>0</v>
      </c>
      <c r="CH21" s="9" t="n">
        <f aca="false">SUMIFS('Исходные данные'!$I$2:$I$954,'Исходные данные'!$D$2:$D$954,CH$1,'Исходные данные'!$F$2:$F$954,$A21)</f>
        <v>0</v>
      </c>
      <c r="CI21" s="9" t="n">
        <f aca="false">SUMIFS('Исходные данные'!$J$2:$J$954,'Исходные данные'!$D$2:$D$954,CH$1,'Исходные данные'!$F$2:$F$954,$A21)</f>
        <v>0</v>
      </c>
    </row>
    <row r="22" customFormat="false" ht="15" hidden="false" customHeight="false" outlineLevel="0" collapsed="false">
      <c r="A22" s="8" t="s">
        <v>87</v>
      </c>
      <c r="B22" s="9" t="s">
        <v>88</v>
      </c>
      <c r="C22" s="5" t="n">
        <v>62</v>
      </c>
      <c r="D22" s="5" t="n">
        <f aca="false">F22+G22</f>
        <v>61</v>
      </c>
      <c r="E22" s="5" t="n">
        <f aca="false">D22-C22</f>
        <v>-1</v>
      </c>
      <c r="F22" s="5" t="n">
        <f aca="false">SUMIFS($H22:$CI22,$H$2:$CI$2,"День")</f>
        <v>59</v>
      </c>
      <c r="G22" s="5" t="n">
        <f aca="false">SUMIFS($H22:$CI22,$H$2:$CI$2,"Ночь")</f>
        <v>2</v>
      </c>
      <c r="H22" s="9" t="n">
        <f aca="false">SUMIFS('Исходные данные'!$I$2:$I$954,'Исходные данные'!$D$2:$D$954,H$1,'Исходные данные'!$F$2:$F$954,$A22)</f>
        <v>3</v>
      </c>
      <c r="I22" s="9" t="n">
        <f aca="false">SUMIFS('Исходные данные'!$J$2:$J$954,'Исходные данные'!$D$2:$D$954,H$1,'Исходные данные'!$F$2:$F$954,$A22)</f>
        <v>0</v>
      </c>
      <c r="J22" s="9" t="n">
        <f aca="false">SUMIFS('Исходные данные'!$I$2:$I$954,'Исходные данные'!$D$2:$D$954,J$1,'Исходные данные'!$F$2:$F$954,$A22)</f>
        <v>4</v>
      </c>
      <c r="K22" s="9" t="n">
        <f aca="false">SUMIFS('Исходные данные'!$J$2:$J$954,'Исходные данные'!$D$2:$D$954,J$1,'Исходные данные'!$F$2:$F$954,$A22)</f>
        <v>0</v>
      </c>
      <c r="L22" s="9" t="n">
        <f aca="false">SUMIFS('Исходные данные'!$I$2:$I$954,'Исходные данные'!$D$2:$D$954,L$1,'Исходные данные'!$F$2:$F$954,$A22)</f>
        <v>4</v>
      </c>
      <c r="M22" s="9" t="n">
        <f aca="false">SUMIFS('Исходные данные'!$J$2:$J$954,'Исходные данные'!$D$2:$D$954,L$1,'Исходные данные'!$F$2:$F$954,$A22)</f>
        <v>0</v>
      </c>
      <c r="N22" s="9" t="n">
        <f aca="false">SUMIFS('Исходные данные'!$I$2:$I$954,'Исходные данные'!$D$2:$D$954,N$1,'Исходные данные'!$F$2:$F$954,$A22)</f>
        <v>1</v>
      </c>
      <c r="O22" s="9" t="n">
        <f aca="false">SUMIFS('Исходные данные'!$J$2:$J$954,'Исходные данные'!$D$2:$D$954,N$1,'Исходные данные'!$F$2:$F$954,$A22)</f>
        <v>0</v>
      </c>
      <c r="P22" s="9" t="n">
        <f aca="false">SUMIFS('Исходные данные'!$I$2:$I$954,'Исходные данные'!$D$2:$D$954,P$1,'Исходные данные'!$F$2:$F$954,$A22)</f>
        <v>3</v>
      </c>
      <c r="Q22" s="9" t="n">
        <f aca="false">SUMIFS('Исходные данные'!$J$2:$J$954,'Исходные данные'!$D$2:$D$954,P$1,'Исходные данные'!$F$2:$F$954,$A22)</f>
        <v>0</v>
      </c>
      <c r="R22" s="9" t="n">
        <f aca="false">SUMIFS('Исходные данные'!$I$2:$I$954,'Исходные данные'!$D$2:$D$954,R$1,'Исходные данные'!$F$2:$F$954,$A22)</f>
        <v>3</v>
      </c>
      <c r="S22" s="9" t="n">
        <f aca="false">SUMIFS('Исходные данные'!$J$2:$J$954,'Исходные данные'!$D$2:$D$954,R$1,'Исходные данные'!$F$2:$F$954,$A22)</f>
        <v>0</v>
      </c>
      <c r="T22" s="9" t="n">
        <f aca="false">SUMIFS('Исходные данные'!$I$2:$I$954,'Исходные данные'!$D$2:$D$954,T$1,'Исходные данные'!$F$2:$F$954,$A22)</f>
        <v>0</v>
      </c>
      <c r="U22" s="9" t="n">
        <f aca="false">SUMIFS('Исходные данные'!$J$2:$J$954,'Исходные данные'!$D$2:$D$954,T$1,'Исходные данные'!$F$2:$F$954,$A22)</f>
        <v>0</v>
      </c>
      <c r="V22" s="9" t="n">
        <f aca="false">SUMIFS('Исходные данные'!$I$2:$I$954,'Исходные данные'!$D$2:$D$954,V$1,'Исходные данные'!$F$2:$F$954,$A22)</f>
        <v>2</v>
      </c>
      <c r="W22" s="9" t="n">
        <f aca="false">SUMIFS('Исходные данные'!$J$2:$J$954,'Исходные данные'!$D$2:$D$954,V$1,'Исходные данные'!$F$2:$F$954,$A22)</f>
        <v>0</v>
      </c>
      <c r="X22" s="9" t="n">
        <f aca="false">SUMIFS('Исходные данные'!$I$2:$I$954,'Исходные данные'!$D$2:$D$954,X$1,'Исходные данные'!$F$2:$F$954,$A22)</f>
        <v>0</v>
      </c>
      <c r="Y22" s="9" t="n">
        <f aca="false">SUMIFS('Исходные данные'!$J$2:$J$954,'Исходные данные'!$D$2:$D$954,X$1,'Исходные данные'!$F$2:$F$954,$A22)</f>
        <v>0</v>
      </c>
      <c r="Z22" s="9" t="n">
        <f aca="false">SUMIFS('Исходные данные'!$I$2:$I$954,'Исходные данные'!$D$2:$D$954,Z$1,'Исходные данные'!$F$2:$F$954,$A22)</f>
        <v>6</v>
      </c>
      <c r="AA22" s="9" t="n">
        <f aca="false">SUMIFS('Исходные данные'!$J$2:$J$954,'Исходные данные'!$D$2:$D$954,Z$1,'Исходные данные'!$F$2:$F$954,$A22)</f>
        <v>0</v>
      </c>
      <c r="AB22" s="9" t="n">
        <f aca="false">SUMIFS('Исходные данные'!$I$2:$I$954,'Исходные данные'!$D$2:$D$954,AB$1,'Исходные данные'!$F$2:$F$954,$A22)</f>
        <v>1</v>
      </c>
      <c r="AC22" s="9" t="n">
        <f aca="false">SUMIFS('Исходные данные'!$J$2:$J$954,'Исходные данные'!$D$2:$D$954,AB$1,'Исходные данные'!$F$2:$F$954,$A22)</f>
        <v>0</v>
      </c>
      <c r="AD22" s="9" t="n">
        <f aca="false">SUMIFS('Исходные данные'!$I$2:$I$954,'Исходные данные'!$D$2:$D$954,AD$1,'Исходные данные'!$F$2:$F$954,$A22)</f>
        <v>6</v>
      </c>
      <c r="AE22" s="9" t="n">
        <f aca="false">SUMIFS('Исходные данные'!$J$2:$J$954,'Исходные данные'!$D$2:$D$954,AD$1,'Исходные данные'!$F$2:$F$954,$A22)</f>
        <v>0</v>
      </c>
      <c r="AF22" s="9" t="n">
        <f aca="false">SUMIFS('Исходные данные'!$I$2:$I$954,'Исходные данные'!$D$2:$D$954,AF$1,'Исходные данные'!$F$2:$F$954,$A22)</f>
        <v>1</v>
      </c>
      <c r="AG22" s="9" t="n">
        <f aca="false">SUMIFS('Исходные данные'!$J$2:$J$954,'Исходные данные'!$D$2:$D$954,AF$1,'Исходные данные'!$F$2:$F$954,$A22)</f>
        <v>0</v>
      </c>
      <c r="AH22" s="9" t="n">
        <f aca="false">SUMIFS('Исходные данные'!$I$2:$I$954,'Исходные данные'!$D$2:$D$954,AH$1,'Исходные данные'!$F$2:$F$954,$A22)</f>
        <v>6</v>
      </c>
      <c r="AI22" s="9" t="n">
        <f aca="false">SUMIFS('Исходные данные'!$J$2:$J$954,'Исходные данные'!$D$2:$D$954,AH$1,'Исходные данные'!$F$2:$F$954,$A22)</f>
        <v>0</v>
      </c>
      <c r="AJ22" s="9" t="n">
        <f aca="false">SUMIFS('Исходные данные'!$I$2:$I$954,'Исходные данные'!$D$2:$D$954,AJ$1,'Исходные данные'!$F$2:$F$954,$A22)</f>
        <v>4</v>
      </c>
      <c r="AK22" s="9" t="n">
        <f aca="false">SUMIFS('Исходные данные'!$J$2:$J$954,'Исходные данные'!$D$2:$D$954,AJ$1,'Исходные данные'!$F$2:$F$954,$A22)</f>
        <v>0</v>
      </c>
      <c r="AL22" s="9" t="n">
        <f aca="false">SUMIFS('Исходные данные'!$I$2:$I$954,'Исходные данные'!$D$2:$D$954,AL$1,'Исходные данные'!$F$2:$F$954,$A22)</f>
        <v>7</v>
      </c>
      <c r="AM22" s="9" t="n">
        <f aca="false">SUMIFS('Исходные данные'!$J$2:$J$954,'Исходные данные'!$D$2:$D$954,AL$1,'Исходные данные'!$F$2:$F$954,$A22)</f>
        <v>2</v>
      </c>
      <c r="AN22" s="9" t="n">
        <f aca="false">SUMIFS('Исходные данные'!$I$2:$I$954,'Исходные данные'!$D$2:$D$954,AN$1,'Исходные данные'!$F$2:$F$954,$A22)</f>
        <v>2</v>
      </c>
      <c r="AO22" s="9" t="n">
        <f aca="false">SUMIFS('Исходные данные'!$J$2:$J$954,'Исходные данные'!$D$2:$D$954,AN$1,'Исходные данные'!$F$2:$F$954,$A22)</f>
        <v>0</v>
      </c>
      <c r="AP22" s="9" t="n">
        <f aca="false">SUMIFS('Исходные данные'!$I$2:$I$954,'Исходные данные'!$D$2:$D$954,AP$1,'Исходные данные'!$F$2:$F$954,$A22)</f>
        <v>0</v>
      </c>
      <c r="AQ22" s="9" t="n">
        <f aca="false">SUMIFS('Исходные данные'!$J$2:$J$954,'Исходные данные'!$D$2:$D$954,AP$1,'Исходные данные'!$F$2:$F$954,$A22)</f>
        <v>0</v>
      </c>
      <c r="AR22" s="9" t="n">
        <f aca="false">SUMIFS('Исходные данные'!$I$2:$I$954,'Исходные данные'!$D$2:$D$954,AR$1,'Исходные данные'!$F$2:$F$954,$A22)</f>
        <v>1</v>
      </c>
      <c r="AS22" s="9" t="n">
        <f aca="false">SUMIFS('Исходные данные'!$J$2:$J$954,'Исходные данные'!$D$2:$D$954,AR$1,'Исходные данные'!$F$2:$F$954,$A22)</f>
        <v>0</v>
      </c>
      <c r="AT22" s="9" t="n">
        <f aca="false">SUMIFS('Исходные данные'!$I$2:$I$954,'Исходные данные'!$D$2:$D$954,AT$1,'Исходные данные'!$F$2:$F$954,$A22)</f>
        <v>0</v>
      </c>
      <c r="AU22" s="9" t="n">
        <f aca="false">SUMIFS('Исходные данные'!$J$2:$J$954,'Исходные данные'!$D$2:$D$954,AT$1,'Исходные данные'!$F$2:$F$954,$A22)</f>
        <v>0</v>
      </c>
      <c r="AV22" s="9" t="n">
        <f aca="false">SUMIFS('Исходные данные'!$I$2:$I$954,'Исходные данные'!$D$2:$D$954,AV$1,'Исходные данные'!$F$2:$F$954,$A22)</f>
        <v>1</v>
      </c>
      <c r="AW22" s="9" t="n">
        <f aca="false">SUMIFS('Исходные данные'!$J$2:$J$954,'Исходные данные'!$D$2:$D$954,AV$1,'Исходные данные'!$F$2:$F$954,$A22)</f>
        <v>0</v>
      </c>
      <c r="AX22" s="9" t="n">
        <f aca="false">SUMIFS('Исходные данные'!$I$2:$I$954,'Исходные данные'!$D$2:$D$954,AX$1,'Исходные данные'!$F$2:$F$954,$A22)</f>
        <v>0</v>
      </c>
      <c r="AY22" s="9" t="n">
        <f aca="false">SUMIFS('Исходные данные'!$J$2:$J$954,'Исходные данные'!$D$2:$D$954,AX$1,'Исходные данные'!$F$2:$F$954,$A22)</f>
        <v>0</v>
      </c>
      <c r="AZ22" s="9" t="n">
        <f aca="false">SUMIFS('Исходные данные'!$I$2:$I$954,'Исходные данные'!$D$2:$D$954,AZ$1,'Исходные данные'!$F$2:$F$954,$A22)</f>
        <v>0</v>
      </c>
      <c r="BA22" s="9" t="n">
        <f aca="false">SUMIFS('Исходные данные'!$J$2:$J$954,'Исходные данные'!$D$2:$D$954,AZ$1,'Исходные данные'!$F$2:$F$954,$A22)</f>
        <v>0</v>
      </c>
      <c r="BB22" s="9" t="n">
        <f aca="false">SUMIFS('Исходные данные'!$I$2:$I$954,'Исходные данные'!$D$2:$D$954,BB$1,'Исходные данные'!$F$2:$F$954,$A22)</f>
        <v>0</v>
      </c>
      <c r="BC22" s="9" t="n">
        <f aca="false">SUMIFS('Исходные данные'!$J$2:$J$954,'Исходные данные'!$D$2:$D$954,BB$1,'Исходные данные'!$F$2:$F$954,$A22)</f>
        <v>0</v>
      </c>
      <c r="BD22" s="9" t="n">
        <f aca="false">SUMIFS('Исходные данные'!$I$2:$I$954,'Исходные данные'!$D$2:$D$954,BD$1,'Исходные данные'!$F$2:$F$954,$A22)</f>
        <v>0</v>
      </c>
      <c r="BE22" s="9" t="n">
        <f aca="false">SUMIFS('Исходные данные'!$J$2:$J$954,'Исходные данные'!$D$2:$D$954,BD$1,'Исходные данные'!$F$2:$F$954,$A22)</f>
        <v>0</v>
      </c>
      <c r="BF22" s="9" t="n">
        <f aca="false">SUMIFS('Исходные данные'!$I$2:$I$954,'Исходные данные'!$D$2:$D$954,BF$1,'Исходные данные'!$F$2:$F$954,$A22)</f>
        <v>1</v>
      </c>
      <c r="BG22" s="9" t="n">
        <f aca="false">SUMIFS('Исходные данные'!$J$2:$J$954,'Исходные данные'!$D$2:$D$954,BF$1,'Исходные данные'!$F$2:$F$954,$A22)</f>
        <v>0</v>
      </c>
      <c r="BH22" s="9" t="n">
        <f aca="false">SUMIFS('Исходные данные'!$I$2:$I$954,'Исходные данные'!$D$2:$D$954,BH$1,'Исходные данные'!$F$2:$F$954,$A22)</f>
        <v>0</v>
      </c>
      <c r="BI22" s="9" t="n">
        <f aca="false">SUMIFS('Исходные данные'!$J$2:$J$954,'Исходные данные'!$D$2:$D$954,BH$1,'Исходные данные'!$F$2:$F$954,$A22)</f>
        <v>0</v>
      </c>
      <c r="BJ22" s="9" t="n">
        <f aca="false">SUMIFS('Исходные данные'!$I$2:$I$954,'Исходные данные'!$D$2:$D$954,BJ$1,'Исходные данные'!$F$2:$F$954,$A22)</f>
        <v>0</v>
      </c>
      <c r="BK22" s="9" t="n">
        <f aca="false">SUMIFS('Исходные данные'!$J$2:$J$954,'Исходные данные'!$D$2:$D$954,BJ$1,'Исходные данные'!$F$2:$F$954,$A22)</f>
        <v>0</v>
      </c>
      <c r="BL22" s="9" t="n">
        <f aca="false">SUMIFS('Исходные данные'!$I$2:$I$954,'Исходные данные'!$D$2:$D$954,BL$1,'Исходные данные'!$F$2:$F$954,$A22)</f>
        <v>1</v>
      </c>
      <c r="BM22" s="9" t="n">
        <f aca="false">SUMIFS('Исходные данные'!$J$2:$J$954,'Исходные данные'!$D$2:$D$954,BL$1,'Исходные данные'!$F$2:$F$954,$A22)</f>
        <v>0</v>
      </c>
      <c r="BN22" s="9" t="n">
        <f aca="false">SUMIFS('Исходные данные'!$I$2:$I$954,'Исходные данные'!$D$2:$D$954,BN$1,'Исходные данные'!$F$2:$F$954,$A22)</f>
        <v>0</v>
      </c>
      <c r="BO22" s="9" t="n">
        <f aca="false">SUMIFS('Исходные данные'!$J$2:$J$954,'Исходные данные'!$D$2:$D$954,BN$1,'Исходные данные'!$F$2:$F$954,$A22)</f>
        <v>0</v>
      </c>
      <c r="BP22" s="9" t="n">
        <f aca="false">SUMIFS('Исходные данные'!$I$2:$I$954,'Исходные данные'!$D$2:$D$954,BP$1,'Исходные данные'!$F$2:$F$954,$A22)</f>
        <v>0</v>
      </c>
      <c r="BQ22" s="9" t="n">
        <f aca="false">SUMIFS('Исходные данные'!$J$2:$J$954,'Исходные данные'!$D$2:$D$954,BP$1,'Исходные данные'!$F$2:$F$954,$A22)</f>
        <v>0</v>
      </c>
      <c r="BR22" s="9" t="n">
        <f aca="false">SUMIFS('Исходные данные'!$I$2:$I$954,'Исходные данные'!$D$2:$D$954,BR$1,'Исходные данные'!$F$2:$F$954,$A22)</f>
        <v>0</v>
      </c>
      <c r="BS22" s="9" t="n">
        <f aca="false">SUMIFS('Исходные данные'!$J$2:$J$954,'Исходные данные'!$D$2:$D$954,BR$1,'Исходные данные'!$F$2:$F$954,$A22)</f>
        <v>0</v>
      </c>
      <c r="BT22" s="9" t="n">
        <f aca="false">SUMIFS('Исходные данные'!$I$2:$I$954,'Исходные данные'!$D$2:$D$954,BT$1,'Исходные данные'!$F$2:$F$954,$A22)</f>
        <v>0</v>
      </c>
      <c r="BU22" s="9" t="n">
        <f aca="false">SUMIFS('Исходные данные'!$J$2:$J$954,'Исходные данные'!$D$2:$D$954,BT$1,'Исходные данные'!$F$2:$F$954,$A22)</f>
        <v>0</v>
      </c>
      <c r="BV22" s="9" t="n">
        <f aca="false">SUMIFS('Исходные данные'!$I$2:$I$954,'Исходные данные'!$D$2:$D$954,BV$1,'Исходные данные'!$F$2:$F$954,$A22)</f>
        <v>0</v>
      </c>
      <c r="BW22" s="9" t="n">
        <f aca="false">SUMIFS('Исходные данные'!$J$2:$J$954,'Исходные данные'!$D$2:$D$954,BV$1,'Исходные данные'!$F$2:$F$954,$A22)</f>
        <v>0</v>
      </c>
      <c r="BX22" s="9" t="n">
        <f aca="false">SUMIFS('Исходные данные'!$I$2:$I$954,'Исходные данные'!$D$2:$D$954,BX$1,'Исходные данные'!$F$2:$F$954,$A22)</f>
        <v>0</v>
      </c>
      <c r="BY22" s="9" t="n">
        <f aca="false">SUMIFS('Исходные данные'!$J$2:$J$954,'Исходные данные'!$D$2:$D$954,BX$1,'Исходные данные'!$F$2:$F$954,$A22)</f>
        <v>0</v>
      </c>
      <c r="BZ22" s="9" t="n">
        <f aca="false">SUMIFS('Исходные данные'!$I$2:$I$954,'Исходные данные'!$D$2:$D$954,BZ$1,'Исходные данные'!$F$2:$F$954,$A22)</f>
        <v>1</v>
      </c>
      <c r="CA22" s="9" t="n">
        <f aca="false">SUMIFS('Исходные данные'!$J$2:$J$954,'Исходные данные'!$D$2:$D$954,BZ$1,'Исходные данные'!$F$2:$F$954,$A22)</f>
        <v>0</v>
      </c>
      <c r="CB22" s="9" t="n">
        <f aca="false">SUMIFS('Исходные данные'!$I$2:$I$954,'Исходные данные'!$D$2:$D$954,CB$1,'Исходные данные'!$F$2:$F$954,$A22)</f>
        <v>0</v>
      </c>
      <c r="CC22" s="9" t="n">
        <f aca="false">SUMIFS('Исходные данные'!$J$2:$J$954,'Исходные данные'!$D$2:$D$954,CB$1,'Исходные данные'!$F$2:$F$954,$A22)</f>
        <v>0</v>
      </c>
      <c r="CD22" s="9" t="n">
        <f aca="false">SUMIFS('Исходные данные'!$I$2:$I$954,'Исходные данные'!$D$2:$D$954,CD$1,'Исходные данные'!$F$2:$F$954,$A22)</f>
        <v>1</v>
      </c>
      <c r="CE22" s="9" t="n">
        <f aca="false">SUMIFS('Исходные данные'!$J$2:$J$954,'Исходные данные'!$D$2:$D$954,CD$1,'Исходные данные'!$F$2:$F$954,$A22)</f>
        <v>0</v>
      </c>
      <c r="CF22" s="9" t="n">
        <f aca="false">SUMIFS('Исходные данные'!$I$2:$I$954,'Исходные данные'!$D$2:$D$954,CF$1,'Исходные данные'!$F$2:$F$954,$A22)</f>
        <v>0</v>
      </c>
      <c r="CG22" s="9" t="n">
        <f aca="false">SUMIFS('Исходные данные'!$J$2:$J$954,'Исходные данные'!$D$2:$D$954,CF$1,'Исходные данные'!$F$2:$F$954,$A22)</f>
        <v>0</v>
      </c>
      <c r="CH22" s="9" t="n">
        <f aca="false">SUMIFS('Исходные данные'!$I$2:$I$954,'Исходные данные'!$D$2:$D$954,CH$1,'Исходные данные'!$F$2:$F$954,$A22)</f>
        <v>0</v>
      </c>
      <c r="CI22" s="9" t="n">
        <f aca="false">SUMIFS('Исходные данные'!$J$2:$J$954,'Исходные данные'!$D$2:$D$954,CH$1,'Исходные данные'!$F$2:$F$954,$A22)</f>
        <v>0</v>
      </c>
    </row>
    <row r="23" customFormat="false" ht="15" hidden="false" customHeight="false" outlineLevel="0" collapsed="false">
      <c r="A23" s="8" t="s">
        <v>89</v>
      </c>
      <c r="B23" s="9" t="s">
        <v>90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SUMIFS($H23:$CI23,$H$2:$CI$2,"День")</f>
        <v>29</v>
      </c>
      <c r="G23" s="5" t="n">
        <f aca="false">SUMIFS($H23:$CI23,$H$2:$CI$2,"Ночь")</f>
        <v>3</v>
      </c>
      <c r="H23" s="9" t="n">
        <f aca="false">SUMIFS('Исходные данные'!$I$2:$I$954,'Исходные данные'!$D$2:$D$954,H$1,'Исходные данные'!$F$2:$F$954,$A23)</f>
        <v>0</v>
      </c>
      <c r="I23" s="9" t="n">
        <f aca="false">SUMIFS('Исходные данные'!$J$2:$J$954,'Исходные данные'!$D$2:$D$954,H$1,'Исходные данные'!$F$2:$F$954,$A23)</f>
        <v>0</v>
      </c>
      <c r="J23" s="9" t="n">
        <f aca="false">SUMIFS('Исходные данные'!$I$2:$I$954,'Исходные данные'!$D$2:$D$954,J$1,'Исходные данные'!$F$2:$F$954,$A23)</f>
        <v>0</v>
      </c>
      <c r="K23" s="9" t="n">
        <f aca="false">SUMIFS('Исходные данные'!$J$2:$J$954,'Исходные данные'!$D$2:$D$954,J$1,'Исходные данные'!$F$2:$F$954,$A23)</f>
        <v>0</v>
      </c>
      <c r="L23" s="9" t="n">
        <f aca="false">SUMIFS('Исходные данные'!$I$2:$I$954,'Исходные данные'!$D$2:$D$954,L$1,'Исходные данные'!$F$2:$F$954,$A23)</f>
        <v>0</v>
      </c>
      <c r="M23" s="9" t="n">
        <f aca="false">SUMIFS('Исходные данные'!$J$2:$J$954,'Исходные данные'!$D$2:$D$954,L$1,'Исходные данные'!$F$2:$F$954,$A23)</f>
        <v>0</v>
      </c>
      <c r="N23" s="9" t="n">
        <f aca="false">SUMIFS('Исходные данные'!$I$2:$I$954,'Исходные данные'!$D$2:$D$954,N$1,'Исходные данные'!$F$2:$F$954,$A23)</f>
        <v>0</v>
      </c>
      <c r="O23" s="9" t="n">
        <f aca="false">SUMIFS('Исходные данные'!$J$2:$J$954,'Исходные данные'!$D$2:$D$954,N$1,'Исходные данные'!$F$2:$F$954,$A23)</f>
        <v>0</v>
      </c>
      <c r="P23" s="9" t="n">
        <f aca="false">SUMIFS('Исходные данные'!$I$2:$I$954,'Исходные данные'!$D$2:$D$954,P$1,'Исходные данные'!$F$2:$F$954,$A23)</f>
        <v>0</v>
      </c>
      <c r="Q23" s="9" t="n">
        <f aca="false">SUMIFS('Исходные данные'!$J$2:$J$954,'Исходные данные'!$D$2:$D$954,P$1,'Исходные данные'!$F$2:$F$954,$A23)</f>
        <v>0</v>
      </c>
      <c r="R23" s="9" t="n">
        <f aca="false">SUMIFS('Исходные данные'!$I$2:$I$954,'Исходные данные'!$D$2:$D$954,R$1,'Исходные данные'!$F$2:$F$954,$A23)</f>
        <v>0</v>
      </c>
      <c r="S23" s="9" t="n">
        <f aca="false">SUMIFS('Исходные данные'!$J$2:$J$954,'Исходные данные'!$D$2:$D$954,R$1,'Исходные данные'!$F$2:$F$954,$A23)</f>
        <v>0</v>
      </c>
      <c r="T23" s="9" t="n">
        <f aca="false">SUMIFS('Исходные данные'!$I$2:$I$954,'Исходные данные'!$D$2:$D$954,T$1,'Исходные данные'!$F$2:$F$954,$A23)</f>
        <v>0</v>
      </c>
      <c r="U23" s="9" t="n">
        <f aca="false">SUMIFS('Исходные данные'!$J$2:$J$954,'Исходные данные'!$D$2:$D$954,T$1,'Исходные данные'!$F$2:$F$954,$A23)</f>
        <v>0</v>
      </c>
      <c r="V23" s="9" t="n">
        <f aca="false">SUMIFS('Исходные данные'!$I$2:$I$954,'Исходные данные'!$D$2:$D$954,V$1,'Исходные данные'!$F$2:$F$954,$A23)</f>
        <v>0</v>
      </c>
      <c r="W23" s="9" t="n">
        <f aca="false">SUMIFS('Исходные данные'!$J$2:$J$954,'Исходные данные'!$D$2:$D$954,V$1,'Исходные данные'!$F$2:$F$954,$A23)</f>
        <v>0</v>
      </c>
      <c r="X23" s="9" t="n">
        <f aca="false">SUMIFS('Исходные данные'!$I$2:$I$954,'Исходные данные'!$D$2:$D$954,X$1,'Исходные данные'!$F$2:$F$954,$A23)</f>
        <v>0</v>
      </c>
      <c r="Y23" s="9" t="n">
        <f aca="false">SUMIFS('Исходные данные'!$J$2:$J$954,'Исходные данные'!$D$2:$D$954,X$1,'Исходные данные'!$F$2:$F$954,$A23)</f>
        <v>0</v>
      </c>
      <c r="Z23" s="9" t="n">
        <f aca="false">SUMIFS('Исходные данные'!$I$2:$I$954,'Исходные данные'!$D$2:$D$954,Z$1,'Исходные данные'!$F$2:$F$954,$A23)</f>
        <v>24</v>
      </c>
      <c r="AA23" s="9" t="n">
        <f aca="false">SUMIFS('Исходные данные'!$J$2:$J$954,'Исходные данные'!$D$2:$D$954,Z$1,'Исходные данные'!$F$2:$F$954,$A23)</f>
        <v>2</v>
      </c>
      <c r="AB23" s="9" t="n">
        <f aca="false">SUMIFS('Исходные данные'!$I$2:$I$954,'Исходные данные'!$D$2:$D$954,AB$1,'Исходные данные'!$F$2:$F$954,$A23)</f>
        <v>0</v>
      </c>
      <c r="AC23" s="9" t="n">
        <f aca="false">SUMIFS('Исходные данные'!$J$2:$J$954,'Исходные данные'!$D$2:$D$954,AB$1,'Исходные данные'!$F$2:$F$954,$A23)</f>
        <v>0</v>
      </c>
      <c r="AD23" s="9" t="n">
        <f aca="false">SUMIFS('Исходные данные'!$I$2:$I$954,'Исходные данные'!$D$2:$D$954,AD$1,'Исходные данные'!$F$2:$F$954,$A23)</f>
        <v>0</v>
      </c>
      <c r="AE23" s="9" t="n">
        <f aca="false">SUMIFS('Исходные данные'!$J$2:$J$954,'Исходные данные'!$D$2:$D$954,AD$1,'Исходные данные'!$F$2:$F$954,$A23)</f>
        <v>0</v>
      </c>
      <c r="AF23" s="9" t="n">
        <f aca="false">SUMIFS('Исходные данные'!$I$2:$I$954,'Исходные данные'!$D$2:$D$954,AF$1,'Исходные данные'!$F$2:$F$954,$A23)</f>
        <v>0</v>
      </c>
      <c r="AG23" s="9" t="n">
        <f aca="false">SUMIFS('Исходные данные'!$J$2:$J$954,'Исходные данные'!$D$2:$D$954,AF$1,'Исходные данные'!$F$2:$F$954,$A23)</f>
        <v>0</v>
      </c>
      <c r="AH23" s="9" t="n">
        <f aca="false">SUMIFS('Исходные данные'!$I$2:$I$954,'Исходные данные'!$D$2:$D$954,AH$1,'Исходные данные'!$F$2:$F$954,$A23)</f>
        <v>0</v>
      </c>
      <c r="AI23" s="9" t="n">
        <f aca="false">SUMIFS('Исходные данные'!$J$2:$J$954,'Исходные данные'!$D$2:$D$954,AH$1,'Исходные данные'!$F$2:$F$954,$A23)</f>
        <v>0</v>
      </c>
      <c r="AJ23" s="9" t="n">
        <f aca="false">SUMIFS('Исходные данные'!$I$2:$I$954,'Исходные данные'!$D$2:$D$954,AJ$1,'Исходные данные'!$F$2:$F$954,$A23)</f>
        <v>0</v>
      </c>
      <c r="AK23" s="9" t="n">
        <f aca="false">SUMIFS('Исходные данные'!$J$2:$J$954,'Исходные данные'!$D$2:$D$954,AJ$1,'Исходные данные'!$F$2:$F$954,$A23)</f>
        <v>0</v>
      </c>
      <c r="AL23" s="9" t="n">
        <f aca="false">SUMIFS('Исходные данные'!$I$2:$I$954,'Исходные данные'!$D$2:$D$954,AL$1,'Исходные данные'!$F$2:$F$954,$A23)</f>
        <v>1</v>
      </c>
      <c r="AM23" s="9" t="n">
        <f aca="false">SUMIFS('Исходные данные'!$J$2:$J$954,'Исходные данные'!$D$2:$D$954,AL$1,'Исходные данные'!$F$2:$F$954,$A23)</f>
        <v>1</v>
      </c>
      <c r="AN23" s="9" t="n">
        <f aca="false">SUMIFS('Исходные данные'!$I$2:$I$954,'Исходные данные'!$D$2:$D$954,AN$1,'Исходные данные'!$F$2:$F$954,$A23)</f>
        <v>0</v>
      </c>
      <c r="AO23" s="9" t="n">
        <f aca="false">SUMIFS('Исходные данные'!$J$2:$J$954,'Исходные данные'!$D$2:$D$954,AN$1,'Исходные данные'!$F$2:$F$954,$A23)</f>
        <v>0</v>
      </c>
      <c r="AP23" s="9" t="n">
        <f aca="false">SUMIFS('Исходные данные'!$I$2:$I$954,'Исходные данные'!$D$2:$D$954,AP$1,'Исходные данные'!$F$2:$F$954,$A23)</f>
        <v>0</v>
      </c>
      <c r="AQ23" s="9" t="n">
        <f aca="false">SUMIFS('Исходные данные'!$J$2:$J$954,'Исходные данные'!$D$2:$D$954,AP$1,'Исходные данные'!$F$2:$F$954,$A23)</f>
        <v>0</v>
      </c>
      <c r="AR23" s="9" t="n">
        <f aca="false">SUMIFS('Исходные данные'!$I$2:$I$954,'Исходные данные'!$D$2:$D$954,AR$1,'Исходные данные'!$F$2:$F$954,$A23)</f>
        <v>0</v>
      </c>
      <c r="AS23" s="9" t="n">
        <f aca="false">SUMIFS('Исходные данные'!$J$2:$J$954,'Исходные данные'!$D$2:$D$954,AR$1,'Исходные данные'!$F$2:$F$954,$A23)</f>
        <v>0</v>
      </c>
      <c r="AT23" s="9" t="n">
        <f aca="false">SUMIFS('Исходные данные'!$I$2:$I$954,'Исходные данные'!$D$2:$D$954,AT$1,'Исходные данные'!$F$2:$F$954,$A23)</f>
        <v>0</v>
      </c>
      <c r="AU23" s="9" t="n">
        <f aca="false">SUMIFS('Исходные данные'!$J$2:$J$954,'Исходные данные'!$D$2:$D$954,AT$1,'Исходные данные'!$F$2:$F$954,$A23)</f>
        <v>0</v>
      </c>
      <c r="AV23" s="9" t="n">
        <f aca="false">SUMIFS('Исходные данные'!$I$2:$I$954,'Исходные данные'!$D$2:$D$954,AV$1,'Исходные данные'!$F$2:$F$954,$A23)</f>
        <v>0</v>
      </c>
      <c r="AW23" s="9" t="n">
        <f aca="false">SUMIFS('Исходные данные'!$J$2:$J$954,'Исходные данные'!$D$2:$D$954,AV$1,'Исходные данные'!$F$2:$F$954,$A23)</f>
        <v>0</v>
      </c>
      <c r="AX23" s="9" t="n">
        <f aca="false">SUMIFS('Исходные данные'!$I$2:$I$954,'Исходные данные'!$D$2:$D$954,AX$1,'Исходные данные'!$F$2:$F$954,$A23)</f>
        <v>0</v>
      </c>
      <c r="AY23" s="9" t="n">
        <f aca="false">SUMIFS('Исходные данные'!$J$2:$J$954,'Исходные данные'!$D$2:$D$954,AX$1,'Исходные данные'!$F$2:$F$954,$A23)</f>
        <v>0</v>
      </c>
      <c r="AZ23" s="9" t="n">
        <f aca="false">SUMIFS('Исходные данные'!$I$2:$I$954,'Исходные данные'!$D$2:$D$954,AZ$1,'Исходные данные'!$F$2:$F$954,$A23)</f>
        <v>0</v>
      </c>
      <c r="BA23" s="9" t="n">
        <f aca="false">SUMIFS('Исходные данные'!$J$2:$J$954,'Исходные данные'!$D$2:$D$954,AZ$1,'Исходные данные'!$F$2:$F$954,$A23)</f>
        <v>0</v>
      </c>
      <c r="BB23" s="9" t="n">
        <f aca="false">SUMIFS('Исходные данные'!$I$2:$I$954,'Исходные данные'!$D$2:$D$954,BB$1,'Исходные данные'!$F$2:$F$954,$A23)</f>
        <v>0</v>
      </c>
      <c r="BC23" s="9" t="n">
        <f aca="false">SUMIFS('Исходные данные'!$J$2:$J$954,'Исходные данные'!$D$2:$D$954,BB$1,'Исходные данные'!$F$2:$F$954,$A23)</f>
        <v>0</v>
      </c>
      <c r="BD23" s="9" t="n">
        <f aca="false">SUMIFS('Исходные данные'!$I$2:$I$954,'Исходные данные'!$D$2:$D$954,BD$1,'Исходные данные'!$F$2:$F$954,$A23)</f>
        <v>0</v>
      </c>
      <c r="BE23" s="9" t="n">
        <f aca="false">SUMIFS('Исходные данные'!$J$2:$J$954,'Исходные данные'!$D$2:$D$954,BD$1,'Исходные данные'!$F$2:$F$954,$A23)</f>
        <v>0</v>
      </c>
      <c r="BF23" s="9" t="n">
        <f aca="false">SUMIFS('Исходные данные'!$I$2:$I$954,'Исходные данные'!$D$2:$D$954,BF$1,'Исходные данные'!$F$2:$F$954,$A23)</f>
        <v>0</v>
      </c>
      <c r="BG23" s="9" t="n">
        <f aca="false">SUMIFS('Исходные данные'!$J$2:$J$954,'Исходные данные'!$D$2:$D$954,BF$1,'Исходные данные'!$F$2:$F$954,$A23)</f>
        <v>0</v>
      </c>
      <c r="BH23" s="9" t="n">
        <f aca="false">SUMIFS('Исходные данные'!$I$2:$I$954,'Исходные данные'!$D$2:$D$954,BH$1,'Исходные данные'!$F$2:$F$954,$A23)</f>
        <v>0</v>
      </c>
      <c r="BI23" s="9" t="n">
        <f aca="false">SUMIFS('Исходные данные'!$J$2:$J$954,'Исходные данные'!$D$2:$D$954,BH$1,'Исходные данные'!$F$2:$F$954,$A23)</f>
        <v>0</v>
      </c>
      <c r="BJ23" s="9" t="n">
        <f aca="false">SUMIFS('Исходные данные'!$I$2:$I$954,'Исходные данные'!$D$2:$D$954,BJ$1,'Исходные данные'!$F$2:$F$954,$A23)</f>
        <v>0</v>
      </c>
      <c r="BK23" s="9" t="n">
        <f aca="false">SUMIFS('Исходные данные'!$J$2:$J$954,'Исходные данные'!$D$2:$D$954,BJ$1,'Исходные данные'!$F$2:$F$954,$A23)</f>
        <v>0</v>
      </c>
      <c r="BL23" s="9" t="n">
        <f aca="false">SUMIFS('Исходные данные'!$I$2:$I$954,'Исходные данные'!$D$2:$D$954,BL$1,'Исходные данные'!$F$2:$F$954,$A23)</f>
        <v>0</v>
      </c>
      <c r="BM23" s="9" t="n">
        <f aca="false">SUMIFS('Исходные данные'!$J$2:$J$954,'Исходные данные'!$D$2:$D$954,BL$1,'Исходные данные'!$F$2:$F$954,$A23)</f>
        <v>0</v>
      </c>
      <c r="BN23" s="9" t="n">
        <f aca="false">SUMIFS('Исходные данные'!$I$2:$I$954,'Исходные данные'!$D$2:$D$954,BN$1,'Исходные данные'!$F$2:$F$954,$A23)</f>
        <v>0</v>
      </c>
      <c r="BO23" s="9" t="n">
        <f aca="false">SUMIFS('Исходные данные'!$J$2:$J$954,'Исходные данные'!$D$2:$D$954,BN$1,'Исходные данные'!$F$2:$F$954,$A23)</f>
        <v>0</v>
      </c>
      <c r="BP23" s="9" t="n">
        <f aca="false">SUMIFS('Исходные данные'!$I$2:$I$954,'Исходные данные'!$D$2:$D$954,BP$1,'Исходные данные'!$F$2:$F$954,$A23)</f>
        <v>0</v>
      </c>
      <c r="BQ23" s="9" t="n">
        <f aca="false">SUMIFS('Исходные данные'!$J$2:$J$954,'Исходные данные'!$D$2:$D$954,BP$1,'Исходные данные'!$F$2:$F$954,$A23)</f>
        <v>0</v>
      </c>
      <c r="BR23" s="9" t="n">
        <f aca="false">SUMIFS('Исходные данные'!$I$2:$I$954,'Исходные данные'!$D$2:$D$954,BR$1,'Исходные данные'!$F$2:$F$954,$A23)</f>
        <v>0</v>
      </c>
      <c r="BS23" s="9" t="n">
        <f aca="false">SUMIFS('Исходные данные'!$J$2:$J$954,'Исходные данные'!$D$2:$D$954,BR$1,'Исходные данные'!$F$2:$F$954,$A23)</f>
        <v>0</v>
      </c>
      <c r="BT23" s="9" t="n">
        <f aca="false">SUMIFS('Исходные данные'!$I$2:$I$954,'Исходные данные'!$D$2:$D$954,BT$1,'Исходные данные'!$F$2:$F$954,$A23)</f>
        <v>0</v>
      </c>
      <c r="BU23" s="9" t="n">
        <f aca="false">SUMIFS('Исходные данные'!$J$2:$J$954,'Исходные данные'!$D$2:$D$954,BT$1,'Исходные данные'!$F$2:$F$954,$A23)</f>
        <v>0</v>
      </c>
      <c r="BV23" s="9" t="n">
        <f aca="false">SUMIFS('Исходные данные'!$I$2:$I$954,'Исходные данные'!$D$2:$D$954,BV$1,'Исходные данные'!$F$2:$F$954,$A23)</f>
        <v>4</v>
      </c>
      <c r="BW23" s="9" t="n">
        <f aca="false">SUMIFS('Исходные данные'!$J$2:$J$954,'Исходные данные'!$D$2:$D$954,BV$1,'Исходные данные'!$F$2:$F$954,$A23)</f>
        <v>0</v>
      </c>
      <c r="BX23" s="9" t="n">
        <f aca="false">SUMIFS('Исходные данные'!$I$2:$I$954,'Исходные данные'!$D$2:$D$954,BX$1,'Исходные данные'!$F$2:$F$954,$A23)</f>
        <v>0</v>
      </c>
      <c r="BY23" s="9" t="n">
        <f aca="false">SUMIFS('Исходные данные'!$J$2:$J$954,'Исходные данные'!$D$2:$D$954,BX$1,'Исходные данные'!$F$2:$F$954,$A23)</f>
        <v>0</v>
      </c>
      <c r="BZ23" s="9" t="n">
        <f aca="false">SUMIFS('Исходные данные'!$I$2:$I$954,'Исходные данные'!$D$2:$D$954,BZ$1,'Исходные данные'!$F$2:$F$954,$A23)</f>
        <v>0</v>
      </c>
      <c r="CA23" s="9" t="n">
        <f aca="false">SUMIFS('Исходные данные'!$J$2:$J$954,'Исходные данные'!$D$2:$D$954,BZ$1,'Исходные данные'!$F$2:$F$954,$A23)</f>
        <v>0</v>
      </c>
      <c r="CB23" s="9" t="n">
        <f aca="false">SUMIFS('Исходные данные'!$I$2:$I$954,'Исходные данные'!$D$2:$D$954,CB$1,'Исходные данные'!$F$2:$F$954,$A23)</f>
        <v>0</v>
      </c>
      <c r="CC23" s="9" t="n">
        <f aca="false">SUMIFS('Исходные данные'!$J$2:$J$954,'Исходные данные'!$D$2:$D$954,CB$1,'Исходные данные'!$F$2:$F$954,$A23)</f>
        <v>0</v>
      </c>
      <c r="CD23" s="9" t="n">
        <f aca="false">SUMIFS('Исходные данные'!$I$2:$I$954,'Исходные данные'!$D$2:$D$954,CD$1,'Исходные данные'!$F$2:$F$954,$A23)</f>
        <v>0</v>
      </c>
      <c r="CE23" s="9" t="n">
        <f aca="false">SUMIFS('Исходные данные'!$J$2:$J$954,'Исходные данные'!$D$2:$D$954,CD$1,'Исходные данные'!$F$2:$F$954,$A23)</f>
        <v>0</v>
      </c>
      <c r="CF23" s="9" t="n">
        <f aca="false">SUMIFS('Исходные данные'!$I$2:$I$954,'Исходные данные'!$D$2:$D$954,CF$1,'Исходные данные'!$F$2:$F$954,$A23)</f>
        <v>0</v>
      </c>
      <c r="CG23" s="9" t="n">
        <f aca="false">SUMIFS('Исходные данные'!$J$2:$J$954,'Исходные данные'!$D$2:$D$954,CF$1,'Исходные данные'!$F$2:$F$954,$A23)</f>
        <v>0</v>
      </c>
      <c r="CH23" s="9" t="n">
        <f aca="false">SUMIFS('Исходные данные'!$I$2:$I$954,'Исходные данные'!$D$2:$D$954,CH$1,'Исходные данные'!$F$2:$F$954,$A23)</f>
        <v>0</v>
      </c>
      <c r="CI23" s="9" t="n">
        <f aca="false">SUMIFS('Исходные данные'!$J$2:$J$954,'Исходные данные'!$D$2:$D$954,CH$1,'Исходные данные'!$F$2:$F$954,$A23)</f>
        <v>0</v>
      </c>
    </row>
    <row r="24" customFormat="false" ht="15" hidden="false" customHeight="false" outlineLevel="0" collapsed="false">
      <c r="A24" s="8" t="s">
        <v>91</v>
      </c>
      <c r="B24" s="9" t="s">
        <v>92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SUMIFS($H24:$CI24,$H$2:$CI$2,"День")</f>
        <v>0</v>
      </c>
      <c r="G24" s="5" t="n">
        <f aca="false">SUMIFS($H24:$CI24,$H$2:$CI$2,"Ночь")</f>
        <v>0</v>
      </c>
      <c r="H24" s="9" t="n">
        <f aca="false">SUMIFS('Исходные данные'!$I$2:$I$954,'Исходные данные'!$D$2:$D$954,H$1,'Исходные данные'!$F$2:$F$954,$A24)</f>
        <v>0</v>
      </c>
      <c r="I24" s="9" t="n">
        <f aca="false">SUMIFS('Исходные данные'!$J$2:$J$954,'Исходные данные'!$D$2:$D$954,H$1,'Исходные данные'!$F$2:$F$954,$A24)</f>
        <v>0</v>
      </c>
      <c r="J24" s="9" t="n">
        <f aca="false">SUMIFS('Исходные данные'!$I$2:$I$954,'Исходные данные'!$D$2:$D$954,J$1,'Исходные данные'!$F$2:$F$954,$A24)</f>
        <v>0</v>
      </c>
      <c r="K24" s="9" t="n">
        <f aca="false">SUMIFS('Исходные данные'!$J$2:$J$954,'Исходные данные'!$D$2:$D$954,J$1,'Исходные данные'!$F$2:$F$954,$A24)</f>
        <v>0</v>
      </c>
      <c r="L24" s="9" t="n">
        <f aca="false">SUMIFS('Исходные данные'!$I$2:$I$954,'Исходные данные'!$D$2:$D$954,L$1,'Исходные данные'!$F$2:$F$954,$A24)</f>
        <v>0</v>
      </c>
      <c r="M24" s="9" t="n">
        <f aca="false">SUMIFS('Исходные данные'!$J$2:$J$954,'Исходные данные'!$D$2:$D$954,L$1,'Исходные данные'!$F$2:$F$954,$A24)</f>
        <v>0</v>
      </c>
      <c r="N24" s="9" t="n">
        <f aca="false">SUMIFS('Исходные данные'!$I$2:$I$954,'Исходные данные'!$D$2:$D$954,N$1,'Исходные данные'!$F$2:$F$954,$A24)</f>
        <v>0</v>
      </c>
      <c r="O24" s="9" t="n">
        <f aca="false">SUMIFS('Исходные данные'!$J$2:$J$954,'Исходные данные'!$D$2:$D$954,N$1,'Исходные данные'!$F$2:$F$954,$A24)</f>
        <v>0</v>
      </c>
      <c r="P24" s="9" t="n">
        <f aca="false">SUMIFS('Исходные данные'!$I$2:$I$954,'Исходные данные'!$D$2:$D$954,P$1,'Исходные данные'!$F$2:$F$954,$A24)</f>
        <v>0</v>
      </c>
      <c r="Q24" s="9" t="n">
        <f aca="false">SUMIFS('Исходные данные'!$J$2:$J$954,'Исходные данные'!$D$2:$D$954,P$1,'Исходные данные'!$F$2:$F$954,$A24)</f>
        <v>0</v>
      </c>
      <c r="R24" s="9" t="n">
        <f aca="false">SUMIFS('Исходные данные'!$I$2:$I$954,'Исходные данные'!$D$2:$D$954,R$1,'Исходные данные'!$F$2:$F$954,$A24)</f>
        <v>0</v>
      </c>
      <c r="S24" s="9" t="n">
        <f aca="false">SUMIFS('Исходные данные'!$J$2:$J$954,'Исходные данные'!$D$2:$D$954,R$1,'Исходные данные'!$F$2:$F$954,$A24)</f>
        <v>0</v>
      </c>
      <c r="T24" s="9" t="n">
        <f aca="false">SUMIFS('Исходные данные'!$I$2:$I$954,'Исходные данные'!$D$2:$D$954,T$1,'Исходные данные'!$F$2:$F$954,$A24)</f>
        <v>0</v>
      </c>
      <c r="U24" s="9" t="n">
        <f aca="false">SUMIFS('Исходные данные'!$J$2:$J$954,'Исходные данные'!$D$2:$D$954,T$1,'Исходные данные'!$F$2:$F$954,$A24)</f>
        <v>0</v>
      </c>
      <c r="V24" s="9" t="n">
        <f aca="false">SUMIFS('Исходные данные'!$I$2:$I$954,'Исходные данные'!$D$2:$D$954,V$1,'Исходные данные'!$F$2:$F$954,$A24)</f>
        <v>0</v>
      </c>
      <c r="W24" s="9" t="n">
        <f aca="false">SUMIFS('Исходные данные'!$J$2:$J$954,'Исходные данные'!$D$2:$D$954,V$1,'Исходные данные'!$F$2:$F$954,$A24)</f>
        <v>0</v>
      </c>
      <c r="X24" s="9" t="n">
        <f aca="false">SUMIFS('Исходные данные'!$I$2:$I$954,'Исходные данные'!$D$2:$D$954,X$1,'Исходные данные'!$F$2:$F$954,$A24)</f>
        <v>0</v>
      </c>
      <c r="Y24" s="9" t="n">
        <f aca="false">SUMIFS('Исходные данные'!$J$2:$J$954,'Исходные данные'!$D$2:$D$954,X$1,'Исходные данные'!$F$2:$F$954,$A24)</f>
        <v>0</v>
      </c>
      <c r="Z24" s="9" t="n">
        <f aca="false">SUMIFS('Исходные данные'!$I$2:$I$954,'Исходные данные'!$D$2:$D$954,Z$1,'Исходные данные'!$F$2:$F$954,$A24)</f>
        <v>0</v>
      </c>
      <c r="AA24" s="9" t="n">
        <f aca="false">SUMIFS('Исходные данные'!$J$2:$J$954,'Исходные данные'!$D$2:$D$954,Z$1,'Исходные данные'!$F$2:$F$954,$A24)</f>
        <v>0</v>
      </c>
      <c r="AB24" s="9" t="n">
        <f aca="false">SUMIFS('Исходные данные'!$I$2:$I$954,'Исходные данные'!$D$2:$D$954,AB$1,'Исходные данные'!$F$2:$F$954,$A24)</f>
        <v>0</v>
      </c>
      <c r="AC24" s="9" t="n">
        <f aca="false">SUMIFS('Исходные данные'!$J$2:$J$954,'Исходные данные'!$D$2:$D$954,AB$1,'Исходные данные'!$F$2:$F$954,$A24)</f>
        <v>0</v>
      </c>
      <c r="AD24" s="9" t="n">
        <f aca="false">SUMIFS('Исходные данные'!$I$2:$I$954,'Исходные данные'!$D$2:$D$954,AD$1,'Исходные данные'!$F$2:$F$954,$A24)</f>
        <v>0</v>
      </c>
      <c r="AE24" s="9" t="n">
        <f aca="false">SUMIFS('Исходные данные'!$J$2:$J$954,'Исходные данные'!$D$2:$D$954,AD$1,'Исходные данные'!$F$2:$F$954,$A24)</f>
        <v>0</v>
      </c>
      <c r="AF24" s="9" t="n">
        <f aca="false">SUMIFS('Исходные данные'!$I$2:$I$954,'Исходные данные'!$D$2:$D$954,AF$1,'Исходные данные'!$F$2:$F$954,$A24)</f>
        <v>0</v>
      </c>
      <c r="AG24" s="9" t="n">
        <f aca="false">SUMIFS('Исходные данные'!$J$2:$J$954,'Исходные данные'!$D$2:$D$954,AF$1,'Исходные данные'!$F$2:$F$954,$A24)</f>
        <v>0</v>
      </c>
      <c r="AH24" s="9" t="n">
        <f aca="false">SUMIFS('Исходные данные'!$I$2:$I$954,'Исходные данные'!$D$2:$D$954,AH$1,'Исходные данные'!$F$2:$F$954,$A24)</f>
        <v>0</v>
      </c>
      <c r="AI24" s="9" t="n">
        <f aca="false">SUMIFS('Исходные данные'!$J$2:$J$954,'Исходные данные'!$D$2:$D$954,AH$1,'Исходные данные'!$F$2:$F$954,$A24)</f>
        <v>0</v>
      </c>
      <c r="AJ24" s="9" t="n">
        <f aca="false">SUMIFS('Исходные данные'!$I$2:$I$954,'Исходные данные'!$D$2:$D$954,AJ$1,'Исходные данные'!$F$2:$F$954,$A24)</f>
        <v>0</v>
      </c>
      <c r="AK24" s="9" t="n">
        <f aca="false">SUMIFS('Исходные данные'!$J$2:$J$954,'Исходные данные'!$D$2:$D$954,AJ$1,'Исходные данные'!$F$2:$F$954,$A24)</f>
        <v>0</v>
      </c>
      <c r="AL24" s="9" t="n">
        <f aca="false">SUMIFS('Исходные данные'!$I$2:$I$954,'Исходные данные'!$D$2:$D$954,AL$1,'Исходные данные'!$F$2:$F$954,$A24)</f>
        <v>0</v>
      </c>
      <c r="AM24" s="9" t="n">
        <f aca="false">SUMIFS('Исходные данные'!$J$2:$J$954,'Исходные данные'!$D$2:$D$954,AL$1,'Исходные данные'!$F$2:$F$954,$A24)</f>
        <v>0</v>
      </c>
      <c r="AN24" s="9" t="n">
        <f aca="false">SUMIFS('Исходные данные'!$I$2:$I$954,'Исходные данные'!$D$2:$D$954,AN$1,'Исходные данные'!$F$2:$F$954,$A24)</f>
        <v>0</v>
      </c>
      <c r="AO24" s="9" t="n">
        <f aca="false">SUMIFS('Исходные данные'!$J$2:$J$954,'Исходные данные'!$D$2:$D$954,AN$1,'Исходные данные'!$F$2:$F$954,$A24)</f>
        <v>0</v>
      </c>
      <c r="AP24" s="9" t="n">
        <f aca="false">SUMIFS('Исходные данные'!$I$2:$I$954,'Исходные данные'!$D$2:$D$954,AP$1,'Исходные данные'!$F$2:$F$954,$A24)</f>
        <v>0</v>
      </c>
      <c r="AQ24" s="9" t="n">
        <f aca="false">SUMIFS('Исходные данные'!$J$2:$J$954,'Исходные данные'!$D$2:$D$954,AP$1,'Исходные данные'!$F$2:$F$954,$A24)</f>
        <v>0</v>
      </c>
      <c r="AR24" s="9" t="n">
        <f aca="false">SUMIFS('Исходные данные'!$I$2:$I$954,'Исходные данные'!$D$2:$D$954,AR$1,'Исходные данные'!$F$2:$F$954,$A24)</f>
        <v>0</v>
      </c>
      <c r="AS24" s="9" t="n">
        <f aca="false">SUMIFS('Исходные данные'!$J$2:$J$954,'Исходные данные'!$D$2:$D$954,AR$1,'Исходные данные'!$F$2:$F$954,$A24)</f>
        <v>0</v>
      </c>
      <c r="AT24" s="9" t="n">
        <f aca="false">SUMIFS('Исходные данные'!$I$2:$I$954,'Исходные данные'!$D$2:$D$954,AT$1,'Исходные данные'!$F$2:$F$954,$A24)</f>
        <v>0</v>
      </c>
      <c r="AU24" s="9" t="n">
        <f aca="false">SUMIFS('Исходные данные'!$J$2:$J$954,'Исходные данные'!$D$2:$D$954,AT$1,'Исходные данные'!$F$2:$F$954,$A24)</f>
        <v>0</v>
      </c>
      <c r="AV24" s="9" t="n">
        <f aca="false">SUMIFS('Исходные данные'!$I$2:$I$954,'Исходные данные'!$D$2:$D$954,AV$1,'Исходные данные'!$F$2:$F$954,$A24)</f>
        <v>0</v>
      </c>
      <c r="AW24" s="9" t="n">
        <f aca="false">SUMIFS('Исходные данные'!$J$2:$J$954,'Исходные данные'!$D$2:$D$954,AV$1,'Исходные данные'!$F$2:$F$954,$A24)</f>
        <v>0</v>
      </c>
      <c r="AX24" s="9" t="n">
        <f aca="false">SUMIFS('Исходные данные'!$I$2:$I$954,'Исходные данные'!$D$2:$D$954,AX$1,'Исходные данные'!$F$2:$F$954,$A24)</f>
        <v>0</v>
      </c>
      <c r="AY24" s="9" t="n">
        <f aca="false">SUMIFS('Исходные данные'!$J$2:$J$954,'Исходные данные'!$D$2:$D$954,AX$1,'Исходные данные'!$F$2:$F$954,$A24)</f>
        <v>0</v>
      </c>
      <c r="AZ24" s="9" t="n">
        <f aca="false">SUMIFS('Исходные данные'!$I$2:$I$954,'Исходные данные'!$D$2:$D$954,AZ$1,'Исходные данные'!$F$2:$F$954,$A24)</f>
        <v>0</v>
      </c>
      <c r="BA24" s="9" t="n">
        <f aca="false">SUMIFS('Исходные данные'!$J$2:$J$954,'Исходные данные'!$D$2:$D$954,AZ$1,'Исходные данные'!$F$2:$F$954,$A24)</f>
        <v>0</v>
      </c>
      <c r="BB24" s="9" t="n">
        <f aca="false">SUMIFS('Исходные данные'!$I$2:$I$954,'Исходные данные'!$D$2:$D$954,BB$1,'Исходные данные'!$F$2:$F$954,$A24)</f>
        <v>0</v>
      </c>
      <c r="BC24" s="9" t="n">
        <f aca="false">SUMIFS('Исходные данные'!$J$2:$J$954,'Исходные данные'!$D$2:$D$954,BB$1,'Исходные данные'!$F$2:$F$954,$A24)</f>
        <v>0</v>
      </c>
      <c r="BD24" s="9" t="n">
        <f aca="false">SUMIFS('Исходные данные'!$I$2:$I$954,'Исходные данные'!$D$2:$D$954,BD$1,'Исходные данные'!$F$2:$F$954,$A24)</f>
        <v>0</v>
      </c>
      <c r="BE24" s="9" t="n">
        <f aca="false">SUMIFS('Исходные данные'!$J$2:$J$954,'Исходные данные'!$D$2:$D$954,BD$1,'Исходные данные'!$F$2:$F$954,$A24)</f>
        <v>0</v>
      </c>
      <c r="BF24" s="9" t="n">
        <f aca="false">SUMIFS('Исходные данные'!$I$2:$I$954,'Исходные данные'!$D$2:$D$954,BF$1,'Исходные данные'!$F$2:$F$954,$A24)</f>
        <v>0</v>
      </c>
      <c r="BG24" s="9" t="n">
        <f aca="false">SUMIFS('Исходные данные'!$J$2:$J$954,'Исходные данные'!$D$2:$D$954,BF$1,'Исходные данные'!$F$2:$F$954,$A24)</f>
        <v>0</v>
      </c>
      <c r="BH24" s="9" t="n">
        <f aca="false">SUMIFS('Исходные данные'!$I$2:$I$954,'Исходные данные'!$D$2:$D$954,BH$1,'Исходные данные'!$F$2:$F$954,$A24)</f>
        <v>0</v>
      </c>
      <c r="BI24" s="9" t="n">
        <f aca="false">SUMIFS('Исходные данные'!$J$2:$J$954,'Исходные данные'!$D$2:$D$954,BH$1,'Исходные данные'!$F$2:$F$954,$A24)</f>
        <v>0</v>
      </c>
      <c r="BJ24" s="9" t="n">
        <f aca="false">SUMIFS('Исходные данные'!$I$2:$I$954,'Исходные данные'!$D$2:$D$954,BJ$1,'Исходные данные'!$F$2:$F$954,$A24)</f>
        <v>0</v>
      </c>
      <c r="BK24" s="9" t="n">
        <f aca="false">SUMIFS('Исходные данные'!$J$2:$J$954,'Исходные данные'!$D$2:$D$954,BJ$1,'Исходные данные'!$F$2:$F$954,$A24)</f>
        <v>0</v>
      </c>
      <c r="BL24" s="9" t="n">
        <f aca="false">SUMIFS('Исходные данные'!$I$2:$I$954,'Исходные данные'!$D$2:$D$954,BL$1,'Исходные данные'!$F$2:$F$954,$A24)</f>
        <v>0</v>
      </c>
      <c r="BM24" s="9" t="n">
        <f aca="false">SUMIFS('Исходные данные'!$J$2:$J$954,'Исходные данные'!$D$2:$D$954,BL$1,'Исходные данные'!$F$2:$F$954,$A24)</f>
        <v>0</v>
      </c>
      <c r="BN24" s="9" t="n">
        <f aca="false">SUMIFS('Исходные данные'!$I$2:$I$954,'Исходные данные'!$D$2:$D$954,BN$1,'Исходные данные'!$F$2:$F$954,$A24)</f>
        <v>0</v>
      </c>
      <c r="BO24" s="9" t="n">
        <f aca="false">SUMIFS('Исходные данные'!$J$2:$J$954,'Исходные данные'!$D$2:$D$954,BN$1,'Исходные данные'!$F$2:$F$954,$A24)</f>
        <v>0</v>
      </c>
      <c r="BP24" s="9" t="n">
        <f aca="false">SUMIFS('Исходные данные'!$I$2:$I$954,'Исходные данные'!$D$2:$D$954,BP$1,'Исходные данные'!$F$2:$F$954,$A24)</f>
        <v>0</v>
      </c>
      <c r="BQ24" s="9" t="n">
        <f aca="false">SUMIFS('Исходные данные'!$J$2:$J$954,'Исходные данные'!$D$2:$D$954,BP$1,'Исходные данные'!$F$2:$F$954,$A24)</f>
        <v>0</v>
      </c>
      <c r="BR24" s="9" t="n">
        <f aca="false">SUMIFS('Исходные данные'!$I$2:$I$954,'Исходные данные'!$D$2:$D$954,BR$1,'Исходные данные'!$F$2:$F$954,$A24)</f>
        <v>0</v>
      </c>
      <c r="BS24" s="9" t="n">
        <f aca="false">SUMIFS('Исходные данные'!$J$2:$J$954,'Исходные данные'!$D$2:$D$954,BR$1,'Исходные данные'!$F$2:$F$954,$A24)</f>
        <v>0</v>
      </c>
      <c r="BT24" s="9" t="n">
        <f aca="false">SUMIFS('Исходные данные'!$I$2:$I$954,'Исходные данные'!$D$2:$D$954,BT$1,'Исходные данные'!$F$2:$F$954,$A24)</f>
        <v>0</v>
      </c>
      <c r="BU24" s="9" t="n">
        <f aca="false">SUMIFS('Исходные данные'!$J$2:$J$954,'Исходные данные'!$D$2:$D$954,BT$1,'Исходные данные'!$F$2:$F$954,$A24)</f>
        <v>0</v>
      </c>
      <c r="BV24" s="9" t="n">
        <f aca="false">SUMIFS('Исходные данные'!$I$2:$I$954,'Исходные данные'!$D$2:$D$954,BV$1,'Исходные данные'!$F$2:$F$954,$A24)</f>
        <v>0</v>
      </c>
      <c r="BW24" s="9" t="n">
        <f aca="false">SUMIFS('Исходные данные'!$J$2:$J$954,'Исходные данные'!$D$2:$D$954,BV$1,'Исходные данные'!$F$2:$F$954,$A24)</f>
        <v>0</v>
      </c>
      <c r="BX24" s="9" t="n">
        <f aca="false">SUMIFS('Исходные данные'!$I$2:$I$954,'Исходные данные'!$D$2:$D$954,BX$1,'Исходные данные'!$F$2:$F$954,$A24)</f>
        <v>0</v>
      </c>
      <c r="BY24" s="9" t="n">
        <f aca="false">SUMIFS('Исходные данные'!$J$2:$J$954,'Исходные данные'!$D$2:$D$954,BX$1,'Исходные данные'!$F$2:$F$954,$A24)</f>
        <v>0</v>
      </c>
      <c r="BZ24" s="9" t="n">
        <f aca="false">SUMIFS('Исходные данные'!$I$2:$I$954,'Исходные данные'!$D$2:$D$954,BZ$1,'Исходные данные'!$F$2:$F$954,$A24)</f>
        <v>0</v>
      </c>
      <c r="CA24" s="9" t="n">
        <f aca="false">SUMIFS('Исходные данные'!$J$2:$J$954,'Исходные данные'!$D$2:$D$954,BZ$1,'Исходные данные'!$F$2:$F$954,$A24)</f>
        <v>0</v>
      </c>
      <c r="CB24" s="9" t="n">
        <f aca="false">SUMIFS('Исходные данные'!$I$2:$I$954,'Исходные данные'!$D$2:$D$954,CB$1,'Исходные данные'!$F$2:$F$954,$A24)</f>
        <v>0</v>
      </c>
      <c r="CC24" s="9" t="n">
        <f aca="false">SUMIFS('Исходные данные'!$J$2:$J$954,'Исходные данные'!$D$2:$D$954,CB$1,'Исходные данные'!$F$2:$F$954,$A24)</f>
        <v>0</v>
      </c>
      <c r="CD24" s="9" t="n">
        <f aca="false">SUMIFS('Исходные данные'!$I$2:$I$954,'Исходные данные'!$D$2:$D$954,CD$1,'Исходные данные'!$F$2:$F$954,$A24)</f>
        <v>0</v>
      </c>
      <c r="CE24" s="9" t="n">
        <f aca="false">SUMIFS('Исходные данные'!$J$2:$J$954,'Исходные данные'!$D$2:$D$954,CD$1,'Исходные данные'!$F$2:$F$954,$A24)</f>
        <v>0</v>
      </c>
      <c r="CF24" s="9" t="n">
        <f aca="false">SUMIFS('Исходные данные'!$I$2:$I$954,'Исходные данные'!$D$2:$D$954,CF$1,'Исходные данные'!$F$2:$F$954,$A24)</f>
        <v>0</v>
      </c>
      <c r="CG24" s="9" t="n">
        <f aca="false">SUMIFS('Исходные данные'!$J$2:$J$954,'Исходные данные'!$D$2:$D$954,CF$1,'Исходные данные'!$F$2:$F$954,$A24)</f>
        <v>0</v>
      </c>
      <c r="CH24" s="9" t="n">
        <f aca="false">SUMIFS('Исходные данные'!$I$2:$I$954,'Исходные данные'!$D$2:$D$954,CH$1,'Исходные данные'!$F$2:$F$954,$A24)</f>
        <v>0</v>
      </c>
      <c r="CI24" s="9" t="n">
        <f aca="false">SUMIFS('Исходные данные'!$J$2:$J$954,'Исходные данные'!$D$2:$D$954,CH$1,'Исходные данные'!$F$2:$F$954,$A24)</f>
        <v>0</v>
      </c>
    </row>
    <row r="25" customFormat="false" ht="15" hidden="false" customHeight="false" outlineLevel="0" collapsed="false">
      <c r="A25" s="8" t="s">
        <v>93</v>
      </c>
      <c r="B25" s="9" t="s">
        <v>94</v>
      </c>
      <c r="C25" s="5" t="n">
        <v>6</v>
      </c>
      <c r="D25" s="5" t="n">
        <f aca="false">F25+G25</f>
        <v>5</v>
      </c>
      <c r="E25" s="5" t="n">
        <f aca="false">D25-C25</f>
        <v>-1</v>
      </c>
      <c r="F25" s="5" t="n">
        <f aca="false">SUMIFS($H25:$CI25,$H$2:$CI$2,"День")</f>
        <v>2</v>
      </c>
      <c r="G25" s="5" t="n">
        <f aca="false">SUMIFS($H25:$CI25,$H$2:$CI$2,"Ночь")</f>
        <v>3</v>
      </c>
      <c r="H25" s="9" t="n">
        <f aca="false">SUMIFS('Исходные данные'!$I$2:$I$954,'Исходные данные'!$D$2:$D$954,H$1,'Исходные данные'!$F$2:$F$954,$A25)</f>
        <v>0</v>
      </c>
      <c r="I25" s="9" t="n">
        <f aca="false">SUMIFS('Исходные данные'!$J$2:$J$954,'Исходные данные'!$D$2:$D$954,H$1,'Исходные данные'!$F$2:$F$954,$A25)</f>
        <v>0</v>
      </c>
      <c r="J25" s="9" t="n">
        <f aca="false">SUMIFS('Исходные данные'!$I$2:$I$954,'Исходные данные'!$D$2:$D$954,J$1,'Исходные данные'!$F$2:$F$954,$A25)</f>
        <v>0</v>
      </c>
      <c r="K25" s="9" t="n">
        <f aca="false">SUMIFS('Исходные данные'!$J$2:$J$954,'Исходные данные'!$D$2:$D$954,J$1,'Исходные данные'!$F$2:$F$954,$A25)</f>
        <v>0</v>
      </c>
      <c r="L25" s="9" t="n">
        <f aca="false">SUMIFS('Исходные данные'!$I$2:$I$954,'Исходные данные'!$D$2:$D$954,L$1,'Исходные данные'!$F$2:$F$954,$A25)</f>
        <v>0</v>
      </c>
      <c r="M25" s="9" t="n">
        <f aca="false">SUMIFS('Исходные данные'!$J$2:$J$954,'Исходные данные'!$D$2:$D$954,L$1,'Исходные данные'!$F$2:$F$954,$A25)</f>
        <v>0</v>
      </c>
      <c r="N25" s="9" t="n">
        <f aca="false">SUMIFS('Исходные данные'!$I$2:$I$954,'Исходные данные'!$D$2:$D$954,N$1,'Исходные данные'!$F$2:$F$954,$A25)</f>
        <v>0</v>
      </c>
      <c r="O25" s="9" t="n">
        <f aca="false">SUMIFS('Исходные данные'!$J$2:$J$954,'Исходные данные'!$D$2:$D$954,N$1,'Исходные данные'!$F$2:$F$954,$A25)</f>
        <v>0</v>
      </c>
      <c r="P25" s="9" t="n">
        <f aca="false">SUMIFS('Исходные данные'!$I$2:$I$954,'Исходные данные'!$D$2:$D$954,P$1,'Исходные данные'!$F$2:$F$954,$A25)</f>
        <v>0</v>
      </c>
      <c r="Q25" s="9" t="n">
        <f aca="false">SUMIFS('Исходные данные'!$J$2:$J$954,'Исходные данные'!$D$2:$D$954,P$1,'Исходные данные'!$F$2:$F$954,$A25)</f>
        <v>0</v>
      </c>
      <c r="R25" s="9" t="n">
        <f aca="false">SUMIFS('Исходные данные'!$I$2:$I$954,'Исходные данные'!$D$2:$D$954,R$1,'Исходные данные'!$F$2:$F$954,$A25)</f>
        <v>0</v>
      </c>
      <c r="S25" s="9" t="n">
        <f aca="false">SUMIFS('Исходные данные'!$J$2:$J$954,'Исходные данные'!$D$2:$D$954,R$1,'Исходные данные'!$F$2:$F$954,$A25)</f>
        <v>0</v>
      </c>
      <c r="T25" s="9" t="n">
        <f aca="false">SUMIFS('Исходные данные'!$I$2:$I$954,'Исходные данные'!$D$2:$D$954,T$1,'Исходные данные'!$F$2:$F$954,$A25)</f>
        <v>0</v>
      </c>
      <c r="U25" s="9" t="n">
        <f aca="false">SUMIFS('Исходные данные'!$J$2:$J$954,'Исходные данные'!$D$2:$D$954,T$1,'Исходные данные'!$F$2:$F$954,$A25)</f>
        <v>0</v>
      </c>
      <c r="V25" s="9" t="n">
        <f aca="false">SUMIFS('Исходные данные'!$I$2:$I$954,'Исходные данные'!$D$2:$D$954,V$1,'Исходные данные'!$F$2:$F$954,$A25)</f>
        <v>0</v>
      </c>
      <c r="W25" s="9" t="n">
        <f aca="false">SUMIFS('Исходные данные'!$J$2:$J$954,'Исходные данные'!$D$2:$D$954,V$1,'Исходные данные'!$F$2:$F$954,$A25)</f>
        <v>0</v>
      </c>
      <c r="X25" s="9" t="n">
        <f aca="false">SUMIFS('Исходные данные'!$I$2:$I$954,'Исходные данные'!$D$2:$D$954,X$1,'Исходные данные'!$F$2:$F$954,$A25)</f>
        <v>0</v>
      </c>
      <c r="Y25" s="9" t="n">
        <f aca="false">SUMIFS('Исходные данные'!$J$2:$J$954,'Исходные данные'!$D$2:$D$954,X$1,'Исходные данные'!$F$2:$F$954,$A25)</f>
        <v>0</v>
      </c>
      <c r="Z25" s="9" t="n">
        <f aca="false">SUMIFS('Исходные данные'!$I$2:$I$954,'Исходные данные'!$D$2:$D$954,Z$1,'Исходные данные'!$F$2:$F$954,$A25)</f>
        <v>0</v>
      </c>
      <c r="AA25" s="9" t="n">
        <f aca="false">SUMIFS('Исходные данные'!$J$2:$J$954,'Исходные данные'!$D$2:$D$954,Z$1,'Исходные данные'!$F$2:$F$954,$A25)</f>
        <v>0</v>
      </c>
      <c r="AB25" s="9" t="n">
        <f aca="false">SUMIFS('Исходные данные'!$I$2:$I$954,'Исходные данные'!$D$2:$D$954,AB$1,'Исходные данные'!$F$2:$F$954,$A25)</f>
        <v>0</v>
      </c>
      <c r="AC25" s="9" t="n">
        <f aca="false">SUMIFS('Исходные данные'!$J$2:$J$954,'Исходные данные'!$D$2:$D$954,AB$1,'Исходные данные'!$F$2:$F$954,$A25)</f>
        <v>0</v>
      </c>
      <c r="AD25" s="9" t="n">
        <f aca="false">SUMIFS('Исходные данные'!$I$2:$I$954,'Исходные данные'!$D$2:$D$954,AD$1,'Исходные данные'!$F$2:$F$954,$A25)</f>
        <v>0</v>
      </c>
      <c r="AE25" s="9" t="n">
        <f aca="false">SUMIFS('Исходные данные'!$J$2:$J$954,'Исходные данные'!$D$2:$D$954,AD$1,'Исходные данные'!$F$2:$F$954,$A25)</f>
        <v>0</v>
      </c>
      <c r="AF25" s="9" t="n">
        <f aca="false">SUMIFS('Исходные данные'!$I$2:$I$954,'Исходные данные'!$D$2:$D$954,AF$1,'Исходные данные'!$F$2:$F$954,$A25)</f>
        <v>0</v>
      </c>
      <c r="AG25" s="9" t="n">
        <f aca="false">SUMIFS('Исходные данные'!$J$2:$J$954,'Исходные данные'!$D$2:$D$954,AF$1,'Исходные данные'!$F$2:$F$954,$A25)</f>
        <v>0</v>
      </c>
      <c r="AH25" s="9" t="n">
        <f aca="false">SUMIFS('Исходные данные'!$I$2:$I$954,'Исходные данные'!$D$2:$D$954,AH$1,'Исходные данные'!$F$2:$F$954,$A25)</f>
        <v>1</v>
      </c>
      <c r="AI25" s="9" t="n">
        <f aca="false">SUMIFS('Исходные данные'!$J$2:$J$954,'Исходные данные'!$D$2:$D$954,AH$1,'Исходные данные'!$F$2:$F$954,$A25)</f>
        <v>2</v>
      </c>
      <c r="AJ25" s="9" t="n">
        <f aca="false">SUMIFS('Исходные данные'!$I$2:$I$954,'Исходные данные'!$D$2:$D$954,AJ$1,'Исходные данные'!$F$2:$F$954,$A25)</f>
        <v>1</v>
      </c>
      <c r="AK25" s="9" t="n">
        <f aca="false">SUMIFS('Исходные данные'!$J$2:$J$954,'Исходные данные'!$D$2:$D$954,AJ$1,'Исходные данные'!$F$2:$F$954,$A25)</f>
        <v>1</v>
      </c>
      <c r="AL25" s="9" t="n">
        <f aca="false">SUMIFS('Исходные данные'!$I$2:$I$954,'Исходные данные'!$D$2:$D$954,AL$1,'Исходные данные'!$F$2:$F$954,$A25)</f>
        <v>0</v>
      </c>
      <c r="AM25" s="9" t="n">
        <f aca="false">SUMIFS('Исходные данные'!$J$2:$J$954,'Исходные данные'!$D$2:$D$954,AL$1,'Исходные данные'!$F$2:$F$954,$A25)</f>
        <v>0</v>
      </c>
      <c r="AN25" s="9" t="n">
        <f aca="false">SUMIFS('Исходные данные'!$I$2:$I$954,'Исходные данные'!$D$2:$D$954,AN$1,'Исходные данные'!$F$2:$F$954,$A25)</f>
        <v>0</v>
      </c>
      <c r="AO25" s="9" t="n">
        <f aca="false">SUMIFS('Исходные данные'!$J$2:$J$954,'Исходные данные'!$D$2:$D$954,AN$1,'Исходные данные'!$F$2:$F$954,$A25)</f>
        <v>0</v>
      </c>
      <c r="AP25" s="9" t="n">
        <f aca="false">SUMIFS('Исходные данные'!$I$2:$I$954,'Исходные данные'!$D$2:$D$954,AP$1,'Исходные данные'!$F$2:$F$954,$A25)</f>
        <v>0</v>
      </c>
      <c r="AQ25" s="9" t="n">
        <f aca="false">SUMIFS('Исходные данные'!$J$2:$J$954,'Исходные данные'!$D$2:$D$954,AP$1,'Исходные данные'!$F$2:$F$954,$A25)</f>
        <v>0</v>
      </c>
      <c r="AR25" s="9" t="n">
        <f aca="false">SUMIFS('Исходные данные'!$I$2:$I$954,'Исходные данные'!$D$2:$D$954,AR$1,'Исходные данные'!$F$2:$F$954,$A25)</f>
        <v>0</v>
      </c>
      <c r="AS25" s="9" t="n">
        <f aca="false">SUMIFS('Исходные данные'!$J$2:$J$954,'Исходные данные'!$D$2:$D$954,AR$1,'Исходные данные'!$F$2:$F$954,$A25)</f>
        <v>0</v>
      </c>
      <c r="AT25" s="9" t="n">
        <f aca="false">SUMIFS('Исходные данные'!$I$2:$I$954,'Исходные данные'!$D$2:$D$954,AT$1,'Исходные данные'!$F$2:$F$954,$A25)</f>
        <v>0</v>
      </c>
      <c r="AU25" s="9" t="n">
        <f aca="false">SUMIFS('Исходные данные'!$J$2:$J$954,'Исходные данные'!$D$2:$D$954,AT$1,'Исходные данные'!$F$2:$F$954,$A25)</f>
        <v>0</v>
      </c>
      <c r="AV25" s="9" t="n">
        <f aca="false">SUMIFS('Исходные данные'!$I$2:$I$954,'Исходные данные'!$D$2:$D$954,AV$1,'Исходные данные'!$F$2:$F$954,$A25)</f>
        <v>0</v>
      </c>
      <c r="AW25" s="9" t="n">
        <f aca="false">SUMIFS('Исходные данные'!$J$2:$J$954,'Исходные данные'!$D$2:$D$954,AV$1,'Исходные данные'!$F$2:$F$954,$A25)</f>
        <v>0</v>
      </c>
      <c r="AX25" s="9" t="n">
        <f aca="false">SUMIFS('Исходные данные'!$I$2:$I$954,'Исходные данные'!$D$2:$D$954,AX$1,'Исходные данные'!$F$2:$F$954,$A25)</f>
        <v>0</v>
      </c>
      <c r="AY25" s="9" t="n">
        <f aca="false">SUMIFS('Исходные данные'!$J$2:$J$954,'Исходные данные'!$D$2:$D$954,AX$1,'Исходные данные'!$F$2:$F$954,$A25)</f>
        <v>0</v>
      </c>
      <c r="AZ25" s="9" t="n">
        <f aca="false">SUMIFS('Исходные данные'!$I$2:$I$954,'Исходные данные'!$D$2:$D$954,AZ$1,'Исходные данные'!$F$2:$F$954,$A25)</f>
        <v>0</v>
      </c>
      <c r="BA25" s="9" t="n">
        <f aca="false">SUMIFS('Исходные данные'!$J$2:$J$954,'Исходные данные'!$D$2:$D$954,AZ$1,'Исходные данные'!$F$2:$F$954,$A25)</f>
        <v>0</v>
      </c>
      <c r="BB25" s="9" t="n">
        <f aca="false">SUMIFS('Исходные данные'!$I$2:$I$954,'Исходные данные'!$D$2:$D$954,BB$1,'Исходные данные'!$F$2:$F$954,$A25)</f>
        <v>0</v>
      </c>
      <c r="BC25" s="9" t="n">
        <f aca="false">SUMIFS('Исходные данные'!$J$2:$J$954,'Исходные данные'!$D$2:$D$954,BB$1,'Исходные данные'!$F$2:$F$954,$A25)</f>
        <v>0</v>
      </c>
      <c r="BD25" s="9" t="n">
        <f aca="false">SUMIFS('Исходные данные'!$I$2:$I$954,'Исходные данные'!$D$2:$D$954,BD$1,'Исходные данные'!$F$2:$F$954,$A25)</f>
        <v>0</v>
      </c>
      <c r="BE25" s="9" t="n">
        <f aca="false">SUMIFS('Исходные данные'!$J$2:$J$954,'Исходные данные'!$D$2:$D$954,BD$1,'Исходные данные'!$F$2:$F$954,$A25)</f>
        <v>0</v>
      </c>
      <c r="BF25" s="9" t="n">
        <f aca="false">SUMIFS('Исходные данные'!$I$2:$I$954,'Исходные данные'!$D$2:$D$954,BF$1,'Исходные данные'!$F$2:$F$954,$A25)</f>
        <v>0</v>
      </c>
      <c r="BG25" s="9" t="n">
        <f aca="false">SUMIFS('Исходные данные'!$J$2:$J$954,'Исходные данные'!$D$2:$D$954,BF$1,'Исходные данные'!$F$2:$F$954,$A25)</f>
        <v>0</v>
      </c>
      <c r="BH25" s="9" t="n">
        <f aca="false">SUMIFS('Исходные данные'!$I$2:$I$954,'Исходные данные'!$D$2:$D$954,BH$1,'Исходные данные'!$F$2:$F$954,$A25)</f>
        <v>0</v>
      </c>
      <c r="BI25" s="9" t="n">
        <f aca="false">SUMIFS('Исходные данные'!$J$2:$J$954,'Исходные данные'!$D$2:$D$954,BH$1,'Исходные данные'!$F$2:$F$954,$A25)</f>
        <v>0</v>
      </c>
      <c r="BJ25" s="9" t="n">
        <f aca="false">SUMIFS('Исходные данные'!$I$2:$I$954,'Исходные данные'!$D$2:$D$954,BJ$1,'Исходные данные'!$F$2:$F$954,$A25)</f>
        <v>0</v>
      </c>
      <c r="BK25" s="9" t="n">
        <f aca="false">SUMIFS('Исходные данные'!$J$2:$J$954,'Исходные данные'!$D$2:$D$954,BJ$1,'Исходные данные'!$F$2:$F$954,$A25)</f>
        <v>0</v>
      </c>
      <c r="BL25" s="9" t="n">
        <f aca="false">SUMIFS('Исходные данные'!$I$2:$I$954,'Исходные данные'!$D$2:$D$954,BL$1,'Исходные данные'!$F$2:$F$954,$A25)</f>
        <v>0</v>
      </c>
      <c r="BM25" s="9" t="n">
        <f aca="false">SUMIFS('Исходные данные'!$J$2:$J$954,'Исходные данные'!$D$2:$D$954,BL$1,'Исходные данные'!$F$2:$F$954,$A25)</f>
        <v>0</v>
      </c>
      <c r="BN25" s="9" t="n">
        <f aca="false">SUMIFS('Исходные данные'!$I$2:$I$954,'Исходные данные'!$D$2:$D$954,BN$1,'Исходные данные'!$F$2:$F$954,$A25)</f>
        <v>0</v>
      </c>
      <c r="BO25" s="9" t="n">
        <f aca="false">SUMIFS('Исходные данные'!$J$2:$J$954,'Исходные данные'!$D$2:$D$954,BN$1,'Исходные данные'!$F$2:$F$954,$A25)</f>
        <v>0</v>
      </c>
      <c r="BP25" s="9" t="n">
        <f aca="false">SUMIFS('Исходные данные'!$I$2:$I$954,'Исходные данные'!$D$2:$D$954,BP$1,'Исходные данные'!$F$2:$F$954,$A25)</f>
        <v>0</v>
      </c>
      <c r="BQ25" s="9" t="n">
        <f aca="false">SUMIFS('Исходные данные'!$J$2:$J$954,'Исходные данные'!$D$2:$D$954,BP$1,'Исходные данные'!$F$2:$F$954,$A25)</f>
        <v>0</v>
      </c>
      <c r="BR25" s="9" t="n">
        <f aca="false">SUMIFS('Исходные данные'!$I$2:$I$954,'Исходные данные'!$D$2:$D$954,BR$1,'Исходные данные'!$F$2:$F$954,$A25)</f>
        <v>0</v>
      </c>
      <c r="BS25" s="9" t="n">
        <f aca="false">SUMIFS('Исходные данные'!$J$2:$J$954,'Исходные данные'!$D$2:$D$954,BR$1,'Исходные данные'!$F$2:$F$954,$A25)</f>
        <v>0</v>
      </c>
      <c r="BT25" s="9" t="n">
        <f aca="false">SUMIFS('Исходные данные'!$I$2:$I$954,'Исходные данные'!$D$2:$D$954,BT$1,'Исходные данные'!$F$2:$F$954,$A25)</f>
        <v>0</v>
      </c>
      <c r="BU25" s="9" t="n">
        <f aca="false">SUMIFS('Исходные данные'!$J$2:$J$954,'Исходные данные'!$D$2:$D$954,BT$1,'Исходные данные'!$F$2:$F$954,$A25)</f>
        <v>0</v>
      </c>
      <c r="BV25" s="9" t="n">
        <f aca="false">SUMIFS('Исходные данные'!$I$2:$I$954,'Исходные данные'!$D$2:$D$954,BV$1,'Исходные данные'!$F$2:$F$954,$A25)</f>
        <v>0</v>
      </c>
      <c r="BW25" s="9" t="n">
        <f aca="false">SUMIFS('Исходные данные'!$J$2:$J$954,'Исходные данные'!$D$2:$D$954,BV$1,'Исходные данные'!$F$2:$F$954,$A25)</f>
        <v>0</v>
      </c>
      <c r="BX25" s="9" t="n">
        <f aca="false">SUMIFS('Исходные данные'!$I$2:$I$954,'Исходные данные'!$D$2:$D$954,BX$1,'Исходные данные'!$F$2:$F$954,$A25)</f>
        <v>0</v>
      </c>
      <c r="BY25" s="9" t="n">
        <f aca="false">SUMIFS('Исходные данные'!$J$2:$J$954,'Исходные данные'!$D$2:$D$954,BX$1,'Исходные данные'!$F$2:$F$954,$A25)</f>
        <v>0</v>
      </c>
      <c r="BZ25" s="9" t="n">
        <f aca="false">SUMIFS('Исходные данные'!$I$2:$I$954,'Исходные данные'!$D$2:$D$954,BZ$1,'Исходные данные'!$F$2:$F$954,$A25)</f>
        <v>0</v>
      </c>
      <c r="CA25" s="9" t="n">
        <f aca="false">SUMIFS('Исходные данные'!$J$2:$J$954,'Исходные данные'!$D$2:$D$954,BZ$1,'Исходные данные'!$F$2:$F$954,$A25)</f>
        <v>0</v>
      </c>
      <c r="CB25" s="9" t="n">
        <f aca="false">SUMIFS('Исходные данные'!$I$2:$I$954,'Исходные данные'!$D$2:$D$954,CB$1,'Исходные данные'!$F$2:$F$954,$A25)</f>
        <v>0</v>
      </c>
      <c r="CC25" s="9" t="n">
        <f aca="false">SUMIFS('Исходные данные'!$J$2:$J$954,'Исходные данные'!$D$2:$D$954,CB$1,'Исходные данные'!$F$2:$F$954,$A25)</f>
        <v>0</v>
      </c>
      <c r="CD25" s="9" t="n">
        <f aca="false">SUMIFS('Исходные данные'!$I$2:$I$954,'Исходные данные'!$D$2:$D$954,CD$1,'Исходные данные'!$F$2:$F$954,$A25)</f>
        <v>0</v>
      </c>
      <c r="CE25" s="9" t="n">
        <f aca="false">SUMIFS('Исходные данные'!$J$2:$J$954,'Исходные данные'!$D$2:$D$954,CD$1,'Исходные данные'!$F$2:$F$954,$A25)</f>
        <v>0</v>
      </c>
      <c r="CF25" s="9" t="n">
        <f aca="false">SUMIFS('Исходные данные'!$I$2:$I$954,'Исходные данные'!$D$2:$D$954,CF$1,'Исходные данные'!$F$2:$F$954,$A25)</f>
        <v>0</v>
      </c>
      <c r="CG25" s="9" t="n">
        <f aca="false">SUMIFS('Исходные данные'!$J$2:$J$954,'Исходные данные'!$D$2:$D$954,CF$1,'Исходные данные'!$F$2:$F$954,$A25)</f>
        <v>0</v>
      </c>
      <c r="CH25" s="9" t="n">
        <f aca="false">SUMIFS('Исходные данные'!$I$2:$I$954,'Исходные данные'!$D$2:$D$954,CH$1,'Исходные данные'!$F$2:$F$954,$A25)</f>
        <v>0</v>
      </c>
      <c r="CI25" s="9" t="n">
        <f aca="false">SUMIFS('Исходные данные'!$J$2:$J$954,'Исходные данные'!$D$2:$D$954,CH$1,'Исходные данные'!$F$2:$F$954,$A25)</f>
        <v>0</v>
      </c>
    </row>
    <row r="26" customFormat="false" ht="15" hidden="false" customHeight="false" outlineLevel="0" collapsed="false">
      <c r="A26" s="8" t="s">
        <v>95</v>
      </c>
      <c r="B26" s="9" t="s">
        <v>96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SUMIFS($H26:$CI26,$H$2:$CI$2,"День")</f>
        <v>0</v>
      </c>
      <c r="G26" s="5" t="n">
        <f aca="false">SUMIFS($H26:$CI26,$H$2:$CI$2,"Ночь")</f>
        <v>0</v>
      </c>
      <c r="H26" s="9" t="n">
        <f aca="false">SUMIFS('Исходные данные'!$I$2:$I$954,'Исходные данные'!$D$2:$D$954,H$1,'Исходные данные'!$F$2:$F$954,$A26)</f>
        <v>0</v>
      </c>
      <c r="I26" s="9" t="n">
        <f aca="false">SUMIFS('Исходные данные'!$J$2:$J$954,'Исходные данные'!$D$2:$D$954,H$1,'Исходные данные'!$F$2:$F$954,$A26)</f>
        <v>0</v>
      </c>
      <c r="J26" s="9" t="n">
        <f aca="false">SUMIFS('Исходные данные'!$I$2:$I$954,'Исходные данные'!$D$2:$D$954,J$1,'Исходные данные'!$F$2:$F$954,$A26)</f>
        <v>0</v>
      </c>
      <c r="K26" s="9" t="n">
        <f aca="false">SUMIFS('Исходные данные'!$J$2:$J$954,'Исходные данные'!$D$2:$D$954,J$1,'Исходные данные'!$F$2:$F$954,$A26)</f>
        <v>0</v>
      </c>
      <c r="L26" s="9" t="n">
        <f aca="false">SUMIFS('Исходные данные'!$I$2:$I$954,'Исходные данные'!$D$2:$D$954,L$1,'Исходные данные'!$F$2:$F$954,$A26)</f>
        <v>0</v>
      </c>
      <c r="M26" s="9" t="n">
        <f aca="false">SUMIFS('Исходные данные'!$J$2:$J$954,'Исходные данные'!$D$2:$D$954,L$1,'Исходные данные'!$F$2:$F$954,$A26)</f>
        <v>0</v>
      </c>
      <c r="N26" s="9" t="n">
        <f aca="false">SUMIFS('Исходные данные'!$I$2:$I$954,'Исходные данные'!$D$2:$D$954,N$1,'Исходные данные'!$F$2:$F$954,$A26)</f>
        <v>0</v>
      </c>
      <c r="O26" s="9" t="n">
        <f aca="false">SUMIFS('Исходные данные'!$J$2:$J$954,'Исходные данные'!$D$2:$D$954,N$1,'Исходные данные'!$F$2:$F$954,$A26)</f>
        <v>0</v>
      </c>
      <c r="P26" s="9" t="n">
        <f aca="false">SUMIFS('Исходные данные'!$I$2:$I$954,'Исходные данные'!$D$2:$D$954,P$1,'Исходные данные'!$F$2:$F$954,$A26)</f>
        <v>0</v>
      </c>
      <c r="Q26" s="9" t="n">
        <f aca="false">SUMIFS('Исходные данные'!$J$2:$J$954,'Исходные данные'!$D$2:$D$954,P$1,'Исходные данные'!$F$2:$F$954,$A26)</f>
        <v>0</v>
      </c>
      <c r="R26" s="9" t="n">
        <f aca="false">SUMIFS('Исходные данные'!$I$2:$I$954,'Исходные данные'!$D$2:$D$954,R$1,'Исходные данные'!$F$2:$F$954,$A26)</f>
        <v>0</v>
      </c>
      <c r="S26" s="9" t="n">
        <f aca="false">SUMIFS('Исходные данные'!$J$2:$J$954,'Исходные данные'!$D$2:$D$954,R$1,'Исходные данные'!$F$2:$F$954,$A26)</f>
        <v>0</v>
      </c>
      <c r="T26" s="9" t="n">
        <f aca="false">SUMIFS('Исходные данные'!$I$2:$I$954,'Исходные данные'!$D$2:$D$954,T$1,'Исходные данные'!$F$2:$F$954,$A26)</f>
        <v>0</v>
      </c>
      <c r="U26" s="9" t="n">
        <f aca="false">SUMIFS('Исходные данные'!$J$2:$J$954,'Исходные данные'!$D$2:$D$954,T$1,'Исходные данные'!$F$2:$F$954,$A26)</f>
        <v>0</v>
      </c>
      <c r="V26" s="9" t="n">
        <f aca="false">SUMIFS('Исходные данные'!$I$2:$I$954,'Исходные данные'!$D$2:$D$954,V$1,'Исходные данные'!$F$2:$F$954,$A26)</f>
        <v>0</v>
      </c>
      <c r="W26" s="9" t="n">
        <f aca="false">SUMIFS('Исходные данные'!$J$2:$J$954,'Исходные данные'!$D$2:$D$954,V$1,'Исходные данные'!$F$2:$F$954,$A26)</f>
        <v>0</v>
      </c>
      <c r="X26" s="9" t="n">
        <f aca="false">SUMIFS('Исходные данные'!$I$2:$I$954,'Исходные данные'!$D$2:$D$954,X$1,'Исходные данные'!$F$2:$F$954,$A26)</f>
        <v>0</v>
      </c>
      <c r="Y26" s="9" t="n">
        <f aca="false">SUMIFS('Исходные данные'!$J$2:$J$954,'Исходные данные'!$D$2:$D$954,X$1,'Исходные данные'!$F$2:$F$954,$A26)</f>
        <v>0</v>
      </c>
      <c r="Z26" s="9" t="n">
        <f aca="false">SUMIFS('Исходные данные'!$I$2:$I$954,'Исходные данные'!$D$2:$D$954,Z$1,'Исходные данные'!$F$2:$F$954,$A26)</f>
        <v>0</v>
      </c>
      <c r="AA26" s="9" t="n">
        <f aca="false">SUMIFS('Исходные данные'!$J$2:$J$954,'Исходные данные'!$D$2:$D$954,Z$1,'Исходные данные'!$F$2:$F$954,$A26)</f>
        <v>0</v>
      </c>
      <c r="AB26" s="9" t="n">
        <f aca="false">SUMIFS('Исходные данные'!$I$2:$I$954,'Исходные данные'!$D$2:$D$954,AB$1,'Исходные данные'!$F$2:$F$954,$A26)</f>
        <v>0</v>
      </c>
      <c r="AC26" s="9" t="n">
        <f aca="false">SUMIFS('Исходные данные'!$J$2:$J$954,'Исходные данные'!$D$2:$D$954,AB$1,'Исходные данные'!$F$2:$F$954,$A26)</f>
        <v>0</v>
      </c>
      <c r="AD26" s="9" t="n">
        <f aca="false">SUMIFS('Исходные данные'!$I$2:$I$954,'Исходные данные'!$D$2:$D$954,AD$1,'Исходные данные'!$F$2:$F$954,$A26)</f>
        <v>0</v>
      </c>
      <c r="AE26" s="9" t="n">
        <f aca="false">SUMIFS('Исходные данные'!$J$2:$J$954,'Исходные данные'!$D$2:$D$954,AD$1,'Исходные данные'!$F$2:$F$954,$A26)</f>
        <v>0</v>
      </c>
      <c r="AF26" s="9" t="n">
        <f aca="false">SUMIFS('Исходные данные'!$I$2:$I$954,'Исходные данные'!$D$2:$D$954,AF$1,'Исходные данные'!$F$2:$F$954,$A26)</f>
        <v>0</v>
      </c>
      <c r="AG26" s="9" t="n">
        <f aca="false">SUMIFS('Исходные данные'!$J$2:$J$954,'Исходные данные'!$D$2:$D$954,AF$1,'Исходные данные'!$F$2:$F$954,$A26)</f>
        <v>0</v>
      </c>
      <c r="AH26" s="9" t="n">
        <f aca="false">SUMIFS('Исходные данные'!$I$2:$I$954,'Исходные данные'!$D$2:$D$954,AH$1,'Исходные данные'!$F$2:$F$954,$A26)</f>
        <v>0</v>
      </c>
      <c r="AI26" s="9" t="n">
        <f aca="false">SUMIFS('Исходные данные'!$J$2:$J$954,'Исходные данные'!$D$2:$D$954,AH$1,'Исходные данные'!$F$2:$F$954,$A26)</f>
        <v>0</v>
      </c>
      <c r="AJ26" s="9" t="n">
        <f aca="false">SUMIFS('Исходные данные'!$I$2:$I$954,'Исходные данные'!$D$2:$D$954,AJ$1,'Исходные данные'!$F$2:$F$954,$A26)</f>
        <v>0</v>
      </c>
      <c r="AK26" s="9" t="n">
        <f aca="false">SUMIFS('Исходные данные'!$J$2:$J$954,'Исходные данные'!$D$2:$D$954,AJ$1,'Исходные данные'!$F$2:$F$954,$A26)</f>
        <v>0</v>
      </c>
      <c r="AL26" s="9" t="n">
        <f aca="false">SUMIFS('Исходные данные'!$I$2:$I$954,'Исходные данные'!$D$2:$D$954,AL$1,'Исходные данные'!$F$2:$F$954,$A26)</f>
        <v>0</v>
      </c>
      <c r="AM26" s="9" t="n">
        <f aca="false">SUMIFS('Исходные данные'!$J$2:$J$954,'Исходные данные'!$D$2:$D$954,AL$1,'Исходные данные'!$F$2:$F$954,$A26)</f>
        <v>0</v>
      </c>
      <c r="AN26" s="9" t="n">
        <f aca="false">SUMIFS('Исходные данные'!$I$2:$I$954,'Исходные данные'!$D$2:$D$954,AN$1,'Исходные данные'!$F$2:$F$954,$A26)</f>
        <v>0</v>
      </c>
      <c r="AO26" s="9" t="n">
        <f aca="false">SUMIFS('Исходные данные'!$J$2:$J$954,'Исходные данные'!$D$2:$D$954,AN$1,'Исходные данные'!$F$2:$F$954,$A26)</f>
        <v>0</v>
      </c>
      <c r="AP26" s="9" t="n">
        <f aca="false">SUMIFS('Исходные данные'!$I$2:$I$954,'Исходные данные'!$D$2:$D$954,AP$1,'Исходные данные'!$F$2:$F$954,$A26)</f>
        <v>0</v>
      </c>
      <c r="AQ26" s="9" t="n">
        <f aca="false">SUMIFS('Исходные данные'!$J$2:$J$954,'Исходные данные'!$D$2:$D$954,AP$1,'Исходные данные'!$F$2:$F$954,$A26)</f>
        <v>0</v>
      </c>
      <c r="AR26" s="9" t="n">
        <f aca="false">SUMIFS('Исходные данные'!$I$2:$I$954,'Исходные данные'!$D$2:$D$954,AR$1,'Исходные данные'!$F$2:$F$954,$A26)</f>
        <v>0</v>
      </c>
      <c r="AS26" s="9" t="n">
        <f aca="false">SUMIFS('Исходные данные'!$J$2:$J$954,'Исходные данные'!$D$2:$D$954,AR$1,'Исходные данные'!$F$2:$F$954,$A26)</f>
        <v>0</v>
      </c>
      <c r="AT26" s="9" t="n">
        <f aca="false">SUMIFS('Исходные данные'!$I$2:$I$954,'Исходные данные'!$D$2:$D$954,AT$1,'Исходные данные'!$F$2:$F$954,$A26)</f>
        <v>0</v>
      </c>
      <c r="AU26" s="9" t="n">
        <f aca="false">SUMIFS('Исходные данные'!$J$2:$J$954,'Исходные данные'!$D$2:$D$954,AT$1,'Исходные данные'!$F$2:$F$954,$A26)</f>
        <v>0</v>
      </c>
      <c r="AV26" s="9" t="n">
        <f aca="false">SUMIFS('Исходные данные'!$I$2:$I$954,'Исходные данные'!$D$2:$D$954,AV$1,'Исходные данные'!$F$2:$F$954,$A26)</f>
        <v>0</v>
      </c>
      <c r="AW26" s="9" t="n">
        <f aca="false">SUMIFS('Исходные данные'!$J$2:$J$954,'Исходные данные'!$D$2:$D$954,AV$1,'Исходные данные'!$F$2:$F$954,$A26)</f>
        <v>0</v>
      </c>
      <c r="AX26" s="9" t="n">
        <f aca="false">SUMIFS('Исходные данные'!$I$2:$I$954,'Исходные данные'!$D$2:$D$954,AX$1,'Исходные данные'!$F$2:$F$954,$A26)</f>
        <v>0</v>
      </c>
      <c r="AY26" s="9" t="n">
        <f aca="false">SUMIFS('Исходные данные'!$J$2:$J$954,'Исходные данные'!$D$2:$D$954,AX$1,'Исходные данные'!$F$2:$F$954,$A26)</f>
        <v>0</v>
      </c>
      <c r="AZ26" s="9" t="n">
        <f aca="false">SUMIFS('Исходные данные'!$I$2:$I$954,'Исходные данные'!$D$2:$D$954,AZ$1,'Исходные данные'!$F$2:$F$954,$A26)</f>
        <v>0</v>
      </c>
      <c r="BA26" s="9" t="n">
        <f aca="false">SUMIFS('Исходные данные'!$J$2:$J$954,'Исходные данные'!$D$2:$D$954,AZ$1,'Исходные данные'!$F$2:$F$954,$A26)</f>
        <v>0</v>
      </c>
      <c r="BB26" s="9" t="n">
        <f aca="false">SUMIFS('Исходные данные'!$I$2:$I$954,'Исходные данные'!$D$2:$D$954,BB$1,'Исходные данные'!$F$2:$F$954,$A26)</f>
        <v>0</v>
      </c>
      <c r="BC26" s="9" t="n">
        <f aca="false">SUMIFS('Исходные данные'!$J$2:$J$954,'Исходные данные'!$D$2:$D$954,BB$1,'Исходные данные'!$F$2:$F$954,$A26)</f>
        <v>0</v>
      </c>
      <c r="BD26" s="9" t="n">
        <f aca="false">SUMIFS('Исходные данные'!$I$2:$I$954,'Исходные данные'!$D$2:$D$954,BD$1,'Исходные данные'!$F$2:$F$954,$A26)</f>
        <v>0</v>
      </c>
      <c r="BE26" s="9" t="n">
        <f aca="false">SUMIFS('Исходные данные'!$J$2:$J$954,'Исходные данные'!$D$2:$D$954,BD$1,'Исходные данные'!$F$2:$F$954,$A26)</f>
        <v>0</v>
      </c>
      <c r="BF26" s="9" t="n">
        <f aca="false">SUMIFS('Исходные данные'!$I$2:$I$954,'Исходные данные'!$D$2:$D$954,BF$1,'Исходные данные'!$F$2:$F$954,$A26)</f>
        <v>0</v>
      </c>
      <c r="BG26" s="9" t="n">
        <f aca="false">SUMIFS('Исходные данные'!$J$2:$J$954,'Исходные данные'!$D$2:$D$954,BF$1,'Исходные данные'!$F$2:$F$954,$A26)</f>
        <v>0</v>
      </c>
      <c r="BH26" s="9" t="n">
        <f aca="false">SUMIFS('Исходные данные'!$I$2:$I$954,'Исходные данные'!$D$2:$D$954,BH$1,'Исходные данные'!$F$2:$F$954,$A26)</f>
        <v>0</v>
      </c>
      <c r="BI26" s="9" t="n">
        <f aca="false">SUMIFS('Исходные данные'!$J$2:$J$954,'Исходные данные'!$D$2:$D$954,BH$1,'Исходные данные'!$F$2:$F$954,$A26)</f>
        <v>0</v>
      </c>
      <c r="BJ26" s="9" t="n">
        <f aca="false">SUMIFS('Исходные данные'!$I$2:$I$954,'Исходные данные'!$D$2:$D$954,BJ$1,'Исходные данные'!$F$2:$F$954,$A26)</f>
        <v>0</v>
      </c>
      <c r="BK26" s="9" t="n">
        <f aca="false">SUMIFS('Исходные данные'!$J$2:$J$954,'Исходные данные'!$D$2:$D$954,BJ$1,'Исходные данные'!$F$2:$F$954,$A26)</f>
        <v>0</v>
      </c>
      <c r="BL26" s="9" t="n">
        <f aca="false">SUMIFS('Исходные данные'!$I$2:$I$954,'Исходные данные'!$D$2:$D$954,BL$1,'Исходные данные'!$F$2:$F$954,$A26)</f>
        <v>0</v>
      </c>
      <c r="BM26" s="9" t="n">
        <f aca="false">SUMIFS('Исходные данные'!$J$2:$J$954,'Исходные данные'!$D$2:$D$954,BL$1,'Исходные данные'!$F$2:$F$954,$A26)</f>
        <v>0</v>
      </c>
      <c r="BN26" s="9" t="n">
        <f aca="false">SUMIFS('Исходные данные'!$I$2:$I$954,'Исходные данные'!$D$2:$D$954,BN$1,'Исходные данные'!$F$2:$F$954,$A26)</f>
        <v>0</v>
      </c>
      <c r="BO26" s="9" t="n">
        <f aca="false">SUMIFS('Исходные данные'!$J$2:$J$954,'Исходные данные'!$D$2:$D$954,BN$1,'Исходные данные'!$F$2:$F$954,$A26)</f>
        <v>0</v>
      </c>
      <c r="BP26" s="9" t="n">
        <f aca="false">SUMIFS('Исходные данные'!$I$2:$I$954,'Исходные данные'!$D$2:$D$954,BP$1,'Исходные данные'!$F$2:$F$954,$A26)</f>
        <v>0</v>
      </c>
      <c r="BQ26" s="9" t="n">
        <f aca="false">SUMIFS('Исходные данные'!$J$2:$J$954,'Исходные данные'!$D$2:$D$954,BP$1,'Исходные данные'!$F$2:$F$954,$A26)</f>
        <v>0</v>
      </c>
      <c r="BR26" s="9" t="n">
        <f aca="false">SUMIFS('Исходные данные'!$I$2:$I$954,'Исходные данные'!$D$2:$D$954,BR$1,'Исходные данные'!$F$2:$F$954,$A26)</f>
        <v>0</v>
      </c>
      <c r="BS26" s="9" t="n">
        <f aca="false">SUMIFS('Исходные данные'!$J$2:$J$954,'Исходные данные'!$D$2:$D$954,BR$1,'Исходные данные'!$F$2:$F$954,$A26)</f>
        <v>0</v>
      </c>
      <c r="BT26" s="9" t="n">
        <f aca="false">SUMIFS('Исходные данные'!$I$2:$I$954,'Исходные данные'!$D$2:$D$954,BT$1,'Исходные данные'!$F$2:$F$954,$A26)</f>
        <v>0</v>
      </c>
      <c r="BU26" s="9" t="n">
        <f aca="false">SUMIFS('Исходные данные'!$J$2:$J$954,'Исходные данные'!$D$2:$D$954,BT$1,'Исходные данные'!$F$2:$F$954,$A26)</f>
        <v>0</v>
      </c>
      <c r="BV26" s="9" t="n">
        <f aca="false">SUMIFS('Исходные данные'!$I$2:$I$954,'Исходные данные'!$D$2:$D$954,BV$1,'Исходные данные'!$F$2:$F$954,$A26)</f>
        <v>0</v>
      </c>
      <c r="BW26" s="9" t="n">
        <f aca="false">SUMIFS('Исходные данные'!$J$2:$J$954,'Исходные данные'!$D$2:$D$954,BV$1,'Исходные данные'!$F$2:$F$954,$A26)</f>
        <v>0</v>
      </c>
      <c r="BX26" s="9" t="n">
        <f aca="false">SUMIFS('Исходные данные'!$I$2:$I$954,'Исходные данные'!$D$2:$D$954,BX$1,'Исходные данные'!$F$2:$F$954,$A26)</f>
        <v>0</v>
      </c>
      <c r="BY26" s="9" t="n">
        <f aca="false">SUMIFS('Исходные данные'!$J$2:$J$954,'Исходные данные'!$D$2:$D$954,BX$1,'Исходные данные'!$F$2:$F$954,$A26)</f>
        <v>0</v>
      </c>
      <c r="BZ26" s="9" t="n">
        <f aca="false">SUMIFS('Исходные данные'!$I$2:$I$954,'Исходные данные'!$D$2:$D$954,BZ$1,'Исходные данные'!$F$2:$F$954,$A26)</f>
        <v>0</v>
      </c>
      <c r="CA26" s="9" t="n">
        <f aca="false">SUMIFS('Исходные данные'!$J$2:$J$954,'Исходные данные'!$D$2:$D$954,BZ$1,'Исходные данные'!$F$2:$F$954,$A26)</f>
        <v>0</v>
      </c>
      <c r="CB26" s="9" t="n">
        <f aca="false">SUMIFS('Исходные данные'!$I$2:$I$954,'Исходные данные'!$D$2:$D$954,CB$1,'Исходные данные'!$F$2:$F$954,$A26)</f>
        <v>0</v>
      </c>
      <c r="CC26" s="9" t="n">
        <f aca="false">SUMIFS('Исходные данные'!$J$2:$J$954,'Исходные данные'!$D$2:$D$954,CB$1,'Исходные данные'!$F$2:$F$954,$A26)</f>
        <v>0</v>
      </c>
      <c r="CD26" s="9" t="n">
        <f aca="false">SUMIFS('Исходные данные'!$I$2:$I$954,'Исходные данные'!$D$2:$D$954,CD$1,'Исходные данные'!$F$2:$F$954,$A26)</f>
        <v>0</v>
      </c>
      <c r="CE26" s="9" t="n">
        <f aca="false">SUMIFS('Исходные данные'!$J$2:$J$954,'Исходные данные'!$D$2:$D$954,CD$1,'Исходные данные'!$F$2:$F$954,$A26)</f>
        <v>0</v>
      </c>
      <c r="CF26" s="9" t="n">
        <f aca="false">SUMIFS('Исходные данные'!$I$2:$I$954,'Исходные данные'!$D$2:$D$954,CF$1,'Исходные данные'!$F$2:$F$954,$A26)</f>
        <v>0</v>
      </c>
      <c r="CG26" s="9" t="n">
        <f aca="false">SUMIFS('Исходные данные'!$J$2:$J$954,'Исходные данные'!$D$2:$D$954,CF$1,'Исходные данные'!$F$2:$F$954,$A26)</f>
        <v>0</v>
      </c>
      <c r="CH26" s="9" t="n">
        <f aca="false">SUMIFS('Исходные данные'!$I$2:$I$954,'Исходные данные'!$D$2:$D$954,CH$1,'Исходные данные'!$F$2:$F$954,$A26)</f>
        <v>0</v>
      </c>
      <c r="CI26" s="9" t="n">
        <f aca="false">SUMIFS('Исходные данные'!$J$2:$J$954,'Исходные данные'!$D$2:$D$954,CH$1,'Исходные данные'!$F$2:$F$954,$A26)</f>
        <v>0</v>
      </c>
    </row>
    <row r="27" customFormat="false" ht="15" hidden="false" customHeight="false" outlineLevel="0" collapsed="false">
      <c r="A27" s="8" t="s">
        <v>97</v>
      </c>
      <c r="B27" s="9" t="s">
        <v>98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SUMIFS($H27:$CI27,$H$2:$CI$2,"День")</f>
        <v>1</v>
      </c>
      <c r="G27" s="5" t="n">
        <f aca="false">SUMIFS($H27:$CI27,$H$2:$CI$2,"Ночь")</f>
        <v>0</v>
      </c>
      <c r="H27" s="9" t="n">
        <f aca="false">SUMIFS('Исходные данные'!$I$2:$I$954,'Исходные данные'!$D$2:$D$954,H$1,'Исходные данные'!$F$2:$F$954,$A27)</f>
        <v>0</v>
      </c>
      <c r="I27" s="9" t="n">
        <f aca="false">SUMIFS('Исходные данные'!$J$2:$J$954,'Исходные данные'!$D$2:$D$954,H$1,'Исходные данные'!$F$2:$F$954,$A27)</f>
        <v>0</v>
      </c>
      <c r="J27" s="9" t="n">
        <f aca="false">SUMIFS('Исходные данные'!$I$2:$I$954,'Исходные данные'!$D$2:$D$954,J$1,'Исходные данные'!$F$2:$F$954,$A27)</f>
        <v>0</v>
      </c>
      <c r="K27" s="9" t="n">
        <f aca="false">SUMIFS('Исходные данные'!$J$2:$J$954,'Исходные данные'!$D$2:$D$954,J$1,'Исходные данные'!$F$2:$F$954,$A27)</f>
        <v>0</v>
      </c>
      <c r="L27" s="9" t="n">
        <f aca="false">SUMIFS('Исходные данные'!$I$2:$I$954,'Исходные данные'!$D$2:$D$954,L$1,'Исходные данные'!$F$2:$F$954,$A27)</f>
        <v>0</v>
      </c>
      <c r="M27" s="9" t="n">
        <f aca="false">SUMIFS('Исходные данные'!$J$2:$J$954,'Исходные данные'!$D$2:$D$954,L$1,'Исходные данные'!$F$2:$F$954,$A27)</f>
        <v>0</v>
      </c>
      <c r="N27" s="9" t="n">
        <f aca="false">SUMIFS('Исходные данные'!$I$2:$I$954,'Исходные данные'!$D$2:$D$954,N$1,'Исходные данные'!$F$2:$F$954,$A27)</f>
        <v>0</v>
      </c>
      <c r="O27" s="9" t="n">
        <f aca="false">SUMIFS('Исходные данные'!$J$2:$J$954,'Исходные данные'!$D$2:$D$954,N$1,'Исходные данные'!$F$2:$F$954,$A27)</f>
        <v>0</v>
      </c>
      <c r="P27" s="9" t="n">
        <f aca="false">SUMIFS('Исходные данные'!$I$2:$I$954,'Исходные данные'!$D$2:$D$954,P$1,'Исходные данные'!$F$2:$F$954,$A27)</f>
        <v>0</v>
      </c>
      <c r="Q27" s="9" t="n">
        <f aca="false">SUMIFS('Исходные данные'!$J$2:$J$954,'Исходные данные'!$D$2:$D$954,P$1,'Исходные данные'!$F$2:$F$954,$A27)</f>
        <v>0</v>
      </c>
      <c r="R27" s="9" t="n">
        <f aca="false">SUMIFS('Исходные данные'!$I$2:$I$954,'Исходные данные'!$D$2:$D$954,R$1,'Исходные данные'!$F$2:$F$954,$A27)</f>
        <v>0</v>
      </c>
      <c r="S27" s="9" t="n">
        <f aca="false">SUMIFS('Исходные данные'!$J$2:$J$954,'Исходные данные'!$D$2:$D$954,R$1,'Исходные данные'!$F$2:$F$954,$A27)</f>
        <v>0</v>
      </c>
      <c r="T27" s="9" t="n">
        <f aca="false">SUMIFS('Исходные данные'!$I$2:$I$954,'Исходные данные'!$D$2:$D$954,T$1,'Исходные данные'!$F$2:$F$954,$A27)</f>
        <v>0</v>
      </c>
      <c r="U27" s="9" t="n">
        <f aca="false">SUMIFS('Исходные данные'!$J$2:$J$954,'Исходные данные'!$D$2:$D$954,T$1,'Исходные данные'!$F$2:$F$954,$A27)</f>
        <v>0</v>
      </c>
      <c r="V27" s="9" t="n">
        <f aca="false">SUMIFS('Исходные данные'!$I$2:$I$954,'Исходные данные'!$D$2:$D$954,V$1,'Исходные данные'!$F$2:$F$954,$A27)</f>
        <v>0</v>
      </c>
      <c r="W27" s="9" t="n">
        <f aca="false">SUMIFS('Исходные данные'!$J$2:$J$954,'Исходные данные'!$D$2:$D$954,V$1,'Исходные данные'!$F$2:$F$954,$A27)</f>
        <v>0</v>
      </c>
      <c r="X27" s="9" t="n">
        <f aca="false">SUMIFS('Исходные данные'!$I$2:$I$954,'Исходные данные'!$D$2:$D$954,X$1,'Исходные данные'!$F$2:$F$954,$A27)</f>
        <v>0</v>
      </c>
      <c r="Y27" s="9" t="n">
        <f aca="false">SUMIFS('Исходные данные'!$J$2:$J$954,'Исходные данные'!$D$2:$D$954,X$1,'Исходные данные'!$F$2:$F$954,$A27)</f>
        <v>0</v>
      </c>
      <c r="Z27" s="9" t="n">
        <f aca="false">SUMIFS('Исходные данные'!$I$2:$I$954,'Исходные данные'!$D$2:$D$954,Z$1,'Исходные данные'!$F$2:$F$954,$A27)</f>
        <v>0</v>
      </c>
      <c r="AA27" s="9" t="n">
        <f aca="false">SUMIFS('Исходные данные'!$J$2:$J$954,'Исходные данные'!$D$2:$D$954,Z$1,'Исходные данные'!$F$2:$F$954,$A27)</f>
        <v>0</v>
      </c>
      <c r="AB27" s="9" t="n">
        <f aca="false">SUMIFS('Исходные данные'!$I$2:$I$954,'Исходные данные'!$D$2:$D$954,AB$1,'Исходные данные'!$F$2:$F$954,$A27)</f>
        <v>0</v>
      </c>
      <c r="AC27" s="9" t="n">
        <f aca="false">SUMIFS('Исходные данные'!$J$2:$J$954,'Исходные данные'!$D$2:$D$954,AB$1,'Исходные данные'!$F$2:$F$954,$A27)</f>
        <v>0</v>
      </c>
      <c r="AD27" s="9" t="n">
        <f aca="false">SUMIFS('Исходные данные'!$I$2:$I$954,'Исходные данные'!$D$2:$D$954,AD$1,'Исходные данные'!$F$2:$F$954,$A27)</f>
        <v>0</v>
      </c>
      <c r="AE27" s="9" t="n">
        <f aca="false">SUMIFS('Исходные данные'!$J$2:$J$954,'Исходные данные'!$D$2:$D$954,AD$1,'Исходные данные'!$F$2:$F$954,$A27)</f>
        <v>0</v>
      </c>
      <c r="AF27" s="9" t="n">
        <f aca="false">SUMIFS('Исходные данные'!$I$2:$I$954,'Исходные данные'!$D$2:$D$954,AF$1,'Исходные данные'!$F$2:$F$954,$A27)</f>
        <v>1</v>
      </c>
      <c r="AG27" s="9" t="n">
        <f aca="false">SUMIFS('Исходные данные'!$J$2:$J$954,'Исходные данные'!$D$2:$D$954,AF$1,'Исходные данные'!$F$2:$F$954,$A27)</f>
        <v>0</v>
      </c>
      <c r="AH27" s="9" t="n">
        <f aca="false">SUMIFS('Исходные данные'!$I$2:$I$954,'Исходные данные'!$D$2:$D$954,AH$1,'Исходные данные'!$F$2:$F$954,$A27)</f>
        <v>0</v>
      </c>
      <c r="AI27" s="9" t="n">
        <f aca="false">SUMIFS('Исходные данные'!$J$2:$J$954,'Исходные данные'!$D$2:$D$954,AH$1,'Исходные данные'!$F$2:$F$954,$A27)</f>
        <v>0</v>
      </c>
      <c r="AJ27" s="9" t="n">
        <f aca="false">SUMIFS('Исходные данные'!$I$2:$I$954,'Исходные данные'!$D$2:$D$954,AJ$1,'Исходные данные'!$F$2:$F$954,$A27)</f>
        <v>0</v>
      </c>
      <c r="AK27" s="9" t="n">
        <f aca="false">SUMIFS('Исходные данные'!$J$2:$J$954,'Исходные данные'!$D$2:$D$954,AJ$1,'Исходные данные'!$F$2:$F$954,$A27)</f>
        <v>0</v>
      </c>
      <c r="AL27" s="9" t="n">
        <f aca="false">SUMIFS('Исходные данные'!$I$2:$I$954,'Исходные данные'!$D$2:$D$954,AL$1,'Исходные данные'!$F$2:$F$954,$A27)</f>
        <v>0</v>
      </c>
      <c r="AM27" s="9" t="n">
        <f aca="false">SUMIFS('Исходные данные'!$J$2:$J$954,'Исходные данные'!$D$2:$D$954,AL$1,'Исходные данные'!$F$2:$F$954,$A27)</f>
        <v>0</v>
      </c>
      <c r="AN27" s="9" t="n">
        <f aca="false">SUMIFS('Исходные данные'!$I$2:$I$954,'Исходные данные'!$D$2:$D$954,AN$1,'Исходные данные'!$F$2:$F$954,$A27)</f>
        <v>0</v>
      </c>
      <c r="AO27" s="9" t="n">
        <f aca="false">SUMIFS('Исходные данные'!$J$2:$J$954,'Исходные данные'!$D$2:$D$954,AN$1,'Исходные данные'!$F$2:$F$954,$A27)</f>
        <v>0</v>
      </c>
      <c r="AP27" s="9" t="n">
        <f aca="false">SUMIFS('Исходные данные'!$I$2:$I$954,'Исходные данные'!$D$2:$D$954,AP$1,'Исходные данные'!$F$2:$F$954,$A27)</f>
        <v>0</v>
      </c>
      <c r="AQ27" s="9" t="n">
        <f aca="false">SUMIFS('Исходные данные'!$J$2:$J$954,'Исходные данные'!$D$2:$D$954,AP$1,'Исходные данные'!$F$2:$F$954,$A27)</f>
        <v>0</v>
      </c>
      <c r="AR27" s="9" t="n">
        <f aca="false">SUMIFS('Исходные данные'!$I$2:$I$954,'Исходные данные'!$D$2:$D$954,AR$1,'Исходные данные'!$F$2:$F$954,$A27)</f>
        <v>0</v>
      </c>
      <c r="AS27" s="9" t="n">
        <f aca="false">SUMIFS('Исходные данные'!$J$2:$J$954,'Исходные данные'!$D$2:$D$954,AR$1,'Исходные данные'!$F$2:$F$954,$A27)</f>
        <v>0</v>
      </c>
      <c r="AT27" s="9" t="n">
        <f aca="false">SUMIFS('Исходные данные'!$I$2:$I$954,'Исходные данные'!$D$2:$D$954,AT$1,'Исходные данные'!$F$2:$F$954,$A27)</f>
        <v>0</v>
      </c>
      <c r="AU27" s="9" t="n">
        <f aca="false">SUMIFS('Исходные данные'!$J$2:$J$954,'Исходные данные'!$D$2:$D$954,AT$1,'Исходные данные'!$F$2:$F$954,$A27)</f>
        <v>0</v>
      </c>
      <c r="AV27" s="9" t="n">
        <f aca="false">SUMIFS('Исходные данные'!$I$2:$I$954,'Исходные данные'!$D$2:$D$954,AV$1,'Исходные данные'!$F$2:$F$954,$A27)</f>
        <v>0</v>
      </c>
      <c r="AW27" s="9" t="n">
        <f aca="false">SUMIFS('Исходные данные'!$J$2:$J$954,'Исходные данные'!$D$2:$D$954,AV$1,'Исходные данные'!$F$2:$F$954,$A27)</f>
        <v>0</v>
      </c>
      <c r="AX27" s="9" t="n">
        <f aca="false">SUMIFS('Исходные данные'!$I$2:$I$954,'Исходные данные'!$D$2:$D$954,AX$1,'Исходные данные'!$F$2:$F$954,$A27)</f>
        <v>0</v>
      </c>
      <c r="AY27" s="9" t="n">
        <f aca="false">SUMIFS('Исходные данные'!$J$2:$J$954,'Исходные данные'!$D$2:$D$954,AX$1,'Исходные данные'!$F$2:$F$954,$A27)</f>
        <v>0</v>
      </c>
      <c r="AZ27" s="9" t="n">
        <f aca="false">SUMIFS('Исходные данные'!$I$2:$I$954,'Исходные данные'!$D$2:$D$954,AZ$1,'Исходные данные'!$F$2:$F$954,$A27)</f>
        <v>0</v>
      </c>
      <c r="BA27" s="9" t="n">
        <f aca="false">SUMIFS('Исходные данные'!$J$2:$J$954,'Исходные данные'!$D$2:$D$954,AZ$1,'Исходные данные'!$F$2:$F$954,$A27)</f>
        <v>0</v>
      </c>
      <c r="BB27" s="9" t="n">
        <f aca="false">SUMIFS('Исходные данные'!$I$2:$I$954,'Исходные данные'!$D$2:$D$954,BB$1,'Исходные данные'!$F$2:$F$954,$A27)</f>
        <v>0</v>
      </c>
      <c r="BC27" s="9" t="n">
        <f aca="false">SUMIFS('Исходные данные'!$J$2:$J$954,'Исходные данные'!$D$2:$D$954,BB$1,'Исходные данные'!$F$2:$F$954,$A27)</f>
        <v>0</v>
      </c>
      <c r="BD27" s="9" t="n">
        <f aca="false">SUMIFS('Исходные данные'!$I$2:$I$954,'Исходные данные'!$D$2:$D$954,BD$1,'Исходные данные'!$F$2:$F$954,$A27)</f>
        <v>0</v>
      </c>
      <c r="BE27" s="9" t="n">
        <f aca="false">SUMIFS('Исходные данные'!$J$2:$J$954,'Исходные данные'!$D$2:$D$954,BD$1,'Исходные данные'!$F$2:$F$954,$A27)</f>
        <v>0</v>
      </c>
      <c r="BF27" s="9" t="n">
        <f aca="false">SUMIFS('Исходные данные'!$I$2:$I$954,'Исходные данные'!$D$2:$D$954,BF$1,'Исходные данные'!$F$2:$F$954,$A27)</f>
        <v>0</v>
      </c>
      <c r="BG27" s="9" t="n">
        <f aca="false">SUMIFS('Исходные данные'!$J$2:$J$954,'Исходные данные'!$D$2:$D$954,BF$1,'Исходные данные'!$F$2:$F$954,$A27)</f>
        <v>0</v>
      </c>
      <c r="BH27" s="9" t="n">
        <f aca="false">SUMIFS('Исходные данные'!$I$2:$I$954,'Исходные данные'!$D$2:$D$954,BH$1,'Исходные данные'!$F$2:$F$954,$A27)</f>
        <v>0</v>
      </c>
      <c r="BI27" s="9" t="n">
        <f aca="false">SUMIFS('Исходные данные'!$J$2:$J$954,'Исходные данные'!$D$2:$D$954,BH$1,'Исходные данные'!$F$2:$F$954,$A27)</f>
        <v>0</v>
      </c>
      <c r="BJ27" s="9" t="n">
        <f aca="false">SUMIFS('Исходные данные'!$I$2:$I$954,'Исходные данные'!$D$2:$D$954,BJ$1,'Исходные данные'!$F$2:$F$954,$A27)</f>
        <v>0</v>
      </c>
      <c r="BK27" s="9" t="n">
        <f aca="false">SUMIFS('Исходные данные'!$J$2:$J$954,'Исходные данные'!$D$2:$D$954,BJ$1,'Исходные данные'!$F$2:$F$954,$A27)</f>
        <v>0</v>
      </c>
      <c r="BL27" s="9" t="n">
        <f aca="false">SUMIFS('Исходные данные'!$I$2:$I$954,'Исходные данные'!$D$2:$D$954,BL$1,'Исходные данные'!$F$2:$F$954,$A27)</f>
        <v>0</v>
      </c>
      <c r="BM27" s="9" t="n">
        <f aca="false">SUMIFS('Исходные данные'!$J$2:$J$954,'Исходные данные'!$D$2:$D$954,BL$1,'Исходные данные'!$F$2:$F$954,$A27)</f>
        <v>0</v>
      </c>
      <c r="BN27" s="9" t="n">
        <f aca="false">SUMIFS('Исходные данные'!$I$2:$I$954,'Исходные данные'!$D$2:$D$954,BN$1,'Исходные данные'!$F$2:$F$954,$A27)</f>
        <v>0</v>
      </c>
      <c r="BO27" s="9" t="n">
        <f aca="false">SUMIFS('Исходные данные'!$J$2:$J$954,'Исходные данные'!$D$2:$D$954,BN$1,'Исходные данные'!$F$2:$F$954,$A27)</f>
        <v>0</v>
      </c>
      <c r="BP27" s="9" t="n">
        <f aca="false">SUMIFS('Исходные данные'!$I$2:$I$954,'Исходные данные'!$D$2:$D$954,BP$1,'Исходные данные'!$F$2:$F$954,$A27)</f>
        <v>0</v>
      </c>
      <c r="BQ27" s="9" t="n">
        <f aca="false">SUMIFS('Исходные данные'!$J$2:$J$954,'Исходные данные'!$D$2:$D$954,BP$1,'Исходные данные'!$F$2:$F$954,$A27)</f>
        <v>0</v>
      </c>
      <c r="BR27" s="9" t="n">
        <f aca="false">SUMIFS('Исходные данные'!$I$2:$I$954,'Исходные данные'!$D$2:$D$954,BR$1,'Исходные данные'!$F$2:$F$954,$A27)</f>
        <v>0</v>
      </c>
      <c r="BS27" s="9" t="n">
        <f aca="false">SUMIFS('Исходные данные'!$J$2:$J$954,'Исходные данные'!$D$2:$D$954,BR$1,'Исходные данные'!$F$2:$F$954,$A27)</f>
        <v>0</v>
      </c>
      <c r="BT27" s="9" t="n">
        <f aca="false">SUMIFS('Исходные данные'!$I$2:$I$954,'Исходные данные'!$D$2:$D$954,BT$1,'Исходные данные'!$F$2:$F$954,$A27)</f>
        <v>0</v>
      </c>
      <c r="BU27" s="9" t="n">
        <f aca="false">SUMIFS('Исходные данные'!$J$2:$J$954,'Исходные данные'!$D$2:$D$954,BT$1,'Исходные данные'!$F$2:$F$954,$A27)</f>
        <v>0</v>
      </c>
      <c r="BV27" s="9" t="n">
        <f aca="false">SUMIFS('Исходные данные'!$I$2:$I$954,'Исходные данные'!$D$2:$D$954,BV$1,'Исходные данные'!$F$2:$F$954,$A27)</f>
        <v>0</v>
      </c>
      <c r="BW27" s="9" t="n">
        <f aca="false">SUMIFS('Исходные данные'!$J$2:$J$954,'Исходные данные'!$D$2:$D$954,BV$1,'Исходные данные'!$F$2:$F$954,$A27)</f>
        <v>0</v>
      </c>
      <c r="BX27" s="9" t="n">
        <f aca="false">SUMIFS('Исходные данные'!$I$2:$I$954,'Исходные данные'!$D$2:$D$954,BX$1,'Исходные данные'!$F$2:$F$954,$A27)</f>
        <v>0</v>
      </c>
      <c r="BY27" s="9" t="n">
        <f aca="false">SUMIFS('Исходные данные'!$J$2:$J$954,'Исходные данные'!$D$2:$D$954,BX$1,'Исходные данные'!$F$2:$F$954,$A27)</f>
        <v>0</v>
      </c>
      <c r="BZ27" s="9" t="n">
        <f aca="false">SUMIFS('Исходные данные'!$I$2:$I$954,'Исходные данные'!$D$2:$D$954,BZ$1,'Исходные данные'!$F$2:$F$954,$A27)</f>
        <v>0</v>
      </c>
      <c r="CA27" s="9" t="n">
        <f aca="false">SUMIFS('Исходные данные'!$J$2:$J$954,'Исходные данные'!$D$2:$D$954,BZ$1,'Исходные данные'!$F$2:$F$954,$A27)</f>
        <v>0</v>
      </c>
      <c r="CB27" s="9" t="n">
        <f aca="false">SUMIFS('Исходные данные'!$I$2:$I$954,'Исходные данные'!$D$2:$D$954,CB$1,'Исходные данные'!$F$2:$F$954,$A27)</f>
        <v>0</v>
      </c>
      <c r="CC27" s="9" t="n">
        <f aca="false">SUMIFS('Исходные данные'!$J$2:$J$954,'Исходные данные'!$D$2:$D$954,CB$1,'Исходные данные'!$F$2:$F$954,$A27)</f>
        <v>0</v>
      </c>
      <c r="CD27" s="9" t="n">
        <f aca="false">SUMIFS('Исходные данные'!$I$2:$I$954,'Исходные данные'!$D$2:$D$954,CD$1,'Исходные данные'!$F$2:$F$954,$A27)</f>
        <v>0</v>
      </c>
      <c r="CE27" s="9" t="n">
        <f aca="false">SUMIFS('Исходные данные'!$J$2:$J$954,'Исходные данные'!$D$2:$D$954,CD$1,'Исходные данные'!$F$2:$F$954,$A27)</f>
        <v>0</v>
      </c>
      <c r="CF27" s="9" t="n">
        <f aca="false">SUMIFS('Исходные данные'!$I$2:$I$954,'Исходные данные'!$D$2:$D$954,CF$1,'Исходные данные'!$F$2:$F$954,$A27)</f>
        <v>0</v>
      </c>
      <c r="CG27" s="9" t="n">
        <f aca="false">SUMIFS('Исходные данные'!$J$2:$J$954,'Исходные данные'!$D$2:$D$954,CF$1,'Исходные данные'!$F$2:$F$954,$A27)</f>
        <v>0</v>
      </c>
      <c r="CH27" s="9" t="n">
        <f aca="false">SUMIFS('Исходные данные'!$I$2:$I$954,'Исходные данные'!$D$2:$D$954,CH$1,'Исходные данные'!$F$2:$F$954,$A27)</f>
        <v>0</v>
      </c>
      <c r="CI27" s="9" t="n">
        <f aca="false">SUMIFS('Исходные данные'!$J$2:$J$954,'Исходные данные'!$D$2:$D$954,CH$1,'Исходные данные'!$F$2:$F$954,$A27)</f>
        <v>0</v>
      </c>
    </row>
    <row r="28" customFormat="false" ht="15" hidden="false" customHeight="false" outlineLevel="0" collapsed="false">
      <c r="A28" s="8" t="s">
        <v>99</v>
      </c>
      <c r="B28" s="9" t="s">
        <v>100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SUMIFS($H28:$CI28,$H$2:$CI$2,"День")</f>
        <v>2</v>
      </c>
      <c r="G28" s="5" t="n">
        <f aca="false">SUMIFS($H28:$CI28,$H$2:$CI$2,"Ночь")</f>
        <v>0</v>
      </c>
      <c r="H28" s="9" t="n">
        <f aca="false">SUMIFS('Исходные данные'!$I$2:$I$954,'Исходные данные'!$D$2:$D$954,H$1,'Исходные данные'!$F$2:$F$954,$A28)</f>
        <v>0</v>
      </c>
      <c r="I28" s="9" t="n">
        <f aca="false">SUMIFS('Исходные данные'!$J$2:$J$954,'Исходные данные'!$D$2:$D$954,H$1,'Исходные данные'!$F$2:$F$954,$A28)</f>
        <v>0</v>
      </c>
      <c r="J28" s="9" t="n">
        <f aca="false">SUMIFS('Исходные данные'!$I$2:$I$954,'Исходные данные'!$D$2:$D$954,J$1,'Исходные данные'!$F$2:$F$954,$A28)</f>
        <v>0</v>
      </c>
      <c r="K28" s="9" t="n">
        <f aca="false">SUMIFS('Исходные данные'!$J$2:$J$954,'Исходные данные'!$D$2:$D$954,J$1,'Исходные данные'!$F$2:$F$954,$A28)</f>
        <v>0</v>
      </c>
      <c r="L28" s="9" t="n">
        <f aca="false">SUMIFS('Исходные данные'!$I$2:$I$954,'Исходные данные'!$D$2:$D$954,L$1,'Исходные данные'!$F$2:$F$954,$A28)</f>
        <v>0</v>
      </c>
      <c r="M28" s="9" t="n">
        <f aca="false">SUMIFS('Исходные данные'!$J$2:$J$954,'Исходные данные'!$D$2:$D$954,L$1,'Исходные данные'!$F$2:$F$954,$A28)</f>
        <v>0</v>
      </c>
      <c r="N28" s="9" t="n">
        <f aca="false">SUMIFS('Исходные данные'!$I$2:$I$954,'Исходные данные'!$D$2:$D$954,N$1,'Исходные данные'!$F$2:$F$954,$A28)</f>
        <v>0</v>
      </c>
      <c r="O28" s="9" t="n">
        <f aca="false">SUMIFS('Исходные данные'!$J$2:$J$954,'Исходные данные'!$D$2:$D$954,N$1,'Исходные данные'!$F$2:$F$954,$A28)</f>
        <v>0</v>
      </c>
      <c r="P28" s="9" t="n">
        <f aca="false">SUMIFS('Исходные данные'!$I$2:$I$954,'Исходные данные'!$D$2:$D$954,P$1,'Исходные данные'!$F$2:$F$954,$A28)</f>
        <v>0</v>
      </c>
      <c r="Q28" s="9" t="n">
        <f aca="false">SUMIFS('Исходные данные'!$J$2:$J$954,'Исходные данные'!$D$2:$D$954,P$1,'Исходные данные'!$F$2:$F$954,$A28)</f>
        <v>0</v>
      </c>
      <c r="R28" s="9" t="n">
        <f aca="false">SUMIFS('Исходные данные'!$I$2:$I$954,'Исходные данные'!$D$2:$D$954,R$1,'Исходные данные'!$F$2:$F$954,$A28)</f>
        <v>0</v>
      </c>
      <c r="S28" s="9" t="n">
        <f aca="false">SUMIFS('Исходные данные'!$J$2:$J$954,'Исходные данные'!$D$2:$D$954,R$1,'Исходные данные'!$F$2:$F$954,$A28)</f>
        <v>0</v>
      </c>
      <c r="T28" s="9" t="n">
        <f aca="false">SUMIFS('Исходные данные'!$I$2:$I$954,'Исходные данные'!$D$2:$D$954,T$1,'Исходные данные'!$F$2:$F$954,$A28)</f>
        <v>1</v>
      </c>
      <c r="U28" s="9" t="n">
        <f aca="false">SUMIFS('Исходные данные'!$J$2:$J$954,'Исходные данные'!$D$2:$D$954,T$1,'Исходные данные'!$F$2:$F$954,$A28)</f>
        <v>0</v>
      </c>
      <c r="V28" s="9" t="n">
        <f aca="false">SUMIFS('Исходные данные'!$I$2:$I$954,'Исходные данные'!$D$2:$D$954,V$1,'Исходные данные'!$F$2:$F$954,$A28)</f>
        <v>0</v>
      </c>
      <c r="W28" s="9" t="n">
        <f aca="false">SUMIFS('Исходные данные'!$J$2:$J$954,'Исходные данные'!$D$2:$D$954,V$1,'Исходные данные'!$F$2:$F$954,$A28)</f>
        <v>0</v>
      </c>
      <c r="X28" s="9" t="n">
        <f aca="false">SUMIFS('Исходные данные'!$I$2:$I$954,'Исходные данные'!$D$2:$D$954,X$1,'Исходные данные'!$F$2:$F$954,$A28)</f>
        <v>0</v>
      </c>
      <c r="Y28" s="9" t="n">
        <f aca="false">SUMIFS('Исходные данные'!$J$2:$J$954,'Исходные данные'!$D$2:$D$954,X$1,'Исходные данные'!$F$2:$F$954,$A28)</f>
        <v>0</v>
      </c>
      <c r="Z28" s="9" t="n">
        <f aca="false">SUMIFS('Исходные данные'!$I$2:$I$954,'Исходные данные'!$D$2:$D$954,Z$1,'Исходные данные'!$F$2:$F$954,$A28)</f>
        <v>0</v>
      </c>
      <c r="AA28" s="9" t="n">
        <f aca="false">SUMIFS('Исходные данные'!$J$2:$J$954,'Исходные данные'!$D$2:$D$954,Z$1,'Исходные данные'!$F$2:$F$954,$A28)</f>
        <v>0</v>
      </c>
      <c r="AB28" s="9" t="n">
        <f aca="false">SUMIFS('Исходные данные'!$I$2:$I$954,'Исходные данные'!$D$2:$D$954,AB$1,'Исходные данные'!$F$2:$F$954,$A28)</f>
        <v>0</v>
      </c>
      <c r="AC28" s="9" t="n">
        <f aca="false">SUMIFS('Исходные данные'!$J$2:$J$954,'Исходные данные'!$D$2:$D$954,AB$1,'Исходные данные'!$F$2:$F$954,$A28)</f>
        <v>0</v>
      </c>
      <c r="AD28" s="9" t="n">
        <f aca="false">SUMIFS('Исходные данные'!$I$2:$I$954,'Исходные данные'!$D$2:$D$954,AD$1,'Исходные данные'!$F$2:$F$954,$A28)</f>
        <v>0</v>
      </c>
      <c r="AE28" s="9" t="n">
        <f aca="false">SUMIFS('Исходные данные'!$J$2:$J$954,'Исходные данные'!$D$2:$D$954,AD$1,'Исходные данные'!$F$2:$F$954,$A28)</f>
        <v>0</v>
      </c>
      <c r="AF28" s="9" t="n">
        <f aca="false">SUMIFS('Исходные данные'!$I$2:$I$954,'Исходные данные'!$D$2:$D$954,AF$1,'Исходные данные'!$F$2:$F$954,$A28)</f>
        <v>0</v>
      </c>
      <c r="AG28" s="9" t="n">
        <f aca="false">SUMIFS('Исходные данные'!$J$2:$J$954,'Исходные данные'!$D$2:$D$954,AF$1,'Исходные данные'!$F$2:$F$954,$A28)</f>
        <v>0</v>
      </c>
      <c r="AH28" s="9" t="n">
        <f aca="false">SUMIFS('Исходные данные'!$I$2:$I$954,'Исходные данные'!$D$2:$D$954,AH$1,'Исходные данные'!$F$2:$F$954,$A28)</f>
        <v>1</v>
      </c>
      <c r="AI28" s="9" t="n">
        <f aca="false">SUMIFS('Исходные данные'!$J$2:$J$954,'Исходные данные'!$D$2:$D$954,AH$1,'Исходные данные'!$F$2:$F$954,$A28)</f>
        <v>0</v>
      </c>
      <c r="AJ28" s="9" t="n">
        <f aca="false">SUMIFS('Исходные данные'!$I$2:$I$954,'Исходные данные'!$D$2:$D$954,AJ$1,'Исходные данные'!$F$2:$F$954,$A28)</f>
        <v>0</v>
      </c>
      <c r="AK28" s="9" t="n">
        <f aca="false">SUMIFS('Исходные данные'!$J$2:$J$954,'Исходные данные'!$D$2:$D$954,AJ$1,'Исходные данные'!$F$2:$F$954,$A28)</f>
        <v>0</v>
      </c>
      <c r="AL28" s="9" t="n">
        <f aca="false">SUMIFS('Исходные данные'!$I$2:$I$954,'Исходные данные'!$D$2:$D$954,AL$1,'Исходные данные'!$F$2:$F$954,$A28)</f>
        <v>0</v>
      </c>
      <c r="AM28" s="9" t="n">
        <f aca="false">SUMIFS('Исходные данные'!$J$2:$J$954,'Исходные данные'!$D$2:$D$954,AL$1,'Исходные данные'!$F$2:$F$954,$A28)</f>
        <v>0</v>
      </c>
      <c r="AN28" s="9" t="n">
        <f aca="false">SUMIFS('Исходные данные'!$I$2:$I$954,'Исходные данные'!$D$2:$D$954,AN$1,'Исходные данные'!$F$2:$F$954,$A28)</f>
        <v>0</v>
      </c>
      <c r="AO28" s="9" t="n">
        <f aca="false">SUMIFS('Исходные данные'!$J$2:$J$954,'Исходные данные'!$D$2:$D$954,AN$1,'Исходные данные'!$F$2:$F$954,$A28)</f>
        <v>0</v>
      </c>
      <c r="AP28" s="9" t="n">
        <f aca="false">SUMIFS('Исходные данные'!$I$2:$I$954,'Исходные данные'!$D$2:$D$954,AP$1,'Исходные данные'!$F$2:$F$954,$A28)</f>
        <v>0</v>
      </c>
      <c r="AQ28" s="9" t="n">
        <f aca="false">SUMIFS('Исходные данные'!$J$2:$J$954,'Исходные данные'!$D$2:$D$954,AP$1,'Исходные данные'!$F$2:$F$954,$A28)</f>
        <v>0</v>
      </c>
      <c r="AR28" s="9" t="n">
        <f aca="false">SUMIFS('Исходные данные'!$I$2:$I$954,'Исходные данные'!$D$2:$D$954,AR$1,'Исходные данные'!$F$2:$F$954,$A28)</f>
        <v>0</v>
      </c>
      <c r="AS28" s="9" t="n">
        <f aca="false">SUMIFS('Исходные данные'!$J$2:$J$954,'Исходные данные'!$D$2:$D$954,AR$1,'Исходные данные'!$F$2:$F$954,$A28)</f>
        <v>0</v>
      </c>
      <c r="AT28" s="9" t="n">
        <f aca="false">SUMIFS('Исходные данные'!$I$2:$I$954,'Исходные данные'!$D$2:$D$954,AT$1,'Исходные данные'!$F$2:$F$954,$A28)</f>
        <v>0</v>
      </c>
      <c r="AU28" s="9" t="n">
        <f aca="false">SUMIFS('Исходные данные'!$J$2:$J$954,'Исходные данные'!$D$2:$D$954,AT$1,'Исходные данные'!$F$2:$F$954,$A28)</f>
        <v>0</v>
      </c>
      <c r="AV28" s="9" t="n">
        <f aca="false">SUMIFS('Исходные данные'!$I$2:$I$954,'Исходные данные'!$D$2:$D$954,AV$1,'Исходные данные'!$F$2:$F$954,$A28)</f>
        <v>0</v>
      </c>
      <c r="AW28" s="9" t="n">
        <f aca="false">SUMIFS('Исходные данные'!$J$2:$J$954,'Исходные данные'!$D$2:$D$954,AV$1,'Исходные данные'!$F$2:$F$954,$A28)</f>
        <v>0</v>
      </c>
      <c r="AX28" s="9" t="n">
        <f aca="false">SUMIFS('Исходные данные'!$I$2:$I$954,'Исходные данные'!$D$2:$D$954,AX$1,'Исходные данные'!$F$2:$F$954,$A28)</f>
        <v>0</v>
      </c>
      <c r="AY28" s="9" t="n">
        <f aca="false">SUMIFS('Исходные данные'!$J$2:$J$954,'Исходные данные'!$D$2:$D$954,AX$1,'Исходные данные'!$F$2:$F$954,$A28)</f>
        <v>0</v>
      </c>
      <c r="AZ28" s="9" t="n">
        <f aca="false">SUMIFS('Исходные данные'!$I$2:$I$954,'Исходные данные'!$D$2:$D$954,AZ$1,'Исходные данные'!$F$2:$F$954,$A28)</f>
        <v>0</v>
      </c>
      <c r="BA28" s="9" t="n">
        <f aca="false">SUMIFS('Исходные данные'!$J$2:$J$954,'Исходные данные'!$D$2:$D$954,AZ$1,'Исходные данные'!$F$2:$F$954,$A28)</f>
        <v>0</v>
      </c>
      <c r="BB28" s="9" t="n">
        <f aca="false">SUMIFS('Исходные данные'!$I$2:$I$954,'Исходные данные'!$D$2:$D$954,BB$1,'Исходные данные'!$F$2:$F$954,$A28)</f>
        <v>0</v>
      </c>
      <c r="BC28" s="9" t="n">
        <f aca="false">SUMIFS('Исходные данные'!$J$2:$J$954,'Исходные данные'!$D$2:$D$954,BB$1,'Исходные данные'!$F$2:$F$954,$A28)</f>
        <v>0</v>
      </c>
      <c r="BD28" s="9" t="n">
        <f aca="false">SUMIFS('Исходные данные'!$I$2:$I$954,'Исходные данные'!$D$2:$D$954,BD$1,'Исходные данные'!$F$2:$F$954,$A28)</f>
        <v>0</v>
      </c>
      <c r="BE28" s="9" t="n">
        <f aca="false">SUMIFS('Исходные данные'!$J$2:$J$954,'Исходные данные'!$D$2:$D$954,BD$1,'Исходные данные'!$F$2:$F$954,$A28)</f>
        <v>0</v>
      </c>
      <c r="BF28" s="9" t="n">
        <f aca="false">SUMIFS('Исходные данные'!$I$2:$I$954,'Исходные данные'!$D$2:$D$954,BF$1,'Исходные данные'!$F$2:$F$954,$A28)</f>
        <v>0</v>
      </c>
      <c r="BG28" s="9" t="n">
        <f aca="false">SUMIFS('Исходные данные'!$J$2:$J$954,'Исходные данные'!$D$2:$D$954,BF$1,'Исходные данные'!$F$2:$F$954,$A28)</f>
        <v>0</v>
      </c>
      <c r="BH28" s="9" t="n">
        <f aca="false">SUMIFS('Исходные данные'!$I$2:$I$954,'Исходные данные'!$D$2:$D$954,BH$1,'Исходные данные'!$F$2:$F$954,$A28)</f>
        <v>0</v>
      </c>
      <c r="BI28" s="9" t="n">
        <f aca="false">SUMIFS('Исходные данные'!$J$2:$J$954,'Исходные данные'!$D$2:$D$954,BH$1,'Исходные данные'!$F$2:$F$954,$A28)</f>
        <v>0</v>
      </c>
      <c r="BJ28" s="9" t="n">
        <f aca="false">SUMIFS('Исходные данные'!$I$2:$I$954,'Исходные данные'!$D$2:$D$954,BJ$1,'Исходные данные'!$F$2:$F$954,$A28)</f>
        <v>0</v>
      </c>
      <c r="BK28" s="9" t="n">
        <f aca="false">SUMIFS('Исходные данные'!$J$2:$J$954,'Исходные данные'!$D$2:$D$954,BJ$1,'Исходные данные'!$F$2:$F$954,$A28)</f>
        <v>0</v>
      </c>
      <c r="BL28" s="9" t="n">
        <f aca="false">SUMIFS('Исходные данные'!$I$2:$I$954,'Исходные данные'!$D$2:$D$954,BL$1,'Исходные данные'!$F$2:$F$954,$A28)</f>
        <v>0</v>
      </c>
      <c r="BM28" s="9" t="n">
        <f aca="false">SUMIFS('Исходные данные'!$J$2:$J$954,'Исходные данные'!$D$2:$D$954,BL$1,'Исходные данные'!$F$2:$F$954,$A28)</f>
        <v>0</v>
      </c>
      <c r="BN28" s="9" t="n">
        <f aca="false">SUMIFS('Исходные данные'!$I$2:$I$954,'Исходные данные'!$D$2:$D$954,BN$1,'Исходные данные'!$F$2:$F$954,$A28)</f>
        <v>0</v>
      </c>
      <c r="BO28" s="9" t="n">
        <f aca="false">SUMIFS('Исходные данные'!$J$2:$J$954,'Исходные данные'!$D$2:$D$954,BN$1,'Исходные данные'!$F$2:$F$954,$A28)</f>
        <v>0</v>
      </c>
      <c r="BP28" s="9" t="n">
        <f aca="false">SUMIFS('Исходные данные'!$I$2:$I$954,'Исходные данные'!$D$2:$D$954,BP$1,'Исходные данные'!$F$2:$F$954,$A28)</f>
        <v>0</v>
      </c>
      <c r="BQ28" s="9" t="n">
        <f aca="false">SUMIFS('Исходные данные'!$J$2:$J$954,'Исходные данные'!$D$2:$D$954,BP$1,'Исходные данные'!$F$2:$F$954,$A28)</f>
        <v>0</v>
      </c>
      <c r="BR28" s="9" t="n">
        <f aca="false">SUMIFS('Исходные данные'!$I$2:$I$954,'Исходные данные'!$D$2:$D$954,BR$1,'Исходные данные'!$F$2:$F$954,$A28)</f>
        <v>0</v>
      </c>
      <c r="BS28" s="9" t="n">
        <f aca="false">SUMIFS('Исходные данные'!$J$2:$J$954,'Исходные данные'!$D$2:$D$954,BR$1,'Исходные данные'!$F$2:$F$954,$A28)</f>
        <v>0</v>
      </c>
      <c r="BT28" s="9" t="n">
        <f aca="false">SUMIFS('Исходные данные'!$I$2:$I$954,'Исходные данные'!$D$2:$D$954,BT$1,'Исходные данные'!$F$2:$F$954,$A28)</f>
        <v>0</v>
      </c>
      <c r="BU28" s="9" t="n">
        <f aca="false">SUMIFS('Исходные данные'!$J$2:$J$954,'Исходные данные'!$D$2:$D$954,BT$1,'Исходные данные'!$F$2:$F$954,$A28)</f>
        <v>0</v>
      </c>
      <c r="BV28" s="9" t="n">
        <f aca="false">SUMIFS('Исходные данные'!$I$2:$I$954,'Исходные данные'!$D$2:$D$954,BV$1,'Исходные данные'!$F$2:$F$954,$A28)</f>
        <v>0</v>
      </c>
      <c r="BW28" s="9" t="n">
        <f aca="false">SUMIFS('Исходные данные'!$J$2:$J$954,'Исходные данные'!$D$2:$D$954,BV$1,'Исходные данные'!$F$2:$F$954,$A28)</f>
        <v>0</v>
      </c>
      <c r="BX28" s="9" t="n">
        <f aca="false">SUMIFS('Исходные данные'!$I$2:$I$954,'Исходные данные'!$D$2:$D$954,BX$1,'Исходные данные'!$F$2:$F$954,$A28)</f>
        <v>0</v>
      </c>
      <c r="BY28" s="9" t="n">
        <f aca="false">SUMIFS('Исходные данные'!$J$2:$J$954,'Исходные данные'!$D$2:$D$954,BX$1,'Исходные данные'!$F$2:$F$954,$A28)</f>
        <v>0</v>
      </c>
      <c r="BZ28" s="9" t="n">
        <f aca="false">SUMIFS('Исходные данные'!$I$2:$I$954,'Исходные данные'!$D$2:$D$954,BZ$1,'Исходные данные'!$F$2:$F$954,$A28)</f>
        <v>0</v>
      </c>
      <c r="CA28" s="9" t="n">
        <f aca="false">SUMIFS('Исходные данные'!$J$2:$J$954,'Исходные данные'!$D$2:$D$954,BZ$1,'Исходные данные'!$F$2:$F$954,$A28)</f>
        <v>0</v>
      </c>
      <c r="CB28" s="9" t="n">
        <f aca="false">SUMIFS('Исходные данные'!$I$2:$I$954,'Исходные данные'!$D$2:$D$954,CB$1,'Исходные данные'!$F$2:$F$954,$A28)</f>
        <v>0</v>
      </c>
      <c r="CC28" s="9" t="n">
        <f aca="false">SUMIFS('Исходные данные'!$J$2:$J$954,'Исходные данные'!$D$2:$D$954,CB$1,'Исходные данные'!$F$2:$F$954,$A28)</f>
        <v>0</v>
      </c>
      <c r="CD28" s="9" t="n">
        <f aca="false">SUMIFS('Исходные данные'!$I$2:$I$954,'Исходные данные'!$D$2:$D$954,CD$1,'Исходные данные'!$F$2:$F$954,$A28)</f>
        <v>0</v>
      </c>
      <c r="CE28" s="9" t="n">
        <f aca="false">SUMIFS('Исходные данные'!$J$2:$J$954,'Исходные данные'!$D$2:$D$954,CD$1,'Исходные данные'!$F$2:$F$954,$A28)</f>
        <v>0</v>
      </c>
      <c r="CF28" s="9" t="n">
        <f aca="false">SUMIFS('Исходные данные'!$I$2:$I$954,'Исходные данные'!$D$2:$D$954,CF$1,'Исходные данные'!$F$2:$F$954,$A28)</f>
        <v>0</v>
      </c>
      <c r="CG28" s="9" t="n">
        <f aca="false">SUMIFS('Исходные данные'!$J$2:$J$954,'Исходные данные'!$D$2:$D$954,CF$1,'Исходные данные'!$F$2:$F$954,$A28)</f>
        <v>0</v>
      </c>
      <c r="CH28" s="9" t="n">
        <f aca="false">SUMIFS('Исходные данные'!$I$2:$I$954,'Исходные данные'!$D$2:$D$954,CH$1,'Исходные данные'!$F$2:$F$954,$A28)</f>
        <v>0</v>
      </c>
      <c r="CI28" s="9" t="n">
        <f aca="false">SUMIFS('Исходные данные'!$J$2:$J$954,'Исходные данные'!$D$2:$D$954,CH$1,'Исходные данные'!$F$2:$F$954,$A28)</f>
        <v>0</v>
      </c>
    </row>
    <row r="29" customFormat="false" ht="15" hidden="false" customHeight="false" outlineLevel="0" collapsed="false">
      <c r="A29" s="8" t="s">
        <v>101</v>
      </c>
      <c r="B29" s="9" t="s">
        <v>102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SUMIFS($H29:$CI29,$H$2:$CI$2,"День")</f>
        <v>1</v>
      </c>
      <c r="G29" s="5" t="n">
        <f aca="false">SUMIFS($H29:$CI29,$H$2:$CI$2,"Ночь")</f>
        <v>0</v>
      </c>
      <c r="H29" s="9" t="n">
        <f aca="false">SUMIFS('Исходные данные'!$I$2:$I$954,'Исходные данные'!$D$2:$D$954,H$1,'Исходные данные'!$F$2:$F$954,$A29)</f>
        <v>1</v>
      </c>
      <c r="I29" s="9" t="n">
        <f aca="false">SUMIFS('Исходные данные'!$J$2:$J$954,'Исходные данные'!$D$2:$D$954,H$1,'Исходные данные'!$F$2:$F$954,$A29)</f>
        <v>0</v>
      </c>
      <c r="J29" s="9" t="n">
        <f aca="false">SUMIFS('Исходные данные'!$I$2:$I$954,'Исходные данные'!$D$2:$D$954,J$1,'Исходные данные'!$F$2:$F$954,$A29)</f>
        <v>0</v>
      </c>
      <c r="K29" s="9" t="n">
        <f aca="false">SUMIFS('Исходные данные'!$J$2:$J$954,'Исходные данные'!$D$2:$D$954,J$1,'Исходные данные'!$F$2:$F$954,$A29)</f>
        <v>0</v>
      </c>
      <c r="L29" s="9" t="n">
        <f aca="false">SUMIFS('Исходные данные'!$I$2:$I$954,'Исходные данные'!$D$2:$D$954,L$1,'Исходные данные'!$F$2:$F$954,$A29)</f>
        <v>0</v>
      </c>
      <c r="M29" s="9" t="n">
        <f aca="false">SUMIFS('Исходные данные'!$J$2:$J$954,'Исходные данные'!$D$2:$D$954,L$1,'Исходные данные'!$F$2:$F$954,$A29)</f>
        <v>0</v>
      </c>
      <c r="N29" s="9" t="n">
        <f aca="false">SUMIFS('Исходные данные'!$I$2:$I$954,'Исходные данные'!$D$2:$D$954,N$1,'Исходные данные'!$F$2:$F$954,$A29)</f>
        <v>0</v>
      </c>
      <c r="O29" s="9" t="n">
        <f aca="false">SUMIFS('Исходные данные'!$J$2:$J$954,'Исходные данные'!$D$2:$D$954,N$1,'Исходные данные'!$F$2:$F$954,$A29)</f>
        <v>0</v>
      </c>
      <c r="P29" s="9" t="n">
        <f aca="false">SUMIFS('Исходные данные'!$I$2:$I$954,'Исходные данные'!$D$2:$D$954,P$1,'Исходные данные'!$F$2:$F$954,$A29)</f>
        <v>0</v>
      </c>
      <c r="Q29" s="9" t="n">
        <f aca="false">SUMIFS('Исходные данные'!$J$2:$J$954,'Исходные данные'!$D$2:$D$954,P$1,'Исходные данные'!$F$2:$F$954,$A29)</f>
        <v>0</v>
      </c>
      <c r="R29" s="9" t="n">
        <f aca="false">SUMIFS('Исходные данные'!$I$2:$I$954,'Исходные данные'!$D$2:$D$954,R$1,'Исходные данные'!$F$2:$F$954,$A29)</f>
        <v>0</v>
      </c>
      <c r="S29" s="9" t="n">
        <f aca="false">SUMIFS('Исходные данные'!$J$2:$J$954,'Исходные данные'!$D$2:$D$954,R$1,'Исходные данные'!$F$2:$F$954,$A29)</f>
        <v>0</v>
      </c>
      <c r="T29" s="9" t="n">
        <f aca="false">SUMIFS('Исходные данные'!$I$2:$I$954,'Исходные данные'!$D$2:$D$954,T$1,'Исходные данные'!$F$2:$F$954,$A29)</f>
        <v>0</v>
      </c>
      <c r="U29" s="9" t="n">
        <f aca="false">SUMIFS('Исходные данные'!$J$2:$J$954,'Исходные данные'!$D$2:$D$954,T$1,'Исходные данные'!$F$2:$F$954,$A29)</f>
        <v>0</v>
      </c>
      <c r="V29" s="9" t="n">
        <f aca="false">SUMIFS('Исходные данные'!$I$2:$I$954,'Исходные данные'!$D$2:$D$954,V$1,'Исходные данные'!$F$2:$F$954,$A29)</f>
        <v>0</v>
      </c>
      <c r="W29" s="9" t="n">
        <f aca="false">SUMIFS('Исходные данные'!$J$2:$J$954,'Исходные данные'!$D$2:$D$954,V$1,'Исходные данные'!$F$2:$F$954,$A29)</f>
        <v>0</v>
      </c>
      <c r="X29" s="9" t="n">
        <f aca="false">SUMIFS('Исходные данные'!$I$2:$I$954,'Исходные данные'!$D$2:$D$954,X$1,'Исходные данные'!$F$2:$F$954,$A29)</f>
        <v>0</v>
      </c>
      <c r="Y29" s="9" t="n">
        <f aca="false">SUMIFS('Исходные данные'!$J$2:$J$954,'Исходные данные'!$D$2:$D$954,X$1,'Исходные данные'!$F$2:$F$954,$A29)</f>
        <v>0</v>
      </c>
      <c r="Z29" s="9" t="n">
        <f aca="false">SUMIFS('Исходные данные'!$I$2:$I$954,'Исходные данные'!$D$2:$D$954,Z$1,'Исходные данные'!$F$2:$F$954,$A29)</f>
        <v>0</v>
      </c>
      <c r="AA29" s="9" t="n">
        <f aca="false">SUMIFS('Исходные данные'!$J$2:$J$954,'Исходные данные'!$D$2:$D$954,Z$1,'Исходные данные'!$F$2:$F$954,$A29)</f>
        <v>0</v>
      </c>
      <c r="AB29" s="9" t="n">
        <f aca="false">SUMIFS('Исходные данные'!$I$2:$I$954,'Исходные данные'!$D$2:$D$954,AB$1,'Исходные данные'!$F$2:$F$954,$A29)</f>
        <v>0</v>
      </c>
      <c r="AC29" s="9" t="n">
        <f aca="false">SUMIFS('Исходные данные'!$J$2:$J$954,'Исходные данные'!$D$2:$D$954,AB$1,'Исходные данные'!$F$2:$F$954,$A29)</f>
        <v>0</v>
      </c>
      <c r="AD29" s="9" t="n">
        <f aca="false">SUMIFS('Исходные данные'!$I$2:$I$954,'Исходные данные'!$D$2:$D$954,AD$1,'Исходные данные'!$F$2:$F$954,$A29)</f>
        <v>0</v>
      </c>
      <c r="AE29" s="9" t="n">
        <f aca="false">SUMIFS('Исходные данные'!$J$2:$J$954,'Исходные данные'!$D$2:$D$954,AD$1,'Исходные данные'!$F$2:$F$954,$A29)</f>
        <v>0</v>
      </c>
      <c r="AF29" s="9" t="n">
        <f aca="false">SUMIFS('Исходные данные'!$I$2:$I$954,'Исходные данные'!$D$2:$D$954,AF$1,'Исходные данные'!$F$2:$F$954,$A29)</f>
        <v>0</v>
      </c>
      <c r="AG29" s="9" t="n">
        <f aca="false">SUMIFS('Исходные данные'!$J$2:$J$954,'Исходные данные'!$D$2:$D$954,AF$1,'Исходные данные'!$F$2:$F$954,$A29)</f>
        <v>0</v>
      </c>
      <c r="AH29" s="9" t="n">
        <f aca="false">SUMIFS('Исходные данные'!$I$2:$I$954,'Исходные данные'!$D$2:$D$954,AH$1,'Исходные данные'!$F$2:$F$954,$A29)</f>
        <v>0</v>
      </c>
      <c r="AI29" s="9" t="n">
        <f aca="false">SUMIFS('Исходные данные'!$J$2:$J$954,'Исходные данные'!$D$2:$D$954,AH$1,'Исходные данные'!$F$2:$F$954,$A29)</f>
        <v>0</v>
      </c>
      <c r="AJ29" s="9" t="n">
        <f aca="false">SUMIFS('Исходные данные'!$I$2:$I$954,'Исходные данные'!$D$2:$D$954,AJ$1,'Исходные данные'!$F$2:$F$954,$A29)</f>
        <v>0</v>
      </c>
      <c r="AK29" s="9" t="n">
        <f aca="false">SUMIFS('Исходные данные'!$J$2:$J$954,'Исходные данные'!$D$2:$D$954,AJ$1,'Исходные данные'!$F$2:$F$954,$A29)</f>
        <v>0</v>
      </c>
      <c r="AL29" s="9" t="n">
        <f aca="false">SUMIFS('Исходные данные'!$I$2:$I$954,'Исходные данные'!$D$2:$D$954,AL$1,'Исходные данные'!$F$2:$F$954,$A29)</f>
        <v>0</v>
      </c>
      <c r="AM29" s="9" t="n">
        <f aca="false">SUMIFS('Исходные данные'!$J$2:$J$954,'Исходные данные'!$D$2:$D$954,AL$1,'Исходные данные'!$F$2:$F$954,$A29)</f>
        <v>0</v>
      </c>
      <c r="AN29" s="9" t="n">
        <f aca="false">SUMIFS('Исходные данные'!$I$2:$I$954,'Исходные данные'!$D$2:$D$954,AN$1,'Исходные данные'!$F$2:$F$954,$A29)</f>
        <v>0</v>
      </c>
      <c r="AO29" s="9" t="n">
        <f aca="false">SUMIFS('Исходные данные'!$J$2:$J$954,'Исходные данные'!$D$2:$D$954,AN$1,'Исходные данные'!$F$2:$F$954,$A29)</f>
        <v>0</v>
      </c>
      <c r="AP29" s="9" t="n">
        <f aca="false">SUMIFS('Исходные данные'!$I$2:$I$954,'Исходные данные'!$D$2:$D$954,AP$1,'Исходные данные'!$F$2:$F$954,$A29)</f>
        <v>0</v>
      </c>
      <c r="AQ29" s="9" t="n">
        <f aca="false">SUMIFS('Исходные данные'!$J$2:$J$954,'Исходные данные'!$D$2:$D$954,AP$1,'Исходные данные'!$F$2:$F$954,$A29)</f>
        <v>0</v>
      </c>
      <c r="AR29" s="9" t="n">
        <f aca="false">SUMIFS('Исходные данные'!$I$2:$I$954,'Исходные данные'!$D$2:$D$954,AR$1,'Исходные данные'!$F$2:$F$954,$A29)</f>
        <v>0</v>
      </c>
      <c r="AS29" s="9" t="n">
        <f aca="false">SUMIFS('Исходные данные'!$J$2:$J$954,'Исходные данные'!$D$2:$D$954,AR$1,'Исходные данные'!$F$2:$F$954,$A29)</f>
        <v>0</v>
      </c>
      <c r="AT29" s="9" t="n">
        <f aca="false">SUMIFS('Исходные данные'!$I$2:$I$954,'Исходные данные'!$D$2:$D$954,AT$1,'Исходные данные'!$F$2:$F$954,$A29)</f>
        <v>0</v>
      </c>
      <c r="AU29" s="9" t="n">
        <f aca="false">SUMIFS('Исходные данные'!$J$2:$J$954,'Исходные данные'!$D$2:$D$954,AT$1,'Исходные данные'!$F$2:$F$954,$A29)</f>
        <v>0</v>
      </c>
      <c r="AV29" s="9" t="n">
        <f aca="false">SUMIFS('Исходные данные'!$I$2:$I$954,'Исходные данные'!$D$2:$D$954,AV$1,'Исходные данные'!$F$2:$F$954,$A29)</f>
        <v>0</v>
      </c>
      <c r="AW29" s="9" t="n">
        <f aca="false">SUMIFS('Исходные данные'!$J$2:$J$954,'Исходные данные'!$D$2:$D$954,AV$1,'Исходные данные'!$F$2:$F$954,$A29)</f>
        <v>0</v>
      </c>
      <c r="AX29" s="9" t="n">
        <f aca="false">SUMIFS('Исходные данные'!$I$2:$I$954,'Исходные данные'!$D$2:$D$954,AX$1,'Исходные данные'!$F$2:$F$954,$A29)</f>
        <v>0</v>
      </c>
      <c r="AY29" s="9" t="n">
        <f aca="false">SUMIFS('Исходные данные'!$J$2:$J$954,'Исходные данные'!$D$2:$D$954,AX$1,'Исходные данные'!$F$2:$F$954,$A29)</f>
        <v>0</v>
      </c>
      <c r="AZ29" s="9" t="n">
        <f aca="false">SUMIFS('Исходные данные'!$I$2:$I$954,'Исходные данные'!$D$2:$D$954,AZ$1,'Исходные данные'!$F$2:$F$954,$A29)</f>
        <v>0</v>
      </c>
      <c r="BA29" s="9" t="n">
        <f aca="false">SUMIFS('Исходные данные'!$J$2:$J$954,'Исходные данные'!$D$2:$D$954,AZ$1,'Исходные данные'!$F$2:$F$954,$A29)</f>
        <v>0</v>
      </c>
      <c r="BB29" s="9" t="n">
        <f aca="false">SUMIFS('Исходные данные'!$I$2:$I$954,'Исходные данные'!$D$2:$D$954,BB$1,'Исходные данные'!$F$2:$F$954,$A29)</f>
        <v>0</v>
      </c>
      <c r="BC29" s="9" t="n">
        <f aca="false">SUMIFS('Исходные данные'!$J$2:$J$954,'Исходные данные'!$D$2:$D$954,BB$1,'Исходные данные'!$F$2:$F$954,$A29)</f>
        <v>0</v>
      </c>
      <c r="BD29" s="9" t="n">
        <f aca="false">SUMIFS('Исходные данные'!$I$2:$I$954,'Исходные данные'!$D$2:$D$954,BD$1,'Исходные данные'!$F$2:$F$954,$A29)</f>
        <v>0</v>
      </c>
      <c r="BE29" s="9" t="n">
        <f aca="false">SUMIFS('Исходные данные'!$J$2:$J$954,'Исходные данные'!$D$2:$D$954,BD$1,'Исходные данные'!$F$2:$F$954,$A29)</f>
        <v>0</v>
      </c>
      <c r="BF29" s="9" t="n">
        <f aca="false">SUMIFS('Исходные данные'!$I$2:$I$954,'Исходные данные'!$D$2:$D$954,BF$1,'Исходные данные'!$F$2:$F$954,$A29)</f>
        <v>0</v>
      </c>
      <c r="BG29" s="9" t="n">
        <f aca="false">SUMIFS('Исходные данные'!$J$2:$J$954,'Исходные данные'!$D$2:$D$954,BF$1,'Исходные данные'!$F$2:$F$954,$A29)</f>
        <v>0</v>
      </c>
      <c r="BH29" s="9" t="n">
        <f aca="false">SUMIFS('Исходные данные'!$I$2:$I$954,'Исходные данные'!$D$2:$D$954,BH$1,'Исходные данные'!$F$2:$F$954,$A29)</f>
        <v>0</v>
      </c>
      <c r="BI29" s="9" t="n">
        <f aca="false">SUMIFS('Исходные данные'!$J$2:$J$954,'Исходные данные'!$D$2:$D$954,BH$1,'Исходные данные'!$F$2:$F$954,$A29)</f>
        <v>0</v>
      </c>
      <c r="BJ29" s="9" t="n">
        <f aca="false">SUMIFS('Исходные данные'!$I$2:$I$954,'Исходные данные'!$D$2:$D$954,BJ$1,'Исходные данные'!$F$2:$F$954,$A29)</f>
        <v>0</v>
      </c>
      <c r="BK29" s="9" t="n">
        <f aca="false">SUMIFS('Исходные данные'!$J$2:$J$954,'Исходные данные'!$D$2:$D$954,BJ$1,'Исходные данные'!$F$2:$F$954,$A29)</f>
        <v>0</v>
      </c>
      <c r="BL29" s="9" t="n">
        <f aca="false">SUMIFS('Исходные данные'!$I$2:$I$954,'Исходные данные'!$D$2:$D$954,BL$1,'Исходные данные'!$F$2:$F$954,$A29)</f>
        <v>0</v>
      </c>
      <c r="BM29" s="9" t="n">
        <f aca="false">SUMIFS('Исходные данные'!$J$2:$J$954,'Исходные данные'!$D$2:$D$954,BL$1,'Исходные данные'!$F$2:$F$954,$A29)</f>
        <v>0</v>
      </c>
      <c r="BN29" s="9" t="n">
        <f aca="false">SUMIFS('Исходные данные'!$I$2:$I$954,'Исходные данные'!$D$2:$D$954,BN$1,'Исходные данные'!$F$2:$F$954,$A29)</f>
        <v>0</v>
      </c>
      <c r="BO29" s="9" t="n">
        <f aca="false">SUMIFS('Исходные данные'!$J$2:$J$954,'Исходные данные'!$D$2:$D$954,BN$1,'Исходные данные'!$F$2:$F$954,$A29)</f>
        <v>0</v>
      </c>
      <c r="BP29" s="9" t="n">
        <f aca="false">SUMIFS('Исходные данные'!$I$2:$I$954,'Исходные данные'!$D$2:$D$954,BP$1,'Исходные данные'!$F$2:$F$954,$A29)</f>
        <v>0</v>
      </c>
      <c r="BQ29" s="9" t="n">
        <f aca="false">SUMIFS('Исходные данные'!$J$2:$J$954,'Исходные данные'!$D$2:$D$954,BP$1,'Исходные данные'!$F$2:$F$954,$A29)</f>
        <v>0</v>
      </c>
      <c r="BR29" s="9" t="n">
        <f aca="false">SUMIFS('Исходные данные'!$I$2:$I$954,'Исходные данные'!$D$2:$D$954,BR$1,'Исходные данные'!$F$2:$F$954,$A29)</f>
        <v>0</v>
      </c>
      <c r="BS29" s="9" t="n">
        <f aca="false">SUMIFS('Исходные данные'!$J$2:$J$954,'Исходные данные'!$D$2:$D$954,BR$1,'Исходные данные'!$F$2:$F$954,$A29)</f>
        <v>0</v>
      </c>
      <c r="BT29" s="9" t="n">
        <f aca="false">SUMIFS('Исходные данные'!$I$2:$I$954,'Исходные данные'!$D$2:$D$954,BT$1,'Исходные данные'!$F$2:$F$954,$A29)</f>
        <v>0</v>
      </c>
      <c r="BU29" s="9" t="n">
        <f aca="false">SUMIFS('Исходные данные'!$J$2:$J$954,'Исходные данные'!$D$2:$D$954,BT$1,'Исходные данные'!$F$2:$F$954,$A29)</f>
        <v>0</v>
      </c>
      <c r="BV29" s="9" t="n">
        <f aca="false">SUMIFS('Исходные данные'!$I$2:$I$954,'Исходные данные'!$D$2:$D$954,BV$1,'Исходные данные'!$F$2:$F$954,$A29)</f>
        <v>0</v>
      </c>
      <c r="BW29" s="9" t="n">
        <f aca="false">SUMIFS('Исходные данные'!$J$2:$J$954,'Исходные данные'!$D$2:$D$954,BV$1,'Исходные данные'!$F$2:$F$954,$A29)</f>
        <v>0</v>
      </c>
      <c r="BX29" s="9" t="n">
        <f aca="false">SUMIFS('Исходные данные'!$I$2:$I$954,'Исходные данные'!$D$2:$D$954,BX$1,'Исходные данные'!$F$2:$F$954,$A29)</f>
        <v>0</v>
      </c>
      <c r="BY29" s="9" t="n">
        <f aca="false">SUMIFS('Исходные данные'!$J$2:$J$954,'Исходные данные'!$D$2:$D$954,BX$1,'Исходные данные'!$F$2:$F$954,$A29)</f>
        <v>0</v>
      </c>
      <c r="BZ29" s="9" t="n">
        <f aca="false">SUMIFS('Исходные данные'!$I$2:$I$954,'Исходные данные'!$D$2:$D$954,BZ$1,'Исходные данные'!$F$2:$F$954,$A29)</f>
        <v>0</v>
      </c>
      <c r="CA29" s="9" t="n">
        <f aca="false">SUMIFS('Исходные данные'!$J$2:$J$954,'Исходные данные'!$D$2:$D$954,BZ$1,'Исходные данные'!$F$2:$F$954,$A29)</f>
        <v>0</v>
      </c>
      <c r="CB29" s="9" t="n">
        <f aca="false">SUMIFS('Исходные данные'!$I$2:$I$954,'Исходные данные'!$D$2:$D$954,CB$1,'Исходные данные'!$F$2:$F$954,$A29)</f>
        <v>0</v>
      </c>
      <c r="CC29" s="9" t="n">
        <f aca="false">SUMIFS('Исходные данные'!$J$2:$J$954,'Исходные данные'!$D$2:$D$954,CB$1,'Исходные данные'!$F$2:$F$954,$A29)</f>
        <v>0</v>
      </c>
      <c r="CD29" s="9" t="n">
        <f aca="false">SUMIFS('Исходные данные'!$I$2:$I$954,'Исходные данные'!$D$2:$D$954,CD$1,'Исходные данные'!$F$2:$F$954,$A29)</f>
        <v>0</v>
      </c>
      <c r="CE29" s="9" t="n">
        <f aca="false">SUMIFS('Исходные данные'!$J$2:$J$954,'Исходные данные'!$D$2:$D$954,CD$1,'Исходные данные'!$F$2:$F$954,$A29)</f>
        <v>0</v>
      </c>
      <c r="CF29" s="9" t="n">
        <f aca="false">SUMIFS('Исходные данные'!$I$2:$I$954,'Исходные данные'!$D$2:$D$954,CF$1,'Исходные данные'!$F$2:$F$954,$A29)</f>
        <v>0</v>
      </c>
      <c r="CG29" s="9" t="n">
        <f aca="false">SUMIFS('Исходные данные'!$J$2:$J$954,'Исходные данные'!$D$2:$D$954,CF$1,'Исходные данные'!$F$2:$F$954,$A29)</f>
        <v>0</v>
      </c>
      <c r="CH29" s="9" t="n">
        <f aca="false">SUMIFS('Исходные данные'!$I$2:$I$954,'Исходные данные'!$D$2:$D$954,CH$1,'Исходные данные'!$F$2:$F$954,$A29)</f>
        <v>0</v>
      </c>
      <c r="CI29" s="9" t="n">
        <f aca="false">SUMIFS('Исходные данные'!$J$2:$J$954,'Исходные данные'!$D$2:$D$954,CH$1,'Исходные данные'!$F$2:$F$954,$A29)</f>
        <v>0</v>
      </c>
    </row>
    <row r="30" customFormat="false" ht="15" hidden="false" customHeight="false" outlineLevel="0" collapsed="false">
      <c r="A30" s="8" t="s">
        <v>103</v>
      </c>
      <c r="B30" s="9" t="s">
        <v>104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SUMIFS($H30:$CI30,$H$2:$CI$2,"День")</f>
        <v>1</v>
      </c>
      <c r="G30" s="5" t="n">
        <f aca="false">SUMIFS($H30:$CI30,$H$2:$CI$2,"Ночь")</f>
        <v>1</v>
      </c>
      <c r="H30" s="9" t="n">
        <f aca="false">SUMIFS('Исходные данные'!$I$2:$I$954,'Исходные данные'!$D$2:$D$954,H$1,'Исходные данные'!$F$2:$F$954,$A30)</f>
        <v>1</v>
      </c>
      <c r="I30" s="9" t="n">
        <f aca="false">SUMIFS('Исходные данные'!$J$2:$J$954,'Исходные данные'!$D$2:$D$954,H$1,'Исходные данные'!$F$2:$F$954,$A30)</f>
        <v>0</v>
      </c>
      <c r="J30" s="9" t="n">
        <f aca="false">SUMIFS('Исходные данные'!$I$2:$I$954,'Исходные данные'!$D$2:$D$954,J$1,'Исходные данные'!$F$2:$F$954,$A30)</f>
        <v>0</v>
      </c>
      <c r="K30" s="9" t="n">
        <f aca="false">SUMIFS('Исходные данные'!$J$2:$J$954,'Исходные данные'!$D$2:$D$954,J$1,'Исходные данные'!$F$2:$F$954,$A30)</f>
        <v>0</v>
      </c>
      <c r="L30" s="9" t="n">
        <f aca="false">SUMIFS('Исходные данные'!$I$2:$I$954,'Исходные данные'!$D$2:$D$954,L$1,'Исходные данные'!$F$2:$F$954,$A30)</f>
        <v>0</v>
      </c>
      <c r="M30" s="9" t="n">
        <f aca="false">SUMIFS('Исходные данные'!$J$2:$J$954,'Исходные данные'!$D$2:$D$954,L$1,'Исходные данные'!$F$2:$F$954,$A30)</f>
        <v>0</v>
      </c>
      <c r="N30" s="9" t="n">
        <f aca="false">SUMIFS('Исходные данные'!$I$2:$I$954,'Исходные данные'!$D$2:$D$954,N$1,'Исходные данные'!$F$2:$F$954,$A30)</f>
        <v>0</v>
      </c>
      <c r="O30" s="9" t="n">
        <f aca="false">SUMIFS('Исходные данные'!$J$2:$J$954,'Исходные данные'!$D$2:$D$954,N$1,'Исходные данные'!$F$2:$F$954,$A30)</f>
        <v>0</v>
      </c>
      <c r="P30" s="9" t="n">
        <f aca="false">SUMIFS('Исходные данные'!$I$2:$I$954,'Исходные данные'!$D$2:$D$954,P$1,'Исходные данные'!$F$2:$F$954,$A30)</f>
        <v>0</v>
      </c>
      <c r="Q30" s="9" t="n">
        <f aca="false">SUMIFS('Исходные данные'!$J$2:$J$954,'Исходные данные'!$D$2:$D$954,P$1,'Исходные данные'!$F$2:$F$954,$A30)</f>
        <v>0</v>
      </c>
      <c r="R30" s="9" t="n">
        <f aca="false">SUMIFS('Исходные данные'!$I$2:$I$954,'Исходные данные'!$D$2:$D$954,R$1,'Исходные данные'!$F$2:$F$954,$A30)</f>
        <v>0</v>
      </c>
      <c r="S30" s="9" t="n">
        <f aca="false">SUMIFS('Исходные данные'!$J$2:$J$954,'Исходные данные'!$D$2:$D$954,R$1,'Исходные данные'!$F$2:$F$954,$A30)</f>
        <v>0</v>
      </c>
      <c r="T30" s="9" t="n">
        <f aca="false">SUMIFS('Исходные данные'!$I$2:$I$954,'Исходные данные'!$D$2:$D$954,T$1,'Исходные данные'!$F$2:$F$954,$A30)</f>
        <v>0</v>
      </c>
      <c r="U30" s="9" t="n">
        <f aca="false">SUMIFS('Исходные данные'!$J$2:$J$954,'Исходные данные'!$D$2:$D$954,T$1,'Исходные данные'!$F$2:$F$954,$A30)</f>
        <v>1</v>
      </c>
      <c r="V30" s="9" t="n">
        <f aca="false">SUMIFS('Исходные данные'!$I$2:$I$954,'Исходные данные'!$D$2:$D$954,V$1,'Исходные данные'!$F$2:$F$954,$A30)</f>
        <v>0</v>
      </c>
      <c r="W30" s="9" t="n">
        <f aca="false">SUMIFS('Исходные данные'!$J$2:$J$954,'Исходные данные'!$D$2:$D$954,V$1,'Исходные данные'!$F$2:$F$954,$A30)</f>
        <v>0</v>
      </c>
      <c r="X30" s="9" t="n">
        <f aca="false">SUMIFS('Исходные данные'!$I$2:$I$954,'Исходные данные'!$D$2:$D$954,X$1,'Исходные данные'!$F$2:$F$954,$A30)</f>
        <v>0</v>
      </c>
      <c r="Y30" s="9" t="n">
        <f aca="false">SUMIFS('Исходные данные'!$J$2:$J$954,'Исходные данные'!$D$2:$D$954,X$1,'Исходные данные'!$F$2:$F$954,$A30)</f>
        <v>0</v>
      </c>
      <c r="Z30" s="9" t="n">
        <f aca="false">SUMIFS('Исходные данные'!$I$2:$I$954,'Исходные данные'!$D$2:$D$954,Z$1,'Исходные данные'!$F$2:$F$954,$A30)</f>
        <v>0</v>
      </c>
      <c r="AA30" s="9" t="n">
        <f aca="false">SUMIFS('Исходные данные'!$J$2:$J$954,'Исходные данные'!$D$2:$D$954,Z$1,'Исходные данные'!$F$2:$F$954,$A30)</f>
        <v>0</v>
      </c>
      <c r="AB30" s="9" t="n">
        <f aca="false">SUMIFS('Исходные данные'!$I$2:$I$954,'Исходные данные'!$D$2:$D$954,AB$1,'Исходные данные'!$F$2:$F$954,$A30)</f>
        <v>0</v>
      </c>
      <c r="AC30" s="9" t="n">
        <f aca="false">SUMIFS('Исходные данные'!$J$2:$J$954,'Исходные данные'!$D$2:$D$954,AB$1,'Исходные данные'!$F$2:$F$954,$A30)</f>
        <v>0</v>
      </c>
      <c r="AD30" s="9" t="n">
        <f aca="false">SUMIFS('Исходные данные'!$I$2:$I$954,'Исходные данные'!$D$2:$D$954,AD$1,'Исходные данные'!$F$2:$F$954,$A30)</f>
        <v>0</v>
      </c>
      <c r="AE30" s="9" t="n">
        <f aca="false">SUMIFS('Исходные данные'!$J$2:$J$954,'Исходные данные'!$D$2:$D$954,AD$1,'Исходные данные'!$F$2:$F$954,$A30)</f>
        <v>0</v>
      </c>
      <c r="AF30" s="9" t="n">
        <f aca="false">SUMIFS('Исходные данные'!$I$2:$I$954,'Исходные данные'!$D$2:$D$954,AF$1,'Исходные данные'!$F$2:$F$954,$A30)</f>
        <v>0</v>
      </c>
      <c r="AG30" s="9" t="n">
        <f aca="false">SUMIFS('Исходные данные'!$J$2:$J$954,'Исходные данные'!$D$2:$D$954,AF$1,'Исходные данные'!$F$2:$F$954,$A30)</f>
        <v>0</v>
      </c>
      <c r="AH30" s="9" t="n">
        <f aca="false">SUMIFS('Исходные данные'!$I$2:$I$954,'Исходные данные'!$D$2:$D$954,AH$1,'Исходные данные'!$F$2:$F$954,$A30)</f>
        <v>0</v>
      </c>
      <c r="AI30" s="9" t="n">
        <f aca="false">SUMIFS('Исходные данные'!$J$2:$J$954,'Исходные данные'!$D$2:$D$954,AH$1,'Исходные данные'!$F$2:$F$954,$A30)</f>
        <v>0</v>
      </c>
      <c r="AJ30" s="9" t="n">
        <f aca="false">SUMIFS('Исходные данные'!$I$2:$I$954,'Исходные данные'!$D$2:$D$954,AJ$1,'Исходные данные'!$F$2:$F$954,$A30)</f>
        <v>0</v>
      </c>
      <c r="AK30" s="9" t="n">
        <f aca="false">SUMIFS('Исходные данные'!$J$2:$J$954,'Исходные данные'!$D$2:$D$954,AJ$1,'Исходные данные'!$F$2:$F$954,$A30)</f>
        <v>0</v>
      </c>
      <c r="AL30" s="9" t="n">
        <f aca="false">SUMIFS('Исходные данные'!$I$2:$I$954,'Исходные данные'!$D$2:$D$954,AL$1,'Исходные данные'!$F$2:$F$954,$A30)</f>
        <v>0</v>
      </c>
      <c r="AM30" s="9" t="n">
        <f aca="false">SUMIFS('Исходные данные'!$J$2:$J$954,'Исходные данные'!$D$2:$D$954,AL$1,'Исходные данные'!$F$2:$F$954,$A30)</f>
        <v>0</v>
      </c>
      <c r="AN30" s="9" t="n">
        <f aca="false">SUMIFS('Исходные данные'!$I$2:$I$954,'Исходные данные'!$D$2:$D$954,AN$1,'Исходные данные'!$F$2:$F$954,$A30)</f>
        <v>0</v>
      </c>
      <c r="AO30" s="9" t="n">
        <f aca="false">SUMIFS('Исходные данные'!$J$2:$J$954,'Исходные данные'!$D$2:$D$954,AN$1,'Исходные данные'!$F$2:$F$954,$A30)</f>
        <v>0</v>
      </c>
      <c r="AP30" s="9" t="n">
        <f aca="false">SUMIFS('Исходные данные'!$I$2:$I$954,'Исходные данные'!$D$2:$D$954,AP$1,'Исходные данные'!$F$2:$F$954,$A30)</f>
        <v>0</v>
      </c>
      <c r="AQ30" s="9" t="n">
        <f aca="false">SUMIFS('Исходные данные'!$J$2:$J$954,'Исходные данные'!$D$2:$D$954,AP$1,'Исходные данные'!$F$2:$F$954,$A30)</f>
        <v>0</v>
      </c>
      <c r="AR30" s="9" t="n">
        <f aca="false">SUMIFS('Исходные данные'!$I$2:$I$954,'Исходные данные'!$D$2:$D$954,AR$1,'Исходные данные'!$F$2:$F$954,$A30)</f>
        <v>0</v>
      </c>
      <c r="AS30" s="9" t="n">
        <f aca="false">SUMIFS('Исходные данные'!$J$2:$J$954,'Исходные данные'!$D$2:$D$954,AR$1,'Исходные данные'!$F$2:$F$954,$A30)</f>
        <v>0</v>
      </c>
      <c r="AT30" s="9" t="n">
        <f aca="false">SUMIFS('Исходные данные'!$I$2:$I$954,'Исходные данные'!$D$2:$D$954,AT$1,'Исходные данные'!$F$2:$F$954,$A30)</f>
        <v>0</v>
      </c>
      <c r="AU30" s="9" t="n">
        <f aca="false">SUMIFS('Исходные данные'!$J$2:$J$954,'Исходные данные'!$D$2:$D$954,AT$1,'Исходные данные'!$F$2:$F$954,$A30)</f>
        <v>0</v>
      </c>
      <c r="AV30" s="9" t="n">
        <f aca="false">SUMIFS('Исходные данные'!$I$2:$I$954,'Исходные данные'!$D$2:$D$954,AV$1,'Исходные данные'!$F$2:$F$954,$A30)</f>
        <v>0</v>
      </c>
      <c r="AW30" s="9" t="n">
        <f aca="false">SUMIFS('Исходные данные'!$J$2:$J$954,'Исходные данные'!$D$2:$D$954,AV$1,'Исходные данные'!$F$2:$F$954,$A30)</f>
        <v>0</v>
      </c>
      <c r="AX30" s="9" t="n">
        <f aca="false">SUMIFS('Исходные данные'!$I$2:$I$954,'Исходные данные'!$D$2:$D$954,AX$1,'Исходные данные'!$F$2:$F$954,$A30)</f>
        <v>0</v>
      </c>
      <c r="AY30" s="9" t="n">
        <f aca="false">SUMIFS('Исходные данные'!$J$2:$J$954,'Исходные данные'!$D$2:$D$954,AX$1,'Исходные данные'!$F$2:$F$954,$A30)</f>
        <v>0</v>
      </c>
      <c r="AZ30" s="9" t="n">
        <f aca="false">SUMIFS('Исходные данные'!$I$2:$I$954,'Исходные данные'!$D$2:$D$954,AZ$1,'Исходные данные'!$F$2:$F$954,$A30)</f>
        <v>0</v>
      </c>
      <c r="BA30" s="9" t="n">
        <f aca="false">SUMIFS('Исходные данные'!$J$2:$J$954,'Исходные данные'!$D$2:$D$954,AZ$1,'Исходные данные'!$F$2:$F$954,$A30)</f>
        <v>0</v>
      </c>
      <c r="BB30" s="9" t="n">
        <f aca="false">SUMIFS('Исходные данные'!$I$2:$I$954,'Исходные данные'!$D$2:$D$954,BB$1,'Исходные данные'!$F$2:$F$954,$A30)</f>
        <v>0</v>
      </c>
      <c r="BC30" s="9" t="n">
        <f aca="false">SUMIFS('Исходные данные'!$J$2:$J$954,'Исходные данные'!$D$2:$D$954,BB$1,'Исходные данные'!$F$2:$F$954,$A30)</f>
        <v>0</v>
      </c>
      <c r="BD30" s="9" t="n">
        <f aca="false">SUMIFS('Исходные данные'!$I$2:$I$954,'Исходные данные'!$D$2:$D$954,BD$1,'Исходные данные'!$F$2:$F$954,$A30)</f>
        <v>0</v>
      </c>
      <c r="BE30" s="9" t="n">
        <f aca="false">SUMIFS('Исходные данные'!$J$2:$J$954,'Исходные данные'!$D$2:$D$954,BD$1,'Исходные данные'!$F$2:$F$954,$A30)</f>
        <v>0</v>
      </c>
      <c r="BF30" s="9" t="n">
        <f aca="false">SUMIFS('Исходные данные'!$I$2:$I$954,'Исходные данные'!$D$2:$D$954,BF$1,'Исходные данные'!$F$2:$F$954,$A30)</f>
        <v>0</v>
      </c>
      <c r="BG30" s="9" t="n">
        <f aca="false">SUMIFS('Исходные данные'!$J$2:$J$954,'Исходные данные'!$D$2:$D$954,BF$1,'Исходные данные'!$F$2:$F$954,$A30)</f>
        <v>0</v>
      </c>
      <c r="BH30" s="9" t="n">
        <f aca="false">SUMIFS('Исходные данные'!$I$2:$I$954,'Исходные данные'!$D$2:$D$954,BH$1,'Исходные данные'!$F$2:$F$954,$A30)</f>
        <v>0</v>
      </c>
      <c r="BI30" s="9" t="n">
        <f aca="false">SUMIFS('Исходные данные'!$J$2:$J$954,'Исходные данные'!$D$2:$D$954,BH$1,'Исходные данные'!$F$2:$F$954,$A30)</f>
        <v>0</v>
      </c>
      <c r="BJ30" s="9" t="n">
        <f aca="false">SUMIFS('Исходные данные'!$I$2:$I$954,'Исходные данные'!$D$2:$D$954,BJ$1,'Исходные данные'!$F$2:$F$954,$A30)</f>
        <v>0</v>
      </c>
      <c r="BK30" s="9" t="n">
        <f aca="false">SUMIFS('Исходные данные'!$J$2:$J$954,'Исходные данные'!$D$2:$D$954,BJ$1,'Исходные данные'!$F$2:$F$954,$A30)</f>
        <v>0</v>
      </c>
      <c r="BL30" s="9" t="n">
        <f aca="false">SUMIFS('Исходные данные'!$I$2:$I$954,'Исходные данные'!$D$2:$D$954,BL$1,'Исходные данные'!$F$2:$F$954,$A30)</f>
        <v>0</v>
      </c>
      <c r="BM30" s="9" t="n">
        <f aca="false">SUMIFS('Исходные данные'!$J$2:$J$954,'Исходные данные'!$D$2:$D$954,BL$1,'Исходные данные'!$F$2:$F$954,$A30)</f>
        <v>0</v>
      </c>
      <c r="BN30" s="9" t="n">
        <f aca="false">SUMIFS('Исходные данные'!$I$2:$I$954,'Исходные данные'!$D$2:$D$954,BN$1,'Исходные данные'!$F$2:$F$954,$A30)</f>
        <v>0</v>
      </c>
      <c r="BO30" s="9" t="n">
        <f aca="false">SUMIFS('Исходные данные'!$J$2:$J$954,'Исходные данные'!$D$2:$D$954,BN$1,'Исходные данные'!$F$2:$F$954,$A30)</f>
        <v>0</v>
      </c>
      <c r="BP30" s="9" t="n">
        <f aca="false">SUMIFS('Исходные данные'!$I$2:$I$954,'Исходные данные'!$D$2:$D$954,BP$1,'Исходные данные'!$F$2:$F$954,$A30)</f>
        <v>0</v>
      </c>
      <c r="BQ30" s="9" t="n">
        <f aca="false">SUMIFS('Исходные данные'!$J$2:$J$954,'Исходные данные'!$D$2:$D$954,BP$1,'Исходные данные'!$F$2:$F$954,$A30)</f>
        <v>0</v>
      </c>
      <c r="BR30" s="9" t="n">
        <f aca="false">SUMIFS('Исходные данные'!$I$2:$I$954,'Исходные данные'!$D$2:$D$954,BR$1,'Исходные данные'!$F$2:$F$954,$A30)</f>
        <v>0</v>
      </c>
      <c r="BS30" s="9" t="n">
        <f aca="false">SUMIFS('Исходные данные'!$J$2:$J$954,'Исходные данные'!$D$2:$D$954,BR$1,'Исходные данные'!$F$2:$F$954,$A30)</f>
        <v>0</v>
      </c>
      <c r="BT30" s="9" t="n">
        <f aca="false">SUMIFS('Исходные данные'!$I$2:$I$954,'Исходные данные'!$D$2:$D$954,BT$1,'Исходные данные'!$F$2:$F$954,$A30)</f>
        <v>0</v>
      </c>
      <c r="BU30" s="9" t="n">
        <f aca="false">SUMIFS('Исходные данные'!$J$2:$J$954,'Исходные данные'!$D$2:$D$954,BT$1,'Исходные данные'!$F$2:$F$954,$A30)</f>
        <v>0</v>
      </c>
      <c r="BV30" s="9" t="n">
        <f aca="false">SUMIFS('Исходные данные'!$I$2:$I$954,'Исходные данные'!$D$2:$D$954,BV$1,'Исходные данные'!$F$2:$F$954,$A30)</f>
        <v>0</v>
      </c>
      <c r="BW30" s="9" t="n">
        <f aca="false">SUMIFS('Исходные данные'!$J$2:$J$954,'Исходные данные'!$D$2:$D$954,BV$1,'Исходные данные'!$F$2:$F$954,$A30)</f>
        <v>0</v>
      </c>
      <c r="BX30" s="9" t="n">
        <f aca="false">SUMIFS('Исходные данные'!$I$2:$I$954,'Исходные данные'!$D$2:$D$954,BX$1,'Исходные данные'!$F$2:$F$954,$A30)</f>
        <v>0</v>
      </c>
      <c r="BY30" s="9" t="n">
        <f aca="false">SUMIFS('Исходные данные'!$J$2:$J$954,'Исходные данные'!$D$2:$D$954,BX$1,'Исходные данные'!$F$2:$F$954,$A30)</f>
        <v>0</v>
      </c>
      <c r="BZ30" s="9" t="n">
        <f aca="false">SUMIFS('Исходные данные'!$I$2:$I$954,'Исходные данные'!$D$2:$D$954,BZ$1,'Исходные данные'!$F$2:$F$954,$A30)</f>
        <v>0</v>
      </c>
      <c r="CA30" s="9" t="n">
        <f aca="false">SUMIFS('Исходные данные'!$J$2:$J$954,'Исходные данные'!$D$2:$D$954,BZ$1,'Исходные данные'!$F$2:$F$954,$A30)</f>
        <v>0</v>
      </c>
      <c r="CB30" s="9" t="n">
        <f aca="false">SUMIFS('Исходные данные'!$I$2:$I$954,'Исходные данные'!$D$2:$D$954,CB$1,'Исходные данные'!$F$2:$F$954,$A30)</f>
        <v>0</v>
      </c>
      <c r="CC30" s="9" t="n">
        <f aca="false">SUMIFS('Исходные данные'!$J$2:$J$954,'Исходные данные'!$D$2:$D$954,CB$1,'Исходные данные'!$F$2:$F$954,$A30)</f>
        <v>0</v>
      </c>
      <c r="CD30" s="9" t="n">
        <f aca="false">SUMIFS('Исходные данные'!$I$2:$I$954,'Исходные данные'!$D$2:$D$954,CD$1,'Исходные данные'!$F$2:$F$954,$A30)</f>
        <v>0</v>
      </c>
      <c r="CE30" s="9" t="n">
        <f aca="false">SUMIFS('Исходные данные'!$J$2:$J$954,'Исходные данные'!$D$2:$D$954,CD$1,'Исходные данные'!$F$2:$F$954,$A30)</f>
        <v>0</v>
      </c>
      <c r="CF30" s="9" t="n">
        <f aca="false">SUMIFS('Исходные данные'!$I$2:$I$954,'Исходные данные'!$D$2:$D$954,CF$1,'Исходные данные'!$F$2:$F$954,$A30)</f>
        <v>0</v>
      </c>
      <c r="CG30" s="9" t="n">
        <f aca="false">SUMIFS('Исходные данные'!$J$2:$J$954,'Исходные данные'!$D$2:$D$954,CF$1,'Исходные данные'!$F$2:$F$954,$A30)</f>
        <v>0</v>
      </c>
      <c r="CH30" s="9" t="n">
        <f aca="false">SUMIFS('Исходные данные'!$I$2:$I$954,'Исходные данные'!$D$2:$D$954,CH$1,'Исходные данные'!$F$2:$F$954,$A30)</f>
        <v>0</v>
      </c>
      <c r="CI30" s="9" t="n">
        <f aca="false">SUMIFS('Исходные данные'!$J$2:$J$954,'Исходные данные'!$D$2:$D$954,CH$1,'Исходные данные'!$F$2:$F$954,$A30)</f>
        <v>0</v>
      </c>
    </row>
    <row r="31" customFormat="false" ht="15" hidden="false" customHeight="false" outlineLevel="0" collapsed="false">
      <c r="A31" s="8" t="s">
        <v>105</v>
      </c>
      <c r="B31" s="9" t="s">
        <v>106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SUMIFS($H31:$CI31,$H$2:$CI$2,"День")</f>
        <v>2</v>
      </c>
      <c r="G31" s="5" t="n">
        <f aca="false">SUMIFS($H31:$CI31,$H$2:$CI$2,"Ночь")</f>
        <v>2</v>
      </c>
      <c r="H31" s="9" t="n">
        <f aca="false">SUMIFS('Исходные данные'!$I$2:$I$954,'Исходные данные'!$D$2:$D$954,H$1,'Исходные данные'!$F$2:$F$954,$A31)</f>
        <v>0</v>
      </c>
      <c r="I31" s="9" t="n">
        <f aca="false">SUMIFS('Исходные данные'!$J$2:$J$954,'Исходные данные'!$D$2:$D$954,H$1,'Исходные данные'!$F$2:$F$954,$A31)</f>
        <v>0</v>
      </c>
      <c r="J31" s="9" t="n">
        <f aca="false">SUMIFS('Исходные данные'!$I$2:$I$954,'Исходные данные'!$D$2:$D$954,J$1,'Исходные данные'!$F$2:$F$954,$A31)</f>
        <v>0</v>
      </c>
      <c r="K31" s="9" t="n">
        <f aca="false">SUMIFS('Исходные данные'!$J$2:$J$954,'Исходные данные'!$D$2:$D$954,J$1,'Исходные данные'!$F$2:$F$954,$A31)</f>
        <v>0</v>
      </c>
      <c r="L31" s="9" t="n">
        <f aca="false">SUMIFS('Исходные данные'!$I$2:$I$954,'Исходные данные'!$D$2:$D$954,L$1,'Исходные данные'!$F$2:$F$954,$A31)</f>
        <v>0</v>
      </c>
      <c r="M31" s="9" t="n">
        <f aca="false">SUMIFS('Исходные данные'!$J$2:$J$954,'Исходные данные'!$D$2:$D$954,L$1,'Исходные данные'!$F$2:$F$954,$A31)</f>
        <v>0</v>
      </c>
      <c r="N31" s="9" t="n">
        <f aca="false">SUMIFS('Исходные данные'!$I$2:$I$954,'Исходные данные'!$D$2:$D$954,N$1,'Исходные данные'!$F$2:$F$954,$A31)</f>
        <v>0</v>
      </c>
      <c r="O31" s="9" t="n">
        <f aca="false">SUMIFS('Исходные данные'!$J$2:$J$954,'Исходные данные'!$D$2:$D$954,N$1,'Исходные данные'!$F$2:$F$954,$A31)</f>
        <v>0</v>
      </c>
      <c r="P31" s="9" t="n">
        <f aca="false">SUMIFS('Исходные данные'!$I$2:$I$954,'Исходные данные'!$D$2:$D$954,P$1,'Исходные данные'!$F$2:$F$954,$A31)</f>
        <v>0</v>
      </c>
      <c r="Q31" s="9" t="n">
        <f aca="false">SUMIFS('Исходные данные'!$J$2:$J$954,'Исходные данные'!$D$2:$D$954,P$1,'Исходные данные'!$F$2:$F$954,$A31)</f>
        <v>0</v>
      </c>
      <c r="R31" s="9" t="n">
        <f aca="false">SUMIFS('Исходные данные'!$I$2:$I$954,'Исходные данные'!$D$2:$D$954,R$1,'Исходные данные'!$F$2:$F$954,$A31)</f>
        <v>0</v>
      </c>
      <c r="S31" s="9" t="n">
        <f aca="false">SUMIFS('Исходные данные'!$J$2:$J$954,'Исходные данные'!$D$2:$D$954,R$1,'Исходные данные'!$F$2:$F$954,$A31)</f>
        <v>0</v>
      </c>
      <c r="T31" s="9" t="n">
        <f aca="false">SUMIFS('Исходные данные'!$I$2:$I$954,'Исходные данные'!$D$2:$D$954,T$1,'Исходные данные'!$F$2:$F$954,$A31)</f>
        <v>0</v>
      </c>
      <c r="U31" s="9" t="n">
        <f aca="false">SUMIFS('Исходные данные'!$J$2:$J$954,'Исходные данные'!$D$2:$D$954,T$1,'Исходные данные'!$F$2:$F$954,$A31)</f>
        <v>0</v>
      </c>
      <c r="V31" s="9" t="n">
        <f aca="false">SUMIFS('Исходные данные'!$I$2:$I$954,'Исходные данные'!$D$2:$D$954,V$1,'Исходные данные'!$F$2:$F$954,$A31)</f>
        <v>0</v>
      </c>
      <c r="W31" s="9" t="n">
        <f aca="false">SUMIFS('Исходные данные'!$J$2:$J$954,'Исходные данные'!$D$2:$D$954,V$1,'Исходные данные'!$F$2:$F$954,$A31)</f>
        <v>0</v>
      </c>
      <c r="X31" s="9" t="n">
        <f aca="false">SUMIFS('Исходные данные'!$I$2:$I$954,'Исходные данные'!$D$2:$D$954,X$1,'Исходные данные'!$F$2:$F$954,$A31)</f>
        <v>0</v>
      </c>
      <c r="Y31" s="9" t="n">
        <f aca="false">SUMIFS('Исходные данные'!$J$2:$J$954,'Исходные данные'!$D$2:$D$954,X$1,'Исходные данные'!$F$2:$F$954,$A31)</f>
        <v>0</v>
      </c>
      <c r="Z31" s="9" t="n">
        <f aca="false">SUMIFS('Исходные данные'!$I$2:$I$954,'Исходные данные'!$D$2:$D$954,Z$1,'Исходные данные'!$F$2:$F$954,$A31)</f>
        <v>0</v>
      </c>
      <c r="AA31" s="9" t="n">
        <f aca="false">SUMIFS('Исходные данные'!$J$2:$J$954,'Исходные данные'!$D$2:$D$954,Z$1,'Исходные данные'!$F$2:$F$954,$A31)</f>
        <v>0</v>
      </c>
      <c r="AB31" s="9" t="n">
        <f aca="false">SUMIFS('Исходные данные'!$I$2:$I$954,'Исходные данные'!$D$2:$D$954,AB$1,'Исходные данные'!$F$2:$F$954,$A31)</f>
        <v>0</v>
      </c>
      <c r="AC31" s="9" t="n">
        <f aca="false">SUMIFS('Исходные данные'!$J$2:$J$954,'Исходные данные'!$D$2:$D$954,AB$1,'Исходные данные'!$F$2:$F$954,$A31)</f>
        <v>0</v>
      </c>
      <c r="AD31" s="9" t="n">
        <f aca="false">SUMIFS('Исходные данные'!$I$2:$I$954,'Исходные данные'!$D$2:$D$954,AD$1,'Исходные данные'!$F$2:$F$954,$A31)</f>
        <v>0</v>
      </c>
      <c r="AE31" s="9" t="n">
        <f aca="false">SUMIFS('Исходные данные'!$J$2:$J$954,'Исходные данные'!$D$2:$D$954,AD$1,'Исходные данные'!$F$2:$F$954,$A31)</f>
        <v>0</v>
      </c>
      <c r="AF31" s="9" t="n">
        <f aca="false">SUMIFS('Исходные данные'!$I$2:$I$954,'Исходные данные'!$D$2:$D$954,AF$1,'Исходные данные'!$F$2:$F$954,$A31)</f>
        <v>0</v>
      </c>
      <c r="AG31" s="9" t="n">
        <f aca="false">SUMIFS('Исходные данные'!$J$2:$J$954,'Исходные данные'!$D$2:$D$954,AF$1,'Исходные данные'!$F$2:$F$954,$A31)</f>
        <v>0</v>
      </c>
      <c r="AH31" s="9" t="n">
        <f aca="false">SUMIFS('Исходные данные'!$I$2:$I$954,'Исходные данные'!$D$2:$D$954,AH$1,'Исходные данные'!$F$2:$F$954,$A31)</f>
        <v>2</v>
      </c>
      <c r="AI31" s="9" t="n">
        <f aca="false">SUMIFS('Исходные данные'!$J$2:$J$954,'Исходные данные'!$D$2:$D$954,AH$1,'Исходные данные'!$F$2:$F$954,$A31)</f>
        <v>2</v>
      </c>
      <c r="AJ31" s="9" t="n">
        <f aca="false">SUMIFS('Исходные данные'!$I$2:$I$954,'Исходные данные'!$D$2:$D$954,AJ$1,'Исходные данные'!$F$2:$F$954,$A31)</f>
        <v>0</v>
      </c>
      <c r="AK31" s="9" t="n">
        <f aca="false">SUMIFS('Исходные данные'!$J$2:$J$954,'Исходные данные'!$D$2:$D$954,AJ$1,'Исходные данные'!$F$2:$F$954,$A31)</f>
        <v>0</v>
      </c>
      <c r="AL31" s="9" t="n">
        <f aca="false">SUMIFS('Исходные данные'!$I$2:$I$954,'Исходные данные'!$D$2:$D$954,AL$1,'Исходные данные'!$F$2:$F$954,$A31)</f>
        <v>0</v>
      </c>
      <c r="AM31" s="9" t="n">
        <f aca="false">SUMIFS('Исходные данные'!$J$2:$J$954,'Исходные данные'!$D$2:$D$954,AL$1,'Исходные данные'!$F$2:$F$954,$A31)</f>
        <v>0</v>
      </c>
      <c r="AN31" s="9" t="n">
        <f aca="false">SUMIFS('Исходные данные'!$I$2:$I$954,'Исходные данные'!$D$2:$D$954,AN$1,'Исходные данные'!$F$2:$F$954,$A31)</f>
        <v>0</v>
      </c>
      <c r="AO31" s="9" t="n">
        <f aca="false">SUMIFS('Исходные данные'!$J$2:$J$954,'Исходные данные'!$D$2:$D$954,AN$1,'Исходные данные'!$F$2:$F$954,$A31)</f>
        <v>0</v>
      </c>
      <c r="AP31" s="9" t="n">
        <f aca="false">SUMIFS('Исходные данные'!$I$2:$I$954,'Исходные данные'!$D$2:$D$954,AP$1,'Исходные данные'!$F$2:$F$954,$A31)</f>
        <v>0</v>
      </c>
      <c r="AQ31" s="9" t="n">
        <f aca="false">SUMIFS('Исходные данные'!$J$2:$J$954,'Исходные данные'!$D$2:$D$954,AP$1,'Исходные данные'!$F$2:$F$954,$A31)</f>
        <v>0</v>
      </c>
      <c r="AR31" s="9" t="n">
        <f aca="false">SUMIFS('Исходные данные'!$I$2:$I$954,'Исходные данные'!$D$2:$D$954,AR$1,'Исходные данные'!$F$2:$F$954,$A31)</f>
        <v>0</v>
      </c>
      <c r="AS31" s="9" t="n">
        <f aca="false">SUMIFS('Исходные данные'!$J$2:$J$954,'Исходные данные'!$D$2:$D$954,AR$1,'Исходные данные'!$F$2:$F$954,$A31)</f>
        <v>0</v>
      </c>
      <c r="AT31" s="9" t="n">
        <f aca="false">SUMIFS('Исходные данные'!$I$2:$I$954,'Исходные данные'!$D$2:$D$954,AT$1,'Исходные данные'!$F$2:$F$954,$A31)</f>
        <v>0</v>
      </c>
      <c r="AU31" s="9" t="n">
        <f aca="false">SUMIFS('Исходные данные'!$J$2:$J$954,'Исходные данные'!$D$2:$D$954,AT$1,'Исходные данные'!$F$2:$F$954,$A31)</f>
        <v>0</v>
      </c>
      <c r="AV31" s="9" t="n">
        <f aca="false">SUMIFS('Исходные данные'!$I$2:$I$954,'Исходные данные'!$D$2:$D$954,AV$1,'Исходные данные'!$F$2:$F$954,$A31)</f>
        <v>0</v>
      </c>
      <c r="AW31" s="9" t="n">
        <f aca="false">SUMIFS('Исходные данные'!$J$2:$J$954,'Исходные данные'!$D$2:$D$954,AV$1,'Исходные данные'!$F$2:$F$954,$A31)</f>
        <v>0</v>
      </c>
      <c r="AX31" s="9" t="n">
        <f aca="false">SUMIFS('Исходные данные'!$I$2:$I$954,'Исходные данные'!$D$2:$D$954,AX$1,'Исходные данные'!$F$2:$F$954,$A31)</f>
        <v>0</v>
      </c>
      <c r="AY31" s="9" t="n">
        <f aca="false">SUMIFS('Исходные данные'!$J$2:$J$954,'Исходные данные'!$D$2:$D$954,AX$1,'Исходные данные'!$F$2:$F$954,$A31)</f>
        <v>0</v>
      </c>
      <c r="AZ31" s="9" t="n">
        <f aca="false">SUMIFS('Исходные данные'!$I$2:$I$954,'Исходные данные'!$D$2:$D$954,AZ$1,'Исходные данные'!$F$2:$F$954,$A31)</f>
        <v>0</v>
      </c>
      <c r="BA31" s="9" t="n">
        <f aca="false">SUMIFS('Исходные данные'!$J$2:$J$954,'Исходные данные'!$D$2:$D$954,AZ$1,'Исходные данные'!$F$2:$F$954,$A31)</f>
        <v>0</v>
      </c>
      <c r="BB31" s="9" t="n">
        <f aca="false">SUMIFS('Исходные данные'!$I$2:$I$954,'Исходные данные'!$D$2:$D$954,BB$1,'Исходные данные'!$F$2:$F$954,$A31)</f>
        <v>0</v>
      </c>
      <c r="BC31" s="9" t="n">
        <f aca="false">SUMIFS('Исходные данные'!$J$2:$J$954,'Исходные данные'!$D$2:$D$954,BB$1,'Исходные данные'!$F$2:$F$954,$A31)</f>
        <v>0</v>
      </c>
      <c r="BD31" s="9" t="n">
        <f aca="false">SUMIFS('Исходные данные'!$I$2:$I$954,'Исходные данные'!$D$2:$D$954,BD$1,'Исходные данные'!$F$2:$F$954,$A31)</f>
        <v>0</v>
      </c>
      <c r="BE31" s="9" t="n">
        <f aca="false">SUMIFS('Исходные данные'!$J$2:$J$954,'Исходные данные'!$D$2:$D$954,BD$1,'Исходные данные'!$F$2:$F$954,$A31)</f>
        <v>0</v>
      </c>
      <c r="BF31" s="9" t="n">
        <f aca="false">SUMIFS('Исходные данные'!$I$2:$I$954,'Исходные данные'!$D$2:$D$954,BF$1,'Исходные данные'!$F$2:$F$954,$A31)</f>
        <v>0</v>
      </c>
      <c r="BG31" s="9" t="n">
        <f aca="false">SUMIFS('Исходные данные'!$J$2:$J$954,'Исходные данные'!$D$2:$D$954,BF$1,'Исходные данные'!$F$2:$F$954,$A31)</f>
        <v>0</v>
      </c>
      <c r="BH31" s="9" t="n">
        <f aca="false">SUMIFS('Исходные данные'!$I$2:$I$954,'Исходные данные'!$D$2:$D$954,BH$1,'Исходные данные'!$F$2:$F$954,$A31)</f>
        <v>0</v>
      </c>
      <c r="BI31" s="9" t="n">
        <f aca="false">SUMIFS('Исходные данные'!$J$2:$J$954,'Исходные данные'!$D$2:$D$954,BH$1,'Исходные данные'!$F$2:$F$954,$A31)</f>
        <v>0</v>
      </c>
      <c r="BJ31" s="9" t="n">
        <f aca="false">SUMIFS('Исходные данные'!$I$2:$I$954,'Исходные данные'!$D$2:$D$954,BJ$1,'Исходные данные'!$F$2:$F$954,$A31)</f>
        <v>0</v>
      </c>
      <c r="BK31" s="9" t="n">
        <f aca="false">SUMIFS('Исходные данные'!$J$2:$J$954,'Исходные данные'!$D$2:$D$954,BJ$1,'Исходные данные'!$F$2:$F$954,$A31)</f>
        <v>0</v>
      </c>
      <c r="BL31" s="9" t="n">
        <f aca="false">SUMIFS('Исходные данные'!$I$2:$I$954,'Исходные данные'!$D$2:$D$954,BL$1,'Исходные данные'!$F$2:$F$954,$A31)</f>
        <v>0</v>
      </c>
      <c r="BM31" s="9" t="n">
        <f aca="false">SUMIFS('Исходные данные'!$J$2:$J$954,'Исходные данные'!$D$2:$D$954,BL$1,'Исходные данные'!$F$2:$F$954,$A31)</f>
        <v>0</v>
      </c>
      <c r="BN31" s="9" t="n">
        <f aca="false">SUMIFS('Исходные данные'!$I$2:$I$954,'Исходные данные'!$D$2:$D$954,BN$1,'Исходные данные'!$F$2:$F$954,$A31)</f>
        <v>0</v>
      </c>
      <c r="BO31" s="9" t="n">
        <f aca="false">SUMIFS('Исходные данные'!$J$2:$J$954,'Исходные данные'!$D$2:$D$954,BN$1,'Исходные данные'!$F$2:$F$954,$A31)</f>
        <v>0</v>
      </c>
      <c r="BP31" s="9" t="n">
        <f aca="false">SUMIFS('Исходные данные'!$I$2:$I$954,'Исходные данные'!$D$2:$D$954,BP$1,'Исходные данные'!$F$2:$F$954,$A31)</f>
        <v>0</v>
      </c>
      <c r="BQ31" s="9" t="n">
        <f aca="false">SUMIFS('Исходные данные'!$J$2:$J$954,'Исходные данные'!$D$2:$D$954,BP$1,'Исходные данные'!$F$2:$F$954,$A31)</f>
        <v>0</v>
      </c>
      <c r="BR31" s="9" t="n">
        <f aca="false">SUMIFS('Исходные данные'!$I$2:$I$954,'Исходные данные'!$D$2:$D$954,BR$1,'Исходные данные'!$F$2:$F$954,$A31)</f>
        <v>0</v>
      </c>
      <c r="BS31" s="9" t="n">
        <f aca="false">SUMIFS('Исходные данные'!$J$2:$J$954,'Исходные данные'!$D$2:$D$954,BR$1,'Исходные данные'!$F$2:$F$954,$A31)</f>
        <v>0</v>
      </c>
      <c r="BT31" s="9" t="n">
        <f aca="false">SUMIFS('Исходные данные'!$I$2:$I$954,'Исходные данные'!$D$2:$D$954,BT$1,'Исходные данные'!$F$2:$F$954,$A31)</f>
        <v>0</v>
      </c>
      <c r="BU31" s="9" t="n">
        <f aca="false">SUMIFS('Исходные данные'!$J$2:$J$954,'Исходные данные'!$D$2:$D$954,BT$1,'Исходные данные'!$F$2:$F$954,$A31)</f>
        <v>0</v>
      </c>
      <c r="BV31" s="9" t="n">
        <f aca="false">SUMIFS('Исходные данные'!$I$2:$I$954,'Исходные данные'!$D$2:$D$954,BV$1,'Исходные данные'!$F$2:$F$954,$A31)</f>
        <v>0</v>
      </c>
      <c r="BW31" s="9" t="n">
        <f aca="false">SUMIFS('Исходные данные'!$J$2:$J$954,'Исходные данные'!$D$2:$D$954,BV$1,'Исходные данные'!$F$2:$F$954,$A31)</f>
        <v>0</v>
      </c>
      <c r="BX31" s="9" t="n">
        <f aca="false">SUMIFS('Исходные данные'!$I$2:$I$954,'Исходные данные'!$D$2:$D$954,BX$1,'Исходные данные'!$F$2:$F$954,$A31)</f>
        <v>0</v>
      </c>
      <c r="BY31" s="9" t="n">
        <f aca="false">SUMIFS('Исходные данные'!$J$2:$J$954,'Исходные данные'!$D$2:$D$954,BX$1,'Исходные данные'!$F$2:$F$954,$A31)</f>
        <v>0</v>
      </c>
      <c r="BZ31" s="9" t="n">
        <f aca="false">SUMIFS('Исходные данные'!$I$2:$I$954,'Исходные данные'!$D$2:$D$954,BZ$1,'Исходные данные'!$F$2:$F$954,$A31)</f>
        <v>0</v>
      </c>
      <c r="CA31" s="9" t="n">
        <f aca="false">SUMIFS('Исходные данные'!$J$2:$J$954,'Исходные данные'!$D$2:$D$954,BZ$1,'Исходные данные'!$F$2:$F$954,$A31)</f>
        <v>0</v>
      </c>
      <c r="CB31" s="9" t="n">
        <f aca="false">SUMIFS('Исходные данные'!$I$2:$I$954,'Исходные данные'!$D$2:$D$954,CB$1,'Исходные данные'!$F$2:$F$954,$A31)</f>
        <v>0</v>
      </c>
      <c r="CC31" s="9" t="n">
        <f aca="false">SUMIFS('Исходные данные'!$J$2:$J$954,'Исходные данные'!$D$2:$D$954,CB$1,'Исходные данные'!$F$2:$F$954,$A31)</f>
        <v>0</v>
      </c>
      <c r="CD31" s="9" t="n">
        <f aca="false">SUMIFS('Исходные данные'!$I$2:$I$954,'Исходные данные'!$D$2:$D$954,CD$1,'Исходные данные'!$F$2:$F$954,$A31)</f>
        <v>0</v>
      </c>
      <c r="CE31" s="9" t="n">
        <f aca="false">SUMIFS('Исходные данные'!$J$2:$J$954,'Исходные данные'!$D$2:$D$954,CD$1,'Исходные данные'!$F$2:$F$954,$A31)</f>
        <v>0</v>
      </c>
      <c r="CF31" s="9" t="n">
        <f aca="false">SUMIFS('Исходные данные'!$I$2:$I$954,'Исходные данные'!$D$2:$D$954,CF$1,'Исходные данные'!$F$2:$F$954,$A31)</f>
        <v>0</v>
      </c>
      <c r="CG31" s="9" t="n">
        <f aca="false">SUMIFS('Исходные данные'!$J$2:$J$954,'Исходные данные'!$D$2:$D$954,CF$1,'Исходные данные'!$F$2:$F$954,$A31)</f>
        <v>0</v>
      </c>
      <c r="CH31" s="9" t="n">
        <f aca="false">SUMIFS('Исходные данные'!$I$2:$I$954,'Исходные данные'!$D$2:$D$954,CH$1,'Исходные данные'!$F$2:$F$954,$A31)</f>
        <v>0</v>
      </c>
      <c r="CI31" s="9" t="n">
        <f aca="false">SUMIFS('Исходные данные'!$J$2:$J$954,'Исходные данные'!$D$2:$D$954,CH$1,'Исходные данные'!$F$2:$F$954,$A31)</f>
        <v>0</v>
      </c>
    </row>
    <row r="32" customFormat="false" ht="15" hidden="false" customHeight="false" outlineLevel="0" collapsed="false">
      <c r="A32" s="8" t="s">
        <v>107</v>
      </c>
      <c r="B32" s="9" t="s">
        <v>108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SUMIFS($H32:$CI32,$H$2:$CI$2,"День")</f>
        <v>3</v>
      </c>
      <c r="G32" s="5" t="n">
        <f aca="false">SUMIFS($H32:$CI32,$H$2:$CI$2,"Ночь")</f>
        <v>1</v>
      </c>
      <c r="H32" s="9" t="n">
        <f aca="false">SUMIFS('Исходные данные'!$I$2:$I$954,'Исходные данные'!$D$2:$D$954,H$1,'Исходные данные'!$F$2:$F$954,$A32)</f>
        <v>0</v>
      </c>
      <c r="I32" s="9" t="n">
        <f aca="false">SUMIFS('Исходные данные'!$J$2:$J$954,'Исходные данные'!$D$2:$D$954,H$1,'Исходные данные'!$F$2:$F$954,$A32)</f>
        <v>0</v>
      </c>
      <c r="J32" s="9" t="n">
        <f aca="false">SUMIFS('Исходные данные'!$I$2:$I$954,'Исходные данные'!$D$2:$D$954,J$1,'Исходные данные'!$F$2:$F$954,$A32)</f>
        <v>0</v>
      </c>
      <c r="K32" s="9" t="n">
        <f aca="false">SUMIFS('Исходные данные'!$J$2:$J$954,'Исходные данные'!$D$2:$D$954,J$1,'Исходные данные'!$F$2:$F$954,$A32)</f>
        <v>0</v>
      </c>
      <c r="L32" s="9" t="n">
        <f aca="false">SUMIFS('Исходные данные'!$I$2:$I$954,'Исходные данные'!$D$2:$D$954,L$1,'Исходные данные'!$F$2:$F$954,$A32)</f>
        <v>0</v>
      </c>
      <c r="M32" s="9" t="n">
        <f aca="false">SUMIFS('Исходные данные'!$J$2:$J$954,'Исходные данные'!$D$2:$D$954,L$1,'Исходные данные'!$F$2:$F$954,$A32)</f>
        <v>0</v>
      </c>
      <c r="N32" s="9" t="n">
        <f aca="false">SUMIFS('Исходные данные'!$I$2:$I$954,'Исходные данные'!$D$2:$D$954,N$1,'Исходные данные'!$F$2:$F$954,$A32)</f>
        <v>0</v>
      </c>
      <c r="O32" s="9" t="n">
        <f aca="false">SUMIFS('Исходные данные'!$J$2:$J$954,'Исходные данные'!$D$2:$D$954,N$1,'Исходные данные'!$F$2:$F$954,$A32)</f>
        <v>0</v>
      </c>
      <c r="P32" s="9" t="n">
        <f aca="false">SUMIFS('Исходные данные'!$I$2:$I$954,'Исходные данные'!$D$2:$D$954,P$1,'Исходные данные'!$F$2:$F$954,$A32)</f>
        <v>0</v>
      </c>
      <c r="Q32" s="9" t="n">
        <f aca="false">SUMIFS('Исходные данные'!$J$2:$J$954,'Исходные данные'!$D$2:$D$954,P$1,'Исходные данные'!$F$2:$F$954,$A32)</f>
        <v>0</v>
      </c>
      <c r="R32" s="9" t="n">
        <f aca="false">SUMIFS('Исходные данные'!$I$2:$I$954,'Исходные данные'!$D$2:$D$954,R$1,'Исходные данные'!$F$2:$F$954,$A32)</f>
        <v>0</v>
      </c>
      <c r="S32" s="9" t="n">
        <f aca="false">SUMIFS('Исходные данные'!$J$2:$J$954,'Исходные данные'!$D$2:$D$954,R$1,'Исходные данные'!$F$2:$F$954,$A32)</f>
        <v>0</v>
      </c>
      <c r="T32" s="9" t="n">
        <f aca="false">SUMIFS('Исходные данные'!$I$2:$I$954,'Исходные данные'!$D$2:$D$954,T$1,'Исходные данные'!$F$2:$F$954,$A32)</f>
        <v>0</v>
      </c>
      <c r="U32" s="9" t="n">
        <f aca="false">SUMIFS('Исходные данные'!$J$2:$J$954,'Исходные данные'!$D$2:$D$954,T$1,'Исходные данные'!$F$2:$F$954,$A32)</f>
        <v>0</v>
      </c>
      <c r="V32" s="9" t="n">
        <f aca="false">SUMIFS('Исходные данные'!$I$2:$I$954,'Исходные данные'!$D$2:$D$954,V$1,'Исходные данные'!$F$2:$F$954,$A32)</f>
        <v>0</v>
      </c>
      <c r="W32" s="9" t="n">
        <f aca="false">SUMIFS('Исходные данные'!$J$2:$J$954,'Исходные данные'!$D$2:$D$954,V$1,'Исходные данные'!$F$2:$F$954,$A32)</f>
        <v>0</v>
      </c>
      <c r="X32" s="9" t="n">
        <f aca="false">SUMIFS('Исходные данные'!$I$2:$I$954,'Исходные данные'!$D$2:$D$954,X$1,'Исходные данные'!$F$2:$F$954,$A32)</f>
        <v>2</v>
      </c>
      <c r="Y32" s="9" t="n">
        <f aca="false">SUMIFS('Исходные данные'!$J$2:$J$954,'Исходные данные'!$D$2:$D$954,X$1,'Исходные данные'!$F$2:$F$954,$A32)</f>
        <v>1</v>
      </c>
      <c r="Z32" s="9" t="n">
        <f aca="false">SUMIFS('Исходные данные'!$I$2:$I$954,'Исходные данные'!$D$2:$D$954,Z$1,'Исходные данные'!$F$2:$F$954,$A32)</f>
        <v>0</v>
      </c>
      <c r="AA32" s="9" t="n">
        <f aca="false">SUMIFS('Исходные данные'!$J$2:$J$954,'Исходные данные'!$D$2:$D$954,Z$1,'Исходные данные'!$F$2:$F$954,$A32)</f>
        <v>0</v>
      </c>
      <c r="AB32" s="9" t="n">
        <f aca="false">SUMIFS('Исходные данные'!$I$2:$I$954,'Исходные данные'!$D$2:$D$954,AB$1,'Исходные данные'!$F$2:$F$954,$A32)</f>
        <v>0</v>
      </c>
      <c r="AC32" s="9" t="n">
        <f aca="false">SUMIFS('Исходные данные'!$J$2:$J$954,'Исходные данные'!$D$2:$D$954,AB$1,'Исходные данные'!$F$2:$F$954,$A32)</f>
        <v>0</v>
      </c>
      <c r="AD32" s="9" t="n">
        <f aca="false">SUMIFS('Исходные данные'!$I$2:$I$954,'Исходные данные'!$D$2:$D$954,AD$1,'Исходные данные'!$F$2:$F$954,$A32)</f>
        <v>0</v>
      </c>
      <c r="AE32" s="9" t="n">
        <f aca="false">SUMIFS('Исходные данные'!$J$2:$J$954,'Исходные данные'!$D$2:$D$954,AD$1,'Исходные данные'!$F$2:$F$954,$A32)</f>
        <v>0</v>
      </c>
      <c r="AF32" s="9" t="n">
        <f aca="false">SUMIFS('Исходные данные'!$I$2:$I$954,'Исходные данные'!$D$2:$D$954,AF$1,'Исходные данные'!$F$2:$F$954,$A32)</f>
        <v>0</v>
      </c>
      <c r="AG32" s="9" t="n">
        <f aca="false">SUMIFS('Исходные данные'!$J$2:$J$954,'Исходные данные'!$D$2:$D$954,AF$1,'Исходные данные'!$F$2:$F$954,$A32)</f>
        <v>0</v>
      </c>
      <c r="AH32" s="9" t="n">
        <f aca="false">SUMIFS('Исходные данные'!$I$2:$I$954,'Исходные данные'!$D$2:$D$954,AH$1,'Исходные данные'!$F$2:$F$954,$A32)</f>
        <v>1</v>
      </c>
      <c r="AI32" s="9" t="n">
        <f aca="false">SUMIFS('Исходные данные'!$J$2:$J$954,'Исходные данные'!$D$2:$D$954,AH$1,'Исходные данные'!$F$2:$F$954,$A32)</f>
        <v>0</v>
      </c>
      <c r="AJ32" s="9" t="n">
        <f aca="false">SUMIFS('Исходные данные'!$I$2:$I$954,'Исходные данные'!$D$2:$D$954,AJ$1,'Исходные данные'!$F$2:$F$954,$A32)</f>
        <v>0</v>
      </c>
      <c r="AK32" s="9" t="n">
        <f aca="false">SUMIFS('Исходные данные'!$J$2:$J$954,'Исходные данные'!$D$2:$D$954,AJ$1,'Исходные данные'!$F$2:$F$954,$A32)</f>
        <v>0</v>
      </c>
      <c r="AL32" s="9" t="n">
        <f aca="false">SUMIFS('Исходные данные'!$I$2:$I$954,'Исходные данные'!$D$2:$D$954,AL$1,'Исходные данные'!$F$2:$F$954,$A32)</f>
        <v>0</v>
      </c>
      <c r="AM32" s="9" t="n">
        <f aca="false">SUMIFS('Исходные данные'!$J$2:$J$954,'Исходные данные'!$D$2:$D$954,AL$1,'Исходные данные'!$F$2:$F$954,$A32)</f>
        <v>0</v>
      </c>
      <c r="AN32" s="9" t="n">
        <f aca="false">SUMIFS('Исходные данные'!$I$2:$I$954,'Исходные данные'!$D$2:$D$954,AN$1,'Исходные данные'!$F$2:$F$954,$A32)</f>
        <v>0</v>
      </c>
      <c r="AO32" s="9" t="n">
        <f aca="false">SUMIFS('Исходные данные'!$J$2:$J$954,'Исходные данные'!$D$2:$D$954,AN$1,'Исходные данные'!$F$2:$F$954,$A32)</f>
        <v>0</v>
      </c>
      <c r="AP32" s="9" t="n">
        <f aca="false">SUMIFS('Исходные данные'!$I$2:$I$954,'Исходные данные'!$D$2:$D$954,AP$1,'Исходные данные'!$F$2:$F$954,$A32)</f>
        <v>0</v>
      </c>
      <c r="AQ32" s="9" t="n">
        <f aca="false">SUMIFS('Исходные данные'!$J$2:$J$954,'Исходные данные'!$D$2:$D$954,AP$1,'Исходные данные'!$F$2:$F$954,$A32)</f>
        <v>0</v>
      </c>
      <c r="AR32" s="9" t="n">
        <f aca="false">SUMIFS('Исходные данные'!$I$2:$I$954,'Исходные данные'!$D$2:$D$954,AR$1,'Исходные данные'!$F$2:$F$954,$A32)</f>
        <v>0</v>
      </c>
      <c r="AS32" s="9" t="n">
        <f aca="false">SUMIFS('Исходные данные'!$J$2:$J$954,'Исходные данные'!$D$2:$D$954,AR$1,'Исходные данные'!$F$2:$F$954,$A32)</f>
        <v>0</v>
      </c>
      <c r="AT32" s="9" t="n">
        <f aca="false">SUMIFS('Исходные данные'!$I$2:$I$954,'Исходные данные'!$D$2:$D$954,AT$1,'Исходные данные'!$F$2:$F$954,$A32)</f>
        <v>0</v>
      </c>
      <c r="AU32" s="9" t="n">
        <f aca="false">SUMIFS('Исходные данные'!$J$2:$J$954,'Исходные данные'!$D$2:$D$954,AT$1,'Исходные данные'!$F$2:$F$954,$A32)</f>
        <v>0</v>
      </c>
      <c r="AV32" s="9" t="n">
        <f aca="false">SUMIFS('Исходные данные'!$I$2:$I$954,'Исходные данные'!$D$2:$D$954,AV$1,'Исходные данные'!$F$2:$F$954,$A32)</f>
        <v>0</v>
      </c>
      <c r="AW32" s="9" t="n">
        <f aca="false">SUMIFS('Исходные данные'!$J$2:$J$954,'Исходные данные'!$D$2:$D$954,AV$1,'Исходные данные'!$F$2:$F$954,$A32)</f>
        <v>0</v>
      </c>
      <c r="AX32" s="9" t="n">
        <f aca="false">SUMIFS('Исходные данные'!$I$2:$I$954,'Исходные данные'!$D$2:$D$954,AX$1,'Исходные данные'!$F$2:$F$954,$A32)</f>
        <v>0</v>
      </c>
      <c r="AY32" s="9" t="n">
        <f aca="false">SUMIFS('Исходные данные'!$J$2:$J$954,'Исходные данные'!$D$2:$D$954,AX$1,'Исходные данные'!$F$2:$F$954,$A32)</f>
        <v>0</v>
      </c>
      <c r="AZ32" s="9" t="n">
        <f aca="false">SUMIFS('Исходные данные'!$I$2:$I$954,'Исходные данные'!$D$2:$D$954,AZ$1,'Исходные данные'!$F$2:$F$954,$A32)</f>
        <v>0</v>
      </c>
      <c r="BA32" s="9" t="n">
        <f aca="false">SUMIFS('Исходные данные'!$J$2:$J$954,'Исходные данные'!$D$2:$D$954,AZ$1,'Исходные данные'!$F$2:$F$954,$A32)</f>
        <v>0</v>
      </c>
      <c r="BB32" s="9" t="n">
        <f aca="false">SUMIFS('Исходные данные'!$I$2:$I$954,'Исходные данные'!$D$2:$D$954,BB$1,'Исходные данные'!$F$2:$F$954,$A32)</f>
        <v>0</v>
      </c>
      <c r="BC32" s="9" t="n">
        <f aca="false">SUMIFS('Исходные данные'!$J$2:$J$954,'Исходные данные'!$D$2:$D$954,BB$1,'Исходные данные'!$F$2:$F$954,$A32)</f>
        <v>0</v>
      </c>
      <c r="BD32" s="9" t="n">
        <f aca="false">SUMIFS('Исходные данные'!$I$2:$I$954,'Исходные данные'!$D$2:$D$954,BD$1,'Исходные данные'!$F$2:$F$954,$A32)</f>
        <v>0</v>
      </c>
      <c r="BE32" s="9" t="n">
        <f aca="false">SUMIFS('Исходные данные'!$J$2:$J$954,'Исходные данные'!$D$2:$D$954,BD$1,'Исходные данные'!$F$2:$F$954,$A32)</f>
        <v>0</v>
      </c>
      <c r="BF32" s="9" t="n">
        <f aca="false">SUMIFS('Исходные данные'!$I$2:$I$954,'Исходные данные'!$D$2:$D$954,BF$1,'Исходные данные'!$F$2:$F$954,$A32)</f>
        <v>0</v>
      </c>
      <c r="BG32" s="9" t="n">
        <f aca="false">SUMIFS('Исходные данные'!$J$2:$J$954,'Исходные данные'!$D$2:$D$954,BF$1,'Исходные данные'!$F$2:$F$954,$A32)</f>
        <v>0</v>
      </c>
      <c r="BH32" s="9" t="n">
        <f aca="false">SUMIFS('Исходные данные'!$I$2:$I$954,'Исходные данные'!$D$2:$D$954,BH$1,'Исходные данные'!$F$2:$F$954,$A32)</f>
        <v>0</v>
      </c>
      <c r="BI32" s="9" t="n">
        <f aca="false">SUMIFS('Исходные данные'!$J$2:$J$954,'Исходные данные'!$D$2:$D$954,BH$1,'Исходные данные'!$F$2:$F$954,$A32)</f>
        <v>0</v>
      </c>
      <c r="BJ32" s="9" t="n">
        <f aca="false">SUMIFS('Исходные данные'!$I$2:$I$954,'Исходные данные'!$D$2:$D$954,BJ$1,'Исходные данные'!$F$2:$F$954,$A32)</f>
        <v>0</v>
      </c>
      <c r="BK32" s="9" t="n">
        <f aca="false">SUMIFS('Исходные данные'!$J$2:$J$954,'Исходные данные'!$D$2:$D$954,BJ$1,'Исходные данные'!$F$2:$F$954,$A32)</f>
        <v>0</v>
      </c>
      <c r="BL32" s="9" t="n">
        <f aca="false">SUMIFS('Исходные данные'!$I$2:$I$954,'Исходные данные'!$D$2:$D$954,BL$1,'Исходные данные'!$F$2:$F$954,$A32)</f>
        <v>0</v>
      </c>
      <c r="BM32" s="9" t="n">
        <f aca="false">SUMIFS('Исходные данные'!$J$2:$J$954,'Исходные данные'!$D$2:$D$954,BL$1,'Исходные данные'!$F$2:$F$954,$A32)</f>
        <v>0</v>
      </c>
      <c r="BN32" s="9" t="n">
        <f aca="false">SUMIFS('Исходные данные'!$I$2:$I$954,'Исходные данные'!$D$2:$D$954,BN$1,'Исходные данные'!$F$2:$F$954,$A32)</f>
        <v>0</v>
      </c>
      <c r="BO32" s="9" t="n">
        <f aca="false">SUMIFS('Исходные данные'!$J$2:$J$954,'Исходные данные'!$D$2:$D$954,BN$1,'Исходные данные'!$F$2:$F$954,$A32)</f>
        <v>0</v>
      </c>
      <c r="BP32" s="9" t="n">
        <f aca="false">SUMIFS('Исходные данные'!$I$2:$I$954,'Исходные данные'!$D$2:$D$954,BP$1,'Исходные данные'!$F$2:$F$954,$A32)</f>
        <v>0</v>
      </c>
      <c r="BQ32" s="9" t="n">
        <f aca="false">SUMIFS('Исходные данные'!$J$2:$J$954,'Исходные данные'!$D$2:$D$954,BP$1,'Исходные данные'!$F$2:$F$954,$A32)</f>
        <v>0</v>
      </c>
      <c r="BR32" s="9" t="n">
        <f aca="false">SUMIFS('Исходные данные'!$I$2:$I$954,'Исходные данные'!$D$2:$D$954,BR$1,'Исходные данные'!$F$2:$F$954,$A32)</f>
        <v>0</v>
      </c>
      <c r="BS32" s="9" t="n">
        <f aca="false">SUMIFS('Исходные данные'!$J$2:$J$954,'Исходные данные'!$D$2:$D$954,BR$1,'Исходные данные'!$F$2:$F$954,$A32)</f>
        <v>0</v>
      </c>
      <c r="BT32" s="9" t="n">
        <f aca="false">SUMIFS('Исходные данные'!$I$2:$I$954,'Исходные данные'!$D$2:$D$954,BT$1,'Исходные данные'!$F$2:$F$954,$A32)</f>
        <v>0</v>
      </c>
      <c r="BU32" s="9" t="n">
        <f aca="false">SUMIFS('Исходные данные'!$J$2:$J$954,'Исходные данные'!$D$2:$D$954,BT$1,'Исходные данные'!$F$2:$F$954,$A32)</f>
        <v>0</v>
      </c>
      <c r="BV32" s="9" t="n">
        <f aca="false">SUMIFS('Исходные данные'!$I$2:$I$954,'Исходные данные'!$D$2:$D$954,BV$1,'Исходные данные'!$F$2:$F$954,$A32)</f>
        <v>0</v>
      </c>
      <c r="BW32" s="9" t="n">
        <f aca="false">SUMIFS('Исходные данные'!$J$2:$J$954,'Исходные данные'!$D$2:$D$954,BV$1,'Исходные данные'!$F$2:$F$954,$A32)</f>
        <v>0</v>
      </c>
      <c r="BX32" s="9" t="n">
        <f aca="false">SUMIFS('Исходные данные'!$I$2:$I$954,'Исходные данные'!$D$2:$D$954,BX$1,'Исходные данные'!$F$2:$F$954,$A32)</f>
        <v>0</v>
      </c>
      <c r="BY32" s="9" t="n">
        <f aca="false">SUMIFS('Исходные данные'!$J$2:$J$954,'Исходные данные'!$D$2:$D$954,BX$1,'Исходные данные'!$F$2:$F$954,$A32)</f>
        <v>0</v>
      </c>
      <c r="BZ32" s="9" t="n">
        <f aca="false">SUMIFS('Исходные данные'!$I$2:$I$954,'Исходные данные'!$D$2:$D$954,BZ$1,'Исходные данные'!$F$2:$F$954,$A32)</f>
        <v>0</v>
      </c>
      <c r="CA32" s="9" t="n">
        <f aca="false">SUMIFS('Исходные данные'!$J$2:$J$954,'Исходные данные'!$D$2:$D$954,BZ$1,'Исходные данные'!$F$2:$F$954,$A32)</f>
        <v>0</v>
      </c>
      <c r="CB32" s="9" t="n">
        <f aca="false">SUMIFS('Исходные данные'!$I$2:$I$954,'Исходные данные'!$D$2:$D$954,CB$1,'Исходные данные'!$F$2:$F$954,$A32)</f>
        <v>0</v>
      </c>
      <c r="CC32" s="9" t="n">
        <f aca="false">SUMIFS('Исходные данные'!$J$2:$J$954,'Исходные данные'!$D$2:$D$954,CB$1,'Исходные данные'!$F$2:$F$954,$A32)</f>
        <v>0</v>
      </c>
      <c r="CD32" s="9" t="n">
        <f aca="false">SUMIFS('Исходные данные'!$I$2:$I$954,'Исходные данные'!$D$2:$D$954,CD$1,'Исходные данные'!$F$2:$F$954,$A32)</f>
        <v>0</v>
      </c>
      <c r="CE32" s="9" t="n">
        <f aca="false">SUMIFS('Исходные данные'!$J$2:$J$954,'Исходные данные'!$D$2:$D$954,CD$1,'Исходные данные'!$F$2:$F$954,$A32)</f>
        <v>0</v>
      </c>
      <c r="CF32" s="9" t="n">
        <f aca="false">SUMIFS('Исходные данные'!$I$2:$I$954,'Исходные данные'!$D$2:$D$954,CF$1,'Исходные данные'!$F$2:$F$954,$A32)</f>
        <v>0</v>
      </c>
      <c r="CG32" s="9" t="n">
        <f aca="false">SUMIFS('Исходные данные'!$J$2:$J$954,'Исходные данные'!$D$2:$D$954,CF$1,'Исходные данные'!$F$2:$F$954,$A32)</f>
        <v>0</v>
      </c>
      <c r="CH32" s="9" t="n">
        <f aca="false">SUMIFS('Исходные данные'!$I$2:$I$954,'Исходные данные'!$D$2:$D$954,CH$1,'Исходные данные'!$F$2:$F$954,$A32)</f>
        <v>0</v>
      </c>
      <c r="CI32" s="9" t="n">
        <f aca="false">SUMIFS('Исходные данные'!$J$2:$J$954,'Исходные данные'!$D$2:$D$954,CH$1,'Исходные данные'!$F$2:$F$954,$A32)</f>
        <v>0</v>
      </c>
    </row>
    <row r="33" customFormat="false" ht="15" hidden="false" customHeight="false" outlineLevel="0" collapsed="false">
      <c r="A33" s="8" t="s">
        <v>109</v>
      </c>
      <c r="B33" s="9" t="s">
        <v>110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SUMIFS($H33:$CI33,$H$2:$CI$2,"День")</f>
        <v>4</v>
      </c>
      <c r="G33" s="5" t="n">
        <f aca="false">SUMIFS($H33:$CI33,$H$2:$CI$2,"Ночь")</f>
        <v>0</v>
      </c>
      <c r="H33" s="9" t="n">
        <f aca="false">SUMIFS('Исходные данные'!$I$2:$I$954,'Исходные данные'!$D$2:$D$954,H$1,'Исходные данные'!$F$2:$F$954,$A33)</f>
        <v>0</v>
      </c>
      <c r="I33" s="9" t="n">
        <f aca="false">SUMIFS('Исходные данные'!$J$2:$J$954,'Исходные данные'!$D$2:$D$954,H$1,'Исходные данные'!$F$2:$F$954,$A33)</f>
        <v>0</v>
      </c>
      <c r="J33" s="9" t="n">
        <f aca="false">SUMIFS('Исходные данные'!$I$2:$I$954,'Исходные данные'!$D$2:$D$954,J$1,'Исходные данные'!$F$2:$F$954,$A33)</f>
        <v>0</v>
      </c>
      <c r="K33" s="9" t="n">
        <f aca="false">SUMIFS('Исходные данные'!$J$2:$J$954,'Исходные данные'!$D$2:$D$954,J$1,'Исходные данные'!$F$2:$F$954,$A33)</f>
        <v>0</v>
      </c>
      <c r="L33" s="9" t="n">
        <f aca="false">SUMIFS('Исходные данные'!$I$2:$I$954,'Исходные данные'!$D$2:$D$954,L$1,'Исходные данные'!$F$2:$F$954,$A33)</f>
        <v>0</v>
      </c>
      <c r="M33" s="9" t="n">
        <f aca="false">SUMIFS('Исходные данные'!$J$2:$J$954,'Исходные данные'!$D$2:$D$954,L$1,'Исходные данные'!$F$2:$F$954,$A33)</f>
        <v>0</v>
      </c>
      <c r="N33" s="9" t="n">
        <f aca="false">SUMIFS('Исходные данные'!$I$2:$I$954,'Исходные данные'!$D$2:$D$954,N$1,'Исходные данные'!$F$2:$F$954,$A33)</f>
        <v>0</v>
      </c>
      <c r="O33" s="9" t="n">
        <f aca="false">SUMIFS('Исходные данные'!$J$2:$J$954,'Исходные данные'!$D$2:$D$954,N$1,'Исходные данные'!$F$2:$F$954,$A33)</f>
        <v>0</v>
      </c>
      <c r="P33" s="9" t="n">
        <f aca="false">SUMIFS('Исходные данные'!$I$2:$I$954,'Исходные данные'!$D$2:$D$954,P$1,'Исходные данные'!$F$2:$F$954,$A33)</f>
        <v>0</v>
      </c>
      <c r="Q33" s="9" t="n">
        <f aca="false">SUMIFS('Исходные данные'!$J$2:$J$954,'Исходные данные'!$D$2:$D$954,P$1,'Исходные данные'!$F$2:$F$954,$A33)</f>
        <v>0</v>
      </c>
      <c r="R33" s="9" t="n">
        <f aca="false">SUMIFS('Исходные данные'!$I$2:$I$954,'Исходные данные'!$D$2:$D$954,R$1,'Исходные данные'!$F$2:$F$954,$A33)</f>
        <v>0</v>
      </c>
      <c r="S33" s="9" t="n">
        <f aca="false">SUMIFS('Исходные данные'!$J$2:$J$954,'Исходные данные'!$D$2:$D$954,R$1,'Исходные данные'!$F$2:$F$954,$A33)</f>
        <v>0</v>
      </c>
      <c r="T33" s="9" t="n">
        <f aca="false">SUMIFS('Исходные данные'!$I$2:$I$954,'Исходные данные'!$D$2:$D$954,T$1,'Исходные данные'!$F$2:$F$954,$A33)</f>
        <v>0</v>
      </c>
      <c r="U33" s="9" t="n">
        <f aca="false">SUMIFS('Исходные данные'!$J$2:$J$954,'Исходные данные'!$D$2:$D$954,T$1,'Исходные данные'!$F$2:$F$954,$A33)</f>
        <v>0</v>
      </c>
      <c r="V33" s="9" t="n">
        <f aca="false">SUMIFS('Исходные данные'!$I$2:$I$954,'Исходные данные'!$D$2:$D$954,V$1,'Исходные данные'!$F$2:$F$954,$A33)</f>
        <v>0</v>
      </c>
      <c r="W33" s="9" t="n">
        <f aca="false">SUMIFS('Исходные данные'!$J$2:$J$954,'Исходные данные'!$D$2:$D$954,V$1,'Исходные данные'!$F$2:$F$954,$A33)</f>
        <v>0</v>
      </c>
      <c r="X33" s="9" t="n">
        <f aca="false">SUMIFS('Исходные данные'!$I$2:$I$954,'Исходные данные'!$D$2:$D$954,X$1,'Исходные данные'!$F$2:$F$954,$A33)</f>
        <v>0</v>
      </c>
      <c r="Y33" s="9" t="n">
        <f aca="false">SUMIFS('Исходные данные'!$J$2:$J$954,'Исходные данные'!$D$2:$D$954,X$1,'Исходные данные'!$F$2:$F$954,$A33)</f>
        <v>0</v>
      </c>
      <c r="Z33" s="9" t="n">
        <f aca="false">SUMIFS('Исходные данные'!$I$2:$I$954,'Исходные данные'!$D$2:$D$954,Z$1,'Исходные данные'!$F$2:$F$954,$A33)</f>
        <v>0</v>
      </c>
      <c r="AA33" s="9" t="n">
        <f aca="false">SUMIFS('Исходные данные'!$J$2:$J$954,'Исходные данные'!$D$2:$D$954,Z$1,'Исходные данные'!$F$2:$F$954,$A33)</f>
        <v>0</v>
      </c>
      <c r="AB33" s="9" t="n">
        <f aca="false">SUMIFS('Исходные данные'!$I$2:$I$954,'Исходные данные'!$D$2:$D$954,AB$1,'Исходные данные'!$F$2:$F$954,$A33)</f>
        <v>0</v>
      </c>
      <c r="AC33" s="9" t="n">
        <f aca="false">SUMIFS('Исходные данные'!$J$2:$J$954,'Исходные данные'!$D$2:$D$954,AB$1,'Исходные данные'!$F$2:$F$954,$A33)</f>
        <v>0</v>
      </c>
      <c r="AD33" s="9" t="n">
        <f aca="false">SUMIFS('Исходные данные'!$I$2:$I$954,'Исходные данные'!$D$2:$D$954,AD$1,'Исходные данные'!$F$2:$F$954,$A33)</f>
        <v>0</v>
      </c>
      <c r="AE33" s="9" t="n">
        <f aca="false">SUMIFS('Исходные данные'!$J$2:$J$954,'Исходные данные'!$D$2:$D$954,AD$1,'Исходные данные'!$F$2:$F$954,$A33)</f>
        <v>0</v>
      </c>
      <c r="AF33" s="9" t="n">
        <f aca="false">SUMIFS('Исходные данные'!$I$2:$I$954,'Исходные данные'!$D$2:$D$954,AF$1,'Исходные данные'!$F$2:$F$954,$A33)</f>
        <v>3</v>
      </c>
      <c r="AG33" s="9" t="n">
        <f aca="false">SUMIFS('Исходные данные'!$J$2:$J$954,'Исходные данные'!$D$2:$D$954,AF$1,'Исходные данные'!$F$2:$F$954,$A33)</f>
        <v>0</v>
      </c>
      <c r="AH33" s="9" t="n">
        <f aca="false">SUMIFS('Исходные данные'!$I$2:$I$954,'Исходные данные'!$D$2:$D$954,AH$1,'Исходные данные'!$F$2:$F$954,$A33)</f>
        <v>1</v>
      </c>
      <c r="AI33" s="9" t="n">
        <f aca="false">SUMIFS('Исходные данные'!$J$2:$J$954,'Исходные данные'!$D$2:$D$954,AH$1,'Исходные данные'!$F$2:$F$954,$A33)</f>
        <v>0</v>
      </c>
      <c r="AJ33" s="9" t="n">
        <f aca="false">SUMIFS('Исходные данные'!$I$2:$I$954,'Исходные данные'!$D$2:$D$954,AJ$1,'Исходные данные'!$F$2:$F$954,$A33)</f>
        <v>0</v>
      </c>
      <c r="AK33" s="9" t="n">
        <f aca="false">SUMIFS('Исходные данные'!$J$2:$J$954,'Исходные данные'!$D$2:$D$954,AJ$1,'Исходные данные'!$F$2:$F$954,$A33)</f>
        <v>0</v>
      </c>
      <c r="AL33" s="9" t="n">
        <f aca="false">SUMIFS('Исходные данные'!$I$2:$I$954,'Исходные данные'!$D$2:$D$954,AL$1,'Исходные данные'!$F$2:$F$954,$A33)</f>
        <v>0</v>
      </c>
      <c r="AM33" s="9" t="n">
        <f aca="false">SUMIFS('Исходные данные'!$J$2:$J$954,'Исходные данные'!$D$2:$D$954,AL$1,'Исходные данные'!$F$2:$F$954,$A33)</f>
        <v>0</v>
      </c>
      <c r="AN33" s="9" t="n">
        <f aca="false">SUMIFS('Исходные данные'!$I$2:$I$954,'Исходные данные'!$D$2:$D$954,AN$1,'Исходные данные'!$F$2:$F$954,$A33)</f>
        <v>0</v>
      </c>
      <c r="AO33" s="9" t="n">
        <f aca="false">SUMIFS('Исходные данные'!$J$2:$J$954,'Исходные данные'!$D$2:$D$954,AN$1,'Исходные данные'!$F$2:$F$954,$A33)</f>
        <v>0</v>
      </c>
      <c r="AP33" s="9" t="n">
        <f aca="false">SUMIFS('Исходные данные'!$I$2:$I$954,'Исходные данные'!$D$2:$D$954,AP$1,'Исходные данные'!$F$2:$F$954,$A33)</f>
        <v>0</v>
      </c>
      <c r="AQ33" s="9" t="n">
        <f aca="false">SUMIFS('Исходные данные'!$J$2:$J$954,'Исходные данные'!$D$2:$D$954,AP$1,'Исходные данные'!$F$2:$F$954,$A33)</f>
        <v>0</v>
      </c>
      <c r="AR33" s="9" t="n">
        <f aca="false">SUMIFS('Исходные данные'!$I$2:$I$954,'Исходные данные'!$D$2:$D$954,AR$1,'Исходные данные'!$F$2:$F$954,$A33)</f>
        <v>0</v>
      </c>
      <c r="AS33" s="9" t="n">
        <f aca="false">SUMIFS('Исходные данные'!$J$2:$J$954,'Исходные данные'!$D$2:$D$954,AR$1,'Исходные данные'!$F$2:$F$954,$A33)</f>
        <v>0</v>
      </c>
      <c r="AT33" s="9" t="n">
        <f aca="false">SUMIFS('Исходные данные'!$I$2:$I$954,'Исходные данные'!$D$2:$D$954,AT$1,'Исходные данные'!$F$2:$F$954,$A33)</f>
        <v>0</v>
      </c>
      <c r="AU33" s="9" t="n">
        <f aca="false">SUMIFS('Исходные данные'!$J$2:$J$954,'Исходные данные'!$D$2:$D$954,AT$1,'Исходные данные'!$F$2:$F$954,$A33)</f>
        <v>0</v>
      </c>
      <c r="AV33" s="9" t="n">
        <f aca="false">SUMIFS('Исходные данные'!$I$2:$I$954,'Исходные данные'!$D$2:$D$954,AV$1,'Исходные данные'!$F$2:$F$954,$A33)</f>
        <v>0</v>
      </c>
      <c r="AW33" s="9" t="n">
        <f aca="false">SUMIFS('Исходные данные'!$J$2:$J$954,'Исходные данные'!$D$2:$D$954,AV$1,'Исходные данные'!$F$2:$F$954,$A33)</f>
        <v>0</v>
      </c>
      <c r="AX33" s="9" t="n">
        <f aca="false">SUMIFS('Исходные данные'!$I$2:$I$954,'Исходные данные'!$D$2:$D$954,AX$1,'Исходные данные'!$F$2:$F$954,$A33)</f>
        <v>0</v>
      </c>
      <c r="AY33" s="9" t="n">
        <f aca="false">SUMIFS('Исходные данные'!$J$2:$J$954,'Исходные данные'!$D$2:$D$954,AX$1,'Исходные данные'!$F$2:$F$954,$A33)</f>
        <v>0</v>
      </c>
      <c r="AZ33" s="9" t="n">
        <f aca="false">SUMIFS('Исходные данные'!$I$2:$I$954,'Исходные данные'!$D$2:$D$954,AZ$1,'Исходные данные'!$F$2:$F$954,$A33)</f>
        <v>0</v>
      </c>
      <c r="BA33" s="9" t="n">
        <f aca="false">SUMIFS('Исходные данные'!$J$2:$J$954,'Исходные данные'!$D$2:$D$954,AZ$1,'Исходные данные'!$F$2:$F$954,$A33)</f>
        <v>0</v>
      </c>
      <c r="BB33" s="9" t="n">
        <f aca="false">SUMIFS('Исходные данные'!$I$2:$I$954,'Исходные данные'!$D$2:$D$954,BB$1,'Исходные данные'!$F$2:$F$954,$A33)</f>
        <v>0</v>
      </c>
      <c r="BC33" s="9" t="n">
        <f aca="false">SUMIFS('Исходные данные'!$J$2:$J$954,'Исходные данные'!$D$2:$D$954,BB$1,'Исходные данные'!$F$2:$F$954,$A33)</f>
        <v>0</v>
      </c>
      <c r="BD33" s="9" t="n">
        <f aca="false">SUMIFS('Исходные данные'!$I$2:$I$954,'Исходные данные'!$D$2:$D$954,BD$1,'Исходные данные'!$F$2:$F$954,$A33)</f>
        <v>0</v>
      </c>
      <c r="BE33" s="9" t="n">
        <f aca="false">SUMIFS('Исходные данные'!$J$2:$J$954,'Исходные данные'!$D$2:$D$954,BD$1,'Исходные данные'!$F$2:$F$954,$A33)</f>
        <v>0</v>
      </c>
      <c r="BF33" s="9" t="n">
        <f aca="false">SUMIFS('Исходные данные'!$I$2:$I$954,'Исходные данные'!$D$2:$D$954,BF$1,'Исходные данные'!$F$2:$F$954,$A33)</f>
        <v>0</v>
      </c>
      <c r="BG33" s="9" t="n">
        <f aca="false">SUMIFS('Исходные данные'!$J$2:$J$954,'Исходные данные'!$D$2:$D$954,BF$1,'Исходные данные'!$F$2:$F$954,$A33)</f>
        <v>0</v>
      </c>
      <c r="BH33" s="9" t="n">
        <f aca="false">SUMIFS('Исходные данные'!$I$2:$I$954,'Исходные данные'!$D$2:$D$954,BH$1,'Исходные данные'!$F$2:$F$954,$A33)</f>
        <v>0</v>
      </c>
      <c r="BI33" s="9" t="n">
        <f aca="false">SUMIFS('Исходные данные'!$J$2:$J$954,'Исходные данные'!$D$2:$D$954,BH$1,'Исходные данные'!$F$2:$F$954,$A33)</f>
        <v>0</v>
      </c>
      <c r="BJ33" s="9" t="n">
        <f aca="false">SUMIFS('Исходные данные'!$I$2:$I$954,'Исходные данные'!$D$2:$D$954,BJ$1,'Исходные данные'!$F$2:$F$954,$A33)</f>
        <v>0</v>
      </c>
      <c r="BK33" s="9" t="n">
        <f aca="false">SUMIFS('Исходные данные'!$J$2:$J$954,'Исходные данные'!$D$2:$D$954,BJ$1,'Исходные данные'!$F$2:$F$954,$A33)</f>
        <v>0</v>
      </c>
      <c r="BL33" s="9" t="n">
        <f aca="false">SUMIFS('Исходные данные'!$I$2:$I$954,'Исходные данные'!$D$2:$D$954,BL$1,'Исходные данные'!$F$2:$F$954,$A33)</f>
        <v>0</v>
      </c>
      <c r="BM33" s="9" t="n">
        <f aca="false">SUMIFS('Исходные данные'!$J$2:$J$954,'Исходные данные'!$D$2:$D$954,BL$1,'Исходные данные'!$F$2:$F$954,$A33)</f>
        <v>0</v>
      </c>
      <c r="BN33" s="9" t="n">
        <f aca="false">SUMIFS('Исходные данные'!$I$2:$I$954,'Исходные данные'!$D$2:$D$954,BN$1,'Исходные данные'!$F$2:$F$954,$A33)</f>
        <v>0</v>
      </c>
      <c r="BO33" s="9" t="n">
        <f aca="false">SUMIFS('Исходные данные'!$J$2:$J$954,'Исходные данные'!$D$2:$D$954,BN$1,'Исходные данные'!$F$2:$F$954,$A33)</f>
        <v>0</v>
      </c>
      <c r="BP33" s="9" t="n">
        <f aca="false">SUMIFS('Исходные данные'!$I$2:$I$954,'Исходные данные'!$D$2:$D$954,BP$1,'Исходные данные'!$F$2:$F$954,$A33)</f>
        <v>0</v>
      </c>
      <c r="BQ33" s="9" t="n">
        <f aca="false">SUMIFS('Исходные данные'!$J$2:$J$954,'Исходные данные'!$D$2:$D$954,BP$1,'Исходные данные'!$F$2:$F$954,$A33)</f>
        <v>0</v>
      </c>
      <c r="BR33" s="9" t="n">
        <f aca="false">SUMIFS('Исходные данные'!$I$2:$I$954,'Исходные данные'!$D$2:$D$954,BR$1,'Исходные данные'!$F$2:$F$954,$A33)</f>
        <v>0</v>
      </c>
      <c r="BS33" s="9" t="n">
        <f aca="false">SUMIFS('Исходные данные'!$J$2:$J$954,'Исходные данные'!$D$2:$D$954,BR$1,'Исходные данные'!$F$2:$F$954,$A33)</f>
        <v>0</v>
      </c>
      <c r="BT33" s="9" t="n">
        <f aca="false">SUMIFS('Исходные данные'!$I$2:$I$954,'Исходные данные'!$D$2:$D$954,BT$1,'Исходные данные'!$F$2:$F$954,$A33)</f>
        <v>0</v>
      </c>
      <c r="BU33" s="9" t="n">
        <f aca="false">SUMIFS('Исходные данные'!$J$2:$J$954,'Исходные данные'!$D$2:$D$954,BT$1,'Исходные данные'!$F$2:$F$954,$A33)</f>
        <v>0</v>
      </c>
      <c r="BV33" s="9" t="n">
        <f aca="false">SUMIFS('Исходные данные'!$I$2:$I$954,'Исходные данные'!$D$2:$D$954,BV$1,'Исходные данные'!$F$2:$F$954,$A33)</f>
        <v>0</v>
      </c>
      <c r="BW33" s="9" t="n">
        <f aca="false">SUMIFS('Исходные данные'!$J$2:$J$954,'Исходные данные'!$D$2:$D$954,BV$1,'Исходные данные'!$F$2:$F$954,$A33)</f>
        <v>0</v>
      </c>
      <c r="BX33" s="9" t="n">
        <f aca="false">SUMIFS('Исходные данные'!$I$2:$I$954,'Исходные данные'!$D$2:$D$954,BX$1,'Исходные данные'!$F$2:$F$954,$A33)</f>
        <v>0</v>
      </c>
      <c r="BY33" s="9" t="n">
        <f aca="false">SUMIFS('Исходные данные'!$J$2:$J$954,'Исходные данные'!$D$2:$D$954,BX$1,'Исходные данные'!$F$2:$F$954,$A33)</f>
        <v>0</v>
      </c>
      <c r="BZ33" s="9" t="n">
        <f aca="false">SUMIFS('Исходные данные'!$I$2:$I$954,'Исходные данные'!$D$2:$D$954,BZ$1,'Исходные данные'!$F$2:$F$954,$A33)</f>
        <v>0</v>
      </c>
      <c r="CA33" s="9" t="n">
        <f aca="false">SUMIFS('Исходные данные'!$J$2:$J$954,'Исходные данные'!$D$2:$D$954,BZ$1,'Исходные данные'!$F$2:$F$954,$A33)</f>
        <v>0</v>
      </c>
      <c r="CB33" s="9" t="n">
        <f aca="false">SUMIFS('Исходные данные'!$I$2:$I$954,'Исходные данные'!$D$2:$D$954,CB$1,'Исходные данные'!$F$2:$F$954,$A33)</f>
        <v>0</v>
      </c>
      <c r="CC33" s="9" t="n">
        <f aca="false">SUMIFS('Исходные данные'!$J$2:$J$954,'Исходные данные'!$D$2:$D$954,CB$1,'Исходные данные'!$F$2:$F$954,$A33)</f>
        <v>0</v>
      </c>
      <c r="CD33" s="9" t="n">
        <f aca="false">SUMIFS('Исходные данные'!$I$2:$I$954,'Исходные данные'!$D$2:$D$954,CD$1,'Исходные данные'!$F$2:$F$954,$A33)</f>
        <v>0</v>
      </c>
      <c r="CE33" s="9" t="n">
        <f aca="false">SUMIFS('Исходные данные'!$J$2:$J$954,'Исходные данные'!$D$2:$D$954,CD$1,'Исходные данные'!$F$2:$F$954,$A33)</f>
        <v>0</v>
      </c>
      <c r="CF33" s="9" t="n">
        <f aca="false">SUMIFS('Исходные данные'!$I$2:$I$954,'Исходные данные'!$D$2:$D$954,CF$1,'Исходные данные'!$F$2:$F$954,$A33)</f>
        <v>0</v>
      </c>
      <c r="CG33" s="9" t="n">
        <f aca="false">SUMIFS('Исходные данные'!$J$2:$J$954,'Исходные данные'!$D$2:$D$954,CF$1,'Исходные данные'!$F$2:$F$954,$A33)</f>
        <v>0</v>
      </c>
      <c r="CH33" s="9" t="n">
        <f aca="false">SUMIFS('Исходные данные'!$I$2:$I$954,'Исходные данные'!$D$2:$D$954,CH$1,'Исходные данные'!$F$2:$F$954,$A33)</f>
        <v>0</v>
      </c>
      <c r="CI33" s="9" t="n">
        <f aca="false">SUMIFS('Исходные данные'!$J$2:$J$954,'Исходные данные'!$D$2:$D$954,CH$1,'Исходные данные'!$F$2:$F$954,$A33)</f>
        <v>0</v>
      </c>
    </row>
    <row r="34" customFormat="false" ht="15" hidden="false" customHeight="false" outlineLevel="0" collapsed="false">
      <c r="A34" s="8" t="s">
        <v>111</v>
      </c>
      <c r="B34" s="9" t="s">
        <v>112</v>
      </c>
      <c r="C34" s="5" t="n">
        <v>7</v>
      </c>
      <c r="D34" s="5" t="n">
        <f aca="false">F34+G34</f>
        <v>6</v>
      </c>
      <c r="E34" s="5" t="n">
        <f aca="false">D34-C34</f>
        <v>-1</v>
      </c>
      <c r="F34" s="5" t="n">
        <f aca="false">SUMIFS($H34:$CI34,$H$2:$CI$2,"День")</f>
        <v>5</v>
      </c>
      <c r="G34" s="5" t="n">
        <f aca="false">SUMIFS($H34:$CI34,$H$2:$CI$2,"Ночь")</f>
        <v>1</v>
      </c>
      <c r="H34" s="9" t="n">
        <f aca="false">SUMIFS('Исходные данные'!$I$2:$I$954,'Исходные данные'!$D$2:$D$954,H$1,'Исходные данные'!$F$2:$F$954,$A34)</f>
        <v>1</v>
      </c>
      <c r="I34" s="9" t="n">
        <f aca="false">SUMIFS('Исходные данные'!$J$2:$J$954,'Исходные данные'!$D$2:$D$954,H$1,'Исходные данные'!$F$2:$F$954,$A34)</f>
        <v>1</v>
      </c>
      <c r="J34" s="9" t="n">
        <f aca="false">SUMIFS('Исходные данные'!$I$2:$I$954,'Исходные данные'!$D$2:$D$954,J$1,'Исходные данные'!$F$2:$F$954,$A34)</f>
        <v>0</v>
      </c>
      <c r="K34" s="9" t="n">
        <f aca="false">SUMIFS('Исходные данные'!$J$2:$J$954,'Исходные данные'!$D$2:$D$954,J$1,'Исходные данные'!$F$2:$F$954,$A34)</f>
        <v>0</v>
      </c>
      <c r="L34" s="9" t="n">
        <f aca="false">SUMIFS('Исходные данные'!$I$2:$I$954,'Исходные данные'!$D$2:$D$954,L$1,'Исходные данные'!$F$2:$F$954,$A34)</f>
        <v>1</v>
      </c>
      <c r="M34" s="9" t="n">
        <f aca="false">SUMIFS('Исходные данные'!$J$2:$J$954,'Исходные данные'!$D$2:$D$954,L$1,'Исходные данные'!$F$2:$F$954,$A34)</f>
        <v>0</v>
      </c>
      <c r="N34" s="9" t="n">
        <f aca="false">SUMIFS('Исходные данные'!$I$2:$I$954,'Исходные данные'!$D$2:$D$954,N$1,'Исходные данные'!$F$2:$F$954,$A34)</f>
        <v>0</v>
      </c>
      <c r="O34" s="9" t="n">
        <f aca="false">SUMIFS('Исходные данные'!$J$2:$J$954,'Исходные данные'!$D$2:$D$954,N$1,'Исходные данные'!$F$2:$F$954,$A34)</f>
        <v>0</v>
      </c>
      <c r="P34" s="9" t="n">
        <f aca="false">SUMIFS('Исходные данные'!$I$2:$I$954,'Исходные данные'!$D$2:$D$954,P$1,'Исходные данные'!$F$2:$F$954,$A34)</f>
        <v>0</v>
      </c>
      <c r="Q34" s="9" t="n">
        <f aca="false">SUMIFS('Исходные данные'!$J$2:$J$954,'Исходные данные'!$D$2:$D$954,P$1,'Исходные данные'!$F$2:$F$954,$A34)</f>
        <v>0</v>
      </c>
      <c r="R34" s="9" t="n">
        <f aca="false">SUMIFS('Исходные данные'!$I$2:$I$954,'Исходные данные'!$D$2:$D$954,R$1,'Исходные данные'!$F$2:$F$954,$A34)</f>
        <v>3</v>
      </c>
      <c r="S34" s="9" t="n">
        <f aca="false">SUMIFS('Исходные данные'!$J$2:$J$954,'Исходные данные'!$D$2:$D$954,R$1,'Исходные данные'!$F$2:$F$954,$A34)</f>
        <v>0</v>
      </c>
      <c r="T34" s="9" t="n">
        <f aca="false">SUMIFS('Исходные данные'!$I$2:$I$954,'Исходные данные'!$D$2:$D$954,T$1,'Исходные данные'!$F$2:$F$954,$A34)</f>
        <v>0</v>
      </c>
      <c r="U34" s="9" t="n">
        <f aca="false">SUMIFS('Исходные данные'!$J$2:$J$954,'Исходные данные'!$D$2:$D$954,T$1,'Исходные данные'!$F$2:$F$954,$A34)</f>
        <v>0</v>
      </c>
      <c r="V34" s="9" t="n">
        <f aca="false">SUMIFS('Исходные данные'!$I$2:$I$954,'Исходные данные'!$D$2:$D$954,V$1,'Исходные данные'!$F$2:$F$954,$A34)</f>
        <v>0</v>
      </c>
      <c r="W34" s="9" t="n">
        <f aca="false">SUMIFS('Исходные данные'!$J$2:$J$954,'Исходные данные'!$D$2:$D$954,V$1,'Исходные данные'!$F$2:$F$954,$A34)</f>
        <v>0</v>
      </c>
      <c r="X34" s="9" t="n">
        <f aca="false">SUMIFS('Исходные данные'!$I$2:$I$954,'Исходные данные'!$D$2:$D$954,X$1,'Исходные данные'!$F$2:$F$954,$A34)</f>
        <v>0</v>
      </c>
      <c r="Y34" s="9" t="n">
        <f aca="false">SUMIFS('Исходные данные'!$J$2:$J$954,'Исходные данные'!$D$2:$D$954,X$1,'Исходные данные'!$F$2:$F$954,$A34)</f>
        <v>0</v>
      </c>
      <c r="Z34" s="9" t="n">
        <f aca="false">SUMIFS('Исходные данные'!$I$2:$I$954,'Исходные данные'!$D$2:$D$954,Z$1,'Исходные данные'!$F$2:$F$954,$A34)</f>
        <v>0</v>
      </c>
      <c r="AA34" s="9" t="n">
        <f aca="false">SUMIFS('Исходные данные'!$J$2:$J$954,'Исходные данные'!$D$2:$D$954,Z$1,'Исходные данные'!$F$2:$F$954,$A34)</f>
        <v>0</v>
      </c>
      <c r="AB34" s="9" t="n">
        <f aca="false">SUMIFS('Исходные данные'!$I$2:$I$954,'Исходные данные'!$D$2:$D$954,AB$1,'Исходные данные'!$F$2:$F$954,$A34)</f>
        <v>0</v>
      </c>
      <c r="AC34" s="9" t="n">
        <f aca="false">SUMIFS('Исходные данные'!$J$2:$J$954,'Исходные данные'!$D$2:$D$954,AB$1,'Исходные данные'!$F$2:$F$954,$A34)</f>
        <v>0</v>
      </c>
      <c r="AD34" s="9" t="n">
        <f aca="false">SUMIFS('Исходные данные'!$I$2:$I$954,'Исходные данные'!$D$2:$D$954,AD$1,'Исходные данные'!$F$2:$F$954,$A34)</f>
        <v>0</v>
      </c>
      <c r="AE34" s="9" t="n">
        <f aca="false">SUMIFS('Исходные данные'!$J$2:$J$954,'Исходные данные'!$D$2:$D$954,AD$1,'Исходные данные'!$F$2:$F$954,$A34)</f>
        <v>0</v>
      </c>
      <c r="AF34" s="9" t="n">
        <f aca="false">SUMIFS('Исходные данные'!$I$2:$I$954,'Исходные данные'!$D$2:$D$954,AF$1,'Исходные данные'!$F$2:$F$954,$A34)</f>
        <v>0</v>
      </c>
      <c r="AG34" s="9" t="n">
        <f aca="false">SUMIFS('Исходные данные'!$J$2:$J$954,'Исходные данные'!$D$2:$D$954,AF$1,'Исходные данные'!$F$2:$F$954,$A34)</f>
        <v>0</v>
      </c>
      <c r="AH34" s="9" t="n">
        <f aca="false">SUMIFS('Исходные данные'!$I$2:$I$954,'Исходные данные'!$D$2:$D$954,AH$1,'Исходные данные'!$F$2:$F$954,$A34)</f>
        <v>0</v>
      </c>
      <c r="AI34" s="9" t="n">
        <f aca="false">SUMIFS('Исходные данные'!$J$2:$J$954,'Исходные данные'!$D$2:$D$954,AH$1,'Исходные данные'!$F$2:$F$954,$A34)</f>
        <v>0</v>
      </c>
      <c r="AJ34" s="9" t="n">
        <f aca="false">SUMIFS('Исходные данные'!$I$2:$I$954,'Исходные данные'!$D$2:$D$954,AJ$1,'Исходные данные'!$F$2:$F$954,$A34)</f>
        <v>0</v>
      </c>
      <c r="AK34" s="9" t="n">
        <f aca="false">SUMIFS('Исходные данные'!$J$2:$J$954,'Исходные данные'!$D$2:$D$954,AJ$1,'Исходные данные'!$F$2:$F$954,$A34)</f>
        <v>0</v>
      </c>
      <c r="AL34" s="9" t="n">
        <f aca="false">SUMIFS('Исходные данные'!$I$2:$I$954,'Исходные данные'!$D$2:$D$954,AL$1,'Исходные данные'!$F$2:$F$954,$A34)</f>
        <v>0</v>
      </c>
      <c r="AM34" s="9" t="n">
        <f aca="false">SUMIFS('Исходные данные'!$J$2:$J$954,'Исходные данные'!$D$2:$D$954,AL$1,'Исходные данные'!$F$2:$F$954,$A34)</f>
        <v>0</v>
      </c>
      <c r="AN34" s="9" t="n">
        <f aca="false">SUMIFS('Исходные данные'!$I$2:$I$954,'Исходные данные'!$D$2:$D$954,AN$1,'Исходные данные'!$F$2:$F$954,$A34)</f>
        <v>0</v>
      </c>
      <c r="AO34" s="9" t="n">
        <f aca="false">SUMIFS('Исходные данные'!$J$2:$J$954,'Исходные данные'!$D$2:$D$954,AN$1,'Исходные данные'!$F$2:$F$954,$A34)</f>
        <v>0</v>
      </c>
      <c r="AP34" s="9" t="n">
        <f aca="false">SUMIFS('Исходные данные'!$I$2:$I$954,'Исходные данные'!$D$2:$D$954,AP$1,'Исходные данные'!$F$2:$F$954,$A34)</f>
        <v>0</v>
      </c>
      <c r="AQ34" s="9" t="n">
        <f aca="false">SUMIFS('Исходные данные'!$J$2:$J$954,'Исходные данные'!$D$2:$D$954,AP$1,'Исходные данные'!$F$2:$F$954,$A34)</f>
        <v>0</v>
      </c>
      <c r="AR34" s="9" t="n">
        <f aca="false">SUMIFS('Исходные данные'!$I$2:$I$954,'Исходные данные'!$D$2:$D$954,AR$1,'Исходные данные'!$F$2:$F$954,$A34)</f>
        <v>0</v>
      </c>
      <c r="AS34" s="9" t="n">
        <f aca="false">SUMIFS('Исходные данные'!$J$2:$J$954,'Исходные данные'!$D$2:$D$954,AR$1,'Исходные данные'!$F$2:$F$954,$A34)</f>
        <v>0</v>
      </c>
      <c r="AT34" s="9" t="n">
        <f aca="false">SUMIFS('Исходные данные'!$I$2:$I$954,'Исходные данные'!$D$2:$D$954,AT$1,'Исходные данные'!$F$2:$F$954,$A34)</f>
        <v>0</v>
      </c>
      <c r="AU34" s="9" t="n">
        <f aca="false">SUMIFS('Исходные данные'!$J$2:$J$954,'Исходные данные'!$D$2:$D$954,AT$1,'Исходные данные'!$F$2:$F$954,$A34)</f>
        <v>0</v>
      </c>
      <c r="AV34" s="9" t="n">
        <f aca="false">SUMIFS('Исходные данные'!$I$2:$I$954,'Исходные данные'!$D$2:$D$954,AV$1,'Исходные данные'!$F$2:$F$954,$A34)</f>
        <v>0</v>
      </c>
      <c r="AW34" s="9" t="n">
        <f aca="false">SUMIFS('Исходные данные'!$J$2:$J$954,'Исходные данные'!$D$2:$D$954,AV$1,'Исходные данные'!$F$2:$F$954,$A34)</f>
        <v>0</v>
      </c>
      <c r="AX34" s="9" t="n">
        <f aca="false">SUMIFS('Исходные данные'!$I$2:$I$954,'Исходные данные'!$D$2:$D$954,AX$1,'Исходные данные'!$F$2:$F$954,$A34)</f>
        <v>0</v>
      </c>
      <c r="AY34" s="9" t="n">
        <f aca="false">SUMIFS('Исходные данные'!$J$2:$J$954,'Исходные данные'!$D$2:$D$954,AX$1,'Исходные данные'!$F$2:$F$954,$A34)</f>
        <v>0</v>
      </c>
      <c r="AZ34" s="9" t="n">
        <f aca="false">SUMIFS('Исходные данные'!$I$2:$I$954,'Исходные данные'!$D$2:$D$954,AZ$1,'Исходные данные'!$F$2:$F$954,$A34)</f>
        <v>0</v>
      </c>
      <c r="BA34" s="9" t="n">
        <f aca="false">SUMIFS('Исходные данные'!$J$2:$J$954,'Исходные данные'!$D$2:$D$954,AZ$1,'Исходные данные'!$F$2:$F$954,$A34)</f>
        <v>0</v>
      </c>
      <c r="BB34" s="9" t="n">
        <f aca="false">SUMIFS('Исходные данные'!$I$2:$I$954,'Исходные данные'!$D$2:$D$954,BB$1,'Исходные данные'!$F$2:$F$954,$A34)</f>
        <v>0</v>
      </c>
      <c r="BC34" s="9" t="n">
        <f aca="false">SUMIFS('Исходные данные'!$J$2:$J$954,'Исходные данные'!$D$2:$D$954,BB$1,'Исходные данные'!$F$2:$F$954,$A34)</f>
        <v>0</v>
      </c>
      <c r="BD34" s="9" t="n">
        <f aca="false">SUMIFS('Исходные данные'!$I$2:$I$954,'Исходные данные'!$D$2:$D$954,BD$1,'Исходные данные'!$F$2:$F$954,$A34)</f>
        <v>0</v>
      </c>
      <c r="BE34" s="9" t="n">
        <f aca="false">SUMIFS('Исходные данные'!$J$2:$J$954,'Исходные данные'!$D$2:$D$954,BD$1,'Исходные данные'!$F$2:$F$954,$A34)</f>
        <v>0</v>
      </c>
      <c r="BF34" s="9" t="n">
        <f aca="false">SUMIFS('Исходные данные'!$I$2:$I$954,'Исходные данные'!$D$2:$D$954,BF$1,'Исходные данные'!$F$2:$F$954,$A34)</f>
        <v>0</v>
      </c>
      <c r="BG34" s="9" t="n">
        <f aca="false">SUMIFS('Исходные данные'!$J$2:$J$954,'Исходные данные'!$D$2:$D$954,BF$1,'Исходные данные'!$F$2:$F$954,$A34)</f>
        <v>0</v>
      </c>
      <c r="BH34" s="9" t="n">
        <f aca="false">SUMIFS('Исходные данные'!$I$2:$I$954,'Исходные данные'!$D$2:$D$954,BH$1,'Исходные данные'!$F$2:$F$954,$A34)</f>
        <v>0</v>
      </c>
      <c r="BI34" s="9" t="n">
        <f aca="false">SUMIFS('Исходные данные'!$J$2:$J$954,'Исходные данные'!$D$2:$D$954,BH$1,'Исходные данные'!$F$2:$F$954,$A34)</f>
        <v>0</v>
      </c>
      <c r="BJ34" s="9" t="n">
        <f aca="false">SUMIFS('Исходные данные'!$I$2:$I$954,'Исходные данные'!$D$2:$D$954,BJ$1,'Исходные данные'!$F$2:$F$954,$A34)</f>
        <v>0</v>
      </c>
      <c r="BK34" s="9" t="n">
        <f aca="false">SUMIFS('Исходные данные'!$J$2:$J$954,'Исходные данные'!$D$2:$D$954,BJ$1,'Исходные данные'!$F$2:$F$954,$A34)</f>
        <v>0</v>
      </c>
      <c r="BL34" s="9" t="n">
        <f aca="false">SUMIFS('Исходные данные'!$I$2:$I$954,'Исходные данные'!$D$2:$D$954,BL$1,'Исходные данные'!$F$2:$F$954,$A34)</f>
        <v>0</v>
      </c>
      <c r="BM34" s="9" t="n">
        <f aca="false">SUMIFS('Исходные данные'!$J$2:$J$954,'Исходные данные'!$D$2:$D$954,BL$1,'Исходные данные'!$F$2:$F$954,$A34)</f>
        <v>0</v>
      </c>
      <c r="BN34" s="9" t="n">
        <f aca="false">SUMIFS('Исходные данные'!$I$2:$I$954,'Исходные данные'!$D$2:$D$954,BN$1,'Исходные данные'!$F$2:$F$954,$A34)</f>
        <v>0</v>
      </c>
      <c r="BO34" s="9" t="n">
        <f aca="false">SUMIFS('Исходные данные'!$J$2:$J$954,'Исходные данные'!$D$2:$D$954,BN$1,'Исходные данные'!$F$2:$F$954,$A34)</f>
        <v>0</v>
      </c>
      <c r="BP34" s="9" t="n">
        <f aca="false">SUMIFS('Исходные данные'!$I$2:$I$954,'Исходные данные'!$D$2:$D$954,BP$1,'Исходные данные'!$F$2:$F$954,$A34)</f>
        <v>0</v>
      </c>
      <c r="BQ34" s="9" t="n">
        <f aca="false">SUMIFS('Исходные данные'!$J$2:$J$954,'Исходные данные'!$D$2:$D$954,BP$1,'Исходные данные'!$F$2:$F$954,$A34)</f>
        <v>0</v>
      </c>
      <c r="BR34" s="9" t="n">
        <f aca="false">SUMIFS('Исходные данные'!$I$2:$I$954,'Исходные данные'!$D$2:$D$954,BR$1,'Исходные данные'!$F$2:$F$954,$A34)</f>
        <v>0</v>
      </c>
      <c r="BS34" s="9" t="n">
        <f aca="false">SUMIFS('Исходные данные'!$J$2:$J$954,'Исходные данные'!$D$2:$D$954,BR$1,'Исходные данные'!$F$2:$F$954,$A34)</f>
        <v>0</v>
      </c>
      <c r="BT34" s="9" t="n">
        <f aca="false">SUMIFS('Исходные данные'!$I$2:$I$954,'Исходные данные'!$D$2:$D$954,BT$1,'Исходные данные'!$F$2:$F$954,$A34)</f>
        <v>0</v>
      </c>
      <c r="BU34" s="9" t="n">
        <f aca="false">SUMIFS('Исходные данные'!$J$2:$J$954,'Исходные данные'!$D$2:$D$954,BT$1,'Исходные данные'!$F$2:$F$954,$A34)</f>
        <v>0</v>
      </c>
      <c r="BV34" s="9" t="n">
        <f aca="false">SUMIFS('Исходные данные'!$I$2:$I$954,'Исходные данные'!$D$2:$D$954,BV$1,'Исходные данные'!$F$2:$F$954,$A34)</f>
        <v>0</v>
      </c>
      <c r="BW34" s="9" t="n">
        <f aca="false">SUMIFS('Исходные данные'!$J$2:$J$954,'Исходные данные'!$D$2:$D$954,BV$1,'Исходные данные'!$F$2:$F$954,$A34)</f>
        <v>0</v>
      </c>
      <c r="BX34" s="9" t="n">
        <f aca="false">SUMIFS('Исходные данные'!$I$2:$I$954,'Исходные данные'!$D$2:$D$954,BX$1,'Исходные данные'!$F$2:$F$954,$A34)</f>
        <v>0</v>
      </c>
      <c r="BY34" s="9" t="n">
        <f aca="false">SUMIFS('Исходные данные'!$J$2:$J$954,'Исходные данные'!$D$2:$D$954,BX$1,'Исходные данные'!$F$2:$F$954,$A34)</f>
        <v>0</v>
      </c>
      <c r="BZ34" s="9" t="n">
        <f aca="false">SUMIFS('Исходные данные'!$I$2:$I$954,'Исходные данные'!$D$2:$D$954,BZ$1,'Исходные данные'!$F$2:$F$954,$A34)</f>
        <v>0</v>
      </c>
      <c r="CA34" s="9" t="n">
        <f aca="false">SUMIFS('Исходные данные'!$J$2:$J$954,'Исходные данные'!$D$2:$D$954,BZ$1,'Исходные данные'!$F$2:$F$954,$A34)</f>
        <v>0</v>
      </c>
      <c r="CB34" s="9" t="n">
        <f aca="false">SUMIFS('Исходные данные'!$I$2:$I$954,'Исходные данные'!$D$2:$D$954,CB$1,'Исходные данные'!$F$2:$F$954,$A34)</f>
        <v>0</v>
      </c>
      <c r="CC34" s="9" t="n">
        <f aca="false">SUMIFS('Исходные данные'!$J$2:$J$954,'Исходные данные'!$D$2:$D$954,CB$1,'Исходные данные'!$F$2:$F$954,$A34)</f>
        <v>0</v>
      </c>
      <c r="CD34" s="9" t="n">
        <f aca="false">SUMIFS('Исходные данные'!$I$2:$I$954,'Исходные данные'!$D$2:$D$954,CD$1,'Исходные данные'!$F$2:$F$954,$A34)</f>
        <v>0</v>
      </c>
      <c r="CE34" s="9" t="n">
        <f aca="false">SUMIFS('Исходные данные'!$J$2:$J$954,'Исходные данные'!$D$2:$D$954,CD$1,'Исходные данные'!$F$2:$F$954,$A34)</f>
        <v>0</v>
      </c>
      <c r="CF34" s="9" t="n">
        <f aca="false">SUMIFS('Исходные данные'!$I$2:$I$954,'Исходные данные'!$D$2:$D$954,CF$1,'Исходные данные'!$F$2:$F$954,$A34)</f>
        <v>0</v>
      </c>
      <c r="CG34" s="9" t="n">
        <f aca="false">SUMIFS('Исходные данные'!$J$2:$J$954,'Исходные данные'!$D$2:$D$954,CF$1,'Исходные данные'!$F$2:$F$954,$A34)</f>
        <v>0</v>
      </c>
      <c r="CH34" s="9" t="n">
        <f aca="false">SUMIFS('Исходные данные'!$I$2:$I$954,'Исходные данные'!$D$2:$D$954,CH$1,'Исходные данные'!$F$2:$F$954,$A34)</f>
        <v>0</v>
      </c>
      <c r="CI34" s="9" t="n">
        <f aca="false">SUMIFS('Исходные данные'!$J$2:$J$954,'Исходные данные'!$D$2:$D$954,CH$1,'Исходные данные'!$F$2:$F$954,$A34)</f>
        <v>0</v>
      </c>
    </row>
    <row r="35" customFormat="false" ht="15" hidden="false" customHeight="false" outlineLevel="0" collapsed="false">
      <c r="A35" s="8" t="s">
        <v>113</v>
      </c>
      <c r="B35" s="9" t="s">
        <v>114</v>
      </c>
      <c r="C35" s="5" t="n">
        <v>4</v>
      </c>
      <c r="D35" s="5" t="n">
        <f aca="false">F35+G35</f>
        <v>4</v>
      </c>
      <c r="E35" s="5" t="n">
        <f aca="false">D35-C35</f>
        <v>0</v>
      </c>
      <c r="F35" s="5" t="n">
        <f aca="false">SUMIFS($H35:$CI35,$H$2:$CI$2,"День")</f>
        <v>4</v>
      </c>
      <c r="G35" s="5" t="n">
        <f aca="false">SUMIFS($H35:$CI35,$H$2:$CI$2,"Ночь")</f>
        <v>0</v>
      </c>
      <c r="H35" s="9" t="n">
        <f aca="false">SUMIFS('Исходные данные'!$I$2:$I$954,'Исходные данные'!$D$2:$D$954,H$1,'Исходные данные'!$F$2:$F$954,$A35)</f>
        <v>0</v>
      </c>
      <c r="I35" s="9" t="n">
        <f aca="false">SUMIFS('Исходные данные'!$J$2:$J$954,'Исходные данные'!$D$2:$D$954,H$1,'Исходные данные'!$F$2:$F$954,$A35)</f>
        <v>0</v>
      </c>
      <c r="J35" s="9" t="n">
        <f aca="false">SUMIFS('Исходные данные'!$I$2:$I$954,'Исходные данные'!$D$2:$D$954,J$1,'Исходные данные'!$F$2:$F$954,$A35)</f>
        <v>0</v>
      </c>
      <c r="K35" s="9" t="n">
        <f aca="false">SUMIFS('Исходные данные'!$J$2:$J$954,'Исходные данные'!$D$2:$D$954,J$1,'Исходные данные'!$F$2:$F$954,$A35)</f>
        <v>0</v>
      </c>
      <c r="L35" s="9" t="n">
        <f aca="false">SUMIFS('Исходные данные'!$I$2:$I$954,'Исходные данные'!$D$2:$D$954,L$1,'Исходные данные'!$F$2:$F$954,$A35)</f>
        <v>0</v>
      </c>
      <c r="M35" s="9" t="n">
        <f aca="false">SUMIFS('Исходные данные'!$J$2:$J$954,'Исходные данные'!$D$2:$D$954,L$1,'Исходные данные'!$F$2:$F$954,$A35)</f>
        <v>0</v>
      </c>
      <c r="N35" s="9" t="n">
        <f aca="false">SUMIFS('Исходные данные'!$I$2:$I$954,'Исходные данные'!$D$2:$D$954,N$1,'Исходные данные'!$F$2:$F$954,$A35)</f>
        <v>0</v>
      </c>
      <c r="O35" s="9" t="n">
        <f aca="false">SUMIFS('Исходные данные'!$J$2:$J$954,'Исходные данные'!$D$2:$D$954,N$1,'Исходные данные'!$F$2:$F$954,$A35)</f>
        <v>0</v>
      </c>
      <c r="P35" s="9" t="n">
        <f aca="false">SUMIFS('Исходные данные'!$I$2:$I$954,'Исходные данные'!$D$2:$D$954,P$1,'Исходные данные'!$F$2:$F$954,$A35)</f>
        <v>0</v>
      </c>
      <c r="Q35" s="9" t="n">
        <f aca="false">SUMIFS('Исходные данные'!$J$2:$J$954,'Исходные данные'!$D$2:$D$954,P$1,'Исходные данные'!$F$2:$F$954,$A35)</f>
        <v>0</v>
      </c>
      <c r="R35" s="9" t="n">
        <f aca="false">SUMIFS('Исходные данные'!$I$2:$I$954,'Исходные данные'!$D$2:$D$954,R$1,'Исходные данные'!$F$2:$F$954,$A35)</f>
        <v>0</v>
      </c>
      <c r="S35" s="9" t="n">
        <f aca="false">SUMIFS('Исходные данные'!$J$2:$J$954,'Исходные данные'!$D$2:$D$954,R$1,'Исходные данные'!$F$2:$F$954,$A35)</f>
        <v>0</v>
      </c>
      <c r="T35" s="9" t="n">
        <f aca="false">SUMIFS('Исходные данные'!$I$2:$I$954,'Исходные данные'!$D$2:$D$954,T$1,'Исходные данные'!$F$2:$F$954,$A35)</f>
        <v>0</v>
      </c>
      <c r="U35" s="9" t="n">
        <f aca="false">SUMIFS('Исходные данные'!$J$2:$J$954,'Исходные данные'!$D$2:$D$954,T$1,'Исходные данные'!$F$2:$F$954,$A35)</f>
        <v>0</v>
      </c>
      <c r="V35" s="9" t="n">
        <f aca="false">SUMIFS('Исходные данные'!$I$2:$I$954,'Исходные данные'!$D$2:$D$954,V$1,'Исходные данные'!$F$2:$F$954,$A35)</f>
        <v>0</v>
      </c>
      <c r="W35" s="9" t="n">
        <f aca="false">SUMIFS('Исходные данные'!$J$2:$J$954,'Исходные данные'!$D$2:$D$954,V$1,'Исходные данные'!$F$2:$F$954,$A35)</f>
        <v>0</v>
      </c>
      <c r="X35" s="9" t="n">
        <f aca="false">SUMIFS('Исходные данные'!$I$2:$I$954,'Исходные данные'!$D$2:$D$954,X$1,'Исходные данные'!$F$2:$F$954,$A35)</f>
        <v>0</v>
      </c>
      <c r="Y35" s="9" t="n">
        <f aca="false">SUMIFS('Исходные данные'!$J$2:$J$954,'Исходные данные'!$D$2:$D$954,X$1,'Исходные данные'!$F$2:$F$954,$A35)</f>
        <v>0</v>
      </c>
      <c r="Z35" s="9" t="n">
        <f aca="false">SUMIFS('Исходные данные'!$I$2:$I$954,'Исходные данные'!$D$2:$D$954,Z$1,'Исходные данные'!$F$2:$F$954,$A35)</f>
        <v>0</v>
      </c>
      <c r="AA35" s="9" t="n">
        <f aca="false">SUMIFS('Исходные данные'!$J$2:$J$954,'Исходные данные'!$D$2:$D$954,Z$1,'Исходные данные'!$F$2:$F$954,$A35)</f>
        <v>0</v>
      </c>
      <c r="AB35" s="9" t="n">
        <f aca="false">SUMIFS('Исходные данные'!$I$2:$I$954,'Исходные данные'!$D$2:$D$954,AB$1,'Исходные данные'!$F$2:$F$954,$A35)</f>
        <v>0</v>
      </c>
      <c r="AC35" s="9" t="n">
        <f aca="false">SUMIFS('Исходные данные'!$J$2:$J$954,'Исходные данные'!$D$2:$D$954,AB$1,'Исходные данные'!$F$2:$F$954,$A35)</f>
        <v>0</v>
      </c>
      <c r="AD35" s="9" t="n">
        <f aca="false">SUMIFS('Исходные данные'!$I$2:$I$954,'Исходные данные'!$D$2:$D$954,AD$1,'Исходные данные'!$F$2:$F$954,$A35)</f>
        <v>0</v>
      </c>
      <c r="AE35" s="9" t="n">
        <f aca="false">SUMIFS('Исходные данные'!$J$2:$J$954,'Исходные данные'!$D$2:$D$954,AD$1,'Исходные данные'!$F$2:$F$954,$A35)</f>
        <v>0</v>
      </c>
      <c r="AF35" s="9" t="n">
        <f aca="false">SUMIFS('Исходные данные'!$I$2:$I$954,'Исходные данные'!$D$2:$D$954,AF$1,'Исходные данные'!$F$2:$F$954,$A35)</f>
        <v>0</v>
      </c>
      <c r="AG35" s="9" t="n">
        <f aca="false">SUMIFS('Исходные данные'!$J$2:$J$954,'Исходные данные'!$D$2:$D$954,AF$1,'Исходные данные'!$F$2:$F$954,$A35)</f>
        <v>0</v>
      </c>
      <c r="AH35" s="9" t="n">
        <f aca="false">SUMIFS('Исходные данные'!$I$2:$I$954,'Исходные данные'!$D$2:$D$954,AH$1,'Исходные данные'!$F$2:$F$954,$A35)</f>
        <v>0</v>
      </c>
      <c r="AI35" s="9" t="n">
        <f aca="false">SUMIFS('Исходные данные'!$J$2:$J$954,'Исходные данные'!$D$2:$D$954,AH$1,'Исходные данные'!$F$2:$F$954,$A35)</f>
        <v>0</v>
      </c>
      <c r="AJ35" s="9" t="n">
        <f aca="false">SUMIFS('Исходные данные'!$I$2:$I$954,'Исходные данные'!$D$2:$D$954,AJ$1,'Исходные данные'!$F$2:$F$954,$A35)</f>
        <v>0</v>
      </c>
      <c r="AK35" s="9" t="n">
        <f aca="false">SUMIFS('Исходные данные'!$J$2:$J$954,'Исходные данные'!$D$2:$D$954,AJ$1,'Исходные данные'!$F$2:$F$954,$A35)</f>
        <v>0</v>
      </c>
      <c r="AL35" s="9" t="n">
        <f aca="false">SUMIFS('Исходные данные'!$I$2:$I$954,'Исходные данные'!$D$2:$D$954,AL$1,'Исходные данные'!$F$2:$F$954,$A35)</f>
        <v>0</v>
      </c>
      <c r="AM35" s="9" t="n">
        <f aca="false">SUMIFS('Исходные данные'!$J$2:$J$954,'Исходные данные'!$D$2:$D$954,AL$1,'Исходные данные'!$F$2:$F$954,$A35)</f>
        <v>0</v>
      </c>
      <c r="AN35" s="9" t="n">
        <f aca="false">SUMIFS('Исходные данные'!$I$2:$I$954,'Исходные данные'!$D$2:$D$954,AN$1,'Исходные данные'!$F$2:$F$954,$A35)</f>
        <v>0</v>
      </c>
      <c r="AO35" s="9" t="n">
        <f aca="false">SUMIFS('Исходные данные'!$J$2:$J$954,'Исходные данные'!$D$2:$D$954,AN$1,'Исходные данные'!$F$2:$F$954,$A35)</f>
        <v>0</v>
      </c>
      <c r="AP35" s="9" t="n">
        <f aca="false">SUMIFS('Исходные данные'!$I$2:$I$954,'Исходные данные'!$D$2:$D$954,AP$1,'Исходные данные'!$F$2:$F$954,$A35)</f>
        <v>0</v>
      </c>
      <c r="AQ35" s="9" t="n">
        <f aca="false">SUMIFS('Исходные данные'!$J$2:$J$954,'Исходные данные'!$D$2:$D$954,AP$1,'Исходные данные'!$F$2:$F$954,$A35)</f>
        <v>0</v>
      </c>
      <c r="AR35" s="9" t="n">
        <f aca="false">SUMIFS('Исходные данные'!$I$2:$I$954,'Исходные данные'!$D$2:$D$954,AR$1,'Исходные данные'!$F$2:$F$954,$A35)</f>
        <v>0</v>
      </c>
      <c r="AS35" s="9" t="n">
        <f aca="false">SUMIFS('Исходные данные'!$J$2:$J$954,'Исходные данные'!$D$2:$D$954,AR$1,'Исходные данные'!$F$2:$F$954,$A35)</f>
        <v>0</v>
      </c>
      <c r="AT35" s="9" t="n">
        <f aca="false">SUMIFS('Исходные данные'!$I$2:$I$954,'Исходные данные'!$D$2:$D$954,AT$1,'Исходные данные'!$F$2:$F$954,$A35)</f>
        <v>4</v>
      </c>
      <c r="AU35" s="9" t="n">
        <f aca="false">SUMIFS('Исходные данные'!$J$2:$J$954,'Исходные данные'!$D$2:$D$954,AT$1,'Исходные данные'!$F$2:$F$954,$A35)</f>
        <v>0</v>
      </c>
      <c r="AV35" s="9" t="n">
        <f aca="false">SUMIFS('Исходные данные'!$I$2:$I$954,'Исходные данные'!$D$2:$D$954,AV$1,'Исходные данные'!$F$2:$F$954,$A35)</f>
        <v>0</v>
      </c>
      <c r="AW35" s="9" t="n">
        <f aca="false">SUMIFS('Исходные данные'!$J$2:$J$954,'Исходные данные'!$D$2:$D$954,AV$1,'Исходные данные'!$F$2:$F$954,$A35)</f>
        <v>0</v>
      </c>
      <c r="AX35" s="9" t="n">
        <f aca="false">SUMIFS('Исходные данные'!$I$2:$I$954,'Исходные данные'!$D$2:$D$954,AX$1,'Исходные данные'!$F$2:$F$954,$A35)</f>
        <v>0</v>
      </c>
      <c r="AY35" s="9" t="n">
        <f aca="false">SUMIFS('Исходные данные'!$J$2:$J$954,'Исходные данные'!$D$2:$D$954,AX$1,'Исходные данные'!$F$2:$F$954,$A35)</f>
        <v>0</v>
      </c>
      <c r="AZ35" s="9" t="n">
        <f aca="false">SUMIFS('Исходные данные'!$I$2:$I$954,'Исходные данные'!$D$2:$D$954,AZ$1,'Исходные данные'!$F$2:$F$954,$A35)</f>
        <v>0</v>
      </c>
      <c r="BA35" s="9" t="n">
        <f aca="false">SUMIFS('Исходные данные'!$J$2:$J$954,'Исходные данные'!$D$2:$D$954,AZ$1,'Исходные данные'!$F$2:$F$954,$A35)</f>
        <v>0</v>
      </c>
      <c r="BB35" s="9" t="n">
        <f aca="false">SUMIFS('Исходные данные'!$I$2:$I$954,'Исходные данные'!$D$2:$D$954,BB$1,'Исходные данные'!$F$2:$F$954,$A35)</f>
        <v>0</v>
      </c>
      <c r="BC35" s="9" t="n">
        <f aca="false">SUMIFS('Исходные данные'!$J$2:$J$954,'Исходные данные'!$D$2:$D$954,BB$1,'Исходные данные'!$F$2:$F$954,$A35)</f>
        <v>0</v>
      </c>
      <c r="BD35" s="9" t="n">
        <f aca="false">SUMIFS('Исходные данные'!$I$2:$I$954,'Исходные данные'!$D$2:$D$954,BD$1,'Исходные данные'!$F$2:$F$954,$A35)</f>
        <v>0</v>
      </c>
      <c r="BE35" s="9" t="n">
        <f aca="false">SUMIFS('Исходные данные'!$J$2:$J$954,'Исходные данные'!$D$2:$D$954,BD$1,'Исходные данные'!$F$2:$F$954,$A35)</f>
        <v>0</v>
      </c>
      <c r="BF35" s="9" t="n">
        <f aca="false">SUMIFS('Исходные данные'!$I$2:$I$954,'Исходные данные'!$D$2:$D$954,BF$1,'Исходные данные'!$F$2:$F$954,$A35)</f>
        <v>0</v>
      </c>
      <c r="BG35" s="9" t="n">
        <f aca="false">SUMIFS('Исходные данные'!$J$2:$J$954,'Исходные данные'!$D$2:$D$954,BF$1,'Исходные данные'!$F$2:$F$954,$A35)</f>
        <v>0</v>
      </c>
      <c r="BH35" s="9" t="n">
        <f aca="false">SUMIFS('Исходные данные'!$I$2:$I$954,'Исходные данные'!$D$2:$D$954,BH$1,'Исходные данные'!$F$2:$F$954,$A35)</f>
        <v>0</v>
      </c>
      <c r="BI35" s="9" t="n">
        <f aca="false">SUMIFS('Исходные данные'!$J$2:$J$954,'Исходные данные'!$D$2:$D$954,BH$1,'Исходные данные'!$F$2:$F$954,$A35)</f>
        <v>0</v>
      </c>
      <c r="BJ35" s="9" t="n">
        <f aca="false">SUMIFS('Исходные данные'!$I$2:$I$954,'Исходные данные'!$D$2:$D$954,BJ$1,'Исходные данные'!$F$2:$F$954,$A35)</f>
        <v>0</v>
      </c>
      <c r="BK35" s="9" t="n">
        <f aca="false">SUMIFS('Исходные данные'!$J$2:$J$954,'Исходные данные'!$D$2:$D$954,BJ$1,'Исходные данные'!$F$2:$F$954,$A35)</f>
        <v>0</v>
      </c>
      <c r="BL35" s="9" t="n">
        <f aca="false">SUMIFS('Исходные данные'!$I$2:$I$954,'Исходные данные'!$D$2:$D$954,BL$1,'Исходные данные'!$F$2:$F$954,$A35)</f>
        <v>0</v>
      </c>
      <c r="BM35" s="9" t="n">
        <f aca="false">SUMIFS('Исходные данные'!$J$2:$J$954,'Исходные данные'!$D$2:$D$954,BL$1,'Исходные данные'!$F$2:$F$954,$A35)</f>
        <v>0</v>
      </c>
      <c r="BN35" s="9" t="n">
        <f aca="false">SUMIFS('Исходные данные'!$I$2:$I$954,'Исходные данные'!$D$2:$D$954,BN$1,'Исходные данные'!$F$2:$F$954,$A35)</f>
        <v>0</v>
      </c>
      <c r="BO35" s="9" t="n">
        <f aca="false">SUMIFS('Исходные данные'!$J$2:$J$954,'Исходные данные'!$D$2:$D$954,BN$1,'Исходные данные'!$F$2:$F$954,$A35)</f>
        <v>0</v>
      </c>
      <c r="BP35" s="9" t="n">
        <f aca="false">SUMIFS('Исходные данные'!$I$2:$I$954,'Исходные данные'!$D$2:$D$954,BP$1,'Исходные данные'!$F$2:$F$954,$A35)</f>
        <v>0</v>
      </c>
      <c r="BQ35" s="9" t="n">
        <f aca="false">SUMIFS('Исходные данные'!$J$2:$J$954,'Исходные данные'!$D$2:$D$954,BP$1,'Исходные данные'!$F$2:$F$954,$A35)</f>
        <v>0</v>
      </c>
      <c r="BR35" s="9" t="n">
        <f aca="false">SUMIFS('Исходные данные'!$I$2:$I$954,'Исходные данные'!$D$2:$D$954,BR$1,'Исходные данные'!$F$2:$F$954,$A35)</f>
        <v>0</v>
      </c>
      <c r="BS35" s="9" t="n">
        <f aca="false">SUMIFS('Исходные данные'!$J$2:$J$954,'Исходные данные'!$D$2:$D$954,BR$1,'Исходные данные'!$F$2:$F$954,$A35)</f>
        <v>0</v>
      </c>
      <c r="BT35" s="9" t="n">
        <f aca="false">SUMIFS('Исходные данные'!$I$2:$I$954,'Исходные данные'!$D$2:$D$954,BT$1,'Исходные данные'!$F$2:$F$954,$A35)</f>
        <v>0</v>
      </c>
      <c r="BU35" s="9" t="n">
        <f aca="false">SUMIFS('Исходные данные'!$J$2:$J$954,'Исходные данные'!$D$2:$D$954,BT$1,'Исходные данные'!$F$2:$F$954,$A35)</f>
        <v>0</v>
      </c>
      <c r="BV35" s="9" t="n">
        <f aca="false">SUMIFS('Исходные данные'!$I$2:$I$954,'Исходные данные'!$D$2:$D$954,BV$1,'Исходные данные'!$F$2:$F$954,$A35)</f>
        <v>0</v>
      </c>
      <c r="BW35" s="9" t="n">
        <f aca="false">SUMIFS('Исходные данные'!$J$2:$J$954,'Исходные данные'!$D$2:$D$954,BV$1,'Исходные данные'!$F$2:$F$954,$A35)</f>
        <v>0</v>
      </c>
      <c r="BX35" s="9" t="n">
        <f aca="false">SUMIFS('Исходные данные'!$I$2:$I$954,'Исходные данные'!$D$2:$D$954,BX$1,'Исходные данные'!$F$2:$F$954,$A35)</f>
        <v>0</v>
      </c>
      <c r="BY35" s="9" t="n">
        <f aca="false">SUMIFS('Исходные данные'!$J$2:$J$954,'Исходные данные'!$D$2:$D$954,BX$1,'Исходные данные'!$F$2:$F$954,$A35)</f>
        <v>0</v>
      </c>
      <c r="BZ35" s="9" t="n">
        <f aca="false">SUMIFS('Исходные данные'!$I$2:$I$954,'Исходные данные'!$D$2:$D$954,BZ$1,'Исходные данные'!$F$2:$F$954,$A35)</f>
        <v>0</v>
      </c>
      <c r="CA35" s="9" t="n">
        <f aca="false">SUMIFS('Исходные данные'!$J$2:$J$954,'Исходные данные'!$D$2:$D$954,BZ$1,'Исходные данные'!$F$2:$F$954,$A35)</f>
        <v>0</v>
      </c>
      <c r="CB35" s="9" t="n">
        <f aca="false">SUMIFS('Исходные данные'!$I$2:$I$954,'Исходные данные'!$D$2:$D$954,CB$1,'Исходные данные'!$F$2:$F$954,$A35)</f>
        <v>0</v>
      </c>
      <c r="CC35" s="9" t="n">
        <f aca="false">SUMIFS('Исходные данные'!$J$2:$J$954,'Исходные данные'!$D$2:$D$954,CB$1,'Исходные данные'!$F$2:$F$954,$A35)</f>
        <v>0</v>
      </c>
      <c r="CD35" s="9" t="n">
        <f aca="false">SUMIFS('Исходные данные'!$I$2:$I$954,'Исходные данные'!$D$2:$D$954,CD$1,'Исходные данные'!$F$2:$F$954,$A35)</f>
        <v>0</v>
      </c>
      <c r="CE35" s="9" t="n">
        <f aca="false">SUMIFS('Исходные данные'!$J$2:$J$954,'Исходные данные'!$D$2:$D$954,CD$1,'Исходные данные'!$F$2:$F$954,$A35)</f>
        <v>0</v>
      </c>
      <c r="CF35" s="9" t="n">
        <f aca="false">SUMIFS('Исходные данные'!$I$2:$I$954,'Исходные данные'!$D$2:$D$954,CF$1,'Исходные данные'!$F$2:$F$954,$A35)</f>
        <v>0</v>
      </c>
      <c r="CG35" s="9" t="n">
        <f aca="false">SUMIFS('Исходные данные'!$J$2:$J$954,'Исходные данные'!$D$2:$D$954,CF$1,'Исходные данные'!$F$2:$F$954,$A35)</f>
        <v>0</v>
      </c>
      <c r="CH35" s="9" t="n">
        <f aca="false">SUMIFS('Исходные данные'!$I$2:$I$954,'Исходные данные'!$D$2:$D$954,CH$1,'Исходные данные'!$F$2:$F$954,$A35)</f>
        <v>0</v>
      </c>
      <c r="CI35" s="9" t="n">
        <f aca="false">SUMIFS('Исходные данные'!$J$2:$J$954,'Исходные данные'!$D$2:$D$954,CH$1,'Исходные данные'!$F$2:$F$954,$A35)</f>
        <v>0</v>
      </c>
    </row>
    <row r="36" customFormat="false" ht="15" hidden="false" customHeight="false" outlineLevel="0" collapsed="false">
      <c r="A36" s="8" t="s">
        <v>115</v>
      </c>
      <c r="B36" s="9" t="s">
        <v>116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SUMIFS($H36:$CI36,$H$2:$CI$2,"День")</f>
        <v>0</v>
      </c>
      <c r="G36" s="5" t="n">
        <f aca="false">SUMIFS($H36:$CI36,$H$2:$CI$2,"Ночь")</f>
        <v>0</v>
      </c>
      <c r="H36" s="9" t="n">
        <f aca="false">SUMIFS('Исходные данные'!$I$2:$I$954,'Исходные данные'!$D$2:$D$954,H$1,'Исходные данные'!$F$2:$F$954,$A36)</f>
        <v>0</v>
      </c>
      <c r="I36" s="9" t="n">
        <f aca="false">SUMIFS('Исходные данные'!$J$2:$J$954,'Исходные данные'!$D$2:$D$954,H$1,'Исходные данные'!$F$2:$F$954,$A36)</f>
        <v>0</v>
      </c>
      <c r="J36" s="9" t="n">
        <f aca="false">SUMIFS('Исходные данные'!$I$2:$I$954,'Исходные данные'!$D$2:$D$954,J$1,'Исходные данные'!$F$2:$F$954,$A36)</f>
        <v>0</v>
      </c>
      <c r="K36" s="9" t="n">
        <f aca="false">SUMIFS('Исходные данные'!$J$2:$J$954,'Исходные данные'!$D$2:$D$954,J$1,'Исходные данные'!$F$2:$F$954,$A36)</f>
        <v>0</v>
      </c>
      <c r="L36" s="9" t="n">
        <f aca="false">SUMIFS('Исходные данные'!$I$2:$I$954,'Исходные данные'!$D$2:$D$954,L$1,'Исходные данные'!$F$2:$F$954,$A36)</f>
        <v>0</v>
      </c>
      <c r="M36" s="9" t="n">
        <f aca="false">SUMIFS('Исходные данные'!$J$2:$J$954,'Исходные данные'!$D$2:$D$954,L$1,'Исходные данные'!$F$2:$F$954,$A36)</f>
        <v>0</v>
      </c>
      <c r="N36" s="9" t="n">
        <f aca="false">SUMIFS('Исходные данные'!$I$2:$I$954,'Исходные данные'!$D$2:$D$954,N$1,'Исходные данные'!$F$2:$F$954,$A36)</f>
        <v>0</v>
      </c>
      <c r="O36" s="9" t="n">
        <f aca="false">SUMIFS('Исходные данные'!$J$2:$J$954,'Исходные данные'!$D$2:$D$954,N$1,'Исходные данные'!$F$2:$F$954,$A36)</f>
        <v>0</v>
      </c>
      <c r="P36" s="9" t="n">
        <f aca="false">SUMIFS('Исходные данные'!$I$2:$I$954,'Исходные данные'!$D$2:$D$954,P$1,'Исходные данные'!$F$2:$F$954,$A36)</f>
        <v>0</v>
      </c>
      <c r="Q36" s="9" t="n">
        <f aca="false">SUMIFS('Исходные данные'!$J$2:$J$954,'Исходные данные'!$D$2:$D$954,P$1,'Исходные данные'!$F$2:$F$954,$A36)</f>
        <v>0</v>
      </c>
      <c r="R36" s="9" t="n">
        <f aca="false">SUMIFS('Исходные данные'!$I$2:$I$954,'Исходные данные'!$D$2:$D$954,R$1,'Исходные данные'!$F$2:$F$954,$A36)</f>
        <v>0</v>
      </c>
      <c r="S36" s="9" t="n">
        <f aca="false">SUMIFS('Исходные данные'!$J$2:$J$954,'Исходные данные'!$D$2:$D$954,R$1,'Исходные данные'!$F$2:$F$954,$A36)</f>
        <v>0</v>
      </c>
      <c r="T36" s="9" t="n">
        <f aca="false">SUMIFS('Исходные данные'!$I$2:$I$954,'Исходные данные'!$D$2:$D$954,T$1,'Исходные данные'!$F$2:$F$954,$A36)</f>
        <v>0</v>
      </c>
      <c r="U36" s="9" t="n">
        <f aca="false">SUMIFS('Исходные данные'!$J$2:$J$954,'Исходные данные'!$D$2:$D$954,T$1,'Исходные данные'!$F$2:$F$954,$A36)</f>
        <v>0</v>
      </c>
      <c r="V36" s="9" t="n">
        <f aca="false">SUMIFS('Исходные данные'!$I$2:$I$954,'Исходные данные'!$D$2:$D$954,V$1,'Исходные данные'!$F$2:$F$954,$A36)</f>
        <v>0</v>
      </c>
      <c r="W36" s="9" t="n">
        <f aca="false">SUMIFS('Исходные данные'!$J$2:$J$954,'Исходные данные'!$D$2:$D$954,V$1,'Исходные данные'!$F$2:$F$954,$A36)</f>
        <v>0</v>
      </c>
      <c r="X36" s="9" t="n">
        <f aca="false">SUMIFS('Исходные данные'!$I$2:$I$954,'Исходные данные'!$D$2:$D$954,X$1,'Исходные данные'!$F$2:$F$954,$A36)</f>
        <v>0</v>
      </c>
      <c r="Y36" s="9" t="n">
        <f aca="false">SUMIFS('Исходные данные'!$J$2:$J$954,'Исходные данные'!$D$2:$D$954,X$1,'Исходные данные'!$F$2:$F$954,$A36)</f>
        <v>0</v>
      </c>
      <c r="Z36" s="9" t="n">
        <f aca="false">SUMIFS('Исходные данные'!$I$2:$I$954,'Исходные данные'!$D$2:$D$954,Z$1,'Исходные данные'!$F$2:$F$954,$A36)</f>
        <v>0</v>
      </c>
      <c r="AA36" s="9" t="n">
        <f aca="false">SUMIFS('Исходные данные'!$J$2:$J$954,'Исходные данные'!$D$2:$D$954,Z$1,'Исходные данные'!$F$2:$F$954,$A36)</f>
        <v>0</v>
      </c>
      <c r="AB36" s="9" t="n">
        <f aca="false">SUMIFS('Исходные данные'!$I$2:$I$954,'Исходные данные'!$D$2:$D$954,AB$1,'Исходные данные'!$F$2:$F$954,$A36)</f>
        <v>0</v>
      </c>
      <c r="AC36" s="9" t="n">
        <f aca="false">SUMIFS('Исходные данные'!$J$2:$J$954,'Исходные данные'!$D$2:$D$954,AB$1,'Исходные данные'!$F$2:$F$954,$A36)</f>
        <v>0</v>
      </c>
      <c r="AD36" s="9" t="n">
        <f aca="false">SUMIFS('Исходные данные'!$I$2:$I$954,'Исходные данные'!$D$2:$D$954,AD$1,'Исходные данные'!$F$2:$F$954,$A36)</f>
        <v>0</v>
      </c>
      <c r="AE36" s="9" t="n">
        <f aca="false">SUMIFS('Исходные данные'!$J$2:$J$954,'Исходные данные'!$D$2:$D$954,AD$1,'Исходные данные'!$F$2:$F$954,$A36)</f>
        <v>0</v>
      </c>
      <c r="AF36" s="9" t="n">
        <f aca="false">SUMIFS('Исходные данные'!$I$2:$I$954,'Исходные данные'!$D$2:$D$954,AF$1,'Исходные данные'!$F$2:$F$954,$A36)</f>
        <v>0</v>
      </c>
      <c r="AG36" s="9" t="n">
        <f aca="false">SUMIFS('Исходные данные'!$J$2:$J$954,'Исходные данные'!$D$2:$D$954,AF$1,'Исходные данные'!$F$2:$F$954,$A36)</f>
        <v>0</v>
      </c>
      <c r="AH36" s="9" t="n">
        <f aca="false">SUMIFS('Исходные данные'!$I$2:$I$954,'Исходные данные'!$D$2:$D$954,AH$1,'Исходные данные'!$F$2:$F$954,$A36)</f>
        <v>0</v>
      </c>
      <c r="AI36" s="9" t="n">
        <f aca="false">SUMIFS('Исходные данные'!$J$2:$J$954,'Исходные данные'!$D$2:$D$954,AH$1,'Исходные данные'!$F$2:$F$954,$A36)</f>
        <v>0</v>
      </c>
      <c r="AJ36" s="9" t="n">
        <f aca="false">SUMIFS('Исходные данные'!$I$2:$I$954,'Исходные данные'!$D$2:$D$954,AJ$1,'Исходные данные'!$F$2:$F$954,$A36)</f>
        <v>0</v>
      </c>
      <c r="AK36" s="9" t="n">
        <f aca="false">SUMIFS('Исходные данные'!$J$2:$J$954,'Исходные данные'!$D$2:$D$954,AJ$1,'Исходные данные'!$F$2:$F$954,$A36)</f>
        <v>0</v>
      </c>
      <c r="AL36" s="9" t="n">
        <f aca="false">SUMIFS('Исходные данные'!$I$2:$I$954,'Исходные данные'!$D$2:$D$954,AL$1,'Исходные данные'!$F$2:$F$954,$A36)</f>
        <v>0</v>
      </c>
      <c r="AM36" s="9" t="n">
        <f aca="false">SUMIFS('Исходные данные'!$J$2:$J$954,'Исходные данные'!$D$2:$D$954,AL$1,'Исходные данные'!$F$2:$F$954,$A36)</f>
        <v>0</v>
      </c>
      <c r="AN36" s="9" t="n">
        <f aca="false">SUMIFS('Исходные данные'!$I$2:$I$954,'Исходные данные'!$D$2:$D$954,AN$1,'Исходные данные'!$F$2:$F$954,$A36)</f>
        <v>0</v>
      </c>
      <c r="AO36" s="9" t="n">
        <f aca="false">SUMIFS('Исходные данные'!$J$2:$J$954,'Исходные данные'!$D$2:$D$954,AN$1,'Исходные данные'!$F$2:$F$954,$A36)</f>
        <v>0</v>
      </c>
      <c r="AP36" s="9" t="n">
        <f aca="false">SUMIFS('Исходные данные'!$I$2:$I$954,'Исходные данные'!$D$2:$D$954,AP$1,'Исходные данные'!$F$2:$F$954,$A36)</f>
        <v>0</v>
      </c>
      <c r="AQ36" s="9" t="n">
        <f aca="false">SUMIFS('Исходные данные'!$J$2:$J$954,'Исходные данные'!$D$2:$D$954,AP$1,'Исходные данные'!$F$2:$F$954,$A36)</f>
        <v>0</v>
      </c>
      <c r="AR36" s="9" t="n">
        <f aca="false">SUMIFS('Исходные данные'!$I$2:$I$954,'Исходные данные'!$D$2:$D$954,AR$1,'Исходные данные'!$F$2:$F$954,$A36)</f>
        <v>0</v>
      </c>
      <c r="AS36" s="9" t="n">
        <f aca="false">SUMIFS('Исходные данные'!$J$2:$J$954,'Исходные данные'!$D$2:$D$954,AR$1,'Исходные данные'!$F$2:$F$954,$A36)</f>
        <v>0</v>
      </c>
      <c r="AT36" s="9" t="n">
        <f aca="false">SUMIFS('Исходные данные'!$I$2:$I$954,'Исходные данные'!$D$2:$D$954,AT$1,'Исходные данные'!$F$2:$F$954,$A36)</f>
        <v>0</v>
      </c>
      <c r="AU36" s="9" t="n">
        <f aca="false">SUMIFS('Исходные данные'!$J$2:$J$954,'Исходные данные'!$D$2:$D$954,AT$1,'Исходные данные'!$F$2:$F$954,$A36)</f>
        <v>0</v>
      </c>
      <c r="AV36" s="9" t="n">
        <f aca="false">SUMIFS('Исходные данные'!$I$2:$I$954,'Исходные данные'!$D$2:$D$954,AV$1,'Исходные данные'!$F$2:$F$954,$A36)</f>
        <v>0</v>
      </c>
      <c r="AW36" s="9" t="n">
        <f aca="false">SUMIFS('Исходные данные'!$J$2:$J$954,'Исходные данные'!$D$2:$D$954,AV$1,'Исходные данные'!$F$2:$F$954,$A36)</f>
        <v>0</v>
      </c>
      <c r="AX36" s="9" t="n">
        <f aca="false">SUMIFS('Исходные данные'!$I$2:$I$954,'Исходные данные'!$D$2:$D$954,AX$1,'Исходные данные'!$F$2:$F$954,$A36)</f>
        <v>0</v>
      </c>
      <c r="AY36" s="9" t="n">
        <f aca="false">SUMIFS('Исходные данные'!$J$2:$J$954,'Исходные данные'!$D$2:$D$954,AX$1,'Исходные данные'!$F$2:$F$954,$A36)</f>
        <v>0</v>
      </c>
      <c r="AZ36" s="9" t="n">
        <f aca="false">SUMIFS('Исходные данные'!$I$2:$I$954,'Исходные данные'!$D$2:$D$954,AZ$1,'Исходные данные'!$F$2:$F$954,$A36)</f>
        <v>0</v>
      </c>
      <c r="BA36" s="9" t="n">
        <f aca="false">SUMIFS('Исходные данные'!$J$2:$J$954,'Исходные данные'!$D$2:$D$954,AZ$1,'Исходные данные'!$F$2:$F$954,$A36)</f>
        <v>0</v>
      </c>
      <c r="BB36" s="9" t="n">
        <f aca="false">SUMIFS('Исходные данные'!$I$2:$I$954,'Исходные данные'!$D$2:$D$954,BB$1,'Исходные данные'!$F$2:$F$954,$A36)</f>
        <v>0</v>
      </c>
      <c r="BC36" s="9" t="n">
        <f aca="false">SUMIFS('Исходные данные'!$J$2:$J$954,'Исходные данные'!$D$2:$D$954,BB$1,'Исходные данные'!$F$2:$F$954,$A36)</f>
        <v>0</v>
      </c>
      <c r="BD36" s="9" t="n">
        <f aca="false">SUMIFS('Исходные данные'!$I$2:$I$954,'Исходные данные'!$D$2:$D$954,BD$1,'Исходные данные'!$F$2:$F$954,$A36)</f>
        <v>0</v>
      </c>
      <c r="BE36" s="9" t="n">
        <f aca="false">SUMIFS('Исходные данные'!$J$2:$J$954,'Исходные данные'!$D$2:$D$954,BD$1,'Исходные данные'!$F$2:$F$954,$A36)</f>
        <v>0</v>
      </c>
      <c r="BF36" s="9" t="n">
        <f aca="false">SUMIFS('Исходные данные'!$I$2:$I$954,'Исходные данные'!$D$2:$D$954,BF$1,'Исходные данные'!$F$2:$F$954,$A36)</f>
        <v>0</v>
      </c>
      <c r="BG36" s="9" t="n">
        <f aca="false">SUMIFS('Исходные данные'!$J$2:$J$954,'Исходные данные'!$D$2:$D$954,BF$1,'Исходные данные'!$F$2:$F$954,$A36)</f>
        <v>0</v>
      </c>
      <c r="BH36" s="9" t="n">
        <f aca="false">SUMIFS('Исходные данные'!$I$2:$I$954,'Исходные данные'!$D$2:$D$954,BH$1,'Исходные данные'!$F$2:$F$954,$A36)</f>
        <v>0</v>
      </c>
      <c r="BI36" s="9" t="n">
        <f aca="false">SUMIFS('Исходные данные'!$J$2:$J$954,'Исходные данные'!$D$2:$D$954,BH$1,'Исходные данные'!$F$2:$F$954,$A36)</f>
        <v>0</v>
      </c>
      <c r="BJ36" s="9" t="n">
        <f aca="false">SUMIFS('Исходные данные'!$I$2:$I$954,'Исходные данные'!$D$2:$D$954,BJ$1,'Исходные данные'!$F$2:$F$954,$A36)</f>
        <v>0</v>
      </c>
      <c r="BK36" s="9" t="n">
        <f aca="false">SUMIFS('Исходные данные'!$J$2:$J$954,'Исходные данные'!$D$2:$D$954,BJ$1,'Исходные данные'!$F$2:$F$954,$A36)</f>
        <v>0</v>
      </c>
      <c r="BL36" s="9" t="n">
        <f aca="false">SUMIFS('Исходные данные'!$I$2:$I$954,'Исходные данные'!$D$2:$D$954,BL$1,'Исходные данные'!$F$2:$F$954,$A36)</f>
        <v>0</v>
      </c>
      <c r="BM36" s="9" t="n">
        <f aca="false">SUMIFS('Исходные данные'!$J$2:$J$954,'Исходные данные'!$D$2:$D$954,BL$1,'Исходные данные'!$F$2:$F$954,$A36)</f>
        <v>0</v>
      </c>
      <c r="BN36" s="9" t="n">
        <f aca="false">SUMIFS('Исходные данные'!$I$2:$I$954,'Исходные данные'!$D$2:$D$954,BN$1,'Исходные данные'!$F$2:$F$954,$A36)</f>
        <v>0</v>
      </c>
      <c r="BO36" s="9" t="n">
        <f aca="false">SUMIFS('Исходные данные'!$J$2:$J$954,'Исходные данные'!$D$2:$D$954,BN$1,'Исходные данные'!$F$2:$F$954,$A36)</f>
        <v>0</v>
      </c>
      <c r="BP36" s="9" t="n">
        <f aca="false">SUMIFS('Исходные данные'!$I$2:$I$954,'Исходные данные'!$D$2:$D$954,BP$1,'Исходные данные'!$F$2:$F$954,$A36)</f>
        <v>0</v>
      </c>
      <c r="BQ36" s="9" t="n">
        <f aca="false">SUMIFS('Исходные данные'!$J$2:$J$954,'Исходные данные'!$D$2:$D$954,BP$1,'Исходные данные'!$F$2:$F$954,$A36)</f>
        <v>0</v>
      </c>
      <c r="BR36" s="9" t="n">
        <f aca="false">SUMIFS('Исходные данные'!$I$2:$I$954,'Исходные данные'!$D$2:$D$954,BR$1,'Исходные данные'!$F$2:$F$954,$A36)</f>
        <v>0</v>
      </c>
      <c r="BS36" s="9" t="n">
        <f aca="false">SUMIFS('Исходные данные'!$J$2:$J$954,'Исходные данные'!$D$2:$D$954,BR$1,'Исходные данные'!$F$2:$F$954,$A36)</f>
        <v>0</v>
      </c>
      <c r="BT36" s="9" t="n">
        <f aca="false">SUMIFS('Исходные данные'!$I$2:$I$954,'Исходные данные'!$D$2:$D$954,BT$1,'Исходные данные'!$F$2:$F$954,$A36)</f>
        <v>0</v>
      </c>
      <c r="BU36" s="9" t="n">
        <f aca="false">SUMIFS('Исходные данные'!$J$2:$J$954,'Исходные данные'!$D$2:$D$954,BT$1,'Исходные данные'!$F$2:$F$954,$A36)</f>
        <v>0</v>
      </c>
      <c r="BV36" s="9" t="n">
        <f aca="false">SUMIFS('Исходные данные'!$I$2:$I$954,'Исходные данные'!$D$2:$D$954,BV$1,'Исходные данные'!$F$2:$F$954,$A36)</f>
        <v>0</v>
      </c>
      <c r="BW36" s="9" t="n">
        <f aca="false">SUMIFS('Исходные данные'!$J$2:$J$954,'Исходные данные'!$D$2:$D$954,BV$1,'Исходные данные'!$F$2:$F$954,$A36)</f>
        <v>0</v>
      </c>
      <c r="BX36" s="9" t="n">
        <f aca="false">SUMIFS('Исходные данные'!$I$2:$I$954,'Исходные данные'!$D$2:$D$954,BX$1,'Исходные данные'!$F$2:$F$954,$A36)</f>
        <v>0</v>
      </c>
      <c r="BY36" s="9" t="n">
        <f aca="false">SUMIFS('Исходные данные'!$J$2:$J$954,'Исходные данные'!$D$2:$D$954,BX$1,'Исходные данные'!$F$2:$F$954,$A36)</f>
        <v>0</v>
      </c>
      <c r="BZ36" s="9" t="n">
        <f aca="false">SUMIFS('Исходные данные'!$I$2:$I$954,'Исходные данные'!$D$2:$D$954,BZ$1,'Исходные данные'!$F$2:$F$954,$A36)</f>
        <v>0</v>
      </c>
      <c r="CA36" s="9" t="n">
        <f aca="false">SUMIFS('Исходные данные'!$J$2:$J$954,'Исходные данные'!$D$2:$D$954,BZ$1,'Исходные данные'!$F$2:$F$954,$A36)</f>
        <v>0</v>
      </c>
      <c r="CB36" s="9" t="n">
        <f aca="false">SUMIFS('Исходные данные'!$I$2:$I$954,'Исходные данные'!$D$2:$D$954,CB$1,'Исходные данные'!$F$2:$F$954,$A36)</f>
        <v>0</v>
      </c>
      <c r="CC36" s="9" t="n">
        <f aca="false">SUMIFS('Исходные данные'!$J$2:$J$954,'Исходные данные'!$D$2:$D$954,CB$1,'Исходные данные'!$F$2:$F$954,$A36)</f>
        <v>0</v>
      </c>
      <c r="CD36" s="9" t="n">
        <f aca="false">SUMIFS('Исходные данные'!$I$2:$I$954,'Исходные данные'!$D$2:$D$954,CD$1,'Исходные данные'!$F$2:$F$954,$A36)</f>
        <v>0</v>
      </c>
      <c r="CE36" s="9" t="n">
        <f aca="false">SUMIFS('Исходные данные'!$J$2:$J$954,'Исходные данные'!$D$2:$D$954,CD$1,'Исходные данные'!$F$2:$F$954,$A36)</f>
        <v>0</v>
      </c>
      <c r="CF36" s="9" t="n">
        <f aca="false">SUMIFS('Исходные данные'!$I$2:$I$954,'Исходные данные'!$D$2:$D$954,CF$1,'Исходные данные'!$F$2:$F$954,$A36)</f>
        <v>0</v>
      </c>
      <c r="CG36" s="9" t="n">
        <f aca="false">SUMIFS('Исходные данные'!$J$2:$J$954,'Исходные данные'!$D$2:$D$954,CF$1,'Исходные данные'!$F$2:$F$954,$A36)</f>
        <v>0</v>
      </c>
      <c r="CH36" s="9" t="n">
        <f aca="false">SUMIFS('Исходные данные'!$I$2:$I$954,'Исходные данные'!$D$2:$D$954,CH$1,'Исходные данные'!$F$2:$F$954,$A36)</f>
        <v>0</v>
      </c>
      <c r="CI36" s="9" t="n">
        <f aca="false">SUMIFS('Исходные данные'!$J$2:$J$954,'Исходные данные'!$D$2:$D$954,CH$1,'Исходные данные'!$F$2:$F$954,$A36)</f>
        <v>0</v>
      </c>
    </row>
    <row r="37" customFormat="false" ht="15" hidden="false" customHeight="false" outlineLevel="0" collapsed="false">
      <c r="A37" s="8" t="s">
        <v>117</v>
      </c>
      <c r="B37" s="9" t="s">
        <v>118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SUMIFS($H37:$CI37,$H$2:$CI$2,"День")</f>
        <v>3</v>
      </c>
      <c r="G37" s="5" t="n">
        <f aca="false">SUMIFS($H37:$CI37,$H$2:$CI$2,"Ночь")</f>
        <v>1</v>
      </c>
      <c r="H37" s="9" t="n">
        <f aca="false">SUMIFS('Исходные данные'!$I$2:$I$954,'Исходные данные'!$D$2:$D$954,H$1,'Исходные данные'!$F$2:$F$954,$A37)</f>
        <v>0</v>
      </c>
      <c r="I37" s="9" t="n">
        <f aca="false">SUMIFS('Исходные данные'!$J$2:$J$954,'Исходные данные'!$D$2:$D$954,H$1,'Исходные данные'!$F$2:$F$954,$A37)</f>
        <v>0</v>
      </c>
      <c r="J37" s="9" t="n">
        <f aca="false">SUMIFS('Исходные данные'!$I$2:$I$954,'Исходные данные'!$D$2:$D$954,J$1,'Исходные данные'!$F$2:$F$954,$A37)</f>
        <v>0</v>
      </c>
      <c r="K37" s="9" t="n">
        <f aca="false">SUMIFS('Исходные данные'!$J$2:$J$954,'Исходные данные'!$D$2:$D$954,J$1,'Исходные данные'!$F$2:$F$954,$A37)</f>
        <v>0</v>
      </c>
      <c r="L37" s="9" t="n">
        <f aca="false">SUMIFS('Исходные данные'!$I$2:$I$954,'Исходные данные'!$D$2:$D$954,L$1,'Исходные данные'!$F$2:$F$954,$A37)</f>
        <v>0</v>
      </c>
      <c r="M37" s="9" t="n">
        <f aca="false">SUMIFS('Исходные данные'!$J$2:$J$954,'Исходные данные'!$D$2:$D$954,L$1,'Исходные данные'!$F$2:$F$954,$A37)</f>
        <v>0</v>
      </c>
      <c r="N37" s="9" t="n">
        <f aca="false">SUMIFS('Исходные данные'!$I$2:$I$954,'Исходные данные'!$D$2:$D$954,N$1,'Исходные данные'!$F$2:$F$954,$A37)</f>
        <v>0</v>
      </c>
      <c r="O37" s="9" t="n">
        <f aca="false">SUMIFS('Исходные данные'!$J$2:$J$954,'Исходные данные'!$D$2:$D$954,N$1,'Исходные данные'!$F$2:$F$954,$A37)</f>
        <v>0</v>
      </c>
      <c r="P37" s="9" t="n">
        <f aca="false">SUMIFS('Исходные данные'!$I$2:$I$954,'Исходные данные'!$D$2:$D$954,P$1,'Исходные данные'!$F$2:$F$954,$A37)</f>
        <v>0</v>
      </c>
      <c r="Q37" s="9" t="n">
        <f aca="false">SUMIFS('Исходные данные'!$J$2:$J$954,'Исходные данные'!$D$2:$D$954,P$1,'Исходные данные'!$F$2:$F$954,$A37)</f>
        <v>0</v>
      </c>
      <c r="R37" s="9" t="n">
        <f aca="false">SUMIFS('Исходные данные'!$I$2:$I$954,'Исходные данные'!$D$2:$D$954,R$1,'Исходные данные'!$F$2:$F$954,$A37)</f>
        <v>0</v>
      </c>
      <c r="S37" s="9" t="n">
        <f aca="false">SUMIFS('Исходные данные'!$J$2:$J$954,'Исходные данные'!$D$2:$D$954,R$1,'Исходные данные'!$F$2:$F$954,$A37)</f>
        <v>0</v>
      </c>
      <c r="T37" s="9" t="n">
        <f aca="false">SUMIFS('Исходные данные'!$I$2:$I$954,'Исходные данные'!$D$2:$D$954,T$1,'Исходные данные'!$F$2:$F$954,$A37)</f>
        <v>0</v>
      </c>
      <c r="U37" s="9" t="n">
        <f aca="false">SUMIFS('Исходные данные'!$J$2:$J$954,'Исходные данные'!$D$2:$D$954,T$1,'Исходные данные'!$F$2:$F$954,$A37)</f>
        <v>0</v>
      </c>
      <c r="V37" s="9" t="n">
        <f aca="false">SUMIFS('Исходные данные'!$I$2:$I$954,'Исходные данные'!$D$2:$D$954,V$1,'Исходные данные'!$F$2:$F$954,$A37)</f>
        <v>0</v>
      </c>
      <c r="W37" s="9" t="n">
        <f aca="false">SUMIFS('Исходные данные'!$J$2:$J$954,'Исходные данные'!$D$2:$D$954,V$1,'Исходные данные'!$F$2:$F$954,$A37)</f>
        <v>0</v>
      </c>
      <c r="X37" s="9" t="n">
        <f aca="false">SUMIFS('Исходные данные'!$I$2:$I$954,'Исходные данные'!$D$2:$D$954,X$1,'Исходные данные'!$F$2:$F$954,$A37)</f>
        <v>0</v>
      </c>
      <c r="Y37" s="9" t="n">
        <f aca="false">SUMIFS('Исходные данные'!$J$2:$J$954,'Исходные данные'!$D$2:$D$954,X$1,'Исходные данные'!$F$2:$F$954,$A37)</f>
        <v>0</v>
      </c>
      <c r="Z37" s="9" t="n">
        <f aca="false">SUMIFS('Исходные данные'!$I$2:$I$954,'Исходные данные'!$D$2:$D$954,Z$1,'Исходные данные'!$F$2:$F$954,$A37)</f>
        <v>0</v>
      </c>
      <c r="AA37" s="9" t="n">
        <f aca="false">SUMIFS('Исходные данные'!$J$2:$J$954,'Исходные данные'!$D$2:$D$954,Z$1,'Исходные данные'!$F$2:$F$954,$A37)</f>
        <v>0</v>
      </c>
      <c r="AB37" s="9" t="n">
        <f aca="false">SUMIFS('Исходные данные'!$I$2:$I$954,'Исходные данные'!$D$2:$D$954,AB$1,'Исходные данные'!$F$2:$F$954,$A37)</f>
        <v>0</v>
      </c>
      <c r="AC37" s="9" t="n">
        <f aca="false">SUMIFS('Исходные данные'!$J$2:$J$954,'Исходные данные'!$D$2:$D$954,AB$1,'Исходные данные'!$F$2:$F$954,$A37)</f>
        <v>0</v>
      </c>
      <c r="AD37" s="9" t="n">
        <f aca="false">SUMIFS('Исходные данные'!$I$2:$I$954,'Исходные данные'!$D$2:$D$954,AD$1,'Исходные данные'!$F$2:$F$954,$A37)</f>
        <v>0</v>
      </c>
      <c r="AE37" s="9" t="n">
        <f aca="false">SUMIFS('Исходные данные'!$J$2:$J$954,'Исходные данные'!$D$2:$D$954,AD$1,'Исходные данные'!$F$2:$F$954,$A37)</f>
        <v>0</v>
      </c>
      <c r="AF37" s="9" t="n">
        <f aca="false">SUMIFS('Исходные данные'!$I$2:$I$954,'Исходные данные'!$D$2:$D$954,AF$1,'Исходные данные'!$F$2:$F$954,$A37)</f>
        <v>0</v>
      </c>
      <c r="AG37" s="9" t="n">
        <f aca="false">SUMIFS('Исходные данные'!$J$2:$J$954,'Исходные данные'!$D$2:$D$954,AF$1,'Исходные данные'!$F$2:$F$954,$A37)</f>
        <v>0</v>
      </c>
      <c r="AH37" s="9" t="n">
        <f aca="false">SUMIFS('Исходные данные'!$I$2:$I$954,'Исходные данные'!$D$2:$D$954,AH$1,'Исходные данные'!$F$2:$F$954,$A37)</f>
        <v>0</v>
      </c>
      <c r="AI37" s="9" t="n">
        <f aca="false">SUMIFS('Исходные данные'!$J$2:$J$954,'Исходные данные'!$D$2:$D$954,AH$1,'Исходные данные'!$F$2:$F$954,$A37)</f>
        <v>0</v>
      </c>
      <c r="AJ37" s="9" t="n">
        <f aca="false">SUMIFS('Исходные данные'!$I$2:$I$954,'Исходные данные'!$D$2:$D$954,AJ$1,'Исходные данные'!$F$2:$F$954,$A37)</f>
        <v>0</v>
      </c>
      <c r="AK37" s="9" t="n">
        <f aca="false">SUMIFS('Исходные данные'!$J$2:$J$954,'Исходные данные'!$D$2:$D$954,AJ$1,'Исходные данные'!$F$2:$F$954,$A37)</f>
        <v>0</v>
      </c>
      <c r="AL37" s="9" t="n">
        <f aca="false">SUMIFS('Исходные данные'!$I$2:$I$954,'Исходные данные'!$D$2:$D$954,AL$1,'Исходные данные'!$F$2:$F$954,$A37)</f>
        <v>0</v>
      </c>
      <c r="AM37" s="9" t="n">
        <f aca="false">SUMIFS('Исходные данные'!$J$2:$J$954,'Исходные данные'!$D$2:$D$954,AL$1,'Исходные данные'!$F$2:$F$954,$A37)</f>
        <v>0</v>
      </c>
      <c r="AN37" s="9" t="n">
        <f aca="false">SUMIFS('Исходные данные'!$I$2:$I$954,'Исходные данные'!$D$2:$D$954,AN$1,'Исходные данные'!$F$2:$F$954,$A37)</f>
        <v>3</v>
      </c>
      <c r="AO37" s="9" t="n">
        <f aca="false">SUMIFS('Исходные данные'!$J$2:$J$954,'Исходные данные'!$D$2:$D$954,AN$1,'Исходные данные'!$F$2:$F$954,$A37)</f>
        <v>1</v>
      </c>
      <c r="AP37" s="9" t="n">
        <f aca="false">SUMIFS('Исходные данные'!$I$2:$I$954,'Исходные данные'!$D$2:$D$954,AP$1,'Исходные данные'!$F$2:$F$954,$A37)</f>
        <v>0</v>
      </c>
      <c r="AQ37" s="9" t="n">
        <f aca="false">SUMIFS('Исходные данные'!$J$2:$J$954,'Исходные данные'!$D$2:$D$954,AP$1,'Исходные данные'!$F$2:$F$954,$A37)</f>
        <v>0</v>
      </c>
      <c r="AR37" s="9" t="n">
        <f aca="false">SUMIFS('Исходные данные'!$I$2:$I$954,'Исходные данные'!$D$2:$D$954,AR$1,'Исходные данные'!$F$2:$F$954,$A37)</f>
        <v>0</v>
      </c>
      <c r="AS37" s="9" t="n">
        <f aca="false">SUMIFS('Исходные данные'!$J$2:$J$954,'Исходные данные'!$D$2:$D$954,AR$1,'Исходные данные'!$F$2:$F$954,$A37)</f>
        <v>0</v>
      </c>
      <c r="AT37" s="9" t="n">
        <f aca="false">SUMIFS('Исходные данные'!$I$2:$I$954,'Исходные данные'!$D$2:$D$954,AT$1,'Исходные данные'!$F$2:$F$954,$A37)</f>
        <v>0</v>
      </c>
      <c r="AU37" s="9" t="n">
        <f aca="false">SUMIFS('Исходные данные'!$J$2:$J$954,'Исходные данные'!$D$2:$D$954,AT$1,'Исходные данные'!$F$2:$F$954,$A37)</f>
        <v>0</v>
      </c>
      <c r="AV37" s="9" t="n">
        <f aca="false">SUMIFS('Исходные данные'!$I$2:$I$954,'Исходные данные'!$D$2:$D$954,AV$1,'Исходные данные'!$F$2:$F$954,$A37)</f>
        <v>0</v>
      </c>
      <c r="AW37" s="9" t="n">
        <f aca="false">SUMIFS('Исходные данные'!$J$2:$J$954,'Исходные данные'!$D$2:$D$954,AV$1,'Исходные данные'!$F$2:$F$954,$A37)</f>
        <v>0</v>
      </c>
      <c r="AX37" s="9" t="n">
        <f aca="false">SUMIFS('Исходные данные'!$I$2:$I$954,'Исходные данные'!$D$2:$D$954,AX$1,'Исходные данные'!$F$2:$F$954,$A37)</f>
        <v>0</v>
      </c>
      <c r="AY37" s="9" t="n">
        <f aca="false">SUMIFS('Исходные данные'!$J$2:$J$954,'Исходные данные'!$D$2:$D$954,AX$1,'Исходные данные'!$F$2:$F$954,$A37)</f>
        <v>0</v>
      </c>
      <c r="AZ37" s="9" t="n">
        <f aca="false">SUMIFS('Исходные данные'!$I$2:$I$954,'Исходные данные'!$D$2:$D$954,AZ$1,'Исходные данные'!$F$2:$F$954,$A37)</f>
        <v>0</v>
      </c>
      <c r="BA37" s="9" t="n">
        <f aca="false">SUMIFS('Исходные данные'!$J$2:$J$954,'Исходные данные'!$D$2:$D$954,AZ$1,'Исходные данные'!$F$2:$F$954,$A37)</f>
        <v>0</v>
      </c>
      <c r="BB37" s="9" t="n">
        <f aca="false">SUMIFS('Исходные данные'!$I$2:$I$954,'Исходные данные'!$D$2:$D$954,BB$1,'Исходные данные'!$F$2:$F$954,$A37)</f>
        <v>0</v>
      </c>
      <c r="BC37" s="9" t="n">
        <f aca="false">SUMIFS('Исходные данные'!$J$2:$J$954,'Исходные данные'!$D$2:$D$954,BB$1,'Исходные данные'!$F$2:$F$954,$A37)</f>
        <v>0</v>
      </c>
      <c r="BD37" s="9" t="n">
        <f aca="false">SUMIFS('Исходные данные'!$I$2:$I$954,'Исходные данные'!$D$2:$D$954,BD$1,'Исходные данные'!$F$2:$F$954,$A37)</f>
        <v>0</v>
      </c>
      <c r="BE37" s="9" t="n">
        <f aca="false">SUMIFS('Исходные данные'!$J$2:$J$954,'Исходные данные'!$D$2:$D$954,BD$1,'Исходные данные'!$F$2:$F$954,$A37)</f>
        <v>0</v>
      </c>
      <c r="BF37" s="9" t="n">
        <f aca="false">SUMIFS('Исходные данные'!$I$2:$I$954,'Исходные данные'!$D$2:$D$954,BF$1,'Исходные данные'!$F$2:$F$954,$A37)</f>
        <v>0</v>
      </c>
      <c r="BG37" s="9" t="n">
        <f aca="false">SUMIFS('Исходные данные'!$J$2:$J$954,'Исходные данные'!$D$2:$D$954,BF$1,'Исходные данные'!$F$2:$F$954,$A37)</f>
        <v>0</v>
      </c>
      <c r="BH37" s="9" t="n">
        <f aca="false">SUMIFS('Исходные данные'!$I$2:$I$954,'Исходные данные'!$D$2:$D$954,BH$1,'Исходные данные'!$F$2:$F$954,$A37)</f>
        <v>0</v>
      </c>
      <c r="BI37" s="9" t="n">
        <f aca="false">SUMIFS('Исходные данные'!$J$2:$J$954,'Исходные данные'!$D$2:$D$954,BH$1,'Исходные данные'!$F$2:$F$954,$A37)</f>
        <v>0</v>
      </c>
      <c r="BJ37" s="9" t="n">
        <f aca="false">SUMIFS('Исходные данные'!$I$2:$I$954,'Исходные данные'!$D$2:$D$954,BJ$1,'Исходные данные'!$F$2:$F$954,$A37)</f>
        <v>0</v>
      </c>
      <c r="BK37" s="9" t="n">
        <f aca="false">SUMIFS('Исходные данные'!$J$2:$J$954,'Исходные данные'!$D$2:$D$954,BJ$1,'Исходные данные'!$F$2:$F$954,$A37)</f>
        <v>0</v>
      </c>
      <c r="BL37" s="9" t="n">
        <f aca="false">SUMIFS('Исходные данные'!$I$2:$I$954,'Исходные данные'!$D$2:$D$954,BL$1,'Исходные данные'!$F$2:$F$954,$A37)</f>
        <v>0</v>
      </c>
      <c r="BM37" s="9" t="n">
        <f aca="false">SUMIFS('Исходные данные'!$J$2:$J$954,'Исходные данные'!$D$2:$D$954,BL$1,'Исходные данные'!$F$2:$F$954,$A37)</f>
        <v>0</v>
      </c>
      <c r="BN37" s="9" t="n">
        <f aca="false">SUMIFS('Исходные данные'!$I$2:$I$954,'Исходные данные'!$D$2:$D$954,BN$1,'Исходные данные'!$F$2:$F$954,$A37)</f>
        <v>0</v>
      </c>
      <c r="BO37" s="9" t="n">
        <f aca="false">SUMIFS('Исходные данные'!$J$2:$J$954,'Исходные данные'!$D$2:$D$954,BN$1,'Исходные данные'!$F$2:$F$954,$A37)</f>
        <v>0</v>
      </c>
      <c r="BP37" s="9" t="n">
        <f aca="false">SUMIFS('Исходные данные'!$I$2:$I$954,'Исходные данные'!$D$2:$D$954,BP$1,'Исходные данные'!$F$2:$F$954,$A37)</f>
        <v>0</v>
      </c>
      <c r="BQ37" s="9" t="n">
        <f aca="false">SUMIFS('Исходные данные'!$J$2:$J$954,'Исходные данные'!$D$2:$D$954,BP$1,'Исходные данные'!$F$2:$F$954,$A37)</f>
        <v>0</v>
      </c>
      <c r="BR37" s="9" t="n">
        <f aca="false">SUMIFS('Исходные данные'!$I$2:$I$954,'Исходные данные'!$D$2:$D$954,BR$1,'Исходные данные'!$F$2:$F$954,$A37)</f>
        <v>0</v>
      </c>
      <c r="BS37" s="9" t="n">
        <f aca="false">SUMIFS('Исходные данные'!$J$2:$J$954,'Исходные данные'!$D$2:$D$954,BR$1,'Исходные данные'!$F$2:$F$954,$A37)</f>
        <v>0</v>
      </c>
      <c r="BT37" s="9" t="n">
        <f aca="false">SUMIFS('Исходные данные'!$I$2:$I$954,'Исходные данные'!$D$2:$D$954,BT$1,'Исходные данные'!$F$2:$F$954,$A37)</f>
        <v>0</v>
      </c>
      <c r="BU37" s="9" t="n">
        <f aca="false">SUMIFS('Исходные данные'!$J$2:$J$954,'Исходные данные'!$D$2:$D$954,BT$1,'Исходные данные'!$F$2:$F$954,$A37)</f>
        <v>0</v>
      </c>
      <c r="BV37" s="9" t="n">
        <f aca="false">SUMIFS('Исходные данные'!$I$2:$I$954,'Исходные данные'!$D$2:$D$954,BV$1,'Исходные данные'!$F$2:$F$954,$A37)</f>
        <v>0</v>
      </c>
      <c r="BW37" s="9" t="n">
        <f aca="false">SUMIFS('Исходные данные'!$J$2:$J$954,'Исходные данные'!$D$2:$D$954,BV$1,'Исходные данные'!$F$2:$F$954,$A37)</f>
        <v>0</v>
      </c>
      <c r="BX37" s="9" t="n">
        <f aca="false">SUMIFS('Исходные данные'!$I$2:$I$954,'Исходные данные'!$D$2:$D$954,BX$1,'Исходные данные'!$F$2:$F$954,$A37)</f>
        <v>0</v>
      </c>
      <c r="BY37" s="9" t="n">
        <f aca="false">SUMIFS('Исходные данные'!$J$2:$J$954,'Исходные данные'!$D$2:$D$954,BX$1,'Исходные данные'!$F$2:$F$954,$A37)</f>
        <v>0</v>
      </c>
      <c r="BZ37" s="9" t="n">
        <f aca="false">SUMIFS('Исходные данные'!$I$2:$I$954,'Исходные данные'!$D$2:$D$954,BZ$1,'Исходные данные'!$F$2:$F$954,$A37)</f>
        <v>0</v>
      </c>
      <c r="CA37" s="9" t="n">
        <f aca="false">SUMIFS('Исходные данные'!$J$2:$J$954,'Исходные данные'!$D$2:$D$954,BZ$1,'Исходные данные'!$F$2:$F$954,$A37)</f>
        <v>0</v>
      </c>
      <c r="CB37" s="9" t="n">
        <f aca="false">SUMIFS('Исходные данные'!$I$2:$I$954,'Исходные данные'!$D$2:$D$954,CB$1,'Исходные данные'!$F$2:$F$954,$A37)</f>
        <v>0</v>
      </c>
      <c r="CC37" s="9" t="n">
        <f aca="false">SUMIFS('Исходные данные'!$J$2:$J$954,'Исходные данные'!$D$2:$D$954,CB$1,'Исходные данные'!$F$2:$F$954,$A37)</f>
        <v>0</v>
      </c>
      <c r="CD37" s="9" t="n">
        <f aca="false">SUMIFS('Исходные данные'!$I$2:$I$954,'Исходные данные'!$D$2:$D$954,CD$1,'Исходные данные'!$F$2:$F$954,$A37)</f>
        <v>0</v>
      </c>
      <c r="CE37" s="9" t="n">
        <f aca="false">SUMIFS('Исходные данные'!$J$2:$J$954,'Исходные данные'!$D$2:$D$954,CD$1,'Исходные данные'!$F$2:$F$954,$A37)</f>
        <v>0</v>
      </c>
      <c r="CF37" s="9" t="n">
        <f aca="false">SUMIFS('Исходные данные'!$I$2:$I$954,'Исходные данные'!$D$2:$D$954,CF$1,'Исходные данные'!$F$2:$F$954,$A37)</f>
        <v>0</v>
      </c>
      <c r="CG37" s="9" t="n">
        <f aca="false">SUMIFS('Исходные данные'!$J$2:$J$954,'Исходные данные'!$D$2:$D$954,CF$1,'Исходные данные'!$F$2:$F$954,$A37)</f>
        <v>0</v>
      </c>
      <c r="CH37" s="9" t="n">
        <f aca="false">SUMIFS('Исходные данные'!$I$2:$I$954,'Исходные данные'!$D$2:$D$954,CH$1,'Исходные данные'!$F$2:$F$954,$A37)</f>
        <v>0</v>
      </c>
      <c r="CI37" s="9" t="n">
        <f aca="false">SUMIFS('Исходные данные'!$J$2:$J$954,'Исходные данные'!$D$2:$D$954,CH$1,'Исходные данные'!$F$2:$F$954,$A37)</f>
        <v>0</v>
      </c>
    </row>
    <row r="38" customFormat="false" ht="15" hidden="false" customHeight="false" outlineLevel="0" collapsed="false">
      <c r="A38" s="8" t="s">
        <v>119</v>
      </c>
      <c r="B38" s="9" t="s">
        <v>120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SUMIFS($H38:$CI38,$H$2:$CI$2,"День")</f>
        <v>0</v>
      </c>
      <c r="G38" s="5" t="n">
        <f aca="false">SUMIFS($H38:$CI38,$H$2:$CI$2,"Ночь")</f>
        <v>0</v>
      </c>
      <c r="H38" s="9" t="n">
        <f aca="false">SUMIFS('Исходные данные'!$I$2:$I$954,'Исходные данные'!$D$2:$D$954,H$1,'Исходные данные'!$F$2:$F$954,$A38)</f>
        <v>0</v>
      </c>
      <c r="I38" s="9" t="n">
        <f aca="false">SUMIFS('Исходные данные'!$J$2:$J$954,'Исходные данные'!$D$2:$D$954,H$1,'Исходные данные'!$F$2:$F$954,$A38)</f>
        <v>0</v>
      </c>
      <c r="J38" s="9" t="n">
        <f aca="false">SUMIFS('Исходные данные'!$I$2:$I$954,'Исходные данные'!$D$2:$D$954,J$1,'Исходные данные'!$F$2:$F$954,$A38)</f>
        <v>0</v>
      </c>
      <c r="K38" s="9" t="n">
        <f aca="false">SUMIFS('Исходные данные'!$J$2:$J$954,'Исходные данные'!$D$2:$D$954,J$1,'Исходные данные'!$F$2:$F$954,$A38)</f>
        <v>0</v>
      </c>
      <c r="L38" s="9" t="n">
        <f aca="false">SUMIFS('Исходные данные'!$I$2:$I$954,'Исходные данные'!$D$2:$D$954,L$1,'Исходные данные'!$F$2:$F$954,$A38)</f>
        <v>0</v>
      </c>
      <c r="M38" s="9" t="n">
        <f aca="false">SUMIFS('Исходные данные'!$J$2:$J$954,'Исходные данные'!$D$2:$D$954,L$1,'Исходные данные'!$F$2:$F$954,$A38)</f>
        <v>0</v>
      </c>
      <c r="N38" s="9" t="n">
        <f aca="false">SUMIFS('Исходные данные'!$I$2:$I$954,'Исходные данные'!$D$2:$D$954,N$1,'Исходные данные'!$F$2:$F$954,$A38)</f>
        <v>0</v>
      </c>
      <c r="O38" s="9" t="n">
        <f aca="false">SUMIFS('Исходные данные'!$J$2:$J$954,'Исходные данные'!$D$2:$D$954,N$1,'Исходные данные'!$F$2:$F$954,$A38)</f>
        <v>0</v>
      </c>
      <c r="P38" s="9" t="n">
        <f aca="false">SUMIFS('Исходные данные'!$I$2:$I$954,'Исходные данные'!$D$2:$D$954,P$1,'Исходные данные'!$F$2:$F$954,$A38)</f>
        <v>0</v>
      </c>
      <c r="Q38" s="9" t="n">
        <f aca="false">SUMIFS('Исходные данные'!$J$2:$J$954,'Исходные данные'!$D$2:$D$954,P$1,'Исходные данные'!$F$2:$F$954,$A38)</f>
        <v>0</v>
      </c>
      <c r="R38" s="9" t="n">
        <f aca="false">SUMIFS('Исходные данные'!$I$2:$I$954,'Исходные данные'!$D$2:$D$954,R$1,'Исходные данные'!$F$2:$F$954,$A38)</f>
        <v>0</v>
      </c>
      <c r="S38" s="9" t="n">
        <f aca="false">SUMIFS('Исходные данные'!$J$2:$J$954,'Исходные данные'!$D$2:$D$954,R$1,'Исходные данные'!$F$2:$F$954,$A38)</f>
        <v>0</v>
      </c>
      <c r="T38" s="9" t="n">
        <f aca="false">SUMIFS('Исходные данные'!$I$2:$I$954,'Исходные данные'!$D$2:$D$954,T$1,'Исходные данные'!$F$2:$F$954,$A38)</f>
        <v>0</v>
      </c>
      <c r="U38" s="9" t="n">
        <f aca="false">SUMIFS('Исходные данные'!$J$2:$J$954,'Исходные данные'!$D$2:$D$954,T$1,'Исходные данные'!$F$2:$F$954,$A38)</f>
        <v>0</v>
      </c>
      <c r="V38" s="9" t="n">
        <f aca="false">SUMIFS('Исходные данные'!$I$2:$I$954,'Исходные данные'!$D$2:$D$954,V$1,'Исходные данные'!$F$2:$F$954,$A38)</f>
        <v>0</v>
      </c>
      <c r="W38" s="9" t="n">
        <f aca="false">SUMIFS('Исходные данные'!$J$2:$J$954,'Исходные данные'!$D$2:$D$954,V$1,'Исходные данные'!$F$2:$F$954,$A38)</f>
        <v>0</v>
      </c>
      <c r="X38" s="9" t="n">
        <f aca="false">SUMIFS('Исходные данные'!$I$2:$I$954,'Исходные данные'!$D$2:$D$954,X$1,'Исходные данные'!$F$2:$F$954,$A38)</f>
        <v>0</v>
      </c>
      <c r="Y38" s="9" t="n">
        <f aca="false">SUMIFS('Исходные данные'!$J$2:$J$954,'Исходные данные'!$D$2:$D$954,X$1,'Исходные данные'!$F$2:$F$954,$A38)</f>
        <v>0</v>
      </c>
      <c r="Z38" s="9" t="n">
        <f aca="false">SUMIFS('Исходные данные'!$I$2:$I$954,'Исходные данные'!$D$2:$D$954,Z$1,'Исходные данные'!$F$2:$F$954,$A38)</f>
        <v>0</v>
      </c>
      <c r="AA38" s="9" t="n">
        <f aca="false">SUMIFS('Исходные данные'!$J$2:$J$954,'Исходные данные'!$D$2:$D$954,Z$1,'Исходные данные'!$F$2:$F$954,$A38)</f>
        <v>0</v>
      </c>
      <c r="AB38" s="9" t="n">
        <f aca="false">SUMIFS('Исходные данные'!$I$2:$I$954,'Исходные данные'!$D$2:$D$954,AB$1,'Исходные данные'!$F$2:$F$954,$A38)</f>
        <v>0</v>
      </c>
      <c r="AC38" s="9" t="n">
        <f aca="false">SUMIFS('Исходные данные'!$J$2:$J$954,'Исходные данные'!$D$2:$D$954,AB$1,'Исходные данные'!$F$2:$F$954,$A38)</f>
        <v>0</v>
      </c>
      <c r="AD38" s="9" t="n">
        <f aca="false">SUMIFS('Исходные данные'!$I$2:$I$954,'Исходные данные'!$D$2:$D$954,AD$1,'Исходные данные'!$F$2:$F$954,$A38)</f>
        <v>0</v>
      </c>
      <c r="AE38" s="9" t="n">
        <f aca="false">SUMIFS('Исходные данные'!$J$2:$J$954,'Исходные данные'!$D$2:$D$954,AD$1,'Исходные данные'!$F$2:$F$954,$A38)</f>
        <v>0</v>
      </c>
      <c r="AF38" s="9" t="n">
        <f aca="false">SUMIFS('Исходные данные'!$I$2:$I$954,'Исходные данные'!$D$2:$D$954,AF$1,'Исходные данные'!$F$2:$F$954,$A38)</f>
        <v>0</v>
      </c>
      <c r="AG38" s="9" t="n">
        <f aca="false">SUMIFS('Исходные данные'!$J$2:$J$954,'Исходные данные'!$D$2:$D$954,AF$1,'Исходные данные'!$F$2:$F$954,$A38)</f>
        <v>0</v>
      </c>
      <c r="AH38" s="9" t="n">
        <f aca="false">SUMIFS('Исходные данные'!$I$2:$I$954,'Исходные данные'!$D$2:$D$954,AH$1,'Исходные данные'!$F$2:$F$954,$A38)</f>
        <v>0</v>
      </c>
      <c r="AI38" s="9" t="n">
        <f aca="false">SUMIFS('Исходные данные'!$J$2:$J$954,'Исходные данные'!$D$2:$D$954,AH$1,'Исходные данные'!$F$2:$F$954,$A38)</f>
        <v>0</v>
      </c>
      <c r="AJ38" s="9" t="n">
        <f aca="false">SUMIFS('Исходные данные'!$I$2:$I$954,'Исходные данные'!$D$2:$D$954,AJ$1,'Исходные данные'!$F$2:$F$954,$A38)</f>
        <v>0</v>
      </c>
      <c r="AK38" s="9" t="n">
        <f aca="false">SUMIFS('Исходные данные'!$J$2:$J$954,'Исходные данные'!$D$2:$D$954,AJ$1,'Исходные данные'!$F$2:$F$954,$A38)</f>
        <v>0</v>
      </c>
      <c r="AL38" s="9" t="n">
        <f aca="false">SUMIFS('Исходные данные'!$I$2:$I$954,'Исходные данные'!$D$2:$D$954,AL$1,'Исходные данные'!$F$2:$F$954,$A38)</f>
        <v>0</v>
      </c>
      <c r="AM38" s="9" t="n">
        <f aca="false">SUMIFS('Исходные данные'!$J$2:$J$954,'Исходные данные'!$D$2:$D$954,AL$1,'Исходные данные'!$F$2:$F$954,$A38)</f>
        <v>0</v>
      </c>
      <c r="AN38" s="9" t="n">
        <f aca="false">SUMIFS('Исходные данные'!$I$2:$I$954,'Исходные данные'!$D$2:$D$954,AN$1,'Исходные данные'!$F$2:$F$954,$A38)</f>
        <v>0</v>
      </c>
      <c r="AO38" s="9" t="n">
        <f aca="false">SUMIFS('Исходные данные'!$J$2:$J$954,'Исходные данные'!$D$2:$D$954,AN$1,'Исходные данные'!$F$2:$F$954,$A38)</f>
        <v>0</v>
      </c>
      <c r="AP38" s="9" t="n">
        <f aca="false">SUMIFS('Исходные данные'!$I$2:$I$954,'Исходные данные'!$D$2:$D$954,AP$1,'Исходные данные'!$F$2:$F$954,$A38)</f>
        <v>0</v>
      </c>
      <c r="AQ38" s="9" t="n">
        <f aca="false">SUMIFS('Исходные данные'!$J$2:$J$954,'Исходные данные'!$D$2:$D$954,AP$1,'Исходные данные'!$F$2:$F$954,$A38)</f>
        <v>0</v>
      </c>
      <c r="AR38" s="9" t="n">
        <f aca="false">SUMIFS('Исходные данные'!$I$2:$I$954,'Исходные данные'!$D$2:$D$954,AR$1,'Исходные данные'!$F$2:$F$954,$A38)</f>
        <v>0</v>
      </c>
      <c r="AS38" s="9" t="n">
        <f aca="false">SUMIFS('Исходные данные'!$J$2:$J$954,'Исходные данные'!$D$2:$D$954,AR$1,'Исходные данные'!$F$2:$F$954,$A38)</f>
        <v>0</v>
      </c>
      <c r="AT38" s="9" t="n">
        <f aca="false">SUMIFS('Исходные данные'!$I$2:$I$954,'Исходные данные'!$D$2:$D$954,AT$1,'Исходные данные'!$F$2:$F$954,$A38)</f>
        <v>0</v>
      </c>
      <c r="AU38" s="9" t="n">
        <f aca="false">SUMIFS('Исходные данные'!$J$2:$J$954,'Исходные данные'!$D$2:$D$954,AT$1,'Исходные данные'!$F$2:$F$954,$A38)</f>
        <v>0</v>
      </c>
      <c r="AV38" s="9" t="n">
        <f aca="false">SUMIFS('Исходные данные'!$I$2:$I$954,'Исходные данные'!$D$2:$D$954,AV$1,'Исходные данные'!$F$2:$F$954,$A38)</f>
        <v>0</v>
      </c>
      <c r="AW38" s="9" t="n">
        <f aca="false">SUMIFS('Исходные данные'!$J$2:$J$954,'Исходные данные'!$D$2:$D$954,AV$1,'Исходные данные'!$F$2:$F$954,$A38)</f>
        <v>0</v>
      </c>
      <c r="AX38" s="9" t="n">
        <f aca="false">SUMIFS('Исходные данные'!$I$2:$I$954,'Исходные данные'!$D$2:$D$954,AX$1,'Исходные данные'!$F$2:$F$954,$A38)</f>
        <v>0</v>
      </c>
      <c r="AY38" s="9" t="n">
        <f aca="false">SUMIFS('Исходные данные'!$J$2:$J$954,'Исходные данные'!$D$2:$D$954,AX$1,'Исходные данные'!$F$2:$F$954,$A38)</f>
        <v>0</v>
      </c>
      <c r="AZ38" s="9" t="n">
        <f aca="false">SUMIFS('Исходные данные'!$I$2:$I$954,'Исходные данные'!$D$2:$D$954,AZ$1,'Исходные данные'!$F$2:$F$954,$A38)</f>
        <v>0</v>
      </c>
      <c r="BA38" s="9" t="n">
        <f aca="false">SUMIFS('Исходные данные'!$J$2:$J$954,'Исходные данные'!$D$2:$D$954,AZ$1,'Исходные данные'!$F$2:$F$954,$A38)</f>
        <v>0</v>
      </c>
      <c r="BB38" s="9" t="n">
        <f aca="false">SUMIFS('Исходные данные'!$I$2:$I$954,'Исходные данные'!$D$2:$D$954,BB$1,'Исходные данные'!$F$2:$F$954,$A38)</f>
        <v>0</v>
      </c>
      <c r="BC38" s="9" t="n">
        <f aca="false">SUMIFS('Исходные данные'!$J$2:$J$954,'Исходные данные'!$D$2:$D$954,BB$1,'Исходные данные'!$F$2:$F$954,$A38)</f>
        <v>0</v>
      </c>
      <c r="BD38" s="9" t="n">
        <f aca="false">SUMIFS('Исходные данные'!$I$2:$I$954,'Исходные данные'!$D$2:$D$954,BD$1,'Исходные данные'!$F$2:$F$954,$A38)</f>
        <v>0</v>
      </c>
      <c r="BE38" s="9" t="n">
        <f aca="false">SUMIFS('Исходные данные'!$J$2:$J$954,'Исходные данные'!$D$2:$D$954,BD$1,'Исходные данные'!$F$2:$F$954,$A38)</f>
        <v>0</v>
      </c>
      <c r="BF38" s="9" t="n">
        <f aca="false">SUMIFS('Исходные данные'!$I$2:$I$954,'Исходные данные'!$D$2:$D$954,BF$1,'Исходные данные'!$F$2:$F$954,$A38)</f>
        <v>0</v>
      </c>
      <c r="BG38" s="9" t="n">
        <f aca="false">SUMIFS('Исходные данные'!$J$2:$J$954,'Исходные данные'!$D$2:$D$954,BF$1,'Исходные данные'!$F$2:$F$954,$A38)</f>
        <v>0</v>
      </c>
      <c r="BH38" s="9" t="n">
        <f aca="false">SUMIFS('Исходные данные'!$I$2:$I$954,'Исходные данные'!$D$2:$D$954,BH$1,'Исходные данные'!$F$2:$F$954,$A38)</f>
        <v>0</v>
      </c>
      <c r="BI38" s="9" t="n">
        <f aca="false">SUMIFS('Исходные данные'!$J$2:$J$954,'Исходные данные'!$D$2:$D$954,BH$1,'Исходные данные'!$F$2:$F$954,$A38)</f>
        <v>0</v>
      </c>
      <c r="BJ38" s="9" t="n">
        <f aca="false">SUMIFS('Исходные данные'!$I$2:$I$954,'Исходные данные'!$D$2:$D$954,BJ$1,'Исходные данные'!$F$2:$F$954,$A38)</f>
        <v>0</v>
      </c>
      <c r="BK38" s="9" t="n">
        <f aca="false">SUMIFS('Исходные данные'!$J$2:$J$954,'Исходные данные'!$D$2:$D$954,BJ$1,'Исходные данные'!$F$2:$F$954,$A38)</f>
        <v>0</v>
      </c>
      <c r="BL38" s="9" t="n">
        <f aca="false">SUMIFS('Исходные данные'!$I$2:$I$954,'Исходные данные'!$D$2:$D$954,BL$1,'Исходные данные'!$F$2:$F$954,$A38)</f>
        <v>0</v>
      </c>
      <c r="BM38" s="9" t="n">
        <f aca="false">SUMIFS('Исходные данные'!$J$2:$J$954,'Исходные данные'!$D$2:$D$954,BL$1,'Исходные данные'!$F$2:$F$954,$A38)</f>
        <v>0</v>
      </c>
      <c r="BN38" s="9" t="n">
        <f aca="false">SUMIFS('Исходные данные'!$I$2:$I$954,'Исходные данные'!$D$2:$D$954,BN$1,'Исходные данные'!$F$2:$F$954,$A38)</f>
        <v>0</v>
      </c>
      <c r="BO38" s="9" t="n">
        <f aca="false">SUMIFS('Исходные данные'!$J$2:$J$954,'Исходные данные'!$D$2:$D$954,BN$1,'Исходные данные'!$F$2:$F$954,$A38)</f>
        <v>0</v>
      </c>
      <c r="BP38" s="9" t="n">
        <f aca="false">SUMIFS('Исходные данные'!$I$2:$I$954,'Исходные данные'!$D$2:$D$954,BP$1,'Исходные данные'!$F$2:$F$954,$A38)</f>
        <v>0</v>
      </c>
      <c r="BQ38" s="9" t="n">
        <f aca="false">SUMIFS('Исходные данные'!$J$2:$J$954,'Исходные данные'!$D$2:$D$954,BP$1,'Исходные данные'!$F$2:$F$954,$A38)</f>
        <v>0</v>
      </c>
      <c r="BR38" s="9" t="n">
        <f aca="false">SUMIFS('Исходные данные'!$I$2:$I$954,'Исходные данные'!$D$2:$D$954,BR$1,'Исходные данные'!$F$2:$F$954,$A38)</f>
        <v>0</v>
      </c>
      <c r="BS38" s="9" t="n">
        <f aca="false">SUMIFS('Исходные данные'!$J$2:$J$954,'Исходные данные'!$D$2:$D$954,BR$1,'Исходные данные'!$F$2:$F$954,$A38)</f>
        <v>0</v>
      </c>
      <c r="BT38" s="9" t="n">
        <f aca="false">SUMIFS('Исходные данные'!$I$2:$I$954,'Исходные данные'!$D$2:$D$954,BT$1,'Исходные данные'!$F$2:$F$954,$A38)</f>
        <v>0</v>
      </c>
      <c r="BU38" s="9" t="n">
        <f aca="false">SUMIFS('Исходные данные'!$J$2:$J$954,'Исходные данные'!$D$2:$D$954,BT$1,'Исходные данные'!$F$2:$F$954,$A38)</f>
        <v>0</v>
      </c>
      <c r="BV38" s="9" t="n">
        <f aca="false">SUMIFS('Исходные данные'!$I$2:$I$954,'Исходные данные'!$D$2:$D$954,BV$1,'Исходные данные'!$F$2:$F$954,$A38)</f>
        <v>0</v>
      </c>
      <c r="BW38" s="9" t="n">
        <f aca="false">SUMIFS('Исходные данные'!$J$2:$J$954,'Исходные данные'!$D$2:$D$954,BV$1,'Исходные данные'!$F$2:$F$954,$A38)</f>
        <v>0</v>
      </c>
      <c r="BX38" s="9" t="n">
        <f aca="false">SUMIFS('Исходные данные'!$I$2:$I$954,'Исходные данные'!$D$2:$D$954,BX$1,'Исходные данные'!$F$2:$F$954,$A38)</f>
        <v>0</v>
      </c>
      <c r="BY38" s="9" t="n">
        <f aca="false">SUMIFS('Исходные данные'!$J$2:$J$954,'Исходные данные'!$D$2:$D$954,BX$1,'Исходные данные'!$F$2:$F$954,$A38)</f>
        <v>0</v>
      </c>
      <c r="BZ38" s="9" t="n">
        <f aca="false">SUMIFS('Исходные данные'!$I$2:$I$954,'Исходные данные'!$D$2:$D$954,BZ$1,'Исходные данные'!$F$2:$F$954,$A38)</f>
        <v>0</v>
      </c>
      <c r="CA38" s="9" t="n">
        <f aca="false">SUMIFS('Исходные данные'!$J$2:$J$954,'Исходные данные'!$D$2:$D$954,BZ$1,'Исходные данные'!$F$2:$F$954,$A38)</f>
        <v>0</v>
      </c>
      <c r="CB38" s="9" t="n">
        <f aca="false">SUMIFS('Исходные данные'!$I$2:$I$954,'Исходные данные'!$D$2:$D$954,CB$1,'Исходные данные'!$F$2:$F$954,$A38)</f>
        <v>0</v>
      </c>
      <c r="CC38" s="9" t="n">
        <f aca="false">SUMIFS('Исходные данные'!$J$2:$J$954,'Исходные данные'!$D$2:$D$954,CB$1,'Исходные данные'!$F$2:$F$954,$A38)</f>
        <v>0</v>
      </c>
      <c r="CD38" s="9" t="n">
        <f aca="false">SUMIFS('Исходные данные'!$I$2:$I$954,'Исходные данные'!$D$2:$D$954,CD$1,'Исходные данные'!$F$2:$F$954,$A38)</f>
        <v>0</v>
      </c>
      <c r="CE38" s="9" t="n">
        <f aca="false">SUMIFS('Исходные данные'!$J$2:$J$954,'Исходные данные'!$D$2:$D$954,CD$1,'Исходные данные'!$F$2:$F$954,$A38)</f>
        <v>0</v>
      </c>
      <c r="CF38" s="9" t="n">
        <f aca="false">SUMIFS('Исходные данные'!$I$2:$I$954,'Исходные данные'!$D$2:$D$954,CF$1,'Исходные данные'!$F$2:$F$954,$A38)</f>
        <v>0</v>
      </c>
      <c r="CG38" s="9" t="n">
        <f aca="false">SUMIFS('Исходные данные'!$J$2:$J$954,'Исходные данные'!$D$2:$D$954,CF$1,'Исходные данные'!$F$2:$F$954,$A38)</f>
        <v>0</v>
      </c>
      <c r="CH38" s="9" t="n">
        <f aca="false">SUMIFS('Исходные данные'!$I$2:$I$954,'Исходные данные'!$D$2:$D$954,CH$1,'Исходные данные'!$F$2:$F$954,$A38)</f>
        <v>0</v>
      </c>
      <c r="CI38" s="9" t="n">
        <f aca="false">SUMIFS('Исходные данные'!$J$2:$J$954,'Исходные данные'!$D$2:$D$954,CH$1,'Исходные данные'!$F$2:$F$954,$A38)</f>
        <v>0</v>
      </c>
    </row>
    <row r="39" customFormat="false" ht="15" hidden="false" customHeight="false" outlineLevel="0" collapsed="false">
      <c r="A39" s="8" t="s">
        <v>121</v>
      </c>
      <c r="B39" s="9" t="s">
        <v>122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SUMIFS($H39:$CI39,$H$2:$CI$2,"День")</f>
        <v>0</v>
      </c>
      <c r="G39" s="5" t="n">
        <f aca="false">SUMIFS($H39:$CI39,$H$2:$CI$2,"Ночь")</f>
        <v>0</v>
      </c>
      <c r="H39" s="9" t="n">
        <f aca="false">SUMIFS('Исходные данные'!$I$2:$I$954,'Исходные данные'!$D$2:$D$954,H$1,'Исходные данные'!$F$2:$F$954,$A39)</f>
        <v>0</v>
      </c>
      <c r="I39" s="9" t="n">
        <f aca="false">SUMIFS('Исходные данные'!$J$2:$J$954,'Исходные данные'!$D$2:$D$954,H$1,'Исходные данные'!$F$2:$F$954,$A39)</f>
        <v>0</v>
      </c>
      <c r="J39" s="9" t="n">
        <f aca="false">SUMIFS('Исходные данные'!$I$2:$I$954,'Исходные данные'!$D$2:$D$954,J$1,'Исходные данные'!$F$2:$F$954,$A39)</f>
        <v>0</v>
      </c>
      <c r="K39" s="9" t="n">
        <f aca="false">SUMIFS('Исходные данные'!$J$2:$J$954,'Исходные данные'!$D$2:$D$954,J$1,'Исходные данные'!$F$2:$F$954,$A39)</f>
        <v>0</v>
      </c>
      <c r="L39" s="9" t="n">
        <f aca="false">SUMIFS('Исходные данные'!$I$2:$I$954,'Исходные данные'!$D$2:$D$954,L$1,'Исходные данные'!$F$2:$F$954,$A39)</f>
        <v>0</v>
      </c>
      <c r="M39" s="9" t="n">
        <f aca="false">SUMIFS('Исходные данные'!$J$2:$J$954,'Исходные данные'!$D$2:$D$954,L$1,'Исходные данные'!$F$2:$F$954,$A39)</f>
        <v>0</v>
      </c>
      <c r="N39" s="9" t="n">
        <f aca="false">SUMIFS('Исходные данные'!$I$2:$I$954,'Исходные данные'!$D$2:$D$954,N$1,'Исходные данные'!$F$2:$F$954,$A39)</f>
        <v>0</v>
      </c>
      <c r="O39" s="9" t="n">
        <f aca="false">SUMIFS('Исходные данные'!$J$2:$J$954,'Исходные данные'!$D$2:$D$954,N$1,'Исходные данные'!$F$2:$F$954,$A39)</f>
        <v>0</v>
      </c>
      <c r="P39" s="9" t="n">
        <f aca="false">SUMIFS('Исходные данные'!$I$2:$I$954,'Исходные данные'!$D$2:$D$954,P$1,'Исходные данные'!$F$2:$F$954,$A39)</f>
        <v>0</v>
      </c>
      <c r="Q39" s="9" t="n">
        <f aca="false">SUMIFS('Исходные данные'!$J$2:$J$954,'Исходные данные'!$D$2:$D$954,P$1,'Исходные данные'!$F$2:$F$954,$A39)</f>
        <v>0</v>
      </c>
      <c r="R39" s="9" t="n">
        <f aca="false">SUMIFS('Исходные данные'!$I$2:$I$954,'Исходные данные'!$D$2:$D$954,R$1,'Исходные данные'!$F$2:$F$954,$A39)</f>
        <v>0</v>
      </c>
      <c r="S39" s="9" t="n">
        <f aca="false">SUMIFS('Исходные данные'!$J$2:$J$954,'Исходные данные'!$D$2:$D$954,R$1,'Исходные данные'!$F$2:$F$954,$A39)</f>
        <v>0</v>
      </c>
      <c r="T39" s="9" t="n">
        <f aca="false">SUMIFS('Исходные данные'!$I$2:$I$954,'Исходные данные'!$D$2:$D$954,T$1,'Исходные данные'!$F$2:$F$954,$A39)</f>
        <v>0</v>
      </c>
      <c r="U39" s="9" t="n">
        <f aca="false">SUMIFS('Исходные данные'!$J$2:$J$954,'Исходные данные'!$D$2:$D$954,T$1,'Исходные данные'!$F$2:$F$954,$A39)</f>
        <v>0</v>
      </c>
      <c r="V39" s="9" t="n">
        <f aca="false">SUMIFS('Исходные данные'!$I$2:$I$954,'Исходные данные'!$D$2:$D$954,V$1,'Исходные данные'!$F$2:$F$954,$A39)</f>
        <v>0</v>
      </c>
      <c r="W39" s="9" t="n">
        <f aca="false">SUMIFS('Исходные данные'!$J$2:$J$954,'Исходные данные'!$D$2:$D$954,V$1,'Исходные данные'!$F$2:$F$954,$A39)</f>
        <v>0</v>
      </c>
      <c r="X39" s="9" t="n">
        <f aca="false">SUMIFS('Исходные данные'!$I$2:$I$954,'Исходные данные'!$D$2:$D$954,X$1,'Исходные данные'!$F$2:$F$954,$A39)</f>
        <v>0</v>
      </c>
      <c r="Y39" s="9" t="n">
        <f aca="false">SUMIFS('Исходные данные'!$J$2:$J$954,'Исходные данные'!$D$2:$D$954,X$1,'Исходные данные'!$F$2:$F$954,$A39)</f>
        <v>0</v>
      </c>
      <c r="Z39" s="9" t="n">
        <f aca="false">SUMIFS('Исходные данные'!$I$2:$I$954,'Исходные данные'!$D$2:$D$954,Z$1,'Исходные данные'!$F$2:$F$954,$A39)</f>
        <v>0</v>
      </c>
      <c r="AA39" s="9" t="n">
        <f aca="false">SUMIFS('Исходные данные'!$J$2:$J$954,'Исходные данные'!$D$2:$D$954,Z$1,'Исходные данные'!$F$2:$F$954,$A39)</f>
        <v>0</v>
      </c>
      <c r="AB39" s="9" t="n">
        <f aca="false">SUMIFS('Исходные данные'!$I$2:$I$954,'Исходные данные'!$D$2:$D$954,AB$1,'Исходные данные'!$F$2:$F$954,$A39)</f>
        <v>0</v>
      </c>
      <c r="AC39" s="9" t="n">
        <f aca="false">SUMIFS('Исходные данные'!$J$2:$J$954,'Исходные данные'!$D$2:$D$954,AB$1,'Исходные данные'!$F$2:$F$954,$A39)</f>
        <v>0</v>
      </c>
      <c r="AD39" s="9" t="n">
        <f aca="false">SUMIFS('Исходные данные'!$I$2:$I$954,'Исходные данные'!$D$2:$D$954,AD$1,'Исходные данные'!$F$2:$F$954,$A39)</f>
        <v>0</v>
      </c>
      <c r="AE39" s="9" t="n">
        <f aca="false">SUMIFS('Исходные данные'!$J$2:$J$954,'Исходные данные'!$D$2:$D$954,AD$1,'Исходные данные'!$F$2:$F$954,$A39)</f>
        <v>0</v>
      </c>
      <c r="AF39" s="9" t="n">
        <f aca="false">SUMIFS('Исходные данные'!$I$2:$I$954,'Исходные данные'!$D$2:$D$954,AF$1,'Исходные данные'!$F$2:$F$954,$A39)</f>
        <v>0</v>
      </c>
      <c r="AG39" s="9" t="n">
        <f aca="false">SUMIFS('Исходные данные'!$J$2:$J$954,'Исходные данные'!$D$2:$D$954,AF$1,'Исходные данные'!$F$2:$F$954,$A39)</f>
        <v>0</v>
      </c>
      <c r="AH39" s="9" t="n">
        <f aca="false">SUMIFS('Исходные данные'!$I$2:$I$954,'Исходные данные'!$D$2:$D$954,AH$1,'Исходные данные'!$F$2:$F$954,$A39)</f>
        <v>0</v>
      </c>
      <c r="AI39" s="9" t="n">
        <f aca="false">SUMIFS('Исходные данные'!$J$2:$J$954,'Исходные данные'!$D$2:$D$954,AH$1,'Исходные данные'!$F$2:$F$954,$A39)</f>
        <v>0</v>
      </c>
      <c r="AJ39" s="9" t="n">
        <f aca="false">SUMIFS('Исходные данные'!$I$2:$I$954,'Исходные данные'!$D$2:$D$954,AJ$1,'Исходные данные'!$F$2:$F$954,$A39)</f>
        <v>0</v>
      </c>
      <c r="AK39" s="9" t="n">
        <f aca="false">SUMIFS('Исходные данные'!$J$2:$J$954,'Исходные данные'!$D$2:$D$954,AJ$1,'Исходные данные'!$F$2:$F$954,$A39)</f>
        <v>0</v>
      </c>
      <c r="AL39" s="9" t="n">
        <f aca="false">SUMIFS('Исходные данные'!$I$2:$I$954,'Исходные данные'!$D$2:$D$954,AL$1,'Исходные данные'!$F$2:$F$954,$A39)</f>
        <v>0</v>
      </c>
      <c r="AM39" s="9" t="n">
        <f aca="false">SUMIFS('Исходные данные'!$J$2:$J$954,'Исходные данные'!$D$2:$D$954,AL$1,'Исходные данные'!$F$2:$F$954,$A39)</f>
        <v>0</v>
      </c>
      <c r="AN39" s="9" t="n">
        <f aca="false">SUMIFS('Исходные данные'!$I$2:$I$954,'Исходные данные'!$D$2:$D$954,AN$1,'Исходные данные'!$F$2:$F$954,$A39)</f>
        <v>0</v>
      </c>
      <c r="AO39" s="9" t="n">
        <f aca="false">SUMIFS('Исходные данные'!$J$2:$J$954,'Исходные данные'!$D$2:$D$954,AN$1,'Исходные данные'!$F$2:$F$954,$A39)</f>
        <v>0</v>
      </c>
      <c r="AP39" s="9" t="n">
        <f aca="false">SUMIFS('Исходные данные'!$I$2:$I$954,'Исходные данные'!$D$2:$D$954,AP$1,'Исходные данные'!$F$2:$F$954,$A39)</f>
        <v>0</v>
      </c>
      <c r="AQ39" s="9" t="n">
        <f aca="false">SUMIFS('Исходные данные'!$J$2:$J$954,'Исходные данные'!$D$2:$D$954,AP$1,'Исходные данные'!$F$2:$F$954,$A39)</f>
        <v>0</v>
      </c>
      <c r="AR39" s="9" t="n">
        <f aca="false">SUMIFS('Исходные данные'!$I$2:$I$954,'Исходные данные'!$D$2:$D$954,AR$1,'Исходные данные'!$F$2:$F$954,$A39)</f>
        <v>0</v>
      </c>
      <c r="AS39" s="9" t="n">
        <f aca="false">SUMIFS('Исходные данные'!$J$2:$J$954,'Исходные данные'!$D$2:$D$954,AR$1,'Исходные данные'!$F$2:$F$954,$A39)</f>
        <v>0</v>
      </c>
      <c r="AT39" s="9" t="n">
        <f aca="false">SUMIFS('Исходные данные'!$I$2:$I$954,'Исходные данные'!$D$2:$D$954,AT$1,'Исходные данные'!$F$2:$F$954,$A39)</f>
        <v>0</v>
      </c>
      <c r="AU39" s="9" t="n">
        <f aca="false">SUMIFS('Исходные данные'!$J$2:$J$954,'Исходные данные'!$D$2:$D$954,AT$1,'Исходные данные'!$F$2:$F$954,$A39)</f>
        <v>0</v>
      </c>
      <c r="AV39" s="9" t="n">
        <f aca="false">SUMIFS('Исходные данные'!$I$2:$I$954,'Исходные данные'!$D$2:$D$954,AV$1,'Исходные данные'!$F$2:$F$954,$A39)</f>
        <v>0</v>
      </c>
      <c r="AW39" s="9" t="n">
        <f aca="false">SUMIFS('Исходные данные'!$J$2:$J$954,'Исходные данные'!$D$2:$D$954,AV$1,'Исходные данные'!$F$2:$F$954,$A39)</f>
        <v>0</v>
      </c>
      <c r="AX39" s="9" t="n">
        <f aca="false">SUMIFS('Исходные данные'!$I$2:$I$954,'Исходные данные'!$D$2:$D$954,AX$1,'Исходные данные'!$F$2:$F$954,$A39)</f>
        <v>0</v>
      </c>
      <c r="AY39" s="9" t="n">
        <f aca="false">SUMIFS('Исходные данные'!$J$2:$J$954,'Исходные данные'!$D$2:$D$954,AX$1,'Исходные данные'!$F$2:$F$954,$A39)</f>
        <v>0</v>
      </c>
      <c r="AZ39" s="9" t="n">
        <f aca="false">SUMIFS('Исходные данные'!$I$2:$I$954,'Исходные данные'!$D$2:$D$954,AZ$1,'Исходные данные'!$F$2:$F$954,$A39)</f>
        <v>0</v>
      </c>
      <c r="BA39" s="9" t="n">
        <f aca="false">SUMIFS('Исходные данные'!$J$2:$J$954,'Исходные данные'!$D$2:$D$954,AZ$1,'Исходные данные'!$F$2:$F$954,$A39)</f>
        <v>0</v>
      </c>
      <c r="BB39" s="9" t="n">
        <f aca="false">SUMIFS('Исходные данные'!$I$2:$I$954,'Исходные данные'!$D$2:$D$954,BB$1,'Исходные данные'!$F$2:$F$954,$A39)</f>
        <v>0</v>
      </c>
      <c r="BC39" s="9" t="n">
        <f aca="false">SUMIFS('Исходные данные'!$J$2:$J$954,'Исходные данные'!$D$2:$D$954,BB$1,'Исходные данные'!$F$2:$F$954,$A39)</f>
        <v>0</v>
      </c>
      <c r="BD39" s="9" t="n">
        <f aca="false">SUMIFS('Исходные данные'!$I$2:$I$954,'Исходные данные'!$D$2:$D$954,BD$1,'Исходные данные'!$F$2:$F$954,$A39)</f>
        <v>0</v>
      </c>
      <c r="BE39" s="9" t="n">
        <f aca="false">SUMIFS('Исходные данные'!$J$2:$J$954,'Исходные данные'!$D$2:$D$954,BD$1,'Исходные данные'!$F$2:$F$954,$A39)</f>
        <v>0</v>
      </c>
      <c r="BF39" s="9" t="n">
        <f aca="false">SUMIFS('Исходные данные'!$I$2:$I$954,'Исходные данные'!$D$2:$D$954,BF$1,'Исходные данные'!$F$2:$F$954,$A39)</f>
        <v>0</v>
      </c>
      <c r="BG39" s="9" t="n">
        <f aca="false">SUMIFS('Исходные данные'!$J$2:$J$954,'Исходные данные'!$D$2:$D$954,BF$1,'Исходные данные'!$F$2:$F$954,$A39)</f>
        <v>0</v>
      </c>
      <c r="BH39" s="9" t="n">
        <f aca="false">SUMIFS('Исходные данные'!$I$2:$I$954,'Исходные данные'!$D$2:$D$954,BH$1,'Исходные данные'!$F$2:$F$954,$A39)</f>
        <v>0</v>
      </c>
      <c r="BI39" s="9" t="n">
        <f aca="false">SUMIFS('Исходные данные'!$J$2:$J$954,'Исходные данные'!$D$2:$D$954,BH$1,'Исходные данные'!$F$2:$F$954,$A39)</f>
        <v>0</v>
      </c>
      <c r="BJ39" s="9" t="n">
        <f aca="false">SUMIFS('Исходные данные'!$I$2:$I$954,'Исходные данные'!$D$2:$D$954,BJ$1,'Исходные данные'!$F$2:$F$954,$A39)</f>
        <v>0</v>
      </c>
      <c r="BK39" s="9" t="n">
        <f aca="false">SUMIFS('Исходные данные'!$J$2:$J$954,'Исходные данные'!$D$2:$D$954,BJ$1,'Исходные данные'!$F$2:$F$954,$A39)</f>
        <v>0</v>
      </c>
      <c r="BL39" s="9" t="n">
        <f aca="false">SUMIFS('Исходные данные'!$I$2:$I$954,'Исходные данные'!$D$2:$D$954,BL$1,'Исходные данные'!$F$2:$F$954,$A39)</f>
        <v>0</v>
      </c>
      <c r="BM39" s="9" t="n">
        <f aca="false">SUMIFS('Исходные данные'!$J$2:$J$954,'Исходные данные'!$D$2:$D$954,BL$1,'Исходные данные'!$F$2:$F$954,$A39)</f>
        <v>0</v>
      </c>
      <c r="BN39" s="9" t="n">
        <f aca="false">SUMIFS('Исходные данные'!$I$2:$I$954,'Исходные данные'!$D$2:$D$954,BN$1,'Исходные данные'!$F$2:$F$954,$A39)</f>
        <v>0</v>
      </c>
      <c r="BO39" s="9" t="n">
        <f aca="false">SUMIFS('Исходные данные'!$J$2:$J$954,'Исходные данные'!$D$2:$D$954,BN$1,'Исходные данные'!$F$2:$F$954,$A39)</f>
        <v>0</v>
      </c>
      <c r="BP39" s="9" t="n">
        <f aca="false">SUMIFS('Исходные данные'!$I$2:$I$954,'Исходные данные'!$D$2:$D$954,BP$1,'Исходные данные'!$F$2:$F$954,$A39)</f>
        <v>0</v>
      </c>
      <c r="BQ39" s="9" t="n">
        <f aca="false">SUMIFS('Исходные данные'!$J$2:$J$954,'Исходные данные'!$D$2:$D$954,BP$1,'Исходные данные'!$F$2:$F$954,$A39)</f>
        <v>0</v>
      </c>
      <c r="BR39" s="9" t="n">
        <f aca="false">SUMIFS('Исходные данные'!$I$2:$I$954,'Исходные данные'!$D$2:$D$954,BR$1,'Исходные данные'!$F$2:$F$954,$A39)</f>
        <v>0</v>
      </c>
      <c r="BS39" s="9" t="n">
        <f aca="false">SUMIFS('Исходные данные'!$J$2:$J$954,'Исходные данные'!$D$2:$D$954,BR$1,'Исходные данные'!$F$2:$F$954,$A39)</f>
        <v>0</v>
      </c>
      <c r="BT39" s="9" t="n">
        <f aca="false">SUMIFS('Исходные данные'!$I$2:$I$954,'Исходные данные'!$D$2:$D$954,BT$1,'Исходные данные'!$F$2:$F$954,$A39)</f>
        <v>0</v>
      </c>
      <c r="BU39" s="9" t="n">
        <f aca="false">SUMIFS('Исходные данные'!$J$2:$J$954,'Исходные данные'!$D$2:$D$954,BT$1,'Исходные данные'!$F$2:$F$954,$A39)</f>
        <v>0</v>
      </c>
      <c r="BV39" s="9" t="n">
        <f aca="false">SUMIFS('Исходные данные'!$I$2:$I$954,'Исходные данные'!$D$2:$D$954,BV$1,'Исходные данные'!$F$2:$F$954,$A39)</f>
        <v>0</v>
      </c>
      <c r="BW39" s="9" t="n">
        <f aca="false">SUMIFS('Исходные данные'!$J$2:$J$954,'Исходные данные'!$D$2:$D$954,BV$1,'Исходные данные'!$F$2:$F$954,$A39)</f>
        <v>0</v>
      </c>
      <c r="BX39" s="9" t="n">
        <f aca="false">SUMIFS('Исходные данные'!$I$2:$I$954,'Исходные данные'!$D$2:$D$954,BX$1,'Исходные данные'!$F$2:$F$954,$A39)</f>
        <v>0</v>
      </c>
      <c r="BY39" s="9" t="n">
        <f aca="false">SUMIFS('Исходные данные'!$J$2:$J$954,'Исходные данные'!$D$2:$D$954,BX$1,'Исходные данные'!$F$2:$F$954,$A39)</f>
        <v>0</v>
      </c>
      <c r="BZ39" s="9" t="n">
        <f aca="false">SUMIFS('Исходные данные'!$I$2:$I$954,'Исходные данные'!$D$2:$D$954,BZ$1,'Исходные данные'!$F$2:$F$954,$A39)</f>
        <v>0</v>
      </c>
      <c r="CA39" s="9" t="n">
        <f aca="false">SUMIFS('Исходные данные'!$J$2:$J$954,'Исходные данные'!$D$2:$D$954,BZ$1,'Исходные данные'!$F$2:$F$954,$A39)</f>
        <v>0</v>
      </c>
      <c r="CB39" s="9" t="n">
        <f aca="false">SUMIFS('Исходные данные'!$I$2:$I$954,'Исходные данные'!$D$2:$D$954,CB$1,'Исходные данные'!$F$2:$F$954,$A39)</f>
        <v>0</v>
      </c>
      <c r="CC39" s="9" t="n">
        <f aca="false">SUMIFS('Исходные данные'!$J$2:$J$954,'Исходные данные'!$D$2:$D$954,CB$1,'Исходные данные'!$F$2:$F$954,$A39)</f>
        <v>0</v>
      </c>
      <c r="CD39" s="9" t="n">
        <f aca="false">SUMIFS('Исходные данные'!$I$2:$I$954,'Исходные данные'!$D$2:$D$954,CD$1,'Исходные данные'!$F$2:$F$954,$A39)</f>
        <v>0</v>
      </c>
      <c r="CE39" s="9" t="n">
        <f aca="false">SUMIFS('Исходные данные'!$J$2:$J$954,'Исходные данные'!$D$2:$D$954,CD$1,'Исходные данные'!$F$2:$F$954,$A39)</f>
        <v>0</v>
      </c>
      <c r="CF39" s="9" t="n">
        <f aca="false">SUMIFS('Исходные данные'!$I$2:$I$954,'Исходные данные'!$D$2:$D$954,CF$1,'Исходные данные'!$F$2:$F$954,$A39)</f>
        <v>0</v>
      </c>
      <c r="CG39" s="9" t="n">
        <f aca="false">SUMIFS('Исходные данные'!$J$2:$J$954,'Исходные данные'!$D$2:$D$954,CF$1,'Исходные данные'!$F$2:$F$954,$A39)</f>
        <v>0</v>
      </c>
      <c r="CH39" s="9" t="n">
        <f aca="false">SUMIFS('Исходные данные'!$I$2:$I$954,'Исходные данные'!$D$2:$D$954,CH$1,'Исходные данные'!$F$2:$F$954,$A39)</f>
        <v>0</v>
      </c>
      <c r="CI39" s="9" t="n">
        <f aca="false">SUMIFS('Исходные данные'!$J$2:$J$954,'Исходные данные'!$D$2:$D$954,CH$1,'Исходные данные'!$F$2:$F$954,$A39)</f>
        <v>0</v>
      </c>
    </row>
    <row r="40" customFormat="false" ht="15" hidden="false" customHeight="false" outlineLevel="0" collapsed="false">
      <c r="A40" s="8" t="s">
        <v>123</v>
      </c>
      <c r="B40" s="9" t="s">
        <v>124</v>
      </c>
      <c r="C40" s="5" t="n">
        <v>6</v>
      </c>
      <c r="D40" s="5" t="n">
        <f aca="false">F40+G40</f>
        <v>5</v>
      </c>
      <c r="E40" s="5" t="n">
        <f aca="false">D40-C40</f>
        <v>-1</v>
      </c>
      <c r="F40" s="5" t="n">
        <f aca="false">SUMIFS($H40:$CI40,$H$2:$CI$2,"День")</f>
        <v>2</v>
      </c>
      <c r="G40" s="5" t="n">
        <f aca="false">SUMIFS($H40:$CI40,$H$2:$CI$2,"Ночь")</f>
        <v>3</v>
      </c>
      <c r="H40" s="9" t="n">
        <f aca="false">SUMIFS('Исходные данные'!$I$2:$I$954,'Исходные данные'!$D$2:$D$954,H$1,'Исходные данные'!$F$2:$F$954,$A40)</f>
        <v>0</v>
      </c>
      <c r="I40" s="9" t="n">
        <f aca="false">SUMIFS('Исходные данные'!$J$2:$J$954,'Исходные данные'!$D$2:$D$954,H$1,'Исходные данные'!$F$2:$F$954,$A40)</f>
        <v>0</v>
      </c>
      <c r="J40" s="9" t="n">
        <f aca="false">SUMIFS('Исходные данные'!$I$2:$I$954,'Исходные данные'!$D$2:$D$954,J$1,'Исходные данные'!$F$2:$F$954,$A40)</f>
        <v>0</v>
      </c>
      <c r="K40" s="9" t="n">
        <f aca="false">SUMIFS('Исходные данные'!$J$2:$J$954,'Исходные данные'!$D$2:$D$954,J$1,'Исходные данные'!$F$2:$F$954,$A40)</f>
        <v>0</v>
      </c>
      <c r="L40" s="9" t="n">
        <f aca="false">SUMIFS('Исходные данные'!$I$2:$I$954,'Исходные данные'!$D$2:$D$954,L$1,'Исходные данные'!$F$2:$F$954,$A40)</f>
        <v>0</v>
      </c>
      <c r="M40" s="9" t="n">
        <f aca="false">SUMIFS('Исходные данные'!$J$2:$J$954,'Исходные данные'!$D$2:$D$954,L$1,'Исходные данные'!$F$2:$F$954,$A40)</f>
        <v>0</v>
      </c>
      <c r="N40" s="9" t="n">
        <f aca="false">SUMIFS('Исходные данные'!$I$2:$I$954,'Исходные данные'!$D$2:$D$954,N$1,'Исходные данные'!$F$2:$F$954,$A40)</f>
        <v>0</v>
      </c>
      <c r="O40" s="9" t="n">
        <f aca="false">SUMIFS('Исходные данные'!$J$2:$J$954,'Исходные данные'!$D$2:$D$954,N$1,'Исходные данные'!$F$2:$F$954,$A40)</f>
        <v>0</v>
      </c>
      <c r="P40" s="9" t="n">
        <f aca="false">SUMIFS('Исходные данные'!$I$2:$I$954,'Исходные данные'!$D$2:$D$954,P$1,'Исходные данные'!$F$2:$F$954,$A40)</f>
        <v>0</v>
      </c>
      <c r="Q40" s="9" t="n">
        <f aca="false">SUMIFS('Исходные данные'!$J$2:$J$954,'Исходные данные'!$D$2:$D$954,P$1,'Исходные данные'!$F$2:$F$954,$A40)</f>
        <v>0</v>
      </c>
      <c r="R40" s="9" t="n">
        <f aca="false">SUMIFS('Исходные данные'!$I$2:$I$954,'Исходные данные'!$D$2:$D$954,R$1,'Исходные данные'!$F$2:$F$954,$A40)</f>
        <v>0</v>
      </c>
      <c r="S40" s="9" t="n">
        <f aca="false">SUMIFS('Исходные данные'!$J$2:$J$954,'Исходные данные'!$D$2:$D$954,R$1,'Исходные данные'!$F$2:$F$954,$A40)</f>
        <v>0</v>
      </c>
      <c r="T40" s="9" t="n">
        <f aca="false">SUMIFS('Исходные данные'!$I$2:$I$954,'Исходные данные'!$D$2:$D$954,T$1,'Исходные данные'!$F$2:$F$954,$A40)</f>
        <v>0</v>
      </c>
      <c r="U40" s="9" t="n">
        <f aca="false">SUMIFS('Исходные данные'!$J$2:$J$954,'Исходные данные'!$D$2:$D$954,T$1,'Исходные данные'!$F$2:$F$954,$A40)</f>
        <v>0</v>
      </c>
      <c r="V40" s="9" t="n">
        <f aca="false">SUMIFS('Исходные данные'!$I$2:$I$954,'Исходные данные'!$D$2:$D$954,V$1,'Исходные данные'!$F$2:$F$954,$A40)</f>
        <v>0</v>
      </c>
      <c r="W40" s="9" t="n">
        <f aca="false">SUMIFS('Исходные данные'!$J$2:$J$954,'Исходные данные'!$D$2:$D$954,V$1,'Исходные данные'!$F$2:$F$954,$A40)</f>
        <v>0</v>
      </c>
      <c r="X40" s="9" t="n">
        <f aca="false">SUMIFS('Исходные данные'!$I$2:$I$954,'Исходные данные'!$D$2:$D$954,X$1,'Исходные данные'!$F$2:$F$954,$A40)</f>
        <v>0</v>
      </c>
      <c r="Y40" s="9" t="n">
        <f aca="false">SUMIFS('Исходные данные'!$J$2:$J$954,'Исходные данные'!$D$2:$D$954,X$1,'Исходные данные'!$F$2:$F$954,$A40)</f>
        <v>0</v>
      </c>
      <c r="Z40" s="9" t="n">
        <f aca="false">SUMIFS('Исходные данные'!$I$2:$I$954,'Исходные данные'!$D$2:$D$954,Z$1,'Исходные данные'!$F$2:$F$954,$A40)</f>
        <v>0</v>
      </c>
      <c r="AA40" s="9" t="n">
        <f aca="false">SUMIFS('Исходные данные'!$J$2:$J$954,'Исходные данные'!$D$2:$D$954,Z$1,'Исходные данные'!$F$2:$F$954,$A40)</f>
        <v>0</v>
      </c>
      <c r="AB40" s="9" t="n">
        <f aca="false">SUMIFS('Исходные данные'!$I$2:$I$954,'Исходные данные'!$D$2:$D$954,AB$1,'Исходные данные'!$F$2:$F$954,$A40)</f>
        <v>0</v>
      </c>
      <c r="AC40" s="9" t="n">
        <f aca="false">SUMIFS('Исходные данные'!$J$2:$J$954,'Исходные данные'!$D$2:$D$954,AB$1,'Исходные данные'!$F$2:$F$954,$A40)</f>
        <v>0</v>
      </c>
      <c r="AD40" s="9" t="n">
        <f aca="false">SUMIFS('Исходные данные'!$I$2:$I$954,'Исходные данные'!$D$2:$D$954,AD$1,'Исходные данные'!$F$2:$F$954,$A40)</f>
        <v>0</v>
      </c>
      <c r="AE40" s="9" t="n">
        <f aca="false">SUMIFS('Исходные данные'!$J$2:$J$954,'Исходные данные'!$D$2:$D$954,AD$1,'Исходные данные'!$F$2:$F$954,$A40)</f>
        <v>0</v>
      </c>
      <c r="AF40" s="9" t="n">
        <f aca="false">SUMIFS('Исходные данные'!$I$2:$I$954,'Исходные данные'!$D$2:$D$954,AF$1,'Исходные данные'!$F$2:$F$954,$A40)</f>
        <v>0</v>
      </c>
      <c r="AG40" s="9" t="n">
        <f aca="false">SUMIFS('Исходные данные'!$J$2:$J$954,'Исходные данные'!$D$2:$D$954,AF$1,'Исходные данные'!$F$2:$F$954,$A40)</f>
        <v>0</v>
      </c>
      <c r="AH40" s="9" t="n">
        <f aca="false">SUMIFS('Исходные данные'!$I$2:$I$954,'Исходные данные'!$D$2:$D$954,AH$1,'Исходные данные'!$F$2:$F$954,$A40)</f>
        <v>1</v>
      </c>
      <c r="AI40" s="9" t="n">
        <f aca="false">SUMIFS('Исходные данные'!$J$2:$J$954,'Исходные данные'!$D$2:$D$954,AH$1,'Исходные данные'!$F$2:$F$954,$A40)</f>
        <v>2</v>
      </c>
      <c r="AJ40" s="9" t="n">
        <f aca="false">SUMIFS('Исходные данные'!$I$2:$I$954,'Исходные данные'!$D$2:$D$954,AJ$1,'Исходные данные'!$F$2:$F$954,$A40)</f>
        <v>1</v>
      </c>
      <c r="AK40" s="9" t="n">
        <f aca="false">SUMIFS('Исходные данные'!$J$2:$J$954,'Исходные данные'!$D$2:$D$954,AJ$1,'Исходные данные'!$F$2:$F$954,$A40)</f>
        <v>1</v>
      </c>
      <c r="AL40" s="9" t="n">
        <f aca="false">SUMIFS('Исходные данные'!$I$2:$I$954,'Исходные данные'!$D$2:$D$954,AL$1,'Исходные данные'!$F$2:$F$954,$A40)</f>
        <v>0</v>
      </c>
      <c r="AM40" s="9" t="n">
        <f aca="false">SUMIFS('Исходные данные'!$J$2:$J$954,'Исходные данные'!$D$2:$D$954,AL$1,'Исходные данные'!$F$2:$F$954,$A40)</f>
        <v>0</v>
      </c>
      <c r="AN40" s="9" t="n">
        <f aca="false">SUMIFS('Исходные данные'!$I$2:$I$954,'Исходные данные'!$D$2:$D$954,AN$1,'Исходные данные'!$F$2:$F$954,$A40)</f>
        <v>0</v>
      </c>
      <c r="AO40" s="9" t="n">
        <f aca="false">SUMIFS('Исходные данные'!$J$2:$J$954,'Исходные данные'!$D$2:$D$954,AN$1,'Исходные данные'!$F$2:$F$954,$A40)</f>
        <v>0</v>
      </c>
      <c r="AP40" s="9" t="n">
        <f aca="false">SUMIFS('Исходные данные'!$I$2:$I$954,'Исходные данные'!$D$2:$D$954,AP$1,'Исходные данные'!$F$2:$F$954,$A40)</f>
        <v>0</v>
      </c>
      <c r="AQ40" s="9" t="n">
        <f aca="false">SUMIFS('Исходные данные'!$J$2:$J$954,'Исходные данные'!$D$2:$D$954,AP$1,'Исходные данные'!$F$2:$F$954,$A40)</f>
        <v>0</v>
      </c>
      <c r="AR40" s="9" t="n">
        <f aca="false">SUMIFS('Исходные данные'!$I$2:$I$954,'Исходные данные'!$D$2:$D$954,AR$1,'Исходные данные'!$F$2:$F$954,$A40)</f>
        <v>0</v>
      </c>
      <c r="AS40" s="9" t="n">
        <f aca="false">SUMIFS('Исходные данные'!$J$2:$J$954,'Исходные данные'!$D$2:$D$954,AR$1,'Исходные данные'!$F$2:$F$954,$A40)</f>
        <v>0</v>
      </c>
      <c r="AT40" s="9" t="n">
        <f aca="false">SUMIFS('Исходные данные'!$I$2:$I$954,'Исходные данные'!$D$2:$D$954,AT$1,'Исходные данные'!$F$2:$F$954,$A40)</f>
        <v>0</v>
      </c>
      <c r="AU40" s="9" t="n">
        <f aca="false">SUMIFS('Исходные данные'!$J$2:$J$954,'Исходные данные'!$D$2:$D$954,AT$1,'Исходные данные'!$F$2:$F$954,$A40)</f>
        <v>0</v>
      </c>
      <c r="AV40" s="9" t="n">
        <f aca="false">SUMIFS('Исходные данные'!$I$2:$I$954,'Исходные данные'!$D$2:$D$954,AV$1,'Исходные данные'!$F$2:$F$954,$A40)</f>
        <v>0</v>
      </c>
      <c r="AW40" s="9" t="n">
        <f aca="false">SUMIFS('Исходные данные'!$J$2:$J$954,'Исходные данные'!$D$2:$D$954,AV$1,'Исходные данные'!$F$2:$F$954,$A40)</f>
        <v>0</v>
      </c>
      <c r="AX40" s="9" t="n">
        <f aca="false">SUMIFS('Исходные данные'!$I$2:$I$954,'Исходные данные'!$D$2:$D$954,AX$1,'Исходные данные'!$F$2:$F$954,$A40)</f>
        <v>0</v>
      </c>
      <c r="AY40" s="9" t="n">
        <f aca="false">SUMIFS('Исходные данные'!$J$2:$J$954,'Исходные данные'!$D$2:$D$954,AX$1,'Исходные данные'!$F$2:$F$954,$A40)</f>
        <v>0</v>
      </c>
      <c r="AZ40" s="9" t="n">
        <f aca="false">SUMIFS('Исходные данные'!$I$2:$I$954,'Исходные данные'!$D$2:$D$954,AZ$1,'Исходные данные'!$F$2:$F$954,$A40)</f>
        <v>0</v>
      </c>
      <c r="BA40" s="9" t="n">
        <f aca="false">SUMIFS('Исходные данные'!$J$2:$J$954,'Исходные данные'!$D$2:$D$954,AZ$1,'Исходные данные'!$F$2:$F$954,$A40)</f>
        <v>0</v>
      </c>
      <c r="BB40" s="9" t="n">
        <f aca="false">SUMIFS('Исходные данные'!$I$2:$I$954,'Исходные данные'!$D$2:$D$954,BB$1,'Исходные данные'!$F$2:$F$954,$A40)</f>
        <v>0</v>
      </c>
      <c r="BC40" s="9" t="n">
        <f aca="false">SUMIFS('Исходные данные'!$J$2:$J$954,'Исходные данные'!$D$2:$D$954,BB$1,'Исходные данные'!$F$2:$F$954,$A40)</f>
        <v>0</v>
      </c>
      <c r="BD40" s="9" t="n">
        <f aca="false">SUMIFS('Исходные данные'!$I$2:$I$954,'Исходные данные'!$D$2:$D$954,BD$1,'Исходные данные'!$F$2:$F$954,$A40)</f>
        <v>0</v>
      </c>
      <c r="BE40" s="9" t="n">
        <f aca="false">SUMIFS('Исходные данные'!$J$2:$J$954,'Исходные данные'!$D$2:$D$954,BD$1,'Исходные данные'!$F$2:$F$954,$A40)</f>
        <v>0</v>
      </c>
      <c r="BF40" s="9" t="n">
        <f aca="false">SUMIFS('Исходные данные'!$I$2:$I$954,'Исходные данные'!$D$2:$D$954,BF$1,'Исходные данные'!$F$2:$F$954,$A40)</f>
        <v>0</v>
      </c>
      <c r="BG40" s="9" t="n">
        <f aca="false">SUMIFS('Исходные данные'!$J$2:$J$954,'Исходные данные'!$D$2:$D$954,BF$1,'Исходные данные'!$F$2:$F$954,$A40)</f>
        <v>0</v>
      </c>
      <c r="BH40" s="9" t="n">
        <f aca="false">SUMIFS('Исходные данные'!$I$2:$I$954,'Исходные данные'!$D$2:$D$954,BH$1,'Исходные данные'!$F$2:$F$954,$A40)</f>
        <v>0</v>
      </c>
      <c r="BI40" s="9" t="n">
        <f aca="false">SUMIFS('Исходные данные'!$J$2:$J$954,'Исходные данные'!$D$2:$D$954,BH$1,'Исходные данные'!$F$2:$F$954,$A40)</f>
        <v>0</v>
      </c>
      <c r="BJ40" s="9" t="n">
        <f aca="false">SUMIFS('Исходные данные'!$I$2:$I$954,'Исходные данные'!$D$2:$D$954,BJ$1,'Исходные данные'!$F$2:$F$954,$A40)</f>
        <v>0</v>
      </c>
      <c r="BK40" s="9" t="n">
        <f aca="false">SUMIFS('Исходные данные'!$J$2:$J$954,'Исходные данные'!$D$2:$D$954,BJ$1,'Исходные данные'!$F$2:$F$954,$A40)</f>
        <v>0</v>
      </c>
      <c r="BL40" s="9" t="n">
        <f aca="false">SUMIFS('Исходные данные'!$I$2:$I$954,'Исходные данные'!$D$2:$D$954,BL$1,'Исходные данные'!$F$2:$F$954,$A40)</f>
        <v>0</v>
      </c>
      <c r="BM40" s="9" t="n">
        <f aca="false">SUMIFS('Исходные данные'!$J$2:$J$954,'Исходные данные'!$D$2:$D$954,BL$1,'Исходные данные'!$F$2:$F$954,$A40)</f>
        <v>0</v>
      </c>
      <c r="BN40" s="9" t="n">
        <f aca="false">SUMIFS('Исходные данные'!$I$2:$I$954,'Исходные данные'!$D$2:$D$954,BN$1,'Исходные данные'!$F$2:$F$954,$A40)</f>
        <v>0</v>
      </c>
      <c r="BO40" s="9" t="n">
        <f aca="false">SUMIFS('Исходные данные'!$J$2:$J$954,'Исходные данные'!$D$2:$D$954,BN$1,'Исходные данные'!$F$2:$F$954,$A40)</f>
        <v>0</v>
      </c>
      <c r="BP40" s="9" t="n">
        <f aca="false">SUMIFS('Исходные данные'!$I$2:$I$954,'Исходные данные'!$D$2:$D$954,BP$1,'Исходные данные'!$F$2:$F$954,$A40)</f>
        <v>0</v>
      </c>
      <c r="BQ40" s="9" t="n">
        <f aca="false">SUMIFS('Исходные данные'!$J$2:$J$954,'Исходные данные'!$D$2:$D$954,BP$1,'Исходные данные'!$F$2:$F$954,$A40)</f>
        <v>0</v>
      </c>
      <c r="BR40" s="9" t="n">
        <f aca="false">SUMIFS('Исходные данные'!$I$2:$I$954,'Исходные данные'!$D$2:$D$954,BR$1,'Исходные данные'!$F$2:$F$954,$A40)</f>
        <v>0</v>
      </c>
      <c r="BS40" s="9" t="n">
        <f aca="false">SUMIFS('Исходные данные'!$J$2:$J$954,'Исходные данные'!$D$2:$D$954,BR$1,'Исходные данные'!$F$2:$F$954,$A40)</f>
        <v>0</v>
      </c>
      <c r="BT40" s="9" t="n">
        <f aca="false">SUMIFS('Исходные данные'!$I$2:$I$954,'Исходные данные'!$D$2:$D$954,BT$1,'Исходные данные'!$F$2:$F$954,$A40)</f>
        <v>0</v>
      </c>
      <c r="BU40" s="9" t="n">
        <f aca="false">SUMIFS('Исходные данные'!$J$2:$J$954,'Исходные данные'!$D$2:$D$954,BT$1,'Исходные данные'!$F$2:$F$954,$A40)</f>
        <v>0</v>
      </c>
      <c r="BV40" s="9" t="n">
        <f aca="false">SUMIFS('Исходные данные'!$I$2:$I$954,'Исходные данные'!$D$2:$D$954,BV$1,'Исходные данные'!$F$2:$F$954,$A40)</f>
        <v>0</v>
      </c>
      <c r="BW40" s="9" t="n">
        <f aca="false">SUMIFS('Исходные данные'!$J$2:$J$954,'Исходные данные'!$D$2:$D$954,BV$1,'Исходные данные'!$F$2:$F$954,$A40)</f>
        <v>0</v>
      </c>
      <c r="BX40" s="9" t="n">
        <f aca="false">SUMIFS('Исходные данные'!$I$2:$I$954,'Исходные данные'!$D$2:$D$954,BX$1,'Исходные данные'!$F$2:$F$954,$A40)</f>
        <v>0</v>
      </c>
      <c r="BY40" s="9" t="n">
        <f aca="false">SUMIFS('Исходные данные'!$J$2:$J$954,'Исходные данные'!$D$2:$D$954,BX$1,'Исходные данные'!$F$2:$F$954,$A40)</f>
        <v>0</v>
      </c>
      <c r="BZ40" s="9" t="n">
        <f aca="false">SUMIFS('Исходные данные'!$I$2:$I$954,'Исходные данные'!$D$2:$D$954,BZ$1,'Исходные данные'!$F$2:$F$954,$A40)</f>
        <v>0</v>
      </c>
      <c r="CA40" s="9" t="n">
        <f aca="false">SUMIFS('Исходные данные'!$J$2:$J$954,'Исходные данные'!$D$2:$D$954,BZ$1,'Исходные данные'!$F$2:$F$954,$A40)</f>
        <v>0</v>
      </c>
      <c r="CB40" s="9" t="n">
        <f aca="false">SUMIFS('Исходные данные'!$I$2:$I$954,'Исходные данные'!$D$2:$D$954,CB$1,'Исходные данные'!$F$2:$F$954,$A40)</f>
        <v>0</v>
      </c>
      <c r="CC40" s="9" t="n">
        <f aca="false">SUMIFS('Исходные данные'!$J$2:$J$954,'Исходные данные'!$D$2:$D$954,CB$1,'Исходные данные'!$F$2:$F$954,$A40)</f>
        <v>0</v>
      </c>
      <c r="CD40" s="9" t="n">
        <f aca="false">SUMIFS('Исходные данные'!$I$2:$I$954,'Исходные данные'!$D$2:$D$954,CD$1,'Исходные данные'!$F$2:$F$954,$A40)</f>
        <v>0</v>
      </c>
      <c r="CE40" s="9" t="n">
        <f aca="false">SUMIFS('Исходные данные'!$J$2:$J$954,'Исходные данные'!$D$2:$D$954,CD$1,'Исходные данные'!$F$2:$F$954,$A40)</f>
        <v>0</v>
      </c>
      <c r="CF40" s="9" t="n">
        <f aca="false">SUMIFS('Исходные данные'!$I$2:$I$954,'Исходные данные'!$D$2:$D$954,CF$1,'Исходные данные'!$F$2:$F$954,$A40)</f>
        <v>0</v>
      </c>
      <c r="CG40" s="9" t="n">
        <f aca="false">SUMIFS('Исходные данные'!$J$2:$J$954,'Исходные данные'!$D$2:$D$954,CF$1,'Исходные данные'!$F$2:$F$954,$A40)</f>
        <v>0</v>
      </c>
      <c r="CH40" s="9" t="n">
        <f aca="false">SUMIFS('Исходные данные'!$I$2:$I$954,'Исходные данные'!$D$2:$D$954,CH$1,'Исходные данные'!$F$2:$F$954,$A40)</f>
        <v>0</v>
      </c>
      <c r="CI40" s="9" t="n">
        <f aca="false">SUMIFS('Исходные данные'!$J$2:$J$954,'Исходные данные'!$D$2:$D$954,CH$1,'Исходные данные'!$F$2:$F$954,$A40)</f>
        <v>0</v>
      </c>
    </row>
    <row r="41" customFormat="false" ht="15" hidden="false" customHeight="false" outlineLevel="0" collapsed="false">
      <c r="A41" s="8" t="s">
        <v>125</v>
      </c>
      <c r="B41" s="9" t="s">
        <v>126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SUMIFS($H41:$CI41,$H$2:$CI$2,"День")</f>
        <v>1</v>
      </c>
      <c r="G41" s="5" t="n">
        <f aca="false">SUMIFS($H41:$CI41,$H$2:$CI$2,"Ночь")</f>
        <v>0</v>
      </c>
      <c r="H41" s="9" t="n">
        <f aca="false">SUMIFS('Исходные данные'!$I$2:$I$954,'Исходные данные'!$D$2:$D$954,H$1,'Исходные данные'!$F$2:$F$954,$A41)</f>
        <v>0</v>
      </c>
      <c r="I41" s="9" t="n">
        <f aca="false">SUMIFS('Исходные данные'!$J$2:$J$954,'Исходные данные'!$D$2:$D$954,H$1,'Исходные данные'!$F$2:$F$954,$A41)</f>
        <v>0</v>
      </c>
      <c r="J41" s="9" t="n">
        <f aca="false">SUMIFS('Исходные данные'!$I$2:$I$954,'Исходные данные'!$D$2:$D$954,J$1,'Исходные данные'!$F$2:$F$954,$A41)</f>
        <v>0</v>
      </c>
      <c r="K41" s="9" t="n">
        <f aca="false">SUMIFS('Исходные данные'!$J$2:$J$954,'Исходные данные'!$D$2:$D$954,J$1,'Исходные данные'!$F$2:$F$954,$A41)</f>
        <v>0</v>
      </c>
      <c r="L41" s="9" t="n">
        <f aca="false">SUMIFS('Исходные данные'!$I$2:$I$954,'Исходные данные'!$D$2:$D$954,L$1,'Исходные данные'!$F$2:$F$954,$A41)</f>
        <v>0</v>
      </c>
      <c r="M41" s="9" t="n">
        <f aca="false">SUMIFS('Исходные данные'!$J$2:$J$954,'Исходные данные'!$D$2:$D$954,L$1,'Исходные данные'!$F$2:$F$954,$A41)</f>
        <v>0</v>
      </c>
      <c r="N41" s="9" t="n">
        <f aca="false">SUMIFS('Исходные данные'!$I$2:$I$954,'Исходные данные'!$D$2:$D$954,N$1,'Исходные данные'!$F$2:$F$954,$A41)</f>
        <v>0</v>
      </c>
      <c r="O41" s="9" t="n">
        <f aca="false">SUMIFS('Исходные данные'!$J$2:$J$954,'Исходные данные'!$D$2:$D$954,N$1,'Исходные данные'!$F$2:$F$954,$A41)</f>
        <v>0</v>
      </c>
      <c r="P41" s="9" t="n">
        <f aca="false">SUMIFS('Исходные данные'!$I$2:$I$954,'Исходные данные'!$D$2:$D$954,P$1,'Исходные данные'!$F$2:$F$954,$A41)</f>
        <v>0</v>
      </c>
      <c r="Q41" s="9" t="n">
        <f aca="false">SUMIFS('Исходные данные'!$J$2:$J$954,'Исходные данные'!$D$2:$D$954,P$1,'Исходные данные'!$F$2:$F$954,$A41)</f>
        <v>0</v>
      </c>
      <c r="R41" s="9" t="n">
        <f aca="false">SUMIFS('Исходные данные'!$I$2:$I$954,'Исходные данные'!$D$2:$D$954,R$1,'Исходные данные'!$F$2:$F$954,$A41)</f>
        <v>1</v>
      </c>
      <c r="S41" s="9" t="n">
        <f aca="false">SUMIFS('Исходные данные'!$J$2:$J$954,'Исходные данные'!$D$2:$D$954,R$1,'Исходные данные'!$F$2:$F$954,$A41)</f>
        <v>0</v>
      </c>
      <c r="T41" s="9" t="n">
        <f aca="false">SUMIFS('Исходные данные'!$I$2:$I$954,'Исходные данные'!$D$2:$D$954,T$1,'Исходные данные'!$F$2:$F$954,$A41)</f>
        <v>0</v>
      </c>
      <c r="U41" s="9" t="n">
        <f aca="false">SUMIFS('Исходные данные'!$J$2:$J$954,'Исходные данные'!$D$2:$D$954,T$1,'Исходные данные'!$F$2:$F$954,$A41)</f>
        <v>0</v>
      </c>
      <c r="V41" s="9" t="n">
        <f aca="false">SUMIFS('Исходные данные'!$I$2:$I$954,'Исходные данные'!$D$2:$D$954,V$1,'Исходные данные'!$F$2:$F$954,$A41)</f>
        <v>0</v>
      </c>
      <c r="W41" s="9" t="n">
        <f aca="false">SUMIFS('Исходные данные'!$J$2:$J$954,'Исходные данные'!$D$2:$D$954,V$1,'Исходные данные'!$F$2:$F$954,$A41)</f>
        <v>0</v>
      </c>
      <c r="X41" s="9" t="n">
        <f aca="false">SUMIFS('Исходные данные'!$I$2:$I$954,'Исходные данные'!$D$2:$D$954,X$1,'Исходные данные'!$F$2:$F$954,$A41)</f>
        <v>0</v>
      </c>
      <c r="Y41" s="9" t="n">
        <f aca="false">SUMIFS('Исходные данные'!$J$2:$J$954,'Исходные данные'!$D$2:$D$954,X$1,'Исходные данные'!$F$2:$F$954,$A41)</f>
        <v>0</v>
      </c>
      <c r="Z41" s="9" t="n">
        <f aca="false">SUMIFS('Исходные данные'!$I$2:$I$954,'Исходные данные'!$D$2:$D$954,Z$1,'Исходные данные'!$F$2:$F$954,$A41)</f>
        <v>0</v>
      </c>
      <c r="AA41" s="9" t="n">
        <f aca="false">SUMIFS('Исходные данные'!$J$2:$J$954,'Исходные данные'!$D$2:$D$954,Z$1,'Исходные данные'!$F$2:$F$954,$A41)</f>
        <v>0</v>
      </c>
      <c r="AB41" s="9" t="n">
        <f aca="false">SUMIFS('Исходные данные'!$I$2:$I$954,'Исходные данные'!$D$2:$D$954,AB$1,'Исходные данные'!$F$2:$F$954,$A41)</f>
        <v>0</v>
      </c>
      <c r="AC41" s="9" t="n">
        <f aca="false">SUMIFS('Исходные данные'!$J$2:$J$954,'Исходные данные'!$D$2:$D$954,AB$1,'Исходные данные'!$F$2:$F$954,$A41)</f>
        <v>0</v>
      </c>
      <c r="AD41" s="9" t="n">
        <f aca="false">SUMIFS('Исходные данные'!$I$2:$I$954,'Исходные данные'!$D$2:$D$954,AD$1,'Исходные данные'!$F$2:$F$954,$A41)</f>
        <v>0</v>
      </c>
      <c r="AE41" s="9" t="n">
        <f aca="false">SUMIFS('Исходные данные'!$J$2:$J$954,'Исходные данные'!$D$2:$D$954,AD$1,'Исходные данные'!$F$2:$F$954,$A41)</f>
        <v>0</v>
      </c>
      <c r="AF41" s="9" t="n">
        <f aca="false">SUMIFS('Исходные данные'!$I$2:$I$954,'Исходные данные'!$D$2:$D$954,AF$1,'Исходные данные'!$F$2:$F$954,$A41)</f>
        <v>0</v>
      </c>
      <c r="AG41" s="9" t="n">
        <f aca="false">SUMIFS('Исходные данные'!$J$2:$J$954,'Исходные данные'!$D$2:$D$954,AF$1,'Исходные данные'!$F$2:$F$954,$A41)</f>
        <v>0</v>
      </c>
      <c r="AH41" s="9" t="n">
        <f aca="false">SUMIFS('Исходные данные'!$I$2:$I$954,'Исходные данные'!$D$2:$D$954,AH$1,'Исходные данные'!$F$2:$F$954,$A41)</f>
        <v>0</v>
      </c>
      <c r="AI41" s="9" t="n">
        <f aca="false">SUMIFS('Исходные данные'!$J$2:$J$954,'Исходные данные'!$D$2:$D$954,AH$1,'Исходные данные'!$F$2:$F$954,$A41)</f>
        <v>0</v>
      </c>
      <c r="AJ41" s="9" t="n">
        <f aca="false">SUMIFS('Исходные данные'!$I$2:$I$954,'Исходные данные'!$D$2:$D$954,AJ$1,'Исходные данные'!$F$2:$F$954,$A41)</f>
        <v>0</v>
      </c>
      <c r="AK41" s="9" t="n">
        <f aca="false">SUMIFS('Исходные данные'!$J$2:$J$954,'Исходные данные'!$D$2:$D$954,AJ$1,'Исходные данные'!$F$2:$F$954,$A41)</f>
        <v>0</v>
      </c>
      <c r="AL41" s="9" t="n">
        <f aca="false">SUMIFS('Исходные данные'!$I$2:$I$954,'Исходные данные'!$D$2:$D$954,AL$1,'Исходные данные'!$F$2:$F$954,$A41)</f>
        <v>0</v>
      </c>
      <c r="AM41" s="9" t="n">
        <f aca="false">SUMIFS('Исходные данные'!$J$2:$J$954,'Исходные данные'!$D$2:$D$954,AL$1,'Исходные данные'!$F$2:$F$954,$A41)</f>
        <v>0</v>
      </c>
      <c r="AN41" s="9" t="n">
        <f aca="false">SUMIFS('Исходные данные'!$I$2:$I$954,'Исходные данные'!$D$2:$D$954,AN$1,'Исходные данные'!$F$2:$F$954,$A41)</f>
        <v>0</v>
      </c>
      <c r="AO41" s="9" t="n">
        <f aca="false">SUMIFS('Исходные данные'!$J$2:$J$954,'Исходные данные'!$D$2:$D$954,AN$1,'Исходные данные'!$F$2:$F$954,$A41)</f>
        <v>0</v>
      </c>
      <c r="AP41" s="9" t="n">
        <f aca="false">SUMIFS('Исходные данные'!$I$2:$I$954,'Исходные данные'!$D$2:$D$954,AP$1,'Исходные данные'!$F$2:$F$954,$A41)</f>
        <v>0</v>
      </c>
      <c r="AQ41" s="9" t="n">
        <f aca="false">SUMIFS('Исходные данные'!$J$2:$J$954,'Исходные данные'!$D$2:$D$954,AP$1,'Исходные данные'!$F$2:$F$954,$A41)</f>
        <v>0</v>
      </c>
      <c r="AR41" s="9" t="n">
        <f aca="false">SUMIFS('Исходные данные'!$I$2:$I$954,'Исходные данные'!$D$2:$D$954,AR$1,'Исходные данные'!$F$2:$F$954,$A41)</f>
        <v>0</v>
      </c>
      <c r="AS41" s="9" t="n">
        <f aca="false">SUMIFS('Исходные данные'!$J$2:$J$954,'Исходные данные'!$D$2:$D$954,AR$1,'Исходные данные'!$F$2:$F$954,$A41)</f>
        <v>0</v>
      </c>
      <c r="AT41" s="9" t="n">
        <f aca="false">SUMIFS('Исходные данные'!$I$2:$I$954,'Исходные данные'!$D$2:$D$954,AT$1,'Исходные данные'!$F$2:$F$954,$A41)</f>
        <v>0</v>
      </c>
      <c r="AU41" s="9" t="n">
        <f aca="false">SUMIFS('Исходные данные'!$J$2:$J$954,'Исходные данные'!$D$2:$D$954,AT$1,'Исходные данные'!$F$2:$F$954,$A41)</f>
        <v>0</v>
      </c>
      <c r="AV41" s="9" t="n">
        <f aca="false">SUMIFS('Исходные данные'!$I$2:$I$954,'Исходные данные'!$D$2:$D$954,AV$1,'Исходные данные'!$F$2:$F$954,$A41)</f>
        <v>0</v>
      </c>
      <c r="AW41" s="9" t="n">
        <f aca="false">SUMIFS('Исходные данные'!$J$2:$J$954,'Исходные данные'!$D$2:$D$954,AV$1,'Исходные данные'!$F$2:$F$954,$A41)</f>
        <v>0</v>
      </c>
      <c r="AX41" s="9" t="n">
        <f aca="false">SUMIFS('Исходные данные'!$I$2:$I$954,'Исходные данные'!$D$2:$D$954,AX$1,'Исходные данные'!$F$2:$F$954,$A41)</f>
        <v>0</v>
      </c>
      <c r="AY41" s="9" t="n">
        <f aca="false">SUMIFS('Исходные данные'!$J$2:$J$954,'Исходные данные'!$D$2:$D$954,AX$1,'Исходные данные'!$F$2:$F$954,$A41)</f>
        <v>0</v>
      </c>
      <c r="AZ41" s="9" t="n">
        <f aca="false">SUMIFS('Исходные данные'!$I$2:$I$954,'Исходные данные'!$D$2:$D$954,AZ$1,'Исходные данные'!$F$2:$F$954,$A41)</f>
        <v>0</v>
      </c>
      <c r="BA41" s="9" t="n">
        <f aca="false">SUMIFS('Исходные данные'!$J$2:$J$954,'Исходные данные'!$D$2:$D$954,AZ$1,'Исходные данные'!$F$2:$F$954,$A41)</f>
        <v>0</v>
      </c>
      <c r="BB41" s="9" t="n">
        <f aca="false">SUMIFS('Исходные данные'!$I$2:$I$954,'Исходные данные'!$D$2:$D$954,BB$1,'Исходные данные'!$F$2:$F$954,$A41)</f>
        <v>0</v>
      </c>
      <c r="BC41" s="9" t="n">
        <f aca="false">SUMIFS('Исходные данные'!$J$2:$J$954,'Исходные данные'!$D$2:$D$954,BB$1,'Исходные данные'!$F$2:$F$954,$A41)</f>
        <v>0</v>
      </c>
      <c r="BD41" s="9" t="n">
        <f aca="false">SUMIFS('Исходные данные'!$I$2:$I$954,'Исходные данные'!$D$2:$D$954,BD$1,'Исходные данные'!$F$2:$F$954,$A41)</f>
        <v>0</v>
      </c>
      <c r="BE41" s="9" t="n">
        <f aca="false">SUMIFS('Исходные данные'!$J$2:$J$954,'Исходные данные'!$D$2:$D$954,BD$1,'Исходные данные'!$F$2:$F$954,$A41)</f>
        <v>0</v>
      </c>
      <c r="BF41" s="9" t="n">
        <f aca="false">SUMIFS('Исходные данные'!$I$2:$I$954,'Исходные данные'!$D$2:$D$954,BF$1,'Исходные данные'!$F$2:$F$954,$A41)</f>
        <v>0</v>
      </c>
      <c r="BG41" s="9" t="n">
        <f aca="false">SUMIFS('Исходные данные'!$J$2:$J$954,'Исходные данные'!$D$2:$D$954,BF$1,'Исходные данные'!$F$2:$F$954,$A41)</f>
        <v>0</v>
      </c>
      <c r="BH41" s="9" t="n">
        <f aca="false">SUMIFS('Исходные данные'!$I$2:$I$954,'Исходные данные'!$D$2:$D$954,BH$1,'Исходные данные'!$F$2:$F$954,$A41)</f>
        <v>0</v>
      </c>
      <c r="BI41" s="9" t="n">
        <f aca="false">SUMIFS('Исходные данные'!$J$2:$J$954,'Исходные данные'!$D$2:$D$954,BH$1,'Исходные данные'!$F$2:$F$954,$A41)</f>
        <v>0</v>
      </c>
      <c r="BJ41" s="9" t="n">
        <f aca="false">SUMIFS('Исходные данные'!$I$2:$I$954,'Исходные данные'!$D$2:$D$954,BJ$1,'Исходные данные'!$F$2:$F$954,$A41)</f>
        <v>0</v>
      </c>
      <c r="BK41" s="9" t="n">
        <f aca="false">SUMIFS('Исходные данные'!$J$2:$J$954,'Исходные данные'!$D$2:$D$954,BJ$1,'Исходные данные'!$F$2:$F$954,$A41)</f>
        <v>0</v>
      </c>
      <c r="BL41" s="9" t="n">
        <f aca="false">SUMIFS('Исходные данные'!$I$2:$I$954,'Исходные данные'!$D$2:$D$954,BL$1,'Исходные данные'!$F$2:$F$954,$A41)</f>
        <v>0</v>
      </c>
      <c r="BM41" s="9" t="n">
        <f aca="false">SUMIFS('Исходные данные'!$J$2:$J$954,'Исходные данные'!$D$2:$D$954,BL$1,'Исходные данные'!$F$2:$F$954,$A41)</f>
        <v>0</v>
      </c>
      <c r="BN41" s="9" t="n">
        <f aca="false">SUMIFS('Исходные данные'!$I$2:$I$954,'Исходные данные'!$D$2:$D$954,BN$1,'Исходные данные'!$F$2:$F$954,$A41)</f>
        <v>0</v>
      </c>
      <c r="BO41" s="9" t="n">
        <f aca="false">SUMIFS('Исходные данные'!$J$2:$J$954,'Исходные данные'!$D$2:$D$954,BN$1,'Исходные данные'!$F$2:$F$954,$A41)</f>
        <v>0</v>
      </c>
      <c r="BP41" s="9" t="n">
        <f aca="false">SUMIFS('Исходные данные'!$I$2:$I$954,'Исходные данные'!$D$2:$D$954,BP$1,'Исходные данные'!$F$2:$F$954,$A41)</f>
        <v>0</v>
      </c>
      <c r="BQ41" s="9" t="n">
        <f aca="false">SUMIFS('Исходные данные'!$J$2:$J$954,'Исходные данные'!$D$2:$D$954,BP$1,'Исходные данные'!$F$2:$F$954,$A41)</f>
        <v>0</v>
      </c>
      <c r="BR41" s="9" t="n">
        <f aca="false">SUMIFS('Исходные данные'!$I$2:$I$954,'Исходные данные'!$D$2:$D$954,BR$1,'Исходные данные'!$F$2:$F$954,$A41)</f>
        <v>0</v>
      </c>
      <c r="BS41" s="9" t="n">
        <f aca="false">SUMIFS('Исходные данные'!$J$2:$J$954,'Исходные данные'!$D$2:$D$954,BR$1,'Исходные данные'!$F$2:$F$954,$A41)</f>
        <v>0</v>
      </c>
      <c r="BT41" s="9" t="n">
        <f aca="false">SUMIFS('Исходные данные'!$I$2:$I$954,'Исходные данные'!$D$2:$D$954,BT$1,'Исходные данные'!$F$2:$F$954,$A41)</f>
        <v>0</v>
      </c>
      <c r="BU41" s="9" t="n">
        <f aca="false">SUMIFS('Исходные данные'!$J$2:$J$954,'Исходные данные'!$D$2:$D$954,BT$1,'Исходные данные'!$F$2:$F$954,$A41)</f>
        <v>0</v>
      </c>
      <c r="BV41" s="9" t="n">
        <f aca="false">SUMIFS('Исходные данные'!$I$2:$I$954,'Исходные данные'!$D$2:$D$954,BV$1,'Исходные данные'!$F$2:$F$954,$A41)</f>
        <v>0</v>
      </c>
      <c r="BW41" s="9" t="n">
        <f aca="false">SUMIFS('Исходные данные'!$J$2:$J$954,'Исходные данные'!$D$2:$D$954,BV$1,'Исходные данные'!$F$2:$F$954,$A41)</f>
        <v>0</v>
      </c>
      <c r="BX41" s="9" t="n">
        <f aca="false">SUMIFS('Исходные данные'!$I$2:$I$954,'Исходные данные'!$D$2:$D$954,BX$1,'Исходные данные'!$F$2:$F$954,$A41)</f>
        <v>0</v>
      </c>
      <c r="BY41" s="9" t="n">
        <f aca="false">SUMIFS('Исходные данные'!$J$2:$J$954,'Исходные данные'!$D$2:$D$954,BX$1,'Исходные данные'!$F$2:$F$954,$A41)</f>
        <v>0</v>
      </c>
      <c r="BZ41" s="9" t="n">
        <f aca="false">SUMIFS('Исходные данные'!$I$2:$I$954,'Исходные данные'!$D$2:$D$954,BZ$1,'Исходные данные'!$F$2:$F$954,$A41)</f>
        <v>0</v>
      </c>
      <c r="CA41" s="9" t="n">
        <f aca="false">SUMIFS('Исходные данные'!$J$2:$J$954,'Исходные данные'!$D$2:$D$954,BZ$1,'Исходные данные'!$F$2:$F$954,$A41)</f>
        <v>0</v>
      </c>
      <c r="CB41" s="9" t="n">
        <f aca="false">SUMIFS('Исходные данные'!$I$2:$I$954,'Исходные данные'!$D$2:$D$954,CB$1,'Исходные данные'!$F$2:$F$954,$A41)</f>
        <v>0</v>
      </c>
      <c r="CC41" s="9" t="n">
        <f aca="false">SUMIFS('Исходные данные'!$J$2:$J$954,'Исходные данные'!$D$2:$D$954,CB$1,'Исходные данные'!$F$2:$F$954,$A41)</f>
        <v>0</v>
      </c>
      <c r="CD41" s="9" t="n">
        <f aca="false">SUMIFS('Исходные данные'!$I$2:$I$954,'Исходные данные'!$D$2:$D$954,CD$1,'Исходные данные'!$F$2:$F$954,$A41)</f>
        <v>0</v>
      </c>
      <c r="CE41" s="9" t="n">
        <f aca="false">SUMIFS('Исходные данные'!$J$2:$J$954,'Исходные данные'!$D$2:$D$954,CD$1,'Исходные данные'!$F$2:$F$954,$A41)</f>
        <v>0</v>
      </c>
      <c r="CF41" s="9" t="n">
        <f aca="false">SUMIFS('Исходные данные'!$I$2:$I$954,'Исходные данные'!$D$2:$D$954,CF$1,'Исходные данные'!$F$2:$F$954,$A41)</f>
        <v>0</v>
      </c>
      <c r="CG41" s="9" t="n">
        <f aca="false">SUMIFS('Исходные данные'!$J$2:$J$954,'Исходные данные'!$D$2:$D$954,CF$1,'Исходные данные'!$F$2:$F$954,$A41)</f>
        <v>0</v>
      </c>
      <c r="CH41" s="9" t="n">
        <f aca="false">SUMIFS('Исходные данные'!$I$2:$I$954,'Исходные данные'!$D$2:$D$954,CH$1,'Исходные данные'!$F$2:$F$954,$A41)</f>
        <v>0</v>
      </c>
      <c r="CI41" s="9" t="n">
        <f aca="false">SUMIFS('Исходные данные'!$J$2:$J$954,'Исходные данные'!$D$2:$D$954,CH$1,'Исходные данные'!$F$2:$F$954,$A41)</f>
        <v>0</v>
      </c>
    </row>
    <row r="42" customFormat="false" ht="15" hidden="false" customHeight="false" outlineLevel="0" collapsed="false">
      <c r="A42" s="8" t="s">
        <v>127</v>
      </c>
      <c r="B42" s="9" t="s">
        <v>128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SUMIFS($H42:$CI42,$H$2:$CI$2,"День")</f>
        <v>3</v>
      </c>
      <c r="G42" s="5" t="n">
        <f aca="false">SUMIFS($H42:$CI42,$H$2:$CI$2,"Ночь")</f>
        <v>0</v>
      </c>
      <c r="H42" s="9" t="n">
        <f aca="false">SUMIFS('Исходные данные'!$I$2:$I$954,'Исходные данные'!$D$2:$D$954,H$1,'Исходные данные'!$F$2:$F$954,$A42)</f>
        <v>0</v>
      </c>
      <c r="I42" s="9" t="n">
        <f aca="false">SUMIFS('Исходные данные'!$J$2:$J$954,'Исходные данные'!$D$2:$D$954,H$1,'Исходные данные'!$F$2:$F$954,$A42)</f>
        <v>0</v>
      </c>
      <c r="J42" s="9" t="n">
        <f aca="false">SUMIFS('Исходные данные'!$I$2:$I$954,'Исходные данные'!$D$2:$D$954,J$1,'Исходные данные'!$F$2:$F$954,$A42)</f>
        <v>0</v>
      </c>
      <c r="K42" s="9" t="n">
        <f aca="false">SUMIFS('Исходные данные'!$J$2:$J$954,'Исходные данные'!$D$2:$D$954,J$1,'Исходные данные'!$F$2:$F$954,$A42)</f>
        <v>0</v>
      </c>
      <c r="L42" s="9" t="n">
        <f aca="false">SUMIFS('Исходные данные'!$I$2:$I$954,'Исходные данные'!$D$2:$D$954,L$1,'Исходные данные'!$F$2:$F$954,$A42)</f>
        <v>0</v>
      </c>
      <c r="M42" s="9" t="n">
        <f aca="false">SUMIFS('Исходные данные'!$J$2:$J$954,'Исходные данные'!$D$2:$D$954,L$1,'Исходные данные'!$F$2:$F$954,$A42)</f>
        <v>0</v>
      </c>
      <c r="N42" s="9" t="n">
        <f aca="false">SUMIFS('Исходные данные'!$I$2:$I$954,'Исходные данные'!$D$2:$D$954,N$1,'Исходные данные'!$F$2:$F$954,$A42)</f>
        <v>0</v>
      </c>
      <c r="O42" s="9" t="n">
        <f aca="false">SUMIFS('Исходные данные'!$J$2:$J$954,'Исходные данные'!$D$2:$D$954,N$1,'Исходные данные'!$F$2:$F$954,$A42)</f>
        <v>0</v>
      </c>
      <c r="P42" s="9" t="n">
        <f aca="false">SUMIFS('Исходные данные'!$I$2:$I$954,'Исходные данные'!$D$2:$D$954,P$1,'Исходные данные'!$F$2:$F$954,$A42)</f>
        <v>0</v>
      </c>
      <c r="Q42" s="9" t="n">
        <f aca="false">SUMIFS('Исходные данные'!$J$2:$J$954,'Исходные данные'!$D$2:$D$954,P$1,'Исходные данные'!$F$2:$F$954,$A42)</f>
        <v>0</v>
      </c>
      <c r="R42" s="9" t="n">
        <f aca="false">SUMIFS('Исходные данные'!$I$2:$I$954,'Исходные данные'!$D$2:$D$954,R$1,'Исходные данные'!$F$2:$F$954,$A42)</f>
        <v>0</v>
      </c>
      <c r="S42" s="9" t="n">
        <f aca="false">SUMIFS('Исходные данные'!$J$2:$J$954,'Исходные данные'!$D$2:$D$954,R$1,'Исходные данные'!$F$2:$F$954,$A42)</f>
        <v>0</v>
      </c>
      <c r="T42" s="9" t="n">
        <f aca="false">SUMIFS('Исходные данные'!$I$2:$I$954,'Исходные данные'!$D$2:$D$954,T$1,'Исходные данные'!$F$2:$F$954,$A42)</f>
        <v>2</v>
      </c>
      <c r="U42" s="9" t="n">
        <f aca="false">SUMIFS('Исходные данные'!$J$2:$J$954,'Исходные данные'!$D$2:$D$954,T$1,'Исходные данные'!$F$2:$F$954,$A42)</f>
        <v>0</v>
      </c>
      <c r="V42" s="9" t="n">
        <f aca="false">SUMIFS('Исходные данные'!$I$2:$I$954,'Исходные данные'!$D$2:$D$954,V$1,'Исходные данные'!$F$2:$F$954,$A42)</f>
        <v>0</v>
      </c>
      <c r="W42" s="9" t="n">
        <f aca="false">SUMIFS('Исходные данные'!$J$2:$J$954,'Исходные данные'!$D$2:$D$954,V$1,'Исходные данные'!$F$2:$F$954,$A42)</f>
        <v>0</v>
      </c>
      <c r="X42" s="9" t="n">
        <f aca="false">SUMIFS('Исходные данные'!$I$2:$I$954,'Исходные данные'!$D$2:$D$954,X$1,'Исходные данные'!$F$2:$F$954,$A42)</f>
        <v>0</v>
      </c>
      <c r="Y42" s="9" t="n">
        <f aca="false">SUMIFS('Исходные данные'!$J$2:$J$954,'Исходные данные'!$D$2:$D$954,X$1,'Исходные данные'!$F$2:$F$954,$A42)</f>
        <v>0</v>
      </c>
      <c r="Z42" s="9" t="n">
        <f aca="false">SUMIFS('Исходные данные'!$I$2:$I$954,'Исходные данные'!$D$2:$D$954,Z$1,'Исходные данные'!$F$2:$F$954,$A42)</f>
        <v>0</v>
      </c>
      <c r="AA42" s="9" t="n">
        <f aca="false">SUMIFS('Исходные данные'!$J$2:$J$954,'Исходные данные'!$D$2:$D$954,Z$1,'Исходные данные'!$F$2:$F$954,$A42)</f>
        <v>0</v>
      </c>
      <c r="AB42" s="9" t="n">
        <f aca="false">SUMIFS('Исходные данные'!$I$2:$I$954,'Исходные данные'!$D$2:$D$954,AB$1,'Исходные данные'!$F$2:$F$954,$A42)</f>
        <v>0</v>
      </c>
      <c r="AC42" s="9" t="n">
        <f aca="false">SUMIFS('Исходные данные'!$J$2:$J$954,'Исходные данные'!$D$2:$D$954,AB$1,'Исходные данные'!$F$2:$F$954,$A42)</f>
        <v>0</v>
      </c>
      <c r="AD42" s="9" t="n">
        <f aca="false">SUMIFS('Исходные данные'!$I$2:$I$954,'Исходные данные'!$D$2:$D$954,AD$1,'Исходные данные'!$F$2:$F$954,$A42)</f>
        <v>0</v>
      </c>
      <c r="AE42" s="9" t="n">
        <f aca="false">SUMIFS('Исходные данные'!$J$2:$J$954,'Исходные данные'!$D$2:$D$954,AD$1,'Исходные данные'!$F$2:$F$954,$A42)</f>
        <v>0</v>
      </c>
      <c r="AF42" s="9" t="n">
        <f aca="false">SUMIFS('Исходные данные'!$I$2:$I$954,'Исходные данные'!$D$2:$D$954,AF$1,'Исходные данные'!$F$2:$F$954,$A42)</f>
        <v>0</v>
      </c>
      <c r="AG42" s="9" t="n">
        <f aca="false">SUMIFS('Исходные данные'!$J$2:$J$954,'Исходные данные'!$D$2:$D$954,AF$1,'Исходные данные'!$F$2:$F$954,$A42)</f>
        <v>0</v>
      </c>
      <c r="AH42" s="9" t="n">
        <f aca="false">SUMIFS('Исходные данные'!$I$2:$I$954,'Исходные данные'!$D$2:$D$954,AH$1,'Исходные данные'!$F$2:$F$954,$A42)</f>
        <v>0</v>
      </c>
      <c r="AI42" s="9" t="n">
        <f aca="false">SUMIFS('Исходные данные'!$J$2:$J$954,'Исходные данные'!$D$2:$D$954,AH$1,'Исходные данные'!$F$2:$F$954,$A42)</f>
        <v>0</v>
      </c>
      <c r="AJ42" s="9" t="n">
        <f aca="false">SUMIFS('Исходные данные'!$I$2:$I$954,'Исходные данные'!$D$2:$D$954,AJ$1,'Исходные данные'!$F$2:$F$954,$A42)</f>
        <v>0</v>
      </c>
      <c r="AK42" s="9" t="n">
        <f aca="false">SUMIFS('Исходные данные'!$J$2:$J$954,'Исходные данные'!$D$2:$D$954,AJ$1,'Исходные данные'!$F$2:$F$954,$A42)</f>
        <v>0</v>
      </c>
      <c r="AL42" s="9" t="n">
        <f aca="false">SUMIFS('Исходные данные'!$I$2:$I$954,'Исходные данные'!$D$2:$D$954,AL$1,'Исходные данные'!$F$2:$F$954,$A42)</f>
        <v>0</v>
      </c>
      <c r="AM42" s="9" t="n">
        <f aca="false">SUMIFS('Исходные данные'!$J$2:$J$954,'Исходные данные'!$D$2:$D$954,AL$1,'Исходные данные'!$F$2:$F$954,$A42)</f>
        <v>0</v>
      </c>
      <c r="AN42" s="9" t="n">
        <f aca="false">SUMIFS('Исходные данные'!$I$2:$I$954,'Исходные данные'!$D$2:$D$954,AN$1,'Исходные данные'!$F$2:$F$954,$A42)</f>
        <v>0</v>
      </c>
      <c r="AO42" s="9" t="n">
        <f aca="false">SUMIFS('Исходные данные'!$J$2:$J$954,'Исходные данные'!$D$2:$D$954,AN$1,'Исходные данные'!$F$2:$F$954,$A42)</f>
        <v>0</v>
      </c>
      <c r="AP42" s="9" t="n">
        <f aca="false">SUMIFS('Исходные данные'!$I$2:$I$954,'Исходные данные'!$D$2:$D$954,AP$1,'Исходные данные'!$F$2:$F$954,$A42)</f>
        <v>0</v>
      </c>
      <c r="AQ42" s="9" t="n">
        <f aca="false">SUMIFS('Исходные данные'!$J$2:$J$954,'Исходные данные'!$D$2:$D$954,AP$1,'Исходные данные'!$F$2:$F$954,$A42)</f>
        <v>0</v>
      </c>
      <c r="AR42" s="9" t="n">
        <f aca="false">SUMIFS('Исходные данные'!$I$2:$I$954,'Исходные данные'!$D$2:$D$954,AR$1,'Исходные данные'!$F$2:$F$954,$A42)</f>
        <v>0</v>
      </c>
      <c r="AS42" s="9" t="n">
        <f aca="false">SUMIFS('Исходные данные'!$J$2:$J$954,'Исходные данные'!$D$2:$D$954,AR$1,'Исходные данные'!$F$2:$F$954,$A42)</f>
        <v>0</v>
      </c>
      <c r="AT42" s="9" t="n">
        <f aca="false">SUMIFS('Исходные данные'!$I$2:$I$954,'Исходные данные'!$D$2:$D$954,AT$1,'Исходные данные'!$F$2:$F$954,$A42)</f>
        <v>1</v>
      </c>
      <c r="AU42" s="9" t="n">
        <f aca="false">SUMIFS('Исходные данные'!$J$2:$J$954,'Исходные данные'!$D$2:$D$954,AT$1,'Исходные данные'!$F$2:$F$954,$A42)</f>
        <v>0</v>
      </c>
      <c r="AV42" s="9" t="n">
        <f aca="false">SUMIFS('Исходные данные'!$I$2:$I$954,'Исходные данные'!$D$2:$D$954,AV$1,'Исходные данные'!$F$2:$F$954,$A42)</f>
        <v>0</v>
      </c>
      <c r="AW42" s="9" t="n">
        <f aca="false">SUMIFS('Исходные данные'!$J$2:$J$954,'Исходные данные'!$D$2:$D$954,AV$1,'Исходные данные'!$F$2:$F$954,$A42)</f>
        <v>0</v>
      </c>
      <c r="AX42" s="9" t="n">
        <f aca="false">SUMIFS('Исходные данные'!$I$2:$I$954,'Исходные данные'!$D$2:$D$954,AX$1,'Исходные данные'!$F$2:$F$954,$A42)</f>
        <v>0</v>
      </c>
      <c r="AY42" s="9" t="n">
        <f aca="false">SUMIFS('Исходные данные'!$J$2:$J$954,'Исходные данные'!$D$2:$D$954,AX$1,'Исходные данные'!$F$2:$F$954,$A42)</f>
        <v>0</v>
      </c>
      <c r="AZ42" s="9" t="n">
        <f aca="false">SUMIFS('Исходные данные'!$I$2:$I$954,'Исходные данные'!$D$2:$D$954,AZ$1,'Исходные данные'!$F$2:$F$954,$A42)</f>
        <v>0</v>
      </c>
      <c r="BA42" s="9" t="n">
        <f aca="false">SUMIFS('Исходные данные'!$J$2:$J$954,'Исходные данные'!$D$2:$D$954,AZ$1,'Исходные данные'!$F$2:$F$954,$A42)</f>
        <v>0</v>
      </c>
      <c r="BB42" s="9" t="n">
        <f aca="false">SUMIFS('Исходные данные'!$I$2:$I$954,'Исходные данные'!$D$2:$D$954,BB$1,'Исходные данные'!$F$2:$F$954,$A42)</f>
        <v>0</v>
      </c>
      <c r="BC42" s="9" t="n">
        <f aca="false">SUMIFS('Исходные данные'!$J$2:$J$954,'Исходные данные'!$D$2:$D$954,BB$1,'Исходные данные'!$F$2:$F$954,$A42)</f>
        <v>0</v>
      </c>
      <c r="BD42" s="9" t="n">
        <f aca="false">SUMIFS('Исходные данные'!$I$2:$I$954,'Исходные данные'!$D$2:$D$954,BD$1,'Исходные данные'!$F$2:$F$954,$A42)</f>
        <v>0</v>
      </c>
      <c r="BE42" s="9" t="n">
        <f aca="false">SUMIFS('Исходные данные'!$J$2:$J$954,'Исходные данные'!$D$2:$D$954,BD$1,'Исходные данные'!$F$2:$F$954,$A42)</f>
        <v>0</v>
      </c>
      <c r="BF42" s="9" t="n">
        <f aca="false">SUMIFS('Исходные данные'!$I$2:$I$954,'Исходные данные'!$D$2:$D$954,BF$1,'Исходные данные'!$F$2:$F$954,$A42)</f>
        <v>0</v>
      </c>
      <c r="BG42" s="9" t="n">
        <f aca="false">SUMIFS('Исходные данные'!$J$2:$J$954,'Исходные данные'!$D$2:$D$954,BF$1,'Исходные данные'!$F$2:$F$954,$A42)</f>
        <v>0</v>
      </c>
      <c r="BH42" s="9" t="n">
        <f aca="false">SUMIFS('Исходные данные'!$I$2:$I$954,'Исходные данные'!$D$2:$D$954,BH$1,'Исходные данные'!$F$2:$F$954,$A42)</f>
        <v>0</v>
      </c>
      <c r="BI42" s="9" t="n">
        <f aca="false">SUMIFS('Исходные данные'!$J$2:$J$954,'Исходные данные'!$D$2:$D$954,BH$1,'Исходные данные'!$F$2:$F$954,$A42)</f>
        <v>0</v>
      </c>
      <c r="BJ42" s="9" t="n">
        <f aca="false">SUMIFS('Исходные данные'!$I$2:$I$954,'Исходные данные'!$D$2:$D$954,BJ$1,'Исходные данные'!$F$2:$F$954,$A42)</f>
        <v>0</v>
      </c>
      <c r="BK42" s="9" t="n">
        <f aca="false">SUMIFS('Исходные данные'!$J$2:$J$954,'Исходные данные'!$D$2:$D$954,BJ$1,'Исходные данные'!$F$2:$F$954,$A42)</f>
        <v>0</v>
      </c>
      <c r="BL42" s="9" t="n">
        <f aca="false">SUMIFS('Исходные данные'!$I$2:$I$954,'Исходные данные'!$D$2:$D$954,BL$1,'Исходные данные'!$F$2:$F$954,$A42)</f>
        <v>0</v>
      </c>
      <c r="BM42" s="9" t="n">
        <f aca="false">SUMIFS('Исходные данные'!$J$2:$J$954,'Исходные данные'!$D$2:$D$954,BL$1,'Исходные данные'!$F$2:$F$954,$A42)</f>
        <v>0</v>
      </c>
      <c r="BN42" s="9" t="n">
        <f aca="false">SUMIFS('Исходные данные'!$I$2:$I$954,'Исходные данные'!$D$2:$D$954,BN$1,'Исходные данные'!$F$2:$F$954,$A42)</f>
        <v>0</v>
      </c>
      <c r="BO42" s="9" t="n">
        <f aca="false">SUMIFS('Исходные данные'!$J$2:$J$954,'Исходные данные'!$D$2:$D$954,BN$1,'Исходные данные'!$F$2:$F$954,$A42)</f>
        <v>0</v>
      </c>
      <c r="BP42" s="9" t="n">
        <f aca="false">SUMIFS('Исходные данные'!$I$2:$I$954,'Исходные данные'!$D$2:$D$954,BP$1,'Исходные данные'!$F$2:$F$954,$A42)</f>
        <v>0</v>
      </c>
      <c r="BQ42" s="9" t="n">
        <f aca="false">SUMIFS('Исходные данные'!$J$2:$J$954,'Исходные данные'!$D$2:$D$954,BP$1,'Исходные данные'!$F$2:$F$954,$A42)</f>
        <v>0</v>
      </c>
      <c r="BR42" s="9" t="n">
        <f aca="false">SUMIFS('Исходные данные'!$I$2:$I$954,'Исходные данные'!$D$2:$D$954,BR$1,'Исходные данные'!$F$2:$F$954,$A42)</f>
        <v>0</v>
      </c>
      <c r="BS42" s="9" t="n">
        <f aca="false">SUMIFS('Исходные данные'!$J$2:$J$954,'Исходные данные'!$D$2:$D$954,BR$1,'Исходные данные'!$F$2:$F$954,$A42)</f>
        <v>0</v>
      </c>
      <c r="BT42" s="9" t="n">
        <f aca="false">SUMIFS('Исходные данные'!$I$2:$I$954,'Исходные данные'!$D$2:$D$954,BT$1,'Исходные данные'!$F$2:$F$954,$A42)</f>
        <v>0</v>
      </c>
      <c r="BU42" s="9" t="n">
        <f aca="false">SUMIFS('Исходные данные'!$J$2:$J$954,'Исходные данные'!$D$2:$D$954,BT$1,'Исходные данные'!$F$2:$F$954,$A42)</f>
        <v>0</v>
      </c>
      <c r="BV42" s="9" t="n">
        <f aca="false">SUMIFS('Исходные данные'!$I$2:$I$954,'Исходные данные'!$D$2:$D$954,BV$1,'Исходные данные'!$F$2:$F$954,$A42)</f>
        <v>0</v>
      </c>
      <c r="BW42" s="9" t="n">
        <f aca="false">SUMIFS('Исходные данные'!$J$2:$J$954,'Исходные данные'!$D$2:$D$954,BV$1,'Исходные данные'!$F$2:$F$954,$A42)</f>
        <v>0</v>
      </c>
      <c r="BX42" s="9" t="n">
        <f aca="false">SUMIFS('Исходные данные'!$I$2:$I$954,'Исходные данные'!$D$2:$D$954,BX$1,'Исходные данные'!$F$2:$F$954,$A42)</f>
        <v>0</v>
      </c>
      <c r="BY42" s="9" t="n">
        <f aca="false">SUMIFS('Исходные данные'!$J$2:$J$954,'Исходные данные'!$D$2:$D$954,BX$1,'Исходные данные'!$F$2:$F$954,$A42)</f>
        <v>0</v>
      </c>
      <c r="BZ42" s="9" t="n">
        <f aca="false">SUMIFS('Исходные данные'!$I$2:$I$954,'Исходные данные'!$D$2:$D$954,BZ$1,'Исходные данные'!$F$2:$F$954,$A42)</f>
        <v>0</v>
      </c>
      <c r="CA42" s="9" t="n">
        <f aca="false">SUMIFS('Исходные данные'!$J$2:$J$954,'Исходные данные'!$D$2:$D$954,BZ$1,'Исходные данные'!$F$2:$F$954,$A42)</f>
        <v>0</v>
      </c>
      <c r="CB42" s="9" t="n">
        <f aca="false">SUMIFS('Исходные данные'!$I$2:$I$954,'Исходные данные'!$D$2:$D$954,CB$1,'Исходные данные'!$F$2:$F$954,$A42)</f>
        <v>0</v>
      </c>
      <c r="CC42" s="9" t="n">
        <f aca="false">SUMIFS('Исходные данные'!$J$2:$J$954,'Исходные данные'!$D$2:$D$954,CB$1,'Исходные данные'!$F$2:$F$954,$A42)</f>
        <v>0</v>
      </c>
      <c r="CD42" s="9" t="n">
        <f aca="false">SUMIFS('Исходные данные'!$I$2:$I$954,'Исходные данные'!$D$2:$D$954,CD$1,'Исходные данные'!$F$2:$F$954,$A42)</f>
        <v>0</v>
      </c>
      <c r="CE42" s="9" t="n">
        <f aca="false">SUMIFS('Исходные данные'!$J$2:$J$954,'Исходные данные'!$D$2:$D$954,CD$1,'Исходные данные'!$F$2:$F$954,$A42)</f>
        <v>0</v>
      </c>
      <c r="CF42" s="9" t="n">
        <f aca="false">SUMIFS('Исходные данные'!$I$2:$I$954,'Исходные данные'!$D$2:$D$954,CF$1,'Исходные данные'!$F$2:$F$954,$A42)</f>
        <v>0</v>
      </c>
      <c r="CG42" s="9" t="n">
        <f aca="false">SUMIFS('Исходные данные'!$J$2:$J$954,'Исходные данные'!$D$2:$D$954,CF$1,'Исходные данные'!$F$2:$F$954,$A42)</f>
        <v>0</v>
      </c>
      <c r="CH42" s="9" t="n">
        <f aca="false">SUMIFS('Исходные данные'!$I$2:$I$954,'Исходные данные'!$D$2:$D$954,CH$1,'Исходные данные'!$F$2:$F$954,$A42)</f>
        <v>0</v>
      </c>
      <c r="CI42" s="9" t="n">
        <f aca="false">SUMIFS('Исходные данные'!$J$2:$J$954,'Исходные данные'!$D$2:$D$954,CH$1,'Исходные данные'!$F$2:$F$954,$A42)</f>
        <v>0</v>
      </c>
    </row>
    <row r="43" customFormat="false" ht="15" hidden="false" customHeight="false" outlineLevel="0" collapsed="false">
      <c r="A43" s="8" t="s">
        <v>129</v>
      </c>
      <c r="B43" s="9" t="s">
        <v>130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SUMIFS($H43:$CI43,$H$2:$CI$2,"День")</f>
        <v>1</v>
      </c>
      <c r="G43" s="5" t="n">
        <f aca="false">SUMIFS($H43:$CI43,$H$2:$CI$2,"Ночь")</f>
        <v>0</v>
      </c>
      <c r="H43" s="9" t="n">
        <f aca="false">SUMIFS('Исходные данные'!$I$2:$I$954,'Исходные данные'!$D$2:$D$954,H$1,'Исходные данные'!$F$2:$F$954,$A43)</f>
        <v>0</v>
      </c>
      <c r="I43" s="9" t="n">
        <f aca="false">SUMIFS('Исходные данные'!$J$2:$J$954,'Исходные данные'!$D$2:$D$954,H$1,'Исходные данные'!$F$2:$F$954,$A43)</f>
        <v>0</v>
      </c>
      <c r="J43" s="9" t="n">
        <f aca="false">SUMIFS('Исходные данные'!$I$2:$I$954,'Исходные данные'!$D$2:$D$954,J$1,'Исходные данные'!$F$2:$F$954,$A43)</f>
        <v>0</v>
      </c>
      <c r="K43" s="9" t="n">
        <f aca="false">SUMIFS('Исходные данные'!$J$2:$J$954,'Исходные данные'!$D$2:$D$954,J$1,'Исходные данные'!$F$2:$F$954,$A43)</f>
        <v>0</v>
      </c>
      <c r="L43" s="9" t="n">
        <f aca="false">SUMIFS('Исходные данные'!$I$2:$I$954,'Исходные данные'!$D$2:$D$954,L$1,'Исходные данные'!$F$2:$F$954,$A43)</f>
        <v>0</v>
      </c>
      <c r="M43" s="9" t="n">
        <f aca="false">SUMIFS('Исходные данные'!$J$2:$J$954,'Исходные данные'!$D$2:$D$954,L$1,'Исходные данные'!$F$2:$F$954,$A43)</f>
        <v>0</v>
      </c>
      <c r="N43" s="9" t="n">
        <f aca="false">SUMIFS('Исходные данные'!$I$2:$I$954,'Исходные данные'!$D$2:$D$954,N$1,'Исходные данные'!$F$2:$F$954,$A43)</f>
        <v>0</v>
      </c>
      <c r="O43" s="9" t="n">
        <f aca="false">SUMIFS('Исходные данные'!$J$2:$J$954,'Исходные данные'!$D$2:$D$954,N$1,'Исходные данные'!$F$2:$F$954,$A43)</f>
        <v>0</v>
      </c>
      <c r="P43" s="9" t="n">
        <f aca="false">SUMIFS('Исходные данные'!$I$2:$I$954,'Исходные данные'!$D$2:$D$954,P$1,'Исходные данные'!$F$2:$F$954,$A43)</f>
        <v>0</v>
      </c>
      <c r="Q43" s="9" t="n">
        <f aca="false">SUMIFS('Исходные данные'!$J$2:$J$954,'Исходные данные'!$D$2:$D$954,P$1,'Исходные данные'!$F$2:$F$954,$A43)</f>
        <v>0</v>
      </c>
      <c r="R43" s="9" t="n">
        <f aca="false">SUMIFS('Исходные данные'!$I$2:$I$954,'Исходные данные'!$D$2:$D$954,R$1,'Исходные данные'!$F$2:$F$954,$A43)</f>
        <v>1</v>
      </c>
      <c r="S43" s="9" t="n">
        <f aca="false">SUMIFS('Исходные данные'!$J$2:$J$954,'Исходные данные'!$D$2:$D$954,R$1,'Исходные данные'!$F$2:$F$954,$A43)</f>
        <v>0</v>
      </c>
      <c r="T43" s="9" t="n">
        <f aca="false">SUMIFS('Исходные данные'!$I$2:$I$954,'Исходные данные'!$D$2:$D$954,T$1,'Исходные данные'!$F$2:$F$954,$A43)</f>
        <v>0</v>
      </c>
      <c r="U43" s="9" t="n">
        <f aca="false">SUMIFS('Исходные данные'!$J$2:$J$954,'Исходные данные'!$D$2:$D$954,T$1,'Исходные данные'!$F$2:$F$954,$A43)</f>
        <v>0</v>
      </c>
      <c r="V43" s="9" t="n">
        <f aca="false">SUMIFS('Исходные данные'!$I$2:$I$954,'Исходные данные'!$D$2:$D$954,V$1,'Исходные данные'!$F$2:$F$954,$A43)</f>
        <v>0</v>
      </c>
      <c r="W43" s="9" t="n">
        <f aca="false">SUMIFS('Исходные данные'!$J$2:$J$954,'Исходные данные'!$D$2:$D$954,V$1,'Исходные данные'!$F$2:$F$954,$A43)</f>
        <v>0</v>
      </c>
      <c r="X43" s="9" t="n">
        <f aca="false">SUMIFS('Исходные данные'!$I$2:$I$954,'Исходные данные'!$D$2:$D$954,X$1,'Исходные данные'!$F$2:$F$954,$A43)</f>
        <v>0</v>
      </c>
      <c r="Y43" s="9" t="n">
        <f aca="false">SUMIFS('Исходные данные'!$J$2:$J$954,'Исходные данные'!$D$2:$D$954,X$1,'Исходные данные'!$F$2:$F$954,$A43)</f>
        <v>0</v>
      </c>
      <c r="Z43" s="9" t="n">
        <f aca="false">SUMIFS('Исходные данные'!$I$2:$I$954,'Исходные данные'!$D$2:$D$954,Z$1,'Исходные данные'!$F$2:$F$954,$A43)</f>
        <v>0</v>
      </c>
      <c r="AA43" s="9" t="n">
        <f aca="false">SUMIFS('Исходные данные'!$J$2:$J$954,'Исходные данные'!$D$2:$D$954,Z$1,'Исходные данные'!$F$2:$F$954,$A43)</f>
        <v>0</v>
      </c>
      <c r="AB43" s="9" t="n">
        <f aca="false">SUMIFS('Исходные данные'!$I$2:$I$954,'Исходные данные'!$D$2:$D$954,AB$1,'Исходные данные'!$F$2:$F$954,$A43)</f>
        <v>0</v>
      </c>
      <c r="AC43" s="9" t="n">
        <f aca="false">SUMIFS('Исходные данные'!$J$2:$J$954,'Исходные данные'!$D$2:$D$954,AB$1,'Исходные данные'!$F$2:$F$954,$A43)</f>
        <v>0</v>
      </c>
      <c r="AD43" s="9" t="n">
        <f aca="false">SUMIFS('Исходные данные'!$I$2:$I$954,'Исходные данные'!$D$2:$D$954,AD$1,'Исходные данные'!$F$2:$F$954,$A43)</f>
        <v>0</v>
      </c>
      <c r="AE43" s="9" t="n">
        <f aca="false">SUMIFS('Исходные данные'!$J$2:$J$954,'Исходные данные'!$D$2:$D$954,AD$1,'Исходные данные'!$F$2:$F$954,$A43)</f>
        <v>0</v>
      </c>
      <c r="AF43" s="9" t="n">
        <f aca="false">SUMIFS('Исходные данные'!$I$2:$I$954,'Исходные данные'!$D$2:$D$954,AF$1,'Исходные данные'!$F$2:$F$954,$A43)</f>
        <v>0</v>
      </c>
      <c r="AG43" s="9" t="n">
        <f aca="false">SUMIFS('Исходные данные'!$J$2:$J$954,'Исходные данные'!$D$2:$D$954,AF$1,'Исходные данные'!$F$2:$F$954,$A43)</f>
        <v>0</v>
      </c>
      <c r="AH43" s="9" t="n">
        <f aca="false">SUMIFS('Исходные данные'!$I$2:$I$954,'Исходные данные'!$D$2:$D$954,AH$1,'Исходные данные'!$F$2:$F$954,$A43)</f>
        <v>0</v>
      </c>
      <c r="AI43" s="9" t="n">
        <f aca="false">SUMIFS('Исходные данные'!$J$2:$J$954,'Исходные данные'!$D$2:$D$954,AH$1,'Исходные данные'!$F$2:$F$954,$A43)</f>
        <v>0</v>
      </c>
      <c r="AJ43" s="9" t="n">
        <f aca="false">SUMIFS('Исходные данные'!$I$2:$I$954,'Исходные данные'!$D$2:$D$954,AJ$1,'Исходные данные'!$F$2:$F$954,$A43)</f>
        <v>0</v>
      </c>
      <c r="AK43" s="9" t="n">
        <f aca="false">SUMIFS('Исходные данные'!$J$2:$J$954,'Исходные данные'!$D$2:$D$954,AJ$1,'Исходные данные'!$F$2:$F$954,$A43)</f>
        <v>0</v>
      </c>
      <c r="AL43" s="9" t="n">
        <f aca="false">SUMIFS('Исходные данные'!$I$2:$I$954,'Исходные данные'!$D$2:$D$954,AL$1,'Исходные данные'!$F$2:$F$954,$A43)</f>
        <v>0</v>
      </c>
      <c r="AM43" s="9" t="n">
        <f aca="false">SUMIFS('Исходные данные'!$J$2:$J$954,'Исходные данные'!$D$2:$D$954,AL$1,'Исходные данные'!$F$2:$F$954,$A43)</f>
        <v>0</v>
      </c>
      <c r="AN43" s="9" t="n">
        <f aca="false">SUMIFS('Исходные данные'!$I$2:$I$954,'Исходные данные'!$D$2:$D$954,AN$1,'Исходные данные'!$F$2:$F$954,$A43)</f>
        <v>0</v>
      </c>
      <c r="AO43" s="9" t="n">
        <f aca="false">SUMIFS('Исходные данные'!$J$2:$J$954,'Исходные данные'!$D$2:$D$954,AN$1,'Исходные данные'!$F$2:$F$954,$A43)</f>
        <v>0</v>
      </c>
      <c r="AP43" s="9" t="n">
        <f aca="false">SUMIFS('Исходные данные'!$I$2:$I$954,'Исходные данные'!$D$2:$D$954,AP$1,'Исходные данные'!$F$2:$F$954,$A43)</f>
        <v>0</v>
      </c>
      <c r="AQ43" s="9" t="n">
        <f aca="false">SUMIFS('Исходные данные'!$J$2:$J$954,'Исходные данные'!$D$2:$D$954,AP$1,'Исходные данные'!$F$2:$F$954,$A43)</f>
        <v>0</v>
      </c>
      <c r="AR43" s="9" t="n">
        <f aca="false">SUMIFS('Исходные данные'!$I$2:$I$954,'Исходные данные'!$D$2:$D$954,AR$1,'Исходные данные'!$F$2:$F$954,$A43)</f>
        <v>0</v>
      </c>
      <c r="AS43" s="9" t="n">
        <f aca="false">SUMIFS('Исходные данные'!$J$2:$J$954,'Исходные данные'!$D$2:$D$954,AR$1,'Исходные данные'!$F$2:$F$954,$A43)</f>
        <v>0</v>
      </c>
      <c r="AT43" s="9" t="n">
        <f aca="false">SUMIFS('Исходные данные'!$I$2:$I$954,'Исходные данные'!$D$2:$D$954,AT$1,'Исходные данные'!$F$2:$F$954,$A43)</f>
        <v>0</v>
      </c>
      <c r="AU43" s="9" t="n">
        <f aca="false">SUMIFS('Исходные данные'!$J$2:$J$954,'Исходные данные'!$D$2:$D$954,AT$1,'Исходные данные'!$F$2:$F$954,$A43)</f>
        <v>0</v>
      </c>
      <c r="AV43" s="9" t="n">
        <f aca="false">SUMIFS('Исходные данные'!$I$2:$I$954,'Исходные данные'!$D$2:$D$954,AV$1,'Исходные данные'!$F$2:$F$954,$A43)</f>
        <v>0</v>
      </c>
      <c r="AW43" s="9" t="n">
        <f aca="false">SUMIFS('Исходные данные'!$J$2:$J$954,'Исходные данные'!$D$2:$D$954,AV$1,'Исходные данные'!$F$2:$F$954,$A43)</f>
        <v>0</v>
      </c>
      <c r="AX43" s="9" t="n">
        <f aca="false">SUMIFS('Исходные данные'!$I$2:$I$954,'Исходные данные'!$D$2:$D$954,AX$1,'Исходные данные'!$F$2:$F$954,$A43)</f>
        <v>0</v>
      </c>
      <c r="AY43" s="9" t="n">
        <f aca="false">SUMIFS('Исходные данные'!$J$2:$J$954,'Исходные данные'!$D$2:$D$954,AX$1,'Исходные данные'!$F$2:$F$954,$A43)</f>
        <v>0</v>
      </c>
      <c r="AZ43" s="9" t="n">
        <f aca="false">SUMIFS('Исходные данные'!$I$2:$I$954,'Исходные данные'!$D$2:$D$954,AZ$1,'Исходные данные'!$F$2:$F$954,$A43)</f>
        <v>0</v>
      </c>
      <c r="BA43" s="9" t="n">
        <f aca="false">SUMIFS('Исходные данные'!$J$2:$J$954,'Исходные данные'!$D$2:$D$954,AZ$1,'Исходные данные'!$F$2:$F$954,$A43)</f>
        <v>0</v>
      </c>
      <c r="BB43" s="9" t="n">
        <f aca="false">SUMIFS('Исходные данные'!$I$2:$I$954,'Исходные данные'!$D$2:$D$954,BB$1,'Исходные данные'!$F$2:$F$954,$A43)</f>
        <v>0</v>
      </c>
      <c r="BC43" s="9" t="n">
        <f aca="false">SUMIFS('Исходные данные'!$J$2:$J$954,'Исходные данные'!$D$2:$D$954,BB$1,'Исходные данные'!$F$2:$F$954,$A43)</f>
        <v>0</v>
      </c>
      <c r="BD43" s="9" t="n">
        <f aca="false">SUMIFS('Исходные данные'!$I$2:$I$954,'Исходные данные'!$D$2:$D$954,BD$1,'Исходные данные'!$F$2:$F$954,$A43)</f>
        <v>0</v>
      </c>
      <c r="BE43" s="9" t="n">
        <f aca="false">SUMIFS('Исходные данные'!$J$2:$J$954,'Исходные данные'!$D$2:$D$954,BD$1,'Исходные данные'!$F$2:$F$954,$A43)</f>
        <v>0</v>
      </c>
      <c r="BF43" s="9" t="n">
        <f aca="false">SUMIFS('Исходные данные'!$I$2:$I$954,'Исходные данные'!$D$2:$D$954,BF$1,'Исходные данные'!$F$2:$F$954,$A43)</f>
        <v>0</v>
      </c>
      <c r="BG43" s="9" t="n">
        <f aca="false">SUMIFS('Исходные данные'!$J$2:$J$954,'Исходные данные'!$D$2:$D$954,BF$1,'Исходные данные'!$F$2:$F$954,$A43)</f>
        <v>0</v>
      </c>
      <c r="BH43" s="9" t="n">
        <f aca="false">SUMIFS('Исходные данные'!$I$2:$I$954,'Исходные данные'!$D$2:$D$954,BH$1,'Исходные данные'!$F$2:$F$954,$A43)</f>
        <v>0</v>
      </c>
      <c r="BI43" s="9" t="n">
        <f aca="false">SUMIFS('Исходные данные'!$J$2:$J$954,'Исходные данные'!$D$2:$D$954,BH$1,'Исходные данные'!$F$2:$F$954,$A43)</f>
        <v>0</v>
      </c>
      <c r="BJ43" s="9" t="n">
        <f aca="false">SUMIFS('Исходные данные'!$I$2:$I$954,'Исходные данные'!$D$2:$D$954,BJ$1,'Исходные данные'!$F$2:$F$954,$A43)</f>
        <v>0</v>
      </c>
      <c r="BK43" s="9" t="n">
        <f aca="false">SUMIFS('Исходные данные'!$J$2:$J$954,'Исходные данные'!$D$2:$D$954,BJ$1,'Исходные данные'!$F$2:$F$954,$A43)</f>
        <v>0</v>
      </c>
      <c r="BL43" s="9" t="n">
        <f aca="false">SUMIFS('Исходные данные'!$I$2:$I$954,'Исходные данные'!$D$2:$D$954,BL$1,'Исходные данные'!$F$2:$F$954,$A43)</f>
        <v>0</v>
      </c>
      <c r="BM43" s="9" t="n">
        <f aca="false">SUMIFS('Исходные данные'!$J$2:$J$954,'Исходные данные'!$D$2:$D$954,BL$1,'Исходные данные'!$F$2:$F$954,$A43)</f>
        <v>0</v>
      </c>
      <c r="BN43" s="9" t="n">
        <f aca="false">SUMIFS('Исходные данные'!$I$2:$I$954,'Исходные данные'!$D$2:$D$954,BN$1,'Исходные данные'!$F$2:$F$954,$A43)</f>
        <v>0</v>
      </c>
      <c r="BO43" s="9" t="n">
        <f aca="false">SUMIFS('Исходные данные'!$J$2:$J$954,'Исходные данные'!$D$2:$D$954,BN$1,'Исходные данные'!$F$2:$F$954,$A43)</f>
        <v>0</v>
      </c>
      <c r="BP43" s="9" t="n">
        <f aca="false">SUMIFS('Исходные данные'!$I$2:$I$954,'Исходные данные'!$D$2:$D$954,BP$1,'Исходные данные'!$F$2:$F$954,$A43)</f>
        <v>0</v>
      </c>
      <c r="BQ43" s="9" t="n">
        <f aca="false">SUMIFS('Исходные данные'!$J$2:$J$954,'Исходные данные'!$D$2:$D$954,BP$1,'Исходные данные'!$F$2:$F$954,$A43)</f>
        <v>0</v>
      </c>
      <c r="BR43" s="9" t="n">
        <f aca="false">SUMIFS('Исходные данные'!$I$2:$I$954,'Исходные данные'!$D$2:$D$954,BR$1,'Исходные данные'!$F$2:$F$954,$A43)</f>
        <v>0</v>
      </c>
      <c r="BS43" s="9" t="n">
        <f aca="false">SUMIFS('Исходные данные'!$J$2:$J$954,'Исходные данные'!$D$2:$D$954,BR$1,'Исходные данные'!$F$2:$F$954,$A43)</f>
        <v>0</v>
      </c>
      <c r="BT43" s="9" t="n">
        <f aca="false">SUMIFS('Исходные данные'!$I$2:$I$954,'Исходные данные'!$D$2:$D$954,BT$1,'Исходные данные'!$F$2:$F$954,$A43)</f>
        <v>0</v>
      </c>
      <c r="BU43" s="9" t="n">
        <f aca="false">SUMIFS('Исходные данные'!$J$2:$J$954,'Исходные данные'!$D$2:$D$954,BT$1,'Исходные данные'!$F$2:$F$954,$A43)</f>
        <v>0</v>
      </c>
      <c r="BV43" s="9" t="n">
        <f aca="false">SUMIFS('Исходные данные'!$I$2:$I$954,'Исходные данные'!$D$2:$D$954,BV$1,'Исходные данные'!$F$2:$F$954,$A43)</f>
        <v>0</v>
      </c>
      <c r="BW43" s="9" t="n">
        <f aca="false">SUMIFS('Исходные данные'!$J$2:$J$954,'Исходные данные'!$D$2:$D$954,BV$1,'Исходные данные'!$F$2:$F$954,$A43)</f>
        <v>0</v>
      </c>
      <c r="BX43" s="9" t="n">
        <f aca="false">SUMIFS('Исходные данные'!$I$2:$I$954,'Исходные данные'!$D$2:$D$954,BX$1,'Исходные данные'!$F$2:$F$954,$A43)</f>
        <v>0</v>
      </c>
      <c r="BY43" s="9" t="n">
        <f aca="false">SUMIFS('Исходные данные'!$J$2:$J$954,'Исходные данные'!$D$2:$D$954,BX$1,'Исходные данные'!$F$2:$F$954,$A43)</f>
        <v>0</v>
      </c>
      <c r="BZ43" s="9" t="n">
        <f aca="false">SUMIFS('Исходные данные'!$I$2:$I$954,'Исходные данные'!$D$2:$D$954,BZ$1,'Исходные данные'!$F$2:$F$954,$A43)</f>
        <v>0</v>
      </c>
      <c r="CA43" s="9" t="n">
        <f aca="false">SUMIFS('Исходные данные'!$J$2:$J$954,'Исходные данные'!$D$2:$D$954,BZ$1,'Исходные данные'!$F$2:$F$954,$A43)</f>
        <v>0</v>
      </c>
      <c r="CB43" s="9" t="n">
        <f aca="false">SUMIFS('Исходные данные'!$I$2:$I$954,'Исходные данные'!$D$2:$D$954,CB$1,'Исходные данные'!$F$2:$F$954,$A43)</f>
        <v>0</v>
      </c>
      <c r="CC43" s="9" t="n">
        <f aca="false">SUMIFS('Исходные данные'!$J$2:$J$954,'Исходные данные'!$D$2:$D$954,CB$1,'Исходные данные'!$F$2:$F$954,$A43)</f>
        <v>0</v>
      </c>
      <c r="CD43" s="9" t="n">
        <f aca="false">SUMIFS('Исходные данные'!$I$2:$I$954,'Исходные данные'!$D$2:$D$954,CD$1,'Исходные данные'!$F$2:$F$954,$A43)</f>
        <v>0</v>
      </c>
      <c r="CE43" s="9" t="n">
        <f aca="false">SUMIFS('Исходные данные'!$J$2:$J$954,'Исходные данные'!$D$2:$D$954,CD$1,'Исходные данные'!$F$2:$F$954,$A43)</f>
        <v>0</v>
      </c>
      <c r="CF43" s="9" t="n">
        <f aca="false">SUMIFS('Исходные данные'!$I$2:$I$954,'Исходные данные'!$D$2:$D$954,CF$1,'Исходные данные'!$F$2:$F$954,$A43)</f>
        <v>0</v>
      </c>
      <c r="CG43" s="9" t="n">
        <f aca="false">SUMIFS('Исходные данные'!$J$2:$J$954,'Исходные данные'!$D$2:$D$954,CF$1,'Исходные данные'!$F$2:$F$954,$A43)</f>
        <v>0</v>
      </c>
      <c r="CH43" s="9" t="n">
        <f aca="false">SUMIFS('Исходные данные'!$I$2:$I$954,'Исходные данные'!$D$2:$D$954,CH$1,'Исходные данные'!$F$2:$F$954,$A43)</f>
        <v>0</v>
      </c>
      <c r="CI43" s="9" t="n">
        <f aca="false">SUMIFS('Исходные данные'!$J$2:$J$954,'Исходные данные'!$D$2:$D$954,CH$1,'Исходные данные'!$F$2:$F$954,$A43)</f>
        <v>0</v>
      </c>
    </row>
    <row r="44" customFormat="false" ht="15" hidden="false" customHeight="false" outlineLevel="0" collapsed="false">
      <c r="A44" s="8" t="s">
        <v>131</v>
      </c>
      <c r="B44" s="9" t="s">
        <v>132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SUMIFS($H44:$CI44,$H$2:$CI$2,"День")</f>
        <v>3</v>
      </c>
      <c r="G44" s="5" t="n">
        <f aca="false">SUMIFS($H44:$CI44,$H$2:$CI$2,"Ночь")</f>
        <v>1</v>
      </c>
      <c r="H44" s="9" t="n">
        <f aca="false">SUMIFS('Исходные данные'!$I$2:$I$954,'Исходные данные'!$D$2:$D$954,H$1,'Исходные данные'!$F$2:$F$954,$A44)</f>
        <v>0</v>
      </c>
      <c r="I44" s="9" t="n">
        <f aca="false">SUMIFS('Исходные данные'!$J$2:$J$954,'Исходные данные'!$D$2:$D$954,H$1,'Исходные данные'!$F$2:$F$954,$A44)</f>
        <v>0</v>
      </c>
      <c r="J44" s="9" t="n">
        <f aca="false">SUMIFS('Исходные данные'!$I$2:$I$954,'Исходные данные'!$D$2:$D$954,J$1,'Исходные данные'!$F$2:$F$954,$A44)</f>
        <v>0</v>
      </c>
      <c r="K44" s="9" t="n">
        <f aca="false">SUMIFS('Исходные данные'!$J$2:$J$954,'Исходные данные'!$D$2:$D$954,J$1,'Исходные данные'!$F$2:$F$954,$A44)</f>
        <v>0</v>
      </c>
      <c r="L44" s="9" t="n">
        <f aca="false">SUMIFS('Исходные данные'!$I$2:$I$954,'Исходные данные'!$D$2:$D$954,L$1,'Исходные данные'!$F$2:$F$954,$A44)</f>
        <v>0</v>
      </c>
      <c r="M44" s="9" t="n">
        <f aca="false">SUMIFS('Исходные данные'!$J$2:$J$954,'Исходные данные'!$D$2:$D$954,L$1,'Исходные данные'!$F$2:$F$954,$A44)</f>
        <v>0</v>
      </c>
      <c r="N44" s="9" t="n">
        <f aca="false">SUMIFS('Исходные данные'!$I$2:$I$954,'Исходные данные'!$D$2:$D$954,N$1,'Исходные данные'!$F$2:$F$954,$A44)</f>
        <v>0</v>
      </c>
      <c r="O44" s="9" t="n">
        <f aca="false">SUMIFS('Исходные данные'!$J$2:$J$954,'Исходные данные'!$D$2:$D$954,N$1,'Исходные данные'!$F$2:$F$954,$A44)</f>
        <v>0</v>
      </c>
      <c r="P44" s="9" t="n">
        <f aca="false">SUMIFS('Исходные данные'!$I$2:$I$954,'Исходные данные'!$D$2:$D$954,P$1,'Исходные данные'!$F$2:$F$954,$A44)</f>
        <v>0</v>
      </c>
      <c r="Q44" s="9" t="n">
        <f aca="false">SUMIFS('Исходные данные'!$J$2:$J$954,'Исходные данные'!$D$2:$D$954,P$1,'Исходные данные'!$F$2:$F$954,$A44)</f>
        <v>0</v>
      </c>
      <c r="R44" s="9" t="n">
        <f aca="false">SUMIFS('Исходные данные'!$I$2:$I$954,'Исходные данные'!$D$2:$D$954,R$1,'Исходные данные'!$F$2:$F$954,$A44)</f>
        <v>0</v>
      </c>
      <c r="S44" s="9" t="n">
        <f aca="false">SUMIFS('Исходные данные'!$J$2:$J$954,'Исходные данные'!$D$2:$D$954,R$1,'Исходные данные'!$F$2:$F$954,$A44)</f>
        <v>0</v>
      </c>
      <c r="T44" s="9" t="n">
        <f aca="false">SUMIFS('Исходные данные'!$I$2:$I$954,'Исходные данные'!$D$2:$D$954,T$1,'Исходные данные'!$F$2:$F$954,$A44)</f>
        <v>0</v>
      </c>
      <c r="U44" s="9" t="n">
        <f aca="false">SUMIFS('Исходные данные'!$J$2:$J$954,'Исходные данные'!$D$2:$D$954,T$1,'Исходные данные'!$F$2:$F$954,$A44)</f>
        <v>0</v>
      </c>
      <c r="V44" s="9" t="n">
        <f aca="false">SUMIFS('Исходные данные'!$I$2:$I$954,'Исходные данные'!$D$2:$D$954,V$1,'Исходные данные'!$F$2:$F$954,$A44)</f>
        <v>0</v>
      </c>
      <c r="W44" s="9" t="n">
        <f aca="false">SUMIFS('Исходные данные'!$J$2:$J$954,'Исходные данные'!$D$2:$D$954,V$1,'Исходные данные'!$F$2:$F$954,$A44)</f>
        <v>0</v>
      </c>
      <c r="X44" s="9" t="n">
        <f aca="false">SUMIFS('Исходные данные'!$I$2:$I$954,'Исходные данные'!$D$2:$D$954,X$1,'Исходные данные'!$F$2:$F$954,$A44)</f>
        <v>0</v>
      </c>
      <c r="Y44" s="9" t="n">
        <f aca="false">SUMIFS('Исходные данные'!$J$2:$J$954,'Исходные данные'!$D$2:$D$954,X$1,'Исходные данные'!$F$2:$F$954,$A44)</f>
        <v>0</v>
      </c>
      <c r="Z44" s="9" t="n">
        <f aca="false">SUMIFS('Исходные данные'!$I$2:$I$954,'Исходные данные'!$D$2:$D$954,Z$1,'Исходные данные'!$F$2:$F$954,$A44)</f>
        <v>0</v>
      </c>
      <c r="AA44" s="9" t="n">
        <f aca="false">SUMIFS('Исходные данные'!$J$2:$J$954,'Исходные данные'!$D$2:$D$954,Z$1,'Исходные данные'!$F$2:$F$954,$A44)</f>
        <v>0</v>
      </c>
      <c r="AB44" s="9" t="n">
        <f aca="false">SUMIFS('Исходные данные'!$I$2:$I$954,'Исходные данные'!$D$2:$D$954,AB$1,'Исходные данные'!$F$2:$F$954,$A44)</f>
        <v>0</v>
      </c>
      <c r="AC44" s="9" t="n">
        <f aca="false">SUMIFS('Исходные данные'!$J$2:$J$954,'Исходные данные'!$D$2:$D$954,AB$1,'Исходные данные'!$F$2:$F$954,$A44)</f>
        <v>0</v>
      </c>
      <c r="AD44" s="9" t="n">
        <f aca="false">SUMIFS('Исходные данные'!$I$2:$I$954,'Исходные данные'!$D$2:$D$954,AD$1,'Исходные данные'!$F$2:$F$954,$A44)</f>
        <v>0</v>
      </c>
      <c r="AE44" s="9" t="n">
        <f aca="false">SUMIFS('Исходные данные'!$J$2:$J$954,'Исходные данные'!$D$2:$D$954,AD$1,'Исходные данные'!$F$2:$F$954,$A44)</f>
        <v>0</v>
      </c>
      <c r="AF44" s="9" t="n">
        <f aca="false">SUMIFS('Исходные данные'!$I$2:$I$954,'Исходные данные'!$D$2:$D$954,AF$1,'Исходные данные'!$F$2:$F$954,$A44)</f>
        <v>0</v>
      </c>
      <c r="AG44" s="9" t="n">
        <f aca="false">SUMIFS('Исходные данные'!$J$2:$J$954,'Исходные данные'!$D$2:$D$954,AF$1,'Исходные данные'!$F$2:$F$954,$A44)</f>
        <v>0</v>
      </c>
      <c r="AH44" s="9" t="n">
        <f aca="false">SUMIFS('Исходные данные'!$I$2:$I$954,'Исходные данные'!$D$2:$D$954,AH$1,'Исходные данные'!$F$2:$F$954,$A44)</f>
        <v>0</v>
      </c>
      <c r="AI44" s="9" t="n">
        <f aca="false">SUMIFS('Исходные данные'!$J$2:$J$954,'Исходные данные'!$D$2:$D$954,AH$1,'Исходные данные'!$F$2:$F$954,$A44)</f>
        <v>0</v>
      </c>
      <c r="AJ44" s="9" t="n">
        <f aca="false">SUMIFS('Исходные данные'!$I$2:$I$954,'Исходные данные'!$D$2:$D$954,AJ$1,'Исходные данные'!$F$2:$F$954,$A44)</f>
        <v>0</v>
      </c>
      <c r="AK44" s="9" t="n">
        <f aca="false">SUMIFS('Исходные данные'!$J$2:$J$954,'Исходные данные'!$D$2:$D$954,AJ$1,'Исходные данные'!$F$2:$F$954,$A44)</f>
        <v>0</v>
      </c>
      <c r="AL44" s="9" t="n">
        <f aca="false">SUMIFS('Исходные данные'!$I$2:$I$954,'Исходные данные'!$D$2:$D$954,AL$1,'Исходные данные'!$F$2:$F$954,$A44)</f>
        <v>0</v>
      </c>
      <c r="AM44" s="9" t="n">
        <f aca="false">SUMIFS('Исходные данные'!$J$2:$J$954,'Исходные данные'!$D$2:$D$954,AL$1,'Исходные данные'!$F$2:$F$954,$A44)</f>
        <v>0</v>
      </c>
      <c r="AN44" s="9" t="n">
        <f aca="false">SUMIFS('Исходные данные'!$I$2:$I$954,'Исходные данные'!$D$2:$D$954,AN$1,'Исходные данные'!$F$2:$F$954,$A44)</f>
        <v>0</v>
      </c>
      <c r="AO44" s="9" t="n">
        <f aca="false">SUMIFS('Исходные данные'!$J$2:$J$954,'Исходные данные'!$D$2:$D$954,AN$1,'Исходные данные'!$F$2:$F$954,$A44)</f>
        <v>0</v>
      </c>
      <c r="AP44" s="9" t="n">
        <f aca="false">SUMIFS('Исходные данные'!$I$2:$I$954,'Исходные данные'!$D$2:$D$954,AP$1,'Исходные данные'!$F$2:$F$954,$A44)</f>
        <v>0</v>
      </c>
      <c r="AQ44" s="9" t="n">
        <f aca="false">SUMIFS('Исходные данные'!$J$2:$J$954,'Исходные данные'!$D$2:$D$954,AP$1,'Исходные данные'!$F$2:$F$954,$A44)</f>
        <v>0</v>
      </c>
      <c r="AR44" s="9" t="n">
        <f aca="false">SUMIFS('Исходные данные'!$I$2:$I$954,'Исходные данные'!$D$2:$D$954,AR$1,'Исходные данные'!$F$2:$F$954,$A44)</f>
        <v>0</v>
      </c>
      <c r="AS44" s="9" t="n">
        <f aca="false">SUMIFS('Исходные данные'!$J$2:$J$954,'Исходные данные'!$D$2:$D$954,AR$1,'Исходные данные'!$F$2:$F$954,$A44)</f>
        <v>0</v>
      </c>
      <c r="AT44" s="9" t="n">
        <f aca="false">SUMIFS('Исходные данные'!$I$2:$I$954,'Исходные данные'!$D$2:$D$954,AT$1,'Исходные данные'!$F$2:$F$954,$A44)</f>
        <v>0</v>
      </c>
      <c r="AU44" s="9" t="n">
        <f aca="false">SUMIFS('Исходные данные'!$J$2:$J$954,'Исходные данные'!$D$2:$D$954,AT$1,'Исходные данные'!$F$2:$F$954,$A44)</f>
        <v>0</v>
      </c>
      <c r="AV44" s="9" t="n">
        <f aca="false">SUMIFS('Исходные данные'!$I$2:$I$954,'Исходные данные'!$D$2:$D$954,AV$1,'Исходные данные'!$F$2:$F$954,$A44)</f>
        <v>0</v>
      </c>
      <c r="AW44" s="9" t="n">
        <f aca="false">SUMIFS('Исходные данные'!$J$2:$J$954,'Исходные данные'!$D$2:$D$954,AV$1,'Исходные данные'!$F$2:$F$954,$A44)</f>
        <v>0</v>
      </c>
      <c r="AX44" s="9" t="n">
        <f aca="false">SUMIFS('Исходные данные'!$I$2:$I$954,'Исходные данные'!$D$2:$D$954,AX$1,'Исходные данные'!$F$2:$F$954,$A44)</f>
        <v>3</v>
      </c>
      <c r="AY44" s="9" t="n">
        <f aca="false">SUMIFS('Исходные данные'!$J$2:$J$954,'Исходные данные'!$D$2:$D$954,AX$1,'Исходные данные'!$F$2:$F$954,$A44)</f>
        <v>1</v>
      </c>
      <c r="AZ44" s="9" t="n">
        <f aca="false">SUMIFS('Исходные данные'!$I$2:$I$954,'Исходные данные'!$D$2:$D$954,AZ$1,'Исходные данные'!$F$2:$F$954,$A44)</f>
        <v>0</v>
      </c>
      <c r="BA44" s="9" t="n">
        <f aca="false">SUMIFS('Исходные данные'!$J$2:$J$954,'Исходные данные'!$D$2:$D$954,AZ$1,'Исходные данные'!$F$2:$F$954,$A44)</f>
        <v>0</v>
      </c>
      <c r="BB44" s="9" t="n">
        <f aca="false">SUMIFS('Исходные данные'!$I$2:$I$954,'Исходные данные'!$D$2:$D$954,BB$1,'Исходные данные'!$F$2:$F$954,$A44)</f>
        <v>0</v>
      </c>
      <c r="BC44" s="9" t="n">
        <f aca="false">SUMIFS('Исходные данные'!$J$2:$J$954,'Исходные данные'!$D$2:$D$954,BB$1,'Исходные данные'!$F$2:$F$954,$A44)</f>
        <v>0</v>
      </c>
      <c r="BD44" s="9" t="n">
        <f aca="false">SUMIFS('Исходные данные'!$I$2:$I$954,'Исходные данные'!$D$2:$D$954,BD$1,'Исходные данные'!$F$2:$F$954,$A44)</f>
        <v>0</v>
      </c>
      <c r="BE44" s="9" t="n">
        <f aca="false">SUMIFS('Исходные данные'!$J$2:$J$954,'Исходные данные'!$D$2:$D$954,BD$1,'Исходные данные'!$F$2:$F$954,$A44)</f>
        <v>0</v>
      </c>
      <c r="BF44" s="9" t="n">
        <f aca="false">SUMIFS('Исходные данные'!$I$2:$I$954,'Исходные данные'!$D$2:$D$954,BF$1,'Исходные данные'!$F$2:$F$954,$A44)</f>
        <v>0</v>
      </c>
      <c r="BG44" s="9" t="n">
        <f aca="false">SUMIFS('Исходные данные'!$J$2:$J$954,'Исходные данные'!$D$2:$D$954,BF$1,'Исходные данные'!$F$2:$F$954,$A44)</f>
        <v>0</v>
      </c>
      <c r="BH44" s="9" t="n">
        <f aca="false">SUMIFS('Исходные данные'!$I$2:$I$954,'Исходные данные'!$D$2:$D$954,BH$1,'Исходные данные'!$F$2:$F$954,$A44)</f>
        <v>0</v>
      </c>
      <c r="BI44" s="9" t="n">
        <f aca="false">SUMIFS('Исходные данные'!$J$2:$J$954,'Исходные данные'!$D$2:$D$954,BH$1,'Исходные данные'!$F$2:$F$954,$A44)</f>
        <v>0</v>
      </c>
      <c r="BJ44" s="9" t="n">
        <f aca="false">SUMIFS('Исходные данные'!$I$2:$I$954,'Исходные данные'!$D$2:$D$954,BJ$1,'Исходные данные'!$F$2:$F$954,$A44)</f>
        <v>0</v>
      </c>
      <c r="BK44" s="9" t="n">
        <f aca="false">SUMIFS('Исходные данные'!$J$2:$J$954,'Исходные данные'!$D$2:$D$954,BJ$1,'Исходные данные'!$F$2:$F$954,$A44)</f>
        <v>0</v>
      </c>
      <c r="BL44" s="9" t="n">
        <f aca="false">SUMIFS('Исходные данные'!$I$2:$I$954,'Исходные данные'!$D$2:$D$954,BL$1,'Исходные данные'!$F$2:$F$954,$A44)</f>
        <v>0</v>
      </c>
      <c r="BM44" s="9" t="n">
        <f aca="false">SUMIFS('Исходные данные'!$J$2:$J$954,'Исходные данные'!$D$2:$D$954,BL$1,'Исходные данные'!$F$2:$F$954,$A44)</f>
        <v>0</v>
      </c>
      <c r="BN44" s="9" t="n">
        <f aca="false">SUMIFS('Исходные данные'!$I$2:$I$954,'Исходные данные'!$D$2:$D$954,BN$1,'Исходные данные'!$F$2:$F$954,$A44)</f>
        <v>0</v>
      </c>
      <c r="BO44" s="9" t="n">
        <f aca="false">SUMIFS('Исходные данные'!$J$2:$J$954,'Исходные данные'!$D$2:$D$954,BN$1,'Исходные данные'!$F$2:$F$954,$A44)</f>
        <v>0</v>
      </c>
      <c r="BP44" s="9" t="n">
        <f aca="false">SUMIFS('Исходные данные'!$I$2:$I$954,'Исходные данные'!$D$2:$D$954,BP$1,'Исходные данные'!$F$2:$F$954,$A44)</f>
        <v>0</v>
      </c>
      <c r="BQ44" s="9" t="n">
        <f aca="false">SUMIFS('Исходные данные'!$J$2:$J$954,'Исходные данные'!$D$2:$D$954,BP$1,'Исходные данные'!$F$2:$F$954,$A44)</f>
        <v>0</v>
      </c>
      <c r="BR44" s="9" t="n">
        <f aca="false">SUMIFS('Исходные данные'!$I$2:$I$954,'Исходные данные'!$D$2:$D$954,BR$1,'Исходные данные'!$F$2:$F$954,$A44)</f>
        <v>0</v>
      </c>
      <c r="BS44" s="9" t="n">
        <f aca="false">SUMIFS('Исходные данные'!$J$2:$J$954,'Исходные данные'!$D$2:$D$954,BR$1,'Исходные данные'!$F$2:$F$954,$A44)</f>
        <v>0</v>
      </c>
      <c r="BT44" s="9" t="n">
        <f aca="false">SUMIFS('Исходные данные'!$I$2:$I$954,'Исходные данные'!$D$2:$D$954,BT$1,'Исходные данные'!$F$2:$F$954,$A44)</f>
        <v>0</v>
      </c>
      <c r="BU44" s="9" t="n">
        <f aca="false">SUMIFS('Исходные данные'!$J$2:$J$954,'Исходные данные'!$D$2:$D$954,BT$1,'Исходные данные'!$F$2:$F$954,$A44)</f>
        <v>0</v>
      </c>
      <c r="BV44" s="9" t="n">
        <f aca="false">SUMIFS('Исходные данные'!$I$2:$I$954,'Исходные данные'!$D$2:$D$954,BV$1,'Исходные данные'!$F$2:$F$954,$A44)</f>
        <v>0</v>
      </c>
      <c r="BW44" s="9" t="n">
        <f aca="false">SUMIFS('Исходные данные'!$J$2:$J$954,'Исходные данные'!$D$2:$D$954,BV$1,'Исходные данные'!$F$2:$F$954,$A44)</f>
        <v>0</v>
      </c>
      <c r="BX44" s="9" t="n">
        <f aca="false">SUMIFS('Исходные данные'!$I$2:$I$954,'Исходные данные'!$D$2:$D$954,BX$1,'Исходные данные'!$F$2:$F$954,$A44)</f>
        <v>0</v>
      </c>
      <c r="BY44" s="9" t="n">
        <f aca="false">SUMIFS('Исходные данные'!$J$2:$J$954,'Исходные данные'!$D$2:$D$954,BX$1,'Исходные данные'!$F$2:$F$954,$A44)</f>
        <v>0</v>
      </c>
      <c r="BZ44" s="9" t="n">
        <f aca="false">SUMIFS('Исходные данные'!$I$2:$I$954,'Исходные данные'!$D$2:$D$954,BZ$1,'Исходные данные'!$F$2:$F$954,$A44)</f>
        <v>0</v>
      </c>
      <c r="CA44" s="9" t="n">
        <f aca="false">SUMIFS('Исходные данные'!$J$2:$J$954,'Исходные данные'!$D$2:$D$954,BZ$1,'Исходные данные'!$F$2:$F$954,$A44)</f>
        <v>0</v>
      </c>
      <c r="CB44" s="9" t="n">
        <f aca="false">SUMIFS('Исходные данные'!$I$2:$I$954,'Исходные данные'!$D$2:$D$954,CB$1,'Исходные данные'!$F$2:$F$954,$A44)</f>
        <v>0</v>
      </c>
      <c r="CC44" s="9" t="n">
        <f aca="false">SUMIFS('Исходные данные'!$J$2:$J$954,'Исходные данные'!$D$2:$D$954,CB$1,'Исходные данные'!$F$2:$F$954,$A44)</f>
        <v>0</v>
      </c>
      <c r="CD44" s="9" t="n">
        <f aca="false">SUMIFS('Исходные данные'!$I$2:$I$954,'Исходные данные'!$D$2:$D$954,CD$1,'Исходные данные'!$F$2:$F$954,$A44)</f>
        <v>0</v>
      </c>
      <c r="CE44" s="9" t="n">
        <f aca="false">SUMIFS('Исходные данные'!$J$2:$J$954,'Исходные данные'!$D$2:$D$954,CD$1,'Исходные данные'!$F$2:$F$954,$A44)</f>
        <v>0</v>
      </c>
      <c r="CF44" s="9" t="n">
        <f aca="false">SUMIFS('Исходные данные'!$I$2:$I$954,'Исходные данные'!$D$2:$D$954,CF$1,'Исходные данные'!$F$2:$F$954,$A44)</f>
        <v>0</v>
      </c>
      <c r="CG44" s="9" t="n">
        <f aca="false">SUMIFS('Исходные данные'!$J$2:$J$954,'Исходные данные'!$D$2:$D$954,CF$1,'Исходные данные'!$F$2:$F$954,$A44)</f>
        <v>0</v>
      </c>
      <c r="CH44" s="9" t="n">
        <f aca="false">SUMIFS('Исходные данные'!$I$2:$I$954,'Исходные данные'!$D$2:$D$954,CH$1,'Исходные данные'!$F$2:$F$954,$A44)</f>
        <v>0</v>
      </c>
      <c r="CI44" s="9" t="n">
        <f aca="false">SUMIFS('Исходные данные'!$J$2:$J$954,'Исходные данные'!$D$2:$D$954,CH$1,'Исходные данные'!$F$2:$F$954,$A44)</f>
        <v>0</v>
      </c>
    </row>
    <row r="45" customFormat="false" ht="15" hidden="false" customHeight="false" outlineLevel="0" collapsed="false">
      <c r="A45" s="8" t="s">
        <v>133</v>
      </c>
      <c r="B45" s="9" t="s">
        <v>134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SUMIFS($H45:$CI45,$H$2:$CI$2,"День")</f>
        <v>2</v>
      </c>
      <c r="G45" s="5" t="n">
        <f aca="false">SUMIFS($H45:$CI45,$H$2:$CI$2,"Ночь")</f>
        <v>0</v>
      </c>
      <c r="H45" s="9" t="n">
        <f aca="false">SUMIFS('Исходные данные'!$I$2:$I$954,'Исходные данные'!$D$2:$D$954,H$1,'Исходные данные'!$F$2:$F$954,$A45)</f>
        <v>0</v>
      </c>
      <c r="I45" s="9" t="n">
        <f aca="false">SUMIFS('Исходные данные'!$J$2:$J$954,'Исходные данные'!$D$2:$D$954,H$1,'Исходные данные'!$F$2:$F$954,$A45)</f>
        <v>0</v>
      </c>
      <c r="J45" s="9" t="n">
        <f aca="false">SUMIFS('Исходные данные'!$I$2:$I$954,'Исходные данные'!$D$2:$D$954,J$1,'Исходные данные'!$F$2:$F$954,$A45)</f>
        <v>0</v>
      </c>
      <c r="K45" s="9" t="n">
        <f aca="false">SUMIFS('Исходные данные'!$J$2:$J$954,'Исходные данные'!$D$2:$D$954,J$1,'Исходные данные'!$F$2:$F$954,$A45)</f>
        <v>0</v>
      </c>
      <c r="L45" s="9" t="n">
        <f aca="false">SUMIFS('Исходные данные'!$I$2:$I$954,'Исходные данные'!$D$2:$D$954,L$1,'Исходные данные'!$F$2:$F$954,$A45)</f>
        <v>0</v>
      </c>
      <c r="M45" s="9" t="n">
        <f aca="false">SUMIFS('Исходные данные'!$J$2:$J$954,'Исходные данные'!$D$2:$D$954,L$1,'Исходные данные'!$F$2:$F$954,$A45)</f>
        <v>0</v>
      </c>
      <c r="N45" s="9" t="n">
        <f aca="false">SUMIFS('Исходные данные'!$I$2:$I$954,'Исходные данные'!$D$2:$D$954,N$1,'Исходные данные'!$F$2:$F$954,$A45)</f>
        <v>0</v>
      </c>
      <c r="O45" s="9" t="n">
        <f aca="false">SUMIFS('Исходные данные'!$J$2:$J$954,'Исходные данные'!$D$2:$D$954,N$1,'Исходные данные'!$F$2:$F$954,$A45)</f>
        <v>0</v>
      </c>
      <c r="P45" s="9" t="n">
        <f aca="false">SUMIFS('Исходные данные'!$I$2:$I$954,'Исходные данные'!$D$2:$D$954,P$1,'Исходные данные'!$F$2:$F$954,$A45)</f>
        <v>0</v>
      </c>
      <c r="Q45" s="9" t="n">
        <f aca="false">SUMIFS('Исходные данные'!$J$2:$J$954,'Исходные данные'!$D$2:$D$954,P$1,'Исходные данные'!$F$2:$F$954,$A45)</f>
        <v>0</v>
      </c>
      <c r="R45" s="9" t="n">
        <f aca="false">SUMIFS('Исходные данные'!$I$2:$I$954,'Исходные данные'!$D$2:$D$954,R$1,'Исходные данные'!$F$2:$F$954,$A45)</f>
        <v>0</v>
      </c>
      <c r="S45" s="9" t="n">
        <f aca="false">SUMIFS('Исходные данные'!$J$2:$J$954,'Исходные данные'!$D$2:$D$954,R$1,'Исходные данные'!$F$2:$F$954,$A45)</f>
        <v>0</v>
      </c>
      <c r="T45" s="9" t="n">
        <f aca="false">SUMIFS('Исходные данные'!$I$2:$I$954,'Исходные данные'!$D$2:$D$954,T$1,'Исходные данные'!$F$2:$F$954,$A45)</f>
        <v>2</v>
      </c>
      <c r="U45" s="9" t="n">
        <f aca="false">SUMIFS('Исходные данные'!$J$2:$J$954,'Исходные данные'!$D$2:$D$954,T$1,'Исходные данные'!$F$2:$F$954,$A45)</f>
        <v>0</v>
      </c>
      <c r="V45" s="9" t="n">
        <f aca="false">SUMIFS('Исходные данные'!$I$2:$I$954,'Исходные данные'!$D$2:$D$954,V$1,'Исходные данные'!$F$2:$F$954,$A45)</f>
        <v>0</v>
      </c>
      <c r="W45" s="9" t="n">
        <f aca="false">SUMIFS('Исходные данные'!$J$2:$J$954,'Исходные данные'!$D$2:$D$954,V$1,'Исходные данные'!$F$2:$F$954,$A45)</f>
        <v>0</v>
      </c>
      <c r="X45" s="9" t="n">
        <f aca="false">SUMIFS('Исходные данные'!$I$2:$I$954,'Исходные данные'!$D$2:$D$954,X$1,'Исходные данные'!$F$2:$F$954,$A45)</f>
        <v>0</v>
      </c>
      <c r="Y45" s="9" t="n">
        <f aca="false">SUMIFS('Исходные данные'!$J$2:$J$954,'Исходные данные'!$D$2:$D$954,X$1,'Исходные данные'!$F$2:$F$954,$A45)</f>
        <v>0</v>
      </c>
      <c r="Z45" s="9" t="n">
        <f aca="false">SUMIFS('Исходные данные'!$I$2:$I$954,'Исходные данные'!$D$2:$D$954,Z$1,'Исходные данные'!$F$2:$F$954,$A45)</f>
        <v>0</v>
      </c>
      <c r="AA45" s="9" t="n">
        <f aca="false">SUMIFS('Исходные данные'!$J$2:$J$954,'Исходные данные'!$D$2:$D$954,Z$1,'Исходные данные'!$F$2:$F$954,$A45)</f>
        <v>0</v>
      </c>
      <c r="AB45" s="9" t="n">
        <f aca="false">SUMIFS('Исходные данные'!$I$2:$I$954,'Исходные данные'!$D$2:$D$954,AB$1,'Исходные данные'!$F$2:$F$954,$A45)</f>
        <v>0</v>
      </c>
      <c r="AC45" s="9" t="n">
        <f aca="false">SUMIFS('Исходные данные'!$J$2:$J$954,'Исходные данные'!$D$2:$D$954,AB$1,'Исходные данные'!$F$2:$F$954,$A45)</f>
        <v>0</v>
      </c>
      <c r="AD45" s="9" t="n">
        <f aca="false">SUMIFS('Исходные данные'!$I$2:$I$954,'Исходные данные'!$D$2:$D$954,AD$1,'Исходные данные'!$F$2:$F$954,$A45)</f>
        <v>0</v>
      </c>
      <c r="AE45" s="9" t="n">
        <f aca="false">SUMIFS('Исходные данные'!$J$2:$J$954,'Исходные данные'!$D$2:$D$954,AD$1,'Исходные данные'!$F$2:$F$954,$A45)</f>
        <v>0</v>
      </c>
      <c r="AF45" s="9" t="n">
        <f aca="false">SUMIFS('Исходные данные'!$I$2:$I$954,'Исходные данные'!$D$2:$D$954,AF$1,'Исходные данные'!$F$2:$F$954,$A45)</f>
        <v>0</v>
      </c>
      <c r="AG45" s="9" t="n">
        <f aca="false">SUMIFS('Исходные данные'!$J$2:$J$954,'Исходные данные'!$D$2:$D$954,AF$1,'Исходные данные'!$F$2:$F$954,$A45)</f>
        <v>0</v>
      </c>
      <c r="AH45" s="9" t="n">
        <f aca="false">SUMIFS('Исходные данные'!$I$2:$I$954,'Исходные данные'!$D$2:$D$954,AH$1,'Исходные данные'!$F$2:$F$954,$A45)</f>
        <v>0</v>
      </c>
      <c r="AI45" s="9" t="n">
        <f aca="false">SUMIFS('Исходные данные'!$J$2:$J$954,'Исходные данные'!$D$2:$D$954,AH$1,'Исходные данные'!$F$2:$F$954,$A45)</f>
        <v>0</v>
      </c>
      <c r="AJ45" s="9" t="n">
        <f aca="false">SUMIFS('Исходные данные'!$I$2:$I$954,'Исходные данные'!$D$2:$D$954,AJ$1,'Исходные данные'!$F$2:$F$954,$A45)</f>
        <v>0</v>
      </c>
      <c r="AK45" s="9" t="n">
        <f aca="false">SUMIFS('Исходные данные'!$J$2:$J$954,'Исходные данные'!$D$2:$D$954,AJ$1,'Исходные данные'!$F$2:$F$954,$A45)</f>
        <v>0</v>
      </c>
      <c r="AL45" s="9" t="n">
        <f aca="false">SUMIFS('Исходные данные'!$I$2:$I$954,'Исходные данные'!$D$2:$D$954,AL$1,'Исходные данные'!$F$2:$F$954,$A45)</f>
        <v>0</v>
      </c>
      <c r="AM45" s="9" t="n">
        <f aca="false">SUMIFS('Исходные данные'!$J$2:$J$954,'Исходные данные'!$D$2:$D$954,AL$1,'Исходные данные'!$F$2:$F$954,$A45)</f>
        <v>0</v>
      </c>
      <c r="AN45" s="9" t="n">
        <f aca="false">SUMIFS('Исходные данные'!$I$2:$I$954,'Исходные данные'!$D$2:$D$954,AN$1,'Исходные данные'!$F$2:$F$954,$A45)</f>
        <v>0</v>
      </c>
      <c r="AO45" s="9" t="n">
        <f aca="false">SUMIFS('Исходные данные'!$J$2:$J$954,'Исходные данные'!$D$2:$D$954,AN$1,'Исходные данные'!$F$2:$F$954,$A45)</f>
        <v>0</v>
      </c>
      <c r="AP45" s="9" t="n">
        <f aca="false">SUMIFS('Исходные данные'!$I$2:$I$954,'Исходные данные'!$D$2:$D$954,AP$1,'Исходные данные'!$F$2:$F$954,$A45)</f>
        <v>0</v>
      </c>
      <c r="AQ45" s="9" t="n">
        <f aca="false">SUMIFS('Исходные данные'!$J$2:$J$954,'Исходные данные'!$D$2:$D$954,AP$1,'Исходные данные'!$F$2:$F$954,$A45)</f>
        <v>0</v>
      </c>
      <c r="AR45" s="9" t="n">
        <f aca="false">SUMIFS('Исходные данные'!$I$2:$I$954,'Исходные данные'!$D$2:$D$954,AR$1,'Исходные данные'!$F$2:$F$954,$A45)</f>
        <v>0</v>
      </c>
      <c r="AS45" s="9" t="n">
        <f aca="false">SUMIFS('Исходные данные'!$J$2:$J$954,'Исходные данные'!$D$2:$D$954,AR$1,'Исходные данные'!$F$2:$F$954,$A45)</f>
        <v>0</v>
      </c>
      <c r="AT45" s="9" t="n">
        <f aca="false">SUMIFS('Исходные данные'!$I$2:$I$954,'Исходные данные'!$D$2:$D$954,AT$1,'Исходные данные'!$F$2:$F$954,$A45)</f>
        <v>0</v>
      </c>
      <c r="AU45" s="9" t="n">
        <f aca="false">SUMIFS('Исходные данные'!$J$2:$J$954,'Исходные данные'!$D$2:$D$954,AT$1,'Исходные данные'!$F$2:$F$954,$A45)</f>
        <v>0</v>
      </c>
      <c r="AV45" s="9" t="n">
        <f aca="false">SUMIFS('Исходные данные'!$I$2:$I$954,'Исходные данные'!$D$2:$D$954,AV$1,'Исходные данные'!$F$2:$F$954,$A45)</f>
        <v>0</v>
      </c>
      <c r="AW45" s="9" t="n">
        <f aca="false">SUMIFS('Исходные данные'!$J$2:$J$954,'Исходные данные'!$D$2:$D$954,AV$1,'Исходные данные'!$F$2:$F$954,$A45)</f>
        <v>0</v>
      </c>
      <c r="AX45" s="9" t="n">
        <f aca="false">SUMIFS('Исходные данные'!$I$2:$I$954,'Исходные данные'!$D$2:$D$954,AX$1,'Исходные данные'!$F$2:$F$954,$A45)</f>
        <v>0</v>
      </c>
      <c r="AY45" s="9" t="n">
        <f aca="false">SUMIFS('Исходные данные'!$J$2:$J$954,'Исходные данные'!$D$2:$D$954,AX$1,'Исходные данные'!$F$2:$F$954,$A45)</f>
        <v>0</v>
      </c>
      <c r="AZ45" s="9" t="n">
        <f aca="false">SUMIFS('Исходные данные'!$I$2:$I$954,'Исходные данные'!$D$2:$D$954,AZ$1,'Исходные данные'!$F$2:$F$954,$A45)</f>
        <v>0</v>
      </c>
      <c r="BA45" s="9" t="n">
        <f aca="false">SUMIFS('Исходные данные'!$J$2:$J$954,'Исходные данные'!$D$2:$D$954,AZ$1,'Исходные данные'!$F$2:$F$954,$A45)</f>
        <v>0</v>
      </c>
      <c r="BB45" s="9" t="n">
        <f aca="false">SUMIFS('Исходные данные'!$I$2:$I$954,'Исходные данные'!$D$2:$D$954,BB$1,'Исходные данные'!$F$2:$F$954,$A45)</f>
        <v>0</v>
      </c>
      <c r="BC45" s="9" t="n">
        <f aca="false">SUMIFS('Исходные данные'!$J$2:$J$954,'Исходные данные'!$D$2:$D$954,BB$1,'Исходные данные'!$F$2:$F$954,$A45)</f>
        <v>0</v>
      </c>
      <c r="BD45" s="9" t="n">
        <f aca="false">SUMIFS('Исходные данные'!$I$2:$I$954,'Исходные данные'!$D$2:$D$954,BD$1,'Исходные данные'!$F$2:$F$954,$A45)</f>
        <v>0</v>
      </c>
      <c r="BE45" s="9" t="n">
        <f aca="false">SUMIFS('Исходные данные'!$J$2:$J$954,'Исходные данные'!$D$2:$D$954,BD$1,'Исходные данные'!$F$2:$F$954,$A45)</f>
        <v>0</v>
      </c>
      <c r="BF45" s="9" t="n">
        <f aca="false">SUMIFS('Исходные данные'!$I$2:$I$954,'Исходные данные'!$D$2:$D$954,BF$1,'Исходные данные'!$F$2:$F$954,$A45)</f>
        <v>0</v>
      </c>
      <c r="BG45" s="9" t="n">
        <f aca="false">SUMIFS('Исходные данные'!$J$2:$J$954,'Исходные данные'!$D$2:$D$954,BF$1,'Исходные данные'!$F$2:$F$954,$A45)</f>
        <v>0</v>
      </c>
      <c r="BH45" s="9" t="n">
        <f aca="false">SUMIFS('Исходные данные'!$I$2:$I$954,'Исходные данные'!$D$2:$D$954,BH$1,'Исходные данные'!$F$2:$F$954,$A45)</f>
        <v>0</v>
      </c>
      <c r="BI45" s="9" t="n">
        <f aca="false">SUMIFS('Исходные данные'!$J$2:$J$954,'Исходные данные'!$D$2:$D$954,BH$1,'Исходные данные'!$F$2:$F$954,$A45)</f>
        <v>0</v>
      </c>
      <c r="BJ45" s="9" t="n">
        <f aca="false">SUMIFS('Исходные данные'!$I$2:$I$954,'Исходные данные'!$D$2:$D$954,BJ$1,'Исходные данные'!$F$2:$F$954,$A45)</f>
        <v>0</v>
      </c>
      <c r="BK45" s="9" t="n">
        <f aca="false">SUMIFS('Исходные данные'!$J$2:$J$954,'Исходные данные'!$D$2:$D$954,BJ$1,'Исходные данные'!$F$2:$F$954,$A45)</f>
        <v>0</v>
      </c>
      <c r="BL45" s="9" t="n">
        <f aca="false">SUMIFS('Исходные данные'!$I$2:$I$954,'Исходные данные'!$D$2:$D$954,BL$1,'Исходные данные'!$F$2:$F$954,$A45)</f>
        <v>0</v>
      </c>
      <c r="BM45" s="9" t="n">
        <f aca="false">SUMIFS('Исходные данные'!$J$2:$J$954,'Исходные данные'!$D$2:$D$954,BL$1,'Исходные данные'!$F$2:$F$954,$A45)</f>
        <v>0</v>
      </c>
      <c r="BN45" s="9" t="n">
        <f aca="false">SUMIFS('Исходные данные'!$I$2:$I$954,'Исходные данные'!$D$2:$D$954,BN$1,'Исходные данные'!$F$2:$F$954,$A45)</f>
        <v>0</v>
      </c>
      <c r="BO45" s="9" t="n">
        <f aca="false">SUMIFS('Исходные данные'!$J$2:$J$954,'Исходные данные'!$D$2:$D$954,BN$1,'Исходные данные'!$F$2:$F$954,$A45)</f>
        <v>0</v>
      </c>
      <c r="BP45" s="9" t="n">
        <f aca="false">SUMIFS('Исходные данные'!$I$2:$I$954,'Исходные данные'!$D$2:$D$954,BP$1,'Исходные данные'!$F$2:$F$954,$A45)</f>
        <v>0</v>
      </c>
      <c r="BQ45" s="9" t="n">
        <f aca="false">SUMIFS('Исходные данные'!$J$2:$J$954,'Исходные данные'!$D$2:$D$954,BP$1,'Исходные данные'!$F$2:$F$954,$A45)</f>
        <v>0</v>
      </c>
      <c r="BR45" s="9" t="n">
        <f aca="false">SUMIFS('Исходные данные'!$I$2:$I$954,'Исходные данные'!$D$2:$D$954,BR$1,'Исходные данные'!$F$2:$F$954,$A45)</f>
        <v>0</v>
      </c>
      <c r="BS45" s="9" t="n">
        <f aca="false">SUMIFS('Исходные данные'!$J$2:$J$954,'Исходные данные'!$D$2:$D$954,BR$1,'Исходные данные'!$F$2:$F$954,$A45)</f>
        <v>0</v>
      </c>
      <c r="BT45" s="9" t="n">
        <f aca="false">SUMIFS('Исходные данные'!$I$2:$I$954,'Исходные данные'!$D$2:$D$954,BT$1,'Исходные данные'!$F$2:$F$954,$A45)</f>
        <v>0</v>
      </c>
      <c r="BU45" s="9" t="n">
        <f aca="false">SUMIFS('Исходные данные'!$J$2:$J$954,'Исходные данные'!$D$2:$D$954,BT$1,'Исходные данные'!$F$2:$F$954,$A45)</f>
        <v>0</v>
      </c>
      <c r="BV45" s="9" t="n">
        <f aca="false">SUMIFS('Исходные данные'!$I$2:$I$954,'Исходные данные'!$D$2:$D$954,BV$1,'Исходные данные'!$F$2:$F$954,$A45)</f>
        <v>0</v>
      </c>
      <c r="BW45" s="9" t="n">
        <f aca="false">SUMIFS('Исходные данные'!$J$2:$J$954,'Исходные данные'!$D$2:$D$954,BV$1,'Исходные данные'!$F$2:$F$954,$A45)</f>
        <v>0</v>
      </c>
      <c r="BX45" s="9" t="n">
        <f aca="false">SUMIFS('Исходные данные'!$I$2:$I$954,'Исходные данные'!$D$2:$D$954,BX$1,'Исходные данные'!$F$2:$F$954,$A45)</f>
        <v>0</v>
      </c>
      <c r="BY45" s="9" t="n">
        <f aca="false">SUMIFS('Исходные данные'!$J$2:$J$954,'Исходные данные'!$D$2:$D$954,BX$1,'Исходные данные'!$F$2:$F$954,$A45)</f>
        <v>0</v>
      </c>
      <c r="BZ45" s="9" t="n">
        <f aca="false">SUMIFS('Исходные данные'!$I$2:$I$954,'Исходные данные'!$D$2:$D$954,BZ$1,'Исходные данные'!$F$2:$F$954,$A45)</f>
        <v>0</v>
      </c>
      <c r="CA45" s="9" t="n">
        <f aca="false">SUMIFS('Исходные данные'!$J$2:$J$954,'Исходные данные'!$D$2:$D$954,BZ$1,'Исходные данные'!$F$2:$F$954,$A45)</f>
        <v>0</v>
      </c>
      <c r="CB45" s="9" t="n">
        <f aca="false">SUMIFS('Исходные данные'!$I$2:$I$954,'Исходные данные'!$D$2:$D$954,CB$1,'Исходные данные'!$F$2:$F$954,$A45)</f>
        <v>0</v>
      </c>
      <c r="CC45" s="9" t="n">
        <f aca="false">SUMIFS('Исходные данные'!$J$2:$J$954,'Исходные данные'!$D$2:$D$954,CB$1,'Исходные данные'!$F$2:$F$954,$A45)</f>
        <v>0</v>
      </c>
      <c r="CD45" s="9" t="n">
        <f aca="false">SUMIFS('Исходные данные'!$I$2:$I$954,'Исходные данные'!$D$2:$D$954,CD$1,'Исходные данные'!$F$2:$F$954,$A45)</f>
        <v>0</v>
      </c>
      <c r="CE45" s="9" t="n">
        <f aca="false">SUMIFS('Исходные данные'!$J$2:$J$954,'Исходные данные'!$D$2:$D$954,CD$1,'Исходные данные'!$F$2:$F$954,$A45)</f>
        <v>0</v>
      </c>
      <c r="CF45" s="9" t="n">
        <f aca="false">SUMIFS('Исходные данные'!$I$2:$I$954,'Исходные данные'!$D$2:$D$954,CF$1,'Исходные данные'!$F$2:$F$954,$A45)</f>
        <v>0</v>
      </c>
      <c r="CG45" s="9" t="n">
        <f aca="false">SUMIFS('Исходные данные'!$J$2:$J$954,'Исходные данные'!$D$2:$D$954,CF$1,'Исходные данные'!$F$2:$F$954,$A45)</f>
        <v>0</v>
      </c>
      <c r="CH45" s="9" t="n">
        <f aca="false">SUMIFS('Исходные данные'!$I$2:$I$954,'Исходные данные'!$D$2:$D$954,CH$1,'Исходные данные'!$F$2:$F$954,$A45)</f>
        <v>0</v>
      </c>
      <c r="CI45" s="9" t="n">
        <f aca="false">SUMIFS('Исходные данные'!$J$2:$J$954,'Исходные данные'!$D$2:$D$954,CH$1,'Исходные данные'!$F$2:$F$954,$A45)</f>
        <v>0</v>
      </c>
    </row>
    <row r="46" customFormat="false" ht="15" hidden="false" customHeight="false" outlineLevel="0" collapsed="false">
      <c r="A46" s="8" t="s">
        <v>135</v>
      </c>
      <c r="B46" s="9" t="s">
        <v>136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SUMIFS($H46:$CI46,$H$2:$CI$2,"День")</f>
        <v>11</v>
      </c>
      <c r="G46" s="5" t="n">
        <f aca="false">SUMIFS($H46:$CI46,$H$2:$CI$2,"Ночь")</f>
        <v>2</v>
      </c>
      <c r="H46" s="9" t="n">
        <f aca="false">SUMIFS('Исходные данные'!$I$2:$I$954,'Исходные данные'!$D$2:$D$954,H$1,'Исходные данные'!$F$2:$F$954,$A46)</f>
        <v>0</v>
      </c>
      <c r="I46" s="9" t="n">
        <f aca="false">SUMIFS('Исходные данные'!$J$2:$J$954,'Исходные данные'!$D$2:$D$954,H$1,'Исходные данные'!$F$2:$F$954,$A46)</f>
        <v>0</v>
      </c>
      <c r="J46" s="9" t="n">
        <f aca="false">SUMIFS('Исходные данные'!$I$2:$I$954,'Исходные данные'!$D$2:$D$954,J$1,'Исходные данные'!$F$2:$F$954,$A46)</f>
        <v>0</v>
      </c>
      <c r="K46" s="9" t="n">
        <f aca="false">SUMIFS('Исходные данные'!$J$2:$J$954,'Исходные данные'!$D$2:$D$954,J$1,'Исходные данные'!$F$2:$F$954,$A46)</f>
        <v>0</v>
      </c>
      <c r="L46" s="9" t="n">
        <f aca="false">SUMIFS('Исходные данные'!$I$2:$I$954,'Исходные данные'!$D$2:$D$954,L$1,'Исходные данные'!$F$2:$F$954,$A46)</f>
        <v>0</v>
      </c>
      <c r="M46" s="9" t="n">
        <f aca="false">SUMIFS('Исходные данные'!$J$2:$J$954,'Исходные данные'!$D$2:$D$954,L$1,'Исходные данные'!$F$2:$F$954,$A46)</f>
        <v>0</v>
      </c>
      <c r="N46" s="9" t="n">
        <f aca="false">SUMIFS('Исходные данные'!$I$2:$I$954,'Исходные данные'!$D$2:$D$954,N$1,'Исходные данные'!$F$2:$F$954,$A46)</f>
        <v>0</v>
      </c>
      <c r="O46" s="9" t="n">
        <f aca="false">SUMIFS('Исходные данные'!$J$2:$J$954,'Исходные данные'!$D$2:$D$954,N$1,'Исходные данные'!$F$2:$F$954,$A46)</f>
        <v>0</v>
      </c>
      <c r="P46" s="9" t="n">
        <f aca="false">SUMIFS('Исходные данные'!$I$2:$I$954,'Исходные данные'!$D$2:$D$954,P$1,'Исходные данные'!$F$2:$F$954,$A46)</f>
        <v>1</v>
      </c>
      <c r="Q46" s="9" t="n">
        <f aca="false">SUMIFS('Исходные данные'!$J$2:$J$954,'Исходные данные'!$D$2:$D$954,P$1,'Исходные данные'!$F$2:$F$954,$A46)</f>
        <v>0</v>
      </c>
      <c r="R46" s="9" t="n">
        <f aca="false">SUMIFS('Исходные данные'!$I$2:$I$954,'Исходные данные'!$D$2:$D$954,R$1,'Исходные данные'!$F$2:$F$954,$A46)</f>
        <v>0</v>
      </c>
      <c r="S46" s="9" t="n">
        <f aca="false">SUMIFS('Исходные данные'!$J$2:$J$954,'Исходные данные'!$D$2:$D$954,R$1,'Исходные данные'!$F$2:$F$954,$A46)</f>
        <v>0</v>
      </c>
      <c r="T46" s="9" t="n">
        <f aca="false">SUMIFS('Исходные данные'!$I$2:$I$954,'Исходные данные'!$D$2:$D$954,T$1,'Исходные данные'!$F$2:$F$954,$A46)</f>
        <v>1</v>
      </c>
      <c r="U46" s="9" t="n">
        <f aca="false">SUMIFS('Исходные данные'!$J$2:$J$954,'Исходные данные'!$D$2:$D$954,T$1,'Исходные данные'!$F$2:$F$954,$A46)</f>
        <v>0</v>
      </c>
      <c r="V46" s="9" t="n">
        <f aca="false">SUMIFS('Исходные данные'!$I$2:$I$954,'Исходные данные'!$D$2:$D$954,V$1,'Исходные данные'!$F$2:$F$954,$A46)</f>
        <v>0</v>
      </c>
      <c r="W46" s="9" t="n">
        <f aca="false">SUMIFS('Исходные данные'!$J$2:$J$954,'Исходные данные'!$D$2:$D$954,V$1,'Исходные данные'!$F$2:$F$954,$A46)</f>
        <v>0</v>
      </c>
      <c r="X46" s="9" t="n">
        <f aca="false">SUMIFS('Исходные данные'!$I$2:$I$954,'Исходные данные'!$D$2:$D$954,X$1,'Исходные данные'!$F$2:$F$954,$A46)</f>
        <v>0</v>
      </c>
      <c r="Y46" s="9" t="n">
        <f aca="false">SUMIFS('Исходные данные'!$J$2:$J$954,'Исходные данные'!$D$2:$D$954,X$1,'Исходные данные'!$F$2:$F$954,$A46)</f>
        <v>0</v>
      </c>
      <c r="Z46" s="9" t="n">
        <f aca="false">SUMIFS('Исходные данные'!$I$2:$I$954,'Исходные данные'!$D$2:$D$954,Z$1,'Исходные данные'!$F$2:$F$954,$A46)</f>
        <v>1</v>
      </c>
      <c r="AA46" s="9" t="n">
        <f aca="false">SUMIFS('Исходные данные'!$J$2:$J$954,'Исходные данные'!$D$2:$D$954,Z$1,'Исходные данные'!$F$2:$F$954,$A46)</f>
        <v>0</v>
      </c>
      <c r="AB46" s="9" t="n">
        <f aca="false">SUMIFS('Исходные данные'!$I$2:$I$954,'Исходные данные'!$D$2:$D$954,AB$1,'Исходные данные'!$F$2:$F$954,$A46)</f>
        <v>0</v>
      </c>
      <c r="AC46" s="9" t="n">
        <f aca="false">SUMIFS('Исходные данные'!$J$2:$J$954,'Исходные данные'!$D$2:$D$954,AB$1,'Исходные данные'!$F$2:$F$954,$A46)</f>
        <v>0</v>
      </c>
      <c r="AD46" s="9" t="n">
        <f aca="false">SUMIFS('Исходные данные'!$I$2:$I$954,'Исходные данные'!$D$2:$D$954,AD$1,'Исходные данные'!$F$2:$F$954,$A46)</f>
        <v>1</v>
      </c>
      <c r="AE46" s="9" t="n">
        <f aca="false">SUMIFS('Исходные данные'!$J$2:$J$954,'Исходные данные'!$D$2:$D$954,AD$1,'Исходные данные'!$F$2:$F$954,$A46)</f>
        <v>0</v>
      </c>
      <c r="AF46" s="9" t="n">
        <f aca="false">SUMIFS('Исходные данные'!$I$2:$I$954,'Исходные данные'!$D$2:$D$954,AF$1,'Исходные данные'!$F$2:$F$954,$A46)</f>
        <v>2</v>
      </c>
      <c r="AG46" s="9" t="n">
        <f aca="false">SUMIFS('Исходные данные'!$J$2:$J$954,'Исходные данные'!$D$2:$D$954,AF$1,'Исходные данные'!$F$2:$F$954,$A46)</f>
        <v>0</v>
      </c>
      <c r="AH46" s="9" t="n">
        <f aca="false">SUMIFS('Исходные данные'!$I$2:$I$954,'Исходные данные'!$D$2:$D$954,AH$1,'Исходные данные'!$F$2:$F$954,$A46)</f>
        <v>3</v>
      </c>
      <c r="AI46" s="9" t="n">
        <f aca="false">SUMIFS('Исходные данные'!$J$2:$J$954,'Исходные данные'!$D$2:$D$954,AH$1,'Исходные данные'!$F$2:$F$954,$A46)</f>
        <v>1</v>
      </c>
      <c r="AJ46" s="9" t="n">
        <f aca="false">SUMIFS('Исходные данные'!$I$2:$I$954,'Исходные данные'!$D$2:$D$954,AJ$1,'Исходные данные'!$F$2:$F$954,$A46)</f>
        <v>0</v>
      </c>
      <c r="AK46" s="9" t="n">
        <f aca="false">SUMIFS('Исходные данные'!$J$2:$J$954,'Исходные данные'!$D$2:$D$954,AJ$1,'Исходные данные'!$F$2:$F$954,$A46)</f>
        <v>0</v>
      </c>
      <c r="AL46" s="9" t="n">
        <f aca="false">SUMIFS('Исходные данные'!$I$2:$I$954,'Исходные данные'!$D$2:$D$954,AL$1,'Исходные данные'!$F$2:$F$954,$A46)</f>
        <v>0</v>
      </c>
      <c r="AM46" s="9" t="n">
        <f aca="false">SUMIFS('Исходные данные'!$J$2:$J$954,'Исходные данные'!$D$2:$D$954,AL$1,'Исходные данные'!$F$2:$F$954,$A46)</f>
        <v>0</v>
      </c>
      <c r="AN46" s="9" t="n">
        <f aca="false">SUMIFS('Исходные данные'!$I$2:$I$954,'Исходные данные'!$D$2:$D$954,AN$1,'Исходные данные'!$F$2:$F$954,$A46)</f>
        <v>0</v>
      </c>
      <c r="AO46" s="9" t="n">
        <f aca="false">SUMIFS('Исходные данные'!$J$2:$J$954,'Исходные данные'!$D$2:$D$954,AN$1,'Исходные данные'!$F$2:$F$954,$A46)</f>
        <v>0</v>
      </c>
      <c r="AP46" s="9" t="n">
        <f aca="false">SUMIFS('Исходные данные'!$I$2:$I$954,'Исходные данные'!$D$2:$D$954,AP$1,'Исходные данные'!$F$2:$F$954,$A46)</f>
        <v>0</v>
      </c>
      <c r="AQ46" s="9" t="n">
        <f aca="false">SUMIFS('Исходные данные'!$J$2:$J$954,'Исходные данные'!$D$2:$D$954,AP$1,'Исходные данные'!$F$2:$F$954,$A46)</f>
        <v>0</v>
      </c>
      <c r="AR46" s="9" t="n">
        <f aca="false">SUMIFS('Исходные данные'!$I$2:$I$954,'Исходные данные'!$D$2:$D$954,AR$1,'Исходные данные'!$F$2:$F$954,$A46)</f>
        <v>0</v>
      </c>
      <c r="AS46" s="9" t="n">
        <f aca="false">SUMIFS('Исходные данные'!$J$2:$J$954,'Исходные данные'!$D$2:$D$954,AR$1,'Исходные данные'!$F$2:$F$954,$A46)</f>
        <v>0</v>
      </c>
      <c r="AT46" s="9" t="n">
        <f aca="false">SUMIFS('Исходные данные'!$I$2:$I$954,'Исходные данные'!$D$2:$D$954,AT$1,'Исходные данные'!$F$2:$F$954,$A46)</f>
        <v>1</v>
      </c>
      <c r="AU46" s="9" t="n">
        <f aca="false">SUMIFS('Исходные данные'!$J$2:$J$954,'Исходные данные'!$D$2:$D$954,AT$1,'Исходные данные'!$F$2:$F$954,$A46)</f>
        <v>0</v>
      </c>
      <c r="AV46" s="9" t="n">
        <f aca="false">SUMIFS('Исходные данные'!$I$2:$I$954,'Исходные данные'!$D$2:$D$954,AV$1,'Исходные данные'!$F$2:$F$954,$A46)</f>
        <v>1</v>
      </c>
      <c r="AW46" s="9" t="n">
        <f aca="false">SUMIFS('Исходные данные'!$J$2:$J$954,'Исходные данные'!$D$2:$D$954,AV$1,'Исходные данные'!$F$2:$F$954,$A46)</f>
        <v>1</v>
      </c>
      <c r="AX46" s="9" t="n">
        <f aca="false">SUMIFS('Исходные данные'!$I$2:$I$954,'Исходные данные'!$D$2:$D$954,AX$1,'Исходные данные'!$F$2:$F$954,$A46)</f>
        <v>0</v>
      </c>
      <c r="AY46" s="9" t="n">
        <f aca="false">SUMIFS('Исходные данные'!$J$2:$J$954,'Исходные данные'!$D$2:$D$954,AX$1,'Исходные данные'!$F$2:$F$954,$A46)</f>
        <v>0</v>
      </c>
      <c r="AZ46" s="9" t="n">
        <f aca="false">SUMIFS('Исходные данные'!$I$2:$I$954,'Исходные данные'!$D$2:$D$954,AZ$1,'Исходные данные'!$F$2:$F$954,$A46)</f>
        <v>0</v>
      </c>
      <c r="BA46" s="9" t="n">
        <f aca="false">SUMIFS('Исходные данные'!$J$2:$J$954,'Исходные данные'!$D$2:$D$954,AZ$1,'Исходные данные'!$F$2:$F$954,$A46)</f>
        <v>0</v>
      </c>
      <c r="BB46" s="9" t="n">
        <f aca="false">SUMIFS('Исходные данные'!$I$2:$I$954,'Исходные данные'!$D$2:$D$954,BB$1,'Исходные данные'!$F$2:$F$954,$A46)</f>
        <v>0</v>
      </c>
      <c r="BC46" s="9" t="n">
        <f aca="false">SUMIFS('Исходные данные'!$J$2:$J$954,'Исходные данные'!$D$2:$D$954,BB$1,'Исходные данные'!$F$2:$F$954,$A46)</f>
        <v>0</v>
      </c>
      <c r="BD46" s="9" t="n">
        <f aca="false">SUMIFS('Исходные данные'!$I$2:$I$954,'Исходные данные'!$D$2:$D$954,BD$1,'Исходные данные'!$F$2:$F$954,$A46)</f>
        <v>0</v>
      </c>
      <c r="BE46" s="9" t="n">
        <f aca="false">SUMIFS('Исходные данные'!$J$2:$J$954,'Исходные данные'!$D$2:$D$954,BD$1,'Исходные данные'!$F$2:$F$954,$A46)</f>
        <v>0</v>
      </c>
      <c r="BF46" s="9" t="n">
        <f aca="false">SUMIFS('Исходные данные'!$I$2:$I$954,'Исходные данные'!$D$2:$D$954,BF$1,'Исходные данные'!$F$2:$F$954,$A46)</f>
        <v>0</v>
      </c>
      <c r="BG46" s="9" t="n">
        <f aca="false">SUMIFS('Исходные данные'!$J$2:$J$954,'Исходные данные'!$D$2:$D$954,BF$1,'Исходные данные'!$F$2:$F$954,$A46)</f>
        <v>0</v>
      </c>
      <c r="BH46" s="9" t="n">
        <f aca="false">SUMIFS('Исходные данные'!$I$2:$I$954,'Исходные данные'!$D$2:$D$954,BH$1,'Исходные данные'!$F$2:$F$954,$A46)</f>
        <v>0</v>
      </c>
      <c r="BI46" s="9" t="n">
        <f aca="false">SUMIFS('Исходные данные'!$J$2:$J$954,'Исходные данные'!$D$2:$D$954,BH$1,'Исходные данные'!$F$2:$F$954,$A46)</f>
        <v>0</v>
      </c>
      <c r="BJ46" s="9" t="n">
        <f aca="false">SUMIFS('Исходные данные'!$I$2:$I$954,'Исходные данные'!$D$2:$D$954,BJ$1,'Исходные данные'!$F$2:$F$954,$A46)</f>
        <v>0</v>
      </c>
      <c r="BK46" s="9" t="n">
        <f aca="false">SUMIFS('Исходные данные'!$J$2:$J$954,'Исходные данные'!$D$2:$D$954,BJ$1,'Исходные данные'!$F$2:$F$954,$A46)</f>
        <v>0</v>
      </c>
      <c r="BL46" s="9" t="n">
        <f aca="false">SUMIFS('Исходные данные'!$I$2:$I$954,'Исходные данные'!$D$2:$D$954,BL$1,'Исходные данные'!$F$2:$F$954,$A46)</f>
        <v>0</v>
      </c>
      <c r="BM46" s="9" t="n">
        <f aca="false">SUMIFS('Исходные данные'!$J$2:$J$954,'Исходные данные'!$D$2:$D$954,BL$1,'Исходные данные'!$F$2:$F$954,$A46)</f>
        <v>0</v>
      </c>
      <c r="BN46" s="9" t="n">
        <f aca="false">SUMIFS('Исходные данные'!$I$2:$I$954,'Исходные данные'!$D$2:$D$954,BN$1,'Исходные данные'!$F$2:$F$954,$A46)</f>
        <v>0</v>
      </c>
      <c r="BO46" s="9" t="n">
        <f aca="false">SUMIFS('Исходные данные'!$J$2:$J$954,'Исходные данные'!$D$2:$D$954,BN$1,'Исходные данные'!$F$2:$F$954,$A46)</f>
        <v>0</v>
      </c>
      <c r="BP46" s="9" t="n">
        <f aca="false">SUMIFS('Исходные данные'!$I$2:$I$954,'Исходные данные'!$D$2:$D$954,BP$1,'Исходные данные'!$F$2:$F$954,$A46)</f>
        <v>0</v>
      </c>
      <c r="BQ46" s="9" t="n">
        <f aca="false">SUMIFS('Исходные данные'!$J$2:$J$954,'Исходные данные'!$D$2:$D$954,BP$1,'Исходные данные'!$F$2:$F$954,$A46)</f>
        <v>0</v>
      </c>
      <c r="BR46" s="9" t="n">
        <f aca="false">SUMIFS('Исходные данные'!$I$2:$I$954,'Исходные данные'!$D$2:$D$954,BR$1,'Исходные данные'!$F$2:$F$954,$A46)</f>
        <v>0</v>
      </c>
      <c r="BS46" s="9" t="n">
        <f aca="false">SUMIFS('Исходные данные'!$J$2:$J$954,'Исходные данные'!$D$2:$D$954,BR$1,'Исходные данные'!$F$2:$F$954,$A46)</f>
        <v>0</v>
      </c>
      <c r="BT46" s="9" t="n">
        <f aca="false">SUMIFS('Исходные данные'!$I$2:$I$954,'Исходные данные'!$D$2:$D$954,BT$1,'Исходные данные'!$F$2:$F$954,$A46)</f>
        <v>0</v>
      </c>
      <c r="BU46" s="9" t="n">
        <f aca="false">SUMIFS('Исходные данные'!$J$2:$J$954,'Исходные данные'!$D$2:$D$954,BT$1,'Исходные данные'!$F$2:$F$954,$A46)</f>
        <v>0</v>
      </c>
      <c r="BV46" s="9" t="n">
        <f aca="false">SUMIFS('Исходные данные'!$I$2:$I$954,'Исходные данные'!$D$2:$D$954,BV$1,'Исходные данные'!$F$2:$F$954,$A46)</f>
        <v>0</v>
      </c>
      <c r="BW46" s="9" t="n">
        <f aca="false">SUMIFS('Исходные данные'!$J$2:$J$954,'Исходные данные'!$D$2:$D$954,BV$1,'Исходные данные'!$F$2:$F$954,$A46)</f>
        <v>0</v>
      </c>
      <c r="BX46" s="9" t="n">
        <f aca="false">SUMIFS('Исходные данные'!$I$2:$I$954,'Исходные данные'!$D$2:$D$954,BX$1,'Исходные данные'!$F$2:$F$954,$A46)</f>
        <v>0</v>
      </c>
      <c r="BY46" s="9" t="n">
        <f aca="false">SUMIFS('Исходные данные'!$J$2:$J$954,'Исходные данные'!$D$2:$D$954,BX$1,'Исходные данные'!$F$2:$F$954,$A46)</f>
        <v>0</v>
      </c>
      <c r="BZ46" s="9" t="n">
        <f aca="false">SUMIFS('Исходные данные'!$I$2:$I$954,'Исходные данные'!$D$2:$D$954,BZ$1,'Исходные данные'!$F$2:$F$954,$A46)</f>
        <v>0</v>
      </c>
      <c r="CA46" s="9" t="n">
        <f aca="false">SUMIFS('Исходные данные'!$J$2:$J$954,'Исходные данные'!$D$2:$D$954,BZ$1,'Исходные данные'!$F$2:$F$954,$A46)</f>
        <v>0</v>
      </c>
      <c r="CB46" s="9" t="n">
        <f aca="false">SUMIFS('Исходные данные'!$I$2:$I$954,'Исходные данные'!$D$2:$D$954,CB$1,'Исходные данные'!$F$2:$F$954,$A46)</f>
        <v>0</v>
      </c>
      <c r="CC46" s="9" t="n">
        <f aca="false">SUMIFS('Исходные данные'!$J$2:$J$954,'Исходные данные'!$D$2:$D$954,CB$1,'Исходные данные'!$F$2:$F$954,$A46)</f>
        <v>0</v>
      </c>
      <c r="CD46" s="9" t="n">
        <f aca="false">SUMIFS('Исходные данные'!$I$2:$I$954,'Исходные данные'!$D$2:$D$954,CD$1,'Исходные данные'!$F$2:$F$954,$A46)</f>
        <v>0</v>
      </c>
      <c r="CE46" s="9" t="n">
        <f aca="false">SUMIFS('Исходные данные'!$J$2:$J$954,'Исходные данные'!$D$2:$D$954,CD$1,'Исходные данные'!$F$2:$F$954,$A46)</f>
        <v>0</v>
      </c>
      <c r="CF46" s="9" t="n">
        <f aca="false">SUMIFS('Исходные данные'!$I$2:$I$954,'Исходные данные'!$D$2:$D$954,CF$1,'Исходные данные'!$F$2:$F$954,$A46)</f>
        <v>0</v>
      </c>
      <c r="CG46" s="9" t="n">
        <f aca="false">SUMIFS('Исходные данные'!$J$2:$J$954,'Исходные данные'!$D$2:$D$954,CF$1,'Исходные данные'!$F$2:$F$954,$A46)</f>
        <v>0</v>
      </c>
      <c r="CH46" s="9" t="n">
        <f aca="false">SUMIFS('Исходные данные'!$I$2:$I$954,'Исходные данные'!$D$2:$D$954,CH$1,'Исходные данные'!$F$2:$F$954,$A46)</f>
        <v>0</v>
      </c>
      <c r="CI46" s="9" t="n">
        <f aca="false">SUMIFS('Исходные данные'!$J$2:$J$954,'Исходные данные'!$D$2:$D$954,CH$1,'Исходные данные'!$F$2:$F$954,$A46)</f>
        <v>0</v>
      </c>
    </row>
    <row r="47" customFormat="false" ht="15" hidden="false" customHeight="false" outlineLevel="0" collapsed="false">
      <c r="A47" s="8" t="s">
        <v>137</v>
      </c>
      <c r="B47" s="9" t="s">
        <v>138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SUMIFS($H47:$CI47,$H$2:$CI$2,"День")</f>
        <v>1</v>
      </c>
      <c r="G47" s="5" t="n">
        <f aca="false">SUMIFS($H47:$CI47,$H$2:$CI$2,"Ночь")</f>
        <v>1</v>
      </c>
      <c r="H47" s="9" t="n">
        <f aca="false">SUMIFS('Исходные данные'!$I$2:$I$954,'Исходные данные'!$D$2:$D$954,H$1,'Исходные данные'!$F$2:$F$954,$A47)</f>
        <v>0</v>
      </c>
      <c r="I47" s="9" t="n">
        <f aca="false">SUMIFS('Исходные данные'!$J$2:$J$954,'Исходные данные'!$D$2:$D$954,H$1,'Исходные данные'!$F$2:$F$954,$A47)</f>
        <v>0</v>
      </c>
      <c r="J47" s="9" t="n">
        <f aca="false">SUMIFS('Исходные данные'!$I$2:$I$954,'Исходные данные'!$D$2:$D$954,J$1,'Исходные данные'!$F$2:$F$954,$A47)</f>
        <v>0</v>
      </c>
      <c r="K47" s="9" t="n">
        <f aca="false">SUMIFS('Исходные данные'!$J$2:$J$954,'Исходные данные'!$D$2:$D$954,J$1,'Исходные данные'!$F$2:$F$954,$A47)</f>
        <v>0</v>
      </c>
      <c r="L47" s="9" t="n">
        <f aca="false">SUMIFS('Исходные данные'!$I$2:$I$954,'Исходные данные'!$D$2:$D$954,L$1,'Исходные данные'!$F$2:$F$954,$A47)</f>
        <v>0</v>
      </c>
      <c r="M47" s="9" t="n">
        <f aca="false">SUMIFS('Исходные данные'!$J$2:$J$954,'Исходные данные'!$D$2:$D$954,L$1,'Исходные данные'!$F$2:$F$954,$A47)</f>
        <v>0</v>
      </c>
      <c r="N47" s="9" t="n">
        <f aca="false">SUMIFS('Исходные данные'!$I$2:$I$954,'Исходные данные'!$D$2:$D$954,N$1,'Исходные данные'!$F$2:$F$954,$A47)</f>
        <v>0</v>
      </c>
      <c r="O47" s="9" t="n">
        <f aca="false">SUMIFS('Исходные данные'!$J$2:$J$954,'Исходные данные'!$D$2:$D$954,N$1,'Исходные данные'!$F$2:$F$954,$A47)</f>
        <v>0</v>
      </c>
      <c r="P47" s="9" t="n">
        <f aca="false">SUMIFS('Исходные данные'!$I$2:$I$954,'Исходные данные'!$D$2:$D$954,P$1,'Исходные данные'!$F$2:$F$954,$A47)</f>
        <v>0</v>
      </c>
      <c r="Q47" s="9" t="n">
        <f aca="false">SUMIFS('Исходные данные'!$J$2:$J$954,'Исходные данные'!$D$2:$D$954,P$1,'Исходные данные'!$F$2:$F$954,$A47)</f>
        <v>0</v>
      </c>
      <c r="R47" s="9" t="n">
        <f aca="false">SUMIFS('Исходные данные'!$I$2:$I$954,'Исходные данные'!$D$2:$D$954,R$1,'Исходные данные'!$F$2:$F$954,$A47)</f>
        <v>0</v>
      </c>
      <c r="S47" s="9" t="n">
        <f aca="false">SUMIFS('Исходные данные'!$J$2:$J$954,'Исходные данные'!$D$2:$D$954,R$1,'Исходные данные'!$F$2:$F$954,$A47)</f>
        <v>0</v>
      </c>
      <c r="T47" s="9" t="n">
        <f aca="false">SUMIFS('Исходные данные'!$I$2:$I$954,'Исходные данные'!$D$2:$D$954,T$1,'Исходные данные'!$F$2:$F$954,$A47)</f>
        <v>0</v>
      </c>
      <c r="U47" s="9" t="n">
        <f aca="false">SUMIFS('Исходные данные'!$J$2:$J$954,'Исходные данные'!$D$2:$D$954,T$1,'Исходные данные'!$F$2:$F$954,$A47)</f>
        <v>0</v>
      </c>
      <c r="V47" s="9" t="n">
        <f aca="false">SUMIFS('Исходные данные'!$I$2:$I$954,'Исходные данные'!$D$2:$D$954,V$1,'Исходные данные'!$F$2:$F$954,$A47)</f>
        <v>0</v>
      </c>
      <c r="W47" s="9" t="n">
        <f aca="false">SUMIFS('Исходные данные'!$J$2:$J$954,'Исходные данные'!$D$2:$D$954,V$1,'Исходные данные'!$F$2:$F$954,$A47)</f>
        <v>0</v>
      </c>
      <c r="X47" s="9" t="n">
        <f aca="false">SUMIFS('Исходные данные'!$I$2:$I$954,'Исходные данные'!$D$2:$D$954,X$1,'Исходные данные'!$F$2:$F$954,$A47)</f>
        <v>0</v>
      </c>
      <c r="Y47" s="9" t="n">
        <f aca="false">SUMIFS('Исходные данные'!$J$2:$J$954,'Исходные данные'!$D$2:$D$954,X$1,'Исходные данные'!$F$2:$F$954,$A47)</f>
        <v>0</v>
      </c>
      <c r="Z47" s="9" t="n">
        <f aca="false">SUMIFS('Исходные данные'!$I$2:$I$954,'Исходные данные'!$D$2:$D$954,Z$1,'Исходные данные'!$F$2:$F$954,$A47)</f>
        <v>0</v>
      </c>
      <c r="AA47" s="9" t="n">
        <f aca="false">SUMIFS('Исходные данные'!$J$2:$J$954,'Исходные данные'!$D$2:$D$954,Z$1,'Исходные данные'!$F$2:$F$954,$A47)</f>
        <v>0</v>
      </c>
      <c r="AB47" s="9" t="n">
        <f aca="false">SUMIFS('Исходные данные'!$I$2:$I$954,'Исходные данные'!$D$2:$D$954,AB$1,'Исходные данные'!$F$2:$F$954,$A47)</f>
        <v>0</v>
      </c>
      <c r="AC47" s="9" t="n">
        <f aca="false">SUMIFS('Исходные данные'!$J$2:$J$954,'Исходные данные'!$D$2:$D$954,AB$1,'Исходные данные'!$F$2:$F$954,$A47)</f>
        <v>0</v>
      </c>
      <c r="AD47" s="9" t="n">
        <f aca="false">SUMIFS('Исходные данные'!$I$2:$I$954,'Исходные данные'!$D$2:$D$954,AD$1,'Исходные данные'!$F$2:$F$954,$A47)</f>
        <v>0</v>
      </c>
      <c r="AE47" s="9" t="n">
        <f aca="false">SUMIFS('Исходные данные'!$J$2:$J$954,'Исходные данные'!$D$2:$D$954,AD$1,'Исходные данные'!$F$2:$F$954,$A47)</f>
        <v>0</v>
      </c>
      <c r="AF47" s="9" t="n">
        <f aca="false">SUMIFS('Исходные данные'!$I$2:$I$954,'Исходные данные'!$D$2:$D$954,AF$1,'Исходные данные'!$F$2:$F$954,$A47)</f>
        <v>1</v>
      </c>
      <c r="AG47" s="9" t="n">
        <f aca="false">SUMIFS('Исходные данные'!$J$2:$J$954,'Исходные данные'!$D$2:$D$954,AF$1,'Исходные данные'!$F$2:$F$954,$A47)</f>
        <v>0</v>
      </c>
      <c r="AH47" s="9" t="n">
        <f aca="false">SUMIFS('Исходные данные'!$I$2:$I$954,'Исходные данные'!$D$2:$D$954,AH$1,'Исходные данные'!$F$2:$F$954,$A47)</f>
        <v>0</v>
      </c>
      <c r="AI47" s="9" t="n">
        <f aca="false">SUMIFS('Исходные данные'!$J$2:$J$954,'Исходные данные'!$D$2:$D$954,AH$1,'Исходные данные'!$F$2:$F$954,$A47)</f>
        <v>0</v>
      </c>
      <c r="AJ47" s="9" t="n">
        <f aca="false">SUMIFS('Исходные данные'!$I$2:$I$954,'Исходные данные'!$D$2:$D$954,AJ$1,'Исходные данные'!$F$2:$F$954,$A47)</f>
        <v>0</v>
      </c>
      <c r="AK47" s="9" t="n">
        <f aca="false">SUMIFS('Исходные данные'!$J$2:$J$954,'Исходные данные'!$D$2:$D$954,AJ$1,'Исходные данные'!$F$2:$F$954,$A47)</f>
        <v>0</v>
      </c>
      <c r="AL47" s="9" t="n">
        <f aca="false">SUMIFS('Исходные данные'!$I$2:$I$954,'Исходные данные'!$D$2:$D$954,AL$1,'Исходные данные'!$F$2:$F$954,$A47)</f>
        <v>0</v>
      </c>
      <c r="AM47" s="9" t="n">
        <f aca="false">SUMIFS('Исходные данные'!$J$2:$J$954,'Исходные данные'!$D$2:$D$954,AL$1,'Исходные данные'!$F$2:$F$954,$A47)</f>
        <v>1</v>
      </c>
      <c r="AN47" s="9" t="n">
        <f aca="false">SUMIFS('Исходные данные'!$I$2:$I$954,'Исходные данные'!$D$2:$D$954,AN$1,'Исходные данные'!$F$2:$F$954,$A47)</f>
        <v>0</v>
      </c>
      <c r="AO47" s="9" t="n">
        <f aca="false">SUMIFS('Исходные данные'!$J$2:$J$954,'Исходные данные'!$D$2:$D$954,AN$1,'Исходные данные'!$F$2:$F$954,$A47)</f>
        <v>0</v>
      </c>
      <c r="AP47" s="9" t="n">
        <f aca="false">SUMIFS('Исходные данные'!$I$2:$I$954,'Исходные данные'!$D$2:$D$954,AP$1,'Исходные данные'!$F$2:$F$954,$A47)</f>
        <v>0</v>
      </c>
      <c r="AQ47" s="9" t="n">
        <f aca="false">SUMIFS('Исходные данные'!$J$2:$J$954,'Исходные данные'!$D$2:$D$954,AP$1,'Исходные данные'!$F$2:$F$954,$A47)</f>
        <v>0</v>
      </c>
      <c r="AR47" s="9" t="n">
        <f aca="false">SUMIFS('Исходные данные'!$I$2:$I$954,'Исходные данные'!$D$2:$D$954,AR$1,'Исходные данные'!$F$2:$F$954,$A47)</f>
        <v>0</v>
      </c>
      <c r="AS47" s="9" t="n">
        <f aca="false">SUMIFS('Исходные данные'!$J$2:$J$954,'Исходные данные'!$D$2:$D$954,AR$1,'Исходные данные'!$F$2:$F$954,$A47)</f>
        <v>0</v>
      </c>
      <c r="AT47" s="9" t="n">
        <f aca="false">SUMIFS('Исходные данные'!$I$2:$I$954,'Исходные данные'!$D$2:$D$954,AT$1,'Исходные данные'!$F$2:$F$954,$A47)</f>
        <v>0</v>
      </c>
      <c r="AU47" s="9" t="n">
        <f aca="false">SUMIFS('Исходные данные'!$J$2:$J$954,'Исходные данные'!$D$2:$D$954,AT$1,'Исходные данные'!$F$2:$F$954,$A47)</f>
        <v>0</v>
      </c>
      <c r="AV47" s="9" t="n">
        <f aca="false">SUMIFS('Исходные данные'!$I$2:$I$954,'Исходные данные'!$D$2:$D$954,AV$1,'Исходные данные'!$F$2:$F$954,$A47)</f>
        <v>0</v>
      </c>
      <c r="AW47" s="9" t="n">
        <f aca="false">SUMIFS('Исходные данные'!$J$2:$J$954,'Исходные данные'!$D$2:$D$954,AV$1,'Исходные данные'!$F$2:$F$954,$A47)</f>
        <v>0</v>
      </c>
      <c r="AX47" s="9" t="n">
        <f aca="false">SUMIFS('Исходные данные'!$I$2:$I$954,'Исходные данные'!$D$2:$D$954,AX$1,'Исходные данные'!$F$2:$F$954,$A47)</f>
        <v>0</v>
      </c>
      <c r="AY47" s="9" t="n">
        <f aca="false">SUMIFS('Исходные данные'!$J$2:$J$954,'Исходные данные'!$D$2:$D$954,AX$1,'Исходные данные'!$F$2:$F$954,$A47)</f>
        <v>0</v>
      </c>
      <c r="AZ47" s="9" t="n">
        <f aca="false">SUMIFS('Исходные данные'!$I$2:$I$954,'Исходные данные'!$D$2:$D$954,AZ$1,'Исходные данные'!$F$2:$F$954,$A47)</f>
        <v>0</v>
      </c>
      <c r="BA47" s="9" t="n">
        <f aca="false">SUMIFS('Исходные данные'!$J$2:$J$954,'Исходные данные'!$D$2:$D$954,AZ$1,'Исходные данные'!$F$2:$F$954,$A47)</f>
        <v>0</v>
      </c>
      <c r="BB47" s="9" t="n">
        <f aca="false">SUMIFS('Исходные данные'!$I$2:$I$954,'Исходные данные'!$D$2:$D$954,BB$1,'Исходные данные'!$F$2:$F$954,$A47)</f>
        <v>0</v>
      </c>
      <c r="BC47" s="9" t="n">
        <f aca="false">SUMIFS('Исходные данные'!$J$2:$J$954,'Исходные данные'!$D$2:$D$954,BB$1,'Исходные данные'!$F$2:$F$954,$A47)</f>
        <v>0</v>
      </c>
      <c r="BD47" s="9" t="n">
        <f aca="false">SUMIFS('Исходные данные'!$I$2:$I$954,'Исходные данные'!$D$2:$D$954,BD$1,'Исходные данные'!$F$2:$F$954,$A47)</f>
        <v>0</v>
      </c>
      <c r="BE47" s="9" t="n">
        <f aca="false">SUMIFS('Исходные данные'!$J$2:$J$954,'Исходные данные'!$D$2:$D$954,BD$1,'Исходные данные'!$F$2:$F$954,$A47)</f>
        <v>0</v>
      </c>
      <c r="BF47" s="9" t="n">
        <f aca="false">SUMIFS('Исходные данные'!$I$2:$I$954,'Исходные данные'!$D$2:$D$954,BF$1,'Исходные данные'!$F$2:$F$954,$A47)</f>
        <v>0</v>
      </c>
      <c r="BG47" s="9" t="n">
        <f aca="false">SUMIFS('Исходные данные'!$J$2:$J$954,'Исходные данные'!$D$2:$D$954,BF$1,'Исходные данные'!$F$2:$F$954,$A47)</f>
        <v>0</v>
      </c>
      <c r="BH47" s="9" t="n">
        <f aca="false">SUMIFS('Исходные данные'!$I$2:$I$954,'Исходные данные'!$D$2:$D$954,BH$1,'Исходные данные'!$F$2:$F$954,$A47)</f>
        <v>0</v>
      </c>
      <c r="BI47" s="9" t="n">
        <f aca="false">SUMIFS('Исходные данные'!$J$2:$J$954,'Исходные данные'!$D$2:$D$954,BH$1,'Исходные данные'!$F$2:$F$954,$A47)</f>
        <v>0</v>
      </c>
      <c r="BJ47" s="9" t="n">
        <f aca="false">SUMIFS('Исходные данные'!$I$2:$I$954,'Исходные данные'!$D$2:$D$954,BJ$1,'Исходные данные'!$F$2:$F$954,$A47)</f>
        <v>0</v>
      </c>
      <c r="BK47" s="9" t="n">
        <f aca="false">SUMIFS('Исходные данные'!$J$2:$J$954,'Исходные данные'!$D$2:$D$954,BJ$1,'Исходные данные'!$F$2:$F$954,$A47)</f>
        <v>0</v>
      </c>
      <c r="BL47" s="9" t="n">
        <f aca="false">SUMIFS('Исходные данные'!$I$2:$I$954,'Исходные данные'!$D$2:$D$954,BL$1,'Исходные данные'!$F$2:$F$954,$A47)</f>
        <v>0</v>
      </c>
      <c r="BM47" s="9" t="n">
        <f aca="false">SUMIFS('Исходные данные'!$J$2:$J$954,'Исходные данные'!$D$2:$D$954,BL$1,'Исходные данные'!$F$2:$F$954,$A47)</f>
        <v>0</v>
      </c>
      <c r="BN47" s="9" t="n">
        <f aca="false">SUMIFS('Исходные данные'!$I$2:$I$954,'Исходные данные'!$D$2:$D$954,BN$1,'Исходные данные'!$F$2:$F$954,$A47)</f>
        <v>0</v>
      </c>
      <c r="BO47" s="9" t="n">
        <f aca="false">SUMIFS('Исходные данные'!$J$2:$J$954,'Исходные данные'!$D$2:$D$954,BN$1,'Исходные данные'!$F$2:$F$954,$A47)</f>
        <v>0</v>
      </c>
      <c r="BP47" s="9" t="n">
        <f aca="false">SUMIFS('Исходные данные'!$I$2:$I$954,'Исходные данные'!$D$2:$D$954,BP$1,'Исходные данные'!$F$2:$F$954,$A47)</f>
        <v>0</v>
      </c>
      <c r="BQ47" s="9" t="n">
        <f aca="false">SUMIFS('Исходные данные'!$J$2:$J$954,'Исходные данные'!$D$2:$D$954,BP$1,'Исходные данные'!$F$2:$F$954,$A47)</f>
        <v>0</v>
      </c>
      <c r="BR47" s="9" t="n">
        <f aca="false">SUMIFS('Исходные данные'!$I$2:$I$954,'Исходные данные'!$D$2:$D$954,BR$1,'Исходные данные'!$F$2:$F$954,$A47)</f>
        <v>0</v>
      </c>
      <c r="BS47" s="9" t="n">
        <f aca="false">SUMIFS('Исходные данные'!$J$2:$J$954,'Исходные данные'!$D$2:$D$954,BR$1,'Исходные данные'!$F$2:$F$954,$A47)</f>
        <v>0</v>
      </c>
      <c r="BT47" s="9" t="n">
        <f aca="false">SUMIFS('Исходные данные'!$I$2:$I$954,'Исходные данные'!$D$2:$D$954,BT$1,'Исходные данные'!$F$2:$F$954,$A47)</f>
        <v>0</v>
      </c>
      <c r="BU47" s="9" t="n">
        <f aca="false">SUMIFS('Исходные данные'!$J$2:$J$954,'Исходные данные'!$D$2:$D$954,BT$1,'Исходные данные'!$F$2:$F$954,$A47)</f>
        <v>0</v>
      </c>
      <c r="BV47" s="9" t="n">
        <f aca="false">SUMIFS('Исходные данные'!$I$2:$I$954,'Исходные данные'!$D$2:$D$954,BV$1,'Исходные данные'!$F$2:$F$954,$A47)</f>
        <v>0</v>
      </c>
      <c r="BW47" s="9" t="n">
        <f aca="false">SUMIFS('Исходные данные'!$J$2:$J$954,'Исходные данные'!$D$2:$D$954,BV$1,'Исходные данные'!$F$2:$F$954,$A47)</f>
        <v>0</v>
      </c>
      <c r="BX47" s="9" t="n">
        <f aca="false">SUMIFS('Исходные данные'!$I$2:$I$954,'Исходные данные'!$D$2:$D$954,BX$1,'Исходные данные'!$F$2:$F$954,$A47)</f>
        <v>0</v>
      </c>
      <c r="BY47" s="9" t="n">
        <f aca="false">SUMIFS('Исходные данные'!$J$2:$J$954,'Исходные данные'!$D$2:$D$954,BX$1,'Исходные данные'!$F$2:$F$954,$A47)</f>
        <v>0</v>
      </c>
      <c r="BZ47" s="9" t="n">
        <f aca="false">SUMIFS('Исходные данные'!$I$2:$I$954,'Исходные данные'!$D$2:$D$954,BZ$1,'Исходные данные'!$F$2:$F$954,$A47)</f>
        <v>0</v>
      </c>
      <c r="CA47" s="9" t="n">
        <f aca="false">SUMIFS('Исходные данные'!$J$2:$J$954,'Исходные данные'!$D$2:$D$954,BZ$1,'Исходные данные'!$F$2:$F$954,$A47)</f>
        <v>0</v>
      </c>
      <c r="CB47" s="9" t="n">
        <f aca="false">SUMIFS('Исходные данные'!$I$2:$I$954,'Исходные данные'!$D$2:$D$954,CB$1,'Исходные данные'!$F$2:$F$954,$A47)</f>
        <v>0</v>
      </c>
      <c r="CC47" s="9" t="n">
        <f aca="false">SUMIFS('Исходные данные'!$J$2:$J$954,'Исходные данные'!$D$2:$D$954,CB$1,'Исходные данные'!$F$2:$F$954,$A47)</f>
        <v>0</v>
      </c>
      <c r="CD47" s="9" t="n">
        <f aca="false">SUMIFS('Исходные данные'!$I$2:$I$954,'Исходные данные'!$D$2:$D$954,CD$1,'Исходные данные'!$F$2:$F$954,$A47)</f>
        <v>0</v>
      </c>
      <c r="CE47" s="9" t="n">
        <f aca="false">SUMIFS('Исходные данные'!$J$2:$J$954,'Исходные данные'!$D$2:$D$954,CD$1,'Исходные данные'!$F$2:$F$954,$A47)</f>
        <v>0</v>
      </c>
      <c r="CF47" s="9" t="n">
        <f aca="false">SUMIFS('Исходные данные'!$I$2:$I$954,'Исходные данные'!$D$2:$D$954,CF$1,'Исходные данные'!$F$2:$F$954,$A47)</f>
        <v>0</v>
      </c>
      <c r="CG47" s="9" t="n">
        <f aca="false">SUMIFS('Исходные данные'!$J$2:$J$954,'Исходные данные'!$D$2:$D$954,CF$1,'Исходные данные'!$F$2:$F$954,$A47)</f>
        <v>0</v>
      </c>
      <c r="CH47" s="9" t="n">
        <f aca="false">SUMIFS('Исходные данные'!$I$2:$I$954,'Исходные данные'!$D$2:$D$954,CH$1,'Исходные данные'!$F$2:$F$954,$A47)</f>
        <v>0</v>
      </c>
      <c r="CI47" s="9" t="n">
        <f aca="false">SUMIFS('Исходные данные'!$J$2:$J$954,'Исходные данные'!$D$2:$D$954,CH$1,'Исходные данные'!$F$2:$F$954,$A47)</f>
        <v>0</v>
      </c>
    </row>
    <row r="48" customFormat="false" ht="15" hidden="false" customHeight="false" outlineLevel="0" collapsed="false">
      <c r="A48" s="8" t="s">
        <v>139</v>
      </c>
      <c r="B48" s="9" t="s">
        <v>140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SUMIFS($H48:$CI48,$H$2:$CI$2,"День")</f>
        <v>1</v>
      </c>
      <c r="G48" s="5" t="n">
        <f aca="false">SUMIFS($H48:$CI48,$H$2:$CI$2,"Ночь")</f>
        <v>0</v>
      </c>
      <c r="H48" s="9" t="n">
        <f aca="false">SUMIFS('Исходные данные'!$I$2:$I$954,'Исходные данные'!$D$2:$D$954,H$1,'Исходные данные'!$F$2:$F$954,$A48)</f>
        <v>0</v>
      </c>
      <c r="I48" s="9" t="n">
        <f aca="false">SUMIFS('Исходные данные'!$J$2:$J$954,'Исходные данные'!$D$2:$D$954,H$1,'Исходные данные'!$F$2:$F$954,$A48)</f>
        <v>0</v>
      </c>
      <c r="J48" s="9" t="n">
        <f aca="false">SUMIFS('Исходные данные'!$I$2:$I$954,'Исходные данные'!$D$2:$D$954,J$1,'Исходные данные'!$F$2:$F$954,$A48)</f>
        <v>0</v>
      </c>
      <c r="K48" s="9" t="n">
        <f aca="false">SUMIFS('Исходные данные'!$J$2:$J$954,'Исходные данные'!$D$2:$D$954,J$1,'Исходные данные'!$F$2:$F$954,$A48)</f>
        <v>0</v>
      </c>
      <c r="L48" s="9" t="n">
        <f aca="false">SUMIFS('Исходные данные'!$I$2:$I$954,'Исходные данные'!$D$2:$D$954,L$1,'Исходные данные'!$F$2:$F$954,$A48)</f>
        <v>0</v>
      </c>
      <c r="M48" s="9" t="n">
        <f aca="false">SUMIFS('Исходные данные'!$J$2:$J$954,'Исходные данные'!$D$2:$D$954,L$1,'Исходные данные'!$F$2:$F$954,$A48)</f>
        <v>0</v>
      </c>
      <c r="N48" s="9" t="n">
        <f aca="false">SUMIFS('Исходные данные'!$I$2:$I$954,'Исходные данные'!$D$2:$D$954,N$1,'Исходные данные'!$F$2:$F$954,$A48)</f>
        <v>0</v>
      </c>
      <c r="O48" s="9" t="n">
        <f aca="false">SUMIFS('Исходные данные'!$J$2:$J$954,'Исходные данные'!$D$2:$D$954,N$1,'Исходные данные'!$F$2:$F$954,$A48)</f>
        <v>0</v>
      </c>
      <c r="P48" s="9" t="n">
        <f aca="false">SUMIFS('Исходные данные'!$I$2:$I$954,'Исходные данные'!$D$2:$D$954,P$1,'Исходные данные'!$F$2:$F$954,$A48)</f>
        <v>0</v>
      </c>
      <c r="Q48" s="9" t="n">
        <f aca="false">SUMIFS('Исходные данные'!$J$2:$J$954,'Исходные данные'!$D$2:$D$954,P$1,'Исходные данные'!$F$2:$F$954,$A48)</f>
        <v>0</v>
      </c>
      <c r="R48" s="9" t="n">
        <f aca="false">SUMIFS('Исходные данные'!$I$2:$I$954,'Исходные данные'!$D$2:$D$954,R$1,'Исходные данные'!$F$2:$F$954,$A48)</f>
        <v>0</v>
      </c>
      <c r="S48" s="9" t="n">
        <f aca="false">SUMIFS('Исходные данные'!$J$2:$J$954,'Исходные данные'!$D$2:$D$954,R$1,'Исходные данные'!$F$2:$F$954,$A48)</f>
        <v>0</v>
      </c>
      <c r="T48" s="9" t="n">
        <f aca="false">SUMIFS('Исходные данные'!$I$2:$I$954,'Исходные данные'!$D$2:$D$954,T$1,'Исходные данные'!$F$2:$F$954,$A48)</f>
        <v>0</v>
      </c>
      <c r="U48" s="9" t="n">
        <f aca="false">SUMIFS('Исходные данные'!$J$2:$J$954,'Исходные данные'!$D$2:$D$954,T$1,'Исходные данные'!$F$2:$F$954,$A48)</f>
        <v>0</v>
      </c>
      <c r="V48" s="9" t="n">
        <f aca="false">SUMIFS('Исходные данные'!$I$2:$I$954,'Исходные данные'!$D$2:$D$954,V$1,'Исходные данные'!$F$2:$F$954,$A48)</f>
        <v>1</v>
      </c>
      <c r="W48" s="9" t="n">
        <f aca="false">SUMIFS('Исходные данные'!$J$2:$J$954,'Исходные данные'!$D$2:$D$954,V$1,'Исходные данные'!$F$2:$F$954,$A48)</f>
        <v>0</v>
      </c>
      <c r="X48" s="9" t="n">
        <f aca="false">SUMIFS('Исходные данные'!$I$2:$I$954,'Исходные данные'!$D$2:$D$954,X$1,'Исходные данные'!$F$2:$F$954,$A48)</f>
        <v>0</v>
      </c>
      <c r="Y48" s="9" t="n">
        <f aca="false">SUMIFS('Исходные данные'!$J$2:$J$954,'Исходные данные'!$D$2:$D$954,X$1,'Исходные данные'!$F$2:$F$954,$A48)</f>
        <v>0</v>
      </c>
      <c r="Z48" s="9" t="n">
        <f aca="false">SUMIFS('Исходные данные'!$I$2:$I$954,'Исходные данные'!$D$2:$D$954,Z$1,'Исходные данные'!$F$2:$F$954,$A48)</f>
        <v>0</v>
      </c>
      <c r="AA48" s="9" t="n">
        <f aca="false">SUMIFS('Исходные данные'!$J$2:$J$954,'Исходные данные'!$D$2:$D$954,Z$1,'Исходные данные'!$F$2:$F$954,$A48)</f>
        <v>0</v>
      </c>
      <c r="AB48" s="9" t="n">
        <f aca="false">SUMIFS('Исходные данные'!$I$2:$I$954,'Исходные данные'!$D$2:$D$954,AB$1,'Исходные данные'!$F$2:$F$954,$A48)</f>
        <v>0</v>
      </c>
      <c r="AC48" s="9" t="n">
        <f aca="false">SUMIFS('Исходные данные'!$J$2:$J$954,'Исходные данные'!$D$2:$D$954,AB$1,'Исходные данные'!$F$2:$F$954,$A48)</f>
        <v>0</v>
      </c>
      <c r="AD48" s="9" t="n">
        <f aca="false">SUMIFS('Исходные данные'!$I$2:$I$954,'Исходные данные'!$D$2:$D$954,AD$1,'Исходные данные'!$F$2:$F$954,$A48)</f>
        <v>0</v>
      </c>
      <c r="AE48" s="9" t="n">
        <f aca="false">SUMIFS('Исходные данные'!$J$2:$J$954,'Исходные данные'!$D$2:$D$954,AD$1,'Исходные данные'!$F$2:$F$954,$A48)</f>
        <v>0</v>
      </c>
      <c r="AF48" s="9" t="n">
        <f aca="false">SUMIFS('Исходные данные'!$I$2:$I$954,'Исходные данные'!$D$2:$D$954,AF$1,'Исходные данные'!$F$2:$F$954,$A48)</f>
        <v>0</v>
      </c>
      <c r="AG48" s="9" t="n">
        <f aca="false">SUMIFS('Исходные данные'!$J$2:$J$954,'Исходные данные'!$D$2:$D$954,AF$1,'Исходные данные'!$F$2:$F$954,$A48)</f>
        <v>0</v>
      </c>
      <c r="AH48" s="9" t="n">
        <f aca="false">SUMIFS('Исходные данные'!$I$2:$I$954,'Исходные данные'!$D$2:$D$954,AH$1,'Исходные данные'!$F$2:$F$954,$A48)</f>
        <v>0</v>
      </c>
      <c r="AI48" s="9" t="n">
        <f aca="false">SUMIFS('Исходные данные'!$J$2:$J$954,'Исходные данные'!$D$2:$D$954,AH$1,'Исходные данные'!$F$2:$F$954,$A48)</f>
        <v>0</v>
      </c>
      <c r="AJ48" s="9" t="n">
        <f aca="false">SUMIFS('Исходные данные'!$I$2:$I$954,'Исходные данные'!$D$2:$D$954,AJ$1,'Исходные данные'!$F$2:$F$954,$A48)</f>
        <v>0</v>
      </c>
      <c r="AK48" s="9" t="n">
        <f aca="false">SUMIFS('Исходные данные'!$J$2:$J$954,'Исходные данные'!$D$2:$D$954,AJ$1,'Исходные данные'!$F$2:$F$954,$A48)</f>
        <v>0</v>
      </c>
      <c r="AL48" s="9" t="n">
        <f aca="false">SUMIFS('Исходные данные'!$I$2:$I$954,'Исходные данные'!$D$2:$D$954,AL$1,'Исходные данные'!$F$2:$F$954,$A48)</f>
        <v>0</v>
      </c>
      <c r="AM48" s="9" t="n">
        <f aca="false">SUMIFS('Исходные данные'!$J$2:$J$954,'Исходные данные'!$D$2:$D$954,AL$1,'Исходные данные'!$F$2:$F$954,$A48)</f>
        <v>0</v>
      </c>
      <c r="AN48" s="9" t="n">
        <f aca="false">SUMIFS('Исходные данные'!$I$2:$I$954,'Исходные данные'!$D$2:$D$954,AN$1,'Исходные данные'!$F$2:$F$954,$A48)</f>
        <v>0</v>
      </c>
      <c r="AO48" s="9" t="n">
        <f aca="false">SUMIFS('Исходные данные'!$J$2:$J$954,'Исходные данные'!$D$2:$D$954,AN$1,'Исходные данные'!$F$2:$F$954,$A48)</f>
        <v>0</v>
      </c>
      <c r="AP48" s="9" t="n">
        <f aca="false">SUMIFS('Исходные данные'!$I$2:$I$954,'Исходные данные'!$D$2:$D$954,AP$1,'Исходные данные'!$F$2:$F$954,$A48)</f>
        <v>0</v>
      </c>
      <c r="AQ48" s="9" t="n">
        <f aca="false">SUMIFS('Исходные данные'!$J$2:$J$954,'Исходные данные'!$D$2:$D$954,AP$1,'Исходные данные'!$F$2:$F$954,$A48)</f>
        <v>0</v>
      </c>
      <c r="AR48" s="9" t="n">
        <f aca="false">SUMIFS('Исходные данные'!$I$2:$I$954,'Исходные данные'!$D$2:$D$954,AR$1,'Исходные данные'!$F$2:$F$954,$A48)</f>
        <v>0</v>
      </c>
      <c r="AS48" s="9" t="n">
        <f aca="false">SUMIFS('Исходные данные'!$J$2:$J$954,'Исходные данные'!$D$2:$D$954,AR$1,'Исходные данные'!$F$2:$F$954,$A48)</f>
        <v>0</v>
      </c>
      <c r="AT48" s="9" t="n">
        <f aca="false">SUMIFS('Исходные данные'!$I$2:$I$954,'Исходные данные'!$D$2:$D$954,AT$1,'Исходные данные'!$F$2:$F$954,$A48)</f>
        <v>0</v>
      </c>
      <c r="AU48" s="9" t="n">
        <f aca="false">SUMIFS('Исходные данные'!$J$2:$J$954,'Исходные данные'!$D$2:$D$954,AT$1,'Исходные данные'!$F$2:$F$954,$A48)</f>
        <v>0</v>
      </c>
      <c r="AV48" s="9" t="n">
        <f aca="false">SUMIFS('Исходные данные'!$I$2:$I$954,'Исходные данные'!$D$2:$D$954,AV$1,'Исходные данные'!$F$2:$F$954,$A48)</f>
        <v>0</v>
      </c>
      <c r="AW48" s="9" t="n">
        <f aca="false">SUMIFS('Исходные данные'!$J$2:$J$954,'Исходные данные'!$D$2:$D$954,AV$1,'Исходные данные'!$F$2:$F$954,$A48)</f>
        <v>0</v>
      </c>
      <c r="AX48" s="9" t="n">
        <f aca="false">SUMIFS('Исходные данные'!$I$2:$I$954,'Исходные данные'!$D$2:$D$954,AX$1,'Исходные данные'!$F$2:$F$954,$A48)</f>
        <v>0</v>
      </c>
      <c r="AY48" s="9" t="n">
        <f aca="false">SUMIFS('Исходные данные'!$J$2:$J$954,'Исходные данные'!$D$2:$D$954,AX$1,'Исходные данные'!$F$2:$F$954,$A48)</f>
        <v>0</v>
      </c>
      <c r="AZ48" s="9" t="n">
        <f aca="false">SUMIFS('Исходные данные'!$I$2:$I$954,'Исходные данные'!$D$2:$D$954,AZ$1,'Исходные данные'!$F$2:$F$954,$A48)</f>
        <v>0</v>
      </c>
      <c r="BA48" s="9" t="n">
        <f aca="false">SUMIFS('Исходные данные'!$J$2:$J$954,'Исходные данные'!$D$2:$D$954,AZ$1,'Исходные данные'!$F$2:$F$954,$A48)</f>
        <v>0</v>
      </c>
      <c r="BB48" s="9" t="n">
        <f aca="false">SUMIFS('Исходные данные'!$I$2:$I$954,'Исходные данные'!$D$2:$D$954,BB$1,'Исходные данные'!$F$2:$F$954,$A48)</f>
        <v>0</v>
      </c>
      <c r="BC48" s="9" t="n">
        <f aca="false">SUMIFS('Исходные данные'!$J$2:$J$954,'Исходные данные'!$D$2:$D$954,BB$1,'Исходные данные'!$F$2:$F$954,$A48)</f>
        <v>0</v>
      </c>
      <c r="BD48" s="9" t="n">
        <f aca="false">SUMIFS('Исходные данные'!$I$2:$I$954,'Исходные данные'!$D$2:$D$954,BD$1,'Исходные данные'!$F$2:$F$954,$A48)</f>
        <v>0</v>
      </c>
      <c r="BE48" s="9" t="n">
        <f aca="false">SUMIFS('Исходные данные'!$J$2:$J$954,'Исходные данные'!$D$2:$D$954,BD$1,'Исходные данные'!$F$2:$F$954,$A48)</f>
        <v>0</v>
      </c>
      <c r="BF48" s="9" t="n">
        <f aca="false">SUMIFS('Исходные данные'!$I$2:$I$954,'Исходные данные'!$D$2:$D$954,BF$1,'Исходные данные'!$F$2:$F$954,$A48)</f>
        <v>0</v>
      </c>
      <c r="BG48" s="9" t="n">
        <f aca="false">SUMIFS('Исходные данные'!$J$2:$J$954,'Исходные данные'!$D$2:$D$954,BF$1,'Исходные данные'!$F$2:$F$954,$A48)</f>
        <v>0</v>
      </c>
      <c r="BH48" s="9" t="n">
        <f aca="false">SUMIFS('Исходные данные'!$I$2:$I$954,'Исходные данные'!$D$2:$D$954,BH$1,'Исходные данные'!$F$2:$F$954,$A48)</f>
        <v>0</v>
      </c>
      <c r="BI48" s="9" t="n">
        <f aca="false">SUMIFS('Исходные данные'!$J$2:$J$954,'Исходные данные'!$D$2:$D$954,BH$1,'Исходные данные'!$F$2:$F$954,$A48)</f>
        <v>0</v>
      </c>
      <c r="BJ48" s="9" t="n">
        <f aca="false">SUMIFS('Исходные данные'!$I$2:$I$954,'Исходные данные'!$D$2:$D$954,BJ$1,'Исходные данные'!$F$2:$F$954,$A48)</f>
        <v>0</v>
      </c>
      <c r="BK48" s="9" t="n">
        <f aca="false">SUMIFS('Исходные данные'!$J$2:$J$954,'Исходные данные'!$D$2:$D$954,BJ$1,'Исходные данные'!$F$2:$F$954,$A48)</f>
        <v>0</v>
      </c>
      <c r="BL48" s="9" t="n">
        <f aca="false">SUMIFS('Исходные данные'!$I$2:$I$954,'Исходные данные'!$D$2:$D$954,BL$1,'Исходные данные'!$F$2:$F$954,$A48)</f>
        <v>0</v>
      </c>
      <c r="BM48" s="9" t="n">
        <f aca="false">SUMIFS('Исходные данные'!$J$2:$J$954,'Исходные данные'!$D$2:$D$954,BL$1,'Исходные данные'!$F$2:$F$954,$A48)</f>
        <v>0</v>
      </c>
      <c r="BN48" s="9" t="n">
        <f aca="false">SUMIFS('Исходные данные'!$I$2:$I$954,'Исходные данные'!$D$2:$D$954,BN$1,'Исходные данные'!$F$2:$F$954,$A48)</f>
        <v>0</v>
      </c>
      <c r="BO48" s="9" t="n">
        <f aca="false">SUMIFS('Исходные данные'!$J$2:$J$954,'Исходные данные'!$D$2:$D$954,BN$1,'Исходные данные'!$F$2:$F$954,$A48)</f>
        <v>0</v>
      </c>
      <c r="BP48" s="9" t="n">
        <f aca="false">SUMIFS('Исходные данные'!$I$2:$I$954,'Исходные данные'!$D$2:$D$954,BP$1,'Исходные данные'!$F$2:$F$954,$A48)</f>
        <v>0</v>
      </c>
      <c r="BQ48" s="9" t="n">
        <f aca="false">SUMIFS('Исходные данные'!$J$2:$J$954,'Исходные данные'!$D$2:$D$954,BP$1,'Исходные данные'!$F$2:$F$954,$A48)</f>
        <v>0</v>
      </c>
      <c r="BR48" s="9" t="n">
        <f aca="false">SUMIFS('Исходные данные'!$I$2:$I$954,'Исходные данные'!$D$2:$D$954,BR$1,'Исходные данные'!$F$2:$F$954,$A48)</f>
        <v>0</v>
      </c>
      <c r="BS48" s="9" t="n">
        <f aca="false">SUMIFS('Исходные данные'!$J$2:$J$954,'Исходные данные'!$D$2:$D$954,BR$1,'Исходные данные'!$F$2:$F$954,$A48)</f>
        <v>0</v>
      </c>
      <c r="BT48" s="9" t="n">
        <f aca="false">SUMIFS('Исходные данные'!$I$2:$I$954,'Исходные данные'!$D$2:$D$954,BT$1,'Исходные данные'!$F$2:$F$954,$A48)</f>
        <v>0</v>
      </c>
      <c r="BU48" s="9" t="n">
        <f aca="false">SUMIFS('Исходные данные'!$J$2:$J$954,'Исходные данные'!$D$2:$D$954,BT$1,'Исходные данные'!$F$2:$F$954,$A48)</f>
        <v>0</v>
      </c>
      <c r="BV48" s="9" t="n">
        <f aca="false">SUMIFS('Исходные данные'!$I$2:$I$954,'Исходные данные'!$D$2:$D$954,BV$1,'Исходные данные'!$F$2:$F$954,$A48)</f>
        <v>0</v>
      </c>
      <c r="BW48" s="9" t="n">
        <f aca="false">SUMIFS('Исходные данные'!$J$2:$J$954,'Исходные данные'!$D$2:$D$954,BV$1,'Исходные данные'!$F$2:$F$954,$A48)</f>
        <v>0</v>
      </c>
      <c r="BX48" s="9" t="n">
        <f aca="false">SUMIFS('Исходные данные'!$I$2:$I$954,'Исходные данные'!$D$2:$D$954,BX$1,'Исходные данные'!$F$2:$F$954,$A48)</f>
        <v>0</v>
      </c>
      <c r="BY48" s="9" t="n">
        <f aca="false">SUMIFS('Исходные данные'!$J$2:$J$954,'Исходные данные'!$D$2:$D$954,BX$1,'Исходные данные'!$F$2:$F$954,$A48)</f>
        <v>0</v>
      </c>
      <c r="BZ48" s="9" t="n">
        <f aca="false">SUMIFS('Исходные данные'!$I$2:$I$954,'Исходные данные'!$D$2:$D$954,BZ$1,'Исходные данные'!$F$2:$F$954,$A48)</f>
        <v>0</v>
      </c>
      <c r="CA48" s="9" t="n">
        <f aca="false">SUMIFS('Исходные данные'!$J$2:$J$954,'Исходные данные'!$D$2:$D$954,BZ$1,'Исходные данные'!$F$2:$F$954,$A48)</f>
        <v>0</v>
      </c>
      <c r="CB48" s="9" t="n">
        <f aca="false">SUMIFS('Исходные данные'!$I$2:$I$954,'Исходные данные'!$D$2:$D$954,CB$1,'Исходные данные'!$F$2:$F$954,$A48)</f>
        <v>0</v>
      </c>
      <c r="CC48" s="9" t="n">
        <f aca="false">SUMIFS('Исходные данные'!$J$2:$J$954,'Исходные данные'!$D$2:$D$954,CB$1,'Исходные данные'!$F$2:$F$954,$A48)</f>
        <v>0</v>
      </c>
      <c r="CD48" s="9" t="n">
        <f aca="false">SUMIFS('Исходные данные'!$I$2:$I$954,'Исходные данные'!$D$2:$D$954,CD$1,'Исходные данные'!$F$2:$F$954,$A48)</f>
        <v>0</v>
      </c>
      <c r="CE48" s="9" t="n">
        <f aca="false">SUMIFS('Исходные данные'!$J$2:$J$954,'Исходные данные'!$D$2:$D$954,CD$1,'Исходные данные'!$F$2:$F$954,$A48)</f>
        <v>0</v>
      </c>
      <c r="CF48" s="9" t="n">
        <f aca="false">SUMIFS('Исходные данные'!$I$2:$I$954,'Исходные данные'!$D$2:$D$954,CF$1,'Исходные данные'!$F$2:$F$954,$A48)</f>
        <v>0</v>
      </c>
      <c r="CG48" s="9" t="n">
        <f aca="false">SUMIFS('Исходные данные'!$J$2:$J$954,'Исходные данные'!$D$2:$D$954,CF$1,'Исходные данные'!$F$2:$F$954,$A48)</f>
        <v>0</v>
      </c>
      <c r="CH48" s="9" t="n">
        <f aca="false">SUMIFS('Исходные данные'!$I$2:$I$954,'Исходные данные'!$D$2:$D$954,CH$1,'Исходные данные'!$F$2:$F$954,$A48)</f>
        <v>0</v>
      </c>
      <c r="CI48" s="9" t="n">
        <f aca="false">SUMIFS('Исходные данные'!$J$2:$J$954,'Исходные данные'!$D$2:$D$954,CH$1,'Исходные данные'!$F$2:$F$954,$A48)</f>
        <v>0</v>
      </c>
    </row>
    <row r="49" customFormat="false" ht="15" hidden="false" customHeight="false" outlineLevel="0" collapsed="false">
      <c r="A49" s="8" t="s">
        <v>141</v>
      </c>
      <c r="B49" s="9" t="s">
        <v>142</v>
      </c>
      <c r="C49" s="5" t="n">
        <v>4</v>
      </c>
      <c r="D49" s="5" t="n">
        <f aca="false">F49+G49</f>
        <v>4</v>
      </c>
      <c r="E49" s="5" t="n">
        <f aca="false">D49-C49</f>
        <v>0</v>
      </c>
      <c r="F49" s="5" t="n">
        <f aca="false">SUMIFS($H49:$CI49,$H$2:$CI$2,"День")</f>
        <v>4</v>
      </c>
      <c r="G49" s="5" t="n">
        <f aca="false">SUMIFS($H49:$CI49,$H$2:$CI$2,"Ночь")</f>
        <v>0</v>
      </c>
      <c r="H49" s="9" t="n">
        <f aca="false">SUMIFS('Исходные данные'!$I$2:$I$954,'Исходные данные'!$D$2:$D$954,H$1,'Исходные данные'!$F$2:$F$954,$A49)</f>
        <v>0</v>
      </c>
      <c r="I49" s="9" t="n">
        <f aca="false">SUMIFS('Исходные данные'!$J$2:$J$954,'Исходные данные'!$D$2:$D$954,H$1,'Исходные данные'!$F$2:$F$954,$A49)</f>
        <v>0</v>
      </c>
      <c r="J49" s="9" t="n">
        <f aca="false">SUMIFS('Исходные данные'!$I$2:$I$954,'Исходные данные'!$D$2:$D$954,J$1,'Исходные данные'!$F$2:$F$954,$A49)</f>
        <v>0</v>
      </c>
      <c r="K49" s="9" t="n">
        <f aca="false">SUMIFS('Исходные данные'!$J$2:$J$954,'Исходные данные'!$D$2:$D$954,J$1,'Исходные данные'!$F$2:$F$954,$A49)</f>
        <v>0</v>
      </c>
      <c r="L49" s="9" t="n">
        <f aca="false">SUMIFS('Исходные данные'!$I$2:$I$954,'Исходные данные'!$D$2:$D$954,L$1,'Исходные данные'!$F$2:$F$954,$A49)</f>
        <v>0</v>
      </c>
      <c r="M49" s="9" t="n">
        <f aca="false">SUMIFS('Исходные данные'!$J$2:$J$954,'Исходные данные'!$D$2:$D$954,L$1,'Исходные данные'!$F$2:$F$954,$A49)</f>
        <v>0</v>
      </c>
      <c r="N49" s="9" t="n">
        <f aca="false">SUMIFS('Исходные данные'!$I$2:$I$954,'Исходные данные'!$D$2:$D$954,N$1,'Исходные данные'!$F$2:$F$954,$A49)</f>
        <v>0</v>
      </c>
      <c r="O49" s="9" t="n">
        <f aca="false">SUMIFS('Исходные данные'!$J$2:$J$954,'Исходные данные'!$D$2:$D$954,N$1,'Исходные данные'!$F$2:$F$954,$A49)</f>
        <v>0</v>
      </c>
      <c r="P49" s="9" t="n">
        <f aca="false">SUMIFS('Исходные данные'!$I$2:$I$954,'Исходные данные'!$D$2:$D$954,P$1,'Исходные данные'!$F$2:$F$954,$A49)</f>
        <v>0</v>
      </c>
      <c r="Q49" s="9" t="n">
        <f aca="false">SUMIFS('Исходные данные'!$J$2:$J$954,'Исходные данные'!$D$2:$D$954,P$1,'Исходные данные'!$F$2:$F$954,$A49)</f>
        <v>0</v>
      </c>
      <c r="R49" s="9" t="n">
        <f aca="false">SUMIFS('Исходные данные'!$I$2:$I$954,'Исходные данные'!$D$2:$D$954,R$1,'Исходные данные'!$F$2:$F$954,$A49)</f>
        <v>0</v>
      </c>
      <c r="S49" s="9" t="n">
        <f aca="false">SUMIFS('Исходные данные'!$J$2:$J$954,'Исходные данные'!$D$2:$D$954,R$1,'Исходные данные'!$F$2:$F$954,$A49)</f>
        <v>0</v>
      </c>
      <c r="T49" s="9" t="n">
        <f aca="false">SUMIFS('Исходные данные'!$I$2:$I$954,'Исходные данные'!$D$2:$D$954,T$1,'Исходные данные'!$F$2:$F$954,$A49)</f>
        <v>4</v>
      </c>
      <c r="U49" s="9" t="n">
        <f aca="false">SUMIFS('Исходные данные'!$J$2:$J$954,'Исходные данные'!$D$2:$D$954,T$1,'Исходные данные'!$F$2:$F$954,$A49)</f>
        <v>0</v>
      </c>
      <c r="V49" s="9" t="n">
        <f aca="false">SUMIFS('Исходные данные'!$I$2:$I$954,'Исходные данные'!$D$2:$D$954,V$1,'Исходные данные'!$F$2:$F$954,$A49)</f>
        <v>0</v>
      </c>
      <c r="W49" s="9" t="n">
        <f aca="false">SUMIFS('Исходные данные'!$J$2:$J$954,'Исходные данные'!$D$2:$D$954,V$1,'Исходные данные'!$F$2:$F$954,$A49)</f>
        <v>0</v>
      </c>
      <c r="X49" s="9" t="n">
        <f aca="false">SUMIFS('Исходные данные'!$I$2:$I$954,'Исходные данные'!$D$2:$D$954,X$1,'Исходные данные'!$F$2:$F$954,$A49)</f>
        <v>0</v>
      </c>
      <c r="Y49" s="9" t="n">
        <f aca="false">SUMIFS('Исходные данные'!$J$2:$J$954,'Исходные данные'!$D$2:$D$954,X$1,'Исходные данные'!$F$2:$F$954,$A49)</f>
        <v>0</v>
      </c>
      <c r="Z49" s="9" t="n">
        <f aca="false">SUMIFS('Исходные данные'!$I$2:$I$954,'Исходные данные'!$D$2:$D$954,Z$1,'Исходные данные'!$F$2:$F$954,$A49)</f>
        <v>0</v>
      </c>
      <c r="AA49" s="9" t="n">
        <f aca="false">SUMIFS('Исходные данные'!$J$2:$J$954,'Исходные данные'!$D$2:$D$954,Z$1,'Исходные данные'!$F$2:$F$954,$A49)</f>
        <v>0</v>
      </c>
      <c r="AB49" s="9" t="n">
        <f aca="false">SUMIFS('Исходные данные'!$I$2:$I$954,'Исходные данные'!$D$2:$D$954,AB$1,'Исходные данные'!$F$2:$F$954,$A49)</f>
        <v>0</v>
      </c>
      <c r="AC49" s="9" t="n">
        <f aca="false">SUMIFS('Исходные данные'!$J$2:$J$954,'Исходные данные'!$D$2:$D$954,AB$1,'Исходные данные'!$F$2:$F$954,$A49)</f>
        <v>0</v>
      </c>
      <c r="AD49" s="9" t="n">
        <f aca="false">SUMIFS('Исходные данные'!$I$2:$I$954,'Исходные данные'!$D$2:$D$954,AD$1,'Исходные данные'!$F$2:$F$954,$A49)</f>
        <v>0</v>
      </c>
      <c r="AE49" s="9" t="n">
        <f aca="false">SUMIFS('Исходные данные'!$J$2:$J$954,'Исходные данные'!$D$2:$D$954,AD$1,'Исходные данные'!$F$2:$F$954,$A49)</f>
        <v>0</v>
      </c>
      <c r="AF49" s="9" t="n">
        <f aca="false">SUMIFS('Исходные данные'!$I$2:$I$954,'Исходные данные'!$D$2:$D$954,AF$1,'Исходные данные'!$F$2:$F$954,$A49)</f>
        <v>0</v>
      </c>
      <c r="AG49" s="9" t="n">
        <f aca="false">SUMIFS('Исходные данные'!$J$2:$J$954,'Исходные данные'!$D$2:$D$954,AF$1,'Исходные данные'!$F$2:$F$954,$A49)</f>
        <v>0</v>
      </c>
      <c r="AH49" s="9" t="n">
        <f aca="false">SUMIFS('Исходные данные'!$I$2:$I$954,'Исходные данные'!$D$2:$D$954,AH$1,'Исходные данные'!$F$2:$F$954,$A49)</f>
        <v>0</v>
      </c>
      <c r="AI49" s="9" t="n">
        <f aca="false">SUMIFS('Исходные данные'!$J$2:$J$954,'Исходные данные'!$D$2:$D$954,AH$1,'Исходные данные'!$F$2:$F$954,$A49)</f>
        <v>0</v>
      </c>
      <c r="AJ49" s="9" t="n">
        <f aca="false">SUMIFS('Исходные данные'!$I$2:$I$954,'Исходные данные'!$D$2:$D$954,AJ$1,'Исходные данные'!$F$2:$F$954,$A49)</f>
        <v>0</v>
      </c>
      <c r="AK49" s="9" t="n">
        <f aca="false">SUMIFS('Исходные данные'!$J$2:$J$954,'Исходные данные'!$D$2:$D$954,AJ$1,'Исходные данные'!$F$2:$F$954,$A49)</f>
        <v>0</v>
      </c>
      <c r="AL49" s="9" t="n">
        <f aca="false">SUMIFS('Исходные данные'!$I$2:$I$954,'Исходные данные'!$D$2:$D$954,AL$1,'Исходные данные'!$F$2:$F$954,$A49)</f>
        <v>0</v>
      </c>
      <c r="AM49" s="9" t="n">
        <f aca="false">SUMIFS('Исходные данные'!$J$2:$J$954,'Исходные данные'!$D$2:$D$954,AL$1,'Исходные данные'!$F$2:$F$954,$A49)</f>
        <v>0</v>
      </c>
      <c r="AN49" s="9" t="n">
        <f aca="false">SUMIFS('Исходные данные'!$I$2:$I$954,'Исходные данные'!$D$2:$D$954,AN$1,'Исходные данные'!$F$2:$F$954,$A49)</f>
        <v>0</v>
      </c>
      <c r="AO49" s="9" t="n">
        <f aca="false">SUMIFS('Исходные данные'!$J$2:$J$954,'Исходные данные'!$D$2:$D$954,AN$1,'Исходные данные'!$F$2:$F$954,$A49)</f>
        <v>0</v>
      </c>
      <c r="AP49" s="9" t="n">
        <f aca="false">SUMIFS('Исходные данные'!$I$2:$I$954,'Исходные данные'!$D$2:$D$954,AP$1,'Исходные данные'!$F$2:$F$954,$A49)</f>
        <v>0</v>
      </c>
      <c r="AQ49" s="9" t="n">
        <f aca="false">SUMIFS('Исходные данные'!$J$2:$J$954,'Исходные данные'!$D$2:$D$954,AP$1,'Исходные данные'!$F$2:$F$954,$A49)</f>
        <v>0</v>
      </c>
      <c r="AR49" s="9" t="n">
        <f aca="false">SUMIFS('Исходные данные'!$I$2:$I$954,'Исходные данные'!$D$2:$D$954,AR$1,'Исходные данные'!$F$2:$F$954,$A49)</f>
        <v>0</v>
      </c>
      <c r="AS49" s="9" t="n">
        <f aca="false">SUMIFS('Исходные данные'!$J$2:$J$954,'Исходные данные'!$D$2:$D$954,AR$1,'Исходные данные'!$F$2:$F$954,$A49)</f>
        <v>0</v>
      </c>
      <c r="AT49" s="9" t="n">
        <f aca="false">SUMIFS('Исходные данные'!$I$2:$I$954,'Исходные данные'!$D$2:$D$954,AT$1,'Исходные данные'!$F$2:$F$954,$A49)</f>
        <v>0</v>
      </c>
      <c r="AU49" s="9" t="n">
        <f aca="false">SUMIFS('Исходные данные'!$J$2:$J$954,'Исходные данные'!$D$2:$D$954,AT$1,'Исходные данные'!$F$2:$F$954,$A49)</f>
        <v>0</v>
      </c>
      <c r="AV49" s="9" t="n">
        <f aca="false">SUMIFS('Исходные данные'!$I$2:$I$954,'Исходные данные'!$D$2:$D$954,AV$1,'Исходные данные'!$F$2:$F$954,$A49)</f>
        <v>0</v>
      </c>
      <c r="AW49" s="9" t="n">
        <f aca="false">SUMIFS('Исходные данные'!$J$2:$J$954,'Исходные данные'!$D$2:$D$954,AV$1,'Исходные данные'!$F$2:$F$954,$A49)</f>
        <v>0</v>
      </c>
      <c r="AX49" s="9" t="n">
        <f aca="false">SUMIFS('Исходные данные'!$I$2:$I$954,'Исходные данные'!$D$2:$D$954,AX$1,'Исходные данные'!$F$2:$F$954,$A49)</f>
        <v>0</v>
      </c>
      <c r="AY49" s="9" t="n">
        <f aca="false">SUMIFS('Исходные данные'!$J$2:$J$954,'Исходные данные'!$D$2:$D$954,AX$1,'Исходные данные'!$F$2:$F$954,$A49)</f>
        <v>0</v>
      </c>
      <c r="AZ49" s="9" t="n">
        <f aca="false">SUMIFS('Исходные данные'!$I$2:$I$954,'Исходные данные'!$D$2:$D$954,AZ$1,'Исходные данные'!$F$2:$F$954,$A49)</f>
        <v>0</v>
      </c>
      <c r="BA49" s="9" t="n">
        <f aca="false">SUMIFS('Исходные данные'!$J$2:$J$954,'Исходные данные'!$D$2:$D$954,AZ$1,'Исходные данные'!$F$2:$F$954,$A49)</f>
        <v>0</v>
      </c>
      <c r="BB49" s="9" t="n">
        <f aca="false">SUMIFS('Исходные данные'!$I$2:$I$954,'Исходные данные'!$D$2:$D$954,BB$1,'Исходные данные'!$F$2:$F$954,$A49)</f>
        <v>0</v>
      </c>
      <c r="BC49" s="9" t="n">
        <f aca="false">SUMIFS('Исходные данные'!$J$2:$J$954,'Исходные данные'!$D$2:$D$954,BB$1,'Исходные данные'!$F$2:$F$954,$A49)</f>
        <v>0</v>
      </c>
      <c r="BD49" s="9" t="n">
        <f aca="false">SUMIFS('Исходные данные'!$I$2:$I$954,'Исходные данные'!$D$2:$D$954,BD$1,'Исходные данные'!$F$2:$F$954,$A49)</f>
        <v>0</v>
      </c>
      <c r="BE49" s="9" t="n">
        <f aca="false">SUMIFS('Исходные данные'!$J$2:$J$954,'Исходные данные'!$D$2:$D$954,BD$1,'Исходные данные'!$F$2:$F$954,$A49)</f>
        <v>0</v>
      </c>
      <c r="BF49" s="9" t="n">
        <f aca="false">SUMIFS('Исходные данные'!$I$2:$I$954,'Исходные данные'!$D$2:$D$954,BF$1,'Исходные данные'!$F$2:$F$954,$A49)</f>
        <v>0</v>
      </c>
      <c r="BG49" s="9" t="n">
        <f aca="false">SUMIFS('Исходные данные'!$J$2:$J$954,'Исходные данные'!$D$2:$D$954,BF$1,'Исходные данные'!$F$2:$F$954,$A49)</f>
        <v>0</v>
      </c>
      <c r="BH49" s="9" t="n">
        <f aca="false">SUMIFS('Исходные данные'!$I$2:$I$954,'Исходные данные'!$D$2:$D$954,BH$1,'Исходные данные'!$F$2:$F$954,$A49)</f>
        <v>0</v>
      </c>
      <c r="BI49" s="9" t="n">
        <f aca="false">SUMIFS('Исходные данные'!$J$2:$J$954,'Исходные данные'!$D$2:$D$954,BH$1,'Исходные данные'!$F$2:$F$954,$A49)</f>
        <v>0</v>
      </c>
      <c r="BJ49" s="9" t="n">
        <f aca="false">SUMIFS('Исходные данные'!$I$2:$I$954,'Исходные данные'!$D$2:$D$954,BJ$1,'Исходные данные'!$F$2:$F$954,$A49)</f>
        <v>0</v>
      </c>
      <c r="BK49" s="9" t="n">
        <f aca="false">SUMIFS('Исходные данные'!$J$2:$J$954,'Исходные данные'!$D$2:$D$954,BJ$1,'Исходные данные'!$F$2:$F$954,$A49)</f>
        <v>0</v>
      </c>
      <c r="BL49" s="9" t="n">
        <f aca="false">SUMIFS('Исходные данные'!$I$2:$I$954,'Исходные данные'!$D$2:$D$954,BL$1,'Исходные данные'!$F$2:$F$954,$A49)</f>
        <v>0</v>
      </c>
      <c r="BM49" s="9" t="n">
        <f aca="false">SUMIFS('Исходные данные'!$J$2:$J$954,'Исходные данные'!$D$2:$D$954,BL$1,'Исходные данные'!$F$2:$F$954,$A49)</f>
        <v>0</v>
      </c>
      <c r="BN49" s="9" t="n">
        <f aca="false">SUMIFS('Исходные данные'!$I$2:$I$954,'Исходные данные'!$D$2:$D$954,BN$1,'Исходные данные'!$F$2:$F$954,$A49)</f>
        <v>0</v>
      </c>
      <c r="BO49" s="9" t="n">
        <f aca="false">SUMIFS('Исходные данные'!$J$2:$J$954,'Исходные данные'!$D$2:$D$954,BN$1,'Исходные данные'!$F$2:$F$954,$A49)</f>
        <v>0</v>
      </c>
      <c r="BP49" s="9" t="n">
        <f aca="false">SUMIFS('Исходные данные'!$I$2:$I$954,'Исходные данные'!$D$2:$D$954,BP$1,'Исходные данные'!$F$2:$F$954,$A49)</f>
        <v>0</v>
      </c>
      <c r="BQ49" s="9" t="n">
        <f aca="false">SUMIFS('Исходные данные'!$J$2:$J$954,'Исходные данные'!$D$2:$D$954,BP$1,'Исходные данные'!$F$2:$F$954,$A49)</f>
        <v>0</v>
      </c>
      <c r="BR49" s="9" t="n">
        <f aca="false">SUMIFS('Исходные данные'!$I$2:$I$954,'Исходные данные'!$D$2:$D$954,BR$1,'Исходные данные'!$F$2:$F$954,$A49)</f>
        <v>0</v>
      </c>
      <c r="BS49" s="9" t="n">
        <f aca="false">SUMIFS('Исходные данные'!$J$2:$J$954,'Исходные данные'!$D$2:$D$954,BR$1,'Исходные данные'!$F$2:$F$954,$A49)</f>
        <v>0</v>
      </c>
      <c r="BT49" s="9" t="n">
        <f aca="false">SUMIFS('Исходные данные'!$I$2:$I$954,'Исходные данные'!$D$2:$D$954,BT$1,'Исходные данные'!$F$2:$F$954,$A49)</f>
        <v>0</v>
      </c>
      <c r="BU49" s="9" t="n">
        <f aca="false">SUMIFS('Исходные данные'!$J$2:$J$954,'Исходные данные'!$D$2:$D$954,BT$1,'Исходные данные'!$F$2:$F$954,$A49)</f>
        <v>0</v>
      </c>
      <c r="BV49" s="9" t="n">
        <f aca="false">SUMIFS('Исходные данные'!$I$2:$I$954,'Исходные данные'!$D$2:$D$954,BV$1,'Исходные данные'!$F$2:$F$954,$A49)</f>
        <v>0</v>
      </c>
      <c r="BW49" s="9" t="n">
        <f aca="false">SUMIFS('Исходные данные'!$J$2:$J$954,'Исходные данные'!$D$2:$D$954,BV$1,'Исходные данные'!$F$2:$F$954,$A49)</f>
        <v>0</v>
      </c>
      <c r="BX49" s="9" t="n">
        <f aca="false">SUMIFS('Исходные данные'!$I$2:$I$954,'Исходные данные'!$D$2:$D$954,BX$1,'Исходные данные'!$F$2:$F$954,$A49)</f>
        <v>0</v>
      </c>
      <c r="BY49" s="9" t="n">
        <f aca="false">SUMIFS('Исходные данные'!$J$2:$J$954,'Исходные данные'!$D$2:$D$954,BX$1,'Исходные данные'!$F$2:$F$954,$A49)</f>
        <v>0</v>
      </c>
      <c r="BZ49" s="9" t="n">
        <f aca="false">SUMIFS('Исходные данные'!$I$2:$I$954,'Исходные данные'!$D$2:$D$954,BZ$1,'Исходные данные'!$F$2:$F$954,$A49)</f>
        <v>0</v>
      </c>
      <c r="CA49" s="9" t="n">
        <f aca="false">SUMIFS('Исходные данные'!$J$2:$J$954,'Исходные данные'!$D$2:$D$954,BZ$1,'Исходные данные'!$F$2:$F$954,$A49)</f>
        <v>0</v>
      </c>
      <c r="CB49" s="9" t="n">
        <f aca="false">SUMIFS('Исходные данные'!$I$2:$I$954,'Исходные данные'!$D$2:$D$954,CB$1,'Исходные данные'!$F$2:$F$954,$A49)</f>
        <v>0</v>
      </c>
      <c r="CC49" s="9" t="n">
        <f aca="false">SUMIFS('Исходные данные'!$J$2:$J$954,'Исходные данные'!$D$2:$D$954,CB$1,'Исходные данные'!$F$2:$F$954,$A49)</f>
        <v>0</v>
      </c>
      <c r="CD49" s="9" t="n">
        <f aca="false">SUMIFS('Исходные данные'!$I$2:$I$954,'Исходные данные'!$D$2:$D$954,CD$1,'Исходные данные'!$F$2:$F$954,$A49)</f>
        <v>0</v>
      </c>
      <c r="CE49" s="9" t="n">
        <f aca="false">SUMIFS('Исходные данные'!$J$2:$J$954,'Исходные данные'!$D$2:$D$954,CD$1,'Исходные данные'!$F$2:$F$954,$A49)</f>
        <v>0</v>
      </c>
      <c r="CF49" s="9" t="n">
        <f aca="false">SUMIFS('Исходные данные'!$I$2:$I$954,'Исходные данные'!$D$2:$D$954,CF$1,'Исходные данные'!$F$2:$F$954,$A49)</f>
        <v>0</v>
      </c>
      <c r="CG49" s="9" t="n">
        <f aca="false">SUMIFS('Исходные данные'!$J$2:$J$954,'Исходные данные'!$D$2:$D$954,CF$1,'Исходные данные'!$F$2:$F$954,$A49)</f>
        <v>0</v>
      </c>
      <c r="CH49" s="9" t="n">
        <f aca="false">SUMIFS('Исходные данные'!$I$2:$I$954,'Исходные данные'!$D$2:$D$954,CH$1,'Исходные данные'!$F$2:$F$954,$A49)</f>
        <v>0</v>
      </c>
      <c r="CI49" s="9" t="n">
        <f aca="false">SUMIFS('Исходные данные'!$J$2:$J$954,'Исходные данные'!$D$2:$D$954,CH$1,'Исходные данные'!$F$2:$F$954,$A49)</f>
        <v>0</v>
      </c>
    </row>
    <row r="50" customFormat="false" ht="15" hidden="false" customHeight="false" outlineLevel="0" collapsed="false">
      <c r="A50" s="8" t="s">
        <v>143</v>
      </c>
      <c r="B50" s="9" t="s">
        <v>144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SUMIFS($H50:$CI50,$H$2:$CI$2,"День")</f>
        <v>1</v>
      </c>
      <c r="G50" s="5" t="n">
        <f aca="false">SUMIFS($H50:$CI50,$H$2:$CI$2,"Ночь")</f>
        <v>0</v>
      </c>
      <c r="H50" s="9" t="n">
        <f aca="false">SUMIFS('Исходные данные'!$I$2:$I$954,'Исходные данные'!$D$2:$D$954,H$1,'Исходные данные'!$F$2:$F$954,$A50)</f>
        <v>0</v>
      </c>
      <c r="I50" s="9" t="n">
        <f aca="false">SUMIFS('Исходные данные'!$J$2:$J$954,'Исходные данные'!$D$2:$D$954,H$1,'Исходные данные'!$F$2:$F$954,$A50)</f>
        <v>0</v>
      </c>
      <c r="J50" s="9" t="n">
        <f aca="false">SUMIFS('Исходные данные'!$I$2:$I$954,'Исходные данные'!$D$2:$D$954,J$1,'Исходные данные'!$F$2:$F$954,$A50)</f>
        <v>0</v>
      </c>
      <c r="K50" s="9" t="n">
        <f aca="false">SUMIFS('Исходные данные'!$J$2:$J$954,'Исходные данные'!$D$2:$D$954,J$1,'Исходные данные'!$F$2:$F$954,$A50)</f>
        <v>0</v>
      </c>
      <c r="L50" s="9" t="n">
        <f aca="false">SUMIFS('Исходные данные'!$I$2:$I$954,'Исходные данные'!$D$2:$D$954,L$1,'Исходные данные'!$F$2:$F$954,$A50)</f>
        <v>0</v>
      </c>
      <c r="M50" s="9" t="n">
        <f aca="false">SUMIFS('Исходные данные'!$J$2:$J$954,'Исходные данные'!$D$2:$D$954,L$1,'Исходные данные'!$F$2:$F$954,$A50)</f>
        <v>0</v>
      </c>
      <c r="N50" s="9" t="n">
        <f aca="false">SUMIFS('Исходные данные'!$I$2:$I$954,'Исходные данные'!$D$2:$D$954,N$1,'Исходные данные'!$F$2:$F$954,$A50)</f>
        <v>0</v>
      </c>
      <c r="O50" s="9" t="n">
        <f aca="false">SUMIFS('Исходные данные'!$J$2:$J$954,'Исходные данные'!$D$2:$D$954,N$1,'Исходные данные'!$F$2:$F$954,$A50)</f>
        <v>0</v>
      </c>
      <c r="P50" s="9" t="n">
        <f aca="false">SUMIFS('Исходные данные'!$I$2:$I$954,'Исходные данные'!$D$2:$D$954,P$1,'Исходные данные'!$F$2:$F$954,$A50)</f>
        <v>0</v>
      </c>
      <c r="Q50" s="9" t="n">
        <f aca="false">SUMIFS('Исходные данные'!$J$2:$J$954,'Исходные данные'!$D$2:$D$954,P$1,'Исходные данные'!$F$2:$F$954,$A50)</f>
        <v>0</v>
      </c>
      <c r="R50" s="9" t="n">
        <f aca="false">SUMIFS('Исходные данные'!$I$2:$I$954,'Исходные данные'!$D$2:$D$954,R$1,'Исходные данные'!$F$2:$F$954,$A50)</f>
        <v>0</v>
      </c>
      <c r="S50" s="9" t="n">
        <f aca="false">SUMIFS('Исходные данные'!$J$2:$J$954,'Исходные данные'!$D$2:$D$954,R$1,'Исходные данные'!$F$2:$F$954,$A50)</f>
        <v>0</v>
      </c>
      <c r="T50" s="9" t="n">
        <f aca="false">SUMIFS('Исходные данные'!$I$2:$I$954,'Исходные данные'!$D$2:$D$954,T$1,'Исходные данные'!$F$2:$F$954,$A50)</f>
        <v>0</v>
      </c>
      <c r="U50" s="9" t="n">
        <f aca="false">SUMIFS('Исходные данные'!$J$2:$J$954,'Исходные данные'!$D$2:$D$954,T$1,'Исходные данные'!$F$2:$F$954,$A50)</f>
        <v>0</v>
      </c>
      <c r="V50" s="9" t="n">
        <f aca="false">SUMIFS('Исходные данные'!$I$2:$I$954,'Исходные данные'!$D$2:$D$954,V$1,'Исходные данные'!$F$2:$F$954,$A50)</f>
        <v>1</v>
      </c>
      <c r="W50" s="9" t="n">
        <f aca="false">SUMIFS('Исходные данные'!$J$2:$J$954,'Исходные данные'!$D$2:$D$954,V$1,'Исходные данные'!$F$2:$F$954,$A50)</f>
        <v>0</v>
      </c>
      <c r="X50" s="9" t="n">
        <f aca="false">SUMIFS('Исходные данные'!$I$2:$I$954,'Исходные данные'!$D$2:$D$954,X$1,'Исходные данные'!$F$2:$F$954,$A50)</f>
        <v>0</v>
      </c>
      <c r="Y50" s="9" t="n">
        <f aca="false">SUMIFS('Исходные данные'!$J$2:$J$954,'Исходные данные'!$D$2:$D$954,X$1,'Исходные данные'!$F$2:$F$954,$A50)</f>
        <v>0</v>
      </c>
      <c r="Z50" s="9" t="n">
        <f aca="false">SUMIFS('Исходные данные'!$I$2:$I$954,'Исходные данные'!$D$2:$D$954,Z$1,'Исходные данные'!$F$2:$F$954,$A50)</f>
        <v>0</v>
      </c>
      <c r="AA50" s="9" t="n">
        <f aca="false">SUMIFS('Исходные данные'!$J$2:$J$954,'Исходные данные'!$D$2:$D$954,Z$1,'Исходные данные'!$F$2:$F$954,$A50)</f>
        <v>0</v>
      </c>
      <c r="AB50" s="9" t="n">
        <f aca="false">SUMIFS('Исходные данные'!$I$2:$I$954,'Исходные данные'!$D$2:$D$954,AB$1,'Исходные данные'!$F$2:$F$954,$A50)</f>
        <v>0</v>
      </c>
      <c r="AC50" s="9" t="n">
        <f aca="false">SUMIFS('Исходные данные'!$J$2:$J$954,'Исходные данные'!$D$2:$D$954,AB$1,'Исходные данные'!$F$2:$F$954,$A50)</f>
        <v>0</v>
      </c>
      <c r="AD50" s="9" t="n">
        <f aca="false">SUMIFS('Исходные данные'!$I$2:$I$954,'Исходные данные'!$D$2:$D$954,AD$1,'Исходные данные'!$F$2:$F$954,$A50)</f>
        <v>0</v>
      </c>
      <c r="AE50" s="9" t="n">
        <f aca="false">SUMIFS('Исходные данные'!$J$2:$J$954,'Исходные данные'!$D$2:$D$954,AD$1,'Исходные данные'!$F$2:$F$954,$A50)</f>
        <v>0</v>
      </c>
      <c r="AF50" s="9" t="n">
        <f aca="false">SUMIFS('Исходные данные'!$I$2:$I$954,'Исходные данные'!$D$2:$D$954,AF$1,'Исходные данные'!$F$2:$F$954,$A50)</f>
        <v>0</v>
      </c>
      <c r="AG50" s="9" t="n">
        <f aca="false">SUMIFS('Исходные данные'!$J$2:$J$954,'Исходные данные'!$D$2:$D$954,AF$1,'Исходные данные'!$F$2:$F$954,$A50)</f>
        <v>0</v>
      </c>
      <c r="AH50" s="9" t="n">
        <f aca="false">SUMIFS('Исходные данные'!$I$2:$I$954,'Исходные данные'!$D$2:$D$954,AH$1,'Исходные данные'!$F$2:$F$954,$A50)</f>
        <v>0</v>
      </c>
      <c r="AI50" s="9" t="n">
        <f aca="false">SUMIFS('Исходные данные'!$J$2:$J$954,'Исходные данные'!$D$2:$D$954,AH$1,'Исходные данные'!$F$2:$F$954,$A50)</f>
        <v>0</v>
      </c>
      <c r="AJ50" s="9" t="n">
        <f aca="false">SUMIFS('Исходные данные'!$I$2:$I$954,'Исходные данные'!$D$2:$D$954,AJ$1,'Исходные данные'!$F$2:$F$954,$A50)</f>
        <v>0</v>
      </c>
      <c r="AK50" s="9" t="n">
        <f aca="false">SUMIFS('Исходные данные'!$J$2:$J$954,'Исходные данные'!$D$2:$D$954,AJ$1,'Исходные данные'!$F$2:$F$954,$A50)</f>
        <v>0</v>
      </c>
      <c r="AL50" s="9" t="n">
        <f aca="false">SUMIFS('Исходные данные'!$I$2:$I$954,'Исходные данные'!$D$2:$D$954,AL$1,'Исходные данные'!$F$2:$F$954,$A50)</f>
        <v>0</v>
      </c>
      <c r="AM50" s="9" t="n">
        <f aca="false">SUMIFS('Исходные данные'!$J$2:$J$954,'Исходные данные'!$D$2:$D$954,AL$1,'Исходные данные'!$F$2:$F$954,$A50)</f>
        <v>0</v>
      </c>
      <c r="AN50" s="9" t="n">
        <f aca="false">SUMIFS('Исходные данные'!$I$2:$I$954,'Исходные данные'!$D$2:$D$954,AN$1,'Исходные данные'!$F$2:$F$954,$A50)</f>
        <v>0</v>
      </c>
      <c r="AO50" s="9" t="n">
        <f aca="false">SUMIFS('Исходные данные'!$J$2:$J$954,'Исходные данные'!$D$2:$D$954,AN$1,'Исходные данные'!$F$2:$F$954,$A50)</f>
        <v>0</v>
      </c>
      <c r="AP50" s="9" t="n">
        <f aca="false">SUMIFS('Исходные данные'!$I$2:$I$954,'Исходные данные'!$D$2:$D$954,AP$1,'Исходные данные'!$F$2:$F$954,$A50)</f>
        <v>0</v>
      </c>
      <c r="AQ50" s="9" t="n">
        <f aca="false">SUMIFS('Исходные данные'!$J$2:$J$954,'Исходные данные'!$D$2:$D$954,AP$1,'Исходные данные'!$F$2:$F$954,$A50)</f>
        <v>0</v>
      </c>
      <c r="AR50" s="9" t="n">
        <f aca="false">SUMIFS('Исходные данные'!$I$2:$I$954,'Исходные данные'!$D$2:$D$954,AR$1,'Исходные данные'!$F$2:$F$954,$A50)</f>
        <v>0</v>
      </c>
      <c r="AS50" s="9" t="n">
        <f aca="false">SUMIFS('Исходные данные'!$J$2:$J$954,'Исходные данные'!$D$2:$D$954,AR$1,'Исходные данные'!$F$2:$F$954,$A50)</f>
        <v>0</v>
      </c>
      <c r="AT50" s="9" t="n">
        <f aca="false">SUMIFS('Исходные данные'!$I$2:$I$954,'Исходные данные'!$D$2:$D$954,AT$1,'Исходные данные'!$F$2:$F$954,$A50)</f>
        <v>0</v>
      </c>
      <c r="AU50" s="9" t="n">
        <f aca="false">SUMIFS('Исходные данные'!$J$2:$J$954,'Исходные данные'!$D$2:$D$954,AT$1,'Исходные данные'!$F$2:$F$954,$A50)</f>
        <v>0</v>
      </c>
      <c r="AV50" s="9" t="n">
        <f aca="false">SUMIFS('Исходные данные'!$I$2:$I$954,'Исходные данные'!$D$2:$D$954,AV$1,'Исходные данные'!$F$2:$F$954,$A50)</f>
        <v>0</v>
      </c>
      <c r="AW50" s="9" t="n">
        <f aca="false">SUMIFS('Исходные данные'!$J$2:$J$954,'Исходные данные'!$D$2:$D$954,AV$1,'Исходные данные'!$F$2:$F$954,$A50)</f>
        <v>0</v>
      </c>
      <c r="AX50" s="9" t="n">
        <f aca="false">SUMIFS('Исходные данные'!$I$2:$I$954,'Исходные данные'!$D$2:$D$954,AX$1,'Исходные данные'!$F$2:$F$954,$A50)</f>
        <v>0</v>
      </c>
      <c r="AY50" s="9" t="n">
        <f aca="false">SUMIFS('Исходные данные'!$J$2:$J$954,'Исходные данные'!$D$2:$D$954,AX$1,'Исходные данные'!$F$2:$F$954,$A50)</f>
        <v>0</v>
      </c>
      <c r="AZ50" s="9" t="n">
        <f aca="false">SUMIFS('Исходные данные'!$I$2:$I$954,'Исходные данные'!$D$2:$D$954,AZ$1,'Исходные данные'!$F$2:$F$954,$A50)</f>
        <v>0</v>
      </c>
      <c r="BA50" s="9" t="n">
        <f aca="false">SUMIFS('Исходные данные'!$J$2:$J$954,'Исходные данные'!$D$2:$D$954,AZ$1,'Исходные данные'!$F$2:$F$954,$A50)</f>
        <v>0</v>
      </c>
      <c r="BB50" s="9" t="n">
        <f aca="false">SUMIFS('Исходные данные'!$I$2:$I$954,'Исходные данные'!$D$2:$D$954,BB$1,'Исходные данные'!$F$2:$F$954,$A50)</f>
        <v>0</v>
      </c>
      <c r="BC50" s="9" t="n">
        <f aca="false">SUMIFS('Исходные данные'!$J$2:$J$954,'Исходные данные'!$D$2:$D$954,BB$1,'Исходные данные'!$F$2:$F$954,$A50)</f>
        <v>0</v>
      </c>
      <c r="BD50" s="9" t="n">
        <f aca="false">SUMIFS('Исходные данные'!$I$2:$I$954,'Исходные данные'!$D$2:$D$954,BD$1,'Исходные данные'!$F$2:$F$954,$A50)</f>
        <v>0</v>
      </c>
      <c r="BE50" s="9" t="n">
        <f aca="false">SUMIFS('Исходные данные'!$J$2:$J$954,'Исходные данные'!$D$2:$D$954,BD$1,'Исходные данные'!$F$2:$F$954,$A50)</f>
        <v>0</v>
      </c>
      <c r="BF50" s="9" t="n">
        <f aca="false">SUMIFS('Исходные данные'!$I$2:$I$954,'Исходные данные'!$D$2:$D$954,BF$1,'Исходные данные'!$F$2:$F$954,$A50)</f>
        <v>0</v>
      </c>
      <c r="BG50" s="9" t="n">
        <f aca="false">SUMIFS('Исходные данные'!$J$2:$J$954,'Исходные данные'!$D$2:$D$954,BF$1,'Исходные данные'!$F$2:$F$954,$A50)</f>
        <v>0</v>
      </c>
      <c r="BH50" s="9" t="n">
        <f aca="false">SUMIFS('Исходные данные'!$I$2:$I$954,'Исходные данные'!$D$2:$D$954,BH$1,'Исходные данные'!$F$2:$F$954,$A50)</f>
        <v>0</v>
      </c>
      <c r="BI50" s="9" t="n">
        <f aca="false">SUMIFS('Исходные данные'!$J$2:$J$954,'Исходные данные'!$D$2:$D$954,BH$1,'Исходные данные'!$F$2:$F$954,$A50)</f>
        <v>0</v>
      </c>
      <c r="BJ50" s="9" t="n">
        <f aca="false">SUMIFS('Исходные данные'!$I$2:$I$954,'Исходные данные'!$D$2:$D$954,BJ$1,'Исходные данные'!$F$2:$F$954,$A50)</f>
        <v>0</v>
      </c>
      <c r="BK50" s="9" t="n">
        <f aca="false">SUMIFS('Исходные данные'!$J$2:$J$954,'Исходные данные'!$D$2:$D$954,BJ$1,'Исходные данные'!$F$2:$F$954,$A50)</f>
        <v>0</v>
      </c>
      <c r="BL50" s="9" t="n">
        <f aca="false">SUMIFS('Исходные данные'!$I$2:$I$954,'Исходные данные'!$D$2:$D$954,BL$1,'Исходные данные'!$F$2:$F$954,$A50)</f>
        <v>0</v>
      </c>
      <c r="BM50" s="9" t="n">
        <f aca="false">SUMIFS('Исходные данные'!$J$2:$J$954,'Исходные данные'!$D$2:$D$954,BL$1,'Исходные данные'!$F$2:$F$954,$A50)</f>
        <v>0</v>
      </c>
      <c r="BN50" s="9" t="n">
        <f aca="false">SUMIFS('Исходные данные'!$I$2:$I$954,'Исходные данные'!$D$2:$D$954,BN$1,'Исходные данные'!$F$2:$F$954,$A50)</f>
        <v>0</v>
      </c>
      <c r="BO50" s="9" t="n">
        <f aca="false">SUMIFS('Исходные данные'!$J$2:$J$954,'Исходные данные'!$D$2:$D$954,BN$1,'Исходные данные'!$F$2:$F$954,$A50)</f>
        <v>0</v>
      </c>
      <c r="BP50" s="9" t="n">
        <f aca="false">SUMIFS('Исходные данные'!$I$2:$I$954,'Исходные данные'!$D$2:$D$954,BP$1,'Исходные данные'!$F$2:$F$954,$A50)</f>
        <v>0</v>
      </c>
      <c r="BQ50" s="9" t="n">
        <f aca="false">SUMIFS('Исходные данные'!$J$2:$J$954,'Исходные данные'!$D$2:$D$954,BP$1,'Исходные данные'!$F$2:$F$954,$A50)</f>
        <v>0</v>
      </c>
      <c r="BR50" s="9" t="n">
        <f aca="false">SUMIFS('Исходные данные'!$I$2:$I$954,'Исходные данные'!$D$2:$D$954,BR$1,'Исходные данные'!$F$2:$F$954,$A50)</f>
        <v>0</v>
      </c>
      <c r="BS50" s="9" t="n">
        <f aca="false">SUMIFS('Исходные данные'!$J$2:$J$954,'Исходные данные'!$D$2:$D$954,BR$1,'Исходные данные'!$F$2:$F$954,$A50)</f>
        <v>0</v>
      </c>
      <c r="BT50" s="9" t="n">
        <f aca="false">SUMIFS('Исходные данные'!$I$2:$I$954,'Исходные данные'!$D$2:$D$954,BT$1,'Исходные данные'!$F$2:$F$954,$A50)</f>
        <v>0</v>
      </c>
      <c r="BU50" s="9" t="n">
        <f aca="false">SUMIFS('Исходные данные'!$J$2:$J$954,'Исходные данные'!$D$2:$D$954,BT$1,'Исходные данные'!$F$2:$F$954,$A50)</f>
        <v>0</v>
      </c>
      <c r="BV50" s="9" t="n">
        <f aca="false">SUMIFS('Исходные данные'!$I$2:$I$954,'Исходные данные'!$D$2:$D$954,BV$1,'Исходные данные'!$F$2:$F$954,$A50)</f>
        <v>0</v>
      </c>
      <c r="BW50" s="9" t="n">
        <f aca="false">SUMIFS('Исходные данные'!$J$2:$J$954,'Исходные данные'!$D$2:$D$954,BV$1,'Исходные данные'!$F$2:$F$954,$A50)</f>
        <v>0</v>
      </c>
      <c r="BX50" s="9" t="n">
        <f aca="false">SUMIFS('Исходные данные'!$I$2:$I$954,'Исходные данные'!$D$2:$D$954,BX$1,'Исходные данные'!$F$2:$F$954,$A50)</f>
        <v>0</v>
      </c>
      <c r="BY50" s="9" t="n">
        <f aca="false">SUMIFS('Исходные данные'!$J$2:$J$954,'Исходные данные'!$D$2:$D$954,BX$1,'Исходные данные'!$F$2:$F$954,$A50)</f>
        <v>0</v>
      </c>
      <c r="BZ50" s="9" t="n">
        <f aca="false">SUMIFS('Исходные данные'!$I$2:$I$954,'Исходные данные'!$D$2:$D$954,BZ$1,'Исходные данные'!$F$2:$F$954,$A50)</f>
        <v>0</v>
      </c>
      <c r="CA50" s="9" t="n">
        <f aca="false">SUMIFS('Исходные данные'!$J$2:$J$954,'Исходные данные'!$D$2:$D$954,BZ$1,'Исходные данные'!$F$2:$F$954,$A50)</f>
        <v>0</v>
      </c>
      <c r="CB50" s="9" t="n">
        <f aca="false">SUMIFS('Исходные данные'!$I$2:$I$954,'Исходные данные'!$D$2:$D$954,CB$1,'Исходные данные'!$F$2:$F$954,$A50)</f>
        <v>0</v>
      </c>
      <c r="CC50" s="9" t="n">
        <f aca="false">SUMIFS('Исходные данные'!$J$2:$J$954,'Исходные данные'!$D$2:$D$954,CB$1,'Исходные данные'!$F$2:$F$954,$A50)</f>
        <v>0</v>
      </c>
      <c r="CD50" s="9" t="n">
        <f aca="false">SUMIFS('Исходные данные'!$I$2:$I$954,'Исходные данные'!$D$2:$D$954,CD$1,'Исходные данные'!$F$2:$F$954,$A50)</f>
        <v>0</v>
      </c>
      <c r="CE50" s="9" t="n">
        <f aca="false">SUMIFS('Исходные данные'!$J$2:$J$954,'Исходные данные'!$D$2:$D$954,CD$1,'Исходные данные'!$F$2:$F$954,$A50)</f>
        <v>0</v>
      </c>
      <c r="CF50" s="9" t="n">
        <f aca="false">SUMIFS('Исходные данные'!$I$2:$I$954,'Исходные данные'!$D$2:$D$954,CF$1,'Исходные данные'!$F$2:$F$954,$A50)</f>
        <v>0</v>
      </c>
      <c r="CG50" s="9" t="n">
        <f aca="false">SUMIFS('Исходные данные'!$J$2:$J$954,'Исходные данные'!$D$2:$D$954,CF$1,'Исходные данные'!$F$2:$F$954,$A50)</f>
        <v>0</v>
      </c>
      <c r="CH50" s="9" t="n">
        <f aca="false">SUMIFS('Исходные данные'!$I$2:$I$954,'Исходные данные'!$D$2:$D$954,CH$1,'Исходные данные'!$F$2:$F$954,$A50)</f>
        <v>0</v>
      </c>
      <c r="CI50" s="9" t="n">
        <f aca="false">SUMIFS('Исходные данные'!$J$2:$J$954,'Исходные данные'!$D$2:$D$954,CH$1,'Исходные данные'!$F$2:$F$954,$A50)</f>
        <v>0</v>
      </c>
    </row>
    <row r="51" customFormat="false" ht="15" hidden="false" customHeight="false" outlineLevel="0" collapsed="false">
      <c r="A51" s="8" t="s">
        <v>145</v>
      </c>
      <c r="B51" s="9" t="s">
        <v>146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SUMIFS($H51:$CI51,$H$2:$CI$2,"День")</f>
        <v>1</v>
      </c>
      <c r="G51" s="5" t="n">
        <f aca="false">SUMIFS($H51:$CI51,$H$2:$CI$2,"Ночь")</f>
        <v>0</v>
      </c>
      <c r="H51" s="9" t="n">
        <f aca="false">SUMIFS('Исходные данные'!$I$2:$I$954,'Исходные данные'!$D$2:$D$954,H$1,'Исходные данные'!$F$2:$F$954,$A51)</f>
        <v>0</v>
      </c>
      <c r="I51" s="9" t="n">
        <f aca="false">SUMIFS('Исходные данные'!$J$2:$J$954,'Исходные данные'!$D$2:$D$954,H$1,'Исходные данные'!$F$2:$F$954,$A51)</f>
        <v>0</v>
      </c>
      <c r="J51" s="9" t="n">
        <f aca="false">SUMIFS('Исходные данные'!$I$2:$I$954,'Исходные данные'!$D$2:$D$954,J$1,'Исходные данные'!$F$2:$F$954,$A51)</f>
        <v>0</v>
      </c>
      <c r="K51" s="9" t="n">
        <f aca="false">SUMIFS('Исходные данные'!$J$2:$J$954,'Исходные данные'!$D$2:$D$954,J$1,'Исходные данные'!$F$2:$F$954,$A51)</f>
        <v>0</v>
      </c>
      <c r="L51" s="9" t="n">
        <f aca="false">SUMIFS('Исходные данные'!$I$2:$I$954,'Исходные данные'!$D$2:$D$954,L$1,'Исходные данные'!$F$2:$F$954,$A51)</f>
        <v>0</v>
      </c>
      <c r="M51" s="9" t="n">
        <f aca="false">SUMIFS('Исходные данные'!$J$2:$J$954,'Исходные данные'!$D$2:$D$954,L$1,'Исходные данные'!$F$2:$F$954,$A51)</f>
        <v>0</v>
      </c>
      <c r="N51" s="9" t="n">
        <f aca="false">SUMIFS('Исходные данные'!$I$2:$I$954,'Исходные данные'!$D$2:$D$954,N$1,'Исходные данные'!$F$2:$F$954,$A51)</f>
        <v>1</v>
      </c>
      <c r="O51" s="9" t="n">
        <f aca="false">SUMIFS('Исходные данные'!$J$2:$J$954,'Исходные данные'!$D$2:$D$954,N$1,'Исходные данные'!$F$2:$F$954,$A51)</f>
        <v>0</v>
      </c>
      <c r="P51" s="9" t="n">
        <f aca="false">SUMIFS('Исходные данные'!$I$2:$I$954,'Исходные данные'!$D$2:$D$954,P$1,'Исходные данные'!$F$2:$F$954,$A51)</f>
        <v>0</v>
      </c>
      <c r="Q51" s="9" t="n">
        <f aca="false">SUMIFS('Исходные данные'!$J$2:$J$954,'Исходные данные'!$D$2:$D$954,P$1,'Исходные данные'!$F$2:$F$954,$A51)</f>
        <v>0</v>
      </c>
      <c r="R51" s="9" t="n">
        <f aca="false">SUMIFS('Исходные данные'!$I$2:$I$954,'Исходные данные'!$D$2:$D$954,R$1,'Исходные данные'!$F$2:$F$954,$A51)</f>
        <v>0</v>
      </c>
      <c r="S51" s="9" t="n">
        <f aca="false">SUMIFS('Исходные данные'!$J$2:$J$954,'Исходные данные'!$D$2:$D$954,R$1,'Исходные данные'!$F$2:$F$954,$A51)</f>
        <v>0</v>
      </c>
      <c r="T51" s="9" t="n">
        <f aca="false">SUMIFS('Исходные данные'!$I$2:$I$954,'Исходные данные'!$D$2:$D$954,T$1,'Исходные данные'!$F$2:$F$954,$A51)</f>
        <v>0</v>
      </c>
      <c r="U51" s="9" t="n">
        <f aca="false">SUMIFS('Исходные данные'!$J$2:$J$954,'Исходные данные'!$D$2:$D$954,T$1,'Исходные данные'!$F$2:$F$954,$A51)</f>
        <v>0</v>
      </c>
      <c r="V51" s="9" t="n">
        <f aca="false">SUMIFS('Исходные данные'!$I$2:$I$954,'Исходные данные'!$D$2:$D$954,V$1,'Исходные данные'!$F$2:$F$954,$A51)</f>
        <v>0</v>
      </c>
      <c r="W51" s="9" t="n">
        <f aca="false">SUMIFS('Исходные данные'!$J$2:$J$954,'Исходные данные'!$D$2:$D$954,V$1,'Исходные данные'!$F$2:$F$954,$A51)</f>
        <v>0</v>
      </c>
      <c r="X51" s="9" t="n">
        <f aca="false">SUMIFS('Исходные данные'!$I$2:$I$954,'Исходные данные'!$D$2:$D$954,X$1,'Исходные данные'!$F$2:$F$954,$A51)</f>
        <v>0</v>
      </c>
      <c r="Y51" s="9" t="n">
        <f aca="false">SUMIFS('Исходные данные'!$J$2:$J$954,'Исходные данные'!$D$2:$D$954,X$1,'Исходные данные'!$F$2:$F$954,$A51)</f>
        <v>0</v>
      </c>
      <c r="Z51" s="9" t="n">
        <f aca="false">SUMIFS('Исходные данные'!$I$2:$I$954,'Исходные данные'!$D$2:$D$954,Z$1,'Исходные данные'!$F$2:$F$954,$A51)</f>
        <v>0</v>
      </c>
      <c r="AA51" s="9" t="n">
        <f aca="false">SUMIFS('Исходные данные'!$J$2:$J$954,'Исходные данные'!$D$2:$D$954,Z$1,'Исходные данные'!$F$2:$F$954,$A51)</f>
        <v>0</v>
      </c>
      <c r="AB51" s="9" t="n">
        <f aca="false">SUMIFS('Исходные данные'!$I$2:$I$954,'Исходные данные'!$D$2:$D$954,AB$1,'Исходные данные'!$F$2:$F$954,$A51)</f>
        <v>0</v>
      </c>
      <c r="AC51" s="9" t="n">
        <f aca="false">SUMIFS('Исходные данные'!$J$2:$J$954,'Исходные данные'!$D$2:$D$954,AB$1,'Исходные данные'!$F$2:$F$954,$A51)</f>
        <v>0</v>
      </c>
      <c r="AD51" s="9" t="n">
        <f aca="false">SUMIFS('Исходные данные'!$I$2:$I$954,'Исходные данные'!$D$2:$D$954,AD$1,'Исходные данные'!$F$2:$F$954,$A51)</f>
        <v>0</v>
      </c>
      <c r="AE51" s="9" t="n">
        <f aca="false">SUMIFS('Исходные данные'!$J$2:$J$954,'Исходные данные'!$D$2:$D$954,AD$1,'Исходные данные'!$F$2:$F$954,$A51)</f>
        <v>0</v>
      </c>
      <c r="AF51" s="9" t="n">
        <f aca="false">SUMIFS('Исходные данные'!$I$2:$I$954,'Исходные данные'!$D$2:$D$954,AF$1,'Исходные данные'!$F$2:$F$954,$A51)</f>
        <v>0</v>
      </c>
      <c r="AG51" s="9" t="n">
        <f aca="false">SUMIFS('Исходные данные'!$J$2:$J$954,'Исходные данные'!$D$2:$D$954,AF$1,'Исходные данные'!$F$2:$F$954,$A51)</f>
        <v>0</v>
      </c>
      <c r="AH51" s="9" t="n">
        <f aca="false">SUMIFS('Исходные данные'!$I$2:$I$954,'Исходные данные'!$D$2:$D$954,AH$1,'Исходные данные'!$F$2:$F$954,$A51)</f>
        <v>0</v>
      </c>
      <c r="AI51" s="9" t="n">
        <f aca="false">SUMIFS('Исходные данные'!$J$2:$J$954,'Исходные данные'!$D$2:$D$954,AH$1,'Исходные данные'!$F$2:$F$954,$A51)</f>
        <v>0</v>
      </c>
      <c r="AJ51" s="9" t="n">
        <f aca="false">SUMIFS('Исходные данные'!$I$2:$I$954,'Исходные данные'!$D$2:$D$954,AJ$1,'Исходные данные'!$F$2:$F$954,$A51)</f>
        <v>0</v>
      </c>
      <c r="AK51" s="9" t="n">
        <f aca="false">SUMIFS('Исходные данные'!$J$2:$J$954,'Исходные данные'!$D$2:$D$954,AJ$1,'Исходные данные'!$F$2:$F$954,$A51)</f>
        <v>0</v>
      </c>
      <c r="AL51" s="9" t="n">
        <f aca="false">SUMIFS('Исходные данные'!$I$2:$I$954,'Исходные данные'!$D$2:$D$954,AL$1,'Исходные данные'!$F$2:$F$954,$A51)</f>
        <v>0</v>
      </c>
      <c r="AM51" s="9" t="n">
        <f aca="false">SUMIFS('Исходные данные'!$J$2:$J$954,'Исходные данные'!$D$2:$D$954,AL$1,'Исходные данные'!$F$2:$F$954,$A51)</f>
        <v>0</v>
      </c>
      <c r="AN51" s="9" t="n">
        <f aca="false">SUMIFS('Исходные данные'!$I$2:$I$954,'Исходные данные'!$D$2:$D$954,AN$1,'Исходные данные'!$F$2:$F$954,$A51)</f>
        <v>0</v>
      </c>
      <c r="AO51" s="9" t="n">
        <f aca="false">SUMIFS('Исходные данные'!$J$2:$J$954,'Исходные данные'!$D$2:$D$954,AN$1,'Исходные данные'!$F$2:$F$954,$A51)</f>
        <v>0</v>
      </c>
      <c r="AP51" s="9" t="n">
        <f aca="false">SUMIFS('Исходные данные'!$I$2:$I$954,'Исходные данные'!$D$2:$D$954,AP$1,'Исходные данные'!$F$2:$F$954,$A51)</f>
        <v>0</v>
      </c>
      <c r="AQ51" s="9" t="n">
        <f aca="false">SUMIFS('Исходные данные'!$J$2:$J$954,'Исходные данные'!$D$2:$D$954,AP$1,'Исходные данные'!$F$2:$F$954,$A51)</f>
        <v>0</v>
      </c>
      <c r="AR51" s="9" t="n">
        <f aca="false">SUMIFS('Исходные данные'!$I$2:$I$954,'Исходные данные'!$D$2:$D$954,AR$1,'Исходные данные'!$F$2:$F$954,$A51)</f>
        <v>0</v>
      </c>
      <c r="AS51" s="9" t="n">
        <f aca="false">SUMIFS('Исходные данные'!$J$2:$J$954,'Исходные данные'!$D$2:$D$954,AR$1,'Исходные данные'!$F$2:$F$954,$A51)</f>
        <v>0</v>
      </c>
      <c r="AT51" s="9" t="n">
        <f aca="false">SUMIFS('Исходные данные'!$I$2:$I$954,'Исходные данные'!$D$2:$D$954,AT$1,'Исходные данные'!$F$2:$F$954,$A51)</f>
        <v>0</v>
      </c>
      <c r="AU51" s="9" t="n">
        <f aca="false">SUMIFS('Исходные данные'!$J$2:$J$954,'Исходные данные'!$D$2:$D$954,AT$1,'Исходные данные'!$F$2:$F$954,$A51)</f>
        <v>0</v>
      </c>
      <c r="AV51" s="9" t="n">
        <f aca="false">SUMIFS('Исходные данные'!$I$2:$I$954,'Исходные данные'!$D$2:$D$954,AV$1,'Исходные данные'!$F$2:$F$954,$A51)</f>
        <v>0</v>
      </c>
      <c r="AW51" s="9" t="n">
        <f aca="false">SUMIFS('Исходные данные'!$J$2:$J$954,'Исходные данные'!$D$2:$D$954,AV$1,'Исходные данные'!$F$2:$F$954,$A51)</f>
        <v>0</v>
      </c>
      <c r="AX51" s="9" t="n">
        <f aca="false">SUMIFS('Исходные данные'!$I$2:$I$954,'Исходные данные'!$D$2:$D$954,AX$1,'Исходные данные'!$F$2:$F$954,$A51)</f>
        <v>0</v>
      </c>
      <c r="AY51" s="9" t="n">
        <f aca="false">SUMIFS('Исходные данные'!$J$2:$J$954,'Исходные данные'!$D$2:$D$954,AX$1,'Исходные данные'!$F$2:$F$954,$A51)</f>
        <v>0</v>
      </c>
      <c r="AZ51" s="9" t="n">
        <f aca="false">SUMIFS('Исходные данные'!$I$2:$I$954,'Исходные данные'!$D$2:$D$954,AZ$1,'Исходные данные'!$F$2:$F$954,$A51)</f>
        <v>0</v>
      </c>
      <c r="BA51" s="9" t="n">
        <f aca="false">SUMIFS('Исходные данные'!$J$2:$J$954,'Исходные данные'!$D$2:$D$954,AZ$1,'Исходные данные'!$F$2:$F$954,$A51)</f>
        <v>0</v>
      </c>
      <c r="BB51" s="9" t="n">
        <f aca="false">SUMIFS('Исходные данные'!$I$2:$I$954,'Исходные данные'!$D$2:$D$954,BB$1,'Исходные данные'!$F$2:$F$954,$A51)</f>
        <v>0</v>
      </c>
      <c r="BC51" s="9" t="n">
        <f aca="false">SUMIFS('Исходные данные'!$J$2:$J$954,'Исходные данные'!$D$2:$D$954,BB$1,'Исходные данные'!$F$2:$F$954,$A51)</f>
        <v>0</v>
      </c>
      <c r="BD51" s="9" t="n">
        <f aca="false">SUMIFS('Исходные данные'!$I$2:$I$954,'Исходные данные'!$D$2:$D$954,BD$1,'Исходные данные'!$F$2:$F$954,$A51)</f>
        <v>0</v>
      </c>
      <c r="BE51" s="9" t="n">
        <f aca="false">SUMIFS('Исходные данные'!$J$2:$J$954,'Исходные данные'!$D$2:$D$954,BD$1,'Исходные данные'!$F$2:$F$954,$A51)</f>
        <v>0</v>
      </c>
      <c r="BF51" s="9" t="n">
        <f aca="false">SUMIFS('Исходные данные'!$I$2:$I$954,'Исходные данные'!$D$2:$D$954,BF$1,'Исходные данные'!$F$2:$F$954,$A51)</f>
        <v>0</v>
      </c>
      <c r="BG51" s="9" t="n">
        <f aca="false">SUMIFS('Исходные данные'!$J$2:$J$954,'Исходные данные'!$D$2:$D$954,BF$1,'Исходные данные'!$F$2:$F$954,$A51)</f>
        <v>0</v>
      </c>
      <c r="BH51" s="9" t="n">
        <f aca="false">SUMIFS('Исходные данные'!$I$2:$I$954,'Исходные данные'!$D$2:$D$954,BH$1,'Исходные данные'!$F$2:$F$954,$A51)</f>
        <v>0</v>
      </c>
      <c r="BI51" s="9" t="n">
        <f aca="false">SUMIFS('Исходные данные'!$J$2:$J$954,'Исходные данные'!$D$2:$D$954,BH$1,'Исходные данные'!$F$2:$F$954,$A51)</f>
        <v>0</v>
      </c>
      <c r="BJ51" s="9" t="n">
        <f aca="false">SUMIFS('Исходные данные'!$I$2:$I$954,'Исходные данные'!$D$2:$D$954,BJ$1,'Исходные данные'!$F$2:$F$954,$A51)</f>
        <v>0</v>
      </c>
      <c r="BK51" s="9" t="n">
        <f aca="false">SUMIFS('Исходные данные'!$J$2:$J$954,'Исходные данные'!$D$2:$D$954,BJ$1,'Исходные данные'!$F$2:$F$954,$A51)</f>
        <v>0</v>
      </c>
      <c r="BL51" s="9" t="n">
        <f aca="false">SUMIFS('Исходные данные'!$I$2:$I$954,'Исходные данные'!$D$2:$D$954,BL$1,'Исходные данные'!$F$2:$F$954,$A51)</f>
        <v>0</v>
      </c>
      <c r="BM51" s="9" t="n">
        <f aca="false">SUMIFS('Исходные данные'!$J$2:$J$954,'Исходные данные'!$D$2:$D$954,BL$1,'Исходные данные'!$F$2:$F$954,$A51)</f>
        <v>0</v>
      </c>
      <c r="BN51" s="9" t="n">
        <f aca="false">SUMIFS('Исходные данные'!$I$2:$I$954,'Исходные данные'!$D$2:$D$954,BN$1,'Исходные данные'!$F$2:$F$954,$A51)</f>
        <v>0</v>
      </c>
      <c r="BO51" s="9" t="n">
        <f aca="false">SUMIFS('Исходные данные'!$J$2:$J$954,'Исходные данные'!$D$2:$D$954,BN$1,'Исходные данные'!$F$2:$F$954,$A51)</f>
        <v>0</v>
      </c>
      <c r="BP51" s="9" t="n">
        <f aca="false">SUMIFS('Исходные данные'!$I$2:$I$954,'Исходные данные'!$D$2:$D$954,BP$1,'Исходные данные'!$F$2:$F$954,$A51)</f>
        <v>0</v>
      </c>
      <c r="BQ51" s="9" t="n">
        <f aca="false">SUMIFS('Исходные данные'!$J$2:$J$954,'Исходные данные'!$D$2:$D$954,BP$1,'Исходные данные'!$F$2:$F$954,$A51)</f>
        <v>0</v>
      </c>
      <c r="BR51" s="9" t="n">
        <f aca="false">SUMIFS('Исходные данные'!$I$2:$I$954,'Исходные данные'!$D$2:$D$954,BR$1,'Исходные данные'!$F$2:$F$954,$A51)</f>
        <v>0</v>
      </c>
      <c r="BS51" s="9" t="n">
        <f aca="false">SUMIFS('Исходные данные'!$J$2:$J$954,'Исходные данные'!$D$2:$D$954,BR$1,'Исходные данные'!$F$2:$F$954,$A51)</f>
        <v>0</v>
      </c>
      <c r="BT51" s="9" t="n">
        <f aca="false">SUMIFS('Исходные данные'!$I$2:$I$954,'Исходные данные'!$D$2:$D$954,BT$1,'Исходные данные'!$F$2:$F$954,$A51)</f>
        <v>0</v>
      </c>
      <c r="BU51" s="9" t="n">
        <f aca="false">SUMIFS('Исходные данные'!$J$2:$J$954,'Исходные данные'!$D$2:$D$954,BT$1,'Исходные данные'!$F$2:$F$954,$A51)</f>
        <v>0</v>
      </c>
      <c r="BV51" s="9" t="n">
        <f aca="false">SUMIFS('Исходные данные'!$I$2:$I$954,'Исходные данные'!$D$2:$D$954,BV$1,'Исходные данные'!$F$2:$F$954,$A51)</f>
        <v>0</v>
      </c>
      <c r="BW51" s="9" t="n">
        <f aca="false">SUMIFS('Исходные данные'!$J$2:$J$954,'Исходные данные'!$D$2:$D$954,BV$1,'Исходные данные'!$F$2:$F$954,$A51)</f>
        <v>0</v>
      </c>
      <c r="BX51" s="9" t="n">
        <f aca="false">SUMIFS('Исходные данные'!$I$2:$I$954,'Исходные данные'!$D$2:$D$954,BX$1,'Исходные данные'!$F$2:$F$954,$A51)</f>
        <v>0</v>
      </c>
      <c r="BY51" s="9" t="n">
        <f aca="false">SUMIFS('Исходные данные'!$J$2:$J$954,'Исходные данные'!$D$2:$D$954,BX$1,'Исходные данные'!$F$2:$F$954,$A51)</f>
        <v>0</v>
      </c>
      <c r="BZ51" s="9" t="n">
        <f aca="false">SUMIFS('Исходные данные'!$I$2:$I$954,'Исходные данные'!$D$2:$D$954,BZ$1,'Исходные данные'!$F$2:$F$954,$A51)</f>
        <v>0</v>
      </c>
      <c r="CA51" s="9" t="n">
        <f aca="false">SUMIFS('Исходные данные'!$J$2:$J$954,'Исходные данные'!$D$2:$D$954,BZ$1,'Исходные данные'!$F$2:$F$954,$A51)</f>
        <v>0</v>
      </c>
      <c r="CB51" s="9" t="n">
        <f aca="false">SUMIFS('Исходные данные'!$I$2:$I$954,'Исходные данные'!$D$2:$D$954,CB$1,'Исходные данные'!$F$2:$F$954,$A51)</f>
        <v>0</v>
      </c>
      <c r="CC51" s="9" t="n">
        <f aca="false">SUMIFS('Исходные данные'!$J$2:$J$954,'Исходные данные'!$D$2:$D$954,CB$1,'Исходные данные'!$F$2:$F$954,$A51)</f>
        <v>0</v>
      </c>
      <c r="CD51" s="9" t="n">
        <f aca="false">SUMIFS('Исходные данные'!$I$2:$I$954,'Исходные данные'!$D$2:$D$954,CD$1,'Исходные данные'!$F$2:$F$954,$A51)</f>
        <v>0</v>
      </c>
      <c r="CE51" s="9" t="n">
        <f aca="false">SUMIFS('Исходные данные'!$J$2:$J$954,'Исходные данные'!$D$2:$D$954,CD$1,'Исходные данные'!$F$2:$F$954,$A51)</f>
        <v>0</v>
      </c>
      <c r="CF51" s="9" t="n">
        <f aca="false">SUMIFS('Исходные данные'!$I$2:$I$954,'Исходные данные'!$D$2:$D$954,CF$1,'Исходные данные'!$F$2:$F$954,$A51)</f>
        <v>0</v>
      </c>
      <c r="CG51" s="9" t="n">
        <f aca="false">SUMIFS('Исходные данные'!$J$2:$J$954,'Исходные данные'!$D$2:$D$954,CF$1,'Исходные данные'!$F$2:$F$954,$A51)</f>
        <v>0</v>
      </c>
      <c r="CH51" s="9" t="n">
        <f aca="false">SUMIFS('Исходные данные'!$I$2:$I$954,'Исходные данные'!$D$2:$D$954,CH$1,'Исходные данные'!$F$2:$F$954,$A51)</f>
        <v>0</v>
      </c>
      <c r="CI51" s="9" t="n">
        <f aca="false">SUMIFS('Исходные данные'!$J$2:$J$954,'Исходные данные'!$D$2:$D$954,CH$1,'Исходные данные'!$F$2:$F$954,$A51)</f>
        <v>0</v>
      </c>
    </row>
    <row r="52" customFormat="false" ht="15" hidden="false" customHeight="false" outlineLevel="0" collapsed="false">
      <c r="A52" s="8" t="s">
        <v>147</v>
      </c>
      <c r="B52" s="9" t="s">
        <v>148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SUMIFS($H52:$CI52,$H$2:$CI$2,"День")</f>
        <v>5</v>
      </c>
      <c r="G52" s="5" t="n">
        <f aca="false">SUMIFS($H52:$CI52,$H$2:$CI$2,"Ночь")</f>
        <v>0</v>
      </c>
      <c r="H52" s="9" t="n">
        <f aca="false">SUMIFS('Исходные данные'!$I$2:$I$954,'Исходные данные'!$D$2:$D$954,H$1,'Исходные данные'!$F$2:$F$954,$A52)</f>
        <v>0</v>
      </c>
      <c r="I52" s="9" t="n">
        <f aca="false">SUMIFS('Исходные данные'!$J$2:$J$954,'Исходные данные'!$D$2:$D$954,H$1,'Исходные данные'!$F$2:$F$954,$A52)</f>
        <v>0</v>
      </c>
      <c r="J52" s="9" t="n">
        <f aca="false">SUMIFS('Исходные данные'!$I$2:$I$954,'Исходные данные'!$D$2:$D$954,J$1,'Исходные данные'!$F$2:$F$954,$A52)</f>
        <v>5</v>
      </c>
      <c r="K52" s="9" t="n">
        <f aca="false">SUMIFS('Исходные данные'!$J$2:$J$954,'Исходные данные'!$D$2:$D$954,J$1,'Исходные данные'!$F$2:$F$954,$A52)</f>
        <v>0</v>
      </c>
      <c r="L52" s="9" t="n">
        <f aca="false">SUMIFS('Исходные данные'!$I$2:$I$954,'Исходные данные'!$D$2:$D$954,L$1,'Исходные данные'!$F$2:$F$954,$A52)</f>
        <v>0</v>
      </c>
      <c r="M52" s="9" t="n">
        <f aca="false">SUMIFS('Исходные данные'!$J$2:$J$954,'Исходные данные'!$D$2:$D$954,L$1,'Исходные данные'!$F$2:$F$954,$A52)</f>
        <v>0</v>
      </c>
      <c r="N52" s="9" t="n">
        <f aca="false">SUMIFS('Исходные данные'!$I$2:$I$954,'Исходные данные'!$D$2:$D$954,N$1,'Исходные данные'!$F$2:$F$954,$A52)</f>
        <v>0</v>
      </c>
      <c r="O52" s="9" t="n">
        <f aca="false">SUMIFS('Исходные данные'!$J$2:$J$954,'Исходные данные'!$D$2:$D$954,N$1,'Исходные данные'!$F$2:$F$954,$A52)</f>
        <v>0</v>
      </c>
      <c r="P52" s="9" t="n">
        <f aca="false">SUMIFS('Исходные данные'!$I$2:$I$954,'Исходные данные'!$D$2:$D$954,P$1,'Исходные данные'!$F$2:$F$954,$A52)</f>
        <v>0</v>
      </c>
      <c r="Q52" s="9" t="n">
        <f aca="false">SUMIFS('Исходные данные'!$J$2:$J$954,'Исходные данные'!$D$2:$D$954,P$1,'Исходные данные'!$F$2:$F$954,$A52)</f>
        <v>0</v>
      </c>
      <c r="R52" s="9" t="n">
        <f aca="false">SUMIFS('Исходные данные'!$I$2:$I$954,'Исходные данные'!$D$2:$D$954,R$1,'Исходные данные'!$F$2:$F$954,$A52)</f>
        <v>0</v>
      </c>
      <c r="S52" s="9" t="n">
        <f aca="false">SUMIFS('Исходные данные'!$J$2:$J$954,'Исходные данные'!$D$2:$D$954,R$1,'Исходные данные'!$F$2:$F$954,$A52)</f>
        <v>0</v>
      </c>
      <c r="T52" s="9" t="n">
        <f aca="false">SUMIFS('Исходные данные'!$I$2:$I$954,'Исходные данные'!$D$2:$D$954,T$1,'Исходные данные'!$F$2:$F$954,$A52)</f>
        <v>0</v>
      </c>
      <c r="U52" s="9" t="n">
        <f aca="false">SUMIFS('Исходные данные'!$J$2:$J$954,'Исходные данные'!$D$2:$D$954,T$1,'Исходные данные'!$F$2:$F$954,$A52)</f>
        <v>0</v>
      </c>
      <c r="V52" s="9" t="n">
        <f aca="false">SUMIFS('Исходные данные'!$I$2:$I$954,'Исходные данные'!$D$2:$D$954,V$1,'Исходные данные'!$F$2:$F$954,$A52)</f>
        <v>0</v>
      </c>
      <c r="W52" s="9" t="n">
        <f aca="false">SUMIFS('Исходные данные'!$J$2:$J$954,'Исходные данные'!$D$2:$D$954,V$1,'Исходные данные'!$F$2:$F$954,$A52)</f>
        <v>0</v>
      </c>
      <c r="X52" s="9" t="n">
        <f aca="false">SUMIFS('Исходные данные'!$I$2:$I$954,'Исходные данные'!$D$2:$D$954,X$1,'Исходные данные'!$F$2:$F$954,$A52)</f>
        <v>0</v>
      </c>
      <c r="Y52" s="9" t="n">
        <f aca="false">SUMIFS('Исходные данные'!$J$2:$J$954,'Исходные данные'!$D$2:$D$954,X$1,'Исходные данные'!$F$2:$F$954,$A52)</f>
        <v>0</v>
      </c>
      <c r="Z52" s="9" t="n">
        <f aca="false">SUMIFS('Исходные данные'!$I$2:$I$954,'Исходные данные'!$D$2:$D$954,Z$1,'Исходные данные'!$F$2:$F$954,$A52)</f>
        <v>0</v>
      </c>
      <c r="AA52" s="9" t="n">
        <f aca="false">SUMIFS('Исходные данные'!$J$2:$J$954,'Исходные данные'!$D$2:$D$954,Z$1,'Исходные данные'!$F$2:$F$954,$A52)</f>
        <v>0</v>
      </c>
      <c r="AB52" s="9" t="n">
        <f aca="false">SUMIFS('Исходные данные'!$I$2:$I$954,'Исходные данные'!$D$2:$D$954,AB$1,'Исходные данные'!$F$2:$F$954,$A52)</f>
        <v>0</v>
      </c>
      <c r="AC52" s="9" t="n">
        <f aca="false">SUMIFS('Исходные данные'!$J$2:$J$954,'Исходные данные'!$D$2:$D$954,AB$1,'Исходные данные'!$F$2:$F$954,$A52)</f>
        <v>0</v>
      </c>
      <c r="AD52" s="9" t="n">
        <f aca="false">SUMIFS('Исходные данные'!$I$2:$I$954,'Исходные данные'!$D$2:$D$954,AD$1,'Исходные данные'!$F$2:$F$954,$A52)</f>
        <v>0</v>
      </c>
      <c r="AE52" s="9" t="n">
        <f aca="false">SUMIFS('Исходные данные'!$J$2:$J$954,'Исходные данные'!$D$2:$D$954,AD$1,'Исходные данные'!$F$2:$F$954,$A52)</f>
        <v>0</v>
      </c>
      <c r="AF52" s="9" t="n">
        <f aca="false">SUMIFS('Исходные данные'!$I$2:$I$954,'Исходные данные'!$D$2:$D$954,AF$1,'Исходные данные'!$F$2:$F$954,$A52)</f>
        <v>0</v>
      </c>
      <c r="AG52" s="9" t="n">
        <f aca="false">SUMIFS('Исходные данные'!$J$2:$J$954,'Исходные данные'!$D$2:$D$954,AF$1,'Исходные данные'!$F$2:$F$954,$A52)</f>
        <v>0</v>
      </c>
      <c r="AH52" s="9" t="n">
        <f aca="false">SUMIFS('Исходные данные'!$I$2:$I$954,'Исходные данные'!$D$2:$D$954,AH$1,'Исходные данные'!$F$2:$F$954,$A52)</f>
        <v>0</v>
      </c>
      <c r="AI52" s="9" t="n">
        <f aca="false">SUMIFS('Исходные данные'!$J$2:$J$954,'Исходные данные'!$D$2:$D$954,AH$1,'Исходные данные'!$F$2:$F$954,$A52)</f>
        <v>0</v>
      </c>
      <c r="AJ52" s="9" t="n">
        <f aca="false">SUMIFS('Исходные данные'!$I$2:$I$954,'Исходные данные'!$D$2:$D$954,AJ$1,'Исходные данные'!$F$2:$F$954,$A52)</f>
        <v>0</v>
      </c>
      <c r="AK52" s="9" t="n">
        <f aca="false">SUMIFS('Исходные данные'!$J$2:$J$954,'Исходные данные'!$D$2:$D$954,AJ$1,'Исходные данные'!$F$2:$F$954,$A52)</f>
        <v>0</v>
      </c>
      <c r="AL52" s="9" t="n">
        <f aca="false">SUMIFS('Исходные данные'!$I$2:$I$954,'Исходные данные'!$D$2:$D$954,AL$1,'Исходные данные'!$F$2:$F$954,$A52)</f>
        <v>0</v>
      </c>
      <c r="AM52" s="9" t="n">
        <f aca="false">SUMIFS('Исходные данные'!$J$2:$J$954,'Исходные данные'!$D$2:$D$954,AL$1,'Исходные данные'!$F$2:$F$954,$A52)</f>
        <v>0</v>
      </c>
      <c r="AN52" s="9" t="n">
        <f aca="false">SUMIFS('Исходные данные'!$I$2:$I$954,'Исходные данные'!$D$2:$D$954,AN$1,'Исходные данные'!$F$2:$F$954,$A52)</f>
        <v>0</v>
      </c>
      <c r="AO52" s="9" t="n">
        <f aca="false">SUMIFS('Исходные данные'!$J$2:$J$954,'Исходные данные'!$D$2:$D$954,AN$1,'Исходные данные'!$F$2:$F$954,$A52)</f>
        <v>0</v>
      </c>
      <c r="AP52" s="9" t="n">
        <f aca="false">SUMIFS('Исходные данные'!$I$2:$I$954,'Исходные данные'!$D$2:$D$954,AP$1,'Исходные данные'!$F$2:$F$954,$A52)</f>
        <v>0</v>
      </c>
      <c r="AQ52" s="9" t="n">
        <f aca="false">SUMIFS('Исходные данные'!$J$2:$J$954,'Исходные данные'!$D$2:$D$954,AP$1,'Исходные данные'!$F$2:$F$954,$A52)</f>
        <v>0</v>
      </c>
      <c r="AR52" s="9" t="n">
        <f aca="false">SUMIFS('Исходные данные'!$I$2:$I$954,'Исходные данные'!$D$2:$D$954,AR$1,'Исходные данные'!$F$2:$F$954,$A52)</f>
        <v>0</v>
      </c>
      <c r="AS52" s="9" t="n">
        <f aca="false">SUMIFS('Исходные данные'!$J$2:$J$954,'Исходные данные'!$D$2:$D$954,AR$1,'Исходные данные'!$F$2:$F$954,$A52)</f>
        <v>0</v>
      </c>
      <c r="AT52" s="9" t="n">
        <f aca="false">SUMIFS('Исходные данные'!$I$2:$I$954,'Исходные данные'!$D$2:$D$954,AT$1,'Исходные данные'!$F$2:$F$954,$A52)</f>
        <v>0</v>
      </c>
      <c r="AU52" s="9" t="n">
        <f aca="false">SUMIFS('Исходные данные'!$J$2:$J$954,'Исходные данные'!$D$2:$D$954,AT$1,'Исходные данные'!$F$2:$F$954,$A52)</f>
        <v>0</v>
      </c>
      <c r="AV52" s="9" t="n">
        <f aca="false">SUMIFS('Исходные данные'!$I$2:$I$954,'Исходные данные'!$D$2:$D$954,AV$1,'Исходные данные'!$F$2:$F$954,$A52)</f>
        <v>0</v>
      </c>
      <c r="AW52" s="9" t="n">
        <f aca="false">SUMIFS('Исходные данные'!$J$2:$J$954,'Исходные данные'!$D$2:$D$954,AV$1,'Исходные данные'!$F$2:$F$954,$A52)</f>
        <v>0</v>
      </c>
      <c r="AX52" s="9" t="n">
        <f aca="false">SUMIFS('Исходные данные'!$I$2:$I$954,'Исходные данные'!$D$2:$D$954,AX$1,'Исходные данные'!$F$2:$F$954,$A52)</f>
        <v>0</v>
      </c>
      <c r="AY52" s="9" t="n">
        <f aca="false">SUMIFS('Исходные данные'!$J$2:$J$954,'Исходные данные'!$D$2:$D$954,AX$1,'Исходные данные'!$F$2:$F$954,$A52)</f>
        <v>0</v>
      </c>
      <c r="AZ52" s="9" t="n">
        <f aca="false">SUMIFS('Исходные данные'!$I$2:$I$954,'Исходные данные'!$D$2:$D$954,AZ$1,'Исходные данные'!$F$2:$F$954,$A52)</f>
        <v>0</v>
      </c>
      <c r="BA52" s="9" t="n">
        <f aca="false">SUMIFS('Исходные данные'!$J$2:$J$954,'Исходные данные'!$D$2:$D$954,AZ$1,'Исходные данные'!$F$2:$F$954,$A52)</f>
        <v>0</v>
      </c>
      <c r="BB52" s="9" t="n">
        <f aca="false">SUMIFS('Исходные данные'!$I$2:$I$954,'Исходные данные'!$D$2:$D$954,BB$1,'Исходные данные'!$F$2:$F$954,$A52)</f>
        <v>0</v>
      </c>
      <c r="BC52" s="9" t="n">
        <f aca="false">SUMIFS('Исходные данные'!$J$2:$J$954,'Исходные данные'!$D$2:$D$954,BB$1,'Исходные данные'!$F$2:$F$954,$A52)</f>
        <v>0</v>
      </c>
      <c r="BD52" s="9" t="n">
        <f aca="false">SUMIFS('Исходные данные'!$I$2:$I$954,'Исходные данные'!$D$2:$D$954,BD$1,'Исходные данные'!$F$2:$F$954,$A52)</f>
        <v>0</v>
      </c>
      <c r="BE52" s="9" t="n">
        <f aca="false">SUMIFS('Исходные данные'!$J$2:$J$954,'Исходные данные'!$D$2:$D$954,BD$1,'Исходные данные'!$F$2:$F$954,$A52)</f>
        <v>0</v>
      </c>
      <c r="BF52" s="9" t="n">
        <f aca="false">SUMIFS('Исходные данные'!$I$2:$I$954,'Исходные данные'!$D$2:$D$954,BF$1,'Исходные данные'!$F$2:$F$954,$A52)</f>
        <v>0</v>
      </c>
      <c r="BG52" s="9" t="n">
        <f aca="false">SUMIFS('Исходные данные'!$J$2:$J$954,'Исходные данные'!$D$2:$D$954,BF$1,'Исходные данные'!$F$2:$F$954,$A52)</f>
        <v>0</v>
      </c>
      <c r="BH52" s="9" t="n">
        <f aca="false">SUMIFS('Исходные данные'!$I$2:$I$954,'Исходные данные'!$D$2:$D$954,BH$1,'Исходные данные'!$F$2:$F$954,$A52)</f>
        <v>0</v>
      </c>
      <c r="BI52" s="9" t="n">
        <f aca="false">SUMIFS('Исходные данные'!$J$2:$J$954,'Исходные данные'!$D$2:$D$954,BH$1,'Исходные данные'!$F$2:$F$954,$A52)</f>
        <v>0</v>
      </c>
      <c r="BJ52" s="9" t="n">
        <f aca="false">SUMIFS('Исходные данные'!$I$2:$I$954,'Исходные данные'!$D$2:$D$954,BJ$1,'Исходные данные'!$F$2:$F$954,$A52)</f>
        <v>0</v>
      </c>
      <c r="BK52" s="9" t="n">
        <f aca="false">SUMIFS('Исходные данные'!$J$2:$J$954,'Исходные данные'!$D$2:$D$954,BJ$1,'Исходные данные'!$F$2:$F$954,$A52)</f>
        <v>0</v>
      </c>
      <c r="BL52" s="9" t="n">
        <f aca="false">SUMIFS('Исходные данные'!$I$2:$I$954,'Исходные данные'!$D$2:$D$954,BL$1,'Исходные данные'!$F$2:$F$954,$A52)</f>
        <v>0</v>
      </c>
      <c r="BM52" s="9" t="n">
        <f aca="false">SUMIFS('Исходные данные'!$J$2:$J$954,'Исходные данные'!$D$2:$D$954,BL$1,'Исходные данные'!$F$2:$F$954,$A52)</f>
        <v>0</v>
      </c>
      <c r="BN52" s="9" t="n">
        <f aca="false">SUMIFS('Исходные данные'!$I$2:$I$954,'Исходные данные'!$D$2:$D$954,BN$1,'Исходные данные'!$F$2:$F$954,$A52)</f>
        <v>0</v>
      </c>
      <c r="BO52" s="9" t="n">
        <f aca="false">SUMIFS('Исходные данные'!$J$2:$J$954,'Исходные данные'!$D$2:$D$954,BN$1,'Исходные данные'!$F$2:$F$954,$A52)</f>
        <v>0</v>
      </c>
      <c r="BP52" s="9" t="n">
        <f aca="false">SUMIFS('Исходные данные'!$I$2:$I$954,'Исходные данные'!$D$2:$D$954,BP$1,'Исходные данные'!$F$2:$F$954,$A52)</f>
        <v>0</v>
      </c>
      <c r="BQ52" s="9" t="n">
        <f aca="false">SUMIFS('Исходные данные'!$J$2:$J$954,'Исходные данные'!$D$2:$D$954,BP$1,'Исходные данные'!$F$2:$F$954,$A52)</f>
        <v>0</v>
      </c>
      <c r="BR52" s="9" t="n">
        <f aca="false">SUMIFS('Исходные данные'!$I$2:$I$954,'Исходные данные'!$D$2:$D$954,BR$1,'Исходные данные'!$F$2:$F$954,$A52)</f>
        <v>0</v>
      </c>
      <c r="BS52" s="9" t="n">
        <f aca="false">SUMIFS('Исходные данные'!$J$2:$J$954,'Исходные данные'!$D$2:$D$954,BR$1,'Исходные данные'!$F$2:$F$954,$A52)</f>
        <v>0</v>
      </c>
      <c r="BT52" s="9" t="n">
        <f aca="false">SUMIFS('Исходные данные'!$I$2:$I$954,'Исходные данные'!$D$2:$D$954,BT$1,'Исходные данные'!$F$2:$F$954,$A52)</f>
        <v>0</v>
      </c>
      <c r="BU52" s="9" t="n">
        <f aca="false">SUMIFS('Исходные данные'!$J$2:$J$954,'Исходные данные'!$D$2:$D$954,BT$1,'Исходные данные'!$F$2:$F$954,$A52)</f>
        <v>0</v>
      </c>
      <c r="BV52" s="9" t="n">
        <f aca="false">SUMIFS('Исходные данные'!$I$2:$I$954,'Исходные данные'!$D$2:$D$954,BV$1,'Исходные данные'!$F$2:$F$954,$A52)</f>
        <v>0</v>
      </c>
      <c r="BW52" s="9" t="n">
        <f aca="false">SUMIFS('Исходные данные'!$J$2:$J$954,'Исходные данные'!$D$2:$D$954,BV$1,'Исходные данные'!$F$2:$F$954,$A52)</f>
        <v>0</v>
      </c>
      <c r="BX52" s="9" t="n">
        <f aca="false">SUMIFS('Исходные данные'!$I$2:$I$954,'Исходные данные'!$D$2:$D$954,BX$1,'Исходные данные'!$F$2:$F$954,$A52)</f>
        <v>0</v>
      </c>
      <c r="BY52" s="9" t="n">
        <f aca="false">SUMIFS('Исходные данные'!$J$2:$J$954,'Исходные данные'!$D$2:$D$954,BX$1,'Исходные данные'!$F$2:$F$954,$A52)</f>
        <v>0</v>
      </c>
      <c r="BZ52" s="9" t="n">
        <f aca="false">SUMIFS('Исходные данные'!$I$2:$I$954,'Исходные данные'!$D$2:$D$954,BZ$1,'Исходные данные'!$F$2:$F$954,$A52)</f>
        <v>0</v>
      </c>
      <c r="CA52" s="9" t="n">
        <f aca="false">SUMIFS('Исходные данные'!$J$2:$J$954,'Исходные данные'!$D$2:$D$954,BZ$1,'Исходные данные'!$F$2:$F$954,$A52)</f>
        <v>0</v>
      </c>
      <c r="CB52" s="9" t="n">
        <f aca="false">SUMIFS('Исходные данные'!$I$2:$I$954,'Исходные данные'!$D$2:$D$954,CB$1,'Исходные данные'!$F$2:$F$954,$A52)</f>
        <v>0</v>
      </c>
      <c r="CC52" s="9" t="n">
        <f aca="false">SUMIFS('Исходные данные'!$J$2:$J$954,'Исходные данные'!$D$2:$D$954,CB$1,'Исходные данные'!$F$2:$F$954,$A52)</f>
        <v>0</v>
      </c>
      <c r="CD52" s="9" t="n">
        <f aca="false">SUMIFS('Исходные данные'!$I$2:$I$954,'Исходные данные'!$D$2:$D$954,CD$1,'Исходные данные'!$F$2:$F$954,$A52)</f>
        <v>0</v>
      </c>
      <c r="CE52" s="9" t="n">
        <f aca="false">SUMIFS('Исходные данные'!$J$2:$J$954,'Исходные данные'!$D$2:$D$954,CD$1,'Исходные данные'!$F$2:$F$954,$A52)</f>
        <v>0</v>
      </c>
      <c r="CF52" s="9" t="n">
        <f aca="false">SUMIFS('Исходные данные'!$I$2:$I$954,'Исходные данные'!$D$2:$D$954,CF$1,'Исходные данные'!$F$2:$F$954,$A52)</f>
        <v>0</v>
      </c>
      <c r="CG52" s="9" t="n">
        <f aca="false">SUMIFS('Исходные данные'!$J$2:$J$954,'Исходные данные'!$D$2:$D$954,CF$1,'Исходные данные'!$F$2:$F$954,$A52)</f>
        <v>0</v>
      </c>
      <c r="CH52" s="9" t="n">
        <f aca="false">SUMIFS('Исходные данные'!$I$2:$I$954,'Исходные данные'!$D$2:$D$954,CH$1,'Исходные данные'!$F$2:$F$954,$A52)</f>
        <v>0</v>
      </c>
      <c r="CI52" s="9" t="n">
        <f aca="false">SUMIFS('Исходные данные'!$J$2:$J$954,'Исходные данные'!$D$2:$D$954,CH$1,'Исходные данные'!$F$2:$F$954,$A52)</f>
        <v>0</v>
      </c>
    </row>
    <row r="53" customFormat="false" ht="15" hidden="false" customHeight="false" outlineLevel="0" collapsed="false">
      <c r="A53" s="8" t="s">
        <v>149</v>
      </c>
      <c r="B53" s="9" t="s">
        <v>150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SUMIFS($H53:$CI53,$H$2:$CI$2,"День")</f>
        <v>0</v>
      </c>
      <c r="G53" s="5" t="n">
        <f aca="false">SUMIFS($H53:$CI53,$H$2:$CI$2,"Ночь")</f>
        <v>0</v>
      </c>
      <c r="H53" s="9" t="n">
        <f aca="false">SUMIFS('Исходные данные'!$I$2:$I$954,'Исходные данные'!$D$2:$D$954,H$1,'Исходные данные'!$F$2:$F$954,$A53)</f>
        <v>0</v>
      </c>
      <c r="I53" s="9" t="n">
        <f aca="false">SUMIFS('Исходные данные'!$J$2:$J$954,'Исходные данные'!$D$2:$D$954,H$1,'Исходные данные'!$F$2:$F$954,$A53)</f>
        <v>0</v>
      </c>
      <c r="J53" s="9" t="n">
        <f aca="false">SUMIFS('Исходные данные'!$I$2:$I$954,'Исходные данные'!$D$2:$D$954,J$1,'Исходные данные'!$F$2:$F$954,$A53)</f>
        <v>0</v>
      </c>
      <c r="K53" s="9" t="n">
        <f aca="false">SUMIFS('Исходные данные'!$J$2:$J$954,'Исходные данные'!$D$2:$D$954,J$1,'Исходные данные'!$F$2:$F$954,$A53)</f>
        <v>0</v>
      </c>
      <c r="L53" s="9" t="n">
        <f aca="false">SUMIFS('Исходные данные'!$I$2:$I$954,'Исходные данные'!$D$2:$D$954,L$1,'Исходные данные'!$F$2:$F$954,$A53)</f>
        <v>0</v>
      </c>
      <c r="M53" s="9" t="n">
        <f aca="false">SUMIFS('Исходные данные'!$J$2:$J$954,'Исходные данные'!$D$2:$D$954,L$1,'Исходные данные'!$F$2:$F$954,$A53)</f>
        <v>0</v>
      </c>
      <c r="N53" s="9" t="n">
        <f aca="false">SUMIFS('Исходные данные'!$I$2:$I$954,'Исходные данные'!$D$2:$D$954,N$1,'Исходные данные'!$F$2:$F$954,$A53)</f>
        <v>0</v>
      </c>
      <c r="O53" s="9" t="n">
        <f aca="false">SUMIFS('Исходные данные'!$J$2:$J$954,'Исходные данные'!$D$2:$D$954,N$1,'Исходные данные'!$F$2:$F$954,$A53)</f>
        <v>0</v>
      </c>
      <c r="P53" s="9" t="n">
        <f aca="false">SUMIFS('Исходные данные'!$I$2:$I$954,'Исходные данные'!$D$2:$D$954,P$1,'Исходные данные'!$F$2:$F$954,$A53)</f>
        <v>0</v>
      </c>
      <c r="Q53" s="9" t="n">
        <f aca="false">SUMIFS('Исходные данные'!$J$2:$J$954,'Исходные данные'!$D$2:$D$954,P$1,'Исходные данные'!$F$2:$F$954,$A53)</f>
        <v>0</v>
      </c>
      <c r="R53" s="9" t="n">
        <f aca="false">SUMIFS('Исходные данные'!$I$2:$I$954,'Исходные данные'!$D$2:$D$954,R$1,'Исходные данные'!$F$2:$F$954,$A53)</f>
        <v>0</v>
      </c>
      <c r="S53" s="9" t="n">
        <f aca="false">SUMIFS('Исходные данные'!$J$2:$J$954,'Исходные данные'!$D$2:$D$954,R$1,'Исходные данные'!$F$2:$F$954,$A53)</f>
        <v>0</v>
      </c>
      <c r="T53" s="9" t="n">
        <f aca="false">SUMIFS('Исходные данные'!$I$2:$I$954,'Исходные данные'!$D$2:$D$954,T$1,'Исходные данные'!$F$2:$F$954,$A53)</f>
        <v>0</v>
      </c>
      <c r="U53" s="9" t="n">
        <f aca="false">SUMIFS('Исходные данные'!$J$2:$J$954,'Исходные данные'!$D$2:$D$954,T$1,'Исходные данные'!$F$2:$F$954,$A53)</f>
        <v>0</v>
      </c>
      <c r="V53" s="9" t="n">
        <f aca="false">SUMIFS('Исходные данные'!$I$2:$I$954,'Исходные данные'!$D$2:$D$954,V$1,'Исходные данные'!$F$2:$F$954,$A53)</f>
        <v>0</v>
      </c>
      <c r="W53" s="9" t="n">
        <f aca="false">SUMIFS('Исходные данные'!$J$2:$J$954,'Исходные данные'!$D$2:$D$954,V$1,'Исходные данные'!$F$2:$F$954,$A53)</f>
        <v>0</v>
      </c>
      <c r="X53" s="9" t="n">
        <f aca="false">SUMIFS('Исходные данные'!$I$2:$I$954,'Исходные данные'!$D$2:$D$954,X$1,'Исходные данные'!$F$2:$F$954,$A53)</f>
        <v>0</v>
      </c>
      <c r="Y53" s="9" t="n">
        <f aca="false">SUMIFS('Исходные данные'!$J$2:$J$954,'Исходные данные'!$D$2:$D$954,X$1,'Исходные данные'!$F$2:$F$954,$A53)</f>
        <v>0</v>
      </c>
      <c r="Z53" s="9" t="n">
        <f aca="false">SUMIFS('Исходные данные'!$I$2:$I$954,'Исходные данные'!$D$2:$D$954,Z$1,'Исходные данные'!$F$2:$F$954,$A53)</f>
        <v>0</v>
      </c>
      <c r="AA53" s="9" t="n">
        <f aca="false">SUMIFS('Исходные данные'!$J$2:$J$954,'Исходные данные'!$D$2:$D$954,Z$1,'Исходные данные'!$F$2:$F$954,$A53)</f>
        <v>0</v>
      </c>
      <c r="AB53" s="9" t="n">
        <f aca="false">SUMIFS('Исходные данные'!$I$2:$I$954,'Исходные данные'!$D$2:$D$954,AB$1,'Исходные данные'!$F$2:$F$954,$A53)</f>
        <v>0</v>
      </c>
      <c r="AC53" s="9" t="n">
        <f aca="false">SUMIFS('Исходные данные'!$J$2:$J$954,'Исходные данные'!$D$2:$D$954,AB$1,'Исходные данные'!$F$2:$F$954,$A53)</f>
        <v>0</v>
      </c>
      <c r="AD53" s="9" t="n">
        <f aca="false">SUMIFS('Исходные данные'!$I$2:$I$954,'Исходные данные'!$D$2:$D$954,AD$1,'Исходные данные'!$F$2:$F$954,$A53)</f>
        <v>0</v>
      </c>
      <c r="AE53" s="9" t="n">
        <f aca="false">SUMIFS('Исходные данные'!$J$2:$J$954,'Исходные данные'!$D$2:$D$954,AD$1,'Исходные данные'!$F$2:$F$954,$A53)</f>
        <v>0</v>
      </c>
      <c r="AF53" s="9" t="n">
        <f aca="false">SUMIFS('Исходные данные'!$I$2:$I$954,'Исходные данные'!$D$2:$D$954,AF$1,'Исходные данные'!$F$2:$F$954,$A53)</f>
        <v>0</v>
      </c>
      <c r="AG53" s="9" t="n">
        <f aca="false">SUMIFS('Исходные данные'!$J$2:$J$954,'Исходные данные'!$D$2:$D$954,AF$1,'Исходные данные'!$F$2:$F$954,$A53)</f>
        <v>0</v>
      </c>
      <c r="AH53" s="9" t="n">
        <f aca="false">SUMIFS('Исходные данные'!$I$2:$I$954,'Исходные данные'!$D$2:$D$954,AH$1,'Исходные данные'!$F$2:$F$954,$A53)</f>
        <v>0</v>
      </c>
      <c r="AI53" s="9" t="n">
        <f aca="false">SUMIFS('Исходные данные'!$J$2:$J$954,'Исходные данные'!$D$2:$D$954,AH$1,'Исходные данные'!$F$2:$F$954,$A53)</f>
        <v>0</v>
      </c>
      <c r="AJ53" s="9" t="n">
        <f aca="false">SUMIFS('Исходные данные'!$I$2:$I$954,'Исходные данные'!$D$2:$D$954,AJ$1,'Исходные данные'!$F$2:$F$954,$A53)</f>
        <v>0</v>
      </c>
      <c r="AK53" s="9" t="n">
        <f aca="false">SUMIFS('Исходные данные'!$J$2:$J$954,'Исходные данные'!$D$2:$D$954,AJ$1,'Исходные данные'!$F$2:$F$954,$A53)</f>
        <v>0</v>
      </c>
      <c r="AL53" s="9" t="n">
        <f aca="false">SUMIFS('Исходные данные'!$I$2:$I$954,'Исходные данные'!$D$2:$D$954,AL$1,'Исходные данные'!$F$2:$F$954,$A53)</f>
        <v>0</v>
      </c>
      <c r="AM53" s="9" t="n">
        <f aca="false">SUMIFS('Исходные данные'!$J$2:$J$954,'Исходные данные'!$D$2:$D$954,AL$1,'Исходные данные'!$F$2:$F$954,$A53)</f>
        <v>0</v>
      </c>
      <c r="AN53" s="9" t="n">
        <f aca="false">SUMIFS('Исходные данные'!$I$2:$I$954,'Исходные данные'!$D$2:$D$954,AN$1,'Исходные данные'!$F$2:$F$954,$A53)</f>
        <v>0</v>
      </c>
      <c r="AO53" s="9" t="n">
        <f aca="false">SUMIFS('Исходные данные'!$J$2:$J$954,'Исходные данные'!$D$2:$D$954,AN$1,'Исходные данные'!$F$2:$F$954,$A53)</f>
        <v>0</v>
      </c>
      <c r="AP53" s="9" t="n">
        <f aca="false">SUMIFS('Исходные данные'!$I$2:$I$954,'Исходные данные'!$D$2:$D$954,AP$1,'Исходные данные'!$F$2:$F$954,$A53)</f>
        <v>0</v>
      </c>
      <c r="AQ53" s="9" t="n">
        <f aca="false">SUMIFS('Исходные данные'!$J$2:$J$954,'Исходные данные'!$D$2:$D$954,AP$1,'Исходные данные'!$F$2:$F$954,$A53)</f>
        <v>0</v>
      </c>
      <c r="AR53" s="9" t="n">
        <f aca="false">SUMIFS('Исходные данные'!$I$2:$I$954,'Исходные данные'!$D$2:$D$954,AR$1,'Исходные данные'!$F$2:$F$954,$A53)</f>
        <v>0</v>
      </c>
      <c r="AS53" s="9" t="n">
        <f aca="false">SUMIFS('Исходные данные'!$J$2:$J$954,'Исходные данные'!$D$2:$D$954,AR$1,'Исходные данные'!$F$2:$F$954,$A53)</f>
        <v>0</v>
      </c>
      <c r="AT53" s="9" t="n">
        <f aca="false">SUMIFS('Исходные данные'!$I$2:$I$954,'Исходные данные'!$D$2:$D$954,AT$1,'Исходные данные'!$F$2:$F$954,$A53)</f>
        <v>0</v>
      </c>
      <c r="AU53" s="9" t="n">
        <f aca="false">SUMIFS('Исходные данные'!$J$2:$J$954,'Исходные данные'!$D$2:$D$954,AT$1,'Исходные данные'!$F$2:$F$954,$A53)</f>
        <v>0</v>
      </c>
      <c r="AV53" s="9" t="n">
        <f aca="false">SUMIFS('Исходные данные'!$I$2:$I$954,'Исходные данные'!$D$2:$D$954,AV$1,'Исходные данные'!$F$2:$F$954,$A53)</f>
        <v>0</v>
      </c>
      <c r="AW53" s="9" t="n">
        <f aca="false">SUMIFS('Исходные данные'!$J$2:$J$954,'Исходные данные'!$D$2:$D$954,AV$1,'Исходные данные'!$F$2:$F$954,$A53)</f>
        <v>0</v>
      </c>
      <c r="AX53" s="9" t="n">
        <f aca="false">SUMIFS('Исходные данные'!$I$2:$I$954,'Исходные данные'!$D$2:$D$954,AX$1,'Исходные данные'!$F$2:$F$954,$A53)</f>
        <v>0</v>
      </c>
      <c r="AY53" s="9" t="n">
        <f aca="false">SUMIFS('Исходные данные'!$J$2:$J$954,'Исходные данные'!$D$2:$D$954,AX$1,'Исходные данные'!$F$2:$F$954,$A53)</f>
        <v>0</v>
      </c>
      <c r="AZ53" s="9" t="n">
        <f aca="false">SUMIFS('Исходные данные'!$I$2:$I$954,'Исходные данные'!$D$2:$D$954,AZ$1,'Исходные данные'!$F$2:$F$954,$A53)</f>
        <v>0</v>
      </c>
      <c r="BA53" s="9" t="n">
        <f aca="false">SUMIFS('Исходные данные'!$J$2:$J$954,'Исходные данные'!$D$2:$D$954,AZ$1,'Исходные данные'!$F$2:$F$954,$A53)</f>
        <v>0</v>
      </c>
      <c r="BB53" s="9" t="n">
        <f aca="false">SUMIFS('Исходные данные'!$I$2:$I$954,'Исходные данные'!$D$2:$D$954,BB$1,'Исходные данные'!$F$2:$F$954,$A53)</f>
        <v>0</v>
      </c>
      <c r="BC53" s="9" t="n">
        <f aca="false">SUMIFS('Исходные данные'!$J$2:$J$954,'Исходные данные'!$D$2:$D$954,BB$1,'Исходные данные'!$F$2:$F$954,$A53)</f>
        <v>0</v>
      </c>
      <c r="BD53" s="9" t="n">
        <f aca="false">SUMIFS('Исходные данные'!$I$2:$I$954,'Исходные данные'!$D$2:$D$954,BD$1,'Исходные данные'!$F$2:$F$954,$A53)</f>
        <v>0</v>
      </c>
      <c r="BE53" s="9" t="n">
        <f aca="false">SUMIFS('Исходные данные'!$J$2:$J$954,'Исходные данные'!$D$2:$D$954,BD$1,'Исходные данные'!$F$2:$F$954,$A53)</f>
        <v>0</v>
      </c>
      <c r="BF53" s="9" t="n">
        <f aca="false">SUMIFS('Исходные данные'!$I$2:$I$954,'Исходные данные'!$D$2:$D$954,BF$1,'Исходные данные'!$F$2:$F$954,$A53)</f>
        <v>0</v>
      </c>
      <c r="BG53" s="9" t="n">
        <f aca="false">SUMIFS('Исходные данные'!$J$2:$J$954,'Исходные данные'!$D$2:$D$954,BF$1,'Исходные данные'!$F$2:$F$954,$A53)</f>
        <v>0</v>
      </c>
      <c r="BH53" s="9" t="n">
        <f aca="false">SUMIFS('Исходные данные'!$I$2:$I$954,'Исходные данные'!$D$2:$D$954,BH$1,'Исходные данные'!$F$2:$F$954,$A53)</f>
        <v>0</v>
      </c>
      <c r="BI53" s="9" t="n">
        <f aca="false">SUMIFS('Исходные данные'!$J$2:$J$954,'Исходные данные'!$D$2:$D$954,BH$1,'Исходные данные'!$F$2:$F$954,$A53)</f>
        <v>0</v>
      </c>
      <c r="BJ53" s="9" t="n">
        <f aca="false">SUMIFS('Исходные данные'!$I$2:$I$954,'Исходные данные'!$D$2:$D$954,BJ$1,'Исходные данные'!$F$2:$F$954,$A53)</f>
        <v>0</v>
      </c>
      <c r="BK53" s="9" t="n">
        <f aca="false">SUMIFS('Исходные данные'!$J$2:$J$954,'Исходные данные'!$D$2:$D$954,BJ$1,'Исходные данные'!$F$2:$F$954,$A53)</f>
        <v>0</v>
      </c>
      <c r="BL53" s="9" t="n">
        <f aca="false">SUMIFS('Исходные данные'!$I$2:$I$954,'Исходные данные'!$D$2:$D$954,BL$1,'Исходные данные'!$F$2:$F$954,$A53)</f>
        <v>0</v>
      </c>
      <c r="BM53" s="9" t="n">
        <f aca="false">SUMIFS('Исходные данные'!$J$2:$J$954,'Исходные данные'!$D$2:$D$954,BL$1,'Исходные данные'!$F$2:$F$954,$A53)</f>
        <v>0</v>
      </c>
      <c r="BN53" s="9" t="n">
        <f aca="false">SUMIFS('Исходные данные'!$I$2:$I$954,'Исходные данные'!$D$2:$D$954,BN$1,'Исходные данные'!$F$2:$F$954,$A53)</f>
        <v>0</v>
      </c>
      <c r="BO53" s="9" t="n">
        <f aca="false">SUMIFS('Исходные данные'!$J$2:$J$954,'Исходные данные'!$D$2:$D$954,BN$1,'Исходные данные'!$F$2:$F$954,$A53)</f>
        <v>0</v>
      </c>
      <c r="BP53" s="9" t="n">
        <f aca="false">SUMIFS('Исходные данные'!$I$2:$I$954,'Исходные данные'!$D$2:$D$954,BP$1,'Исходные данные'!$F$2:$F$954,$A53)</f>
        <v>0</v>
      </c>
      <c r="BQ53" s="9" t="n">
        <f aca="false">SUMIFS('Исходные данные'!$J$2:$J$954,'Исходные данные'!$D$2:$D$954,BP$1,'Исходные данные'!$F$2:$F$954,$A53)</f>
        <v>0</v>
      </c>
      <c r="BR53" s="9" t="n">
        <f aca="false">SUMIFS('Исходные данные'!$I$2:$I$954,'Исходные данные'!$D$2:$D$954,BR$1,'Исходные данные'!$F$2:$F$954,$A53)</f>
        <v>0</v>
      </c>
      <c r="BS53" s="9" t="n">
        <f aca="false">SUMIFS('Исходные данные'!$J$2:$J$954,'Исходные данные'!$D$2:$D$954,BR$1,'Исходные данные'!$F$2:$F$954,$A53)</f>
        <v>0</v>
      </c>
      <c r="BT53" s="9" t="n">
        <f aca="false">SUMIFS('Исходные данные'!$I$2:$I$954,'Исходные данные'!$D$2:$D$954,BT$1,'Исходные данные'!$F$2:$F$954,$A53)</f>
        <v>0</v>
      </c>
      <c r="BU53" s="9" t="n">
        <f aca="false">SUMIFS('Исходные данные'!$J$2:$J$954,'Исходные данные'!$D$2:$D$954,BT$1,'Исходные данные'!$F$2:$F$954,$A53)</f>
        <v>0</v>
      </c>
      <c r="BV53" s="9" t="n">
        <f aca="false">SUMIFS('Исходные данные'!$I$2:$I$954,'Исходные данные'!$D$2:$D$954,BV$1,'Исходные данные'!$F$2:$F$954,$A53)</f>
        <v>0</v>
      </c>
      <c r="BW53" s="9" t="n">
        <f aca="false">SUMIFS('Исходные данные'!$J$2:$J$954,'Исходные данные'!$D$2:$D$954,BV$1,'Исходные данные'!$F$2:$F$954,$A53)</f>
        <v>0</v>
      </c>
      <c r="BX53" s="9" t="n">
        <f aca="false">SUMIFS('Исходные данные'!$I$2:$I$954,'Исходные данные'!$D$2:$D$954,BX$1,'Исходные данные'!$F$2:$F$954,$A53)</f>
        <v>0</v>
      </c>
      <c r="BY53" s="9" t="n">
        <f aca="false">SUMIFS('Исходные данные'!$J$2:$J$954,'Исходные данные'!$D$2:$D$954,BX$1,'Исходные данные'!$F$2:$F$954,$A53)</f>
        <v>0</v>
      </c>
      <c r="BZ53" s="9" t="n">
        <f aca="false">SUMIFS('Исходные данные'!$I$2:$I$954,'Исходные данные'!$D$2:$D$954,BZ$1,'Исходные данные'!$F$2:$F$954,$A53)</f>
        <v>0</v>
      </c>
      <c r="CA53" s="9" t="n">
        <f aca="false">SUMIFS('Исходные данные'!$J$2:$J$954,'Исходные данные'!$D$2:$D$954,BZ$1,'Исходные данные'!$F$2:$F$954,$A53)</f>
        <v>0</v>
      </c>
      <c r="CB53" s="9" t="n">
        <f aca="false">SUMIFS('Исходные данные'!$I$2:$I$954,'Исходные данные'!$D$2:$D$954,CB$1,'Исходные данные'!$F$2:$F$954,$A53)</f>
        <v>0</v>
      </c>
      <c r="CC53" s="9" t="n">
        <f aca="false">SUMIFS('Исходные данные'!$J$2:$J$954,'Исходные данные'!$D$2:$D$954,CB$1,'Исходные данные'!$F$2:$F$954,$A53)</f>
        <v>0</v>
      </c>
      <c r="CD53" s="9" t="n">
        <f aca="false">SUMIFS('Исходные данные'!$I$2:$I$954,'Исходные данные'!$D$2:$D$954,CD$1,'Исходные данные'!$F$2:$F$954,$A53)</f>
        <v>0</v>
      </c>
      <c r="CE53" s="9" t="n">
        <f aca="false">SUMIFS('Исходные данные'!$J$2:$J$954,'Исходные данные'!$D$2:$D$954,CD$1,'Исходные данные'!$F$2:$F$954,$A53)</f>
        <v>0</v>
      </c>
      <c r="CF53" s="9" t="n">
        <f aca="false">SUMIFS('Исходные данные'!$I$2:$I$954,'Исходные данные'!$D$2:$D$954,CF$1,'Исходные данные'!$F$2:$F$954,$A53)</f>
        <v>0</v>
      </c>
      <c r="CG53" s="9" t="n">
        <f aca="false">SUMIFS('Исходные данные'!$J$2:$J$954,'Исходные данные'!$D$2:$D$954,CF$1,'Исходные данные'!$F$2:$F$954,$A53)</f>
        <v>0</v>
      </c>
      <c r="CH53" s="9" t="n">
        <f aca="false">SUMIFS('Исходные данные'!$I$2:$I$954,'Исходные данные'!$D$2:$D$954,CH$1,'Исходные данные'!$F$2:$F$954,$A53)</f>
        <v>0</v>
      </c>
      <c r="CI53" s="9" t="n">
        <f aca="false">SUMIFS('Исходные данные'!$J$2:$J$954,'Исходные данные'!$D$2:$D$954,CH$1,'Исходные данные'!$F$2:$F$954,$A53)</f>
        <v>0</v>
      </c>
    </row>
    <row r="54" customFormat="false" ht="15" hidden="false" customHeight="false" outlineLevel="0" collapsed="false">
      <c r="A54" s="8" t="s">
        <v>151</v>
      </c>
      <c r="B54" s="9" t="s">
        <v>152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SUMIFS($H54:$CI54,$H$2:$CI$2,"День")</f>
        <v>2</v>
      </c>
      <c r="G54" s="5" t="n">
        <f aca="false">SUMIFS($H54:$CI54,$H$2:$CI$2,"Ночь")</f>
        <v>1</v>
      </c>
      <c r="H54" s="9" t="n">
        <f aca="false">SUMIFS('Исходные данные'!$I$2:$I$954,'Исходные данные'!$D$2:$D$954,H$1,'Исходные данные'!$F$2:$F$954,$A54)</f>
        <v>0</v>
      </c>
      <c r="I54" s="9" t="n">
        <f aca="false">SUMIFS('Исходные данные'!$J$2:$J$954,'Исходные данные'!$D$2:$D$954,H$1,'Исходные данные'!$F$2:$F$954,$A54)</f>
        <v>0</v>
      </c>
      <c r="J54" s="9" t="n">
        <f aca="false">SUMIFS('Исходные данные'!$I$2:$I$954,'Исходные данные'!$D$2:$D$954,J$1,'Исходные данные'!$F$2:$F$954,$A54)</f>
        <v>0</v>
      </c>
      <c r="K54" s="9" t="n">
        <f aca="false">SUMIFS('Исходные данные'!$J$2:$J$954,'Исходные данные'!$D$2:$D$954,J$1,'Исходные данные'!$F$2:$F$954,$A54)</f>
        <v>0</v>
      </c>
      <c r="L54" s="9" t="n">
        <f aca="false">SUMIFS('Исходные данные'!$I$2:$I$954,'Исходные данные'!$D$2:$D$954,L$1,'Исходные данные'!$F$2:$F$954,$A54)</f>
        <v>1</v>
      </c>
      <c r="M54" s="9" t="n">
        <f aca="false">SUMIFS('Исходные данные'!$J$2:$J$954,'Исходные данные'!$D$2:$D$954,L$1,'Исходные данные'!$F$2:$F$954,$A54)</f>
        <v>0</v>
      </c>
      <c r="N54" s="9" t="n">
        <f aca="false">SUMIFS('Исходные данные'!$I$2:$I$954,'Исходные данные'!$D$2:$D$954,N$1,'Исходные данные'!$F$2:$F$954,$A54)</f>
        <v>0</v>
      </c>
      <c r="O54" s="9" t="n">
        <f aca="false">SUMIFS('Исходные данные'!$J$2:$J$954,'Исходные данные'!$D$2:$D$954,N$1,'Исходные данные'!$F$2:$F$954,$A54)</f>
        <v>0</v>
      </c>
      <c r="P54" s="9" t="n">
        <f aca="false">SUMIFS('Исходные данные'!$I$2:$I$954,'Исходные данные'!$D$2:$D$954,P$1,'Исходные данные'!$F$2:$F$954,$A54)</f>
        <v>0</v>
      </c>
      <c r="Q54" s="9" t="n">
        <f aca="false">SUMIFS('Исходные данные'!$J$2:$J$954,'Исходные данные'!$D$2:$D$954,P$1,'Исходные данные'!$F$2:$F$954,$A54)</f>
        <v>0</v>
      </c>
      <c r="R54" s="9" t="n">
        <f aca="false">SUMIFS('Исходные данные'!$I$2:$I$954,'Исходные данные'!$D$2:$D$954,R$1,'Исходные данные'!$F$2:$F$954,$A54)</f>
        <v>0</v>
      </c>
      <c r="S54" s="9" t="n">
        <f aca="false">SUMIFS('Исходные данные'!$J$2:$J$954,'Исходные данные'!$D$2:$D$954,R$1,'Исходные данные'!$F$2:$F$954,$A54)</f>
        <v>0</v>
      </c>
      <c r="T54" s="9" t="n">
        <f aca="false">SUMIFS('Исходные данные'!$I$2:$I$954,'Исходные данные'!$D$2:$D$954,T$1,'Исходные данные'!$F$2:$F$954,$A54)</f>
        <v>0</v>
      </c>
      <c r="U54" s="9" t="n">
        <f aca="false">SUMIFS('Исходные данные'!$J$2:$J$954,'Исходные данные'!$D$2:$D$954,T$1,'Исходные данные'!$F$2:$F$954,$A54)</f>
        <v>0</v>
      </c>
      <c r="V54" s="9" t="n">
        <f aca="false">SUMIFS('Исходные данные'!$I$2:$I$954,'Исходные данные'!$D$2:$D$954,V$1,'Исходные данные'!$F$2:$F$954,$A54)</f>
        <v>0</v>
      </c>
      <c r="W54" s="9" t="n">
        <f aca="false">SUMIFS('Исходные данные'!$J$2:$J$954,'Исходные данные'!$D$2:$D$954,V$1,'Исходные данные'!$F$2:$F$954,$A54)</f>
        <v>0</v>
      </c>
      <c r="X54" s="9" t="n">
        <f aca="false">SUMIFS('Исходные данные'!$I$2:$I$954,'Исходные данные'!$D$2:$D$954,X$1,'Исходные данные'!$F$2:$F$954,$A54)</f>
        <v>0</v>
      </c>
      <c r="Y54" s="9" t="n">
        <f aca="false">SUMIFS('Исходные данные'!$J$2:$J$954,'Исходные данные'!$D$2:$D$954,X$1,'Исходные данные'!$F$2:$F$954,$A54)</f>
        <v>0</v>
      </c>
      <c r="Z54" s="9" t="n">
        <f aca="false">SUMIFS('Исходные данные'!$I$2:$I$954,'Исходные данные'!$D$2:$D$954,Z$1,'Исходные данные'!$F$2:$F$954,$A54)</f>
        <v>0</v>
      </c>
      <c r="AA54" s="9" t="n">
        <f aca="false">SUMIFS('Исходные данные'!$J$2:$J$954,'Исходные данные'!$D$2:$D$954,Z$1,'Исходные данные'!$F$2:$F$954,$A54)</f>
        <v>0</v>
      </c>
      <c r="AB54" s="9" t="n">
        <f aca="false">SUMIFS('Исходные данные'!$I$2:$I$954,'Исходные данные'!$D$2:$D$954,AB$1,'Исходные данные'!$F$2:$F$954,$A54)</f>
        <v>0</v>
      </c>
      <c r="AC54" s="9" t="n">
        <f aca="false">SUMIFS('Исходные данные'!$J$2:$J$954,'Исходные данные'!$D$2:$D$954,AB$1,'Исходные данные'!$F$2:$F$954,$A54)</f>
        <v>0</v>
      </c>
      <c r="AD54" s="9" t="n">
        <f aca="false">SUMIFS('Исходные данные'!$I$2:$I$954,'Исходные данные'!$D$2:$D$954,AD$1,'Исходные данные'!$F$2:$F$954,$A54)</f>
        <v>0</v>
      </c>
      <c r="AE54" s="9" t="n">
        <f aca="false">SUMIFS('Исходные данные'!$J$2:$J$954,'Исходные данные'!$D$2:$D$954,AD$1,'Исходные данные'!$F$2:$F$954,$A54)</f>
        <v>0</v>
      </c>
      <c r="AF54" s="9" t="n">
        <f aca="false">SUMIFS('Исходные данные'!$I$2:$I$954,'Исходные данные'!$D$2:$D$954,AF$1,'Исходные данные'!$F$2:$F$954,$A54)</f>
        <v>0</v>
      </c>
      <c r="AG54" s="9" t="n">
        <f aca="false">SUMIFS('Исходные данные'!$J$2:$J$954,'Исходные данные'!$D$2:$D$954,AF$1,'Исходные данные'!$F$2:$F$954,$A54)</f>
        <v>0</v>
      </c>
      <c r="AH54" s="9" t="n">
        <f aca="false">SUMIFS('Исходные данные'!$I$2:$I$954,'Исходные данные'!$D$2:$D$954,AH$1,'Исходные данные'!$F$2:$F$954,$A54)</f>
        <v>0</v>
      </c>
      <c r="AI54" s="9" t="n">
        <f aca="false">SUMIFS('Исходные данные'!$J$2:$J$954,'Исходные данные'!$D$2:$D$954,AH$1,'Исходные данные'!$F$2:$F$954,$A54)</f>
        <v>0</v>
      </c>
      <c r="AJ54" s="9" t="n">
        <f aca="false">SUMIFS('Исходные данные'!$I$2:$I$954,'Исходные данные'!$D$2:$D$954,AJ$1,'Исходные данные'!$F$2:$F$954,$A54)</f>
        <v>1</v>
      </c>
      <c r="AK54" s="9" t="n">
        <f aca="false">SUMIFS('Исходные данные'!$J$2:$J$954,'Исходные данные'!$D$2:$D$954,AJ$1,'Исходные данные'!$F$2:$F$954,$A54)</f>
        <v>1</v>
      </c>
      <c r="AL54" s="9" t="n">
        <f aca="false">SUMIFS('Исходные данные'!$I$2:$I$954,'Исходные данные'!$D$2:$D$954,AL$1,'Исходные данные'!$F$2:$F$954,$A54)</f>
        <v>0</v>
      </c>
      <c r="AM54" s="9" t="n">
        <f aca="false">SUMIFS('Исходные данные'!$J$2:$J$954,'Исходные данные'!$D$2:$D$954,AL$1,'Исходные данные'!$F$2:$F$954,$A54)</f>
        <v>0</v>
      </c>
      <c r="AN54" s="9" t="n">
        <f aca="false">SUMIFS('Исходные данные'!$I$2:$I$954,'Исходные данные'!$D$2:$D$954,AN$1,'Исходные данные'!$F$2:$F$954,$A54)</f>
        <v>0</v>
      </c>
      <c r="AO54" s="9" t="n">
        <f aca="false">SUMIFS('Исходные данные'!$J$2:$J$954,'Исходные данные'!$D$2:$D$954,AN$1,'Исходные данные'!$F$2:$F$954,$A54)</f>
        <v>0</v>
      </c>
      <c r="AP54" s="9" t="n">
        <f aca="false">SUMIFS('Исходные данные'!$I$2:$I$954,'Исходные данные'!$D$2:$D$954,AP$1,'Исходные данные'!$F$2:$F$954,$A54)</f>
        <v>0</v>
      </c>
      <c r="AQ54" s="9" t="n">
        <f aca="false">SUMIFS('Исходные данные'!$J$2:$J$954,'Исходные данные'!$D$2:$D$954,AP$1,'Исходные данные'!$F$2:$F$954,$A54)</f>
        <v>0</v>
      </c>
      <c r="AR54" s="9" t="n">
        <f aca="false">SUMIFS('Исходные данные'!$I$2:$I$954,'Исходные данные'!$D$2:$D$954,AR$1,'Исходные данные'!$F$2:$F$954,$A54)</f>
        <v>0</v>
      </c>
      <c r="AS54" s="9" t="n">
        <f aca="false">SUMIFS('Исходные данные'!$J$2:$J$954,'Исходные данные'!$D$2:$D$954,AR$1,'Исходные данные'!$F$2:$F$954,$A54)</f>
        <v>0</v>
      </c>
      <c r="AT54" s="9" t="n">
        <f aca="false">SUMIFS('Исходные данные'!$I$2:$I$954,'Исходные данные'!$D$2:$D$954,AT$1,'Исходные данные'!$F$2:$F$954,$A54)</f>
        <v>0</v>
      </c>
      <c r="AU54" s="9" t="n">
        <f aca="false">SUMIFS('Исходные данные'!$J$2:$J$954,'Исходные данные'!$D$2:$D$954,AT$1,'Исходные данные'!$F$2:$F$954,$A54)</f>
        <v>0</v>
      </c>
      <c r="AV54" s="9" t="n">
        <f aca="false">SUMIFS('Исходные данные'!$I$2:$I$954,'Исходные данные'!$D$2:$D$954,AV$1,'Исходные данные'!$F$2:$F$954,$A54)</f>
        <v>0</v>
      </c>
      <c r="AW54" s="9" t="n">
        <f aca="false">SUMIFS('Исходные данные'!$J$2:$J$954,'Исходные данные'!$D$2:$D$954,AV$1,'Исходные данные'!$F$2:$F$954,$A54)</f>
        <v>0</v>
      </c>
      <c r="AX54" s="9" t="n">
        <f aca="false">SUMIFS('Исходные данные'!$I$2:$I$954,'Исходные данные'!$D$2:$D$954,AX$1,'Исходные данные'!$F$2:$F$954,$A54)</f>
        <v>0</v>
      </c>
      <c r="AY54" s="9" t="n">
        <f aca="false">SUMIFS('Исходные данные'!$J$2:$J$954,'Исходные данные'!$D$2:$D$954,AX$1,'Исходные данные'!$F$2:$F$954,$A54)</f>
        <v>0</v>
      </c>
      <c r="AZ54" s="9" t="n">
        <f aca="false">SUMIFS('Исходные данные'!$I$2:$I$954,'Исходные данные'!$D$2:$D$954,AZ$1,'Исходные данные'!$F$2:$F$954,$A54)</f>
        <v>0</v>
      </c>
      <c r="BA54" s="9" t="n">
        <f aca="false">SUMIFS('Исходные данные'!$J$2:$J$954,'Исходные данные'!$D$2:$D$954,AZ$1,'Исходные данные'!$F$2:$F$954,$A54)</f>
        <v>0</v>
      </c>
      <c r="BB54" s="9" t="n">
        <f aca="false">SUMIFS('Исходные данные'!$I$2:$I$954,'Исходные данные'!$D$2:$D$954,BB$1,'Исходные данные'!$F$2:$F$954,$A54)</f>
        <v>0</v>
      </c>
      <c r="BC54" s="9" t="n">
        <f aca="false">SUMIFS('Исходные данные'!$J$2:$J$954,'Исходные данные'!$D$2:$D$954,BB$1,'Исходные данные'!$F$2:$F$954,$A54)</f>
        <v>0</v>
      </c>
      <c r="BD54" s="9" t="n">
        <f aca="false">SUMIFS('Исходные данные'!$I$2:$I$954,'Исходные данные'!$D$2:$D$954,BD$1,'Исходные данные'!$F$2:$F$954,$A54)</f>
        <v>0</v>
      </c>
      <c r="BE54" s="9" t="n">
        <f aca="false">SUMIFS('Исходные данные'!$J$2:$J$954,'Исходные данные'!$D$2:$D$954,BD$1,'Исходные данные'!$F$2:$F$954,$A54)</f>
        <v>0</v>
      </c>
      <c r="BF54" s="9" t="n">
        <f aca="false">SUMIFS('Исходные данные'!$I$2:$I$954,'Исходные данные'!$D$2:$D$954,BF$1,'Исходные данные'!$F$2:$F$954,$A54)</f>
        <v>0</v>
      </c>
      <c r="BG54" s="9" t="n">
        <f aca="false">SUMIFS('Исходные данные'!$J$2:$J$954,'Исходные данные'!$D$2:$D$954,BF$1,'Исходные данные'!$F$2:$F$954,$A54)</f>
        <v>0</v>
      </c>
      <c r="BH54" s="9" t="n">
        <f aca="false">SUMIFS('Исходные данные'!$I$2:$I$954,'Исходные данные'!$D$2:$D$954,BH$1,'Исходные данные'!$F$2:$F$954,$A54)</f>
        <v>0</v>
      </c>
      <c r="BI54" s="9" t="n">
        <f aca="false">SUMIFS('Исходные данные'!$J$2:$J$954,'Исходные данные'!$D$2:$D$954,BH$1,'Исходные данные'!$F$2:$F$954,$A54)</f>
        <v>0</v>
      </c>
      <c r="BJ54" s="9" t="n">
        <f aca="false">SUMIFS('Исходные данные'!$I$2:$I$954,'Исходные данные'!$D$2:$D$954,BJ$1,'Исходные данные'!$F$2:$F$954,$A54)</f>
        <v>0</v>
      </c>
      <c r="BK54" s="9" t="n">
        <f aca="false">SUMIFS('Исходные данные'!$J$2:$J$954,'Исходные данные'!$D$2:$D$954,BJ$1,'Исходные данные'!$F$2:$F$954,$A54)</f>
        <v>0</v>
      </c>
      <c r="BL54" s="9" t="n">
        <f aca="false">SUMIFS('Исходные данные'!$I$2:$I$954,'Исходные данные'!$D$2:$D$954,BL$1,'Исходные данные'!$F$2:$F$954,$A54)</f>
        <v>0</v>
      </c>
      <c r="BM54" s="9" t="n">
        <f aca="false">SUMIFS('Исходные данные'!$J$2:$J$954,'Исходные данные'!$D$2:$D$954,BL$1,'Исходные данные'!$F$2:$F$954,$A54)</f>
        <v>0</v>
      </c>
      <c r="BN54" s="9" t="n">
        <f aca="false">SUMIFS('Исходные данные'!$I$2:$I$954,'Исходные данные'!$D$2:$D$954,BN$1,'Исходные данные'!$F$2:$F$954,$A54)</f>
        <v>0</v>
      </c>
      <c r="BO54" s="9" t="n">
        <f aca="false">SUMIFS('Исходные данные'!$J$2:$J$954,'Исходные данные'!$D$2:$D$954,BN$1,'Исходные данные'!$F$2:$F$954,$A54)</f>
        <v>0</v>
      </c>
      <c r="BP54" s="9" t="n">
        <f aca="false">SUMIFS('Исходные данные'!$I$2:$I$954,'Исходные данные'!$D$2:$D$954,BP$1,'Исходные данные'!$F$2:$F$954,$A54)</f>
        <v>0</v>
      </c>
      <c r="BQ54" s="9" t="n">
        <f aca="false">SUMIFS('Исходные данные'!$J$2:$J$954,'Исходные данные'!$D$2:$D$954,BP$1,'Исходные данные'!$F$2:$F$954,$A54)</f>
        <v>0</v>
      </c>
      <c r="BR54" s="9" t="n">
        <f aca="false">SUMIFS('Исходные данные'!$I$2:$I$954,'Исходные данные'!$D$2:$D$954,BR$1,'Исходные данные'!$F$2:$F$954,$A54)</f>
        <v>0</v>
      </c>
      <c r="BS54" s="9" t="n">
        <f aca="false">SUMIFS('Исходные данные'!$J$2:$J$954,'Исходные данные'!$D$2:$D$954,BR$1,'Исходные данные'!$F$2:$F$954,$A54)</f>
        <v>0</v>
      </c>
      <c r="BT54" s="9" t="n">
        <f aca="false">SUMIFS('Исходные данные'!$I$2:$I$954,'Исходные данные'!$D$2:$D$954,BT$1,'Исходные данные'!$F$2:$F$954,$A54)</f>
        <v>0</v>
      </c>
      <c r="BU54" s="9" t="n">
        <f aca="false">SUMIFS('Исходные данные'!$J$2:$J$954,'Исходные данные'!$D$2:$D$954,BT$1,'Исходные данные'!$F$2:$F$954,$A54)</f>
        <v>0</v>
      </c>
      <c r="BV54" s="9" t="n">
        <f aca="false">SUMIFS('Исходные данные'!$I$2:$I$954,'Исходные данные'!$D$2:$D$954,BV$1,'Исходные данные'!$F$2:$F$954,$A54)</f>
        <v>0</v>
      </c>
      <c r="BW54" s="9" t="n">
        <f aca="false">SUMIFS('Исходные данные'!$J$2:$J$954,'Исходные данные'!$D$2:$D$954,BV$1,'Исходные данные'!$F$2:$F$954,$A54)</f>
        <v>0</v>
      </c>
      <c r="BX54" s="9" t="n">
        <f aca="false">SUMIFS('Исходные данные'!$I$2:$I$954,'Исходные данные'!$D$2:$D$954,BX$1,'Исходные данные'!$F$2:$F$954,$A54)</f>
        <v>0</v>
      </c>
      <c r="BY54" s="9" t="n">
        <f aca="false">SUMIFS('Исходные данные'!$J$2:$J$954,'Исходные данные'!$D$2:$D$954,BX$1,'Исходные данные'!$F$2:$F$954,$A54)</f>
        <v>0</v>
      </c>
      <c r="BZ54" s="9" t="n">
        <f aca="false">SUMIFS('Исходные данные'!$I$2:$I$954,'Исходные данные'!$D$2:$D$954,BZ$1,'Исходные данные'!$F$2:$F$954,$A54)</f>
        <v>0</v>
      </c>
      <c r="CA54" s="9" t="n">
        <f aca="false">SUMIFS('Исходные данные'!$J$2:$J$954,'Исходные данные'!$D$2:$D$954,BZ$1,'Исходные данные'!$F$2:$F$954,$A54)</f>
        <v>0</v>
      </c>
      <c r="CB54" s="9" t="n">
        <f aca="false">SUMIFS('Исходные данные'!$I$2:$I$954,'Исходные данные'!$D$2:$D$954,CB$1,'Исходные данные'!$F$2:$F$954,$A54)</f>
        <v>0</v>
      </c>
      <c r="CC54" s="9" t="n">
        <f aca="false">SUMIFS('Исходные данные'!$J$2:$J$954,'Исходные данные'!$D$2:$D$954,CB$1,'Исходные данные'!$F$2:$F$954,$A54)</f>
        <v>0</v>
      </c>
      <c r="CD54" s="9" t="n">
        <f aca="false">SUMIFS('Исходные данные'!$I$2:$I$954,'Исходные данные'!$D$2:$D$954,CD$1,'Исходные данные'!$F$2:$F$954,$A54)</f>
        <v>0</v>
      </c>
      <c r="CE54" s="9" t="n">
        <f aca="false">SUMIFS('Исходные данные'!$J$2:$J$954,'Исходные данные'!$D$2:$D$954,CD$1,'Исходные данные'!$F$2:$F$954,$A54)</f>
        <v>0</v>
      </c>
      <c r="CF54" s="9" t="n">
        <f aca="false">SUMIFS('Исходные данные'!$I$2:$I$954,'Исходные данные'!$D$2:$D$954,CF$1,'Исходные данные'!$F$2:$F$954,$A54)</f>
        <v>0</v>
      </c>
      <c r="CG54" s="9" t="n">
        <f aca="false">SUMIFS('Исходные данные'!$J$2:$J$954,'Исходные данные'!$D$2:$D$954,CF$1,'Исходные данные'!$F$2:$F$954,$A54)</f>
        <v>0</v>
      </c>
      <c r="CH54" s="9" t="n">
        <f aca="false">SUMIFS('Исходные данные'!$I$2:$I$954,'Исходные данные'!$D$2:$D$954,CH$1,'Исходные данные'!$F$2:$F$954,$A54)</f>
        <v>0</v>
      </c>
      <c r="CI54" s="9" t="n">
        <f aca="false">SUMIFS('Исходные данные'!$J$2:$J$954,'Исходные данные'!$D$2:$D$954,CH$1,'Исходные данные'!$F$2:$F$954,$A54)</f>
        <v>0</v>
      </c>
    </row>
    <row r="55" customFormat="false" ht="15" hidden="false" customHeight="false" outlineLevel="0" collapsed="false">
      <c r="A55" s="8" t="s">
        <v>153</v>
      </c>
      <c r="B55" s="9" t="s">
        <v>154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SUMIFS($H55:$CI55,$H$2:$CI$2,"День")</f>
        <v>0</v>
      </c>
      <c r="G55" s="5" t="n">
        <f aca="false">SUMIFS($H55:$CI55,$H$2:$CI$2,"Ночь")</f>
        <v>0</v>
      </c>
      <c r="H55" s="9" t="n">
        <f aca="false">SUMIFS('Исходные данные'!$I$2:$I$954,'Исходные данные'!$D$2:$D$954,H$1,'Исходные данные'!$F$2:$F$954,$A55)</f>
        <v>0</v>
      </c>
      <c r="I55" s="9" t="n">
        <f aca="false">SUMIFS('Исходные данные'!$J$2:$J$954,'Исходные данные'!$D$2:$D$954,H$1,'Исходные данные'!$F$2:$F$954,$A55)</f>
        <v>0</v>
      </c>
      <c r="J55" s="9" t="n">
        <f aca="false">SUMIFS('Исходные данные'!$I$2:$I$954,'Исходные данные'!$D$2:$D$954,J$1,'Исходные данные'!$F$2:$F$954,$A55)</f>
        <v>0</v>
      </c>
      <c r="K55" s="9" t="n">
        <f aca="false">SUMIFS('Исходные данные'!$J$2:$J$954,'Исходные данные'!$D$2:$D$954,J$1,'Исходные данные'!$F$2:$F$954,$A55)</f>
        <v>0</v>
      </c>
      <c r="L55" s="9" t="n">
        <f aca="false">SUMIFS('Исходные данные'!$I$2:$I$954,'Исходные данные'!$D$2:$D$954,L$1,'Исходные данные'!$F$2:$F$954,$A55)</f>
        <v>0</v>
      </c>
      <c r="M55" s="9" t="n">
        <f aca="false">SUMIFS('Исходные данные'!$J$2:$J$954,'Исходные данные'!$D$2:$D$954,L$1,'Исходные данные'!$F$2:$F$954,$A55)</f>
        <v>0</v>
      </c>
      <c r="N55" s="9" t="n">
        <f aca="false">SUMIFS('Исходные данные'!$I$2:$I$954,'Исходные данные'!$D$2:$D$954,N$1,'Исходные данные'!$F$2:$F$954,$A55)</f>
        <v>0</v>
      </c>
      <c r="O55" s="9" t="n">
        <f aca="false">SUMIFS('Исходные данные'!$J$2:$J$954,'Исходные данные'!$D$2:$D$954,N$1,'Исходные данные'!$F$2:$F$954,$A55)</f>
        <v>0</v>
      </c>
      <c r="P55" s="9" t="n">
        <f aca="false">SUMIFS('Исходные данные'!$I$2:$I$954,'Исходные данные'!$D$2:$D$954,P$1,'Исходные данные'!$F$2:$F$954,$A55)</f>
        <v>0</v>
      </c>
      <c r="Q55" s="9" t="n">
        <f aca="false">SUMIFS('Исходные данные'!$J$2:$J$954,'Исходные данные'!$D$2:$D$954,P$1,'Исходные данные'!$F$2:$F$954,$A55)</f>
        <v>0</v>
      </c>
      <c r="R55" s="9" t="n">
        <f aca="false">SUMIFS('Исходные данные'!$I$2:$I$954,'Исходные данные'!$D$2:$D$954,R$1,'Исходные данные'!$F$2:$F$954,$A55)</f>
        <v>0</v>
      </c>
      <c r="S55" s="9" t="n">
        <f aca="false">SUMIFS('Исходные данные'!$J$2:$J$954,'Исходные данные'!$D$2:$D$954,R$1,'Исходные данные'!$F$2:$F$954,$A55)</f>
        <v>0</v>
      </c>
      <c r="T55" s="9" t="n">
        <f aca="false">SUMIFS('Исходные данные'!$I$2:$I$954,'Исходные данные'!$D$2:$D$954,T$1,'Исходные данные'!$F$2:$F$954,$A55)</f>
        <v>0</v>
      </c>
      <c r="U55" s="9" t="n">
        <f aca="false">SUMIFS('Исходные данные'!$J$2:$J$954,'Исходные данные'!$D$2:$D$954,T$1,'Исходные данные'!$F$2:$F$954,$A55)</f>
        <v>0</v>
      </c>
      <c r="V55" s="9" t="n">
        <f aca="false">SUMIFS('Исходные данные'!$I$2:$I$954,'Исходные данные'!$D$2:$D$954,V$1,'Исходные данные'!$F$2:$F$954,$A55)</f>
        <v>0</v>
      </c>
      <c r="W55" s="9" t="n">
        <f aca="false">SUMIFS('Исходные данные'!$J$2:$J$954,'Исходные данные'!$D$2:$D$954,V$1,'Исходные данные'!$F$2:$F$954,$A55)</f>
        <v>0</v>
      </c>
      <c r="X55" s="9" t="n">
        <f aca="false">SUMIFS('Исходные данные'!$I$2:$I$954,'Исходные данные'!$D$2:$D$954,X$1,'Исходные данные'!$F$2:$F$954,$A55)</f>
        <v>0</v>
      </c>
      <c r="Y55" s="9" t="n">
        <f aca="false">SUMIFS('Исходные данные'!$J$2:$J$954,'Исходные данные'!$D$2:$D$954,X$1,'Исходные данные'!$F$2:$F$954,$A55)</f>
        <v>0</v>
      </c>
      <c r="Z55" s="9" t="n">
        <f aca="false">SUMIFS('Исходные данные'!$I$2:$I$954,'Исходные данные'!$D$2:$D$954,Z$1,'Исходные данные'!$F$2:$F$954,$A55)</f>
        <v>0</v>
      </c>
      <c r="AA55" s="9" t="n">
        <f aca="false">SUMIFS('Исходные данные'!$J$2:$J$954,'Исходные данные'!$D$2:$D$954,Z$1,'Исходные данные'!$F$2:$F$954,$A55)</f>
        <v>0</v>
      </c>
      <c r="AB55" s="9" t="n">
        <f aca="false">SUMIFS('Исходные данные'!$I$2:$I$954,'Исходные данные'!$D$2:$D$954,AB$1,'Исходные данные'!$F$2:$F$954,$A55)</f>
        <v>0</v>
      </c>
      <c r="AC55" s="9" t="n">
        <f aca="false">SUMIFS('Исходные данные'!$J$2:$J$954,'Исходные данные'!$D$2:$D$954,AB$1,'Исходные данные'!$F$2:$F$954,$A55)</f>
        <v>0</v>
      </c>
      <c r="AD55" s="9" t="n">
        <f aca="false">SUMIFS('Исходные данные'!$I$2:$I$954,'Исходные данные'!$D$2:$D$954,AD$1,'Исходные данные'!$F$2:$F$954,$A55)</f>
        <v>0</v>
      </c>
      <c r="AE55" s="9" t="n">
        <f aca="false">SUMIFS('Исходные данные'!$J$2:$J$954,'Исходные данные'!$D$2:$D$954,AD$1,'Исходные данные'!$F$2:$F$954,$A55)</f>
        <v>0</v>
      </c>
      <c r="AF55" s="9" t="n">
        <f aca="false">SUMIFS('Исходные данные'!$I$2:$I$954,'Исходные данные'!$D$2:$D$954,AF$1,'Исходные данные'!$F$2:$F$954,$A55)</f>
        <v>0</v>
      </c>
      <c r="AG55" s="9" t="n">
        <f aca="false">SUMIFS('Исходные данные'!$J$2:$J$954,'Исходные данные'!$D$2:$D$954,AF$1,'Исходные данные'!$F$2:$F$954,$A55)</f>
        <v>0</v>
      </c>
      <c r="AH55" s="9" t="n">
        <f aca="false">SUMIFS('Исходные данные'!$I$2:$I$954,'Исходные данные'!$D$2:$D$954,AH$1,'Исходные данные'!$F$2:$F$954,$A55)</f>
        <v>0</v>
      </c>
      <c r="AI55" s="9" t="n">
        <f aca="false">SUMIFS('Исходные данные'!$J$2:$J$954,'Исходные данные'!$D$2:$D$954,AH$1,'Исходные данные'!$F$2:$F$954,$A55)</f>
        <v>0</v>
      </c>
      <c r="AJ55" s="9" t="n">
        <f aca="false">SUMIFS('Исходные данные'!$I$2:$I$954,'Исходные данные'!$D$2:$D$954,AJ$1,'Исходные данные'!$F$2:$F$954,$A55)</f>
        <v>0</v>
      </c>
      <c r="AK55" s="9" t="n">
        <f aca="false">SUMIFS('Исходные данные'!$J$2:$J$954,'Исходные данные'!$D$2:$D$954,AJ$1,'Исходные данные'!$F$2:$F$954,$A55)</f>
        <v>0</v>
      </c>
      <c r="AL55" s="9" t="n">
        <f aca="false">SUMIFS('Исходные данные'!$I$2:$I$954,'Исходные данные'!$D$2:$D$954,AL$1,'Исходные данные'!$F$2:$F$954,$A55)</f>
        <v>0</v>
      </c>
      <c r="AM55" s="9" t="n">
        <f aca="false">SUMIFS('Исходные данные'!$J$2:$J$954,'Исходные данные'!$D$2:$D$954,AL$1,'Исходные данные'!$F$2:$F$954,$A55)</f>
        <v>0</v>
      </c>
      <c r="AN55" s="9" t="n">
        <f aca="false">SUMIFS('Исходные данные'!$I$2:$I$954,'Исходные данные'!$D$2:$D$954,AN$1,'Исходные данные'!$F$2:$F$954,$A55)</f>
        <v>0</v>
      </c>
      <c r="AO55" s="9" t="n">
        <f aca="false">SUMIFS('Исходные данные'!$J$2:$J$954,'Исходные данные'!$D$2:$D$954,AN$1,'Исходные данные'!$F$2:$F$954,$A55)</f>
        <v>0</v>
      </c>
      <c r="AP55" s="9" t="n">
        <f aca="false">SUMIFS('Исходные данные'!$I$2:$I$954,'Исходные данные'!$D$2:$D$954,AP$1,'Исходные данные'!$F$2:$F$954,$A55)</f>
        <v>0</v>
      </c>
      <c r="AQ55" s="9" t="n">
        <f aca="false">SUMIFS('Исходные данные'!$J$2:$J$954,'Исходные данные'!$D$2:$D$954,AP$1,'Исходные данные'!$F$2:$F$954,$A55)</f>
        <v>0</v>
      </c>
      <c r="AR55" s="9" t="n">
        <f aca="false">SUMIFS('Исходные данные'!$I$2:$I$954,'Исходные данные'!$D$2:$D$954,AR$1,'Исходные данные'!$F$2:$F$954,$A55)</f>
        <v>0</v>
      </c>
      <c r="AS55" s="9" t="n">
        <f aca="false">SUMIFS('Исходные данные'!$J$2:$J$954,'Исходные данные'!$D$2:$D$954,AR$1,'Исходные данные'!$F$2:$F$954,$A55)</f>
        <v>0</v>
      </c>
      <c r="AT55" s="9" t="n">
        <f aca="false">SUMIFS('Исходные данные'!$I$2:$I$954,'Исходные данные'!$D$2:$D$954,AT$1,'Исходные данные'!$F$2:$F$954,$A55)</f>
        <v>0</v>
      </c>
      <c r="AU55" s="9" t="n">
        <f aca="false">SUMIFS('Исходные данные'!$J$2:$J$954,'Исходные данные'!$D$2:$D$954,AT$1,'Исходные данные'!$F$2:$F$954,$A55)</f>
        <v>0</v>
      </c>
      <c r="AV55" s="9" t="n">
        <f aca="false">SUMIFS('Исходные данные'!$I$2:$I$954,'Исходные данные'!$D$2:$D$954,AV$1,'Исходные данные'!$F$2:$F$954,$A55)</f>
        <v>0</v>
      </c>
      <c r="AW55" s="9" t="n">
        <f aca="false">SUMIFS('Исходные данные'!$J$2:$J$954,'Исходные данные'!$D$2:$D$954,AV$1,'Исходные данные'!$F$2:$F$954,$A55)</f>
        <v>0</v>
      </c>
      <c r="AX55" s="9" t="n">
        <f aca="false">SUMIFS('Исходные данные'!$I$2:$I$954,'Исходные данные'!$D$2:$D$954,AX$1,'Исходные данные'!$F$2:$F$954,$A55)</f>
        <v>0</v>
      </c>
      <c r="AY55" s="9" t="n">
        <f aca="false">SUMIFS('Исходные данные'!$J$2:$J$954,'Исходные данные'!$D$2:$D$954,AX$1,'Исходные данные'!$F$2:$F$954,$A55)</f>
        <v>0</v>
      </c>
      <c r="AZ55" s="9" t="n">
        <f aca="false">SUMIFS('Исходные данные'!$I$2:$I$954,'Исходные данные'!$D$2:$D$954,AZ$1,'Исходные данные'!$F$2:$F$954,$A55)</f>
        <v>0</v>
      </c>
      <c r="BA55" s="9" t="n">
        <f aca="false">SUMIFS('Исходные данные'!$J$2:$J$954,'Исходные данные'!$D$2:$D$954,AZ$1,'Исходные данные'!$F$2:$F$954,$A55)</f>
        <v>0</v>
      </c>
      <c r="BB55" s="9" t="n">
        <f aca="false">SUMIFS('Исходные данные'!$I$2:$I$954,'Исходные данные'!$D$2:$D$954,BB$1,'Исходные данные'!$F$2:$F$954,$A55)</f>
        <v>0</v>
      </c>
      <c r="BC55" s="9" t="n">
        <f aca="false">SUMIFS('Исходные данные'!$J$2:$J$954,'Исходные данные'!$D$2:$D$954,BB$1,'Исходные данные'!$F$2:$F$954,$A55)</f>
        <v>0</v>
      </c>
      <c r="BD55" s="9" t="n">
        <f aca="false">SUMIFS('Исходные данные'!$I$2:$I$954,'Исходные данные'!$D$2:$D$954,BD$1,'Исходные данные'!$F$2:$F$954,$A55)</f>
        <v>0</v>
      </c>
      <c r="BE55" s="9" t="n">
        <f aca="false">SUMIFS('Исходные данные'!$J$2:$J$954,'Исходные данные'!$D$2:$D$954,BD$1,'Исходные данные'!$F$2:$F$954,$A55)</f>
        <v>0</v>
      </c>
      <c r="BF55" s="9" t="n">
        <f aca="false">SUMIFS('Исходные данные'!$I$2:$I$954,'Исходные данные'!$D$2:$D$954,BF$1,'Исходные данные'!$F$2:$F$954,$A55)</f>
        <v>0</v>
      </c>
      <c r="BG55" s="9" t="n">
        <f aca="false">SUMIFS('Исходные данные'!$J$2:$J$954,'Исходные данные'!$D$2:$D$954,BF$1,'Исходные данные'!$F$2:$F$954,$A55)</f>
        <v>0</v>
      </c>
      <c r="BH55" s="9" t="n">
        <f aca="false">SUMIFS('Исходные данные'!$I$2:$I$954,'Исходные данные'!$D$2:$D$954,BH$1,'Исходные данные'!$F$2:$F$954,$A55)</f>
        <v>0</v>
      </c>
      <c r="BI55" s="9" t="n">
        <f aca="false">SUMIFS('Исходные данные'!$J$2:$J$954,'Исходные данные'!$D$2:$D$954,BH$1,'Исходные данные'!$F$2:$F$954,$A55)</f>
        <v>0</v>
      </c>
      <c r="BJ55" s="9" t="n">
        <f aca="false">SUMIFS('Исходные данные'!$I$2:$I$954,'Исходные данные'!$D$2:$D$954,BJ$1,'Исходные данные'!$F$2:$F$954,$A55)</f>
        <v>0</v>
      </c>
      <c r="BK55" s="9" t="n">
        <f aca="false">SUMIFS('Исходные данные'!$J$2:$J$954,'Исходные данные'!$D$2:$D$954,BJ$1,'Исходные данные'!$F$2:$F$954,$A55)</f>
        <v>0</v>
      </c>
      <c r="BL55" s="9" t="n">
        <f aca="false">SUMIFS('Исходные данные'!$I$2:$I$954,'Исходные данные'!$D$2:$D$954,BL$1,'Исходные данные'!$F$2:$F$954,$A55)</f>
        <v>0</v>
      </c>
      <c r="BM55" s="9" t="n">
        <f aca="false">SUMIFS('Исходные данные'!$J$2:$J$954,'Исходные данные'!$D$2:$D$954,BL$1,'Исходные данные'!$F$2:$F$954,$A55)</f>
        <v>0</v>
      </c>
      <c r="BN55" s="9" t="n">
        <f aca="false">SUMIFS('Исходные данные'!$I$2:$I$954,'Исходные данные'!$D$2:$D$954,BN$1,'Исходные данные'!$F$2:$F$954,$A55)</f>
        <v>0</v>
      </c>
      <c r="BO55" s="9" t="n">
        <f aca="false">SUMIFS('Исходные данные'!$J$2:$J$954,'Исходные данные'!$D$2:$D$954,BN$1,'Исходные данные'!$F$2:$F$954,$A55)</f>
        <v>0</v>
      </c>
      <c r="BP55" s="9" t="n">
        <f aca="false">SUMIFS('Исходные данные'!$I$2:$I$954,'Исходные данные'!$D$2:$D$954,BP$1,'Исходные данные'!$F$2:$F$954,$A55)</f>
        <v>0</v>
      </c>
      <c r="BQ55" s="9" t="n">
        <f aca="false">SUMIFS('Исходные данные'!$J$2:$J$954,'Исходные данные'!$D$2:$D$954,BP$1,'Исходные данные'!$F$2:$F$954,$A55)</f>
        <v>0</v>
      </c>
      <c r="BR55" s="9" t="n">
        <f aca="false">SUMIFS('Исходные данные'!$I$2:$I$954,'Исходные данные'!$D$2:$D$954,BR$1,'Исходные данные'!$F$2:$F$954,$A55)</f>
        <v>0</v>
      </c>
      <c r="BS55" s="9" t="n">
        <f aca="false">SUMIFS('Исходные данные'!$J$2:$J$954,'Исходные данные'!$D$2:$D$954,BR$1,'Исходные данные'!$F$2:$F$954,$A55)</f>
        <v>0</v>
      </c>
      <c r="BT55" s="9" t="n">
        <f aca="false">SUMIFS('Исходные данные'!$I$2:$I$954,'Исходные данные'!$D$2:$D$954,BT$1,'Исходные данные'!$F$2:$F$954,$A55)</f>
        <v>0</v>
      </c>
      <c r="BU55" s="9" t="n">
        <f aca="false">SUMIFS('Исходные данные'!$J$2:$J$954,'Исходные данные'!$D$2:$D$954,BT$1,'Исходные данные'!$F$2:$F$954,$A55)</f>
        <v>0</v>
      </c>
      <c r="BV55" s="9" t="n">
        <f aca="false">SUMIFS('Исходные данные'!$I$2:$I$954,'Исходные данные'!$D$2:$D$954,BV$1,'Исходные данные'!$F$2:$F$954,$A55)</f>
        <v>0</v>
      </c>
      <c r="BW55" s="9" t="n">
        <f aca="false">SUMIFS('Исходные данные'!$J$2:$J$954,'Исходные данные'!$D$2:$D$954,BV$1,'Исходные данные'!$F$2:$F$954,$A55)</f>
        <v>0</v>
      </c>
      <c r="BX55" s="9" t="n">
        <f aca="false">SUMIFS('Исходные данные'!$I$2:$I$954,'Исходные данные'!$D$2:$D$954,BX$1,'Исходные данные'!$F$2:$F$954,$A55)</f>
        <v>0</v>
      </c>
      <c r="BY55" s="9" t="n">
        <f aca="false">SUMIFS('Исходные данные'!$J$2:$J$954,'Исходные данные'!$D$2:$D$954,BX$1,'Исходные данные'!$F$2:$F$954,$A55)</f>
        <v>0</v>
      </c>
      <c r="BZ55" s="9" t="n">
        <f aca="false">SUMIFS('Исходные данные'!$I$2:$I$954,'Исходные данные'!$D$2:$D$954,BZ$1,'Исходные данные'!$F$2:$F$954,$A55)</f>
        <v>0</v>
      </c>
      <c r="CA55" s="9" t="n">
        <f aca="false">SUMIFS('Исходные данные'!$J$2:$J$954,'Исходные данные'!$D$2:$D$954,BZ$1,'Исходные данные'!$F$2:$F$954,$A55)</f>
        <v>0</v>
      </c>
      <c r="CB55" s="9" t="n">
        <f aca="false">SUMIFS('Исходные данные'!$I$2:$I$954,'Исходные данные'!$D$2:$D$954,CB$1,'Исходные данные'!$F$2:$F$954,$A55)</f>
        <v>0</v>
      </c>
      <c r="CC55" s="9" t="n">
        <f aca="false">SUMIFS('Исходные данные'!$J$2:$J$954,'Исходные данные'!$D$2:$D$954,CB$1,'Исходные данные'!$F$2:$F$954,$A55)</f>
        <v>0</v>
      </c>
      <c r="CD55" s="9" t="n">
        <f aca="false">SUMIFS('Исходные данные'!$I$2:$I$954,'Исходные данные'!$D$2:$D$954,CD$1,'Исходные данные'!$F$2:$F$954,$A55)</f>
        <v>0</v>
      </c>
      <c r="CE55" s="9" t="n">
        <f aca="false">SUMIFS('Исходные данные'!$J$2:$J$954,'Исходные данные'!$D$2:$D$954,CD$1,'Исходные данные'!$F$2:$F$954,$A55)</f>
        <v>0</v>
      </c>
      <c r="CF55" s="9" t="n">
        <f aca="false">SUMIFS('Исходные данные'!$I$2:$I$954,'Исходные данные'!$D$2:$D$954,CF$1,'Исходные данные'!$F$2:$F$954,$A55)</f>
        <v>0</v>
      </c>
      <c r="CG55" s="9" t="n">
        <f aca="false">SUMIFS('Исходные данные'!$J$2:$J$954,'Исходные данные'!$D$2:$D$954,CF$1,'Исходные данные'!$F$2:$F$954,$A55)</f>
        <v>0</v>
      </c>
      <c r="CH55" s="9" t="n">
        <f aca="false">SUMIFS('Исходные данные'!$I$2:$I$954,'Исходные данные'!$D$2:$D$954,CH$1,'Исходные данные'!$F$2:$F$954,$A55)</f>
        <v>0</v>
      </c>
      <c r="CI55" s="9" t="n">
        <f aca="false">SUMIFS('Исходные данные'!$J$2:$J$954,'Исходные данные'!$D$2:$D$954,CH$1,'Исходные данные'!$F$2:$F$954,$A55)</f>
        <v>0</v>
      </c>
    </row>
    <row r="56" customFormat="false" ht="15" hidden="false" customHeight="false" outlineLevel="0" collapsed="false">
      <c r="A56" s="10"/>
      <c r="B56" s="10" t="s">
        <v>155</v>
      </c>
      <c r="C56" s="7" t="n">
        <f aca="false">SUM(C3:C55)</f>
        <v>711</v>
      </c>
      <c r="D56" s="7" t="n">
        <f aca="false">SUM(D3:D55)</f>
        <v>677</v>
      </c>
      <c r="E56" s="7" t="n">
        <f aca="false">SUM(E3:E55)</f>
        <v>-34</v>
      </c>
      <c r="F56" s="7" t="n">
        <f aca="false">SUM(F3:F55)</f>
        <v>525</v>
      </c>
      <c r="G56" s="7" t="n">
        <f aca="false">SUM(G3:G55)</f>
        <v>152</v>
      </c>
      <c r="H56" s="10" t="n">
        <f aca="false">SUM(H3:H55)</f>
        <v>44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60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23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17</v>
      </c>
      <c r="AE56" s="10" t="n">
        <f aca="false">SUM(AE3:AE55)</f>
        <v>3</v>
      </c>
      <c r="AF56" s="10" t="n">
        <f aca="false">SUM(AF3:AF55)</f>
        <v>14</v>
      </c>
      <c r="AG56" s="10" t="n">
        <f aca="false">SUM(AG3:AG55)</f>
        <v>0</v>
      </c>
      <c r="AH56" s="10" t="n">
        <f aca="false">SUM(AH3:AH55)</f>
        <v>60</v>
      </c>
      <c r="AI56" s="10" t="n">
        <f aca="false">SUM(AI3:AI55)</f>
        <v>47</v>
      </c>
      <c r="AJ56" s="10" t="n">
        <f aca="false">SUM(AJ3:AJ55)</f>
        <v>30</v>
      </c>
      <c r="AK56" s="10" t="n">
        <f aca="false">SUM(AK3:AK55)</f>
        <v>28</v>
      </c>
      <c r="AL56" s="10" t="n">
        <f aca="false">SUM(AL3:AL55)</f>
        <v>23</v>
      </c>
      <c r="AM56" s="10" t="n">
        <f aca="false">SUM(AM3:AM55)</f>
        <v>6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0</v>
      </c>
      <c r="BX56" s="10" t="n">
        <f aca="false">SUM(BX3:BX55)</f>
        <v>3</v>
      </c>
      <c r="BY56" s="10" t="n">
        <f aca="false">SUM(BY3:BY55)</f>
        <v>1</v>
      </c>
      <c r="BZ56" s="10" t="n">
        <f aca="false">SUM(BZ3:BZ55)</f>
        <v>2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8</v>
      </c>
      <c r="CI56" s="10" t="n">
        <f aca="false">SUM(CI3:CI55)</f>
        <v>6</v>
      </c>
    </row>
    <row r="57" customFormat="false" ht="15" hidden="false" customHeight="false" outlineLevel="0" collapsed="false">
      <c r="A57" s="10"/>
      <c r="B57" s="10" t="s">
        <v>156</v>
      </c>
      <c r="C57" s="7"/>
      <c r="D57" s="7" t="n">
        <f aca="false">D56</f>
        <v>677</v>
      </c>
      <c r="E57" s="7"/>
      <c r="F57" s="7"/>
      <c r="G57" s="7"/>
      <c r="H57" s="11" t="n">
        <f aca="false">H56+I56</f>
        <v>58</v>
      </c>
      <c r="I57" s="11"/>
      <c r="J57" s="11" t="n">
        <f aca="false">J56+K56</f>
        <v>41</v>
      </c>
      <c r="K57" s="11"/>
      <c r="L57" s="11" t="n">
        <f aca="false">L56+M56</f>
        <v>75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25</v>
      </c>
      <c r="U57" s="11"/>
      <c r="V57" s="11" t="n">
        <f aca="false">V56+W56</f>
        <v>12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20</v>
      </c>
      <c r="AE57" s="11"/>
      <c r="AF57" s="11" t="n">
        <f aca="false">AF56+AG56</f>
        <v>14</v>
      </c>
      <c r="AG57" s="11"/>
      <c r="AH57" s="11" t="n">
        <f aca="false">AH56+AI56</f>
        <v>107</v>
      </c>
      <c r="AI57" s="11"/>
      <c r="AJ57" s="11" t="n">
        <f aca="false">AJ56+AK56</f>
        <v>58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4</v>
      </c>
      <c r="BW57" s="11"/>
      <c r="BX57" s="11" t="n">
        <f aca="false">BX56+BY56</f>
        <v>4</v>
      </c>
      <c r="BY57" s="11"/>
      <c r="BZ57" s="11" t="n">
        <f aca="false">BZ56+CA56</f>
        <v>3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</v>
      </c>
      <c r="CG57" s="11"/>
      <c r="CH57" s="11" t="n">
        <f aca="false">CH56+CI56</f>
        <v>14</v>
      </c>
      <c r="CI57" s="11"/>
    </row>
  </sheetData>
  <mergeCells count="87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</cols>
  <sheetData>
    <row r="1" customFormat="false" ht="13.5" hidden="false" customHeight="true" outlineLevel="0" collapsed="false">
      <c r="A1" s="12" t="s">
        <v>157</v>
      </c>
      <c r="B1" s="12"/>
      <c r="C1" s="12"/>
      <c r="D1" s="12"/>
      <c r="E1" s="12"/>
      <c r="F1" s="12"/>
      <c r="G1" s="12"/>
      <c r="H1" s="13" t="s">
        <v>158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159</v>
      </c>
      <c r="C3" s="16"/>
      <c r="D3" s="17"/>
      <c r="E3" s="16" t="s">
        <v>160</v>
      </c>
      <c r="F3" s="16"/>
      <c r="G3" s="18"/>
      <c r="H3" s="19"/>
      <c r="I3" s="20" t="s">
        <v>161</v>
      </c>
      <c r="J3" s="21" t="s">
        <v>2</v>
      </c>
      <c r="K3" s="22" t="s">
        <v>3</v>
      </c>
      <c r="L3" s="23" t="s">
        <v>4</v>
      </c>
      <c r="M3" s="24" t="s">
        <v>47</v>
      </c>
      <c r="N3" s="24" t="s">
        <v>48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162</v>
      </c>
      <c r="C4" s="29" t="s">
        <v>7</v>
      </c>
      <c r="D4" s="30"/>
      <c r="E4" s="30" t="s">
        <v>163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данные'!$I$2:$I$954,'Исходные данные'!$D$2:$D$954,O$3,'Исходные данные'!$F$2:$F$954,$H5&amp;"",'Исходные данные'!$L$2:$L$954,"УТТ")+SUMIFS('Исходные данные'!$J$2:$J$954,'Исходные данные'!$D$2:$D$954,O$3,'Исходные данные'!$F$2:$F$954,$H5&amp;"",'Исходные данные'!$L$2:$L$954,"УТТ")=0,"","утт-"&amp;(SUMIFS('Исходные данные'!$I$2:$I$954,'Исходные данные'!$D$2:$D$954,O$3,'Исходные данные'!$F$2:$F$954,$H5&amp;"",'Исходные данные'!$L$2:$L$954,"УТТ")+SUMIFS('Исходные данные'!$J$2:$J$954,'Исходные данные'!$D$2:$D$954,O$3,'Исходные данные'!$F$2:$F$954,$H5&amp;"",'Исходные данные'!$L$2:$L$954,"УТТ")))</f>
        <v>утт-1</v>
      </c>
      <c r="P4" s="39" t="str">
        <f aca="false">IF(SUMIFS('Исходные данные'!$I$2:$I$954,'Исходные данные'!$D$2:$D$954,P$3,'Исходные данные'!$F$2:$F$954,$H5&amp;"",'Исходные данные'!$L$2:$L$954,"УТТ")+SUMIFS('Исходные данные'!$J$2:$J$954,'Исходные данные'!$D$2:$D$954,P$3,'Исходные данные'!$F$2:$F$954,$H5&amp;"",'Исходные данные'!$L$2:$L$954,"УТТ")=0,"","утт-"&amp;(SUMIFS('Исходные данные'!$I$2:$I$954,'Исходные данные'!$D$2:$D$954,P$3,'Исходные данные'!$F$2:$F$954,$H5&amp;"",'Исходные данные'!$L$2:$L$954,"УТТ")+SUMIFS('Исходные данные'!$J$2:$J$954,'Исходные данные'!$D$2:$D$954,P$3,'Исходные данные'!$F$2:$F$954,$H5&amp;"",'Исходные данные'!$L$2:$L$954,"УТТ")))</f>
        <v>утт-1</v>
      </c>
      <c r="Q4" s="38" t="str">
        <f aca="false">IF(SUMIFS('Исходные данные'!$I$2:$I$954,'Исходные данные'!$D$2:$D$954,Q$3,'Исходные данные'!$F$2:$F$954,$H5&amp;"",'Исходные данные'!$L$2:$L$954,"УТТ")+SUMIFS('Исходные данные'!$J$2:$J$954,'Исходные данные'!$D$2:$D$954,Q$3,'Исходные данные'!$F$2:$F$954,$H5&amp;"",'Исходные данные'!$L$2:$L$954,"УТТ")=0,"","утт-"&amp;(SUMIFS('Исходные данные'!$I$2:$I$954,'Исходные данные'!$D$2:$D$954,Q$3,'Исходные данные'!$F$2:$F$954,$H5&amp;"",'Исходные данные'!$L$2:$L$954,"УТТ")+SUMIFS('Исходные данные'!$J$2:$J$954,'Исходные данные'!$D$2:$D$954,Q$3,'Исходные данные'!$F$2:$F$954,$H5&amp;"",'Исходные данные'!$L$2:$L$954,"УТТ")))</f>
        <v/>
      </c>
      <c r="R4" s="40" t="str">
        <f aca="false">IF(SUMIFS('Исходные данные'!$I$2:$I$954,'Исходные данные'!$D$2:$D$954,R$3,'Исходные данные'!$F$2:$F$954,$H5&amp;"",'Исходные данные'!$L$2:$L$954,"УТТ")+SUMIFS('Исходные данные'!$J$2:$J$954,'Исходные данные'!$D$2:$D$954,R$3,'Исходные данные'!$F$2:$F$954,$H5&amp;"",'Исходные данные'!$L$2:$L$954,"УТТ")=0,"","утт-"&amp;(SUMIFS('Исходные данные'!$I$2:$I$954,'Исходные данные'!$D$2:$D$954,R$3,'Исходные данные'!$F$2:$F$954,$H5&amp;"",'Исходные данные'!$L$2:$L$954,"УТТ")+SUMIFS('Исходные данные'!$J$2:$J$954,'Исходные данные'!$D$2:$D$954,R$3,'Исходные данные'!$F$2:$F$954,$H5&amp;"",'Исходные данные'!$L$2:$L$954,"УТТ")))</f>
        <v/>
      </c>
      <c r="S4" s="41" t="str">
        <f aca="false">IF(SUMIFS('Исходные данные'!$I$2:$I$954,'Исходные данные'!$D$2:$D$954,S$3,'Исходные данные'!$F$2:$F$954,$H5&amp;"",'Исходные данные'!$L$2:$L$954,"УТТ")+SUMIFS('Исходные данные'!$J$2:$J$954,'Исходные данные'!$D$2:$D$954,S$3,'Исходные данные'!$F$2:$F$954,$H5&amp;"",'Исходные данные'!$L$2:$L$954,"УТТ")=0,"","утт-"&amp;(SUMIFS('Исходные данные'!$I$2:$I$954,'Исходные данные'!$D$2:$D$954,S$3,'Исходные данные'!$F$2:$F$954,$H5&amp;"",'Исходные данные'!$L$2:$L$954,"УТТ")+SUMIFS('Исходные данные'!$J$2:$J$954,'Исходные данные'!$D$2:$D$954,S$3,'Исходные данные'!$F$2:$F$954,$H5&amp;"",'Исходные данные'!$L$2:$L$954,"УТТ")))</f>
        <v/>
      </c>
      <c r="T4" s="38" t="str">
        <f aca="false">IF(SUMIFS('Исходные данные'!$I$2:$I$954,'Исходные данные'!$D$2:$D$954,T$3,'Исходные данные'!$F$2:$F$954,$H5&amp;"",'Исходные данные'!$L$2:$L$954,"УТТ")+SUMIFS('Исходные данные'!$J$2:$J$954,'Исходные данные'!$D$2:$D$954,T$3,'Исходные данные'!$F$2:$F$954,$H5&amp;"",'Исходные данные'!$L$2:$L$954,"УТТ")=0,"","утт-"&amp;(SUMIFS('Исходные данные'!$I$2:$I$954,'Исходные данные'!$D$2:$D$954,T$3,'Исходные данные'!$F$2:$F$954,$H5&amp;"",'Исходные данные'!$L$2:$L$954,"УТТ")+SUMIFS('Исходные данные'!$J$2:$J$954,'Исходные данные'!$D$2:$D$954,T$3,'Исходные данные'!$F$2:$F$954,$H5&amp;"",'Исходные данные'!$L$2:$L$954,"УТТ")))</f>
        <v/>
      </c>
      <c r="U4" s="41" t="str">
        <f aca="false">IF(SUMIFS('Исходные данные'!$I$2:$I$954,'Исходные данные'!$D$2:$D$954,U$3,'Исходные данные'!$F$2:$F$954,$H5&amp;"",'Исходные данные'!$L$2:$L$954,"УТТ")+SUMIFS('Исходные данные'!$J$2:$J$954,'Исходные данные'!$D$2:$D$954,U$3,'Исходные данные'!$F$2:$F$954,$H5&amp;"",'Исходные данные'!$L$2:$L$954,"УТТ")=0,"","утт-"&amp;(SUMIFS('Исходные данные'!$I$2:$I$954,'Исходные данные'!$D$2:$D$954,U$3,'Исходные данные'!$F$2:$F$954,$H5&amp;"",'Исходные данные'!$L$2:$L$954,"УТТ")+SUMIFS('Исходные данные'!$J$2:$J$954,'Исходные данные'!$D$2:$D$954,U$3,'Исходные данные'!$F$2:$F$954,$H5&amp;"",'Исходные данные'!$L$2:$L$954,"УТТ")))</f>
        <v/>
      </c>
      <c r="V4" s="38" t="str">
        <f aca="false">IF(SUMIFS('Исходные данные'!$I$2:$I$954,'Исходные данные'!$D$2:$D$954,V$3,'Исходные данные'!$F$2:$F$954,$H5&amp;"",'Исходные данные'!$L$2:$L$954,"УТТ")+SUMIFS('Исходные данные'!$J$2:$J$954,'Исходные данные'!$D$2:$D$954,V$3,'Исходные данные'!$F$2:$F$954,$H5&amp;"",'Исходные данные'!$L$2:$L$954,"УТТ")=0,"","утт-"&amp;(SUMIFS('Исходные данные'!$I$2:$I$954,'Исходные данные'!$D$2:$D$954,V$3,'Исходные данные'!$F$2:$F$954,$H5&amp;"",'Исходные данные'!$L$2:$L$954,"УТТ")+SUMIFS('Исходные данные'!$J$2:$J$954,'Исходные данные'!$D$2:$D$954,V$3,'Исходные данные'!$F$2:$F$954,$H5&amp;"",'Исходные данные'!$L$2:$L$954,"УТТ")))</f>
        <v/>
      </c>
      <c r="W4" s="41" t="str">
        <f aca="false">IF(SUMIFS('Исходные данные'!$I$2:$I$954,'Исходные данные'!$D$2:$D$954,W$3,'Исходные данные'!$F$2:$F$954,$H5&amp;"",'Исходные данные'!$L$2:$L$954,"УТТ")+SUMIFS('Исходные данные'!$J$2:$J$954,'Исходные данные'!$D$2:$D$954,W$3,'Исходные данные'!$F$2:$F$954,$H5&amp;"",'Исходные данные'!$L$2:$L$954,"УТТ")=0,"","утт-"&amp;(SUMIFS('Исходные данные'!$I$2:$I$954,'Исходные данные'!$D$2:$D$954,W$3,'Исходные данные'!$F$2:$F$954,$H5&amp;"",'Исходные данные'!$L$2:$L$954,"УТТ")+SUMIFS('Исходные данные'!$J$2:$J$954,'Исходные данные'!$D$2:$D$954,W$3,'Исходные данные'!$F$2:$F$954,$H5&amp;"",'Исходные данные'!$L$2:$L$954,"УТТ")))</f>
        <v/>
      </c>
      <c r="X4" s="41" t="str">
        <f aca="false">IF(SUMIFS('Исходные данные'!$I$2:$I$954,'Исходные данные'!$D$2:$D$954,X$3,'Исходные данные'!$F$2:$F$954,$H5&amp;"",'Исходные данные'!$L$2:$L$954,"УТТ")+SUMIFS('Исходные данные'!$J$2:$J$954,'Исходные данные'!$D$2:$D$954,X$3,'Исходные данные'!$F$2:$F$954,$H5&amp;"",'Исходные данные'!$L$2:$L$954,"УТТ")=0,"","утт-"&amp;(SUMIFS('Исходные данные'!$I$2:$I$954,'Исходные данные'!$D$2:$D$954,X$3,'Исходные данные'!$F$2:$F$954,$H5&amp;"",'Исходные данные'!$L$2:$L$954,"УТТ")+SUMIFS('Исходные данные'!$J$2:$J$954,'Исходные данные'!$D$2:$D$954,X$3,'Исходные данные'!$F$2:$F$954,$H5&amp;"",'Исходные данные'!$L$2:$L$954,"УТТ")))</f>
        <v/>
      </c>
      <c r="Y4" s="42" t="str">
        <f aca="false">IF(SUMIFS('Исходные данные'!$I$2:$I$954,'Исходные данные'!$D$2:$D$954,Y$3,'Исходные данные'!$F$2:$F$954,$H5&amp;"",'Исходные данные'!$L$2:$L$954,"УТТ")+SUMIFS('Исходные данные'!$J$2:$J$954,'Исходные данные'!$D$2:$D$954,Y$3,'Исходные данные'!$F$2:$F$954,$H5&amp;"",'Исходные данные'!$L$2:$L$954,"УТТ")=0,"","утт-"&amp;(SUMIFS('Исходные данные'!$I$2:$I$954,'Исходные данные'!$D$2:$D$954,Y$3,'Исходные данные'!$F$2:$F$954,$H5&amp;"",'Исходные данные'!$L$2:$L$954,"УТТ")+SUMIFS('Исходные данные'!$J$2:$J$954,'Исходные данные'!$D$2:$D$954,Y$3,'Исходные данные'!$F$2:$F$954,$H5&amp;"",'Исходные данные'!$L$2:$L$954,"УТТ")))</f>
        <v/>
      </c>
      <c r="Z4" s="38" t="str">
        <f aca="false">IF(SUMIFS('Исходные данные'!$I$2:$I$954,'Исходные данные'!$D$2:$D$954,Z$3,'Исходные данные'!$F$2:$F$954,$H5&amp;"",'Исходные данные'!$L$2:$L$954,"УТТ")+SUMIFS('Исходные данные'!$J$2:$J$954,'Исходные данные'!$D$2:$D$954,Z$3,'Исходные данные'!$F$2:$F$954,$H5&amp;"",'Исходные данные'!$L$2:$L$954,"УТТ")=0,"","утт-"&amp;(SUMIFS('Исходные данные'!$I$2:$I$954,'Исходные данные'!$D$2:$D$954,Z$3,'Исходные данные'!$F$2:$F$954,$H5&amp;"",'Исходные данные'!$L$2:$L$954,"УТТ")+SUMIFS('Исходные данные'!$J$2:$J$954,'Исходные данные'!$D$2:$D$954,Z$3,'Исходные данные'!$F$2:$F$954,$H5&amp;"",'Исходные данные'!$L$2:$L$954,"УТТ")))</f>
        <v/>
      </c>
      <c r="AA4" s="39" t="str">
        <f aca="false">IF(SUMIFS('Исходные данные'!$I$2:$I$954,'Исходные данные'!$D$2:$D$954,AA$3,'Исходные данные'!$F$2:$F$954,$H5&amp;"",'Исходные данные'!$L$2:$L$954,"УТТ")+SUMIFS('Исходные данные'!$J$2:$J$954,'Исходные данные'!$D$2:$D$954,AA$3,'Исходные данные'!$F$2:$F$954,$H5&amp;"",'Исходные данные'!$L$2:$L$954,"УТТ")=0,"","утт-"&amp;(SUMIFS('Исходные данные'!$I$2:$I$954,'Исходные данные'!$D$2:$D$954,AA$3,'Исходные данные'!$F$2:$F$954,$H5&amp;"",'Исходные данные'!$L$2:$L$954,"УТТ")+SUMIFS('Исходные данные'!$J$2:$J$954,'Исходные данные'!$D$2:$D$954,AA$3,'Исходные данные'!$F$2:$F$954,$H5&amp;"",'Исходные данные'!$L$2:$L$954,"УТТ")))</f>
        <v/>
      </c>
      <c r="AB4" s="39" t="str">
        <f aca="false">IF(SUMIFS('Исходные данные'!$I$2:$I$954,'Исходные данные'!$D$2:$D$954,AB$3,'Исходные данные'!$F$2:$F$954,$H5&amp;"",'Исходные данные'!$L$2:$L$954,"УТТ")+SUMIFS('Исходные данные'!$J$2:$J$954,'Исходные данные'!$D$2:$D$954,AB$3,'Исходные данные'!$F$2:$F$954,$H5&amp;"",'Исходные данные'!$L$2:$L$954,"УТТ")=0,"","утт-"&amp;(SUMIFS('Исходные данные'!$I$2:$I$954,'Исходные данные'!$D$2:$D$954,AB$3,'Исходные данные'!$F$2:$F$954,$H5&amp;"",'Исходные данные'!$L$2:$L$954,"УТТ")+SUMIFS('Исходные данные'!$J$2:$J$954,'Исходные данные'!$D$2:$D$954,AB$3,'Исходные данные'!$F$2:$F$954,$H5&amp;"",'Исходные данные'!$L$2:$L$954,"УТТ")))</f>
        <v/>
      </c>
      <c r="AC4" s="38" t="str">
        <f aca="false">IF(SUMIFS('Исходные данные'!$I$2:$I$954,'Исходные данные'!$D$2:$D$954,AC$3,'Исходные данные'!$F$2:$F$954,$H5&amp;"",'Исходные данные'!$L$2:$L$954,"УТТ")+SUMIFS('Исходные данные'!$J$2:$J$954,'Исходные данные'!$D$2:$D$954,AC$3,'Исходные данные'!$F$2:$F$954,$H5&amp;"",'Исходные данные'!$L$2:$L$954,"УТТ")=0,"","утт-"&amp;(SUMIFS('Исходные данные'!$I$2:$I$954,'Исходные данные'!$D$2:$D$954,AC$3,'Исходные данные'!$F$2:$F$954,$H5&amp;"",'Исходные данные'!$L$2:$L$954,"УТТ")+SUMIFS('Исходные данные'!$J$2:$J$954,'Исходные данные'!$D$2:$D$954,AC$3,'Исходные данные'!$F$2:$F$954,$H5&amp;"",'Исходные данные'!$L$2:$L$954,"УТТ")))</f>
        <v/>
      </c>
      <c r="AD4" s="39" t="str">
        <f aca="false">IF(SUMIFS('Исходные данные'!$I$2:$I$954,'Исходные данные'!$D$2:$D$954,AD$3,'Исходные данные'!$F$2:$F$954,$H5&amp;"",'Исходные данные'!$L$2:$L$954,"УТТ")+SUMIFS('Исходные данные'!$J$2:$J$954,'Исходные данные'!$D$2:$D$954,AD$3,'Исходные данные'!$F$2:$F$954,$H5&amp;"",'Исходные данные'!$L$2:$L$954,"УТТ")=0,"","утт-"&amp;(SUMIFS('Исходные данные'!$I$2:$I$954,'Исходные данные'!$D$2:$D$954,AD$3,'Исходные данные'!$F$2:$F$954,$H5&amp;"",'Исходные данные'!$L$2:$L$954,"УТТ")+SUMIFS('Исходные данные'!$J$2:$J$954,'Исходные данные'!$D$2:$D$954,AD$3,'Исходные данные'!$F$2:$F$954,$H5&amp;"",'Исходные данные'!$L$2:$L$954,"УТТ")))</f>
        <v>утт-6</v>
      </c>
    </row>
    <row r="5" customFormat="false" ht="25.5" hidden="false" customHeight="true" outlineLevel="0" collapsed="false">
      <c r="A5" s="43" t="n">
        <v>3</v>
      </c>
      <c r="B5" s="28" t="s">
        <v>164</v>
      </c>
      <c r="C5" s="29" t="s">
        <v>7</v>
      </c>
      <c r="D5" s="30"/>
      <c r="E5" s="30" t="s">
        <v>165</v>
      </c>
      <c r="F5" s="30" t="s">
        <v>20</v>
      </c>
      <c r="G5" s="31"/>
      <c r="H5" s="32" t="n">
        <v>34</v>
      </c>
      <c r="I5" s="44" t="s">
        <v>159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данные'!$I$2:$I$954,'Исходные данные'!$D$2:$D$954,O$3,'Исходные данные'!$F$2:$F$954,$H5&amp;"")+SUMIFS('Исходные данные'!$J$2:$J$954,'Исходные данные'!$D$2:$D$954,O$3,'Исходные данные'!$F$2:$F$954,$H5&amp;"")=0,"",IF(SUMIFS('Исходные данные'!$J$2:$J$954,'Исходные данные'!$D$2:$D$954,O$3,'Исходные данные'!$F$2:$F$954,$H5&amp;"")=0,SUMIFS('Исходные данные'!$I$2:$I$954,'Исходные данные'!$D$2:$D$954,O$3,'Исходные данные'!$F$2:$F$954,$H5&amp;""),IF(SUMIFS('Исходные данные'!$I$2:$I$954,'Исходные данные'!$D$2:$D$954,O$3,'Исходные данные'!$F$2:$F$954,$H5&amp;"")=0,"0+"&amp;SUMIFS('Исходные данные'!$J$2:$J$954,'Исходные данные'!$D$2:$D$954,O$3,'Исходные данные'!$F$2:$F$954,$H5&amp;"")&amp;"="&amp;SUMIFS('Исходные данные'!$J$2:$J$954,'Исходные данные'!$D$2:$D$954,O$3,'Исходные данные'!$F$2:$F$954,$H5&amp;""),SUMIFS('Исходные данные'!$I$2:$I$954,'Исходные данные'!$D$2:$D$954,O$3,'Исходные данные'!$F$2:$F$954,$H5&amp;"")&amp;"+"&amp;SUMIFS('Исходные данные'!$J$2:$J$954,'Исходные данные'!$D$2:$D$954,O$3,'Исходные данные'!$F$2:$F$954,$H5&amp;"")&amp;"="&amp;(SUMIFS('Исходные данные'!$I$2:$I$954,'Исходные данные'!$D$2:$D$954,O$3,'Исходные данные'!$F$2:$F$954,$H5&amp;"")+SUMIFS('Исходные данные'!$J$2:$J$954,'Исходные данные'!$D$2:$D$954,O$3,'Исходные данные'!$F$2:$F$954,$H5&amp;"")))))</f>
        <v>2+1=3</v>
      </c>
      <c r="P5" s="50" t="n">
        <f aca="false">IF(SUMIFS('Исходные данные'!$I$2:$I$954,'Исходные данные'!$D$2:$D$954,P$3,'Исходные данные'!$F$2:$F$954,$H5&amp;"")+SUMIFS('Исходные данные'!$J$2:$J$954,'Исходные данные'!$D$2:$D$954,P$3,'Исходные данные'!$F$2:$F$954,$H5&amp;"")=0,"",IF(SUMIFS('Исходные данные'!$J$2:$J$954,'Исходные данные'!$D$2:$D$954,P$3,'Исходные данные'!$F$2:$F$954,$H5&amp;"")=0,SUMIFS('Исходные данные'!$I$2:$I$954,'Исходные данные'!$D$2:$D$954,P$3,'Исходные данные'!$F$2:$F$954,$H5&amp;""),IF(SUMIFS('Исходные данные'!$I$2:$I$954,'Исходные данные'!$D$2:$D$954,P$3,'Исходные данные'!$F$2:$F$954,$H5&amp;"")=0,"0+"&amp;SUMIFS('Исходные данные'!$J$2:$J$954,'Исходные данные'!$D$2:$D$954,P$3,'Исходные данные'!$F$2:$F$954,$H5&amp;"")&amp;"="&amp;SUMIFS('Исходные данные'!$J$2:$J$954,'Исходные данные'!$D$2:$D$954,P$3,'Исходные данные'!$F$2:$F$954,$H5&amp;""),SUMIFS('Исходные данные'!$I$2:$I$954,'Исходные данные'!$D$2:$D$954,P$3,'Исходные данные'!$F$2:$F$954,$H5&amp;"")&amp;"+"&amp;SUMIFS('Исходные данные'!$J$2:$J$954,'Исходные данные'!$D$2:$D$954,P$3,'Исходные данные'!$F$2:$F$954,$H5&amp;"")&amp;"="&amp;(SUMIFS('Исходные данные'!$I$2:$I$954,'Исходные данные'!$D$2:$D$954,P$3,'Исходные данные'!$F$2:$F$954,$H5&amp;"")+SUMIFS('Исходные данные'!$J$2:$J$954,'Исходные данные'!$D$2:$D$954,P$3,'Исходные данные'!$F$2:$F$954,$H5&amp;"")))))</f>
        <v>2</v>
      </c>
      <c r="Q5" s="49" t="str">
        <f aca="false">IF(SUMIFS('Исходные данные'!$I$2:$I$954,'Исходные данные'!$D$2:$D$954,Q$3,'Исходные данные'!$F$2:$F$954,$H5&amp;"")+SUMIFS('Исходные данные'!$J$2:$J$954,'Исходные данные'!$D$2:$D$954,Q$3,'Исходные данные'!$F$2:$F$954,$H5&amp;"")=0,"",IF(SUMIFS('Исходные данные'!$J$2:$J$954,'Исходные данные'!$D$2:$D$954,Q$3,'Исходные данные'!$F$2:$F$954,$H5&amp;"")=0,SUMIFS('Исходные данные'!$I$2:$I$954,'Исходные данные'!$D$2:$D$954,Q$3,'Исходные данные'!$F$2:$F$954,$H5&amp;""),IF(SUMIFS('Исходные данные'!$I$2:$I$954,'Исходные данные'!$D$2:$D$954,Q$3,'Исходные данные'!$F$2:$F$954,$H5&amp;"")=0,"0+"&amp;SUMIFS('Исходные данные'!$J$2:$J$954,'Исходные данные'!$D$2:$D$954,Q$3,'Исходные данные'!$F$2:$F$954,$H5&amp;"")&amp;"="&amp;SUMIFS('Исходные данные'!$J$2:$J$954,'Исходные данные'!$D$2:$D$954,Q$3,'Исходные данные'!$F$2:$F$954,$H5&amp;""),SUMIFS('Исходные данные'!$I$2:$I$954,'Исходные данные'!$D$2:$D$954,Q$3,'Исходные данные'!$F$2:$F$954,$H5&amp;"")&amp;"+"&amp;SUMIFS('Исходные данные'!$J$2:$J$954,'Исходные данные'!$D$2:$D$954,Q$3,'Исходные данные'!$F$2:$F$954,$H5&amp;"")&amp;"="&amp;(SUMIFS('Исходные данные'!$I$2:$I$954,'Исходные данные'!$D$2:$D$954,Q$3,'Исходные данные'!$F$2:$F$954,$H5&amp;"")+SUMIFS('Исходные данные'!$J$2:$J$954,'Исходные данные'!$D$2:$D$954,Q$3,'Исходные данные'!$F$2:$F$954,$H5&amp;"")))))</f>
        <v>2+1=3</v>
      </c>
      <c r="R5" s="51" t="n">
        <f aca="false">IF(SUMIFS('Исходные данные'!$I$2:$I$954,'Исходные данные'!$D$2:$D$954,R$3,'Исходные данные'!$F$2:$F$954,$H5&amp;"")+SUMIFS('Исходные данные'!$J$2:$J$954,'Исходные данные'!$D$2:$D$954,R$3,'Исходные данные'!$F$2:$F$954,$H5&amp;"")=0,"",IF(SUMIFS('Исходные данные'!$J$2:$J$954,'Исходные данные'!$D$2:$D$954,R$3,'Исходные данные'!$F$2:$F$954,$H5&amp;"")=0,SUMIFS('Исходные данные'!$I$2:$I$954,'Исходные данные'!$D$2:$D$954,R$3,'Исходные данные'!$F$2:$F$954,$H5&amp;""),IF(SUMIFS('Исходные данные'!$I$2:$I$954,'Исходные данные'!$D$2:$D$954,R$3,'Исходные данные'!$F$2:$F$954,$H5&amp;"")=0,"0+"&amp;SUMIFS('Исходные данные'!$J$2:$J$954,'Исходные данные'!$D$2:$D$954,R$3,'Исходные данные'!$F$2:$F$954,$H5&amp;"")&amp;"="&amp;SUMIFS('Исходные данные'!$J$2:$J$954,'Исходные данные'!$D$2:$D$954,R$3,'Исходные данные'!$F$2:$F$954,$H5&amp;""),SUMIFS('Исходные данные'!$I$2:$I$954,'Исходные данные'!$D$2:$D$954,R$3,'Исходные данные'!$F$2:$F$954,$H5&amp;"")&amp;"+"&amp;SUMIFS('Исходные данные'!$J$2:$J$954,'Исходные данные'!$D$2:$D$954,R$3,'Исходные данные'!$F$2:$F$954,$H5&amp;"")&amp;"="&amp;(SUMIFS('Исходные данные'!$I$2:$I$954,'Исходные данные'!$D$2:$D$954,R$3,'Исходные данные'!$F$2:$F$954,$H5&amp;"")+SUMIFS('Исходные данные'!$J$2:$J$954,'Исходные данные'!$D$2:$D$954,R$3,'Исходные данные'!$F$2:$F$954,$H5&amp;"")))))</f>
        <v>1</v>
      </c>
      <c r="S5" s="50" t="n">
        <f aca="false">IF(SUMIFS('Исходные данные'!$I$2:$I$954,'Исходные данные'!$D$2:$D$954,S$3,'Исходные данные'!$F$2:$F$954,$H5&amp;"")+SUMIFS('Исходные данные'!$J$2:$J$954,'Исходные данные'!$D$2:$D$954,S$3,'Исходные данные'!$F$2:$F$954,$H5&amp;"")=0,"",IF(SUMIFS('Исходные данные'!$J$2:$J$954,'Исходные данные'!$D$2:$D$954,S$3,'Исходные данные'!$F$2:$F$954,$H5&amp;"")=0,SUMIFS('Исходные данные'!$I$2:$I$954,'Исходные данные'!$D$2:$D$954,S$3,'Исходные данные'!$F$2:$F$954,$H5&amp;""),IF(SUMIFS('Исходные данные'!$I$2:$I$954,'Исходные данные'!$D$2:$D$954,S$3,'Исходные данные'!$F$2:$F$954,$H5&amp;"")=0,"0+"&amp;SUMIFS('Исходные данные'!$J$2:$J$954,'Исходные данные'!$D$2:$D$954,S$3,'Исходные данные'!$F$2:$F$954,$H5&amp;"")&amp;"="&amp;SUMIFS('Исходные данные'!$J$2:$J$954,'Исходные данные'!$D$2:$D$954,S$3,'Исходные данные'!$F$2:$F$954,$H5&amp;""),SUMIFS('Исходные данные'!$I$2:$I$954,'Исходные данные'!$D$2:$D$954,S$3,'Исходные данные'!$F$2:$F$954,$H5&amp;"")&amp;"+"&amp;SUMIFS('Исходные данные'!$J$2:$J$954,'Исходные данные'!$D$2:$D$954,S$3,'Исходные данные'!$F$2:$F$954,$H5&amp;"")&amp;"="&amp;(SUMIFS('Исходные данные'!$I$2:$I$954,'Исходные данные'!$D$2:$D$954,S$3,'Исходные данные'!$F$2:$F$954,$H5&amp;"")+SUMIFS('Исходные данные'!$J$2:$J$954,'Исходные данные'!$D$2:$D$954,S$3,'Исходные данные'!$F$2:$F$954,$H5&amp;"")))))</f>
        <v>1</v>
      </c>
      <c r="T5" s="49" t="str">
        <f aca="false">IF(SUMIFS('Исходные данные'!$I$2:$I$954,'Исходные данные'!$D$2:$D$954,T$3,'Исходные данные'!$F$2:$F$954,$H5&amp;"")+SUMIFS('Исходные данные'!$J$2:$J$954,'Исходные данные'!$D$2:$D$954,T$3,'Исходные данные'!$F$2:$F$954,$H5&amp;"")=0,"",IF(SUMIFS('Исходные данные'!$J$2:$J$954,'Исходные данные'!$D$2:$D$954,T$3,'Исходные данные'!$F$2:$F$954,$H5&amp;"")=0,SUMIFS('Исходные данные'!$I$2:$I$954,'Исходные данные'!$D$2:$D$954,T$3,'Исходные данные'!$F$2:$F$954,$H5&amp;""),IF(SUMIFS('Исходные данные'!$I$2:$I$954,'Исходные данные'!$D$2:$D$954,T$3,'Исходные данные'!$F$2:$F$954,$H5&amp;"")=0,"0+"&amp;SUMIFS('Исходные данные'!$J$2:$J$954,'Исходные данные'!$D$2:$D$954,T$3,'Исходные данные'!$F$2:$F$954,$H5&amp;"")&amp;"="&amp;SUMIFS('Исходные данные'!$J$2:$J$954,'Исходные данные'!$D$2:$D$954,T$3,'Исходные данные'!$F$2:$F$954,$H5&amp;""),SUMIFS('Исходные данные'!$I$2:$I$954,'Исходные данные'!$D$2:$D$954,T$3,'Исходные данные'!$F$2:$F$954,$H5&amp;"")&amp;"+"&amp;SUMIFS('Исходные данные'!$J$2:$J$954,'Исходные данные'!$D$2:$D$954,T$3,'Исходные данные'!$F$2:$F$954,$H5&amp;"")&amp;"="&amp;(SUMIFS('Исходные данные'!$I$2:$I$954,'Исходные данные'!$D$2:$D$954,T$3,'Исходные данные'!$F$2:$F$954,$H5&amp;"")+SUMIFS('Исходные данные'!$J$2:$J$954,'Исходные данные'!$D$2:$D$954,T$3,'Исходные данные'!$F$2:$F$954,$H5&amp;"")))))</f>
        <v/>
      </c>
      <c r="U5" s="50" t="str">
        <f aca="false">IF(SUMIFS('Исходные данные'!$I$2:$I$954,'Исходные данные'!$D$2:$D$954,U$3,'Исходные данные'!$F$2:$F$954,$H5&amp;"")+SUMIFS('Исходные данные'!$J$2:$J$954,'Исходные данные'!$D$2:$D$954,U$3,'Исходные данные'!$F$2:$F$954,$H5&amp;"")=0,"",IF(SUMIFS('Исходные данные'!$J$2:$J$954,'Исходные данные'!$D$2:$D$954,U$3,'Исходные данные'!$F$2:$F$954,$H5&amp;"")=0,SUMIFS('Исходные данные'!$I$2:$I$954,'Исходные данные'!$D$2:$D$954,U$3,'Исходные данные'!$F$2:$F$954,$H5&amp;""),IF(SUMIFS('Исходные данные'!$I$2:$I$954,'Исходные данные'!$D$2:$D$954,U$3,'Исходные данные'!$F$2:$F$954,$H5&amp;"")=0,"0+"&amp;SUMIFS('Исходные данные'!$J$2:$J$954,'Исходные данные'!$D$2:$D$954,U$3,'Исходные данные'!$F$2:$F$954,$H5&amp;"")&amp;"="&amp;SUMIFS('Исходные данные'!$J$2:$J$954,'Исходные данные'!$D$2:$D$954,U$3,'Исходные данные'!$F$2:$F$954,$H5&amp;""),SUMIFS('Исходные данные'!$I$2:$I$954,'Исходные данные'!$D$2:$D$954,U$3,'Исходные данные'!$F$2:$F$954,$H5&amp;"")&amp;"+"&amp;SUMIFS('Исходные данные'!$J$2:$J$954,'Исходные данные'!$D$2:$D$954,U$3,'Исходные данные'!$F$2:$F$954,$H5&amp;"")&amp;"="&amp;(SUMIFS('Исходные данные'!$I$2:$I$954,'Исходные данные'!$D$2:$D$954,U$3,'Исходные данные'!$F$2:$F$954,$H5&amp;"")+SUMIFS('Исходные данные'!$J$2:$J$954,'Исходные данные'!$D$2:$D$954,U$3,'Исходные данные'!$F$2:$F$954,$H5&amp;"")))))</f>
        <v/>
      </c>
      <c r="V5" s="49" t="str">
        <f aca="false">IF(SUMIFS('Исходные данные'!$I$2:$I$954,'Исходные данные'!$D$2:$D$954,V$3,'Исходные данные'!$F$2:$F$954,$H5&amp;"")+SUMIFS('Исходные данные'!$J$2:$J$954,'Исходные данные'!$D$2:$D$954,V$3,'Исходные данные'!$F$2:$F$954,$H5&amp;"")=0,"",IF(SUMIFS('Исходные данные'!$J$2:$J$954,'Исходные данные'!$D$2:$D$954,V$3,'Исходные данные'!$F$2:$F$954,$H5&amp;"")=0,SUMIFS('Исходные данные'!$I$2:$I$954,'Исходные данные'!$D$2:$D$954,V$3,'Исходные данные'!$F$2:$F$954,$H5&amp;""),IF(SUMIFS('Исходные данные'!$I$2:$I$954,'Исходные данные'!$D$2:$D$954,V$3,'Исходные данные'!$F$2:$F$954,$H5&amp;"")=0,"0+"&amp;SUMIFS('Исходные данные'!$J$2:$J$954,'Исходные данные'!$D$2:$D$954,V$3,'Исходные данные'!$F$2:$F$954,$H5&amp;"")&amp;"="&amp;SUMIFS('Исходные данные'!$J$2:$J$954,'Исходные данные'!$D$2:$D$954,V$3,'Исходные данные'!$F$2:$F$954,$H5&amp;""),SUMIFS('Исходные данные'!$I$2:$I$954,'Исходные данные'!$D$2:$D$954,V$3,'Исходные данные'!$F$2:$F$954,$H5&amp;"")&amp;"+"&amp;SUMIFS('Исходные данные'!$J$2:$J$954,'Исходные данные'!$D$2:$D$954,V$3,'Исходные данные'!$F$2:$F$954,$H5&amp;"")&amp;"="&amp;(SUMIFS('Исходные данные'!$I$2:$I$954,'Исходные данные'!$D$2:$D$954,V$3,'Исходные данные'!$F$2:$F$954,$H5&amp;"")+SUMIFS('Исходные данные'!$J$2:$J$954,'Исходные данные'!$D$2:$D$954,V$3,'Исходные данные'!$F$2:$F$954,$H5&amp;"")))))</f>
        <v/>
      </c>
      <c r="W5" s="50" t="n">
        <f aca="false">IF(SUMIFS('Исходные данные'!$I$2:$I$954,'Исходные данные'!$D$2:$D$954,W$3,'Исходные данные'!$F$2:$F$954,$H5&amp;"")+SUMIFS('Исходные данные'!$J$2:$J$954,'Исходные данные'!$D$2:$D$954,W$3,'Исходные данные'!$F$2:$F$954,$H5&amp;"")=0,"",IF(SUMIFS('Исходные данные'!$J$2:$J$954,'Исходные данные'!$D$2:$D$954,W$3,'Исходные данные'!$F$2:$F$954,$H5&amp;"")=0,SUMIFS('Исходные данные'!$I$2:$I$954,'Исходные данные'!$D$2:$D$954,W$3,'Исходные данные'!$F$2:$F$954,$H5&amp;""),IF(SUMIFS('Исходные данные'!$I$2:$I$954,'Исходные данные'!$D$2:$D$954,W$3,'Исходные данные'!$F$2:$F$954,$H5&amp;"")=0,"0+"&amp;SUMIFS('Исходные данные'!$J$2:$J$954,'Исходные данные'!$D$2:$D$954,W$3,'Исходные данные'!$F$2:$F$954,$H5&amp;"")&amp;"="&amp;SUMIFS('Исходные данные'!$J$2:$J$954,'Исходные данные'!$D$2:$D$954,W$3,'Исходные данные'!$F$2:$F$954,$H5&amp;""),SUMIFS('Исходные данные'!$I$2:$I$954,'Исходные данные'!$D$2:$D$954,W$3,'Исходные данные'!$F$2:$F$954,$H5&amp;"")&amp;"+"&amp;SUMIFS('Исходные данные'!$J$2:$J$954,'Исходные данные'!$D$2:$D$954,W$3,'Исходные данные'!$F$2:$F$954,$H5&amp;"")&amp;"="&amp;(SUMIFS('Исходные данные'!$I$2:$I$954,'Исходные данные'!$D$2:$D$954,W$3,'Исходные данные'!$F$2:$F$954,$H5&amp;"")+SUMIFS('Исходные данные'!$J$2:$J$954,'Исходные данные'!$D$2:$D$954,W$3,'Исходные данные'!$F$2:$F$954,$H5&amp;"")))))</f>
        <v>1</v>
      </c>
      <c r="X5" s="50" t="str">
        <f aca="false">IF(SUMIFS('Исходные данные'!$I$2:$I$954,'Исходные данные'!$D$2:$D$954,X$3,'Исходные данные'!$F$2:$F$954,$H5&amp;"")+SUMIFS('Исходные данные'!$J$2:$J$954,'Исходные данные'!$D$2:$D$954,X$3,'Исходные данные'!$F$2:$F$954,$H5&amp;"")=0,"",IF(SUMIFS('Исходные данные'!$J$2:$J$954,'Исходные данные'!$D$2:$D$954,X$3,'Исходные данные'!$F$2:$F$954,$H5&amp;"")=0,SUMIFS('Исходные данные'!$I$2:$I$954,'Исходные данные'!$D$2:$D$954,X$3,'Исходные данные'!$F$2:$F$954,$H5&amp;""),IF(SUMIFS('Исходные данные'!$I$2:$I$954,'Исходные данные'!$D$2:$D$954,X$3,'Исходные данные'!$F$2:$F$954,$H5&amp;"")=0,"0+"&amp;SUMIFS('Исходные данные'!$J$2:$J$954,'Исходные данные'!$D$2:$D$954,X$3,'Исходные данные'!$F$2:$F$954,$H5&amp;"")&amp;"="&amp;SUMIFS('Исходные данные'!$J$2:$J$954,'Исходные данные'!$D$2:$D$954,X$3,'Исходные данные'!$F$2:$F$954,$H5&amp;""),SUMIFS('Исходные данные'!$I$2:$I$954,'Исходные данные'!$D$2:$D$954,X$3,'Исходные данные'!$F$2:$F$954,$H5&amp;"")&amp;"+"&amp;SUMIFS('Исходные данные'!$J$2:$J$954,'Исходные данные'!$D$2:$D$954,X$3,'Исходные данные'!$F$2:$F$954,$H5&amp;"")&amp;"="&amp;(SUMIFS('Исходные данные'!$I$2:$I$954,'Исходные данные'!$D$2:$D$954,X$3,'Исходные данные'!$F$2:$F$954,$H5&amp;"")+SUMIFS('Исходные данные'!$J$2:$J$954,'Исходные данные'!$D$2:$D$954,X$3,'Исходные данные'!$F$2:$F$954,$H5&amp;"")))))</f>
        <v/>
      </c>
      <c r="Y5" s="52" t="str">
        <f aca="false">IF(SUMIFS('Исходные данные'!$I$2:$I$954,'Исходные данные'!$D$2:$D$954,Y$3,'Исходные данные'!$F$2:$F$954,$H5&amp;"")+SUMIFS('Исходные данные'!$J$2:$J$954,'Исходные данные'!$D$2:$D$954,Y$3,'Исходные данные'!$F$2:$F$954,$H5&amp;"")=0,"",IF(SUMIFS('Исходные данные'!$J$2:$J$954,'Исходные данные'!$D$2:$D$954,Y$3,'Исходные данные'!$F$2:$F$954,$H5&amp;"")=0,SUMIFS('Исходные данные'!$I$2:$I$954,'Исходные данные'!$D$2:$D$954,Y$3,'Исходные данные'!$F$2:$F$954,$H5&amp;""),IF(SUMIFS('Исходные данные'!$I$2:$I$954,'Исходные данные'!$D$2:$D$954,Y$3,'Исходные данные'!$F$2:$F$954,$H5&amp;"")=0,"0+"&amp;SUMIFS('Исходные данные'!$J$2:$J$954,'Исходные данные'!$D$2:$D$954,Y$3,'Исходные данные'!$F$2:$F$954,$H5&amp;"")&amp;"="&amp;SUMIFS('Исходные данные'!$J$2:$J$954,'Исходные данные'!$D$2:$D$954,Y$3,'Исходные данные'!$F$2:$F$954,$H5&amp;""),SUMIFS('Исходные данные'!$I$2:$I$954,'Исходные данные'!$D$2:$D$954,Y$3,'Исходные данные'!$F$2:$F$954,$H5&amp;"")&amp;"+"&amp;SUMIFS('Исходные данные'!$J$2:$J$954,'Исходные данные'!$D$2:$D$954,Y$3,'Исходные данные'!$F$2:$F$954,$H5&amp;"")&amp;"="&amp;(SUMIFS('Исходные данные'!$I$2:$I$954,'Исходные данные'!$D$2:$D$954,Y$3,'Исходные данные'!$F$2:$F$954,$H5&amp;"")+SUMIFS('Исходные данные'!$J$2:$J$954,'Исходные данные'!$D$2:$D$954,Y$3,'Исходные данные'!$F$2:$F$954,$H5&amp;"")))))</f>
        <v/>
      </c>
      <c r="Z5" s="49" t="str">
        <f aca="false">IF(SUMIFS('Исходные данные'!$I$2:$I$954,'Исходные данные'!$D$2:$D$954,Z$3,'Исходные данные'!$F$2:$F$954,$H5&amp;"")+SUMIFS('Исходные данные'!$J$2:$J$954,'Исходные данные'!$D$2:$D$954,Z$3,'Исходные данные'!$F$2:$F$954,$H5&amp;"")=0,"",IF(SUMIFS('Исходные данные'!$J$2:$J$954,'Исходные данные'!$D$2:$D$954,Z$3,'Исходные данные'!$F$2:$F$954,$H5&amp;"")=0,SUMIFS('Исходные данные'!$I$2:$I$954,'Исходные данные'!$D$2:$D$954,Z$3,'Исходные данные'!$F$2:$F$954,$H5&amp;""),IF(SUMIFS('Исходные данные'!$I$2:$I$954,'Исходные данные'!$D$2:$D$954,Z$3,'Исходные данные'!$F$2:$F$954,$H5&amp;"")=0,"0+"&amp;SUMIFS('Исходные данные'!$J$2:$J$954,'Исходные данные'!$D$2:$D$954,Z$3,'Исходные данные'!$F$2:$F$954,$H5&amp;"")&amp;"="&amp;SUMIFS('Исходные данные'!$J$2:$J$954,'Исходные данные'!$D$2:$D$954,Z$3,'Исходные данные'!$F$2:$F$954,$H5&amp;""),SUMIFS('Исходные данные'!$I$2:$I$954,'Исходные данные'!$D$2:$D$954,Z$3,'Исходные данные'!$F$2:$F$954,$H5&amp;"")&amp;"+"&amp;SUMIFS('Исходные данные'!$J$2:$J$954,'Исходные данные'!$D$2:$D$954,Z$3,'Исходные данные'!$F$2:$F$954,$H5&amp;"")&amp;"="&amp;(SUMIFS('Исходные данные'!$I$2:$I$954,'Исходные данные'!$D$2:$D$954,Z$3,'Исходные данные'!$F$2:$F$954,$H5&amp;"")+SUMIFS('Исходные данные'!$J$2:$J$954,'Исходные данные'!$D$2:$D$954,Z$3,'Исходные данные'!$F$2:$F$954,$H5&amp;"")))))</f>
        <v/>
      </c>
      <c r="AA5" s="50" t="str">
        <f aca="false">IF(SUMIFS('Исходные данные'!$I$2:$I$954,'Исходные данные'!$D$2:$D$954,AA$3,'Исходные данные'!$F$2:$F$954,$H5&amp;"")+SUMIFS('Исходные данные'!$J$2:$J$954,'Исходные данные'!$D$2:$D$954,AA$3,'Исходные данные'!$F$2:$F$954,$H5&amp;"")=0,"",IF(SUMIFS('Исходные данные'!$J$2:$J$954,'Исходные данные'!$D$2:$D$954,AA$3,'Исходные данные'!$F$2:$F$954,$H5&amp;"")=0,SUMIFS('Исходные данные'!$I$2:$I$954,'Исходные данные'!$D$2:$D$954,AA$3,'Исходные данные'!$F$2:$F$954,$H5&amp;""),IF(SUMIFS('Исходные данные'!$I$2:$I$954,'Исходные данные'!$D$2:$D$954,AA$3,'Исходные данные'!$F$2:$F$954,$H5&amp;"")=0,"0+"&amp;SUMIFS('Исходные данные'!$J$2:$J$954,'Исходные данные'!$D$2:$D$954,AA$3,'Исходные данные'!$F$2:$F$954,$H5&amp;"")&amp;"="&amp;SUMIFS('Исходные данные'!$J$2:$J$954,'Исходные данные'!$D$2:$D$954,AA$3,'Исходные данные'!$F$2:$F$954,$H5&amp;""),SUMIFS('Исходные данные'!$I$2:$I$954,'Исходные данные'!$D$2:$D$954,AA$3,'Исходные данные'!$F$2:$F$954,$H5&amp;"")&amp;"+"&amp;SUMIFS('Исходные данные'!$J$2:$J$954,'Исходные данные'!$D$2:$D$954,AA$3,'Исходные данные'!$F$2:$F$954,$H5&amp;"")&amp;"="&amp;(SUMIFS('Исходные данные'!$I$2:$I$954,'Исходные данные'!$D$2:$D$954,AA$3,'Исходные данные'!$F$2:$F$954,$H5&amp;"")+SUMIFS('Исходные данные'!$J$2:$J$954,'Исходные данные'!$D$2:$D$954,AA$3,'Исходные данные'!$F$2:$F$954,$H5&amp;"")))))</f>
        <v/>
      </c>
      <c r="AB5" s="50" t="str">
        <f aca="false">IF(SUMIFS('Исходные данные'!$I$2:$I$954,'Исходные данные'!$D$2:$D$954,AB$3,'Исходные данные'!$F$2:$F$954,$H5&amp;"")+SUMIFS('Исходные данные'!$J$2:$J$954,'Исходные данные'!$D$2:$D$954,AB$3,'Исходные данные'!$F$2:$F$954,$H5&amp;"")=0,"",IF(SUMIFS('Исходные данные'!$J$2:$J$954,'Исходные данные'!$D$2:$D$954,AB$3,'Исходные данные'!$F$2:$F$954,$H5&amp;"")=0,SUMIFS('Исходные данные'!$I$2:$I$954,'Исходные данные'!$D$2:$D$954,AB$3,'Исходные данные'!$F$2:$F$954,$H5&amp;""),IF(SUMIFS('Исходные данные'!$I$2:$I$954,'Исходные данные'!$D$2:$D$954,AB$3,'Исходные данные'!$F$2:$F$954,$H5&amp;"")=0,"0+"&amp;SUMIFS('Исходные данные'!$J$2:$J$954,'Исходные данные'!$D$2:$D$954,AB$3,'Исходные данные'!$F$2:$F$954,$H5&amp;"")&amp;"="&amp;SUMIFS('Исходные данные'!$J$2:$J$954,'Исходные данные'!$D$2:$D$954,AB$3,'Исходные данные'!$F$2:$F$954,$H5&amp;""),SUMIFS('Исходные данные'!$I$2:$I$954,'Исходные данные'!$D$2:$D$954,AB$3,'Исходные данные'!$F$2:$F$954,$H5&amp;"")&amp;"+"&amp;SUMIFS('Исходные данные'!$J$2:$J$954,'Исходные данные'!$D$2:$D$954,AB$3,'Исходные данные'!$F$2:$F$954,$H5&amp;"")&amp;"="&amp;(SUMIFS('Исходные данные'!$I$2:$I$954,'Исходные данные'!$D$2:$D$954,AB$3,'Исходные данные'!$F$2:$F$954,$H5&amp;"")+SUMIFS('Исходные данные'!$J$2:$J$954,'Исходные данные'!$D$2:$D$954,AB$3,'Исходные данные'!$F$2:$F$954,$H5&amp;"")))))</f>
        <v/>
      </c>
      <c r="AC5" s="52" t="str">
        <f aca="false">IF(SUMIFS('Исходные данные'!$I$2:$I$954,'Исходные данные'!$D$2:$D$954,AC$3,'Исходные данные'!$F$2:$F$954,$H5&amp;"")+SUMIFS('Исходные данные'!$J$2:$J$954,'Исходные данные'!$D$2:$D$954,AC$3,'Исходные данные'!$F$2:$F$954,$H5&amp;"")=0,"",IF(SUMIFS('Исходные данные'!$J$2:$J$954,'Исходные данные'!$D$2:$D$954,AC$3,'Исходные данные'!$F$2:$F$954,$H5&amp;"")=0,SUMIFS('Исходные данные'!$I$2:$I$954,'Исходные данные'!$D$2:$D$954,AC$3,'Исходные данные'!$F$2:$F$954,$H5&amp;""),IF(SUMIFS('Исходные данные'!$I$2:$I$954,'Исходные данные'!$D$2:$D$954,AC$3,'Исходные данные'!$F$2:$F$954,$H5&amp;"")=0,"0+"&amp;SUMIFS('Исходные данные'!$J$2:$J$954,'Исходные данные'!$D$2:$D$954,AC$3,'Исходные данные'!$F$2:$F$954,$H5&amp;"")&amp;"="&amp;SUMIFS('Исходные данные'!$J$2:$J$954,'Исходные данные'!$D$2:$D$954,AC$3,'Исходные данные'!$F$2:$F$954,$H5&amp;""),SUMIFS('Исходные данные'!$I$2:$I$954,'Исходные данные'!$D$2:$D$954,AC$3,'Исходные данные'!$F$2:$F$954,$H5&amp;"")&amp;"+"&amp;SUMIFS('Исходные данные'!$J$2:$J$954,'Исходные данные'!$D$2:$D$954,AC$3,'Исходные данные'!$F$2:$F$954,$H5&amp;"")&amp;"="&amp;(SUMIFS('Исходные данные'!$I$2:$I$954,'Исходные данные'!$D$2:$D$954,AC$3,'Исходные данные'!$F$2:$F$954,$H5&amp;"")+SUMIFS('Исходные данные'!$J$2:$J$954,'Исходные данные'!$D$2:$D$954,AC$3,'Исходные данные'!$F$2:$F$954,$H5&amp;"")))))</f>
        <v>4+3=7</v>
      </c>
      <c r="AD5" s="50" t="str">
        <f aca="false">IF(SUMIFS('Исходные данные'!$I$2:$I$954,'Исходные данные'!$D$2:$D$954,AD$3,'Исходные данные'!$F$2:$F$954,$H5&amp;"")+SUMIFS('Исходные данные'!$J$2:$J$954,'Исходные данные'!$D$2:$D$954,AD$3,'Исходные данные'!$F$2:$F$954,$H5&amp;"")=0,"",IF(SUMIFS('Исходные данные'!$J$2:$J$954,'Исходные данные'!$D$2:$D$954,AD$3,'Исходные данные'!$F$2:$F$954,$H5&amp;"")=0,SUMIFS('Исходные данные'!$I$2:$I$954,'Исходные данные'!$D$2:$D$954,AD$3,'Исходные данные'!$F$2:$F$954,$H5&amp;""),IF(SUMIFS('Исходные данные'!$I$2:$I$954,'Исходные данные'!$D$2:$D$954,AD$3,'Исходные данные'!$F$2:$F$954,$H5&amp;"")=0,"0+"&amp;SUMIFS('Исходные данные'!$J$2:$J$954,'Исходные данные'!$D$2:$D$954,AD$3,'Исходные данные'!$F$2:$F$954,$H5&amp;"")&amp;"="&amp;SUMIFS('Исходные данные'!$J$2:$J$954,'Исходные данные'!$D$2:$D$954,AD$3,'Исходные данные'!$F$2:$F$954,$H5&amp;""),SUMIFS('Исходные данные'!$I$2:$I$954,'Исходные данные'!$D$2:$D$954,AD$3,'Исходные данные'!$F$2:$F$954,$H5&amp;"")&amp;"+"&amp;SUMIFS('Исходные данные'!$J$2:$J$954,'Исходные данные'!$D$2:$D$954,AD$3,'Исходные данные'!$F$2:$F$954,$H5&amp;"")&amp;"="&amp;(SUMIFS('Исходные данные'!$I$2:$I$954,'Исходные данные'!$D$2:$D$954,AD$3,'Исходные данные'!$F$2:$F$954,$H5&amp;"")+SUMIFS('Исходные данные'!$J$2:$J$954,'Исходные данные'!$D$2:$D$954,AD$3,'Исходные данные'!$F$2:$F$954,$H5&amp;"")))))</f>
        <v>3+3=6</v>
      </c>
    </row>
    <row r="6" customFormat="false" ht="25.5" hidden="false" customHeight="true" outlineLevel="0" collapsed="false">
      <c r="A6" s="53" t="n">
        <v>4</v>
      </c>
      <c r="B6" s="28" t="s">
        <v>166</v>
      </c>
      <c r="C6" s="29" t="s">
        <v>7</v>
      </c>
      <c r="D6" s="54"/>
      <c r="E6" s="30" t="s">
        <v>167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данные'!$I$2:$I$954,'Исходные данные'!$D$2:$D$954,O$3,'Исходные данные'!$F$2:$F$954,$H7&amp;"",'Исходные данные'!$L$2:$L$954,"УТТ")+SUMIFS('Исходные данные'!$J$2:$J$954,'Исходные данные'!$D$2:$D$954,O$3,'Исходные данные'!$F$2:$F$954,$H7&amp;"",'Исходные данные'!$L$2:$L$954,"УТТ")=0,"","утт-"&amp;(SUMIFS('Исходные данные'!$I$2:$I$954,'Исходные данные'!$D$2:$D$954,O$3,'Исходные данные'!$F$2:$F$954,$H7&amp;"",'Исходные данные'!$L$2:$L$954,"УТТ")+SUMIFS('Исходные данные'!$J$2:$J$954,'Исходные данные'!$D$2:$D$954,O$3,'Исходные данные'!$F$2:$F$954,$H7&amp;"",'Исходные данные'!$L$2:$L$954,"УТТ")))</f>
        <v/>
      </c>
      <c r="P6" s="61" t="str">
        <f aca="false">IF(SUMIFS('Исходные данные'!$I$2:$I$954,'Исходные данные'!$D$2:$D$954,P$3,'Исходные данные'!$F$2:$F$954,$H7&amp;"",'Исходные данные'!$L$2:$L$954,"УТТ")+SUMIFS('Исходные данные'!$J$2:$J$954,'Исходные данные'!$D$2:$D$954,P$3,'Исходные данные'!$F$2:$F$954,$H7&amp;"",'Исходные данные'!$L$2:$L$954,"УТТ")=0,"","утт-"&amp;(SUMIFS('Исходные данные'!$I$2:$I$954,'Исходные данные'!$D$2:$D$954,P$3,'Исходные данные'!$F$2:$F$954,$H7&amp;"",'Исходные данные'!$L$2:$L$954,"УТТ")+SUMIFS('Исходные данные'!$J$2:$J$954,'Исходные данные'!$D$2:$D$954,P$3,'Исходные данные'!$F$2:$F$954,$H7&amp;"",'Исходные данные'!$L$2:$L$954,"УТТ")))</f>
        <v/>
      </c>
      <c r="Q6" s="60" t="str">
        <f aca="false">IF(SUMIFS('Исходные данные'!$I$2:$I$954,'Исходные данные'!$D$2:$D$954,Q$3,'Исходные данные'!$F$2:$F$954,$H7&amp;"",'Исходные данные'!$L$2:$L$954,"УТТ")+SUMIFS('Исходные данные'!$J$2:$J$954,'Исходные данные'!$D$2:$D$954,Q$3,'Исходные данные'!$F$2:$F$954,$H7&amp;"",'Исходные данные'!$L$2:$L$954,"УТТ")=0,"","утт-"&amp;(SUMIFS('Исходные данные'!$I$2:$I$954,'Исходные данные'!$D$2:$D$954,Q$3,'Исходные данные'!$F$2:$F$954,$H7&amp;"",'Исходные данные'!$L$2:$L$954,"УТТ")+SUMIFS('Исходные данные'!$J$2:$J$954,'Исходные данные'!$D$2:$D$954,Q$3,'Исходные данные'!$F$2:$F$954,$H7&amp;"",'Исходные данные'!$L$2:$L$954,"УТТ")))</f>
        <v/>
      </c>
      <c r="R6" s="62" t="str">
        <f aca="false">IF(SUMIFS('Исходные данные'!$I$2:$I$954,'Исходные данные'!$D$2:$D$954,R$3,'Исходные данные'!$F$2:$F$954,$H7&amp;"",'Исходные данные'!$L$2:$L$954,"УТТ")+SUMIFS('Исходные данные'!$J$2:$J$954,'Исходные данные'!$D$2:$D$954,R$3,'Исходные данные'!$F$2:$F$954,$H7&amp;"",'Исходные данные'!$L$2:$L$954,"УТТ")=0,"","утт-"&amp;(SUMIFS('Исходные данные'!$I$2:$I$954,'Исходные данные'!$D$2:$D$954,R$3,'Исходные данные'!$F$2:$F$954,$H7&amp;"",'Исходные данные'!$L$2:$L$954,"УТТ")+SUMIFS('Исходные данные'!$J$2:$J$954,'Исходные данные'!$D$2:$D$954,R$3,'Исходные данные'!$F$2:$F$954,$H7&amp;"",'Исходные данные'!$L$2:$L$954,"УТТ")))</f>
        <v/>
      </c>
      <c r="S6" s="61" t="str">
        <f aca="false">IF(SUMIFS('Исходные данные'!$I$2:$I$954,'Исходные данные'!$D$2:$D$954,S$3,'Исходные данные'!$F$2:$F$954,$H7&amp;"",'Исходные данные'!$L$2:$L$954,"УТТ")+SUMIFS('Исходные данные'!$J$2:$J$954,'Исходные данные'!$D$2:$D$954,S$3,'Исходные данные'!$F$2:$F$954,$H7&amp;"",'Исходные данные'!$L$2:$L$954,"УТТ")=0,"","утт-"&amp;(SUMIFS('Исходные данные'!$I$2:$I$954,'Исходные данные'!$D$2:$D$954,S$3,'Исходные данные'!$F$2:$F$954,$H7&amp;"",'Исходные данные'!$L$2:$L$954,"УТТ")+SUMIFS('Исходные данные'!$J$2:$J$954,'Исходные данные'!$D$2:$D$954,S$3,'Исходные данные'!$F$2:$F$954,$H7&amp;"",'Исходные данные'!$L$2:$L$954,"УТТ")))</f>
        <v/>
      </c>
      <c r="T6" s="60" t="str">
        <f aca="false">IF(SUMIFS('Исходные данные'!$I$2:$I$954,'Исходные данные'!$D$2:$D$954,T$3,'Исходные данные'!$F$2:$F$954,$H7&amp;"",'Исходные данные'!$L$2:$L$954,"УТТ")+SUMIFS('Исходные данные'!$J$2:$J$954,'Исходные данные'!$D$2:$D$954,T$3,'Исходные данные'!$F$2:$F$954,$H7&amp;"",'Исходные данные'!$L$2:$L$954,"УТТ")=0,"","утт-"&amp;(SUMIFS('Исходные данные'!$I$2:$I$954,'Исходные данные'!$D$2:$D$954,T$3,'Исходные данные'!$F$2:$F$954,$H7&amp;"",'Исходные данные'!$L$2:$L$954,"УТТ")+SUMIFS('Исходные данные'!$J$2:$J$954,'Исходные данные'!$D$2:$D$954,T$3,'Исходные данные'!$F$2:$F$954,$H7&amp;"",'Исходные данные'!$L$2:$L$954,"УТТ")))</f>
        <v/>
      </c>
      <c r="U6" s="61" t="str">
        <f aca="false">IF(SUMIFS('Исходные данные'!$I$2:$I$954,'Исходные данные'!$D$2:$D$954,U$3,'Исходные данные'!$F$2:$F$954,$H7&amp;"",'Исходные данные'!$L$2:$L$954,"УТТ")+SUMIFS('Исходные данные'!$J$2:$J$954,'Исходные данные'!$D$2:$D$954,U$3,'Исходные данные'!$F$2:$F$954,$H7&amp;"",'Исходные данные'!$L$2:$L$954,"УТТ")=0,"","утт-"&amp;(SUMIFS('Исходные данные'!$I$2:$I$954,'Исходные данные'!$D$2:$D$954,U$3,'Исходные данные'!$F$2:$F$954,$H7&amp;"",'Исходные данные'!$L$2:$L$954,"УТТ")+SUMIFS('Исходные данные'!$J$2:$J$954,'Исходные данные'!$D$2:$D$954,U$3,'Исходные данные'!$F$2:$F$954,$H7&amp;"",'Исходные данные'!$L$2:$L$954,"УТТ")))</f>
        <v/>
      </c>
      <c r="V6" s="60" t="str">
        <f aca="false">IF(SUMIFS('Исходные данные'!$I$2:$I$954,'Исходные данные'!$D$2:$D$954,V$3,'Исходные данные'!$F$2:$F$954,$H7&amp;"",'Исходные данные'!$L$2:$L$954,"УТТ")+SUMIFS('Исходные данные'!$J$2:$J$954,'Исходные данные'!$D$2:$D$954,V$3,'Исходные данные'!$F$2:$F$954,$H7&amp;"",'Исходные данные'!$L$2:$L$954,"УТТ")=0,"","утт-"&amp;(SUMIFS('Исходные данные'!$I$2:$I$954,'Исходные данные'!$D$2:$D$954,V$3,'Исходные данные'!$F$2:$F$954,$H7&amp;"",'Исходные данные'!$L$2:$L$954,"УТТ")+SUMIFS('Исходные данные'!$J$2:$J$954,'Исходные данные'!$D$2:$D$954,V$3,'Исходные данные'!$F$2:$F$954,$H7&amp;"",'Исходные данные'!$L$2:$L$954,"УТТ")))</f>
        <v/>
      </c>
      <c r="W6" s="61" t="str">
        <f aca="false">IF(SUMIFS('Исходные данные'!$I$2:$I$954,'Исходные данные'!$D$2:$D$954,W$3,'Исходные данные'!$F$2:$F$954,$H7&amp;"",'Исходные данные'!$L$2:$L$954,"УТТ")+SUMIFS('Исходные данные'!$J$2:$J$954,'Исходные данные'!$D$2:$D$954,W$3,'Исходные данные'!$F$2:$F$954,$H7&amp;"",'Исходные данные'!$L$2:$L$954,"УТТ")=0,"","утт-"&amp;(SUMIFS('Исходные данные'!$I$2:$I$954,'Исходные данные'!$D$2:$D$954,W$3,'Исходные данные'!$F$2:$F$954,$H7&amp;"",'Исходные данные'!$L$2:$L$954,"УТТ")+SUMIFS('Исходные данные'!$J$2:$J$954,'Исходные данные'!$D$2:$D$954,W$3,'Исходные данные'!$F$2:$F$954,$H7&amp;"",'Исходные данные'!$L$2:$L$954,"УТТ")))</f>
        <v/>
      </c>
      <c r="X6" s="61" t="str">
        <f aca="false">IF(SUMIFS('Исходные данные'!$I$2:$I$954,'Исходные данные'!$D$2:$D$954,X$3,'Исходные данные'!$F$2:$F$954,$H7&amp;"",'Исходные данные'!$L$2:$L$954,"УТТ")+SUMIFS('Исходные данные'!$J$2:$J$954,'Исходные данные'!$D$2:$D$954,X$3,'Исходные данные'!$F$2:$F$954,$H7&amp;"",'Исходные данные'!$L$2:$L$954,"УТТ")=0,"","утт-"&amp;(SUMIFS('Исходные данные'!$I$2:$I$954,'Исходные данные'!$D$2:$D$954,X$3,'Исходные данные'!$F$2:$F$954,$H7&amp;"",'Исходные данные'!$L$2:$L$954,"УТТ")+SUMIFS('Исходные данные'!$J$2:$J$954,'Исходные данные'!$D$2:$D$954,X$3,'Исходные данные'!$F$2:$F$954,$H7&amp;"",'Исходные данные'!$L$2:$L$954,"УТТ")))</f>
        <v/>
      </c>
      <c r="Y6" s="63" t="str">
        <f aca="false">IF(SUMIFS('Исходные данные'!$I$2:$I$954,'Исходные данные'!$D$2:$D$954,Y$3,'Исходные данные'!$F$2:$F$954,$H7&amp;"",'Исходные данные'!$L$2:$L$954,"УТТ")+SUMIFS('Исходные данные'!$J$2:$J$954,'Исходные данные'!$D$2:$D$954,Y$3,'Исходные данные'!$F$2:$F$954,$H7&amp;"",'Исходные данные'!$L$2:$L$954,"УТТ")=0,"","утт-"&amp;(SUMIFS('Исходные данные'!$I$2:$I$954,'Исходные данные'!$D$2:$D$954,Y$3,'Исходные данные'!$F$2:$F$954,$H7&amp;"",'Исходные данные'!$L$2:$L$954,"УТТ")+SUMIFS('Исходные данные'!$J$2:$J$954,'Исходные данные'!$D$2:$D$954,Y$3,'Исходные данные'!$F$2:$F$954,$H7&amp;"",'Исходные данные'!$L$2:$L$954,"УТТ")))</f>
        <v/>
      </c>
      <c r="Z6" s="60" t="str">
        <f aca="false">IF(SUMIFS('Исходные данные'!$I$2:$I$954,'Исходные данные'!$D$2:$D$954,Z$3,'Исходные данные'!$F$2:$F$954,$H7&amp;"",'Исходные данные'!$L$2:$L$954,"УТТ")+SUMIFS('Исходные данные'!$J$2:$J$954,'Исходные данные'!$D$2:$D$954,Z$3,'Исходные данные'!$F$2:$F$954,$H7&amp;"",'Исходные данные'!$L$2:$L$954,"УТТ")=0,"","утт-"&amp;(SUMIFS('Исходные данные'!$I$2:$I$954,'Исходные данные'!$D$2:$D$954,Z$3,'Исходные данные'!$F$2:$F$954,$H7&amp;"",'Исходные данные'!$L$2:$L$954,"УТТ")+SUMIFS('Исходные данные'!$J$2:$J$954,'Исходные данные'!$D$2:$D$954,Z$3,'Исходные данные'!$F$2:$F$954,$H7&amp;"",'Исходные данные'!$L$2:$L$954,"УТТ")))</f>
        <v/>
      </c>
      <c r="AA6" s="61" t="str">
        <f aca="false">IF(SUMIFS('Исходные данные'!$I$2:$I$954,'Исходные данные'!$D$2:$D$954,AA$3,'Исходные данные'!$F$2:$F$954,$H7&amp;"",'Исходные данные'!$L$2:$L$954,"УТТ")+SUMIFS('Исходные данные'!$J$2:$J$954,'Исходные данные'!$D$2:$D$954,AA$3,'Исходные данные'!$F$2:$F$954,$H7&amp;"",'Исходные данные'!$L$2:$L$954,"УТТ")=0,"","утт-"&amp;(SUMIFS('Исходные данные'!$I$2:$I$954,'Исходные данные'!$D$2:$D$954,AA$3,'Исходные данные'!$F$2:$F$954,$H7&amp;"",'Исходные данные'!$L$2:$L$954,"УТТ")+SUMIFS('Исходные данные'!$J$2:$J$954,'Исходные данные'!$D$2:$D$954,AA$3,'Исходные данные'!$F$2:$F$954,$H7&amp;"",'Исходные данные'!$L$2:$L$954,"УТТ")))</f>
        <v/>
      </c>
      <c r="AB6" s="61" t="str">
        <f aca="false">IF(SUMIFS('Исходные данные'!$I$2:$I$954,'Исходные данные'!$D$2:$D$954,AB$3,'Исходные данные'!$F$2:$F$954,$H7&amp;"",'Исходные данные'!$L$2:$L$954,"УТТ")+SUMIFS('Исходные данные'!$J$2:$J$954,'Исходные данные'!$D$2:$D$954,AB$3,'Исходные данные'!$F$2:$F$954,$H7&amp;"",'Исходные данные'!$L$2:$L$954,"УТТ")=0,"","утт-"&amp;(SUMIFS('Исходные данные'!$I$2:$I$954,'Исходные данные'!$D$2:$D$954,AB$3,'Исходные данные'!$F$2:$F$954,$H7&amp;"",'Исходные данные'!$L$2:$L$954,"УТТ")+SUMIFS('Исходные данные'!$J$2:$J$954,'Исходные данные'!$D$2:$D$954,AB$3,'Исходные данные'!$F$2:$F$954,$H7&amp;"",'Исходные данные'!$L$2:$L$954,"УТТ")))</f>
        <v/>
      </c>
      <c r="AC6" s="60" t="str">
        <f aca="false">IF(SUMIFS('Исходные данные'!$I$2:$I$954,'Исходные данные'!$D$2:$D$954,AC$3,'Исходные данные'!$F$2:$F$954,$H7&amp;"",'Исходные данные'!$L$2:$L$954,"УТТ")+SUMIFS('Исходные данные'!$J$2:$J$954,'Исходные данные'!$D$2:$D$954,AC$3,'Исходные данные'!$F$2:$F$954,$H7&amp;"",'Исходные данные'!$L$2:$L$954,"УТТ")=0,"","утт-"&amp;(SUMIFS('Исходные данные'!$I$2:$I$954,'Исходные данные'!$D$2:$D$954,AC$3,'Исходные данные'!$F$2:$F$954,$H7&amp;"",'Исходные данные'!$L$2:$L$954,"УТТ")+SUMIFS('Исходные данные'!$J$2:$J$954,'Исходные данные'!$D$2:$D$954,AC$3,'Исходные данные'!$F$2:$F$954,$H7&amp;"",'Исходные данные'!$L$2:$L$954,"УТТ")))</f>
        <v/>
      </c>
      <c r="AD6" s="61" t="str">
        <f aca="false">IF(SUMIFS('Исходные данные'!$I$2:$I$954,'Исходные данные'!$D$2:$D$954,AD$3,'Исходные данные'!$F$2:$F$954,$H7&amp;"",'Исходные данные'!$L$2:$L$954,"УТТ")+SUMIFS('Исходные данные'!$J$2:$J$954,'Исходные данные'!$D$2:$D$954,AD$3,'Исходные данные'!$F$2:$F$954,$H7&amp;"",'Исходные данные'!$L$2:$L$954,"УТТ")=0,"","утт-"&amp;(SUMIFS('Исходные данные'!$I$2:$I$954,'Исходные данные'!$D$2:$D$954,AD$3,'Исходные данные'!$F$2:$F$954,$H7&amp;"",'Исходные данные'!$L$2:$L$954,"УТТ")+SUMIFS('Исходные данные'!$J$2:$J$954,'Исходные данные'!$D$2:$D$954,AD$3,'Исходные данные'!$F$2:$F$954,$H7&amp;"",'Исходные данные'!$L$2:$L$954,"УТТ")))</f>
        <v/>
      </c>
    </row>
    <row r="7" customFormat="false" ht="25.5" hidden="false" customHeight="true" outlineLevel="0" collapsed="false">
      <c r="A7" s="27" t="n">
        <v>5</v>
      </c>
      <c r="B7" s="28" t="s">
        <v>168</v>
      </c>
      <c r="C7" s="29" t="s">
        <v>8</v>
      </c>
      <c r="D7" s="30"/>
      <c r="E7" s="30" t="s">
        <v>169</v>
      </c>
      <c r="F7" s="30" t="s">
        <v>20</v>
      </c>
      <c r="G7" s="64"/>
      <c r="H7" s="32" t="n">
        <v>47</v>
      </c>
      <c r="I7" s="44" t="s">
        <v>128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данные'!$I$2:$I$954,'Исходные данные'!$D$2:$D$954,O$3,'Исходные данные'!$F$2:$F$954,$H7&amp;"")+SUMIFS('Исходные данные'!$J$2:$J$954,'Исходные данные'!$D$2:$D$954,O$3,'Исходные данные'!$F$2:$F$954,$H7&amp;"")=0,"",IF(SUMIFS('Исходные данные'!$J$2:$J$954,'Исходные данные'!$D$2:$D$954,O$3,'Исходные данные'!$F$2:$F$954,$H7&amp;"")=0,SUMIFS('Исходные данные'!$I$2:$I$954,'Исходные данные'!$D$2:$D$954,O$3,'Исходные данные'!$F$2:$F$954,$H7&amp;""),IF(SUMIFS('Исходные данные'!$I$2:$I$954,'Исходные данные'!$D$2:$D$954,O$3,'Исходные данные'!$F$2:$F$954,$H7&amp;"")=0,"0+"&amp;SUMIFS('Исходные данные'!$J$2:$J$954,'Исходные данные'!$D$2:$D$954,O$3,'Исходные данные'!$F$2:$F$954,$H7&amp;"")&amp;"="&amp;SUMIFS('Исходные данные'!$J$2:$J$954,'Исходные данные'!$D$2:$D$954,O$3,'Исходные данные'!$F$2:$F$954,$H7&amp;""),SUMIFS('Исходные данные'!$I$2:$I$954,'Исходные данные'!$D$2:$D$954,O$3,'Исходные данные'!$F$2:$F$954,$H7&amp;"")&amp;"+"&amp;SUMIFS('Исходные данные'!$J$2:$J$954,'Исходные данные'!$D$2:$D$954,O$3,'Исходные данные'!$F$2:$F$954,$H7&amp;"")&amp;"="&amp;(SUMIFS('Исходные данные'!$I$2:$I$954,'Исходные данные'!$D$2:$D$954,O$3,'Исходные данные'!$F$2:$F$954,$H7&amp;"")+SUMIFS('Исходные данные'!$J$2:$J$954,'Исходные данные'!$D$2:$D$954,O$3,'Исходные данные'!$F$2:$F$954,$H7&amp;"")))))</f>
        <v>1</v>
      </c>
      <c r="P7" s="50" t="n">
        <f aca="false">IF(SUMIFS('Исходные данные'!$I$2:$I$954,'Исходные данные'!$D$2:$D$954,P$3,'Исходные данные'!$F$2:$F$954,$H7&amp;"")+SUMIFS('Исходные данные'!$J$2:$J$954,'Исходные данные'!$D$2:$D$954,P$3,'Исходные данные'!$F$2:$F$954,$H7&amp;"")=0,"",IF(SUMIFS('Исходные данные'!$J$2:$J$954,'Исходные данные'!$D$2:$D$954,P$3,'Исходные данные'!$F$2:$F$954,$H7&amp;"")=0,SUMIFS('Исходные данные'!$I$2:$I$954,'Исходные данные'!$D$2:$D$954,P$3,'Исходные данные'!$F$2:$F$954,$H7&amp;""),IF(SUMIFS('Исходные данные'!$I$2:$I$954,'Исходные данные'!$D$2:$D$954,P$3,'Исходные данные'!$F$2:$F$954,$H7&amp;"")=0,"0+"&amp;SUMIFS('Исходные данные'!$J$2:$J$954,'Исходные данные'!$D$2:$D$954,P$3,'Исходные данные'!$F$2:$F$954,$H7&amp;"")&amp;"="&amp;SUMIFS('Исходные данные'!$J$2:$J$954,'Исходные данные'!$D$2:$D$954,P$3,'Исходные данные'!$F$2:$F$954,$H7&amp;""),SUMIFS('Исходные данные'!$I$2:$I$954,'Исходные данные'!$D$2:$D$954,P$3,'Исходные данные'!$F$2:$F$954,$H7&amp;"")&amp;"+"&amp;SUMIFS('Исходные данные'!$J$2:$J$954,'Исходные данные'!$D$2:$D$954,P$3,'Исходные данные'!$F$2:$F$954,$H7&amp;"")&amp;"="&amp;(SUMIFS('Исходные данные'!$I$2:$I$954,'Исходные данные'!$D$2:$D$954,P$3,'Исходные данные'!$F$2:$F$954,$H7&amp;"")+SUMIFS('Исходные данные'!$J$2:$J$954,'Исходные данные'!$D$2:$D$954,P$3,'Исходные данные'!$F$2:$F$954,$H7&amp;"")))))</f>
        <v>1</v>
      </c>
      <c r="Q7" s="49" t="n">
        <f aca="false">IF(SUMIFS('Исходные данные'!$I$2:$I$954,'Исходные данные'!$D$2:$D$954,Q$3,'Исходные данные'!$F$2:$F$954,$H7&amp;"")+SUMIFS('Исходные данные'!$J$2:$J$954,'Исходные данные'!$D$2:$D$954,Q$3,'Исходные данные'!$F$2:$F$954,$H7&amp;"")=0,"",IF(SUMIFS('Исходные данные'!$J$2:$J$954,'Исходные данные'!$D$2:$D$954,Q$3,'Исходные данные'!$F$2:$F$954,$H7&amp;"")=0,SUMIFS('Исходные данные'!$I$2:$I$954,'Исходные данные'!$D$2:$D$954,Q$3,'Исходные данные'!$F$2:$F$954,$H7&amp;""),IF(SUMIFS('Исходные данные'!$I$2:$I$954,'Исходные данные'!$D$2:$D$954,Q$3,'Исходные данные'!$F$2:$F$954,$H7&amp;"")=0,"0+"&amp;SUMIFS('Исходные данные'!$J$2:$J$954,'Исходные данные'!$D$2:$D$954,Q$3,'Исходные данные'!$F$2:$F$954,$H7&amp;"")&amp;"="&amp;SUMIFS('Исходные данные'!$J$2:$J$954,'Исходные данные'!$D$2:$D$954,Q$3,'Исходные данные'!$F$2:$F$954,$H7&amp;""),SUMIFS('Исходные данные'!$I$2:$I$954,'Исходные данные'!$D$2:$D$954,Q$3,'Исходные данные'!$F$2:$F$954,$H7&amp;"")&amp;"+"&amp;SUMIFS('Исходные данные'!$J$2:$J$954,'Исходные данные'!$D$2:$D$954,Q$3,'Исходные данные'!$F$2:$F$954,$H7&amp;"")&amp;"="&amp;(SUMIFS('Исходные данные'!$I$2:$I$954,'Исходные данные'!$D$2:$D$954,Q$3,'Исходные данные'!$F$2:$F$954,$H7&amp;"")+SUMIFS('Исходные данные'!$J$2:$J$954,'Исходные данные'!$D$2:$D$954,Q$3,'Исходные данные'!$F$2:$F$954,$H7&amp;"")))))</f>
        <v>2</v>
      </c>
      <c r="R7" s="51" t="str">
        <f aca="false">IF(SUMIFS('Исходные данные'!$I$2:$I$954,'Исходные данные'!$D$2:$D$954,R$3,'Исходные данные'!$F$2:$F$954,$H7&amp;"")+SUMIFS('Исходные данные'!$J$2:$J$954,'Исходные данные'!$D$2:$D$954,R$3,'Исходные данные'!$F$2:$F$954,$H7&amp;"")=0,"",IF(SUMIFS('Исходные данные'!$J$2:$J$954,'Исходные данные'!$D$2:$D$954,R$3,'Исходные данные'!$F$2:$F$954,$H7&amp;"")=0,SUMIFS('Исходные данные'!$I$2:$I$954,'Исходные данные'!$D$2:$D$954,R$3,'Исходные данные'!$F$2:$F$954,$H7&amp;""),IF(SUMIFS('Исходные данные'!$I$2:$I$954,'Исходные данные'!$D$2:$D$954,R$3,'Исходные данные'!$F$2:$F$954,$H7&amp;"")=0,"0+"&amp;SUMIFS('Исходные данные'!$J$2:$J$954,'Исходные данные'!$D$2:$D$954,R$3,'Исходные данные'!$F$2:$F$954,$H7&amp;"")&amp;"="&amp;SUMIFS('Исходные данные'!$J$2:$J$954,'Исходные данные'!$D$2:$D$954,R$3,'Исходные данные'!$F$2:$F$954,$H7&amp;""),SUMIFS('Исходные данные'!$I$2:$I$954,'Исходные данные'!$D$2:$D$954,R$3,'Исходные данные'!$F$2:$F$954,$H7&amp;"")&amp;"+"&amp;SUMIFS('Исходные данные'!$J$2:$J$954,'Исходные данные'!$D$2:$D$954,R$3,'Исходные данные'!$F$2:$F$954,$H7&amp;"")&amp;"="&amp;(SUMIFS('Исходные данные'!$I$2:$I$954,'Исходные данные'!$D$2:$D$954,R$3,'Исходные данные'!$F$2:$F$954,$H7&amp;"")+SUMIFS('Исходные данные'!$J$2:$J$954,'Исходные данные'!$D$2:$D$954,R$3,'Исходные данные'!$F$2:$F$954,$H7&amp;"")))))</f>
        <v/>
      </c>
      <c r="S7" s="50" t="n">
        <f aca="false">IF(SUMIFS('Исходные данные'!$I$2:$I$954,'Исходные данные'!$D$2:$D$954,S$3,'Исходные данные'!$F$2:$F$954,$H7&amp;"")+SUMIFS('Исходные данные'!$J$2:$J$954,'Исходные данные'!$D$2:$D$954,S$3,'Исходные данные'!$F$2:$F$954,$H7&amp;"")=0,"",IF(SUMIFS('Исходные данные'!$J$2:$J$954,'Исходные данные'!$D$2:$D$954,S$3,'Исходные данные'!$F$2:$F$954,$H7&amp;"")=0,SUMIFS('Исходные данные'!$I$2:$I$954,'Исходные данные'!$D$2:$D$954,S$3,'Исходные данные'!$F$2:$F$954,$H7&amp;""),IF(SUMIFS('Исходные данные'!$I$2:$I$954,'Исходные данные'!$D$2:$D$954,S$3,'Исходные данные'!$F$2:$F$954,$H7&amp;"")=0,"0+"&amp;SUMIFS('Исходные данные'!$J$2:$J$954,'Исходные данные'!$D$2:$D$954,S$3,'Исходные данные'!$F$2:$F$954,$H7&amp;"")&amp;"="&amp;SUMIFS('Исходные данные'!$J$2:$J$954,'Исходные данные'!$D$2:$D$954,S$3,'Исходные данные'!$F$2:$F$954,$H7&amp;""),SUMIFS('Исходные данные'!$I$2:$I$954,'Исходные данные'!$D$2:$D$954,S$3,'Исходные данные'!$F$2:$F$954,$H7&amp;"")&amp;"+"&amp;SUMIFS('Исходные данные'!$J$2:$J$954,'Исходные данные'!$D$2:$D$954,S$3,'Исходные данные'!$F$2:$F$954,$H7&amp;"")&amp;"="&amp;(SUMIFS('Исходные данные'!$I$2:$I$954,'Исходные данные'!$D$2:$D$954,S$3,'Исходные данные'!$F$2:$F$954,$H7&amp;"")+SUMIFS('Исходные данные'!$J$2:$J$954,'Исходные данные'!$D$2:$D$954,S$3,'Исходные данные'!$F$2:$F$954,$H7&amp;"")))))</f>
        <v>1</v>
      </c>
      <c r="T7" s="49" t="str">
        <f aca="false">IF(SUMIFS('Исходные данные'!$I$2:$I$954,'Исходные данные'!$D$2:$D$954,T$3,'Исходные данные'!$F$2:$F$954,$H7&amp;"")+SUMIFS('Исходные данные'!$J$2:$J$954,'Исходные данные'!$D$2:$D$954,T$3,'Исходные данные'!$F$2:$F$954,$H7&amp;"")=0,"",IF(SUMIFS('Исходные данные'!$J$2:$J$954,'Исходные данные'!$D$2:$D$954,T$3,'Исходные данные'!$F$2:$F$954,$H7&amp;"")=0,SUMIFS('Исходные данные'!$I$2:$I$954,'Исходные данные'!$D$2:$D$954,T$3,'Исходные данные'!$F$2:$F$954,$H7&amp;""),IF(SUMIFS('Исходные данные'!$I$2:$I$954,'Исходные данные'!$D$2:$D$954,T$3,'Исходные данные'!$F$2:$F$954,$H7&amp;"")=0,"0+"&amp;SUMIFS('Исходные данные'!$J$2:$J$954,'Исходные данные'!$D$2:$D$954,T$3,'Исходные данные'!$F$2:$F$954,$H7&amp;"")&amp;"="&amp;SUMIFS('Исходные данные'!$J$2:$J$954,'Исходные данные'!$D$2:$D$954,T$3,'Исходные данные'!$F$2:$F$954,$H7&amp;""),SUMIFS('Исходные данные'!$I$2:$I$954,'Исходные данные'!$D$2:$D$954,T$3,'Исходные данные'!$F$2:$F$954,$H7&amp;"")&amp;"+"&amp;SUMIFS('Исходные данные'!$J$2:$J$954,'Исходные данные'!$D$2:$D$954,T$3,'Исходные данные'!$F$2:$F$954,$H7&amp;"")&amp;"="&amp;(SUMIFS('Исходные данные'!$I$2:$I$954,'Исходные данные'!$D$2:$D$954,T$3,'Исходные данные'!$F$2:$F$954,$H7&amp;"")+SUMIFS('Исходные данные'!$J$2:$J$954,'Исходные данные'!$D$2:$D$954,T$3,'Исходные данные'!$F$2:$F$954,$H7&amp;"")))))</f>
        <v/>
      </c>
      <c r="U7" s="50" t="n">
        <f aca="false">IF(SUMIFS('Исходные данные'!$I$2:$I$954,'Исходные данные'!$D$2:$D$954,U$3,'Исходные данные'!$F$2:$F$954,$H7&amp;"")+SUMIFS('Исходные данные'!$J$2:$J$954,'Исходные данные'!$D$2:$D$954,U$3,'Исходные данные'!$F$2:$F$954,$H7&amp;"")=0,"",IF(SUMIFS('Исходные данные'!$J$2:$J$954,'Исходные данные'!$D$2:$D$954,U$3,'Исходные данные'!$F$2:$F$954,$H7&amp;"")=0,SUMIFS('Исходные данные'!$I$2:$I$954,'Исходные данные'!$D$2:$D$954,U$3,'Исходные данные'!$F$2:$F$954,$H7&amp;""),IF(SUMIFS('Исходные данные'!$I$2:$I$954,'Исходные данные'!$D$2:$D$954,U$3,'Исходные данные'!$F$2:$F$954,$H7&amp;"")=0,"0+"&amp;SUMIFS('Исходные данные'!$J$2:$J$954,'Исходные данные'!$D$2:$D$954,U$3,'Исходные данные'!$F$2:$F$954,$H7&amp;"")&amp;"="&amp;SUMIFS('Исходные данные'!$J$2:$J$954,'Исходные данные'!$D$2:$D$954,U$3,'Исходные данные'!$F$2:$F$954,$H7&amp;""),SUMIFS('Исходные данные'!$I$2:$I$954,'Исходные данные'!$D$2:$D$954,U$3,'Исходные данные'!$F$2:$F$954,$H7&amp;"")&amp;"+"&amp;SUMIFS('Исходные данные'!$J$2:$J$954,'Исходные данные'!$D$2:$D$954,U$3,'Исходные данные'!$F$2:$F$954,$H7&amp;"")&amp;"="&amp;(SUMIFS('Исходные данные'!$I$2:$I$954,'Исходные данные'!$D$2:$D$954,U$3,'Исходные данные'!$F$2:$F$954,$H7&amp;"")+SUMIFS('Исходные данные'!$J$2:$J$954,'Исходные данные'!$D$2:$D$954,U$3,'Исходные данные'!$F$2:$F$954,$H7&amp;"")))))</f>
        <v>2</v>
      </c>
      <c r="V7" s="49" t="n">
        <f aca="false">IF(SUMIFS('Исходные данные'!$I$2:$I$954,'Исходные данные'!$D$2:$D$954,V$3,'Исходные данные'!$F$2:$F$954,$H7&amp;"")+SUMIFS('Исходные данные'!$J$2:$J$954,'Исходные данные'!$D$2:$D$954,V$3,'Исходные данные'!$F$2:$F$954,$H7&amp;"")=0,"",IF(SUMIFS('Исходные данные'!$J$2:$J$954,'Исходные данные'!$D$2:$D$954,V$3,'Исходные данные'!$F$2:$F$954,$H7&amp;"")=0,SUMIFS('Исходные данные'!$I$2:$I$954,'Исходные данные'!$D$2:$D$954,V$3,'Исходные данные'!$F$2:$F$954,$H7&amp;""),IF(SUMIFS('Исходные данные'!$I$2:$I$954,'Исходные данные'!$D$2:$D$954,V$3,'Исходные данные'!$F$2:$F$954,$H7&amp;"")=0,"0+"&amp;SUMIFS('Исходные данные'!$J$2:$J$954,'Исходные данные'!$D$2:$D$954,V$3,'Исходные данные'!$F$2:$F$954,$H7&amp;"")&amp;"="&amp;SUMIFS('Исходные данные'!$J$2:$J$954,'Исходные данные'!$D$2:$D$954,V$3,'Исходные данные'!$F$2:$F$954,$H7&amp;""),SUMIFS('Исходные данные'!$I$2:$I$954,'Исходные данные'!$D$2:$D$954,V$3,'Исходные данные'!$F$2:$F$954,$H7&amp;"")&amp;"+"&amp;SUMIFS('Исходные данные'!$J$2:$J$954,'Исходные данные'!$D$2:$D$954,V$3,'Исходные данные'!$F$2:$F$954,$H7&amp;"")&amp;"="&amp;(SUMIFS('Исходные данные'!$I$2:$I$954,'Исходные данные'!$D$2:$D$954,V$3,'Исходные данные'!$F$2:$F$954,$H7&amp;"")+SUMIFS('Исходные данные'!$J$2:$J$954,'Исходные данные'!$D$2:$D$954,V$3,'Исходные данные'!$F$2:$F$954,$H7&amp;"")))))</f>
        <v>1</v>
      </c>
      <c r="W7" s="50" t="str">
        <f aca="false">IF(SUMIFS('Исходные данные'!$I$2:$I$954,'Исходные данные'!$D$2:$D$954,W$3,'Исходные данные'!$F$2:$F$954,$H7&amp;"")+SUMIFS('Исходные данные'!$J$2:$J$954,'Исходные данные'!$D$2:$D$954,W$3,'Исходные данные'!$F$2:$F$954,$H7&amp;"")=0,"",IF(SUMIFS('Исходные данные'!$J$2:$J$954,'Исходные данные'!$D$2:$D$954,W$3,'Исходные данные'!$F$2:$F$954,$H7&amp;"")=0,SUMIFS('Исходные данные'!$I$2:$I$954,'Исходные данные'!$D$2:$D$954,W$3,'Исходные данные'!$F$2:$F$954,$H7&amp;""),IF(SUMIFS('Исходные данные'!$I$2:$I$954,'Исходные данные'!$D$2:$D$954,W$3,'Исходные данные'!$F$2:$F$954,$H7&amp;"")=0,"0+"&amp;SUMIFS('Исходные данные'!$J$2:$J$954,'Исходные данные'!$D$2:$D$954,W$3,'Исходные данные'!$F$2:$F$954,$H7&amp;"")&amp;"="&amp;SUMIFS('Исходные данные'!$J$2:$J$954,'Исходные данные'!$D$2:$D$954,W$3,'Исходные данные'!$F$2:$F$954,$H7&amp;""),SUMIFS('Исходные данные'!$I$2:$I$954,'Исходные данные'!$D$2:$D$954,W$3,'Исходные данные'!$F$2:$F$954,$H7&amp;"")&amp;"+"&amp;SUMIFS('Исходные данные'!$J$2:$J$954,'Исходные данные'!$D$2:$D$954,W$3,'Исходные данные'!$F$2:$F$954,$H7&amp;"")&amp;"="&amp;(SUMIFS('Исходные данные'!$I$2:$I$954,'Исходные данные'!$D$2:$D$954,W$3,'Исходные данные'!$F$2:$F$954,$H7&amp;"")+SUMIFS('Исходные данные'!$J$2:$J$954,'Исходные данные'!$D$2:$D$954,W$3,'Исходные данные'!$F$2:$F$954,$H7&amp;"")))))</f>
        <v/>
      </c>
      <c r="X7" s="50" t="str">
        <f aca="false">IF(SUMIFS('Исходные данные'!$I$2:$I$954,'Исходные данные'!$D$2:$D$954,X$3,'Исходные данные'!$F$2:$F$954,$H7&amp;"")+SUMIFS('Исходные данные'!$J$2:$J$954,'Исходные данные'!$D$2:$D$954,X$3,'Исходные данные'!$F$2:$F$954,$H7&amp;"")=0,"",IF(SUMIFS('Исходные данные'!$J$2:$J$954,'Исходные данные'!$D$2:$D$954,X$3,'Исходные данные'!$F$2:$F$954,$H7&amp;"")=0,SUMIFS('Исходные данные'!$I$2:$I$954,'Исходные данные'!$D$2:$D$954,X$3,'Исходные данные'!$F$2:$F$954,$H7&amp;""),IF(SUMIFS('Исходные данные'!$I$2:$I$954,'Исходные данные'!$D$2:$D$954,X$3,'Исходные данные'!$F$2:$F$954,$H7&amp;"")=0,"0+"&amp;SUMIFS('Исходные данные'!$J$2:$J$954,'Исходные данные'!$D$2:$D$954,X$3,'Исходные данные'!$F$2:$F$954,$H7&amp;"")&amp;"="&amp;SUMIFS('Исходные данные'!$J$2:$J$954,'Исходные данные'!$D$2:$D$954,X$3,'Исходные данные'!$F$2:$F$954,$H7&amp;""),SUMIFS('Исходные данные'!$I$2:$I$954,'Исходные данные'!$D$2:$D$954,X$3,'Исходные данные'!$F$2:$F$954,$H7&amp;"")&amp;"+"&amp;SUMIFS('Исходные данные'!$J$2:$J$954,'Исходные данные'!$D$2:$D$954,X$3,'Исходные данные'!$F$2:$F$954,$H7&amp;"")&amp;"="&amp;(SUMIFS('Исходные данные'!$I$2:$I$954,'Исходные данные'!$D$2:$D$954,X$3,'Исходные данные'!$F$2:$F$954,$H7&amp;"")+SUMIFS('Исходные данные'!$J$2:$J$954,'Исходные данные'!$D$2:$D$954,X$3,'Исходные данные'!$F$2:$F$954,$H7&amp;"")))))</f>
        <v/>
      </c>
      <c r="Y7" s="52" t="str">
        <f aca="false">IF(SUMIFS('Исходные данные'!$I$2:$I$954,'Исходные данные'!$D$2:$D$954,Y$3,'Исходные данные'!$F$2:$F$954,$H7&amp;"")+SUMIFS('Исходные данные'!$J$2:$J$954,'Исходные данные'!$D$2:$D$954,Y$3,'Исходные данные'!$F$2:$F$954,$H7&amp;"")=0,"",IF(SUMIFS('Исходные данные'!$J$2:$J$954,'Исходные данные'!$D$2:$D$954,Y$3,'Исходные данные'!$F$2:$F$954,$H7&amp;"")=0,SUMIFS('Исходные данные'!$I$2:$I$954,'Исходные данные'!$D$2:$D$954,Y$3,'Исходные данные'!$F$2:$F$954,$H7&amp;""),IF(SUMIFS('Исходные данные'!$I$2:$I$954,'Исходные данные'!$D$2:$D$954,Y$3,'Исходные данные'!$F$2:$F$954,$H7&amp;"")=0,"0+"&amp;SUMIFS('Исходные данные'!$J$2:$J$954,'Исходные данные'!$D$2:$D$954,Y$3,'Исходные данные'!$F$2:$F$954,$H7&amp;"")&amp;"="&amp;SUMIFS('Исходные данные'!$J$2:$J$954,'Исходные данные'!$D$2:$D$954,Y$3,'Исходные данные'!$F$2:$F$954,$H7&amp;""),SUMIFS('Исходные данные'!$I$2:$I$954,'Исходные данные'!$D$2:$D$954,Y$3,'Исходные данные'!$F$2:$F$954,$H7&amp;"")&amp;"+"&amp;SUMIFS('Исходные данные'!$J$2:$J$954,'Исходные данные'!$D$2:$D$954,Y$3,'Исходные данные'!$F$2:$F$954,$H7&amp;"")&amp;"="&amp;(SUMIFS('Исходные данные'!$I$2:$I$954,'Исходные данные'!$D$2:$D$954,Y$3,'Исходные данные'!$F$2:$F$954,$H7&amp;"")+SUMIFS('Исходные данные'!$J$2:$J$954,'Исходные данные'!$D$2:$D$954,Y$3,'Исходные данные'!$F$2:$F$954,$H7&amp;"")))))</f>
        <v/>
      </c>
      <c r="Z7" s="49" t="str">
        <f aca="false">IF(SUMIFS('Исходные данные'!$I$2:$I$954,'Исходные данные'!$D$2:$D$954,Z$3,'Исходные данные'!$F$2:$F$954,$H7&amp;"")+SUMIFS('Исходные данные'!$J$2:$J$954,'Исходные данные'!$D$2:$D$954,Z$3,'Исходные данные'!$F$2:$F$954,$H7&amp;"")=0,"",IF(SUMIFS('Исходные данные'!$J$2:$J$954,'Исходные данные'!$D$2:$D$954,Z$3,'Исходные данные'!$F$2:$F$954,$H7&amp;"")=0,SUMIFS('Исходные данные'!$I$2:$I$954,'Исходные данные'!$D$2:$D$954,Z$3,'Исходные данные'!$F$2:$F$954,$H7&amp;""),IF(SUMIFS('Исходные данные'!$I$2:$I$954,'Исходные данные'!$D$2:$D$954,Z$3,'Исходные данные'!$F$2:$F$954,$H7&amp;"")=0,"0+"&amp;SUMIFS('Исходные данные'!$J$2:$J$954,'Исходные данные'!$D$2:$D$954,Z$3,'Исходные данные'!$F$2:$F$954,$H7&amp;"")&amp;"="&amp;SUMIFS('Исходные данные'!$J$2:$J$954,'Исходные данные'!$D$2:$D$954,Z$3,'Исходные данные'!$F$2:$F$954,$H7&amp;""),SUMIFS('Исходные данные'!$I$2:$I$954,'Исходные данные'!$D$2:$D$954,Z$3,'Исходные данные'!$F$2:$F$954,$H7&amp;"")&amp;"+"&amp;SUMIFS('Исходные данные'!$J$2:$J$954,'Исходные данные'!$D$2:$D$954,Z$3,'Исходные данные'!$F$2:$F$954,$H7&amp;"")&amp;"="&amp;(SUMIFS('Исходные данные'!$I$2:$I$954,'Исходные данные'!$D$2:$D$954,Z$3,'Исходные данные'!$F$2:$F$954,$H7&amp;"")+SUMIFS('Исходные данные'!$J$2:$J$954,'Исходные данные'!$D$2:$D$954,Z$3,'Исходные данные'!$F$2:$F$954,$H7&amp;"")))))</f>
        <v/>
      </c>
      <c r="AA7" s="50" t="str">
        <f aca="false">IF(SUMIFS('Исходные данные'!$I$2:$I$954,'Исходные данные'!$D$2:$D$954,AA$3,'Исходные данные'!$F$2:$F$954,$H7&amp;"")+SUMIFS('Исходные данные'!$J$2:$J$954,'Исходные данные'!$D$2:$D$954,AA$3,'Исходные данные'!$F$2:$F$954,$H7&amp;"")=0,"",IF(SUMIFS('Исходные данные'!$J$2:$J$954,'Исходные данные'!$D$2:$D$954,AA$3,'Исходные данные'!$F$2:$F$954,$H7&amp;"")=0,SUMIFS('Исходные данные'!$I$2:$I$954,'Исходные данные'!$D$2:$D$954,AA$3,'Исходные данные'!$F$2:$F$954,$H7&amp;""),IF(SUMIFS('Исходные данные'!$I$2:$I$954,'Исходные данные'!$D$2:$D$954,AA$3,'Исходные данные'!$F$2:$F$954,$H7&amp;"")=0,"0+"&amp;SUMIFS('Исходные данные'!$J$2:$J$954,'Исходные данные'!$D$2:$D$954,AA$3,'Исходные данные'!$F$2:$F$954,$H7&amp;"")&amp;"="&amp;SUMIFS('Исходные данные'!$J$2:$J$954,'Исходные данные'!$D$2:$D$954,AA$3,'Исходные данные'!$F$2:$F$954,$H7&amp;""),SUMIFS('Исходные данные'!$I$2:$I$954,'Исходные данные'!$D$2:$D$954,AA$3,'Исходные данные'!$F$2:$F$954,$H7&amp;"")&amp;"+"&amp;SUMIFS('Исходные данные'!$J$2:$J$954,'Исходные данные'!$D$2:$D$954,AA$3,'Исходные данные'!$F$2:$F$954,$H7&amp;"")&amp;"="&amp;(SUMIFS('Исходные данные'!$I$2:$I$954,'Исходные данные'!$D$2:$D$954,AA$3,'Исходные данные'!$F$2:$F$954,$H7&amp;"")+SUMIFS('Исходные данные'!$J$2:$J$954,'Исходные данные'!$D$2:$D$954,AA$3,'Исходные данные'!$F$2:$F$954,$H7&amp;"")))))</f>
        <v/>
      </c>
      <c r="AB7" s="50" t="str">
        <f aca="false">IF(SUMIFS('Исходные данные'!$I$2:$I$954,'Исходные данные'!$D$2:$D$954,AB$3,'Исходные данные'!$F$2:$F$954,$H7&amp;"")+SUMIFS('Исходные данные'!$J$2:$J$954,'Исходные данные'!$D$2:$D$954,AB$3,'Исходные данные'!$F$2:$F$954,$H7&amp;"")=0,"",IF(SUMIFS('Исходные данные'!$J$2:$J$954,'Исходные данные'!$D$2:$D$954,AB$3,'Исходные данные'!$F$2:$F$954,$H7&amp;"")=0,SUMIFS('Исходные данные'!$I$2:$I$954,'Исходные данные'!$D$2:$D$954,AB$3,'Исходные данные'!$F$2:$F$954,$H7&amp;""),IF(SUMIFS('Исходные данные'!$I$2:$I$954,'Исходные данные'!$D$2:$D$954,AB$3,'Исходные данные'!$F$2:$F$954,$H7&amp;"")=0,"0+"&amp;SUMIFS('Исходные данные'!$J$2:$J$954,'Исходные данные'!$D$2:$D$954,AB$3,'Исходные данные'!$F$2:$F$954,$H7&amp;"")&amp;"="&amp;SUMIFS('Исходные данные'!$J$2:$J$954,'Исходные данные'!$D$2:$D$954,AB$3,'Исходные данные'!$F$2:$F$954,$H7&amp;""),SUMIFS('Исходные данные'!$I$2:$I$954,'Исходные данные'!$D$2:$D$954,AB$3,'Исходные данные'!$F$2:$F$954,$H7&amp;"")&amp;"+"&amp;SUMIFS('Исходные данные'!$J$2:$J$954,'Исходные данные'!$D$2:$D$954,AB$3,'Исходные данные'!$F$2:$F$954,$H7&amp;"")&amp;"="&amp;(SUMIFS('Исходные данные'!$I$2:$I$954,'Исходные данные'!$D$2:$D$954,AB$3,'Исходные данные'!$F$2:$F$954,$H7&amp;"")+SUMIFS('Исходные данные'!$J$2:$J$954,'Исходные данные'!$D$2:$D$954,AB$3,'Исходные данные'!$F$2:$F$954,$H7&amp;"")))))</f>
        <v/>
      </c>
      <c r="AC7" s="49" t="str">
        <f aca="false">IF(SUMIFS('Исходные данные'!$I$2:$I$954,'Исходные данные'!$D$2:$D$954,AC$3,'Исходные данные'!$F$2:$F$954,$H7&amp;"")+SUMIFS('Исходные данные'!$J$2:$J$954,'Исходные данные'!$D$2:$D$954,AC$3,'Исходные данные'!$F$2:$F$954,$H7&amp;"")=0,"",IF(SUMIFS('Исходные данные'!$J$2:$J$954,'Исходные данные'!$D$2:$D$954,AC$3,'Исходные данные'!$F$2:$F$954,$H7&amp;"")=0,SUMIFS('Исходные данные'!$I$2:$I$954,'Исходные данные'!$D$2:$D$954,AC$3,'Исходные данные'!$F$2:$F$954,$H7&amp;""),IF(SUMIFS('Исходные данные'!$I$2:$I$954,'Исходные данные'!$D$2:$D$954,AC$3,'Исходные данные'!$F$2:$F$954,$H7&amp;"")=0,"0+"&amp;SUMIFS('Исходные данные'!$J$2:$J$954,'Исходные данные'!$D$2:$D$954,AC$3,'Исходные данные'!$F$2:$F$954,$H7&amp;"")&amp;"="&amp;SUMIFS('Исходные данные'!$J$2:$J$954,'Исходные данные'!$D$2:$D$954,AC$3,'Исходные данные'!$F$2:$F$954,$H7&amp;""),SUMIFS('Исходные данные'!$I$2:$I$954,'Исходные данные'!$D$2:$D$954,AC$3,'Исходные данные'!$F$2:$F$954,$H7&amp;"")&amp;"+"&amp;SUMIFS('Исходные данные'!$J$2:$J$954,'Исходные данные'!$D$2:$D$954,AC$3,'Исходные данные'!$F$2:$F$954,$H7&amp;"")&amp;"="&amp;(SUMIFS('Исходные данные'!$I$2:$I$954,'Исходные данные'!$D$2:$D$954,AC$3,'Исходные данные'!$F$2:$F$954,$H7&amp;"")+SUMIFS('Исходные данные'!$J$2:$J$954,'Исходные данные'!$D$2:$D$954,AC$3,'Исходные данные'!$F$2:$F$954,$H7&amp;"")))))</f>
        <v/>
      </c>
      <c r="AD7" s="50" t="str">
        <f aca="false">IF(SUMIFS('Исходные данные'!$I$2:$I$954,'Исходные данные'!$D$2:$D$954,AD$3,'Исходные данные'!$F$2:$F$954,$H7&amp;"")+SUMIFS('Исходные данные'!$J$2:$J$954,'Исходные данные'!$D$2:$D$954,AD$3,'Исходные данные'!$F$2:$F$954,$H7&amp;"")=0,"",IF(SUMIFS('Исходные данные'!$J$2:$J$954,'Исходные данные'!$D$2:$D$954,AD$3,'Исходные данные'!$F$2:$F$954,$H7&amp;"")=0,SUMIFS('Исходные данные'!$I$2:$I$954,'Исходные данные'!$D$2:$D$954,AD$3,'Исходные данные'!$F$2:$F$954,$H7&amp;""),IF(SUMIFS('Исходные данные'!$I$2:$I$954,'Исходные данные'!$D$2:$D$954,AD$3,'Исходные данные'!$F$2:$F$954,$H7&amp;"")=0,"0+"&amp;SUMIFS('Исходные данные'!$J$2:$J$954,'Исходные данные'!$D$2:$D$954,AD$3,'Исходные данные'!$F$2:$F$954,$H7&amp;"")&amp;"="&amp;SUMIFS('Исходные данные'!$J$2:$J$954,'Исходные данные'!$D$2:$D$954,AD$3,'Исходные данные'!$F$2:$F$954,$H7&amp;""),SUMIFS('Исходные данные'!$I$2:$I$954,'Исходные данные'!$D$2:$D$954,AD$3,'Исходные данные'!$F$2:$F$954,$H7&amp;"")&amp;"+"&amp;SUMIFS('Исходные данные'!$J$2:$J$954,'Исходные данные'!$D$2:$D$954,AD$3,'Исходные данные'!$F$2:$F$954,$H7&amp;"")&amp;"="&amp;(SUMIFS('Исходные данные'!$I$2:$I$954,'Исходные данные'!$D$2:$D$954,AD$3,'Исходные данные'!$F$2:$F$954,$H7&amp;"")+SUMIFS('Исходные данные'!$J$2:$J$954,'Исходные данные'!$D$2:$D$954,AD$3,'Исходные данные'!$F$2:$F$954,$H7&amp;"")))))</f>
        <v/>
      </c>
    </row>
    <row r="8" customFormat="false" ht="25.5" hidden="false" customHeight="true" outlineLevel="0" collapsed="false">
      <c r="A8" s="43" t="n">
        <v>6</v>
      </c>
      <c r="B8" s="28" t="s">
        <v>170</v>
      </c>
      <c r="C8" s="29" t="s">
        <v>8</v>
      </c>
      <c r="D8" s="30"/>
      <c r="E8" s="30" t="s">
        <v>171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данные'!$I$2:$I$954,'Исходные данные'!$D$2:$D$954,O$3,'Исходные данные'!$F$2:$F$954,$H9&amp;"",'Исходные данные'!$L$2:$L$954,"УТТ")+SUMIFS('Исходные данные'!$J$2:$J$954,'Исходные данные'!$D$2:$D$954,O$3,'Исходные данные'!$F$2:$F$954,$H9&amp;"",'Исходные данные'!$L$2:$L$954,"УТТ")=0,"","утт-"&amp;(SUMIFS('Исходные данные'!$I$2:$I$954,'Исходные данные'!$D$2:$D$954,O$3,'Исходные данные'!$F$2:$F$954,$H9&amp;"",'Исходные данные'!$L$2:$L$954,"УТТ")+SUMIFS('Исходные данные'!$J$2:$J$954,'Исходные данные'!$D$2:$D$954,O$3,'Исходные данные'!$F$2:$F$954,$H9&amp;"",'Исходные данные'!$L$2:$L$954,"УТТ")))</f>
        <v/>
      </c>
      <c r="P8" s="61" t="str">
        <f aca="false">IF(SUMIFS('Исходные данные'!$I$2:$I$954,'Исходные данные'!$D$2:$D$954,P$3,'Исходные данные'!$F$2:$F$954,$H9&amp;"",'Исходные данные'!$L$2:$L$954,"УТТ")+SUMIFS('Исходные данные'!$J$2:$J$954,'Исходные данные'!$D$2:$D$954,P$3,'Исходные данные'!$F$2:$F$954,$H9&amp;"",'Исходные данные'!$L$2:$L$954,"УТТ")=0,"","утт-"&amp;(SUMIFS('Исходные данные'!$I$2:$I$954,'Исходные данные'!$D$2:$D$954,P$3,'Исходные данные'!$F$2:$F$954,$H9&amp;"",'Исходные данные'!$L$2:$L$954,"УТТ")+SUMIFS('Исходные данные'!$J$2:$J$954,'Исходные данные'!$D$2:$D$954,P$3,'Исходные данные'!$F$2:$F$954,$H9&amp;"",'Исходные данные'!$L$2:$L$954,"УТТ")))</f>
        <v/>
      </c>
      <c r="Q8" s="60" t="str">
        <f aca="false">IF(SUMIFS('Исходные данные'!$I$2:$I$954,'Исходные данные'!$D$2:$D$954,Q$3,'Исходные данные'!$F$2:$F$954,$H9&amp;"",'Исходные данные'!$L$2:$L$954,"УТТ")+SUMIFS('Исходные данные'!$J$2:$J$954,'Исходные данные'!$D$2:$D$954,Q$3,'Исходные данные'!$F$2:$F$954,$H9&amp;"",'Исходные данные'!$L$2:$L$954,"УТТ")=0,"","утт-"&amp;(SUMIFS('Исходные данные'!$I$2:$I$954,'Исходные данные'!$D$2:$D$954,Q$3,'Исходные данные'!$F$2:$F$954,$H9&amp;"",'Исходные данные'!$L$2:$L$954,"УТТ")+SUMIFS('Исходные данные'!$J$2:$J$954,'Исходные данные'!$D$2:$D$954,Q$3,'Исходные данные'!$F$2:$F$954,$H9&amp;"",'Исходные данные'!$L$2:$L$954,"УТТ")))</f>
        <v/>
      </c>
      <c r="R8" s="62" t="str">
        <f aca="false">IF(SUMIFS('Исходные данные'!$I$2:$I$954,'Исходные данные'!$D$2:$D$954,R$3,'Исходные данные'!$F$2:$F$954,$H9&amp;"",'Исходные данные'!$L$2:$L$954,"УТТ")+SUMIFS('Исходные данные'!$J$2:$J$954,'Исходные данные'!$D$2:$D$954,R$3,'Исходные данные'!$F$2:$F$954,$H9&amp;"",'Исходные данные'!$L$2:$L$954,"УТТ")=0,"","утт-"&amp;(SUMIFS('Исходные данные'!$I$2:$I$954,'Исходные данные'!$D$2:$D$954,R$3,'Исходные данные'!$F$2:$F$954,$H9&amp;"",'Исходные данные'!$L$2:$L$954,"УТТ")+SUMIFS('Исходные данные'!$J$2:$J$954,'Исходные данные'!$D$2:$D$954,R$3,'Исходные данные'!$F$2:$F$954,$H9&amp;"",'Исходные данные'!$L$2:$L$954,"УТТ")))</f>
        <v/>
      </c>
      <c r="S8" s="61" t="str">
        <f aca="false">IF(SUMIFS('Исходные данные'!$I$2:$I$954,'Исходные данные'!$D$2:$D$954,S$3,'Исходные данные'!$F$2:$F$954,$H9&amp;"",'Исходные данные'!$L$2:$L$954,"УТТ")+SUMIFS('Исходные данные'!$J$2:$J$954,'Исходные данные'!$D$2:$D$954,S$3,'Исходные данные'!$F$2:$F$954,$H9&amp;"",'Исходные данные'!$L$2:$L$954,"УТТ")=0,"","утт-"&amp;(SUMIFS('Исходные данные'!$I$2:$I$954,'Исходные данные'!$D$2:$D$954,S$3,'Исходные данные'!$F$2:$F$954,$H9&amp;"",'Исходные данные'!$L$2:$L$954,"УТТ")+SUMIFS('Исходные данные'!$J$2:$J$954,'Исходные данные'!$D$2:$D$954,S$3,'Исходные данные'!$F$2:$F$954,$H9&amp;"",'Исходные данные'!$L$2:$L$954,"УТТ")))</f>
        <v/>
      </c>
      <c r="T8" s="60" t="str">
        <f aca="false">IF(SUMIFS('Исходные данные'!$I$2:$I$954,'Исходные данные'!$D$2:$D$954,T$3,'Исходные данные'!$F$2:$F$954,$H9&amp;"",'Исходные данные'!$L$2:$L$954,"УТТ")+SUMIFS('Исходные данные'!$J$2:$J$954,'Исходные данные'!$D$2:$D$954,T$3,'Исходные данные'!$F$2:$F$954,$H9&amp;"",'Исходные данные'!$L$2:$L$954,"УТТ")=0,"","утт-"&amp;(SUMIFS('Исходные данные'!$I$2:$I$954,'Исходные данные'!$D$2:$D$954,T$3,'Исходные данные'!$F$2:$F$954,$H9&amp;"",'Исходные данные'!$L$2:$L$954,"УТТ")+SUMIFS('Исходные данные'!$J$2:$J$954,'Исходные данные'!$D$2:$D$954,T$3,'Исходные данные'!$F$2:$F$954,$H9&amp;"",'Исходные данные'!$L$2:$L$954,"УТТ")))</f>
        <v/>
      </c>
      <c r="U8" s="61" t="str">
        <f aca="false">IF(SUMIFS('Исходные данные'!$I$2:$I$954,'Исходные данные'!$D$2:$D$954,U$3,'Исходные данные'!$F$2:$F$954,$H9&amp;"",'Исходные данные'!$L$2:$L$954,"УТТ")+SUMIFS('Исходные данные'!$J$2:$J$954,'Исходные данные'!$D$2:$D$954,U$3,'Исходные данные'!$F$2:$F$954,$H9&amp;"",'Исходные данные'!$L$2:$L$954,"УТТ")=0,"","утт-"&amp;(SUMIFS('Исходные данные'!$I$2:$I$954,'Исходные данные'!$D$2:$D$954,U$3,'Исходные данные'!$F$2:$F$954,$H9&amp;"",'Исходные данные'!$L$2:$L$954,"УТТ")+SUMIFS('Исходные данные'!$J$2:$J$954,'Исходные данные'!$D$2:$D$954,U$3,'Исходные данные'!$F$2:$F$954,$H9&amp;"",'Исходные данные'!$L$2:$L$954,"УТТ")))</f>
        <v/>
      </c>
      <c r="V8" s="60" t="str">
        <f aca="false">IF(SUMIFS('Исходные данные'!$I$2:$I$954,'Исходные данные'!$D$2:$D$954,V$3,'Исходные данные'!$F$2:$F$954,$H9&amp;"",'Исходные данные'!$L$2:$L$954,"УТТ")+SUMIFS('Исходные данные'!$J$2:$J$954,'Исходные данные'!$D$2:$D$954,V$3,'Исходные данные'!$F$2:$F$954,$H9&amp;"",'Исходные данные'!$L$2:$L$954,"УТТ")=0,"","утт-"&amp;(SUMIFS('Исходные данные'!$I$2:$I$954,'Исходные данные'!$D$2:$D$954,V$3,'Исходные данные'!$F$2:$F$954,$H9&amp;"",'Исходные данные'!$L$2:$L$954,"УТТ")+SUMIFS('Исходные данные'!$J$2:$J$954,'Исходные данные'!$D$2:$D$954,V$3,'Исходные данные'!$F$2:$F$954,$H9&amp;"",'Исходные данные'!$L$2:$L$954,"УТТ")))</f>
        <v/>
      </c>
      <c r="W8" s="61" t="str">
        <f aca="false">IF(SUMIFS('Исходные данные'!$I$2:$I$954,'Исходные данные'!$D$2:$D$954,W$3,'Исходные данные'!$F$2:$F$954,$H9&amp;"",'Исходные данные'!$L$2:$L$954,"УТТ")+SUMIFS('Исходные данные'!$J$2:$J$954,'Исходные данные'!$D$2:$D$954,W$3,'Исходные данные'!$F$2:$F$954,$H9&amp;"",'Исходные данные'!$L$2:$L$954,"УТТ")=0,"","утт-"&amp;(SUMIFS('Исходные данные'!$I$2:$I$954,'Исходные данные'!$D$2:$D$954,W$3,'Исходные данные'!$F$2:$F$954,$H9&amp;"",'Исходные данные'!$L$2:$L$954,"УТТ")+SUMIFS('Исходные данные'!$J$2:$J$954,'Исходные данные'!$D$2:$D$954,W$3,'Исходные данные'!$F$2:$F$954,$H9&amp;"",'Исходные данные'!$L$2:$L$954,"УТТ")))</f>
        <v/>
      </c>
      <c r="X8" s="61" t="str">
        <f aca="false">IF(SUMIFS('Исходные данные'!$I$2:$I$954,'Исходные данные'!$D$2:$D$954,X$3,'Исходные данные'!$F$2:$F$954,$H9&amp;"",'Исходные данные'!$L$2:$L$954,"УТТ")+SUMIFS('Исходные данные'!$J$2:$J$954,'Исходные данные'!$D$2:$D$954,X$3,'Исходные данные'!$F$2:$F$954,$H9&amp;"",'Исходные данные'!$L$2:$L$954,"УТТ")=0,"","утт-"&amp;(SUMIFS('Исходные данные'!$I$2:$I$954,'Исходные данные'!$D$2:$D$954,X$3,'Исходные данные'!$F$2:$F$954,$H9&amp;"",'Исходные данные'!$L$2:$L$954,"УТТ")+SUMIFS('Исходные данные'!$J$2:$J$954,'Исходные данные'!$D$2:$D$954,X$3,'Исходные данные'!$F$2:$F$954,$H9&amp;"",'Исходные данные'!$L$2:$L$954,"УТТ")))</f>
        <v/>
      </c>
      <c r="Y8" s="63" t="str">
        <f aca="false">IF(SUMIFS('Исходные данные'!$I$2:$I$954,'Исходные данные'!$D$2:$D$954,Y$3,'Исходные данные'!$F$2:$F$954,$H9&amp;"",'Исходные данные'!$L$2:$L$954,"УТТ")+SUMIFS('Исходные данные'!$J$2:$J$954,'Исходные данные'!$D$2:$D$954,Y$3,'Исходные данные'!$F$2:$F$954,$H9&amp;"",'Исходные данные'!$L$2:$L$954,"УТТ")=0,"","утт-"&amp;(SUMIFS('Исходные данные'!$I$2:$I$954,'Исходные данные'!$D$2:$D$954,Y$3,'Исходные данные'!$F$2:$F$954,$H9&amp;"",'Исходные данные'!$L$2:$L$954,"УТТ")+SUMIFS('Исходные данные'!$J$2:$J$954,'Исходные данные'!$D$2:$D$954,Y$3,'Исходные данные'!$F$2:$F$954,$H9&amp;"",'Исходные данные'!$L$2:$L$954,"УТТ")))</f>
        <v/>
      </c>
      <c r="Z8" s="60" t="str">
        <f aca="false">IF(SUMIFS('Исходные данные'!$I$2:$I$954,'Исходные данные'!$D$2:$D$954,Z$3,'Исходные данные'!$F$2:$F$954,$H9&amp;"",'Исходные данные'!$L$2:$L$954,"УТТ")+SUMIFS('Исходные данные'!$J$2:$J$954,'Исходные данные'!$D$2:$D$954,Z$3,'Исходные данные'!$F$2:$F$954,$H9&amp;"",'Исходные данные'!$L$2:$L$954,"УТТ")=0,"","утт-"&amp;(SUMIFS('Исходные данные'!$I$2:$I$954,'Исходные данные'!$D$2:$D$954,Z$3,'Исходные данные'!$F$2:$F$954,$H9&amp;"",'Исходные данные'!$L$2:$L$954,"УТТ")+SUMIFS('Исходные данные'!$J$2:$J$954,'Исходные данные'!$D$2:$D$954,Z$3,'Исходные данные'!$F$2:$F$954,$H9&amp;"",'Исходные данные'!$L$2:$L$954,"УТТ")))</f>
        <v/>
      </c>
      <c r="AA8" s="61" t="str">
        <f aca="false">IF(SUMIFS('Исходные данные'!$I$2:$I$954,'Исходные данные'!$D$2:$D$954,AA$3,'Исходные данные'!$F$2:$F$954,$H9&amp;"",'Исходные данные'!$L$2:$L$954,"УТТ")+SUMIFS('Исходные данные'!$J$2:$J$954,'Исходные данные'!$D$2:$D$954,AA$3,'Исходные данные'!$F$2:$F$954,$H9&amp;"",'Исходные данные'!$L$2:$L$954,"УТТ")=0,"","утт-"&amp;(SUMIFS('Исходные данные'!$I$2:$I$954,'Исходные данные'!$D$2:$D$954,AA$3,'Исходные данные'!$F$2:$F$954,$H9&amp;"",'Исходные данные'!$L$2:$L$954,"УТТ")+SUMIFS('Исходные данные'!$J$2:$J$954,'Исходные данные'!$D$2:$D$954,AA$3,'Исходные данные'!$F$2:$F$954,$H9&amp;"",'Исходные данные'!$L$2:$L$954,"УТТ")))</f>
        <v/>
      </c>
      <c r="AB8" s="61" t="str">
        <f aca="false">IF(SUMIFS('Исходные данные'!$I$2:$I$954,'Исходные данные'!$D$2:$D$954,AB$3,'Исходные данные'!$F$2:$F$954,$H9&amp;"",'Исходные данные'!$L$2:$L$954,"УТТ")+SUMIFS('Исходные данные'!$J$2:$J$954,'Исходные данные'!$D$2:$D$954,AB$3,'Исходные данные'!$F$2:$F$954,$H9&amp;"",'Исходные данные'!$L$2:$L$954,"УТТ")=0,"","утт-"&amp;(SUMIFS('Исходные данные'!$I$2:$I$954,'Исходные данные'!$D$2:$D$954,AB$3,'Исходные данные'!$F$2:$F$954,$H9&amp;"",'Исходные данные'!$L$2:$L$954,"УТТ")+SUMIFS('Исходные данные'!$J$2:$J$954,'Исходные данные'!$D$2:$D$954,AB$3,'Исходные данные'!$F$2:$F$954,$H9&amp;"",'Исходные данные'!$L$2:$L$954,"УТТ")))</f>
        <v/>
      </c>
      <c r="AC8" s="60" t="str">
        <f aca="false">IF(SUMIFS('Исходные данные'!$I$2:$I$954,'Исходные данные'!$D$2:$D$954,AC$3,'Исходные данные'!$F$2:$F$954,$H9&amp;"",'Исходные данные'!$L$2:$L$954,"УТТ")+SUMIFS('Исходные данные'!$J$2:$J$954,'Исходные данные'!$D$2:$D$954,AC$3,'Исходные данные'!$F$2:$F$954,$H9&amp;"",'Исходные данные'!$L$2:$L$954,"УТТ")=0,"","утт-"&amp;(SUMIFS('Исходные данные'!$I$2:$I$954,'Исходные данные'!$D$2:$D$954,AC$3,'Исходные данные'!$F$2:$F$954,$H9&amp;"",'Исходные данные'!$L$2:$L$954,"УТТ")+SUMIFS('Исходные данные'!$J$2:$J$954,'Исходные данные'!$D$2:$D$954,AC$3,'Исходные данные'!$F$2:$F$954,$H9&amp;"",'Исходные данные'!$L$2:$L$954,"УТТ")))</f>
        <v/>
      </c>
      <c r="AD8" s="61" t="str">
        <f aca="false">IF(SUMIFS('Исходные данные'!$I$2:$I$954,'Исходные данные'!$D$2:$D$954,AD$3,'Исходные данные'!$F$2:$F$954,$H9&amp;"",'Исходные данные'!$L$2:$L$954,"УТТ")+SUMIFS('Исходные данные'!$J$2:$J$954,'Исходные данные'!$D$2:$D$954,AD$3,'Исходные данные'!$F$2:$F$954,$H9&amp;"",'Исходные данные'!$L$2:$L$954,"УТТ")=0,"","утт-"&amp;(SUMIFS('Исходные данные'!$I$2:$I$954,'Исходные данные'!$D$2:$D$954,AD$3,'Исходные данные'!$F$2:$F$954,$H9&amp;"",'Исходные данные'!$L$2:$L$954,"УТТ")+SUMIFS('Исходные данные'!$J$2:$J$954,'Исходные данные'!$D$2:$D$954,AD$3,'Исходные данные'!$F$2:$F$954,$H9&amp;"",'Исходные данные'!$L$2:$L$954,"УТТ")))</f>
        <v>утт-4</v>
      </c>
    </row>
    <row r="9" customFormat="false" ht="25.5" hidden="false" customHeight="true" outlineLevel="0" collapsed="false">
      <c r="A9" s="27" t="n">
        <v>7</v>
      </c>
      <c r="B9" s="28" t="s">
        <v>172</v>
      </c>
      <c r="C9" s="29" t="s">
        <v>9</v>
      </c>
      <c r="D9" s="30"/>
      <c r="E9" s="30" t="s">
        <v>173</v>
      </c>
      <c r="F9" s="30" t="s">
        <v>20</v>
      </c>
      <c r="G9" s="64"/>
      <c r="H9" s="32" t="n">
        <v>49</v>
      </c>
      <c r="I9" s="44" t="s">
        <v>174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16</v>
      </c>
      <c r="L9" s="47" t="n">
        <f aca="false">IFERROR(INDEX('Выход ТС'!$E:$E,MATCH($H9&amp;"",'Выход ТС'!$A:$A,0)),"")</f>
        <v>1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7</v>
      </c>
      <c r="O9" s="52" t="str">
        <f aca="false">IF(SUMIFS('Исходные данные'!$I$2:$I$954,'Исходные данные'!$D$2:$D$954,O$3,'Исходные данные'!$F$2:$F$954,$H9&amp;"")+SUMIFS('Исходные данные'!$J$2:$J$954,'Исходные данные'!$D$2:$D$954,O$3,'Исходные данные'!$F$2:$F$954,$H9&amp;"")=0,"",IF(SUMIFS('Исходные данные'!$J$2:$J$954,'Исходные данные'!$D$2:$D$954,O$3,'Исходные данные'!$F$2:$F$954,$H9&amp;"")=0,SUMIFS('Исходные данные'!$I$2:$I$954,'Исходные данные'!$D$2:$D$954,O$3,'Исходные данные'!$F$2:$F$954,$H9&amp;""),IF(SUMIFS('Исходные данные'!$I$2:$I$954,'Исходные данные'!$D$2:$D$954,O$3,'Исходные данные'!$F$2:$F$954,$H9&amp;"")=0,"0+"&amp;SUMIFS('Исходные данные'!$J$2:$J$954,'Исходные данные'!$D$2:$D$954,O$3,'Исходные данные'!$F$2:$F$954,$H9&amp;"")&amp;"="&amp;SUMIFS('Исходные данные'!$J$2:$J$954,'Исходные данные'!$D$2:$D$954,O$3,'Исходные данные'!$F$2:$F$954,$H9&amp;""),SUMIFS('Исходные данные'!$I$2:$I$954,'Исходные данные'!$D$2:$D$954,O$3,'Исходные данные'!$F$2:$F$954,$H9&amp;"")&amp;"+"&amp;SUMIFS('Исходные данные'!$J$2:$J$954,'Исходные данные'!$D$2:$D$954,O$3,'Исходные данные'!$F$2:$F$954,$H9&amp;"")&amp;"="&amp;(SUMIFS('Исходные данные'!$I$2:$I$954,'Исходные данные'!$D$2:$D$954,O$3,'Исходные данные'!$F$2:$F$954,$H9&amp;"")+SUMIFS('Исходные данные'!$J$2:$J$954,'Исходные данные'!$D$2:$D$954,O$3,'Исходные данные'!$F$2:$F$954,$H9&amp;"")))))</f>
        <v>2+2=4</v>
      </c>
      <c r="P9" s="50" t="n">
        <f aca="false">IF(SUMIFS('Исходные данные'!$I$2:$I$954,'Исходные данные'!$D$2:$D$954,P$3,'Исходные данные'!$F$2:$F$954,$H9&amp;"")+SUMIFS('Исходные данные'!$J$2:$J$954,'Исходные данные'!$D$2:$D$954,P$3,'Исходные данные'!$F$2:$F$954,$H9&amp;"")=0,"",IF(SUMIFS('Исходные данные'!$J$2:$J$954,'Исходные данные'!$D$2:$D$954,P$3,'Исходные данные'!$F$2:$F$954,$H9&amp;"")=0,SUMIFS('Исходные данные'!$I$2:$I$954,'Исходные данные'!$D$2:$D$954,P$3,'Исходные данные'!$F$2:$F$954,$H9&amp;""),IF(SUMIFS('Исходные данные'!$I$2:$I$954,'Исходные данные'!$D$2:$D$954,P$3,'Исходные данные'!$F$2:$F$954,$H9&amp;"")=0,"0+"&amp;SUMIFS('Исходные данные'!$J$2:$J$954,'Исходные данные'!$D$2:$D$954,P$3,'Исходные данные'!$F$2:$F$954,$H9&amp;"")&amp;"="&amp;SUMIFS('Исходные данные'!$J$2:$J$954,'Исходные данные'!$D$2:$D$954,P$3,'Исходные данные'!$F$2:$F$954,$H9&amp;""),SUMIFS('Исходные данные'!$I$2:$I$954,'Исходные данные'!$D$2:$D$954,P$3,'Исходные данные'!$F$2:$F$954,$H9&amp;"")&amp;"+"&amp;SUMIFS('Исходные данные'!$J$2:$J$954,'Исходные данные'!$D$2:$D$954,P$3,'Исходные данные'!$F$2:$F$954,$H9&amp;"")&amp;"="&amp;(SUMIFS('Исходные данные'!$I$2:$I$954,'Исходные данные'!$D$2:$D$954,P$3,'Исходные данные'!$F$2:$F$954,$H9&amp;"")+SUMIFS('Исходные данные'!$J$2:$J$954,'Исходные данные'!$D$2:$D$954,P$3,'Исходные данные'!$F$2:$F$954,$H9&amp;"")))))</f>
        <v>1</v>
      </c>
      <c r="Q9" s="50" t="str">
        <f aca="false">IF(SUMIFS('Исходные данные'!$I$2:$I$954,'Исходные данные'!$D$2:$D$954,Q$3,'Исходные данные'!$F$2:$F$954,$H9&amp;"")+SUMIFS('Исходные данные'!$J$2:$J$954,'Исходные данные'!$D$2:$D$954,Q$3,'Исходные данные'!$F$2:$F$954,$H9&amp;"")=0,"",IF(SUMIFS('Исходные данные'!$J$2:$J$954,'Исходные данные'!$D$2:$D$954,Q$3,'Исходные данные'!$F$2:$F$954,$H9&amp;"")=0,SUMIFS('Исходные данные'!$I$2:$I$954,'Исходные данные'!$D$2:$D$954,Q$3,'Исходные данные'!$F$2:$F$954,$H9&amp;""),IF(SUMIFS('Исходные данные'!$I$2:$I$954,'Исходные данные'!$D$2:$D$954,Q$3,'Исходные данные'!$F$2:$F$954,$H9&amp;"")=0,"0+"&amp;SUMIFS('Исходные данные'!$J$2:$J$954,'Исходные данные'!$D$2:$D$954,Q$3,'Исходные данные'!$F$2:$F$954,$H9&amp;"")&amp;"="&amp;SUMIFS('Исходные данные'!$J$2:$J$954,'Исходные данные'!$D$2:$D$954,Q$3,'Исходные данные'!$F$2:$F$954,$H9&amp;""),SUMIFS('Исходные данные'!$I$2:$I$954,'Исходные данные'!$D$2:$D$954,Q$3,'Исходные данные'!$F$2:$F$954,$H9&amp;"")&amp;"+"&amp;SUMIFS('Исходные данные'!$J$2:$J$954,'Исходные данные'!$D$2:$D$954,Q$3,'Исходные данные'!$F$2:$F$954,$H9&amp;"")&amp;"="&amp;(SUMIFS('Исходные данные'!$I$2:$I$954,'Исходные данные'!$D$2:$D$954,Q$3,'Исходные данные'!$F$2:$F$954,$H9&amp;"")+SUMIFS('Исходные данные'!$J$2:$J$954,'Исходные данные'!$D$2:$D$954,Q$3,'Исходные данные'!$F$2:$F$954,$H9&amp;"")))))</f>
        <v>2+1=3</v>
      </c>
      <c r="R9" s="51" t="str">
        <f aca="false">IF(SUMIFS('Исходные данные'!$I$2:$I$954,'Исходные данные'!$D$2:$D$954,R$3,'Исходные данные'!$F$2:$F$954,$H9&amp;"")+SUMIFS('Исходные данные'!$J$2:$J$954,'Исходные данные'!$D$2:$D$954,R$3,'Исходные данные'!$F$2:$F$954,$H9&amp;"")=0,"",IF(SUMIFS('Исходные данные'!$J$2:$J$954,'Исходные данные'!$D$2:$D$954,R$3,'Исходные данные'!$F$2:$F$954,$H9&amp;"")=0,SUMIFS('Исходные данные'!$I$2:$I$954,'Исходные данные'!$D$2:$D$954,R$3,'Исходные данные'!$F$2:$F$954,$H9&amp;""),IF(SUMIFS('Исходные данные'!$I$2:$I$954,'Исходные данные'!$D$2:$D$954,R$3,'Исходные данные'!$F$2:$F$954,$H9&amp;"")=0,"0+"&amp;SUMIFS('Исходные данные'!$J$2:$J$954,'Исходные данные'!$D$2:$D$954,R$3,'Исходные данные'!$F$2:$F$954,$H9&amp;"")&amp;"="&amp;SUMIFS('Исходные данные'!$J$2:$J$954,'Исходные данные'!$D$2:$D$954,R$3,'Исходные данные'!$F$2:$F$954,$H9&amp;""),SUMIFS('Исходные данные'!$I$2:$I$954,'Исходные данные'!$D$2:$D$954,R$3,'Исходные данные'!$F$2:$F$954,$H9&amp;"")&amp;"+"&amp;SUMIFS('Исходные данные'!$J$2:$J$954,'Исходные данные'!$D$2:$D$954,R$3,'Исходные данные'!$F$2:$F$954,$H9&amp;"")&amp;"="&amp;(SUMIFS('Исходные данные'!$I$2:$I$954,'Исходные данные'!$D$2:$D$954,R$3,'Исходные данные'!$F$2:$F$954,$H9&amp;"")+SUMIFS('Исходные данные'!$J$2:$J$954,'Исходные данные'!$D$2:$D$954,R$3,'Исходные данные'!$F$2:$F$954,$H9&amp;"")))))</f>
        <v/>
      </c>
      <c r="S9" s="50" t="str">
        <f aca="false">IF(SUMIFS('Исходные данные'!$I$2:$I$954,'Исходные данные'!$D$2:$D$954,S$3,'Исходные данные'!$F$2:$F$954,$H9&amp;"")+SUMIFS('Исходные данные'!$J$2:$J$954,'Исходные данные'!$D$2:$D$954,S$3,'Исходные данные'!$F$2:$F$954,$H9&amp;"")=0,"",IF(SUMIFS('Исходные данные'!$J$2:$J$954,'Исходные данные'!$D$2:$D$954,S$3,'Исходные данные'!$F$2:$F$954,$H9&amp;"")=0,SUMIFS('Исходные данные'!$I$2:$I$954,'Исходные данные'!$D$2:$D$954,S$3,'Исходные данные'!$F$2:$F$954,$H9&amp;""),IF(SUMIFS('Исходные данные'!$I$2:$I$954,'Исходные данные'!$D$2:$D$954,S$3,'Исходные данные'!$F$2:$F$954,$H9&amp;"")=0,"0+"&amp;SUMIFS('Исходные данные'!$J$2:$J$954,'Исходные данные'!$D$2:$D$954,S$3,'Исходные данные'!$F$2:$F$954,$H9&amp;"")&amp;"="&amp;SUMIFS('Исходные данные'!$J$2:$J$954,'Исходные данные'!$D$2:$D$954,S$3,'Исходные данные'!$F$2:$F$954,$H9&amp;""),SUMIFS('Исходные данные'!$I$2:$I$954,'Исходные данные'!$D$2:$D$954,S$3,'Исходные данные'!$F$2:$F$954,$H9&amp;"")&amp;"+"&amp;SUMIFS('Исходные данные'!$J$2:$J$954,'Исходные данные'!$D$2:$D$954,S$3,'Исходные данные'!$F$2:$F$954,$H9&amp;"")&amp;"="&amp;(SUMIFS('Исходные данные'!$I$2:$I$954,'Исходные данные'!$D$2:$D$954,S$3,'Исходные данные'!$F$2:$F$954,$H9&amp;"")+SUMIFS('Исходные данные'!$J$2:$J$954,'Исходные данные'!$D$2:$D$954,S$3,'Исходные данные'!$F$2:$F$954,$H9&amp;"")))))</f>
        <v/>
      </c>
      <c r="T9" s="49" t="str">
        <f aca="false">IF(SUMIFS('Исходные данные'!$I$2:$I$954,'Исходные данные'!$D$2:$D$954,T$3,'Исходные данные'!$F$2:$F$954,$H9&amp;"")+SUMIFS('Исходные данные'!$J$2:$J$954,'Исходные данные'!$D$2:$D$954,T$3,'Исходные данные'!$F$2:$F$954,$H9&amp;"")=0,"",IF(SUMIFS('Исходные данные'!$J$2:$J$954,'Исходные данные'!$D$2:$D$954,T$3,'Исходные данные'!$F$2:$F$954,$H9&amp;"")=0,SUMIFS('Исходные данные'!$I$2:$I$954,'Исходные данные'!$D$2:$D$954,T$3,'Исходные данные'!$F$2:$F$954,$H9&amp;""),IF(SUMIFS('Исходные данные'!$I$2:$I$954,'Исходные данные'!$D$2:$D$954,T$3,'Исходные данные'!$F$2:$F$954,$H9&amp;"")=0,"0+"&amp;SUMIFS('Исходные данные'!$J$2:$J$954,'Исходные данные'!$D$2:$D$954,T$3,'Исходные данные'!$F$2:$F$954,$H9&amp;"")&amp;"="&amp;SUMIFS('Исходные данные'!$J$2:$J$954,'Исходные данные'!$D$2:$D$954,T$3,'Исходные данные'!$F$2:$F$954,$H9&amp;""),SUMIFS('Исходные данные'!$I$2:$I$954,'Исходные данные'!$D$2:$D$954,T$3,'Исходные данные'!$F$2:$F$954,$H9&amp;"")&amp;"+"&amp;SUMIFS('Исходные данные'!$J$2:$J$954,'Исходные данные'!$D$2:$D$954,T$3,'Исходные данные'!$F$2:$F$954,$H9&amp;"")&amp;"="&amp;(SUMIFS('Исходные данные'!$I$2:$I$954,'Исходные данные'!$D$2:$D$954,T$3,'Исходные данные'!$F$2:$F$954,$H9&amp;"")+SUMIFS('Исходные данные'!$J$2:$J$954,'Исходные данные'!$D$2:$D$954,T$3,'Исходные данные'!$F$2:$F$954,$H9&amp;"")))))</f>
        <v/>
      </c>
      <c r="U9" s="50" t="str">
        <f aca="false">IF(SUMIFS('Исходные данные'!$I$2:$I$954,'Исходные данные'!$D$2:$D$954,U$3,'Исходные данные'!$F$2:$F$954,$H9&amp;"")+SUMIFS('Исходные данные'!$J$2:$J$954,'Исходные данные'!$D$2:$D$954,U$3,'Исходные данные'!$F$2:$F$954,$H9&amp;"")=0,"",IF(SUMIFS('Исходные данные'!$J$2:$J$954,'Исходные данные'!$D$2:$D$954,U$3,'Исходные данные'!$F$2:$F$954,$H9&amp;"")=0,SUMIFS('Исходные данные'!$I$2:$I$954,'Исходные данные'!$D$2:$D$954,U$3,'Исходные данные'!$F$2:$F$954,$H9&amp;""),IF(SUMIFS('Исходные данные'!$I$2:$I$954,'Исходные данные'!$D$2:$D$954,U$3,'Исходные данные'!$F$2:$F$954,$H9&amp;"")=0,"0+"&amp;SUMIFS('Исходные данные'!$J$2:$J$954,'Исходные данные'!$D$2:$D$954,U$3,'Исходные данные'!$F$2:$F$954,$H9&amp;"")&amp;"="&amp;SUMIFS('Исходные данные'!$J$2:$J$954,'Исходные данные'!$D$2:$D$954,U$3,'Исходные данные'!$F$2:$F$954,$H9&amp;""),SUMIFS('Исходные данные'!$I$2:$I$954,'Исходные данные'!$D$2:$D$954,U$3,'Исходные данные'!$F$2:$F$954,$H9&amp;"")&amp;"+"&amp;SUMIFS('Исходные данные'!$J$2:$J$954,'Исходные данные'!$D$2:$D$954,U$3,'Исходные данные'!$F$2:$F$954,$H9&amp;"")&amp;"="&amp;(SUMIFS('Исходные данные'!$I$2:$I$954,'Исходные данные'!$D$2:$D$954,U$3,'Исходные данные'!$F$2:$F$954,$H9&amp;"")+SUMIFS('Исходные данные'!$J$2:$J$954,'Исходные данные'!$D$2:$D$954,U$3,'Исходные данные'!$F$2:$F$954,$H9&amp;"")))))</f>
        <v/>
      </c>
      <c r="V9" s="49" t="str">
        <f aca="false">IF(SUMIFS('Исходные данные'!$I$2:$I$954,'Исходные данные'!$D$2:$D$954,V$3,'Исходные данные'!$F$2:$F$954,$H9&amp;"")+SUMIFS('Исходные данные'!$J$2:$J$954,'Исходные данные'!$D$2:$D$954,V$3,'Исходные данные'!$F$2:$F$954,$H9&amp;"")=0,"",IF(SUMIFS('Исходные данные'!$J$2:$J$954,'Исходные данные'!$D$2:$D$954,V$3,'Исходные данные'!$F$2:$F$954,$H9&amp;"")=0,SUMIFS('Исходные данные'!$I$2:$I$954,'Исходные данные'!$D$2:$D$954,V$3,'Исходные данные'!$F$2:$F$954,$H9&amp;""),IF(SUMIFS('Исходные данные'!$I$2:$I$954,'Исходные данные'!$D$2:$D$954,V$3,'Исходные данные'!$F$2:$F$954,$H9&amp;"")=0,"0+"&amp;SUMIFS('Исходные данные'!$J$2:$J$954,'Исходные данные'!$D$2:$D$954,V$3,'Исходные данные'!$F$2:$F$954,$H9&amp;"")&amp;"="&amp;SUMIFS('Исходные данные'!$J$2:$J$954,'Исходные данные'!$D$2:$D$954,V$3,'Исходные данные'!$F$2:$F$954,$H9&amp;""),SUMIFS('Исходные данные'!$I$2:$I$954,'Исходные данные'!$D$2:$D$954,V$3,'Исходные данные'!$F$2:$F$954,$H9&amp;"")&amp;"+"&amp;SUMIFS('Исходные данные'!$J$2:$J$954,'Исходные данные'!$D$2:$D$954,V$3,'Исходные данные'!$F$2:$F$954,$H9&amp;"")&amp;"="&amp;(SUMIFS('Исходные данные'!$I$2:$I$954,'Исходные данные'!$D$2:$D$954,V$3,'Исходные данные'!$F$2:$F$954,$H9&amp;"")+SUMIFS('Исходные данные'!$J$2:$J$954,'Исходные данные'!$D$2:$D$954,V$3,'Исходные данные'!$F$2:$F$954,$H9&amp;"")))))</f>
        <v/>
      </c>
      <c r="W9" s="50" t="str">
        <f aca="false">IF(SUMIFS('Исходные данные'!$I$2:$I$954,'Исходные данные'!$D$2:$D$954,W$3,'Исходные данные'!$F$2:$F$954,$H9&amp;"")+SUMIFS('Исходные данные'!$J$2:$J$954,'Исходные данные'!$D$2:$D$954,W$3,'Исходные данные'!$F$2:$F$954,$H9&amp;"")=0,"",IF(SUMIFS('Исходные данные'!$J$2:$J$954,'Исходные данные'!$D$2:$D$954,W$3,'Исходные данные'!$F$2:$F$954,$H9&amp;"")=0,SUMIFS('Исходные данные'!$I$2:$I$954,'Исходные данные'!$D$2:$D$954,W$3,'Исходные данные'!$F$2:$F$954,$H9&amp;""),IF(SUMIFS('Исходные данные'!$I$2:$I$954,'Исходные данные'!$D$2:$D$954,W$3,'Исходные данные'!$F$2:$F$954,$H9&amp;"")=0,"0+"&amp;SUMIFS('Исходные данные'!$J$2:$J$954,'Исходные данные'!$D$2:$D$954,W$3,'Исходные данные'!$F$2:$F$954,$H9&amp;"")&amp;"="&amp;SUMIFS('Исходные данные'!$J$2:$J$954,'Исходные данные'!$D$2:$D$954,W$3,'Исходные данные'!$F$2:$F$954,$H9&amp;""),SUMIFS('Исходные данные'!$I$2:$I$954,'Исходные данные'!$D$2:$D$954,W$3,'Исходные данные'!$F$2:$F$954,$H9&amp;"")&amp;"+"&amp;SUMIFS('Исходные данные'!$J$2:$J$954,'Исходные данные'!$D$2:$D$954,W$3,'Исходные данные'!$F$2:$F$954,$H9&amp;"")&amp;"="&amp;(SUMIFS('Исходные данные'!$I$2:$I$954,'Исходные данные'!$D$2:$D$954,W$3,'Исходные данные'!$F$2:$F$954,$H9&amp;"")+SUMIFS('Исходные данные'!$J$2:$J$954,'Исходные данные'!$D$2:$D$954,W$3,'Исходные данные'!$F$2:$F$954,$H9&amp;"")))))</f>
        <v/>
      </c>
      <c r="X9" s="50" t="n">
        <f aca="false">IF(SUMIFS('Исходные данные'!$I$2:$I$954,'Исходные данные'!$D$2:$D$954,X$3,'Исходные данные'!$F$2:$F$954,$H9&amp;"")+SUMIFS('Исходные данные'!$J$2:$J$954,'Исходные данные'!$D$2:$D$954,X$3,'Исходные данные'!$F$2:$F$954,$H9&amp;"")=0,"",IF(SUMIFS('Исходные данные'!$J$2:$J$954,'Исходные данные'!$D$2:$D$954,X$3,'Исходные данные'!$F$2:$F$954,$H9&amp;"")=0,SUMIFS('Исходные данные'!$I$2:$I$954,'Исходные данные'!$D$2:$D$954,X$3,'Исходные данные'!$F$2:$F$954,$H9&amp;""),IF(SUMIFS('Исходные данные'!$I$2:$I$954,'Исходные данные'!$D$2:$D$954,X$3,'Исходные данные'!$F$2:$F$954,$H9&amp;"")=0,"0+"&amp;SUMIFS('Исходные данные'!$J$2:$J$954,'Исходные данные'!$D$2:$D$954,X$3,'Исходные данные'!$F$2:$F$954,$H9&amp;"")&amp;"="&amp;SUMIFS('Исходные данные'!$J$2:$J$954,'Исходные данные'!$D$2:$D$954,X$3,'Исходные данные'!$F$2:$F$954,$H9&amp;""),SUMIFS('Исходные данные'!$I$2:$I$954,'Исходные данные'!$D$2:$D$954,X$3,'Исходные данные'!$F$2:$F$954,$H9&amp;"")&amp;"+"&amp;SUMIFS('Исходные данные'!$J$2:$J$954,'Исходные данные'!$D$2:$D$954,X$3,'Исходные данные'!$F$2:$F$954,$H9&amp;"")&amp;"="&amp;(SUMIFS('Исходные данные'!$I$2:$I$954,'Исходные данные'!$D$2:$D$954,X$3,'Исходные данные'!$F$2:$F$954,$H9&amp;"")+SUMIFS('Исходные данные'!$J$2:$J$954,'Исходные данные'!$D$2:$D$954,X$3,'Исходные данные'!$F$2:$F$954,$H9&amp;"")))))</f>
        <v>1</v>
      </c>
      <c r="Y9" s="52" t="str">
        <f aca="false">IF(SUMIFS('Исходные данные'!$I$2:$I$954,'Исходные данные'!$D$2:$D$954,Y$3,'Исходные данные'!$F$2:$F$954,$H9&amp;"")+SUMIFS('Исходные данные'!$J$2:$J$954,'Исходные данные'!$D$2:$D$954,Y$3,'Исходные данные'!$F$2:$F$954,$H9&amp;"")=0,"",IF(SUMIFS('Исходные данные'!$J$2:$J$954,'Исходные данные'!$D$2:$D$954,Y$3,'Исходные данные'!$F$2:$F$954,$H9&amp;"")=0,SUMIFS('Исходные данные'!$I$2:$I$954,'Исходные данные'!$D$2:$D$954,Y$3,'Исходные данные'!$F$2:$F$954,$H9&amp;""),IF(SUMIFS('Исходные данные'!$I$2:$I$954,'Исходные данные'!$D$2:$D$954,Y$3,'Исходные данные'!$F$2:$F$954,$H9&amp;"")=0,"0+"&amp;SUMIFS('Исходные данные'!$J$2:$J$954,'Исходные данные'!$D$2:$D$954,Y$3,'Исходные данные'!$F$2:$F$954,$H9&amp;"")&amp;"="&amp;SUMIFS('Исходные данные'!$J$2:$J$954,'Исходные данные'!$D$2:$D$954,Y$3,'Исходные данные'!$F$2:$F$954,$H9&amp;""),SUMIFS('Исходные данные'!$I$2:$I$954,'Исходные данные'!$D$2:$D$954,Y$3,'Исходные данные'!$F$2:$F$954,$H9&amp;"")&amp;"+"&amp;SUMIFS('Исходные данные'!$J$2:$J$954,'Исходные данные'!$D$2:$D$954,Y$3,'Исходные данные'!$F$2:$F$954,$H9&amp;"")&amp;"="&amp;(SUMIFS('Исходные данные'!$I$2:$I$954,'Исходные данные'!$D$2:$D$954,Y$3,'Исходные данные'!$F$2:$F$954,$H9&amp;"")+SUMIFS('Исходные данные'!$J$2:$J$954,'Исходные данные'!$D$2:$D$954,Y$3,'Исходные данные'!$F$2:$F$954,$H9&amp;"")))))</f>
        <v/>
      </c>
      <c r="Z9" s="49" t="str">
        <f aca="false">IF(SUMIFS('Исходные данные'!$I$2:$I$954,'Исходные данные'!$D$2:$D$954,Z$3,'Исходные данные'!$F$2:$F$954,$H9&amp;"")+SUMIFS('Исходные данные'!$J$2:$J$954,'Исходные данные'!$D$2:$D$954,Z$3,'Исходные данные'!$F$2:$F$954,$H9&amp;"")=0,"",IF(SUMIFS('Исходные данные'!$J$2:$J$954,'Исходные данные'!$D$2:$D$954,Z$3,'Исходные данные'!$F$2:$F$954,$H9&amp;"")=0,SUMIFS('Исходные данные'!$I$2:$I$954,'Исходные данные'!$D$2:$D$954,Z$3,'Исходные данные'!$F$2:$F$954,$H9&amp;""),IF(SUMIFS('Исходные данные'!$I$2:$I$954,'Исходные данные'!$D$2:$D$954,Z$3,'Исходные данные'!$F$2:$F$954,$H9&amp;"")=0,"0+"&amp;SUMIFS('Исходные данные'!$J$2:$J$954,'Исходные данные'!$D$2:$D$954,Z$3,'Исходные данные'!$F$2:$F$954,$H9&amp;"")&amp;"="&amp;SUMIFS('Исходные данные'!$J$2:$J$954,'Исходные данные'!$D$2:$D$954,Z$3,'Исходные данные'!$F$2:$F$954,$H9&amp;""),SUMIFS('Исходные данные'!$I$2:$I$954,'Исходные данные'!$D$2:$D$954,Z$3,'Исходные данные'!$F$2:$F$954,$H9&amp;"")&amp;"+"&amp;SUMIFS('Исходные данные'!$J$2:$J$954,'Исходные данные'!$D$2:$D$954,Z$3,'Исходные данные'!$F$2:$F$954,$H9&amp;"")&amp;"="&amp;(SUMIFS('Исходные данные'!$I$2:$I$954,'Исходные данные'!$D$2:$D$954,Z$3,'Исходные данные'!$F$2:$F$954,$H9&amp;"")+SUMIFS('Исходные данные'!$J$2:$J$954,'Исходные данные'!$D$2:$D$954,Z$3,'Исходные данные'!$F$2:$F$954,$H9&amp;"")))))</f>
        <v/>
      </c>
      <c r="AA9" s="50" t="str">
        <f aca="false">IF(SUMIFS('Исходные данные'!$I$2:$I$954,'Исходные данные'!$D$2:$D$954,AA$3,'Исходные данные'!$F$2:$F$954,$H9&amp;"")+SUMIFS('Исходные данные'!$J$2:$J$954,'Исходные данные'!$D$2:$D$954,AA$3,'Исходные данные'!$F$2:$F$954,$H9&amp;"")=0,"",IF(SUMIFS('Исходные данные'!$J$2:$J$954,'Исходные данные'!$D$2:$D$954,AA$3,'Исходные данные'!$F$2:$F$954,$H9&amp;"")=0,SUMIFS('Исходные данные'!$I$2:$I$954,'Исходные данные'!$D$2:$D$954,AA$3,'Исходные данные'!$F$2:$F$954,$H9&amp;""),IF(SUMIFS('Исходные данные'!$I$2:$I$954,'Исходные данные'!$D$2:$D$954,AA$3,'Исходные данные'!$F$2:$F$954,$H9&amp;"")=0,"0+"&amp;SUMIFS('Исходные данные'!$J$2:$J$954,'Исходные данные'!$D$2:$D$954,AA$3,'Исходные данные'!$F$2:$F$954,$H9&amp;"")&amp;"="&amp;SUMIFS('Исходные данные'!$J$2:$J$954,'Исходные данные'!$D$2:$D$954,AA$3,'Исходные данные'!$F$2:$F$954,$H9&amp;""),SUMIFS('Исходные данные'!$I$2:$I$954,'Исходные данные'!$D$2:$D$954,AA$3,'Исходные данные'!$F$2:$F$954,$H9&amp;"")&amp;"+"&amp;SUMIFS('Исходные данные'!$J$2:$J$954,'Исходные данные'!$D$2:$D$954,AA$3,'Исходные данные'!$F$2:$F$954,$H9&amp;"")&amp;"="&amp;(SUMIFS('Исходные данные'!$I$2:$I$954,'Исходные данные'!$D$2:$D$954,AA$3,'Исходные данные'!$F$2:$F$954,$H9&amp;"")+SUMIFS('Исходные данные'!$J$2:$J$954,'Исходные данные'!$D$2:$D$954,AA$3,'Исходные данные'!$F$2:$F$954,$H9&amp;"")))))</f>
        <v/>
      </c>
      <c r="AB9" s="50" t="str">
        <f aca="false">IF(SUMIFS('Исходные данные'!$I$2:$I$954,'Исходные данные'!$D$2:$D$954,AB$3,'Исходные данные'!$F$2:$F$954,$H9&amp;"")+SUMIFS('Исходные данные'!$J$2:$J$954,'Исходные данные'!$D$2:$D$954,AB$3,'Исходные данные'!$F$2:$F$954,$H9&amp;"")=0,"",IF(SUMIFS('Исходные данные'!$J$2:$J$954,'Исходные данные'!$D$2:$D$954,AB$3,'Исходные данные'!$F$2:$F$954,$H9&amp;"")=0,SUMIFS('Исходные данные'!$I$2:$I$954,'Исходные данные'!$D$2:$D$954,AB$3,'Исходные данные'!$F$2:$F$954,$H9&amp;""),IF(SUMIFS('Исходные данные'!$I$2:$I$954,'Исходные данные'!$D$2:$D$954,AB$3,'Исходные данные'!$F$2:$F$954,$H9&amp;"")=0,"0+"&amp;SUMIFS('Исходные данные'!$J$2:$J$954,'Исходные данные'!$D$2:$D$954,AB$3,'Исходные данные'!$F$2:$F$954,$H9&amp;"")&amp;"="&amp;SUMIFS('Исходные данные'!$J$2:$J$954,'Исходные данные'!$D$2:$D$954,AB$3,'Исходные данные'!$F$2:$F$954,$H9&amp;""),SUMIFS('Исходные данные'!$I$2:$I$954,'Исходные данные'!$D$2:$D$954,AB$3,'Исходные данные'!$F$2:$F$954,$H9&amp;"")&amp;"+"&amp;SUMIFS('Исходные данные'!$J$2:$J$954,'Исходные данные'!$D$2:$D$954,AB$3,'Исходные данные'!$F$2:$F$954,$H9&amp;"")&amp;"="&amp;(SUMIFS('Исходные данные'!$I$2:$I$954,'Исходные данные'!$D$2:$D$954,AB$3,'Исходные данные'!$F$2:$F$954,$H9&amp;"")+SUMIFS('Исходные данные'!$J$2:$J$954,'Исходные данные'!$D$2:$D$954,AB$3,'Исходные данные'!$F$2:$F$954,$H9&amp;"")))))</f>
        <v/>
      </c>
      <c r="AC9" s="52" t="str">
        <f aca="false">IF(SUMIFS('Исходные данные'!$I$2:$I$954,'Исходные данные'!$D$2:$D$954,AC$3,'Исходные данные'!$F$2:$F$954,$H9&amp;"")+SUMIFS('Исходные данные'!$J$2:$J$954,'Исходные данные'!$D$2:$D$954,AC$3,'Исходные данные'!$F$2:$F$954,$H9&amp;"")=0,"",IF(SUMIFS('Исходные данные'!$J$2:$J$954,'Исходные данные'!$D$2:$D$954,AC$3,'Исходные данные'!$F$2:$F$954,$H9&amp;"")=0,SUMIFS('Исходные данные'!$I$2:$I$954,'Исходные данные'!$D$2:$D$954,AC$3,'Исходные данные'!$F$2:$F$954,$H9&amp;""),IF(SUMIFS('Исходные данные'!$I$2:$I$954,'Исходные данные'!$D$2:$D$954,AC$3,'Исходные данные'!$F$2:$F$954,$H9&amp;"")=0,"0+"&amp;SUMIFS('Исходные данные'!$J$2:$J$954,'Исходные данные'!$D$2:$D$954,AC$3,'Исходные данные'!$F$2:$F$954,$H9&amp;"")&amp;"="&amp;SUMIFS('Исходные данные'!$J$2:$J$954,'Исходные данные'!$D$2:$D$954,AC$3,'Исходные данные'!$F$2:$F$954,$H9&amp;""),SUMIFS('Исходные данные'!$I$2:$I$954,'Исходные данные'!$D$2:$D$954,AC$3,'Исходные данные'!$F$2:$F$954,$H9&amp;"")&amp;"+"&amp;SUMIFS('Исходные данные'!$J$2:$J$954,'Исходные данные'!$D$2:$D$954,AC$3,'Исходные данные'!$F$2:$F$954,$H9&amp;"")&amp;"="&amp;(SUMIFS('Исходные данные'!$I$2:$I$954,'Исходные данные'!$D$2:$D$954,AC$3,'Исходные данные'!$F$2:$F$954,$H9&amp;"")+SUMIFS('Исходные данные'!$J$2:$J$954,'Исходные данные'!$D$2:$D$954,AC$3,'Исходные данные'!$F$2:$F$954,$H9&amp;"")))))</f>
        <v>1+2=3</v>
      </c>
      <c r="AD9" s="50" t="str">
        <f aca="false">IF(SUMIFS('Исходные данные'!$I$2:$I$954,'Исходные данные'!$D$2:$D$954,AD$3,'Исходные данные'!$F$2:$F$954,$H9&amp;"")+SUMIFS('Исходные данные'!$J$2:$J$954,'Исходные данные'!$D$2:$D$954,AD$3,'Исходные данные'!$F$2:$F$954,$H9&amp;"")=0,"",IF(SUMIFS('Исходные данные'!$J$2:$J$954,'Исходные данные'!$D$2:$D$954,AD$3,'Исходные данные'!$F$2:$F$954,$H9&amp;"")=0,SUMIFS('Исходные данные'!$I$2:$I$954,'Исходные данные'!$D$2:$D$954,AD$3,'Исходные данные'!$F$2:$F$954,$H9&amp;""),IF(SUMIFS('Исходные данные'!$I$2:$I$954,'Исходные данные'!$D$2:$D$954,AD$3,'Исходные данные'!$F$2:$F$954,$H9&amp;"")=0,"0+"&amp;SUMIFS('Исходные данные'!$J$2:$J$954,'Исходные данные'!$D$2:$D$954,AD$3,'Исходные данные'!$F$2:$F$954,$H9&amp;"")&amp;"="&amp;SUMIFS('Исходные данные'!$J$2:$J$954,'Исходные данные'!$D$2:$D$954,AD$3,'Исходные данные'!$F$2:$F$954,$H9&amp;""),SUMIFS('Исходные данные'!$I$2:$I$954,'Исходные данные'!$D$2:$D$954,AD$3,'Исходные данные'!$F$2:$F$954,$H9&amp;"")&amp;"+"&amp;SUMIFS('Исходные данные'!$J$2:$J$954,'Исходные данные'!$D$2:$D$954,AD$3,'Исходные данные'!$F$2:$F$954,$H9&amp;"")&amp;"="&amp;(SUMIFS('Исходные данные'!$I$2:$I$954,'Исходные данные'!$D$2:$D$954,AD$3,'Исходные данные'!$F$2:$F$954,$H9&amp;"")+SUMIFS('Исходные данные'!$J$2:$J$954,'Исходные данные'!$D$2:$D$954,AD$3,'Исходные данные'!$F$2:$F$954,$H9&amp;"")))))</f>
        <v>2+2=4</v>
      </c>
    </row>
    <row r="10" customFormat="false" ht="25.5" hidden="false" customHeight="true" outlineLevel="0" collapsed="false">
      <c r="A10" s="27" t="n">
        <v>8</v>
      </c>
      <c r="B10" s="28" t="s">
        <v>175</v>
      </c>
      <c r="C10" s="29" t="s">
        <v>9</v>
      </c>
      <c r="D10" s="30"/>
      <c r="E10" s="30" t="s">
        <v>176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данные'!$I$2:$I$954,'Исходные данные'!$D$2:$D$954,O$3,'Исходные данные'!$F$2:$F$954,$H11&amp;"",'Исходные данные'!$L$2:$L$954,"УТТ")+SUMIFS('Исходные данные'!$J$2:$J$954,'Исходные данные'!$D$2:$D$954,O$3,'Исходные данные'!$F$2:$F$954,$H11&amp;"",'Исходные данные'!$L$2:$L$954,"УТТ")=0,"","утт-"&amp;(SUMIFS('Исходные данные'!$I$2:$I$954,'Исходные данные'!$D$2:$D$954,O$3,'Исходные данные'!$F$2:$F$954,$H11&amp;"",'Исходные данные'!$L$2:$L$954,"УТТ")+SUMIFS('Исходные данные'!$J$2:$J$954,'Исходные данные'!$D$2:$D$954,O$3,'Исходные данные'!$F$2:$F$954,$H11&amp;"",'Исходные данные'!$L$2:$L$954,"УТТ")))</f>
        <v/>
      </c>
      <c r="P10" s="61" t="str">
        <f aca="false">IF(SUMIFS('Исходные данные'!$I$2:$I$954,'Исходные данные'!$D$2:$D$954,P$3,'Исходные данные'!$F$2:$F$954,$H11&amp;"",'Исходные данные'!$L$2:$L$954,"УТТ")+SUMIFS('Исходные данные'!$J$2:$J$954,'Исходные данные'!$D$2:$D$954,P$3,'Исходные данные'!$F$2:$F$954,$H11&amp;"",'Исходные данные'!$L$2:$L$954,"УТТ")=0,"","утт-"&amp;(SUMIFS('Исходные данные'!$I$2:$I$954,'Исходные данные'!$D$2:$D$954,P$3,'Исходные данные'!$F$2:$F$954,$H11&amp;"",'Исходные данные'!$L$2:$L$954,"УТТ")+SUMIFS('Исходные данные'!$J$2:$J$954,'Исходные данные'!$D$2:$D$954,P$3,'Исходные данные'!$F$2:$F$954,$H11&amp;"",'Исходные данные'!$L$2:$L$954,"УТТ")))</f>
        <v/>
      </c>
      <c r="Q10" s="60" t="str">
        <f aca="false">IF(SUMIFS('Исходные данные'!$I$2:$I$954,'Исходные данные'!$D$2:$D$954,Q$3,'Исходные данные'!$F$2:$F$954,$H11&amp;"",'Исходные данные'!$L$2:$L$954,"УТТ")+SUMIFS('Исходные данные'!$J$2:$J$954,'Исходные данные'!$D$2:$D$954,Q$3,'Исходные данные'!$F$2:$F$954,$H11&amp;"",'Исходные данные'!$L$2:$L$954,"УТТ")=0,"","утт-"&amp;(SUMIFS('Исходные данные'!$I$2:$I$954,'Исходные данные'!$D$2:$D$954,Q$3,'Исходные данные'!$F$2:$F$954,$H11&amp;"",'Исходные данные'!$L$2:$L$954,"УТТ")+SUMIFS('Исходные данные'!$J$2:$J$954,'Исходные данные'!$D$2:$D$954,Q$3,'Исходные данные'!$F$2:$F$954,$H11&amp;"",'Исходные данные'!$L$2:$L$954,"УТТ")))</f>
        <v/>
      </c>
      <c r="R10" s="62" t="str">
        <f aca="false">IF(SUMIFS('Исходные данные'!$I$2:$I$954,'Исходные данные'!$D$2:$D$954,R$3,'Исходные данные'!$F$2:$F$954,$H11&amp;"",'Исходные данные'!$L$2:$L$954,"УТТ")+SUMIFS('Исходные данные'!$J$2:$J$954,'Исходные данные'!$D$2:$D$954,R$3,'Исходные данные'!$F$2:$F$954,$H11&amp;"",'Исходные данные'!$L$2:$L$954,"УТТ")=0,"","утт-"&amp;(SUMIFS('Исходные данные'!$I$2:$I$954,'Исходные данные'!$D$2:$D$954,R$3,'Исходные данные'!$F$2:$F$954,$H11&amp;"",'Исходные данные'!$L$2:$L$954,"УТТ")+SUMIFS('Исходные данные'!$J$2:$J$954,'Исходные данные'!$D$2:$D$954,R$3,'Исходные данные'!$F$2:$F$954,$H11&amp;"",'Исходные данные'!$L$2:$L$954,"УТТ")))</f>
        <v/>
      </c>
      <c r="S10" s="61" t="str">
        <f aca="false">IF(SUMIFS('Исходные данные'!$I$2:$I$954,'Исходные данные'!$D$2:$D$954,S$3,'Исходные данные'!$F$2:$F$954,$H11&amp;"",'Исходные данные'!$L$2:$L$954,"УТТ")+SUMIFS('Исходные данные'!$J$2:$J$954,'Исходные данные'!$D$2:$D$954,S$3,'Исходные данные'!$F$2:$F$954,$H11&amp;"",'Исходные данные'!$L$2:$L$954,"УТТ")=0,"","утт-"&amp;(SUMIFS('Исходные данные'!$I$2:$I$954,'Исходные данные'!$D$2:$D$954,S$3,'Исходные данные'!$F$2:$F$954,$H11&amp;"",'Исходные данные'!$L$2:$L$954,"УТТ")+SUMIFS('Исходные данные'!$J$2:$J$954,'Исходные данные'!$D$2:$D$954,S$3,'Исходные данные'!$F$2:$F$954,$H11&amp;"",'Исходные данные'!$L$2:$L$954,"УТТ")))</f>
        <v/>
      </c>
      <c r="T10" s="60" t="str">
        <f aca="false">IF(SUMIFS('Исходные данные'!$I$2:$I$954,'Исходные данные'!$D$2:$D$954,T$3,'Исходные данные'!$F$2:$F$954,$H11&amp;"",'Исходные данные'!$L$2:$L$954,"УТТ")+SUMIFS('Исходные данные'!$J$2:$J$954,'Исходные данные'!$D$2:$D$954,T$3,'Исходные данные'!$F$2:$F$954,$H11&amp;"",'Исходные данные'!$L$2:$L$954,"УТТ")=0,"","утт-"&amp;(SUMIFS('Исходные данные'!$I$2:$I$954,'Исходные данные'!$D$2:$D$954,T$3,'Исходные данные'!$F$2:$F$954,$H11&amp;"",'Исходные данные'!$L$2:$L$954,"УТТ")+SUMIFS('Исходные данные'!$J$2:$J$954,'Исходные данные'!$D$2:$D$954,T$3,'Исходные данные'!$F$2:$F$954,$H11&amp;"",'Исходные данные'!$L$2:$L$954,"УТТ")))</f>
        <v/>
      </c>
      <c r="U10" s="61" t="str">
        <f aca="false">IF(SUMIFS('Исходные данные'!$I$2:$I$954,'Исходные данные'!$D$2:$D$954,U$3,'Исходные данные'!$F$2:$F$954,$H11&amp;"",'Исходные данные'!$L$2:$L$954,"УТТ")+SUMIFS('Исходные данные'!$J$2:$J$954,'Исходные данные'!$D$2:$D$954,U$3,'Исходные данные'!$F$2:$F$954,$H11&amp;"",'Исходные данные'!$L$2:$L$954,"УТТ")=0,"","утт-"&amp;(SUMIFS('Исходные данные'!$I$2:$I$954,'Исходные данные'!$D$2:$D$954,U$3,'Исходные данные'!$F$2:$F$954,$H11&amp;"",'Исходные данные'!$L$2:$L$954,"УТТ")+SUMIFS('Исходные данные'!$J$2:$J$954,'Исходные данные'!$D$2:$D$954,U$3,'Исходные данные'!$F$2:$F$954,$H11&amp;"",'Исходные данные'!$L$2:$L$954,"УТТ")))</f>
        <v/>
      </c>
      <c r="V10" s="60" t="str">
        <f aca="false">IF(SUMIFS('Исходные данные'!$I$2:$I$954,'Исходные данные'!$D$2:$D$954,V$3,'Исходные данные'!$F$2:$F$954,$H11&amp;"",'Исходные данные'!$L$2:$L$954,"УТТ")+SUMIFS('Исходные данные'!$J$2:$J$954,'Исходные данные'!$D$2:$D$954,V$3,'Исходные данные'!$F$2:$F$954,$H11&amp;"",'Исходные данные'!$L$2:$L$954,"УТТ")=0,"","утт-"&amp;(SUMIFS('Исходные данные'!$I$2:$I$954,'Исходные данные'!$D$2:$D$954,V$3,'Исходные данные'!$F$2:$F$954,$H11&amp;"",'Исходные данные'!$L$2:$L$954,"УТТ")+SUMIFS('Исходные данные'!$J$2:$J$954,'Исходные данные'!$D$2:$D$954,V$3,'Исходные данные'!$F$2:$F$954,$H11&amp;"",'Исходные данные'!$L$2:$L$954,"УТТ")))</f>
        <v/>
      </c>
      <c r="W10" s="61" t="str">
        <f aca="false">IF(SUMIFS('Исходные данные'!$I$2:$I$954,'Исходные данные'!$D$2:$D$954,W$3,'Исходные данные'!$F$2:$F$954,$H11&amp;"",'Исходные данные'!$L$2:$L$954,"УТТ")+SUMIFS('Исходные данные'!$J$2:$J$954,'Исходные данные'!$D$2:$D$954,W$3,'Исходные данные'!$F$2:$F$954,$H11&amp;"",'Исходные данные'!$L$2:$L$954,"УТТ")=0,"","утт-"&amp;(SUMIFS('Исходные данные'!$I$2:$I$954,'Исходные данные'!$D$2:$D$954,W$3,'Исходные данные'!$F$2:$F$954,$H11&amp;"",'Исходные данные'!$L$2:$L$954,"УТТ")+SUMIFS('Исходные данные'!$J$2:$J$954,'Исходные данные'!$D$2:$D$954,W$3,'Исходные данные'!$F$2:$F$954,$H11&amp;"",'Исходные данные'!$L$2:$L$954,"УТТ")))</f>
        <v/>
      </c>
      <c r="X10" s="61" t="str">
        <f aca="false">IF(SUMIFS('Исходные данные'!$I$2:$I$954,'Исходные данные'!$D$2:$D$954,X$3,'Исходные данные'!$F$2:$F$954,$H11&amp;"",'Исходные данные'!$L$2:$L$954,"УТТ")+SUMIFS('Исходные данные'!$J$2:$J$954,'Исходные данные'!$D$2:$D$954,X$3,'Исходные данные'!$F$2:$F$954,$H11&amp;"",'Исходные данные'!$L$2:$L$954,"УТТ")=0,"","утт-"&amp;(SUMIFS('Исходные данные'!$I$2:$I$954,'Исходные данные'!$D$2:$D$954,X$3,'Исходные данные'!$F$2:$F$954,$H11&amp;"",'Исходные данные'!$L$2:$L$954,"УТТ")+SUMIFS('Исходные данные'!$J$2:$J$954,'Исходные данные'!$D$2:$D$954,X$3,'Исходные данные'!$F$2:$F$954,$H11&amp;"",'Исходные данные'!$L$2:$L$954,"УТТ")))</f>
        <v/>
      </c>
      <c r="Y10" s="63" t="str">
        <f aca="false">IF(SUMIFS('Исходные данные'!$I$2:$I$954,'Исходные данные'!$D$2:$D$954,Y$3,'Исходные данные'!$F$2:$F$954,$H11&amp;"",'Исходные данные'!$L$2:$L$954,"УТТ")+SUMIFS('Исходные данные'!$J$2:$J$954,'Исходные данные'!$D$2:$D$954,Y$3,'Исходные данные'!$F$2:$F$954,$H11&amp;"",'Исходные данные'!$L$2:$L$954,"УТТ")=0,"","утт-"&amp;(SUMIFS('Исходные данные'!$I$2:$I$954,'Исходные данные'!$D$2:$D$954,Y$3,'Исходные данные'!$F$2:$F$954,$H11&amp;"",'Исходные данные'!$L$2:$L$954,"УТТ")+SUMIFS('Исходные данные'!$J$2:$J$954,'Исходные данные'!$D$2:$D$954,Y$3,'Исходные данные'!$F$2:$F$954,$H11&amp;"",'Исходные данные'!$L$2:$L$954,"УТТ")))</f>
        <v/>
      </c>
      <c r="Z10" s="60" t="str">
        <f aca="false">IF(SUMIFS('Исходные данные'!$I$2:$I$954,'Исходные данные'!$D$2:$D$954,Z$3,'Исходные данные'!$F$2:$F$954,$H11&amp;"",'Исходные данные'!$L$2:$L$954,"УТТ")+SUMIFS('Исходные данные'!$J$2:$J$954,'Исходные данные'!$D$2:$D$954,Z$3,'Исходные данные'!$F$2:$F$954,$H11&amp;"",'Исходные данные'!$L$2:$L$954,"УТТ")=0,"","утт-"&amp;(SUMIFS('Исходные данные'!$I$2:$I$954,'Исходные данные'!$D$2:$D$954,Z$3,'Исходные данные'!$F$2:$F$954,$H11&amp;"",'Исходные данные'!$L$2:$L$954,"УТТ")+SUMIFS('Исходные данные'!$J$2:$J$954,'Исходные данные'!$D$2:$D$954,Z$3,'Исходные данные'!$F$2:$F$954,$H11&amp;"",'Исходные данные'!$L$2:$L$954,"УТТ")))</f>
        <v/>
      </c>
      <c r="AA10" s="61" t="str">
        <f aca="false">IF(SUMIFS('Исходные данные'!$I$2:$I$954,'Исходные данные'!$D$2:$D$954,AA$3,'Исходные данные'!$F$2:$F$954,$H11&amp;"",'Исходные данные'!$L$2:$L$954,"УТТ")+SUMIFS('Исходные данные'!$J$2:$J$954,'Исходные данные'!$D$2:$D$954,AA$3,'Исходные данные'!$F$2:$F$954,$H11&amp;"",'Исходные данные'!$L$2:$L$954,"УТТ")=0,"","утт-"&amp;(SUMIFS('Исходные данные'!$I$2:$I$954,'Исходные данные'!$D$2:$D$954,AA$3,'Исходные данные'!$F$2:$F$954,$H11&amp;"",'Исходные данные'!$L$2:$L$954,"УТТ")+SUMIFS('Исходные данные'!$J$2:$J$954,'Исходные данные'!$D$2:$D$954,AA$3,'Исходные данные'!$F$2:$F$954,$H11&amp;"",'Исходные данные'!$L$2:$L$954,"УТТ")))</f>
        <v/>
      </c>
      <c r="AB10" s="61" t="str">
        <f aca="false">IF(SUMIFS('Исходные данные'!$I$2:$I$954,'Исходные данные'!$D$2:$D$954,AB$3,'Исходные данные'!$F$2:$F$954,$H11&amp;"",'Исходные данные'!$L$2:$L$954,"УТТ")+SUMIFS('Исходные данные'!$J$2:$J$954,'Исходные данные'!$D$2:$D$954,AB$3,'Исходные данные'!$F$2:$F$954,$H11&amp;"",'Исходные данные'!$L$2:$L$954,"УТТ")=0,"","утт-"&amp;(SUMIFS('Исходные данные'!$I$2:$I$954,'Исходные данные'!$D$2:$D$954,AB$3,'Исходные данные'!$F$2:$F$954,$H11&amp;"",'Исходные данные'!$L$2:$L$954,"УТТ")+SUMIFS('Исходные данные'!$J$2:$J$954,'Исходные данные'!$D$2:$D$954,AB$3,'Исходные данные'!$F$2:$F$954,$H11&amp;"",'Исходные данные'!$L$2:$L$954,"УТТ")))</f>
        <v/>
      </c>
      <c r="AC10" s="60" t="str">
        <f aca="false">IF(SUMIFS('Исходные данные'!$I$2:$I$954,'Исходные данные'!$D$2:$D$954,AC$3,'Исходные данные'!$F$2:$F$954,$H11&amp;"",'Исходные данные'!$L$2:$L$954,"УТТ")+SUMIFS('Исходные данные'!$J$2:$J$954,'Исходные данные'!$D$2:$D$954,AC$3,'Исходные данные'!$F$2:$F$954,$H11&amp;"",'Исходные данные'!$L$2:$L$954,"УТТ")=0,"","утт-"&amp;(SUMIFS('Исходные данные'!$I$2:$I$954,'Исходные данные'!$D$2:$D$954,AC$3,'Исходные данные'!$F$2:$F$954,$H11&amp;"",'Исходные данные'!$L$2:$L$954,"УТТ")+SUMIFS('Исходные данные'!$J$2:$J$954,'Исходные данные'!$D$2:$D$954,AC$3,'Исходные данные'!$F$2:$F$954,$H11&amp;"",'Исходные данные'!$L$2:$L$954,"УТТ")))</f>
        <v/>
      </c>
      <c r="AD10" s="61" t="str">
        <f aca="false">IF(SUMIFS('Исходные данные'!$I$2:$I$954,'Исходные данные'!$D$2:$D$954,AD$3,'Исходные данные'!$F$2:$F$954,$H11&amp;"",'Исходные данные'!$L$2:$L$954,"УТТ")+SUMIFS('Исходные данные'!$J$2:$J$954,'Исходные данные'!$D$2:$D$954,AD$3,'Исходные данные'!$F$2:$F$954,$H11&amp;"",'Исходные данные'!$L$2:$L$954,"УТТ")=0,"","утт-"&amp;(SUMIFS('Исходные данные'!$I$2:$I$954,'Исходные данные'!$D$2:$D$954,AD$3,'Исходные данные'!$F$2:$F$954,$H11&amp;"",'Исходные данные'!$L$2:$L$954,"УТТ")+SUMIFS('Исходные данные'!$J$2:$J$954,'Исходные данные'!$D$2:$D$954,AD$3,'Исходные данные'!$F$2:$F$954,$H11&amp;"",'Исходные данные'!$L$2:$L$954,"УТТ")))</f>
        <v>утт-4</v>
      </c>
    </row>
    <row r="11" customFormat="false" ht="25.5" hidden="false" customHeight="true" outlineLevel="0" collapsed="false">
      <c r="A11" s="43" t="n">
        <v>9</v>
      </c>
      <c r="B11" s="28" t="s">
        <v>177</v>
      </c>
      <c r="C11" s="29" t="s">
        <v>9</v>
      </c>
      <c r="D11" s="30"/>
      <c r="E11" s="30" t="s">
        <v>178</v>
      </c>
      <c r="F11" s="30" t="s">
        <v>21</v>
      </c>
      <c r="G11" s="64"/>
      <c r="H11" s="32" t="n">
        <v>28</v>
      </c>
      <c r="I11" s="44" t="s">
        <v>179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21</v>
      </c>
      <c r="L11" s="47" t="n">
        <f aca="false">IFERROR(INDEX('Выход ТС'!$E:$E,MATCH($H11&amp;"",'Выход ТС'!$A:$A,0)),"")</f>
        <v>-4</v>
      </c>
      <c r="M11" s="48" t="n">
        <f aca="false">IFERROR(IF(INDEX('Выход ТС'!$F:$F,MATCH($H11&amp;"",'Выход ТС'!$A:$A,0))=0,"",INDEX('Выход ТС'!$F:$F,MATCH($H11&amp;"",'Выход ТС'!$A:$A,0))),"")</f>
        <v>14</v>
      </c>
      <c r="N11" s="48" t="n">
        <f aca="false">IFERROR(IF(INDEX('Выход ТС'!$G:$G,MATCH($H11&amp;"",'Выход ТС'!$A:$A,0))=0,"",INDEX('Выход ТС'!$G:$G,MATCH($H11&amp;"",'Выход ТС'!$A:$A,0))),"")</f>
        <v>7</v>
      </c>
      <c r="O11" s="49" t="n">
        <f aca="false">IF(SUMIFS('Исходные данные'!$I$2:$I$954,'Исходные данные'!$D$2:$D$954,O$3,'Исходные данные'!$F$2:$F$954,$H11&amp;"")+SUMIFS('Исходные данные'!$J$2:$J$954,'Исходные данные'!$D$2:$D$954,O$3,'Исходные данные'!$F$2:$F$954,$H11&amp;"")=0,"",IF(SUMIFS('Исходные данные'!$J$2:$J$954,'Исходные данные'!$D$2:$D$954,O$3,'Исходные данные'!$F$2:$F$954,$H11&amp;"")=0,SUMIFS('Исходные данные'!$I$2:$I$954,'Исходные данные'!$D$2:$D$954,O$3,'Исходные данные'!$F$2:$F$954,$H11&amp;""),IF(SUMIFS('Исходные данные'!$I$2:$I$954,'Исходные данные'!$D$2:$D$954,O$3,'Исходные данные'!$F$2:$F$954,$H11&amp;"")=0,"0+"&amp;SUMIFS('Исходные данные'!$J$2:$J$954,'Исходные данные'!$D$2:$D$954,O$3,'Исходные данные'!$F$2:$F$954,$H11&amp;"")&amp;"="&amp;SUMIFS('Исходные данные'!$J$2:$J$954,'Исходные данные'!$D$2:$D$954,O$3,'Исходные данные'!$F$2:$F$954,$H11&amp;""),SUMIFS('Исходные данные'!$I$2:$I$954,'Исходные данные'!$D$2:$D$954,O$3,'Исходные данные'!$F$2:$F$954,$H11&amp;"")&amp;"+"&amp;SUMIFS('Исходные данные'!$J$2:$J$954,'Исходные данные'!$D$2:$D$954,O$3,'Исходные данные'!$F$2:$F$954,$H11&amp;"")&amp;"="&amp;(SUMIFS('Исходные данные'!$I$2:$I$954,'Исходные данные'!$D$2:$D$954,O$3,'Исходные данные'!$F$2:$F$954,$H11&amp;"")+SUMIFS('Исходные данные'!$J$2:$J$954,'Исходные данные'!$D$2:$D$954,O$3,'Исходные данные'!$F$2:$F$954,$H11&amp;"")))))</f>
        <v>1</v>
      </c>
      <c r="P11" s="50" t="n">
        <f aca="false">IF(SUMIFS('Исходные данные'!$I$2:$I$954,'Исходные данные'!$D$2:$D$954,P$3,'Исходные данные'!$F$2:$F$954,$H11&amp;"")+SUMIFS('Исходные данные'!$J$2:$J$954,'Исходные данные'!$D$2:$D$954,P$3,'Исходные данные'!$F$2:$F$954,$H11&amp;"")=0,"",IF(SUMIFS('Исходные данные'!$J$2:$J$954,'Исходные данные'!$D$2:$D$954,P$3,'Исходные данные'!$F$2:$F$954,$H11&amp;"")=0,SUMIFS('Исходные данные'!$I$2:$I$954,'Исходные данные'!$D$2:$D$954,P$3,'Исходные данные'!$F$2:$F$954,$H11&amp;""),IF(SUMIFS('Исходные данные'!$I$2:$I$954,'Исходные данные'!$D$2:$D$954,P$3,'Исходные данные'!$F$2:$F$954,$H11&amp;"")=0,"0+"&amp;SUMIFS('Исходные данные'!$J$2:$J$954,'Исходные данные'!$D$2:$D$954,P$3,'Исходные данные'!$F$2:$F$954,$H11&amp;"")&amp;"="&amp;SUMIFS('Исходные данные'!$J$2:$J$954,'Исходные данные'!$D$2:$D$954,P$3,'Исходные данные'!$F$2:$F$954,$H11&amp;""),SUMIFS('Исходные данные'!$I$2:$I$954,'Исходные данные'!$D$2:$D$954,P$3,'Исходные данные'!$F$2:$F$954,$H11&amp;"")&amp;"+"&amp;SUMIFS('Исходные данные'!$J$2:$J$954,'Исходные данные'!$D$2:$D$954,P$3,'Исходные данные'!$F$2:$F$954,$H11&amp;"")&amp;"="&amp;(SUMIFS('Исходные данные'!$I$2:$I$954,'Исходные данные'!$D$2:$D$954,P$3,'Исходные данные'!$F$2:$F$954,$H11&amp;"")+SUMIFS('Исходные данные'!$J$2:$J$954,'Исходные данные'!$D$2:$D$954,P$3,'Исходные данные'!$F$2:$F$954,$H11&amp;"")))))</f>
        <v>1</v>
      </c>
      <c r="Q11" s="49" t="n">
        <f aca="false">IF(SUMIFS('Исходные данные'!$I$2:$I$954,'Исходные данные'!$D$2:$D$954,Q$3,'Исходные данные'!$F$2:$F$954,$H11&amp;"")+SUMIFS('Исходные данные'!$J$2:$J$954,'Исходные данные'!$D$2:$D$954,Q$3,'Исходные данные'!$F$2:$F$954,$H11&amp;"")=0,"",IF(SUMIFS('Исходные данные'!$J$2:$J$954,'Исходные данные'!$D$2:$D$954,Q$3,'Исходные данные'!$F$2:$F$954,$H11&amp;"")=0,SUMIFS('Исходные данные'!$I$2:$I$954,'Исходные данные'!$D$2:$D$954,Q$3,'Исходные данные'!$F$2:$F$954,$H11&amp;""),IF(SUMIFS('Исходные данные'!$I$2:$I$954,'Исходные данные'!$D$2:$D$954,Q$3,'Исходные данные'!$F$2:$F$954,$H11&amp;"")=0,"0+"&amp;SUMIFS('Исходные данные'!$J$2:$J$954,'Исходные данные'!$D$2:$D$954,Q$3,'Исходные данные'!$F$2:$F$954,$H11&amp;"")&amp;"="&amp;SUMIFS('Исходные данные'!$J$2:$J$954,'Исходные данные'!$D$2:$D$954,Q$3,'Исходные данные'!$F$2:$F$954,$H11&amp;""),SUMIFS('Исходные данные'!$I$2:$I$954,'Исходные данные'!$D$2:$D$954,Q$3,'Исходные данные'!$F$2:$F$954,$H11&amp;"")&amp;"+"&amp;SUMIFS('Исходные данные'!$J$2:$J$954,'Исходные данные'!$D$2:$D$954,Q$3,'Исходные данные'!$F$2:$F$954,$H11&amp;"")&amp;"="&amp;(SUMIFS('Исходные данные'!$I$2:$I$954,'Исходные данные'!$D$2:$D$954,Q$3,'Исходные данные'!$F$2:$F$954,$H11&amp;"")+SUMIFS('Исходные данные'!$J$2:$J$954,'Исходные данные'!$D$2:$D$954,Q$3,'Исходные данные'!$F$2:$F$954,$H11&amp;"")))))</f>
        <v>1</v>
      </c>
      <c r="R11" s="51" t="n">
        <f aca="false">IF(SUMIFS('Исходные данные'!$I$2:$I$954,'Исходные данные'!$D$2:$D$954,R$3,'Исходные данные'!$F$2:$F$954,$H11&amp;"")+SUMIFS('Исходные данные'!$J$2:$J$954,'Исходные данные'!$D$2:$D$954,R$3,'Исходные данные'!$F$2:$F$954,$H11&amp;"")=0,"",IF(SUMIFS('Исходные данные'!$J$2:$J$954,'Исходные данные'!$D$2:$D$954,R$3,'Исходные данные'!$F$2:$F$954,$H11&amp;"")=0,SUMIFS('Исходные данные'!$I$2:$I$954,'Исходные данные'!$D$2:$D$954,R$3,'Исходные данные'!$F$2:$F$954,$H11&amp;""),IF(SUMIFS('Исходные данные'!$I$2:$I$954,'Исходные данные'!$D$2:$D$954,R$3,'Исходные данные'!$F$2:$F$954,$H11&amp;"")=0,"0+"&amp;SUMIFS('Исходные данные'!$J$2:$J$954,'Исходные данные'!$D$2:$D$954,R$3,'Исходные данные'!$F$2:$F$954,$H11&amp;"")&amp;"="&amp;SUMIFS('Исходные данные'!$J$2:$J$954,'Исходные данные'!$D$2:$D$954,R$3,'Исходные данные'!$F$2:$F$954,$H11&amp;""),SUMIFS('Исходные данные'!$I$2:$I$954,'Исходные данные'!$D$2:$D$954,R$3,'Исходные данные'!$F$2:$F$954,$H11&amp;"")&amp;"+"&amp;SUMIFS('Исходные данные'!$J$2:$J$954,'Исходные данные'!$D$2:$D$954,R$3,'Исходные данные'!$F$2:$F$954,$H11&amp;"")&amp;"="&amp;(SUMIFS('Исходные данные'!$I$2:$I$954,'Исходные данные'!$D$2:$D$954,R$3,'Исходные данные'!$F$2:$F$954,$H11&amp;"")+SUMIFS('Исходные данные'!$J$2:$J$954,'Исходные данные'!$D$2:$D$954,R$3,'Исходные данные'!$F$2:$F$954,$H11&amp;"")))))</f>
        <v>1</v>
      </c>
      <c r="S11" s="50" t="n">
        <f aca="false">IF(SUMIFS('Исходные данные'!$I$2:$I$954,'Исходные данные'!$D$2:$D$954,S$3,'Исходные данные'!$F$2:$F$954,$H11&amp;"")+SUMIFS('Исходные данные'!$J$2:$J$954,'Исходные данные'!$D$2:$D$954,S$3,'Исходные данные'!$F$2:$F$954,$H11&amp;"")=0,"",IF(SUMIFS('Исходные данные'!$J$2:$J$954,'Исходные данные'!$D$2:$D$954,S$3,'Исходные данные'!$F$2:$F$954,$H11&amp;"")=0,SUMIFS('Исходные данные'!$I$2:$I$954,'Исходные данные'!$D$2:$D$954,S$3,'Исходные данные'!$F$2:$F$954,$H11&amp;""),IF(SUMIFS('Исходные данные'!$I$2:$I$954,'Исходные данные'!$D$2:$D$954,S$3,'Исходные данные'!$F$2:$F$954,$H11&amp;"")=0,"0+"&amp;SUMIFS('Исходные данные'!$J$2:$J$954,'Исходные данные'!$D$2:$D$954,S$3,'Исходные данные'!$F$2:$F$954,$H11&amp;"")&amp;"="&amp;SUMIFS('Исходные данные'!$J$2:$J$954,'Исходные данные'!$D$2:$D$954,S$3,'Исходные данные'!$F$2:$F$954,$H11&amp;""),SUMIFS('Исходные данные'!$I$2:$I$954,'Исходные данные'!$D$2:$D$954,S$3,'Исходные данные'!$F$2:$F$954,$H11&amp;"")&amp;"+"&amp;SUMIFS('Исходные данные'!$J$2:$J$954,'Исходные данные'!$D$2:$D$954,S$3,'Исходные данные'!$F$2:$F$954,$H11&amp;"")&amp;"="&amp;(SUMIFS('Исходные данные'!$I$2:$I$954,'Исходные данные'!$D$2:$D$954,S$3,'Исходные данные'!$F$2:$F$954,$H11&amp;"")+SUMIFS('Исходные данные'!$J$2:$J$954,'Исходные данные'!$D$2:$D$954,S$3,'Исходные данные'!$F$2:$F$954,$H11&amp;"")))))</f>
        <v>1</v>
      </c>
      <c r="T11" s="49" t="n">
        <f aca="false">IF(SUMIFS('Исходные данные'!$I$2:$I$954,'Исходные данные'!$D$2:$D$954,T$3,'Исходные данные'!$F$2:$F$954,$H11&amp;"")+SUMIFS('Исходные данные'!$J$2:$J$954,'Исходные данные'!$D$2:$D$954,T$3,'Исходные данные'!$F$2:$F$954,$H11&amp;"")=0,"",IF(SUMIFS('Исходные данные'!$J$2:$J$954,'Исходные данные'!$D$2:$D$954,T$3,'Исходные данные'!$F$2:$F$954,$H11&amp;"")=0,SUMIFS('Исходные данные'!$I$2:$I$954,'Исходные данные'!$D$2:$D$954,T$3,'Исходные данные'!$F$2:$F$954,$H11&amp;""),IF(SUMIFS('Исходные данные'!$I$2:$I$954,'Исходные данные'!$D$2:$D$954,T$3,'Исходные данные'!$F$2:$F$954,$H11&amp;"")=0,"0+"&amp;SUMIFS('Исходные данные'!$J$2:$J$954,'Исходные данные'!$D$2:$D$954,T$3,'Исходные данные'!$F$2:$F$954,$H11&amp;"")&amp;"="&amp;SUMIFS('Исходные данные'!$J$2:$J$954,'Исходные данные'!$D$2:$D$954,T$3,'Исходные данные'!$F$2:$F$954,$H11&amp;""),SUMIFS('Исходные данные'!$I$2:$I$954,'Исходные данные'!$D$2:$D$954,T$3,'Исходные данные'!$F$2:$F$954,$H11&amp;"")&amp;"+"&amp;SUMIFS('Исходные данные'!$J$2:$J$954,'Исходные данные'!$D$2:$D$954,T$3,'Исходные данные'!$F$2:$F$954,$H11&amp;"")&amp;"="&amp;(SUMIFS('Исходные данные'!$I$2:$I$954,'Исходные данные'!$D$2:$D$954,T$3,'Исходные данные'!$F$2:$F$954,$H11&amp;"")+SUMIFS('Исходные данные'!$J$2:$J$954,'Исходные данные'!$D$2:$D$954,T$3,'Исходные данные'!$F$2:$F$954,$H11&amp;"")))))</f>
        <v>1</v>
      </c>
      <c r="U11" s="50" t="str">
        <f aca="false">IF(SUMIFS('Исходные данные'!$I$2:$I$954,'Исходные данные'!$D$2:$D$954,U$3,'Исходные данные'!$F$2:$F$954,$H11&amp;"")+SUMIFS('Исходные данные'!$J$2:$J$954,'Исходные данные'!$D$2:$D$954,U$3,'Исходные данные'!$F$2:$F$954,$H11&amp;"")=0,"",IF(SUMIFS('Исходные данные'!$J$2:$J$954,'Исходные данные'!$D$2:$D$954,U$3,'Исходные данные'!$F$2:$F$954,$H11&amp;"")=0,SUMIFS('Исходные данные'!$I$2:$I$954,'Исходные данные'!$D$2:$D$954,U$3,'Исходные данные'!$F$2:$F$954,$H11&amp;""),IF(SUMIFS('Исходные данные'!$I$2:$I$954,'Исходные данные'!$D$2:$D$954,U$3,'Исходные данные'!$F$2:$F$954,$H11&amp;"")=0,"0+"&amp;SUMIFS('Исходные данные'!$J$2:$J$954,'Исходные данные'!$D$2:$D$954,U$3,'Исходные данные'!$F$2:$F$954,$H11&amp;"")&amp;"="&amp;SUMIFS('Исходные данные'!$J$2:$J$954,'Исходные данные'!$D$2:$D$954,U$3,'Исходные данные'!$F$2:$F$954,$H11&amp;""),SUMIFS('Исходные данные'!$I$2:$I$954,'Исходные данные'!$D$2:$D$954,U$3,'Исходные данные'!$F$2:$F$954,$H11&amp;"")&amp;"+"&amp;SUMIFS('Исходные данные'!$J$2:$J$954,'Исходные данные'!$D$2:$D$954,U$3,'Исходные данные'!$F$2:$F$954,$H11&amp;"")&amp;"="&amp;(SUMIFS('Исходные данные'!$I$2:$I$954,'Исходные данные'!$D$2:$D$954,U$3,'Исходные данные'!$F$2:$F$954,$H11&amp;"")+SUMIFS('Исходные данные'!$J$2:$J$954,'Исходные данные'!$D$2:$D$954,U$3,'Исходные данные'!$F$2:$F$954,$H11&amp;"")))))</f>
        <v/>
      </c>
      <c r="V11" s="49" t="str">
        <f aca="false">IF(SUMIFS('Исходные данные'!$I$2:$I$954,'Исходные данные'!$D$2:$D$954,V$3,'Исходные данные'!$F$2:$F$954,$H11&amp;"")+SUMIFS('Исходные данные'!$J$2:$J$954,'Исходные данные'!$D$2:$D$954,V$3,'Исходные данные'!$F$2:$F$954,$H11&amp;"")=0,"",IF(SUMIFS('Исходные данные'!$J$2:$J$954,'Исходные данные'!$D$2:$D$954,V$3,'Исходные данные'!$F$2:$F$954,$H11&amp;"")=0,SUMIFS('Исходные данные'!$I$2:$I$954,'Исходные данные'!$D$2:$D$954,V$3,'Исходные данные'!$F$2:$F$954,$H11&amp;""),IF(SUMIFS('Исходные данные'!$I$2:$I$954,'Исходные данные'!$D$2:$D$954,V$3,'Исходные данные'!$F$2:$F$954,$H11&amp;"")=0,"0+"&amp;SUMIFS('Исходные данные'!$J$2:$J$954,'Исходные данные'!$D$2:$D$954,V$3,'Исходные данные'!$F$2:$F$954,$H11&amp;"")&amp;"="&amp;SUMIFS('Исходные данные'!$J$2:$J$954,'Исходные данные'!$D$2:$D$954,V$3,'Исходные данные'!$F$2:$F$954,$H11&amp;""),SUMIFS('Исходные данные'!$I$2:$I$954,'Исходные данные'!$D$2:$D$954,V$3,'Исходные данные'!$F$2:$F$954,$H11&amp;"")&amp;"+"&amp;SUMIFS('Исходные данные'!$J$2:$J$954,'Исходные данные'!$D$2:$D$954,V$3,'Исходные данные'!$F$2:$F$954,$H11&amp;"")&amp;"="&amp;(SUMIFS('Исходные данные'!$I$2:$I$954,'Исходные данные'!$D$2:$D$954,V$3,'Исходные данные'!$F$2:$F$954,$H11&amp;"")+SUMIFS('Исходные данные'!$J$2:$J$954,'Исходные данные'!$D$2:$D$954,V$3,'Исходные данные'!$F$2:$F$954,$H11&amp;"")))))</f>
        <v/>
      </c>
      <c r="W11" s="50" t="n">
        <f aca="false">IF(SUMIFS('Исходные данные'!$I$2:$I$954,'Исходные данные'!$D$2:$D$954,W$3,'Исходные данные'!$F$2:$F$954,$H11&amp;"")+SUMIFS('Исходные данные'!$J$2:$J$954,'Исходные данные'!$D$2:$D$954,W$3,'Исходные данные'!$F$2:$F$954,$H11&amp;"")=0,"",IF(SUMIFS('Исходные данные'!$J$2:$J$954,'Исходные данные'!$D$2:$D$954,W$3,'Исходные данные'!$F$2:$F$954,$H11&amp;"")=0,SUMIFS('Исходные данные'!$I$2:$I$954,'Исходные данные'!$D$2:$D$954,W$3,'Исходные данные'!$F$2:$F$954,$H11&amp;""),IF(SUMIFS('Исходные данные'!$I$2:$I$954,'Исходные данные'!$D$2:$D$954,W$3,'Исходные данные'!$F$2:$F$954,$H11&amp;"")=0,"0+"&amp;SUMIFS('Исходные данные'!$J$2:$J$954,'Исходные данные'!$D$2:$D$954,W$3,'Исходные данные'!$F$2:$F$954,$H11&amp;"")&amp;"="&amp;SUMIFS('Исходные данные'!$J$2:$J$954,'Исходные данные'!$D$2:$D$954,W$3,'Исходные данные'!$F$2:$F$954,$H11&amp;""),SUMIFS('Исходные данные'!$I$2:$I$954,'Исходные данные'!$D$2:$D$954,W$3,'Исходные данные'!$F$2:$F$954,$H11&amp;"")&amp;"+"&amp;SUMIFS('Исходные данные'!$J$2:$J$954,'Исходные данные'!$D$2:$D$954,W$3,'Исходные данные'!$F$2:$F$954,$H11&amp;"")&amp;"="&amp;(SUMIFS('Исходные данные'!$I$2:$I$954,'Исходные данные'!$D$2:$D$954,W$3,'Исходные данные'!$F$2:$F$954,$H11&amp;"")+SUMIFS('Исходные данные'!$J$2:$J$954,'Исходные данные'!$D$2:$D$954,W$3,'Исходные данные'!$F$2:$F$954,$H11&amp;"")))))</f>
        <v>1</v>
      </c>
      <c r="X11" s="50" t="n">
        <f aca="false">IF(SUMIFS('Исходные данные'!$I$2:$I$954,'Исходные данные'!$D$2:$D$954,X$3,'Исходные данные'!$F$2:$F$954,$H11&amp;"")+SUMIFS('Исходные данные'!$J$2:$J$954,'Исходные данные'!$D$2:$D$954,X$3,'Исходные данные'!$F$2:$F$954,$H11&amp;"")=0,"",IF(SUMIFS('Исходные данные'!$J$2:$J$954,'Исходные данные'!$D$2:$D$954,X$3,'Исходные данные'!$F$2:$F$954,$H11&amp;"")=0,SUMIFS('Исходные данные'!$I$2:$I$954,'Исходные данные'!$D$2:$D$954,X$3,'Исходные данные'!$F$2:$F$954,$H11&amp;""),IF(SUMIFS('Исходные данные'!$I$2:$I$954,'Исходные данные'!$D$2:$D$954,X$3,'Исходные данные'!$F$2:$F$954,$H11&amp;"")=0,"0+"&amp;SUMIFS('Исходные данные'!$J$2:$J$954,'Исходные данные'!$D$2:$D$954,X$3,'Исходные данные'!$F$2:$F$954,$H11&amp;"")&amp;"="&amp;SUMIFS('Исходные данные'!$J$2:$J$954,'Исходные данные'!$D$2:$D$954,X$3,'Исходные данные'!$F$2:$F$954,$H11&amp;""),SUMIFS('Исходные данные'!$I$2:$I$954,'Исходные данные'!$D$2:$D$954,X$3,'Исходные данные'!$F$2:$F$954,$H11&amp;"")&amp;"+"&amp;SUMIFS('Исходные данные'!$J$2:$J$954,'Исходные данные'!$D$2:$D$954,X$3,'Исходные данные'!$F$2:$F$954,$H11&amp;"")&amp;"="&amp;(SUMIFS('Исходные данные'!$I$2:$I$954,'Исходные данные'!$D$2:$D$954,X$3,'Исходные данные'!$F$2:$F$954,$H11&amp;"")+SUMIFS('Исходные данные'!$J$2:$J$954,'Исходные данные'!$D$2:$D$954,X$3,'Исходные данные'!$F$2:$F$954,$H11&amp;"")))))</f>
        <v>1</v>
      </c>
      <c r="Y11" s="52" t="str">
        <f aca="false">IF(SUMIFS('Исходные данные'!$I$2:$I$954,'Исходные данные'!$D$2:$D$954,Y$3,'Исходные данные'!$F$2:$F$954,$H11&amp;"")+SUMIFS('Исходные данные'!$J$2:$J$954,'Исходные данные'!$D$2:$D$954,Y$3,'Исходные данные'!$F$2:$F$954,$H11&amp;"")=0,"",IF(SUMIFS('Исходные данные'!$J$2:$J$954,'Исходные данные'!$D$2:$D$954,Y$3,'Исходные данные'!$F$2:$F$954,$H11&amp;"")=0,SUMIFS('Исходные данные'!$I$2:$I$954,'Исходные данные'!$D$2:$D$954,Y$3,'Исходные данные'!$F$2:$F$954,$H11&amp;""),IF(SUMIFS('Исходные данные'!$I$2:$I$954,'Исходные данные'!$D$2:$D$954,Y$3,'Исходные данные'!$F$2:$F$954,$H11&amp;"")=0,"0+"&amp;SUMIFS('Исходные данные'!$J$2:$J$954,'Исходные данные'!$D$2:$D$954,Y$3,'Исходные данные'!$F$2:$F$954,$H11&amp;"")&amp;"="&amp;SUMIFS('Исходные данные'!$J$2:$J$954,'Исходные данные'!$D$2:$D$954,Y$3,'Исходные данные'!$F$2:$F$954,$H11&amp;""),SUMIFS('Исходные данные'!$I$2:$I$954,'Исходные данные'!$D$2:$D$954,Y$3,'Исходные данные'!$F$2:$F$954,$H11&amp;"")&amp;"+"&amp;SUMIFS('Исходные данные'!$J$2:$J$954,'Исходные данные'!$D$2:$D$954,Y$3,'Исходные данные'!$F$2:$F$954,$H11&amp;"")&amp;"="&amp;(SUMIFS('Исходные данные'!$I$2:$I$954,'Исходные данные'!$D$2:$D$954,Y$3,'Исходные данные'!$F$2:$F$954,$H11&amp;"")+SUMIFS('Исходные данные'!$J$2:$J$954,'Исходные данные'!$D$2:$D$954,Y$3,'Исходные данные'!$F$2:$F$954,$H11&amp;"")))))</f>
        <v/>
      </c>
      <c r="Z11" s="49" t="str">
        <f aca="false">IF(SUMIFS('Исходные данные'!$I$2:$I$954,'Исходные данные'!$D$2:$D$954,Z$3,'Исходные данные'!$F$2:$F$954,$H11&amp;"")+SUMIFS('Исходные данные'!$J$2:$J$954,'Исходные данные'!$D$2:$D$954,Z$3,'Исходные данные'!$F$2:$F$954,$H11&amp;"")=0,"",IF(SUMIFS('Исходные данные'!$J$2:$J$954,'Исходные данные'!$D$2:$D$954,Z$3,'Исходные данные'!$F$2:$F$954,$H11&amp;"")=0,SUMIFS('Исходные данные'!$I$2:$I$954,'Исходные данные'!$D$2:$D$954,Z$3,'Исходные данные'!$F$2:$F$954,$H11&amp;""),IF(SUMIFS('Исходные данные'!$I$2:$I$954,'Исходные данные'!$D$2:$D$954,Z$3,'Исходные данные'!$F$2:$F$954,$H11&amp;"")=0,"0+"&amp;SUMIFS('Исходные данные'!$J$2:$J$954,'Исходные данные'!$D$2:$D$954,Z$3,'Исходные данные'!$F$2:$F$954,$H11&amp;"")&amp;"="&amp;SUMIFS('Исходные данные'!$J$2:$J$954,'Исходные данные'!$D$2:$D$954,Z$3,'Исходные данные'!$F$2:$F$954,$H11&amp;""),SUMIFS('Исходные данные'!$I$2:$I$954,'Исходные данные'!$D$2:$D$954,Z$3,'Исходные данные'!$F$2:$F$954,$H11&amp;"")&amp;"+"&amp;SUMIFS('Исходные данные'!$J$2:$J$954,'Исходные данные'!$D$2:$D$954,Z$3,'Исходные данные'!$F$2:$F$954,$H11&amp;"")&amp;"="&amp;(SUMIFS('Исходные данные'!$I$2:$I$954,'Исходные данные'!$D$2:$D$954,Z$3,'Исходные данные'!$F$2:$F$954,$H11&amp;"")+SUMIFS('Исходные данные'!$J$2:$J$954,'Исходные данные'!$D$2:$D$954,Z$3,'Исходные данные'!$F$2:$F$954,$H11&amp;"")))))</f>
        <v/>
      </c>
      <c r="AA11" s="50" t="str">
        <f aca="false">IF(SUMIFS('Исходные данные'!$I$2:$I$954,'Исходные данные'!$D$2:$D$954,AA$3,'Исходные данные'!$F$2:$F$954,$H11&amp;"")+SUMIFS('Исходные данные'!$J$2:$J$954,'Исходные данные'!$D$2:$D$954,AA$3,'Исходные данные'!$F$2:$F$954,$H11&amp;"")=0,"",IF(SUMIFS('Исходные данные'!$J$2:$J$954,'Исходные данные'!$D$2:$D$954,AA$3,'Исходные данные'!$F$2:$F$954,$H11&amp;"")=0,SUMIFS('Исходные данные'!$I$2:$I$954,'Исходные данные'!$D$2:$D$954,AA$3,'Исходные данные'!$F$2:$F$954,$H11&amp;""),IF(SUMIFS('Исходные данные'!$I$2:$I$954,'Исходные данные'!$D$2:$D$954,AA$3,'Исходные данные'!$F$2:$F$954,$H11&amp;"")=0,"0+"&amp;SUMIFS('Исходные данные'!$J$2:$J$954,'Исходные данные'!$D$2:$D$954,AA$3,'Исходные данные'!$F$2:$F$954,$H11&amp;"")&amp;"="&amp;SUMIFS('Исходные данные'!$J$2:$J$954,'Исходные данные'!$D$2:$D$954,AA$3,'Исходные данные'!$F$2:$F$954,$H11&amp;""),SUMIFS('Исходные данные'!$I$2:$I$954,'Исходные данные'!$D$2:$D$954,AA$3,'Исходные данные'!$F$2:$F$954,$H11&amp;"")&amp;"+"&amp;SUMIFS('Исходные данные'!$J$2:$J$954,'Исходные данные'!$D$2:$D$954,AA$3,'Исходные данные'!$F$2:$F$954,$H11&amp;"")&amp;"="&amp;(SUMIFS('Исходные данные'!$I$2:$I$954,'Исходные данные'!$D$2:$D$954,AA$3,'Исходные данные'!$F$2:$F$954,$H11&amp;"")+SUMIFS('Исходные данные'!$J$2:$J$954,'Исходные данные'!$D$2:$D$954,AA$3,'Исходные данные'!$F$2:$F$954,$H11&amp;"")))))</f>
        <v/>
      </c>
      <c r="AB11" s="50" t="str">
        <f aca="false">IF(SUMIFS('Исходные данные'!$I$2:$I$954,'Исходные данные'!$D$2:$D$954,AB$3,'Исходные данные'!$F$2:$F$954,$H11&amp;"")+SUMIFS('Исходные данные'!$J$2:$J$954,'Исходные данные'!$D$2:$D$954,AB$3,'Исходные данные'!$F$2:$F$954,$H11&amp;"")=0,"",IF(SUMIFS('Исходные данные'!$J$2:$J$954,'Исходные данные'!$D$2:$D$954,AB$3,'Исходные данные'!$F$2:$F$954,$H11&amp;"")=0,SUMIFS('Исходные данные'!$I$2:$I$954,'Исходные данные'!$D$2:$D$954,AB$3,'Исходные данные'!$F$2:$F$954,$H11&amp;""),IF(SUMIFS('Исходные данные'!$I$2:$I$954,'Исходные данные'!$D$2:$D$954,AB$3,'Исходные данные'!$F$2:$F$954,$H11&amp;"")=0,"0+"&amp;SUMIFS('Исходные данные'!$J$2:$J$954,'Исходные данные'!$D$2:$D$954,AB$3,'Исходные данные'!$F$2:$F$954,$H11&amp;"")&amp;"="&amp;SUMIFS('Исходные данные'!$J$2:$J$954,'Исходные данные'!$D$2:$D$954,AB$3,'Исходные данные'!$F$2:$F$954,$H11&amp;""),SUMIFS('Исходные данные'!$I$2:$I$954,'Исходные данные'!$D$2:$D$954,AB$3,'Исходные данные'!$F$2:$F$954,$H11&amp;"")&amp;"+"&amp;SUMIFS('Исходные данные'!$J$2:$J$954,'Исходные данные'!$D$2:$D$954,AB$3,'Исходные данные'!$F$2:$F$954,$H11&amp;"")&amp;"="&amp;(SUMIFS('Исходные данные'!$I$2:$I$954,'Исходные данные'!$D$2:$D$954,AB$3,'Исходные данные'!$F$2:$F$954,$H11&amp;"")+SUMIFS('Исходные данные'!$J$2:$J$954,'Исходные данные'!$D$2:$D$954,AB$3,'Исходные данные'!$F$2:$F$954,$H11&amp;"")))))</f>
        <v/>
      </c>
      <c r="AC11" s="52" t="str">
        <f aca="false">IF(SUMIFS('Исходные данные'!$I$2:$I$954,'Исходные данные'!$D$2:$D$954,AC$3,'Исходные данные'!$F$2:$F$954,$H11&amp;"")+SUMIFS('Исходные данные'!$J$2:$J$954,'Исходные данные'!$D$2:$D$954,AC$3,'Исходные данные'!$F$2:$F$954,$H11&amp;"")=0,"",IF(SUMIFS('Исходные данные'!$J$2:$J$954,'Исходные данные'!$D$2:$D$954,AC$3,'Исходные данные'!$F$2:$F$954,$H11&amp;"")=0,SUMIFS('Исходные данные'!$I$2:$I$954,'Исходные данные'!$D$2:$D$954,AC$3,'Исходные данные'!$F$2:$F$954,$H11&amp;""),IF(SUMIFS('Исходные данные'!$I$2:$I$954,'Исходные данные'!$D$2:$D$954,AC$3,'Исходные данные'!$F$2:$F$954,$H11&amp;"")=0,"0+"&amp;SUMIFS('Исходные данные'!$J$2:$J$954,'Исходные данные'!$D$2:$D$954,AC$3,'Исходные данные'!$F$2:$F$954,$H11&amp;"")&amp;"="&amp;SUMIFS('Исходные данные'!$J$2:$J$954,'Исходные данные'!$D$2:$D$954,AC$3,'Исходные данные'!$F$2:$F$954,$H11&amp;""),SUMIFS('Исходные данные'!$I$2:$I$954,'Исходные данные'!$D$2:$D$954,AC$3,'Исходные данные'!$F$2:$F$954,$H11&amp;"")&amp;"+"&amp;SUMIFS('Исходные данные'!$J$2:$J$954,'Исходные данные'!$D$2:$D$954,AC$3,'Исходные данные'!$F$2:$F$954,$H11&amp;"")&amp;"="&amp;(SUMIFS('Исходные данные'!$I$2:$I$954,'Исходные данные'!$D$2:$D$954,AC$3,'Исходные данные'!$F$2:$F$954,$H11&amp;"")+SUMIFS('Исходные данные'!$J$2:$J$954,'Исходные данные'!$D$2:$D$954,AC$3,'Исходные данные'!$F$2:$F$954,$H11&amp;"")))))</f>
        <v>4+5=9</v>
      </c>
      <c r="AD11" s="50" t="str">
        <f aca="false">IF(SUMIFS('Исходные данные'!$I$2:$I$954,'Исходные данные'!$D$2:$D$954,AD$3,'Исходные данные'!$F$2:$F$954,$H11&amp;"")+SUMIFS('Исходные данные'!$J$2:$J$954,'Исходные данные'!$D$2:$D$954,AD$3,'Исходные данные'!$F$2:$F$954,$H11&amp;"")=0,"",IF(SUMIFS('Исходные данные'!$J$2:$J$954,'Исходные данные'!$D$2:$D$954,AD$3,'Исходные данные'!$F$2:$F$954,$H11&amp;"")=0,SUMIFS('Исходные данные'!$I$2:$I$954,'Исходные данные'!$D$2:$D$954,AD$3,'Исходные данные'!$F$2:$F$954,$H11&amp;""),IF(SUMIFS('Исходные данные'!$I$2:$I$954,'Исходные данные'!$D$2:$D$954,AD$3,'Исходные данные'!$F$2:$F$954,$H11&amp;"")=0,"0+"&amp;SUMIFS('Исходные данные'!$J$2:$J$954,'Исходные данные'!$D$2:$D$954,AD$3,'Исходные данные'!$F$2:$F$954,$H11&amp;"")&amp;"="&amp;SUMIFS('Исходные данные'!$J$2:$J$954,'Исходные данные'!$D$2:$D$954,AD$3,'Исходные данные'!$F$2:$F$954,$H11&amp;""),SUMIFS('Исходные данные'!$I$2:$I$954,'Исходные данные'!$D$2:$D$954,AD$3,'Исходные данные'!$F$2:$F$954,$H11&amp;"")&amp;"+"&amp;SUMIFS('Исходные данные'!$J$2:$J$954,'Исходные данные'!$D$2:$D$954,AD$3,'Исходные данные'!$F$2:$F$954,$H11&amp;"")&amp;"="&amp;(SUMIFS('Исходные данные'!$I$2:$I$954,'Исходные данные'!$D$2:$D$954,AD$3,'Исходные данные'!$F$2:$F$954,$H11&amp;"")+SUMIFS('Исходные данные'!$J$2:$J$954,'Исходные данные'!$D$2:$D$954,AD$3,'Исходные данные'!$F$2:$F$954,$H11&amp;"")))))</f>
        <v>2+2=4</v>
      </c>
    </row>
    <row r="12" customFormat="false" ht="25.5" hidden="false" customHeight="true" outlineLevel="0" collapsed="false">
      <c r="A12" s="27" t="n">
        <v>10</v>
      </c>
      <c r="B12" s="28" t="s">
        <v>180</v>
      </c>
      <c r="C12" s="29" t="s">
        <v>10</v>
      </c>
      <c r="D12" s="30"/>
      <c r="E12" s="30" t="s">
        <v>181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данные'!$I$2:$I$954,'Исходные данные'!$D$2:$D$954,O$3,'Исходные данные'!$F$2:$F$954,$H13&amp;"",'Исходные данные'!$L$2:$L$954,"УТТ")+SUMIFS('Исходные данные'!$J$2:$J$954,'Исходные данные'!$D$2:$D$954,O$3,'Исходные данные'!$F$2:$F$954,$H13&amp;"",'Исходные данные'!$L$2:$L$954,"УТТ")=0,"","утт-"&amp;(SUMIFS('Исходные данные'!$I$2:$I$954,'Исходные данные'!$D$2:$D$954,O$3,'Исходные данные'!$F$2:$F$954,$H13&amp;"",'Исходные данные'!$L$2:$L$954,"УТТ")+SUMIFS('Исходные данные'!$J$2:$J$954,'Исходные данные'!$D$2:$D$954,O$3,'Исходные данные'!$F$2:$F$954,$H13&amp;"",'Исходные данные'!$L$2:$L$954,"УТТ")))</f>
        <v/>
      </c>
      <c r="P12" s="61" t="str">
        <f aca="false">IF(SUMIFS('Исходные данные'!$I$2:$I$954,'Исходные данные'!$D$2:$D$954,P$3,'Исходные данные'!$F$2:$F$954,$H13&amp;"",'Исходные данные'!$L$2:$L$954,"УТТ")+SUMIFS('Исходные данные'!$J$2:$J$954,'Исходные данные'!$D$2:$D$954,P$3,'Исходные данные'!$F$2:$F$954,$H13&amp;"",'Исходные данные'!$L$2:$L$954,"УТТ")=0,"","утт-"&amp;(SUMIFS('Исходные данные'!$I$2:$I$954,'Исходные данные'!$D$2:$D$954,P$3,'Исходные данные'!$F$2:$F$954,$H13&amp;"",'Исходные данные'!$L$2:$L$954,"УТТ")+SUMIFS('Исходные данные'!$J$2:$J$954,'Исходные данные'!$D$2:$D$954,P$3,'Исходные данные'!$F$2:$F$954,$H13&amp;"",'Исходные данные'!$L$2:$L$954,"УТТ")))</f>
        <v/>
      </c>
      <c r="Q12" s="60" t="str">
        <f aca="false">IF(SUMIFS('Исходные данные'!$I$2:$I$954,'Исходные данные'!$D$2:$D$954,Q$3,'Исходные данные'!$F$2:$F$954,$H13&amp;"",'Исходные данные'!$L$2:$L$954,"УТТ")+SUMIFS('Исходные данные'!$J$2:$J$954,'Исходные данные'!$D$2:$D$954,Q$3,'Исходные данные'!$F$2:$F$954,$H13&amp;"",'Исходные данные'!$L$2:$L$954,"УТТ")=0,"","утт-"&amp;(SUMIFS('Исходные данные'!$I$2:$I$954,'Исходные данные'!$D$2:$D$954,Q$3,'Исходные данные'!$F$2:$F$954,$H13&amp;"",'Исходные данные'!$L$2:$L$954,"УТТ")+SUMIFS('Исходные данные'!$J$2:$J$954,'Исходные данные'!$D$2:$D$954,Q$3,'Исходные данные'!$F$2:$F$954,$H13&amp;"",'Исходные данные'!$L$2:$L$954,"УТТ")))</f>
        <v/>
      </c>
      <c r="R12" s="62" t="str">
        <f aca="false">IF(SUMIFS('Исходные данные'!$I$2:$I$954,'Исходные данные'!$D$2:$D$954,R$3,'Исходные данные'!$F$2:$F$954,$H13&amp;"",'Исходные данные'!$L$2:$L$954,"УТТ")+SUMIFS('Исходные данные'!$J$2:$J$954,'Исходные данные'!$D$2:$D$954,R$3,'Исходные данные'!$F$2:$F$954,$H13&amp;"",'Исходные данные'!$L$2:$L$954,"УТТ")=0,"","утт-"&amp;(SUMIFS('Исходные данные'!$I$2:$I$954,'Исходные данные'!$D$2:$D$954,R$3,'Исходные данные'!$F$2:$F$954,$H13&amp;"",'Исходные данные'!$L$2:$L$954,"УТТ")+SUMIFS('Исходные данные'!$J$2:$J$954,'Исходные данные'!$D$2:$D$954,R$3,'Исходные данные'!$F$2:$F$954,$H13&amp;"",'Исходные данные'!$L$2:$L$954,"УТТ")))</f>
        <v/>
      </c>
      <c r="S12" s="61" t="str">
        <f aca="false">IF(SUMIFS('Исходные данные'!$I$2:$I$954,'Исходные данные'!$D$2:$D$954,S$3,'Исходные данные'!$F$2:$F$954,$H13&amp;"",'Исходные данные'!$L$2:$L$954,"УТТ")+SUMIFS('Исходные данные'!$J$2:$J$954,'Исходные данные'!$D$2:$D$954,S$3,'Исходные данные'!$F$2:$F$954,$H13&amp;"",'Исходные данные'!$L$2:$L$954,"УТТ")=0,"","утт-"&amp;(SUMIFS('Исходные данные'!$I$2:$I$954,'Исходные данные'!$D$2:$D$954,S$3,'Исходные данные'!$F$2:$F$954,$H13&amp;"",'Исходные данные'!$L$2:$L$954,"УТТ")+SUMIFS('Исходные данные'!$J$2:$J$954,'Исходные данные'!$D$2:$D$954,S$3,'Исходные данные'!$F$2:$F$954,$H13&amp;"",'Исходные данные'!$L$2:$L$954,"УТТ")))</f>
        <v/>
      </c>
      <c r="T12" s="60" t="str">
        <f aca="false">IF(SUMIFS('Исходные данные'!$I$2:$I$954,'Исходные данные'!$D$2:$D$954,T$3,'Исходные данные'!$F$2:$F$954,$H13&amp;"",'Исходные данные'!$L$2:$L$954,"УТТ")+SUMIFS('Исходные данные'!$J$2:$J$954,'Исходные данные'!$D$2:$D$954,T$3,'Исходные данные'!$F$2:$F$954,$H13&amp;"",'Исходные данные'!$L$2:$L$954,"УТТ")=0,"","утт-"&amp;(SUMIFS('Исходные данные'!$I$2:$I$954,'Исходные данные'!$D$2:$D$954,T$3,'Исходные данные'!$F$2:$F$954,$H13&amp;"",'Исходные данные'!$L$2:$L$954,"УТТ")+SUMIFS('Исходные данные'!$J$2:$J$954,'Исходные данные'!$D$2:$D$954,T$3,'Исходные данные'!$F$2:$F$954,$H13&amp;"",'Исходные данные'!$L$2:$L$954,"УТТ")))</f>
        <v/>
      </c>
      <c r="U12" s="61" t="str">
        <f aca="false">IF(SUMIFS('Исходные данные'!$I$2:$I$954,'Исходные данные'!$D$2:$D$954,U$3,'Исходные данные'!$F$2:$F$954,$H13&amp;"",'Исходные данные'!$L$2:$L$954,"УТТ")+SUMIFS('Исходные данные'!$J$2:$J$954,'Исходные данные'!$D$2:$D$954,U$3,'Исходные данные'!$F$2:$F$954,$H13&amp;"",'Исходные данные'!$L$2:$L$954,"УТТ")=0,"","утт-"&amp;(SUMIFS('Исходные данные'!$I$2:$I$954,'Исходные данные'!$D$2:$D$954,U$3,'Исходные данные'!$F$2:$F$954,$H13&amp;"",'Исходные данные'!$L$2:$L$954,"УТТ")+SUMIFS('Исходные данные'!$J$2:$J$954,'Исходные данные'!$D$2:$D$954,U$3,'Исходные данные'!$F$2:$F$954,$H13&amp;"",'Исходные данные'!$L$2:$L$954,"УТТ")))</f>
        <v/>
      </c>
      <c r="V12" s="60" t="str">
        <f aca="false">IF(SUMIFS('Исходные данные'!$I$2:$I$954,'Исходные данные'!$D$2:$D$954,V$3,'Исходные данные'!$F$2:$F$954,$H13&amp;"",'Исходные данные'!$L$2:$L$954,"УТТ")+SUMIFS('Исходные данные'!$J$2:$J$954,'Исходные данные'!$D$2:$D$954,V$3,'Исходные данные'!$F$2:$F$954,$H13&amp;"",'Исходные данные'!$L$2:$L$954,"УТТ")=0,"","утт-"&amp;(SUMIFS('Исходные данные'!$I$2:$I$954,'Исходные данные'!$D$2:$D$954,V$3,'Исходные данные'!$F$2:$F$954,$H13&amp;"",'Исходные данные'!$L$2:$L$954,"УТТ")+SUMIFS('Исходные данные'!$J$2:$J$954,'Исходные данные'!$D$2:$D$954,V$3,'Исходные данные'!$F$2:$F$954,$H13&amp;"",'Исходные данные'!$L$2:$L$954,"УТТ")))</f>
        <v/>
      </c>
      <c r="W12" s="61" t="str">
        <f aca="false">IF(SUMIFS('Исходные данные'!$I$2:$I$954,'Исходные данные'!$D$2:$D$954,W$3,'Исходные данные'!$F$2:$F$954,$H13&amp;"",'Исходные данные'!$L$2:$L$954,"УТТ")+SUMIFS('Исходные данные'!$J$2:$J$954,'Исходные данные'!$D$2:$D$954,W$3,'Исходные данные'!$F$2:$F$954,$H13&amp;"",'Исходные данные'!$L$2:$L$954,"УТТ")=0,"","утт-"&amp;(SUMIFS('Исходные данные'!$I$2:$I$954,'Исходные данные'!$D$2:$D$954,W$3,'Исходные данные'!$F$2:$F$954,$H13&amp;"",'Исходные данные'!$L$2:$L$954,"УТТ")+SUMIFS('Исходные данные'!$J$2:$J$954,'Исходные данные'!$D$2:$D$954,W$3,'Исходные данные'!$F$2:$F$954,$H13&amp;"",'Исходные данные'!$L$2:$L$954,"УТТ")))</f>
        <v/>
      </c>
      <c r="X12" s="61" t="str">
        <f aca="false">IF(SUMIFS('Исходные данные'!$I$2:$I$954,'Исходные данные'!$D$2:$D$954,X$3,'Исходные данные'!$F$2:$F$954,$H13&amp;"",'Исходные данные'!$L$2:$L$954,"УТТ")+SUMIFS('Исходные данные'!$J$2:$J$954,'Исходные данные'!$D$2:$D$954,X$3,'Исходные данные'!$F$2:$F$954,$H13&amp;"",'Исходные данные'!$L$2:$L$954,"УТТ")=0,"","утт-"&amp;(SUMIFS('Исходные данные'!$I$2:$I$954,'Исходные данные'!$D$2:$D$954,X$3,'Исходные данные'!$F$2:$F$954,$H13&amp;"",'Исходные данные'!$L$2:$L$954,"УТТ")+SUMIFS('Исходные данные'!$J$2:$J$954,'Исходные данные'!$D$2:$D$954,X$3,'Исходные данные'!$F$2:$F$954,$H13&amp;"",'Исходные данные'!$L$2:$L$954,"УТТ")))</f>
        <v/>
      </c>
      <c r="Y12" s="63" t="str">
        <f aca="false">IF(SUMIFS('Исходные данные'!$I$2:$I$954,'Исходные данные'!$D$2:$D$954,Y$3,'Исходные данные'!$F$2:$F$954,$H13&amp;"",'Исходные данные'!$L$2:$L$954,"УТТ")+SUMIFS('Исходные данные'!$J$2:$J$954,'Исходные данные'!$D$2:$D$954,Y$3,'Исходные данные'!$F$2:$F$954,$H13&amp;"",'Исходные данные'!$L$2:$L$954,"УТТ")=0,"","утт-"&amp;(SUMIFS('Исходные данные'!$I$2:$I$954,'Исходные данные'!$D$2:$D$954,Y$3,'Исходные данные'!$F$2:$F$954,$H13&amp;"",'Исходные данные'!$L$2:$L$954,"УТТ")+SUMIFS('Исходные данные'!$J$2:$J$954,'Исходные данные'!$D$2:$D$954,Y$3,'Исходные данные'!$F$2:$F$954,$H13&amp;"",'Исходные данные'!$L$2:$L$954,"УТТ")))</f>
        <v/>
      </c>
      <c r="Z12" s="60" t="str">
        <f aca="false">IF(SUMIFS('Исходные данные'!$I$2:$I$954,'Исходные данные'!$D$2:$D$954,Z$3,'Исходные данные'!$F$2:$F$954,$H13&amp;"",'Исходные данные'!$L$2:$L$954,"УТТ")+SUMIFS('Исходные данные'!$J$2:$J$954,'Исходные данные'!$D$2:$D$954,Z$3,'Исходные данные'!$F$2:$F$954,$H13&amp;"",'Исходные данные'!$L$2:$L$954,"УТТ")=0,"","утт-"&amp;(SUMIFS('Исходные данные'!$I$2:$I$954,'Исходные данные'!$D$2:$D$954,Z$3,'Исходные данные'!$F$2:$F$954,$H13&amp;"",'Исходные данные'!$L$2:$L$954,"УТТ")+SUMIFS('Исходные данные'!$J$2:$J$954,'Исходные данные'!$D$2:$D$954,Z$3,'Исходные данные'!$F$2:$F$954,$H13&amp;"",'Исходные данные'!$L$2:$L$954,"УТТ")))</f>
        <v/>
      </c>
      <c r="AA12" s="61" t="str">
        <f aca="false">IF(SUMIFS('Исходные данные'!$I$2:$I$954,'Исходные данные'!$D$2:$D$954,AA$3,'Исходные данные'!$F$2:$F$954,$H13&amp;"",'Исходные данные'!$L$2:$L$954,"УТТ")+SUMIFS('Исходные данные'!$J$2:$J$954,'Исходные данные'!$D$2:$D$954,AA$3,'Исходные данные'!$F$2:$F$954,$H13&amp;"",'Исходные данные'!$L$2:$L$954,"УТТ")=0,"","утт-"&amp;(SUMIFS('Исходные данные'!$I$2:$I$954,'Исходные данные'!$D$2:$D$954,AA$3,'Исходные данные'!$F$2:$F$954,$H13&amp;"",'Исходные данные'!$L$2:$L$954,"УТТ")+SUMIFS('Исходные данные'!$J$2:$J$954,'Исходные данные'!$D$2:$D$954,AA$3,'Исходные данные'!$F$2:$F$954,$H13&amp;"",'Исходные данные'!$L$2:$L$954,"УТТ")))</f>
        <v/>
      </c>
      <c r="AB12" s="61" t="str">
        <f aca="false">IF(SUMIFS('Исходные данные'!$I$2:$I$954,'Исходные данные'!$D$2:$D$954,AB$3,'Исходные данные'!$F$2:$F$954,$H13&amp;"",'Исходные данные'!$L$2:$L$954,"УТТ")+SUMIFS('Исходные данные'!$J$2:$J$954,'Исходные данные'!$D$2:$D$954,AB$3,'Исходные данные'!$F$2:$F$954,$H13&amp;"",'Исходные данные'!$L$2:$L$954,"УТТ")=0,"","утт-"&amp;(SUMIFS('Исходные данные'!$I$2:$I$954,'Исходные данные'!$D$2:$D$954,AB$3,'Исходные данные'!$F$2:$F$954,$H13&amp;"",'Исходные данные'!$L$2:$L$954,"УТТ")+SUMIFS('Исходные данные'!$J$2:$J$954,'Исходные данные'!$D$2:$D$954,AB$3,'Исходные данные'!$F$2:$F$954,$H13&amp;"",'Исходные данные'!$L$2:$L$954,"УТТ")))</f>
        <v/>
      </c>
      <c r="AC12" s="60" t="str">
        <f aca="false">IF(SUMIFS('Исходные данные'!$I$2:$I$954,'Исходные данные'!$D$2:$D$954,AC$3,'Исходные данные'!$F$2:$F$954,$H13&amp;"",'Исходные данные'!$L$2:$L$954,"УТТ")+SUMIFS('Исходные данные'!$J$2:$J$954,'Исходные данные'!$D$2:$D$954,AC$3,'Исходные данные'!$F$2:$F$954,$H13&amp;"",'Исходные данные'!$L$2:$L$954,"УТТ")=0,"","утт-"&amp;(SUMIFS('Исходные данные'!$I$2:$I$954,'Исходные данные'!$D$2:$D$954,AC$3,'Исходные данные'!$F$2:$F$954,$H13&amp;"",'Исходные данные'!$L$2:$L$954,"УТТ")+SUMIFS('Исходные данные'!$J$2:$J$954,'Исходные данные'!$D$2:$D$954,AC$3,'Исходные данные'!$F$2:$F$954,$H13&amp;"",'Исходные данные'!$L$2:$L$954,"УТТ")))</f>
        <v/>
      </c>
      <c r="AD12" s="61" t="str">
        <f aca="false">IF(SUMIFS('Исходные данные'!$I$2:$I$954,'Исходные данные'!$D$2:$D$954,AD$3,'Исходные данные'!$F$2:$F$954,$H13&amp;"",'Исходные данные'!$L$2:$L$954,"УТТ")+SUMIFS('Исходные данные'!$J$2:$J$954,'Исходные данные'!$D$2:$D$954,AD$3,'Исходные данные'!$F$2:$F$954,$H13&amp;"",'Исходные данные'!$L$2:$L$954,"УТТ")=0,"","утт-"&amp;(SUMIFS('Исходные данные'!$I$2:$I$954,'Исходные данные'!$D$2:$D$954,AD$3,'Исходные данные'!$F$2:$F$954,$H13&amp;"",'Исходные данные'!$L$2:$L$954,"УТТ")+SUMIFS('Исходные данные'!$J$2:$J$954,'Исходные данные'!$D$2:$D$954,AD$3,'Исходные данные'!$F$2:$F$954,$H13&amp;"",'Исходные данные'!$L$2:$L$954,"УТТ")))</f>
        <v>утт-6</v>
      </c>
    </row>
    <row r="13" customFormat="false" ht="25.5" hidden="false" customHeight="true" outlineLevel="0" collapsed="false">
      <c r="A13" s="27" t="n">
        <v>11</v>
      </c>
      <c r="B13" s="28" t="s">
        <v>182</v>
      </c>
      <c r="C13" s="29" t="s">
        <v>11</v>
      </c>
      <c r="D13" s="30"/>
      <c r="E13" s="30"/>
      <c r="F13" s="30"/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данные'!$I$2:$I$954,'Исходные данные'!$D$2:$D$954,O$3,'Исходные данные'!$F$2:$F$954,$H13&amp;"")+SUMIFS('Исходные данные'!$J$2:$J$954,'Исходные данные'!$D$2:$D$954,O$3,'Исходные данные'!$F$2:$F$954,$H13&amp;"")=0,"",IF(SUMIFS('Исходные данные'!$J$2:$J$954,'Исходные данные'!$D$2:$D$954,O$3,'Исходные данные'!$F$2:$F$954,$H13&amp;"")=0,SUMIFS('Исходные данные'!$I$2:$I$954,'Исходные данные'!$D$2:$D$954,O$3,'Исходные данные'!$F$2:$F$954,$H13&amp;""),IF(SUMIFS('Исходные данные'!$I$2:$I$954,'Исходные данные'!$D$2:$D$954,O$3,'Исходные данные'!$F$2:$F$954,$H13&amp;"")=0,"0+"&amp;SUMIFS('Исходные данные'!$J$2:$J$954,'Исходные данные'!$D$2:$D$954,O$3,'Исходные данные'!$F$2:$F$954,$H13&amp;"")&amp;"="&amp;SUMIFS('Исходные данные'!$J$2:$J$954,'Исходные данные'!$D$2:$D$954,O$3,'Исходные данные'!$F$2:$F$954,$H13&amp;""),SUMIFS('Исходные данные'!$I$2:$I$954,'Исходные данные'!$D$2:$D$954,O$3,'Исходные данные'!$F$2:$F$954,$H13&amp;"")&amp;"+"&amp;SUMIFS('Исходные данные'!$J$2:$J$954,'Исходные данные'!$D$2:$D$954,O$3,'Исходные данные'!$F$2:$F$954,$H13&amp;"")&amp;"="&amp;(SUMIFS('Исходные данные'!$I$2:$I$954,'Исходные данные'!$D$2:$D$954,O$3,'Исходные данные'!$F$2:$F$954,$H13&amp;"")+SUMIFS('Исходные данные'!$J$2:$J$954,'Исходные данные'!$D$2:$D$954,O$3,'Исходные данные'!$F$2:$F$954,$H13&amp;"")))))</f>
        <v>1</v>
      </c>
      <c r="P13" s="50" t="n">
        <f aca="false">IF(SUMIFS('Исходные данные'!$I$2:$I$954,'Исходные данные'!$D$2:$D$954,P$3,'Исходные данные'!$F$2:$F$954,$H13&amp;"")+SUMIFS('Исходные данные'!$J$2:$J$954,'Исходные данные'!$D$2:$D$954,P$3,'Исходные данные'!$F$2:$F$954,$H13&amp;"")=0,"",IF(SUMIFS('Исходные данные'!$J$2:$J$954,'Исходные данные'!$D$2:$D$954,P$3,'Исходные данные'!$F$2:$F$954,$H13&amp;"")=0,SUMIFS('Исходные данные'!$I$2:$I$954,'Исходные данные'!$D$2:$D$954,P$3,'Исходные данные'!$F$2:$F$954,$H13&amp;""),IF(SUMIFS('Исходные данные'!$I$2:$I$954,'Исходные данные'!$D$2:$D$954,P$3,'Исходные данные'!$F$2:$F$954,$H13&amp;"")=0,"0+"&amp;SUMIFS('Исходные данные'!$J$2:$J$954,'Исходные данные'!$D$2:$D$954,P$3,'Исходные данные'!$F$2:$F$954,$H13&amp;"")&amp;"="&amp;SUMIFS('Исходные данные'!$J$2:$J$954,'Исходные данные'!$D$2:$D$954,P$3,'Исходные данные'!$F$2:$F$954,$H13&amp;""),SUMIFS('Исходные данные'!$I$2:$I$954,'Исходные данные'!$D$2:$D$954,P$3,'Исходные данные'!$F$2:$F$954,$H13&amp;"")&amp;"+"&amp;SUMIFS('Исходные данные'!$J$2:$J$954,'Исходные данные'!$D$2:$D$954,P$3,'Исходные данные'!$F$2:$F$954,$H13&amp;"")&amp;"="&amp;(SUMIFS('Исходные данные'!$I$2:$I$954,'Исходные данные'!$D$2:$D$954,P$3,'Исходные данные'!$F$2:$F$954,$H13&amp;"")+SUMIFS('Исходные данные'!$J$2:$J$954,'Исходные данные'!$D$2:$D$954,P$3,'Исходные данные'!$F$2:$F$954,$H13&amp;"")))))</f>
        <v>1</v>
      </c>
      <c r="Q13" s="50" t="str">
        <f aca="false">IF(SUMIFS('Исходные данные'!$I$2:$I$954,'Исходные данные'!$D$2:$D$954,Q$3,'Исходные данные'!$F$2:$F$954,$H13&amp;"")+SUMIFS('Исходные данные'!$J$2:$J$954,'Исходные данные'!$D$2:$D$954,Q$3,'Исходные данные'!$F$2:$F$954,$H13&amp;"")=0,"",IF(SUMIFS('Исходные данные'!$J$2:$J$954,'Исходные данные'!$D$2:$D$954,Q$3,'Исходные данные'!$F$2:$F$954,$H13&amp;"")=0,SUMIFS('Исходные данные'!$I$2:$I$954,'Исходные данные'!$D$2:$D$954,Q$3,'Исходные данные'!$F$2:$F$954,$H13&amp;""),IF(SUMIFS('Исходные данные'!$I$2:$I$954,'Исходные данные'!$D$2:$D$954,Q$3,'Исходные данные'!$F$2:$F$954,$H13&amp;"")=0,"0+"&amp;SUMIFS('Исходные данные'!$J$2:$J$954,'Исходные данные'!$D$2:$D$954,Q$3,'Исходные данные'!$F$2:$F$954,$H13&amp;"")&amp;"="&amp;SUMIFS('Исходные данные'!$J$2:$J$954,'Исходные данные'!$D$2:$D$954,Q$3,'Исходные данные'!$F$2:$F$954,$H13&amp;""),SUMIFS('Исходные данные'!$I$2:$I$954,'Исходные данные'!$D$2:$D$954,Q$3,'Исходные данные'!$F$2:$F$954,$H13&amp;"")&amp;"+"&amp;SUMIFS('Исходные данные'!$J$2:$J$954,'Исходные данные'!$D$2:$D$954,Q$3,'Исходные данные'!$F$2:$F$954,$H13&amp;"")&amp;"="&amp;(SUMIFS('Исходные данные'!$I$2:$I$954,'Исходные данные'!$D$2:$D$954,Q$3,'Исходные данные'!$F$2:$F$954,$H13&amp;"")+SUMIFS('Исходные данные'!$J$2:$J$954,'Исходные данные'!$D$2:$D$954,Q$3,'Исходные данные'!$F$2:$F$954,$H13&amp;"")))))</f>
        <v/>
      </c>
      <c r="R13" s="51" t="str">
        <f aca="false">IF(SUMIFS('Исходные данные'!$I$2:$I$954,'Исходные данные'!$D$2:$D$954,R$3,'Исходные данные'!$F$2:$F$954,$H13&amp;"")+SUMIFS('Исходные данные'!$J$2:$J$954,'Исходные данные'!$D$2:$D$954,R$3,'Исходные данные'!$F$2:$F$954,$H13&amp;"")=0,"",IF(SUMIFS('Исходные данные'!$J$2:$J$954,'Исходные данные'!$D$2:$D$954,R$3,'Исходные данные'!$F$2:$F$954,$H13&amp;"")=0,SUMIFS('Исходные данные'!$I$2:$I$954,'Исходные данные'!$D$2:$D$954,R$3,'Исходные данные'!$F$2:$F$954,$H13&amp;""),IF(SUMIFS('Исходные данные'!$I$2:$I$954,'Исходные данные'!$D$2:$D$954,R$3,'Исходные данные'!$F$2:$F$954,$H13&amp;"")=0,"0+"&amp;SUMIFS('Исходные данные'!$J$2:$J$954,'Исходные данные'!$D$2:$D$954,R$3,'Исходные данные'!$F$2:$F$954,$H13&amp;"")&amp;"="&amp;SUMIFS('Исходные данные'!$J$2:$J$954,'Исходные данные'!$D$2:$D$954,R$3,'Исходные данные'!$F$2:$F$954,$H13&amp;""),SUMIFS('Исходные данные'!$I$2:$I$954,'Исходные данные'!$D$2:$D$954,R$3,'Исходные данные'!$F$2:$F$954,$H13&amp;"")&amp;"+"&amp;SUMIFS('Исходные данные'!$J$2:$J$954,'Исходные данные'!$D$2:$D$954,R$3,'Исходные данные'!$F$2:$F$954,$H13&amp;"")&amp;"="&amp;(SUMIFS('Исходные данные'!$I$2:$I$954,'Исходные данные'!$D$2:$D$954,R$3,'Исходные данные'!$F$2:$F$954,$H13&amp;"")+SUMIFS('Исходные данные'!$J$2:$J$954,'Исходные данные'!$D$2:$D$954,R$3,'Исходные данные'!$F$2:$F$954,$H13&amp;"")))))</f>
        <v/>
      </c>
      <c r="S13" s="50" t="str">
        <f aca="false">IF(SUMIFS('Исходные данные'!$I$2:$I$954,'Исходные данные'!$D$2:$D$954,S$3,'Исходные данные'!$F$2:$F$954,$H13&amp;"")+SUMIFS('Исходные данные'!$J$2:$J$954,'Исходные данные'!$D$2:$D$954,S$3,'Исходные данные'!$F$2:$F$954,$H13&amp;"")=0,"",IF(SUMIFS('Исходные данные'!$J$2:$J$954,'Исходные данные'!$D$2:$D$954,S$3,'Исходные данные'!$F$2:$F$954,$H13&amp;"")=0,SUMIFS('Исходные данные'!$I$2:$I$954,'Исходные данные'!$D$2:$D$954,S$3,'Исходные данные'!$F$2:$F$954,$H13&amp;""),IF(SUMIFS('Исходные данные'!$I$2:$I$954,'Исходные данные'!$D$2:$D$954,S$3,'Исходные данные'!$F$2:$F$954,$H13&amp;"")=0,"0+"&amp;SUMIFS('Исходные данные'!$J$2:$J$954,'Исходные данные'!$D$2:$D$954,S$3,'Исходные данные'!$F$2:$F$954,$H13&amp;"")&amp;"="&amp;SUMIFS('Исходные данные'!$J$2:$J$954,'Исходные данные'!$D$2:$D$954,S$3,'Исходные данные'!$F$2:$F$954,$H13&amp;""),SUMIFS('Исходные данные'!$I$2:$I$954,'Исходные данные'!$D$2:$D$954,S$3,'Исходные данные'!$F$2:$F$954,$H13&amp;"")&amp;"+"&amp;SUMIFS('Исходные данные'!$J$2:$J$954,'Исходные данные'!$D$2:$D$954,S$3,'Исходные данные'!$F$2:$F$954,$H13&amp;"")&amp;"="&amp;(SUMIFS('Исходные данные'!$I$2:$I$954,'Исходные данные'!$D$2:$D$954,S$3,'Исходные данные'!$F$2:$F$954,$H13&amp;"")+SUMIFS('Исходные данные'!$J$2:$J$954,'Исходные данные'!$D$2:$D$954,S$3,'Исходные данные'!$F$2:$F$954,$H13&amp;"")))))</f>
        <v/>
      </c>
      <c r="T13" s="49" t="n">
        <f aca="false">IF(SUMIFS('Исходные данные'!$I$2:$I$954,'Исходные данные'!$D$2:$D$954,T$3,'Исходные данные'!$F$2:$F$954,$H13&amp;"")+SUMIFS('Исходные данные'!$J$2:$J$954,'Исходные данные'!$D$2:$D$954,T$3,'Исходные данные'!$F$2:$F$954,$H13&amp;"")=0,"",IF(SUMIFS('Исходные данные'!$J$2:$J$954,'Исходные данные'!$D$2:$D$954,T$3,'Исходные данные'!$F$2:$F$954,$H13&amp;"")=0,SUMIFS('Исходные данные'!$I$2:$I$954,'Исходные данные'!$D$2:$D$954,T$3,'Исходные данные'!$F$2:$F$954,$H13&amp;""),IF(SUMIFS('Исходные данные'!$I$2:$I$954,'Исходные данные'!$D$2:$D$954,T$3,'Исходные данные'!$F$2:$F$954,$H13&amp;"")=0,"0+"&amp;SUMIFS('Исходные данные'!$J$2:$J$954,'Исходные данные'!$D$2:$D$954,T$3,'Исходные данные'!$F$2:$F$954,$H13&amp;"")&amp;"="&amp;SUMIFS('Исходные данные'!$J$2:$J$954,'Исходные данные'!$D$2:$D$954,T$3,'Исходные данные'!$F$2:$F$954,$H13&amp;""),SUMIFS('Исходные данные'!$I$2:$I$954,'Исходные данные'!$D$2:$D$954,T$3,'Исходные данные'!$F$2:$F$954,$H13&amp;"")&amp;"+"&amp;SUMIFS('Исходные данные'!$J$2:$J$954,'Исходные данные'!$D$2:$D$954,T$3,'Исходные данные'!$F$2:$F$954,$H13&amp;"")&amp;"="&amp;(SUMIFS('Исходные данные'!$I$2:$I$954,'Исходные данные'!$D$2:$D$954,T$3,'Исходные данные'!$F$2:$F$954,$H13&amp;"")+SUMIFS('Исходные данные'!$J$2:$J$954,'Исходные данные'!$D$2:$D$954,T$3,'Исходные данные'!$F$2:$F$954,$H13&amp;"")))))</f>
        <v>1</v>
      </c>
      <c r="U13" s="50" t="str">
        <f aca="false">IF(SUMIFS('Исходные данные'!$I$2:$I$954,'Исходные данные'!$D$2:$D$954,U$3,'Исходные данные'!$F$2:$F$954,$H13&amp;"")+SUMIFS('Исходные данные'!$J$2:$J$954,'Исходные данные'!$D$2:$D$954,U$3,'Исходные данные'!$F$2:$F$954,$H13&amp;"")=0,"",IF(SUMIFS('Исходные данные'!$J$2:$J$954,'Исходные данные'!$D$2:$D$954,U$3,'Исходные данные'!$F$2:$F$954,$H13&amp;"")=0,SUMIFS('Исходные данные'!$I$2:$I$954,'Исходные данные'!$D$2:$D$954,U$3,'Исходные данные'!$F$2:$F$954,$H13&amp;""),IF(SUMIFS('Исходные данные'!$I$2:$I$954,'Исходные данные'!$D$2:$D$954,U$3,'Исходные данные'!$F$2:$F$954,$H13&amp;"")=0,"0+"&amp;SUMIFS('Исходные данные'!$J$2:$J$954,'Исходные данные'!$D$2:$D$954,U$3,'Исходные данные'!$F$2:$F$954,$H13&amp;"")&amp;"="&amp;SUMIFS('Исходные данные'!$J$2:$J$954,'Исходные данные'!$D$2:$D$954,U$3,'Исходные данные'!$F$2:$F$954,$H13&amp;""),SUMIFS('Исходные данные'!$I$2:$I$954,'Исходные данные'!$D$2:$D$954,U$3,'Исходные данные'!$F$2:$F$954,$H13&amp;"")&amp;"+"&amp;SUMIFS('Исходные данные'!$J$2:$J$954,'Исходные данные'!$D$2:$D$954,U$3,'Исходные данные'!$F$2:$F$954,$H13&amp;"")&amp;"="&amp;(SUMIFS('Исходные данные'!$I$2:$I$954,'Исходные данные'!$D$2:$D$954,U$3,'Исходные данные'!$F$2:$F$954,$H13&amp;"")+SUMIFS('Исходные данные'!$J$2:$J$954,'Исходные данные'!$D$2:$D$954,U$3,'Исходные данные'!$F$2:$F$954,$H13&amp;"")))))</f>
        <v/>
      </c>
      <c r="V13" s="49" t="str">
        <f aca="false">IF(SUMIFS('Исходные данные'!$I$2:$I$954,'Исходные данные'!$D$2:$D$954,V$3,'Исходные данные'!$F$2:$F$954,$H13&amp;"")+SUMIFS('Исходные данные'!$J$2:$J$954,'Исходные данные'!$D$2:$D$954,V$3,'Исходные данные'!$F$2:$F$954,$H13&amp;"")=0,"",IF(SUMIFS('Исходные данные'!$J$2:$J$954,'Исходные данные'!$D$2:$D$954,V$3,'Исходные данные'!$F$2:$F$954,$H13&amp;"")=0,SUMIFS('Исходные данные'!$I$2:$I$954,'Исходные данные'!$D$2:$D$954,V$3,'Исходные данные'!$F$2:$F$954,$H13&amp;""),IF(SUMIFS('Исходные данные'!$I$2:$I$954,'Исходные данные'!$D$2:$D$954,V$3,'Исходные данные'!$F$2:$F$954,$H13&amp;"")=0,"0+"&amp;SUMIFS('Исходные данные'!$J$2:$J$954,'Исходные данные'!$D$2:$D$954,V$3,'Исходные данные'!$F$2:$F$954,$H13&amp;"")&amp;"="&amp;SUMIFS('Исходные данные'!$J$2:$J$954,'Исходные данные'!$D$2:$D$954,V$3,'Исходные данные'!$F$2:$F$954,$H13&amp;""),SUMIFS('Исходные данные'!$I$2:$I$954,'Исходные данные'!$D$2:$D$954,V$3,'Исходные данные'!$F$2:$F$954,$H13&amp;"")&amp;"+"&amp;SUMIFS('Исходные данные'!$J$2:$J$954,'Исходные данные'!$D$2:$D$954,V$3,'Исходные данные'!$F$2:$F$954,$H13&amp;"")&amp;"="&amp;(SUMIFS('Исходные данные'!$I$2:$I$954,'Исходные данные'!$D$2:$D$954,V$3,'Исходные данные'!$F$2:$F$954,$H13&amp;"")+SUMIFS('Исходные данные'!$J$2:$J$954,'Исходные данные'!$D$2:$D$954,V$3,'Исходные данные'!$F$2:$F$954,$H13&amp;"")))))</f>
        <v/>
      </c>
      <c r="W13" s="50" t="str">
        <f aca="false">IF(SUMIFS('Исходные данные'!$I$2:$I$954,'Исходные данные'!$D$2:$D$954,W$3,'Исходные данные'!$F$2:$F$954,$H13&amp;"")+SUMIFS('Исходные данные'!$J$2:$J$954,'Исходные данные'!$D$2:$D$954,W$3,'Исходные данные'!$F$2:$F$954,$H13&amp;"")=0,"",IF(SUMIFS('Исходные данные'!$J$2:$J$954,'Исходные данные'!$D$2:$D$954,W$3,'Исходные данные'!$F$2:$F$954,$H13&amp;"")=0,SUMIFS('Исходные данные'!$I$2:$I$954,'Исходные данные'!$D$2:$D$954,W$3,'Исходные данные'!$F$2:$F$954,$H13&amp;""),IF(SUMIFS('Исходные данные'!$I$2:$I$954,'Исходные данные'!$D$2:$D$954,W$3,'Исходные данные'!$F$2:$F$954,$H13&amp;"")=0,"0+"&amp;SUMIFS('Исходные данные'!$J$2:$J$954,'Исходные данные'!$D$2:$D$954,W$3,'Исходные данные'!$F$2:$F$954,$H13&amp;"")&amp;"="&amp;SUMIFS('Исходные данные'!$J$2:$J$954,'Исходные данные'!$D$2:$D$954,W$3,'Исходные данные'!$F$2:$F$954,$H13&amp;""),SUMIFS('Исходные данные'!$I$2:$I$954,'Исходные данные'!$D$2:$D$954,W$3,'Исходные данные'!$F$2:$F$954,$H13&amp;"")&amp;"+"&amp;SUMIFS('Исходные данные'!$J$2:$J$954,'Исходные данные'!$D$2:$D$954,W$3,'Исходные данные'!$F$2:$F$954,$H13&amp;"")&amp;"="&amp;(SUMIFS('Исходные данные'!$I$2:$I$954,'Исходные данные'!$D$2:$D$954,W$3,'Исходные данные'!$F$2:$F$954,$H13&amp;"")+SUMIFS('Исходные данные'!$J$2:$J$954,'Исходные данные'!$D$2:$D$954,W$3,'Исходные данные'!$F$2:$F$954,$H13&amp;"")))))</f>
        <v/>
      </c>
      <c r="X13" s="50" t="str">
        <f aca="false">IF(SUMIFS('Исходные данные'!$I$2:$I$954,'Исходные данные'!$D$2:$D$954,X$3,'Исходные данные'!$F$2:$F$954,$H13&amp;"")+SUMIFS('Исходные данные'!$J$2:$J$954,'Исходные данные'!$D$2:$D$954,X$3,'Исходные данные'!$F$2:$F$954,$H13&amp;"")=0,"",IF(SUMIFS('Исходные данные'!$J$2:$J$954,'Исходные данные'!$D$2:$D$954,X$3,'Исходные данные'!$F$2:$F$954,$H13&amp;"")=0,SUMIFS('Исходные данные'!$I$2:$I$954,'Исходные данные'!$D$2:$D$954,X$3,'Исходные данные'!$F$2:$F$954,$H13&amp;""),IF(SUMIFS('Исходные данные'!$I$2:$I$954,'Исходные данные'!$D$2:$D$954,X$3,'Исходные данные'!$F$2:$F$954,$H13&amp;"")=0,"0+"&amp;SUMIFS('Исходные данные'!$J$2:$J$954,'Исходные данные'!$D$2:$D$954,X$3,'Исходные данные'!$F$2:$F$954,$H13&amp;"")&amp;"="&amp;SUMIFS('Исходные данные'!$J$2:$J$954,'Исходные данные'!$D$2:$D$954,X$3,'Исходные данные'!$F$2:$F$954,$H13&amp;""),SUMIFS('Исходные данные'!$I$2:$I$954,'Исходные данные'!$D$2:$D$954,X$3,'Исходные данные'!$F$2:$F$954,$H13&amp;"")&amp;"+"&amp;SUMIFS('Исходные данные'!$J$2:$J$954,'Исходные данные'!$D$2:$D$954,X$3,'Исходные данные'!$F$2:$F$954,$H13&amp;"")&amp;"="&amp;(SUMIFS('Исходные данные'!$I$2:$I$954,'Исходные данные'!$D$2:$D$954,X$3,'Исходные данные'!$F$2:$F$954,$H13&amp;"")+SUMIFS('Исходные данные'!$J$2:$J$954,'Исходные данные'!$D$2:$D$954,X$3,'Исходные данные'!$F$2:$F$954,$H13&amp;"")))))</f>
        <v/>
      </c>
      <c r="Y13" s="52" t="str">
        <f aca="false">IF(SUMIFS('Исходные данные'!$I$2:$I$954,'Исходные данные'!$D$2:$D$954,Y$3,'Исходные данные'!$F$2:$F$954,$H13&amp;"")+SUMIFS('Исходные данные'!$J$2:$J$954,'Исходные данные'!$D$2:$D$954,Y$3,'Исходные данные'!$F$2:$F$954,$H13&amp;"")=0,"",IF(SUMIFS('Исходные данные'!$J$2:$J$954,'Исходные данные'!$D$2:$D$954,Y$3,'Исходные данные'!$F$2:$F$954,$H13&amp;"")=0,SUMIFS('Исходные данные'!$I$2:$I$954,'Исходные данные'!$D$2:$D$954,Y$3,'Исходные данные'!$F$2:$F$954,$H13&amp;""),IF(SUMIFS('Исходные данные'!$I$2:$I$954,'Исходные данные'!$D$2:$D$954,Y$3,'Исходные данные'!$F$2:$F$954,$H13&amp;"")=0,"0+"&amp;SUMIFS('Исходные данные'!$J$2:$J$954,'Исходные данные'!$D$2:$D$954,Y$3,'Исходные данные'!$F$2:$F$954,$H13&amp;"")&amp;"="&amp;SUMIFS('Исходные данные'!$J$2:$J$954,'Исходные данные'!$D$2:$D$954,Y$3,'Исходные данные'!$F$2:$F$954,$H13&amp;""),SUMIFS('Исходные данные'!$I$2:$I$954,'Исходные данные'!$D$2:$D$954,Y$3,'Исходные данные'!$F$2:$F$954,$H13&amp;"")&amp;"+"&amp;SUMIFS('Исходные данные'!$J$2:$J$954,'Исходные данные'!$D$2:$D$954,Y$3,'Исходные данные'!$F$2:$F$954,$H13&amp;"")&amp;"="&amp;(SUMIFS('Исходные данные'!$I$2:$I$954,'Исходные данные'!$D$2:$D$954,Y$3,'Исходные данные'!$F$2:$F$954,$H13&amp;"")+SUMIFS('Исходные данные'!$J$2:$J$954,'Исходные данные'!$D$2:$D$954,Y$3,'Исходные данные'!$F$2:$F$954,$H13&amp;"")))))</f>
        <v/>
      </c>
      <c r="Z13" s="49" t="str">
        <f aca="false">IF(SUMIFS('Исходные данные'!$I$2:$I$954,'Исходные данные'!$D$2:$D$954,Z$3,'Исходные данные'!$F$2:$F$954,$H13&amp;"")+SUMIFS('Исходные данные'!$J$2:$J$954,'Исходные данные'!$D$2:$D$954,Z$3,'Исходные данные'!$F$2:$F$954,$H13&amp;"")=0,"",IF(SUMIFS('Исходные данные'!$J$2:$J$954,'Исходные данные'!$D$2:$D$954,Z$3,'Исходные данные'!$F$2:$F$954,$H13&amp;"")=0,SUMIFS('Исходные данные'!$I$2:$I$954,'Исходные данные'!$D$2:$D$954,Z$3,'Исходные данные'!$F$2:$F$954,$H13&amp;""),IF(SUMIFS('Исходные данные'!$I$2:$I$954,'Исходные данные'!$D$2:$D$954,Z$3,'Исходные данные'!$F$2:$F$954,$H13&amp;"")=0,"0+"&amp;SUMIFS('Исходные данные'!$J$2:$J$954,'Исходные данные'!$D$2:$D$954,Z$3,'Исходные данные'!$F$2:$F$954,$H13&amp;"")&amp;"="&amp;SUMIFS('Исходные данные'!$J$2:$J$954,'Исходные данные'!$D$2:$D$954,Z$3,'Исходные данные'!$F$2:$F$954,$H13&amp;""),SUMIFS('Исходные данные'!$I$2:$I$954,'Исходные данные'!$D$2:$D$954,Z$3,'Исходные данные'!$F$2:$F$954,$H13&amp;"")&amp;"+"&amp;SUMIFS('Исходные данные'!$J$2:$J$954,'Исходные данные'!$D$2:$D$954,Z$3,'Исходные данные'!$F$2:$F$954,$H13&amp;"")&amp;"="&amp;(SUMIFS('Исходные данные'!$I$2:$I$954,'Исходные данные'!$D$2:$D$954,Z$3,'Исходные данные'!$F$2:$F$954,$H13&amp;"")+SUMIFS('Исходные данные'!$J$2:$J$954,'Исходные данные'!$D$2:$D$954,Z$3,'Исходные данные'!$F$2:$F$954,$H13&amp;"")))))</f>
        <v/>
      </c>
      <c r="AA13" s="50" t="n">
        <f aca="false">IF(SUMIFS('Исходные данные'!$I$2:$I$954,'Исходные данные'!$D$2:$D$954,AA$3,'Исходные данные'!$F$2:$F$954,$H13&amp;"")+SUMIFS('Исходные данные'!$J$2:$J$954,'Исходные данные'!$D$2:$D$954,AA$3,'Исходные данные'!$F$2:$F$954,$H13&amp;"")=0,"",IF(SUMIFS('Исходные данные'!$J$2:$J$954,'Исходные данные'!$D$2:$D$954,AA$3,'Исходные данные'!$F$2:$F$954,$H13&amp;"")=0,SUMIFS('Исходные данные'!$I$2:$I$954,'Исходные данные'!$D$2:$D$954,AA$3,'Исходные данные'!$F$2:$F$954,$H13&amp;""),IF(SUMIFS('Исходные данные'!$I$2:$I$954,'Исходные данные'!$D$2:$D$954,AA$3,'Исходные данные'!$F$2:$F$954,$H13&amp;"")=0,"0+"&amp;SUMIFS('Исходные данные'!$J$2:$J$954,'Исходные данные'!$D$2:$D$954,AA$3,'Исходные данные'!$F$2:$F$954,$H13&amp;"")&amp;"="&amp;SUMIFS('Исходные данные'!$J$2:$J$954,'Исходные данные'!$D$2:$D$954,AA$3,'Исходные данные'!$F$2:$F$954,$H13&amp;""),SUMIFS('Исходные данные'!$I$2:$I$954,'Исходные данные'!$D$2:$D$954,AA$3,'Исходные данные'!$F$2:$F$954,$H13&amp;"")&amp;"+"&amp;SUMIFS('Исходные данные'!$J$2:$J$954,'Исходные данные'!$D$2:$D$954,AA$3,'Исходные данные'!$F$2:$F$954,$H13&amp;"")&amp;"="&amp;(SUMIFS('Исходные данные'!$I$2:$I$954,'Исходные данные'!$D$2:$D$954,AA$3,'Исходные данные'!$F$2:$F$954,$H13&amp;"")+SUMIFS('Исходные данные'!$J$2:$J$954,'Исходные данные'!$D$2:$D$954,AA$3,'Исходные данные'!$F$2:$F$954,$H13&amp;"")))))</f>
        <v>2</v>
      </c>
      <c r="AB13" s="50" t="str">
        <f aca="false">IF(SUMIFS('Исходные данные'!$I$2:$I$954,'Исходные данные'!$D$2:$D$954,AB$3,'Исходные данные'!$F$2:$F$954,$H13&amp;"")+SUMIFS('Исходные данные'!$J$2:$J$954,'Исходные данные'!$D$2:$D$954,AB$3,'Исходные данные'!$F$2:$F$954,$H13&amp;"")=0,"",IF(SUMIFS('Исходные данные'!$J$2:$J$954,'Исходные данные'!$D$2:$D$954,AB$3,'Исходные данные'!$F$2:$F$954,$H13&amp;"")=0,SUMIFS('Исходные данные'!$I$2:$I$954,'Исходные данные'!$D$2:$D$954,AB$3,'Исходные данные'!$F$2:$F$954,$H13&amp;""),IF(SUMIFS('Исходные данные'!$I$2:$I$954,'Исходные данные'!$D$2:$D$954,AB$3,'Исходные данные'!$F$2:$F$954,$H13&amp;"")=0,"0+"&amp;SUMIFS('Исходные данные'!$J$2:$J$954,'Исходные данные'!$D$2:$D$954,AB$3,'Исходные данные'!$F$2:$F$954,$H13&amp;"")&amp;"="&amp;SUMIFS('Исходные данные'!$J$2:$J$954,'Исходные данные'!$D$2:$D$954,AB$3,'Исходные данные'!$F$2:$F$954,$H13&amp;""),SUMIFS('Исходные данные'!$I$2:$I$954,'Исходные данные'!$D$2:$D$954,AB$3,'Исходные данные'!$F$2:$F$954,$H13&amp;"")&amp;"+"&amp;SUMIFS('Исходные данные'!$J$2:$J$954,'Исходные данные'!$D$2:$D$954,AB$3,'Исходные данные'!$F$2:$F$954,$H13&amp;"")&amp;"="&amp;(SUMIFS('Исходные данные'!$I$2:$I$954,'Исходные данные'!$D$2:$D$954,AB$3,'Исходные данные'!$F$2:$F$954,$H13&amp;"")+SUMIFS('Исходные данные'!$J$2:$J$954,'Исходные данные'!$D$2:$D$954,AB$3,'Исходные данные'!$F$2:$F$954,$H13&amp;"")))))</f>
        <v/>
      </c>
      <c r="AC13" s="52" t="str">
        <f aca="false">IF(SUMIFS('Исходные данные'!$I$2:$I$954,'Исходные данные'!$D$2:$D$954,AC$3,'Исходные данные'!$F$2:$F$954,$H13&amp;"")+SUMIFS('Исходные данные'!$J$2:$J$954,'Исходные данные'!$D$2:$D$954,AC$3,'Исходные данные'!$F$2:$F$954,$H13&amp;"")=0,"",IF(SUMIFS('Исходные данные'!$J$2:$J$954,'Исходные данные'!$D$2:$D$954,AC$3,'Исходные данные'!$F$2:$F$954,$H13&amp;"")=0,SUMIFS('Исходные данные'!$I$2:$I$954,'Исходные данные'!$D$2:$D$954,AC$3,'Исходные данные'!$F$2:$F$954,$H13&amp;""),IF(SUMIFS('Исходные данные'!$I$2:$I$954,'Исходные данные'!$D$2:$D$954,AC$3,'Исходные данные'!$F$2:$F$954,$H13&amp;"")=0,"0+"&amp;SUMIFS('Исходные данные'!$J$2:$J$954,'Исходные данные'!$D$2:$D$954,AC$3,'Исходные данные'!$F$2:$F$954,$H13&amp;"")&amp;"="&amp;SUMIFS('Исходные данные'!$J$2:$J$954,'Исходные данные'!$D$2:$D$954,AC$3,'Исходные данные'!$F$2:$F$954,$H13&amp;""),SUMIFS('Исходные данные'!$I$2:$I$954,'Исходные данные'!$D$2:$D$954,AC$3,'Исходные данные'!$F$2:$F$954,$H13&amp;"")&amp;"+"&amp;SUMIFS('Исходные данные'!$J$2:$J$954,'Исходные данные'!$D$2:$D$954,AC$3,'Исходные данные'!$F$2:$F$954,$H13&amp;"")&amp;"="&amp;(SUMIFS('Исходные данные'!$I$2:$I$954,'Исходные данные'!$D$2:$D$954,AC$3,'Исходные данные'!$F$2:$F$954,$H13&amp;"")+SUMIFS('Исходные данные'!$J$2:$J$954,'Исходные данные'!$D$2:$D$954,AC$3,'Исходные данные'!$F$2:$F$954,$H13&amp;"")))))</f>
        <v>4+4=8</v>
      </c>
      <c r="AD13" s="50" t="str">
        <f aca="false">IF(SUMIFS('Исходные данные'!$I$2:$I$954,'Исходные данные'!$D$2:$D$954,AD$3,'Исходные данные'!$F$2:$F$954,$H13&amp;"")+SUMIFS('Исходные данные'!$J$2:$J$954,'Исходные данные'!$D$2:$D$954,AD$3,'Исходные данные'!$F$2:$F$954,$H13&amp;"")=0,"",IF(SUMIFS('Исходные данные'!$J$2:$J$954,'Исходные данные'!$D$2:$D$954,AD$3,'Исходные данные'!$F$2:$F$954,$H13&amp;"")=0,SUMIFS('Исходные данные'!$I$2:$I$954,'Исходные данные'!$D$2:$D$954,AD$3,'Исходные данные'!$F$2:$F$954,$H13&amp;""),IF(SUMIFS('Исходные данные'!$I$2:$I$954,'Исходные данные'!$D$2:$D$954,AD$3,'Исходные данные'!$F$2:$F$954,$H13&amp;"")=0,"0+"&amp;SUMIFS('Исходные данные'!$J$2:$J$954,'Исходные данные'!$D$2:$D$954,AD$3,'Исходные данные'!$F$2:$F$954,$H13&amp;"")&amp;"="&amp;SUMIFS('Исходные данные'!$J$2:$J$954,'Исходные данные'!$D$2:$D$954,AD$3,'Исходные данные'!$F$2:$F$954,$H13&amp;""),SUMIFS('Исходные данные'!$I$2:$I$954,'Исходные данные'!$D$2:$D$954,AD$3,'Исходные данные'!$F$2:$F$954,$H13&amp;"")&amp;"+"&amp;SUMIFS('Исходные данные'!$J$2:$J$954,'Исходные данные'!$D$2:$D$954,AD$3,'Исходные данные'!$F$2:$F$954,$H13&amp;"")&amp;"="&amp;(SUMIFS('Исходные данные'!$I$2:$I$954,'Исходные данные'!$D$2:$D$954,AD$3,'Исходные данные'!$F$2:$F$954,$H13&amp;"")+SUMIFS('Исходные данные'!$J$2:$J$954,'Исходные данные'!$D$2:$D$954,AD$3,'Исходные данные'!$F$2:$F$954,$H13&amp;"")))))</f>
        <v>3+3=6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18</v>
      </c>
      <c r="D14" s="30"/>
      <c r="E14" s="65" t="s">
        <v>183</v>
      </c>
      <c r="F14" s="65"/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данные'!$I$2:$I$954,'Исходные данные'!$D$2:$D$954,O$3,'Исходные данные'!$F$2:$F$954,$H15&amp;"",'Исходные данные'!$L$2:$L$954,"УТТ")+SUMIFS('Исходные данные'!$J$2:$J$954,'Исходные данные'!$D$2:$D$954,O$3,'Исходные данные'!$F$2:$F$954,$H15&amp;"",'Исходные данные'!$L$2:$L$954,"УТТ")=0,"","утт-"&amp;(SUMIFS('Исходные данные'!$I$2:$I$954,'Исходные данные'!$D$2:$D$954,O$3,'Исходные данные'!$F$2:$F$954,$H15&amp;"",'Исходные данные'!$L$2:$L$954,"УТТ")+SUMIFS('Исходные данные'!$J$2:$J$954,'Исходные данные'!$D$2:$D$954,O$3,'Исходные данные'!$F$2:$F$954,$H15&amp;"",'Исходные данные'!$L$2:$L$954,"УТТ")))</f>
        <v/>
      </c>
      <c r="P14" s="61" t="str">
        <f aca="false">IF(SUMIFS('Исходные данные'!$I$2:$I$954,'Исходные данные'!$D$2:$D$954,P$3,'Исходные данные'!$F$2:$F$954,$H15&amp;"",'Исходные данные'!$L$2:$L$954,"УТТ")+SUMIFS('Исходные данные'!$J$2:$J$954,'Исходные данные'!$D$2:$D$954,P$3,'Исходные данные'!$F$2:$F$954,$H15&amp;"",'Исходные данные'!$L$2:$L$954,"УТТ")=0,"","утт-"&amp;(SUMIFS('Исходные данные'!$I$2:$I$954,'Исходные данные'!$D$2:$D$954,P$3,'Исходные данные'!$F$2:$F$954,$H15&amp;"",'Исходные данные'!$L$2:$L$954,"УТТ")+SUMIFS('Исходные данные'!$J$2:$J$954,'Исходные данные'!$D$2:$D$954,P$3,'Исходные данные'!$F$2:$F$954,$H15&amp;"",'Исходные данные'!$L$2:$L$954,"УТТ")))</f>
        <v>утт-1</v>
      </c>
      <c r="Q14" s="60" t="str">
        <f aca="false">IF(SUMIFS('Исходные данные'!$I$2:$I$954,'Исходные данные'!$D$2:$D$954,Q$3,'Исходные данные'!$F$2:$F$954,$H15&amp;"",'Исходные данные'!$L$2:$L$954,"УТТ")+SUMIFS('Исходные данные'!$J$2:$J$954,'Исходные данные'!$D$2:$D$954,Q$3,'Исходные данные'!$F$2:$F$954,$H15&amp;"",'Исходные данные'!$L$2:$L$954,"УТТ")=0,"","утт-"&amp;(SUMIFS('Исходные данные'!$I$2:$I$954,'Исходные данные'!$D$2:$D$954,Q$3,'Исходные данные'!$F$2:$F$954,$H15&amp;"",'Исходные данные'!$L$2:$L$954,"УТТ")+SUMIFS('Исходные данные'!$J$2:$J$954,'Исходные данные'!$D$2:$D$954,Q$3,'Исходные данные'!$F$2:$F$954,$H15&amp;"",'Исходные данные'!$L$2:$L$954,"УТТ")))</f>
        <v/>
      </c>
      <c r="R14" s="62" t="str">
        <f aca="false">IF(SUMIFS('Исходные данные'!$I$2:$I$954,'Исходные данные'!$D$2:$D$954,R$3,'Исходные данные'!$F$2:$F$954,$H15&amp;"",'Исходные данные'!$L$2:$L$954,"УТТ")+SUMIFS('Исходные данные'!$J$2:$J$954,'Исходные данные'!$D$2:$D$954,R$3,'Исходные данные'!$F$2:$F$954,$H15&amp;"",'Исходные данные'!$L$2:$L$954,"УТТ")=0,"","утт-"&amp;(SUMIFS('Исходные данные'!$I$2:$I$954,'Исходные данные'!$D$2:$D$954,R$3,'Исходные данные'!$F$2:$F$954,$H15&amp;"",'Исходные данные'!$L$2:$L$954,"УТТ")+SUMIFS('Исходные данные'!$J$2:$J$954,'Исходные данные'!$D$2:$D$954,R$3,'Исходные данные'!$F$2:$F$954,$H15&amp;"",'Исходные данные'!$L$2:$L$954,"УТТ")))</f>
        <v/>
      </c>
      <c r="S14" s="61" t="str">
        <f aca="false">IF(SUMIFS('Исходные данные'!$I$2:$I$954,'Исходные данные'!$D$2:$D$954,S$3,'Исходные данные'!$F$2:$F$954,$H15&amp;"",'Исходные данные'!$L$2:$L$954,"УТТ")+SUMIFS('Исходные данные'!$J$2:$J$954,'Исходные данные'!$D$2:$D$954,S$3,'Исходные данные'!$F$2:$F$954,$H15&amp;"",'Исходные данные'!$L$2:$L$954,"УТТ")=0,"","утт-"&amp;(SUMIFS('Исходные данные'!$I$2:$I$954,'Исходные данные'!$D$2:$D$954,S$3,'Исходные данные'!$F$2:$F$954,$H15&amp;"",'Исходные данные'!$L$2:$L$954,"УТТ")+SUMIFS('Исходные данные'!$J$2:$J$954,'Исходные данные'!$D$2:$D$954,S$3,'Исходные данные'!$F$2:$F$954,$H15&amp;"",'Исходные данные'!$L$2:$L$954,"УТТ")))</f>
        <v/>
      </c>
      <c r="T14" s="60" t="str">
        <f aca="false">IF(SUMIFS('Исходные данные'!$I$2:$I$954,'Исходные данные'!$D$2:$D$954,T$3,'Исходные данные'!$F$2:$F$954,$H15&amp;"",'Исходные данные'!$L$2:$L$954,"УТТ")+SUMIFS('Исходные данные'!$J$2:$J$954,'Исходные данные'!$D$2:$D$954,T$3,'Исходные данные'!$F$2:$F$954,$H15&amp;"",'Исходные данные'!$L$2:$L$954,"УТТ")=0,"","утт-"&amp;(SUMIFS('Исходные данные'!$I$2:$I$954,'Исходные данные'!$D$2:$D$954,T$3,'Исходные данные'!$F$2:$F$954,$H15&amp;"",'Исходные данные'!$L$2:$L$954,"УТТ")+SUMIFS('Исходные данные'!$J$2:$J$954,'Исходные данные'!$D$2:$D$954,T$3,'Исходные данные'!$F$2:$F$954,$H15&amp;"",'Исходные данные'!$L$2:$L$954,"УТТ")))</f>
        <v/>
      </c>
      <c r="U14" s="61" t="str">
        <f aca="false">IF(SUMIFS('Исходные данные'!$I$2:$I$954,'Исходные данные'!$D$2:$D$954,U$3,'Исходные данные'!$F$2:$F$954,$H15&amp;"",'Исходные данные'!$L$2:$L$954,"УТТ")+SUMIFS('Исходные данные'!$J$2:$J$954,'Исходные данные'!$D$2:$D$954,U$3,'Исходные данные'!$F$2:$F$954,$H15&amp;"",'Исходные данные'!$L$2:$L$954,"УТТ")=0,"","утт-"&amp;(SUMIFS('Исходные данные'!$I$2:$I$954,'Исходные данные'!$D$2:$D$954,U$3,'Исходные данные'!$F$2:$F$954,$H15&amp;"",'Исходные данные'!$L$2:$L$954,"УТТ")+SUMIFS('Исходные данные'!$J$2:$J$954,'Исходные данные'!$D$2:$D$954,U$3,'Исходные данные'!$F$2:$F$954,$H15&amp;"",'Исходные данные'!$L$2:$L$954,"УТТ")))</f>
        <v/>
      </c>
      <c r="V14" s="60" t="str">
        <f aca="false">IF(SUMIFS('Исходные данные'!$I$2:$I$954,'Исходные данные'!$D$2:$D$954,V$3,'Исходные данные'!$F$2:$F$954,$H15&amp;"",'Исходные данные'!$L$2:$L$954,"УТТ")+SUMIFS('Исходные данные'!$J$2:$J$954,'Исходные данные'!$D$2:$D$954,V$3,'Исходные данные'!$F$2:$F$954,$H15&amp;"",'Исходные данные'!$L$2:$L$954,"УТТ")=0,"","утт-"&amp;(SUMIFS('Исходные данные'!$I$2:$I$954,'Исходные данные'!$D$2:$D$954,V$3,'Исходные данные'!$F$2:$F$954,$H15&amp;"",'Исходные данные'!$L$2:$L$954,"УТТ")+SUMIFS('Исходные данные'!$J$2:$J$954,'Исходные данные'!$D$2:$D$954,V$3,'Исходные данные'!$F$2:$F$954,$H15&amp;"",'Исходные данные'!$L$2:$L$954,"УТТ")))</f>
        <v/>
      </c>
      <c r="W14" s="61" t="str">
        <f aca="false">IF(SUMIFS('Исходные данные'!$I$2:$I$954,'Исходные данные'!$D$2:$D$954,W$3,'Исходные данные'!$F$2:$F$954,$H15&amp;"",'Исходные данные'!$L$2:$L$954,"УТТ")+SUMIFS('Исходные данные'!$J$2:$J$954,'Исходные данные'!$D$2:$D$954,W$3,'Исходные данные'!$F$2:$F$954,$H15&amp;"",'Исходные данные'!$L$2:$L$954,"УТТ")=0,"","утт-"&amp;(SUMIFS('Исходные данные'!$I$2:$I$954,'Исходные данные'!$D$2:$D$954,W$3,'Исходные данные'!$F$2:$F$954,$H15&amp;"",'Исходные данные'!$L$2:$L$954,"УТТ")+SUMIFS('Исходные данные'!$J$2:$J$954,'Исходные данные'!$D$2:$D$954,W$3,'Исходные данные'!$F$2:$F$954,$H15&amp;"",'Исходные данные'!$L$2:$L$954,"УТТ")))</f>
        <v>утт-1</v>
      </c>
      <c r="X14" s="61" t="str">
        <f aca="false">IF(SUMIFS('Исходные данные'!$I$2:$I$954,'Исходные данные'!$D$2:$D$954,X$3,'Исходные данные'!$F$2:$F$954,$H15&amp;"",'Исходные данные'!$L$2:$L$954,"УТТ")+SUMIFS('Исходные данные'!$J$2:$J$954,'Исходные данные'!$D$2:$D$954,X$3,'Исходные данные'!$F$2:$F$954,$H15&amp;"",'Исходные данные'!$L$2:$L$954,"УТТ")=0,"","утт-"&amp;(SUMIFS('Исходные данные'!$I$2:$I$954,'Исходные данные'!$D$2:$D$954,X$3,'Исходные данные'!$F$2:$F$954,$H15&amp;"",'Исходные данные'!$L$2:$L$954,"УТТ")+SUMIFS('Исходные данные'!$J$2:$J$954,'Исходные данные'!$D$2:$D$954,X$3,'Исходные данные'!$F$2:$F$954,$H15&amp;"",'Исходные данные'!$L$2:$L$954,"УТТ")))</f>
        <v/>
      </c>
      <c r="Y14" s="63" t="str">
        <f aca="false">IF(SUMIFS('Исходные данные'!$I$2:$I$954,'Исходные данные'!$D$2:$D$954,Y$3,'Исходные данные'!$F$2:$F$954,$H15&amp;"",'Исходные данные'!$L$2:$L$954,"УТТ")+SUMIFS('Исходные данные'!$J$2:$J$954,'Исходные данные'!$D$2:$D$954,Y$3,'Исходные данные'!$F$2:$F$954,$H15&amp;"",'Исходные данные'!$L$2:$L$954,"УТТ")=0,"","утт-"&amp;(SUMIFS('Исходные данные'!$I$2:$I$954,'Исходные данные'!$D$2:$D$954,Y$3,'Исходные данные'!$F$2:$F$954,$H15&amp;"",'Исходные данные'!$L$2:$L$954,"УТТ")+SUMIFS('Исходные данные'!$J$2:$J$954,'Исходные данные'!$D$2:$D$954,Y$3,'Исходные данные'!$F$2:$F$954,$H15&amp;"",'Исходные данные'!$L$2:$L$954,"УТТ")))</f>
        <v/>
      </c>
      <c r="Z14" s="60" t="str">
        <f aca="false">IF(SUMIFS('Исходные данные'!$I$2:$I$954,'Исходные данные'!$D$2:$D$954,Z$3,'Исходные данные'!$F$2:$F$954,$H15&amp;"",'Исходные данные'!$L$2:$L$954,"УТТ")+SUMIFS('Исходные данные'!$J$2:$J$954,'Исходные данные'!$D$2:$D$954,Z$3,'Исходные данные'!$F$2:$F$954,$H15&amp;"",'Исходные данные'!$L$2:$L$954,"УТТ")=0,"","утт-"&amp;(SUMIFS('Исходные данные'!$I$2:$I$954,'Исходные данные'!$D$2:$D$954,Z$3,'Исходные данные'!$F$2:$F$954,$H15&amp;"",'Исходные данные'!$L$2:$L$954,"УТТ")+SUMIFS('Исходные данные'!$J$2:$J$954,'Исходные данные'!$D$2:$D$954,Z$3,'Исходные данные'!$F$2:$F$954,$H15&amp;"",'Исходные данные'!$L$2:$L$954,"УТТ")))</f>
        <v/>
      </c>
      <c r="AA14" s="61" t="str">
        <f aca="false">IF(SUMIFS('Исходные данные'!$I$2:$I$954,'Исходные данные'!$D$2:$D$954,AA$3,'Исходные данные'!$F$2:$F$954,$H15&amp;"",'Исходные данные'!$L$2:$L$954,"УТТ")+SUMIFS('Исходные данные'!$J$2:$J$954,'Исходные данные'!$D$2:$D$954,AA$3,'Исходные данные'!$F$2:$F$954,$H15&amp;"",'Исходные данные'!$L$2:$L$954,"УТТ")=0,"","утт-"&amp;(SUMIFS('Исходные данные'!$I$2:$I$954,'Исходные данные'!$D$2:$D$954,AA$3,'Исходные данные'!$F$2:$F$954,$H15&amp;"",'Исходные данные'!$L$2:$L$954,"УТТ")+SUMIFS('Исходные данные'!$J$2:$J$954,'Исходные данные'!$D$2:$D$954,AA$3,'Исходные данные'!$F$2:$F$954,$H15&amp;"",'Исходные данные'!$L$2:$L$954,"УТТ")))</f>
        <v/>
      </c>
      <c r="AB14" s="61" t="str">
        <f aca="false">IF(SUMIFS('Исходные данные'!$I$2:$I$954,'Исходные данные'!$D$2:$D$954,AB$3,'Исходные данные'!$F$2:$F$954,$H15&amp;"",'Исходные данные'!$L$2:$L$954,"УТТ")+SUMIFS('Исходные данные'!$J$2:$J$954,'Исходные данные'!$D$2:$D$954,AB$3,'Исходные данные'!$F$2:$F$954,$H15&amp;"",'Исходные данные'!$L$2:$L$954,"УТТ")=0,"","утт-"&amp;(SUMIFS('Исходные данные'!$I$2:$I$954,'Исходные данные'!$D$2:$D$954,AB$3,'Исходные данные'!$F$2:$F$954,$H15&amp;"",'Исходные данные'!$L$2:$L$954,"УТТ")+SUMIFS('Исходные данные'!$J$2:$J$954,'Исходные данные'!$D$2:$D$954,AB$3,'Исходные данные'!$F$2:$F$954,$H15&amp;"",'Исходные данные'!$L$2:$L$954,"УТТ")))</f>
        <v/>
      </c>
      <c r="AC14" s="60" t="str">
        <f aca="false">IF(SUMIFS('Исходные данные'!$I$2:$I$954,'Исходные данные'!$D$2:$D$954,AC$3,'Исходные данные'!$F$2:$F$954,$H15&amp;"",'Исходные данные'!$L$2:$L$954,"УТТ")+SUMIFS('Исходные данные'!$J$2:$J$954,'Исходные данные'!$D$2:$D$954,AC$3,'Исходные данные'!$F$2:$F$954,$H15&amp;"",'Исходные данные'!$L$2:$L$954,"УТТ")=0,"","утт-"&amp;(SUMIFS('Исходные данные'!$I$2:$I$954,'Исходные данные'!$D$2:$D$954,AC$3,'Исходные данные'!$F$2:$F$954,$H15&amp;"",'Исходные данные'!$L$2:$L$954,"УТТ")+SUMIFS('Исходные данные'!$J$2:$J$954,'Исходные данные'!$D$2:$D$954,AC$3,'Исходные данные'!$F$2:$F$954,$H15&amp;"",'Исходные данные'!$L$2:$L$954,"УТТ")))</f>
        <v/>
      </c>
      <c r="AD14" s="61" t="str">
        <f aca="false">IF(SUMIFS('Исходные данные'!$I$2:$I$954,'Исходные данные'!$D$2:$D$954,AD$3,'Исходные данные'!$F$2:$F$954,$H15&amp;"",'Исходные данные'!$L$2:$L$954,"УТТ")+SUMIFS('Исходные данные'!$J$2:$J$954,'Исходные данные'!$D$2:$D$954,AD$3,'Исходные данные'!$F$2:$F$954,$H15&amp;"",'Исходные данные'!$L$2:$L$954,"УТТ")=0,"","утт-"&amp;(SUMIFS('Исходные данные'!$I$2:$I$954,'Исходные данные'!$D$2:$D$954,AD$3,'Исходные данные'!$F$2:$F$954,$H15&amp;"",'Исходные данные'!$L$2:$L$954,"УТТ")+SUMIFS('Исходные данные'!$J$2:$J$954,'Исходные данные'!$D$2:$D$954,AD$3,'Исходные данные'!$F$2:$F$954,$H15&amp;"",'Исходные данные'!$L$2:$L$954,"УТТ")))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185</v>
      </c>
      <c r="C15" s="29" t="s">
        <v>20</v>
      </c>
      <c r="D15" s="30"/>
      <c r="E15" s="29" t="s">
        <v>186</v>
      </c>
      <c r="F15" s="29" t="s">
        <v>7</v>
      </c>
      <c r="G15" s="64"/>
      <c r="H15" s="32" t="n">
        <v>27</v>
      </c>
      <c r="I15" s="44" t="s">
        <v>187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данные'!$I$2:$I$954,'Исходные данные'!$D$2:$D$954,O$3,'Исходные данные'!$F$2:$F$954,$H15&amp;"")+SUMIFS('Исходные данные'!$J$2:$J$954,'Исходные данные'!$D$2:$D$954,O$3,'Исходные данные'!$F$2:$F$954,$H15&amp;"")=0,"",IF(SUMIFS('Исходные данные'!$J$2:$J$954,'Исходные данные'!$D$2:$D$954,O$3,'Исходные данные'!$F$2:$F$954,$H15&amp;"")=0,SUMIFS('Исходные данные'!$I$2:$I$954,'Исходные данные'!$D$2:$D$954,O$3,'Исходные данные'!$F$2:$F$954,$H15&amp;""),IF(SUMIFS('Исходные данные'!$I$2:$I$954,'Исходные данные'!$D$2:$D$954,O$3,'Исходные данные'!$F$2:$F$954,$H15&amp;"")=0,"0+"&amp;SUMIFS('Исходные данные'!$J$2:$J$954,'Исходные данные'!$D$2:$D$954,O$3,'Исходные данные'!$F$2:$F$954,$H15&amp;"")&amp;"="&amp;SUMIFS('Исходные данные'!$J$2:$J$954,'Исходные данные'!$D$2:$D$954,O$3,'Исходные данные'!$F$2:$F$954,$H15&amp;""),SUMIFS('Исходные данные'!$I$2:$I$954,'Исходные данные'!$D$2:$D$954,O$3,'Исходные данные'!$F$2:$F$954,$H15&amp;"")&amp;"+"&amp;SUMIFS('Исходные данные'!$J$2:$J$954,'Исходные данные'!$D$2:$D$954,O$3,'Исходные данные'!$F$2:$F$954,$H15&amp;"")&amp;"="&amp;(SUMIFS('Исходные данные'!$I$2:$I$954,'Исходные данные'!$D$2:$D$954,O$3,'Исходные данные'!$F$2:$F$954,$H15&amp;"")+SUMIFS('Исходные данные'!$J$2:$J$954,'Исходные данные'!$D$2:$D$954,O$3,'Исходные данные'!$F$2:$F$954,$H15&amp;"")))))</f>
        <v>1</v>
      </c>
      <c r="P15" s="50" t="n">
        <f aca="false">IF(SUMIFS('Исходные данные'!$I$2:$I$954,'Исходные данные'!$D$2:$D$954,P$3,'Исходные данные'!$F$2:$F$954,$H15&amp;"")+SUMIFS('Исходные данные'!$J$2:$J$954,'Исходные данные'!$D$2:$D$954,P$3,'Исходные данные'!$F$2:$F$954,$H15&amp;"")=0,"",IF(SUMIFS('Исходные данные'!$J$2:$J$954,'Исходные данные'!$D$2:$D$954,P$3,'Исходные данные'!$F$2:$F$954,$H15&amp;"")=0,SUMIFS('Исходные данные'!$I$2:$I$954,'Исходные данные'!$D$2:$D$954,P$3,'Исходные данные'!$F$2:$F$954,$H15&amp;""),IF(SUMIFS('Исходные данные'!$I$2:$I$954,'Исходные данные'!$D$2:$D$954,P$3,'Исходные данные'!$F$2:$F$954,$H15&amp;"")=0,"0+"&amp;SUMIFS('Исходные данные'!$J$2:$J$954,'Исходные данные'!$D$2:$D$954,P$3,'Исходные данные'!$F$2:$F$954,$H15&amp;"")&amp;"="&amp;SUMIFS('Исходные данные'!$J$2:$J$954,'Исходные данные'!$D$2:$D$954,P$3,'Исходные данные'!$F$2:$F$954,$H15&amp;""),SUMIFS('Исходные данные'!$I$2:$I$954,'Исходные данные'!$D$2:$D$954,P$3,'Исходные данные'!$F$2:$F$954,$H15&amp;"")&amp;"+"&amp;SUMIFS('Исходные данные'!$J$2:$J$954,'Исходные данные'!$D$2:$D$954,P$3,'Исходные данные'!$F$2:$F$954,$H15&amp;"")&amp;"="&amp;(SUMIFS('Исходные данные'!$I$2:$I$954,'Исходные данные'!$D$2:$D$954,P$3,'Исходные данные'!$F$2:$F$954,$H15&amp;"")+SUMIFS('Исходные данные'!$J$2:$J$954,'Исходные данные'!$D$2:$D$954,P$3,'Исходные данные'!$F$2:$F$954,$H15&amp;"")))))</f>
        <v>1</v>
      </c>
      <c r="Q15" s="49" t="n">
        <f aca="false">IF(SUMIFS('Исходные данные'!$I$2:$I$954,'Исходные данные'!$D$2:$D$954,Q$3,'Исходные данные'!$F$2:$F$954,$H15&amp;"")+SUMIFS('Исходные данные'!$J$2:$J$954,'Исходные данные'!$D$2:$D$954,Q$3,'Исходные данные'!$F$2:$F$954,$H15&amp;"")=0,"",IF(SUMIFS('Исходные данные'!$J$2:$J$954,'Исходные данные'!$D$2:$D$954,Q$3,'Исходные данные'!$F$2:$F$954,$H15&amp;"")=0,SUMIFS('Исходные данные'!$I$2:$I$954,'Исходные данные'!$D$2:$D$954,Q$3,'Исходные данные'!$F$2:$F$954,$H15&amp;""),IF(SUMIFS('Исходные данные'!$I$2:$I$954,'Исходные данные'!$D$2:$D$954,Q$3,'Исходные данные'!$F$2:$F$954,$H15&amp;"")=0,"0+"&amp;SUMIFS('Исходные данные'!$J$2:$J$954,'Исходные данные'!$D$2:$D$954,Q$3,'Исходные данные'!$F$2:$F$954,$H15&amp;"")&amp;"="&amp;SUMIFS('Исходные данные'!$J$2:$J$954,'Исходные данные'!$D$2:$D$954,Q$3,'Исходные данные'!$F$2:$F$954,$H15&amp;""),SUMIFS('Исходные данные'!$I$2:$I$954,'Исходные данные'!$D$2:$D$954,Q$3,'Исходные данные'!$F$2:$F$954,$H15&amp;"")&amp;"+"&amp;SUMIFS('Исходные данные'!$J$2:$J$954,'Исходные данные'!$D$2:$D$954,Q$3,'Исходные данные'!$F$2:$F$954,$H15&amp;"")&amp;"="&amp;(SUMIFS('Исходные данные'!$I$2:$I$954,'Исходные данные'!$D$2:$D$954,Q$3,'Исходные данные'!$F$2:$F$954,$H15&amp;"")+SUMIFS('Исходные данные'!$J$2:$J$954,'Исходные данные'!$D$2:$D$954,Q$3,'Исходные данные'!$F$2:$F$954,$H15&amp;"")))))</f>
        <v>1</v>
      </c>
      <c r="R15" s="51" t="str">
        <f aca="false">IF(SUMIFS('Исходные данные'!$I$2:$I$954,'Исходные данные'!$D$2:$D$954,R$3,'Исходные данные'!$F$2:$F$954,$H15&amp;"")+SUMIFS('Исходные данные'!$J$2:$J$954,'Исходные данные'!$D$2:$D$954,R$3,'Исходные данные'!$F$2:$F$954,$H15&amp;"")=0,"",IF(SUMIFS('Исходные данные'!$J$2:$J$954,'Исходные данные'!$D$2:$D$954,R$3,'Исходные данные'!$F$2:$F$954,$H15&amp;"")=0,SUMIFS('Исходные данные'!$I$2:$I$954,'Исходные данные'!$D$2:$D$954,R$3,'Исходные данные'!$F$2:$F$954,$H15&amp;""),IF(SUMIFS('Исходные данные'!$I$2:$I$954,'Исходные данные'!$D$2:$D$954,R$3,'Исходные данные'!$F$2:$F$954,$H15&amp;"")=0,"0+"&amp;SUMIFS('Исходные данные'!$J$2:$J$954,'Исходные данные'!$D$2:$D$954,R$3,'Исходные данные'!$F$2:$F$954,$H15&amp;"")&amp;"="&amp;SUMIFS('Исходные данные'!$J$2:$J$954,'Исходные данные'!$D$2:$D$954,R$3,'Исходные данные'!$F$2:$F$954,$H15&amp;""),SUMIFS('Исходные данные'!$I$2:$I$954,'Исходные данные'!$D$2:$D$954,R$3,'Исходные данные'!$F$2:$F$954,$H15&amp;"")&amp;"+"&amp;SUMIFS('Исходные данные'!$J$2:$J$954,'Исходные данные'!$D$2:$D$954,R$3,'Исходные данные'!$F$2:$F$954,$H15&amp;"")&amp;"="&amp;(SUMIFS('Исходные данные'!$I$2:$I$954,'Исходные данные'!$D$2:$D$954,R$3,'Исходные данные'!$F$2:$F$954,$H15&amp;"")+SUMIFS('Исходные данные'!$J$2:$J$954,'Исходные данные'!$D$2:$D$954,R$3,'Исходные данные'!$F$2:$F$954,$H15&amp;"")))))</f>
        <v/>
      </c>
      <c r="S15" s="50" t="n">
        <f aca="false">IF(SUMIFS('Исходные данные'!$I$2:$I$954,'Исходные данные'!$D$2:$D$954,S$3,'Исходные данные'!$F$2:$F$954,$H15&amp;"")+SUMIFS('Исходные данные'!$J$2:$J$954,'Исходные данные'!$D$2:$D$954,S$3,'Исходные данные'!$F$2:$F$954,$H15&amp;"")=0,"",IF(SUMIFS('Исходные данные'!$J$2:$J$954,'Исходные данные'!$D$2:$D$954,S$3,'Исходные данные'!$F$2:$F$954,$H15&amp;"")=0,SUMIFS('Исходные данные'!$I$2:$I$954,'Исходные данные'!$D$2:$D$954,S$3,'Исходные данные'!$F$2:$F$954,$H15&amp;""),IF(SUMIFS('Исходные данные'!$I$2:$I$954,'Исходные данные'!$D$2:$D$954,S$3,'Исходные данные'!$F$2:$F$954,$H15&amp;"")=0,"0+"&amp;SUMIFS('Исходные данные'!$J$2:$J$954,'Исходные данные'!$D$2:$D$954,S$3,'Исходные данные'!$F$2:$F$954,$H15&amp;"")&amp;"="&amp;SUMIFS('Исходные данные'!$J$2:$J$954,'Исходные данные'!$D$2:$D$954,S$3,'Исходные данные'!$F$2:$F$954,$H15&amp;""),SUMIFS('Исходные данные'!$I$2:$I$954,'Исходные данные'!$D$2:$D$954,S$3,'Исходные данные'!$F$2:$F$954,$H15&amp;"")&amp;"+"&amp;SUMIFS('Исходные данные'!$J$2:$J$954,'Исходные данные'!$D$2:$D$954,S$3,'Исходные данные'!$F$2:$F$954,$H15&amp;"")&amp;"="&amp;(SUMIFS('Исходные данные'!$I$2:$I$954,'Исходные данные'!$D$2:$D$954,S$3,'Исходные данные'!$F$2:$F$954,$H15&amp;"")+SUMIFS('Исходные данные'!$J$2:$J$954,'Исходные данные'!$D$2:$D$954,S$3,'Исходные данные'!$F$2:$F$954,$H15&amp;"")))))</f>
        <v>1</v>
      </c>
      <c r="T15" s="49" t="n">
        <f aca="false">IF(SUMIFS('Исходные данные'!$I$2:$I$954,'Исходные данные'!$D$2:$D$954,T$3,'Исходные данные'!$F$2:$F$954,$H15&amp;"")+SUMIFS('Исходные данные'!$J$2:$J$954,'Исходные данные'!$D$2:$D$954,T$3,'Исходные данные'!$F$2:$F$954,$H15&amp;"")=0,"",IF(SUMIFS('Исходные данные'!$J$2:$J$954,'Исходные данные'!$D$2:$D$954,T$3,'Исходные данные'!$F$2:$F$954,$H15&amp;"")=0,SUMIFS('Исходные данные'!$I$2:$I$954,'Исходные данные'!$D$2:$D$954,T$3,'Исходные данные'!$F$2:$F$954,$H15&amp;""),IF(SUMIFS('Исходные данные'!$I$2:$I$954,'Исходные данные'!$D$2:$D$954,T$3,'Исходные данные'!$F$2:$F$954,$H15&amp;"")=0,"0+"&amp;SUMIFS('Исходные данные'!$J$2:$J$954,'Исходные данные'!$D$2:$D$954,T$3,'Исходные данные'!$F$2:$F$954,$H15&amp;"")&amp;"="&amp;SUMIFS('Исходные данные'!$J$2:$J$954,'Исходные данные'!$D$2:$D$954,T$3,'Исходные данные'!$F$2:$F$954,$H15&amp;""),SUMIFS('Исходные данные'!$I$2:$I$954,'Исходные данные'!$D$2:$D$954,T$3,'Исходные данные'!$F$2:$F$954,$H15&amp;"")&amp;"+"&amp;SUMIFS('Исходные данные'!$J$2:$J$954,'Исходные данные'!$D$2:$D$954,T$3,'Исходные данные'!$F$2:$F$954,$H15&amp;"")&amp;"="&amp;(SUMIFS('Исходные данные'!$I$2:$I$954,'Исходные данные'!$D$2:$D$954,T$3,'Исходные данные'!$F$2:$F$954,$H15&amp;"")+SUMIFS('Исходные данные'!$J$2:$J$954,'Исходные данные'!$D$2:$D$954,T$3,'Исходные данные'!$F$2:$F$954,$H15&amp;"")))))</f>
        <v>1</v>
      </c>
      <c r="U15" s="50" t="str">
        <f aca="false">IF(SUMIFS('Исходные данные'!$I$2:$I$954,'Исходные данные'!$D$2:$D$954,U$3,'Исходные данные'!$F$2:$F$954,$H15&amp;"")+SUMIFS('Исходные данные'!$J$2:$J$954,'Исходные данные'!$D$2:$D$954,U$3,'Исходные данные'!$F$2:$F$954,$H15&amp;"")=0,"",IF(SUMIFS('Исходные данные'!$J$2:$J$954,'Исходные данные'!$D$2:$D$954,U$3,'Исходные данные'!$F$2:$F$954,$H15&amp;"")=0,SUMIFS('Исходные данные'!$I$2:$I$954,'Исходные данные'!$D$2:$D$954,U$3,'Исходные данные'!$F$2:$F$954,$H15&amp;""),IF(SUMIFS('Исходные данные'!$I$2:$I$954,'Исходные данные'!$D$2:$D$954,U$3,'Исходные данные'!$F$2:$F$954,$H15&amp;"")=0,"0+"&amp;SUMIFS('Исходные данные'!$J$2:$J$954,'Исходные данные'!$D$2:$D$954,U$3,'Исходные данные'!$F$2:$F$954,$H15&amp;"")&amp;"="&amp;SUMIFS('Исходные данные'!$J$2:$J$954,'Исходные данные'!$D$2:$D$954,U$3,'Исходные данные'!$F$2:$F$954,$H15&amp;""),SUMIFS('Исходные данные'!$I$2:$I$954,'Исходные данные'!$D$2:$D$954,U$3,'Исходные данные'!$F$2:$F$954,$H15&amp;"")&amp;"+"&amp;SUMIFS('Исходные данные'!$J$2:$J$954,'Исходные данные'!$D$2:$D$954,U$3,'Исходные данные'!$F$2:$F$954,$H15&amp;"")&amp;"="&amp;(SUMIFS('Исходные данные'!$I$2:$I$954,'Исходные данные'!$D$2:$D$954,U$3,'Исходные данные'!$F$2:$F$954,$H15&amp;"")+SUMIFS('Исходные данные'!$J$2:$J$954,'Исходные данные'!$D$2:$D$954,U$3,'Исходные данные'!$F$2:$F$954,$H15&amp;"")))))</f>
        <v/>
      </c>
      <c r="V15" s="49" t="n">
        <f aca="false">IF(SUMIFS('Исходные данные'!$I$2:$I$954,'Исходные данные'!$D$2:$D$954,V$3,'Исходные данные'!$F$2:$F$954,$H15&amp;"")+SUMIFS('Исходные данные'!$J$2:$J$954,'Исходные данные'!$D$2:$D$954,V$3,'Исходные данные'!$F$2:$F$954,$H15&amp;"")=0,"",IF(SUMIFS('Исходные данные'!$J$2:$J$954,'Исходные данные'!$D$2:$D$954,V$3,'Исходные данные'!$F$2:$F$954,$H15&amp;"")=0,SUMIFS('Исходные данные'!$I$2:$I$954,'Исходные данные'!$D$2:$D$954,V$3,'Исходные данные'!$F$2:$F$954,$H15&amp;""),IF(SUMIFS('Исходные данные'!$I$2:$I$954,'Исходные данные'!$D$2:$D$954,V$3,'Исходные данные'!$F$2:$F$954,$H15&amp;"")=0,"0+"&amp;SUMIFS('Исходные данные'!$J$2:$J$954,'Исходные данные'!$D$2:$D$954,V$3,'Исходные данные'!$F$2:$F$954,$H15&amp;"")&amp;"="&amp;SUMIFS('Исходные данные'!$J$2:$J$954,'Исходные данные'!$D$2:$D$954,V$3,'Исходные данные'!$F$2:$F$954,$H15&amp;""),SUMIFS('Исходные данные'!$I$2:$I$954,'Исходные данные'!$D$2:$D$954,V$3,'Исходные данные'!$F$2:$F$954,$H15&amp;"")&amp;"+"&amp;SUMIFS('Исходные данные'!$J$2:$J$954,'Исходные данные'!$D$2:$D$954,V$3,'Исходные данные'!$F$2:$F$954,$H15&amp;"")&amp;"="&amp;(SUMIFS('Исходные данные'!$I$2:$I$954,'Исходные данные'!$D$2:$D$954,V$3,'Исходные данные'!$F$2:$F$954,$H15&amp;"")+SUMIFS('Исходные данные'!$J$2:$J$954,'Исходные данные'!$D$2:$D$954,V$3,'Исходные данные'!$F$2:$F$954,$H15&amp;"")))))</f>
        <v>1</v>
      </c>
      <c r="W15" s="50" t="n">
        <f aca="false">IF(SUMIFS('Исходные данные'!$I$2:$I$954,'Исходные данные'!$D$2:$D$954,W$3,'Исходные данные'!$F$2:$F$954,$H15&amp;"")+SUMIFS('Исходные данные'!$J$2:$J$954,'Исходные данные'!$D$2:$D$954,W$3,'Исходные данные'!$F$2:$F$954,$H15&amp;"")=0,"",IF(SUMIFS('Исходные данные'!$J$2:$J$954,'Исходные данные'!$D$2:$D$954,W$3,'Исходные данные'!$F$2:$F$954,$H15&amp;"")=0,SUMIFS('Исходные данные'!$I$2:$I$954,'Исходные данные'!$D$2:$D$954,W$3,'Исходные данные'!$F$2:$F$954,$H15&amp;""),IF(SUMIFS('Исходные данные'!$I$2:$I$954,'Исходные данные'!$D$2:$D$954,W$3,'Исходные данные'!$F$2:$F$954,$H15&amp;"")=0,"0+"&amp;SUMIFS('Исходные данные'!$J$2:$J$954,'Исходные данные'!$D$2:$D$954,W$3,'Исходные данные'!$F$2:$F$954,$H15&amp;"")&amp;"="&amp;SUMIFS('Исходные данные'!$J$2:$J$954,'Исходные данные'!$D$2:$D$954,W$3,'Исходные данные'!$F$2:$F$954,$H15&amp;""),SUMIFS('Исходные данные'!$I$2:$I$954,'Исходные данные'!$D$2:$D$954,W$3,'Исходные данные'!$F$2:$F$954,$H15&amp;"")&amp;"+"&amp;SUMIFS('Исходные данные'!$J$2:$J$954,'Исходные данные'!$D$2:$D$954,W$3,'Исходные данные'!$F$2:$F$954,$H15&amp;"")&amp;"="&amp;(SUMIFS('Исходные данные'!$I$2:$I$954,'Исходные данные'!$D$2:$D$954,W$3,'Исходные данные'!$F$2:$F$954,$H15&amp;"")+SUMIFS('Исходные данные'!$J$2:$J$954,'Исходные данные'!$D$2:$D$954,W$3,'Исходные данные'!$F$2:$F$954,$H15&amp;"")))))</f>
        <v>1</v>
      </c>
      <c r="X15" s="50" t="str">
        <f aca="false">IF(SUMIFS('Исходные данные'!$I$2:$I$954,'Исходные данные'!$D$2:$D$954,X$3,'Исходные данные'!$F$2:$F$954,$H15&amp;"")+SUMIFS('Исходные данные'!$J$2:$J$954,'Исходные данные'!$D$2:$D$954,X$3,'Исходные данные'!$F$2:$F$954,$H15&amp;"")=0,"",IF(SUMIFS('Исходные данные'!$J$2:$J$954,'Исходные данные'!$D$2:$D$954,X$3,'Исходные данные'!$F$2:$F$954,$H15&amp;"")=0,SUMIFS('Исходные данные'!$I$2:$I$954,'Исходные данные'!$D$2:$D$954,X$3,'Исходные данные'!$F$2:$F$954,$H15&amp;""),IF(SUMIFS('Исходные данные'!$I$2:$I$954,'Исходные данные'!$D$2:$D$954,X$3,'Исходные данные'!$F$2:$F$954,$H15&amp;"")=0,"0+"&amp;SUMIFS('Исходные данные'!$J$2:$J$954,'Исходные данные'!$D$2:$D$954,X$3,'Исходные данные'!$F$2:$F$954,$H15&amp;"")&amp;"="&amp;SUMIFS('Исходные данные'!$J$2:$J$954,'Исходные данные'!$D$2:$D$954,X$3,'Исходные данные'!$F$2:$F$954,$H15&amp;""),SUMIFS('Исходные данные'!$I$2:$I$954,'Исходные данные'!$D$2:$D$954,X$3,'Исходные данные'!$F$2:$F$954,$H15&amp;"")&amp;"+"&amp;SUMIFS('Исходные данные'!$J$2:$J$954,'Исходные данные'!$D$2:$D$954,X$3,'Исходные данные'!$F$2:$F$954,$H15&amp;"")&amp;"="&amp;(SUMIFS('Исходные данные'!$I$2:$I$954,'Исходные данные'!$D$2:$D$954,X$3,'Исходные данные'!$F$2:$F$954,$H15&amp;"")+SUMIFS('Исходные данные'!$J$2:$J$954,'Исходные данные'!$D$2:$D$954,X$3,'Исходные данные'!$F$2:$F$954,$H15&amp;"")))))</f>
        <v/>
      </c>
      <c r="Y15" s="52" t="n">
        <f aca="false">IF(SUMIFS('Исходные данные'!$I$2:$I$954,'Исходные данные'!$D$2:$D$954,Y$3,'Исходные данные'!$F$2:$F$954,$H15&amp;"")+SUMIFS('Исходные данные'!$J$2:$J$954,'Исходные данные'!$D$2:$D$954,Y$3,'Исходные данные'!$F$2:$F$954,$H15&amp;"")=0,"",IF(SUMIFS('Исходные данные'!$J$2:$J$954,'Исходные данные'!$D$2:$D$954,Y$3,'Исходные данные'!$F$2:$F$954,$H15&amp;"")=0,SUMIFS('Исходные данные'!$I$2:$I$954,'Исходные данные'!$D$2:$D$954,Y$3,'Исходные данные'!$F$2:$F$954,$H15&amp;""),IF(SUMIFS('Исходные данные'!$I$2:$I$954,'Исходные данные'!$D$2:$D$954,Y$3,'Исходные данные'!$F$2:$F$954,$H15&amp;"")=0,"0+"&amp;SUMIFS('Исходные данные'!$J$2:$J$954,'Исходные данные'!$D$2:$D$954,Y$3,'Исходные данные'!$F$2:$F$954,$H15&amp;"")&amp;"="&amp;SUMIFS('Исходные данные'!$J$2:$J$954,'Исходные данные'!$D$2:$D$954,Y$3,'Исходные данные'!$F$2:$F$954,$H15&amp;""),SUMIFS('Исходные данные'!$I$2:$I$954,'Исходные данные'!$D$2:$D$954,Y$3,'Исходные данные'!$F$2:$F$954,$H15&amp;"")&amp;"+"&amp;SUMIFS('Исходные данные'!$J$2:$J$954,'Исходные данные'!$D$2:$D$954,Y$3,'Исходные данные'!$F$2:$F$954,$H15&amp;"")&amp;"="&amp;(SUMIFS('Исходные данные'!$I$2:$I$954,'Исходные данные'!$D$2:$D$954,Y$3,'Исходные данные'!$F$2:$F$954,$H15&amp;"")+SUMIFS('Исходные данные'!$J$2:$J$954,'Исходные данные'!$D$2:$D$954,Y$3,'Исходные данные'!$F$2:$F$954,$H15&amp;"")))))</f>
        <v>1</v>
      </c>
      <c r="Z15" s="49" t="str">
        <f aca="false">IF(SUMIFS('Исходные данные'!$I$2:$I$954,'Исходные данные'!$D$2:$D$954,Z$3,'Исходные данные'!$F$2:$F$954,$H15&amp;"")+SUMIFS('Исходные данные'!$J$2:$J$954,'Исходные данные'!$D$2:$D$954,Z$3,'Исходные данные'!$F$2:$F$954,$H15&amp;"")=0,"",IF(SUMIFS('Исходные данные'!$J$2:$J$954,'Исходные данные'!$D$2:$D$954,Z$3,'Исходные данные'!$F$2:$F$954,$H15&amp;"")=0,SUMIFS('Исходные данные'!$I$2:$I$954,'Исходные данные'!$D$2:$D$954,Z$3,'Исходные данные'!$F$2:$F$954,$H15&amp;""),IF(SUMIFS('Исходные данные'!$I$2:$I$954,'Исходные данные'!$D$2:$D$954,Z$3,'Исходные данные'!$F$2:$F$954,$H15&amp;"")=0,"0+"&amp;SUMIFS('Исходные данные'!$J$2:$J$954,'Исходные данные'!$D$2:$D$954,Z$3,'Исходные данные'!$F$2:$F$954,$H15&amp;"")&amp;"="&amp;SUMIFS('Исходные данные'!$J$2:$J$954,'Исходные данные'!$D$2:$D$954,Z$3,'Исходные данные'!$F$2:$F$954,$H15&amp;""),SUMIFS('Исходные данные'!$I$2:$I$954,'Исходные данные'!$D$2:$D$954,Z$3,'Исходные данные'!$F$2:$F$954,$H15&amp;"")&amp;"+"&amp;SUMIFS('Исходные данные'!$J$2:$J$954,'Исходные данные'!$D$2:$D$954,Z$3,'Исходные данные'!$F$2:$F$954,$H15&amp;"")&amp;"="&amp;(SUMIFS('Исходные данные'!$I$2:$I$954,'Исходные данные'!$D$2:$D$954,Z$3,'Исходные данные'!$F$2:$F$954,$H15&amp;"")+SUMIFS('Исходные данные'!$J$2:$J$954,'Исходные данные'!$D$2:$D$954,Z$3,'Исходные данные'!$F$2:$F$954,$H15&amp;"")))))</f>
        <v/>
      </c>
      <c r="AA15" s="50" t="str">
        <f aca="false">IF(SUMIFS('Исходные данные'!$I$2:$I$954,'Исходные данные'!$D$2:$D$954,AA$3,'Исходные данные'!$F$2:$F$954,$H15&amp;"")+SUMIFS('Исходные данные'!$J$2:$J$954,'Исходные данные'!$D$2:$D$954,AA$3,'Исходные данные'!$F$2:$F$954,$H15&amp;"")=0,"",IF(SUMIFS('Исходные данные'!$J$2:$J$954,'Исходные данные'!$D$2:$D$954,AA$3,'Исходные данные'!$F$2:$F$954,$H15&amp;"")=0,SUMIFS('Исходные данные'!$I$2:$I$954,'Исходные данные'!$D$2:$D$954,AA$3,'Исходные данные'!$F$2:$F$954,$H15&amp;""),IF(SUMIFS('Исходные данные'!$I$2:$I$954,'Исходные данные'!$D$2:$D$954,AA$3,'Исходные данные'!$F$2:$F$954,$H15&amp;"")=0,"0+"&amp;SUMIFS('Исходные данные'!$J$2:$J$954,'Исходные данные'!$D$2:$D$954,AA$3,'Исходные данные'!$F$2:$F$954,$H15&amp;"")&amp;"="&amp;SUMIFS('Исходные данные'!$J$2:$J$954,'Исходные данные'!$D$2:$D$954,AA$3,'Исходные данные'!$F$2:$F$954,$H15&amp;""),SUMIFS('Исходные данные'!$I$2:$I$954,'Исходные данные'!$D$2:$D$954,AA$3,'Исходные данные'!$F$2:$F$954,$H15&amp;"")&amp;"+"&amp;SUMIFS('Исходные данные'!$J$2:$J$954,'Исходные данные'!$D$2:$D$954,AA$3,'Исходные данные'!$F$2:$F$954,$H15&amp;"")&amp;"="&amp;(SUMIFS('Исходные данные'!$I$2:$I$954,'Исходные данные'!$D$2:$D$954,AA$3,'Исходные данные'!$F$2:$F$954,$H15&amp;"")+SUMIFS('Исходные данные'!$J$2:$J$954,'Исходные данные'!$D$2:$D$954,AA$3,'Исходные данные'!$F$2:$F$954,$H15&amp;"")))))</f>
        <v/>
      </c>
      <c r="AB15" s="50" t="str">
        <f aca="false">IF(SUMIFS('Исходные данные'!$I$2:$I$954,'Исходные данные'!$D$2:$D$954,AB$3,'Исходные данные'!$F$2:$F$954,$H15&amp;"")+SUMIFS('Исходные данные'!$J$2:$J$954,'Исходные данные'!$D$2:$D$954,AB$3,'Исходные данные'!$F$2:$F$954,$H15&amp;"")=0,"",IF(SUMIFS('Исходные данные'!$J$2:$J$954,'Исходные данные'!$D$2:$D$954,AB$3,'Исходные данные'!$F$2:$F$954,$H15&amp;"")=0,SUMIFS('Исходные данные'!$I$2:$I$954,'Исходные данные'!$D$2:$D$954,AB$3,'Исходные данные'!$F$2:$F$954,$H15&amp;""),IF(SUMIFS('Исходные данные'!$I$2:$I$954,'Исходные данные'!$D$2:$D$954,AB$3,'Исходные данные'!$F$2:$F$954,$H15&amp;"")=0,"0+"&amp;SUMIFS('Исходные данные'!$J$2:$J$954,'Исходные данные'!$D$2:$D$954,AB$3,'Исходные данные'!$F$2:$F$954,$H15&amp;"")&amp;"="&amp;SUMIFS('Исходные данные'!$J$2:$J$954,'Исходные данные'!$D$2:$D$954,AB$3,'Исходные данные'!$F$2:$F$954,$H15&amp;""),SUMIFS('Исходные данные'!$I$2:$I$954,'Исходные данные'!$D$2:$D$954,AB$3,'Исходные данные'!$F$2:$F$954,$H15&amp;"")&amp;"+"&amp;SUMIFS('Исходные данные'!$J$2:$J$954,'Исходные данные'!$D$2:$D$954,AB$3,'Исходные данные'!$F$2:$F$954,$H15&amp;"")&amp;"="&amp;(SUMIFS('Исходные данные'!$I$2:$I$954,'Исходные данные'!$D$2:$D$954,AB$3,'Исходные данные'!$F$2:$F$954,$H15&amp;"")+SUMIFS('Исходные данные'!$J$2:$J$954,'Исходные данные'!$D$2:$D$954,AB$3,'Исходные данные'!$F$2:$F$954,$H15&amp;"")))))</f>
        <v/>
      </c>
      <c r="AC15" s="52" t="str">
        <f aca="false">IF(SUMIFS('Исходные данные'!$I$2:$I$954,'Исходные данные'!$D$2:$D$954,AC$3,'Исходные данные'!$F$2:$F$954,$H15&amp;"")+SUMIFS('Исходные данные'!$J$2:$J$954,'Исходные данные'!$D$2:$D$954,AC$3,'Исходные данные'!$F$2:$F$954,$H15&amp;"")=0,"",IF(SUMIFS('Исходные данные'!$J$2:$J$954,'Исходные данные'!$D$2:$D$954,AC$3,'Исходные данные'!$F$2:$F$954,$H15&amp;"")=0,SUMIFS('Исходные данные'!$I$2:$I$954,'Исходные данные'!$D$2:$D$954,AC$3,'Исходные данные'!$F$2:$F$954,$H15&amp;""),IF(SUMIFS('Исходные данные'!$I$2:$I$954,'Исходные данные'!$D$2:$D$954,AC$3,'Исходные данные'!$F$2:$F$954,$H15&amp;"")=0,"0+"&amp;SUMIFS('Исходные данные'!$J$2:$J$954,'Исходные данные'!$D$2:$D$954,AC$3,'Исходные данные'!$F$2:$F$954,$H15&amp;"")&amp;"="&amp;SUMIFS('Исходные данные'!$J$2:$J$954,'Исходные данные'!$D$2:$D$954,AC$3,'Исходные данные'!$F$2:$F$954,$H15&amp;""),SUMIFS('Исходные данные'!$I$2:$I$954,'Исходные данные'!$D$2:$D$954,AC$3,'Исходные данные'!$F$2:$F$954,$H15&amp;"")&amp;"+"&amp;SUMIFS('Исходные данные'!$J$2:$J$954,'Исходные данные'!$D$2:$D$954,AC$3,'Исходные данные'!$F$2:$F$954,$H15&amp;"")&amp;"="&amp;(SUMIFS('Исходные данные'!$I$2:$I$954,'Исходные данные'!$D$2:$D$954,AC$3,'Исходные данные'!$F$2:$F$954,$H15&amp;"")+SUMIFS('Исходные данные'!$J$2:$J$954,'Исходные данные'!$D$2:$D$954,AC$3,'Исходные данные'!$F$2:$F$954,$H15&amp;"")))))</f>
        <v>2+3=5</v>
      </c>
      <c r="AD15" s="50" t="str">
        <f aca="false">IF(SUMIFS('Исходные данные'!$I$2:$I$954,'Исходные данные'!$D$2:$D$954,AD$3,'Исходные данные'!$F$2:$F$954,$H15&amp;"")+SUMIFS('Исходные данные'!$J$2:$J$954,'Исходные данные'!$D$2:$D$954,AD$3,'Исходные данные'!$F$2:$F$954,$H15&amp;"")=0,"",IF(SUMIFS('Исходные данные'!$J$2:$J$954,'Исходные данные'!$D$2:$D$954,AD$3,'Исходные данные'!$F$2:$F$954,$H15&amp;"")=0,SUMIFS('Исходные данные'!$I$2:$I$954,'Исходные данные'!$D$2:$D$954,AD$3,'Исходные данные'!$F$2:$F$954,$H15&amp;""),IF(SUMIFS('Исходные данные'!$I$2:$I$954,'Исходные данные'!$D$2:$D$954,AD$3,'Исходные данные'!$F$2:$F$954,$H15&amp;"")=0,"0+"&amp;SUMIFS('Исходные данные'!$J$2:$J$954,'Исходные данные'!$D$2:$D$954,AD$3,'Исходные данные'!$F$2:$F$954,$H15&amp;"")&amp;"="&amp;SUMIFS('Исходные данные'!$J$2:$J$954,'Исходные данные'!$D$2:$D$954,AD$3,'Исходные данные'!$F$2:$F$954,$H15&amp;""),SUMIFS('Исходные данные'!$I$2:$I$954,'Исходные данные'!$D$2:$D$954,AD$3,'Исходные данные'!$F$2:$F$954,$H15&amp;"")&amp;"+"&amp;SUMIFS('Исходные данные'!$J$2:$J$954,'Исходные данные'!$D$2:$D$954,AD$3,'Исходные данные'!$F$2:$F$954,$H15&amp;"")&amp;"="&amp;(SUMIFS('Исходные данные'!$I$2:$I$954,'Исходные данные'!$D$2:$D$954,AD$3,'Исходные данные'!$F$2:$F$954,$H15&amp;"")+SUMIFS('Исходные данные'!$J$2:$J$954,'Исходные данные'!$D$2:$D$954,AD$3,'Исходные данные'!$F$2:$F$954,$H15&amp;"")))))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188</v>
      </c>
      <c r="C16" s="29" t="s">
        <v>20</v>
      </c>
      <c r="D16" s="30"/>
      <c r="E16" s="29" t="s">
        <v>189</v>
      </c>
      <c r="F16" s="29" t="s">
        <v>8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данные'!$I$2:$I$954,'Исходные данные'!$D$2:$D$954,O$3,'Исходные данные'!$F$2:$F$954,$H17&amp;"",'Исходные данные'!$L$2:$L$954,"УТТ")+SUMIFS('Исходные данные'!$J$2:$J$954,'Исходные данные'!$D$2:$D$954,O$3,'Исходные данные'!$F$2:$F$954,$H17&amp;"",'Исходные данные'!$L$2:$L$954,"УТТ")=0,"","утт-"&amp;(SUMIFS('Исходные данные'!$I$2:$I$954,'Исходные данные'!$D$2:$D$954,O$3,'Исходные данные'!$F$2:$F$954,$H17&amp;"",'Исходные данные'!$L$2:$L$954,"УТТ")+SUMIFS('Исходные данные'!$J$2:$J$954,'Исходные данные'!$D$2:$D$954,O$3,'Исходные данные'!$F$2:$F$954,$H17&amp;"",'Исходные данные'!$L$2:$L$954,"УТТ")))</f>
        <v>утт-1</v>
      </c>
      <c r="P16" s="61" t="str">
        <f aca="false">IF(SUMIFS('Исходные данные'!$I$2:$I$954,'Исходные данные'!$D$2:$D$954,P$3,'Исходные данные'!$F$2:$F$954,$H17&amp;"",'Исходные данные'!$L$2:$L$954,"УТТ")+SUMIFS('Исходные данные'!$J$2:$J$954,'Исходные данные'!$D$2:$D$954,P$3,'Исходные данные'!$F$2:$F$954,$H17&amp;"",'Исходные данные'!$L$2:$L$954,"УТТ")=0,"","утт-"&amp;(SUMIFS('Исходные данные'!$I$2:$I$954,'Исходные данные'!$D$2:$D$954,P$3,'Исходные данные'!$F$2:$F$954,$H17&amp;"",'Исходные данные'!$L$2:$L$954,"УТТ")+SUMIFS('Исходные данные'!$J$2:$J$954,'Исходные данные'!$D$2:$D$954,P$3,'Исходные данные'!$F$2:$F$954,$H17&amp;"",'Исходные данные'!$L$2:$L$954,"УТТ")))</f>
        <v/>
      </c>
      <c r="Q16" s="60" t="str">
        <f aca="false">IF(SUMIFS('Исходные данные'!$I$2:$I$954,'Исходные данные'!$D$2:$D$954,Q$3,'Исходные данные'!$F$2:$F$954,$H17&amp;"",'Исходные данные'!$L$2:$L$954,"УТТ")+SUMIFS('Исходные данные'!$J$2:$J$954,'Исходные данные'!$D$2:$D$954,Q$3,'Исходные данные'!$F$2:$F$954,$H17&amp;"",'Исходные данные'!$L$2:$L$954,"УТТ")=0,"","утт-"&amp;(SUMIFS('Исходные данные'!$I$2:$I$954,'Исходные данные'!$D$2:$D$954,Q$3,'Исходные данные'!$F$2:$F$954,$H17&amp;"",'Исходные данные'!$L$2:$L$954,"УТТ")+SUMIFS('Исходные данные'!$J$2:$J$954,'Исходные данные'!$D$2:$D$954,Q$3,'Исходные данные'!$F$2:$F$954,$H17&amp;"",'Исходные данные'!$L$2:$L$954,"УТТ")))</f>
        <v/>
      </c>
      <c r="R16" s="62" t="str">
        <f aca="false">IF(SUMIFS('Исходные данные'!$I$2:$I$954,'Исходные данные'!$D$2:$D$954,R$3,'Исходные данные'!$F$2:$F$954,$H17&amp;"",'Исходные данные'!$L$2:$L$954,"УТТ")+SUMIFS('Исходные данные'!$J$2:$J$954,'Исходные данные'!$D$2:$D$954,R$3,'Исходные данные'!$F$2:$F$954,$H17&amp;"",'Исходные данные'!$L$2:$L$954,"УТТ")=0,"","утт-"&amp;(SUMIFS('Исходные данные'!$I$2:$I$954,'Исходные данные'!$D$2:$D$954,R$3,'Исходные данные'!$F$2:$F$954,$H17&amp;"",'Исходные данные'!$L$2:$L$954,"УТТ")+SUMIFS('Исходные данные'!$J$2:$J$954,'Исходные данные'!$D$2:$D$954,R$3,'Исходные данные'!$F$2:$F$954,$H17&amp;"",'Исходные данные'!$L$2:$L$954,"УТТ")))</f>
        <v/>
      </c>
      <c r="S16" s="61" t="str">
        <f aca="false">IF(SUMIFS('Исходные данные'!$I$2:$I$954,'Исходные данные'!$D$2:$D$954,S$3,'Исходные данные'!$F$2:$F$954,$H17&amp;"",'Исходные данные'!$L$2:$L$954,"УТТ")+SUMIFS('Исходные данные'!$J$2:$J$954,'Исходные данные'!$D$2:$D$954,S$3,'Исходные данные'!$F$2:$F$954,$H17&amp;"",'Исходные данные'!$L$2:$L$954,"УТТ")=0,"","утт-"&amp;(SUMIFS('Исходные данные'!$I$2:$I$954,'Исходные данные'!$D$2:$D$954,S$3,'Исходные данные'!$F$2:$F$954,$H17&amp;"",'Исходные данные'!$L$2:$L$954,"УТТ")+SUMIFS('Исходные данные'!$J$2:$J$954,'Исходные данные'!$D$2:$D$954,S$3,'Исходные данные'!$F$2:$F$954,$H17&amp;"",'Исходные данные'!$L$2:$L$954,"УТТ")))</f>
        <v/>
      </c>
      <c r="T16" s="60" t="str">
        <f aca="false">IF(SUMIFS('Исходные данные'!$I$2:$I$954,'Исходные данные'!$D$2:$D$954,T$3,'Исходные данные'!$F$2:$F$954,$H17&amp;"",'Исходные данные'!$L$2:$L$954,"УТТ")+SUMIFS('Исходные данные'!$J$2:$J$954,'Исходные данные'!$D$2:$D$954,T$3,'Исходные данные'!$F$2:$F$954,$H17&amp;"",'Исходные данные'!$L$2:$L$954,"УТТ")=0,"","утт-"&amp;(SUMIFS('Исходные данные'!$I$2:$I$954,'Исходные данные'!$D$2:$D$954,T$3,'Исходные данные'!$F$2:$F$954,$H17&amp;"",'Исходные данные'!$L$2:$L$954,"УТТ")+SUMIFS('Исходные данные'!$J$2:$J$954,'Исходные данные'!$D$2:$D$954,T$3,'Исходные данные'!$F$2:$F$954,$H17&amp;"",'Исходные данные'!$L$2:$L$954,"УТТ")))</f>
        <v/>
      </c>
      <c r="U16" s="61" t="str">
        <f aca="false">IF(SUMIFS('Исходные данные'!$I$2:$I$954,'Исходные данные'!$D$2:$D$954,U$3,'Исходные данные'!$F$2:$F$954,$H17&amp;"",'Исходные данные'!$L$2:$L$954,"УТТ")+SUMIFS('Исходные данные'!$J$2:$J$954,'Исходные данные'!$D$2:$D$954,U$3,'Исходные данные'!$F$2:$F$954,$H17&amp;"",'Исходные данные'!$L$2:$L$954,"УТТ")=0,"","утт-"&amp;(SUMIFS('Исходные данные'!$I$2:$I$954,'Исходные данные'!$D$2:$D$954,U$3,'Исходные данные'!$F$2:$F$954,$H17&amp;"",'Исходные данные'!$L$2:$L$954,"УТТ")+SUMIFS('Исходные данные'!$J$2:$J$954,'Исходные данные'!$D$2:$D$954,U$3,'Исходные данные'!$F$2:$F$954,$H17&amp;"",'Исходные данные'!$L$2:$L$954,"УТТ")))</f>
        <v/>
      </c>
      <c r="V16" s="60" t="str">
        <f aca="false">IF(SUMIFS('Исходные данные'!$I$2:$I$954,'Исходные данные'!$D$2:$D$954,V$3,'Исходные данные'!$F$2:$F$954,$H17&amp;"",'Исходные данные'!$L$2:$L$954,"УТТ")+SUMIFS('Исходные данные'!$J$2:$J$954,'Исходные данные'!$D$2:$D$954,V$3,'Исходные данные'!$F$2:$F$954,$H17&amp;"",'Исходные данные'!$L$2:$L$954,"УТТ")=0,"","утт-"&amp;(SUMIFS('Исходные данные'!$I$2:$I$954,'Исходные данные'!$D$2:$D$954,V$3,'Исходные данные'!$F$2:$F$954,$H17&amp;"",'Исходные данные'!$L$2:$L$954,"УТТ")+SUMIFS('Исходные данные'!$J$2:$J$954,'Исходные данные'!$D$2:$D$954,V$3,'Исходные данные'!$F$2:$F$954,$H17&amp;"",'Исходные данные'!$L$2:$L$954,"УТТ")))</f>
        <v/>
      </c>
      <c r="W16" s="61" t="str">
        <f aca="false">IF(SUMIFS('Исходные данные'!$I$2:$I$954,'Исходные данные'!$D$2:$D$954,W$3,'Исходные данные'!$F$2:$F$954,$H17&amp;"",'Исходные данные'!$L$2:$L$954,"УТТ")+SUMIFS('Исходные данные'!$J$2:$J$954,'Исходные данные'!$D$2:$D$954,W$3,'Исходные данные'!$F$2:$F$954,$H17&amp;"",'Исходные данные'!$L$2:$L$954,"УТТ")=0,"","утт-"&amp;(SUMIFS('Исходные данные'!$I$2:$I$954,'Исходные данные'!$D$2:$D$954,W$3,'Исходные данные'!$F$2:$F$954,$H17&amp;"",'Исходные данные'!$L$2:$L$954,"УТТ")+SUMIFS('Исходные данные'!$J$2:$J$954,'Исходные данные'!$D$2:$D$954,W$3,'Исходные данные'!$F$2:$F$954,$H17&amp;"",'Исходные данные'!$L$2:$L$954,"УТТ")))</f>
        <v/>
      </c>
      <c r="X16" s="61" t="str">
        <f aca="false">IF(SUMIFS('Исходные данные'!$I$2:$I$954,'Исходные данные'!$D$2:$D$954,X$3,'Исходные данные'!$F$2:$F$954,$H17&amp;"",'Исходные данные'!$L$2:$L$954,"УТТ")+SUMIFS('Исходные данные'!$J$2:$J$954,'Исходные данные'!$D$2:$D$954,X$3,'Исходные данные'!$F$2:$F$954,$H17&amp;"",'Исходные данные'!$L$2:$L$954,"УТТ")=0,"","утт-"&amp;(SUMIFS('Исходные данные'!$I$2:$I$954,'Исходные данные'!$D$2:$D$954,X$3,'Исходные данные'!$F$2:$F$954,$H17&amp;"",'Исходные данные'!$L$2:$L$954,"УТТ")+SUMIFS('Исходные данные'!$J$2:$J$954,'Исходные данные'!$D$2:$D$954,X$3,'Исходные данные'!$F$2:$F$954,$H17&amp;"",'Исходные данные'!$L$2:$L$954,"УТТ")))</f>
        <v/>
      </c>
      <c r="Y16" s="63" t="str">
        <f aca="false">IF(SUMIFS('Исходные данные'!$I$2:$I$954,'Исходные данные'!$D$2:$D$954,Y$3,'Исходные данные'!$F$2:$F$954,$H17&amp;"",'Исходные данные'!$L$2:$L$954,"УТТ")+SUMIFS('Исходные данные'!$J$2:$J$954,'Исходные данные'!$D$2:$D$954,Y$3,'Исходные данные'!$F$2:$F$954,$H17&amp;"",'Исходные данные'!$L$2:$L$954,"УТТ")=0,"","утт-"&amp;(SUMIFS('Исходные данные'!$I$2:$I$954,'Исходные данные'!$D$2:$D$954,Y$3,'Исходные данные'!$F$2:$F$954,$H17&amp;"",'Исходные данные'!$L$2:$L$954,"УТТ")+SUMIFS('Исходные данные'!$J$2:$J$954,'Исходные данные'!$D$2:$D$954,Y$3,'Исходные данные'!$F$2:$F$954,$H17&amp;"",'Исходные данные'!$L$2:$L$954,"УТТ")))</f>
        <v/>
      </c>
      <c r="Z16" s="60" t="str">
        <f aca="false">IF(SUMIFS('Исходные данные'!$I$2:$I$954,'Исходные данные'!$D$2:$D$954,Z$3,'Исходные данные'!$F$2:$F$954,$H17&amp;"",'Исходные данные'!$L$2:$L$954,"УТТ")+SUMIFS('Исходные данные'!$J$2:$J$954,'Исходные данные'!$D$2:$D$954,Z$3,'Исходные данные'!$F$2:$F$954,$H17&amp;"",'Исходные данные'!$L$2:$L$954,"УТТ")=0,"","утт-"&amp;(SUMIFS('Исходные данные'!$I$2:$I$954,'Исходные данные'!$D$2:$D$954,Z$3,'Исходные данные'!$F$2:$F$954,$H17&amp;"",'Исходные данные'!$L$2:$L$954,"УТТ")+SUMIFS('Исходные данные'!$J$2:$J$954,'Исходные данные'!$D$2:$D$954,Z$3,'Исходные данные'!$F$2:$F$954,$H17&amp;"",'Исходные данные'!$L$2:$L$954,"УТТ")))</f>
        <v/>
      </c>
      <c r="AA16" s="61" t="str">
        <f aca="false">IF(SUMIFS('Исходные данные'!$I$2:$I$954,'Исходные данные'!$D$2:$D$954,AA$3,'Исходные данные'!$F$2:$F$954,$H17&amp;"",'Исходные данные'!$L$2:$L$954,"УТТ")+SUMIFS('Исходные данные'!$J$2:$J$954,'Исходные данные'!$D$2:$D$954,AA$3,'Исходные данные'!$F$2:$F$954,$H17&amp;"",'Исходные данные'!$L$2:$L$954,"УТТ")=0,"","утт-"&amp;(SUMIFS('Исходные данные'!$I$2:$I$954,'Исходные данные'!$D$2:$D$954,AA$3,'Исходные данные'!$F$2:$F$954,$H17&amp;"",'Исходные данные'!$L$2:$L$954,"УТТ")+SUMIFS('Исходные данные'!$J$2:$J$954,'Исходные данные'!$D$2:$D$954,AA$3,'Исходные данные'!$F$2:$F$954,$H17&amp;"",'Исходные данные'!$L$2:$L$954,"УТТ")))</f>
        <v/>
      </c>
      <c r="AB16" s="61" t="str">
        <f aca="false">IF(SUMIFS('Исходные данные'!$I$2:$I$954,'Исходные данные'!$D$2:$D$954,AB$3,'Исходные данные'!$F$2:$F$954,$H17&amp;"",'Исходные данные'!$L$2:$L$954,"УТТ")+SUMIFS('Исходные данные'!$J$2:$J$954,'Исходные данные'!$D$2:$D$954,AB$3,'Исходные данные'!$F$2:$F$954,$H17&amp;"",'Исходные данные'!$L$2:$L$954,"УТТ")=0,"","утт-"&amp;(SUMIFS('Исходные данные'!$I$2:$I$954,'Исходные данные'!$D$2:$D$954,AB$3,'Исходные данные'!$F$2:$F$954,$H17&amp;"",'Исходные данные'!$L$2:$L$954,"УТТ")+SUMIFS('Исходные данные'!$J$2:$J$954,'Исходные данные'!$D$2:$D$954,AB$3,'Исходные данные'!$F$2:$F$954,$H17&amp;"",'Исходные данные'!$L$2:$L$954,"УТТ")))</f>
        <v/>
      </c>
      <c r="AC16" s="60" t="str">
        <f aca="false">IF(SUMIFS('Исходные данные'!$I$2:$I$954,'Исходные данные'!$D$2:$D$954,AC$3,'Исходные данные'!$F$2:$F$954,$H17&amp;"",'Исходные данные'!$L$2:$L$954,"УТТ")+SUMIFS('Исходные данные'!$J$2:$J$954,'Исходные данные'!$D$2:$D$954,AC$3,'Исходные данные'!$F$2:$F$954,$H17&amp;"",'Исходные данные'!$L$2:$L$954,"УТТ")=0,"","утт-"&amp;(SUMIFS('Исходные данные'!$I$2:$I$954,'Исходные данные'!$D$2:$D$954,AC$3,'Исходные данные'!$F$2:$F$954,$H17&amp;"",'Исходные данные'!$L$2:$L$954,"УТТ")+SUMIFS('Исходные данные'!$J$2:$J$954,'Исходные данные'!$D$2:$D$954,AC$3,'Исходные данные'!$F$2:$F$954,$H17&amp;"",'Исходные данные'!$L$2:$L$954,"УТТ")))</f>
        <v/>
      </c>
      <c r="AD16" s="61" t="str">
        <f aca="false">IF(SUMIFS('Исходные данные'!$I$2:$I$954,'Исходные данные'!$D$2:$D$954,AD$3,'Исходные данные'!$F$2:$F$954,$H17&amp;"",'Исходные данные'!$L$2:$L$954,"УТТ")+SUMIFS('Исходные данные'!$J$2:$J$954,'Исходные данные'!$D$2:$D$954,AD$3,'Исходные данные'!$F$2:$F$954,$H17&amp;"",'Исходные данные'!$L$2:$L$954,"УТТ")=0,"","утт-"&amp;(SUMIFS('Исходные данные'!$I$2:$I$954,'Исходные данные'!$D$2:$D$954,AD$3,'Исходные данные'!$F$2:$F$954,$H17&amp;"",'Исходные данные'!$L$2:$L$954,"УТТ")+SUMIFS('Исходные данные'!$J$2:$J$954,'Исходные данные'!$D$2:$D$954,AD$3,'Исходные данные'!$F$2:$F$954,$H17&amp;"",'Исходные данные'!$L$2:$L$954,"УТТ")))</f>
        <v>утт-7</v>
      </c>
    </row>
    <row r="17" customFormat="false" ht="25.5" hidden="false" customHeight="true" outlineLevel="0" collapsed="false">
      <c r="A17" s="43" t="n">
        <v>15</v>
      </c>
      <c r="B17" s="28" t="s">
        <v>190</v>
      </c>
      <c r="C17" s="29" t="s">
        <v>20</v>
      </c>
      <c r="D17" s="30"/>
      <c r="E17" s="29" t="s">
        <v>191</v>
      </c>
      <c r="F17" s="29" t="s">
        <v>12</v>
      </c>
      <c r="G17" s="64"/>
      <c r="H17" s="32" t="n">
        <v>31</v>
      </c>
      <c r="I17" s="44" t="s">
        <v>62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38</v>
      </c>
      <c r="L17" s="47" t="n">
        <f aca="false">IFERROR(INDEX('Выход ТС'!$E:$E,MATCH($H17&amp;"",'Выход ТС'!$A:$A,0)),"")</f>
        <v>-5</v>
      </c>
      <c r="M17" s="48" t="n">
        <f aca="false">IFERROR(IF(INDEX('Выход ТС'!$F:$F,MATCH($H17&amp;"",'Выход ТС'!$A:$A,0))=0,"",INDEX('Выход ТС'!$F:$F,MATCH($H17&amp;"",'Выход ТС'!$A:$A,0))),"")</f>
        <v>22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данные'!$I$2:$I$954,'Исходные данные'!$D$2:$D$954,O$3,'Исходные данные'!$F$2:$F$954,$H17&amp;"")+SUMIFS('Исходные данные'!$J$2:$J$954,'Исходные данные'!$D$2:$D$954,O$3,'Исходные данные'!$F$2:$F$954,$H17&amp;"")=0,"",IF(SUMIFS('Исходные данные'!$J$2:$J$954,'Исходные данные'!$D$2:$D$954,O$3,'Исходные данные'!$F$2:$F$954,$H17&amp;"")=0,SUMIFS('Исходные данные'!$I$2:$I$954,'Исходные данные'!$D$2:$D$954,O$3,'Исходные данные'!$F$2:$F$954,$H17&amp;""),IF(SUMIFS('Исходные данные'!$I$2:$I$954,'Исходные данные'!$D$2:$D$954,O$3,'Исходные данные'!$F$2:$F$954,$H17&amp;"")=0,"0+"&amp;SUMIFS('Исходные данные'!$J$2:$J$954,'Исходные данные'!$D$2:$D$954,O$3,'Исходные данные'!$F$2:$F$954,$H17&amp;"")&amp;"="&amp;SUMIFS('Исходные данные'!$J$2:$J$954,'Исходные данные'!$D$2:$D$954,O$3,'Исходные данные'!$F$2:$F$954,$H17&amp;""),SUMIFS('Исходные данные'!$I$2:$I$954,'Исходные данные'!$D$2:$D$954,O$3,'Исходные данные'!$F$2:$F$954,$H17&amp;"")&amp;"+"&amp;SUMIFS('Исходные данные'!$J$2:$J$954,'Исходные данные'!$D$2:$D$954,O$3,'Исходные данные'!$F$2:$F$954,$H17&amp;"")&amp;"="&amp;(SUMIFS('Исходные данные'!$I$2:$I$954,'Исходные данные'!$D$2:$D$954,O$3,'Исходные данные'!$F$2:$F$954,$H17&amp;"")+SUMIFS('Исходные данные'!$J$2:$J$954,'Исходные данные'!$D$2:$D$954,O$3,'Исходные данные'!$F$2:$F$954,$H17&amp;"")))))</f>
        <v>4+1=5</v>
      </c>
      <c r="P17" s="50" t="n">
        <f aca="false">IF(SUMIFS('Исходные данные'!$I$2:$I$954,'Исходные данные'!$D$2:$D$954,P$3,'Исходные данные'!$F$2:$F$954,$H17&amp;"")+SUMIFS('Исходные данные'!$J$2:$J$954,'Исходные данные'!$D$2:$D$954,P$3,'Исходные данные'!$F$2:$F$954,$H17&amp;"")=0,"",IF(SUMIFS('Исходные данные'!$J$2:$J$954,'Исходные данные'!$D$2:$D$954,P$3,'Исходные данные'!$F$2:$F$954,$H17&amp;"")=0,SUMIFS('Исходные данные'!$I$2:$I$954,'Исходные данные'!$D$2:$D$954,P$3,'Исходные данные'!$F$2:$F$954,$H17&amp;""),IF(SUMIFS('Исходные данные'!$I$2:$I$954,'Исходные данные'!$D$2:$D$954,P$3,'Исходные данные'!$F$2:$F$954,$H17&amp;"")=0,"0+"&amp;SUMIFS('Исходные данные'!$J$2:$J$954,'Исходные данные'!$D$2:$D$954,P$3,'Исходные данные'!$F$2:$F$954,$H17&amp;"")&amp;"="&amp;SUMIFS('Исходные данные'!$J$2:$J$954,'Исходные данные'!$D$2:$D$954,P$3,'Исходные данные'!$F$2:$F$954,$H17&amp;""),SUMIFS('Исходные данные'!$I$2:$I$954,'Исходные данные'!$D$2:$D$954,P$3,'Исходные данные'!$F$2:$F$954,$H17&amp;"")&amp;"+"&amp;SUMIFS('Исходные данные'!$J$2:$J$954,'Исходные данные'!$D$2:$D$954,P$3,'Исходные данные'!$F$2:$F$954,$H17&amp;"")&amp;"="&amp;(SUMIFS('Исходные данные'!$I$2:$I$954,'Исходные данные'!$D$2:$D$954,P$3,'Исходные данные'!$F$2:$F$954,$H17&amp;"")+SUMIFS('Исходные данные'!$J$2:$J$954,'Исходные данные'!$D$2:$D$954,P$3,'Исходные данные'!$F$2:$F$954,$H17&amp;"")))))</f>
        <v>1</v>
      </c>
      <c r="Q17" s="50" t="str">
        <f aca="false">IF(SUMIFS('Исходные данные'!$I$2:$I$954,'Исходные данные'!$D$2:$D$954,Q$3,'Исходные данные'!$F$2:$F$954,$H17&amp;"")+SUMIFS('Исходные данные'!$J$2:$J$954,'Исходные данные'!$D$2:$D$954,Q$3,'Исходные данные'!$F$2:$F$954,$H17&amp;"")=0,"",IF(SUMIFS('Исходные данные'!$J$2:$J$954,'Исходные данные'!$D$2:$D$954,Q$3,'Исходные данные'!$F$2:$F$954,$H17&amp;"")=0,SUMIFS('Исходные данные'!$I$2:$I$954,'Исходные данные'!$D$2:$D$954,Q$3,'Исходные данные'!$F$2:$F$954,$H17&amp;""),IF(SUMIFS('Исходные данные'!$I$2:$I$954,'Исходные данные'!$D$2:$D$954,Q$3,'Исходные данные'!$F$2:$F$954,$H17&amp;"")=0,"0+"&amp;SUMIFS('Исходные данные'!$J$2:$J$954,'Исходные данные'!$D$2:$D$954,Q$3,'Исходные данные'!$F$2:$F$954,$H17&amp;"")&amp;"="&amp;SUMIFS('Исходные данные'!$J$2:$J$954,'Исходные данные'!$D$2:$D$954,Q$3,'Исходные данные'!$F$2:$F$954,$H17&amp;""),SUMIFS('Исходные данные'!$I$2:$I$954,'Исходные данные'!$D$2:$D$954,Q$3,'Исходные данные'!$F$2:$F$954,$H17&amp;"")&amp;"+"&amp;SUMIFS('Исходные данные'!$J$2:$J$954,'Исходные данные'!$D$2:$D$954,Q$3,'Исходные данные'!$F$2:$F$954,$H17&amp;"")&amp;"="&amp;(SUMIFS('Исходные данные'!$I$2:$I$954,'Исходные данные'!$D$2:$D$954,Q$3,'Исходные данные'!$F$2:$F$954,$H17&amp;"")+SUMIFS('Исходные данные'!$J$2:$J$954,'Исходные данные'!$D$2:$D$954,Q$3,'Исходные данные'!$F$2:$F$954,$H17&amp;"")))))</f>
        <v>10+3=13</v>
      </c>
      <c r="R17" s="51" t="str">
        <f aca="false">IF(SUMIFS('Исходные данные'!$I$2:$I$954,'Исходные данные'!$D$2:$D$954,R$3,'Исходные данные'!$F$2:$F$954,$H17&amp;"")+SUMIFS('Исходные данные'!$J$2:$J$954,'Исходные данные'!$D$2:$D$954,R$3,'Исходные данные'!$F$2:$F$954,$H17&amp;"")=0,"",IF(SUMIFS('Исходные данные'!$J$2:$J$954,'Исходные данные'!$D$2:$D$954,R$3,'Исходные данные'!$F$2:$F$954,$H17&amp;"")=0,SUMIFS('Исходные данные'!$I$2:$I$954,'Исходные данные'!$D$2:$D$954,R$3,'Исходные данные'!$F$2:$F$954,$H17&amp;""),IF(SUMIFS('Исходные данные'!$I$2:$I$954,'Исходные данные'!$D$2:$D$954,R$3,'Исходные данные'!$F$2:$F$954,$H17&amp;"")=0,"0+"&amp;SUMIFS('Исходные данные'!$J$2:$J$954,'Исходные данные'!$D$2:$D$954,R$3,'Исходные данные'!$F$2:$F$954,$H17&amp;"")&amp;"="&amp;SUMIFS('Исходные данные'!$J$2:$J$954,'Исходные данные'!$D$2:$D$954,R$3,'Исходные данные'!$F$2:$F$954,$H17&amp;""),SUMIFS('Исходные данные'!$I$2:$I$954,'Исходные данные'!$D$2:$D$954,R$3,'Исходные данные'!$F$2:$F$954,$H17&amp;"")&amp;"+"&amp;SUMIFS('Исходные данные'!$J$2:$J$954,'Исходные данные'!$D$2:$D$954,R$3,'Исходные данные'!$F$2:$F$954,$H17&amp;"")&amp;"="&amp;(SUMIFS('Исходные данные'!$I$2:$I$954,'Исходные данные'!$D$2:$D$954,R$3,'Исходные данные'!$F$2:$F$954,$H17&amp;"")+SUMIFS('Исходные данные'!$J$2:$J$954,'Исходные данные'!$D$2:$D$954,R$3,'Исходные данные'!$F$2:$F$954,$H17&amp;"")))))</f>
        <v/>
      </c>
      <c r="S17" s="50" t="str">
        <f aca="false">IF(SUMIFS('Исходные данные'!$I$2:$I$954,'Исходные данные'!$D$2:$D$954,S$3,'Исходные данные'!$F$2:$F$954,$H17&amp;"")+SUMIFS('Исходные данные'!$J$2:$J$954,'Исходные данные'!$D$2:$D$954,S$3,'Исходные данные'!$F$2:$F$954,$H17&amp;"")=0,"",IF(SUMIFS('Исходные данные'!$J$2:$J$954,'Исходные данные'!$D$2:$D$954,S$3,'Исходные данные'!$F$2:$F$954,$H17&amp;"")=0,SUMIFS('Исходные данные'!$I$2:$I$954,'Исходные данные'!$D$2:$D$954,S$3,'Исходные данные'!$F$2:$F$954,$H17&amp;""),IF(SUMIFS('Исходные данные'!$I$2:$I$954,'Исходные данные'!$D$2:$D$954,S$3,'Исходные данные'!$F$2:$F$954,$H17&amp;"")=0,"0+"&amp;SUMIFS('Исходные данные'!$J$2:$J$954,'Исходные данные'!$D$2:$D$954,S$3,'Исходные данные'!$F$2:$F$954,$H17&amp;"")&amp;"="&amp;SUMIFS('Исходные данные'!$J$2:$J$954,'Исходные данные'!$D$2:$D$954,S$3,'Исходные данные'!$F$2:$F$954,$H17&amp;""),SUMIFS('Исходные данные'!$I$2:$I$954,'Исходные данные'!$D$2:$D$954,S$3,'Исходные данные'!$F$2:$F$954,$H17&amp;"")&amp;"+"&amp;SUMIFS('Исходные данные'!$J$2:$J$954,'Исходные данные'!$D$2:$D$954,S$3,'Исходные данные'!$F$2:$F$954,$H17&amp;"")&amp;"="&amp;(SUMIFS('Исходные данные'!$I$2:$I$954,'Исходные данные'!$D$2:$D$954,S$3,'Исходные данные'!$F$2:$F$954,$H17&amp;"")+SUMIFS('Исходные данные'!$J$2:$J$954,'Исходные данные'!$D$2:$D$954,S$3,'Исходные данные'!$F$2:$F$954,$H17&amp;"")))))</f>
        <v/>
      </c>
      <c r="T17" s="49" t="str">
        <f aca="false">IF(SUMIFS('Исходные данные'!$I$2:$I$954,'Исходные данные'!$D$2:$D$954,T$3,'Исходные данные'!$F$2:$F$954,$H17&amp;"")+SUMIFS('Исходные данные'!$J$2:$J$954,'Исходные данные'!$D$2:$D$954,T$3,'Исходные данные'!$F$2:$F$954,$H17&amp;"")=0,"",IF(SUMIFS('Исходные данные'!$J$2:$J$954,'Исходные данные'!$D$2:$D$954,T$3,'Исходные данные'!$F$2:$F$954,$H17&amp;"")=0,SUMIFS('Исходные данные'!$I$2:$I$954,'Исходные данные'!$D$2:$D$954,T$3,'Исходные данные'!$F$2:$F$954,$H17&amp;""),IF(SUMIFS('Исходные данные'!$I$2:$I$954,'Исходные данные'!$D$2:$D$954,T$3,'Исходные данные'!$F$2:$F$954,$H17&amp;"")=0,"0+"&amp;SUMIFS('Исходные данные'!$J$2:$J$954,'Исходные данные'!$D$2:$D$954,T$3,'Исходные данные'!$F$2:$F$954,$H17&amp;"")&amp;"="&amp;SUMIFS('Исходные данные'!$J$2:$J$954,'Исходные данные'!$D$2:$D$954,T$3,'Исходные данные'!$F$2:$F$954,$H17&amp;""),SUMIFS('Исходные данные'!$I$2:$I$954,'Исходные данные'!$D$2:$D$954,T$3,'Исходные данные'!$F$2:$F$954,$H17&amp;"")&amp;"+"&amp;SUMIFS('Исходные данные'!$J$2:$J$954,'Исходные данные'!$D$2:$D$954,T$3,'Исходные данные'!$F$2:$F$954,$H17&amp;"")&amp;"="&amp;(SUMIFS('Исходные данные'!$I$2:$I$954,'Исходные данные'!$D$2:$D$954,T$3,'Исходные данные'!$F$2:$F$954,$H17&amp;"")+SUMIFS('Исходные данные'!$J$2:$J$954,'Исходные данные'!$D$2:$D$954,T$3,'Исходные данные'!$F$2:$F$954,$H17&amp;"")))))</f>
        <v/>
      </c>
      <c r="U17" s="50" t="str">
        <f aca="false">IF(SUMIFS('Исходные данные'!$I$2:$I$954,'Исходные данные'!$D$2:$D$954,U$3,'Исходные данные'!$F$2:$F$954,$H17&amp;"")+SUMIFS('Исходные данные'!$J$2:$J$954,'Исходные данные'!$D$2:$D$954,U$3,'Исходные данные'!$F$2:$F$954,$H17&amp;"")=0,"",IF(SUMIFS('Исходные данные'!$J$2:$J$954,'Исходные данные'!$D$2:$D$954,U$3,'Исходные данные'!$F$2:$F$954,$H17&amp;"")=0,SUMIFS('Исходные данные'!$I$2:$I$954,'Исходные данные'!$D$2:$D$954,U$3,'Исходные данные'!$F$2:$F$954,$H17&amp;""),IF(SUMIFS('Исходные данные'!$I$2:$I$954,'Исходные данные'!$D$2:$D$954,U$3,'Исходные данные'!$F$2:$F$954,$H17&amp;"")=0,"0+"&amp;SUMIFS('Исходные данные'!$J$2:$J$954,'Исходные данные'!$D$2:$D$954,U$3,'Исходные данные'!$F$2:$F$954,$H17&amp;"")&amp;"="&amp;SUMIFS('Исходные данные'!$J$2:$J$954,'Исходные данные'!$D$2:$D$954,U$3,'Исходные данные'!$F$2:$F$954,$H17&amp;""),SUMIFS('Исходные данные'!$I$2:$I$954,'Исходные данные'!$D$2:$D$954,U$3,'Исходные данные'!$F$2:$F$954,$H17&amp;"")&amp;"+"&amp;SUMIFS('Исходные данные'!$J$2:$J$954,'Исходные данные'!$D$2:$D$954,U$3,'Исходные данные'!$F$2:$F$954,$H17&amp;"")&amp;"="&amp;(SUMIFS('Исходные данные'!$I$2:$I$954,'Исходные данные'!$D$2:$D$954,U$3,'Исходные данные'!$F$2:$F$954,$H17&amp;"")+SUMIFS('Исходные данные'!$J$2:$J$954,'Исходные данные'!$D$2:$D$954,U$3,'Исходные данные'!$F$2:$F$954,$H17&amp;"")))))</f>
        <v/>
      </c>
      <c r="V17" s="49" t="str">
        <f aca="false">IF(SUMIFS('Исходные данные'!$I$2:$I$954,'Исходные данные'!$D$2:$D$954,V$3,'Исходные данные'!$F$2:$F$954,$H17&amp;"")+SUMIFS('Исходные данные'!$J$2:$J$954,'Исходные данные'!$D$2:$D$954,V$3,'Исходные данные'!$F$2:$F$954,$H17&amp;"")=0,"",IF(SUMIFS('Исходные данные'!$J$2:$J$954,'Исходные данные'!$D$2:$D$954,V$3,'Исходные данные'!$F$2:$F$954,$H17&amp;"")=0,SUMIFS('Исходные данные'!$I$2:$I$954,'Исходные данные'!$D$2:$D$954,V$3,'Исходные данные'!$F$2:$F$954,$H17&amp;""),IF(SUMIFS('Исходные данные'!$I$2:$I$954,'Исходные данные'!$D$2:$D$954,V$3,'Исходные данные'!$F$2:$F$954,$H17&amp;"")=0,"0+"&amp;SUMIFS('Исходные данные'!$J$2:$J$954,'Исходные данные'!$D$2:$D$954,V$3,'Исходные данные'!$F$2:$F$954,$H17&amp;"")&amp;"="&amp;SUMIFS('Исходные данные'!$J$2:$J$954,'Исходные данные'!$D$2:$D$954,V$3,'Исходные данные'!$F$2:$F$954,$H17&amp;""),SUMIFS('Исходные данные'!$I$2:$I$954,'Исходные данные'!$D$2:$D$954,V$3,'Исходные данные'!$F$2:$F$954,$H17&amp;"")&amp;"+"&amp;SUMIFS('Исходные данные'!$J$2:$J$954,'Исходные данные'!$D$2:$D$954,V$3,'Исходные данные'!$F$2:$F$954,$H17&amp;"")&amp;"="&amp;(SUMIFS('Исходные данные'!$I$2:$I$954,'Исходные данные'!$D$2:$D$954,V$3,'Исходные данные'!$F$2:$F$954,$H17&amp;"")+SUMIFS('Исходные данные'!$J$2:$J$954,'Исходные данные'!$D$2:$D$954,V$3,'Исходные данные'!$F$2:$F$954,$H17&amp;"")))))</f>
        <v/>
      </c>
      <c r="W17" s="50" t="str">
        <f aca="false">IF(SUMIFS('Исходные данные'!$I$2:$I$954,'Исходные данные'!$D$2:$D$954,W$3,'Исходные данные'!$F$2:$F$954,$H17&amp;"")+SUMIFS('Исходные данные'!$J$2:$J$954,'Исходные данные'!$D$2:$D$954,W$3,'Исходные данные'!$F$2:$F$954,$H17&amp;"")=0,"",IF(SUMIFS('Исходные данные'!$J$2:$J$954,'Исходные данные'!$D$2:$D$954,W$3,'Исходные данные'!$F$2:$F$954,$H17&amp;"")=0,SUMIFS('Исходные данные'!$I$2:$I$954,'Исходные данные'!$D$2:$D$954,W$3,'Исходные данные'!$F$2:$F$954,$H17&amp;""),IF(SUMIFS('Исходные данные'!$I$2:$I$954,'Исходные данные'!$D$2:$D$954,W$3,'Исходные данные'!$F$2:$F$954,$H17&amp;"")=0,"0+"&amp;SUMIFS('Исходные данные'!$J$2:$J$954,'Исходные данные'!$D$2:$D$954,W$3,'Исходные данные'!$F$2:$F$954,$H17&amp;"")&amp;"="&amp;SUMIFS('Исходные данные'!$J$2:$J$954,'Исходные данные'!$D$2:$D$954,W$3,'Исходные данные'!$F$2:$F$954,$H17&amp;""),SUMIFS('Исходные данные'!$I$2:$I$954,'Исходные данные'!$D$2:$D$954,W$3,'Исходные данные'!$F$2:$F$954,$H17&amp;"")&amp;"+"&amp;SUMIFS('Исходные данные'!$J$2:$J$954,'Исходные данные'!$D$2:$D$954,W$3,'Исходные данные'!$F$2:$F$954,$H17&amp;"")&amp;"="&amp;(SUMIFS('Исходные данные'!$I$2:$I$954,'Исходные данные'!$D$2:$D$954,W$3,'Исходные данные'!$F$2:$F$954,$H17&amp;"")+SUMIFS('Исходные данные'!$J$2:$J$954,'Исходные данные'!$D$2:$D$954,W$3,'Исходные данные'!$F$2:$F$954,$H17&amp;"")))))</f>
        <v/>
      </c>
      <c r="X17" s="50" t="str">
        <f aca="false">IF(SUMIFS('Исходные данные'!$I$2:$I$954,'Исходные данные'!$D$2:$D$954,X$3,'Исходные данные'!$F$2:$F$954,$H17&amp;"")+SUMIFS('Исходные данные'!$J$2:$J$954,'Исходные данные'!$D$2:$D$954,X$3,'Исходные данные'!$F$2:$F$954,$H17&amp;"")=0,"",IF(SUMIFS('Исходные данные'!$J$2:$J$954,'Исходные данные'!$D$2:$D$954,X$3,'Исходные данные'!$F$2:$F$954,$H17&amp;"")=0,SUMIFS('Исходные данные'!$I$2:$I$954,'Исходные данные'!$D$2:$D$954,X$3,'Исходные данные'!$F$2:$F$954,$H17&amp;""),IF(SUMIFS('Исходные данные'!$I$2:$I$954,'Исходные данные'!$D$2:$D$954,X$3,'Исходные данные'!$F$2:$F$954,$H17&amp;"")=0,"0+"&amp;SUMIFS('Исходные данные'!$J$2:$J$954,'Исходные данные'!$D$2:$D$954,X$3,'Исходные данные'!$F$2:$F$954,$H17&amp;"")&amp;"="&amp;SUMIFS('Исходные данные'!$J$2:$J$954,'Исходные данные'!$D$2:$D$954,X$3,'Исходные данные'!$F$2:$F$954,$H17&amp;""),SUMIFS('Исходные данные'!$I$2:$I$954,'Исходные данные'!$D$2:$D$954,X$3,'Исходные данные'!$F$2:$F$954,$H17&amp;"")&amp;"+"&amp;SUMIFS('Исходные данные'!$J$2:$J$954,'Исходные данные'!$D$2:$D$954,X$3,'Исходные данные'!$F$2:$F$954,$H17&amp;"")&amp;"="&amp;(SUMIFS('Исходные данные'!$I$2:$I$954,'Исходные данные'!$D$2:$D$954,X$3,'Исходные данные'!$F$2:$F$954,$H17&amp;"")+SUMIFS('Исходные данные'!$J$2:$J$954,'Исходные данные'!$D$2:$D$954,X$3,'Исходные данные'!$F$2:$F$954,$H17&amp;"")))))</f>
        <v/>
      </c>
      <c r="Y17" s="52" t="str">
        <f aca="false">IF(SUMIFS('Исходные данные'!$I$2:$I$954,'Исходные данные'!$D$2:$D$954,Y$3,'Исходные данные'!$F$2:$F$954,$H17&amp;"")+SUMIFS('Исходные данные'!$J$2:$J$954,'Исходные данные'!$D$2:$D$954,Y$3,'Исходные данные'!$F$2:$F$954,$H17&amp;"")=0,"",IF(SUMIFS('Исходные данные'!$J$2:$J$954,'Исходные данные'!$D$2:$D$954,Y$3,'Исходные данные'!$F$2:$F$954,$H17&amp;"")=0,SUMIFS('Исходные данные'!$I$2:$I$954,'Исходные данные'!$D$2:$D$954,Y$3,'Исходные данные'!$F$2:$F$954,$H17&amp;""),IF(SUMIFS('Исходные данные'!$I$2:$I$954,'Исходные данные'!$D$2:$D$954,Y$3,'Исходные данные'!$F$2:$F$954,$H17&amp;"")=0,"0+"&amp;SUMIFS('Исходные данные'!$J$2:$J$954,'Исходные данные'!$D$2:$D$954,Y$3,'Исходные данные'!$F$2:$F$954,$H17&amp;"")&amp;"="&amp;SUMIFS('Исходные данные'!$J$2:$J$954,'Исходные данные'!$D$2:$D$954,Y$3,'Исходные данные'!$F$2:$F$954,$H17&amp;""),SUMIFS('Исходные данные'!$I$2:$I$954,'Исходные данные'!$D$2:$D$954,Y$3,'Исходные данные'!$F$2:$F$954,$H17&amp;"")&amp;"+"&amp;SUMIFS('Исходные данные'!$J$2:$J$954,'Исходные данные'!$D$2:$D$954,Y$3,'Исходные данные'!$F$2:$F$954,$H17&amp;"")&amp;"="&amp;(SUMIFS('Исходные данные'!$I$2:$I$954,'Исходные данные'!$D$2:$D$954,Y$3,'Исходные данные'!$F$2:$F$954,$H17&amp;"")+SUMIFS('Исходные данные'!$J$2:$J$954,'Исходные данные'!$D$2:$D$954,Y$3,'Исходные данные'!$F$2:$F$954,$H17&amp;"")))))</f>
        <v/>
      </c>
      <c r="Z17" s="49" t="str">
        <f aca="false">IF(SUMIFS('Исходные данные'!$I$2:$I$954,'Исходные данные'!$D$2:$D$954,Z$3,'Исходные данные'!$F$2:$F$954,$H17&amp;"")+SUMIFS('Исходные данные'!$J$2:$J$954,'Исходные данные'!$D$2:$D$954,Z$3,'Исходные данные'!$F$2:$F$954,$H17&amp;"")=0,"",IF(SUMIFS('Исходные данные'!$J$2:$J$954,'Исходные данные'!$D$2:$D$954,Z$3,'Исходные данные'!$F$2:$F$954,$H17&amp;"")=0,SUMIFS('Исходные данные'!$I$2:$I$954,'Исходные данные'!$D$2:$D$954,Z$3,'Исходные данные'!$F$2:$F$954,$H17&amp;""),IF(SUMIFS('Исходные данные'!$I$2:$I$954,'Исходные данные'!$D$2:$D$954,Z$3,'Исходные данные'!$F$2:$F$954,$H17&amp;"")=0,"0+"&amp;SUMIFS('Исходные данные'!$J$2:$J$954,'Исходные данные'!$D$2:$D$954,Z$3,'Исходные данные'!$F$2:$F$954,$H17&amp;"")&amp;"="&amp;SUMIFS('Исходные данные'!$J$2:$J$954,'Исходные данные'!$D$2:$D$954,Z$3,'Исходные данные'!$F$2:$F$954,$H17&amp;""),SUMIFS('Исходные данные'!$I$2:$I$954,'Исходные данные'!$D$2:$D$954,Z$3,'Исходные данные'!$F$2:$F$954,$H17&amp;"")&amp;"+"&amp;SUMIFS('Исходные данные'!$J$2:$J$954,'Исходные данные'!$D$2:$D$954,Z$3,'Исходные данные'!$F$2:$F$954,$H17&amp;"")&amp;"="&amp;(SUMIFS('Исходные данные'!$I$2:$I$954,'Исходные данные'!$D$2:$D$954,Z$3,'Исходные данные'!$F$2:$F$954,$H17&amp;"")+SUMIFS('Исходные данные'!$J$2:$J$954,'Исходные данные'!$D$2:$D$954,Z$3,'Исходные данные'!$F$2:$F$954,$H17&amp;"")))))</f>
        <v/>
      </c>
      <c r="AA17" s="50" t="str">
        <f aca="false">IF(SUMIFS('Исходные данные'!$I$2:$I$954,'Исходные данные'!$D$2:$D$954,AA$3,'Исходные данные'!$F$2:$F$954,$H17&amp;"")+SUMIFS('Исходные данные'!$J$2:$J$954,'Исходные данные'!$D$2:$D$954,AA$3,'Исходные данные'!$F$2:$F$954,$H17&amp;"")=0,"",IF(SUMIFS('Исходные данные'!$J$2:$J$954,'Исходные данные'!$D$2:$D$954,AA$3,'Исходные данные'!$F$2:$F$954,$H17&amp;"")=0,SUMIFS('Исходные данные'!$I$2:$I$954,'Исходные данные'!$D$2:$D$954,AA$3,'Исходные данные'!$F$2:$F$954,$H17&amp;""),IF(SUMIFS('Исходные данные'!$I$2:$I$954,'Исходные данные'!$D$2:$D$954,AA$3,'Исходные данные'!$F$2:$F$954,$H17&amp;"")=0,"0+"&amp;SUMIFS('Исходные данные'!$J$2:$J$954,'Исходные данные'!$D$2:$D$954,AA$3,'Исходные данные'!$F$2:$F$954,$H17&amp;"")&amp;"="&amp;SUMIFS('Исходные данные'!$J$2:$J$954,'Исходные данные'!$D$2:$D$954,AA$3,'Исходные данные'!$F$2:$F$954,$H17&amp;""),SUMIFS('Исходные данные'!$I$2:$I$954,'Исходные данные'!$D$2:$D$954,AA$3,'Исходные данные'!$F$2:$F$954,$H17&amp;"")&amp;"+"&amp;SUMIFS('Исходные данные'!$J$2:$J$954,'Исходные данные'!$D$2:$D$954,AA$3,'Исходные данные'!$F$2:$F$954,$H17&amp;"")&amp;"="&amp;(SUMIFS('Исходные данные'!$I$2:$I$954,'Исходные данные'!$D$2:$D$954,AA$3,'Исходные данные'!$F$2:$F$954,$H17&amp;"")+SUMIFS('Исходные данные'!$J$2:$J$954,'Исходные данные'!$D$2:$D$954,AA$3,'Исходные данные'!$F$2:$F$954,$H17&amp;"")))))</f>
        <v/>
      </c>
      <c r="AB17" s="50" t="str">
        <f aca="false">IF(SUMIFS('Исходные данные'!$I$2:$I$954,'Исходные данные'!$D$2:$D$954,AB$3,'Исходные данные'!$F$2:$F$954,$H17&amp;"")+SUMIFS('Исходные данные'!$J$2:$J$954,'Исходные данные'!$D$2:$D$954,AB$3,'Исходные данные'!$F$2:$F$954,$H17&amp;"")=0,"",IF(SUMIFS('Исходные данные'!$J$2:$J$954,'Исходные данные'!$D$2:$D$954,AB$3,'Исходные данные'!$F$2:$F$954,$H17&amp;"")=0,SUMIFS('Исходные данные'!$I$2:$I$954,'Исходные данные'!$D$2:$D$954,AB$3,'Исходные данные'!$F$2:$F$954,$H17&amp;""),IF(SUMIFS('Исходные данные'!$I$2:$I$954,'Исходные данные'!$D$2:$D$954,AB$3,'Исходные данные'!$F$2:$F$954,$H17&amp;"")=0,"0+"&amp;SUMIFS('Исходные данные'!$J$2:$J$954,'Исходные данные'!$D$2:$D$954,AB$3,'Исходные данные'!$F$2:$F$954,$H17&amp;"")&amp;"="&amp;SUMIFS('Исходные данные'!$J$2:$J$954,'Исходные данные'!$D$2:$D$954,AB$3,'Исходные данные'!$F$2:$F$954,$H17&amp;""),SUMIFS('Исходные данные'!$I$2:$I$954,'Исходные данные'!$D$2:$D$954,AB$3,'Исходные данные'!$F$2:$F$954,$H17&amp;"")&amp;"+"&amp;SUMIFS('Исходные данные'!$J$2:$J$954,'Исходные данные'!$D$2:$D$954,AB$3,'Исходные данные'!$F$2:$F$954,$H17&amp;"")&amp;"="&amp;(SUMIFS('Исходные данные'!$I$2:$I$954,'Исходные данные'!$D$2:$D$954,AB$3,'Исходные данные'!$F$2:$F$954,$H17&amp;"")+SUMIFS('Исходные данные'!$J$2:$J$954,'Исходные данные'!$D$2:$D$954,AB$3,'Исходные данные'!$F$2:$F$954,$H17&amp;"")))))</f>
        <v/>
      </c>
      <c r="AC17" s="52" t="str">
        <f aca="false">IF(SUMIFS('Исходные данные'!$I$2:$I$954,'Исходные данные'!$D$2:$D$954,AC$3,'Исходные данные'!$F$2:$F$954,$H17&amp;"")+SUMIFS('Исходные данные'!$J$2:$J$954,'Исходные данные'!$D$2:$D$954,AC$3,'Исходные данные'!$F$2:$F$954,$H17&amp;"")=0,"",IF(SUMIFS('Исходные данные'!$J$2:$J$954,'Исходные данные'!$D$2:$D$954,AC$3,'Исходные данные'!$F$2:$F$954,$H17&amp;"")=0,SUMIFS('Исходные данные'!$I$2:$I$954,'Исходные данные'!$D$2:$D$954,AC$3,'Исходные данные'!$F$2:$F$954,$H17&amp;""),IF(SUMIFS('Исходные данные'!$I$2:$I$954,'Исходные данные'!$D$2:$D$954,AC$3,'Исходные данные'!$F$2:$F$954,$H17&amp;"")=0,"0+"&amp;SUMIFS('Исходные данные'!$J$2:$J$954,'Исходные данные'!$D$2:$D$954,AC$3,'Исходные данные'!$F$2:$F$954,$H17&amp;"")&amp;"="&amp;SUMIFS('Исходные данные'!$J$2:$J$954,'Исходные данные'!$D$2:$D$954,AC$3,'Исходные данные'!$F$2:$F$954,$H17&amp;""),SUMIFS('Исходные данные'!$I$2:$I$954,'Исходные данные'!$D$2:$D$954,AC$3,'Исходные данные'!$F$2:$F$954,$H17&amp;"")&amp;"+"&amp;SUMIFS('Исходные данные'!$J$2:$J$954,'Исходные данные'!$D$2:$D$954,AC$3,'Исходные данные'!$F$2:$F$954,$H17&amp;"")&amp;"="&amp;(SUMIFS('Исходные данные'!$I$2:$I$954,'Исходные данные'!$D$2:$D$954,AC$3,'Исходные данные'!$F$2:$F$954,$H17&amp;"")+SUMIFS('Исходные данные'!$J$2:$J$954,'Исходные данные'!$D$2:$D$954,AC$3,'Исходные данные'!$F$2:$F$954,$H17&amp;"")))))</f>
        <v>5+7=12</v>
      </c>
      <c r="AD17" s="50" t="str">
        <f aca="false">IF(SUMIFS('Исходные данные'!$I$2:$I$954,'Исходные данные'!$D$2:$D$954,AD$3,'Исходные данные'!$F$2:$F$954,$H17&amp;"")+SUMIFS('Исходные данные'!$J$2:$J$954,'Исходные данные'!$D$2:$D$954,AD$3,'Исходные данные'!$F$2:$F$954,$H17&amp;"")=0,"",IF(SUMIFS('Исходные данные'!$J$2:$J$954,'Исходные данные'!$D$2:$D$954,AD$3,'Исходные данные'!$F$2:$F$954,$H17&amp;"")=0,SUMIFS('Исходные данные'!$I$2:$I$954,'Исходные данные'!$D$2:$D$954,AD$3,'Исходные данные'!$F$2:$F$954,$H17&amp;""),IF(SUMIFS('Исходные данные'!$I$2:$I$954,'Исходные данные'!$D$2:$D$954,AD$3,'Исходные данные'!$F$2:$F$954,$H17&amp;"")=0,"0+"&amp;SUMIFS('Исходные данные'!$J$2:$J$954,'Исходные данные'!$D$2:$D$954,AD$3,'Исходные данные'!$F$2:$F$954,$H17&amp;"")&amp;"="&amp;SUMIFS('Исходные данные'!$J$2:$J$954,'Исходные данные'!$D$2:$D$954,AD$3,'Исходные данные'!$F$2:$F$954,$H17&amp;""),SUMIFS('Исходные данные'!$I$2:$I$954,'Исходные данные'!$D$2:$D$954,AD$3,'Исходные данные'!$F$2:$F$954,$H17&amp;"")&amp;"+"&amp;SUMIFS('Исходные данные'!$J$2:$J$954,'Исходные данные'!$D$2:$D$954,AD$3,'Исходные данные'!$F$2:$F$954,$H17&amp;"")&amp;"="&amp;(SUMIFS('Исходные данные'!$I$2:$I$954,'Исходные данные'!$D$2:$D$954,AD$3,'Исходные данные'!$F$2:$F$954,$H17&amp;"")+SUMIFS('Исходные данные'!$J$2:$J$954,'Исходные данные'!$D$2:$D$954,AD$3,'Исходные данные'!$F$2:$F$954,$H17&amp;"")))))</f>
        <v>2+5=7</v>
      </c>
    </row>
    <row r="18" customFormat="false" ht="25.5" hidden="false" customHeight="true" outlineLevel="0" collapsed="false">
      <c r="A18" s="53" t="n">
        <v>16</v>
      </c>
      <c r="B18" s="28" t="s">
        <v>192</v>
      </c>
      <c r="C18" s="29" t="s">
        <v>20</v>
      </c>
      <c r="D18" s="30"/>
      <c r="E18" s="29" t="s">
        <v>193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данные'!$I$2:$I$954,'Исходные данные'!$D$2:$D$954,O$3,'Исходные данные'!$F$2:$F$954,$H19&amp;"",'Исходные данные'!$L$2:$L$954,"УТТ")+SUMIFS('Исходные данные'!$J$2:$J$954,'Исходные данные'!$D$2:$D$954,O$3,'Исходные данные'!$F$2:$F$954,$H19&amp;"",'Исходные данные'!$L$2:$L$954,"УТТ")=0,"","утт-"&amp;(SUMIFS('Исходные данные'!$I$2:$I$954,'Исходные данные'!$D$2:$D$954,O$3,'Исходные данные'!$F$2:$F$954,$H19&amp;"",'Исходные данные'!$L$2:$L$954,"УТТ")+SUMIFS('Исходные данные'!$J$2:$J$954,'Исходные данные'!$D$2:$D$954,O$3,'Исходные данные'!$F$2:$F$954,$H19&amp;"",'Исходные данные'!$L$2:$L$954,"УТТ")))</f>
        <v>утт-2</v>
      </c>
      <c r="P18" s="61" t="str">
        <f aca="false">IF(SUMIFS('Исходные данные'!$I$2:$I$954,'Исходные данные'!$D$2:$D$954,P$3,'Исходные данные'!$F$2:$F$954,$H19&amp;"",'Исходные данные'!$L$2:$L$954,"УТТ")+SUMIFS('Исходные данные'!$J$2:$J$954,'Исходные данные'!$D$2:$D$954,P$3,'Исходные данные'!$F$2:$F$954,$H19&amp;"",'Исходные данные'!$L$2:$L$954,"УТТ")=0,"","утт-"&amp;(SUMIFS('Исходные данные'!$I$2:$I$954,'Исходные данные'!$D$2:$D$954,P$3,'Исходные данные'!$F$2:$F$954,$H19&amp;"",'Исходные данные'!$L$2:$L$954,"УТТ")+SUMIFS('Исходные данные'!$J$2:$J$954,'Исходные данные'!$D$2:$D$954,P$3,'Исходные данные'!$F$2:$F$954,$H19&amp;"",'Исходные данные'!$L$2:$L$954,"УТТ")))</f>
        <v/>
      </c>
      <c r="Q18" s="60" t="str">
        <f aca="false">IF(SUMIFS('Исходные данные'!$I$2:$I$954,'Исходные данные'!$D$2:$D$954,Q$3,'Исходные данные'!$F$2:$F$954,$H19&amp;"",'Исходные данные'!$L$2:$L$954,"УТТ")+SUMIFS('Исходные данные'!$J$2:$J$954,'Исходные данные'!$D$2:$D$954,Q$3,'Исходные данные'!$F$2:$F$954,$H19&amp;"",'Исходные данные'!$L$2:$L$954,"УТТ")=0,"","утт-"&amp;(SUMIFS('Исходные данные'!$I$2:$I$954,'Исходные данные'!$D$2:$D$954,Q$3,'Исходные данные'!$F$2:$F$954,$H19&amp;"",'Исходные данные'!$L$2:$L$954,"УТТ")+SUMIFS('Исходные данные'!$J$2:$J$954,'Исходные данные'!$D$2:$D$954,Q$3,'Исходные данные'!$F$2:$F$954,$H19&amp;"",'Исходные данные'!$L$2:$L$954,"УТТ")))</f>
        <v>утт-1</v>
      </c>
      <c r="R18" s="62" t="str">
        <f aca="false">IF(SUMIFS('Исходные данные'!$I$2:$I$954,'Исходные данные'!$D$2:$D$954,R$3,'Исходные данные'!$F$2:$F$954,$H19&amp;"",'Исходные данные'!$L$2:$L$954,"УТТ")+SUMIFS('Исходные данные'!$J$2:$J$954,'Исходные данные'!$D$2:$D$954,R$3,'Исходные данные'!$F$2:$F$954,$H19&amp;"",'Исходные данные'!$L$2:$L$954,"УТТ")=0,"","утт-"&amp;(SUMIFS('Исходные данные'!$I$2:$I$954,'Исходные данные'!$D$2:$D$954,R$3,'Исходные данные'!$F$2:$F$954,$H19&amp;"",'Исходные данные'!$L$2:$L$954,"УТТ")+SUMIFS('Исходные данные'!$J$2:$J$954,'Исходные данные'!$D$2:$D$954,R$3,'Исходные данные'!$F$2:$F$954,$H19&amp;"",'Исходные данные'!$L$2:$L$954,"УТТ")))</f>
        <v/>
      </c>
      <c r="S18" s="61" t="str">
        <f aca="false">IF(SUMIFS('Исходные данные'!$I$2:$I$954,'Исходные данные'!$D$2:$D$954,S$3,'Исходные данные'!$F$2:$F$954,$H19&amp;"",'Исходные данные'!$L$2:$L$954,"УТТ")+SUMIFS('Исходные данные'!$J$2:$J$954,'Исходные данные'!$D$2:$D$954,S$3,'Исходные данные'!$F$2:$F$954,$H19&amp;"",'Исходные данные'!$L$2:$L$954,"УТТ")=0,"","утт-"&amp;(SUMIFS('Исходные данные'!$I$2:$I$954,'Исходные данные'!$D$2:$D$954,S$3,'Исходные данные'!$F$2:$F$954,$H19&amp;"",'Исходные данные'!$L$2:$L$954,"УТТ")+SUMIFS('Исходные данные'!$J$2:$J$954,'Исходные данные'!$D$2:$D$954,S$3,'Исходные данные'!$F$2:$F$954,$H19&amp;"",'Исходные данные'!$L$2:$L$954,"УТТ")))</f>
        <v/>
      </c>
      <c r="T18" s="60" t="str">
        <f aca="false">IF(SUMIFS('Исходные данные'!$I$2:$I$954,'Исходные данные'!$D$2:$D$954,T$3,'Исходные данные'!$F$2:$F$954,$H19&amp;"",'Исходные данные'!$L$2:$L$954,"УТТ")+SUMIFS('Исходные данные'!$J$2:$J$954,'Исходные данные'!$D$2:$D$954,T$3,'Исходные данные'!$F$2:$F$954,$H19&amp;"",'Исходные данные'!$L$2:$L$954,"УТТ")=0,"","утт-"&amp;(SUMIFS('Исходные данные'!$I$2:$I$954,'Исходные данные'!$D$2:$D$954,T$3,'Исходные данные'!$F$2:$F$954,$H19&amp;"",'Исходные данные'!$L$2:$L$954,"УТТ")+SUMIFS('Исходные данные'!$J$2:$J$954,'Исходные данные'!$D$2:$D$954,T$3,'Исходные данные'!$F$2:$F$954,$H19&amp;"",'Исходные данные'!$L$2:$L$954,"УТТ")))</f>
        <v/>
      </c>
      <c r="U18" s="61" t="str">
        <f aca="false">IF(SUMIFS('Исходные данные'!$I$2:$I$954,'Исходные данные'!$D$2:$D$954,U$3,'Исходные данные'!$F$2:$F$954,$H19&amp;"",'Исходные данные'!$L$2:$L$954,"УТТ")+SUMIFS('Исходные данные'!$J$2:$J$954,'Исходные данные'!$D$2:$D$954,U$3,'Исходные данные'!$F$2:$F$954,$H19&amp;"",'Исходные данные'!$L$2:$L$954,"УТТ")=0,"","утт-"&amp;(SUMIFS('Исходные данные'!$I$2:$I$954,'Исходные данные'!$D$2:$D$954,U$3,'Исходные данные'!$F$2:$F$954,$H19&amp;"",'Исходные данные'!$L$2:$L$954,"УТТ")+SUMIFS('Исходные данные'!$J$2:$J$954,'Исходные данные'!$D$2:$D$954,U$3,'Исходные данные'!$F$2:$F$954,$H19&amp;"",'Исходные данные'!$L$2:$L$954,"УТТ")))</f>
        <v/>
      </c>
      <c r="V18" s="60" t="str">
        <f aca="false">IF(SUMIFS('Исходные данные'!$I$2:$I$954,'Исходные данные'!$D$2:$D$954,V$3,'Исходные данные'!$F$2:$F$954,$H19&amp;"",'Исходные данные'!$L$2:$L$954,"УТТ")+SUMIFS('Исходные данные'!$J$2:$J$954,'Исходные данные'!$D$2:$D$954,V$3,'Исходные данные'!$F$2:$F$954,$H19&amp;"",'Исходные данные'!$L$2:$L$954,"УТТ")=0,"","утт-"&amp;(SUMIFS('Исходные данные'!$I$2:$I$954,'Исходные данные'!$D$2:$D$954,V$3,'Исходные данные'!$F$2:$F$954,$H19&amp;"",'Исходные данные'!$L$2:$L$954,"УТТ")+SUMIFS('Исходные данные'!$J$2:$J$954,'Исходные данные'!$D$2:$D$954,V$3,'Исходные данные'!$F$2:$F$954,$H19&amp;"",'Исходные данные'!$L$2:$L$954,"УТТ")))</f>
        <v/>
      </c>
      <c r="W18" s="61" t="str">
        <f aca="false">IF(SUMIFS('Исходные данные'!$I$2:$I$954,'Исходные данные'!$D$2:$D$954,W$3,'Исходные данные'!$F$2:$F$954,$H19&amp;"",'Исходные данные'!$L$2:$L$954,"УТТ")+SUMIFS('Исходные данные'!$J$2:$J$954,'Исходные данные'!$D$2:$D$954,W$3,'Исходные данные'!$F$2:$F$954,$H19&amp;"",'Исходные данные'!$L$2:$L$954,"УТТ")=0,"","утт-"&amp;(SUMIFS('Исходные данные'!$I$2:$I$954,'Исходные данные'!$D$2:$D$954,W$3,'Исходные данные'!$F$2:$F$954,$H19&amp;"",'Исходные данные'!$L$2:$L$954,"УТТ")+SUMIFS('Исходные данные'!$J$2:$J$954,'Исходные данные'!$D$2:$D$954,W$3,'Исходные данные'!$F$2:$F$954,$H19&amp;"",'Исходные данные'!$L$2:$L$954,"УТТ")))</f>
        <v/>
      </c>
      <c r="X18" s="61" t="str">
        <f aca="false">IF(SUMIFS('Исходные данные'!$I$2:$I$954,'Исходные данные'!$D$2:$D$954,X$3,'Исходные данные'!$F$2:$F$954,$H19&amp;"",'Исходные данные'!$L$2:$L$954,"УТТ")+SUMIFS('Исходные данные'!$J$2:$J$954,'Исходные данные'!$D$2:$D$954,X$3,'Исходные данные'!$F$2:$F$954,$H19&amp;"",'Исходные данные'!$L$2:$L$954,"УТТ")=0,"","утт-"&amp;(SUMIFS('Исходные данные'!$I$2:$I$954,'Исходные данные'!$D$2:$D$954,X$3,'Исходные данные'!$F$2:$F$954,$H19&amp;"",'Исходные данные'!$L$2:$L$954,"УТТ")+SUMIFS('Исходные данные'!$J$2:$J$954,'Исходные данные'!$D$2:$D$954,X$3,'Исходные данные'!$F$2:$F$954,$H19&amp;"",'Исходные данные'!$L$2:$L$954,"УТТ")))</f>
        <v/>
      </c>
      <c r="Y18" s="63" t="str">
        <f aca="false">IF(SUMIFS('Исходные данные'!$I$2:$I$954,'Исходные данные'!$D$2:$D$954,Y$3,'Исходные данные'!$F$2:$F$954,$H19&amp;"",'Исходные данные'!$L$2:$L$954,"УТТ")+SUMIFS('Исходные данные'!$J$2:$J$954,'Исходные данные'!$D$2:$D$954,Y$3,'Исходные данные'!$F$2:$F$954,$H19&amp;"",'Исходные данные'!$L$2:$L$954,"УТТ")=0,"","утт-"&amp;(SUMIFS('Исходные данные'!$I$2:$I$954,'Исходные данные'!$D$2:$D$954,Y$3,'Исходные данные'!$F$2:$F$954,$H19&amp;"",'Исходные данные'!$L$2:$L$954,"УТТ")+SUMIFS('Исходные данные'!$J$2:$J$954,'Исходные данные'!$D$2:$D$954,Y$3,'Исходные данные'!$F$2:$F$954,$H19&amp;"",'Исходные данные'!$L$2:$L$954,"УТТ")))</f>
        <v/>
      </c>
      <c r="Z18" s="60" t="str">
        <f aca="false">IF(SUMIFS('Исходные данные'!$I$2:$I$954,'Исходные данные'!$D$2:$D$954,Z$3,'Исходные данные'!$F$2:$F$954,$H19&amp;"",'Исходные данные'!$L$2:$L$954,"УТТ")+SUMIFS('Исходные данные'!$J$2:$J$954,'Исходные данные'!$D$2:$D$954,Z$3,'Исходные данные'!$F$2:$F$954,$H19&amp;"",'Исходные данные'!$L$2:$L$954,"УТТ")=0,"","утт-"&amp;(SUMIFS('Исходные данные'!$I$2:$I$954,'Исходные данные'!$D$2:$D$954,Z$3,'Исходные данные'!$F$2:$F$954,$H19&amp;"",'Исходные данные'!$L$2:$L$954,"УТТ")+SUMIFS('Исходные данные'!$J$2:$J$954,'Исходные данные'!$D$2:$D$954,Z$3,'Исходные данные'!$F$2:$F$954,$H19&amp;"",'Исходные данные'!$L$2:$L$954,"УТТ")))</f>
        <v/>
      </c>
      <c r="AA18" s="61" t="str">
        <f aca="false">IF(SUMIFS('Исходные данные'!$I$2:$I$954,'Исходные данные'!$D$2:$D$954,AA$3,'Исходные данные'!$F$2:$F$954,$H19&amp;"",'Исходные данные'!$L$2:$L$954,"УТТ")+SUMIFS('Исходные данные'!$J$2:$J$954,'Исходные данные'!$D$2:$D$954,AA$3,'Исходные данные'!$F$2:$F$954,$H19&amp;"",'Исходные данные'!$L$2:$L$954,"УТТ")=0,"","утт-"&amp;(SUMIFS('Исходные данные'!$I$2:$I$954,'Исходные данные'!$D$2:$D$954,AA$3,'Исходные данные'!$F$2:$F$954,$H19&amp;"",'Исходные данные'!$L$2:$L$954,"УТТ")+SUMIFS('Исходные данные'!$J$2:$J$954,'Исходные данные'!$D$2:$D$954,AA$3,'Исходные данные'!$F$2:$F$954,$H19&amp;"",'Исходные данные'!$L$2:$L$954,"УТТ")))</f>
        <v/>
      </c>
      <c r="AB18" s="61" t="str">
        <f aca="false">IF(SUMIFS('Исходные данные'!$I$2:$I$954,'Исходные данные'!$D$2:$D$954,AB$3,'Исходные данные'!$F$2:$F$954,$H19&amp;"",'Исходные данные'!$L$2:$L$954,"УТТ")+SUMIFS('Исходные данные'!$J$2:$J$954,'Исходные данные'!$D$2:$D$954,AB$3,'Исходные данные'!$F$2:$F$954,$H19&amp;"",'Исходные данные'!$L$2:$L$954,"УТТ")=0,"","утт-"&amp;(SUMIFS('Исходные данные'!$I$2:$I$954,'Исходные данные'!$D$2:$D$954,AB$3,'Исходные данные'!$F$2:$F$954,$H19&amp;"",'Исходные данные'!$L$2:$L$954,"УТТ")+SUMIFS('Исходные данные'!$J$2:$J$954,'Исходные данные'!$D$2:$D$954,AB$3,'Исходные данные'!$F$2:$F$954,$H19&amp;"",'Исходные данные'!$L$2:$L$954,"УТТ")))</f>
        <v/>
      </c>
      <c r="AC18" s="60" t="str">
        <f aca="false">IF(SUMIFS('Исходные данные'!$I$2:$I$954,'Исходные данные'!$D$2:$D$954,AC$3,'Исходные данные'!$F$2:$F$954,$H19&amp;"",'Исходные данные'!$L$2:$L$954,"УТТ")+SUMIFS('Исходные данные'!$J$2:$J$954,'Исходные данные'!$D$2:$D$954,AC$3,'Исходные данные'!$F$2:$F$954,$H19&amp;"",'Исходные данные'!$L$2:$L$954,"УТТ")=0,"","утт-"&amp;(SUMIFS('Исходные данные'!$I$2:$I$954,'Исходные данные'!$D$2:$D$954,AC$3,'Исходные данные'!$F$2:$F$954,$H19&amp;"",'Исходные данные'!$L$2:$L$954,"УТТ")+SUMIFS('Исходные данные'!$J$2:$J$954,'Исходные данные'!$D$2:$D$954,AC$3,'Исходные данные'!$F$2:$F$954,$H19&amp;"",'Исходные данные'!$L$2:$L$954,"УТТ")))</f>
        <v/>
      </c>
      <c r="AD18" s="61" t="str">
        <f aca="false">IF(SUMIFS('Исходные данные'!$I$2:$I$954,'Исходные данные'!$D$2:$D$954,AD$3,'Исходные данные'!$F$2:$F$954,$H19&amp;"",'Исходные данные'!$L$2:$L$954,"УТТ")+SUMIFS('Исходные данные'!$J$2:$J$954,'Исходные данные'!$D$2:$D$954,AD$3,'Исходные данные'!$F$2:$F$954,$H19&amp;"",'Исходные данные'!$L$2:$L$954,"УТТ")=0,"","утт-"&amp;(SUMIFS('Исходные данные'!$I$2:$I$954,'Исходные данные'!$D$2:$D$954,AD$3,'Исходные данные'!$F$2:$F$954,$H19&amp;"",'Исходные данные'!$L$2:$L$954,"УТТ")+SUMIFS('Исходные данные'!$J$2:$J$954,'Исходные данные'!$D$2:$D$954,AD$3,'Исходные данные'!$F$2:$F$954,$H19&amp;"",'Исходные данные'!$L$2:$L$954,"УТТ")))</f>
        <v>утт-9</v>
      </c>
    </row>
    <row r="19" customFormat="false" ht="25.5" hidden="false" customHeight="true" outlineLevel="0" collapsed="false">
      <c r="A19" s="27" t="n">
        <v>17</v>
      </c>
      <c r="B19" s="28" t="s">
        <v>194</v>
      </c>
      <c r="C19" s="29" t="s">
        <v>20</v>
      </c>
      <c r="D19" s="30"/>
      <c r="E19" s="29" t="s">
        <v>195</v>
      </c>
      <c r="F19" s="29" t="s">
        <v>19</v>
      </c>
      <c r="G19" s="64"/>
      <c r="H19" s="32" t="n">
        <v>35</v>
      </c>
      <c r="I19" s="44" t="s">
        <v>64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50</v>
      </c>
      <c r="L19" s="47" t="n">
        <f aca="false">IFERROR(INDEX('Выход ТС'!$E:$E,MATCH($H19&amp;"",'Выход ТС'!$A:$A,0)),"")</f>
        <v>-2</v>
      </c>
      <c r="M19" s="48" t="n">
        <f aca="false">IFERROR(IF(INDEX('Выход ТС'!$F:$F,MATCH($H19&amp;"",'Выход ТС'!$A:$A,0))=0,"",INDEX('Выход ТС'!$F:$F,MATCH($H19&amp;"",'Выход ТС'!$A:$A,0))),"")</f>
        <v>31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данные'!$I$2:$I$954,'Исходные данные'!$D$2:$D$954,O$3,'Исходные данные'!$F$2:$F$954,$H19&amp;"")+SUMIFS('Исходные данные'!$J$2:$J$954,'Исходные данные'!$D$2:$D$954,O$3,'Исходные данные'!$F$2:$F$954,$H19&amp;"")=0,"",IF(SUMIFS('Исходные данные'!$J$2:$J$954,'Исходные данные'!$D$2:$D$954,O$3,'Исходные данные'!$F$2:$F$954,$H19&amp;"")=0,SUMIFS('Исходные данные'!$I$2:$I$954,'Исходные данные'!$D$2:$D$954,O$3,'Исходные данные'!$F$2:$F$954,$H19&amp;""),IF(SUMIFS('Исходные данные'!$I$2:$I$954,'Исходные данные'!$D$2:$D$954,O$3,'Исходные данные'!$F$2:$F$954,$H19&amp;"")=0,"0+"&amp;SUMIFS('Исходные данные'!$J$2:$J$954,'Исходные данные'!$D$2:$D$954,O$3,'Исходные данные'!$F$2:$F$954,$H19&amp;"")&amp;"="&amp;SUMIFS('Исходные данные'!$J$2:$J$954,'Исходные данные'!$D$2:$D$954,O$3,'Исходные данные'!$F$2:$F$954,$H19&amp;""),SUMIFS('Исходные данные'!$I$2:$I$954,'Исходные данные'!$D$2:$D$954,O$3,'Исходные данные'!$F$2:$F$954,$H19&amp;"")&amp;"+"&amp;SUMIFS('Исходные данные'!$J$2:$J$954,'Исходные данные'!$D$2:$D$954,O$3,'Исходные данные'!$F$2:$F$954,$H19&amp;"")&amp;"="&amp;(SUMIFS('Исходные данные'!$I$2:$I$954,'Исходные данные'!$D$2:$D$954,O$3,'Исходные данные'!$F$2:$F$954,$H19&amp;"")+SUMIFS('Исходные данные'!$J$2:$J$954,'Исходные данные'!$D$2:$D$954,O$3,'Исходные данные'!$F$2:$F$954,$H19&amp;"")))))</f>
        <v>5+2=7</v>
      </c>
      <c r="P19" s="50" t="n">
        <f aca="false">IF(SUMIFS('Исходные данные'!$I$2:$I$954,'Исходные данные'!$D$2:$D$954,P$3,'Исходные данные'!$F$2:$F$954,$H19&amp;"")+SUMIFS('Исходные данные'!$J$2:$J$954,'Исходные данные'!$D$2:$D$954,P$3,'Исходные данные'!$F$2:$F$954,$H19&amp;"")=0,"",IF(SUMIFS('Исходные данные'!$J$2:$J$954,'Исходные данные'!$D$2:$D$954,P$3,'Исходные данные'!$F$2:$F$954,$H19&amp;"")=0,SUMIFS('Исходные данные'!$I$2:$I$954,'Исходные данные'!$D$2:$D$954,P$3,'Исходные данные'!$F$2:$F$954,$H19&amp;""),IF(SUMIFS('Исходные данные'!$I$2:$I$954,'Исходные данные'!$D$2:$D$954,P$3,'Исходные данные'!$F$2:$F$954,$H19&amp;"")=0,"0+"&amp;SUMIFS('Исходные данные'!$J$2:$J$954,'Исходные данные'!$D$2:$D$954,P$3,'Исходные данные'!$F$2:$F$954,$H19&amp;"")&amp;"="&amp;SUMIFS('Исходные данные'!$J$2:$J$954,'Исходные данные'!$D$2:$D$954,P$3,'Исходные данные'!$F$2:$F$954,$H19&amp;""),SUMIFS('Исходные данные'!$I$2:$I$954,'Исходные данные'!$D$2:$D$954,P$3,'Исходные данные'!$F$2:$F$954,$H19&amp;"")&amp;"+"&amp;SUMIFS('Исходные данные'!$J$2:$J$954,'Исходные данные'!$D$2:$D$954,P$3,'Исходные данные'!$F$2:$F$954,$H19&amp;"")&amp;"="&amp;(SUMIFS('Исходные данные'!$I$2:$I$954,'Исходные данные'!$D$2:$D$954,P$3,'Исходные данные'!$F$2:$F$954,$H19&amp;"")+SUMIFS('Исходные данные'!$J$2:$J$954,'Исходные данные'!$D$2:$D$954,P$3,'Исходные данные'!$F$2:$F$954,$H19&amp;"")))))</f>
        <v>1</v>
      </c>
      <c r="Q19" s="50" t="str">
        <f aca="false">IF(SUMIFS('Исходные данные'!$I$2:$I$954,'Исходные данные'!$D$2:$D$954,Q$3,'Исходные данные'!$F$2:$F$954,$H19&amp;"")+SUMIFS('Исходные данные'!$J$2:$J$954,'Исходные данные'!$D$2:$D$954,Q$3,'Исходные данные'!$F$2:$F$954,$H19&amp;"")=0,"",IF(SUMIFS('Исходные данные'!$J$2:$J$954,'Исходные данные'!$D$2:$D$954,Q$3,'Исходные данные'!$F$2:$F$954,$H19&amp;"")=0,SUMIFS('Исходные данные'!$I$2:$I$954,'Исходные данные'!$D$2:$D$954,Q$3,'Исходные данные'!$F$2:$F$954,$H19&amp;""),IF(SUMIFS('Исходные данные'!$I$2:$I$954,'Исходные данные'!$D$2:$D$954,Q$3,'Исходные данные'!$F$2:$F$954,$H19&amp;"")=0,"0+"&amp;SUMIFS('Исходные данные'!$J$2:$J$954,'Исходные данные'!$D$2:$D$954,Q$3,'Исходные данные'!$F$2:$F$954,$H19&amp;"")&amp;"="&amp;SUMIFS('Исходные данные'!$J$2:$J$954,'Исходные данные'!$D$2:$D$954,Q$3,'Исходные данные'!$F$2:$F$954,$H19&amp;""),SUMIFS('Исходные данные'!$I$2:$I$954,'Исходные данные'!$D$2:$D$954,Q$3,'Исходные данные'!$F$2:$F$954,$H19&amp;"")&amp;"+"&amp;SUMIFS('Исходные данные'!$J$2:$J$954,'Исходные данные'!$D$2:$D$954,Q$3,'Исходные данные'!$F$2:$F$954,$H19&amp;"")&amp;"="&amp;(SUMIFS('Исходные данные'!$I$2:$I$954,'Исходные данные'!$D$2:$D$954,Q$3,'Исходные данные'!$F$2:$F$954,$H19&amp;"")+SUMIFS('Исходные данные'!$J$2:$J$954,'Исходные данные'!$D$2:$D$954,Q$3,'Исходные данные'!$F$2:$F$954,$H19&amp;"")))))</f>
        <v>12+3=15</v>
      </c>
      <c r="R19" s="51" t="str">
        <f aca="false">IF(SUMIFS('Исходные данные'!$I$2:$I$954,'Исходные данные'!$D$2:$D$954,R$3,'Исходные данные'!$F$2:$F$954,$H19&amp;"")+SUMIFS('Исходные данные'!$J$2:$J$954,'Исходные данные'!$D$2:$D$954,R$3,'Исходные данные'!$F$2:$F$954,$H19&amp;"")=0,"",IF(SUMIFS('Исходные данные'!$J$2:$J$954,'Исходные данные'!$D$2:$D$954,R$3,'Исходные данные'!$F$2:$F$954,$H19&amp;"")=0,SUMIFS('Исходные данные'!$I$2:$I$954,'Исходные данные'!$D$2:$D$954,R$3,'Исходные данные'!$F$2:$F$954,$H19&amp;""),IF(SUMIFS('Исходные данные'!$I$2:$I$954,'Исходные данные'!$D$2:$D$954,R$3,'Исходные данные'!$F$2:$F$954,$H19&amp;"")=0,"0+"&amp;SUMIFS('Исходные данные'!$J$2:$J$954,'Исходные данные'!$D$2:$D$954,R$3,'Исходные данные'!$F$2:$F$954,$H19&amp;"")&amp;"="&amp;SUMIFS('Исходные данные'!$J$2:$J$954,'Исходные данные'!$D$2:$D$954,R$3,'Исходные данные'!$F$2:$F$954,$H19&amp;""),SUMIFS('Исходные данные'!$I$2:$I$954,'Исходные данные'!$D$2:$D$954,R$3,'Исходные данные'!$F$2:$F$954,$H19&amp;"")&amp;"+"&amp;SUMIFS('Исходные данные'!$J$2:$J$954,'Исходные данные'!$D$2:$D$954,R$3,'Исходные данные'!$F$2:$F$954,$H19&amp;"")&amp;"="&amp;(SUMIFS('Исходные данные'!$I$2:$I$954,'Исходные данные'!$D$2:$D$954,R$3,'Исходные данные'!$F$2:$F$954,$H19&amp;"")+SUMIFS('Исходные данные'!$J$2:$J$954,'Исходные данные'!$D$2:$D$954,R$3,'Исходные данные'!$F$2:$F$954,$H19&amp;"")))))</f>
        <v/>
      </c>
      <c r="S19" s="50" t="str">
        <f aca="false">IF(SUMIFS('Исходные данные'!$I$2:$I$954,'Исходные данные'!$D$2:$D$954,S$3,'Исходные данные'!$F$2:$F$954,$H19&amp;"")+SUMIFS('Исходные данные'!$J$2:$J$954,'Исходные данные'!$D$2:$D$954,S$3,'Исходные данные'!$F$2:$F$954,$H19&amp;"")=0,"",IF(SUMIFS('Исходные данные'!$J$2:$J$954,'Исходные данные'!$D$2:$D$954,S$3,'Исходные данные'!$F$2:$F$954,$H19&amp;"")=0,SUMIFS('Исходные данные'!$I$2:$I$954,'Исходные данные'!$D$2:$D$954,S$3,'Исходные данные'!$F$2:$F$954,$H19&amp;""),IF(SUMIFS('Исходные данные'!$I$2:$I$954,'Исходные данные'!$D$2:$D$954,S$3,'Исходные данные'!$F$2:$F$954,$H19&amp;"")=0,"0+"&amp;SUMIFS('Исходные данные'!$J$2:$J$954,'Исходные данные'!$D$2:$D$954,S$3,'Исходные данные'!$F$2:$F$954,$H19&amp;"")&amp;"="&amp;SUMIFS('Исходные данные'!$J$2:$J$954,'Исходные данные'!$D$2:$D$954,S$3,'Исходные данные'!$F$2:$F$954,$H19&amp;""),SUMIFS('Исходные данные'!$I$2:$I$954,'Исходные данные'!$D$2:$D$954,S$3,'Исходные данные'!$F$2:$F$954,$H19&amp;"")&amp;"+"&amp;SUMIFS('Исходные данные'!$J$2:$J$954,'Исходные данные'!$D$2:$D$954,S$3,'Исходные данные'!$F$2:$F$954,$H19&amp;"")&amp;"="&amp;(SUMIFS('Исходные данные'!$I$2:$I$954,'Исходные данные'!$D$2:$D$954,S$3,'Исходные данные'!$F$2:$F$954,$H19&amp;"")+SUMIFS('Исходные данные'!$J$2:$J$954,'Исходные данные'!$D$2:$D$954,S$3,'Исходные данные'!$F$2:$F$954,$H19&amp;"")))))</f>
        <v/>
      </c>
      <c r="T19" s="49" t="str">
        <f aca="false">IF(SUMIFS('Исходные данные'!$I$2:$I$954,'Исходные данные'!$D$2:$D$954,T$3,'Исходные данные'!$F$2:$F$954,$H19&amp;"")+SUMIFS('Исходные данные'!$J$2:$J$954,'Исходные данные'!$D$2:$D$954,T$3,'Исходные данные'!$F$2:$F$954,$H19&amp;"")=0,"",IF(SUMIFS('Исходные данные'!$J$2:$J$954,'Исходные данные'!$D$2:$D$954,T$3,'Исходные данные'!$F$2:$F$954,$H19&amp;"")=0,SUMIFS('Исходные данные'!$I$2:$I$954,'Исходные данные'!$D$2:$D$954,T$3,'Исходные данные'!$F$2:$F$954,$H19&amp;""),IF(SUMIFS('Исходные данные'!$I$2:$I$954,'Исходные данные'!$D$2:$D$954,T$3,'Исходные данные'!$F$2:$F$954,$H19&amp;"")=0,"0+"&amp;SUMIFS('Исходные данные'!$J$2:$J$954,'Исходные данные'!$D$2:$D$954,T$3,'Исходные данные'!$F$2:$F$954,$H19&amp;"")&amp;"="&amp;SUMIFS('Исходные данные'!$J$2:$J$954,'Исходные данные'!$D$2:$D$954,T$3,'Исходные данные'!$F$2:$F$954,$H19&amp;""),SUMIFS('Исходные данные'!$I$2:$I$954,'Исходные данные'!$D$2:$D$954,T$3,'Исходные данные'!$F$2:$F$954,$H19&amp;"")&amp;"+"&amp;SUMIFS('Исходные данные'!$J$2:$J$954,'Исходные данные'!$D$2:$D$954,T$3,'Исходные данные'!$F$2:$F$954,$H19&amp;"")&amp;"="&amp;(SUMIFS('Исходные данные'!$I$2:$I$954,'Исходные данные'!$D$2:$D$954,T$3,'Исходные данные'!$F$2:$F$954,$H19&amp;"")+SUMIFS('Исходные данные'!$J$2:$J$954,'Исходные данные'!$D$2:$D$954,T$3,'Исходные данные'!$F$2:$F$954,$H19&amp;"")))))</f>
        <v/>
      </c>
      <c r="U19" s="50" t="str">
        <f aca="false">IF(SUMIFS('Исходные данные'!$I$2:$I$954,'Исходные данные'!$D$2:$D$954,U$3,'Исходные данные'!$F$2:$F$954,$H19&amp;"")+SUMIFS('Исходные данные'!$J$2:$J$954,'Исходные данные'!$D$2:$D$954,U$3,'Исходные данные'!$F$2:$F$954,$H19&amp;"")=0,"",IF(SUMIFS('Исходные данные'!$J$2:$J$954,'Исходные данные'!$D$2:$D$954,U$3,'Исходные данные'!$F$2:$F$954,$H19&amp;"")=0,SUMIFS('Исходные данные'!$I$2:$I$954,'Исходные данные'!$D$2:$D$954,U$3,'Исходные данные'!$F$2:$F$954,$H19&amp;""),IF(SUMIFS('Исходные данные'!$I$2:$I$954,'Исходные данные'!$D$2:$D$954,U$3,'Исходные данные'!$F$2:$F$954,$H19&amp;"")=0,"0+"&amp;SUMIFS('Исходные данные'!$J$2:$J$954,'Исходные данные'!$D$2:$D$954,U$3,'Исходные данные'!$F$2:$F$954,$H19&amp;"")&amp;"="&amp;SUMIFS('Исходные данные'!$J$2:$J$954,'Исходные данные'!$D$2:$D$954,U$3,'Исходные данные'!$F$2:$F$954,$H19&amp;""),SUMIFS('Исходные данные'!$I$2:$I$954,'Исходные данные'!$D$2:$D$954,U$3,'Исходные данные'!$F$2:$F$954,$H19&amp;"")&amp;"+"&amp;SUMIFS('Исходные данные'!$J$2:$J$954,'Исходные данные'!$D$2:$D$954,U$3,'Исходные данные'!$F$2:$F$954,$H19&amp;"")&amp;"="&amp;(SUMIFS('Исходные данные'!$I$2:$I$954,'Исходные данные'!$D$2:$D$954,U$3,'Исходные данные'!$F$2:$F$954,$H19&amp;"")+SUMIFS('Исходные данные'!$J$2:$J$954,'Исходные данные'!$D$2:$D$954,U$3,'Исходные данные'!$F$2:$F$954,$H19&amp;"")))))</f>
        <v>2+1=3</v>
      </c>
      <c r="V19" s="49" t="str">
        <f aca="false">IF(SUMIFS('Исходные данные'!$I$2:$I$954,'Исходные данные'!$D$2:$D$954,V$3,'Исходные данные'!$F$2:$F$954,$H19&amp;"")+SUMIFS('Исходные данные'!$J$2:$J$954,'Исходные данные'!$D$2:$D$954,V$3,'Исходные данные'!$F$2:$F$954,$H19&amp;"")=0,"",IF(SUMIFS('Исходные данные'!$J$2:$J$954,'Исходные данные'!$D$2:$D$954,V$3,'Исходные данные'!$F$2:$F$954,$H19&amp;"")=0,SUMIFS('Исходные данные'!$I$2:$I$954,'Исходные данные'!$D$2:$D$954,V$3,'Исходные данные'!$F$2:$F$954,$H19&amp;""),IF(SUMIFS('Исходные данные'!$I$2:$I$954,'Исходные данные'!$D$2:$D$954,V$3,'Исходные данные'!$F$2:$F$954,$H19&amp;"")=0,"0+"&amp;SUMIFS('Исходные данные'!$J$2:$J$954,'Исходные данные'!$D$2:$D$954,V$3,'Исходные данные'!$F$2:$F$954,$H19&amp;"")&amp;"="&amp;SUMIFS('Исходные данные'!$J$2:$J$954,'Исходные данные'!$D$2:$D$954,V$3,'Исходные данные'!$F$2:$F$954,$H19&amp;""),SUMIFS('Исходные данные'!$I$2:$I$954,'Исходные данные'!$D$2:$D$954,V$3,'Исходные данные'!$F$2:$F$954,$H19&amp;"")&amp;"+"&amp;SUMIFS('Исходные данные'!$J$2:$J$954,'Исходные данные'!$D$2:$D$954,V$3,'Исходные данные'!$F$2:$F$954,$H19&amp;"")&amp;"="&amp;(SUMIFS('Исходные данные'!$I$2:$I$954,'Исходные данные'!$D$2:$D$954,V$3,'Исходные данные'!$F$2:$F$954,$H19&amp;"")+SUMIFS('Исходные данные'!$J$2:$J$954,'Исходные данные'!$D$2:$D$954,V$3,'Исходные данные'!$F$2:$F$954,$H19&amp;"")))))</f>
        <v/>
      </c>
      <c r="W19" s="50" t="str">
        <f aca="false">IF(SUMIFS('Исходные данные'!$I$2:$I$954,'Исходные данные'!$D$2:$D$954,W$3,'Исходные данные'!$F$2:$F$954,$H19&amp;"")+SUMIFS('Исходные данные'!$J$2:$J$954,'Исходные данные'!$D$2:$D$954,W$3,'Исходные данные'!$F$2:$F$954,$H19&amp;"")=0,"",IF(SUMIFS('Исходные данные'!$J$2:$J$954,'Исходные данные'!$D$2:$D$954,W$3,'Исходные данные'!$F$2:$F$954,$H19&amp;"")=0,SUMIFS('Исходные данные'!$I$2:$I$954,'Исходные данные'!$D$2:$D$954,W$3,'Исходные данные'!$F$2:$F$954,$H19&amp;""),IF(SUMIFS('Исходные данные'!$I$2:$I$954,'Исходные данные'!$D$2:$D$954,W$3,'Исходные данные'!$F$2:$F$954,$H19&amp;"")=0,"0+"&amp;SUMIFS('Исходные данные'!$J$2:$J$954,'Исходные данные'!$D$2:$D$954,W$3,'Исходные данные'!$F$2:$F$954,$H19&amp;"")&amp;"="&amp;SUMIFS('Исходные данные'!$J$2:$J$954,'Исходные данные'!$D$2:$D$954,W$3,'Исходные данные'!$F$2:$F$954,$H19&amp;""),SUMIFS('Исходные данные'!$I$2:$I$954,'Исходные данные'!$D$2:$D$954,W$3,'Исходные данные'!$F$2:$F$954,$H19&amp;"")&amp;"+"&amp;SUMIFS('Исходные данные'!$J$2:$J$954,'Исходные данные'!$D$2:$D$954,W$3,'Исходные данные'!$F$2:$F$954,$H19&amp;"")&amp;"="&amp;(SUMIFS('Исходные данные'!$I$2:$I$954,'Исходные данные'!$D$2:$D$954,W$3,'Исходные данные'!$F$2:$F$954,$H19&amp;"")+SUMIFS('Исходные данные'!$J$2:$J$954,'Исходные данные'!$D$2:$D$954,W$3,'Исходные данные'!$F$2:$F$954,$H19&amp;"")))))</f>
        <v/>
      </c>
      <c r="X19" s="50" t="str">
        <f aca="false">IF(SUMIFS('Исходные данные'!$I$2:$I$954,'Исходные данные'!$D$2:$D$954,X$3,'Исходные данные'!$F$2:$F$954,$H19&amp;"")+SUMIFS('Исходные данные'!$J$2:$J$954,'Исходные данные'!$D$2:$D$954,X$3,'Исходные данные'!$F$2:$F$954,$H19&amp;"")=0,"",IF(SUMIFS('Исходные данные'!$J$2:$J$954,'Исходные данные'!$D$2:$D$954,X$3,'Исходные данные'!$F$2:$F$954,$H19&amp;"")=0,SUMIFS('Исходные данные'!$I$2:$I$954,'Исходные данные'!$D$2:$D$954,X$3,'Исходные данные'!$F$2:$F$954,$H19&amp;""),IF(SUMIFS('Исходные данные'!$I$2:$I$954,'Исходные данные'!$D$2:$D$954,X$3,'Исходные данные'!$F$2:$F$954,$H19&amp;"")=0,"0+"&amp;SUMIFS('Исходные данные'!$J$2:$J$954,'Исходные данные'!$D$2:$D$954,X$3,'Исходные данные'!$F$2:$F$954,$H19&amp;"")&amp;"="&amp;SUMIFS('Исходные данные'!$J$2:$J$954,'Исходные данные'!$D$2:$D$954,X$3,'Исходные данные'!$F$2:$F$954,$H19&amp;""),SUMIFS('Исходные данные'!$I$2:$I$954,'Исходные данные'!$D$2:$D$954,X$3,'Исходные данные'!$F$2:$F$954,$H19&amp;"")&amp;"+"&amp;SUMIFS('Исходные данные'!$J$2:$J$954,'Исходные данные'!$D$2:$D$954,X$3,'Исходные данные'!$F$2:$F$954,$H19&amp;"")&amp;"="&amp;(SUMIFS('Исходные данные'!$I$2:$I$954,'Исходные данные'!$D$2:$D$954,X$3,'Исходные данные'!$F$2:$F$954,$H19&amp;"")+SUMIFS('Исходные данные'!$J$2:$J$954,'Исходные данные'!$D$2:$D$954,X$3,'Исходные данные'!$F$2:$F$954,$H19&amp;"")))))</f>
        <v/>
      </c>
      <c r="Y19" s="52" t="str">
        <f aca="false">IF(SUMIFS('Исходные данные'!$I$2:$I$954,'Исходные данные'!$D$2:$D$954,Y$3,'Исходные данные'!$F$2:$F$954,$H19&amp;"")+SUMIFS('Исходные данные'!$J$2:$J$954,'Исходные данные'!$D$2:$D$954,Y$3,'Исходные данные'!$F$2:$F$954,$H19&amp;"")=0,"",IF(SUMIFS('Исходные данные'!$J$2:$J$954,'Исходные данные'!$D$2:$D$954,Y$3,'Исходные данные'!$F$2:$F$954,$H19&amp;"")=0,SUMIFS('Исходные данные'!$I$2:$I$954,'Исходные данные'!$D$2:$D$954,Y$3,'Исходные данные'!$F$2:$F$954,$H19&amp;""),IF(SUMIFS('Исходные данные'!$I$2:$I$954,'Исходные данные'!$D$2:$D$954,Y$3,'Исходные данные'!$F$2:$F$954,$H19&amp;"")=0,"0+"&amp;SUMIFS('Исходные данные'!$J$2:$J$954,'Исходные данные'!$D$2:$D$954,Y$3,'Исходные данные'!$F$2:$F$954,$H19&amp;"")&amp;"="&amp;SUMIFS('Исходные данные'!$J$2:$J$954,'Исходные данные'!$D$2:$D$954,Y$3,'Исходные данные'!$F$2:$F$954,$H19&amp;""),SUMIFS('Исходные данные'!$I$2:$I$954,'Исходные данные'!$D$2:$D$954,Y$3,'Исходные данные'!$F$2:$F$954,$H19&amp;"")&amp;"+"&amp;SUMIFS('Исходные данные'!$J$2:$J$954,'Исходные данные'!$D$2:$D$954,Y$3,'Исходные данные'!$F$2:$F$954,$H19&amp;"")&amp;"="&amp;(SUMIFS('Исходные данные'!$I$2:$I$954,'Исходные данные'!$D$2:$D$954,Y$3,'Исходные данные'!$F$2:$F$954,$H19&amp;"")+SUMIFS('Исходные данные'!$J$2:$J$954,'Исходные данные'!$D$2:$D$954,Y$3,'Исходные данные'!$F$2:$F$954,$H19&amp;"")))))</f>
        <v/>
      </c>
      <c r="Z19" s="49" t="str">
        <f aca="false">IF(SUMIFS('Исходные данные'!$I$2:$I$954,'Исходные данные'!$D$2:$D$954,Z$3,'Исходные данные'!$F$2:$F$954,$H19&amp;"")+SUMIFS('Исходные данные'!$J$2:$J$954,'Исходные данные'!$D$2:$D$954,Z$3,'Исходные данные'!$F$2:$F$954,$H19&amp;"")=0,"",IF(SUMIFS('Исходные данные'!$J$2:$J$954,'Исходные данные'!$D$2:$D$954,Z$3,'Исходные данные'!$F$2:$F$954,$H19&amp;"")=0,SUMIFS('Исходные данные'!$I$2:$I$954,'Исходные данные'!$D$2:$D$954,Z$3,'Исходные данные'!$F$2:$F$954,$H19&amp;""),IF(SUMIFS('Исходные данные'!$I$2:$I$954,'Исходные данные'!$D$2:$D$954,Z$3,'Исходные данные'!$F$2:$F$954,$H19&amp;"")=0,"0+"&amp;SUMIFS('Исходные данные'!$J$2:$J$954,'Исходные данные'!$D$2:$D$954,Z$3,'Исходные данные'!$F$2:$F$954,$H19&amp;"")&amp;"="&amp;SUMIFS('Исходные данные'!$J$2:$J$954,'Исходные данные'!$D$2:$D$954,Z$3,'Исходные данные'!$F$2:$F$954,$H19&amp;""),SUMIFS('Исходные данные'!$I$2:$I$954,'Исходные данные'!$D$2:$D$954,Z$3,'Исходные данные'!$F$2:$F$954,$H19&amp;"")&amp;"+"&amp;SUMIFS('Исходные данные'!$J$2:$J$954,'Исходные данные'!$D$2:$D$954,Z$3,'Исходные данные'!$F$2:$F$954,$H19&amp;"")&amp;"="&amp;(SUMIFS('Исходные данные'!$I$2:$I$954,'Исходные данные'!$D$2:$D$954,Z$3,'Исходные данные'!$F$2:$F$954,$H19&amp;"")+SUMIFS('Исходные данные'!$J$2:$J$954,'Исходные данные'!$D$2:$D$954,Z$3,'Исходные данные'!$F$2:$F$954,$H19&amp;"")))))</f>
        <v/>
      </c>
      <c r="AA19" s="50" t="str">
        <f aca="false">IF(SUMIFS('Исходные данные'!$I$2:$I$954,'Исходные данные'!$D$2:$D$954,AA$3,'Исходные данные'!$F$2:$F$954,$H19&amp;"")+SUMIFS('Исходные данные'!$J$2:$J$954,'Исходные данные'!$D$2:$D$954,AA$3,'Исходные данные'!$F$2:$F$954,$H19&amp;"")=0,"",IF(SUMIFS('Исходные данные'!$J$2:$J$954,'Исходные данные'!$D$2:$D$954,AA$3,'Исходные данные'!$F$2:$F$954,$H19&amp;"")=0,SUMIFS('Исходные данные'!$I$2:$I$954,'Исходные данные'!$D$2:$D$954,AA$3,'Исходные данные'!$F$2:$F$954,$H19&amp;""),IF(SUMIFS('Исходные данные'!$I$2:$I$954,'Исходные данные'!$D$2:$D$954,AA$3,'Исходные данные'!$F$2:$F$954,$H19&amp;"")=0,"0+"&amp;SUMIFS('Исходные данные'!$J$2:$J$954,'Исходные данные'!$D$2:$D$954,AA$3,'Исходные данные'!$F$2:$F$954,$H19&amp;"")&amp;"="&amp;SUMIFS('Исходные данные'!$J$2:$J$954,'Исходные данные'!$D$2:$D$954,AA$3,'Исходные данные'!$F$2:$F$954,$H19&amp;""),SUMIFS('Исходные данные'!$I$2:$I$954,'Исходные данные'!$D$2:$D$954,AA$3,'Исходные данные'!$F$2:$F$954,$H19&amp;"")&amp;"+"&amp;SUMIFS('Исходные данные'!$J$2:$J$954,'Исходные данные'!$D$2:$D$954,AA$3,'Исходные данные'!$F$2:$F$954,$H19&amp;"")&amp;"="&amp;(SUMIFS('Исходные данные'!$I$2:$I$954,'Исходные данные'!$D$2:$D$954,AA$3,'Исходные данные'!$F$2:$F$954,$H19&amp;"")+SUMIFS('Исходные данные'!$J$2:$J$954,'Исходные данные'!$D$2:$D$954,AA$3,'Исходные данные'!$F$2:$F$954,$H19&amp;"")))))</f>
        <v/>
      </c>
      <c r="AB19" s="50" t="str">
        <f aca="false">IF(SUMIFS('Исходные данные'!$I$2:$I$954,'Исходные данные'!$D$2:$D$954,AB$3,'Исходные данные'!$F$2:$F$954,$H19&amp;"")+SUMIFS('Исходные данные'!$J$2:$J$954,'Исходные данные'!$D$2:$D$954,AB$3,'Исходные данные'!$F$2:$F$954,$H19&amp;"")=0,"",IF(SUMIFS('Исходные данные'!$J$2:$J$954,'Исходные данные'!$D$2:$D$954,AB$3,'Исходные данные'!$F$2:$F$954,$H19&amp;"")=0,SUMIFS('Исходные данные'!$I$2:$I$954,'Исходные данные'!$D$2:$D$954,AB$3,'Исходные данные'!$F$2:$F$954,$H19&amp;""),IF(SUMIFS('Исходные данные'!$I$2:$I$954,'Исходные данные'!$D$2:$D$954,AB$3,'Исходные данные'!$F$2:$F$954,$H19&amp;"")=0,"0+"&amp;SUMIFS('Исходные данные'!$J$2:$J$954,'Исходные данные'!$D$2:$D$954,AB$3,'Исходные данные'!$F$2:$F$954,$H19&amp;"")&amp;"="&amp;SUMIFS('Исходные данные'!$J$2:$J$954,'Исходные данные'!$D$2:$D$954,AB$3,'Исходные данные'!$F$2:$F$954,$H19&amp;""),SUMIFS('Исходные данные'!$I$2:$I$954,'Исходные данные'!$D$2:$D$954,AB$3,'Исходные данные'!$F$2:$F$954,$H19&amp;"")&amp;"+"&amp;SUMIFS('Исходные данные'!$J$2:$J$954,'Исходные данные'!$D$2:$D$954,AB$3,'Исходные данные'!$F$2:$F$954,$H19&amp;"")&amp;"="&amp;(SUMIFS('Исходные данные'!$I$2:$I$954,'Исходные данные'!$D$2:$D$954,AB$3,'Исходные данные'!$F$2:$F$954,$H19&amp;"")+SUMIFS('Исходные данные'!$J$2:$J$954,'Исходные данные'!$D$2:$D$954,AB$3,'Исходные данные'!$F$2:$F$954,$H19&amp;"")))))</f>
        <v>1+1=2</v>
      </c>
      <c r="AC19" s="52" t="str">
        <f aca="false">IF(SUMIFS('Исходные данные'!$I$2:$I$954,'Исходные данные'!$D$2:$D$954,AC$3,'Исходные данные'!$F$2:$F$954,$H19&amp;"")+SUMIFS('Исходные данные'!$J$2:$J$954,'Исходные данные'!$D$2:$D$954,AC$3,'Исходные данные'!$F$2:$F$954,$H19&amp;"")=0,"",IF(SUMIFS('Исходные данные'!$J$2:$J$954,'Исходные данные'!$D$2:$D$954,AC$3,'Исходные данные'!$F$2:$F$954,$H19&amp;"")=0,SUMIFS('Исходные данные'!$I$2:$I$954,'Исходные данные'!$D$2:$D$954,AC$3,'Исходные данные'!$F$2:$F$954,$H19&amp;""),IF(SUMIFS('Исходные данные'!$I$2:$I$954,'Исходные данные'!$D$2:$D$954,AC$3,'Исходные данные'!$F$2:$F$954,$H19&amp;"")=0,"0+"&amp;SUMIFS('Исходные данные'!$J$2:$J$954,'Исходные данные'!$D$2:$D$954,AC$3,'Исходные данные'!$F$2:$F$954,$H19&amp;"")&amp;"="&amp;SUMIFS('Исходные данные'!$J$2:$J$954,'Исходные данные'!$D$2:$D$954,AC$3,'Исходные данные'!$F$2:$F$954,$H19&amp;""),SUMIFS('Исходные данные'!$I$2:$I$954,'Исходные данные'!$D$2:$D$954,AC$3,'Исходные данные'!$F$2:$F$954,$H19&amp;"")&amp;"+"&amp;SUMIFS('Исходные данные'!$J$2:$J$954,'Исходные данные'!$D$2:$D$954,AC$3,'Исходные данные'!$F$2:$F$954,$H19&amp;"")&amp;"="&amp;(SUMIFS('Исходные данные'!$I$2:$I$954,'Исходные данные'!$D$2:$D$954,AC$3,'Исходные данные'!$F$2:$F$954,$H19&amp;"")+SUMIFS('Исходные данные'!$J$2:$J$954,'Исходные данные'!$D$2:$D$954,AC$3,'Исходные данные'!$F$2:$F$954,$H19&amp;"")))))</f>
        <v>6+7=13</v>
      </c>
      <c r="AD19" s="50" t="str">
        <f aca="false">IF(SUMIFS('Исходные данные'!$I$2:$I$954,'Исходные данные'!$D$2:$D$954,AD$3,'Исходные данные'!$F$2:$F$954,$H19&amp;"")+SUMIFS('Исходные данные'!$J$2:$J$954,'Исходные данные'!$D$2:$D$954,AD$3,'Исходные данные'!$F$2:$F$954,$H19&amp;"")=0,"",IF(SUMIFS('Исходные данные'!$J$2:$J$954,'Исходные данные'!$D$2:$D$954,AD$3,'Исходные данные'!$F$2:$F$954,$H19&amp;"")=0,SUMIFS('Исходные данные'!$I$2:$I$954,'Исходные данные'!$D$2:$D$954,AD$3,'Исходные данные'!$F$2:$F$954,$H19&amp;""),IF(SUMIFS('Исходные данные'!$I$2:$I$954,'Исходные данные'!$D$2:$D$954,AD$3,'Исходные данные'!$F$2:$F$954,$H19&amp;"")=0,"0+"&amp;SUMIFS('Исходные данные'!$J$2:$J$954,'Исходные данные'!$D$2:$D$954,AD$3,'Исходные данные'!$F$2:$F$954,$H19&amp;"")&amp;"="&amp;SUMIFS('Исходные данные'!$J$2:$J$954,'Исходные данные'!$D$2:$D$954,AD$3,'Исходные данные'!$F$2:$F$954,$H19&amp;""),SUMIFS('Исходные данные'!$I$2:$I$954,'Исходные данные'!$D$2:$D$954,AD$3,'Исходные данные'!$F$2:$F$954,$H19&amp;"")&amp;"+"&amp;SUMIFS('Исходные данные'!$J$2:$J$954,'Исходные данные'!$D$2:$D$954,AD$3,'Исходные данные'!$F$2:$F$954,$H19&amp;"")&amp;"="&amp;(SUMIFS('Исходные данные'!$I$2:$I$954,'Исходные данные'!$D$2:$D$954,AD$3,'Исходные данные'!$F$2:$F$954,$H19&amp;"")+SUMIFS('Исходные данные'!$J$2:$J$954,'Исходные данные'!$D$2:$D$954,AD$3,'Исходные данные'!$F$2:$F$954,$H19&amp;"")))))</f>
        <v>4+5=9</v>
      </c>
    </row>
    <row r="20" customFormat="false" ht="25.5" hidden="false" customHeight="true" outlineLevel="0" collapsed="false">
      <c r="A20" s="43" t="n">
        <v>18</v>
      </c>
      <c r="B20" s="28" t="s">
        <v>196</v>
      </c>
      <c r="C20" s="29" t="s">
        <v>20</v>
      </c>
      <c r="D20" s="30"/>
      <c r="E20" s="29" t="s">
        <v>197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данные'!$I$2:$I$954,'Исходные данные'!$D$2:$D$954,O$3,'Исходные данные'!$F$2:$F$954,$H21&amp;"",'Исходные данные'!$L$2:$L$954,"УТТ")+SUMIFS('Исходные данные'!$J$2:$J$954,'Исходные данные'!$D$2:$D$954,O$3,'Исходные данные'!$F$2:$F$954,$H21&amp;"",'Исходные данные'!$L$2:$L$954,"УТТ")=0,"","утт-"&amp;(SUMIFS('Исходные данные'!$I$2:$I$954,'Исходные данные'!$D$2:$D$954,O$3,'Исходные данные'!$F$2:$F$954,$H21&amp;"",'Исходные данные'!$L$2:$L$954,"УТТ")+SUMIFS('Исходные данные'!$J$2:$J$954,'Исходные данные'!$D$2:$D$954,O$3,'Исходные данные'!$F$2:$F$954,$H21&amp;"",'Исходные данные'!$L$2:$L$954,"УТТ")))</f>
        <v/>
      </c>
      <c r="P20" s="61" t="str">
        <f aca="false">IF(SUMIFS('Исходные данные'!$I$2:$I$954,'Исходные данные'!$D$2:$D$954,P$3,'Исходные данные'!$F$2:$F$954,$H21&amp;"",'Исходные данные'!$L$2:$L$954,"УТТ")+SUMIFS('Исходные данные'!$J$2:$J$954,'Исходные данные'!$D$2:$D$954,P$3,'Исходные данные'!$F$2:$F$954,$H21&amp;"",'Исходные данные'!$L$2:$L$954,"УТТ")=0,"","утт-"&amp;(SUMIFS('Исходные данные'!$I$2:$I$954,'Исходные данные'!$D$2:$D$954,P$3,'Исходные данные'!$F$2:$F$954,$H21&amp;"",'Исходные данные'!$L$2:$L$954,"УТТ")+SUMIFS('Исходные данные'!$J$2:$J$954,'Исходные данные'!$D$2:$D$954,P$3,'Исходные данные'!$F$2:$F$954,$H21&amp;"",'Исходные данные'!$L$2:$L$954,"УТТ")))</f>
        <v/>
      </c>
      <c r="Q20" s="60" t="str">
        <f aca="false">IF(SUMIFS('Исходные данные'!$I$2:$I$954,'Исходные данные'!$D$2:$D$954,Q$3,'Исходные данные'!$F$2:$F$954,$H21&amp;"",'Исходные данные'!$L$2:$L$954,"УТТ")+SUMIFS('Исходные данные'!$J$2:$J$954,'Исходные данные'!$D$2:$D$954,Q$3,'Исходные данные'!$F$2:$F$954,$H21&amp;"",'Исходные данные'!$L$2:$L$954,"УТТ")=0,"","утт-"&amp;(SUMIFS('Исходные данные'!$I$2:$I$954,'Исходные данные'!$D$2:$D$954,Q$3,'Исходные данные'!$F$2:$F$954,$H21&amp;"",'Исходные данные'!$L$2:$L$954,"УТТ")+SUMIFS('Исходные данные'!$J$2:$J$954,'Исходные данные'!$D$2:$D$954,Q$3,'Исходные данные'!$F$2:$F$954,$H21&amp;"",'Исходные данные'!$L$2:$L$954,"УТТ")))</f>
        <v/>
      </c>
      <c r="R20" s="62" t="str">
        <f aca="false">IF(SUMIFS('Исходные данные'!$I$2:$I$954,'Исходные данные'!$D$2:$D$954,R$3,'Исходные данные'!$F$2:$F$954,$H21&amp;"",'Исходные данные'!$L$2:$L$954,"УТТ")+SUMIFS('Исходные данные'!$J$2:$J$954,'Исходные данные'!$D$2:$D$954,R$3,'Исходные данные'!$F$2:$F$954,$H21&amp;"",'Исходные данные'!$L$2:$L$954,"УТТ")=0,"","утт-"&amp;(SUMIFS('Исходные данные'!$I$2:$I$954,'Исходные данные'!$D$2:$D$954,R$3,'Исходные данные'!$F$2:$F$954,$H21&amp;"",'Исходные данные'!$L$2:$L$954,"УТТ")+SUMIFS('Исходные данные'!$J$2:$J$954,'Исходные данные'!$D$2:$D$954,R$3,'Исходные данные'!$F$2:$F$954,$H21&amp;"",'Исходные данные'!$L$2:$L$954,"УТТ")))</f>
        <v/>
      </c>
      <c r="S20" s="61" t="str">
        <f aca="false">IF(SUMIFS('Исходные данные'!$I$2:$I$954,'Исходные данные'!$D$2:$D$954,S$3,'Исходные данные'!$F$2:$F$954,$H21&amp;"",'Исходные данные'!$L$2:$L$954,"УТТ")+SUMIFS('Исходные данные'!$J$2:$J$954,'Исходные данные'!$D$2:$D$954,S$3,'Исходные данные'!$F$2:$F$954,$H21&amp;"",'Исходные данные'!$L$2:$L$954,"УТТ")=0,"","утт-"&amp;(SUMIFS('Исходные данные'!$I$2:$I$954,'Исходные данные'!$D$2:$D$954,S$3,'Исходные данные'!$F$2:$F$954,$H21&amp;"",'Исходные данные'!$L$2:$L$954,"УТТ")+SUMIFS('Исходные данные'!$J$2:$J$954,'Исходные данные'!$D$2:$D$954,S$3,'Исходные данные'!$F$2:$F$954,$H21&amp;"",'Исходные данные'!$L$2:$L$954,"УТТ")))</f>
        <v/>
      </c>
      <c r="T20" s="60" t="str">
        <f aca="false">IF(SUMIFS('Исходные данные'!$I$2:$I$954,'Исходные данные'!$D$2:$D$954,T$3,'Исходные данные'!$F$2:$F$954,$H21&amp;"",'Исходные данные'!$L$2:$L$954,"УТТ")+SUMIFS('Исходные данные'!$J$2:$J$954,'Исходные данные'!$D$2:$D$954,T$3,'Исходные данные'!$F$2:$F$954,$H21&amp;"",'Исходные данные'!$L$2:$L$954,"УТТ")=0,"","утт-"&amp;(SUMIFS('Исходные данные'!$I$2:$I$954,'Исходные данные'!$D$2:$D$954,T$3,'Исходные данные'!$F$2:$F$954,$H21&amp;"",'Исходные данные'!$L$2:$L$954,"УТТ")+SUMIFS('Исходные данные'!$J$2:$J$954,'Исходные данные'!$D$2:$D$954,T$3,'Исходные данные'!$F$2:$F$954,$H21&amp;"",'Исходные данные'!$L$2:$L$954,"УТТ")))</f>
        <v/>
      </c>
      <c r="U20" s="61" t="str">
        <f aca="false">IF(SUMIFS('Исходные данные'!$I$2:$I$954,'Исходные данные'!$D$2:$D$954,U$3,'Исходные данные'!$F$2:$F$954,$H21&amp;"",'Исходные данные'!$L$2:$L$954,"УТТ")+SUMIFS('Исходные данные'!$J$2:$J$954,'Исходные данные'!$D$2:$D$954,U$3,'Исходные данные'!$F$2:$F$954,$H21&amp;"",'Исходные данные'!$L$2:$L$954,"УТТ")=0,"","утт-"&amp;(SUMIFS('Исходные данные'!$I$2:$I$954,'Исходные данные'!$D$2:$D$954,U$3,'Исходные данные'!$F$2:$F$954,$H21&amp;"",'Исходные данные'!$L$2:$L$954,"УТТ")+SUMIFS('Исходные данные'!$J$2:$J$954,'Исходные данные'!$D$2:$D$954,U$3,'Исходные данные'!$F$2:$F$954,$H21&amp;"",'Исходные данные'!$L$2:$L$954,"УТТ")))</f>
        <v/>
      </c>
      <c r="V20" s="60" t="str">
        <f aca="false">IF(SUMIFS('Исходные данные'!$I$2:$I$954,'Исходные данные'!$D$2:$D$954,V$3,'Исходные данные'!$F$2:$F$954,$H21&amp;"",'Исходные данные'!$L$2:$L$954,"УТТ")+SUMIFS('Исходные данные'!$J$2:$J$954,'Исходные данные'!$D$2:$D$954,V$3,'Исходные данные'!$F$2:$F$954,$H21&amp;"",'Исходные данные'!$L$2:$L$954,"УТТ")=0,"","утт-"&amp;(SUMIFS('Исходные данные'!$I$2:$I$954,'Исходные данные'!$D$2:$D$954,V$3,'Исходные данные'!$F$2:$F$954,$H21&amp;"",'Исходные данные'!$L$2:$L$954,"УТТ")+SUMIFS('Исходные данные'!$J$2:$J$954,'Исходные данные'!$D$2:$D$954,V$3,'Исходные данные'!$F$2:$F$954,$H21&amp;"",'Исходные данные'!$L$2:$L$954,"УТТ")))</f>
        <v/>
      </c>
      <c r="W20" s="61" t="str">
        <f aca="false">IF(SUMIFS('Исходные данные'!$I$2:$I$954,'Исходные данные'!$D$2:$D$954,W$3,'Исходные данные'!$F$2:$F$954,$H21&amp;"",'Исходные данные'!$L$2:$L$954,"УТТ")+SUMIFS('Исходные данные'!$J$2:$J$954,'Исходные данные'!$D$2:$D$954,W$3,'Исходные данные'!$F$2:$F$954,$H21&amp;"",'Исходные данные'!$L$2:$L$954,"УТТ")=0,"","утт-"&amp;(SUMIFS('Исходные данные'!$I$2:$I$954,'Исходные данные'!$D$2:$D$954,W$3,'Исходные данные'!$F$2:$F$954,$H21&amp;"",'Исходные данные'!$L$2:$L$954,"УТТ")+SUMIFS('Исходные данные'!$J$2:$J$954,'Исходные данные'!$D$2:$D$954,W$3,'Исходные данные'!$F$2:$F$954,$H21&amp;"",'Исходные данные'!$L$2:$L$954,"УТТ")))</f>
        <v/>
      </c>
      <c r="X20" s="61" t="str">
        <f aca="false">IF(SUMIFS('Исходные данные'!$I$2:$I$954,'Исходные данные'!$D$2:$D$954,X$3,'Исходные данные'!$F$2:$F$954,$H21&amp;"",'Исходные данные'!$L$2:$L$954,"УТТ")+SUMIFS('Исходные данные'!$J$2:$J$954,'Исходные данные'!$D$2:$D$954,X$3,'Исходные данные'!$F$2:$F$954,$H21&amp;"",'Исходные данные'!$L$2:$L$954,"УТТ")=0,"","утт-"&amp;(SUMIFS('Исходные данные'!$I$2:$I$954,'Исходные данные'!$D$2:$D$954,X$3,'Исходные данные'!$F$2:$F$954,$H21&amp;"",'Исходные данные'!$L$2:$L$954,"УТТ")+SUMIFS('Исходные данные'!$J$2:$J$954,'Исходные данные'!$D$2:$D$954,X$3,'Исходные данные'!$F$2:$F$954,$H21&amp;"",'Исходные данные'!$L$2:$L$954,"УТТ")))</f>
        <v/>
      </c>
      <c r="Y20" s="63" t="str">
        <f aca="false">IF(SUMIFS('Исходные данные'!$I$2:$I$954,'Исходные данные'!$D$2:$D$954,Y$3,'Исходные данные'!$F$2:$F$954,$H21&amp;"",'Исходные данные'!$L$2:$L$954,"УТТ")+SUMIFS('Исходные данные'!$J$2:$J$954,'Исходные данные'!$D$2:$D$954,Y$3,'Исходные данные'!$F$2:$F$954,$H21&amp;"",'Исходные данные'!$L$2:$L$954,"УТТ")=0,"","утт-"&amp;(SUMIFS('Исходные данные'!$I$2:$I$954,'Исходные данные'!$D$2:$D$954,Y$3,'Исходные данные'!$F$2:$F$954,$H21&amp;"",'Исходные данные'!$L$2:$L$954,"УТТ")+SUMIFS('Исходные данные'!$J$2:$J$954,'Исходные данные'!$D$2:$D$954,Y$3,'Исходные данные'!$F$2:$F$954,$H21&amp;"",'Исходные данные'!$L$2:$L$954,"УТТ")))</f>
        <v/>
      </c>
      <c r="Z20" s="60" t="str">
        <f aca="false">IF(SUMIFS('Исходные данные'!$I$2:$I$954,'Исходные данные'!$D$2:$D$954,Z$3,'Исходные данные'!$F$2:$F$954,$H21&amp;"",'Исходные данные'!$L$2:$L$954,"УТТ")+SUMIFS('Исходные данные'!$J$2:$J$954,'Исходные данные'!$D$2:$D$954,Z$3,'Исходные данные'!$F$2:$F$954,$H21&amp;"",'Исходные данные'!$L$2:$L$954,"УТТ")=0,"","утт-"&amp;(SUMIFS('Исходные данные'!$I$2:$I$954,'Исходные данные'!$D$2:$D$954,Z$3,'Исходные данные'!$F$2:$F$954,$H21&amp;"",'Исходные данные'!$L$2:$L$954,"УТТ")+SUMIFS('Исходные данные'!$J$2:$J$954,'Исходные данные'!$D$2:$D$954,Z$3,'Исходные данные'!$F$2:$F$954,$H21&amp;"",'Исходные данные'!$L$2:$L$954,"УТТ")))</f>
        <v/>
      </c>
      <c r="AA20" s="61" t="str">
        <f aca="false">IF(SUMIFS('Исходные данные'!$I$2:$I$954,'Исходные данные'!$D$2:$D$954,AA$3,'Исходные данные'!$F$2:$F$954,$H21&amp;"",'Исходные данные'!$L$2:$L$954,"УТТ")+SUMIFS('Исходные данные'!$J$2:$J$954,'Исходные данные'!$D$2:$D$954,AA$3,'Исходные данные'!$F$2:$F$954,$H21&amp;"",'Исходные данные'!$L$2:$L$954,"УТТ")=0,"","утт-"&amp;(SUMIFS('Исходные данные'!$I$2:$I$954,'Исходные данные'!$D$2:$D$954,AA$3,'Исходные данные'!$F$2:$F$954,$H21&amp;"",'Исходные данные'!$L$2:$L$954,"УТТ")+SUMIFS('Исходные данные'!$J$2:$J$954,'Исходные данные'!$D$2:$D$954,AA$3,'Исходные данные'!$F$2:$F$954,$H21&amp;"",'Исходные данные'!$L$2:$L$954,"УТТ")))</f>
        <v/>
      </c>
      <c r="AB20" s="61" t="str">
        <f aca="false">IF(SUMIFS('Исходные данные'!$I$2:$I$954,'Исходные данные'!$D$2:$D$954,AB$3,'Исходные данные'!$F$2:$F$954,$H21&amp;"",'Исходные данные'!$L$2:$L$954,"УТТ")+SUMIFS('Исходные данные'!$J$2:$J$954,'Исходные данные'!$D$2:$D$954,AB$3,'Исходные данные'!$F$2:$F$954,$H21&amp;"",'Исходные данные'!$L$2:$L$954,"УТТ")=0,"","утт-"&amp;(SUMIFS('Исходные данные'!$I$2:$I$954,'Исходные данные'!$D$2:$D$954,AB$3,'Исходные данные'!$F$2:$F$954,$H21&amp;"",'Исходные данные'!$L$2:$L$954,"УТТ")+SUMIFS('Исходные данные'!$J$2:$J$954,'Исходные данные'!$D$2:$D$954,AB$3,'Исходные данные'!$F$2:$F$954,$H21&amp;"",'Исходные данные'!$L$2:$L$954,"УТТ")))</f>
        <v/>
      </c>
      <c r="AC20" s="60" t="str">
        <f aca="false">IF(SUMIFS('Исходные данные'!$I$2:$I$954,'Исходные данные'!$D$2:$D$954,AC$3,'Исходные данные'!$F$2:$F$954,$H21&amp;"",'Исходные данные'!$L$2:$L$954,"УТТ")+SUMIFS('Исходные данные'!$J$2:$J$954,'Исходные данные'!$D$2:$D$954,AC$3,'Исходные данные'!$F$2:$F$954,$H21&amp;"",'Исходные данные'!$L$2:$L$954,"УТТ")=0,"","утт-"&amp;(SUMIFS('Исходные данные'!$I$2:$I$954,'Исходные данные'!$D$2:$D$954,AC$3,'Исходные данные'!$F$2:$F$954,$H21&amp;"",'Исходные данные'!$L$2:$L$954,"УТТ")+SUMIFS('Исходные данные'!$J$2:$J$954,'Исходные данные'!$D$2:$D$954,AC$3,'Исходные данные'!$F$2:$F$954,$H21&amp;"",'Исходные данные'!$L$2:$L$954,"УТТ")))</f>
        <v/>
      </c>
      <c r="AD20" s="61" t="str">
        <f aca="false">IF(SUMIFS('Исходные данные'!$I$2:$I$954,'Исходные данные'!$D$2:$D$954,AD$3,'Исходные данные'!$F$2:$F$954,$H21&amp;"",'Исходные данные'!$L$2:$L$954,"УТТ")+SUMIFS('Исходные данные'!$J$2:$J$954,'Исходные данные'!$D$2:$D$954,AD$3,'Исходные данные'!$F$2:$F$954,$H21&amp;"",'Исходные данные'!$L$2:$L$954,"УТТ")=0,"","утт-"&amp;(SUMIFS('Исходные данные'!$I$2:$I$954,'Исходные данные'!$D$2:$D$954,AD$3,'Исходные данные'!$F$2:$F$954,$H21&amp;"",'Исходные данные'!$L$2:$L$954,"УТТ")+SUMIFS('Исходные данные'!$J$2:$J$954,'Исходные данные'!$D$2:$D$954,AD$3,'Исходные данные'!$F$2:$F$954,$H21&amp;"",'Исходные данные'!$L$2:$L$954,"УТТ")))</f>
        <v/>
      </c>
    </row>
    <row r="21" customFormat="false" ht="25.5" hidden="false" customHeight="true" outlineLevel="0" collapsed="false">
      <c r="A21" s="27" t="n">
        <v>19</v>
      </c>
      <c r="B21" s="28" t="s">
        <v>198</v>
      </c>
      <c r="C21" s="29" t="s">
        <v>20</v>
      </c>
      <c r="D21" s="30"/>
      <c r="E21" s="29" t="s">
        <v>199</v>
      </c>
      <c r="F21" s="29" t="s">
        <v>20</v>
      </c>
      <c r="G21" s="64"/>
      <c r="H21" s="32" t="n">
        <v>50</v>
      </c>
      <c r="I21" s="44" t="s">
        <v>66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данные'!$I$2:$I$954,'Исходные данные'!$D$2:$D$954,O$3,'Исходные данные'!$F$2:$F$954,$H21&amp;"")+SUMIFS('Исходные данные'!$J$2:$J$954,'Исходные данные'!$D$2:$D$954,O$3,'Исходные данные'!$F$2:$F$954,$H21&amp;"")=0,"",IF(SUMIFS('Исходные данные'!$J$2:$J$954,'Исходные данные'!$D$2:$D$954,O$3,'Исходные данные'!$F$2:$F$954,$H21&amp;"")=0,SUMIFS('Исходные данные'!$I$2:$I$954,'Исходные данные'!$D$2:$D$954,O$3,'Исходные данные'!$F$2:$F$954,$H21&amp;""),IF(SUMIFS('Исходные данные'!$I$2:$I$954,'Исходные данные'!$D$2:$D$954,O$3,'Исходные данные'!$F$2:$F$954,$H21&amp;"")=0,"0+"&amp;SUMIFS('Исходные данные'!$J$2:$J$954,'Исходные данные'!$D$2:$D$954,O$3,'Исходные данные'!$F$2:$F$954,$H21&amp;"")&amp;"="&amp;SUMIFS('Исходные данные'!$J$2:$J$954,'Исходные данные'!$D$2:$D$954,O$3,'Исходные данные'!$F$2:$F$954,$H21&amp;""),SUMIFS('Исходные данные'!$I$2:$I$954,'Исходные данные'!$D$2:$D$954,O$3,'Исходные данные'!$F$2:$F$954,$H21&amp;"")&amp;"+"&amp;SUMIFS('Исходные данные'!$J$2:$J$954,'Исходные данные'!$D$2:$D$954,O$3,'Исходные данные'!$F$2:$F$954,$H21&amp;"")&amp;"="&amp;(SUMIFS('Исходные данные'!$I$2:$I$954,'Исходные данные'!$D$2:$D$954,O$3,'Исходные данные'!$F$2:$F$954,$H21&amp;"")+SUMIFS('Исходные данные'!$J$2:$J$954,'Исходные данные'!$D$2:$D$954,O$3,'Исходные данные'!$F$2:$F$954,$H21&amp;"")))))</f>
        <v/>
      </c>
      <c r="P21" s="50" t="str">
        <f aca="false">IF(SUMIFS('Исходные данные'!$I$2:$I$954,'Исходные данные'!$D$2:$D$954,P$3,'Исходные данные'!$F$2:$F$954,$H21&amp;"")+SUMIFS('Исходные данные'!$J$2:$J$954,'Исходные данные'!$D$2:$D$954,P$3,'Исходные данные'!$F$2:$F$954,$H21&amp;"")=0,"",IF(SUMIFS('Исходные данные'!$J$2:$J$954,'Исходные данные'!$D$2:$D$954,P$3,'Исходные данные'!$F$2:$F$954,$H21&amp;"")=0,SUMIFS('Исходные данные'!$I$2:$I$954,'Исходные данные'!$D$2:$D$954,P$3,'Исходные данные'!$F$2:$F$954,$H21&amp;""),IF(SUMIFS('Исходные данные'!$I$2:$I$954,'Исходные данные'!$D$2:$D$954,P$3,'Исходные данные'!$F$2:$F$954,$H21&amp;"")=0,"0+"&amp;SUMIFS('Исходные данные'!$J$2:$J$954,'Исходные данные'!$D$2:$D$954,P$3,'Исходные данные'!$F$2:$F$954,$H21&amp;"")&amp;"="&amp;SUMIFS('Исходные данные'!$J$2:$J$954,'Исходные данные'!$D$2:$D$954,P$3,'Исходные данные'!$F$2:$F$954,$H21&amp;""),SUMIFS('Исходные данные'!$I$2:$I$954,'Исходные данные'!$D$2:$D$954,P$3,'Исходные данные'!$F$2:$F$954,$H21&amp;"")&amp;"+"&amp;SUMIFS('Исходные данные'!$J$2:$J$954,'Исходные данные'!$D$2:$D$954,P$3,'Исходные данные'!$F$2:$F$954,$H21&amp;"")&amp;"="&amp;(SUMIFS('Исходные данные'!$I$2:$I$954,'Исходные данные'!$D$2:$D$954,P$3,'Исходные данные'!$F$2:$F$954,$H21&amp;"")+SUMIFS('Исходные данные'!$J$2:$J$954,'Исходные данные'!$D$2:$D$954,P$3,'Исходные данные'!$F$2:$F$954,$H21&amp;"")))))</f>
        <v/>
      </c>
      <c r="Q21" s="50" t="str">
        <f aca="false">IF(SUMIFS('Исходные данные'!$I$2:$I$954,'Исходные данные'!$D$2:$D$954,Q$3,'Исходные данные'!$F$2:$F$954,$H21&amp;"")+SUMIFS('Исходные данные'!$J$2:$J$954,'Исходные данные'!$D$2:$D$954,Q$3,'Исходные данные'!$F$2:$F$954,$H21&amp;"")=0,"",IF(SUMIFS('Исходные данные'!$J$2:$J$954,'Исходные данные'!$D$2:$D$954,Q$3,'Исходные данные'!$F$2:$F$954,$H21&amp;"")=0,SUMIFS('Исходные данные'!$I$2:$I$954,'Исходные данные'!$D$2:$D$954,Q$3,'Исходные данные'!$F$2:$F$954,$H21&amp;""),IF(SUMIFS('Исходные данные'!$I$2:$I$954,'Исходные данные'!$D$2:$D$954,Q$3,'Исходные данные'!$F$2:$F$954,$H21&amp;"")=0,"0+"&amp;SUMIFS('Исходные данные'!$J$2:$J$954,'Исходные данные'!$D$2:$D$954,Q$3,'Исходные данные'!$F$2:$F$954,$H21&amp;"")&amp;"="&amp;SUMIFS('Исходные данные'!$J$2:$J$954,'Исходные данные'!$D$2:$D$954,Q$3,'Исходные данные'!$F$2:$F$954,$H21&amp;""),SUMIFS('Исходные данные'!$I$2:$I$954,'Исходные данные'!$D$2:$D$954,Q$3,'Исходные данные'!$F$2:$F$954,$H21&amp;"")&amp;"+"&amp;SUMIFS('Исходные данные'!$J$2:$J$954,'Исходные данные'!$D$2:$D$954,Q$3,'Исходные данные'!$F$2:$F$954,$H21&amp;"")&amp;"="&amp;(SUMIFS('Исходные данные'!$I$2:$I$954,'Исходные данные'!$D$2:$D$954,Q$3,'Исходные данные'!$F$2:$F$954,$H21&amp;"")+SUMIFS('Исходные данные'!$J$2:$J$954,'Исходные данные'!$D$2:$D$954,Q$3,'Исходные данные'!$F$2:$F$954,$H21&amp;"")))))</f>
        <v/>
      </c>
      <c r="R21" s="51" t="str">
        <f aca="false">IF(SUMIFS('Исходные данные'!$I$2:$I$954,'Исходные данные'!$D$2:$D$954,R$3,'Исходные данные'!$F$2:$F$954,$H21&amp;"")+SUMIFS('Исходные данные'!$J$2:$J$954,'Исходные данные'!$D$2:$D$954,R$3,'Исходные данные'!$F$2:$F$954,$H21&amp;"")=0,"",IF(SUMIFS('Исходные данные'!$J$2:$J$954,'Исходные данные'!$D$2:$D$954,R$3,'Исходные данные'!$F$2:$F$954,$H21&amp;"")=0,SUMIFS('Исходные данные'!$I$2:$I$954,'Исходные данные'!$D$2:$D$954,R$3,'Исходные данные'!$F$2:$F$954,$H21&amp;""),IF(SUMIFS('Исходные данные'!$I$2:$I$954,'Исходные данные'!$D$2:$D$954,R$3,'Исходные данные'!$F$2:$F$954,$H21&amp;"")=0,"0+"&amp;SUMIFS('Исходные данные'!$J$2:$J$954,'Исходные данные'!$D$2:$D$954,R$3,'Исходные данные'!$F$2:$F$954,$H21&amp;"")&amp;"="&amp;SUMIFS('Исходные данные'!$J$2:$J$954,'Исходные данные'!$D$2:$D$954,R$3,'Исходные данные'!$F$2:$F$954,$H21&amp;""),SUMIFS('Исходные данные'!$I$2:$I$954,'Исходные данные'!$D$2:$D$954,R$3,'Исходные данные'!$F$2:$F$954,$H21&amp;"")&amp;"+"&amp;SUMIFS('Исходные данные'!$J$2:$J$954,'Исходные данные'!$D$2:$D$954,R$3,'Исходные данные'!$F$2:$F$954,$H21&amp;"")&amp;"="&amp;(SUMIFS('Исходные данные'!$I$2:$I$954,'Исходные данные'!$D$2:$D$954,R$3,'Исходные данные'!$F$2:$F$954,$H21&amp;"")+SUMIFS('Исходные данные'!$J$2:$J$954,'Исходные данные'!$D$2:$D$954,R$3,'Исходные данные'!$F$2:$F$954,$H21&amp;"")))))</f>
        <v/>
      </c>
      <c r="S21" s="50" t="str">
        <f aca="false">IF(SUMIFS('Исходные данные'!$I$2:$I$954,'Исходные данные'!$D$2:$D$954,S$3,'Исходные данные'!$F$2:$F$954,$H21&amp;"")+SUMIFS('Исходные данные'!$J$2:$J$954,'Исходные данные'!$D$2:$D$954,S$3,'Исходные данные'!$F$2:$F$954,$H21&amp;"")=0,"",IF(SUMIFS('Исходные данные'!$J$2:$J$954,'Исходные данные'!$D$2:$D$954,S$3,'Исходные данные'!$F$2:$F$954,$H21&amp;"")=0,SUMIFS('Исходные данные'!$I$2:$I$954,'Исходные данные'!$D$2:$D$954,S$3,'Исходные данные'!$F$2:$F$954,$H21&amp;""),IF(SUMIFS('Исходные данные'!$I$2:$I$954,'Исходные данные'!$D$2:$D$954,S$3,'Исходные данные'!$F$2:$F$954,$H21&amp;"")=0,"0+"&amp;SUMIFS('Исходные данные'!$J$2:$J$954,'Исходные данные'!$D$2:$D$954,S$3,'Исходные данные'!$F$2:$F$954,$H21&amp;"")&amp;"="&amp;SUMIFS('Исходные данные'!$J$2:$J$954,'Исходные данные'!$D$2:$D$954,S$3,'Исходные данные'!$F$2:$F$954,$H21&amp;""),SUMIFS('Исходные данные'!$I$2:$I$954,'Исходные данные'!$D$2:$D$954,S$3,'Исходные данные'!$F$2:$F$954,$H21&amp;"")&amp;"+"&amp;SUMIFS('Исходные данные'!$J$2:$J$954,'Исходные данные'!$D$2:$D$954,S$3,'Исходные данные'!$F$2:$F$954,$H21&amp;"")&amp;"="&amp;(SUMIFS('Исходные данные'!$I$2:$I$954,'Исходные данные'!$D$2:$D$954,S$3,'Исходные данные'!$F$2:$F$954,$H21&amp;"")+SUMIFS('Исходные данные'!$J$2:$J$954,'Исходные данные'!$D$2:$D$954,S$3,'Исходные данные'!$F$2:$F$954,$H21&amp;"")))))</f>
        <v/>
      </c>
      <c r="T21" s="49" t="str">
        <f aca="false">IF(SUMIFS('Исходные данные'!$I$2:$I$954,'Исходные данные'!$D$2:$D$954,T$3,'Исходные данные'!$F$2:$F$954,$H21&amp;"")+SUMIFS('Исходные данные'!$J$2:$J$954,'Исходные данные'!$D$2:$D$954,T$3,'Исходные данные'!$F$2:$F$954,$H21&amp;"")=0,"",IF(SUMIFS('Исходные данные'!$J$2:$J$954,'Исходные данные'!$D$2:$D$954,T$3,'Исходные данные'!$F$2:$F$954,$H21&amp;"")=0,SUMIFS('Исходные данные'!$I$2:$I$954,'Исходные данные'!$D$2:$D$954,T$3,'Исходные данные'!$F$2:$F$954,$H21&amp;""),IF(SUMIFS('Исходные данные'!$I$2:$I$954,'Исходные данные'!$D$2:$D$954,T$3,'Исходные данные'!$F$2:$F$954,$H21&amp;"")=0,"0+"&amp;SUMIFS('Исходные данные'!$J$2:$J$954,'Исходные данные'!$D$2:$D$954,T$3,'Исходные данные'!$F$2:$F$954,$H21&amp;"")&amp;"="&amp;SUMIFS('Исходные данные'!$J$2:$J$954,'Исходные данные'!$D$2:$D$954,T$3,'Исходные данные'!$F$2:$F$954,$H21&amp;""),SUMIFS('Исходные данные'!$I$2:$I$954,'Исходные данные'!$D$2:$D$954,T$3,'Исходные данные'!$F$2:$F$954,$H21&amp;"")&amp;"+"&amp;SUMIFS('Исходные данные'!$J$2:$J$954,'Исходные данные'!$D$2:$D$954,T$3,'Исходные данные'!$F$2:$F$954,$H21&amp;"")&amp;"="&amp;(SUMIFS('Исходные данные'!$I$2:$I$954,'Исходные данные'!$D$2:$D$954,T$3,'Исходные данные'!$F$2:$F$954,$H21&amp;"")+SUMIFS('Исходные данные'!$J$2:$J$954,'Исходные данные'!$D$2:$D$954,T$3,'Исходные данные'!$F$2:$F$954,$H21&amp;"")))))</f>
        <v/>
      </c>
      <c r="U21" s="50" t="n">
        <f aca="false">IF(SUMIFS('Исходные данные'!$I$2:$I$954,'Исходные данные'!$D$2:$D$954,U$3,'Исходные данные'!$F$2:$F$954,$H21&amp;"")+SUMIFS('Исходные данные'!$J$2:$J$954,'Исходные данные'!$D$2:$D$954,U$3,'Исходные данные'!$F$2:$F$954,$H21&amp;"")=0,"",IF(SUMIFS('Исходные данные'!$J$2:$J$954,'Исходные данные'!$D$2:$D$954,U$3,'Исходные данные'!$F$2:$F$954,$H21&amp;"")=0,SUMIFS('Исходные данные'!$I$2:$I$954,'Исходные данные'!$D$2:$D$954,U$3,'Исходные данные'!$F$2:$F$954,$H21&amp;""),IF(SUMIFS('Исходные данные'!$I$2:$I$954,'Исходные данные'!$D$2:$D$954,U$3,'Исходные данные'!$F$2:$F$954,$H21&amp;"")=0,"0+"&amp;SUMIFS('Исходные данные'!$J$2:$J$954,'Исходные данные'!$D$2:$D$954,U$3,'Исходные данные'!$F$2:$F$954,$H21&amp;"")&amp;"="&amp;SUMIFS('Исходные данные'!$J$2:$J$954,'Исходные данные'!$D$2:$D$954,U$3,'Исходные данные'!$F$2:$F$954,$H21&amp;""),SUMIFS('Исходные данные'!$I$2:$I$954,'Исходные данные'!$D$2:$D$954,U$3,'Исходные данные'!$F$2:$F$954,$H21&amp;"")&amp;"+"&amp;SUMIFS('Исходные данные'!$J$2:$J$954,'Исходные данные'!$D$2:$D$954,U$3,'Исходные данные'!$F$2:$F$954,$H21&amp;"")&amp;"="&amp;(SUMIFS('Исходные данные'!$I$2:$I$954,'Исходные данные'!$D$2:$D$954,U$3,'Исходные данные'!$F$2:$F$954,$H21&amp;"")+SUMIFS('Исходные данные'!$J$2:$J$954,'Исходные данные'!$D$2:$D$954,U$3,'Исходные данные'!$F$2:$F$954,$H21&amp;"")))))</f>
        <v>2</v>
      </c>
      <c r="V21" s="49" t="str">
        <f aca="false">IF(SUMIFS('Исходные данные'!$I$2:$I$954,'Исходные данные'!$D$2:$D$954,V$3,'Исходные данные'!$F$2:$F$954,$H21&amp;"")+SUMIFS('Исходные данные'!$J$2:$J$954,'Исходные данные'!$D$2:$D$954,V$3,'Исходные данные'!$F$2:$F$954,$H21&amp;"")=0,"",IF(SUMIFS('Исходные данные'!$J$2:$J$954,'Исходные данные'!$D$2:$D$954,V$3,'Исходные данные'!$F$2:$F$954,$H21&amp;"")=0,SUMIFS('Исходные данные'!$I$2:$I$954,'Исходные данные'!$D$2:$D$954,V$3,'Исходные данные'!$F$2:$F$954,$H21&amp;""),IF(SUMIFS('Исходные данные'!$I$2:$I$954,'Исходные данные'!$D$2:$D$954,V$3,'Исходные данные'!$F$2:$F$954,$H21&amp;"")=0,"0+"&amp;SUMIFS('Исходные данные'!$J$2:$J$954,'Исходные данные'!$D$2:$D$954,V$3,'Исходные данные'!$F$2:$F$954,$H21&amp;"")&amp;"="&amp;SUMIFS('Исходные данные'!$J$2:$J$954,'Исходные данные'!$D$2:$D$954,V$3,'Исходные данные'!$F$2:$F$954,$H21&amp;""),SUMIFS('Исходные данные'!$I$2:$I$954,'Исходные данные'!$D$2:$D$954,V$3,'Исходные данные'!$F$2:$F$954,$H21&amp;"")&amp;"+"&amp;SUMIFS('Исходные данные'!$J$2:$J$954,'Исходные данные'!$D$2:$D$954,V$3,'Исходные данные'!$F$2:$F$954,$H21&amp;"")&amp;"="&amp;(SUMIFS('Исходные данные'!$I$2:$I$954,'Исходные данные'!$D$2:$D$954,V$3,'Исходные данные'!$F$2:$F$954,$H21&amp;"")+SUMIFS('Исходные данные'!$J$2:$J$954,'Исходные данные'!$D$2:$D$954,V$3,'Исходные данные'!$F$2:$F$954,$H21&amp;"")))))</f>
        <v/>
      </c>
      <c r="W21" s="50" t="str">
        <f aca="false">IF(SUMIFS('Исходные данные'!$I$2:$I$954,'Исходные данные'!$D$2:$D$954,W$3,'Исходные данные'!$F$2:$F$954,$H21&amp;"")+SUMIFS('Исходные данные'!$J$2:$J$954,'Исходные данные'!$D$2:$D$954,W$3,'Исходные данные'!$F$2:$F$954,$H21&amp;"")=0,"",IF(SUMIFS('Исходные данные'!$J$2:$J$954,'Исходные данные'!$D$2:$D$954,W$3,'Исходные данные'!$F$2:$F$954,$H21&amp;"")=0,SUMIFS('Исходные данные'!$I$2:$I$954,'Исходные данные'!$D$2:$D$954,W$3,'Исходные данные'!$F$2:$F$954,$H21&amp;""),IF(SUMIFS('Исходные данные'!$I$2:$I$954,'Исходные данные'!$D$2:$D$954,W$3,'Исходные данные'!$F$2:$F$954,$H21&amp;"")=0,"0+"&amp;SUMIFS('Исходные данные'!$J$2:$J$954,'Исходные данные'!$D$2:$D$954,W$3,'Исходные данные'!$F$2:$F$954,$H21&amp;"")&amp;"="&amp;SUMIFS('Исходные данные'!$J$2:$J$954,'Исходные данные'!$D$2:$D$954,W$3,'Исходные данные'!$F$2:$F$954,$H21&amp;""),SUMIFS('Исходные данные'!$I$2:$I$954,'Исходные данные'!$D$2:$D$954,W$3,'Исходные данные'!$F$2:$F$954,$H21&amp;"")&amp;"+"&amp;SUMIFS('Исходные данные'!$J$2:$J$954,'Исходные данные'!$D$2:$D$954,W$3,'Исходные данные'!$F$2:$F$954,$H21&amp;"")&amp;"="&amp;(SUMIFS('Исходные данные'!$I$2:$I$954,'Исходные данные'!$D$2:$D$954,W$3,'Исходные данные'!$F$2:$F$954,$H21&amp;"")+SUMIFS('Исходные данные'!$J$2:$J$954,'Исходные данные'!$D$2:$D$954,W$3,'Исходные данные'!$F$2:$F$954,$H21&amp;"")))))</f>
        <v/>
      </c>
      <c r="X21" s="50" t="str">
        <f aca="false">IF(SUMIFS('Исходные данные'!$I$2:$I$954,'Исходные данные'!$D$2:$D$954,X$3,'Исходные данные'!$F$2:$F$954,$H21&amp;"")+SUMIFS('Исходные данные'!$J$2:$J$954,'Исходные данные'!$D$2:$D$954,X$3,'Исходные данные'!$F$2:$F$954,$H21&amp;"")=0,"",IF(SUMIFS('Исходные данные'!$J$2:$J$954,'Исходные данные'!$D$2:$D$954,X$3,'Исходные данные'!$F$2:$F$954,$H21&amp;"")=0,SUMIFS('Исходные данные'!$I$2:$I$954,'Исходные данные'!$D$2:$D$954,X$3,'Исходные данные'!$F$2:$F$954,$H21&amp;""),IF(SUMIFS('Исходные данные'!$I$2:$I$954,'Исходные данные'!$D$2:$D$954,X$3,'Исходные данные'!$F$2:$F$954,$H21&amp;"")=0,"0+"&amp;SUMIFS('Исходные данные'!$J$2:$J$954,'Исходные данные'!$D$2:$D$954,X$3,'Исходные данные'!$F$2:$F$954,$H21&amp;"")&amp;"="&amp;SUMIFS('Исходные данные'!$J$2:$J$954,'Исходные данные'!$D$2:$D$954,X$3,'Исходные данные'!$F$2:$F$954,$H21&amp;""),SUMIFS('Исходные данные'!$I$2:$I$954,'Исходные данные'!$D$2:$D$954,X$3,'Исходные данные'!$F$2:$F$954,$H21&amp;"")&amp;"+"&amp;SUMIFS('Исходные данные'!$J$2:$J$954,'Исходные данные'!$D$2:$D$954,X$3,'Исходные данные'!$F$2:$F$954,$H21&amp;"")&amp;"="&amp;(SUMIFS('Исходные данные'!$I$2:$I$954,'Исходные данные'!$D$2:$D$954,X$3,'Исходные данные'!$F$2:$F$954,$H21&amp;"")+SUMIFS('Исходные данные'!$J$2:$J$954,'Исходные данные'!$D$2:$D$954,X$3,'Исходные данные'!$F$2:$F$954,$H21&amp;"")))))</f>
        <v/>
      </c>
      <c r="Y21" s="52" t="str">
        <f aca="false">IF(SUMIFS('Исходные данные'!$I$2:$I$954,'Исходные данные'!$D$2:$D$954,Y$3,'Исходные данные'!$F$2:$F$954,$H21&amp;"")+SUMIFS('Исходные данные'!$J$2:$J$954,'Исходные данные'!$D$2:$D$954,Y$3,'Исходные данные'!$F$2:$F$954,$H21&amp;"")=0,"",IF(SUMIFS('Исходные данные'!$J$2:$J$954,'Исходные данные'!$D$2:$D$954,Y$3,'Исходные данные'!$F$2:$F$954,$H21&amp;"")=0,SUMIFS('Исходные данные'!$I$2:$I$954,'Исходные данные'!$D$2:$D$954,Y$3,'Исходные данные'!$F$2:$F$954,$H21&amp;""),IF(SUMIFS('Исходные данные'!$I$2:$I$954,'Исходные данные'!$D$2:$D$954,Y$3,'Исходные данные'!$F$2:$F$954,$H21&amp;"")=0,"0+"&amp;SUMIFS('Исходные данные'!$J$2:$J$954,'Исходные данные'!$D$2:$D$954,Y$3,'Исходные данные'!$F$2:$F$954,$H21&amp;"")&amp;"="&amp;SUMIFS('Исходные данные'!$J$2:$J$954,'Исходные данные'!$D$2:$D$954,Y$3,'Исходные данные'!$F$2:$F$954,$H21&amp;""),SUMIFS('Исходные данные'!$I$2:$I$954,'Исходные данные'!$D$2:$D$954,Y$3,'Исходные данные'!$F$2:$F$954,$H21&amp;"")&amp;"+"&amp;SUMIFS('Исходные данные'!$J$2:$J$954,'Исходные данные'!$D$2:$D$954,Y$3,'Исходные данные'!$F$2:$F$954,$H21&amp;"")&amp;"="&amp;(SUMIFS('Исходные данные'!$I$2:$I$954,'Исходные данные'!$D$2:$D$954,Y$3,'Исходные данные'!$F$2:$F$954,$H21&amp;"")+SUMIFS('Исходные данные'!$J$2:$J$954,'Исходные данные'!$D$2:$D$954,Y$3,'Исходные данные'!$F$2:$F$954,$H21&amp;"")))))</f>
        <v/>
      </c>
      <c r="Z21" s="49" t="str">
        <f aca="false">IF(SUMIFS('Исходные данные'!$I$2:$I$954,'Исходные данные'!$D$2:$D$954,Z$3,'Исходные данные'!$F$2:$F$954,$H21&amp;"")+SUMIFS('Исходные данные'!$J$2:$J$954,'Исходные данные'!$D$2:$D$954,Z$3,'Исходные данные'!$F$2:$F$954,$H21&amp;"")=0,"",IF(SUMIFS('Исходные данные'!$J$2:$J$954,'Исходные данные'!$D$2:$D$954,Z$3,'Исходные данные'!$F$2:$F$954,$H21&amp;"")=0,SUMIFS('Исходные данные'!$I$2:$I$954,'Исходные данные'!$D$2:$D$954,Z$3,'Исходные данные'!$F$2:$F$954,$H21&amp;""),IF(SUMIFS('Исходные данные'!$I$2:$I$954,'Исходные данные'!$D$2:$D$954,Z$3,'Исходные данные'!$F$2:$F$954,$H21&amp;"")=0,"0+"&amp;SUMIFS('Исходные данные'!$J$2:$J$954,'Исходные данные'!$D$2:$D$954,Z$3,'Исходные данные'!$F$2:$F$954,$H21&amp;"")&amp;"="&amp;SUMIFS('Исходные данные'!$J$2:$J$954,'Исходные данные'!$D$2:$D$954,Z$3,'Исходные данные'!$F$2:$F$954,$H21&amp;""),SUMIFS('Исходные данные'!$I$2:$I$954,'Исходные данные'!$D$2:$D$954,Z$3,'Исходные данные'!$F$2:$F$954,$H21&amp;"")&amp;"+"&amp;SUMIFS('Исходные данные'!$J$2:$J$954,'Исходные данные'!$D$2:$D$954,Z$3,'Исходные данные'!$F$2:$F$954,$H21&amp;"")&amp;"="&amp;(SUMIFS('Исходные данные'!$I$2:$I$954,'Исходные данные'!$D$2:$D$954,Z$3,'Исходные данные'!$F$2:$F$954,$H21&amp;"")+SUMIFS('Исходные данные'!$J$2:$J$954,'Исходные данные'!$D$2:$D$954,Z$3,'Исходные данные'!$F$2:$F$954,$H21&amp;"")))))</f>
        <v/>
      </c>
      <c r="AA21" s="50" t="str">
        <f aca="false">IF(SUMIFS('Исходные данные'!$I$2:$I$954,'Исходные данные'!$D$2:$D$954,AA$3,'Исходные данные'!$F$2:$F$954,$H21&amp;"")+SUMIFS('Исходные данные'!$J$2:$J$954,'Исходные данные'!$D$2:$D$954,AA$3,'Исходные данные'!$F$2:$F$954,$H21&amp;"")=0,"",IF(SUMIFS('Исходные данные'!$J$2:$J$954,'Исходные данные'!$D$2:$D$954,AA$3,'Исходные данные'!$F$2:$F$954,$H21&amp;"")=0,SUMIFS('Исходные данные'!$I$2:$I$954,'Исходные данные'!$D$2:$D$954,AA$3,'Исходные данные'!$F$2:$F$954,$H21&amp;""),IF(SUMIFS('Исходные данные'!$I$2:$I$954,'Исходные данные'!$D$2:$D$954,AA$3,'Исходные данные'!$F$2:$F$954,$H21&amp;"")=0,"0+"&amp;SUMIFS('Исходные данные'!$J$2:$J$954,'Исходные данные'!$D$2:$D$954,AA$3,'Исходные данные'!$F$2:$F$954,$H21&amp;"")&amp;"="&amp;SUMIFS('Исходные данные'!$J$2:$J$954,'Исходные данные'!$D$2:$D$954,AA$3,'Исходные данные'!$F$2:$F$954,$H21&amp;""),SUMIFS('Исходные данные'!$I$2:$I$954,'Исходные данные'!$D$2:$D$954,AA$3,'Исходные данные'!$F$2:$F$954,$H21&amp;"")&amp;"+"&amp;SUMIFS('Исходные данные'!$J$2:$J$954,'Исходные данные'!$D$2:$D$954,AA$3,'Исходные данные'!$F$2:$F$954,$H21&amp;"")&amp;"="&amp;(SUMIFS('Исходные данные'!$I$2:$I$954,'Исходные данные'!$D$2:$D$954,AA$3,'Исходные данные'!$F$2:$F$954,$H21&amp;"")+SUMIFS('Исходные данные'!$J$2:$J$954,'Исходные данные'!$D$2:$D$954,AA$3,'Исходные данные'!$F$2:$F$954,$H21&amp;"")))))</f>
        <v/>
      </c>
      <c r="AB21" s="50" t="str">
        <f aca="false">IF(SUMIFS('Исходные данные'!$I$2:$I$954,'Исходные данные'!$D$2:$D$954,AB$3,'Исходные данные'!$F$2:$F$954,$H21&amp;"")+SUMIFS('Исходные данные'!$J$2:$J$954,'Исходные данные'!$D$2:$D$954,AB$3,'Исходные данные'!$F$2:$F$954,$H21&amp;"")=0,"",IF(SUMIFS('Исходные данные'!$J$2:$J$954,'Исходные данные'!$D$2:$D$954,AB$3,'Исходные данные'!$F$2:$F$954,$H21&amp;"")=0,SUMIFS('Исходные данные'!$I$2:$I$954,'Исходные данные'!$D$2:$D$954,AB$3,'Исходные данные'!$F$2:$F$954,$H21&amp;""),IF(SUMIFS('Исходные данные'!$I$2:$I$954,'Исходные данные'!$D$2:$D$954,AB$3,'Исходные данные'!$F$2:$F$954,$H21&amp;"")=0,"0+"&amp;SUMIFS('Исходные данные'!$J$2:$J$954,'Исходные данные'!$D$2:$D$954,AB$3,'Исходные данные'!$F$2:$F$954,$H21&amp;"")&amp;"="&amp;SUMIFS('Исходные данные'!$J$2:$J$954,'Исходные данные'!$D$2:$D$954,AB$3,'Исходные данные'!$F$2:$F$954,$H21&amp;""),SUMIFS('Исходные данные'!$I$2:$I$954,'Исходные данные'!$D$2:$D$954,AB$3,'Исходные данные'!$F$2:$F$954,$H21&amp;"")&amp;"+"&amp;SUMIFS('Исходные данные'!$J$2:$J$954,'Исходные данные'!$D$2:$D$954,AB$3,'Исходные данные'!$F$2:$F$954,$H21&amp;"")&amp;"="&amp;(SUMIFS('Исходные данные'!$I$2:$I$954,'Исходные данные'!$D$2:$D$954,AB$3,'Исходные данные'!$F$2:$F$954,$H21&amp;"")+SUMIFS('Исходные данные'!$J$2:$J$954,'Исходные данные'!$D$2:$D$954,AB$3,'Исходные данные'!$F$2:$F$954,$H21&amp;"")))))</f>
        <v/>
      </c>
      <c r="AC21" s="49" t="str">
        <f aca="false">IF(SUMIFS('Исходные данные'!$I$2:$I$954,'Исходные данные'!$D$2:$D$954,AC$3,'Исходные данные'!$F$2:$F$954,$H21&amp;"")+SUMIFS('Исходные данные'!$J$2:$J$954,'Исходные данные'!$D$2:$D$954,AC$3,'Исходные данные'!$F$2:$F$954,$H21&amp;"")=0,"",IF(SUMIFS('Исходные данные'!$J$2:$J$954,'Исходные данные'!$D$2:$D$954,AC$3,'Исходные данные'!$F$2:$F$954,$H21&amp;"")=0,SUMIFS('Исходные данные'!$I$2:$I$954,'Исходные данные'!$D$2:$D$954,AC$3,'Исходные данные'!$F$2:$F$954,$H21&amp;""),IF(SUMIFS('Исходные данные'!$I$2:$I$954,'Исходные данные'!$D$2:$D$954,AC$3,'Исходные данные'!$F$2:$F$954,$H21&amp;"")=0,"0+"&amp;SUMIFS('Исходные данные'!$J$2:$J$954,'Исходные данные'!$D$2:$D$954,AC$3,'Исходные данные'!$F$2:$F$954,$H21&amp;"")&amp;"="&amp;SUMIFS('Исходные данные'!$J$2:$J$954,'Исходные данные'!$D$2:$D$954,AC$3,'Исходные данные'!$F$2:$F$954,$H21&amp;""),SUMIFS('Исходные данные'!$I$2:$I$954,'Исходные данные'!$D$2:$D$954,AC$3,'Исходные данные'!$F$2:$F$954,$H21&amp;"")&amp;"+"&amp;SUMIFS('Исходные данные'!$J$2:$J$954,'Исходные данные'!$D$2:$D$954,AC$3,'Исходные данные'!$F$2:$F$954,$H21&amp;"")&amp;"="&amp;(SUMIFS('Исходные данные'!$I$2:$I$954,'Исходные данные'!$D$2:$D$954,AC$3,'Исходные данные'!$F$2:$F$954,$H21&amp;"")+SUMIFS('Исходные данные'!$J$2:$J$954,'Исходные данные'!$D$2:$D$954,AC$3,'Исходные данные'!$F$2:$F$954,$H21&amp;"")))))</f>
        <v/>
      </c>
      <c r="AD21" s="50" t="str">
        <f aca="false">IF(SUMIFS('Исходные данные'!$I$2:$I$954,'Исходные данные'!$D$2:$D$954,AD$3,'Исходные данные'!$F$2:$F$954,$H21&amp;"")+SUMIFS('Исходные данные'!$J$2:$J$954,'Исходные данные'!$D$2:$D$954,AD$3,'Исходные данные'!$F$2:$F$954,$H21&amp;"")=0,"",IF(SUMIFS('Исходные данные'!$J$2:$J$954,'Исходные данные'!$D$2:$D$954,AD$3,'Исходные данные'!$F$2:$F$954,$H21&amp;"")=0,SUMIFS('Исходные данные'!$I$2:$I$954,'Исходные данные'!$D$2:$D$954,AD$3,'Исходные данные'!$F$2:$F$954,$H21&amp;""),IF(SUMIFS('Исходные данные'!$I$2:$I$954,'Исходные данные'!$D$2:$D$954,AD$3,'Исходные данные'!$F$2:$F$954,$H21&amp;"")=0,"0+"&amp;SUMIFS('Исходные данные'!$J$2:$J$954,'Исходные данные'!$D$2:$D$954,AD$3,'Исходные данные'!$F$2:$F$954,$H21&amp;"")&amp;"="&amp;SUMIFS('Исходные данные'!$J$2:$J$954,'Исходные данные'!$D$2:$D$954,AD$3,'Исходные данные'!$F$2:$F$954,$H21&amp;""),SUMIFS('Исходные данные'!$I$2:$I$954,'Исходные данные'!$D$2:$D$954,AD$3,'Исходные данные'!$F$2:$F$954,$H21&amp;"")&amp;"+"&amp;SUMIFS('Исходные данные'!$J$2:$J$954,'Исходные данные'!$D$2:$D$954,AD$3,'Исходные данные'!$F$2:$F$954,$H21&amp;"")&amp;"="&amp;(SUMIFS('Исходные данные'!$I$2:$I$954,'Исходные данные'!$D$2:$D$954,AD$3,'Исходные данные'!$F$2:$F$954,$H21&amp;"")+SUMIFS('Исходные данные'!$J$2:$J$954,'Исходные данные'!$D$2:$D$954,AD$3,'Исходные данные'!$F$2:$F$954,$H21&amp;"")))))</f>
        <v/>
      </c>
    </row>
    <row r="22" customFormat="false" ht="25.5" hidden="false" customHeight="true" outlineLevel="0" collapsed="false">
      <c r="A22" s="43" t="n">
        <v>18</v>
      </c>
      <c r="B22" s="28" t="s">
        <v>200</v>
      </c>
      <c r="C22" s="29" t="s">
        <v>21</v>
      </c>
      <c r="D22" s="30"/>
      <c r="E22" s="29" t="s">
        <v>201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данные'!$I$2:$I$954,'Исходные данные'!$D$2:$D$954,O$3,'Исходные данные'!$F$2:$F$954,$H23&amp;"",'Исходные данные'!$L$2:$L$954,"УТТ")+SUMIFS('Исходные данные'!$J$2:$J$954,'Исходные данные'!$D$2:$D$954,O$3,'Исходные данные'!$F$2:$F$954,$H23&amp;"",'Исходные данные'!$L$2:$L$954,"УТТ")=0,"","утт-"&amp;(SUMIFS('Исходные данные'!$I$2:$I$954,'Исходные данные'!$D$2:$D$954,O$3,'Исходные данные'!$F$2:$F$954,$H23&amp;"",'Исходные данные'!$L$2:$L$954,"УТТ")+SUMIFS('Исходные данные'!$J$2:$J$954,'Исходные данные'!$D$2:$D$954,O$3,'Исходные данные'!$F$2:$F$954,$H23&amp;"",'Исходные данные'!$L$2:$L$954,"УТТ")))</f>
        <v/>
      </c>
      <c r="P22" s="61" t="str">
        <f aca="false">IF(SUMIFS('Исходные данные'!$I$2:$I$954,'Исходные данные'!$D$2:$D$954,P$3,'Исходные данные'!$F$2:$F$954,$H23&amp;"",'Исходные данные'!$L$2:$L$954,"УТТ")+SUMIFS('Исходные данные'!$J$2:$J$954,'Исходные данные'!$D$2:$D$954,P$3,'Исходные данные'!$F$2:$F$954,$H23&amp;"",'Исходные данные'!$L$2:$L$954,"УТТ")=0,"","утт-"&amp;(SUMIFS('Исходные данные'!$I$2:$I$954,'Исходные данные'!$D$2:$D$954,P$3,'Исходные данные'!$F$2:$F$954,$H23&amp;"",'Исходные данные'!$L$2:$L$954,"УТТ")+SUMIFS('Исходные данные'!$J$2:$J$954,'Исходные данные'!$D$2:$D$954,P$3,'Исходные данные'!$F$2:$F$954,$H23&amp;"",'Исходные данные'!$L$2:$L$954,"УТТ")))</f>
        <v/>
      </c>
      <c r="Q22" s="60" t="str">
        <f aca="false">IF(SUMIFS('Исходные данные'!$I$2:$I$954,'Исходные данные'!$D$2:$D$954,Q$3,'Исходные данные'!$F$2:$F$954,$H23&amp;"",'Исходные данные'!$L$2:$L$954,"УТТ")+SUMIFS('Исходные данные'!$J$2:$J$954,'Исходные данные'!$D$2:$D$954,Q$3,'Исходные данные'!$F$2:$F$954,$H23&amp;"",'Исходные данные'!$L$2:$L$954,"УТТ")=0,"","утт-"&amp;(SUMIFS('Исходные данные'!$I$2:$I$954,'Исходные данные'!$D$2:$D$954,Q$3,'Исходные данные'!$F$2:$F$954,$H23&amp;"",'Исходные данные'!$L$2:$L$954,"УТТ")+SUMIFS('Исходные данные'!$J$2:$J$954,'Исходные данные'!$D$2:$D$954,Q$3,'Исходные данные'!$F$2:$F$954,$H23&amp;"",'Исходные данные'!$L$2:$L$954,"УТТ")))</f>
        <v/>
      </c>
      <c r="R22" s="62" t="str">
        <f aca="false">IF(SUMIFS('Исходные данные'!$I$2:$I$954,'Исходные данные'!$D$2:$D$954,R$3,'Исходные данные'!$F$2:$F$954,$H23&amp;"",'Исходные данные'!$L$2:$L$954,"УТТ")+SUMIFS('Исходные данные'!$J$2:$J$954,'Исходные данные'!$D$2:$D$954,R$3,'Исходные данные'!$F$2:$F$954,$H23&amp;"",'Исходные данные'!$L$2:$L$954,"УТТ")=0,"","утт-"&amp;(SUMIFS('Исходные данные'!$I$2:$I$954,'Исходные данные'!$D$2:$D$954,R$3,'Исходные данные'!$F$2:$F$954,$H23&amp;"",'Исходные данные'!$L$2:$L$954,"УТТ")+SUMIFS('Исходные данные'!$J$2:$J$954,'Исходные данные'!$D$2:$D$954,R$3,'Исходные данные'!$F$2:$F$954,$H23&amp;"",'Исходные данные'!$L$2:$L$954,"УТТ")))</f>
        <v/>
      </c>
      <c r="S22" s="61" t="str">
        <f aca="false">IF(SUMIFS('Исходные данные'!$I$2:$I$954,'Исходные данные'!$D$2:$D$954,S$3,'Исходные данные'!$F$2:$F$954,$H23&amp;"",'Исходные данные'!$L$2:$L$954,"УТТ")+SUMIFS('Исходные данные'!$J$2:$J$954,'Исходные данные'!$D$2:$D$954,S$3,'Исходные данные'!$F$2:$F$954,$H23&amp;"",'Исходные данные'!$L$2:$L$954,"УТТ")=0,"","утт-"&amp;(SUMIFS('Исходные данные'!$I$2:$I$954,'Исходные данные'!$D$2:$D$954,S$3,'Исходные данные'!$F$2:$F$954,$H23&amp;"",'Исходные данные'!$L$2:$L$954,"УТТ")+SUMIFS('Исходные данные'!$J$2:$J$954,'Исходные данные'!$D$2:$D$954,S$3,'Исходные данные'!$F$2:$F$954,$H23&amp;"",'Исходные данные'!$L$2:$L$954,"УТТ")))</f>
        <v>утт-1</v>
      </c>
      <c r="T22" s="60" t="str">
        <f aca="false">IF(SUMIFS('Исходные данные'!$I$2:$I$954,'Исходные данные'!$D$2:$D$954,T$3,'Исходные данные'!$F$2:$F$954,$H23&amp;"",'Исходные данные'!$L$2:$L$954,"УТТ")+SUMIFS('Исходные данные'!$J$2:$J$954,'Исходные данные'!$D$2:$D$954,T$3,'Исходные данные'!$F$2:$F$954,$H23&amp;"",'Исходные данные'!$L$2:$L$954,"УТТ")=0,"","утт-"&amp;(SUMIFS('Исходные данные'!$I$2:$I$954,'Исходные данные'!$D$2:$D$954,T$3,'Исходные данные'!$F$2:$F$954,$H23&amp;"",'Исходные данные'!$L$2:$L$954,"УТТ")+SUMIFS('Исходные данные'!$J$2:$J$954,'Исходные данные'!$D$2:$D$954,T$3,'Исходные данные'!$F$2:$F$954,$H23&amp;"",'Исходные данные'!$L$2:$L$954,"УТТ")))</f>
        <v/>
      </c>
      <c r="U22" s="61" t="str">
        <f aca="false">IF(SUMIFS('Исходные данные'!$I$2:$I$954,'Исходные данные'!$D$2:$D$954,U$3,'Исходные данные'!$F$2:$F$954,$H23&amp;"",'Исходные данные'!$L$2:$L$954,"УТТ")+SUMIFS('Исходные данные'!$J$2:$J$954,'Исходные данные'!$D$2:$D$954,U$3,'Исходные данные'!$F$2:$F$954,$H23&amp;"",'Исходные данные'!$L$2:$L$954,"УТТ")=0,"","утт-"&amp;(SUMIFS('Исходные данные'!$I$2:$I$954,'Исходные данные'!$D$2:$D$954,U$3,'Исходные данные'!$F$2:$F$954,$H23&amp;"",'Исходные данные'!$L$2:$L$954,"УТТ")+SUMIFS('Исходные данные'!$J$2:$J$954,'Исходные данные'!$D$2:$D$954,U$3,'Исходные данные'!$F$2:$F$954,$H23&amp;"",'Исходные данные'!$L$2:$L$954,"УТТ")))</f>
        <v>утт-1</v>
      </c>
      <c r="V22" s="60" t="str">
        <f aca="false">IF(SUMIFS('Исходные данные'!$I$2:$I$954,'Исходные данные'!$D$2:$D$954,V$3,'Исходные данные'!$F$2:$F$954,$H23&amp;"",'Исходные данные'!$L$2:$L$954,"УТТ")+SUMIFS('Исходные данные'!$J$2:$J$954,'Исходные данные'!$D$2:$D$954,V$3,'Исходные данные'!$F$2:$F$954,$H23&amp;"",'Исходные данные'!$L$2:$L$954,"УТТ")=0,"","утт-"&amp;(SUMIFS('Исходные данные'!$I$2:$I$954,'Исходные данные'!$D$2:$D$954,V$3,'Исходные данные'!$F$2:$F$954,$H23&amp;"",'Исходные данные'!$L$2:$L$954,"УТТ")+SUMIFS('Исходные данные'!$J$2:$J$954,'Исходные данные'!$D$2:$D$954,V$3,'Исходные данные'!$F$2:$F$954,$H23&amp;"",'Исходные данные'!$L$2:$L$954,"УТТ")))</f>
        <v/>
      </c>
      <c r="W22" s="61" t="str">
        <f aca="false">IF(SUMIFS('Исходные данные'!$I$2:$I$954,'Исходные данные'!$D$2:$D$954,W$3,'Исходные данные'!$F$2:$F$954,$H23&amp;"",'Исходные данные'!$L$2:$L$954,"УТТ")+SUMIFS('Исходные данные'!$J$2:$J$954,'Исходные данные'!$D$2:$D$954,W$3,'Исходные данные'!$F$2:$F$954,$H23&amp;"",'Исходные данные'!$L$2:$L$954,"УТТ")=0,"","утт-"&amp;(SUMIFS('Исходные данные'!$I$2:$I$954,'Исходные данные'!$D$2:$D$954,W$3,'Исходные данные'!$F$2:$F$954,$H23&amp;"",'Исходные данные'!$L$2:$L$954,"УТТ")+SUMIFS('Исходные данные'!$J$2:$J$954,'Исходные данные'!$D$2:$D$954,W$3,'Исходные данные'!$F$2:$F$954,$H23&amp;"",'Исходные данные'!$L$2:$L$954,"УТТ")))</f>
        <v/>
      </c>
      <c r="X22" s="61" t="str">
        <f aca="false">IF(SUMIFS('Исходные данные'!$I$2:$I$954,'Исходные данные'!$D$2:$D$954,X$3,'Исходные данные'!$F$2:$F$954,$H23&amp;"",'Исходные данные'!$L$2:$L$954,"УТТ")+SUMIFS('Исходные данные'!$J$2:$J$954,'Исходные данные'!$D$2:$D$954,X$3,'Исходные данные'!$F$2:$F$954,$H23&amp;"",'Исходные данные'!$L$2:$L$954,"УТТ")=0,"","утт-"&amp;(SUMIFS('Исходные данные'!$I$2:$I$954,'Исходные данные'!$D$2:$D$954,X$3,'Исходные данные'!$F$2:$F$954,$H23&amp;"",'Исходные данные'!$L$2:$L$954,"УТТ")+SUMIFS('Исходные данные'!$J$2:$J$954,'Исходные данные'!$D$2:$D$954,X$3,'Исходные данные'!$F$2:$F$954,$H23&amp;"",'Исходные данные'!$L$2:$L$954,"УТТ")))</f>
        <v/>
      </c>
      <c r="Y22" s="63" t="str">
        <f aca="false">IF(SUMIFS('Исходные данные'!$I$2:$I$954,'Исходные данные'!$D$2:$D$954,Y$3,'Исходные данные'!$F$2:$F$954,$H23&amp;"",'Исходные данные'!$L$2:$L$954,"УТТ")+SUMIFS('Исходные данные'!$J$2:$J$954,'Исходные данные'!$D$2:$D$954,Y$3,'Исходные данные'!$F$2:$F$954,$H23&amp;"",'Исходные данные'!$L$2:$L$954,"УТТ")=0,"","утт-"&amp;(SUMIFS('Исходные данные'!$I$2:$I$954,'Исходные данные'!$D$2:$D$954,Y$3,'Исходные данные'!$F$2:$F$954,$H23&amp;"",'Исходные данные'!$L$2:$L$954,"УТТ")+SUMIFS('Исходные данные'!$J$2:$J$954,'Исходные данные'!$D$2:$D$954,Y$3,'Исходные данные'!$F$2:$F$954,$H23&amp;"",'Исходные данные'!$L$2:$L$954,"УТТ")))</f>
        <v/>
      </c>
      <c r="Z22" s="60" t="str">
        <f aca="false">IF(SUMIFS('Исходные данные'!$I$2:$I$954,'Исходные данные'!$D$2:$D$954,Z$3,'Исходные данные'!$F$2:$F$954,$H23&amp;"",'Исходные данные'!$L$2:$L$954,"УТТ")+SUMIFS('Исходные данные'!$J$2:$J$954,'Исходные данные'!$D$2:$D$954,Z$3,'Исходные данные'!$F$2:$F$954,$H23&amp;"",'Исходные данные'!$L$2:$L$954,"УТТ")=0,"","утт-"&amp;(SUMIFS('Исходные данные'!$I$2:$I$954,'Исходные данные'!$D$2:$D$954,Z$3,'Исходные данные'!$F$2:$F$954,$H23&amp;"",'Исходные данные'!$L$2:$L$954,"УТТ")+SUMIFS('Исходные данные'!$J$2:$J$954,'Исходные данные'!$D$2:$D$954,Z$3,'Исходные данные'!$F$2:$F$954,$H23&amp;"",'Исходные данные'!$L$2:$L$954,"УТТ")))</f>
        <v/>
      </c>
      <c r="AA22" s="61" t="str">
        <f aca="false">IF(SUMIFS('Исходные данные'!$I$2:$I$954,'Исходные данные'!$D$2:$D$954,AA$3,'Исходные данные'!$F$2:$F$954,$H23&amp;"",'Исходные данные'!$L$2:$L$954,"УТТ")+SUMIFS('Исходные данные'!$J$2:$J$954,'Исходные данные'!$D$2:$D$954,AA$3,'Исходные данные'!$F$2:$F$954,$H23&amp;"",'Исходные данные'!$L$2:$L$954,"УТТ")=0,"","утт-"&amp;(SUMIFS('Исходные данные'!$I$2:$I$954,'Исходные данные'!$D$2:$D$954,AA$3,'Исходные данные'!$F$2:$F$954,$H23&amp;"",'Исходные данные'!$L$2:$L$954,"УТТ")+SUMIFS('Исходные данные'!$J$2:$J$954,'Исходные данные'!$D$2:$D$954,AA$3,'Исходные данные'!$F$2:$F$954,$H23&amp;"",'Исходные данные'!$L$2:$L$954,"УТТ")))</f>
        <v/>
      </c>
      <c r="AB22" s="61" t="str">
        <f aca="false">IF(SUMIFS('Исходные данные'!$I$2:$I$954,'Исходные данные'!$D$2:$D$954,AB$3,'Исходные данные'!$F$2:$F$954,$H23&amp;"",'Исходные данные'!$L$2:$L$954,"УТТ")+SUMIFS('Исходные данные'!$J$2:$J$954,'Исходные данные'!$D$2:$D$954,AB$3,'Исходные данные'!$F$2:$F$954,$H23&amp;"",'Исходные данные'!$L$2:$L$954,"УТТ")=0,"","утт-"&amp;(SUMIFS('Исходные данные'!$I$2:$I$954,'Исходные данные'!$D$2:$D$954,AB$3,'Исходные данные'!$F$2:$F$954,$H23&amp;"",'Исходные данные'!$L$2:$L$954,"УТТ")+SUMIFS('Исходные данные'!$J$2:$J$954,'Исходные данные'!$D$2:$D$954,AB$3,'Исходные данные'!$F$2:$F$954,$H23&amp;"",'Исходные данные'!$L$2:$L$954,"УТТ")))</f>
        <v/>
      </c>
      <c r="AC22" s="60" t="str">
        <f aca="false">IF(SUMIFS('Исходные данные'!$I$2:$I$954,'Исходные данные'!$D$2:$D$954,AC$3,'Исходные данные'!$F$2:$F$954,$H23&amp;"",'Исходные данные'!$L$2:$L$954,"УТТ")+SUMIFS('Исходные данные'!$J$2:$J$954,'Исходные данные'!$D$2:$D$954,AC$3,'Исходные данные'!$F$2:$F$954,$H23&amp;"",'Исходные данные'!$L$2:$L$954,"УТТ")=0,"","утт-"&amp;(SUMIFS('Исходные данные'!$I$2:$I$954,'Исходные данные'!$D$2:$D$954,AC$3,'Исходные данные'!$F$2:$F$954,$H23&amp;"",'Исходные данные'!$L$2:$L$954,"УТТ")+SUMIFS('Исходные данные'!$J$2:$J$954,'Исходные данные'!$D$2:$D$954,AC$3,'Исходные данные'!$F$2:$F$954,$H23&amp;"",'Исходные данные'!$L$2:$L$954,"УТТ")))</f>
        <v>утт-1</v>
      </c>
      <c r="AD22" s="61" t="str">
        <f aca="false">IF(SUMIFS('Исходные данные'!$I$2:$I$954,'Исходные данные'!$D$2:$D$954,AD$3,'Исходные данные'!$F$2:$F$954,$H23&amp;"",'Исходные данные'!$L$2:$L$954,"УТТ")+SUMIFS('Исходные данные'!$J$2:$J$954,'Исходные данные'!$D$2:$D$954,AD$3,'Исходные данные'!$F$2:$F$954,$H23&amp;"",'Исходные данные'!$L$2:$L$954,"УТТ")=0,"","утт-"&amp;(SUMIFS('Исходные данные'!$I$2:$I$954,'Исходные данные'!$D$2:$D$954,AD$3,'Исходные данные'!$F$2:$F$954,$H23&amp;"",'Исходные данные'!$L$2:$L$954,"УТТ")+SUMIFS('Исходные данные'!$J$2:$J$954,'Исходные данные'!$D$2:$D$954,AD$3,'Исходные данные'!$F$2:$F$954,$H23&amp;"",'Исходные данные'!$L$2:$L$954,"УТТ")))</f>
        <v/>
      </c>
    </row>
    <row r="23" customFormat="false" ht="25.5" hidden="false" customHeight="true" outlineLevel="0" collapsed="false">
      <c r="A23" s="43" t="n">
        <v>19</v>
      </c>
      <c r="B23" s="28" t="s">
        <v>202</v>
      </c>
      <c r="C23" s="29" t="s">
        <v>21</v>
      </c>
      <c r="D23" s="30"/>
      <c r="E23" s="29" t="s">
        <v>201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данные'!$I$2:$I$954,'Исходные данные'!$D$2:$D$954,O$3,'Исходные данные'!$F$2:$F$954,$H23&amp;"")+SUMIFS('Исходные данные'!$J$2:$J$954,'Исходные данные'!$D$2:$D$954,O$3,'Исходные данные'!$F$2:$F$954,$H23&amp;"")=0,"",IF(SUMIFS('Исходные данные'!$J$2:$J$954,'Исходные данные'!$D$2:$D$954,O$3,'Исходные данные'!$F$2:$F$954,$H23&amp;"")=0,SUMIFS('Исходные данные'!$I$2:$I$954,'Исходные данные'!$D$2:$D$954,O$3,'Исходные данные'!$F$2:$F$954,$H23&amp;""),IF(SUMIFS('Исходные данные'!$I$2:$I$954,'Исходные данные'!$D$2:$D$954,O$3,'Исходные данные'!$F$2:$F$954,$H23&amp;"")=0,"0+"&amp;SUMIFS('Исходные данные'!$J$2:$J$954,'Исходные данные'!$D$2:$D$954,O$3,'Исходные данные'!$F$2:$F$954,$H23&amp;"")&amp;"="&amp;SUMIFS('Исходные данные'!$J$2:$J$954,'Исходные данные'!$D$2:$D$954,O$3,'Исходные данные'!$F$2:$F$954,$H23&amp;""),SUMIFS('Исходные данные'!$I$2:$I$954,'Исходные данные'!$D$2:$D$954,O$3,'Исходные данные'!$F$2:$F$954,$H23&amp;"")&amp;"+"&amp;SUMIFS('Исходные данные'!$J$2:$J$954,'Исходные данные'!$D$2:$D$954,O$3,'Исходные данные'!$F$2:$F$954,$H23&amp;"")&amp;"="&amp;(SUMIFS('Исходные данные'!$I$2:$I$954,'Исходные данные'!$D$2:$D$954,O$3,'Исходные данные'!$F$2:$F$954,$H23&amp;"")+SUMIFS('Исходные данные'!$J$2:$J$954,'Исходные данные'!$D$2:$D$954,O$3,'Исходные данные'!$F$2:$F$954,$H23&amp;"")))))</f>
        <v/>
      </c>
      <c r="P23" s="72" t="str">
        <f aca="false">IF(SUMIFS('Исходные данные'!$I$2:$I$954,'Исходные данные'!$D$2:$D$954,P$3,'Исходные данные'!$F$2:$F$954,$H23&amp;"")+SUMIFS('Исходные данные'!$J$2:$J$954,'Исходные данные'!$D$2:$D$954,P$3,'Исходные данные'!$F$2:$F$954,$H23&amp;"")=0,"",IF(SUMIFS('Исходные данные'!$J$2:$J$954,'Исходные данные'!$D$2:$D$954,P$3,'Исходные данные'!$F$2:$F$954,$H23&amp;"")=0,SUMIFS('Исходные данные'!$I$2:$I$954,'Исходные данные'!$D$2:$D$954,P$3,'Исходные данные'!$F$2:$F$954,$H23&amp;""),IF(SUMIFS('Исходные данные'!$I$2:$I$954,'Исходные данные'!$D$2:$D$954,P$3,'Исходные данные'!$F$2:$F$954,$H23&amp;"")=0,"0+"&amp;SUMIFS('Исходные данные'!$J$2:$J$954,'Исходные данные'!$D$2:$D$954,P$3,'Исходные данные'!$F$2:$F$954,$H23&amp;"")&amp;"="&amp;SUMIFS('Исходные данные'!$J$2:$J$954,'Исходные данные'!$D$2:$D$954,P$3,'Исходные данные'!$F$2:$F$954,$H23&amp;""),SUMIFS('Исходные данные'!$I$2:$I$954,'Исходные данные'!$D$2:$D$954,P$3,'Исходные данные'!$F$2:$F$954,$H23&amp;"")&amp;"+"&amp;SUMIFS('Исходные данные'!$J$2:$J$954,'Исходные данные'!$D$2:$D$954,P$3,'Исходные данные'!$F$2:$F$954,$H23&amp;"")&amp;"="&amp;(SUMIFS('Исходные данные'!$I$2:$I$954,'Исходные данные'!$D$2:$D$954,P$3,'Исходные данные'!$F$2:$F$954,$H23&amp;"")+SUMIFS('Исходные данные'!$J$2:$J$954,'Исходные данные'!$D$2:$D$954,P$3,'Исходные данные'!$F$2:$F$954,$H23&amp;"")))))</f>
        <v/>
      </c>
      <c r="Q23" s="71" t="str">
        <f aca="false">IF(SUMIFS('Исходные данные'!$I$2:$I$954,'Исходные данные'!$D$2:$D$954,Q$3,'Исходные данные'!$F$2:$F$954,$H23&amp;"")+SUMIFS('Исходные данные'!$J$2:$J$954,'Исходные данные'!$D$2:$D$954,Q$3,'Исходные данные'!$F$2:$F$954,$H23&amp;"")=0,"",IF(SUMIFS('Исходные данные'!$J$2:$J$954,'Исходные данные'!$D$2:$D$954,Q$3,'Исходные данные'!$F$2:$F$954,$H23&amp;"")=0,SUMIFS('Исходные данные'!$I$2:$I$954,'Исходные данные'!$D$2:$D$954,Q$3,'Исходные данные'!$F$2:$F$954,$H23&amp;""),IF(SUMIFS('Исходные данные'!$I$2:$I$954,'Исходные данные'!$D$2:$D$954,Q$3,'Исходные данные'!$F$2:$F$954,$H23&amp;"")=0,"0+"&amp;SUMIFS('Исходные данные'!$J$2:$J$954,'Исходные данные'!$D$2:$D$954,Q$3,'Исходные данные'!$F$2:$F$954,$H23&amp;"")&amp;"="&amp;SUMIFS('Исходные данные'!$J$2:$J$954,'Исходные данные'!$D$2:$D$954,Q$3,'Исходные данные'!$F$2:$F$954,$H23&amp;""),SUMIFS('Исходные данные'!$I$2:$I$954,'Исходные данные'!$D$2:$D$954,Q$3,'Исходные данные'!$F$2:$F$954,$H23&amp;"")&amp;"+"&amp;SUMIFS('Исходные данные'!$J$2:$J$954,'Исходные данные'!$D$2:$D$954,Q$3,'Исходные данные'!$F$2:$F$954,$H23&amp;"")&amp;"="&amp;(SUMIFS('Исходные данные'!$I$2:$I$954,'Исходные данные'!$D$2:$D$954,Q$3,'Исходные данные'!$F$2:$F$954,$H23&amp;"")+SUMIFS('Исходные данные'!$J$2:$J$954,'Исходные данные'!$D$2:$D$954,Q$3,'Исходные данные'!$F$2:$F$954,$H23&amp;"")))))</f>
        <v/>
      </c>
      <c r="R23" s="73" t="str">
        <f aca="false">IF(SUMIFS('Исходные данные'!$I$2:$I$954,'Исходные данные'!$D$2:$D$954,R$3,'Исходные данные'!$F$2:$F$954,$H23&amp;"")+SUMIFS('Исходные данные'!$J$2:$J$954,'Исходные данные'!$D$2:$D$954,R$3,'Исходные данные'!$F$2:$F$954,$H23&amp;"")=0,"",IF(SUMIFS('Исходные данные'!$J$2:$J$954,'Исходные данные'!$D$2:$D$954,R$3,'Исходные данные'!$F$2:$F$954,$H23&amp;"")=0,SUMIFS('Исходные данные'!$I$2:$I$954,'Исходные данные'!$D$2:$D$954,R$3,'Исходные данные'!$F$2:$F$954,$H23&amp;""),IF(SUMIFS('Исходные данные'!$I$2:$I$954,'Исходные данные'!$D$2:$D$954,R$3,'Исходные данные'!$F$2:$F$954,$H23&amp;"")=0,"0+"&amp;SUMIFS('Исходные данные'!$J$2:$J$954,'Исходные данные'!$D$2:$D$954,R$3,'Исходные данные'!$F$2:$F$954,$H23&amp;"")&amp;"="&amp;SUMIFS('Исходные данные'!$J$2:$J$954,'Исходные данные'!$D$2:$D$954,R$3,'Исходные данные'!$F$2:$F$954,$H23&amp;""),SUMIFS('Исходные данные'!$I$2:$I$954,'Исходные данные'!$D$2:$D$954,R$3,'Исходные данные'!$F$2:$F$954,$H23&amp;"")&amp;"+"&amp;SUMIFS('Исходные данные'!$J$2:$J$954,'Исходные данные'!$D$2:$D$954,R$3,'Исходные данные'!$F$2:$F$954,$H23&amp;"")&amp;"="&amp;(SUMIFS('Исходные данные'!$I$2:$I$954,'Исходные данные'!$D$2:$D$954,R$3,'Исходные данные'!$F$2:$F$954,$H23&amp;"")+SUMIFS('Исходные данные'!$J$2:$J$954,'Исходные данные'!$D$2:$D$954,R$3,'Исходные данные'!$F$2:$F$954,$H23&amp;"")))))</f>
        <v/>
      </c>
      <c r="S23" s="72" t="n">
        <f aca="false">IF(SUMIFS('Исходные данные'!$I$2:$I$954,'Исходные данные'!$D$2:$D$954,S$3,'Исходные данные'!$F$2:$F$954,$H23&amp;"")+SUMIFS('Исходные данные'!$J$2:$J$954,'Исходные данные'!$D$2:$D$954,S$3,'Исходные данные'!$F$2:$F$954,$H23&amp;"")=0,"",IF(SUMIFS('Исходные данные'!$J$2:$J$954,'Исходные данные'!$D$2:$D$954,S$3,'Исходные данные'!$F$2:$F$954,$H23&amp;"")=0,SUMIFS('Исходные данные'!$I$2:$I$954,'Исходные данные'!$D$2:$D$954,S$3,'Исходные данные'!$F$2:$F$954,$H23&amp;""),IF(SUMIFS('Исходные данные'!$I$2:$I$954,'Исходные данные'!$D$2:$D$954,S$3,'Исходные данные'!$F$2:$F$954,$H23&amp;"")=0,"0+"&amp;SUMIFS('Исходные данные'!$J$2:$J$954,'Исходные данные'!$D$2:$D$954,S$3,'Исходные данные'!$F$2:$F$954,$H23&amp;"")&amp;"="&amp;SUMIFS('Исходные данные'!$J$2:$J$954,'Исходные данные'!$D$2:$D$954,S$3,'Исходные данные'!$F$2:$F$954,$H23&amp;""),SUMIFS('Исходные данные'!$I$2:$I$954,'Исходные данные'!$D$2:$D$954,S$3,'Исходные данные'!$F$2:$F$954,$H23&amp;"")&amp;"+"&amp;SUMIFS('Исходные данные'!$J$2:$J$954,'Исходные данные'!$D$2:$D$954,S$3,'Исходные данные'!$F$2:$F$954,$H23&amp;"")&amp;"="&amp;(SUMIFS('Исходные данные'!$I$2:$I$954,'Исходные данные'!$D$2:$D$954,S$3,'Исходные данные'!$F$2:$F$954,$H23&amp;"")+SUMIFS('Исходные данные'!$J$2:$J$954,'Исходные данные'!$D$2:$D$954,S$3,'Исходные данные'!$F$2:$F$954,$H23&amp;"")))))</f>
        <v>1</v>
      </c>
      <c r="T23" s="71" t="str">
        <f aca="false">IF(SUMIFS('Исходные данные'!$I$2:$I$954,'Исходные данные'!$D$2:$D$954,T$3,'Исходные данные'!$F$2:$F$954,$H23&amp;"")+SUMIFS('Исходные данные'!$J$2:$J$954,'Исходные данные'!$D$2:$D$954,T$3,'Исходные данные'!$F$2:$F$954,$H23&amp;"")=0,"",IF(SUMIFS('Исходные данные'!$J$2:$J$954,'Исходные данные'!$D$2:$D$954,T$3,'Исходные данные'!$F$2:$F$954,$H23&amp;"")=0,SUMIFS('Исходные данные'!$I$2:$I$954,'Исходные данные'!$D$2:$D$954,T$3,'Исходные данные'!$F$2:$F$954,$H23&amp;""),IF(SUMIFS('Исходные данные'!$I$2:$I$954,'Исходные данные'!$D$2:$D$954,T$3,'Исходные данные'!$F$2:$F$954,$H23&amp;"")=0,"0+"&amp;SUMIFS('Исходные данные'!$J$2:$J$954,'Исходные данные'!$D$2:$D$954,T$3,'Исходные данные'!$F$2:$F$954,$H23&amp;"")&amp;"="&amp;SUMIFS('Исходные данные'!$J$2:$J$954,'Исходные данные'!$D$2:$D$954,T$3,'Исходные данные'!$F$2:$F$954,$H23&amp;""),SUMIFS('Исходные данные'!$I$2:$I$954,'Исходные данные'!$D$2:$D$954,T$3,'Исходные данные'!$F$2:$F$954,$H23&amp;"")&amp;"+"&amp;SUMIFS('Исходные данные'!$J$2:$J$954,'Исходные данные'!$D$2:$D$954,T$3,'Исходные данные'!$F$2:$F$954,$H23&amp;"")&amp;"="&amp;(SUMIFS('Исходные данные'!$I$2:$I$954,'Исходные данные'!$D$2:$D$954,T$3,'Исходные данные'!$F$2:$F$954,$H23&amp;"")+SUMIFS('Исходные данные'!$J$2:$J$954,'Исходные данные'!$D$2:$D$954,T$3,'Исходные данные'!$F$2:$F$954,$H23&amp;"")))))</f>
        <v/>
      </c>
      <c r="U23" s="72" t="n">
        <f aca="false">IF(SUMIFS('Исходные данные'!$I$2:$I$954,'Исходные данные'!$D$2:$D$954,U$3,'Исходные данные'!$F$2:$F$954,$H23&amp;"")+SUMIFS('Исходные данные'!$J$2:$J$954,'Исходные данные'!$D$2:$D$954,U$3,'Исходные данные'!$F$2:$F$954,$H23&amp;"")=0,"",IF(SUMIFS('Исходные данные'!$J$2:$J$954,'Исходные данные'!$D$2:$D$954,U$3,'Исходные данные'!$F$2:$F$954,$H23&amp;"")=0,SUMIFS('Исходные данные'!$I$2:$I$954,'Исходные данные'!$D$2:$D$954,U$3,'Исходные данные'!$F$2:$F$954,$H23&amp;""),IF(SUMIFS('Исходные данные'!$I$2:$I$954,'Исходные данные'!$D$2:$D$954,U$3,'Исходные данные'!$F$2:$F$954,$H23&amp;"")=0,"0+"&amp;SUMIFS('Исходные данные'!$J$2:$J$954,'Исходные данные'!$D$2:$D$954,U$3,'Исходные данные'!$F$2:$F$954,$H23&amp;"")&amp;"="&amp;SUMIFS('Исходные данные'!$J$2:$J$954,'Исходные данные'!$D$2:$D$954,U$3,'Исходные данные'!$F$2:$F$954,$H23&amp;""),SUMIFS('Исходные данные'!$I$2:$I$954,'Исходные данные'!$D$2:$D$954,U$3,'Исходные данные'!$F$2:$F$954,$H23&amp;"")&amp;"+"&amp;SUMIFS('Исходные данные'!$J$2:$J$954,'Исходные данные'!$D$2:$D$954,U$3,'Исходные данные'!$F$2:$F$954,$H23&amp;"")&amp;"="&amp;(SUMIFS('Исходные данные'!$I$2:$I$954,'Исходные данные'!$D$2:$D$954,U$3,'Исходные данные'!$F$2:$F$954,$H23&amp;"")+SUMIFS('Исходные данные'!$J$2:$J$954,'Исходные данные'!$D$2:$D$954,U$3,'Исходные данные'!$F$2:$F$954,$H23&amp;"")))))</f>
        <v>1</v>
      </c>
      <c r="V23" s="71" t="str">
        <f aca="false">IF(SUMIFS('Исходные данные'!$I$2:$I$954,'Исходные данные'!$D$2:$D$954,V$3,'Исходные данные'!$F$2:$F$954,$H23&amp;"")+SUMIFS('Исходные данные'!$J$2:$J$954,'Исходные данные'!$D$2:$D$954,V$3,'Исходные данные'!$F$2:$F$954,$H23&amp;"")=0,"",IF(SUMIFS('Исходные данные'!$J$2:$J$954,'Исходные данные'!$D$2:$D$954,V$3,'Исходные данные'!$F$2:$F$954,$H23&amp;"")=0,SUMIFS('Исходные данные'!$I$2:$I$954,'Исходные данные'!$D$2:$D$954,V$3,'Исходные данные'!$F$2:$F$954,$H23&amp;""),IF(SUMIFS('Исходные данные'!$I$2:$I$954,'Исходные данные'!$D$2:$D$954,V$3,'Исходные данные'!$F$2:$F$954,$H23&amp;"")=0,"0+"&amp;SUMIFS('Исходные данные'!$J$2:$J$954,'Исходные данные'!$D$2:$D$954,V$3,'Исходные данные'!$F$2:$F$954,$H23&amp;"")&amp;"="&amp;SUMIFS('Исходные данные'!$J$2:$J$954,'Исходные данные'!$D$2:$D$954,V$3,'Исходные данные'!$F$2:$F$954,$H23&amp;""),SUMIFS('Исходные данные'!$I$2:$I$954,'Исходные данные'!$D$2:$D$954,V$3,'Исходные данные'!$F$2:$F$954,$H23&amp;"")&amp;"+"&amp;SUMIFS('Исходные данные'!$J$2:$J$954,'Исходные данные'!$D$2:$D$954,V$3,'Исходные данные'!$F$2:$F$954,$H23&amp;"")&amp;"="&amp;(SUMIFS('Исходные данные'!$I$2:$I$954,'Исходные данные'!$D$2:$D$954,V$3,'Исходные данные'!$F$2:$F$954,$H23&amp;"")+SUMIFS('Исходные данные'!$J$2:$J$954,'Исходные данные'!$D$2:$D$954,V$3,'Исходные данные'!$F$2:$F$954,$H23&amp;"")))))</f>
        <v/>
      </c>
      <c r="W23" s="72" t="n">
        <f aca="false">IF(SUMIFS('Исходные данные'!$I$2:$I$954,'Исходные данные'!$D$2:$D$954,W$3,'Исходные данные'!$F$2:$F$954,$H23&amp;"")+SUMIFS('Исходные данные'!$J$2:$J$954,'Исходные данные'!$D$2:$D$954,W$3,'Исходные данные'!$F$2:$F$954,$H23&amp;"")=0,"",IF(SUMIFS('Исходные данные'!$J$2:$J$954,'Исходные данные'!$D$2:$D$954,W$3,'Исходные данные'!$F$2:$F$954,$H23&amp;"")=0,SUMIFS('Исходные данные'!$I$2:$I$954,'Исходные данные'!$D$2:$D$954,W$3,'Исходные данные'!$F$2:$F$954,$H23&amp;""),IF(SUMIFS('Исходные данные'!$I$2:$I$954,'Исходные данные'!$D$2:$D$954,W$3,'Исходные данные'!$F$2:$F$954,$H23&amp;"")=0,"0+"&amp;SUMIFS('Исходные данные'!$J$2:$J$954,'Исходные данные'!$D$2:$D$954,W$3,'Исходные данные'!$F$2:$F$954,$H23&amp;"")&amp;"="&amp;SUMIFS('Исходные данные'!$J$2:$J$954,'Исходные данные'!$D$2:$D$954,W$3,'Исходные данные'!$F$2:$F$954,$H23&amp;""),SUMIFS('Исходные данные'!$I$2:$I$954,'Исходные данные'!$D$2:$D$954,W$3,'Исходные данные'!$F$2:$F$954,$H23&amp;"")&amp;"+"&amp;SUMIFS('Исходные данные'!$J$2:$J$954,'Исходные данные'!$D$2:$D$954,W$3,'Исходные данные'!$F$2:$F$954,$H23&amp;"")&amp;"="&amp;(SUMIFS('Исходные данные'!$I$2:$I$954,'Исходные данные'!$D$2:$D$954,W$3,'Исходные данные'!$F$2:$F$954,$H23&amp;"")+SUMIFS('Исходные данные'!$J$2:$J$954,'Исходные данные'!$D$2:$D$954,W$3,'Исходные данные'!$F$2:$F$954,$H23&amp;"")))))</f>
        <v>1</v>
      </c>
      <c r="X23" s="72" t="str">
        <f aca="false">IF(SUMIFS('Исходные данные'!$I$2:$I$954,'Исходные данные'!$D$2:$D$954,X$3,'Исходные данные'!$F$2:$F$954,$H23&amp;"")+SUMIFS('Исходные данные'!$J$2:$J$954,'Исходные данные'!$D$2:$D$954,X$3,'Исходные данные'!$F$2:$F$954,$H23&amp;"")=0,"",IF(SUMIFS('Исходные данные'!$J$2:$J$954,'Исходные данные'!$D$2:$D$954,X$3,'Исходные данные'!$F$2:$F$954,$H23&amp;"")=0,SUMIFS('Исходные данные'!$I$2:$I$954,'Исходные данные'!$D$2:$D$954,X$3,'Исходные данные'!$F$2:$F$954,$H23&amp;""),IF(SUMIFS('Исходные данные'!$I$2:$I$954,'Исходные данные'!$D$2:$D$954,X$3,'Исходные данные'!$F$2:$F$954,$H23&amp;"")=0,"0+"&amp;SUMIFS('Исходные данные'!$J$2:$J$954,'Исходные данные'!$D$2:$D$954,X$3,'Исходные данные'!$F$2:$F$954,$H23&amp;"")&amp;"="&amp;SUMIFS('Исходные данные'!$J$2:$J$954,'Исходные данные'!$D$2:$D$954,X$3,'Исходные данные'!$F$2:$F$954,$H23&amp;""),SUMIFS('Исходные данные'!$I$2:$I$954,'Исходные данные'!$D$2:$D$954,X$3,'Исходные данные'!$F$2:$F$954,$H23&amp;"")&amp;"+"&amp;SUMIFS('Исходные данные'!$J$2:$J$954,'Исходные данные'!$D$2:$D$954,X$3,'Исходные данные'!$F$2:$F$954,$H23&amp;"")&amp;"="&amp;(SUMIFS('Исходные данные'!$I$2:$I$954,'Исходные данные'!$D$2:$D$954,X$3,'Исходные данные'!$F$2:$F$954,$H23&amp;"")+SUMIFS('Исходные данные'!$J$2:$J$954,'Исходные данные'!$D$2:$D$954,X$3,'Исходные данные'!$F$2:$F$954,$H23&amp;"")))))</f>
        <v/>
      </c>
      <c r="Y23" s="74" t="n">
        <f aca="false">IF(SUMIFS('Исходные данные'!$I$2:$I$954,'Исходные данные'!$D$2:$D$954,Y$3,'Исходные данные'!$F$2:$F$954,$H23&amp;"")+SUMIFS('Исходные данные'!$J$2:$J$954,'Исходные данные'!$D$2:$D$954,Y$3,'Исходные данные'!$F$2:$F$954,$H23&amp;"")=0,"",IF(SUMIFS('Исходные данные'!$J$2:$J$954,'Исходные данные'!$D$2:$D$954,Y$3,'Исходные данные'!$F$2:$F$954,$H23&amp;"")=0,SUMIFS('Исходные данные'!$I$2:$I$954,'Исходные данные'!$D$2:$D$954,Y$3,'Исходные данные'!$F$2:$F$954,$H23&amp;""),IF(SUMIFS('Исходные данные'!$I$2:$I$954,'Исходные данные'!$D$2:$D$954,Y$3,'Исходные данные'!$F$2:$F$954,$H23&amp;"")=0,"0+"&amp;SUMIFS('Исходные данные'!$J$2:$J$954,'Исходные данные'!$D$2:$D$954,Y$3,'Исходные данные'!$F$2:$F$954,$H23&amp;"")&amp;"="&amp;SUMIFS('Исходные данные'!$J$2:$J$954,'Исходные данные'!$D$2:$D$954,Y$3,'Исходные данные'!$F$2:$F$954,$H23&amp;""),SUMIFS('Исходные данные'!$I$2:$I$954,'Исходные данные'!$D$2:$D$954,Y$3,'Исходные данные'!$F$2:$F$954,$H23&amp;"")&amp;"+"&amp;SUMIFS('Исходные данные'!$J$2:$J$954,'Исходные данные'!$D$2:$D$954,Y$3,'Исходные данные'!$F$2:$F$954,$H23&amp;"")&amp;"="&amp;(SUMIFS('Исходные данные'!$I$2:$I$954,'Исходные данные'!$D$2:$D$954,Y$3,'Исходные данные'!$F$2:$F$954,$H23&amp;"")+SUMIFS('Исходные данные'!$J$2:$J$954,'Исходные данные'!$D$2:$D$954,Y$3,'Исходные данные'!$F$2:$F$954,$H23&amp;"")))))</f>
        <v>1</v>
      </c>
      <c r="Z23" s="71" t="str">
        <f aca="false">IF(SUMIFS('Исходные данные'!$I$2:$I$954,'Исходные данные'!$D$2:$D$954,Z$3,'Исходные данные'!$F$2:$F$954,$H23&amp;"")+SUMIFS('Исходные данные'!$J$2:$J$954,'Исходные данные'!$D$2:$D$954,Z$3,'Исходные данные'!$F$2:$F$954,$H23&amp;"")=0,"",IF(SUMIFS('Исходные данные'!$J$2:$J$954,'Исходные данные'!$D$2:$D$954,Z$3,'Исходные данные'!$F$2:$F$954,$H23&amp;"")=0,SUMIFS('Исходные данные'!$I$2:$I$954,'Исходные данные'!$D$2:$D$954,Z$3,'Исходные данные'!$F$2:$F$954,$H23&amp;""),IF(SUMIFS('Исходные данные'!$I$2:$I$954,'Исходные данные'!$D$2:$D$954,Z$3,'Исходные данные'!$F$2:$F$954,$H23&amp;"")=0,"0+"&amp;SUMIFS('Исходные данные'!$J$2:$J$954,'Исходные данные'!$D$2:$D$954,Z$3,'Исходные данные'!$F$2:$F$954,$H23&amp;"")&amp;"="&amp;SUMIFS('Исходные данные'!$J$2:$J$954,'Исходные данные'!$D$2:$D$954,Z$3,'Исходные данные'!$F$2:$F$954,$H23&amp;""),SUMIFS('Исходные данные'!$I$2:$I$954,'Исходные данные'!$D$2:$D$954,Z$3,'Исходные данные'!$F$2:$F$954,$H23&amp;"")&amp;"+"&amp;SUMIFS('Исходные данные'!$J$2:$J$954,'Исходные данные'!$D$2:$D$954,Z$3,'Исходные данные'!$F$2:$F$954,$H23&amp;"")&amp;"="&amp;(SUMIFS('Исходные данные'!$I$2:$I$954,'Исходные данные'!$D$2:$D$954,Z$3,'Исходные данные'!$F$2:$F$954,$H23&amp;"")+SUMIFS('Исходные данные'!$J$2:$J$954,'Исходные данные'!$D$2:$D$954,Z$3,'Исходные данные'!$F$2:$F$954,$H23&amp;"")))))</f>
        <v/>
      </c>
      <c r="AA23" s="72" t="n">
        <f aca="false">IF(SUMIFS('Исходные данные'!$I$2:$I$954,'Исходные данные'!$D$2:$D$954,AA$3,'Исходные данные'!$F$2:$F$954,$H23&amp;"")+SUMIFS('Исходные данные'!$J$2:$J$954,'Исходные данные'!$D$2:$D$954,AA$3,'Исходные данные'!$F$2:$F$954,$H23&amp;"")=0,"",IF(SUMIFS('Исходные данные'!$J$2:$J$954,'Исходные данные'!$D$2:$D$954,AA$3,'Исходные данные'!$F$2:$F$954,$H23&amp;"")=0,SUMIFS('Исходные данные'!$I$2:$I$954,'Исходные данные'!$D$2:$D$954,AA$3,'Исходные данные'!$F$2:$F$954,$H23&amp;""),IF(SUMIFS('Исходные данные'!$I$2:$I$954,'Исходные данные'!$D$2:$D$954,AA$3,'Исходные данные'!$F$2:$F$954,$H23&amp;"")=0,"0+"&amp;SUMIFS('Исходные данные'!$J$2:$J$954,'Исходные данные'!$D$2:$D$954,AA$3,'Исходные данные'!$F$2:$F$954,$H23&amp;"")&amp;"="&amp;SUMIFS('Исходные данные'!$J$2:$J$954,'Исходные данные'!$D$2:$D$954,AA$3,'Исходные данные'!$F$2:$F$954,$H23&amp;""),SUMIFS('Исходные данные'!$I$2:$I$954,'Исходные данные'!$D$2:$D$954,AA$3,'Исходные данные'!$F$2:$F$954,$H23&amp;"")&amp;"+"&amp;SUMIFS('Исходные данные'!$J$2:$J$954,'Исходные данные'!$D$2:$D$954,AA$3,'Исходные данные'!$F$2:$F$954,$H23&amp;"")&amp;"="&amp;(SUMIFS('Исходные данные'!$I$2:$I$954,'Исходные данные'!$D$2:$D$954,AA$3,'Исходные данные'!$F$2:$F$954,$H23&amp;"")+SUMIFS('Исходные данные'!$J$2:$J$954,'Исходные данные'!$D$2:$D$954,AA$3,'Исходные данные'!$F$2:$F$954,$H23&amp;"")))))</f>
        <v>2</v>
      </c>
      <c r="AB23" s="72" t="str">
        <f aca="false">IF(SUMIFS('Исходные данные'!$I$2:$I$954,'Исходные данные'!$D$2:$D$954,AB$3,'Исходные данные'!$F$2:$F$954,$H23&amp;"")+SUMIFS('Исходные данные'!$J$2:$J$954,'Исходные данные'!$D$2:$D$954,AB$3,'Исходные данные'!$F$2:$F$954,$H23&amp;"")=0,"",IF(SUMIFS('Исходные данные'!$J$2:$J$954,'Исходные данные'!$D$2:$D$954,AB$3,'Исходные данные'!$F$2:$F$954,$H23&amp;"")=0,SUMIFS('Исходные данные'!$I$2:$I$954,'Исходные данные'!$D$2:$D$954,AB$3,'Исходные данные'!$F$2:$F$954,$H23&amp;""),IF(SUMIFS('Исходные данные'!$I$2:$I$954,'Исходные данные'!$D$2:$D$954,AB$3,'Исходные данные'!$F$2:$F$954,$H23&amp;"")=0,"0+"&amp;SUMIFS('Исходные данные'!$J$2:$J$954,'Исходные данные'!$D$2:$D$954,AB$3,'Исходные данные'!$F$2:$F$954,$H23&amp;"")&amp;"="&amp;SUMIFS('Исходные данные'!$J$2:$J$954,'Исходные данные'!$D$2:$D$954,AB$3,'Исходные данные'!$F$2:$F$954,$H23&amp;""),SUMIFS('Исходные данные'!$I$2:$I$954,'Исходные данные'!$D$2:$D$954,AB$3,'Исходные данные'!$F$2:$F$954,$H23&amp;"")&amp;"+"&amp;SUMIFS('Исходные данные'!$J$2:$J$954,'Исходные данные'!$D$2:$D$954,AB$3,'Исходные данные'!$F$2:$F$954,$H23&amp;"")&amp;"="&amp;(SUMIFS('Исходные данные'!$I$2:$I$954,'Исходные данные'!$D$2:$D$954,AB$3,'Исходные данные'!$F$2:$F$954,$H23&amp;"")+SUMIFS('Исходные данные'!$J$2:$J$954,'Исходные данные'!$D$2:$D$954,AB$3,'Исходные данные'!$F$2:$F$954,$H23&amp;"")))))</f>
        <v>1+1=2</v>
      </c>
      <c r="AC23" s="71" t="str">
        <f aca="false">IF(SUMIFS('Исходные данные'!$I$2:$I$954,'Исходные данные'!$D$2:$D$954,AC$3,'Исходные данные'!$F$2:$F$954,$H23&amp;"")+SUMIFS('Исходные данные'!$J$2:$J$954,'Исходные данные'!$D$2:$D$954,AC$3,'Исходные данные'!$F$2:$F$954,$H23&amp;"")=0,"",IF(SUMIFS('Исходные данные'!$J$2:$J$954,'Исходные данные'!$D$2:$D$954,AC$3,'Исходные данные'!$F$2:$F$954,$H23&amp;"")=0,SUMIFS('Исходные данные'!$I$2:$I$954,'Исходные данные'!$D$2:$D$954,AC$3,'Исходные данные'!$F$2:$F$954,$H23&amp;""),IF(SUMIFS('Исходные данные'!$I$2:$I$954,'Исходные данные'!$D$2:$D$954,AC$3,'Исходные данные'!$F$2:$F$954,$H23&amp;"")=0,"0+"&amp;SUMIFS('Исходные данные'!$J$2:$J$954,'Исходные данные'!$D$2:$D$954,AC$3,'Исходные данные'!$F$2:$F$954,$H23&amp;"")&amp;"="&amp;SUMIFS('Исходные данные'!$J$2:$J$954,'Исходные данные'!$D$2:$D$954,AC$3,'Исходные данные'!$F$2:$F$954,$H23&amp;""),SUMIFS('Исходные данные'!$I$2:$I$954,'Исходные данные'!$D$2:$D$954,AC$3,'Исходные данные'!$F$2:$F$954,$H23&amp;"")&amp;"+"&amp;SUMIFS('Исходные данные'!$J$2:$J$954,'Исходные данные'!$D$2:$D$954,AC$3,'Исходные данные'!$F$2:$F$954,$H23&amp;"")&amp;"="&amp;(SUMIFS('Исходные данные'!$I$2:$I$954,'Исходные данные'!$D$2:$D$954,AC$3,'Исходные данные'!$F$2:$F$954,$H23&amp;"")+SUMIFS('Исходные данные'!$J$2:$J$954,'Исходные данные'!$D$2:$D$954,AC$3,'Исходные данные'!$F$2:$F$954,$H23&amp;"")))))</f>
        <v>3+1=4</v>
      </c>
      <c r="AD23" s="72" t="str">
        <f aca="false">IF(SUMIFS('Исходные данные'!$I$2:$I$954,'Исходные данные'!$D$2:$D$954,AD$3,'Исходные данные'!$F$2:$F$954,$H23&amp;"")+SUMIFS('Исходные данные'!$J$2:$J$954,'Исходные данные'!$D$2:$D$954,AD$3,'Исходные данные'!$F$2:$F$954,$H23&amp;"")=0,"",IF(SUMIFS('Исходные данные'!$J$2:$J$954,'Исходные данные'!$D$2:$D$954,AD$3,'Исходные данные'!$F$2:$F$954,$H23&amp;"")=0,SUMIFS('Исходные данные'!$I$2:$I$954,'Исходные данные'!$D$2:$D$954,AD$3,'Исходные данные'!$F$2:$F$954,$H23&amp;""),IF(SUMIFS('Исходные данные'!$I$2:$I$954,'Исходные данные'!$D$2:$D$954,AD$3,'Исходные данные'!$F$2:$F$954,$H23&amp;"")=0,"0+"&amp;SUMIFS('Исходные данные'!$J$2:$J$954,'Исходные данные'!$D$2:$D$954,AD$3,'Исходные данные'!$F$2:$F$954,$H23&amp;"")&amp;"="&amp;SUMIFS('Исходные данные'!$J$2:$J$954,'Исходные данные'!$D$2:$D$954,AD$3,'Исходные данные'!$F$2:$F$954,$H23&amp;""),SUMIFS('Исходные данные'!$I$2:$I$954,'Исходные данные'!$D$2:$D$954,AD$3,'Исходные данные'!$F$2:$F$954,$H23&amp;"")&amp;"+"&amp;SUMIFS('Исходные данные'!$J$2:$J$954,'Исходные данные'!$D$2:$D$954,AD$3,'Исходные данные'!$F$2:$F$954,$H23&amp;"")&amp;"="&amp;(SUMIFS('Исходные данные'!$I$2:$I$954,'Исходные данные'!$D$2:$D$954,AD$3,'Исходные данные'!$F$2:$F$954,$H23&amp;"")+SUMIFS('Исходные данные'!$J$2:$J$954,'Исходные данные'!$D$2:$D$954,AD$3,'Исходные данные'!$F$2:$F$954,$H23&amp;"")))))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22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88"/>
      <c r="C28" s="30"/>
      <c r="D28" s="54"/>
      <c r="E28" s="29" t="s">
        <v>213</v>
      </c>
      <c r="F28" s="29" t="s">
        <v>21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9" t="s">
        <v>128</v>
      </c>
      <c r="C29" s="65"/>
      <c r="D29" s="30"/>
      <c r="E29" s="29" t="s">
        <v>214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8" t="s">
        <v>215</v>
      </c>
      <c r="C30" s="30" t="s">
        <v>7</v>
      </c>
      <c r="D30" s="30"/>
      <c r="E30" s="29" t="s">
        <v>216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8" t="s">
        <v>217</v>
      </c>
      <c r="C31" s="30" t="s">
        <v>8</v>
      </c>
      <c r="D31" s="30"/>
      <c r="E31" s="29" t="s">
        <v>218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8" t="s">
        <v>219</v>
      </c>
      <c r="C32" s="30" t="s">
        <v>9</v>
      </c>
      <c r="D32" s="30"/>
      <c r="E32" s="30"/>
      <c r="F32" s="30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8" t="s">
        <v>220</v>
      </c>
      <c r="C33" s="30" t="s">
        <v>9</v>
      </c>
      <c r="D33" s="30"/>
      <c r="E33" s="65" t="s">
        <v>187</v>
      </c>
      <c r="F33" s="65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8" t="s">
        <v>221</v>
      </c>
      <c r="C34" s="30" t="s">
        <v>11</v>
      </c>
      <c r="D34" s="30"/>
      <c r="E34" s="30" t="s">
        <v>222</v>
      </c>
      <c r="F34" s="30" t="s">
        <v>7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8" t="s">
        <v>223</v>
      </c>
      <c r="C35" s="30" t="s">
        <v>13</v>
      </c>
      <c r="D35" s="30"/>
      <c r="E35" s="30" t="s">
        <v>224</v>
      </c>
      <c r="F35" s="30" t="s">
        <v>8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8" t="s">
        <v>225</v>
      </c>
      <c r="C36" s="30" t="s">
        <v>13</v>
      </c>
      <c r="D36" s="30"/>
      <c r="E36" s="30" t="s">
        <v>226</v>
      </c>
      <c r="F36" s="30" t="s">
        <v>9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227</v>
      </c>
      <c r="C37" s="30" t="s">
        <v>14</v>
      </c>
      <c r="D37" s="30"/>
      <c r="E37" s="30" t="s">
        <v>228</v>
      </c>
      <c r="F37" s="30" t="s">
        <v>11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8"/>
      <c r="C38" s="30"/>
      <c r="D38" s="30"/>
      <c r="E38" s="30" t="s">
        <v>229</v>
      </c>
      <c r="F38" s="30" t="s">
        <v>12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89" t="s">
        <v>174</v>
      </c>
      <c r="C39" s="65"/>
      <c r="D39" s="30"/>
      <c r="E39" s="30" t="s">
        <v>230</v>
      </c>
      <c r="F39" s="91" t="s">
        <v>14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231</v>
      </c>
      <c r="C40" s="29" t="s">
        <v>7</v>
      </c>
      <c r="D40" s="30"/>
      <c r="E40" s="30" t="s">
        <v>232</v>
      </c>
      <c r="F40" s="91" t="s">
        <v>16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233</v>
      </c>
      <c r="C41" s="29" t="s">
        <v>7</v>
      </c>
      <c r="D41" s="30"/>
      <c r="E41" s="30" t="s">
        <v>234</v>
      </c>
      <c r="F41" s="30" t="s">
        <v>18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235</v>
      </c>
      <c r="C42" s="29" t="s">
        <v>7</v>
      </c>
      <c r="D42" s="30"/>
      <c r="E42" s="30" t="s">
        <v>236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237</v>
      </c>
      <c r="C43" s="29" t="s">
        <v>7</v>
      </c>
      <c r="D43" s="30"/>
      <c r="E43" s="30" t="s">
        <v>238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239</v>
      </c>
      <c r="C44" s="29" t="s">
        <v>8</v>
      </c>
      <c r="D44" s="30"/>
      <c r="E44" s="30" t="s">
        <v>240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241</v>
      </c>
      <c r="C45" s="29" t="s">
        <v>9</v>
      </c>
      <c r="D45" s="30"/>
      <c r="E45" s="30" t="s">
        <v>242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243</v>
      </c>
      <c r="C46" s="29" t="s">
        <v>9</v>
      </c>
      <c r="D46" s="30"/>
      <c r="E46" s="30" t="s">
        <v>244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245</v>
      </c>
      <c r="C47" s="29" t="s">
        <v>9</v>
      </c>
      <c r="D47" s="30"/>
      <c r="E47" s="30" t="s">
        <v>246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247</v>
      </c>
      <c r="P47" s="16"/>
      <c r="Q47" s="17"/>
      <c r="R47" s="16" t="s">
        <v>247</v>
      </c>
      <c r="S47" s="16"/>
      <c r="T47" s="17"/>
      <c r="U47" s="16" t="s">
        <v>248</v>
      </c>
      <c r="V47" s="16"/>
      <c r="W47" s="17"/>
      <c r="X47" s="16" t="s">
        <v>248</v>
      </c>
      <c r="Y47" s="16"/>
      <c r="Z47" s="17"/>
      <c r="AA47" s="16" t="s">
        <v>249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250</v>
      </c>
      <c r="C48" s="29" t="s">
        <v>15</v>
      </c>
      <c r="D48" s="30"/>
      <c r="E48" s="30" t="s">
        <v>251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252</v>
      </c>
      <c r="P48" s="29" t="s">
        <v>9</v>
      </c>
      <c r="Q48" s="30"/>
      <c r="R48" s="29" t="s">
        <v>253</v>
      </c>
      <c r="S48" s="29" t="s">
        <v>21</v>
      </c>
      <c r="T48" s="30"/>
      <c r="U48" s="30" t="s">
        <v>254</v>
      </c>
      <c r="V48" s="30" t="s">
        <v>9</v>
      </c>
      <c r="W48" s="30"/>
      <c r="X48" s="30" t="s">
        <v>255</v>
      </c>
      <c r="Y48" s="30" t="s">
        <v>21</v>
      </c>
      <c r="Z48" s="30"/>
      <c r="AA48" s="30" t="s">
        <v>256</v>
      </c>
      <c r="AB48" s="30" t="s">
        <v>19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257</v>
      </c>
      <c r="C49" s="29" t="s">
        <v>20</v>
      </c>
      <c r="D49" s="30"/>
      <c r="E49" s="30" t="s">
        <v>258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259</v>
      </c>
      <c r="P49" s="29" t="s">
        <v>9</v>
      </c>
      <c r="Q49" s="30"/>
      <c r="R49" s="30"/>
      <c r="S49" s="30"/>
      <c r="T49" s="30"/>
      <c r="U49" s="30" t="s">
        <v>260</v>
      </c>
      <c r="V49" s="30" t="s">
        <v>9</v>
      </c>
      <c r="W49" s="30"/>
      <c r="X49" s="30" t="s">
        <v>261</v>
      </c>
      <c r="Y49" s="30" t="s">
        <v>21</v>
      </c>
      <c r="Z49" s="30"/>
      <c r="AA49" s="30" t="s">
        <v>262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263</v>
      </c>
      <c r="C50" s="29" t="s">
        <v>20</v>
      </c>
      <c r="D50" s="30"/>
      <c r="E50" s="30" t="s">
        <v>264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265</v>
      </c>
      <c r="P50" s="29" t="s">
        <v>9</v>
      </c>
      <c r="Q50" s="30"/>
      <c r="R50" s="65" t="s">
        <v>64</v>
      </c>
      <c r="S50" s="65"/>
      <c r="T50" s="98"/>
      <c r="U50" s="30" t="s">
        <v>266</v>
      </c>
      <c r="V50" s="30" t="s">
        <v>9</v>
      </c>
      <c r="W50" s="30"/>
      <c r="X50" s="30" t="s">
        <v>267</v>
      </c>
      <c r="Y50" s="30" t="s">
        <v>21</v>
      </c>
      <c r="Z50" s="30"/>
      <c r="AA50" s="30" t="s">
        <v>268</v>
      </c>
      <c r="AB50" s="30" t="s">
        <v>20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269</v>
      </c>
      <c r="C51" s="29" t="s">
        <v>20</v>
      </c>
      <c r="D51" s="30"/>
      <c r="E51" s="30"/>
      <c r="F51" s="30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270</v>
      </c>
      <c r="P51" s="29" t="s">
        <v>20</v>
      </c>
      <c r="Q51" s="30"/>
      <c r="R51" s="30" t="s">
        <v>271</v>
      </c>
      <c r="S51" s="30" t="s">
        <v>7</v>
      </c>
      <c r="T51" s="30"/>
      <c r="U51" s="30" t="s">
        <v>272</v>
      </c>
      <c r="V51" s="30" t="s">
        <v>9</v>
      </c>
      <c r="W51" s="30"/>
      <c r="X51" s="30" t="s">
        <v>273</v>
      </c>
      <c r="Y51" s="30" t="s">
        <v>21</v>
      </c>
      <c r="Z51" s="30"/>
      <c r="AA51" s="30" t="s">
        <v>274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275</v>
      </c>
      <c r="C52" s="29" t="s">
        <v>21</v>
      </c>
      <c r="D52" s="30"/>
      <c r="E52" s="65" t="s">
        <v>62</v>
      </c>
      <c r="F52" s="65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276</v>
      </c>
      <c r="P52" s="29" t="s">
        <v>20</v>
      </c>
      <c r="Q52" s="30"/>
      <c r="R52" s="30" t="s">
        <v>277</v>
      </c>
      <c r="S52" s="30" t="s">
        <v>7</v>
      </c>
      <c r="T52" s="30"/>
      <c r="U52" s="30" t="s">
        <v>278</v>
      </c>
      <c r="V52" s="30" t="s">
        <v>9</v>
      </c>
      <c r="W52" s="30"/>
      <c r="X52" s="30" t="s">
        <v>279</v>
      </c>
      <c r="Y52" s="30" t="s">
        <v>21</v>
      </c>
      <c r="Z52" s="30"/>
      <c r="AA52" s="30" t="s">
        <v>280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275</v>
      </c>
      <c r="C53" s="29" t="s">
        <v>21</v>
      </c>
      <c r="D53" s="30"/>
      <c r="E53" s="29" t="s">
        <v>281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282</v>
      </c>
      <c r="P53" s="29" t="s">
        <v>20</v>
      </c>
      <c r="Q53" s="30"/>
      <c r="R53" s="30" t="s">
        <v>283</v>
      </c>
      <c r="S53" s="30" t="s">
        <v>7</v>
      </c>
      <c r="T53" s="30"/>
      <c r="U53" s="30" t="s">
        <v>284</v>
      </c>
      <c r="V53" s="30" t="s">
        <v>13</v>
      </c>
      <c r="W53" s="30"/>
      <c r="X53" s="30" t="s">
        <v>285</v>
      </c>
      <c r="Y53" s="30" t="s">
        <v>21</v>
      </c>
      <c r="Z53" s="30"/>
      <c r="AA53" s="30" t="s">
        <v>286</v>
      </c>
      <c r="AB53" s="30" t="s">
        <v>26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287</v>
      </c>
      <c r="C54" s="29" t="s">
        <v>21</v>
      </c>
      <c r="D54" s="30"/>
      <c r="E54" s="29" t="s">
        <v>288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289</v>
      </c>
      <c r="P54" s="29" t="s">
        <v>20</v>
      </c>
      <c r="Q54" s="30"/>
      <c r="R54" s="30" t="s">
        <v>290</v>
      </c>
      <c r="S54" s="30" t="s">
        <v>7</v>
      </c>
      <c r="T54" s="30"/>
      <c r="U54" s="30" t="s">
        <v>291</v>
      </c>
      <c r="V54" s="30" t="s">
        <v>13</v>
      </c>
      <c r="W54" s="30"/>
      <c r="X54" s="30" t="s">
        <v>292</v>
      </c>
      <c r="Y54" s="30" t="s">
        <v>21</v>
      </c>
      <c r="Z54" s="30"/>
      <c r="AA54" s="30" t="s">
        <v>293</v>
      </c>
      <c r="AB54" s="30" t="s">
        <v>27</v>
      </c>
      <c r="AC54" s="30"/>
      <c r="AD54" s="64"/>
    </row>
    <row r="55" customFormat="false" ht="25.5" hidden="false" customHeight="true" outlineLevel="0" collapsed="false">
      <c r="A55" s="43" t="n">
        <v>51</v>
      </c>
      <c r="B55" s="28" t="s">
        <v>287</v>
      </c>
      <c r="C55" s="29" t="s">
        <v>21</v>
      </c>
      <c r="D55" s="30"/>
      <c r="E55" s="29" t="s">
        <v>294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295</v>
      </c>
      <c r="P55" s="29" t="s">
        <v>20</v>
      </c>
      <c r="Q55" s="30"/>
      <c r="R55" s="30" t="s">
        <v>296</v>
      </c>
      <c r="S55" s="30" t="s">
        <v>7</v>
      </c>
      <c r="T55" s="30"/>
      <c r="U55" s="30" t="s">
        <v>297</v>
      </c>
      <c r="V55" s="30" t="s">
        <v>13</v>
      </c>
      <c r="W55" s="30"/>
      <c r="X55" s="30" t="s">
        <v>298</v>
      </c>
      <c r="Y55" s="30" t="s">
        <v>21</v>
      </c>
      <c r="Z55" s="30"/>
      <c r="AA55" s="30" t="s">
        <v>299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8"/>
      <c r="C56" s="30"/>
      <c r="D56" s="30"/>
      <c r="E56" s="29" t="s">
        <v>300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301</v>
      </c>
      <c r="P56" s="29" t="s">
        <v>20</v>
      </c>
      <c r="Q56" s="30"/>
      <c r="R56" s="30" t="s">
        <v>302</v>
      </c>
      <c r="S56" s="30" t="s">
        <v>7</v>
      </c>
      <c r="T56" s="30"/>
      <c r="U56" s="30" t="s">
        <v>303</v>
      </c>
      <c r="V56" s="30" t="s">
        <v>20</v>
      </c>
      <c r="W56" s="30"/>
      <c r="X56" s="30" t="s">
        <v>304</v>
      </c>
      <c r="Y56" s="30" t="s">
        <v>21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9" t="s">
        <v>179</v>
      </c>
      <c r="C57" s="65"/>
      <c r="D57" s="30"/>
      <c r="E57" s="29" t="s">
        <v>305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306</v>
      </c>
      <c r="P57" s="29" t="s">
        <v>20</v>
      </c>
      <c r="Q57" s="30"/>
      <c r="R57" s="30" t="s">
        <v>307</v>
      </c>
      <c r="S57" s="30" t="s">
        <v>7</v>
      </c>
      <c r="T57" s="30"/>
      <c r="U57" s="30" t="s">
        <v>308</v>
      </c>
      <c r="V57" s="30" t="s">
        <v>20</v>
      </c>
      <c r="W57" s="30"/>
      <c r="X57" s="30" t="s">
        <v>309</v>
      </c>
      <c r="Y57" s="30" t="s">
        <v>27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310</v>
      </c>
      <c r="C58" s="30" t="s">
        <v>7</v>
      </c>
      <c r="D58" s="30"/>
      <c r="E58" s="29" t="s">
        <v>311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312</v>
      </c>
      <c r="P58" s="29" t="s">
        <v>20</v>
      </c>
      <c r="Q58" s="30"/>
      <c r="R58" s="30" t="s">
        <v>313</v>
      </c>
      <c r="S58" s="30" t="s">
        <v>8</v>
      </c>
      <c r="T58" s="30"/>
      <c r="U58" s="30" t="s">
        <v>314</v>
      </c>
      <c r="V58" s="30" t="s">
        <v>20</v>
      </c>
      <c r="W58" s="30"/>
      <c r="X58" s="30" t="s">
        <v>315</v>
      </c>
      <c r="Y58" s="30" t="s">
        <v>27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316</v>
      </c>
      <c r="C59" s="30" t="s">
        <v>8</v>
      </c>
      <c r="D59" s="30"/>
      <c r="E59" s="29" t="s">
        <v>317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318</v>
      </c>
      <c r="P59" s="29" t="s">
        <v>20</v>
      </c>
      <c r="Q59" s="30"/>
      <c r="R59" s="30" t="s">
        <v>319</v>
      </c>
      <c r="S59" s="30" t="s">
        <v>9</v>
      </c>
      <c r="T59" s="30"/>
      <c r="U59" s="30" t="s">
        <v>320</v>
      </c>
      <c r="V59" s="30" t="s">
        <v>20</v>
      </c>
      <c r="W59" s="30"/>
      <c r="X59" s="30"/>
      <c r="Y59" s="30"/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321</v>
      </c>
      <c r="C60" s="30" t="s">
        <v>9</v>
      </c>
      <c r="D60" s="30"/>
      <c r="E60" s="29" t="s">
        <v>322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323</v>
      </c>
      <c r="P60" s="29" t="s">
        <v>20</v>
      </c>
      <c r="Q60" s="30"/>
      <c r="R60" s="30" t="s">
        <v>324</v>
      </c>
      <c r="S60" s="30" t="s">
        <v>9</v>
      </c>
      <c r="T60" s="30"/>
      <c r="U60" s="30" t="s">
        <v>325</v>
      </c>
      <c r="V60" s="30" t="s">
        <v>20</v>
      </c>
      <c r="W60" s="30"/>
      <c r="X60" s="65" t="s">
        <v>66</v>
      </c>
      <c r="Y60" s="101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326</v>
      </c>
      <c r="C61" s="30" t="s">
        <v>10</v>
      </c>
      <c r="D61" s="30"/>
      <c r="E61" s="29" t="s">
        <v>327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328</v>
      </c>
      <c r="P61" s="29" t="s">
        <v>20</v>
      </c>
      <c r="Q61" s="30"/>
      <c r="R61" s="30" t="s">
        <v>329</v>
      </c>
      <c r="S61" s="30" t="s">
        <v>9</v>
      </c>
      <c r="T61" s="30"/>
      <c r="U61" s="30" t="s">
        <v>330</v>
      </c>
      <c r="V61" s="30" t="s">
        <v>20</v>
      </c>
      <c r="W61" s="30"/>
      <c r="X61" s="102" t="s">
        <v>331</v>
      </c>
      <c r="Y61" s="102" t="s">
        <v>13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332</v>
      </c>
      <c r="C62" s="30" t="s">
        <v>11</v>
      </c>
      <c r="D62" s="30"/>
      <c r="E62" s="29" t="s">
        <v>333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334</v>
      </c>
      <c r="P62" s="29" t="s">
        <v>20</v>
      </c>
      <c r="Q62" s="30"/>
      <c r="R62" s="30" t="s">
        <v>335</v>
      </c>
      <c r="S62" s="30" t="s">
        <v>9</v>
      </c>
      <c r="T62" s="30"/>
      <c r="U62" s="30" t="s">
        <v>336</v>
      </c>
      <c r="V62" s="30" t="s">
        <v>20</v>
      </c>
      <c r="W62" s="30"/>
      <c r="X62" s="102" t="s">
        <v>337</v>
      </c>
      <c r="Y62" s="102" t="s">
        <v>13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338</v>
      </c>
      <c r="C63" s="30" t="s">
        <v>12</v>
      </c>
      <c r="D63" s="30"/>
      <c r="E63" s="29" t="s">
        <v>339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340</v>
      </c>
      <c r="P63" s="29" t="s">
        <v>21</v>
      </c>
      <c r="Q63" s="30"/>
      <c r="R63" s="30" t="s">
        <v>341</v>
      </c>
      <c r="S63" s="30" t="s">
        <v>9</v>
      </c>
      <c r="T63" s="30"/>
      <c r="U63" s="30" t="s">
        <v>342</v>
      </c>
      <c r="V63" s="30" t="s">
        <v>20</v>
      </c>
      <c r="W63" s="30"/>
      <c r="X63" s="98"/>
      <c r="Y63" s="98"/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343</v>
      </c>
      <c r="C64" s="30" t="s">
        <v>15</v>
      </c>
      <c r="D64" s="30"/>
      <c r="E64" s="29" t="s">
        <v>344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345</v>
      </c>
      <c r="P64" s="29" t="s">
        <v>21</v>
      </c>
      <c r="Q64" s="30"/>
      <c r="R64" s="30" t="s">
        <v>346</v>
      </c>
      <c r="S64" s="30" t="s">
        <v>9</v>
      </c>
      <c r="T64" s="30"/>
      <c r="U64" s="30" t="s">
        <v>347</v>
      </c>
      <c r="V64" s="98" t="s">
        <v>20</v>
      </c>
      <c r="W64" s="98"/>
      <c r="X64" s="101" t="s">
        <v>203</v>
      </c>
      <c r="Y64" s="101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348</v>
      </c>
      <c r="C65" s="30" t="s">
        <v>18</v>
      </c>
      <c r="D65" s="30"/>
      <c r="E65" s="29" t="s">
        <v>349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350</v>
      </c>
      <c r="P65" s="29" t="s">
        <v>21</v>
      </c>
      <c r="Q65" s="30"/>
      <c r="R65" s="30" t="s">
        <v>351</v>
      </c>
      <c r="S65" s="30" t="s">
        <v>9</v>
      </c>
      <c r="T65" s="30"/>
      <c r="U65" s="30" t="s">
        <v>352</v>
      </c>
      <c r="V65" s="98" t="s">
        <v>20</v>
      </c>
      <c r="W65" s="98"/>
      <c r="X65" s="98" t="s">
        <v>353</v>
      </c>
      <c r="Y65" s="30" t="s">
        <v>11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354</v>
      </c>
      <c r="C66" s="30" t="s">
        <v>20</v>
      </c>
      <c r="D66" s="30"/>
      <c r="E66" s="29" t="s">
        <v>355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356</v>
      </c>
      <c r="P66" s="29" t="s">
        <v>21</v>
      </c>
      <c r="Q66" s="30"/>
      <c r="R66" s="30" t="s">
        <v>357</v>
      </c>
      <c r="S66" s="30" t="s">
        <v>9</v>
      </c>
      <c r="T66" s="30"/>
      <c r="U66" s="30" t="s">
        <v>358</v>
      </c>
      <c r="V66" s="98" t="s">
        <v>20</v>
      </c>
      <c r="W66" s="98"/>
      <c r="X66" s="30" t="s">
        <v>359</v>
      </c>
      <c r="Y66" s="30" t="s">
        <v>13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360</v>
      </c>
      <c r="C67" s="30" t="s">
        <v>20</v>
      </c>
      <c r="D67" s="30"/>
      <c r="E67" s="29" t="s">
        <v>361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362</v>
      </c>
      <c r="P67" s="29" t="s">
        <v>21</v>
      </c>
      <c r="Q67" s="30"/>
      <c r="R67" s="30" t="s">
        <v>363</v>
      </c>
      <c r="S67" s="30" t="s">
        <v>9</v>
      </c>
      <c r="T67" s="30"/>
      <c r="U67" s="30" t="s">
        <v>364</v>
      </c>
      <c r="V67" s="98" t="s">
        <v>20</v>
      </c>
      <c r="W67" s="98"/>
      <c r="X67" s="30" t="s">
        <v>365</v>
      </c>
      <c r="Y67" s="30" t="s">
        <v>16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366</v>
      </c>
      <c r="C68" s="105" t="s">
        <v>20</v>
      </c>
      <c r="D68" s="105"/>
      <c r="E68" s="106" t="s">
        <v>367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368</v>
      </c>
      <c r="P68" s="107" t="s">
        <v>21</v>
      </c>
      <c r="Q68" s="110"/>
      <c r="R68" s="110" t="s">
        <v>369</v>
      </c>
      <c r="S68" s="110" t="s">
        <v>9</v>
      </c>
      <c r="T68" s="110"/>
      <c r="U68" s="110" t="s">
        <v>370</v>
      </c>
      <c r="V68" s="110" t="s">
        <v>20</v>
      </c>
      <c r="W68" s="110"/>
      <c r="X68" s="110" t="s">
        <v>371</v>
      </c>
      <c r="Y68" s="110" t="s">
        <v>18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372</v>
      </c>
      <c r="B1" s="113" t="s">
        <v>373</v>
      </c>
      <c r="C1" s="113" t="s">
        <v>374</v>
      </c>
      <c r="D1" s="113" t="s">
        <v>375</v>
      </c>
      <c r="E1" s="113" t="s">
        <v>376</v>
      </c>
      <c r="F1" s="113" t="s">
        <v>0</v>
      </c>
      <c r="G1" s="113" t="s">
        <v>1</v>
      </c>
      <c r="H1" s="113" t="s">
        <v>377</v>
      </c>
      <c r="I1" s="113" t="s">
        <v>47</v>
      </c>
      <c r="J1" s="113" t="s">
        <v>48</v>
      </c>
      <c r="K1" s="113" t="s">
        <v>378</v>
      </c>
      <c r="L1" s="113" t="s">
        <v>379</v>
      </c>
    </row>
    <row r="2" customFormat="false" ht="15" hidden="false" customHeight="false" outlineLevel="0" collapsed="false">
      <c r="A2" s="114" t="s">
        <v>380</v>
      </c>
      <c r="B2" s="114" t="s">
        <v>381</v>
      </c>
      <c r="C2" s="114" t="s">
        <v>27</v>
      </c>
      <c r="D2" s="114" t="s">
        <v>27</v>
      </c>
      <c r="E2" s="114" t="s">
        <v>382</v>
      </c>
      <c r="F2" s="115" t="s">
        <v>87</v>
      </c>
      <c r="G2" s="114" t="s">
        <v>88</v>
      </c>
      <c r="H2" s="114" t="s">
        <v>383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384</v>
      </c>
      <c r="B3" s="114" t="s">
        <v>381</v>
      </c>
      <c r="C3" s="114" t="s">
        <v>27</v>
      </c>
      <c r="D3" s="114" t="s">
        <v>27</v>
      </c>
      <c r="E3" s="114" t="s">
        <v>315</v>
      </c>
      <c r="F3" s="115" t="s">
        <v>63</v>
      </c>
      <c r="G3" s="114" t="s">
        <v>64</v>
      </c>
      <c r="H3" s="114" t="s">
        <v>383</v>
      </c>
      <c r="I3" s="116" t="n">
        <v>1</v>
      </c>
      <c r="J3" s="116" t="n">
        <v>0</v>
      </c>
      <c r="K3" s="114"/>
      <c r="L3" s="114"/>
    </row>
    <row r="4" customFormat="false" ht="15" hidden="false" customHeight="false" outlineLevel="0" collapsed="false">
      <c r="A4" s="114" t="s">
        <v>385</v>
      </c>
      <c r="B4" s="114" t="s">
        <v>381</v>
      </c>
      <c r="C4" s="114" t="s">
        <v>27</v>
      </c>
      <c r="D4" s="114" t="s">
        <v>27</v>
      </c>
      <c r="E4" s="114" t="s">
        <v>309</v>
      </c>
      <c r="F4" s="115" t="s">
        <v>63</v>
      </c>
      <c r="G4" s="114" t="s">
        <v>64</v>
      </c>
      <c r="H4" s="114" t="s">
        <v>383</v>
      </c>
      <c r="I4" s="116" t="n">
        <v>0</v>
      </c>
      <c r="J4" s="116" t="n">
        <v>1</v>
      </c>
      <c r="K4" s="114"/>
      <c r="L4" s="114"/>
    </row>
    <row r="5" customFormat="false" ht="15" hidden="false" customHeight="false" outlineLevel="0" collapsed="false">
      <c r="A5" s="114" t="s">
        <v>386</v>
      </c>
      <c r="B5" s="114" t="s">
        <v>381</v>
      </c>
      <c r="C5" s="114" t="s">
        <v>387</v>
      </c>
      <c r="D5" s="114" t="s">
        <v>22</v>
      </c>
      <c r="E5" s="114" t="s">
        <v>388</v>
      </c>
      <c r="F5" s="115" t="s">
        <v>87</v>
      </c>
      <c r="G5" s="114" t="s">
        <v>88</v>
      </c>
      <c r="H5" s="114" t="s">
        <v>383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389</v>
      </c>
      <c r="B6" s="114" t="s">
        <v>381</v>
      </c>
      <c r="C6" s="114" t="s">
        <v>387</v>
      </c>
      <c r="D6" s="114" t="s">
        <v>22</v>
      </c>
      <c r="E6" s="114" t="s">
        <v>390</v>
      </c>
      <c r="F6" s="115" t="s">
        <v>87</v>
      </c>
      <c r="G6" s="114" t="s">
        <v>88</v>
      </c>
      <c r="H6" s="114" t="s">
        <v>383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391</v>
      </c>
      <c r="B7" s="114" t="s">
        <v>381</v>
      </c>
      <c r="C7" s="114" t="s">
        <v>387</v>
      </c>
      <c r="D7" s="114" t="s">
        <v>22</v>
      </c>
      <c r="E7" s="114" t="s">
        <v>392</v>
      </c>
      <c r="F7" s="115" t="s">
        <v>87</v>
      </c>
      <c r="G7" s="114" t="s">
        <v>88</v>
      </c>
      <c r="H7" s="114" t="s">
        <v>383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393</v>
      </c>
      <c r="B8" s="114" t="s">
        <v>381</v>
      </c>
      <c r="C8" s="114" t="s">
        <v>387</v>
      </c>
      <c r="D8" s="114" t="s">
        <v>22</v>
      </c>
      <c r="E8" s="114" t="s">
        <v>394</v>
      </c>
      <c r="F8" s="115" t="s">
        <v>87</v>
      </c>
      <c r="G8" s="114" t="s">
        <v>88</v>
      </c>
      <c r="H8" s="114" t="s">
        <v>383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395</v>
      </c>
      <c r="B9" s="114" t="s">
        <v>381</v>
      </c>
      <c r="C9" s="114" t="s">
        <v>387</v>
      </c>
      <c r="D9" s="114" t="s">
        <v>22</v>
      </c>
      <c r="E9" s="114" t="s">
        <v>396</v>
      </c>
      <c r="F9" s="115" t="s">
        <v>87</v>
      </c>
      <c r="G9" s="114" t="s">
        <v>88</v>
      </c>
      <c r="H9" s="114" t="s">
        <v>383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397</v>
      </c>
      <c r="B10" s="114" t="s">
        <v>381</v>
      </c>
      <c r="C10" s="114" t="s">
        <v>387</v>
      </c>
      <c r="D10" s="114" t="s">
        <v>22</v>
      </c>
      <c r="E10" s="114" t="s">
        <v>398</v>
      </c>
      <c r="F10" s="115" t="s">
        <v>87</v>
      </c>
      <c r="G10" s="114" t="s">
        <v>88</v>
      </c>
      <c r="H10" s="114" t="s">
        <v>383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399</v>
      </c>
      <c r="B11" s="114" t="s">
        <v>381</v>
      </c>
      <c r="C11" s="114" t="s">
        <v>400</v>
      </c>
      <c r="D11" s="114" t="s">
        <v>32</v>
      </c>
      <c r="E11" s="114" t="s">
        <v>401</v>
      </c>
      <c r="F11" s="115" t="s">
        <v>87</v>
      </c>
      <c r="G11" s="114" t="s">
        <v>88</v>
      </c>
      <c r="H11" s="114" t="s">
        <v>383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402</v>
      </c>
      <c r="B12" s="114" t="s">
        <v>381</v>
      </c>
      <c r="C12" s="114" t="s">
        <v>403</v>
      </c>
      <c r="D12" s="114" t="s">
        <v>13</v>
      </c>
      <c r="E12" s="114" t="s">
        <v>404</v>
      </c>
      <c r="F12" s="115" t="s">
        <v>103</v>
      </c>
      <c r="G12" s="114" t="s">
        <v>104</v>
      </c>
      <c r="H12" s="114" t="s">
        <v>383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405</v>
      </c>
      <c r="B13" s="114" t="s">
        <v>381</v>
      </c>
      <c r="C13" s="114" t="s">
        <v>403</v>
      </c>
      <c r="D13" s="114" t="s">
        <v>13</v>
      </c>
      <c r="E13" s="114" t="s">
        <v>284</v>
      </c>
      <c r="F13" s="115" t="s">
        <v>63</v>
      </c>
      <c r="G13" s="114" t="s">
        <v>64</v>
      </c>
      <c r="H13" s="114" t="s">
        <v>383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406</v>
      </c>
      <c r="B14" s="114" t="s">
        <v>381</v>
      </c>
      <c r="C14" s="114" t="s">
        <v>403</v>
      </c>
      <c r="D14" s="114" t="s">
        <v>13</v>
      </c>
      <c r="E14" s="114" t="s">
        <v>297</v>
      </c>
      <c r="F14" s="115" t="s">
        <v>63</v>
      </c>
      <c r="G14" s="114" t="s">
        <v>64</v>
      </c>
      <c r="H14" s="114" t="s">
        <v>383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407</v>
      </c>
      <c r="B15" s="114" t="s">
        <v>381</v>
      </c>
      <c r="C15" s="114" t="s">
        <v>403</v>
      </c>
      <c r="D15" s="114" t="s">
        <v>13</v>
      </c>
      <c r="E15" s="114" t="s">
        <v>291</v>
      </c>
      <c r="F15" s="115" t="s">
        <v>63</v>
      </c>
      <c r="G15" s="114" t="s">
        <v>64</v>
      </c>
      <c r="H15" s="114" t="s">
        <v>383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408</v>
      </c>
      <c r="B16" s="114" t="s">
        <v>381</v>
      </c>
      <c r="C16" s="114" t="s">
        <v>409</v>
      </c>
      <c r="D16" s="114" t="s">
        <v>35</v>
      </c>
      <c r="E16" s="114" t="s">
        <v>410</v>
      </c>
      <c r="F16" s="115" t="s">
        <v>87</v>
      </c>
      <c r="G16" s="114" t="s">
        <v>88</v>
      </c>
      <c r="H16" s="114" t="s">
        <v>383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411</v>
      </c>
      <c r="B17" s="114" t="s">
        <v>381</v>
      </c>
      <c r="C17" s="114" t="s">
        <v>412</v>
      </c>
      <c r="D17" s="114" t="s">
        <v>14</v>
      </c>
      <c r="E17" s="114" t="s">
        <v>413</v>
      </c>
      <c r="F17" s="115" t="s">
        <v>87</v>
      </c>
      <c r="G17" s="114" t="s">
        <v>88</v>
      </c>
      <c r="H17" s="114" t="s">
        <v>383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414</v>
      </c>
      <c r="B18" s="114" t="s">
        <v>381</v>
      </c>
      <c r="C18" s="114" t="s">
        <v>25</v>
      </c>
      <c r="D18" s="114" t="s">
        <v>25</v>
      </c>
      <c r="E18" s="114" t="s">
        <v>415</v>
      </c>
      <c r="F18" s="115" t="s">
        <v>87</v>
      </c>
      <c r="G18" s="114" t="s">
        <v>88</v>
      </c>
      <c r="H18" s="114" t="s">
        <v>383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416</v>
      </c>
      <c r="B19" s="114" t="s">
        <v>381</v>
      </c>
      <c r="C19" s="114" t="s">
        <v>417</v>
      </c>
      <c r="D19" s="114" t="s">
        <v>7</v>
      </c>
      <c r="E19" s="114" t="s">
        <v>418</v>
      </c>
      <c r="F19" s="115" t="s">
        <v>87</v>
      </c>
      <c r="G19" s="114" t="s">
        <v>88</v>
      </c>
      <c r="H19" s="114" t="s">
        <v>383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419</v>
      </c>
      <c r="B20" s="114" t="s">
        <v>381</v>
      </c>
      <c r="C20" s="114" t="s">
        <v>417</v>
      </c>
      <c r="D20" s="114" t="s">
        <v>7</v>
      </c>
      <c r="E20" s="114" t="s">
        <v>420</v>
      </c>
      <c r="F20" s="115" t="s">
        <v>87</v>
      </c>
      <c r="G20" s="114" t="s">
        <v>88</v>
      </c>
      <c r="H20" s="114" t="s">
        <v>383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421</v>
      </c>
      <c r="B21" s="114" t="s">
        <v>381</v>
      </c>
      <c r="C21" s="114" t="s">
        <v>417</v>
      </c>
      <c r="D21" s="114" t="s">
        <v>7</v>
      </c>
      <c r="E21" s="114" t="s">
        <v>422</v>
      </c>
      <c r="F21" s="115" t="s">
        <v>103</v>
      </c>
      <c r="G21" s="114" t="s">
        <v>104</v>
      </c>
      <c r="H21" s="114" t="s">
        <v>383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423</v>
      </c>
      <c r="B22" s="114" t="s">
        <v>381</v>
      </c>
      <c r="C22" s="114" t="s">
        <v>417</v>
      </c>
      <c r="D22" s="114" t="s">
        <v>7</v>
      </c>
      <c r="E22" s="114" t="s">
        <v>307</v>
      </c>
      <c r="F22" s="115" t="s">
        <v>63</v>
      </c>
      <c r="G22" s="114" t="s">
        <v>64</v>
      </c>
      <c r="H22" s="114" t="s">
        <v>383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424</v>
      </c>
      <c r="B23" s="114" t="s">
        <v>381</v>
      </c>
      <c r="C23" s="114" t="s">
        <v>417</v>
      </c>
      <c r="D23" s="114" t="s">
        <v>7</v>
      </c>
      <c r="E23" s="114" t="s">
        <v>271</v>
      </c>
      <c r="F23" s="115" t="s">
        <v>63</v>
      </c>
      <c r="G23" s="114" t="s">
        <v>64</v>
      </c>
      <c r="H23" s="114" t="s">
        <v>383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425</v>
      </c>
      <c r="B24" s="114" t="s">
        <v>381</v>
      </c>
      <c r="C24" s="114" t="s">
        <v>417</v>
      </c>
      <c r="D24" s="114" t="s">
        <v>7</v>
      </c>
      <c r="E24" s="114" t="s">
        <v>302</v>
      </c>
      <c r="F24" s="115" t="s">
        <v>63</v>
      </c>
      <c r="G24" s="114" t="s">
        <v>64</v>
      </c>
      <c r="H24" s="114" t="s">
        <v>383</v>
      </c>
      <c r="I24" s="116" t="n">
        <v>1</v>
      </c>
      <c r="J24" s="116" t="n">
        <v>0</v>
      </c>
      <c r="K24" s="114"/>
      <c r="L24" s="114"/>
    </row>
    <row r="25" customFormat="false" ht="15" hidden="false" customHeight="false" outlineLevel="0" collapsed="false">
      <c r="A25" s="114" t="s">
        <v>426</v>
      </c>
      <c r="B25" s="114" t="s">
        <v>381</v>
      </c>
      <c r="C25" s="114" t="s">
        <v>417</v>
      </c>
      <c r="D25" s="114" t="s">
        <v>7</v>
      </c>
      <c r="E25" s="114" t="s">
        <v>296</v>
      </c>
      <c r="F25" s="115" t="s">
        <v>63</v>
      </c>
      <c r="G25" s="114" t="s">
        <v>64</v>
      </c>
      <c r="H25" s="114" t="s">
        <v>383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427</v>
      </c>
      <c r="B26" s="114" t="s">
        <v>381</v>
      </c>
      <c r="C26" s="114" t="s">
        <v>417</v>
      </c>
      <c r="D26" s="114" t="s">
        <v>7</v>
      </c>
      <c r="E26" s="114" t="s">
        <v>277</v>
      </c>
      <c r="F26" s="115" t="s">
        <v>63</v>
      </c>
      <c r="G26" s="114" t="s">
        <v>64</v>
      </c>
      <c r="H26" s="114" t="s">
        <v>383</v>
      </c>
      <c r="I26" s="116" t="n">
        <v>0</v>
      </c>
      <c r="J26" s="116" t="n">
        <v>1</v>
      </c>
      <c r="K26" s="114"/>
      <c r="L26" s="114"/>
    </row>
    <row r="27" customFormat="false" ht="15" hidden="false" customHeight="false" outlineLevel="0" collapsed="false">
      <c r="A27" s="114" t="s">
        <v>428</v>
      </c>
      <c r="B27" s="114" t="s">
        <v>381</v>
      </c>
      <c r="C27" s="114" t="s">
        <v>429</v>
      </c>
      <c r="D27" s="114" t="s">
        <v>8</v>
      </c>
      <c r="E27" s="114" t="s">
        <v>313</v>
      </c>
      <c r="F27" s="115" t="s">
        <v>63</v>
      </c>
      <c r="G27" s="114" t="s">
        <v>64</v>
      </c>
      <c r="H27" s="114" t="s">
        <v>383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430</v>
      </c>
      <c r="B28" s="114" t="s">
        <v>381</v>
      </c>
      <c r="C28" s="114" t="s">
        <v>431</v>
      </c>
      <c r="D28" s="114" t="s">
        <v>9</v>
      </c>
      <c r="E28" s="114" t="s">
        <v>324</v>
      </c>
      <c r="F28" s="115" t="s">
        <v>63</v>
      </c>
      <c r="G28" s="114" t="s">
        <v>64</v>
      </c>
      <c r="H28" s="114" t="s">
        <v>383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432</v>
      </c>
      <c r="B29" s="114" t="s">
        <v>381</v>
      </c>
      <c r="C29" s="114" t="s">
        <v>431</v>
      </c>
      <c r="D29" s="114" t="s">
        <v>9</v>
      </c>
      <c r="E29" s="114" t="s">
        <v>341</v>
      </c>
      <c r="F29" s="115" t="s">
        <v>63</v>
      </c>
      <c r="G29" s="114" t="s">
        <v>64</v>
      </c>
      <c r="H29" s="114" t="s">
        <v>383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433</v>
      </c>
      <c r="B30" s="114" t="s">
        <v>381</v>
      </c>
      <c r="C30" s="114" t="s">
        <v>431</v>
      </c>
      <c r="D30" s="114" t="s">
        <v>9</v>
      </c>
      <c r="E30" s="114" t="s">
        <v>278</v>
      </c>
      <c r="F30" s="115" t="s">
        <v>63</v>
      </c>
      <c r="G30" s="114" t="s">
        <v>64</v>
      </c>
      <c r="H30" s="114" t="s">
        <v>383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434</v>
      </c>
      <c r="B31" s="114" t="s">
        <v>381</v>
      </c>
      <c r="C31" s="114" t="s">
        <v>431</v>
      </c>
      <c r="D31" s="114" t="s">
        <v>9</v>
      </c>
      <c r="E31" s="114" t="s">
        <v>260</v>
      </c>
      <c r="F31" s="115" t="s">
        <v>63</v>
      </c>
      <c r="G31" s="114" t="s">
        <v>64</v>
      </c>
      <c r="H31" s="114" t="s">
        <v>383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435</v>
      </c>
      <c r="B32" s="114" t="s">
        <v>381</v>
      </c>
      <c r="C32" s="114" t="s">
        <v>431</v>
      </c>
      <c r="D32" s="114" t="s">
        <v>9</v>
      </c>
      <c r="E32" s="114" t="s">
        <v>266</v>
      </c>
      <c r="F32" s="115" t="s">
        <v>63</v>
      </c>
      <c r="G32" s="114" t="s">
        <v>64</v>
      </c>
      <c r="H32" s="114" t="s">
        <v>383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436</v>
      </c>
      <c r="B33" s="114" t="s">
        <v>381</v>
      </c>
      <c r="C33" s="114" t="s">
        <v>431</v>
      </c>
      <c r="D33" s="114" t="s">
        <v>9</v>
      </c>
      <c r="E33" s="114" t="s">
        <v>329</v>
      </c>
      <c r="F33" s="115" t="s">
        <v>63</v>
      </c>
      <c r="G33" s="114" t="s">
        <v>64</v>
      </c>
      <c r="H33" s="114" t="s">
        <v>383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437</v>
      </c>
      <c r="B34" s="114" t="s">
        <v>381</v>
      </c>
      <c r="C34" s="114" t="s">
        <v>431</v>
      </c>
      <c r="D34" s="114" t="s">
        <v>9</v>
      </c>
      <c r="E34" s="114" t="s">
        <v>335</v>
      </c>
      <c r="F34" s="115" t="s">
        <v>63</v>
      </c>
      <c r="G34" s="114" t="s">
        <v>64</v>
      </c>
      <c r="H34" s="114" t="s">
        <v>383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438</v>
      </c>
      <c r="B35" s="114" t="s">
        <v>381</v>
      </c>
      <c r="C35" s="114" t="s">
        <v>431</v>
      </c>
      <c r="D35" s="114" t="s">
        <v>9</v>
      </c>
      <c r="E35" s="114" t="s">
        <v>346</v>
      </c>
      <c r="F35" s="115" t="s">
        <v>63</v>
      </c>
      <c r="G35" s="114" t="s">
        <v>64</v>
      </c>
      <c r="H35" s="114" t="s">
        <v>383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439</v>
      </c>
      <c r="B36" s="114" t="s">
        <v>381</v>
      </c>
      <c r="C36" s="114" t="s">
        <v>431</v>
      </c>
      <c r="D36" s="114" t="s">
        <v>9</v>
      </c>
      <c r="E36" s="114" t="s">
        <v>351</v>
      </c>
      <c r="F36" s="115" t="s">
        <v>63</v>
      </c>
      <c r="G36" s="114" t="s">
        <v>64</v>
      </c>
      <c r="H36" s="114" t="s">
        <v>383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440</v>
      </c>
      <c r="B37" s="114" t="s">
        <v>381</v>
      </c>
      <c r="C37" s="114" t="s">
        <v>431</v>
      </c>
      <c r="D37" s="114" t="s">
        <v>9</v>
      </c>
      <c r="E37" s="114" t="s">
        <v>319</v>
      </c>
      <c r="F37" s="115" t="s">
        <v>63</v>
      </c>
      <c r="G37" s="114" t="s">
        <v>64</v>
      </c>
      <c r="H37" s="114" t="s">
        <v>383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441</v>
      </c>
      <c r="B38" s="114" t="s">
        <v>381</v>
      </c>
      <c r="C38" s="114" t="s">
        <v>431</v>
      </c>
      <c r="D38" s="114" t="s">
        <v>9</v>
      </c>
      <c r="E38" s="114" t="s">
        <v>272</v>
      </c>
      <c r="F38" s="115" t="s">
        <v>63</v>
      </c>
      <c r="G38" s="114" t="s">
        <v>64</v>
      </c>
      <c r="H38" s="114" t="s">
        <v>383</v>
      </c>
      <c r="I38" s="116" t="n">
        <v>1</v>
      </c>
      <c r="J38" s="116" t="n">
        <v>0</v>
      </c>
      <c r="K38" s="114"/>
      <c r="L38" s="114"/>
    </row>
    <row r="39" customFormat="false" ht="15" hidden="false" customHeight="false" outlineLevel="0" collapsed="false">
      <c r="A39" s="114" t="s">
        <v>442</v>
      </c>
      <c r="B39" s="114" t="s">
        <v>381</v>
      </c>
      <c r="C39" s="114" t="s">
        <v>431</v>
      </c>
      <c r="D39" s="114" t="s">
        <v>9</v>
      </c>
      <c r="E39" s="114" t="s">
        <v>357</v>
      </c>
      <c r="F39" s="115" t="s">
        <v>63</v>
      </c>
      <c r="G39" s="114" t="s">
        <v>64</v>
      </c>
      <c r="H39" s="114" t="s">
        <v>383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443</v>
      </c>
      <c r="B40" s="114" t="s">
        <v>381</v>
      </c>
      <c r="C40" s="114" t="s">
        <v>431</v>
      </c>
      <c r="D40" s="114" t="s">
        <v>9</v>
      </c>
      <c r="E40" s="114" t="s">
        <v>254</v>
      </c>
      <c r="F40" s="115" t="s">
        <v>63</v>
      </c>
      <c r="G40" s="114" t="s">
        <v>64</v>
      </c>
      <c r="H40" s="114" t="s">
        <v>383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444</v>
      </c>
      <c r="B41" s="114" t="s">
        <v>381</v>
      </c>
      <c r="C41" s="114" t="s">
        <v>431</v>
      </c>
      <c r="D41" s="114" t="s">
        <v>9</v>
      </c>
      <c r="E41" s="114" t="s">
        <v>369</v>
      </c>
      <c r="F41" s="115" t="s">
        <v>63</v>
      </c>
      <c r="G41" s="114" t="s">
        <v>64</v>
      </c>
      <c r="H41" s="114" t="s">
        <v>383</v>
      </c>
      <c r="I41" s="116" t="n">
        <v>0</v>
      </c>
      <c r="J41" s="116" t="n">
        <v>1</v>
      </c>
      <c r="K41" s="114"/>
      <c r="L41" s="114"/>
    </row>
    <row r="42" customFormat="false" ht="15" hidden="false" customHeight="false" outlineLevel="0" collapsed="false">
      <c r="A42" s="114" t="s">
        <v>445</v>
      </c>
      <c r="B42" s="114" t="s">
        <v>381</v>
      </c>
      <c r="C42" s="114" t="s">
        <v>446</v>
      </c>
      <c r="D42" s="114" t="s">
        <v>20</v>
      </c>
      <c r="E42" s="114" t="s">
        <v>447</v>
      </c>
      <c r="F42" s="115" t="s">
        <v>105</v>
      </c>
      <c r="G42" s="114" t="s">
        <v>106</v>
      </c>
      <c r="H42" s="114" t="s">
        <v>383</v>
      </c>
      <c r="I42" s="116" t="n">
        <v>0</v>
      </c>
      <c r="J42" s="116" t="n">
        <v>1</v>
      </c>
      <c r="K42" s="114"/>
      <c r="L42" s="114"/>
    </row>
    <row r="43" customFormat="false" ht="15" hidden="false" customHeight="false" outlineLevel="0" collapsed="false">
      <c r="A43" s="114" t="s">
        <v>448</v>
      </c>
      <c r="B43" s="114" t="s">
        <v>381</v>
      </c>
      <c r="C43" s="114" t="s">
        <v>446</v>
      </c>
      <c r="D43" s="114" t="s">
        <v>20</v>
      </c>
      <c r="E43" s="114" t="s">
        <v>449</v>
      </c>
      <c r="F43" s="115" t="s">
        <v>87</v>
      </c>
      <c r="G43" s="114" t="s">
        <v>88</v>
      </c>
      <c r="H43" s="114" t="s">
        <v>383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450</v>
      </c>
      <c r="B44" s="114" t="s">
        <v>381</v>
      </c>
      <c r="C44" s="114" t="s">
        <v>446</v>
      </c>
      <c r="D44" s="114" t="s">
        <v>20</v>
      </c>
      <c r="E44" s="114" t="s">
        <v>451</v>
      </c>
      <c r="F44" s="115" t="s">
        <v>105</v>
      </c>
      <c r="G44" s="114" t="s">
        <v>106</v>
      </c>
      <c r="H44" s="114" t="s">
        <v>383</v>
      </c>
      <c r="I44" s="116" t="n">
        <v>0</v>
      </c>
      <c r="J44" s="116" t="n">
        <v>1</v>
      </c>
      <c r="K44" s="114"/>
      <c r="L44" s="114"/>
    </row>
    <row r="45" customFormat="false" ht="15" hidden="false" customHeight="false" outlineLevel="0" collapsed="false">
      <c r="A45" s="114" t="s">
        <v>452</v>
      </c>
      <c r="B45" s="114" t="s">
        <v>381</v>
      </c>
      <c r="C45" s="114" t="s">
        <v>446</v>
      </c>
      <c r="D45" s="114" t="s">
        <v>20</v>
      </c>
      <c r="E45" s="114" t="s">
        <v>453</v>
      </c>
      <c r="F45" s="115" t="s">
        <v>87</v>
      </c>
      <c r="G45" s="114" t="s">
        <v>88</v>
      </c>
      <c r="H45" s="114" t="s">
        <v>383</v>
      </c>
      <c r="I45" s="116" t="n">
        <v>1</v>
      </c>
      <c r="J45" s="116" t="n">
        <v>0</v>
      </c>
      <c r="K45" s="114"/>
      <c r="L45" s="114"/>
    </row>
    <row r="46" customFormat="false" ht="15" hidden="false" customHeight="false" outlineLevel="0" collapsed="false">
      <c r="A46" s="114" t="s">
        <v>454</v>
      </c>
      <c r="B46" s="114" t="s">
        <v>381</v>
      </c>
      <c r="C46" s="114" t="s">
        <v>446</v>
      </c>
      <c r="D46" s="114" t="s">
        <v>20</v>
      </c>
      <c r="E46" s="114" t="s">
        <v>455</v>
      </c>
      <c r="F46" s="115" t="s">
        <v>105</v>
      </c>
      <c r="G46" s="114" t="s">
        <v>106</v>
      </c>
      <c r="H46" s="114" t="s">
        <v>383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456</v>
      </c>
      <c r="B47" s="114" t="s">
        <v>381</v>
      </c>
      <c r="C47" s="114" t="s">
        <v>446</v>
      </c>
      <c r="D47" s="114" t="s">
        <v>20</v>
      </c>
      <c r="E47" s="114" t="s">
        <v>457</v>
      </c>
      <c r="F47" s="115" t="s">
        <v>87</v>
      </c>
      <c r="G47" s="114" t="s">
        <v>88</v>
      </c>
      <c r="H47" s="114" t="s">
        <v>383</v>
      </c>
      <c r="I47" s="116" t="n">
        <v>1</v>
      </c>
      <c r="J47" s="116" t="n">
        <v>0</v>
      </c>
      <c r="K47" s="114"/>
      <c r="L47" s="114"/>
    </row>
    <row r="48" customFormat="false" ht="15" hidden="false" customHeight="false" outlineLevel="0" collapsed="false">
      <c r="A48" s="114" t="s">
        <v>458</v>
      </c>
      <c r="B48" s="114" t="s">
        <v>381</v>
      </c>
      <c r="C48" s="114" t="s">
        <v>446</v>
      </c>
      <c r="D48" s="114" t="s">
        <v>20</v>
      </c>
      <c r="E48" s="114" t="s">
        <v>459</v>
      </c>
      <c r="F48" s="115" t="s">
        <v>105</v>
      </c>
      <c r="G48" s="114" t="s">
        <v>106</v>
      </c>
      <c r="H48" s="114" t="s">
        <v>383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460</v>
      </c>
      <c r="B49" s="114" t="s">
        <v>381</v>
      </c>
      <c r="C49" s="114" t="s">
        <v>446</v>
      </c>
      <c r="D49" s="114" t="s">
        <v>20</v>
      </c>
      <c r="E49" s="114" t="s">
        <v>461</v>
      </c>
      <c r="F49" s="115" t="s">
        <v>87</v>
      </c>
      <c r="G49" s="114" t="s">
        <v>88</v>
      </c>
      <c r="H49" s="114" t="s">
        <v>383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462</v>
      </c>
      <c r="B50" s="114" t="s">
        <v>381</v>
      </c>
      <c r="C50" s="114" t="s">
        <v>446</v>
      </c>
      <c r="D50" s="114" t="s">
        <v>20</v>
      </c>
      <c r="E50" s="114" t="s">
        <v>347</v>
      </c>
      <c r="F50" s="115" t="s">
        <v>63</v>
      </c>
      <c r="G50" s="114" t="s">
        <v>64</v>
      </c>
      <c r="H50" s="114" t="s">
        <v>383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463</v>
      </c>
      <c r="B51" s="114" t="s">
        <v>381</v>
      </c>
      <c r="C51" s="114" t="s">
        <v>446</v>
      </c>
      <c r="D51" s="114" t="s">
        <v>20</v>
      </c>
      <c r="E51" s="114" t="s">
        <v>464</v>
      </c>
      <c r="F51" s="115" t="s">
        <v>87</v>
      </c>
      <c r="G51" s="114" t="s">
        <v>88</v>
      </c>
      <c r="H51" s="114" t="s">
        <v>383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465</v>
      </c>
      <c r="B52" s="114" t="s">
        <v>381</v>
      </c>
      <c r="C52" s="114" t="s">
        <v>446</v>
      </c>
      <c r="D52" s="114" t="s">
        <v>20</v>
      </c>
      <c r="E52" s="114" t="s">
        <v>330</v>
      </c>
      <c r="F52" s="115" t="s">
        <v>63</v>
      </c>
      <c r="G52" s="114" t="s">
        <v>64</v>
      </c>
      <c r="H52" s="114" t="s">
        <v>383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466</v>
      </c>
      <c r="B53" s="114" t="s">
        <v>381</v>
      </c>
      <c r="C53" s="114" t="s">
        <v>446</v>
      </c>
      <c r="D53" s="114" t="s">
        <v>20</v>
      </c>
      <c r="E53" s="114" t="s">
        <v>467</v>
      </c>
      <c r="F53" s="115" t="s">
        <v>87</v>
      </c>
      <c r="G53" s="114" t="s">
        <v>88</v>
      </c>
      <c r="H53" s="114" t="s">
        <v>383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468</v>
      </c>
      <c r="B54" s="114" t="s">
        <v>381</v>
      </c>
      <c r="C54" s="114" t="s">
        <v>446</v>
      </c>
      <c r="D54" s="114" t="s">
        <v>20</v>
      </c>
      <c r="E54" s="114" t="s">
        <v>370</v>
      </c>
      <c r="F54" s="115" t="s">
        <v>63</v>
      </c>
      <c r="G54" s="114" t="s">
        <v>64</v>
      </c>
      <c r="H54" s="114" t="s">
        <v>383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469</v>
      </c>
      <c r="B55" s="114" t="s">
        <v>381</v>
      </c>
      <c r="C55" s="114" t="s">
        <v>446</v>
      </c>
      <c r="D55" s="114" t="s">
        <v>20</v>
      </c>
      <c r="E55" s="114" t="s">
        <v>325</v>
      </c>
      <c r="F55" s="115" t="s">
        <v>63</v>
      </c>
      <c r="G55" s="114" t="s">
        <v>64</v>
      </c>
      <c r="H55" s="114" t="s">
        <v>383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470</v>
      </c>
      <c r="B56" s="114" t="s">
        <v>381</v>
      </c>
      <c r="C56" s="114" t="s">
        <v>446</v>
      </c>
      <c r="D56" s="114" t="s">
        <v>20</v>
      </c>
      <c r="E56" s="114" t="s">
        <v>342</v>
      </c>
      <c r="F56" s="115" t="s">
        <v>63</v>
      </c>
      <c r="G56" s="114" t="s">
        <v>64</v>
      </c>
      <c r="H56" s="114" t="s">
        <v>383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471</v>
      </c>
      <c r="B57" s="114" t="s">
        <v>381</v>
      </c>
      <c r="C57" s="114" t="s">
        <v>446</v>
      </c>
      <c r="D57" s="114" t="s">
        <v>20</v>
      </c>
      <c r="E57" s="114" t="s">
        <v>352</v>
      </c>
      <c r="F57" s="115" t="s">
        <v>63</v>
      </c>
      <c r="G57" s="114" t="s">
        <v>64</v>
      </c>
      <c r="H57" s="114" t="s">
        <v>383</v>
      </c>
      <c r="I57" s="116" t="n">
        <v>1</v>
      </c>
      <c r="J57" s="116" t="n">
        <v>0</v>
      </c>
      <c r="K57" s="114"/>
      <c r="L57" s="114"/>
    </row>
    <row r="58" customFormat="false" ht="15" hidden="false" customHeight="false" outlineLevel="0" collapsed="false">
      <c r="A58" s="114" t="s">
        <v>472</v>
      </c>
      <c r="B58" s="114" t="s">
        <v>381</v>
      </c>
      <c r="C58" s="114" t="s">
        <v>446</v>
      </c>
      <c r="D58" s="114" t="s">
        <v>20</v>
      </c>
      <c r="E58" s="114" t="s">
        <v>320</v>
      </c>
      <c r="F58" s="115" t="s">
        <v>63</v>
      </c>
      <c r="G58" s="114" t="s">
        <v>64</v>
      </c>
      <c r="H58" s="114" t="s">
        <v>383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473</v>
      </c>
      <c r="B59" s="114" t="s">
        <v>381</v>
      </c>
      <c r="C59" s="114" t="s">
        <v>446</v>
      </c>
      <c r="D59" s="114" t="s">
        <v>20</v>
      </c>
      <c r="E59" s="114" t="s">
        <v>303</v>
      </c>
      <c r="F59" s="115" t="s">
        <v>63</v>
      </c>
      <c r="G59" s="114" t="s">
        <v>64</v>
      </c>
      <c r="H59" s="114" t="s">
        <v>383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474</v>
      </c>
      <c r="B60" s="114" t="s">
        <v>381</v>
      </c>
      <c r="C60" s="114" t="s">
        <v>446</v>
      </c>
      <c r="D60" s="114" t="s">
        <v>20</v>
      </c>
      <c r="E60" s="114" t="s">
        <v>314</v>
      </c>
      <c r="F60" s="115" t="s">
        <v>63</v>
      </c>
      <c r="G60" s="114" t="s">
        <v>64</v>
      </c>
      <c r="H60" s="114" t="s">
        <v>383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475</v>
      </c>
      <c r="B61" s="114" t="s">
        <v>381</v>
      </c>
      <c r="C61" s="114" t="s">
        <v>446</v>
      </c>
      <c r="D61" s="114" t="s">
        <v>20</v>
      </c>
      <c r="E61" s="114" t="s">
        <v>308</v>
      </c>
      <c r="F61" s="115" t="s">
        <v>63</v>
      </c>
      <c r="G61" s="114" t="s">
        <v>64</v>
      </c>
      <c r="H61" s="114" t="s">
        <v>383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476</v>
      </c>
      <c r="B62" s="114" t="s">
        <v>381</v>
      </c>
      <c r="C62" s="114" t="s">
        <v>446</v>
      </c>
      <c r="D62" s="114" t="s">
        <v>20</v>
      </c>
      <c r="E62" s="114" t="s">
        <v>364</v>
      </c>
      <c r="F62" s="115" t="s">
        <v>63</v>
      </c>
      <c r="G62" s="114" t="s">
        <v>64</v>
      </c>
      <c r="H62" s="114" t="s">
        <v>383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477</v>
      </c>
      <c r="B63" s="114" t="s">
        <v>381</v>
      </c>
      <c r="C63" s="114" t="s">
        <v>446</v>
      </c>
      <c r="D63" s="114" t="s">
        <v>20</v>
      </c>
      <c r="E63" s="114" t="s">
        <v>358</v>
      </c>
      <c r="F63" s="115" t="s">
        <v>63</v>
      </c>
      <c r="G63" s="114" t="s">
        <v>64</v>
      </c>
      <c r="H63" s="114" t="s">
        <v>383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478</v>
      </c>
      <c r="B64" s="114" t="s">
        <v>381</v>
      </c>
      <c r="C64" s="114" t="s">
        <v>446</v>
      </c>
      <c r="D64" s="114" t="s">
        <v>20</v>
      </c>
      <c r="E64" s="114" t="s">
        <v>336</v>
      </c>
      <c r="F64" s="115" t="s">
        <v>63</v>
      </c>
      <c r="G64" s="114" t="s">
        <v>64</v>
      </c>
      <c r="H64" s="114" t="s">
        <v>383</v>
      </c>
      <c r="I64" s="116" t="n">
        <v>0</v>
      </c>
      <c r="J64" s="116" t="n">
        <v>1</v>
      </c>
      <c r="K64" s="114"/>
      <c r="L64" s="114"/>
    </row>
    <row r="65" customFormat="false" ht="15" hidden="false" customHeight="false" outlineLevel="0" collapsed="false">
      <c r="A65" s="114" t="s">
        <v>479</v>
      </c>
      <c r="B65" s="114" t="s">
        <v>381</v>
      </c>
      <c r="C65" s="114" t="s">
        <v>480</v>
      </c>
      <c r="D65" s="114" t="s">
        <v>21</v>
      </c>
      <c r="E65" s="114" t="s">
        <v>481</v>
      </c>
      <c r="F65" s="115" t="s">
        <v>87</v>
      </c>
      <c r="G65" s="114" t="s">
        <v>88</v>
      </c>
      <c r="H65" s="114" t="s">
        <v>383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482</v>
      </c>
      <c r="B66" s="114" t="s">
        <v>381</v>
      </c>
      <c r="C66" s="114" t="s">
        <v>18</v>
      </c>
      <c r="D66" s="114" t="s">
        <v>18</v>
      </c>
      <c r="E66" s="114" t="s">
        <v>483</v>
      </c>
      <c r="F66" s="115" t="s">
        <v>87</v>
      </c>
      <c r="G66" s="114" t="s">
        <v>88</v>
      </c>
      <c r="H66" s="114" t="s">
        <v>383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484</v>
      </c>
      <c r="B67" s="114" t="s">
        <v>381</v>
      </c>
      <c r="C67" s="114" t="s">
        <v>485</v>
      </c>
      <c r="D67" s="114" t="s">
        <v>11</v>
      </c>
      <c r="E67" s="114" t="s">
        <v>486</v>
      </c>
      <c r="F67" s="115" t="s">
        <v>87</v>
      </c>
      <c r="G67" s="114" t="s">
        <v>88</v>
      </c>
      <c r="H67" s="114" t="s">
        <v>383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487</v>
      </c>
      <c r="B68" s="114" t="s">
        <v>381</v>
      </c>
      <c r="C68" s="114" t="s">
        <v>485</v>
      </c>
      <c r="D68" s="114" t="s">
        <v>11</v>
      </c>
      <c r="E68" s="114" t="s">
        <v>488</v>
      </c>
      <c r="F68" s="115" t="s">
        <v>87</v>
      </c>
      <c r="G68" s="114" t="s">
        <v>88</v>
      </c>
      <c r="H68" s="114" t="s">
        <v>383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489</v>
      </c>
      <c r="B69" s="114" t="s">
        <v>381</v>
      </c>
      <c r="C69" s="114" t="s">
        <v>485</v>
      </c>
      <c r="D69" s="114" t="s">
        <v>11</v>
      </c>
      <c r="E69" s="114" t="s">
        <v>490</v>
      </c>
      <c r="F69" s="115" t="s">
        <v>87</v>
      </c>
      <c r="G69" s="114" t="s">
        <v>88</v>
      </c>
      <c r="H69" s="114" t="s">
        <v>383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491</v>
      </c>
      <c r="B70" s="114" t="s">
        <v>381</v>
      </c>
      <c r="C70" s="114" t="s">
        <v>492</v>
      </c>
      <c r="D70" s="114" t="s">
        <v>12</v>
      </c>
      <c r="E70" s="114" t="s">
        <v>493</v>
      </c>
      <c r="F70" s="115" t="s">
        <v>87</v>
      </c>
      <c r="G70" s="114" t="s">
        <v>88</v>
      </c>
      <c r="H70" s="114" t="s">
        <v>383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494</v>
      </c>
      <c r="B71" s="114" t="s">
        <v>381</v>
      </c>
      <c r="C71" s="114" t="s">
        <v>492</v>
      </c>
      <c r="D71" s="114" t="s">
        <v>12</v>
      </c>
      <c r="E71" s="114" t="s">
        <v>495</v>
      </c>
      <c r="F71" s="115" t="s">
        <v>87</v>
      </c>
      <c r="G71" s="114" t="s">
        <v>88</v>
      </c>
      <c r="H71" s="114" t="s">
        <v>383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496</v>
      </c>
      <c r="B72" s="114" t="s">
        <v>381</v>
      </c>
      <c r="C72" s="114" t="s">
        <v>492</v>
      </c>
      <c r="D72" s="114" t="s">
        <v>12</v>
      </c>
      <c r="E72" s="114" t="s">
        <v>497</v>
      </c>
      <c r="F72" s="115" t="s">
        <v>87</v>
      </c>
      <c r="G72" s="114" t="s">
        <v>88</v>
      </c>
      <c r="H72" s="114" t="s">
        <v>383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498</v>
      </c>
      <c r="B73" s="114" t="s">
        <v>499</v>
      </c>
      <c r="C73" s="114" t="s">
        <v>19</v>
      </c>
      <c r="D73" s="114" t="s">
        <v>19</v>
      </c>
      <c r="E73" s="114" t="s">
        <v>193</v>
      </c>
      <c r="F73" s="115" t="s">
        <v>57</v>
      </c>
      <c r="G73" s="114" t="s">
        <v>58</v>
      </c>
      <c r="H73" s="114" t="s">
        <v>383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500</v>
      </c>
      <c r="B74" s="114" t="s">
        <v>499</v>
      </c>
      <c r="C74" s="114" t="s">
        <v>19</v>
      </c>
      <c r="D74" s="114" t="s">
        <v>19</v>
      </c>
      <c r="E74" s="114" t="s">
        <v>195</v>
      </c>
      <c r="F74" s="115" t="s">
        <v>57</v>
      </c>
      <c r="G74" s="114" t="s">
        <v>58</v>
      </c>
      <c r="H74" s="114" t="s">
        <v>383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501</v>
      </c>
      <c r="B75" s="114" t="s">
        <v>499</v>
      </c>
      <c r="C75" s="114" t="s">
        <v>19</v>
      </c>
      <c r="D75" s="114" t="s">
        <v>19</v>
      </c>
      <c r="E75" s="114" t="s">
        <v>502</v>
      </c>
      <c r="F75" s="115" t="s">
        <v>67</v>
      </c>
      <c r="G75" s="114" t="s">
        <v>68</v>
      </c>
      <c r="H75" s="114" t="s">
        <v>383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503</v>
      </c>
      <c r="B76" s="114" t="s">
        <v>499</v>
      </c>
      <c r="C76" s="114" t="s">
        <v>13</v>
      </c>
      <c r="D76" s="114" t="s">
        <v>13</v>
      </c>
      <c r="E76" s="114" t="s">
        <v>331</v>
      </c>
      <c r="F76" s="115" t="s">
        <v>65</v>
      </c>
      <c r="G76" s="114" t="s">
        <v>66</v>
      </c>
      <c r="H76" s="114" t="s">
        <v>383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504</v>
      </c>
      <c r="B77" s="114" t="s">
        <v>499</v>
      </c>
      <c r="C77" s="114" t="s">
        <v>13</v>
      </c>
      <c r="D77" s="114" t="s">
        <v>13</v>
      </c>
      <c r="E77" s="114" t="s">
        <v>337</v>
      </c>
      <c r="F77" s="115" t="s">
        <v>65</v>
      </c>
      <c r="G77" s="114" t="s">
        <v>66</v>
      </c>
      <c r="H77" s="114" t="s">
        <v>383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505</v>
      </c>
      <c r="B78" s="114" t="s">
        <v>499</v>
      </c>
      <c r="C78" s="114" t="s">
        <v>13</v>
      </c>
      <c r="D78" s="114" t="s">
        <v>13</v>
      </c>
      <c r="E78" s="114" t="s">
        <v>506</v>
      </c>
      <c r="F78" s="115" t="s">
        <v>133</v>
      </c>
      <c r="G78" s="114" t="s">
        <v>134</v>
      </c>
      <c r="H78" s="114" t="s">
        <v>383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507</v>
      </c>
      <c r="B79" s="114" t="s">
        <v>499</v>
      </c>
      <c r="C79" s="114" t="s">
        <v>13</v>
      </c>
      <c r="D79" s="114" t="s">
        <v>13</v>
      </c>
      <c r="E79" s="114" t="s">
        <v>508</v>
      </c>
      <c r="F79" s="115" t="s">
        <v>133</v>
      </c>
      <c r="G79" s="114" t="s">
        <v>134</v>
      </c>
      <c r="H79" s="114" t="s">
        <v>383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509</v>
      </c>
      <c r="B80" s="114" t="s">
        <v>499</v>
      </c>
      <c r="C80" s="114" t="s">
        <v>412</v>
      </c>
      <c r="D80" s="114" t="s">
        <v>14</v>
      </c>
      <c r="E80" s="114" t="s">
        <v>510</v>
      </c>
      <c r="F80" s="115" t="s">
        <v>143</v>
      </c>
      <c r="G80" s="114" t="s">
        <v>144</v>
      </c>
      <c r="H80" s="114" t="s">
        <v>383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416</v>
      </c>
      <c r="B81" s="114" t="s">
        <v>499</v>
      </c>
      <c r="C81" s="114" t="s">
        <v>7</v>
      </c>
      <c r="D81" s="114" t="s">
        <v>7</v>
      </c>
      <c r="E81" s="114" t="s">
        <v>281</v>
      </c>
      <c r="F81" s="115" t="s">
        <v>61</v>
      </c>
      <c r="G81" s="114" t="s">
        <v>62</v>
      </c>
      <c r="H81" s="114" t="s">
        <v>383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419</v>
      </c>
      <c r="B82" s="114" t="s">
        <v>499</v>
      </c>
      <c r="C82" s="114" t="s">
        <v>7</v>
      </c>
      <c r="D82" s="114" t="s">
        <v>7</v>
      </c>
      <c r="E82" s="114" t="s">
        <v>305</v>
      </c>
      <c r="F82" s="115" t="s">
        <v>61</v>
      </c>
      <c r="G82" s="114" t="s">
        <v>62</v>
      </c>
      <c r="H82" s="114" t="s">
        <v>383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421</v>
      </c>
      <c r="B83" s="114" t="s">
        <v>499</v>
      </c>
      <c r="C83" s="114" t="s">
        <v>7</v>
      </c>
      <c r="D83" s="114" t="s">
        <v>7</v>
      </c>
      <c r="E83" s="114" t="s">
        <v>294</v>
      </c>
      <c r="F83" s="115" t="s">
        <v>61</v>
      </c>
      <c r="G83" s="114" t="s">
        <v>62</v>
      </c>
      <c r="H83" s="114" t="s">
        <v>383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511</v>
      </c>
      <c r="B84" s="114" t="s">
        <v>499</v>
      </c>
      <c r="C84" s="114" t="s">
        <v>7</v>
      </c>
      <c r="D84" s="114" t="s">
        <v>7</v>
      </c>
      <c r="E84" s="114" t="s">
        <v>186</v>
      </c>
      <c r="F84" s="115" t="s">
        <v>57</v>
      </c>
      <c r="G84" s="114" t="s">
        <v>58</v>
      </c>
      <c r="H84" s="114" t="s">
        <v>383</v>
      </c>
      <c r="I84" s="116" t="n">
        <v>1</v>
      </c>
      <c r="J84" s="116" t="n">
        <v>0</v>
      </c>
      <c r="K84" s="114"/>
      <c r="L84" s="114"/>
    </row>
    <row r="85" customFormat="false" ht="15" hidden="false" customHeight="false" outlineLevel="0" collapsed="false">
      <c r="A85" s="114" t="s">
        <v>408</v>
      </c>
      <c r="B85" s="114" t="s">
        <v>499</v>
      </c>
      <c r="C85" s="114" t="s">
        <v>7</v>
      </c>
      <c r="D85" s="114" t="s">
        <v>7</v>
      </c>
      <c r="E85" s="114" t="s">
        <v>237</v>
      </c>
      <c r="F85" s="115" t="s">
        <v>53</v>
      </c>
      <c r="G85" s="114" t="s">
        <v>54</v>
      </c>
      <c r="H85" s="114" t="s">
        <v>383</v>
      </c>
      <c r="I85" s="116" t="n">
        <v>1</v>
      </c>
      <c r="J85" s="116" t="n">
        <v>0</v>
      </c>
      <c r="K85" s="114"/>
      <c r="L85" s="114"/>
    </row>
    <row r="86" customFormat="false" ht="15" hidden="false" customHeight="false" outlineLevel="0" collapsed="false">
      <c r="A86" s="114" t="s">
        <v>512</v>
      </c>
      <c r="B86" s="114" t="s">
        <v>499</v>
      </c>
      <c r="C86" s="114" t="s">
        <v>7</v>
      </c>
      <c r="D86" s="114" t="s">
        <v>7</v>
      </c>
      <c r="E86" s="114" t="s">
        <v>231</v>
      </c>
      <c r="F86" s="115" t="s">
        <v>53</v>
      </c>
      <c r="G86" s="114" t="s">
        <v>54</v>
      </c>
      <c r="H86" s="114" t="s">
        <v>383</v>
      </c>
      <c r="I86" s="116" t="n">
        <v>1</v>
      </c>
      <c r="J86" s="116" t="n">
        <v>0</v>
      </c>
      <c r="K86" s="114"/>
      <c r="L86" s="114"/>
    </row>
    <row r="87" customFormat="false" ht="15" hidden="false" customHeight="false" outlineLevel="0" collapsed="false">
      <c r="A87" s="114" t="s">
        <v>513</v>
      </c>
      <c r="B87" s="114" t="s">
        <v>499</v>
      </c>
      <c r="C87" s="114" t="s">
        <v>7</v>
      </c>
      <c r="D87" s="114" t="s">
        <v>7</v>
      </c>
      <c r="E87" s="114" t="s">
        <v>300</v>
      </c>
      <c r="F87" s="115" t="s">
        <v>61</v>
      </c>
      <c r="G87" s="114" t="s">
        <v>62</v>
      </c>
      <c r="H87" s="114" t="s">
        <v>383</v>
      </c>
      <c r="I87" s="116" t="n">
        <v>0</v>
      </c>
      <c r="J87" s="116" t="n">
        <v>1</v>
      </c>
      <c r="K87" s="114"/>
      <c r="L87" s="114"/>
    </row>
    <row r="88" customFormat="false" ht="15" hidden="false" customHeight="false" outlineLevel="0" collapsed="false">
      <c r="A88" s="114" t="s">
        <v>514</v>
      </c>
      <c r="B88" s="114" t="s">
        <v>499</v>
      </c>
      <c r="C88" s="114" t="s">
        <v>7</v>
      </c>
      <c r="D88" s="114" t="s">
        <v>7</v>
      </c>
      <c r="E88" s="114" t="s">
        <v>233</v>
      </c>
      <c r="F88" s="115" t="s">
        <v>53</v>
      </c>
      <c r="G88" s="114" t="s">
        <v>54</v>
      </c>
      <c r="H88" s="114" t="s">
        <v>383</v>
      </c>
      <c r="I88" s="116" t="n">
        <v>0</v>
      </c>
      <c r="J88" s="116" t="n">
        <v>1</v>
      </c>
      <c r="K88" s="114"/>
      <c r="L88" s="114"/>
    </row>
    <row r="89" customFormat="false" ht="15" hidden="false" customHeight="false" outlineLevel="0" collapsed="false">
      <c r="A89" s="114" t="s">
        <v>515</v>
      </c>
      <c r="B89" s="114" t="s">
        <v>499</v>
      </c>
      <c r="C89" s="114" t="s">
        <v>7</v>
      </c>
      <c r="D89" s="114" t="s">
        <v>7</v>
      </c>
      <c r="E89" s="114" t="s">
        <v>235</v>
      </c>
      <c r="F89" s="115" t="s">
        <v>53</v>
      </c>
      <c r="G89" s="114" t="s">
        <v>54</v>
      </c>
      <c r="H89" s="114" t="s">
        <v>383</v>
      </c>
      <c r="I89" s="116" t="n">
        <v>0</v>
      </c>
      <c r="J89" s="116" t="n">
        <v>1</v>
      </c>
      <c r="K89" s="114"/>
      <c r="L89" s="114"/>
    </row>
    <row r="90" customFormat="false" ht="15" hidden="false" customHeight="false" outlineLevel="0" collapsed="false">
      <c r="A90" s="114" t="s">
        <v>428</v>
      </c>
      <c r="B90" s="114" t="s">
        <v>499</v>
      </c>
      <c r="C90" s="114" t="s">
        <v>8</v>
      </c>
      <c r="D90" s="114" t="s">
        <v>8</v>
      </c>
      <c r="E90" s="114" t="s">
        <v>311</v>
      </c>
      <c r="F90" s="115" t="s">
        <v>61</v>
      </c>
      <c r="G90" s="114" t="s">
        <v>62</v>
      </c>
      <c r="H90" s="114" t="s">
        <v>383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516</v>
      </c>
      <c r="B91" s="114" t="s">
        <v>499</v>
      </c>
      <c r="C91" s="114" t="s">
        <v>8</v>
      </c>
      <c r="D91" s="114" t="s">
        <v>8</v>
      </c>
      <c r="E91" s="114" t="s">
        <v>189</v>
      </c>
      <c r="F91" s="115" t="s">
        <v>57</v>
      </c>
      <c r="G91" s="114" t="s">
        <v>58</v>
      </c>
      <c r="H91" s="114" t="s">
        <v>383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517</v>
      </c>
      <c r="B92" s="114" t="s">
        <v>499</v>
      </c>
      <c r="C92" s="114" t="s">
        <v>8</v>
      </c>
      <c r="D92" s="114" t="s">
        <v>8</v>
      </c>
      <c r="E92" s="114" t="s">
        <v>239</v>
      </c>
      <c r="F92" s="115" t="s">
        <v>53</v>
      </c>
      <c r="G92" s="114" t="s">
        <v>54</v>
      </c>
      <c r="H92" s="114" t="s">
        <v>383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432</v>
      </c>
      <c r="B93" s="114" t="s">
        <v>499</v>
      </c>
      <c r="C93" s="114" t="s">
        <v>9</v>
      </c>
      <c r="D93" s="114" t="s">
        <v>9</v>
      </c>
      <c r="E93" s="114" t="s">
        <v>339</v>
      </c>
      <c r="F93" s="115" t="s">
        <v>61</v>
      </c>
      <c r="G93" s="114" t="s">
        <v>62</v>
      </c>
      <c r="H93" s="114" t="s">
        <v>383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433</v>
      </c>
      <c r="B94" s="114" t="s">
        <v>499</v>
      </c>
      <c r="C94" s="114" t="s">
        <v>9</v>
      </c>
      <c r="D94" s="114" t="s">
        <v>9</v>
      </c>
      <c r="E94" s="114" t="s">
        <v>327</v>
      </c>
      <c r="F94" s="115" t="s">
        <v>61</v>
      </c>
      <c r="G94" s="114" t="s">
        <v>62</v>
      </c>
      <c r="H94" s="114" t="s">
        <v>383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434</v>
      </c>
      <c r="B95" s="114" t="s">
        <v>499</v>
      </c>
      <c r="C95" s="114" t="s">
        <v>9</v>
      </c>
      <c r="D95" s="114" t="s">
        <v>9</v>
      </c>
      <c r="E95" s="114" t="s">
        <v>322</v>
      </c>
      <c r="F95" s="115" t="s">
        <v>61</v>
      </c>
      <c r="G95" s="114" t="s">
        <v>62</v>
      </c>
      <c r="H95" s="114" t="s">
        <v>383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435</v>
      </c>
      <c r="B96" s="114" t="s">
        <v>499</v>
      </c>
      <c r="C96" s="114" t="s">
        <v>9</v>
      </c>
      <c r="D96" s="114" t="s">
        <v>9</v>
      </c>
      <c r="E96" s="114" t="s">
        <v>349</v>
      </c>
      <c r="F96" s="115" t="s">
        <v>61</v>
      </c>
      <c r="G96" s="114" t="s">
        <v>62</v>
      </c>
      <c r="H96" s="114" t="s">
        <v>383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436</v>
      </c>
      <c r="B97" s="114" t="s">
        <v>499</v>
      </c>
      <c r="C97" s="114" t="s">
        <v>9</v>
      </c>
      <c r="D97" s="114" t="s">
        <v>9</v>
      </c>
      <c r="E97" s="114" t="s">
        <v>252</v>
      </c>
      <c r="F97" s="115" t="s">
        <v>61</v>
      </c>
      <c r="G97" s="114" t="s">
        <v>62</v>
      </c>
      <c r="H97" s="114" t="s">
        <v>383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437</v>
      </c>
      <c r="B98" s="114" t="s">
        <v>499</v>
      </c>
      <c r="C98" s="114" t="s">
        <v>9</v>
      </c>
      <c r="D98" s="114" t="s">
        <v>9</v>
      </c>
      <c r="E98" s="114" t="s">
        <v>259</v>
      </c>
      <c r="F98" s="115" t="s">
        <v>61</v>
      </c>
      <c r="G98" s="114" t="s">
        <v>62</v>
      </c>
      <c r="H98" s="114" t="s">
        <v>383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438</v>
      </c>
      <c r="B99" s="114" t="s">
        <v>499</v>
      </c>
      <c r="C99" s="114" t="s">
        <v>9</v>
      </c>
      <c r="D99" s="114" t="s">
        <v>9</v>
      </c>
      <c r="E99" s="114" t="s">
        <v>317</v>
      </c>
      <c r="F99" s="115" t="s">
        <v>61</v>
      </c>
      <c r="G99" s="114" t="s">
        <v>62</v>
      </c>
      <c r="H99" s="114" t="s">
        <v>383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439</v>
      </c>
      <c r="B100" s="114" t="s">
        <v>499</v>
      </c>
      <c r="C100" s="114" t="s">
        <v>9</v>
      </c>
      <c r="D100" s="114" t="s">
        <v>9</v>
      </c>
      <c r="E100" s="114" t="s">
        <v>361</v>
      </c>
      <c r="F100" s="115" t="s">
        <v>61</v>
      </c>
      <c r="G100" s="114" t="s">
        <v>62</v>
      </c>
      <c r="H100" s="114" t="s">
        <v>383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440</v>
      </c>
      <c r="B101" s="114" t="s">
        <v>499</v>
      </c>
      <c r="C101" s="114" t="s">
        <v>9</v>
      </c>
      <c r="D101" s="114" t="s">
        <v>9</v>
      </c>
      <c r="E101" s="114" t="s">
        <v>333</v>
      </c>
      <c r="F101" s="115" t="s">
        <v>61</v>
      </c>
      <c r="G101" s="114" t="s">
        <v>62</v>
      </c>
      <c r="H101" s="114" t="s">
        <v>383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441</v>
      </c>
      <c r="B102" s="114" t="s">
        <v>499</v>
      </c>
      <c r="C102" s="114" t="s">
        <v>9</v>
      </c>
      <c r="D102" s="114" t="s">
        <v>9</v>
      </c>
      <c r="E102" s="114" t="s">
        <v>355</v>
      </c>
      <c r="F102" s="115" t="s">
        <v>61</v>
      </c>
      <c r="G102" s="114" t="s">
        <v>62</v>
      </c>
      <c r="H102" s="114" t="s">
        <v>383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444</v>
      </c>
      <c r="B103" s="114" t="s">
        <v>499</v>
      </c>
      <c r="C103" s="114" t="s">
        <v>9</v>
      </c>
      <c r="D103" s="114" t="s">
        <v>9</v>
      </c>
      <c r="E103" s="114" t="s">
        <v>518</v>
      </c>
      <c r="F103" s="115" t="s">
        <v>67</v>
      </c>
      <c r="G103" s="114" t="s">
        <v>68</v>
      </c>
      <c r="H103" s="114" t="s">
        <v>383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519</v>
      </c>
      <c r="B104" s="114" t="s">
        <v>499</v>
      </c>
      <c r="C104" s="114" t="s">
        <v>9</v>
      </c>
      <c r="D104" s="114" t="s">
        <v>9</v>
      </c>
      <c r="E104" s="114" t="s">
        <v>245</v>
      </c>
      <c r="F104" s="115" t="s">
        <v>53</v>
      </c>
      <c r="G104" s="114" t="s">
        <v>54</v>
      </c>
      <c r="H104" s="114" t="s">
        <v>383</v>
      </c>
      <c r="I104" s="116" t="n">
        <v>1</v>
      </c>
      <c r="J104" s="116" t="n">
        <v>0</v>
      </c>
      <c r="K104" s="114"/>
      <c r="L104" s="114"/>
    </row>
    <row r="105" customFormat="false" ht="15" hidden="false" customHeight="false" outlineLevel="0" collapsed="false">
      <c r="A105" s="114" t="s">
        <v>520</v>
      </c>
      <c r="B105" s="114" t="s">
        <v>499</v>
      </c>
      <c r="C105" s="114" t="s">
        <v>9</v>
      </c>
      <c r="D105" s="114" t="s">
        <v>9</v>
      </c>
      <c r="E105" s="114" t="s">
        <v>241</v>
      </c>
      <c r="F105" s="115" t="s">
        <v>53</v>
      </c>
      <c r="G105" s="114" t="s">
        <v>54</v>
      </c>
      <c r="H105" s="114" t="s">
        <v>383</v>
      </c>
      <c r="I105" s="116" t="n">
        <v>1</v>
      </c>
      <c r="J105" s="116" t="n">
        <v>0</v>
      </c>
      <c r="K105" s="114"/>
      <c r="L105" s="114"/>
    </row>
    <row r="106" customFormat="false" ht="15" hidden="false" customHeight="false" outlineLevel="0" collapsed="false">
      <c r="A106" s="114" t="s">
        <v>521</v>
      </c>
      <c r="B106" s="114" t="s">
        <v>499</v>
      </c>
      <c r="C106" s="114" t="s">
        <v>9</v>
      </c>
      <c r="D106" s="114" t="s">
        <v>9</v>
      </c>
      <c r="E106" s="114" t="s">
        <v>265</v>
      </c>
      <c r="F106" s="115" t="s">
        <v>61</v>
      </c>
      <c r="G106" s="114" t="s">
        <v>62</v>
      </c>
      <c r="H106" s="114" t="s">
        <v>383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522</v>
      </c>
      <c r="B107" s="114" t="s">
        <v>499</v>
      </c>
      <c r="C107" s="114" t="s">
        <v>9</v>
      </c>
      <c r="D107" s="114" t="s">
        <v>9</v>
      </c>
      <c r="E107" s="114" t="s">
        <v>367</v>
      </c>
      <c r="F107" s="115" t="s">
        <v>61</v>
      </c>
      <c r="G107" s="114" t="s">
        <v>62</v>
      </c>
      <c r="H107" s="114" t="s">
        <v>383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523</v>
      </c>
      <c r="B108" s="114" t="s">
        <v>499</v>
      </c>
      <c r="C108" s="114" t="s">
        <v>9</v>
      </c>
      <c r="D108" s="114" t="s">
        <v>9</v>
      </c>
      <c r="E108" s="114" t="s">
        <v>344</v>
      </c>
      <c r="F108" s="115" t="s">
        <v>61</v>
      </c>
      <c r="G108" s="114" t="s">
        <v>62</v>
      </c>
      <c r="H108" s="114" t="s">
        <v>383</v>
      </c>
      <c r="I108" s="116" t="n">
        <v>0</v>
      </c>
      <c r="J108" s="116" t="n">
        <v>1</v>
      </c>
      <c r="K108" s="114"/>
      <c r="L108" s="114"/>
    </row>
    <row r="109" customFormat="false" ht="15" hidden="false" customHeight="false" outlineLevel="0" collapsed="false">
      <c r="A109" s="114" t="s">
        <v>524</v>
      </c>
      <c r="B109" s="114" t="s">
        <v>499</v>
      </c>
      <c r="C109" s="114" t="s">
        <v>9</v>
      </c>
      <c r="D109" s="114" t="s">
        <v>9</v>
      </c>
      <c r="E109" s="114" t="s">
        <v>243</v>
      </c>
      <c r="F109" s="115" t="s">
        <v>53</v>
      </c>
      <c r="G109" s="114" t="s">
        <v>54</v>
      </c>
      <c r="H109" s="114" t="s">
        <v>383</v>
      </c>
      <c r="I109" s="116" t="n">
        <v>0</v>
      </c>
      <c r="J109" s="116" t="n">
        <v>1</v>
      </c>
      <c r="K109" s="114"/>
      <c r="L109" s="114"/>
    </row>
    <row r="110" customFormat="false" ht="15" hidden="false" customHeight="false" outlineLevel="0" collapsed="false">
      <c r="A110" s="114" t="s">
        <v>525</v>
      </c>
      <c r="B110" s="114" t="s">
        <v>499</v>
      </c>
      <c r="C110" s="114" t="s">
        <v>15</v>
      </c>
      <c r="D110" s="114" t="s">
        <v>15</v>
      </c>
      <c r="E110" s="114" t="s">
        <v>526</v>
      </c>
      <c r="F110" s="115" t="s">
        <v>67</v>
      </c>
      <c r="G110" s="114" t="s">
        <v>68</v>
      </c>
      <c r="H110" s="114" t="s">
        <v>383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527</v>
      </c>
      <c r="B111" s="114" t="s">
        <v>499</v>
      </c>
      <c r="C111" s="114" t="s">
        <v>15</v>
      </c>
      <c r="D111" s="114" t="s">
        <v>15</v>
      </c>
      <c r="E111" s="114" t="s">
        <v>250</v>
      </c>
      <c r="F111" s="115" t="s">
        <v>53</v>
      </c>
      <c r="G111" s="114" t="s">
        <v>54</v>
      </c>
      <c r="H111" s="114" t="s">
        <v>383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445</v>
      </c>
      <c r="B112" s="114" t="s">
        <v>499</v>
      </c>
      <c r="C112" s="114" t="s">
        <v>528</v>
      </c>
      <c r="D112" s="114" t="s">
        <v>20</v>
      </c>
      <c r="E112" s="114" t="s">
        <v>312</v>
      </c>
      <c r="F112" s="115" t="s">
        <v>61</v>
      </c>
      <c r="G112" s="114" t="s">
        <v>62</v>
      </c>
      <c r="H112" s="114" t="s">
        <v>383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448</v>
      </c>
      <c r="B113" s="114" t="s">
        <v>499</v>
      </c>
      <c r="C113" s="114" t="s">
        <v>528</v>
      </c>
      <c r="D113" s="114" t="s">
        <v>20</v>
      </c>
      <c r="E113" s="114" t="s">
        <v>201</v>
      </c>
      <c r="F113" s="115" t="s">
        <v>57</v>
      </c>
      <c r="G113" s="114" t="s">
        <v>58</v>
      </c>
      <c r="H113" s="114" t="s">
        <v>383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450</v>
      </c>
      <c r="B114" s="114" t="s">
        <v>499</v>
      </c>
      <c r="C114" s="114" t="s">
        <v>528</v>
      </c>
      <c r="D114" s="114" t="s">
        <v>20</v>
      </c>
      <c r="E114" s="114" t="s">
        <v>270</v>
      </c>
      <c r="F114" s="115" t="s">
        <v>61</v>
      </c>
      <c r="G114" s="114" t="s">
        <v>62</v>
      </c>
      <c r="H114" s="114" t="s">
        <v>383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456</v>
      </c>
      <c r="B115" s="114" t="s">
        <v>499</v>
      </c>
      <c r="C115" s="114" t="s">
        <v>528</v>
      </c>
      <c r="D115" s="114" t="s">
        <v>20</v>
      </c>
      <c r="E115" s="114" t="s">
        <v>197</v>
      </c>
      <c r="F115" s="115" t="s">
        <v>57</v>
      </c>
      <c r="G115" s="114" t="s">
        <v>58</v>
      </c>
      <c r="H115" s="114" t="s">
        <v>383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458</v>
      </c>
      <c r="B116" s="114" t="s">
        <v>499</v>
      </c>
      <c r="C116" s="114" t="s">
        <v>528</v>
      </c>
      <c r="D116" s="114" t="s">
        <v>20</v>
      </c>
      <c r="E116" s="114" t="s">
        <v>289</v>
      </c>
      <c r="F116" s="115" t="s">
        <v>61</v>
      </c>
      <c r="G116" s="114" t="s">
        <v>62</v>
      </c>
      <c r="H116" s="114" t="s">
        <v>383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462</v>
      </c>
      <c r="B117" s="114" t="s">
        <v>499</v>
      </c>
      <c r="C117" s="114" t="s">
        <v>528</v>
      </c>
      <c r="D117" s="114" t="s">
        <v>20</v>
      </c>
      <c r="E117" s="114" t="s">
        <v>323</v>
      </c>
      <c r="F117" s="115" t="s">
        <v>61</v>
      </c>
      <c r="G117" s="114" t="s">
        <v>62</v>
      </c>
      <c r="H117" s="114" t="s">
        <v>383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463</v>
      </c>
      <c r="B118" s="114" t="s">
        <v>499</v>
      </c>
      <c r="C118" s="114" t="s">
        <v>528</v>
      </c>
      <c r="D118" s="114" t="s">
        <v>20</v>
      </c>
      <c r="E118" s="114" t="s">
        <v>205</v>
      </c>
      <c r="F118" s="115" t="s">
        <v>57</v>
      </c>
      <c r="G118" s="114" t="s">
        <v>58</v>
      </c>
      <c r="H118" s="114" t="s">
        <v>383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465</v>
      </c>
      <c r="B119" s="114" t="s">
        <v>499</v>
      </c>
      <c r="C119" s="114" t="s">
        <v>528</v>
      </c>
      <c r="D119" s="114" t="s">
        <v>20</v>
      </c>
      <c r="E119" s="114" t="s">
        <v>318</v>
      </c>
      <c r="F119" s="115" t="s">
        <v>61</v>
      </c>
      <c r="G119" s="114" t="s">
        <v>62</v>
      </c>
      <c r="H119" s="114" t="s">
        <v>383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529</v>
      </c>
      <c r="B120" s="114" t="s">
        <v>499</v>
      </c>
      <c r="C120" s="114" t="s">
        <v>528</v>
      </c>
      <c r="D120" s="114" t="s">
        <v>20</v>
      </c>
      <c r="E120" s="114" t="s">
        <v>212</v>
      </c>
      <c r="F120" s="115" t="s">
        <v>57</v>
      </c>
      <c r="G120" s="114" t="s">
        <v>58</v>
      </c>
      <c r="H120" s="114" t="s">
        <v>383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384</v>
      </c>
      <c r="B121" s="114" t="s">
        <v>499</v>
      </c>
      <c r="C121" s="114" t="s">
        <v>528</v>
      </c>
      <c r="D121" s="114" t="s">
        <v>20</v>
      </c>
      <c r="E121" s="114" t="s">
        <v>530</v>
      </c>
      <c r="F121" s="115" t="s">
        <v>93</v>
      </c>
      <c r="G121" s="114" t="s">
        <v>94</v>
      </c>
      <c r="H121" s="114" t="s">
        <v>383</v>
      </c>
      <c r="I121" s="116" t="n">
        <v>1</v>
      </c>
      <c r="J121" s="116" t="n">
        <v>0</v>
      </c>
      <c r="K121" s="114"/>
      <c r="L121" s="114"/>
    </row>
    <row r="122" customFormat="false" ht="15" hidden="false" customHeight="false" outlineLevel="0" collapsed="false">
      <c r="A122" s="114" t="s">
        <v>385</v>
      </c>
      <c r="B122" s="114" t="s">
        <v>499</v>
      </c>
      <c r="C122" s="114" t="s">
        <v>528</v>
      </c>
      <c r="D122" s="114" t="s">
        <v>20</v>
      </c>
      <c r="E122" s="114" t="s">
        <v>531</v>
      </c>
      <c r="F122" s="115" t="s">
        <v>123</v>
      </c>
      <c r="G122" s="114" t="s">
        <v>124</v>
      </c>
      <c r="H122" s="114" t="s">
        <v>383</v>
      </c>
      <c r="I122" s="116" t="n">
        <v>1</v>
      </c>
      <c r="J122" s="116" t="n">
        <v>0</v>
      </c>
      <c r="K122" s="114"/>
      <c r="L122" s="114"/>
    </row>
    <row r="123" customFormat="false" ht="15" hidden="false" customHeight="false" outlineLevel="0" collapsed="false">
      <c r="A123" s="114" t="s">
        <v>479</v>
      </c>
      <c r="B123" s="114" t="s">
        <v>499</v>
      </c>
      <c r="C123" s="114" t="s">
        <v>528</v>
      </c>
      <c r="D123" s="114" t="s">
        <v>20</v>
      </c>
      <c r="E123" s="114" t="s">
        <v>269</v>
      </c>
      <c r="F123" s="115" t="s">
        <v>53</v>
      </c>
      <c r="G123" s="114" t="s">
        <v>54</v>
      </c>
      <c r="H123" s="114" t="s">
        <v>383</v>
      </c>
      <c r="I123" s="116" t="n">
        <v>1</v>
      </c>
      <c r="J123" s="116" t="n">
        <v>0</v>
      </c>
      <c r="K123" s="114"/>
      <c r="L123" s="114"/>
    </row>
    <row r="124" customFormat="false" ht="15" hidden="false" customHeight="false" outlineLevel="0" collapsed="false">
      <c r="A124" s="114" t="s">
        <v>532</v>
      </c>
      <c r="B124" s="114" t="s">
        <v>499</v>
      </c>
      <c r="C124" s="114" t="s">
        <v>528</v>
      </c>
      <c r="D124" s="114" t="s">
        <v>20</v>
      </c>
      <c r="E124" s="114" t="s">
        <v>282</v>
      </c>
      <c r="F124" s="115" t="s">
        <v>61</v>
      </c>
      <c r="G124" s="114" t="s">
        <v>62</v>
      </c>
      <c r="H124" s="114" t="s">
        <v>383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533</v>
      </c>
      <c r="B125" s="114" t="s">
        <v>499</v>
      </c>
      <c r="C125" s="114" t="s">
        <v>528</v>
      </c>
      <c r="D125" s="114" t="s">
        <v>20</v>
      </c>
      <c r="E125" s="114" t="s">
        <v>201</v>
      </c>
      <c r="F125" s="115" t="s">
        <v>57</v>
      </c>
      <c r="G125" s="114" t="s">
        <v>58</v>
      </c>
      <c r="H125" s="114" t="s">
        <v>383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534</v>
      </c>
      <c r="B126" s="114" t="s">
        <v>499</v>
      </c>
      <c r="C126" s="114" t="s">
        <v>528</v>
      </c>
      <c r="D126" s="114" t="s">
        <v>20</v>
      </c>
      <c r="E126" s="114" t="s">
        <v>295</v>
      </c>
      <c r="F126" s="115" t="s">
        <v>61</v>
      </c>
      <c r="G126" s="114" t="s">
        <v>62</v>
      </c>
      <c r="H126" s="114" t="s">
        <v>383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535</v>
      </c>
      <c r="B127" s="114" t="s">
        <v>499</v>
      </c>
      <c r="C127" s="114" t="s">
        <v>528</v>
      </c>
      <c r="D127" s="114" t="s">
        <v>20</v>
      </c>
      <c r="E127" s="114" t="s">
        <v>334</v>
      </c>
      <c r="F127" s="115" t="s">
        <v>61</v>
      </c>
      <c r="G127" s="114" t="s">
        <v>62</v>
      </c>
      <c r="H127" s="114" t="s">
        <v>383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536</v>
      </c>
      <c r="B128" s="114" t="s">
        <v>499</v>
      </c>
      <c r="C128" s="114" t="s">
        <v>528</v>
      </c>
      <c r="D128" s="114" t="s">
        <v>20</v>
      </c>
      <c r="E128" s="114" t="s">
        <v>199</v>
      </c>
      <c r="F128" s="115" t="s">
        <v>57</v>
      </c>
      <c r="G128" s="114" t="s">
        <v>58</v>
      </c>
      <c r="H128" s="114" t="s">
        <v>383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537</v>
      </c>
      <c r="B129" s="114" t="s">
        <v>499</v>
      </c>
      <c r="C129" s="114" t="s">
        <v>528</v>
      </c>
      <c r="D129" s="114" t="s">
        <v>20</v>
      </c>
      <c r="E129" s="114" t="s">
        <v>301</v>
      </c>
      <c r="F129" s="115" t="s">
        <v>61</v>
      </c>
      <c r="G129" s="114" t="s">
        <v>62</v>
      </c>
      <c r="H129" s="114" t="s">
        <v>383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538</v>
      </c>
      <c r="B130" s="114" t="s">
        <v>499</v>
      </c>
      <c r="C130" s="114" t="s">
        <v>528</v>
      </c>
      <c r="D130" s="114" t="s">
        <v>20</v>
      </c>
      <c r="E130" s="114" t="s">
        <v>306</v>
      </c>
      <c r="F130" s="115" t="s">
        <v>61</v>
      </c>
      <c r="G130" s="114" t="s">
        <v>62</v>
      </c>
      <c r="H130" s="114" t="s">
        <v>383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539</v>
      </c>
      <c r="B131" s="114" t="s">
        <v>499</v>
      </c>
      <c r="C131" s="114" t="s">
        <v>528</v>
      </c>
      <c r="D131" s="114" t="s">
        <v>20</v>
      </c>
      <c r="E131" s="114" t="s">
        <v>210</v>
      </c>
      <c r="F131" s="115" t="s">
        <v>57</v>
      </c>
      <c r="G131" s="114" t="s">
        <v>58</v>
      </c>
      <c r="H131" s="114" t="s">
        <v>383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540</v>
      </c>
      <c r="B132" s="114" t="s">
        <v>499</v>
      </c>
      <c r="C132" s="114" t="s">
        <v>528</v>
      </c>
      <c r="D132" s="114" t="s">
        <v>20</v>
      </c>
      <c r="E132" s="114" t="s">
        <v>328</v>
      </c>
      <c r="F132" s="115" t="s">
        <v>61</v>
      </c>
      <c r="G132" s="114" t="s">
        <v>62</v>
      </c>
      <c r="H132" s="114" t="s">
        <v>383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541</v>
      </c>
      <c r="B133" s="114" t="s">
        <v>499</v>
      </c>
      <c r="C133" s="114" t="s">
        <v>528</v>
      </c>
      <c r="D133" s="114" t="s">
        <v>20</v>
      </c>
      <c r="E133" s="114" t="s">
        <v>276</v>
      </c>
      <c r="F133" s="115" t="s">
        <v>61</v>
      </c>
      <c r="G133" s="114" t="s">
        <v>62</v>
      </c>
      <c r="H133" s="114" t="s">
        <v>383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542</v>
      </c>
      <c r="B134" s="114" t="s">
        <v>499</v>
      </c>
      <c r="C134" s="114" t="s">
        <v>528</v>
      </c>
      <c r="D134" s="114" t="s">
        <v>20</v>
      </c>
      <c r="E134" s="114" t="s">
        <v>207</v>
      </c>
      <c r="F134" s="115" t="s">
        <v>57</v>
      </c>
      <c r="G134" s="114" t="s">
        <v>58</v>
      </c>
      <c r="H134" s="114" t="s">
        <v>383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543</v>
      </c>
      <c r="B135" s="114" t="s">
        <v>499</v>
      </c>
      <c r="C135" s="114" t="s">
        <v>528</v>
      </c>
      <c r="D135" s="114" t="s">
        <v>20</v>
      </c>
      <c r="E135" s="114" t="s">
        <v>544</v>
      </c>
      <c r="F135" s="115" t="s">
        <v>93</v>
      </c>
      <c r="G135" s="114" t="s">
        <v>94</v>
      </c>
      <c r="H135" s="114" t="s">
        <v>383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545</v>
      </c>
      <c r="B136" s="114" t="s">
        <v>499</v>
      </c>
      <c r="C136" s="114" t="s">
        <v>528</v>
      </c>
      <c r="D136" s="114" t="s">
        <v>20</v>
      </c>
      <c r="E136" s="114" t="s">
        <v>546</v>
      </c>
      <c r="F136" s="115" t="s">
        <v>93</v>
      </c>
      <c r="G136" s="114" t="s">
        <v>94</v>
      </c>
      <c r="H136" s="114" t="s">
        <v>383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547</v>
      </c>
      <c r="B137" s="114" t="s">
        <v>499</v>
      </c>
      <c r="C137" s="114" t="s">
        <v>528</v>
      </c>
      <c r="D137" s="114" t="s">
        <v>20</v>
      </c>
      <c r="E137" s="114" t="s">
        <v>548</v>
      </c>
      <c r="F137" s="115" t="s">
        <v>123</v>
      </c>
      <c r="G137" s="114" t="s">
        <v>124</v>
      </c>
      <c r="H137" s="114" t="s">
        <v>383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549</v>
      </c>
      <c r="B138" s="114" t="s">
        <v>499</v>
      </c>
      <c r="C138" s="114" t="s">
        <v>528</v>
      </c>
      <c r="D138" s="114" t="s">
        <v>20</v>
      </c>
      <c r="E138" s="114" t="s">
        <v>550</v>
      </c>
      <c r="F138" s="115" t="s">
        <v>123</v>
      </c>
      <c r="G138" s="114" t="s">
        <v>124</v>
      </c>
      <c r="H138" s="114" t="s">
        <v>383</v>
      </c>
      <c r="I138" s="116" t="n">
        <v>0</v>
      </c>
      <c r="J138" s="116" t="n">
        <v>1</v>
      </c>
      <c r="K138" s="114"/>
      <c r="L138" s="114"/>
    </row>
    <row r="139" customFormat="false" ht="15" hidden="false" customHeight="false" outlineLevel="0" collapsed="false">
      <c r="A139" s="114" t="s">
        <v>551</v>
      </c>
      <c r="B139" s="114" t="s">
        <v>499</v>
      </c>
      <c r="C139" s="114" t="s">
        <v>528</v>
      </c>
      <c r="D139" s="114" t="s">
        <v>20</v>
      </c>
      <c r="E139" s="114" t="s">
        <v>263</v>
      </c>
      <c r="F139" s="115" t="s">
        <v>53</v>
      </c>
      <c r="G139" s="114" t="s">
        <v>54</v>
      </c>
      <c r="H139" s="114" t="s">
        <v>383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552</v>
      </c>
      <c r="B140" s="114" t="s">
        <v>499</v>
      </c>
      <c r="C140" s="114" t="s">
        <v>528</v>
      </c>
      <c r="D140" s="114" t="s">
        <v>20</v>
      </c>
      <c r="E140" s="114" t="s">
        <v>257</v>
      </c>
      <c r="F140" s="115" t="s">
        <v>53</v>
      </c>
      <c r="G140" s="114" t="s">
        <v>54</v>
      </c>
      <c r="H140" s="114" t="s">
        <v>383</v>
      </c>
      <c r="I140" s="116" t="n">
        <v>0</v>
      </c>
      <c r="J140" s="116" t="n">
        <v>1</v>
      </c>
      <c r="K140" s="114"/>
      <c r="L140" s="114"/>
    </row>
    <row r="141" customFormat="false" ht="15" hidden="false" customHeight="false" outlineLevel="0" collapsed="false">
      <c r="A141" s="114" t="s">
        <v>399</v>
      </c>
      <c r="B141" s="114" t="s">
        <v>499</v>
      </c>
      <c r="C141" s="114" t="s">
        <v>553</v>
      </c>
      <c r="D141" s="114" t="s">
        <v>21</v>
      </c>
      <c r="E141" s="114" t="s">
        <v>554</v>
      </c>
      <c r="F141" s="115" t="s">
        <v>93</v>
      </c>
      <c r="G141" s="114" t="s">
        <v>94</v>
      </c>
      <c r="H141" s="114" t="s">
        <v>383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555</v>
      </c>
      <c r="B142" s="114" t="s">
        <v>499</v>
      </c>
      <c r="C142" s="114" t="s">
        <v>553</v>
      </c>
      <c r="D142" s="114" t="s">
        <v>21</v>
      </c>
      <c r="E142" s="114" t="s">
        <v>556</v>
      </c>
      <c r="F142" s="115" t="s">
        <v>93</v>
      </c>
      <c r="G142" s="114" t="s">
        <v>94</v>
      </c>
      <c r="H142" s="114" t="s">
        <v>383</v>
      </c>
      <c r="I142" s="116" t="n">
        <v>0</v>
      </c>
      <c r="J142" s="116" t="n">
        <v>1</v>
      </c>
      <c r="K142" s="114"/>
      <c r="L142" s="114"/>
    </row>
    <row r="143" customFormat="false" ht="15" hidden="false" customHeight="false" outlineLevel="0" collapsed="false">
      <c r="A143" s="114" t="s">
        <v>557</v>
      </c>
      <c r="B143" s="114" t="s">
        <v>499</v>
      </c>
      <c r="C143" s="114" t="s">
        <v>558</v>
      </c>
      <c r="D143" s="114" t="s">
        <v>10</v>
      </c>
      <c r="E143" s="114" t="s">
        <v>559</v>
      </c>
      <c r="F143" s="115" t="s">
        <v>145</v>
      </c>
      <c r="G143" s="114" t="s">
        <v>146</v>
      </c>
      <c r="H143" s="114" t="s">
        <v>383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491</v>
      </c>
      <c r="B144" s="114" t="s">
        <v>499</v>
      </c>
      <c r="C144" s="114" t="s">
        <v>560</v>
      </c>
      <c r="D144" s="114" t="s">
        <v>12</v>
      </c>
      <c r="E144" s="114" t="s">
        <v>191</v>
      </c>
      <c r="F144" s="115" t="s">
        <v>57</v>
      </c>
      <c r="G144" s="114" t="s">
        <v>58</v>
      </c>
      <c r="H144" s="114" t="s">
        <v>383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561</v>
      </c>
      <c r="B145" s="114" t="s">
        <v>499</v>
      </c>
      <c r="C145" s="114" t="s">
        <v>560</v>
      </c>
      <c r="D145" s="114" t="s">
        <v>12</v>
      </c>
      <c r="E145" s="114" t="s">
        <v>562</v>
      </c>
      <c r="F145" s="115" t="s">
        <v>125</v>
      </c>
      <c r="G145" s="114" t="s">
        <v>126</v>
      </c>
      <c r="H145" s="114" t="s">
        <v>383</v>
      </c>
      <c r="I145" s="116" t="n">
        <v>1</v>
      </c>
      <c r="J145" s="116" t="n">
        <v>0</v>
      </c>
      <c r="K145" s="114"/>
      <c r="L145" s="114"/>
    </row>
    <row r="146" customFormat="false" ht="15" hidden="false" customHeight="false" outlineLevel="0" collapsed="false">
      <c r="A146" s="114" t="s">
        <v>563</v>
      </c>
      <c r="B146" s="114" t="s">
        <v>499</v>
      </c>
      <c r="C146" s="114" t="s">
        <v>560</v>
      </c>
      <c r="D146" s="114" t="s">
        <v>12</v>
      </c>
      <c r="E146" s="114" t="s">
        <v>564</v>
      </c>
      <c r="F146" s="115" t="s">
        <v>129</v>
      </c>
      <c r="G146" s="114" t="s">
        <v>130</v>
      </c>
      <c r="H146" s="114" t="s">
        <v>383</v>
      </c>
      <c r="I146" s="116" t="n">
        <v>1</v>
      </c>
      <c r="J146" s="116" t="n">
        <v>0</v>
      </c>
      <c r="K146" s="114"/>
      <c r="L146" s="114"/>
    </row>
    <row r="147" customFormat="false" ht="15" hidden="false" customHeight="false" outlineLevel="0" collapsed="false">
      <c r="A147" s="114" t="s">
        <v>565</v>
      </c>
      <c r="B147" s="114" t="s">
        <v>566</v>
      </c>
      <c r="C147" s="114" t="s">
        <v>567</v>
      </c>
      <c r="D147" s="114" t="s">
        <v>19</v>
      </c>
      <c r="E147" s="114" t="s">
        <v>568</v>
      </c>
      <c r="F147" s="115" t="s">
        <v>109</v>
      </c>
      <c r="G147" s="114" t="s">
        <v>110</v>
      </c>
      <c r="H147" s="114" t="s">
        <v>383</v>
      </c>
      <c r="I147" s="116" t="n">
        <v>1</v>
      </c>
      <c r="J147" s="116" t="n">
        <v>0</v>
      </c>
      <c r="K147" s="114"/>
      <c r="L147" s="114" t="s">
        <v>569</v>
      </c>
    </row>
    <row r="148" customFormat="false" ht="15" hidden="false" customHeight="false" outlineLevel="0" collapsed="false">
      <c r="A148" s="114" t="s">
        <v>570</v>
      </c>
      <c r="B148" s="114" t="s">
        <v>566</v>
      </c>
      <c r="C148" s="114" t="s">
        <v>13</v>
      </c>
      <c r="D148" s="114" t="s">
        <v>13</v>
      </c>
      <c r="E148" s="114" t="s">
        <v>571</v>
      </c>
      <c r="F148" s="115" t="s">
        <v>99</v>
      </c>
      <c r="G148" s="114" t="s">
        <v>100</v>
      </c>
      <c r="H148" s="114" t="s">
        <v>383</v>
      </c>
      <c r="I148" s="116" t="n">
        <v>1</v>
      </c>
      <c r="J148" s="116" t="n">
        <v>0</v>
      </c>
      <c r="K148" s="114"/>
      <c r="L148" s="114" t="s">
        <v>569</v>
      </c>
    </row>
    <row r="149" customFormat="false" ht="15" hidden="false" customHeight="false" outlineLevel="0" collapsed="false">
      <c r="A149" s="114" t="s">
        <v>423</v>
      </c>
      <c r="B149" s="114" t="s">
        <v>566</v>
      </c>
      <c r="C149" s="114" t="s">
        <v>7</v>
      </c>
      <c r="D149" s="114" t="s">
        <v>7</v>
      </c>
      <c r="E149" s="114" t="s">
        <v>288</v>
      </c>
      <c r="F149" s="115" t="s">
        <v>61</v>
      </c>
      <c r="G149" s="114" t="s">
        <v>62</v>
      </c>
      <c r="H149" s="114" t="s">
        <v>383</v>
      </c>
      <c r="I149" s="116" t="n">
        <v>1</v>
      </c>
      <c r="J149" s="116" t="n">
        <v>0</v>
      </c>
      <c r="K149" s="114"/>
      <c r="L149" s="114" t="s">
        <v>569</v>
      </c>
    </row>
    <row r="150" customFormat="false" ht="15" hidden="false" customHeight="false" outlineLevel="0" collapsed="false">
      <c r="A150" s="114" t="s">
        <v>424</v>
      </c>
      <c r="B150" s="114" t="s">
        <v>566</v>
      </c>
      <c r="C150" s="114" t="s">
        <v>7</v>
      </c>
      <c r="D150" s="114" t="s">
        <v>7</v>
      </c>
      <c r="E150" s="114" t="s">
        <v>164</v>
      </c>
      <c r="F150" s="115" t="s">
        <v>49</v>
      </c>
      <c r="G150" s="114" t="s">
        <v>50</v>
      </c>
      <c r="H150" s="114" t="s">
        <v>383</v>
      </c>
      <c r="I150" s="116" t="n">
        <v>1</v>
      </c>
      <c r="J150" s="116" t="n">
        <v>0</v>
      </c>
      <c r="K150" s="114"/>
      <c r="L150" s="114" t="s">
        <v>569</v>
      </c>
    </row>
    <row r="151" customFormat="false" ht="15" hidden="false" customHeight="false" outlineLevel="0" collapsed="false">
      <c r="A151" s="114" t="s">
        <v>425</v>
      </c>
      <c r="B151" s="114" t="s">
        <v>566</v>
      </c>
      <c r="C151" s="114" t="s">
        <v>7</v>
      </c>
      <c r="D151" s="114" t="s">
        <v>7</v>
      </c>
      <c r="E151" s="114" t="s">
        <v>283</v>
      </c>
      <c r="F151" s="115" t="s">
        <v>63</v>
      </c>
      <c r="G151" s="114" t="s">
        <v>64</v>
      </c>
      <c r="H151" s="114" t="s">
        <v>383</v>
      </c>
      <c r="I151" s="116" t="n">
        <v>1</v>
      </c>
      <c r="J151" s="116" t="n">
        <v>0</v>
      </c>
      <c r="K151" s="114"/>
      <c r="L151" s="114" t="s">
        <v>569</v>
      </c>
    </row>
    <row r="152" customFormat="false" ht="15" hidden="false" customHeight="false" outlineLevel="0" collapsed="false">
      <c r="A152" s="114" t="s">
        <v>426</v>
      </c>
      <c r="B152" s="114" t="s">
        <v>566</v>
      </c>
      <c r="C152" s="114" t="s">
        <v>7</v>
      </c>
      <c r="D152" s="114" t="s">
        <v>7</v>
      </c>
      <c r="E152" s="114" t="s">
        <v>290</v>
      </c>
      <c r="F152" s="115" t="s">
        <v>63</v>
      </c>
      <c r="G152" s="114" t="s">
        <v>64</v>
      </c>
      <c r="H152" s="114" t="s">
        <v>383</v>
      </c>
      <c r="I152" s="116" t="n">
        <v>1</v>
      </c>
      <c r="J152" s="116" t="n">
        <v>0</v>
      </c>
      <c r="K152" s="114"/>
      <c r="L152" s="114" t="s">
        <v>569</v>
      </c>
    </row>
    <row r="153" customFormat="false" ht="15" hidden="false" customHeight="false" outlineLevel="0" collapsed="false">
      <c r="A153" s="114" t="s">
        <v>572</v>
      </c>
      <c r="B153" s="114" t="s">
        <v>566</v>
      </c>
      <c r="C153" s="114" t="s">
        <v>8</v>
      </c>
      <c r="D153" s="114" t="s">
        <v>8</v>
      </c>
      <c r="E153" s="114" t="s">
        <v>224</v>
      </c>
      <c r="F153" s="115" t="s">
        <v>59</v>
      </c>
      <c r="G153" s="114" t="s">
        <v>60</v>
      </c>
      <c r="H153" s="114" t="s">
        <v>383</v>
      </c>
      <c r="I153" s="116" t="n">
        <v>1</v>
      </c>
      <c r="J153" s="116" t="n">
        <v>0</v>
      </c>
      <c r="K153" s="114"/>
      <c r="L153" s="114" t="s">
        <v>569</v>
      </c>
    </row>
    <row r="154" customFormat="false" ht="15" hidden="false" customHeight="false" outlineLevel="0" collapsed="false">
      <c r="A154" s="114" t="s">
        <v>573</v>
      </c>
      <c r="B154" s="114" t="s">
        <v>566</v>
      </c>
      <c r="C154" s="114" t="s">
        <v>8</v>
      </c>
      <c r="D154" s="114" t="s">
        <v>8</v>
      </c>
      <c r="E154" s="114" t="s">
        <v>168</v>
      </c>
      <c r="F154" s="115" t="s">
        <v>49</v>
      </c>
      <c r="G154" s="114" t="s">
        <v>50</v>
      </c>
      <c r="H154" s="114" t="s">
        <v>383</v>
      </c>
      <c r="I154" s="116" t="n">
        <v>1</v>
      </c>
      <c r="J154" s="116" t="n">
        <v>0</v>
      </c>
      <c r="K154" s="114"/>
      <c r="L154" s="114" t="s">
        <v>569</v>
      </c>
    </row>
    <row r="155" customFormat="false" ht="15" hidden="false" customHeight="false" outlineLevel="0" collapsed="false">
      <c r="A155" s="114" t="s">
        <v>435</v>
      </c>
      <c r="B155" s="114" t="s">
        <v>566</v>
      </c>
      <c r="C155" s="114" t="s">
        <v>9</v>
      </c>
      <c r="D155" s="114" t="s">
        <v>9</v>
      </c>
      <c r="E155" s="114" t="s">
        <v>363</v>
      </c>
      <c r="F155" s="115" t="s">
        <v>63</v>
      </c>
      <c r="G155" s="114" t="s">
        <v>64</v>
      </c>
      <c r="H155" s="114" t="s">
        <v>383</v>
      </c>
      <c r="I155" s="116" t="n">
        <v>1</v>
      </c>
      <c r="J155" s="116" t="n">
        <v>0</v>
      </c>
      <c r="K155" s="114"/>
      <c r="L155" s="114" t="s">
        <v>569</v>
      </c>
    </row>
    <row r="156" customFormat="false" ht="15" hidden="false" customHeight="false" outlineLevel="0" collapsed="false">
      <c r="A156" s="114" t="s">
        <v>436</v>
      </c>
      <c r="B156" s="114" t="s">
        <v>566</v>
      </c>
      <c r="C156" s="114" t="s">
        <v>9</v>
      </c>
      <c r="D156" s="114" t="s">
        <v>9</v>
      </c>
      <c r="E156" s="114" t="s">
        <v>574</v>
      </c>
      <c r="F156" s="115" t="s">
        <v>151</v>
      </c>
      <c r="G156" s="114" t="s">
        <v>152</v>
      </c>
      <c r="H156" s="114" t="s">
        <v>383</v>
      </c>
      <c r="I156" s="116" t="n">
        <v>1</v>
      </c>
      <c r="J156" s="116" t="n">
        <v>0</v>
      </c>
      <c r="K156" s="114"/>
      <c r="L156" s="114" t="s">
        <v>569</v>
      </c>
    </row>
    <row r="157" customFormat="false" ht="15" hidden="false" customHeight="false" outlineLevel="0" collapsed="false">
      <c r="A157" s="114" t="s">
        <v>575</v>
      </c>
      <c r="B157" s="114" t="s">
        <v>566</v>
      </c>
      <c r="C157" s="114" t="s">
        <v>576</v>
      </c>
      <c r="D157" s="114" t="s">
        <v>20</v>
      </c>
      <c r="E157" s="114" t="s">
        <v>577</v>
      </c>
      <c r="F157" s="115" t="s">
        <v>99</v>
      </c>
      <c r="G157" s="114" t="s">
        <v>100</v>
      </c>
      <c r="H157" s="114" t="s">
        <v>383</v>
      </c>
      <c r="I157" s="116" t="n">
        <v>1</v>
      </c>
      <c r="J157" s="116" t="n">
        <v>0</v>
      </c>
      <c r="K157" s="114"/>
      <c r="L157" s="114" t="s">
        <v>569</v>
      </c>
    </row>
    <row r="158" customFormat="false" ht="15" hidden="false" customHeight="false" outlineLevel="0" collapsed="false">
      <c r="A158" s="114" t="s">
        <v>578</v>
      </c>
      <c r="B158" s="114" t="s">
        <v>566</v>
      </c>
      <c r="C158" s="114" t="s">
        <v>579</v>
      </c>
      <c r="D158" s="114" t="s">
        <v>21</v>
      </c>
      <c r="E158" s="114" t="s">
        <v>251</v>
      </c>
      <c r="F158" s="115" t="s">
        <v>59</v>
      </c>
      <c r="G158" s="114" t="s">
        <v>60</v>
      </c>
      <c r="H158" s="114" t="s">
        <v>383</v>
      </c>
      <c r="I158" s="116" t="n">
        <v>0</v>
      </c>
      <c r="J158" s="116" t="n">
        <v>1</v>
      </c>
      <c r="K158" s="114"/>
      <c r="L158" s="114" t="s">
        <v>569</v>
      </c>
    </row>
    <row r="159" customFormat="false" ht="15" hidden="false" customHeight="false" outlineLevel="0" collapsed="false">
      <c r="A159" s="114" t="s">
        <v>580</v>
      </c>
      <c r="B159" s="114" t="s">
        <v>566</v>
      </c>
      <c r="C159" s="114" t="s">
        <v>579</v>
      </c>
      <c r="D159" s="114" t="s">
        <v>21</v>
      </c>
      <c r="E159" s="114" t="s">
        <v>246</v>
      </c>
      <c r="F159" s="115" t="s">
        <v>59</v>
      </c>
      <c r="G159" s="114" t="s">
        <v>60</v>
      </c>
      <c r="H159" s="114" t="s">
        <v>383</v>
      </c>
      <c r="I159" s="116" t="n">
        <v>1</v>
      </c>
      <c r="J159" s="116" t="n">
        <v>0</v>
      </c>
      <c r="K159" s="114"/>
      <c r="L159" s="114" t="s">
        <v>569</v>
      </c>
    </row>
    <row r="160" customFormat="false" ht="15" hidden="false" customHeight="false" outlineLevel="0" collapsed="false">
      <c r="A160" s="114" t="s">
        <v>581</v>
      </c>
      <c r="B160" s="114" t="s">
        <v>566</v>
      </c>
      <c r="C160" s="114" t="s">
        <v>579</v>
      </c>
      <c r="D160" s="114" t="s">
        <v>21</v>
      </c>
      <c r="E160" s="114" t="s">
        <v>176</v>
      </c>
      <c r="F160" s="115" t="s">
        <v>55</v>
      </c>
      <c r="G160" s="114" t="s">
        <v>56</v>
      </c>
      <c r="H160" s="114" t="s">
        <v>383</v>
      </c>
      <c r="I160" s="116" t="n">
        <v>0</v>
      </c>
      <c r="J160" s="116" t="n">
        <v>1</v>
      </c>
      <c r="K160" s="114"/>
      <c r="L160" s="114" t="s">
        <v>569</v>
      </c>
    </row>
    <row r="161" customFormat="false" ht="15" hidden="false" customHeight="false" outlineLevel="0" collapsed="false">
      <c r="A161" s="114" t="s">
        <v>582</v>
      </c>
      <c r="B161" s="114" t="s">
        <v>566</v>
      </c>
      <c r="C161" s="114" t="s">
        <v>579</v>
      </c>
      <c r="D161" s="114" t="s">
        <v>21</v>
      </c>
      <c r="E161" s="114" t="s">
        <v>178</v>
      </c>
      <c r="F161" s="115" t="s">
        <v>55</v>
      </c>
      <c r="G161" s="114" t="s">
        <v>56</v>
      </c>
      <c r="H161" s="114" t="s">
        <v>383</v>
      </c>
      <c r="I161" s="116" t="n">
        <v>1</v>
      </c>
      <c r="J161" s="116" t="n">
        <v>1</v>
      </c>
      <c r="K161" s="114"/>
      <c r="L161" s="114" t="s">
        <v>569</v>
      </c>
    </row>
    <row r="162" customFormat="false" ht="15" hidden="false" customHeight="false" outlineLevel="0" collapsed="false">
      <c r="A162" s="114" t="s">
        <v>583</v>
      </c>
      <c r="B162" s="114" t="s">
        <v>566</v>
      </c>
      <c r="C162" s="114" t="s">
        <v>579</v>
      </c>
      <c r="D162" s="114" t="s">
        <v>21</v>
      </c>
      <c r="E162" s="114" t="s">
        <v>181</v>
      </c>
      <c r="F162" s="115" t="s">
        <v>55</v>
      </c>
      <c r="G162" s="114" t="s">
        <v>56</v>
      </c>
      <c r="H162" s="114" t="s">
        <v>383</v>
      </c>
      <c r="I162" s="116" t="n">
        <v>1</v>
      </c>
      <c r="J162" s="116" t="n">
        <v>0</v>
      </c>
      <c r="K162" s="114"/>
      <c r="L162" s="114" t="s">
        <v>569</v>
      </c>
    </row>
    <row r="163" customFormat="false" ht="15" hidden="false" customHeight="false" outlineLevel="0" collapsed="false">
      <c r="A163" s="114" t="s">
        <v>584</v>
      </c>
      <c r="B163" s="114" t="s">
        <v>566</v>
      </c>
      <c r="C163" s="114" t="s">
        <v>579</v>
      </c>
      <c r="D163" s="114" t="s">
        <v>21</v>
      </c>
      <c r="E163" s="114" t="s">
        <v>356</v>
      </c>
      <c r="F163" s="115" t="s">
        <v>61</v>
      </c>
      <c r="G163" s="114" t="s">
        <v>62</v>
      </c>
      <c r="H163" s="114" t="s">
        <v>383</v>
      </c>
      <c r="I163" s="116" t="n">
        <v>0</v>
      </c>
      <c r="J163" s="116" t="n">
        <v>1</v>
      </c>
      <c r="K163" s="114"/>
      <c r="L163" s="114" t="s">
        <v>569</v>
      </c>
    </row>
    <row r="164" customFormat="false" ht="15" hidden="false" customHeight="false" outlineLevel="0" collapsed="false">
      <c r="A164" s="114" t="s">
        <v>585</v>
      </c>
      <c r="B164" s="114" t="s">
        <v>566</v>
      </c>
      <c r="C164" s="114" t="s">
        <v>579</v>
      </c>
      <c r="D164" s="114" t="s">
        <v>21</v>
      </c>
      <c r="E164" s="114" t="s">
        <v>362</v>
      </c>
      <c r="F164" s="115" t="s">
        <v>61</v>
      </c>
      <c r="G164" s="114" t="s">
        <v>62</v>
      </c>
      <c r="H164" s="114" t="s">
        <v>383</v>
      </c>
      <c r="I164" s="116" t="n">
        <v>0</v>
      </c>
      <c r="J164" s="116" t="n">
        <v>1</v>
      </c>
      <c r="K164" s="114"/>
      <c r="L164" s="114" t="s">
        <v>569</v>
      </c>
    </row>
    <row r="165" customFormat="false" ht="15" hidden="false" customHeight="false" outlineLevel="0" collapsed="false">
      <c r="A165" s="114" t="s">
        <v>586</v>
      </c>
      <c r="B165" s="114" t="s">
        <v>566</v>
      </c>
      <c r="C165" s="114" t="s">
        <v>579</v>
      </c>
      <c r="D165" s="114" t="s">
        <v>21</v>
      </c>
      <c r="E165" s="114" t="s">
        <v>340</v>
      </c>
      <c r="F165" s="115" t="s">
        <v>61</v>
      </c>
      <c r="G165" s="114" t="s">
        <v>62</v>
      </c>
      <c r="H165" s="114" t="s">
        <v>383</v>
      </c>
      <c r="I165" s="116" t="n">
        <v>0</v>
      </c>
      <c r="J165" s="116" t="n">
        <v>1</v>
      </c>
      <c r="K165" s="114"/>
      <c r="L165" s="114" t="s">
        <v>569</v>
      </c>
    </row>
    <row r="166" customFormat="false" ht="15" hidden="false" customHeight="false" outlineLevel="0" collapsed="false">
      <c r="A166" s="114" t="s">
        <v>587</v>
      </c>
      <c r="B166" s="114" t="s">
        <v>566</v>
      </c>
      <c r="C166" s="114" t="s">
        <v>579</v>
      </c>
      <c r="D166" s="114" t="s">
        <v>21</v>
      </c>
      <c r="E166" s="114" t="s">
        <v>368</v>
      </c>
      <c r="F166" s="115" t="s">
        <v>61</v>
      </c>
      <c r="G166" s="114" t="s">
        <v>62</v>
      </c>
      <c r="H166" s="114" t="s">
        <v>383</v>
      </c>
      <c r="I166" s="116" t="n">
        <v>1</v>
      </c>
      <c r="J166" s="116" t="n">
        <v>0</v>
      </c>
      <c r="K166" s="114"/>
      <c r="L166" s="114" t="s">
        <v>569</v>
      </c>
    </row>
    <row r="167" customFormat="false" ht="15" hidden="false" customHeight="false" outlineLevel="0" collapsed="false">
      <c r="A167" s="114" t="s">
        <v>588</v>
      </c>
      <c r="B167" s="114" t="s">
        <v>566</v>
      </c>
      <c r="C167" s="114" t="s">
        <v>579</v>
      </c>
      <c r="D167" s="114" t="s">
        <v>21</v>
      </c>
      <c r="E167" s="114" t="s">
        <v>253</v>
      </c>
      <c r="F167" s="115" t="s">
        <v>61</v>
      </c>
      <c r="G167" s="114" t="s">
        <v>62</v>
      </c>
      <c r="H167" s="114" t="s">
        <v>383</v>
      </c>
      <c r="I167" s="116" t="n">
        <v>0</v>
      </c>
      <c r="J167" s="116" t="n">
        <v>1</v>
      </c>
      <c r="K167" s="114"/>
      <c r="L167" s="114" t="s">
        <v>569</v>
      </c>
    </row>
    <row r="168" customFormat="false" ht="15" hidden="false" customHeight="false" outlineLevel="0" collapsed="false">
      <c r="A168" s="114" t="s">
        <v>589</v>
      </c>
      <c r="B168" s="114" t="s">
        <v>566</v>
      </c>
      <c r="C168" s="114" t="s">
        <v>579</v>
      </c>
      <c r="D168" s="114" t="s">
        <v>21</v>
      </c>
      <c r="E168" s="114" t="s">
        <v>345</v>
      </c>
      <c r="F168" s="115" t="s">
        <v>61</v>
      </c>
      <c r="G168" s="114" t="s">
        <v>62</v>
      </c>
      <c r="H168" s="114" t="s">
        <v>383</v>
      </c>
      <c r="I168" s="116" t="n">
        <v>1</v>
      </c>
      <c r="J168" s="116" t="n">
        <v>0</v>
      </c>
      <c r="K168" s="114"/>
      <c r="L168" s="114" t="s">
        <v>569</v>
      </c>
    </row>
    <row r="169" customFormat="false" ht="15" hidden="false" customHeight="false" outlineLevel="0" collapsed="false">
      <c r="A169" s="114" t="s">
        <v>590</v>
      </c>
      <c r="B169" s="114" t="s">
        <v>566</v>
      </c>
      <c r="C169" s="114" t="s">
        <v>579</v>
      </c>
      <c r="D169" s="114" t="s">
        <v>21</v>
      </c>
      <c r="E169" s="114" t="s">
        <v>350</v>
      </c>
      <c r="F169" s="115" t="s">
        <v>61</v>
      </c>
      <c r="G169" s="114" t="s">
        <v>62</v>
      </c>
      <c r="H169" s="114" t="s">
        <v>383</v>
      </c>
      <c r="I169" s="116" t="n">
        <v>0</v>
      </c>
      <c r="J169" s="116" t="n">
        <v>1</v>
      </c>
      <c r="K169" s="114"/>
      <c r="L169" s="114" t="s">
        <v>569</v>
      </c>
    </row>
    <row r="170" customFormat="false" ht="15" hidden="false" customHeight="false" outlineLevel="0" collapsed="false">
      <c r="A170" s="114" t="s">
        <v>591</v>
      </c>
      <c r="B170" s="114" t="s">
        <v>566</v>
      </c>
      <c r="C170" s="114" t="s">
        <v>579</v>
      </c>
      <c r="D170" s="114" t="s">
        <v>21</v>
      </c>
      <c r="E170" s="114" t="s">
        <v>200</v>
      </c>
      <c r="F170" s="115" t="s">
        <v>49</v>
      </c>
      <c r="G170" s="114" t="s">
        <v>50</v>
      </c>
      <c r="H170" s="114" t="s">
        <v>383</v>
      </c>
      <c r="I170" s="116" t="n">
        <v>1</v>
      </c>
      <c r="J170" s="116" t="n">
        <v>1</v>
      </c>
      <c r="K170" s="114"/>
      <c r="L170" s="114" t="s">
        <v>569</v>
      </c>
    </row>
    <row r="171" customFormat="false" ht="15" hidden="false" customHeight="false" outlineLevel="0" collapsed="false">
      <c r="A171" s="114" t="s">
        <v>592</v>
      </c>
      <c r="B171" s="114" t="s">
        <v>566</v>
      </c>
      <c r="C171" s="114" t="s">
        <v>579</v>
      </c>
      <c r="D171" s="114" t="s">
        <v>21</v>
      </c>
      <c r="E171" s="114" t="s">
        <v>202</v>
      </c>
      <c r="F171" s="115" t="s">
        <v>49</v>
      </c>
      <c r="G171" s="114" t="s">
        <v>50</v>
      </c>
      <c r="H171" s="114" t="s">
        <v>383</v>
      </c>
      <c r="I171" s="116" t="n">
        <v>0</v>
      </c>
      <c r="J171" s="116" t="n">
        <v>1</v>
      </c>
      <c r="K171" s="114"/>
      <c r="L171" s="114" t="s">
        <v>569</v>
      </c>
    </row>
    <row r="172" customFormat="false" ht="15" hidden="false" customHeight="false" outlineLevel="0" collapsed="false">
      <c r="A172" s="114" t="s">
        <v>593</v>
      </c>
      <c r="B172" s="114" t="s">
        <v>566</v>
      </c>
      <c r="C172" s="114" t="s">
        <v>579</v>
      </c>
      <c r="D172" s="114" t="s">
        <v>21</v>
      </c>
      <c r="E172" s="114" t="s">
        <v>204</v>
      </c>
      <c r="F172" s="115" t="s">
        <v>49</v>
      </c>
      <c r="G172" s="114" t="s">
        <v>50</v>
      </c>
      <c r="H172" s="114" t="s">
        <v>383</v>
      </c>
      <c r="I172" s="116" t="n">
        <v>1</v>
      </c>
      <c r="J172" s="116" t="n">
        <v>0</v>
      </c>
      <c r="K172" s="114"/>
      <c r="L172" s="114" t="s">
        <v>569</v>
      </c>
    </row>
    <row r="173" customFormat="false" ht="15" hidden="false" customHeight="false" outlineLevel="0" collapsed="false">
      <c r="A173" s="114" t="s">
        <v>594</v>
      </c>
      <c r="B173" s="114" t="s">
        <v>566</v>
      </c>
      <c r="C173" s="114" t="s">
        <v>579</v>
      </c>
      <c r="D173" s="114" t="s">
        <v>21</v>
      </c>
      <c r="E173" s="114" t="s">
        <v>206</v>
      </c>
      <c r="F173" s="115" t="s">
        <v>49</v>
      </c>
      <c r="G173" s="114" t="s">
        <v>50</v>
      </c>
      <c r="H173" s="114" t="s">
        <v>383</v>
      </c>
      <c r="I173" s="116" t="n">
        <v>1</v>
      </c>
      <c r="J173" s="116" t="n">
        <v>0</v>
      </c>
      <c r="K173" s="114"/>
      <c r="L173" s="114" t="s">
        <v>569</v>
      </c>
    </row>
    <row r="174" customFormat="false" ht="15" hidden="false" customHeight="false" outlineLevel="0" collapsed="false">
      <c r="A174" s="114" t="s">
        <v>595</v>
      </c>
      <c r="B174" s="114" t="s">
        <v>566</v>
      </c>
      <c r="C174" s="114" t="s">
        <v>579</v>
      </c>
      <c r="D174" s="114" t="s">
        <v>21</v>
      </c>
      <c r="E174" s="114" t="s">
        <v>209</v>
      </c>
      <c r="F174" s="115" t="s">
        <v>49</v>
      </c>
      <c r="G174" s="114" t="s">
        <v>50</v>
      </c>
      <c r="H174" s="114" t="s">
        <v>383</v>
      </c>
      <c r="I174" s="116" t="n">
        <v>0</v>
      </c>
      <c r="J174" s="116" t="n">
        <v>1</v>
      </c>
      <c r="K174" s="114"/>
      <c r="L174" s="114" t="s">
        <v>569</v>
      </c>
    </row>
    <row r="175" customFormat="false" ht="15" hidden="false" customHeight="false" outlineLevel="0" collapsed="false">
      <c r="A175" s="114" t="s">
        <v>596</v>
      </c>
      <c r="B175" s="114" t="s">
        <v>566</v>
      </c>
      <c r="C175" s="114" t="s">
        <v>579</v>
      </c>
      <c r="D175" s="114" t="s">
        <v>21</v>
      </c>
      <c r="E175" s="114" t="s">
        <v>255</v>
      </c>
      <c r="F175" s="115" t="s">
        <v>63</v>
      </c>
      <c r="G175" s="114" t="s">
        <v>64</v>
      </c>
      <c r="H175" s="114" t="s">
        <v>383</v>
      </c>
      <c r="I175" s="116" t="n">
        <v>1</v>
      </c>
      <c r="J175" s="116" t="n">
        <v>0</v>
      </c>
      <c r="K175" s="114"/>
      <c r="L175" s="114" t="s">
        <v>569</v>
      </c>
    </row>
    <row r="176" customFormat="false" ht="15" hidden="false" customHeight="false" outlineLevel="0" collapsed="false">
      <c r="A176" s="114" t="s">
        <v>597</v>
      </c>
      <c r="B176" s="114" t="s">
        <v>566</v>
      </c>
      <c r="C176" s="114" t="s">
        <v>579</v>
      </c>
      <c r="D176" s="114" t="s">
        <v>21</v>
      </c>
      <c r="E176" s="114" t="s">
        <v>261</v>
      </c>
      <c r="F176" s="115" t="s">
        <v>63</v>
      </c>
      <c r="G176" s="114" t="s">
        <v>64</v>
      </c>
      <c r="H176" s="114" t="s">
        <v>383</v>
      </c>
      <c r="I176" s="116" t="n">
        <v>1</v>
      </c>
      <c r="J176" s="116" t="n">
        <v>0</v>
      </c>
      <c r="K176" s="114"/>
      <c r="L176" s="114" t="s">
        <v>569</v>
      </c>
    </row>
    <row r="177" customFormat="false" ht="15" hidden="false" customHeight="false" outlineLevel="0" collapsed="false">
      <c r="A177" s="114" t="s">
        <v>598</v>
      </c>
      <c r="B177" s="114" t="s">
        <v>566</v>
      </c>
      <c r="C177" s="114" t="s">
        <v>579</v>
      </c>
      <c r="D177" s="114" t="s">
        <v>21</v>
      </c>
      <c r="E177" s="114" t="s">
        <v>267</v>
      </c>
      <c r="F177" s="115" t="s">
        <v>63</v>
      </c>
      <c r="G177" s="114" t="s">
        <v>64</v>
      </c>
      <c r="H177" s="114" t="s">
        <v>383</v>
      </c>
      <c r="I177" s="116" t="n">
        <v>0</v>
      </c>
      <c r="J177" s="116" t="n">
        <v>1</v>
      </c>
      <c r="K177" s="114"/>
      <c r="L177" s="114" t="s">
        <v>569</v>
      </c>
    </row>
    <row r="178" customFormat="false" ht="15" hidden="false" customHeight="false" outlineLevel="0" collapsed="false">
      <c r="A178" s="114" t="s">
        <v>599</v>
      </c>
      <c r="B178" s="114" t="s">
        <v>566</v>
      </c>
      <c r="C178" s="114" t="s">
        <v>579</v>
      </c>
      <c r="D178" s="114" t="s">
        <v>21</v>
      </c>
      <c r="E178" s="114" t="s">
        <v>298</v>
      </c>
      <c r="F178" s="115" t="s">
        <v>63</v>
      </c>
      <c r="G178" s="114" t="s">
        <v>64</v>
      </c>
      <c r="H178" s="114" t="s">
        <v>383</v>
      </c>
      <c r="I178" s="116" t="n">
        <v>1</v>
      </c>
      <c r="J178" s="116" t="n">
        <v>0</v>
      </c>
      <c r="K178" s="114"/>
      <c r="L178" s="114" t="s">
        <v>569</v>
      </c>
    </row>
    <row r="179" customFormat="false" ht="15" hidden="false" customHeight="false" outlineLevel="0" collapsed="false">
      <c r="A179" s="114" t="s">
        <v>600</v>
      </c>
      <c r="B179" s="114" t="s">
        <v>566</v>
      </c>
      <c r="C179" s="114" t="s">
        <v>579</v>
      </c>
      <c r="D179" s="114" t="s">
        <v>21</v>
      </c>
      <c r="E179" s="114" t="s">
        <v>273</v>
      </c>
      <c r="F179" s="115" t="s">
        <v>63</v>
      </c>
      <c r="G179" s="114" t="s">
        <v>64</v>
      </c>
      <c r="H179" s="114" t="s">
        <v>383</v>
      </c>
      <c r="I179" s="116" t="n">
        <v>0</v>
      </c>
      <c r="J179" s="116" t="n">
        <v>1</v>
      </c>
      <c r="K179" s="114"/>
      <c r="L179" s="114" t="s">
        <v>569</v>
      </c>
    </row>
    <row r="180" customFormat="false" ht="15" hidden="false" customHeight="false" outlineLevel="0" collapsed="false">
      <c r="A180" s="114" t="s">
        <v>601</v>
      </c>
      <c r="B180" s="114" t="s">
        <v>566</v>
      </c>
      <c r="C180" s="114" t="s">
        <v>579</v>
      </c>
      <c r="D180" s="114" t="s">
        <v>21</v>
      </c>
      <c r="E180" s="114" t="s">
        <v>304</v>
      </c>
      <c r="F180" s="115" t="s">
        <v>63</v>
      </c>
      <c r="G180" s="114" t="s">
        <v>64</v>
      </c>
      <c r="H180" s="114" t="s">
        <v>383</v>
      </c>
      <c r="I180" s="116" t="n">
        <v>0</v>
      </c>
      <c r="J180" s="116" t="n">
        <v>1</v>
      </c>
      <c r="K180" s="114"/>
      <c r="L180" s="114" t="s">
        <v>569</v>
      </c>
    </row>
    <row r="181" customFormat="false" ht="15" hidden="false" customHeight="false" outlineLevel="0" collapsed="false">
      <c r="A181" s="114" t="s">
        <v>602</v>
      </c>
      <c r="B181" s="114" t="s">
        <v>566</v>
      </c>
      <c r="C181" s="114" t="s">
        <v>579</v>
      </c>
      <c r="D181" s="114" t="s">
        <v>21</v>
      </c>
      <c r="E181" s="114" t="s">
        <v>279</v>
      </c>
      <c r="F181" s="115" t="s">
        <v>63</v>
      </c>
      <c r="G181" s="114" t="s">
        <v>64</v>
      </c>
      <c r="H181" s="114" t="s">
        <v>383</v>
      </c>
      <c r="I181" s="116" t="n">
        <v>0</v>
      </c>
      <c r="J181" s="116" t="n">
        <v>1</v>
      </c>
      <c r="K181" s="114"/>
      <c r="L181" s="114" t="s">
        <v>569</v>
      </c>
    </row>
    <row r="182" customFormat="false" ht="15" hidden="false" customHeight="false" outlineLevel="0" collapsed="false">
      <c r="A182" s="114" t="s">
        <v>603</v>
      </c>
      <c r="B182" s="114" t="s">
        <v>566</v>
      </c>
      <c r="C182" s="114" t="s">
        <v>579</v>
      </c>
      <c r="D182" s="114" t="s">
        <v>21</v>
      </c>
      <c r="E182" s="114" t="s">
        <v>285</v>
      </c>
      <c r="F182" s="115" t="s">
        <v>63</v>
      </c>
      <c r="G182" s="114" t="s">
        <v>64</v>
      </c>
      <c r="H182" s="114" t="s">
        <v>383</v>
      </c>
      <c r="I182" s="116" t="n">
        <v>1</v>
      </c>
      <c r="J182" s="116" t="n">
        <v>0</v>
      </c>
      <c r="K182" s="114"/>
      <c r="L182" s="114" t="s">
        <v>569</v>
      </c>
    </row>
    <row r="183" customFormat="false" ht="15" hidden="false" customHeight="false" outlineLevel="0" collapsed="false">
      <c r="A183" s="114" t="s">
        <v>604</v>
      </c>
      <c r="B183" s="114" t="s">
        <v>566</v>
      </c>
      <c r="C183" s="114" t="s">
        <v>579</v>
      </c>
      <c r="D183" s="114" t="s">
        <v>21</v>
      </c>
      <c r="E183" s="114" t="s">
        <v>292</v>
      </c>
      <c r="F183" s="115" t="s">
        <v>63</v>
      </c>
      <c r="G183" s="114" t="s">
        <v>64</v>
      </c>
      <c r="H183" s="114" t="s">
        <v>383</v>
      </c>
      <c r="I183" s="116" t="n">
        <v>0</v>
      </c>
      <c r="J183" s="116" t="n">
        <v>1</v>
      </c>
      <c r="K183" s="114"/>
      <c r="L183" s="114" t="s">
        <v>569</v>
      </c>
    </row>
    <row r="184" customFormat="false" ht="15" hidden="false" customHeight="false" outlineLevel="0" collapsed="false">
      <c r="A184" s="114" t="s">
        <v>605</v>
      </c>
      <c r="B184" s="114" t="s">
        <v>566</v>
      </c>
      <c r="C184" s="114" t="s">
        <v>579</v>
      </c>
      <c r="D184" s="114" t="s">
        <v>21</v>
      </c>
      <c r="E184" s="114" t="s">
        <v>606</v>
      </c>
      <c r="F184" s="115" t="s">
        <v>123</v>
      </c>
      <c r="G184" s="114" t="s">
        <v>124</v>
      </c>
      <c r="H184" s="114" t="s">
        <v>383</v>
      </c>
      <c r="I184" s="116" t="n">
        <v>1</v>
      </c>
      <c r="J184" s="116" t="n">
        <v>1</v>
      </c>
      <c r="K184" s="114"/>
      <c r="L184" s="114" t="s">
        <v>569</v>
      </c>
    </row>
    <row r="185" customFormat="false" ht="15" hidden="false" customHeight="false" outlineLevel="0" collapsed="false">
      <c r="A185" s="114" t="s">
        <v>607</v>
      </c>
      <c r="B185" s="114" t="s">
        <v>566</v>
      </c>
      <c r="C185" s="114" t="s">
        <v>579</v>
      </c>
      <c r="D185" s="114" t="s">
        <v>21</v>
      </c>
      <c r="E185" s="114" t="s">
        <v>608</v>
      </c>
      <c r="F185" s="115" t="s">
        <v>151</v>
      </c>
      <c r="G185" s="114" t="s">
        <v>152</v>
      </c>
      <c r="H185" s="114" t="s">
        <v>383</v>
      </c>
      <c r="I185" s="116" t="n">
        <v>1</v>
      </c>
      <c r="J185" s="116" t="n">
        <v>1</v>
      </c>
      <c r="K185" s="114"/>
      <c r="L185" s="114" t="s">
        <v>569</v>
      </c>
    </row>
    <row r="186" customFormat="false" ht="15" hidden="false" customHeight="false" outlineLevel="0" collapsed="false">
      <c r="A186" s="114" t="s">
        <v>609</v>
      </c>
      <c r="B186" s="114" t="s">
        <v>566</v>
      </c>
      <c r="C186" s="114" t="s">
        <v>579</v>
      </c>
      <c r="D186" s="114" t="s">
        <v>21</v>
      </c>
      <c r="E186" s="114" t="s">
        <v>213</v>
      </c>
      <c r="F186" s="115" t="s">
        <v>57</v>
      </c>
      <c r="G186" s="114" t="s">
        <v>58</v>
      </c>
      <c r="H186" s="114" t="s">
        <v>383</v>
      </c>
      <c r="I186" s="116" t="n">
        <v>1</v>
      </c>
      <c r="J186" s="116" t="n">
        <v>0</v>
      </c>
      <c r="K186" s="114"/>
      <c r="L186" s="114" t="s">
        <v>569</v>
      </c>
    </row>
    <row r="187" customFormat="false" ht="15" hidden="false" customHeight="false" outlineLevel="0" collapsed="false">
      <c r="A187" s="114" t="s">
        <v>610</v>
      </c>
      <c r="B187" s="114" t="s">
        <v>566</v>
      </c>
      <c r="C187" s="114" t="s">
        <v>579</v>
      </c>
      <c r="D187" s="114" t="s">
        <v>21</v>
      </c>
      <c r="E187" s="114" t="s">
        <v>214</v>
      </c>
      <c r="F187" s="115" t="s">
        <v>57</v>
      </c>
      <c r="G187" s="114" t="s">
        <v>58</v>
      </c>
      <c r="H187" s="114" t="s">
        <v>383</v>
      </c>
      <c r="I187" s="116" t="n">
        <v>0</v>
      </c>
      <c r="J187" s="116" t="n">
        <v>1</v>
      </c>
      <c r="K187" s="114"/>
      <c r="L187" s="114" t="s">
        <v>569</v>
      </c>
    </row>
    <row r="188" customFormat="false" ht="15" hidden="false" customHeight="false" outlineLevel="0" collapsed="false">
      <c r="A188" s="114" t="s">
        <v>611</v>
      </c>
      <c r="B188" s="114" t="s">
        <v>566</v>
      </c>
      <c r="C188" s="114" t="s">
        <v>579</v>
      </c>
      <c r="D188" s="114" t="s">
        <v>21</v>
      </c>
      <c r="E188" s="114" t="s">
        <v>216</v>
      </c>
      <c r="F188" s="115" t="s">
        <v>57</v>
      </c>
      <c r="G188" s="114" t="s">
        <v>58</v>
      </c>
      <c r="H188" s="114" t="s">
        <v>383</v>
      </c>
      <c r="I188" s="116" t="n">
        <v>1</v>
      </c>
      <c r="J188" s="116" t="n">
        <v>1</v>
      </c>
      <c r="K188" s="114"/>
      <c r="L188" s="114" t="s">
        <v>569</v>
      </c>
    </row>
    <row r="189" customFormat="false" ht="15" hidden="false" customHeight="false" outlineLevel="0" collapsed="false">
      <c r="A189" s="114" t="s">
        <v>612</v>
      </c>
      <c r="B189" s="114" t="s">
        <v>566</v>
      </c>
      <c r="C189" s="114" t="s">
        <v>579</v>
      </c>
      <c r="D189" s="114" t="s">
        <v>21</v>
      </c>
      <c r="E189" s="114" t="s">
        <v>218</v>
      </c>
      <c r="F189" s="115" t="s">
        <v>57</v>
      </c>
      <c r="G189" s="114" t="s">
        <v>58</v>
      </c>
      <c r="H189" s="114" t="s">
        <v>383</v>
      </c>
      <c r="I189" s="116" t="n">
        <v>1</v>
      </c>
      <c r="J189" s="116" t="n">
        <v>1</v>
      </c>
      <c r="K189" s="114"/>
      <c r="L189" s="114" t="s">
        <v>569</v>
      </c>
    </row>
    <row r="190" customFormat="false" ht="15" hidden="false" customHeight="false" outlineLevel="0" collapsed="false">
      <c r="A190" s="114" t="s">
        <v>613</v>
      </c>
      <c r="B190" s="114" t="s">
        <v>566</v>
      </c>
      <c r="C190" s="114" t="s">
        <v>579</v>
      </c>
      <c r="D190" s="114" t="s">
        <v>21</v>
      </c>
      <c r="E190" s="114" t="s">
        <v>275</v>
      </c>
      <c r="F190" s="115" t="s">
        <v>53</v>
      </c>
      <c r="G190" s="114" t="s">
        <v>54</v>
      </c>
      <c r="H190" s="114" t="s">
        <v>383</v>
      </c>
      <c r="I190" s="116" t="n">
        <v>0</v>
      </c>
      <c r="J190" s="116" t="n">
        <v>1</v>
      </c>
      <c r="K190" s="114"/>
      <c r="L190" s="114" t="s">
        <v>569</v>
      </c>
    </row>
    <row r="191" customFormat="false" ht="15" hidden="false" customHeight="false" outlineLevel="0" collapsed="false">
      <c r="A191" s="114" t="s">
        <v>614</v>
      </c>
      <c r="B191" s="114" t="s">
        <v>566</v>
      </c>
      <c r="C191" s="114" t="s">
        <v>579</v>
      </c>
      <c r="D191" s="114" t="s">
        <v>21</v>
      </c>
      <c r="E191" s="114" t="s">
        <v>287</v>
      </c>
      <c r="F191" s="115" t="s">
        <v>53</v>
      </c>
      <c r="G191" s="114" t="s">
        <v>54</v>
      </c>
      <c r="H191" s="114" t="s">
        <v>383</v>
      </c>
      <c r="I191" s="116" t="n">
        <v>1</v>
      </c>
      <c r="J191" s="116" t="n">
        <v>0</v>
      </c>
      <c r="K191" s="114"/>
      <c r="L191" s="114" t="s">
        <v>569</v>
      </c>
    </row>
    <row r="192" customFormat="false" ht="15" hidden="false" customHeight="false" outlineLevel="0" collapsed="false">
      <c r="A192" s="114" t="s">
        <v>615</v>
      </c>
      <c r="B192" s="114" t="s">
        <v>566</v>
      </c>
      <c r="C192" s="114" t="s">
        <v>579</v>
      </c>
      <c r="D192" s="114" t="s">
        <v>21</v>
      </c>
      <c r="E192" s="114" t="s">
        <v>275</v>
      </c>
      <c r="F192" s="115" t="s">
        <v>53</v>
      </c>
      <c r="G192" s="114" t="s">
        <v>54</v>
      </c>
      <c r="H192" s="114" t="s">
        <v>383</v>
      </c>
      <c r="I192" s="116" t="n">
        <v>0</v>
      </c>
      <c r="J192" s="116" t="n">
        <v>1</v>
      </c>
      <c r="K192" s="114"/>
      <c r="L192" s="114" t="s">
        <v>569</v>
      </c>
    </row>
    <row r="193" customFormat="false" ht="15" hidden="false" customHeight="false" outlineLevel="0" collapsed="false">
      <c r="A193" s="114" t="s">
        <v>616</v>
      </c>
      <c r="B193" s="114" t="s">
        <v>566</v>
      </c>
      <c r="C193" s="114" t="s">
        <v>579</v>
      </c>
      <c r="D193" s="114" t="s">
        <v>21</v>
      </c>
      <c r="E193" s="114" t="s">
        <v>287</v>
      </c>
      <c r="F193" s="115" t="s">
        <v>53</v>
      </c>
      <c r="G193" s="114" t="s">
        <v>54</v>
      </c>
      <c r="H193" s="114" t="s">
        <v>383</v>
      </c>
      <c r="I193" s="116" t="n">
        <v>1</v>
      </c>
      <c r="J193" s="116" t="n">
        <v>0</v>
      </c>
      <c r="K193" s="114"/>
      <c r="L193" s="114" t="s">
        <v>569</v>
      </c>
    </row>
    <row r="194" customFormat="false" ht="15" hidden="false" customHeight="false" outlineLevel="0" collapsed="false">
      <c r="A194" s="114" t="s">
        <v>617</v>
      </c>
      <c r="B194" s="114" t="s">
        <v>566</v>
      </c>
      <c r="C194" s="114" t="s">
        <v>18</v>
      </c>
      <c r="D194" s="114" t="s">
        <v>18</v>
      </c>
      <c r="E194" s="114" t="s">
        <v>234</v>
      </c>
      <c r="F194" s="115" t="s">
        <v>59</v>
      </c>
      <c r="G194" s="114" t="s">
        <v>60</v>
      </c>
      <c r="H194" s="114" t="s">
        <v>383</v>
      </c>
      <c r="I194" s="116" t="n">
        <v>1</v>
      </c>
      <c r="J194" s="116" t="n">
        <v>0</v>
      </c>
      <c r="K194" s="114"/>
      <c r="L194" s="114" t="s">
        <v>569</v>
      </c>
    </row>
    <row r="195" customFormat="false" ht="15" hidden="false" customHeight="false" outlineLevel="0" collapsed="false">
      <c r="A195" s="114" t="s">
        <v>443</v>
      </c>
      <c r="B195" s="114" t="s">
        <v>618</v>
      </c>
      <c r="C195" s="114" t="s">
        <v>42</v>
      </c>
      <c r="D195" s="114" t="s">
        <v>42</v>
      </c>
      <c r="E195" s="114" t="s">
        <v>619</v>
      </c>
      <c r="F195" s="115" t="s">
        <v>69</v>
      </c>
      <c r="G195" s="114" t="s">
        <v>70</v>
      </c>
      <c r="H195" s="114" t="s">
        <v>383</v>
      </c>
      <c r="I195" s="116" t="n">
        <v>0</v>
      </c>
      <c r="J195" s="116" t="n">
        <v>1</v>
      </c>
      <c r="K195" s="114"/>
      <c r="L195" s="114" t="s">
        <v>569</v>
      </c>
    </row>
    <row r="196" customFormat="false" ht="15" hidden="false" customHeight="false" outlineLevel="0" collapsed="false">
      <c r="A196" s="114" t="s">
        <v>444</v>
      </c>
      <c r="B196" s="114" t="s">
        <v>618</v>
      </c>
      <c r="C196" s="114" t="s">
        <v>42</v>
      </c>
      <c r="D196" s="114" t="s">
        <v>42</v>
      </c>
      <c r="E196" s="114" t="s">
        <v>620</v>
      </c>
      <c r="F196" s="115" t="s">
        <v>69</v>
      </c>
      <c r="G196" s="114" t="s">
        <v>70</v>
      </c>
      <c r="H196" s="114" t="s">
        <v>383</v>
      </c>
      <c r="I196" s="116" t="n">
        <v>1</v>
      </c>
      <c r="J196" s="116" t="n">
        <v>0</v>
      </c>
      <c r="K196" s="114"/>
      <c r="L196" s="114" t="s">
        <v>569</v>
      </c>
    </row>
    <row r="197" customFormat="false" ht="15" hidden="false" customHeight="false" outlineLevel="0" collapsed="false">
      <c r="A197" s="114" t="s">
        <v>621</v>
      </c>
      <c r="B197" s="114" t="s">
        <v>618</v>
      </c>
      <c r="C197" s="114" t="s">
        <v>42</v>
      </c>
      <c r="D197" s="114" t="s">
        <v>42</v>
      </c>
      <c r="E197" s="114" t="s">
        <v>622</v>
      </c>
      <c r="F197" s="115" t="s">
        <v>87</v>
      </c>
      <c r="G197" s="114" t="s">
        <v>88</v>
      </c>
      <c r="H197" s="114" t="s">
        <v>383</v>
      </c>
      <c r="I197" s="116" t="n">
        <v>1</v>
      </c>
      <c r="J197" s="116" t="n">
        <v>0</v>
      </c>
      <c r="K197" s="114"/>
      <c r="L197" s="114" t="s">
        <v>569</v>
      </c>
    </row>
    <row r="198" customFormat="false" ht="15" hidden="false" customHeight="false" outlineLevel="0" collapsed="false">
      <c r="A198" s="114" t="s">
        <v>623</v>
      </c>
      <c r="B198" s="114" t="s">
        <v>618</v>
      </c>
      <c r="C198" s="114" t="s">
        <v>624</v>
      </c>
      <c r="D198" s="114" t="s">
        <v>26</v>
      </c>
      <c r="E198" s="114" t="s">
        <v>625</v>
      </c>
      <c r="F198" s="115" t="s">
        <v>127</v>
      </c>
      <c r="G198" s="114" t="s">
        <v>128</v>
      </c>
      <c r="H198" s="114" t="s">
        <v>383</v>
      </c>
      <c r="I198" s="116" t="n">
        <v>1</v>
      </c>
      <c r="J198" s="116" t="n">
        <v>0</v>
      </c>
      <c r="K198" s="114"/>
      <c r="L198" s="114" t="s">
        <v>569</v>
      </c>
    </row>
    <row r="199" customFormat="false" ht="15" hidden="false" customHeight="false" outlineLevel="0" collapsed="false">
      <c r="A199" s="114" t="s">
        <v>399</v>
      </c>
      <c r="B199" s="114" t="s">
        <v>618</v>
      </c>
      <c r="C199" s="114" t="s">
        <v>626</v>
      </c>
      <c r="D199" s="114" t="s">
        <v>17</v>
      </c>
      <c r="E199" s="114" t="s">
        <v>627</v>
      </c>
      <c r="F199" s="115" t="s">
        <v>87</v>
      </c>
      <c r="G199" s="114" t="s">
        <v>88</v>
      </c>
      <c r="H199" s="114" t="s">
        <v>383</v>
      </c>
      <c r="I199" s="116" t="n">
        <v>1</v>
      </c>
      <c r="J199" s="116" t="n">
        <v>0</v>
      </c>
      <c r="K199" s="114"/>
      <c r="L199" s="114" t="s">
        <v>569</v>
      </c>
    </row>
    <row r="200" customFormat="false" ht="15" hidden="false" customHeight="false" outlineLevel="0" collapsed="false">
      <c r="A200" s="114" t="s">
        <v>628</v>
      </c>
      <c r="B200" s="114" t="s">
        <v>618</v>
      </c>
      <c r="C200" s="114" t="s">
        <v>387</v>
      </c>
      <c r="D200" s="114" t="s">
        <v>22</v>
      </c>
      <c r="E200" s="114" t="s">
        <v>629</v>
      </c>
      <c r="F200" s="115" t="s">
        <v>71</v>
      </c>
      <c r="G200" s="114" t="s">
        <v>72</v>
      </c>
      <c r="H200" s="114" t="s">
        <v>383</v>
      </c>
      <c r="I200" s="116" t="n">
        <v>1</v>
      </c>
      <c r="J200" s="116" t="n">
        <v>0</v>
      </c>
      <c r="K200" s="114"/>
      <c r="L200" s="114" t="s">
        <v>569</v>
      </c>
    </row>
    <row r="201" customFormat="false" ht="15" hidden="false" customHeight="false" outlineLevel="0" collapsed="false">
      <c r="A201" s="114" t="s">
        <v>511</v>
      </c>
      <c r="B201" s="114" t="s">
        <v>618</v>
      </c>
      <c r="C201" s="114" t="s">
        <v>387</v>
      </c>
      <c r="D201" s="114" t="s">
        <v>22</v>
      </c>
      <c r="E201" s="114" t="s">
        <v>630</v>
      </c>
      <c r="F201" s="115" t="s">
        <v>71</v>
      </c>
      <c r="G201" s="114" t="s">
        <v>72</v>
      </c>
      <c r="H201" s="114" t="s">
        <v>383</v>
      </c>
      <c r="I201" s="116" t="n">
        <v>1</v>
      </c>
      <c r="J201" s="116" t="n">
        <v>0</v>
      </c>
      <c r="K201" s="114"/>
      <c r="L201" s="114" t="s">
        <v>569</v>
      </c>
    </row>
    <row r="202" customFormat="false" ht="15" hidden="false" customHeight="false" outlineLevel="0" collapsed="false">
      <c r="A202" s="114" t="s">
        <v>414</v>
      </c>
      <c r="B202" s="114" t="s">
        <v>618</v>
      </c>
      <c r="C202" s="114" t="s">
        <v>387</v>
      </c>
      <c r="D202" s="114" t="s">
        <v>22</v>
      </c>
      <c r="E202" s="114" t="s">
        <v>631</v>
      </c>
      <c r="F202" s="115" t="s">
        <v>71</v>
      </c>
      <c r="G202" s="114" t="s">
        <v>72</v>
      </c>
      <c r="H202" s="114" t="s">
        <v>383</v>
      </c>
      <c r="I202" s="116" t="n">
        <v>1</v>
      </c>
      <c r="J202" s="116" t="n">
        <v>0</v>
      </c>
      <c r="K202" s="114"/>
      <c r="L202" s="114" t="s">
        <v>569</v>
      </c>
    </row>
    <row r="203" customFormat="false" ht="15" hidden="false" customHeight="false" outlineLevel="0" collapsed="false">
      <c r="A203" s="114" t="s">
        <v>632</v>
      </c>
      <c r="B203" s="114" t="s">
        <v>618</v>
      </c>
      <c r="C203" s="114" t="s">
        <v>387</v>
      </c>
      <c r="D203" s="114" t="s">
        <v>22</v>
      </c>
      <c r="E203" s="114" t="s">
        <v>633</v>
      </c>
      <c r="F203" s="115" t="s">
        <v>71</v>
      </c>
      <c r="G203" s="114" t="s">
        <v>72</v>
      </c>
      <c r="H203" s="114" t="s">
        <v>383</v>
      </c>
      <c r="I203" s="116" t="n">
        <v>1</v>
      </c>
      <c r="J203" s="116" t="n">
        <v>1</v>
      </c>
      <c r="K203" s="114"/>
      <c r="L203" s="114" t="s">
        <v>569</v>
      </c>
    </row>
    <row r="204" customFormat="false" ht="15" hidden="false" customHeight="false" outlineLevel="0" collapsed="false">
      <c r="A204" s="114" t="s">
        <v>634</v>
      </c>
      <c r="B204" s="114" t="s">
        <v>618</v>
      </c>
      <c r="C204" s="114" t="s">
        <v>387</v>
      </c>
      <c r="D204" s="114" t="s">
        <v>22</v>
      </c>
      <c r="E204" s="114" t="s">
        <v>635</v>
      </c>
      <c r="F204" s="115" t="s">
        <v>87</v>
      </c>
      <c r="G204" s="114" t="s">
        <v>88</v>
      </c>
      <c r="H204" s="114" t="s">
        <v>383</v>
      </c>
      <c r="I204" s="116" t="n">
        <v>0</v>
      </c>
      <c r="J204" s="116" t="n">
        <v>1</v>
      </c>
      <c r="K204" s="114"/>
      <c r="L204" s="114" t="s">
        <v>569</v>
      </c>
    </row>
    <row r="205" customFormat="false" ht="15" hidden="false" customHeight="false" outlineLevel="0" collapsed="false">
      <c r="A205" s="114" t="s">
        <v>408</v>
      </c>
      <c r="B205" s="114" t="s">
        <v>618</v>
      </c>
      <c r="C205" s="114" t="s">
        <v>387</v>
      </c>
      <c r="D205" s="114" t="s">
        <v>22</v>
      </c>
      <c r="E205" s="114" t="s">
        <v>636</v>
      </c>
      <c r="F205" s="115" t="s">
        <v>87</v>
      </c>
      <c r="G205" s="114" t="s">
        <v>88</v>
      </c>
      <c r="H205" s="114" t="s">
        <v>383</v>
      </c>
      <c r="I205" s="116" t="n">
        <v>1</v>
      </c>
      <c r="J205" s="116" t="n">
        <v>0</v>
      </c>
      <c r="K205" s="114"/>
      <c r="L205" s="114" t="s">
        <v>569</v>
      </c>
    </row>
    <row r="206" customFormat="false" ht="15" hidden="false" customHeight="false" outlineLevel="0" collapsed="false">
      <c r="A206" s="114" t="s">
        <v>512</v>
      </c>
      <c r="B206" s="114" t="s">
        <v>618</v>
      </c>
      <c r="C206" s="114" t="s">
        <v>387</v>
      </c>
      <c r="D206" s="114" t="s">
        <v>22</v>
      </c>
      <c r="E206" s="114" t="s">
        <v>637</v>
      </c>
      <c r="F206" s="115" t="s">
        <v>87</v>
      </c>
      <c r="G206" s="114" t="s">
        <v>88</v>
      </c>
      <c r="H206" s="114" t="s">
        <v>383</v>
      </c>
      <c r="I206" s="116" t="n">
        <v>1</v>
      </c>
      <c r="J206" s="116" t="n">
        <v>0</v>
      </c>
      <c r="K206" s="114"/>
      <c r="L206" s="114" t="s">
        <v>569</v>
      </c>
    </row>
    <row r="207" customFormat="false" ht="15" hidden="false" customHeight="false" outlineLevel="0" collapsed="false">
      <c r="A207" s="114" t="s">
        <v>386</v>
      </c>
      <c r="B207" s="114" t="s">
        <v>618</v>
      </c>
      <c r="C207" s="114" t="s">
        <v>43</v>
      </c>
      <c r="D207" s="114" t="s">
        <v>43</v>
      </c>
      <c r="E207" s="114" t="s">
        <v>638</v>
      </c>
      <c r="F207" s="115" t="s">
        <v>71</v>
      </c>
      <c r="G207" s="114" t="s">
        <v>72</v>
      </c>
      <c r="H207" s="114" t="s">
        <v>383</v>
      </c>
      <c r="I207" s="116" t="n">
        <v>1</v>
      </c>
      <c r="J207" s="116" t="n">
        <v>0</v>
      </c>
      <c r="K207" s="114"/>
      <c r="L207" s="114" t="s">
        <v>569</v>
      </c>
    </row>
    <row r="208" customFormat="false" ht="15" hidden="false" customHeight="false" outlineLevel="0" collapsed="false">
      <c r="A208" s="114" t="s">
        <v>503</v>
      </c>
      <c r="B208" s="114" t="s">
        <v>618</v>
      </c>
      <c r="C208" s="114" t="s">
        <v>639</v>
      </c>
      <c r="D208" s="114" t="s">
        <v>24</v>
      </c>
      <c r="E208" s="114" t="s">
        <v>640</v>
      </c>
      <c r="F208" s="115" t="s">
        <v>69</v>
      </c>
      <c r="G208" s="114" t="s">
        <v>70</v>
      </c>
      <c r="H208" s="114" t="s">
        <v>383</v>
      </c>
      <c r="I208" s="116" t="n">
        <v>1</v>
      </c>
      <c r="J208" s="116" t="n">
        <v>0</v>
      </c>
      <c r="K208" s="114"/>
      <c r="L208" s="114" t="s">
        <v>569</v>
      </c>
    </row>
    <row r="209" customFormat="false" ht="15" hidden="false" customHeight="false" outlineLevel="0" collapsed="false">
      <c r="A209" s="114" t="s">
        <v>641</v>
      </c>
      <c r="B209" s="114" t="s">
        <v>618</v>
      </c>
      <c r="C209" s="114" t="s">
        <v>13</v>
      </c>
      <c r="D209" s="114" t="s">
        <v>13</v>
      </c>
      <c r="E209" s="114" t="s">
        <v>642</v>
      </c>
      <c r="F209" s="115" t="s">
        <v>71</v>
      </c>
      <c r="G209" s="114" t="s">
        <v>72</v>
      </c>
      <c r="H209" s="114" t="s">
        <v>383</v>
      </c>
      <c r="I209" s="116" t="n">
        <v>1</v>
      </c>
      <c r="J209" s="116" t="n">
        <v>0</v>
      </c>
      <c r="K209" s="114"/>
      <c r="L209" s="114" t="s">
        <v>569</v>
      </c>
    </row>
    <row r="210" customFormat="false" ht="15" hidden="false" customHeight="false" outlineLevel="0" collapsed="false">
      <c r="A210" s="114" t="s">
        <v>643</v>
      </c>
      <c r="B210" s="114" t="s">
        <v>618</v>
      </c>
      <c r="C210" s="114" t="s">
        <v>13</v>
      </c>
      <c r="D210" s="114" t="s">
        <v>13</v>
      </c>
      <c r="E210" s="114" t="s">
        <v>644</v>
      </c>
      <c r="F210" s="115" t="s">
        <v>141</v>
      </c>
      <c r="G210" s="114" t="s">
        <v>142</v>
      </c>
      <c r="H210" s="114" t="s">
        <v>383</v>
      </c>
      <c r="I210" s="116" t="n">
        <v>1</v>
      </c>
      <c r="J210" s="116" t="n">
        <v>0</v>
      </c>
      <c r="K210" s="114"/>
      <c r="L210" s="114" t="s">
        <v>569</v>
      </c>
    </row>
    <row r="211" customFormat="false" ht="15" hidden="false" customHeight="false" outlineLevel="0" collapsed="false">
      <c r="A211" s="114" t="s">
        <v>570</v>
      </c>
      <c r="B211" s="114" t="s">
        <v>618</v>
      </c>
      <c r="C211" s="114" t="s">
        <v>13</v>
      </c>
      <c r="D211" s="114" t="s">
        <v>13</v>
      </c>
      <c r="E211" s="114" t="s">
        <v>645</v>
      </c>
      <c r="F211" s="115" t="s">
        <v>141</v>
      </c>
      <c r="G211" s="114" t="s">
        <v>142</v>
      </c>
      <c r="H211" s="114" t="s">
        <v>383</v>
      </c>
      <c r="I211" s="116" t="n">
        <v>1</v>
      </c>
      <c r="J211" s="116" t="n">
        <v>0</v>
      </c>
      <c r="K211" s="114"/>
      <c r="L211" s="114" t="s">
        <v>569</v>
      </c>
    </row>
    <row r="212" customFormat="false" ht="15" hidden="false" customHeight="false" outlineLevel="0" collapsed="false">
      <c r="A212" s="114" t="s">
        <v>646</v>
      </c>
      <c r="B212" s="114" t="s">
        <v>618</v>
      </c>
      <c r="C212" s="114" t="s">
        <v>13</v>
      </c>
      <c r="D212" s="114" t="s">
        <v>13</v>
      </c>
      <c r="E212" s="114" t="s">
        <v>647</v>
      </c>
      <c r="F212" s="115" t="s">
        <v>141</v>
      </c>
      <c r="G212" s="114" t="s">
        <v>142</v>
      </c>
      <c r="H212" s="114" t="s">
        <v>383</v>
      </c>
      <c r="I212" s="116" t="n">
        <v>1</v>
      </c>
      <c r="J212" s="116" t="n">
        <v>0</v>
      </c>
      <c r="K212" s="114"/>
      <c r="L212" s="114" t="s">
        <v>569</v>
      </c>
    </row>
    <row r="213" customFormat="false" ht="15" hidden="false" customHeight="false" outlineLevel="0" collapsed="false">
      <c r="A213" s="114" t="s">
        <v>648</v>
      </c>
      <c r="B213" s="114" t="s">
        <v>618</v>
      </c>
      <c r="C213" s="114" t="s">
        <v>13</v>
      </c>
      <c r="D213" s="114" t="s">
        <v>13</v>
      </c>
      <c r="E213" s="114" t="s">
        <v>649</v>
      </c>
      <c r="F213" s="115" t="s">
        <v>127</v>
      </c>
      <c r="G213" s="114" t="s">
        <v>128</v>
      </c>
      <c r="H213" s="114" t="s">
        <v>383</v>
      </c>
      <c r="I213" s="116" t="n">
        <v>1</v>
      </c>
      <c r="J213" s="116" t="n">
        <v>0</v>
      </c>
      <c r="K213" s="114"/>
      <c r="L213" s="114" t="s">
        <v>569</v>
      </c>
    </row>
    <row r="214" customFormat="false" ht="15" hidden="false" customHeight="false" outlineLevel="0" collapsed="false">
      <c r="A214" s="114" t="s">
        <v>650</v>
      </c>
      <c r="B214" s="114" t="s">
        <v>618</v>
      </c>
      <c r="C214" s="114" t="s">
        <v>13</v>
      </c>
      <c r="D214" s="114" t="s">
        <v>13</v>
      </c>
      <c r="E214" s="114" t="s">
        <v>651</v>
      </c>
      <c r="F214" s="115" t="s">
        <v>127</v>
      </c>
      <c r="G214" s="114" t="s">
        <v>128</v>
      </c>
      <c r="H214" s="114" t="s">
        <v>383</v>
      </c>
      <c r="I214" s="116" t="n">
        <v>1</v>
      </c>
      <c r="J214" s="116" t="n">
        <v>0</v>
      </c>
      <c r="K214" s="114"/>
      <c r="L214" s="114" t="s">
        <v>569</v>
      </c>
    </row>
    <row r="215" customFormat="false" ht="15" hidden="false" customHeight="false" outlineLevel="0" collapsed="false">
      <c r="A215" s="114" t="s">
        <v>652</v>
      </c>
      <c r="B215" s="114" t="s">
        <v>618</v>
      </c>
      <c r="C215" s="114" t="s">
        <v>13</v>
      </c>
      <c r="D215" s="114" t="s">
        <v>13</v>
      </c>
      <c r="E215" s="114" t="s">
        <v>359</v>
      </c>
      <c r="F215" s="115" t="s">
        <v>135</v>
      </c>
      <c r="G215" s="114" t="s">
        <v>136</v>
      </c>
      <c r="H215" s="114" t="s">
        <v>383</v>
      </c>
      <c r="I215" s="116" t="n">
        <v>1</v>
      </c>
      <c r="J215" s="116" t="n">
        <v>0</v>
      </c>
      <c r="K215" s="114"/>
      <c r="L215" s="114" t="s">
        <v>569</v>
      </c>
    </row>
    <row r="216" customFormat="false" ht="15" hidden="false" customHeight="false" outlineLevel="0" collapsed="false">
      <c r="A216" s="114" t="s">
        <v>653</v>
      </c>
      <c r="B216" s="114" t="s">
        <v>618</v>
      </c>
      <c r="C216" s="114" t="s">
        <v>13</v>
      </c>
      <c r="D216" s="114" t="s">
        <v>13</v>
      </c>
      <c r="E216" s="114" t="s">
        <v>654</v>
      </c>
      <c r="F216" s="115" t="s">
        <v>141</v>
      </c>
      <c r="G216" s="114" t="s">
        <v>142</v>
      </c>
      <c r="H216" s="114" t="s">
        <v>383</v>
      </c>
      <c r="I216" s="116" t="n">
        <v>1</v>
      </c>
      <c r="J216" s="116" t="n">
        <v>0</v>
      </c>
      <c r="K216" s="114"/>
      <c r="L216" s="114" t="s">
        <v>569</v>
      </c>
    </row>
    <row r="217" customFormat="false" ht="15" hidden="false" customHeight="false" outlineLevel="0" collapsed="false">
      <c r="A217" s="114" t="s">
        <v>655</v>
      </c>
      <c r="B217" s="114" t="s">
        <v>618</v>
      </c>
      <c r="C217" s="114" t="s">
        <v>16</v>
      </c>
      <c r="D217" s="114" t="s">
        <v>16</v>
      </c>
      <c r="E217" s="114" t="s">
        <v>656</v>
      </c>
      <c r="F217" s="115" t="s">
        <v>87</v>
      </c>
      <c r="G217" s="114" t="s">
        <v>88</v>
      </c>
      <c r="H217" s="114" t="s">
        <v>383</v>
      </c>
      <c r="I217" s="116" t="n">
        <v>1</v>
      </c>
      <c r="J217" s="116" t="n">
        <v>0</v>
      </c>
      <c r="K217" s="114"/>
      <c r="L217" s="114" t="s">
        <v>569</v>
      </c>
    </row>
    <row r="218" customFormat="false" ht="15" hidden="false" customHeight="false" outlineLevel="0" collapsed="false">
      <c r="A218" s="114" t="s">
        <v>657</v>
      </c>
      <c r="B218" s="114" t="s">
        <v>618</v>
      </c>
      <c r="C218" s="114" t="s">
        <v>44</v>
      </c>
      <c r="D218" s="114" t="s">
        <v>44</v>
      </c>
      <c r="E218" s="114" t="s">
        <v>658</v>
      </c>
      <c r="F218" s="115" t="s">
        <v>87</v>
      </c>
      <c r="G218" s="114" t="s">
        <v>88</v>
      </c>
      <c r="H218" s="114" t="s">
        <v>383</v>
      </c>
      <c r="I218" s="116" t="n">
        <v>1</v>
      </c>
      <c r="J218" s="116" t="n">
        <v>0</v>
      </c>
      <c r="K218" s="114"/>
      <c r="L218" s="114" t="s">
        <v>569</v>
      </c>
    </row>
    <row r="219" customFormat="false" ht="15" hidden="false" customHeight="false" outlineLevel="0" collapsed="false">
      <c r="A219" s="114" t="s">
        <v>527</v>
      </c>
      <c r="B219" s="114" t="s">
        <v>618</v>
      </c>
      <c r="C219" s="114" t="s">
        <v>412</v>
      </c>
      <c r="D219" s="114" t="s">
        <v>14</v>
      </c>
      <c r="E219" s="114" t="s">
        <v>659</v>
      </c>
      <c r="F219" s="115" t="s">
        <v>139</v>
      </c>
      <c r="G219" s="114" t="s">
        <v>140</v>
      </c>
      <c r="H219" s="114" t="s">
        <v>383</v>
      </c>
      <c r="I219" s="116" t="n">
        <v>1</v>
      </c>
      <c r="J219" s="116" t="n">
        <v>0</v>
      </c>
      <c r="K219" s="114"/>
      <c r="L219" s="114" t="s">
        <v>569</v>
      </c>
    </row>
    <row r="220" customFormat="false" ht="15" hidden="false" customHeight="false" outlineLevel="0" collapsed="false">
      <c r="A220" s="114" t="s">
        <v>660</v>
      </c>
      <c r="B220" s="114" t="s">
        <v>618</v>
      </c>
      <c r="C220" s="114" t="s">
        <v>412</v>
      </c>
      <c r="D220" s="114" t="s">
        <v>14</v>
      </c>
      <c r="E220" s="114" t="s">
        <v>661</v>
      </c>
      <c r="F220" s="115" t="s">
        <v>71</v>
      </c>
      <c r="G220" s="114" t="s">
        <v>72</v>
      </c>
      <c r="H220" s="114" t="s">
        <v>383</v>
      </c>
      <c r="I220" s="116" t="n">
        <v>1</v>
      </c>
      <c r="J220" s="116" t="n">
        <v>0</v>
      </c>
      <c r="K220" s="114"/>
      <c r="L220" s="114" t="s">
        <v>569</v>
      </c>
    </row>
    <row r="221" customFormat="false" ht="15" hidden="false" customHeight="false" outlineLevel="0" collapsed="false">
      <c r="A221" s="114" t="s">
        <v>662</v>
      </c>
      <c r="B221" s="114" t="s">
        <v>618</v>
      </c>
      <c r="C221" s="114" t="s">
        <v>41</v>
      </c>
      <c r="D221" s="114" t="s">
        <v>41</v>
      </c>
      <c r="E221" s="114" t="s">
        <v>663</v>
      </c>
      <c r="F221" s="115" t="s">
        <v>71</v>
      </c>
      <c r="G221" s="114" t="s">
        <v>72</v>
      </c>
      <c r="H221" s="114" t="s">
        <v>383</v>
      </c>
      <c r="I221" s="116" t="n">
        <v>1</v>
      </c>
      <c r="J221" s="116" t="n">
        <v>0</v>
      </c>
      <c r="K221" s="114"/>
      <c r="L221" s="114" t="s">
        <v>569</v>
      </c>
    </row>
    <row r="222" customFormat="false" ht="15" hidden="false" customHeight="false" outlineLevel="0" collapsed="false">
      <c r="A222" s="114" t="s">
        <v>479</v>
      </c>
      <c r="B222" s="114" t="s">
        <v>618</v>
      </c>
      <c r="C222" s="114" t="s">
        <v>41</v>
      </c>
      <c r="D222" s="114" t="s">
        <v>41</v>
      </c>
      <c r="E222" s="114" t="s">
        <v>664</v>
      </c>
      <c r="F222" s="115" t="s">
        <v>71</v>
      </c>
      <c r="G222" s="114" t="s">
        <v>72</v>
      </c>
      <c r="H222" s="114" t="s">
        <v>383</v>
      </c>
      <c r="I222" s="116" t="n">
        <v>1</v>
      </c>
      <c r="J222" s="116" t="n">
        <v>0</v>
      </c>
      <c r="K222" s="114"/>
      <c r="L222" s="114" t="s">
        <v>569</v>
      </c>
    </row>
    <row r="223" customFormat="false" ht="15" hidden="false" customHeight="false" outlineLevel="0" collapsed="false">
      <c r="A223" s="114" t="s">
        <v>474</v>
      </c>
      <c r="B223" s="114" t="s">
        <v>618</v>
      </c>
      <c r="C223" s="114" t="s">
        <v>665</v>
      </c>
      <c r="D223" s="114" t="s">
        <v>40</v>
      </c>
      <c r="E223" s="114" t="s">
        <v>666</v>
      </c>
      <c r="F223" s="115" t="s">
        <v>89</v>
      </c>
      <c r="G223" s="114" t="s">
        <v>90</v>
      </c>
      <c r="H223" s="114" t="s">
        <v>383</v>
      </c>
      <c r="I223" s="116" t="n">
        <v>1</v>
      </c>
      <c r="J223" s="116" t="n">
        <v>0</v>
      </c>
      <c r="K223" s="114"/>
      <c r="L223" s="114" t="s">
        <v>569</v>
      </c>
    </row>
    <row r="224" customFormat="false" ht="15" hidden="false" customHeight="false" outlineLevel="0" collapsed="false">
      <c r="A224" s="114" t="s">
        <v>475</v>
      </c>
      <c r="B224" s="114" t="s">
        <v>618</v>
      </c>
      <c r="C224" s="114" t="s">
        <v>665</v>
      </c>
      <c r="D224" s="114" t="s">
        <v>40</v>
      </c>
      <c r="E224" s="114" t="s">
        <v>667</v>
      </c>
      <c r="F224" s="115" t="s">
        <v>89</v>
      </c>
      <c r="G224" s="114" t="s">
        <v>90</v>
      </c>
      <c r="H224" s="114" t="s">
        <v>383</v>
      </c>
      <c r="I224" s="116" t="n">
        <v>1</v>
      </c>
      <c r="J224" s="116" t="n">
        <v>0</v>
      </c>
      <c r="K224" s="114"/>
      <c r="L224" s="114" t="s">
        <v>569</v>
      </c>
    </row>
    <row r="225" customFormat="false" ht="15" hidden="false" customHeight="false" outlineLevel="0" collapsed="false">
      <c r="A225" s="114" t="s">
        <v>476</v>
      </c>
      <c r="B225" s="114" t="s">
        <v>618</v>
      </c>
      <c r="C225" s="114" t="s">
        <v>665</v>
      </c>
      <c r="D225" s="114" t="s">
        <v>40</v>
      </c>
      <c r="E225" s="114" t="s">
        <v>668</v>
      </c>
      <c r="F225" s="115" t="s">
        <v>89</v>
      </c>
      <c r="G225" s="114" t="s">
        <v>90</v>
      </c>
      <c r="H225" s="114" t="s">
        <v>383</v>
      </c>
      <c r="I225" s="116" t="n">
        <v>1</v>
      </c>
      <c r="J225" s="116" t="n">
        <v>0</v>
      </c>
      <c r="K225" s="114"/>
      <c r="L225" s="114" t="s">
        <v>569</v>
      </c>
    </row>
    <row r="226" customFormat="false" ht="15" hidden="false" customHeight="false" outlineLevel="0" collapsed="false">
      <c r="A226" s="114" t="s">
        <v>477</v>
      </c>
      <c r="B226" s="114" t="s">
        <v>618</v>
      </c>
      <c r="C226" s="114" t="s">
        <v>665</v>
      </c>
      <c r="D226" s="114" t="s">
        <v>40</v>
      </c>
      <c r="E226" s="114" t="s">
        <v>669</v>
      </c>
      <c r="F226" s="115" t="s">
        <v>89</v>
      </c>
      <c r="G226" s="114" t="s">
        <v>90</v>
      </c>
      <c r="H226" s="114" t="s">
        <v>383</v>
      </c>
      <c r="I226" s="116" t="n">
        <v>1</v>
      </c>
      <c r="J226" s="116" t="n">
        <v>0</v>
      </c>
      <c r="K226" s="114"/>
      <c r="L226" s="114" t="s">
        <v>569</v>
      </c>
    </row>
    <row r="227" customFormat="false" ht="15" hidden="false" customHeight="false" outlineLevel="0" collapsed="false">
      <c r="A227" s="114" t="s">
        <v>419</v>
      </c>
      <c r="B227" s="114" t="s">
        <v>618</v>
      </c>
      <c r="C227" s="114" t="s">
        <v>670</v>
      </c>
      <c r="D227" s="114" t="s">
        <v>7</v>
      </c>
      <c r="E227" s="114" t="s">
        <v>671</v>
      </c>
      <c r="F227" s="115" t="s">
        <v>69</v>
      </c>
      <c r="G227" s="114" t="s">
        <v>70</v>
      </c>
      <c r="H227" s="114" t="s">
        <v>383</v>
      </c>
      <c r="I227" s="116" t="n">
        <v>1</v>
      </c>
      <c r="J227" s="116" t="n">
        <v>1</v>
      </c>
      <c r="K227" s="114"/>
      <c r="L227" s="114" t="s">
        <v>569</v>
      </c>
    </row>
    <row r="228" customFormat="false" ht="15" hidden="false" customHeight="false" outlineLevel="0" collapsed="false">
      <c r="A228" s="114" t="s">
        <v>421</v>
      </c>
      <c r="B228" s="114" t="s">
        <v>618</v>
      </c>
      <c r="C228" s="114" t="s">
        <v>670</v>
      </c>
      <c r="D228" s="114" t="s">
        <v>7</v>
      </c>
      <c r="E228" s="114" t="s">
        <v>672</v>
      </c>
      <c r="F228" s="115" t="s">
        <v>69</v>
      </c>
      <c r="G228" s="114" t="s">
        <v>70</v>
      </c>
      <c r="H228" s="114" t="s">
        <v>383</v>
      </c>
      <c r="I228" s="116" t="n">
        <v>1</v>
      </c>
      <c r="J228" s="116" t="n">
        <v>0</v>
      </c>
      <c r="K228" s="114"/>
      <c r="L228" s="114" t="s">
        <v>569</v>
      </c>
    </row>
    <row r="229" customFormat="false" ht="15" hidden="false" customHeight="false" outlineLevel="0" collapsed="false">
      <c r="A229" s="114" t="s">
        <v>428</v>
      </c>
      <c r="B229" s="114" t="s">
        <v>618</v>
      </c>
      <c r="C229" s="114" t="s">
        <v>673</v>
      </c>
      <c r="D229" s="114" t="s">
        <v>8</v>
      </c>
      <c r="E229" s="114" t="s">
        <v>674</v>
      </c>
      <c r="F229" s="115" t="s">
        <v>69</v>
      </c>
      <c r="G229" s="114" t="s">
        <v>70</v>
      </c>
      <c r="H229" s="114" t="s">
        <v>383</v>
      </c>
      <c r="I229" s="116" t="n">
        <v>0</v>
      </c>
      <c r="J229" s="116" t="n">
        <v>1</v>
      </c>
      <c r="K229" s="114"/>
      <c r="L229" s="114" t="s">
        <v>569</v>
      </c>
    </row>
    <row r="230" customFormat="false" ht="15" hidden="false" customHeight="false" outlineLevel="0" collapsed="false">
      <c r="A230" s="114" t="s">
        <v>675</v>
      </c>
      <c r="B230" s="114" t="s">
        <v>618</v>
      </c>
      <c r="C230" s="114" t="s">
        <v>673</v>
      </c>
      <c r="D230" s="114" t="s">
        <v>8</v>
      </c>
      <c r="E230" s="114" t="s">
        <v>676</v>
      </c>
      <c r="F230" s="115" t="s">
        <v>69</v>
      </c>
      <c r="G230" s="114" t="s">
        <v>70</v>
      </c>
      <c r="H230" s="114" t="s">
        <v>383</v>
      </c>
      <c r="I230" s="116" t="n">
        <v>0</v>
      </c>
      <c r="J230" s="116" t="n">
        <v>1</v>
      </c>
      <c r="K230" s="114"/>
      <c r="L230" s="114" t="s">
        <v>569</v>
      </c>
    </row>
    <row r="231" customFormat="false" ht="15" hidden="false" customHeight="false" outlineLevel="0" collapsed="false">
      <c r="A231" s="114" t="s">
        <v>677</v>
      </c>
      <c r="B231" s="114" t="s">
        <v>618</v>
      </c>
      <c r="C231" s="114" t="s">
        <v>673</v>
      </c>
      <c r="D231" s="114" t="s">
        <v>8</v>
      </c>
      <c r="E231" s="114" t="s">
        <v>678</v>
      </c>
      <c r="F231" s="115" t="s">
        <v>71</v>
      </c>
      <c r="G231" s="114" t="s">
        <v>72</v>
      </c>
      <c r="H231" s="114" t="s">
        <v>383</v>
      </c>
      <c r="I231" s="116" t="n">
        <v>1</v>
      </c>
      <c r="J231" s="116" t="n">
        <v>0</v>
      </c>
      <c r="K231" s="114"/>
      <c r="L231" s="114" t="s">
        <v>569</v>
      </c>
    </row>
    <row r="232" customFormat="false" ht="15" hidden="false" customHeight="false" outlineLevel="0" collapsed="false">
      <c r="A232" s="114" t="s">
        <v>679</v>
      </c>
      <c r="B232" s="114" t="s">
        <v>618</v>
      </c>
      <c r="C232" s="114" t="s">
        <v>673</v>
      </c>
      <c r="D232" s="114" t="s">
        <v>8</v>
      </c>
      <c r="E232" s="114" t="s">
        <v>680</v>
      </c>
      <c r="F232" s="115" t="s">
        <v>87</v>
      </c>
      <c r="G232" s="114" t="s">
        <v>88</v>
      </c>
      <c r="H232" s="114" t="s">
        <v>383</v>
      </c>
      <c r="I232" s="116" t="n">
        <v>1</v>
      </c>
      <c r="J232" s="116" t="n">
        <v>0</v>
      </c>
      <c r="K232" s="114"/>
      <c r="L232" s="114" t="s">
        <v>569</v>
      </c>
    </row>
    <row r="233" customFormat="false" ht="15" hidden="false" customHeight="false" outlineLevel="0" collapsed="false">
      <c r="A233" s="114" t="s">
        <v>430</v>
      </c>
      <c r="B233" s="114" t="s">
        <v>618</v>
      </c>
      <c r="C233" s="114" t="s">
        <v>9</v>
      </c>
      <c r="D233" s="114" t="s">
        <v>9</v>
      </c>
      <c r="E233" s="114" t="s">
        <v>681</v>
      </c>
      <c r="F233" s="115" t="s">
        <v>69</v>
      </c>
      <c r="G233" s="114" t="s">
        <v>70</v>
      </c>
      <c r="H233" s="114" t="s">
        <v>383</v>
      </c>
      <c r="I233" s="116" t="n">
        <v>0</v>
      </c>
      <c r="J233" s="116" t="n">
        <v>1</v>
      </c>
      <c r="K233" s="114"/>
      <c r="L233" s="114" t="s">
        <v>569</v>
      </c>
    </row>
    <row r="234" customFormat="false" ht="15" hidden="false" customHeight="false" outlineLevel="0" collapsed="false">
      <c r="A234" s="114" t="s">
        <v>432</v>
      </c>
      <c r="B234" s="114" t="s">
        <v>618</v>
      </c>
      <c r="C234" s="114" t="s">
        <v>9</v>
      </c>
      <c r="D234" s="114" t="s">
        <v>9</v>
      </c>
      <c r="E234" s="114" t="s">
        <v>682</v>
      </c>
      <c r="F234" s="115" t="s">
        <v>69</v>
      </c>
      <c r="G234" s="114" t="s">
        <v>70</v>
      </c>
      <c r="H234" s="114" t="s">
        <v>383</v>
      </c>
      <c r="I234" s="116" t="n">
        <v>1</v>
      </c>
      <c r="J234" s="116" t="n">
        <v>0</v>
      </c>
      <c r="K234" s="114"/>
      <c r="L234" s="114" t="s">
        <v>569</v>
      </c>
    </row>
    <row r="235" customFormat="false" ht="15" hidden="false" customHeight="false" outlineLevel="0" collapsed="false">
      <c r="A235" s="114" t="s">
        <v>433</v>
      </c>
      <c r="B235" s="114" t="s">
        <v>618</v>
      </c>
      <c r="C235" s="114" t="s">
        <v>9</v>
      </c>
      <c r="D235" s="114" t="s">
        <v>9</v>
      </c>
      <c r="E235" s="114" t="s">
        <v>683</v>
      </c>
      <c r="F235" s="115" t="s">
        <v>87</v>
      </c>
      <c r="G235" s="114" t="s">
        <v>88</v>
      </c>
      <c r="H235" s="114" t="s">
        <v>383</v>
      </c>
      <c r="I235" s="116" t="n">
        <v>1</v>
      </c>
      <c r="J235" s="116" t="n">
        <v>0</v>
      </c>
      <c r="K235" s="114"/>
      <c r="L235" s="114" t="s">
        <v>569</v>
      </c>
    </row>
    <row r="236" customFormat="false" ht="15" hidden="false" customHeight="false" outlineLevel="0" collapsed="false">
      <c r="A236" s="114" t="s">
        <v>434</v>
      </c>
      <c r="B236" s="114" t="s">
        <v>618</v>
      </c>
      <c r="C236" s="114" t="s">
        <v>9</v>
      </c>
      <c r="D236" s="114" t="s">
        <v>9</v>
      </c>
      <c r="E236" s="114" t="s">
        <v>684</v>
      </c>
      <c r="F236" s="115" t="s">
        <v>87</v>
      </c>
      <c r="G236" s="114" t="s">
        <v>88</v>
      </c>
      <c r="H236" s="114" t="s">
        <v>383</v>
      </c>
      <c r="I236" s="116" t="n">
        <v>1</v>
      </c>
      <c r="J236" s="116" t="n">
        <v>0</v>
      </c>
      <c r="K236" s="114"/>
      <c r="L236" s="114" t="s">
        <v>569</v>
      </c>
    </row>
    <row r="237" customFormat="false" ht="15" hidden="false" customHeight="false" outlineLevel="0" collapsed="false">
      <c r="A237" s="114" t="s">
        <v>448</v>
      </c>
      <c r="B237" s="114" t="s">
        <v>618</v>
      </c>
      <c r="C237" s="114" t="s">
        <v>23</v>
      </c>
      <c r="D237" s="114" t="s">
        <v>23</v>
      </c>
      <c r="E237" s="114" t="s">
        <v>685</v>
      </c>
      <c r="F237" s="115" t="s">
        <v>69</v>
      </c>
      <c r="G237" s="114" t="s">
        <v>70</v>
      </c>
      <c r="H237" s="114" t="s">
        <v>383</v>
      </c>
      <c r="I237" s="116" t="n">
        <v>1</v>
      </c>
      <c r="J237" s="116" t="n">
        <v>0</v>
      </c>
      <c r="K237" s="114"/>
      <c r="L237" s="114" t="s">
        <v>569</v>
      </c>
    </row>
    <row r="238" customFormat="false" ht="15" hidden="false" customHeight="false" outlineLevel="0" collapsed="false">
      <c r="A238" s="114" t="s">
        <v>452</v>
      </c>
      <c r="B238" s="114" t="s">
        <v>618</v>
      </c>
      <c r="C238" s="114" t="s">
        <v>23</v>
      </c>
      <c r="D238" s="114" t="s">
        <v>23</v>
      </c>
      <c r="E238" s="114" t="s">
        <v>686</v>
      </c>
      <c r="F238" s="115" t="s">
        <v>87</v>
      </c>
      <c r="G238" s="114" t="s">
        <v>88</v>
      </c>
      <c r="H238" s="114" t="s">
        <v>383</v>
      </c>
      <c r="I238" s="116" t="n">
        <v>1</v>
      </c>
      <c r="J238" s="116" t="n">
        <v>0</v>
      </c>
      <c r="K238" s="114"/>
      <c r="L238" s="114" t="s">
        <v>569</v>
      </c>
    </row>
    <row r="239" customFormat="false" ht="15" hidden="false" customHeight="false" outlineLevel="0" collapsed="false">
      <c r="A239" s="114" t="s">
        <v>402</v>
      </c>
      <c r="B239" s="114" t="s">
        <v>618</v>
      </c>
      <c r="C239" s="114" t="s">
        <v>687</v>
      </c>
      <c r="D239" s="114" t="s">
        <v>20</v>
      </c>
      <c r="E239" s="114" t="s">
        <v>280</v>
      </c>
      <c r="F239" s="115" t="s">
        <v>135</v>
      </c>
      <c r="G239" s="114" t="s">
        <v>136</v>
      </c>
      <c r="H239" s="114" t="s">
        <v>383</v>
      </c>
      <c r="I239" s="116" t="n">
        <v>1</v>
      </c>
      <c r="J239" s="116" t="n">
        <v>0</v>
      </c>
      <c r="K239" s="114"/>
      <c r="L239" s="114" t="s">
        <v>569</v>
      </c>
    </row>
    <row r="240" customFormat="false" ht="15" hidden="false" customHeight="false" outlineLevel="0" collapsed="false">
      <c r="A240" s="114" t="s">
        <v>688</v>
      </c>
      <c r="B240" s="114" t="s">
        <v>618</v>
      </c>
      <c r="C240" s="114" t="s">
        <v>689</v>
      </c>
      <c r="D240" s="114" t="s">
        <v>21</v>
      </c>
      <c r="E240" s="114" t="s">
        <v>690</v>
      </c>
      <c r="F240" s="115" t="s">
        <v>69</v>
      </c>
      <c r="G240" s="114" t="s">
        <v>70</v>
      </c>
      <c r="H240" s="114" t="s">
        <v>383</v>
      </c>
      <c r="I240" s="116" t="n">
        <v>1</v>
      </c>
      <c r="J240" s="116" t="n">
        <v>0</v>
      </c>
      <c r="K240" s="114"/>
      <c r="L240" s="114" t="s">
        <v>569</v>
      </c>
    </row>
    <row r="241" customFormat="false" ht="15" hidden="false" customHeight="false" outlineLevel="0" collapsed="false">
      <c r="A241" s="114" t="s">
        <v>516</v>
      </c>
      <c r="B241" s="114" t="s">
        <v>618</v>
      </c>
      <c r="C241" s="114" t="s">
        <v>689</v>
      </c>
      <c r="D241" s="114" t="s">
        <v>21</v>
      </c>
      <c r="E241" s="114" t="s">
        <v>691</v>
      </c>
      <c r="F241" s="115" t="s">
        <v>69</v>
      </c>
      <c r="G241" s="114" t="s">
        <v>70</v>
      </c>
      <c r="H241" s="114" t="s">
        <v>383</v>
      </c>
      <c r="I241" s="116" t="n">
        <v>1</v>
      </c>
      <c r="J241" s="116" t="n">
        <v>0</v>
      </c>
      <c r="K241" s="114"/>
      <c r="L241" s="114" t="s">
        <v>569</v>
      </c>
    </row>
    <row r="242" customFormat="false" ht="15" hidden="false" customHeight="false" outlineLevel="0" collapsed="false">
      <c r="A242" s="114" t="s">
        <v>692</v>
      </c>
      <c r="B242" s="114" t="s">
        <v>618</v>
      </c>
      <c r="C242" s="114" t="s">
        <v>689</v>
      </c>
      <c r="D242" s="114" t="s">
        <v>21</v>
      </c>
      <c r="E242" s="114" t="s">
        <v>693</v>
      </c>
      <c r="F242" s="115" t="s">
        <v>69</v>
      </c>
      <c r="G242" s="114" t="s">
        <v>70</v>
      </c>
      <c r="H242" s="114" t="s">
        <v>383</v>
      </c>
      <c r="I242" s="116" t="n">
        <v>0</v>
      </c>
      <c r="J242" s="116" t="n">
        <v>1</v>
      </c>
      <c r="K242" s="114"/>
      <c r="L242" s="114" t="s">
        <v>569</v>
      </c>
    </row>
    <row r="243" customFormat="false" ht="15" hidden="false" customHeight="false" outlineLevel="0" collapsed="false">
      <c r="A243" s="114" t="s">
        <v>694</v>
      </c>
      <c r="B243" s="114" t="s">
        <v>618</v>
      </c>
      <c r="C243" s="114" t="s">
        <v>689</v>
      </c>
      <c r="D243" s="114" t="s">
        <v>21</v>
      </c>
      <c r="E243" s="114" t="s">
        <v>695</v>
      </c>
      <c r="F243" s="115" t="s">
        <v>69</v>
      </c>
      <c r="G243" s="114" t="s">
        <v>70</v>
      </c>
      <c r="H243" s="114" t="s">
        <v>383</v>
      </c>
      <c r="I243" s="116" t="n">
        <v>1</v>
      </c>
      <c r="J243" s="116" t="n">
        <v>0</v>
      </c>
      <c r="K243" s="114"/>
      <c r="L243" s="114" t="s">
        <v>569</v>
      </c>
    </row>
    <row r="244" customFormat="false" ht="15" hidden="false" customHeight="false" outlineLevel="0" collapsed="false">
      <c r="A244" s="114" t="s">
        <v>517</v>
      </c>
      <c r="B244" s="114" t="s">
        <v>618</v>
      </c>
      <c r="C244" s="114" t="s">
        <v>689</v>
      </c>
      <c r="D244" s="114" t="s">
        <v>21</v>
      </c>
      <c r="E244" s="114" t="s">
        <v>696</v>
      </c>
      <c r="F244" s="115" t="s">
        <v>69</v>
      </c>
      <c r="G244" s="114" t="s">
        <v>70</v>
      </c>
      <c r="H244" s="114" t="s">
        <v>383</v>
      </c>
      <c r="I244" s="116" t="n">
        <v>0</v>
      </c>
      <c r="J244" s="116" t="n">
        <v>1</v>
      </c>
      <c r="K244" s="114"/>
      <c r="L244" s="114" t="s">
        <v>569</v>
      </c>
    </row>
    <row r="245" customFormat="false" ht="15" hidden="false" customHeight="false" outlineLevel="0" collapsed="false">
      <c r="A245" s="114" t="s">
        <v>697</v>
      </c>
      <c r="B245" s="114" t="s">
        <v>618</v>
      </c>
      <c r="C245" s="114" t="s">
        <v>689</v>
      </c>
      <c r="D245" s="114" t="s">
        <v>21</v>
      </c>
      <c r="E245" s="114" t="s">
        <v>698</v>
      </c>
      <c r="F245" s="115" t="s">
        <v>69</v>
      </c>
      <c r="G245" s="114" t="s">
        <v>70</v>
      </c>
      <c r="H245" s="114" t="s">
        <v>383</v>
      </c>
      <c r="I245" s="116" t="n">
        <v>0</v>
      </c>
      <c r="J245" s="116" t="n">
        <v>1</v>
      </c>
      <c r="K245" s="114"/>
      <c r="L245" s="114" t="s">
        <v>569</v>
      </c>
    </row>
    <row r="246" customFormat="false" ht="15" hidden="false" customHeight="false" outlineLevel="0" collapsed="false">
      <c r="A246" s="114" t="s">
        <v>699</v>
      </c>
      <c r="B246" s="114" t="s">
        <v>618</v>
      </c>
      <c r="C246" s="114" t="s">
        <v>689</v>
      </c>
      <c r="D246" s="114" t="s">
        <v>21</v>
      </c>
      <c r="E246" s="114" t="s">
        <v>700</v>
      </c>
      <c r="F246" s="115" t="s">
        <v>87</v>
      </c>
      <c r="G246" s="114" t="s">
        <v>88</v>
      </c>
      <c r="H246" s="114" t="s">
        <v>383</v>
      </c>
      <c r="I246" s="116" t="n">
        <v>1</v>
      </c>
      <c r="J246" s="116" t="n">
        <v>0</v>
      </c>
      <c r="K246" s="114"/>
      <c r="L246" s="114" t="s">
        <v>569</v>
      </c>
    </row>
    <row r="247" customFormat="false" ht="15" hidden="false" customHeight="false" outlineLevel="0" collapsed="false">
      <c r="A247" s="114" t="s">
        <v>491</v>
      </c>
      <c r="B247" s="114" t="s">
        <v>618</v>
      </c>
      <c r="C247" s="114" t="s">
        <v>701</v>
      </c>
      <c r="D247" s="114" t="s">
        <v>18</v>
      </c>
      <c r="E247" s="114" t="s">
        <v>702</v>
      </c>
      <c r="F247" s="115" t="s">
        <v>69</v>
      </c>
      <c r="G247" s="114" t="s">
        <v>70</v>
      </c>
      <c r="H247" s="114" t="s">
        <v>383</v>
      </c>
      <c r="I247" s="116" t="n">
        <v>1</v>
      </c>
      <c r="J247" s="116" t="n">
        <v>1</v>
      </c>
      <c r="K247" s="114"/>
      <c r="L247" s="114" t="s">
        <v>569</v>
      </c>
    </row>
    <row r="248" customFormat="false" ht="15" hidden="false" customHeight="false" outlineLevel="0" collapsed="false">
      <c r="A248" s="114" t="s">
        <v>496</v>
      </c>
      <c r="B248" s="114" t="s">
        <v>618</v>
      </c>
      <c r="C248" s="114" t="s">
        <v>701</v>
      </c>
      <c r="D248" s="114" t="s">
        <v>18</v>
      </c>
      <c r="E248" s="114" t="s">
        <v>703</v>
      </c>
      <c r="F248" s="115" t="s">
        <v>87</v>
      </c>
      <c r="G248" s="114" t="s">
        <v>88</v>
      </c>
      <c r="H248" s="114" t="s">
        <v>383</v>
      </c>
      <c r="I248" s="116" t="n">
        <v>1</v>
      </c>
      <c r="J248" s="116" t="n">
        <v>0</v>
      </c>
      <c r="K248" s="114"/>
      <c r="L248" s="114" t="s">
        <v>569</v>
      </c>
    </row>
    <row r="249" customFormat="false" ht="15" hidden="false" customHeight="false" outlineLevel="0" collapsed="false">
      <c r="A249" s="114" t="s">
        <v>561</v>
      </c>
      <c r="B249" s="114" t="s">
        <v>618</v>
      </c>
      <c r="C249" s="114" t="s">
        <v>701</v>
      </c>
      <c r="D249" s="114" t="s">
        <v>18</v>
      </c>
      <c r="E249" s="114" t="s">
        <v>704</v>
      </c>
      <c r="F249" s="115" t="s">
        <v>87</v>
      </c>
      <c r="G249" s="114" t="s">
        <v>88</v>
      </c>
      <c r="H249" s="114" t="s">
        <v>383</v>
      </c>
      <c r="I249" s="116" t="n">
        <v>1</v>
      </c>
      <c r="J249" s="116" t="n">
        <v>0</v>
      </c>
      <c r="K249" s="114"/>
      <c r="L249" s="114" t="s">
        <v>569</v>
      </c>
    </row>
    <row r="250" customFormat="false" ht="15" hidden="false" customHeight="false" outlineLevel="0" collapsed="false">
      <c r="A250" s="114" t="s">
        <v>498</v>
      </c>
      <c r="B250" s="114" t="s">
        <v>618</v>
      </c>
      <c r="C250" s="114" t="s">
        <v>11</v>
      </c>
      <c r="D250" s="114" t="s">
        <v>11</v>
      </c>
      <c r="E250" s="114" t="s">
        <v>705</v>
      </c>
      <c r="F250" s="115" t="s">
        <v>69</v>
      </c>
      <c r="G250" s="114" t="s">
        <v>70</v>
      </c>
      <c r="H250" s="114" t="s">
        <v>383</v>
      </c>
      <c r="I250" s="116" t="n">
        <v>1</v>
      </c>
      <c r="J250" s="116" t="n">
        <v>0</v>
      </c>
      <c r="K250" s="114"/>
      <c r="L250" s="114" t="s">
        <v>569</v>
      </c>
    </row>
    <row r="251" customFormat="false" ht="15" hidden="false" customHeight="false" outlineLevel="0" collapsed="false">
      <c r="A251" s="114" t="s">
        <v>706</v>
      </c>
      <c r="B251" s="114" t="s">
        <v>618</v>
      </c>
      <c r="C251" s="114" t="s">
        <v>11</v>
      </c>
      <c r="D251" s="114" t="s">
        <v>11</v>
      </c>
      <c r="E251" s="114" t="s">
        <v>707</v>
      </c>
      <c r="F251" s="115" t="s">
        <v>69</v>
      </c>
      <c r="G251" s="114" t="s">
        <v>70</v>
      </c>
      <c r="H251" s="114" t="s">
        <v>383</v>
      </c>
      <c r="I251" s="116" t="n">
        <v>1</v>
      </c>
      <c r="J251" s="116" t="n">
        <v>0</v>
      </c>
      <c r="K251" s="114"/>
      <c r="L251" s="114" t="s">
        <v>569</v>
      </c>
    </row>
    <row r="252" customFormat="false" ht="15" hidden="false" customHeight="false" outlineLevel="0" collapsed="false">
      <c r="A252" s="114" t="s">
        <v>708</v>
      </c>
      <c r="B252" s="114" t="s">
        <v>618</v>
      </c>
      <c r="C252" s="114" t="s">
        <v>11</v>
      </c>
      <c r="D252" s="114" t="s">
        <v>11</v>
      </c>
      <c r="E252" s="114" t="s">
        <v>353</v>
      </c>
      <c r="F252" s="115" t="s">
        <v>135</v>
      </c>
      <c r="G252" s="114" t="s">
        <v>136</v>
      </c>
      <c r="H252" s="114" t="s">
        <v>383</v>
      </c>
      <c r="I252" s="116" t="n">
        <v>1</v>
      </c>
      <c r="J252" s="116" t="n">
        <v>0</v>
      </c>
      <c r="K252" s="114"/>
      <c r="L252" s="114" t="s">
        <v>569</v>
      </c>
    </row>
    <row r="253" customFormat="false" ht="15" hidden="false" customHeight="false" outlineLevel="0" collapsed="false">
      <c r="A253" s="114" t="s">
        <v>709</v>
      </c>
      <c r="B253" s="114" t="s">
        <v>618</v>
      </c>
      <c r="C253" s="114" t="s">
        <v>558</v>
      </c>
      <c r="D253" s="114" t="s">
        <v>10</v>
      </c>
      <c r="E253" s="114" t="s">
        <v>710</v>
      </c>
      <c r="F253" s="115" t="s">
        <v>87</v>
      </c>
      <c r="G253" s="114" t="s">
        <v>88</v>
      </c>
      <c r="H253" s="114" t="s">
        <v>383</v>
      </c>
      <c r="I253" s="116" t="n">
        <v>1</v>
      </c>
      <c r="J253" s="116" t="n">
        <v>0</v>
      </c>
      <c r="K253" s="114"/>
      <c r="L253" s="114" t="s">
        <v>569</v>
      </c>
    </row>
    <row r="254" customFormat="false" ht="15" hidden="false" customHeight="false" outlineLevel="0" collapsed="false">
      <c r="A254" s="114" t="s">
        <v>445</v>
      </c>
      <c r="B254" s="114" t="s">
        <v>618</v>
      </c>
      <c r="C254" s="114" t="s">
        <v>711</v>
      </c>
      <c r="D254" s="114" t="s">
        <v>12</v>
      </c>
      <c r="E254" s="114" t="s">
        <v>712</v>
      </c>
      <c r="F254" s="115" t="s">
        <v>69</v>
      </c>
      <c r="G254" s="114" t="s">
        <v>70</v>
      </c>
      <c r="H254" s="114" t="s">
        <v>383</v>
      </c>
      <c r="I254" s="116" t="n">
        <v>1</v>
      </c>
      <c r="J254" s="116" t="n">
        <v>1</v>
      </c>
      <c r="K254" s="114"/>
      <c r="L254" s="114" t="s">
        <v>569</v>
      </c>
    </row>
    <row r="255" customFormat="false" ht="15" hidden="false" customHeight="false" outlineLevel="0" collapsed="false">
      <c r="A255" s="114" t="s">
        <v>713</v>
      </c>
      <c r="B255" s="114" t="s">
        <v>714</v>
      </c>
      <c r="C255" s="114" t="s">
        <v>715</v>
      </c>
      <c r="D255" s="114" t="s">
        <v>46</v>
      </c>
      <c r="E255" s="114" t="s">
        <v>716</v>
      </c>
      <c r="F255" s="115" t="s">
        <v>77</v>
      </c>
      <c r="G255" s="114" t="s">
        <v>78</v>
      </c>
      <c r="H255" s="114" t="s">
        <v>383</v>
      </c>
      <c r="I255" s="116" t="n">
        <v>1</v>
      </c>
      <c r="J255" s="116" t="n">
        <v>0</v>
      </c>
      <c r="K255" s="114" t="s">
        <v>717</v>
      </c>
      <c r="L255" s="114"/>
    </row>
    <row r="256" customFormat="false" ht="15" hidden="false" customHeight="false" outlineLevel="0" collapsed="false">
      <c r="A256" s="114" t="s">
        <v>713</v>
      </c>
      <c r="B256" s="114" t="s">
        <v>714</v>
      </c>
      <c r="C256" s="114" t="s">
        <v>715</v>
      </c>
      <c r="D256" s="114" t="s">
        <v>46</v>
      </c>
      <c r="E256" s="114" t="s">
        <v>718</v>
      </c>
      <c r="F256" s="115" t="s">
        <v>77</v>
      </c>
      <c r="G256" s="114" t="s">
        <v>78</v>
      </c>
      <c r="H256" s="114" t="s">
        <v>383</v>
      </c>
      <c r="I256" s="116" t="n">
        <v>1</v>
      </c>
      <c r="J256" s="116" t="n">
        <v>0</v>
      </c>
      <c r="K256" s="114" t="s">
        <v>717</v>
      </c>
      <c r="L256" s="114"/>
    </row>
    <row r="257" customFormat="false" ht="15" hidden="false" customHeight="false" outlineLevel="0" collapsed="false">
      <c r="A257" s="114" t="s">
        <v>713</v>
      </c>
      <c r="B257" s="114" t="s">
        <v>714</v>
      </c>
      <c r="C257" s="114" t="s">
        <v>715</v>
      </c>
      <c r="D257" s="114" t="s">
        <v>46</v>
      </c>
      <c r="E257" s="114" t="s">
        <v>719</v>
      </c>
      <c r="F257" s="115" t="s">
        <v>77</v>
      </c>
      <c r="G257" s="114" t="s">
        <v>78</v>
      </c>
      <c r="H257" s="114" t="s">
        <v>383</v>
      </c>
      <c r="I257" s="116" t="n">
        <v>1</v>
      </c>
      <c r="J257" s="116" t="n">
        <v>0</v>
      </c>
      <c r="K257" s="114" t="s">
        <v>717</v>
      </c>
      <c r="L257" s="114"/>
    </row>
    <row r="258" customFormat="false" ht="15" hidden="false" customHeight="false" outlineLevel="0" collapsed="false">
      <c r="A258" s="114" t="s">
        <v>713</v>
      </c>
      <c r="B258" s="114" t="s">
        <v>714</v>
      </c>
      <c r="C258" s="114" t="s">
        <v>715</v>
      </c>
      <c r="D258" s="114" t="s">
        <v>46</v>
      </c>
      <c r="E258" s="114" t="s">
        <v>720</v>
      </c>
      <c r="F258" s="115" t="s">
        <v>77</v>
      </c>
      <c r="G258" s="114" t="s">
        <v>78</v>
      </c>
      <c r="H258" s="114" t="s">
        <v>383</v>
      </c>
      <c r="I258" s="116" t="n">
        <v>0</v>
      </c>
      <c r="J258" s="116" t="n">
        <v>1</v>
      </c>
      <c r="K258" s="114" t="s">
        <v>717</v>
      </c>
      <c r="L258" s="114"/>
    </row>
    <row r="259" customFormat="false" ht="15" hidden="false" customHeight="false" outlineLevel="0" collapsed="false">
      <c r="A259" s="114" t="s">
        <v>713</v>
      </c>
      <c r="B259" s="114" t="s">
        <v>714</v>
      </c>
      <c r="C259" s="114" t="s">
        <v>715</v>
      </c>
      <c r="D259" s="114" t="s">
        <v>46</v>
      </c>
      <c r="E259" s="114" t="s">
        <v>721</v>
      </c>
      <c r="F259" s="115" t="s">
        <v>77</v>
      </c>
      <c r="G259" s="114" t="s">
        <v>78</v>
      </c>
      <c r="H259" s="114" t="s">
        <v>383</v>
      </c>
      <c r="I259" s="116" t="n">
        <v>0</v>
      </c>
      <c r="J259" s="116" t="n">
        <v>1</v>
      </c>
      <c r="K259" s="114" t="s">
        <v>717</v>
      </c>
      <c r="L259" s="114"/>
    </row>
    <row r="260" customFormat="false" ht="15" hidden="false" customHeight="false" outlineLevel="0" collapsed="false">
      <c r="A260" s="114" t="s">
        <v>713</v>
      </c>
      <c r="B260" s="114" t="s">
        <v>714</v>
      </c>
      <c r="C260" s="114" t="s">
        <v>715</v>
      </c>
      <c r="D260" s="114" t="s">
        <v>46</v>
      </c>
      <c r="E260" s="114" t="s">
        <v>722</v>
      </c>
      <c r="F260" s="115" t="s">
        <v>77</v>
      </c>
      <c r="G260" s="114" t="s">
        <v>78</v>
      </c>
      <c r="H260" s="114" t="s">
        <v>383</v>
      </c>
      <c r="I260" s="116" t="n">
        <v>0</v>
      </c>
      <c r="J260" s="116" t="n">
        <v>1</v>
      </c>
      <c r="K260" s="114" t="s">
        <v>717</v>
      </c>
      <c r="L260" s="114"/>
    </row>
    <row r="261" customFormat="false" ht="15" hidden="false" customHeight="false" outlineLevel="0" collapsed="false">
      <c r="A261" s="114" t="s">
        <v>723</v>
      </c>
      <c r="B261" s="114" t="s">
        <v>724</v>
      </c>
      <c r="C261" s="114" t="s">
        <v>567</v>
      </c>
      <c r="D261" s="114" t="s">
        <v>19</v>
      </c>
      <c r="E261" s="114" t="s">
        <v>725</v>
      </c>
      <c r="F261" s="115" t="s">
        <v>69</v>
      </c>
      <c r="G261" s="114" t="s">
        <v>70</v>
      </c>
      <c r="H261" s="114" t="s">
        <v>383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726</v>
      </c>
      <c r="B262" s="114" t="s">
        <v>724</v>
      </c>
      <c r="C262" s="114" t="s">
        <v>567</v>
      </c>
      <c r="D262" s="114" t="s">
        <v>19</v>
      </c>
      <c r="E262" s="114" t="s">
        <v>727</v>
      </c>
      <c r="F262" s="115" t="s">
        <v>87</v>
      </c>
      <c r="G262" s="114" t="s">
        <v>88</v>
      </c>
      <c r="H262" s="114" t="s">
        <v>383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728</v>
      </c>
      <c r="B263" s="114" t="s">
        <v>724</v>
      </c>
      <c r="C263" s="114" t="s">
        <v>27</v>
      </c>
      <c r="D263" s="114" t="s">
        <v>27</v>
      </c>
      <c r="E263" s="114" t="s">
        <v>729</v>
      </c>
      <c r="F263" s="115" t="s">
        <v>69</v>
      </c>
      <c r="G263" s="114" t="s">
        <v>70</v>
      </c>
      <c r="H263" s="114" t="s">
        <v>383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688</v>
      </c>
      <c r="B264" s="114" t="s">
        <v>724</v>
      </c>
      <c r="C264" s="114" t="s">
        <v>730</v>
      </c>
      <c r="D264" s="114" t="s">
        <v>26</v>
      </c>
      <c r="E264" s="114" t="s">
        <v>731</v>
      </c>
      <c r="F264" s="115" t="s">
        <v>69</v>
      </c>
      <c r="G264" s="114" t="s">
        <v>70</v>
      </c>
      <c r="H264" s="114" t="s">
        <v>383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692</v>
      </c>
      <c r="B265" s="114" t="s">
        <v>724</v>
      </c>
      <c r="C265" s="114" t="s">
        <v>730</v>
      </c>
      <c r="D265" s="114" t="s">
        <v>26</v>
      </c>
      <c r="E265" s="114" t="s">
        <v>732</v>
      </c>
      <c r="F265" s="115" t="s">
        <v>113</v>
      </c>
      <c r="G265" s="114" t="s">
        <v>114</v>
      </c>
      <c r="H265" s="114" t="s">
        <v>383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694</v>
      </c>
      <c r="B266" s="114" t="s">
        <v>724</v>
      </c>
      <c r="C266" s="114" t="s">
        <v>730</v>
      </c>
      <c r="D266" s="114" t="s">
        <v>26</v>
      </c>
      <c r="E266" s="114" t="s">
        <v>733</v>
      </c>
      <c r="F266" s="115" t="s">
        <v>113</v>
      </c>
      <c r="G266" s="114" t="s">
        <v>114</v>
      </c>
      <c r="H266" s="114" t="s">
        <v>383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517</v>
      </c>
      <c r="B267" s="114" t="s">
        <v>724</v>
      </c>
      <c r="C267" s="114" t="s">
        <v>730</v>
      </c>
      <c r="D267" s="114" t="s">
        <v>26</v>
      </c>
      <c r="E267" s="114" t="s">
        <v>734</v>
      </c>
      <c r="F267" s="115" t="s">
        <v>113</v>
      </c>
      <c r="G267" s="114" t="s">
        <v>114</v>
      </c>
      <c r="H267" s="114" t="s">
        <v>383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735</v>
      </c>
      <c r="B268" s="114" t="s">
        <v>724</v>
      </c>
      <c r="C268" s="114" t="s">
        <v>730</v>
      </c>
      <c r="D268" s="114" t="s">
        <v>26</v>
      </c>
      <c r="E268" s="114" t="s">
        <v>736</v>
      </c>
      <c r="F268" s="115" t="s">
        <v>113</v>
      </c>
      <c r="G268" s="114" t="s">
        <v>114</v>
      </c>
      <c r="H268" s="114" t="s">
        <v>383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397</v>
      </c>
      <c r="B269" s="114" t="s">
        <v>724</v>
      </c>
      <c r="C269" s="114" t="s">
        <v>737</v>
      </c>
      <c r="D269" s="114" t="s">
        <v>17</v>
      </c>
      <c r="E269" s="114" t="s">
        <v>738</v>
      </c>
      <c r="F269" s="115" t="s">
        <v>69</v>
      </c>
      <c r="G269" s="114" t="s">
        <v>70</v>
      </c>
      <c r="H269" s="114" t="s">
        <v>383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739</v>
      </c>
      <c r="B270" s="114" t="s">
        <v>724</v>
      </c>
      <c r="C270" s="114" t="s">
        <v>737</v>
      </c>
      <c r="D270" s="114" t="s">
        <v>17</v>
      </c>
      <c r="E270" s="114" t="s">
        <v>740</v>
      </c>
      <c r="F270" s="115" t="s">
        <v>69</v>
      </c>
      <c r="G270" s="114" t="s">
        <v>70</v>
      </c>
      <c r="H270" s="114" t="s">
        <v>383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741</v>
      </c>
      <c r="B271" s="114" t="s">
        <v>724</v>
      </c>
      <c r="C271" s="114" t="s">
        <v>737</v>
      </c>
      <c r="D271" s="114" t="s">
        <v>17</v>
      </c>
      <c r="E271" s="114" t="s">
        <v>742</v>
      </c>
      <c r="F271" s="115" t="s">
        <v>69</v>
      </c>
      <c r="G271" s="114" t="s">
        <v>70</v>
      </c>
      <c r="H271" s="114" t="s">
        <v>383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743</v>
      </c>
      <c r="B272" s="114" t="s">
        <v>724</v>
      </c>
      <c r="C272" s="114" t="s">
        <v>737</v>
      </c>
      <c r="D272" s="114" t="s">
        <v>17</v>
      </c>
      <c r="E272" s="114" t="s">
        <v>744</v>
      </c>
      <c r="F272" s="115" t="s">
        <v>69</v>
      </c>
      <c r="G272" s="114" t="s">
        <v>70</v>
      </c>
      <c r="H272" s="114" t="s">
        <v>383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745</v>
      </c>
      <c r="B273" s="114" t="s">
        <v>724</v>
      </c>
      <c r="C273" s="114" t="s">
        <v>737</v>
      </c>
      <c r="D273" s="114" t="s">
        <v>17</v>
      </c>
      <c r="E273" s="114" t="s">
        <v>746</v>
      </c>
      <c r="F273" s="115" t="s">
        <v>69</v>
      </c>
      <c r="G273" s="114" t="s">
        <v>70</v>
      </c>
      <c r="H273" s="114" t="s">
        <v>383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747</v>
      </c>
      <c r="B274" s="114" t="s">
        <v>724</v>
      </c>
      <c r="C274" s="114" t="s">
        <v>737</v>
      </c>
      <c r="D274" s="114" t="s">
        <v>17</v>
      </c>
      <c r="E274" s="114" t="s">
        <v>748</v>
      </c>
      <c r="F274" s="115" t="s">
        <v>69</v>
      </c>
      <c r="G274" s="114" t="s">
        <v>70</v>
      </c>
      <c r="H274" s="114" t="s">
        <v>383</v>
      </c>
      <c r="I274" s="116" t="n">
        <v>0</v>
      </c>
      <c r="J274" s="116" t="n">
        <v>1</v>
      </c>
      <c r="K274" s="114"/>
      <c r="L274" s="114"/>
    </row>
    <row r="275" customFormat="false" ht="15" hidden="false" customHeight="false" outlineLevel="0" collapsed="false">
      <c r="A275" s="114" t="s">
        <v>749</v>
      </c>
      <c r="B275" s="114" t="s">
        <v>724</v>
      </c>
      <c r="C275" s="114" t="s">
        <v>737</v>
      </c>
      <c r="D275" s="114" t="s">
        <v>17</v>
      </c>
      <c r="E275" s="114" t="s">
        <v>750</v>
      </c>
      <c r="F275" s="115" t="s">
        <v>69</v>
      </c>
      <c r="G275" s="114" t="s">
        <v>70</v>
      </c>
      <c r="H275" s="114" t="s">
        <v>383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648</v>
      </c>
      <c r="B276" s="114" t="s">
        <v>724</v>
      </c>
      <c r="C276" s="114" t="s">
        <v>34</v>
      </c>
      <c r="D276" s="114" t="s">
        <v>34</v>
      </c>
      <c r="E276" s="114" t="s">
        <v>751</v>
      </c>
      <c r="F276" s="115" t="s">
        <v>69</v>
      </c>
      <c r="G276" s="114" t="s">
        <v>70</v>
      </c>
      <c r="H276" s="114" t="s">
        <v>383</v>
      </c>
      <c r="I276" s="116" t="n">
        <v>1</v>
      </c>
      <c r="J276" s="116" t="n">
        <v>0</v>
      </c>
      <c r="K276" s="114"/>
      <c r="L276" s="114"/>
    </row>
    <row r="277" customFormat="false" ht="15" hidden="false" customHeight="false" outlineLevel="0" collapsed="false">
      <c r="A277" s="114" t="s">
        <v>650</v>
      </c>
      <c r="B277" s="114" t="s">
        <v>724</v>
      </c>
      <c r="C277" s="114" t="s">
        <v>34</v>
      </c>
      <c r="D277" s="114" t="s">
        <v>34</v>
      </c>
      <c r="E277" s="114" t="s">
        <v>752</v>
      </c>
      <c r="F277" s="115" t="s">
        <v>69</v>
      </c>
      <c r="G277" s="114" t="s">
        <v>70</v>
      </c>
      <c r="H277" s="114" t="s">
        <v>383</v>
      </c>
      <c r="I277" s="116" t="n">
        <v>1</v>
      </c>
      <c r="J277" s="116" t="n">
        <v>0</v>
      </c>
      <c r="K277" s="114"/>
      <c r="L277" s="114"/>
    </row>
    <row r="278" customFormat="false" ht="15" hidden="false" customHeight="false" outlineLevel="0" collapsed="false">
      <c r="A278" s="114" t="s">
        <v>753</v>
      </c>
      <c r="B278" s="114" t="s">
        <v>724</v>
      </c>
      <c r="C278" s="114" t="s">
        <v>715</v>
      </c>
      <c r="D278" s="114" t="s">
        <v>46</v>
      </c>
      <c r="E278" s="114" t="s">
        <v>754</v>
      </c>
      <c r="F278" s="115" t="s">
        <v>69</v>
      </c>
      <c r="G278" s="114" t="s">
        <v>70</v>
      </c>
      <c r="H278" s="114" t="s">
        <v>383</v>
      </c>
      <c r="I278" s="116" t="n">
        <v>1</v>
      </c>
      <c r="J278" s="116" t="n">
        <v>0</v>
      </c>
      <c r="K278" s="114"/>
      <c r="L278" s="114"/>
    </row>
    <row r="279" customFormat="false" ht="15" hidden="false" customHeight="false" outlineLevel="0" collapsed="false">
      <c r="A279" s="114" t="s">
        <v>755</v>
      </c>
      <c r="B279" s="114" t="s">
        <v>724</v>
      </c>
      <c r="C279" s="114" t="s">
        <v>756</v>
      </c>
      <c r="D279" s="114" t="s">
        <v>24</v>
      </c>
      <c r="E279" s="114" t="s">
        <v>757</v>
      </c>
      <c r="F279" s="115" t="s">
        <v>69</v>
      </c>
      <c r="G279" s="114" t="s">
        <v>70</v>
      </c>
      <c r="H279" s="114" t="s">
        <v>383</v>
      </c>
      <c r="I279" s="116" t="n">
        <v>1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758</v>
      </c>
      <c r="B280" s="114" t="s">
        <v>724</v>
      </c>
      <c r="C280" s="114" t="s">
        <v>756</v>
      </c>
      <c r="D280" s="114" t="s">
        <v>24</v>
      </c>
      <c r="E280" s="114" t="s">
        <v>759</v>
      </c>
      <c r="F280" s="115" t="s">
        <v>69</v>
      </c>
      <c r="G280" s="114" t="s">
        <v>70</v>
      </c>
      <c r="H280" s="114" t="s">
        <v>383</v>
      </c>
      <c r="I280" s="116" t="n">
        <v>1</v>
      </c>
      <c r="J280" s="116" t="n">
        <v>1</v>
      </c>
      <c r="K280" s="114"/>
      <c r="L280" s="114"/>
    </row>
    <row r="281" customFormat="false" ht="15" hidden="false" customHeight="false" outlineLevel="0" collapsed="false">
      <c r="A281" s="114" t="s">
        <v>760</v>
      </c>
      <c r="B281" s="114" t="s">
        <v>724</v>
      </c>
      <c r="C281" s="114" t="s">
        <v>756</v>
      </c>
      <c r="D281" s="114" t="s">
        <v>24</v>
      </c>
      <c r="E281" s="114" t="s">
        <v>761</v>
      </c>
      <c r="F281" s="115" t="s">
        <v>69</v>
      </c>
      <c r="G281" s="114" t="s">
        <v>70</v>
      </c>
      <c r="H281" s="114" t="s">
        <v>383</v>
      </c>
      <c r="I281" s="116" t="n">
        <v>1</v>
      </c>
      <c r="J281" s="116" t="n">
        <v>1</v>
      </c>
      <c r="K281" s="114"/>
      <c r="L281" s="114"/>
    </row>
    <row r="282" customFormat="false" ht="15" hidden="false" customHeight="false" outlineLevel="0" collapsed="false">
      <c r="A282" s="114" t="s">
        <v>762</v>
      </c>
      <c r="B282" s="114" t="s">
        <v>724</v>
      </c>
      <c r="C282" s="114" t="s">
        <v>756</v>
      </c>
      <c r="D282" s="114" t="s">
        <v>24</v>
      </c>
      <c r="E282" s="114" t="s">
        <v>763</v>
      </c>
      <c r="F282" s="115" t="s">
        <v>69</v>
      </c>
      <c r="G282" s="114" t="s">
        <v>70</v>
      </c>
      <c r="H282" s="114" t="s">
        <v>383</v>
      </c>
      <c r="I282" s="116" t="n">
        <v>0</v>
      </c>
      <c r="J282" s="116" t="n">
        <v>1</v>
      </c>
      <c r="K282" s="114"/>
      <c r="L282" s="114"/>
    </row>
    <row r="283" customFormat="false" ht="15" hidden="false" customHeight="false" outlineLevel="0" collapsed="false">
      <c r="A283" s="114" t="s">
        <v>764</v>
      </c>
      <c r="B283" s="114" t="s">
        <v>724</v>
      </c>
      <c r="C283" s="114" t="s">
        <v>756</v>
      </c>
      <c r="D283" s="114" t="s">
        <v>24</v>
      </c>
      <c r="E283" s="114" t="s">
        <v>765</v>
      </c>
      <c r="F283" s="115" t="s">
        <v>69</v>
      </c>
      <c r="G283" s="114" t="s">
        <v>70</v>
      </c>
      <c r="H283" s="114" t="s">
        <v>383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498</v>
      </c>
      <c r="B284" s="114" t="s">
        <v>724</v>
      </c>
      <c r="C284" s="114" t="s">
        <v>766</v>
      </c>
      <c r="D284" s="114" t="s">
        <v>32</v>
      </c>
      <c r="E284" s="114" t="s">
        <v>767</v>
      </c>
      <c r="F284" s="115" t="s">
        <v>69</v>
      </c>
      <c r="G284" s="114" t="s">
        <v>70</v>
      </c>
      <c r="H284" s="114" t="s">
        <v>383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557</v>
      </c>
      <c r="B285" s="114" t="s">
        <v>724</v>
      </c>
      <c r="C285" s="114" t="s">
        <v>13</v>
      </c>
      <c r="D285" s="114" t="s">
        <v>13</v>
      </c>
      <c r="E285" s="114" t="s">
        <v>768</v>
      </c>
      <c r="F285" s="115" t="s">
        <v>69</v>
      </c>
      <c r="G285" s="114" t="s">
        <v>70</v>
      </c>
      <c r="H285" s="114" t="s">
        <v>383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769</v>
      </c>
      <c r="B286" s="114" t="s">
        <v>724</v>
      </c>
      <c r="C286" s="114" t="s">
        <v>13</v>
      </c>
      <c r="D286" s="114" t="s">
        <v>13</v>
      </c>
      <c r="E286" s="114" t="s">
        <v>770</v>
      </c>
      <c r="F286" s="115" t="s">
        <v>69</v>
      </c>
      <c r="G286" s="114" t="s">
        <v>70</v>
      </c>
      <c r="H286" s="114" t="s">
        <v>383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771</v>
      </c>
      <c r="B287" s="114" t="s">
        <v>724</v>
      </c>
      <c r="C287" s="114" t="s">
        <v>13</v>
      </c>
      <c r="D287" s="114" t="s">
        <v>13</v>
      </c>
      <c r="E287" s="114" t="s">
        <v>772</v>
      </c>
      <c r="F287" s="115" t="s">
        <v>69</v>
      </c>
      <c r="G287" s="114" t="s">
        <v>70</v>
      </c>
      <c r="H287" s="114" t="s">
        <v>383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773</v>
      </c>
      <c r="B288" s="114" t="s">
        <v>724</v>
      </c>
      <c r="C288" s="114" t="s">
        <v>13</v>
      </c>
      <c r="D288" s="114" t="s">
        <v>13</v>
      </c>
      <c r="E288" s="114" t="s">
        <v>774</v>
      </c>
      <c r="F288" s="115" t="s">
        <v>69</v>
      </c>
      <c r="G288" s="114" t="s">
        <v>70</v>
      </c>
      <c r="H288" s="114" t="s">
        <v>383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775</v>
      </c>
      <c r="B289" s="114" t="s">
        <v>724</v>
      </c>
      <c r="C289" s="114" t="s">
        <v>13</v>
      </c>
      <c r="D289" s="114" t="s">
        <v>13</v>
      </c>
      <c r="E289" s="114" t="s">
        <v>776</v>
      </c>
      <c r="F289" s="115" t="s">
        <v>69</v>
      </c>
      <c r="G289" s="114" t="s">
        <v>70</v>
      </c>
      <c r="H289" s="114" t="s">
        <v>383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777</v>
      </c>
      <c r="B290" s="114" t="s">
        <v>724</v>
      </c>
      <c r="C290" s="114" t="s">
        <v>13</v>
      </c>
      <c r="D290" s="114" t="s">
        <v>13</v>
      </c>
      <c r="E290" s="114" t="s">
        <v>778</v>
      </c>
      <c r="F290" s="115" t="s">
        <v>69</v>
      </c>
      <c r="G290" s="114" t="s">
        <v>70</v>
      </c>
      <c r="H290" s="114" t="s">
        <v>383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779</v>
      </c>
      <c r="B291" s="114" t="s">
        <v>724</v>
      </c>
      <c r="C291" s="114" t="s">
        <v>38</v>
      </c>
      <c r="D291" s="114" t="s">
        <v>38</v>
      </c>
      <c r="E291" s="114" t="s">
        <v>780</v>
      </c>
      <c r="F291" s="115" t="s">
        <v>69</v>
      </c>
      <c r="G291" s="114" t="s">
        <v>70</v>
      </c>
      <c r="H291" s="114" t="s">
        <v>383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781</v>
      </c>
      <c r="B292" s="114" t="s">
        <v>724</v>
      </c>
      <c r="C292" s="114" t="s">
        <v>30</v>
      </c>
      <c r="D292" s="114" t="s">
        <v>30</v>
      </c>
      <c r="E292" s="114" t="s">
        <v>782</v>
      </c>
      <c r="F292" s="115" t="s">
        <v>69</v>
      </c>
      <c r="G292" s="114" t="s">
        <v>70</v>
      </c>
      <c r="H292" s="114" t="s">
        <v>383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783</v>
      </c>
      <c r="B293" s="114" t="s">
        <v>724</v>
      </c>
      <c r="C293" s="114" t="s">
        <v>30</v>
      </c>
      <c r="D293" s="114" t="s">
        <v>30</v>
      </c>
      <c r="E293" s="114" t="s">
        <v>784</v>
      </c>
      <c r="F293" s="115" t="s">
        <v>69</v>
      </c>
      <c r="G293" s="114" t="s">
        <v>70</v>
      </c>
      <c r="H293" s="114" t="s">
        <v>383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709</v>
      </c>
      <c r="B294" s="114" t="s">
        <v>724</v>
      </c>
      <c r="C294" s="114" t="s">
        <v>30</v>
      </c>
      <c r="D294" s="114" t="s">
        <v>30</v>
      </c>
      <c r="E294" s="114" t="s">
        <v>785</v>
      </c>
      <c r="F294" s="115" t="s">
        <v>69</v>
      </c>
      <c r="G294" s="114" t="s">
        <v>70</v>
      </c>
      <c r="H294" s="114" t="s">
        <v>383</v>
      </c>
      <c r="I294" s="116" t="n">
        <v>1</v>
      </c>
      <c r="J294" s="116" t="n">
        <v>1</v>
      </c>
      <c r="K294" s="114"/>
      <c r="L294" s="114"/>
    </row>
    <row r="295" customFormat="false" ht="15" hidden="false" customHeight="false" outlineLevel="0" collapsed="false">
      <c r="A295" s="114" t="s">
        <v>786</v>
      </c>
      <c r="B295" s="114" t="s">
        <v>724</v>
      </c>
      <c r="C295" s="114" t="s">
        <v>30</v>
      </c>
      <c r="D295" s="114" t="s">
        <v>30</v>
      </c>
      <c r="E295" s="114" t="s">
        <v>787</v>
      </c>
      <c r="F295" s="115" t="s">
        <v>69</v>
      </c>
      <c r="G295" s="114" t="s">
        <v>70</v>
      </c>
      <c r="H295" s="114" t="s">
        <v>383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788</v>
      </c>
      <c r="B296" s="114" t="s">
        <v>724</v>
      </c>
      <c r="C296" s="114" t="s">
        <v>16</v>
      </c>
      <c r="D296" s="114" t="s">
        <v>16</v>
      </c>
      <c r="E296" s="114" t="s">
        <v>789</v>
      </c>
      <c r="F296" s="115" t="s">
        <v>69</v>
      </c>
      <c r="G296" s="114" t="s">
        <v>70</v>
      </c>
      <c r="H296" s="114" t="s">
        <v>383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790</v>
      </c>
      <c r="B297" s="114" t="s">
        <v>724</v>
      </c>
      <c r="C297" s="114" t="s">
        <v>16</v>
      </c>
      <c r="D297" s="114" t="s">
        <v>16</v>
      </c>
      <c r="E297" s="114" t="s">
        <v>791</v>
      </c>
      <c r="F297" s="115" t="s">
        <v>69</v>
      </c>
      <c r="G297" s="114" t="s">
        <v>70</v>
      </c>
      <c r="H297" s="114" t="s">
        <v>383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792</v>
      </c>
      <c r="B298" s="114" t="s">
        <v>724</v>
      </c>
      <c r="C298" s="114" t="s">
        <v>16</v>
      </c>
      <c r="D298" s="114" t="s">
        <v>16</v>
      </c>
      <c r="E298" s="114" t="s">
        <v>793</v>
      </c>
      <c r="F298" s="115" t="s">
        <v>69</v>
      </c>
      <c r="G298" s="114" t="s">
        <v>70</v>
      </c>
      <c r="H298" s="114" t="s">
        <v>383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794</v>
      </c>
      <c r="B299" s="114" t="s">
        <v>724</v>
      </c>
      <c r="C299" s="114" t="s">
        <v>16</v>
      </c>
      <c r="D299" s="114" t="s">
        <v>16</v>
      </c>
      <c r="E299" s="114" t="s">
        <v>795</v>
      </c>
      <c r="F299" s="115" t="s">
        <v>69</v>
      </c>
      <c r="G299" s="114" t="s">
        <v>70</v>
      </c>
      <c r="H299" s="114" t="s">
        <v>383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796</v>
      </c>
      <c r="B300" s="114" t="s">
        <v>724</v>
      </c>
      <c r="C300" s="114" t="s">
        <v>16</v>
      </c>
      <c r="D300" s="114" t="s">
        <v>16</v>
      </c>
      <c r="E300" s="114" t="s">
        <v>797</v>
      </c>
      <c r="F300" s="115" t="s">
        <v>69</v>
      </c>
      <c r="G300" s="114" t="s">
        <v>70</v>
      </c>
      <c r="H300" s="114" t="s">
        <v>383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798</v>
      </c>
      <c r="B301" s="114" t="s">
        <v>724</v>
      </c>
      <c r="C301" s="114" t="s">
        <v>16</v>
      </c>
      <c r="D301" s="114" t="s">
        <v>16</v>
      </c>
      <c r="E301" s="114" t="s">
        <v>799</v>
      </c>
      <c r="F301" s="115" t="s">
        <v>69</v>
      </c>
      <c r="G301" s="114" t="s">
        <v>70</v>
      </c>
      <c r="H301" s="114" t="s">
        <v>383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800</v>
      </c>
      <c r="B302" s="114" t="s">
        <v>724</v>
      </c>
      <c r="C302" s="114" t="s">
        <v>16</v>
      </c>
      <c r="D302" s="114" t="s">
        <v>16</v>
      </c>
      <c r="E302" s="114" t="s">
        <v>801</v>
      </c>
      <c r="F302" s="115" t="s">
        <v>69</v>
      </c>
      <c r="G302" s="114" t="s">
        <v>70</v>
      </c>
      <c r="H302" s="114" t="s">
        <v>383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802</v>
      </c>
      <c r="B303" s="114" t="s">
        <v>724</v>
      </c>
      <c r="C303" s="114" t="s">
        <v>16</v>
      </c>
      <c r="D303" s="114" t="s">
        <v>16</v>
      </c>
      <c r="E303" s="114" t="s">
        <v>803</v>
      </c>
      <c r="F303" s="115" t="s">
        <v>69</v>
      </c>
      <c r="G303" s="114" t="s">
        <v>70</v>
      </c>
      <c r="H303" s="114" t="s">
        <v>383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804</v>
      </c>
      <c r="B304" s="114" t="s">
        <v>724</v>
      </c>
      <c r="C304" s="114" t="s">
        <v>16</v>
      </c>
      <c r="D304" s="114" t="s">
        <v>16</v>
      </c>
      <c r="E304" s="114" t="s">
        <v>805</v>
      </c>
      <c r="F304" s="115" t="s">
        <v>87</v>
      </c>
      <c r="G304" s="114" t="s">
        <v>88</v>
      </c>
      <c r="H304" s="114" t="s">
        <v>383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806</v>
      </c>
      <c r="B305" s="114" t="s">
        <v>724</v>
      </c>
      <c r="C305" s="114" t="s">
        <v>16</v>
      </c>
      <c r="D305" s="114" t="s">
        <v>16</v>
      </c>
      <c r="E305" s="114" t="s">
        <v>807</v>
      </c>
      <c r="F305" s="115" t="s">
        <v>87</v>
      </c>
      <c r="G305" s="114" t="s">
        <v>88</v>
      </c>
      <c r="H305" s="114" t="s">
        <v>383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808</v>
      </c>
      <c r="B306" s="114" t="s">
        <v>724</v>
      </c>
      <c r="C306" s="114" t="s">
        <v>16</v>
      </c>
      <c r="D306" s="114" t="s">
        <v>16</v>
      </c>
      <c r="E306" s="114" t="s">
        <v>809</v>
      </c>
      <c r="F306" s="115" t="s">
        <v>87</v>
      </c>
      <c r="G306" s="114" t="s">
        <v>88</v>
      </c>
      <c r="H306" s="114" t="s">
        <v>383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810</v>
      </c>
      <c r="B307" s="114" t="s">
        <v>724</v>
      </c>
      <c r="C307" s="114" t="s">
        <v>16</v>
      </c>
      <c r="D307" s="114" t="s">
        <v>16</v>
      </c>
      <c r="E307" s="114" t="s">
        <v>811</v>
      </c>
      <c r="F307" s="115" t="s">
        <v>87</v>
      </c>
      <c r="G307" s="114" t="s">
        <v>88</v>
      </c>
      <c r="H307" s="114" t="s">
        <v>383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812</v>
      </c>
      <c r="B308" s="114" t="s">
        <v>724</v>
      </c>
      <c r="C308" s="114" t="s">
        <v>16</v>
      </c>
      <c r="D308" s="114" t="s">
        <v>16</v>
      </c>
      <c r="E308" s="114" t="s">
        <v>813</v>
      </c>
      <c r="F308" s="115" t="s">
        <v>69</v>
      </c>
      <c r="G308" s="114" t="s">
        <v>70</v>
      </c>
      <c r="H308" s="114" t="s">
        <v>383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814</v>
      </c>
      <c r="B309" s="114" t="s">
        <v>724</v>
      </c>
      <c r="C309" s="114" t="s">
        <v>16</v>
      </c>
      <c r="D309" s="114" t="s">
        <v>16</v>
      </c>
      <c r="E309" s="114" t="s">
        <v>815</v>
      </c>
      <c r="F309" s="115" t="s">
        <v>87</v>
      </c>
      <c r="G309" s="114" t="s">
        <v>88</v>
      </c>
      <c r="H309" s="114" t="s">
        <v>383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816</v>
      </c>
      <c r="B310" s="114" t="s">
        <v>724</v>
      </c>
      <c r="C310" s="114" t="s">
        <v>39</v>
      </c>
      <c r="D310" s="114" t="s">
        <v>39</v>
      </c>
      <c r="E310" s="114" t="s">
        <v>817</v>
      </c>
      <c r="F310" s="115" t="s">
        <v>69</v>
      </c>
      <c r="G310" s="114" t="s">
        <v>70</v>
      </c>
      <c r="H310" s="114" t="s">
        <v>383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818</v>
      </c>
      <c r="B311" s="114" t="s">
        <v>724</v>
      </c>
      <c r="C311" s="114" t="s">
        <v>14</v>
      </c>
      <c r="D311" s="114" t="s">
        <v>14</v>
      </c>
      <c r="E311" s="114" t="s">
        <v>819</v>
      </c>
      <c r="F311" s="115" t="s">
        <v>69</v>
      </c>
      <c r="G311" s="114" t="s">
        <v>70</v>
      </c>
      <c r="H311" s="114" t="s">
        <v>383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820</v>
      </c>
      <c r="B312" s="114" t="s">
        <v>724</v>
      </c>
      <c r="C312" s="114" t="s">
        <v>14</v>
      </c>
      <c r="D312" s="114" t="s">
        <v>14</v>
      </c>
      <c r="E312" s="114" t="s">
        <v>821</v>
      </c>
      <c r="F312" s="115" t="s">
        <v>69</v>
      </c>
      <c r="G312" s="114" t="s">
        <v>70</v>
      </c>
      <c r="H312" s="114" t="s">
        <v>383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822</v>
      </c>
      <c r="B313" s="114" t="s">
        <v>724</v>
      </c>
      <c r="C313" s="114" t="s">
        <v>14</v>
      </c>
      <c r="D313" s="114" t="s">
        <v>14</v>
      </c>
      <c r="E313" s="114" t="s">
        <v>823</v>
      </c>
      <c r="F313" s="115" t="s">
        <v>87</v>
      </c>
      <c r="G313" s="114" t="s">
        <v>88</v>
      </c>
      <c r="H313" s="114" t="s">
        <v>383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824</v>
      </c>
      <c r="B314" s="114" t="s">
        <v>724</v>
      </c>
      <c r="C314" s="114" t="s">
        <v>14</v>
      </c>
      <c r="D314" s="114" t="s">
        <v>14</v>
      </c>
      <c r="E314" s="114" t="s">
        <v>825</v>
      </c>
      <c r="F314" s="115" t="s">
        <v>69</v>
      </c>
      <c r="G314" s="114" t="s">
        <v>70</v>
      </c>
      <c r="H314" s="114" t="s">
        <v>383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826</v>
      </c>
      <c r="B315" s="114" t="s">
        <v>724</v>
      </c>
      <c r="C315" s="114" t="s">
        <v>14</v>
      </c>
      <c r="D315" s="114" t="s">
        <v>14</v>
      </c>
      <c r="E315" s="114" t="s">
        <v>827</v>
      </c>
      <c r="F315" s="115" t="s">
        <v>69</v>
      </c>
      <c r="G315" s="114" t="s">
        <v>70</v>
      </c>
      <c r="H315" s="114" t="s">
        <v>383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428</v>
      </c>
      <c r="B316" s="114" t="s">
        <v>724</v>
      </c>
      <c r="C316" s="114" t="s">
        <v>29</v>
      </c>
      <c r="D316" s="114" t="s">
        <v>29</v>
      </c>
      <c r="E316" s="114" t="s">
        <v>828</v>
      </c>
      <c r="F316" s="115" t="s">
        <v>69</v>
      </c>
      <c r="G316" s="114" t="s">
        <v>70</v>
      </c>
      <c r="H316" s="114" t="s">
        <v>383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675</v>
      </c>
      <c r="B317" s="114" t="s">
        <v>724</v>
      </c>
      <c r="C317" s="114" t="s">
        <v>29</v>
      </c>
      <c r="D317" s="114" t="s">
        <v>29</v>
      </c>
      <c r="E317" s="114" t="s">
        <v>829</v>
      </c>
      <c r="F317" s="115" t="s">
        <v>69</v>
      </c>
      <c r="G317" s="114" t="s">
        <v>70</v>
      </c>
      <c r="H317" s="114" t="s">
        <v>383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677</v>
      </c>
      <c r="B318" s="114" t="s">
        <v>724</v>
      </c>
      <c r="C318" s="114" t="s">
        <v>29</v>
      </c>
      <c r="D318" s="114" t="s">
        <v>29</v>
      </c>
      <c r="E318" s="114" t="s">
        <v>830</v>
      </c>
      <c r="F318" s="115" t="s">
        <v>69</v>
      </c>
      <c r="G318" s="114" t="s">
        <v>70</v>
      </c>
      <c r="H318" s="114" t="s">
        <v>383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679</v>
      </c>
      <c r="B319" s="114" t="s">
        <v>724</v>
      </c>
      <c r="C319" s="114" t="s">
        <v>29</v>
      </c>
      <c r="D319" s="114" t="s">
        <v>29</v>
      </c>
      <c r="E319" s="114" t="s">
        <v>831</v>
      </c>
      <c r="F319" s="115" t="s">
        <v>69</v>
      </c>
      <c r="G319" s="114" t="s">
        <v>70</v>
      </c>
      <c r="H319" s="114" t="s">
        <v>383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572</v>
      </c>
      <c r="B320" s="114" t="s">
        <v>724</v>
      </c>
      <c r="C320" s="114" t="s">
        <v>29</v>
      </c>
      <c r="D320" s="114" t="s">
        <v>29</v>
      </c>
      <c r="E320" s="114" t="s">
        <v>832</v>
      </c>
      <c r="F320" s="115" t="s">
        <v>69</v>
      </c>
      <c r="G320" s="114" t="s">
        <v>70</v>
      </c>
      <c r="H320" s="114" t="s">
        <v>383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833</v>
      </c>
      <c r="B321" s="114" t="s">
        <v>724</v>
      </c>
      <c r="C321" s="114" t="s">
        <v>25</v>
      </c>
      <c r="D321" s="114" t="s">
        <v>25</v>
      </c>
      <c r="E321" s="114" t="s">
        <v>834</v>
      </c>
      <c r="F321" s="115" t="s">
        <v>69</v>
      </c>
      <c r="G321" s="114" t="s">
        <v>70</v>
      </c>
      <c r="H321" s="114" t="s">
        <v>383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835</v>
      </c>
      <c r="B322" s="114" t="s">
        <v>724</v>
      </c>
      <c r="C322" s="114" t="s">
        <v>25</v>
      </c>
      <c r="D322" s="114" t="s">
        <v>25</v>
      </c>
      <c r="E322" s="114" t="s">
        <v>836</v>
      </c>
      <c r="F322" s="115" t="s">
        <v>69</v>
      </c>
      <c r="G322" s="114" t="s">
        <v>70</v>
      </c>
      <c r="H322" s="114" t="s">
        <v>383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837</v>
      </c>
      <c r="B323" s="114" t="s">
        <v>724</v>
      </c>
      <c r="C323" s="114" t="s">
        <v>25</v>
      </c>
      <c r="D323" s="114" t="s">
        <v>25</v>
      </c>
      <c r="E323" s="114" t="s">
        <v>838</v>
      </c>
      <c r="F323" s="115" t="s">
        <v>69</v>
      </c>
      <c r="G323" s="114" t="s">
        <v>70</v>
      </c>
      <c r="H323" s="114" t="s">
        <v>383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839</v>
      </c>
      <c r="B324" s="114" t="s">
        <v>724</v>
      </c>
      <c r="C324" s="114" t="s">
        <v>25</v>
      </c>
      <c r="D324" s="114" t="s">
        <v>25</v>
      </c>
      <c r="E324" s="114" t="s">
        <v>840</v>
      </c>
      <c r="F324" s="115" t="s">
        <v>69</v>
      </c>
      <c r="G324" s="114" t="s">
        <v>70</v>
      </c>
      <c r="H324" s="114" t="s">
        <v>383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841</v>
      </c>
      <c r="B325" s="114" t="s">
        <v>724</v>
      </c>
      <c r="C325" s="114" t="s">
        <v>25</v>
      </c>
      <c r="D325" s="114" t="s">
        <v>25</v>
      </c>
      <c r="E325" s="114" t="s">
        <v>842</v>
      </c>
      <c r="F325" s="115" t="s">
        <v>69</v>
      </c>
      <c r="G325" s="114" t="s">
        <v>70</v>
      </c>
      <c r="H325" s="114" t="s">
        <v>383</v>
      </c>
      <c r="I325" s="116" t="n">
        <v>0</v>
      </c>
      <c r="J325" s="116" t="n">
        <v>1</v>
      </c>
      <c r="K325" s="114"/>
      <c r="L325" s="114"/>
    </row>
    <row r="326" customFormat="false" ht="15" hidden="false" customHeight="false" outlineLevel="0" collapsed="false">
      <c r="A326" s="114" t="s">
        <v>843</v>
      </c>
      <c r="B326" s="114" t="s">
        <v>724</v>
      </c>
      <c r="C326" s="114" t="s">
        <v>25</v>
      </c>
      <c r="D326" s="114" t="s">
        <v>25</v>
      </c>
      <c r="E326" s="114" t="s">
        <v>844</v>
      </c>
      <c r="F326" s="115" t="s">
        <v>69</v>
      </c>
      <c r="G326" s="114" t="s">
        <v>70</v>
      </c>
      <c r="H326" s="114" t="s">
        <v>383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845</v>
      </c>
      <c r="B327" s="114" t="s">
        <v>724</v>
      </c>
      <c r="C327" s="114" t="s">
        <v>25</v>
      </c>
      <c r="D327" s="114" t="s">
        <v>25</v>
      </c>
      <c r="E327" s="114" t="s">
        <v>846</v>
      </c>
      <c r="F327" s="115" t="s">
        <v>69</v>
      </c>
      <c r="G327" s="114" t="s">
        <v>70</v>
      </c>
      <c r="H327" s="114" t="s">
        <v>383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430</v>
      </c>
      <c r="B328" s="114" t="s">
        <v>724</v>
      </c>
      <c r="C328" s="114" t="s">
        <v>847</v>
      </c>
      <c r="D328" s="114" t="s">
        <v>7</v>
      </c>
      <c r="E328" s="114" t="s">
        <v>848</v>
      </c>
      <c r="F328" s="115" t="s">
        <v>69</v>
      </c>
      <c r="G328" s="114" t="s">
        <v>70</v>
      </c>
      <c r="H328" s="114" t="s">
        <v>383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432</v>
      </c>
      <c r="B329" s="114" t="s">
        <v>724</v>
      </c>
      <c r="C329" s="114" t="s">
        <v>847</v>
      </c>
      <c r="D329" s="114" t="s">
        <v>7</v>
      </c>
      <c r="E329" s="114" t="s">
        <v>849</v>
      </c>
      <c r="F329" s="115" t="s">
        <v>69</v>
      </c>
      <c r="G329" s="114" t="s">
        <v>70</v>
      </c>
      <c r="H329" s="114" t="s">
        <v>383</v>
      </c>
      <c r="I329" s="116" t="n">
        <v>1</v>
      </c>
      <c r="J329" s="116" t="n">
        <v>1</v>
      </c>
      <c r="K329" s="114"/>
      <c r="L329" s="114"/>
    </row>
    <row r="330" customFormat="false" ht="15" hidden="false" customHeight="false" outlineLevel="0" collapsed="false">
      <c r="A330" s="114" t="s">
        <v>433</v>
      </c>
      <c r="B330" s="114" t="s">
        <v>724</v>
      </c>
      <c r="C330" s="114" t="s">
        <v>847</v>
      </c>
      <c r="D330" s="114" t="s">
        <v>7</v>
      </c>
      <c r="E330" s="114" t="s">
        <v>850</v>
      </c>
      <c r="F330" s="115" t="s">
        <v>69</v>
      </c>
      <c r="G330" s="114" t="s">
        <v>70</v>
      </c>
      <c r="H330" s="114" t="s">
        <v>383</v>
      </c>
      <c r="I330" s="116" t="n">
        <v>1</v>
      </c>
      <c r="J330" s="116" t="n">
        <v>1</v>
      </c>
      <c r="K330" s="114"/>
      <c r="L330" s="114"/>
    </row>
    <row r="331" customFormat="false" ht="15" hidden="false" customHeight="false" outlineLevel="0" collapsed="false">
      <c r="A331" s="114" t="s">
        <v>434</v>
      </c>
      <c r="B331" s="114" t="s">
        <v>724</v>
      </c>
      <c r="C331" s="114" t="s">
        <v>847</v>
      </c>
      <c r="D331" s="114" t="s">
        <v>7</v>
      </c>
      <c r="E331" s="114" t="s">
        <v>851</v>
      </c>
      <c r="F331" s="115" t="s">
        <v>69</v>
      </c>
      <c r="G331" s="114" t="s">
        <v>70</v>
      </c>
      <c r="H331" s="114" t="s">
        <v>383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435</v>
      </c>
      <c r="B332" s="114" t="s">
        <v>724</v>
      </c>
      <c r="C332" s="114" t="s">
        <v>847</v>
      </c>
      <c r="D332" s="114" t="s">
        <v>7</v>
      </c>
      <c r="E332" s="114" t="s">
        <v>852</v>
      </c>
      <c r="F332" s="115" t="s">
        <v>69</v>
      </c>
      <c r="G332" s="114" t="s">
        <v>70</v>
      </c>
      <c r="H332" s="114" t="s">
        <v>383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436</v>
      </c>
      <c r="B333" s="114" t="s">
        <v>724</v>
      </c>
      <c r="C333" s="114" t="s">
        <v>847</v>
      </c>
      <c r="D333" s="114" t="s">
        <v>7</v>
      </c>
      <c r="E333" s="114" t="s">
        <v>853</v>
      </c>
      <c r="F333" s="115" t="s">
        <v>69</v>
      </c>
      <c r="G333" s="114" t="s">
        <v>70</v>
      </c>
      <c r="H333" s="114" t="s">
        <v>383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437</v>
      </c>
      <c r="B334" s="114" t="s">
        <v>724</v>
      </c>
      <c r="C334" s="114" t="s">
        <v>847</v>
      </c>
      <c r="D334" s="114" t="s">
        <v>7</v>
      </c>
      <c r="E334" s="114" t="s">
        <v>854</v>
      </c>
      <c r="F334" s="115" t="s">
        <v>69</v>
      </c>
      <c r="G334" s="114" t="s">
        <v>70</v>
      </c>
      <c r="H334" s="114" t="s">
        <v>383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438</v>
      </c>
      <c r="B335" s="114" t="s">
        <v>724</v>
      </c>
      <c r="C335" s="114" t="s">
        <v>847</v>
      </c>
      <c r="D335" s="114" t="s">
        <v>7</v>
      </c>
      <c r="E335" s="114" t="s">
        <v>855</v>
      </c>
      <c r="F335" s="115" t="s">
        <v>69</v>
      </c>
      <c r="G335" s="114" t="s">
        <v>70</v>
      </c>
      <c r="H335" s="114" t="s">
        <v>383</v>
      </c>
      <c r="I335" s="116" t="n">
        <v>0</v>
      </c>
      <c r="J335" s="116" t="n">
        <v>1</v>
      </c>
      <c r="K335" s="114"/>
      <c r="L335" s="114"/>
    </row>
    <row r="336" customFormat="false" ht="15" hidden="false" customHeight="false" outlineLevel="0" collapsed="false">
      <c r="A336" s="114" t="s">
        <v>439</v>
      </c>
      <c r="B336" s="114" t="s">
        <v>724</v>
      </c>
      <c r="C336" s="114" t="s">
        <v>847</v>
      </c>
      <c r="D336" s="114" t="s">
        <v>7</v>
      </c>
      <c r="E336" s="114" t="s">
        <v>856</v>
      </c>
      <c r="F336" s="115" t="s">
        <v>69</v>
      </c>
      <c r="G336" s="114" t="s">
        <v>70</v>
      </c>
      <c r="H336" s="114" t="s">
        <v>383</v>
      </c>
      <c r="I336" s="116" t="n">
        <v>0</v>
      </c>
      <c r="J336" s="116" t="n">
        <v>1</v>
      </c>
      <c r="K336" s="114"/>
      <c r="L336" s="114"/>
    </row>
    <row r="337" customFormat="false" ht="15" hidden="false" customHeight="false" outlineLevel="0" collapsed="false">
      <c r="A337" s="114" t="s">
        <v>440</v>
      </c>
      <c r="B337" s="114" t="s">
        <v>724</v>
      </c>
      <c r="C337" s="114" t="s">
        <v>847</v>
      </c>
      <c r="D337" s="114" t="s">
        <v>7</v>
      </c>
      <c r="E337" s="114" t="s">
        <v>857</v>
      </c>
      <c r="F337" s="115" t="s">
        <v>69</v>
      </c>
      <c r="G337" s="114" t="s">
        <v>70</v>
      </c>
      <c r="H337" s="114" t="s">
        <v>383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858</v>
      </c>
      <c r="B338" s="114" t="s">
        <v>724</v>
      </c>
      <c r="C338" s="114" t="s">
        <v>7</v>
      </c>
      <c r="D338" s="114" t="s">
        <v>7</v>
      </c>
      <c r="E338" s="114" t="s">
        <v>859</v>
      </c>
      <c r="F338" s="115" t="s">
        <v>69</v>
      </c>
      <c r="G338" s="114" t="s">
        <v>70</v>
      </c>
      <c r="H338" s="114" t="s">
        <v>383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860</v>
      </c>
      <c r="B339" s="114" t="s">
        <v>724</v>
      </c>
      <c r="C339" s="114" t="s">
        <v>7</v>
      </c>
      <c r="D339" s="114" t="s">
        <v>7</v>
      </c>
      <c r="E339" s="114" t="s">
        <v>861</v>
      </c>
      <c r="F339" s="115" t="s">
        <v>87</v>
      </c>
      <c r="G339" s="114" t="s">
        <v>88</v>
      </c>
      <c r="H339" s="114" t="s">
        <v>383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491</v>
      </c>
      <c r="B340" s="114" t="s">
        <v>724</v>
      </c>
      <c r="C340" s="114" t="s">
        <v>673</v>
      </c>
      <c r="D340" s="114" t="s">
        <v>8</v>
      </c>
      <c r="E340" s="114" t="s">
        <v>862</v>
      </c>
      <c r="F340" s="115" t="s">
        <v>69</v>
      </c>
      <c r="G340" s="114" t="s">
        <v>70</v>
      </c>
      <c r="H340" s="114" t="s">
        <v>383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445</v>
      </c>
      <c r="B341" s="114" t="s">
        <v>724</v>
      </c>
      <c r="C341" s="114" t="s">
        <v>673</v>
      </c>
      <c r="D341" s="114" t="s">
        <v>8</v>
      </c>
      <c r="E341" s="114" t="s">
        <v>863</v>
      </c>
      <c r="F341" s="115" t="s">
        <v>87</v>
      </c>
      <c r="G341" s="114" t="s">
        <v>88</v>
      </c>
      <c r="H341" s="114" t="s">
        <v>383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494</v>
      </c>
      <c r="B342" s="114" t="s">
        <v>724</v>
      </c>
      <c r="C342" s="114" t="s">
        <v>673</v>
      </c>
      <c r="D342" s="114" t="s">
        <v>8</v>
      </c>
      <c r="E342" s="114" t="s">
        <v>864</v>
      </c>
      <c r="F342" s="115" t="s">
        <v>69</v>
      </c>
      <c r="G342" s="114" t="s">
        <v>70</v>
      </c>
      <c r="H342" s="114" t="s">
        <v>383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450</v>
      </c>
      <c r="B343" s="114" t="s">
        <v>724</v>
      </c>
      <c r="C343" s="114" t="s">
        <v>673</v>
      </c>
      <c r="D343" s="114" t="s">
        <v>8</v>
      </c>
      <c r="E343" s="114" t="s">
        <v>865</v>
      </c>
      <c r="F343" s="115" t="s">
        <v>87</v>
      </c>
      <c r="G343" s="114" t="s">
        <v>88</v>
      </c>
      <c r="H343" s="114" t="s">
        <v>383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496</v>
      </c>
      <c r="B344" s="114" t="s">
        <v>724</v>
      </c>
      <c r="C344" s="114" t="s">
        <v>673</v>
      </c>
      <c r="D344" s="114" t="s">
        <v>8</v>
      </c>
      <c r="E344" s="114" t="s">
        <v>866</v>
      </c>
      <c r="F344" s="115" t="s">
        <v>69</v>
      </c>
      <c r="G344" s="114" t="s">
        <v>70</v>
      </c>
      <c r="H344" s="114" t="s">
        <v>383</v>
      </c>
      <c r="I344" s="116" t="n">
        <v>0</v>
      </c>
      <c r="J344" s="116" t="n">
        <v>1</v>
      </c>
      <c r="K344" s="114"/>
      <c r="L344" s="114"/>
    </row>
    <row r="345" customFormat="false" ht="15" hidden="false" customHeight="false" outlineLevel="0" collapsed="false">
      <c r="A345" s="114" t="s">
        <v>454</v>
      </c>
      <c r="B345" s="114" t="s">
        <v>724</v>
      </c>
      <c r="C345" s="114" t="s">
        <v>673</v>
      </c>
      <c r="D345" s="114" t="s">
        <v>8</v>
      </c>
      <c r="E345" s="114" t="s">
        <v>867</v>
      </c>
      <c r="F345" s="115" t="s">
        <v>87</v>
      </c>
      <c r="G345" s="114" t="s">
        <v>88</v>
      </c>
      <c r="H345" s="114" t="s">
        <v>383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561</v>
      </c>
      <c r="B346" s="114" t="s">
        <v>724</v>
      </c>
      <c r="C346" s="114" t="s">
        <v>673</v>
      </c>
      <c r="D346" s="114" t="s">
        <v>8</v>
      </c>
      <c r="E346" s="114" t="s">
        <v>868</v>
      </c>
      <c r="F346" s="115" t="s">
        <v>69</v>
      </c>
      <c r="G346" s="114" t="s">
        <v>70</v>
      </c>
      <c r="H346" s="114" t="s">
        <v>383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869</v>
      </c>
      <c r="B347" s="114" t="s">
        <v>724</v>
      </c>
      <c r="C347" s="114" t="s">
        <v>673</v>
      </c>
      <c r="D347" s="114" t="s">
        <v>8</v>
      </c>
      <c r="E347" s="114" t="s">
        <v>870</v>
      </c>
      <c r="F347" s="115" t="s">
        <v>69</v>
      </c>
      <c r="G347" s="114" t="s">
        <v>70</v>
      </c>
      <c r="H347" s="114" t="s">
        <v>383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563</v>
      </c>
      <c r="B348" s="114" t="s">
        <v>724</v>
      </c>
      <c r="C348" s="114" t="s">
        <v>673</v>
      </c>
      <c r="D348" s="114" t="s">
        <v>8</v>
      </c>
      <c r="E348" s="114" t="s">
        <v>871</v>
      </c>
      <c r="F348" s="115" t="s">
        <v>69</v>
      </c>
      <c r="G348" s="114" t="s">
        <v>70</v>
      </c>
      <c r="H348" s="114" t="s">
        <v>383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872</v>
      </c>
      <c r="B349" s="114" t="s">
        <v>724</v>
      </c>
      <c r="C349" s="114" t="s">
        <v>673</v>
      </c>
      <c r="D349" s="114" t="s">
        <v>8</v>
      </c>
      <c r="E349" s="114" t="s">
        <v>873</v>
      </c>
      <c r="F349" s="115" t="s">
        <v>69</v>
      </c>
      <c r="G349" s="114" t="s">
        <v>70</v>
      </c>
      <c r="H349" s="114" t="s">
        <v>383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874</v>
      </c>
      <c r="B350" s="114" t="s">
        <v>724</v>
      </c>
      <c r="C350" s="114" t="s">
        <v>673</v>
      </c>
      <c r="D350" s="114" t="s">
        <v>8</v>
      </c>
      <c r="E350" s="114" t="s">
        <v>875</v>
      </c>
      <c r="F350" s="115" t="s">
        <v>69</v>
      </c>
      <c r="G350" s="114" t="s">
        <v>70</v>
      </c>
      <c r="H350" s="114" t="s">
        <v>383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876</v>
      </c>
      <c r="B351" s="114" t="s">
        <v>724</v>
      </c>
      <c r="C351" s="114" t="s">
        <v>673</v>
      </c>
      <c r="D351" s="114" t="s">
        <v>8</v>
      </c>
      <c r="E351" s="114" t="s">
        <v>877</v>
      </c>
      <c r="F351" s="115" t="s">
        <v>69</v>
      </c>
      <c r="G351" s="114" t="s">
        <v>70</v>
      </c>
      <c r="H351" s="114" t="s">
        <v>383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878</v>
      </c>
      <c r="B352" s="114" t="s">
        <v>724</v>
      </c>
      <c r="C352" s="114" t="s">
        <v>673</v>
      </c>
      <c r="D352" s="114" t="s">
        <v>8</v>
      </c>
      <c r="E352" s="114" t="s">
        <v>879</v>
      </c>
      <c r="F352" s="115" t="s">
        <v>69</v>
      </c>
      <c r="G352" s="114" t="s">
        <v>70</v>
      </c>
      <c r="H352" s="114" t="s">
        <v>383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880</v>
      </c>
      <c r="B353" s="114" t="s">
        <v>724</v>
      </c>
      <c r="C353" s="114" t="s">
        <v>673</v>
      </c>
      <c r="D353" s="114" t="s">
        <v>8</v>
      </c>
      <c r="E353" s="114" t="s">
        <v>881</v>
      </c>
      <c r="F353" s="115" t="s">
        <v>69</v>
      </c>
      <c r="G353" s="114" t="s">
        <v>70</v>
      </c>
      <c r="H353" s="114" t="s">
        <v>383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882</v>
      </c>
      <c r="B354" s="114" t="s">
        <v>724</v>
      </c>
      <c r="C354" s="114" t="s">
        <v>673</v>
      </c>
      <c r="D354" s="114" t="s">
        <v>8</v>
      </c>
      <c r="E354" s="114" t="s">
        <v>883</v>
      </c>
      <c r="F354" s="115" t="s">
        <v>69</v>
      </c>
      <c r="G354" s="114" t="s">
        <v>70</v>
      </c>
      <c r="H354" s="114" t="s">
        <v>383</v>
      </c>
      <c r="I354" s="116" t="n">
        <v>0</v>
      </c>
      <c r="J354" s="116" t="n">
        <v>1</v>
      </c>
      <c r="K354" s="114"/>
      <c r="L354" s="114"/>
    </row>
    <row r="355" customFormat="false" ht="15" hidden="false" customHeight="false" outlineLevel="0" collapsed="false">
      <c r="A355" s="114" t="s">
        <v>448</v>
      </c>
      <c r="B355" s="114" t="s">
        <v>724</v>
      </c>
      <c r="C355" s="114" t="s">
        <v>884</v>
      </c>
      <c r="D355" s="114" t="s">
        <v>9</v>
      </c>
      <c r="E355" s="114" t="s">
        <v>885</v>
      </c>
      <c r="F355" s="115" t="s">
        <v>69</v>
      </c>
      <c r="G355" s="114" t="s">
        <v>70</v>
      </c>
      <c r="H355" s="114" t="s">
        <v>383</v>
      </c>
      <c r="I355" s="116" t="n">
        <v>0</v>
      </c>
      <c r="J355" s="116" t="n">
        <v>1</v>
      </c>
      <c r="K355" s="114"/>
      <c r="L355" s="114"/>
    </row>
    <row r="356" customFormat="false" ht="15" hidden="false" customHeight="false" outlineLevel="0" collapsed="false">
      <c r="A356" s="114" t="s">
        <v>452</v>
      </c>
      <c r="B356" s="114" t="s">
        <v>724</v>
      </c>
      <c r="C356" s="114" t="s">
        <v>884</v>
      </c>
      <c r="D356" s="114" t="s">
        <v>9</v>
      </c>
      <c r="E356" s="114" t="s">
        <v>886</v>
      </c>
      <c r="F356" s="115" t="s">
        <v>69</v>
      </c>
      <c r="G356" s="114" t="s">
        <v>70</v>
      </c>
      <c r="H356" s="114" t="s">
        <v>383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456</v>
      </c>
      <c r="B357" s="114" t="s">
        <v>724</v>
      </c>
      <c r="C357" s="114" t="s">
        <v>884</v>
      </c>
      <c r="D357" s="114" t="s">
        <v>9</v>
      </c>
      <c r="E357" s="114" t="s">
        <v>887</v>
      </c>
      <c r="F357" s="115" t="s">
        <v>69</v>
      </c>
      <c r="G357" s="114" t="s">
        <v>70</v>
      </c>
      <c r="H357" s="114" t="s">
        <v>383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460</v>
      </c>
      <c r="B358" s="114" t="s">
        <v>724</v>
      </c>
      <c r="C358" s="114" t="s">
        <v>884</v>
      </c>
      <c r="D358" s="114" t="s">
        <v>9</v>
      </c>
      <c r="E358" s="114" t="s">
        <v>888</v>
      </c>
      <c r="F358" s="115" t="s">
        <v>69</v>
      </c>
      <c r="G358" s="114" t="s">
        <v>70</v>
      </c>
      <c r="H358" s="114" t="s">
        <v>383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463</v>
      </c>
      <c r="B359" s="114" t="s">
        <v>724</v>
      </c>
      <c r="C359" s="114" t="s">
        <v>884</v>
      </c>
      <c r="D359" s="114" t="s">
        <v>9</v>
      </c>
      <c r="E359" s="114" t="s">
        <v>889</v>
      </c>
      <c r="F359" s="115" t="s">
        <v>69</v>
      </c>
      <c r="G359" s="114" t="s">
        <v>70</v>
      </c>
      <c r="H359" s="114" t="s">
        <v>383</v>
      </c>
      <c r="I359" s="116" t="n">
        <v>0</v>
      </c>
      <c r="J359" s="116" t="n">
        <v>1</v>
      </c>
      <c r="K359" s="114"/>
      <c r="L359" s="114"/>
    </row>
    <row r="360" customFormat="false" ht="15" hidden="false" customHeight="false" outlineLevel="0" collapsed="false">
      <c r="A360" s="114" t="s">
        <v>466</v>
      </c>
      <c r="B360" s="114" t="s">
        <v>724</v>
      </c>
      <c r="C360" s="114" t="s">
        <v>884</v>
      </c>
      <c r="D360" s="114" t="s">
        <v>9</v>
      </c>
      <c r="E360" s="114" t="s">
        <v>890</v>
      </c>
      <c r="F360" s="115" t="s">
        <v>69</v>
      </c>
      <c r="G360" s="114" t="s">
        <v>70</v>
      </c>
      <c r="H360" s="114" t="s">
        <v>383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529</v>
      </c>
      <c r="B361" s="114" t="s">
        <v>724</v>
      </c>
      <c r="C361" s="114" t="s">
        <v>884</v>
      </c>
      <c r="D361" s="114" t="s">
        <v>9</v>
      </c>
      <c r="E361" s="114" t="s">
        <v>891</v>
      </c>
      <c r="F361" s="115" t="s">
        <v>69</v>
      </c>
      <c r="G361" s="114" t="s">
        <v>70</v>
      </c>
      <c r="H361" s="114" t="s">
        <v>383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892</v>
      </c>
      <c r="B362" s="114" t="s">
        <v>724</v>
      </c>
      <c r="C362" s="114" t="s">
        <v>884</v>
      </c>
      <c r="D362" s="114" t="s">
        <v>9</v>
      </c>
      <c r="E362" s="114" t="s">
        <v>893</v>
      </c>
      <c r="F362" s="115" t="s">
        <v>69</v>
      </c>
      <c r="G362" s="114" t="s">
        <v>70</v>
      </c>
      <c r="H362" s="114" t="s">
        <v>383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380</v>
      </c>
      <c r="B363" s="114" t="s">
        <v>724</v>
      </c>
      <c r="C363" s="114" t="s">
        <v>884</v>
      </c>
      <c r="D363" s="114" t="s">
        <v>9</v>
      </c>
      <c r="E363" s="114" t="s">
        <v>894</v>
      </c>
      <c r="F363" s="115" t="s">
        <v>69</v>
      </c>
      <c r="G363" s="114" t="s">
        <v>70</v>
      </c>
      <c r="H363" s="114" t="s">
        <v>383</v>
      </c>
      <c r="I363" s="116" t="n">
        <v>0</v>
      </c>
      <c r="J363" s="116" t="n">
        <v>1</v>
      </c>
      <c r="K363" s="114"/>
      <c r="L363" s="114"/>
    </row>
    <row r="364" customFormat="false" ht="15" hidden="false" customHeight="false" outlineLevel="0" collapsed="false">
      <c r="A364" s="114" t="s">
        <v>384</v>
      </c>
      <c r="B364" s="114" t="s">
        <v>724</v>
      </c>
      <c r="C364" s="114" t="s">
        <v>884</v>
      </c>
      <c r="D364" s="114" t="s">
        <v>9</v>
      </c>
      <c r="E364" s="114" t="s">
        <v>895</v>
      </c>
      <c r="F364" s="115" t="s">
        <v>69</v>
      </c>
      <c r="G364" s="114" t="s">
        <v>70</v>
      </c>
      <c r="H364" s="114" t="s">
        <v>383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385</v>
      </c>
      <c r="B365" s="114" t="s">
        <v>724</v>
      </c>
      <c r="C365" s="114" t="s">
        <v>884</v>
      </c>
      <c r="D365" s="114" t="s">
        <v>9</v>
      </c>
      <c r="E365" s="114" t="s">
        <v>896</v>
      </c>
      <c r="F365" s="115" t="s">
        <v>69</v>
      </c>
      <c r="G365" s="114" t="s">
        <v>70</v>
      </c>
      <c r="H365" s="114" t="s">
        <v>383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897</v>
      </c>
      <c r="B366" s="114" t="s">
        <v>724</v>
      </c>
      <c r="C366" s="114" t="s">
        <v>884</v>
      </c>
      <c r="D366" s="114" t="s">
        <v>9</v>
      </c>
      <c r="E366" s="114" t="s">
        <v>898</v>
      </c>
      <c r="F366" s="115" t="s">
        <v>69</v>
      </c>
      <c r="G366" s="114" t="s">
        <v>70</v>
      </c>
      <c r="H366" s="114" t="s">
        <v>383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662</v>
      </c>
      <c r="B367" s="114" t="s">
        <v>724</v>
      </c>
      <c r="C367" s="114" t="s">
        <v>884</v>
      </c>
      <c r="D367" s="114" t="s">
        <v>9</v>
      </c>
      <c r="E367" s="114" t="s">
        <v>899</v>
      </c>
      <c r="F367" s="115" t="s">
        <v>69</v>
      </c>
      <c r="G367" s="114" t="s">
        <v>70</v>
      </c>
      <c r="H367" s="114" t="s">
        <v>383</v>
      </c>
      <c r="I367" s="116" t="n">
        <v>0</v>
      </c>
      <c r="J367" s="116" t="n">
        <v>1</v>
      </c>
      <c r="K367" s="114"/>
      <c r="L367" s="114"/>
    </row>
    <row r="368" customFormat="false" ht="15" hidden="false" customHeight="false" outlineLevel="0" collapsed="false">
      <c r="A368" s="114" t="s">
        <v>479</v>
      </c>
      <c r="B368" s="114" t="s">
        <v>724</v>
      </c>
      <c r="C368" s="114" t="s">
        <v>884</v>
      </c>
      <c r="D368" s="114" t="s">
        <v>9</v>
      </c>
      <c r="E368" s="114" t="s">
        <v>900</v>
      </c>
      <c r="F368" s="115" t="s">
        <v>69</v>
      </c>
      <c r="G368" s="114" t="s">
        <v>70</v>
      </c>
      <c r="H368" s="114" t="s">
        <v>383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578</v>
      </c>
      <c r="B369" s="114" t="s">
        <v>724</v>
      </c>
      <c r="C369" s="114" t="s">
        <v>884</v>
      </c>
      <c r="D369" s="114" t="s">
        <v>9</v>
      </c>
      <c r="E369" s="114" t="s">
        <v>901</v>
      </c>
      <c r="F369" s="115" t="s">
        <v>69</v>
      </c>
      <c r="G369" s="114" t="s">
        <v>70</v>
      </c>
      <c r="H369" s="114" t="s">
        <v>383</v>
      </c>
      <c r="I369" s="116" t="n">
        <v>0</v>
      </c>
      <c r="J369" s="116" t="n">
        <v>1</v>
      </c>
      <c r="K369" s="114"/>
      <c r="L369" s="114"/>
    </row>
    <row r="370" customFormat="false" ht="15" hidden="false" customHeight="false" outlineLevel="0" collapsed="false">
      <c r="A370" s="114" t="s">
        <v>580</v>
      </c>
      <c r="B370" s="114" t="s">
        <v>724</v>
      </c>
      <c r="C370" s="114" t="s">
        <v>884</v>
      </c>
      <c r="D370" s="114" t="s">
        <v>9</v>
      </c>
      <c r="E370" s="114" t="s">
        <v>902</v>
      </c>
      <c r="F370" s="115" t="s">
        <v>69</v>
      </c>
      <c r="G370" s="114" t="s">
        <v>70</v>
      </c>
      <c r="H370" s="114" t="s">
        <v>383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581</v>
      </c>
      <c r="B371" s="114" t="s">
        <v>724</v>
      </c>
      <c r="C371" s="114" t="s">
        <v>884</v>
      </c>
      <c r="D371" s="114" t="s">
        <v>9</v>
      </c>
      <c r="E371" s="114" t="s">
        <v>903</v>
      </c>
      <c r="F371" s="115" t="s">
        <v>69</v>
      </c>
      <c r="G371" s="114" t="s">
        <v>70</v>
      </c>
      <c r="H371" s="114" t="s">
        <v>383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582</v>
      </c>
      <c r="B372" s="114" t="s">
        <v>724</v>
      </c>
      <c r="C372" s="114" t="s">
        <v>884</v>
      </c>
      <c r="D372" s="114" t="s">
        <v>9</v>
      </c>
      <c r="E372" s="114" t="s">
        <v>904</v>
      </c>
      <c r="F372" s="115" t="s">
        <v>69</v>
      </c>
      <c r="G372" s="114" t="s">
        <v>70</v>
      </c>
      <c r="H372" s="114" t="s">
        <v>383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585</v>
      </c>
      <c r="B373" s="114" t="s">
        <v>724</v>
      </c>
      <c r="C373" s="114" t="s">
        <v>884</v>
      </c>
      <c r="D373" s="114" t="s">
        <v>9</v>
      </c>
      <c r="E373" s="114" t="s">
        <v>905</v>
      </c>
      <c r="F373" s="115" t="s">
        <v>87</v>
      </c>
      <c r="G373" s="114" t="s">
        <v>88</v>
      </c>
      <c r="H373" s="114" t="s">
        <v>383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906</v>
      </c>
      <c r="B374" s="114" t="s">
        <v>724</v>
      </c>
      <c r="C374" s="114" t="s">
        <v>884</v>
      </c>
      <c r="D374" s="114" t="s">
        <v>9</v>
      </c>
      <c r="E374" s="114" t="s">
        <v>907</v>
      </c>
      <c r="F374" s="115" t="s">
        <v>87</v>
      </c>
      <c r="G374" s="114" t="s">
        <v>88</v>
      </c>
      <c r="H374" s="114" t="s">
        <v>383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908</v>
      </c>
      <c r="B375" s="114" t="s">
        <v>724</v>
      </c>
      <c r="C375" s="114" t="s">
        <v>909</v>
      </c>
      <c r="D375" s="114" t="s">
        <v>15</v>
      </c>
      <c r="E375" s="114" t="s">
        <v>910</v>
      </c>
      <c r="F375" s="115" t="s">
        <v>69</v>
      </c>
      <c r="G375" s="114" t="s">
        <v>70</v>
      </c>
      <c r="H375" s="114" t="s">
        <v>383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911</v>
      </c>
      <c r="B376" s="114" t="s">
        <v>724</v>
      </c>
      <c r="C376" s="114" t="s">
        <v>909</v>
      </c>
      <c r="D376" s="114" t="s">
        <v>15</v>
      </c>
      <c r="E376" s="114" t="s">
        <v>912</v>
      </c>
      <c r="F376" s="115" t="s">
        <v>69</v>
      </c>
      <c r="G376" s="114" t="s">
        <v>70</v>
      </c>
      <c r="H376" s="114" t="s">
        <v>383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913</v>
      </c>
      <c r="B377" s="114" t="s">
        <v>724</v>
      </c>
      <c r="C377" s="114" t="s">
        <v>23</v>
      </c>
      <c r="D377" s="114" t="s">
        <v>23</v>
      </c>
      <c r="E377" s="114" t="s">
        <v>914</v>
      </c>
      <c r="F377" s="115" t="s">
        <v>69</v>
      </c>
      <c r="G377" s="114" t="s">
        <v>70</v>
      </c>
      <c r="H377" s="114" t="s">
        <v>383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915</v>
      </c>
      <c r="B378" s="114" t="s">
        <v>724</v>
      </c>
      <c r="C378" s="114" t="s">
        <v>23</v>
      </c>
      <c r="D378" s="114" t="s">
        <v>23</v>
      </c>
      <c r="E378" s="114" t="s">
        <v>916</v>
      </c>
      <c r="F378" s="115" t="s">
        <v>69</v>
      </c>
      <c r="G378" s="114" t="s">
        <v>70</v>
      </c>
      <c r="H378" s="114" t="s">
        <v>383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917</v>
      </c>
      <c r="B379" s="114" t="s">
        <v>724</v>
      </c>
      <c r="C379" s="114" t="s">
        <v>23</v>
      </c>
      <c r="D379" s="114" t="s">
        <v>23</v>
      </c>
      <c r="E379" s="114" t="s">
        <v>918</v>
      </c>
      <c r="F379" s="115" t="s">
        <v>69</v>
      </c>
      <c r="G379" s="114" t="s">
        <v>70</v>
      </c>
      <c r="H379" s="114" t="s">
        <v>383</v>
      </c>
      <c r="I379" s="116" t="n">
        <v>0</v>
      </c>
      <c r="J379" s="116" t="n">
        <v>1</v>
      </c>
      <c r="K379" s="114"/>
      <c r="L379" s="114"/>
    </row>
    <row r="380" customFormat="false" ht="15" hidden="false" customHeight="false" outlineLevel="0" collapsed="false">
      <c r="A380" s="114" t="s">
        <v>919</v>
      </c>
      <c r="B380" s="114" t="s">
        <v>724</v>
      </c>
      <c r="C380" s="114" t="s">
        <v>23</v>
      </c>
      <c r="D380" s="114" t="s">
        <v>23</v>
      </c>
      <c r="E380" s="114" t="s">
        <v>920</v>
      </c>
      <c r="F380" s="115" t="s">
        <v>69</v>
      </c>
      <c r="G380" s="114" t="s">
        <v>70</v>
      </c>
      <c r="H380" s="114" t="s">
        <v>383</v>
      </c>
      <c r="I380" s="116" t="n">
        <v>0</v>
      </c>
      <c r="J380" s="116" t="n">
        <v>1</v>
      </c>
      <c r="K380" s="114"/>
      <c r="L380" s="114"/>
    </row>
    <row r="381" customFormat="false" ht="15" hidden="false" customHeight="false" outlineLevel="0" collapsed="false">
      <c r="A381" s="114" t="s">
        <v>921</v>
      </c>
      <c r="B381" s="114" t="s">
        <v>724</v>
      </c>
      <c r="C381" s="114" t="s">
        <v>23</v>
      </c>
      <c r="D381" s="114" t="s">
        <v>23</v>
      </c>
      <c r="E381" s="114" t="s">
        <v>922</v>
      </c>
      <c r="F381" s="115" t="s">
        <v>69</v>
      </c>
      <c r="G381" s="114" t="s">
        <v>70</v>
      </c>
      <c r="H381" s="114" t="s">
        <v>383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923</v>
      </c>
      <c r="B382" s="114" t="s">
        <v>724</v>
      </c>
      <c r="C382" s="114" t="s">
        <v>23</v>
      </c>
      <c r="D382" s="114" t="s">
        <v>23</v>
      </c>
      <c r="E382" s="114" t="s">
        <v>924</v>
      </c>
      <c r="F382" s="115" t="s">
        <v>69</v>
      </c>
      <c r="G382" s="114" t="s">
        <v>70</v>
      </c>
      <c r="H382" s="114" t="s">
        <v>383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925</v>
      </c>
      <c r="B383" s="114" t="s">
        <v>724</v>
      </c>
      <c r="C383" s="114" t="s">
        <v>23</v>
      </c>
      <c r="D383" s="114" t="s">
        <v>23</v>
      </c>
      <c r="E383" s="114" t="s">
        <v>926</v>
      </c>
      <c r="F383" s="115" t="s">
        <v>87</v>
      </c>
      <c r="G383" s="114" t="s">
        <v>88</v>
      </c>
      <c r="H383" s="114" t="s">
        <v>383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927</v>
      </c>
      <c r="B384" s="114" t="s">
        <v>724</v>
      </c>
      <c r="C384" s="114" t="s">
        <v>928</v>
      </c>
      <c r="D384" s="114" t="s">
        <v>20</v>
      </c>
      <c r="E384" s="114" t="s">
        <v>929</v>
      </c>
      <c r="F384" s="115" t="s">
        <v>69</v>
      </c>
      <c r="G384" s="114" t="s">
        <v>70</v>
      </c>
      <c r="H384" s="114" t="s">
        <v>383</v>
      </c>
      <c r="I384" s="116" t="n">
        <v>1</v>
      </c>
      <c r="J384" s="116" t="n">
        <v>1</v>
      </c>
      <c r="K384" s="114"/>
      <c r="L384" s="114"/>
    </row>
    <row r="385" customFormat="false" ht="15" hidden="false" customHeight="false" outlineLevel="0" collapsed="false">
      <c r="A385" s="114" t="s">
        <v>930</v>
      </c>
      <c r="B385" s="114" t="s">
        <v>724</v>
      </c>
      <c r="C385" s="114" t="s">
        <v>928</v>
      </c>
      <c r="D385" s="114" t="s">
        <v>20</v>
      </c>
      <c r="E385" s="114" t="s">
        <v>931</v>
      </c>
      <c r="F385" s="115" t="s">
        <v>81</v>
      </c>
      <c r="G385" s="114" t="s">
        <v>82</v>
      </c>
      <c r="H385" s="114" t="s">
        <v>383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932</v>
      </c>
      <c r="B386" s="114" t="s">
        <v>724</v>
      </c>
      <c r="C386" s="114" t="s">
        <v>928</v>
      </c>
      <c r="D386" s="114" t="s">
        <v>20</v>
      </c>
      <c r="E386" s="114" t="s">
        <v>933</v>
      </c>
      <c r="F386" s="115" t="s">
        <v>69</v>
      </c>
      <c r="G386" s="114" t="s">
        <v>70</v>
      </c>
      <c r="H386" s="114" t="s">
        <v>383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934</v>
      </c>
      <c r="B387" s="114" t="s">
        <v>724</v>
      </c>
      <c r="C387" s="114" t="s">
        <v>928</v>
      </c>
      <c r="D387" s="114" t="s">
        <v>20</v>
      </c>
      <c r="E387" s="114" t="s">
        <v>935</v>
      </c>
      <c r="F387" s="115" t="s">
        <v>81</v>
      </c>
      <c r="G387" s="114" t="s">
        <v>82</v>
      </c>
      <c r="H387" s="114" t="s">
        <v>383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936</v>
      </c>
      <c r="B388" s="114" t="s">
        <v>724</v>
      </c>
      <c r="C388" s="114" t="s">
        <v>928</v>
      </c>
      <c r="D388" s="114" t="s">
        <v>20</v>
      </c>
      <c r="E388" s="114" t="s">
        <v>937</v>
      </c>
      <c r="F388" s="115" t="s">
        <v>69</v>
      </c>
      <c r="G388" s="114" t="s">
        <v>70</v>
      </c>
      <c r="H388" s="114" t="s">
        <v>383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938</v>
      </c>
      <c r="B389" s="114" t="s">
        <v>724</v>
      </c>
      <c r="C389" s="114" t="s">
        <v>928</v>
      </c>
      <c r="D389" s="114" t="s">
        <v>20</v>
      </c>
      <c r="E389" s="114" t="s">
        <v>939</v>
      </c>
      <c r="F389" s="115" t="s">
        <v>81</v>
      </c>
      <c r="G389" s="114" t="s">
        <v>82</v>
      </c>
      <c r="H389" s="114" t="s">
        <v>383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940</v>
      </c>
      <c r="B390" s="114" t="s">
        <v>724</v>
      </c>
      <c r="C390" s="114" t="s">
        <v>928</v>
      </c>
      <c r="D390" s="114" t="s">
        <v>20</v>
      </c>
      <c r="E390" s="114" t="s">
        <v>941</v>
      </c>
      <c r="F390" s="115" t="s">
        <v>69</v>
      </c>
      <c r="G390" s="114" t="s">
        <v>70</v>
      </c>
      <c r="H390" s="114" t="s">
        <v>383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942</v>
      </c>
      <c r="B391" s="114" t="s">
        <v>724</v>
      </c>
      <c r="C391" s="114" t="s">
        <v>928</v>
      </c>
      <c r="D391" s="114" t="s">
        <v>20</v>
      </c>
      <c r="E391" s="114" t="s">
        <v>943</v>
      </c>
      <c r="F391" s="115" t="s">
        <v>81</v>
      </c>
      <c r="G391" s="114" t="s">
        <v>82</v>
      </c>
      <c r="H391" s="114" t="s">
        <v>383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944</v>
      </c>
      <c r="B392" s="114" t="s">
        <v>724</v>
      </c>
      <c r="C392" s="114" t="s">
        <v>928</v>
      </c>
      <c r="D392" s="114" t="s">
        <v>20</v>
      </c>
      <c r="E392" s="114" t="s">
        <v>945</v>
      </c>
      <c r="F392" s="115" t="s">
        <v>69</v>
      </c>
      <c r="G392" s="114" t="s">
        <v>70</v>
      </c>
      <c r="H392" s="114" t="s">
        <v>383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946</v>
      </c>
      <c r="B393" s="114" t="s">
        <v>724</v>
      </c>
      <c r="C393" s="114" t="s">
        <v>928</v>
      </c>
      <c r="D393" s="114" t="s">
        <v>20</v>
      </c>
      <c r="E393" s="114" t="s">
        <v>947</v>
      </c>
      <c r="F393" s="115" t="s">
        <v>69</v>
      </c>
      <c r="G393" s="114" t="s">
        <v>70</v>
      </c>
      <c r="H393" s="114" t="s">
        <v>383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948</v>
      </c>
      <c r="B394" s="114" t="s">
        <v>724</v>
      </c>
      <c r="C394" s="114" t="s">
        <v>928</v>
      </c>
      <c r="D394" s="114" t="s">
        <v>20</v>
      </c>
      <c r="E394" s="114" t="s">
        <v>949</v>
      </c>
      <c r="F394" s="115" t="s">
        <v>69</v>
      </c>
      <c r="G394" s="114" t="s">
        <v>70</v>
      </c>
      <c r="H394" s="114" t="s">
        <v>383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950</v>
      </c>
      <c r="B395" s="114" t="s">
        <v>724</v>
      </c>
      <c r="C395" s="114" t="s">
        <v>928</v>
      </c>
      <c r="D395" s="114" t="s">
        <v>20</v>
      </c>
      <c r="E395" s="114" t="s">
        <v>951</v>
      </c>
      <c r="F395" s="115" t="s">
        <v>69</v>
      </c>
      <c r="G395" s="114" t="s">
        <v>70</v>
      </c>
      <c r="H395" s="114" t="s">
        <v>383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952</v>
      </c>
      <c r="B396" s="114" t="s">
        <v>724</v>
      </c>
      <c r="C396" s="114" t="s">
        <v>928</v>
      </c>
      <c r="D396" s="114" t="s">
        <v>20</v>
      </c>
      <c r="E396" s="114" t="s">
        <v>953</v>
      </c>
      <c r="F396" s="115" t="s">
        <v>69</v>
      </c>
      <c r="G396" s="114" t="s">
        <v>70</v>
      </c>
      <c r="H396" s="114" t="s">
        <v>383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954</v>
      </c>
      <c r="B397" s="114" t="s">
        <v>724</v>
      </c>
      <c r="C397" s="114" t="s">
        <v>928</v>
      </c>
      <c r="D397" s="114" t="s">
        <v>20</v>
      </c>
      <c r="E397" s="114" t="s">
        <v>955</v>
      </c>
      <c r="F397" s="115" t="s">
        <v>69</v>
      </c>
      <c r="G397" s="114" t="s">
        <v>70</v>
      </c>
      <c r="H397" s="114" t="s">
        <v>383</v>
      </c>
      <c r="I397" s="116" t="n">
        <v>0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956</v>
      </c>
      <c r="B398" s="114" t="s">
        <v>724</v>
      </c>
      <c r="C398" s="114" t="s">
        <v>928</v>
      </c>
      <c r="D398" s="114" t="s">
        <v>20</v>
      </c>
      <c r="E398" s="114" t="s">
        <v>957</v>
      </c>
      <c r="F398" s="115" t="s">
        <v>69</v>
      </c>
      <c r="G398" s="114" t="s">
        <v>70</v>
      </c>
      <c r="H398" s="114" t="s">
        <v>383</v>
      </c>
      <c r="I398" s="116" t="n">
        <v>0</v>
      </c>
      <c r="J398" s="116" t="n">
        <v>1</v>
      </c>
      <c r="K398" s="114"/>
      <c r="L398" s="114"/>
    </row>
    <row r="399" customFormat="false" ht="15" hidden="false" customHeight="false" outlineLevel="0" collapsed="false">
      <c r="A399" s="114" t="s">
        <v>958</v>
      </c>
      <c r="B399" s="114" t="s">
        <v>724</v>
      </c>
      <c r="C399" s="114" t="s">
        <v>928</v>
      </c>
      <c r="D399" s="114" t="s">
        <v>20</v>
      </c>
      <c r="E399" s="114" t="s">
        <v>959</v>
      </c>
      <c r="F399" s="115" t="s">
        <v>69</v>
      </c>
      <c r="G399" s="114" t="s">
        <v>70</v>
      </c>
      <c r="H399" s="114" t="s">
        <v>383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960</v>
      </c>
      <c r="B400" s="114" t="s">
        <v>724</v>
      </c>
      <c r="C400" s="114" t="s">
        <v>928</v>
      </c>
      <c r="D400" s="114" t="s">
        <v>20</v>
      </c>
      <c r="E400" s="114" t="s">
        <v>961</v>
      </c>
      <c r="F400" s="115" t="s">
        <v>69</v>
      </c>
      <c r="G400" s="114" t="s">
        <v>70</v>
      </c>
      <c r="H400" s="114" t="s">
        <v>383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962</v>
      </c>
      <c r="B401" s="114" t="s">
        <v>724</v>
      </c>
      <c r="C401" s="114" t="s">
        <v>928</v>
      </c>
      <c r="D401" s="114" t="s">
        <v>20</v>
      </c>
      <c r="E401" s="114" t="s">
        <v>963</v>
      </c>
      <c r="F401" s="115" t="s">
        <v>69</v>
      </c>
      <c r="G401" s="114" t="s">
        <v>70</v>
      </c>
      <c r="H401" s="114" t="s">
        <v>383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964</v>
      </c>
      <c r="B402" s="114" t="s">
        <v>724</v>
      </c>
      <c r="C402" s="114" t="s">
        <v>928</v>
      </c>
      <c r="D402" s="114" t="s">
        <v>20</v>
      </c>
      <c r="E402" s="114" t="s">
        <v>965</v>
      </c>
      <c r="F402" s="115" t="s">
        <v>69</v>
      </c>
      <c r="G402" s="114" t="s">
        <v>70</v>
      </c>
      <c r="H402" s="114" t="s">
        <v>383</v>
      </c>
      <c r="I402" s="116" t="n">
        <v>1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966</v>
      </c>
      <c r="B403" s="114" t="s">
        <v>724</v>
      </c>
      <c r="C403" s="114" t="s">
        <v>928</v>
      </c>
      <c r="D403" s="114" t="s">
        <v>20</v>
      </c>
      <c r="E403" s="114" t="s">
        <v>967</v>
      </c>
      <c r="F403" s="115" t="s">
        <v>69</v>
      </c>
      <c r="G403" s="114" t="s">
        <v>70</v>
      </c>
      <c r="H403" s="114" t="s">
        <v>383</v>
      </c>
      <c r="I403" s="116" t="n">
        <v>0</v>
      </c>
      <c r="J403" s="116" t="n">
        <v>1</v>
      </c>
      <c r="K403" s="114"/>
      <c r="L403" s="114"/>
    </row>
    <row r="404" customFormat="false" ht="15" hidden="false" customHeight="false" outlineLevel="0" collapsed="false">
      <c r="A404" s="114" t="s">
        <v>968</v>
      </c>
      <c r="B404" s="114" t="s">
        <v>724</v>
      </c>
      <c r="C404" s="114" t="s">
        <v>928</v>
      </c>
      <c r="D404" s="114" t="s">
        <v>20</v>
      </c>
      <c r="E404" s="114" t="s">
        <v>969</v>
      </c>
      <c r="F404" s="115" t="s">
        <v>69</v>
      </c>
      <c r="G404" s="114" t="s">
        <v>70</v>
      </c>
      <c r="H404" s="114" t="s">
        <v>383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970</v>
      </c>
      <c r="B405" s="114" t="s">
        <v>724</v>
      </c>
      <c r="C405" s="114" t="s">
        <v>971</v>
      </c>
      <c r="D405" s="114" t="s">
        <v>21</v>
      </c>
      <c r="E405" s="114" t="s">
        <v>972</v>
      </c>
      <c r="F405" s="115" t="s">
        <v>87</v>
      </c>
      <c r="G405" s="114" t="s">
        <v>88</v>
      </c>
      <c r="H405" s="114" t="s">
        <v>383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973</v>
      </c>
      <c r="B406" s="114" t="s">
        <v>724</v>
      </c>
      <c r="C406" s="114" t="s">
        <v>971</v>
      </c>
      <c r="D406" s="114" t="s">
        <v>21</v>
      </c>
      <c r="E406" s="114" t="s">
        <v>974</v>
      </c>
      <c r="F406" s="115" t="s">
        <v>87</v>
      </c>
      <c r="G406" s="114" t="s">
        <v>88</v>
      </c>
      <c r="H406" s="114" t="s">
        <v>383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975</v>
      </c>
      <c r="B407" s="114" t="s">
        <v>724</v>
      </c>
      <c r="C407" s="114" t="s">
        <v>971</v>
      </c>
      <c r="D407" s="114" t="s">
        <v>21</v>
      </c>
      <c r="E407" s="114" t="s">
        <v>258</v>
      </c>
      <c r="F407" s="115" t="s">
        <v>59</v>
      </c>
      <c r="G407" s="114" t="s">
        <v>60</v>
      </c>
      <c r="H407" s="114" t="s">
        <v>383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976</v>
      </c>
      <c r="B408" s="114" t="s">
        <v>724</v>
      </c>
      <c r="C408" s="114" t="s">
        <v>971</v>
      </c>
      <c r="D408" s="114" t="s">
        <v>21</v>
      </c>
      <c r="E408" s="114" t="s">
        <v>264</v>
      </c>
      <c r="F408" s="115" t="s">
        <v>59</v>
      </c>
      <c r="G408" s="114" t="s">
        <v>60</v>
      </c>
      <c r="H408" s="114" t="s">
        <v>383</v>
      </c>
      <c r="I408" s="116" t="n">
        <v>0</v>
      </c>
      <c r="J408" s="116" t="n">
        <v>1</v>
      </c>
      <c r="K408" s="114"/>
      <c r="L408" s="114"/>
    </row>
    <row r="409" customFormat="false" ht="15" hidden="false" customHeight="false" outlineLevel="0" collapsed="false">
      <c r="A409" s="114" t="s">
        <v>977</v>
      </c>
      <c r="B409" s="114" t="s">
        <v>724</v>
      </c>
      <c r="C409" s="114" t="s">
        <v>971</v>
      </c>
      <c r="D409" s="114" t="s">
        <v>21</v>
      </c>
      <c r="E409" s="114" t="s">
        <v>978</v>
      </c>
      <c r="F409" s="115" t="s">
        <v>69</v>
      </c>
      <c r="G409" s="114" t="s">
        <v>70</v>
      </c>
      <c r="H409" s="114" t="s">
        <v>383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979</v>
      </c>
      <c r="B410" s="114" t="s">
        <v>724</v>
      </c>
      <c r="C410" s="114" t="s">
        <v>971</v>
      </c>
      <c r="D410" s="114" t="s">
        <v>21</v>
      </c>
      <c r="E410" s="114" t="s">
        <v>980</v>
      </c>
      <c r="F410" s="115" t="s">
        <v>69</v>
      </c>
      <c r="G410" s="114" t="s">
        <v>70</v>
      </c>
      <c r="H410" s="114" t="s">
        <v>383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981</v>
      </c>
      <c r="B411" s="114" t="s">
        <v>724</v>
      </c>
      <c r="C411" s="114" t="s">
        <v>18</v>
      </c>
      <c r="D411" s="114" t="s">
        <v>18</v>
      </c>
      <c r="E411" s="114" t="s">
        <v>982</v>
      </c>
      <c r="F411" s="115" t="s">
        <v>69</v>
      </c>
      <c r="G411" s="114" t="s">
        <v>70</v>
      </c>
      <c r="H411" s="114" t="s">
        <v>383</v>
      </c>
      <c r="I411" s="116" t="n">
        <v>0</v>
      </c>
      <c r="J411" s="116" t="n">
        <v>1</v>
      </c>
      <c r="K411" s="114"/>
      <c r="L411" s="114"/>
    </row>
    <row r="412" customFormat="false" ht="15" hidden="false" customHeight="false" outlineLevel="0" collapsed="false">
      <c r="A412" s="114" t="s">
        <v>983</v>
      </c>
      <c r="B412" s="114" t="s">
        <v>724</v>
      </c>
      <c r="C412" s="114" t="s">
        <v>18</v>
      </c>
      <c r="D412" s="114" t="s">
        <v>18</v>
      </c>
      <c r="E412" s="114" t="s">
        <v>984</v>
      </c>
      <c r="F412" s="115" t="s">
        <v>69</v>
      </c>
      <c r="G412" s="114" t="s">
        <v>70</v>
      </c>
      <c r="H412" s="114" t="s">
        <v>383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985</v>
      </c>
      <c r="B413" s="114" t="s">
        <v>724</v>
      </c>
      <c r="C413" s="114" t="s">
        <v>18</v>
      </c>
      <c r="D413" s="114" t="s">
        <v>18</v>
      </c>
      <c r="E413" s="114" t="s">
        <v>986</v>
      </c>
      <c r="F413" s="115" t="s">
        <v>69</v>
      </c>
      <c r="G413" s="114" t="s">
        <v>70</v>
      </c>
      <c r="H413" s="114" t="s">
        <v>383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987</v>
      </c>
      <c r="B414" s="114" t="s">
        <v>724</v>
      </c>
      <c r="C414" s="114" t="s">
        <v>18</v>
      </c>
      <c r="D414" s="114" t="s">
        <v>18</v>
      </c>
      <c r="E414" s="114" t="s">
        <v>988</v>
      </c>
      <c r="F414" s="115" t="s">
        <v>69</v>
      </c>
      <c r="G414" s="114" t="s">
        <v>70</v>
      </c>
      <c r="H414" s="114" t="s">
        <v>383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989</v>
      </c>
      <c r="B415" s="114" t="s">
        <v>724</v>
      </c>
      <c r="C415" s="114" t="s">
        <v>18</v>
      </c>
      <c r="D415" s="114" t="s">
        <v>18</v>
      </c>
      <c r="E415" s="114" t="s">
        <v>990</v>
      </c>
      <c r="F415" s="115" t="s">
        <v>69</v>
      </c>
      <c r="G415" s="114" t="s">
        <v>70</v>
      </c>
      <c r="H415" s="114" t="s">
        <v>383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991</v>
      </c>
      <c r="B416" s="114" t="s">
        <v>724</v>
      </c>
      <c r="C416" s="114" t="s">
        <v>18</v>
      </c>
      <c r="D416" s="114" t="s">
        <v>18</v>
      </c>
      <c r="E416" s="114" t="s">
        <v>992</v>
      </c>
      <c r="F416" s="115" t="s">
        <v>69</v>
      </c>
      <c r="G416" s="114" t="s">
        <v>70</v>
      </c>
      <c r="H416" s="114" t="s">
        <v>383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993</v>
      </c>
      <c r="B417" s="114" t="s">
        <v>724</v>
      </c>
      <c r="C417" s="114" t="s">
        <v>18</v>
      </c>
      <c r="D417" s="114" t="s">
        <v>18</v>
      </c>
      <c r="E417" s="114" t="s">
        <v>994</v>
      </c>
      <c r="F417" s="115" t="s">
        <v>69</v>
      </c>
      <c r="G417" s="114" t="s">
        <v>70</v>
      </c>
      <c r="H417" s="114" t="s">
        <v>383</v>
      </c>
      <c r="I417" s="116" t="n">
        <v>0</v>
      </c>
      <c r="J417" s="116" t="n">
        <v>1</v>
      </c>
      <c r="K417" s="114"/>
      <c r="L417" s="114"/>
    </row>
    <row r="418" customFormat="false" ht="15" hidden="false" customHeight="false" outlineLevel="0" collapsed="false">
      <c r="A418" s="114" t="s">
        <v>995</v>
      </c>
      <c r="B418" s="114" t="s">
        <v>724</v>
      </c>
      <c r="C418" s="114" t="s">
        <v>996</v>
      </c>
      <c r="D418" s="114" t="s">
        <v>18</v>
      </c>
      <c r="E418" s="114" t="s">
        <v>997</v>
      </c>
      <c r="F418" s="115" t="s">
        <v>87</v>
      </c>
      <c r="G418" s="114" t="s">
        <v>88</v>
      </c>
      <c r="H418" s="114" t="s">
        <v>383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998</v>
      </c>
      <c r="B419" s="114" t="s">
        <v>724</v>
      </c>
      <c r="C419" s="114" t="s">
        <v>996</v>
      </c>
      <c r="D419" s="114" t="s">
        <v>18</v>
      </c>
      <c r="E419" s="114" t="s">
        <v>999</v>
      </c>
      <c r="F419" s="115" t="s">
        <v>87</v>
      </c>
      <c r="G419" s="114" t="s">
        <v>88</v>
      </c>
      <c r="H419" s="114" t="s">
        <v>383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1000</v>
      </c>
      <c r="B420" s="114" t="s">
        <v>724</v>
      </c>
      <c r="C420" s="114" t="s">
        <v>996</v>
      </c>
      <c r="D420" s="114" t="s">
        <v>18</v>
      </c>
      <c r="E420" s="114" t="s">
        <v>1001</v>
      </c>
      <c r="F420" s="115" t="s">
        <v>87</v>
      </c>
      <c r="G420" s="114" t="s">
        <v>88</v>
      </c>
      <c r="H420" s="114" t="s">
        <v>383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399</v>
      </c>
      <c r="B421" s="114" t="s">
        <v>724</v>
      </c>
      <c r="C421" s="114" t="s">
        <v>11</v>
      </c>
      <c r="D421" s="114" t="s">
        <v>11</v>
      </c>
      <c r="E421" s="114" t="s">
        <v>1002</v>
      </c>
      <c r="F421" s="115" t="s">
        <v>69</v>
      </c>
      <c r="G421" s="114" t="s">
        <v>70</v>
      </c>
      <c r="H421" s="114" t="s">
        <v>383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1003</v>
      </c>
      <c r="B422" s="114" t="s">
        <v>724</v>
      </c>
      <c r="C422" s="114" t="s">
        <v>11</v>
      </c>
      <c r="D422" s="114" t="s">
        <v>11</v>
      </c>
      <c r="E422" s="114" t="s">
        <v>1004</v>
      </c>
      <c r="F422" s="115" t="s">
        <v>69</v>
      </c>
      <c r="G422" s="114" t="s">
        <v>70</v>
      </c>
      <c r="H422" s="114" t="s">
        <v>383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1005</v>
      </c>
      <c r="B423" s="114" t="s">
        <v>724</v>
      </c>
      <c r="C423" s="114" t="s">
        <v>11</v>
      </c>
      <c r="D423" s="114" t="s">
        <v>11</v>
      </c>
      <c r="E423" s="114" t="s">
        <v>1006</v>
      </c>
      <c r="F423" s="115" t="s">
        <v>69</v>
      </c>
      <c r="G423" s="114" t="s">
        <v>70</v>
      </c>
      <c r="H423" s="114" t="s">
        <v>383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1007</v>
      </c>
      <c r="B424" s="114" t="s">
        <v>724</v>
      </c>
      <c r="C424" s="114" t="s">
        <v>11</v>
      </c>
      <c r="D424" s="114" t="s">
        <v>11</v>
      </c>
      <c r="E424" s="114" t="s">
        <v>1008</v>
      </c>
      <c r="F424" s="115" t="s">
        <v>69</v>
      </c>
      <c r="G424" s="114" t="s">
        <v>70</v>
      </c>
      <c r="H424" s="114" t="s">
        <v>383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617</v>
      </c>
      <c r="B425" s="114" t="s">
        <v>724</v>
      </c>
      <c r="C425" s="114" t="s">
        <v>11</v>
      </c>
      <c r="D425" s="114" t="s">
        <v>11</v>
      </c>
      <c r="E425" s="114" t="s">
        <v>1009</v>
      </c>
      <c r="F425" s="115" t="s">
        <v>69</v>
      </c>
      <c r="G425" s="114" t="s">
        <v>70</v>
      </c>
      <c r="H425" s="114" t="s">
        <v>383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484</v>
      </c>
      <c r="B426" s="114" t="s">
        <v>724</v>
      </c>
      <c r="C426" s="114" t="s">
        <v>11</v>
      </c>
      <c r="D426" s="114" t="s">
        <v>11</v>
      </c>
      <c r="E426" s="114" t="s">
        <v>1010</v>
      </c>
      <c r="F426" s="115" t="s">
        <v>69</v>
      </c>
      <c r="G426" s="114" t="s">
        <v>70</v>
      </c>
      <c r="H426" s="114" t="s">
        <v>383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487</v>
      </c>
      <c r="B427" s="114" t="s">
        <v>724</v>
      </c>
      <c r="C427" s="114" t="s">
        <v>11</v>
      </c>
      <c r="D427" s="114" t="s">
        <v>11</v>
      </c>
      <c r="E427" s="114" t="s">
        <v>1011</v>
      </c>
      <c r="F427" s="115" t="s">
        <v>69</v>
      </c>
      <c r="G427" s="114" t="s">
        <v>70</v>
      </c>
      <c r="H427" s="114" t="s">
        <v>383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489</v>
      </c>
      <c r="B428" s="114" t="s">
        <v>724</v>
      </c>
      <c r="C428" s="114" t="s">
        <v>11</v>
      </c>
      <c r="D428" s="114" t="s">
        <v>11</v>
      </c>
      <c r="E428" s="114" t="s">
        <v>1012</v>
      </c>
      <c r="F428" s="115" t="s">
        <v>69</v>
      </c>
      <c r="G428" s="114" t="s">
        <v>70</v>
      </c>
      <c r="H428" s="114" t="s">
        <v>383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1013</v>
      </c>
      <c r="B429" s="114" t="s">
        <v>724</v>
      </c>
      <c r="C429" s="114" t="s">
        <v>11</v>
      </c>
      <c r="D429" s="114" t="s">
        <v>11</v>
      </c>
      <c r="E429" s="114" t="s">
        <v>1014</v>
      </c>
      <c r="F429" s="115" t="s">
        <v>69</v>
      </c>
      <c r="G429" s="114" t="s">
        <v>70</v>
      </c>
      <c r="H429" s="114" t="s">
        <v>383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1015</v>
      </c>
      <c r="B430" s="114" t="s">
        <v>724</v>
      </c>
      <c r="C430" s="114" t="s">
        <v>11</v>
      </c>
      <c r="D430" s="114" t="s">
        <v>11</v>
      </c>
      <c r="E430" s="114" t="s">
        <v>1016</v>
      </c>
      <c r="F430" s="115" t="s">
        <v>69</v>
      </c>
      <c r="G430" s="114" t="s">
        <v>70</v>
      </c>
      <c r="H430" s="114" t="s">
        <v>383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1017</v>
      </c>
      <c r="B431" s="114" t="s">
        <v>724</v>
      </c>
      <c r="C431" s="114" t="s">
        <v>11</v>
      </c>
      <c r="D431" s="114" t="s">
        <v>11</v>
      </c>
      <c r="E431" s="114" t="s">
        <v>1018</v>
      </c>
      <c r="F431" s="115" t="s">
        <v>69</v>
      </c>
      <c r="G431" s="114" t="s">
        <v>70</v>
      </c>
      <c r="H431" s="114" t="s">
        <v>383</v>
      </c>
      <c r="I431" s="116" t="n">
        <v>0</v>
      </c>
      <c r="J431" s="116" t="n">
        <v>1</v>
      </c>
      <c r="K431" s="114"/>
      <c r="L431" s="114"/>
    </row>
    <row r="432" customFormat="false" ht="15" hidden="false" customHeight="false" outlineLevel="0" collapsed="false">
      <c r="A432" s="114" t="s">
        <v>386</v>
      </c>
      <c r="B432" s="114" t="s">
        <v>724</v>
      </c>
      <c r="C432" s="114" t="s">
        <v>558</v>
      </c>
      <c r="D432" s="114" t="s">
        <v>10</v>
      </c>
      <c r="E432" s="114" t="s">
        <v>1019</v>
      </c>
      <c r="F432" s="115" t="s">
        <v>69</v>
      </c>
      <c r="G432" s="114" t="s">
        <v>70</v>
      </c>
      <c r="H432" s="114" t="s">
        <v>383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1020</v>
      </c>
      <c r="B433" s="114" t="s">
        <v>724</v>
      </c>
      <c r="C433" s="114" t="s">
        <v>1021</v>
      </c>
      <c r="D433" s="114" t="s">
        <v>28</v>
      </c>
      <c r="E433" s="114" t="s">
        <v>1022</v>
      </c>
      <c r="F433" s="115" t="s">
        <v>69</v>
      </c>
      <c r="G433" s="114" t="s">
        <v>70</v>
      </c>
      <c r="H433" s="114" t="s">
        <v>383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1023</v>
      </c>
      <c r="B434" s="114" t="s">
        <v>724</v>
      </c>
      <c r="C434" s="114" t="s">
        <v>1021</v>
      </c>
      <c r="D434" s="114" t="s">
        <v>28</v>
      </c>
      <c r="E434" s="114" t="s">
        <v>1024</v>
      </c>
      <c r="F434" s="115" t="s">
        <v>69</v>
      </c>
      <c r="G434" s="114" t="s">
        <v>70</v>
      </c>
      <c r="H434" s="114" t="s">
        <v>383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1025</v>
      </c>
      <c r="B435" s="114" t="s">
        <v>724</v>
      </c>
      <c r="C435" s="114" t="s">
        <v>1021</v>
      </c>
      <c r="D435" s="114" t="s">
        <v>28</v>
      </c>
      <c r="E435" s="114" t="s">
        <v>1026</v>
      </c>
      <c r="F435" s="115" t="s">
        <v>69</v>
      </c>
      <c r="G435" s="114" t="s">
        <v>70</v>
      </c>
      <c r="H435" s="114" t="s">
        <v>383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623</v>
      </c>
      <c r="B436" s="114" t="s">
        <v>724</v>
      </c>
      <c r="C436" s="114" t="s">
        <v>1027</v>
      </c>
      <c r="D436" s="114" t="s">
        <v>12</v>
      </c>
      <c r="E436" s="114" t="s">
        <v>1028</v>
      </c>
      <c r="F436" s="115" t="s">
        <v>69</v>
      </c>
      <c r="G436" s="114" t="s">
        <v>70</v>
      </c>
      <c r="H436" s="114" t="s">
        <v>383</v>
      </c>
      <c r="I436" s="116" t="n">
        <v>1</v>
      </c>
      <c r="J436" s="116" t="n">
        <v>1</v>
      </c>
      <c r="K436" s="114"/>
      <c r="L436" s="114"/>
    </row>
    <row r="437" customFormat="false" ht="15" hidden="false" customHeight="false" outlineLevel="0" collapsed="false">
      <c r="A437" s="114" t="s">
        <v>1029</v>
      </c>
      <c r="B437" s="114" t="s">
        <v>724</v>
      </c>
      <c r="C437" s="114" t="s">
        <v>1027</v>
      </c>
      <c r="D437" s="114" t="s">
        <v>12</v>
      </c>
      <c r="E437" s="114" t="s">
        <v>1030</v>
      </c>
      <c r="F437" s="115" t="s">
        <v>69</v>
      </c>
      <c r="G437" s="114" t="s">
        <v>70</v>
      </c>
      <c r="H437" s="114" t="s">
        <v>383</v>
      </c>
      <c r="I437" s="116" t="n">
        <v>1</v>
      </c>
      <c r="J437" s="116" t="n">
        <v>1</v>
      </c>
      <c r="K437" s="114"/>
      <c r="L437" s="114"/>
    </row>
    <row r="438" customFormat="false" ht="15" hidden="false" customHeight="false" outlineLevel="0" collapsed="false">
      <c r="A438" s="114" t="s">
        <v>1031</v>
      </c>
      <c r="B438" s="114" t="s">
        <v>724</v>
      </c>
      <c r="C438" s="114" t="s">
        <v>1027</v>
      </c>
      <c r="D438" s="114" t="s">
        <v>12</v>
      </c>
      <c r="E438" s="114" t="s">
        <v>1032</v>
      </c>
      <c r="F438" s="115" t="s">
        <v>69</v>
      </c>
      <c r="G438" s="114" t="s">
        <v>70</v>
      </c>
      <c r="H438" s="114" t="s">
        <v>383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1033</v>
      </c>
      <c r="B439" s="114" t="s">
        <v>724</v>
      </c>
      <c r="C439" s="114" t="s">
        <v>1027</v>
      </c>
      <c r="D439" s="114" t="s">
        <v>12</v>
      </c>
      <c r="E439" s="114" t="s">
        <v>1034</v>
      </c>
      <c r="F439" s="115" t="s">
        <v>69</v>
      </c>
      <c r="G439" s="114" t="s">
        <v>70</v>
      </c>
      <c r="H439" s="114" t="s">
        <v>383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1035</v>
      </c>
      <c r="B440" s="114" t="s">
        <v>724</v>
      </c>
      <c r="C440" s="114" t="s">
        <v>1027</v>
      </c>
      <c r="D440" s="114" t="s">
        <v>12</v>
      </c>
      <c r="E440" s="114" t="s">
        <v>1036</v>
      </c>
      <c r="F440" s="115" t="s">
        <v>69</v>
      </c>
      <c r="G440" s="114" t="s">
        <v>70</v>
      </c>
      <c r="H440" s="114" t="s">
        <v>383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1037</v>
      </c>
      <c r="B441" s="114" t="s">
        <v>724</v>
      </c>
      <c r="C441" s="114" t="s">
        <v>1027</v>
      </c>
      <c r="D441" s="114" t="s">
        <v>12</v>
      </c>
      <c r="E441" s="114" t="s">
        <v>1038</v>
      </c>
      <c r="F441" s="115" t="s">
        <v>69</v>
      </c>
      <c r="G441" s="114" t="s">
        <v>70</v>
      </c>
      <c r="H441" s="114" t="s">
        <v>383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1039</v>
      </c>
      <c r="B442" s="114" t="s">
        <v>724</v>
      </c>
      <c r="C442" s="114" t="s">
        <v>1027</v>
      </c>
      <c r="D442" s="114" t="s">
        <v>12</v>
      </c>
      <c r="E442" s="114" t="s">
        <v>1040</v>
      </c>
      <c r="F442" s="115" t="s">
        <v>69</v>
      </c>
      <c r="G442" s="114" t="s">
        <v>70</v>
      </c>
      <c r="H442" s="114" t="s">
        <v>383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1041</v>
      </c>
      <c r="B443" s="114" t="s">
        <v>724</v>
      </c>
      <c r="C443" s="114" t="s">
        <v>1027</v>
      </c>
      <c r="D443" s="114" t="s">
        <v>12</v>
      </c>
      <c r="E443" s="114" t="s">
        <v>1042</v>
      </c>
      <c r="F443" s="115" t="s">
        <v>69</v>
      </c>
      <c r="G443" s="114" t="s">
        <v>70</v>
      </c>
      <c r="H443" s="114" t="s">
        <v>383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1043</v>
      </c>
      <c r="B444" s="114" t="s">
        <v>724</v>
      </c>
      <c r="C444" s="114" t="s">
        <v>1027</v>
      </c>
      <c r="D444" s="114" t="s">
        <v>12</v>
      </c>
      <c r="E444" s="114" t="s">
        <v>1044</v>
      </c>
      <c r="F444" s="115" t="s">
        <v>69</v>
      </c>
      <c r="G444" s="114" t="s">
        <v>70</v>
      </c>
      <c r="H444" s="114" t="s">
        <v>383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1045</v>
      </c>
      <c r="B445" s="114" t="s">
        <v>724</v>
      </c>
      <c r="C445" s="114" t="s">
        <v>1027</v>
      </c>
      <c r="D445" s="114" t="s">
        <v>12</v>
      </c>
      <c r="E445" s="114" t="s">
        <v>1046</v>
      </c>
      <c r="F445" s="115" t="s">
        <v>69</v>
      </c>
      <c r="G445" s="114" t="s">
        <v>70</v>
      </c>
      <c r="H445" s="114" t="s">
        <v>383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1047</v>
      </c>
      <c r="B446" s="114" t="s">
        <v>724</v>
      </c>
      <c r="C446" s="114" t="s">
        <v>1027</v>
      </c>
      <c r="D446" s="114" t="s">
        <v>12</v>
      </c>
      <c r="E446" s="114" t="s">
        <v>1048</v>
      </c>
      <c r="F446" s="115" t="s">
        <v>69</v>
      </c>
      <c r="G446" s="114" t="s">
        <v>70</v>
      </c>
      <c r="H446" s="114" t="s">
        <v>383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1049</v>
      </c>
      <c r="B447" s="114" t="s">
        <v>724</v>
      </c>
      <c r="C447" s="114" t="s">
        <v>1027</v>
      </c>
      <c r="D447" s="114" t="s">
        <v>12</v>
      </c>
      <c r="E447" s="114" t="s">
        <v>1050</v>
      </c>
      <c r="F447" s="115" t="s">
        <v>69</v>
      </c>
      <c r="G447" s="114" t="s">
        <v>70</v>
      </c>
      <c r="H447" s="114" t="s">
        <v>383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1051</v>
      </c>
      <c r="B448" s="114" t="s">
        <v>724</v>
      </c>
      <c r="C448" s="114" t="s">
        <v>1027</v>
      </c>
      <c r="D448" s="114" t="s">
        <v>12</v>
      </c>
      <c r="E448" s="114" t="s">
        <v>1052</v>
      </c>
      <c r="F448" s="115" t="s">
        <v>69</v>
      </c>
      <c r="G448" s="114" t="s">
        <v>70</v>
      </c>
      <c r="H448" s="114" t="s">
        <v>383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1053</v>
      </c>
      <c r="B449" s="114" t="s">
        <v>724</v>
      </c>
      <c r="C449" s="114" t="s">
        <v>1027</v>
      </c>
      <c r="D449" s="114" t="s">
        <v>12</v>
      </c>
      <c r="E449" s="114" t="s">
        <v>1054</v>
      </c>
      <c r="F449" s="115" t="s">
        <v>69</v>
      </c>
      <c r="G449" s="114" t="s">
        <v>70</v>
      </c>
      <c r="H449" s="114" t="s">
        <v>383</v>
      </c>
      <c r="I449" s="116" t="n">
        <v>0</v>
      </c>
      <c r="J449" s="116" t="n">
        <v>1</v>
      </c>
      <c r="K449" s="114"/>
      <c r="L449" s="114"/>
    </row>
    <row r="450" customFormat="false" ht="15" hidden="false" customHeight="false" outlineLevel="0" collapsed="false">
      <c r="A450" s="114" t="s">
        <v>1055</v>
      </c>
      <c r="B450" s="114" t="s">
        <v>1056</v>
      </c>
      <c r="C450" s="114" t="s">
        <v>1057</v>
      </c>
      <c r="D450" s="114" t="s">
        <v>45</v>
      </c>
      <c r="E450" s="114" t="s">
        <v>1058</v>
      </c>
      <c r="F450" s="115" t="s">
        <v>71</v>
      </c>
      <c r="G450" s="114" t="s">
        <v>72</v>
      </c>
      <c r="H450" s="114" t="s">
        <v>383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424</v>
      </c>
      <c r="B451" s="114" t="s">
        <v>1056</v>
      </c>
      <c r="C451" s="114" t="s">
        <v>31</v>
      </c>
      <c r="D451" s="114" t="s">
        <v>31</v>
      </c>
      <c r="E451" s="114" t="s">
        <v>1059</v>
      </c>
      <c r="F451" s="115" t="s">
        <v>71</v>
      </c>
      <c r="G451" s="114" t="s">
        <v>72</v>
      </c>
      <c r="H451" s="114" t="s">
        <v>383</v>
      </c>
      <c r="I451" s="116" t="n">
        <v>0</v>
      </c>
      <c r="J451" s="116" t="n">
        <v>1</v>
      </c>
      <c r="K451" s="114"/>
      <c r="L451" s="114"/>
    </row>
    <row r="452" customFormat="false" ht="15" hidden="false" customHeight="false" outlineLevel="0" collapsed="false">
      <c r="A452" s="114" t="s">
        <v>425</v>
      </c>
      <c r="B452" s="114" t="s">
        <v>1056</v>
      </c>
      <c r="C452" s="114" t="s">
        <v>31</v>
      </c>
      <c r="D452" s="114" t="s">
        <v>31</v>
      </c>
      <c r="E452" s="114" t="s">
        <v>1060</v>
      </c>
      <c r="F452" s="115" t="s">
        <v>71</v>
      </c>
      <c r="G452" s="114" t="s">
        <v>72</v>
      </c>
      <c r="H452" s="114" t="s">
        <v>383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426</v>
      </c>
      <c r="B453" s="114" t="s">
        <v>1056</v>
      </c>
      <c r="C453" s="114" t="s">
        <v>31</v>
      </c>
      <c r="D453" s="114" t="s">
        <v>31</v>
      </c>
      <c r="E453" s="114" t="s">
        <v>1061</v>
      </c>
      <c r="F453" s="115" t="s">
        <v>71</v>
      </c>
      <c r="G453" s="114" t="s">
        <v>72</v>
      </c>
      <c r="H453" s="114" t="s">
        <v>383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1062</v>
      </c>
      <c r="B454" s="114" t="s">
        <v>1056</v>
      </c>
      <c r="C454" s="114" t="s">
        <v>19</v>
      </c>
      <c r="D454" s="114" t="s">
        <v>19</v>
      </c>
      <c r="E454" s="114" t="s">
        <v>1063</v>
      </c>
      <c r="F454" s="115" t="s">
        <v>71</v>
      </c>
      <c r="G454" s="114" t="s">
        <v>72</v>
      </c>
      <c r="H454" s="114" t="s">
        <v>383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908</v>
      </c>
      <c r="B455" s="114" t="s">
        <v>1056</v>
      </c>
      <c r="C455" s="114" t="s">
        <v>19</v>
      </c>
      <c r="D455" s="114" t="s">
        <v>19</v>
      </c>
      <c r="E455" s="114" t="s">
        <v>1064</v>
      </c>
      <c r="F455" s="115" t="s">
        <v>81</v>
      </c>
      <c r="G455" s="114" t="s">
        <v>82</v>
      </c>
      <c r="H455" s="114" t="s">
        <v>383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911</v>
      </c>
      <c r="B456" s="114" t="s">
        <v>1056</v>
      </c>
      <c r="C456" s="114" t="s">
        <v>19</v>
      </c>
      <c r="D456" s="114" t="s">
        <v>19</v>
      </c>
      <c r="E456" s="114" t="s">
        <v>1065</v>
      </c>
      <c r="F456" s="115" t="s">
        <v>109</v>
      </c>
      <c r="G456" s="114" t="s">
        <v>110</v>
      </c>
      <c r="H456" s="114" t="s">
        <v>383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655</v>
      </c>
      <c r="B457" s="114" t="s">
        <v>1056</v>
      </c>
      <c r="C457" s="114" t="s">
        <v>19</v>
      </c>
      <c r="D457" s="114" t="s">
        <v>19</v>
      </c>
      <c r="E457" s="114" t="s">
        <v>1066</v>
      </c>
      <c r="F457" s="115" t="s">
        <v>109</v>
      </c>
      <c r="G457" s="114" t="s">
        <v>110</v>
      </c>
      <c r="H457" s="114" t="s">
        <v>383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405</v>
      </c>
      <c r="B458" s="114" t="s">
        <v>1056</v>
      </c>
      <c r="C458" s="114" t="s">
        <v>27</v>
      </c>
      <c r="D458" s="114" t="s">
        <v>27</v>
      </c>
      <c r="E458" s="114" t="s">
        <v>1067</v>
      </c>
      <c r="F458" s="115" t="s">
        <v>71</v>
      </c>
      <c r="G458" s="114" t="s">
        <v>72</v>
      </c>
      <c r="H458" s="114" t="s">
        <v>383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503</v>
      </c>
      <c r="B459" s="114" t="s">
        <v>1056</v>
      </c>
      <c r="C459" s="114" t="s">
        <v>37</v>
      </c>
      <c r="D459" s="114" t="s">
        <v>37</v>
      </c>
      <c r="E459" s="114" t="s">
        <v>1068</v>
      </c>
      <c r="F459" s="115" t="s">
        <v>71</v>
      </c>
      <c r="G459" s="114" t="s">
        <v>72</v>
      </c>
      <c r="H459" s="114" t="s">
        <v>383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414</v>
      </c>
      <c r="B460" s="114" t="s">
        <v>1056</v>
      </c>
      <c r="C460" s="114" t="s">
        <v>26</v>
      </c>
      <c r="D460" s="114" t="s">
        <v>26</v>
      </c>
      <c r="E460" s="114" t="s">
        <v>1069</v>
      </c>
      <c r="F460" s="115" t="s">
        <v>69</v>
      </c>
      <c r="G460" s="114" t="s">
        <v>70</v>
      </c>
      <c r="H460" s="114" t="s">
        <v>383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570</v>
      </c>
      <c r="B461" s="114" t="s">
        <v>1056</v>
      </c>
      <c r="C461" s="114" t="s">
        <v>33</v>
      </c>
      <c r="D461" s="114" t="s">
        <v>33</v>
      </c>
      <c r="E461" s="114" t="s">
        <v>1070</v>
      </c>
      <c r="F461" s="115" t="s">
        <v>71</v>
      </c>
      <c r="G461" s="114" t="s">
        <v>72</v>
      </c>
      <c r="H461" s="114" t="s">
        <v>383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583</v>
      </c>
      <c r="B462" s="114" t="s">
        <v>1056</v>
      </c>
      <c r="C462" s="114" t="s">
        <v>17</v>
      </c>
      <c r="D462" s="114" t="s">
        <v>17</v>
      </c>
      <c r="E462" s="114" t="s">
        <v>1071</v>
      </c>
      <c r="F462" s="115" t="s">
        <v>69</v>
      </c>
      <c r="G462" s="114" t="s">
        <v>70</v>
      </c>
      <c r="H462" s="114" t="s">
        <v>383</v>
      </c>
      <c r="I462" s="116" t="n">
        <v>0</v>
      </c>
      <c r="J462" s="116" t="n">
        <v>1</v>
      </c>
      <c r="K462" s="114"/>
      <c r="L462" s="114"/>
    </row>
    <row r="463" customFormat="false" ht="15" hidden="false" customHeight="false" outlineLevel="0" collapsed="false">
      <c r="A463" s="114" t="s">
        <v>1072</v>
      </c>
      <c r="B463" s="114" t="s">
        <v>1056</v>
      </c>
      <c r="C463" s="114" t="s">
        <v>17</v>
      </c>
      <c r="D463" s="114" t="s">
        <v>17</v>
      </c>
      <c r="E463" s="114" t="s">
        <v>1073</v>
      </c>
      <c r="F463" s="115" t="s">
        <v>71</v>
      </c>
      <c r="G463" s="114" t="s">
        <v>72</v>
      </c>
      <c r="H463" s="114" t="s">
        <v>383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623</v>
      </c>
      <c r="B464" s="114" t="s">
        <v>1056</v>
      </c>
      <c r="C464" s="114" t="s">
        <v>22</v>
      </c>
      <c r="D464" s="114" t="s">
        <v>22</v>
      </c>
      <c r="E464" s="114" t="s">
        <v>1074</v>
      </c>
      <c r="F464" s="115" t="s">
        <v>71</v>
      </c>
      <c r="G464" s="114" t="s">
        <v>72</v>
      </c>
      <c r="H464" s="114" t="s">
        <v>383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1029</v>
      </c>
      <c r="B465" s="114" t="s">
        <v>1056</v>
      </c>
      <c r="C465" s="114" t="s">
        <v>22</v>
      </c>
      <c r="D465" s="114" t="s">
        <v>22</v>
      </c>
      <c r="E465" s="114" t="s">
        <v>1075</v>
      </c>
      <c r="F465" s="115" t="s">
        <v>75</v>
      </c>
      <c r="G465" s="114" t="s">
        <v>76</v>
      </c>
      <c r="H465" s="114" t="s">
        <v>383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1031</v>
      </c>
      <c r="B466" s="114" t="s">
        <v>1056</v>
      </c>
      <c r="C466" s="114" t="s">
        <v>22</v>
      </c>
      <c r="D466" s="114" t="s">
        <v>22</v>
      </c>
      <c r="E466" s="114" t="s">
        <v>1076</v>
      </c>
      <c r="F466" s="115" t="s">
        <v>75</v>
      </c>
      <c r="G466" s="114" t="s">
        <v>76</v>
      </c>
      <c r="H466" s="114" t="s">
        <v>383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1033</v>
      </c>
      <c r="B467" s="114" t="s">
        <v>1056</v>
      </c>
      <c r="C467" s="114" t="s">
        <v>22</v>
      </c>
      <c r="D467" s="114" t="s">
        <v>22</v>
      </c>
      <c r="E467" s="114" t="s">
        <v>1077</v>
      </c>
      <c r="F467" s="115" t="s">
        <v>71</v>
      </c>
      <c r="G467" s="114" t="s">
        <v>72</v>
      </c>
      <c r="H467" s="114" t="s">
        <v>383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1035</v>
      </c>
      <c r="B468" s="114" t="s">
        <v>1056</v>
      </c>
      <c r="C468" s="114" t="s">
        <v>22</v>
      </c>
      <c r="D468" s="114" t="s">
        <v>22</v>
      </c>
      <c r="E468" s="114" t="s">
        <v>1078</v>
      </c>
      <c r="F468" s="115" t="s">
        <v>71</v>
      </c>
      <c r="G468" s="114" t="s">
        <v>72</v>
      </c>
      <c r="H468" s="114" t="s">
        <v>383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1037</v>
      </c>
      <c r="B469" s="114" t="s">
        <v>1056</v>
      </c>
      <c r="C469" s="114" t="s">
        <v>22</v>
      </c>
      <c r="D469" s="114" t="s">
        <v>22</v>
      </c>
      <c r="E469" s="114" t="s">
        <v>1079</v>
      </c>
      <c r="F469" s="115" t="s">
        <v>71</v>
      </c>
      <c r="G469" s="114" t="s">
        <v>72</v>
      </c>
      <c r="H469" s="114" t="s">
        <v>383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1039</v>
      </c>
      <c r="B470" s="114" t="s">
        <v>1056</v>
      </c>
      <c r="C470" s="114" t="s">
        <v>22</v>
      </c>
      <c r="D470" s="114" t="s">
        <v>22</v>
      </c>
      <c r="E470" s="114" t="s">
        <v>1080</v>
      </c>
      <c r="F470" s="115" t="s">
        <v>71</v>
      </c>
      <c r="G470" s="114" t="s">
        <v>72</v>
      </c>
      <c r="H470" s="114" t="s">
        <v>383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1041</v>
      </c>
      <c r="B471" s="114" t="s">
        <v>1056</v>
      </c>
      <c r="C471" s="114" t="s">
        <v>22</v>
      </c>
      <c r="D471" s="114" t="s">
        <v>22</v>
      </c>
      <c r="E471" s="114" t="s">
        <v>1081</v>
      </c>
      <c r="F471" s="115" t="s">
        <v>71</v>
      </c>
      <c r="G471" s="114" t="s">
        <v>72</v>
      </c>
      <c r="H471" s="114" t="s">
        <v>383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1043</v>
      </c>
      <c r="B472" s="114" t="s">
        <v>1056</v>
      </c>
      <c r="C472" s="114" t="s">
        <v>22</v>
      </c>
      <c r="D472" s="114" t="s">
        <v>22</v>
      </c>
      <c r="E472" s="114" t="s">
        <v>1082</v>
      </c>
      <c r="F472" s="115" t="s">
        <v>71</v>
      </c>
      <c r="G472" s="114" t="s">
        <v>72</v>
      </c>
      <c r="H472" s="114" t="s">
        <v>383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1045</v>
      </c>
      <c r="B473" s="114" t="s">
        <v>1056</v>
      </c>
      <c r="C473" s="114" t="s">
        <v>22</v>
      </c>
      <c r="D473" s="114" t="s">
        <v>22</v>
      </c>
      <c r="E473" s="114" t="s">
        <v>1083</v>
      </c>
      <c r="F473" s="115" t="s">
        <v>71</v>
      </c>
      <c r="G473" s="114" t="s">
        <v>72</v>
      </c>
      <c r="H473" s="114" t="s">
        <v>383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1047</v>
      </c>
      <c r="B474" s="114" t="s">
        <v>1056</v>
      </c>
      <c r="C474" s="114" t="s">
        <v>22</v>
      </c>
      <c r="D474" s="114" t="s">
        <v>22</v>
      </c>
      <c r="E474" s="114" t="s">
        <v>1084</v>
      </c>
      <c r="F474" s="115" t="s">
        <v>89</v>
      </c>
      <c r="G474" s="114" t="s">
        <v>90</v>
      </c>
      <c r="H474" s="114" t="s">
        <v>383</v>
      </c>
      <c r="I474" s="116" t="n">
        <v>1</v>
      </c>
      <c r="J474" s="116" t="n">
        <v>1</v>
      </c>
      <c r="K474" s="114"/>
      <c r="L474" s="114"/>
    </row>
    <row r="475" customFormat="false" ht="15" hidden="false" customHeight="false" outlineLevel="0" collapsed="false">
      <c r="A475" s="114" t="s">
        <v>1049</v>
      </c>
      <c r="B475" s="114" t="s">
        <v>1056</v>
      </c>
      <c r="C475" s="114" t="s">
        <v>22</v>
      </c>
      <c r="D475" s="114" t="s">
        <v>22</v>
      </c>
      <c r="E475" s="114" t="s">
        <v>1085</v>
      </c>
      <c r="F475" s="115" t="s">
        <v>69</v>
      </c>
      <c r="G475" s="114" t="s">
        <v>70</v>
      </c>
      <c r="H475" s="114" t="s">
        <v>383</v>
      </c>
      <c r="I475" s="116" t="n">
        <v>0</v>
      </c>
      <c r="J475" s="116" t="n">
        <v>1</v>
      </c>
      <c r="K475" s="114"/>
      <c r="L475" s="114"/>
    </row>
    <row r="476" customFormat="false" ht="15" hidden="false" customHeight="false" outlineLevel="0" collapsed="false">
      <c r="A476" s="114" t="s">
        <v>1051</v>
      </c>
      <c r="B476" s="114" t="s">
        <v>1056</v>
      </c>
      <c r="C476" s="114" t="s">
        <v>22</v>
      </c>
      <c r="D476" s="114" t="s">
        <v>22</v>
      </c>
      <c r="E476" s="114" t="s">
        <v>211</v>
      </c>
      <c r="F476" s="115" t="s">
        <v>49</v>
      </c>
      <c r="G476" s="114" t="s">
        <v>50</v>
      </c>
      <c r="H476" s="114" t="s">
        <v>383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512</v>
      </c>
      <c r="B477" s="114" t="s">
        <v>1056</v>
      </c>
      <c r="C477" s="114" t="s">
        <v>1086</v>
      </c>
      <c r="D477" s="114" t="s">
        <v>46</v>
      </c>
      <c r="E477" s="114" t="s">
        <v>1087</v>
      </c>
      <c r="F477" s="115" t="s">
        <v>79</v>
      </c>
      <c r="G477" s="114" t="s">
        <v>80</v>
      </c>
      <c r="H477" s="114" t="s">
        <v>383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1088</v>
      </c>
      <c r="B478" s="114" t="s">
        <v>1056</v>
      </c>
      <c r="C478" s="114" t="s">
        <v>1086</v>
      </c>
      <c r="D478" s="114" t="s">
        <v>46</v>
      </c>
      <c r="E478" s="114" t="s">
        <v>1089</v>
      </c>
      <c r="F478" s="115" t="s">
        <v>79</v>
      </c>
      <c r="G478" s="114" t="s">
        <v>80</v>
      </c>
      <c r="H478" s="114" t="s">
        <v>383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411</v>
      </c>
      <c r="B479" s="114" t="s">
        <v>1056</v>
      </c>
      <c r="C479" s="114" t="s">
        <v>1086</v>
      </c>
      <c r="D479" s="114" t="s">
        <v>46</v>
      </c>
      <c r="E479" s="114" t="s">
        <v>1090</v>
      </c>
      <c r="F479" s="115" t="s">
        <v>79</v>
      </c>
      <c r="G479" s="114" t="s">
        <v>80</v>
      </c>
      <c r="H479" s="114" t="s">
        <v>383</v>
      </c>
      <c r="I479" s="116" t="n">
        <v>0</v>
      </c>
      <c r="J479" s="116" t="n">
        <v>1</v>
      </c>
      <c r="K479" s="114"/>
      <c r="L479" s="114"/>
    </row>
    <row r="480" customFormat="false" ht="15" hidden="false" customHeight="false" outlineLevel="0" collapsed="false">
      <c r="A480" s="114" t="s">
        <v>1091</v>
      </c>
      <c r="B480" s="114" t="s">
        <v>1056</v>
      </c>
      <c r="C480" s="114" t="s">
        <v>1086</v>
      </c>
      <c r="D480" s="114" t="s">
        <v>46</v>
      </c>
      <c r="E480" s="114" t="s">
        <v>1092</v>
      </c>
      <c r="F480" s="115" t="s">
        <v>79</v>
      </c>
      <c r="G480" s="114" t="s">
        <v>80</v>
      </c>
      <c r="H480" s="114" t="s">
        <v>383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1093</v>
      </c>
      <c r="B481" s="114" t="s">
        <v>1056</v>
      </c>
      <c r="C481" s="114" t="s">
        <v>1086</v>
      </c>
      <c r="D481" s="114" t="s">
        <v>46</v>
      </c>
      <c r="E481" s="114" t="s">
        <v>1094</v>
      </c>
      <c r="F481" s="115" t="s">
        <v>79</v>
      </c>
      <c r="G481" s="114" t="s">
        <v>80</v>
      </c>
      <c r="H481" s="114" t="s">
        <v>383</v>
      </c>
      <c r="I481" s="116" t="n">
        <v>0</v>
      </c>
      <c r="J481" s="116" t="n">
        <v>1</v>
      </c>
      <c r="K481" s="114"/>
      <c r="L481" s="114"/>
    </row>
    <row r="482" customFormat="false" ht="15" hidden="false" customHeight="false" outlineLevel="0" collapsed="false">
      <c r="A482" s="114" t="s">
        <v>1095</v>
      </c>
      <c r="B482" s="114" t="s">
        <v>1056</v>
      </c>
      <c r="C482" s="114" t="s">
        <v>1086</v>
      </c>
      <c r="D482" s="114" t="s">
        <v>46</v>
      </c>
      <c r="E482" s="114" t="s">
        <v>1096</v>
      </c>
      <c r="F482" s="115" t="s">
        <v>79</v>
      </c>
      <c r="G482" s="114" t="s">
        <v>80</v>
      </c>
      <c r="H482" s="114" t="s">
        <v>383</v>
      </c>
      <c r="I482" s="116" t="n">
        <v>0</v>
      </c>
      <c r="J482" s="116" t="n">
        <v>1</v>
      </c>
      <c r="K482" s="114"/>
      <c r="L482" s="114"/>
    </row>
    <row r="483" customFormat="false" ht="15" hidden="false" customHeight="false" outlineLevel="0" collapsed="false">
      <c r="A483" s="114" t="s">
        <v>1097</v>
      </c>
      <c r="B483" s="114" t="s">
        <v>1056</v>
      </c>
      <c r="C483" s="114" t="s">
        <v>1086</v>
      </c>
      <c r="D483" s="114" t="s">
        <v>46</v>
      </c>
      <c r="E483" s="114" t="s">
        <v>1098</v>
      </c>
      <c r="F483" s="115" t="s">
        <v>79</v>
      </c>
      <c r="G483" s="114" t="s">
        <v>80</v>
      </c>
      <c r="H483" s="114" t="s">
        <v>383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469</v>
      </c>
      <c r="B484" s="114" t="s">
        <v>1056</v>
      </c>
      <c r="C484" s="114" t="s">
        <v>24</v>
      </c>
      <c r="D484" s="114" t="s">
        <v>24</v>
      </c>
      <c r="E484" s="114" t="s">
        <v>1099</v>
      </c>
      <c r="F484" s="115" t="s">
        <v>69</v>
      </c>
      <c r="G484" s="114" t="s">
        <v>70</v>
      </c>
      <c r="H484" s="114" t="s">
        <v>383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1100</v>
      </c>
      <c r="B485" s="114" t="s">
        <v>1056</v>
      </c>
      <c r="C485" s="114" t="s">
        <v>32</v>
      </c>
      <c r="D485" s="114" t="s">
        <v>32</v>
      </c>
      <c r="E485" s="114" t="s">
        <v>1101</v>
      </c>
      <c r="F485" s="115" t="s">
        <v>69</v>
      </c>
      <c r="G485" s="114" t="s">
        <v>70</v>
      </c>
      <c r="H485" s="114" t="s">
        <v>383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1102</v>
      </c>
      <c r="B486" s="114" t="s">
        <v>1056</v>
      </c>
      <c r="C486" s="114" t="s">
        <v>30</v>
      </c>
      <c r="D486" s="114" t="s">
        <v>30</v>
      </c>
      <c r="E486" s="114" t="s">
        <v>1103</v>
      </c>
      <c r="F486" s="115" t="s">
        <v>69</v>
      </c>
      <c r="G486" s="114" t="s">
        <v>70</v>
      </c>
      <c r="H486" s="114" t="s">
        <v>383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476</v>
      </c>
      <c r="B487" s="114" t="s">
        <v>1056</v>
      </c>
      <c r="C487" s="114" t="s">
        <v>1104</v>
      </c>
      <c r="D487" s="114" t="s">
        <v>35</v>
      </c>
      <c r="E487" s="114" t="s">
        <v>1105</v>
      </c>
      <c r="F487" s="115" t="s">
        <v>75</v>
      </c>
      <c r="G487" s="114" t="s">
        <v>76</v>
      </c>
      <c r="H487" s="114" t="s">
        <v>383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1106</v>
      </c>
      <c r="B488" s="114" t="s">
        <v>1056</v>
      </c>
      <c r="C488" s="114" t="s">
        <v>16</v>
      </c>
      <c r="D488" s="114" t="s">
        <v>16</v>
      </c>
      <c r="E488" s="114" t="s">
        <v>1107</v>
      </c>
      <c r="F488" s="115" t="s">
        <v>83</v>
      </c>
      <c r="G488" s="114" t="s">
        <v>84</v>
      </c>
      <c r="H488" s="114" t="s">
        <v>383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621</v>
      </c>
      <c r="B489" s="114" t="s">
        <v>1056</v>
      </c>
      <c r="C489" s="114" t="s">
        <v>14</v>
      </c>
      <c r="D489" s="114" t="s">
        <v>14</v>
      </c>
      <c r="E489" s="114" t="s">
        <v>1108</v>
      </c>
      <c r="F489" s="115" t="s">
        <v>71</v>
      </c>
      <c r="G489" s="114" t="s">
        <v>72</v>
      </c>
      <c r="H489" s="114" t="s">
        <v>383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416</v>
      </c>
      <c r="B490" s="114" t="s">
        <v>1056</v>
      </c>
      <c r="C490" s="114" t="s">
        <v>41</v>
      </c>
      <c r="D490" s="114" t="s">
        <v>41</v>
      </c>
      <c r="E490" s="114" t="s">
        <v>1109</v>
      </c>
      <c r="F490" s="115" t="s">
        <v>71</v>
      </c>
      <c r="G490" s="114" t="s">
        <v>72</v>
      </c>
      <c r="H490" s="114" t="s">
        <v>383</v>
      </c>
      <c r="I490" s="116" t="n">
        <v>0</v>
      </c>
      <c r="J490" s="116" t="n">
        <v>1</v>
      </c>
      <c r="K490" s="114"/>
      <c r="L490" s="114"/>
    </row>
    <row r="491" customFormat="false" ht="15" hidden="false" customHeight="false" outlineLevel="0" collapsed="false">
      <c r="A491" s="114" t="s">
        <v>419</v>
      </c>
      <c r="B491" s="114" t="s">
        <v>1056</v>
      </c>
      <c r="C491" s="114" t="s">
        <v>41</v>
      </c>
      <c r="D491" s="114" t="s">
        <v>41</v>
      </c>
      <c r="E491" s="114" t="s">
        <v>1110</v>
      </c>
      <c r="F491" s="115" t="s">
        <v>71</v>
      </c>
      <c r="G491" s="114" t="s">
        <v>72</v>
      </c>
      <c r="H491" s="114" t="s">
        <v>383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1111</v>
      </c>
      <c r="B492" s="114" t="s">
        <v>1056</v>
      </c>
      <c r="C492" s="114" t="s">
        <v>29</v>
      </c>
      <c r="D492" s="114" t="s">
        <v>29</v>
      </c>
      <c r="E492" s="114" t="s">
        <v>1112</v>
      </c>
      <c r="F492" s="115" t="s">
        <v>71</v>
      </c>
      <c r="G492" s="114" t="s">
        <v>72</v>
      </c>
      <c r="H492" s="114" t="s">
        <v>383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482</v>
      </c>
      <c r="B493" s="114" t="s">
        <v>1056</v>
      </c>
      <c r="C493" s="114" t="s">
        <v>29</v>
      </c>
      <c r="D493" s="114" t="s">
        <v>29</v>
      </c>
      <c r="E493" s="114" t="s">
        <v>1113</v>
      </c>
      <c r="F493" s="115" t="s">
        <v>71</v>
      </c>
      <c r="G493" s="114" t="s">
        <v>72</v>
      </c>
      <c r="H493" s="114" t="s">
        <v>383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578</v>
      </c>
      <c r="B494" s="114" t="s">
        <v>1056</v>
      </c>
      <c r="C494" s="114" t="s">
        <v>36</v>
      </c>
      <c r="D494" s="114" t="s">
        <v>36</v>
      </c>
      <c r="E494" s="114" t="s">
        <v>1114</v>
      </c>
      <c r="F494" s="115" t="s">
        <v>71</v>
      </c>
      <c r="G494" s="114" t="s">
        <v>72</v>
      </c>
      <c r="H494" s="114" t="s">
        <v>383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580</v>
      </c>
      <c r="B495" s="114" t="s">
        <v>1056</v>
      </c>
      <c r="C495" s="114" t="s">
        <v>36</v>
      </c>
      <c r="D495" s="114" t="s">
        <v>36</v>
      </c>
      <c r="E495" s="114" t="s">
        <v>1115</v>
      </c>
      <c r="F495" s="115" t="s">
        <v>71</v>
      </c>
      <c r="G495" s="114" t="s">
        <v>72</v>
      </c>
      <c r="H495" s="114" t="s">
        <v>383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892</v>
      </c>
      <c r="B496" s="114" t="s">
        <v>1056</v>
      </c>
      <c r="C496" s="114" t="s">
        <v>25</v>
      </c>
      <c r="D496" s="114" t="s">
        <v>25</v>
      </c>
      <c r="E496" s="114" t="s">
        <v>1116</v>
      </c>
      <c r="F496" s="115" t="s">
        <v>69</v>
      </c>
      <c r="G496" s="114" t="s">
        <v>70</v>
      </c>
      <c r="H496" s="114" t="s">
        <v>383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428</v>
      </c>
      <c r="B497" s="114" t="s">
        <v>1056</v>
      </c>
      <c r="C497" s="114" t="s">
        <v>417</v>
      </c>
      <c r="D497" s="114" t="s">
        <v>7</v>
      </c>
      <c r="E497" s="114" t="s">
        <v>1117</v>
      </c>
      <c r="F497" s="115" t="s">
        <v>71</v>
      </c>
      <c r="G497" s="114" t="s">
        <v>72</v>
      </c>
      <c r="H497" s="114" t="s">
        <v>383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675</v>
      </c>
      <c r="B498" s="114" t="s">
        <v>1056</v>
      </c>
      <c r="C498" s="114" t="s">
        <v>417</v>
      </c>
      <c r="D498" s="114" t="s">
        <v>7</v>
      </c>
      <c r="E498" s="114" t="s">
        <v>1118</v>
      </c>
      <c r="F498" s="115" t="s">
        <v>71</v>
      </c>
      <c r="G498" s="114" t="s">
        <v>72</v>
      </c>
      <c r="H498" s="114" t="s">
        <v>383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677</v>
      </c>
      <c r="B499" s="114" t="s">
        <v>1056</v>
      </c>
      <c r="C499" s="114" t="s">
        <v>417</v>
      </c>
      <c r="D499" s="114" t="s">
        <v>7</v>
      </c>
      <c r="E499" s="114" t="s">
        <v>1119</v>
      </c>
      <c r="F499" s="115" t="s">
        <v>71</v>
      </c>
      <c r="G499" s="114" t="s">
        <v>72</v>
      </c>
      <c r="H499" s="114" t="s">
        <v>383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679</v>
      </c>
      <c r="B500" s="114" t="s">
        <v>1056</v>
      </c>
      <c r="C500" s="114" t="s">
        <v>417</v>
      </c>
      <c r="D500" s="114" t="s">
        <v>7</v>
      </c>
      <c r="E500" s="114" t="s">
        <v>1120</v>
      </c>
      <c r="F500" s="115" t="s">
        <v>71</v>
      </c>
      <c r="G500" s="114" t="s">
        <v>72</v>
      </c>
      <c r="H500" s="114" t="s">
        <v>383</v>
      </c>
      <c r="I500" s="116" t="n">
        <v>1</v>
      </c>
      <c r="J500" s="116" t="n">
        <v>0</v>
      </c>
      <c r="K500" s="114"/>
      <c r="L500" s="114"/>
    </row>
    <row r="501" customFormat="false" ht="15" hidden="false" customHeight="false" outlineLevel="0" collapsed="false">
      <c r="A501" s="114" t="s">
        <v>572</v>
      </c>
      <c r="B501" s="114" t="s">
        <v>1056</v>
      </c>
      <c r="C501" s="114" t="s">
        <v>417</v>
      </c>
      <c r="D501" s="114" t="s">
        <v>7</v>
      </c>
      <c r="E501" s="114" t="s">
        <v>1121</v>
      </c>
      <c r="F501" s="115" t="s">
        <v>71</v>
      </c>
      <c r="G501" s="114" t="s">
        <v>72</v>
      </c>
      <c r="H501" s="114" t="s">
        <v>383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573</v>
      </c>
      <c r="B502" s="114" t="s">
        <v>1056</v>
      </c>
      <c r="C502" s="114" t="s">
        <v>417</v>
      </c>
      <c r="D502" s="114" t="s">
        <v>7</v>
      </c>
      <c r="E502" s="114" t="s">
        <v>1122</v>
      </c>
      <c r="F502" s="115" t="s">
        <v>71</v>
      </c>
      <c r="G502" s="114" t="s">
        <v>72</v>
      </c>
      <c r="H502" s="114" t="s">
        <v>383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1123</v>
      </c>
      <c r="B503" s="114" t="s">
        <v>1056</v>
      </c>
      <c r="C503" s="114" t="s">
        <v>417</v>
      </c>
      <c r="D503" s="114" t="s">
        <v>7</v>
      </c>
      <c r="E503" s="114" t="s">
        <v>1124</v>
      </c>
      <c r="F503" s="115" t="s">
        <v>71</v>
      </c>
      <c r="G503" s="114" t="s">
        <v>72</v>
      </c>
      <c r="H503" s="114" t="s">
        <v>383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1125</v>
      </c>
      <c r="B504" s="114" t="s">
        <v>1056</v>
      </c>
      <c r="C504" s="114" t="s">
        <v>417</v>
      </c>
      <c r="D504" s="114" t="s">
        <v>7</v>
      </c>
      <c r="E504" s="114" t="s">
        <v>1126</v>
      </c>
      <c r="F504" s="115" t="s">
        <v>71</v>
      </c>
      <c r="G504" s="114" t="s">
        <v>72</v>
      </c>
      <c r="H504" s="114" t="s">
        <v>383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1127</v>
      </c>
      <c r="B505" s="114" t="s">
        <v>1056</v>
      </c>
      <c r="C505" s="114" t="s">
        <v>417</v>
      </c>
      <c r="D505" s="114" t="s">
        <v>7</v>
      </c>
      <c r="E505" s="114" t="s">
        <v>1128</v>
      </c>
      <c r="F505" s="115" t="s">
        <v>71</v>
      </c>
      <c r="G505" s="114" t="s">
        <v>72</v>
      </c>
      <c r="H505" s="114" t="s">
        <v>383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1129</v>
      </c>
      <c r="B506" s="114" t="s">
        <v>1056</v>
      </c>
      <c r="C506" s="114" t="s">
        <v>417</v>
      </c>
      <c r="D506" s="114" t="s">
        <v>7</v>
      </c>
      <c r="E506" s="114" t="s">
        <v>1130</v>
      </c>
      <c r="F506" s="115" t="s">
        <v>71</v>
      </c>
      <c r="G506" s="114" t="s">
        <v>72</v>
      </c>
      <c r="H506" s="114" t="s">
        <v>383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1131</v>
      </c>
      <c r="B507" s="114" t="s">
        <v>1056</v>
      </c>
      <c r="C507" s="114" t="s">
        <v>417</v>
      </c>
      <c r="D507" s="114" t="s">
        <v>7</v>
      </c>
      <c r="E507" s="114" t="s">
        <v>1132</v>
      </c>
      <c r="F507" s="115" t="s">
        <v>71</v>
      </c>
      <c r="G507" s="114" t="s">
        <v>72</v>
      </c>
      <c r="H507" s="114" t="s">
        <v>383</v>
      </c>
      <c r="I507" s="116" t="n">
        <v>0</v>
      </c>
      <c r="J507" s="116" t="n">
        <v>1</v>
      </c>
      <c r="K507" s="114"/>
      <c r="L507" s="114"/>
    </row>
    <row r="508" customFormat="false" ht="15" hidden="false" customHeight="false" outlineLevel="0" collapsed="false">
      <c r="A508" s="114" t="s">
        <v>1133</v>
      </c>
      <c r="B508" s="114" t="s">
        <v>1056</v>
      </c>
      <c r="C508" s="114" t="s">
        <v>417</v>
      </c>
      <c r="D508" s="114" t="s">
        <v>7</v>
      </c>
      <c r="E508" s="114" t="s">
        <v>1134</v>
      </c>
      <c r="F508" s="115" t="s">
        <v>69</v>
      </c>
      <c r="G508" s="114" t="s">
        <v>70</v>
      </c>
      <c r="H508" s="114" t="s">
        <v>383</v>
      </c>
      <c r="I508" s="116" t="n">
        <v>0</v>
      </c>
      <c r="J508" s="116" t="n">
        <v>1</v>
      </c>
      <c r="K508" s="114"/>
      <c r="L508" s="114"/>
    </row>
    <row r="509" customFormat="false" ht="15" hidden="false" customHeight="false" outlineLevel="0" collapsed="false">
      <c r="A509" s="114" t="s">
        <v>735</v>
      </c>
      <c r="B509" s="114" t="s">
        <v>1056</v>
      </c>
      <c r="C509" s="114" t="s">
        <v>417</v>
      </c>
      <c r="D509" s="114" t="s">
        <v>7</v>
      </c>
      <c r="E509" s="114" t="s">
        <v>1135</v>
      </c>
      <c r="F509" s="115" t="s">
        <v>101</v>
      </c>
      <c r="G509" s="114" t="s">
        <v>102</v>
      </c>
      <c r="H509" s="114" t="s">
        <v>383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697</v>
      </c>
      <c r="B510" s="114" t="s">
        <v>1056</v>
      </c>
      <c r="C510" s="114" t="s">
        <v>417</v>
      </c>
      <c r="D510" s="114" t="s">
        <v>7</v>
      </c>
      <c r="E510" s="114" t="s">
        <v>162</v>
      </c>
      <c r="F510" s="115" t="s">
        <v>49</v>
      </c>
      <c r="G510" s="114" t="s">
        <v>50</v>
      </c>
      <c r="H510" s="114" t="s">
        <v>383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699</v>
      </c>
      <c r="B511" s="114" t="s">
        <v>1056</v>
      </c>
      <c r="C511" s="114" t="s">
        <v>417</v>
      </c>
      <c r="D511" s="114" t="s">
        <v>7</v>
      </c>
      <c r="E511" s="114" t="s">
        <v>166</v>
      </c>
      <c r="F511" s="115" t="s">
        <v>49</v>
      </c>
      <c r="G511" s="114" t="s">
        <v>50</v>
      </c>
      <c r="H511" s="114" t="s">
        <v>383</v>
      </c>
      <c r="I511" s="116" t="n">
        <v>0</v>
      </c>
      <c r="J511" s="116" t="n">
        <v>1</v>
      </c>
      <c r="K511" s="114"/>
      <c r="L511" s="114"/>
    </row>
    <row r="512" customFormat="false" ht="15" hidden="false" customHeight="false" outlineLevel="0" collapsed="false">
      <c r="A512" s="114" t="s">
        <v>430</v>
      </c>
      <c r="B512" s="114" t="s">
        <v>1056</v>
      </c>
      <c r="C512" s="114" t="s">
        <v>429</v>
      </c>
      <c r="D512" s="114" t="s">
        <v>8</v>
      </c>
      <c r="E512" s="114" t="s">
        <v>1136</v>
      </c>
      <c r="F512" s="115" t="s">
        <v>71</v>
      </c>
      <c r="G512" s="114" t="s">
        <v>72</v>
      </c>
      <c r="H512" s="114" t="s">
        <v>383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432</v>
      </c>
      <c r="B513" s="114" t="s">
        <v>1056</v>
      </c>
      <c r="C513" s="114" t="s">
        <v>429</v>
      </c>
      <c r="D513" s="114" t="s">
        <v>8</v>
      </c>
      <c r="E513" s="114" t="s">
        <v>1137</v>
      </c>
      <c r="F513" s="115" t="s">
        <v>71</v>
      </c>
      <c r="G513" s="114" t="s">
        <v>72</v>
      </c>
      <c r="H513" s="114" t="s">
        <v>383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433</v>
      </c>
      <c r="B514" s="114" t="s">
        <v>1056</v>
      </c>
      <c r="C514" s="114" t="s">
        <v>429</v>
      </c>
      <c r="D514" s="114" t="s">
        <v>8</v>
      </c>
      <c r="E514" s="114" t="s">
        <v>1138</v>
      </c>
      <c r="F514" s="115" t="s">
        <v>71</v>
      </c>
      <c r="G514" s="114" t="s">
        <v>72</v>
      </c>
      <c r="H514" s="114" t="s">
        <v>383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434</v>
      </c>
      <c r="B515" s="114" t="s">
        <v>1056</v>
      </c>
      <c r="C515" s="114" t="s">
        <v>429</v>
      </c>
      <c r="D515" s="114" t="s">
        <v>8</v>
      </c>
      <c r="E515" s="114" t="s">
        <v>1139</v>
      </c>
      <c r="F515" s="115" t="s">
        <v>71</v>
      </c>
      <c r="G515" s="114" t="s">
        <v>72</v>
      </c>
      <c r="H515" s="114" t="s">
        <v>383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435</v>
      </c>
      <c r="B516" s="114" t="s">
        <v>1056</v>
      </c>
      <c r="C516" s="114" t="s">
        <v>429</v>
      </c>
      <c r="D516" s="114" t="s">
        <v>8</v>
      </c>
      <c r="E516" s="114" t="s">
        <v>1140</v>
      </c>
      <c r="F516" s="115" t="s">
        <v>71</v>
      </c>
      <c r="G516" s="114" t="s">
        <v>72</v>
      </c>
      <c r="H516" s="114" t="s">
        <v>383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436</v>
      </c>
      <c r="B517" s="114" t="s">
        <v>1056</v>
      </c>
      <c r="C517" s="114" t="s">
        <v>429</v>
      </c>
      <c r="D517" s="114" t="s">
        <v>8</v>
      </c>
      <c r="E517" s="114" t="s">
        <v>1141</v>
      </c>
      <c r="F517" s="115" t="s">
        <v>71</v>
      </c>
      <c r="G517" s="114" t="s">
        <v>72</v>
      </c>
      <c r="H517" s="114" t="s">
        <v>383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437</v>
      </c>
      <c r="B518" s="114" t="s">
        <v>1056</v>
      </c>
      <c r="C518" s="114" t="s">
        <v>429</v>
      </c>
      <c r="D518" s="114" t="s">
        <v>8</v>
      </c>
      <c r="E518" s="114" t="s">
        <v>1142</v>
      </c>
      <c r="F518" s="115" t="s">
        <v>71</v>
      </c>
      <c r="G518" s="114" t="s">
        <v>72</v>
      </c>
      <c r="H518" s="114" t="s">
        <v>383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438</v>
      </c>
      <c r="B519" s="114" t="s">
        <v>1056</v>
      </c>
      <c r="C519" s="114" t="s">
        <v>429</v>
      </c>
      <c r="D519" s="114" t="s">
        <v>8</v>
      </c>
      <c r="E519" s="114" t="s">
        <v>1143</v>
      </c>
      <c r="F519" s="115" t="s">
        <v>69</v>
      </c>
      <c r="G519" s="114" t="s">
        <v>70</v>
      </c>
      <c r="H519" s="114" t="s">
        <v>383</v>
      </c>
      <c r="I519" s="116" t="n">
        <v>0</v>
      </c>
      <c r="J519" s="116" t="n">
        <v>1</v>
      </c>
      <c r="K519" s="114"/>
      <c r="L519" s="114"/>
    </row>
    <row r="520" customFormat="false" ht="15" hidden="false" customHeight="false" outlineLevel="0" collapsed="false">
      <c r="A520" s="114" t="s">
        <v>520</v>
      </c>
      <c r="B520" s="114" t="s">
        <v>1056</v>
      </c>
      <c r="C520" s="114" t="s">
        <v>429</v>
      </c>
      <c r="D520" s="114" t="s">
        <v>8</v>
      </c>
      <c r="E520" s="114" t="s">
        <v>170</v>
      </c>
      <c r="F520" s="115" t="s">
        <v>49</v>
      </c>
      <c r="G520" s="114" t="s">
        <v>50</v>
      </c>
      <c r="H520" s="114" t="s">
        <v>383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491</v>
      </c>
      <c r="B521" s="114" t="s">
        <v>1056</v>
      </c>
      <c r="C521" s="114" t="s">
        <v>431</v>
      </c>
      <c r="D521" s="114" t="s">
        <v>9</v>
      </c>
      <c r="E521" s="114" t="s">
        <v>1144</v>
      </c>
      <c r="F521" s="115" t="s">
        <v>71</v>
      </c>
      <c r="G521" s="114" t="s">
        <v>72</v>
      </c>
      <c r="H521" s="114" t="s">
        <v>383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494</v>
      </c>
      <c r="B522" s="114" t="s">
        <v>1056</v>
      </c>
      <c r="C522" s="114" t="s">
        <v>431</v>
      </c>
      <c r="D522" s="114" t="s">
        <v>9</v>
      </c>
      <c r="E522" s="114" t="s">
        <v>1145</v>
      </c>
      <c r="F522" s="115" t="s">
        <v>71</v>
      </c>
      <c r="G522" s="114" t="s">
        <v>72</v>
      </c>
      <c r="H522" s="114" t="s">
        <v>383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496</v>
      </c>
      <c r="B523" s="114" t="s">
        <v>1056</v>
      </c>
      <c r="C523" s="114" t="s">
        <v>431</v>
      </c>
      <c r="D523" s="114" t="s">
        <v>9</v>
      </c>
      <c r="E523" s="114" t="s">
        <v>1146</v>
      </c>
      <c r="F523" s="115" t="s">
        <v>71</v>
      </c>
      <c r="G523" s="114" t="s">
        <v>72</v>
      </c>
      <c r="H523" s="114" t="s">
        <v>383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561</v>
      </c>
      <c r="B524" s="114" t="s">
        <v>1056</v>
      </c>
      <c r="C524" s="114" t="s">
        <v>431</v>
      </c>
      <c r="D524" s="114" t="s">
        <v>9</v>
      </c>
      <c r="E524" s="114" t="s">
        <v>1147</v>
      </c>
      <c r="F524" s="115" t="s">
        <v>71</v>
      </c>
      <c r="G524" s="114" t="s">
        <v>72</v>
      </c>
      <c r="H524" s="114" t="s">
        <v>383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869</v>
      </c>
      <c r="B525" s="114" t="s">
        <v>1056</v>
      </c>
      <c r="C525" s="114" t="s">
        <v>431</v>
      </c>
      <c r="D525" s="114" t="s">
        <v>9</v>
      </c>
      <c r="E525" s="114" t="s">
        <v>1148</v>
      </c>
      <c r="F525" s="115" t="s">
        <v>71</v>
      </c>
      <c r="G525" s="114" t="s">
        <v>72</v>
      </c>
      <c r="H525" s="114" t="s">
        <v>383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563</v>
      </c>
      <c r="B526" s="114" t="s">
        <v>1056</v>
      </c>
      <c r="C526" s="114" t="s">
        <v>431</v>
      </c>
      <c r="D526" s="114" t="s">
        <v>9</v>
      </c>
      <c r="E526" s="114" t="s">
        <v>1149</v>
      </c>
      <c r="F526" s="115" t="s">
        <v>71</v>
      </c>
      <c r="G526" s="114" t="s">
        <v>72</v>
      </c>
      <c r="H526" s="114" t="s">
        <v>383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872</v>
      </c>
      <c r="B527" s="114" t="s">
        <v>1056</v>
      </c>
      <c r="C527" s="114" t="s">
        <v>431</v>
      </c>
      <c r="D527" s="114" t="s">
        <v>9</v>
      </c>
      <c r="E527" s="114" t="s">
        <v>1150</v>
      </c>
      <c r="F527" s="115" t="s">
        <v>71</v>
      </c>
      <c r="G527" s="114" t="s">
        <v>72</v>
      </c>
      <c r="H527" s="114" t="s">
        <v>383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874</v>
      </c>
      <c r="B528" s="114" t="s">
        <v>1056</v>
      </c>
      <c r="C528" s="114" t="s">
        <v>431</v>
      </c>
      <c r="D528" s="114" t="s">
        <v>9</v>
      </c>
      <c r="E528" s="114" t="s">
        <v>1151</v>
      </c>
      <c r="F528" s="115" t="s">
        <v>71</v>
      </c>
      <c r="G528" s="114" t="s">
        <v>72</v>
      </c>
      <c r="H528" s="114" t="s">
        <v>383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876</v>
      </c>
      <c r="B529" s="114" t="s">
        <v>1056</v>
      </c>
      <c r="C529" s="114" t="s">
        <v>431</v>
      </c>
      <c r="D529" s="114" t="s">
        <v>9</v>
      </c>
      <c r="E529" s="114" t="s">
        <v>1152</v>
      </c>
      <c r="F529" s="115" t="s">
        <v>71</v>
      </c>
      <c r="G529" s="114" t="s">
        <v>72</v>
      </c>
      <c r="H529" s="114" t="s">
        <v>383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878</v>
      </c>
      <c r="B530" s="114" t="s">
        <v>1056</v>
      </c>
      <c r="C530" s="114" t="s">
        <v>431</v>
      </c>
      <c r="D530" s="114" t="s">
        <v>9</v>
      </c>
      <c r="E530" s="114" t="s">
        <v>1153</v>
      </c>
      <c r="F530" s="115" t="s">
        <v>69</v>
      </c>
      <c r="G530" s="114" t="s">
        <v>70</v>
      </c>
      <c r="H530" s="114" t="s">
        <v>383</v>
      </c>
      <c r="I530" s="116" t="n">
        <v>0</v>
      </c>
      <c r="J530" s="116" t="n">
        <v>1</v>
      </c>
      <c r="K530" s="114" t="s">
        <v>1154</v>
      </c>
      <c r="L530" s="114"/>
    </row>
    <row r="531" customFormat="false" ht="15" hidden="false" customHeight="false" outlineLevel="0" collapsed="false">
      <c r="A531" s="114" t="s">
        <v>1155</v>
      </c>
      <c r="B531" s="114" t="s">
        <v>1056</v>
      </c>
      <c r="C531" s="114" t="s">
        <v>431</v>
      </c>
      <c r="D531" s="114" t="s">
        <v>9</v>
      </c>
      <c r="E531" s="114" t="s">
        <v>172</v>
      </c>
      <c r="F531" s="115" t="s">
        <v>49</v>
      </c>
      <c r="G531" s="114" t="s">
        <v>50</v>
      </c>
      <c r="H531" s="114" t="s">
        <v>383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1156</v>
      </c>
      <c r="B532" s="114" t="s">
        <v>1056</v>
      </c>
      <c r="C532" s="114" t="s">
        <v>431</v>
      </c>
      <c r="D532" s="114" t="s">
        <v>9</v>
      </c>
      <c r="E532" s="114" t="s">
        <v>175</v>
      </c>
      <c r="F532" s="115" t="s">
        <v>49</v>
      </c>
      <c r="G532" s="114" t="s">
        <v>50</v>
      </c>
      <c r="H532" s="114" t="s">
        <v>383</v>
      </c>
      <c r="I532" s="116" t="n">
        <v>1</v>
      </c>
      <c r="J532" s="116" t="n">
        <v>0</v>
      </c>
      <c r="K532" s="114"/>
      <c r="L532" s="114"/>
    </row>
    <row r="533" customFormat="false" ht="15" hidden="false" customHeight="false" outlineLevel="0" collapsed="false">
      <c r="A533" s="114" t="s">
        <v>1157</v>
      </c>
      <c r="B533" s="114" t="s">
        <v>1056</v>
      </c>
      <c r="C533" s="114" t="s">
        <v>431</v>
      </c>
      <c r="D533" s="114" t="s">
        <v>9</v>
      </c>
      <c r="E533" s="114" t="s">
        <v>177</v>
      </c>
      <c r="F533" s="115" t="s">
        <v>49</v>
      </c>
      <c r="G533" s="114" t="s">
        <v>50</v>
      </c>
      <c r="H533" s="114" t="s">
        <v>383</v>
      </c>
      <c r="I533" s="116" t="n">
        <v>0</v>
      </c>
      <c r="J533" s="116" t="n">
        <v>1</v>
      </c>
      <c r="K533" s="114"/>
      <c r="L533" s="114"/>
    </row>
    <row r="534" customFormat="false" ht="15" hidden="false" customHeight="false" outlineLevel="0" collapsed="false">
      <c r="A534" s="114" t="s">
        <v>386</v>
      </c>
      <c r="B534" s="114" t="s">
        <v>1056</v>
      </c>
      <c r="C534" s="114" t="s">
        <v>15</v>
      </c>
      <c r="D534" s="114" t="s">
        <v>15</v>
      </c>
      <c r="E534" s="114" t="s">
        <v>1158</v>
      </c>
      <c r="F534" s="115" t="s">
        <v>73</v>
      </c>
      <c r="G534" s="114" t="s">
        <v>74</v>
      </c>
      <c r="H534" s="114" t="s">
        <v>383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389</v>
      </c>
      <c r="B535" s="114" t="s">
        <v>1056</v>
      </c>
      <c r="C535" s="114" t="s">
        <v>15</v>
      </c>
      <c r="D535" s="114" t="s">
        <v>15</v>
      </c>
      <c r="E535" s="114" t="s">
        <v>1159</v>
      </c>
      <c r="F535" s="115" t="s">
        <v>73</v>
      </c>
      <c r="G535" s="114" t="s">
        <v>74</v>
      </c>
      <c r="H535" s="114" t="s">
        <v>383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391</v>
      </c>
      <c r="B536" s="114" t="s">
        <v>1056</v>
      </c>
      <c r="C536" s="114" t="s">
        <v>15</v>
      </c>
      <c r="D536" s="114" t="s">
        <v>15</v>
      </c>
      <c r="E536" s="114" t="s">
        <v>1160</v>
      </c>
      <c r="F536" s="115" t="s">
        <v>73</v>
      </c>
      <c r="G536" s="114" t="s">
        <v>74</v>
      </c>
      <c r="H536" s="114" t="s">
        <v>383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393</v>
      </c>
      <c r="B537" s="114" t="s">
        <v>1056</v>
      </c>
      <c r="C537" s="114" t="s">
        <v>15</v>
      </c>
      <c r="D537" s="114" t="s">
        <v>15</v>
      </c>
      <c r="E537" s="114" t="s">
        <v>1161</v>
      </c>
      <c r="F537" s="115" t="s">
        <v>73</v>
      </c>
      <c r="G537" s="114" t="s">
        <v>74</v>
      </c>
      <c r="H537" s="114" t="s">
        <v>383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395</v>
      </c>
      <c r="B538" s="114" t="s">
        <v>1056</v>
      </c>
      <c r="C538" s="114" t="s">
        <v>15</v>
      </c>
      <c r="D538" s="114" t="s">
        <v>15</v>
      </c>
      <c r="E538" s="114" t="s">
        <v>1162</v>
      </c>
      <c r="F538" s="115" t="s">
        <v>69</v>
      </c>
      <c r="G538" s="114" t="s">
        <v>70</v>
      </c>
      <c r="H538" s="114" t="s">
        <v>383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397</v>
      </c>
      <c r="B539" s="114" t="s">
        <v>1056</v>
      </c>
      <c r="C539" s="114" t="s">
        <v>15</v>
      </c>
      <c r="D539" s="114" t="s">
        <v>15</v>
      </c>
      <c r="E539" s="114" t="s">
        <v>1163</v>
      </c>
      <c r="F539" s="115" t="s">
        <v>107</v>
      </c>
      <c r="G539" s="114" t="s">
        <v>108</v>
      </c>
      <c r="H539" s="114" t="s">
        <v>383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739</v>
      </c>
      <c r="B540" s="114" t="s">
        <v>1056</v>
      </c>
      <c r="C540" s="114" t="s">
        <v>15</v>
      </c>
      <c r="D540" s="114" t="s">
        <v>15</v>
      </c>
      <c r="E540" s="114" t="s">
        <v>1164</v>
      </c>
      <c r="F540" s="115" t="s">
        <v>107</v>
      </c>
      <c r="G540" s="114" t="s">
        <v>108</v>
      </c>
      <c r="H540" s="114" t="s">
        <v>383</v>
      </c>
      <c r="I540" s="116" t="n">
        <v>1</v>
      </c>
      <c r="J540" s="116" t="n">
        <v>1</v>
      </c>
      <c r="K540" s="114"/>
      <c r="L540" s="114"/>
    </row>
    <row r="541" customFormat="false" ht="15" hidden="false" customHeight="false" outlineLevel="0" collapsed="false">
      <c r="A541" s="114" t="s">
        <v>498</v>
      </c>
      <c r="B541" s="114" t="s">
        <v>1056</v>
      </c>
      <c r="C541" s="114" t="s">
        <v>20</v>
      </c>
      <c r="D541" s="114" t="s">
        <v>20</v>
      </c>
      <c r="E541" s="114" t="s">
        <v>1165</v>
      </c>
      <c r="F541" s="115" t="s">
        <v>69</v>
      </c>
      <c r="G541" s="114" t="s">
        <v>70</v>
      </c>
      <c r="H541" s="114" t="s">
        <v>383</v>
      </c>
      <c r="I541" s="116" t="n">
        <v>0</v>
      </c>
      <c r="J541" s="116" t="n">
        <v>1</v>
      </c>
      <c r="K541" s="114"/>
      <c r="L541" s="114"/>
    </row>
    <row r="542" customFormat="false" ht="15" hidden="false" customHeight="false" outlineLevel="0" collapsed="false">
      <c r="A542" s="114" t="s">
        <v>706</v>
      </c>
      <c r="B542" s="114" t="s">
        <v>1056</v>
      </c>
      <c r="C542" s="114" t="s">
        <v>20</v>
      </c>
      <c r="D542" s="114" t="s">
        <v>20</v>
      </c>
      <c r="E542" s="114" t="s">
        <v>1166</v>
      </c>
      <c r="F542" s="115" t="s">
        <v>73</v>
      </c>
      <c r="G542" s="114" t="s">
        <v>74</v>
      </c>
      <c r="H542" s="114" t="s">
        <v>383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500</v>
      </c>
      <c r="B543" s="114" t="s">
        <v>1056</v>
      </c>
      <c r="C543" s="114" t="s">
        <v>20</v>
      </c>
      <c r="D543" s="114" t="s">
        <v>20</v>
      </c>
      <c r="E543" s="114" t="s">
        <v>1167</v>
      </c>
      <c r="F543" s="115" t="s">
        <v>69</v>
      </c>
      <c r="G543" s="114" t="s">
        <v>70</v>
      </c>
      <c r="H543" s="114" t="s">
        <v>383</v>
      </c>
      <c r="I543" s="116" t="n">
        <v>1</v>
      </c>
      <c r="J543" s="116" t="n">
        <v>0</v>
      </c>
      <c r="K543" s="114"/>
      <c r="L543" s="114"/>
    </row>
    <row r="544" customFormat="false" ht="15" hidden="false" customHeight="false" outlineLevel="0" collapsed="false">
      <c r="A544" s="114" t="s">
        <v>708</v>
      </c>
      <c r="B544" s="114" t="s">
        <v>1056</v>
      </c>
      <c r="C544" s="114" t="s">
        <v>20</v>
      </c>
      <c r="D544" s="114" t="s">
        <v>20</v>
      </c>
      <c r="E544" s="114" t="s">
        <v>1168</v>
      </c>
      <c r="F544" s="115" t="s">
        <v>69</v>
      </c>
      <c r="G544" s="114" t="s">
        <v>70</v>
      </c>
      <c r="H544" s="114" t="s">
        <v>383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781</v>
      </c>
      <c r="B545" s="114" t="s">
        <v>1056</v>
      </c>
      <c r="C545" s="114" t="s">
        <v>20</v>
      </c>
      <c r="D545" s="114" t="s">
        <v>20</v>
      </c>
      <c r="E545" s="114" t="s">
        <v>192</v>
      </c>
      <c r="F545" s="115" t="s">
        <v>49</v>
      </c>
      <c r="G545" s="114" t="s">
        <v>50</v>
      </c>
      <c r="H545" s="114" t="s">
        <v>383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709</v>
      </c>
      <c r="B546" s="114" t="s">
        <v>1056</v>
      </c>
      <c r="C546" s="114" t="s">
        <v>20</v>
      </c>
      <c r="D546" s="114" t="s">
        <v>20</v>
      </c>
      <c r="E546" s="114" t="s">
        <v>196</v>
      </c>
      <c r="F546" s="115" t="s">
        <v>49</v>
      </c>
      <c r="G546" s="114" t="s">
        <v>50</v>
      </c>
      <c r="H546" s="114" t="s">
        <v>383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786</v>
      </c>
      <c r="B547" s="114" t="s">
        <v>1056</v>
      </c>
      <c r="C547" s="114" t="s">
        <v>20</v>
      </c>
      <c r="D547" s="114" t="s">
        <v>20</v>
      </c>
      <c r="E547" s="114" t="s">
        <v>185</v>
      </c>
      <c r="F547" s="115" t="s">
        <v>49</v>
      </c>
      <c r="G547" s="114" t="s">
        <v>50</v>
      </c>
      <c r="H547" s="114" t="s">
        <v>383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1169</v>
      </c>
      <c r="B548" s="114" t="s">
        <v>1056</v>
      </c>
      <c r="C548" s="114" t="s">
        <v>20</v>
      </c>
      <c r="D548" s="114" t="s">
        <v>20</v>
      </c>
      <c r="E548" s="114" t="s">
        <v>198</v>
      </c>
      <c r="F548" s="115" t="s">
        <v>49</v>
      </c>
      <c r="G548" s="114" t="s">
        <v>50</v>
      </c>
      <c r="H548" s="114" t="s">
        <v>383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509</v>
      </c>
      <c r="B549" s="114" t="s">
        <v>1056</v>
      </c>
      <c r="C549" s="114" t="s">
        <v>20</v>
      </c>
      <c r="D549" s="114" t="s">
        <v>20</v>
      </c>
      <c r="E549" s="114" t="s">
        <v>188</v>
      </c>
      <c r="F549" s="115" t="s">
        <v>49</v>
      </c>
      <c r="G549" s="114" t="s">
        <v>50</v>
      </c>
      <c r="H549" s="114" t="s">
        <v>383</v>
      </c>
      <c r="I549" s="116" t="n">
        <v>0</v>
      </c>
      <c r="J549" s="116" t="n">
        <v>1</v>
      </c>
      <c r="K549" s="114"/>
      <c r="L549" s="114"/>
    </row>
    <row r="550" customFormat="false" ht="15" hidden="false" customHeight="false" outlineLevel="0" collapsed="false">
      <c r="A550" s="114" t="s">
        <v>1170</v>
      </c>
      <c r="B550" s="114" t="s">
        <v>1056</v>
      </c>
      <c r="C550" s="114" t="s">
        <v>20</v>
      </c>
      <c r="D550" s="114" t="s">
        <v>20</v>
      </c>
      <c r="E550" s="114" t="s">
        <v>194</v>
      </c>
      <c r="F550" s="115" t="s">
        <v>49</v>
      </c>
      <c r="G550" s="114" t="s">
        <v>50</v>
      </c>
      <c r="H550" s="114" t="s">
        <v>383</v>
      </c>
      <c r="I550" s="116" t="n">
        <v>0</v>
      </c>
      <c r="J550" s="116" t="n">
        <v>1</v>
      </c>
      <c r="K550" s="114"/>
      <c r="L550" s="114"/>
    </row>
    <row r="551" customFormat="false" ht="15" hidden="false" customHeight="false" outlineLevel="0" collapsed="false">
      <c r="A551" s="114" t="s">
        <v>1171</v>
      </c>
      <c r="B551" s="114" t="s">
        <v>1056</v>
      </c>
      <c r="C551" s="114" t="s">
        <v>20</v>
      </c>
      <c r="D551" s="114" t="s">
        <v>20</v>
      </c>
      <c r="E551" s="114" t="s">
        <v>190</v>
      </c>
      <c r="F551" s="115" t="s">
        <v>49</v>
      </c>
      <c r="G551" s="114" t="s">
        <v>50</v>
      </c>
      <c r="H551" s="114" t="s">
        <v>383</v>
      </c>
      <c r="I551" s="116" t="n">
        <v>0</v>
      </c>
      <c r="J551" s="116" t="n">
        <v>1</v>
      </c>
      <c r="K551" s="114"/>
      <c r="L551" s="114"/>
    </row>
    <row r="552" customFormat="false" ht="15" hidden="false" customHeight="false" outlineLevel="0" collapsed="false">
      <c r="A552" s="114" t="s">
        <v>1172</v>
      </c>
      <c r="B552" s="114" t="s">
        <v>1056</v>
      </c>
      <c r="C552" s="114" t="s">
        <v>20</v>
      </c>
      <c r="D552" s="114" t="s">
        <v>20</v>
      </c>
      <c r="E552" s="114" t="s">
        <v>1173</v>
      </c>
      <c r="F552" s="115" t="s">
        <v>107</v>
      </c>
      <c r="G552" s="114" t="s">
        <v>108</v>
      </c>
      <c r="H552" s="114" t="s">
        <v>383</v>
      </c>
      <c r="I552" s="116" t="n">
        <v>1</v>
      </c>
      <c r="J552" s="116" t="n">
        <v>0</v>
      </c>
      <c r="K552" s="114"/>
      <c r="L552" s="114"/>
    </row>
    <row r="553" customFormat="false" ht="15" hidden="false" customHeight="false" outlineLevel="0" collapsed="false">
      <c r="A553" s="114" t="s">
        <v>1174</v>
      </c>
      <c r="B553" s="114" t="s">
        <v>1056</v>
      </c>
      <c r="C553" s="114" t="s">
        <v>20</v>
      </c>
      <c r="D553" s="114" t="s">
        <v>20</v>
      </c>
      <c r="E553" s="114" t="s">
        <v>1175</v>
      </c>
      <c r="F553" s="115" t="s">
        <v>109</v>
      </c>
      <c r="G553" s="114" t="s">
        <v>110</v>
      </c>
      <c r="H553" s="114" t="s">
        <v>383</v>
      </c>
      <c r="I553" s="116" t="n">
        <v>1</v>
      </c>
      <c r="J553" s="116" t="n">
        <v>0</v>
      </c>
      <c r="K553" s="114"/>
      <c r="L553" s="114"/>
    </row>
    <row r="554" customFormat="false" ht="15" hidden="false" customHeight="false" outlineLevel="0" collapsed="false">
      <c r="A554" s="114" t="s">
        <v>448</v>
      </c>
      <c r="B554" s="114" t="s">
        <v>1056</v>
      </c>
      <c r="C554" s="114" t="s">
        <v>18</v>
      </c>
      <c r="D554" s="114" t="s">
        <v>18</v>
      </c>
      <c r="E554" s="114" t="s">
        <v>1176</v>
      </c>
      <c r="F554" s="115" t="s">
        <v>69</v>
      </c>
      <c r="G554" s="114" t="s">
        <v>70</v>
      </c>
      <c r="H554" s="114" t="s">
        <v>383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452</v>
      </c>
      <c r="B555" s="114" t="s">
        <v>1056</v>
      </c>
      <c r="C555" s="114" t="s">
        <v>18</v>
      </c>
      <c r="D555" s="114" t="s">
        <v>18</v>
      </c>
      <c r="E555" s="114" t="s">
        <v>184</v>
      </c>
      <c r="F555" s="115" t="s">
        <v>49</v>
      </c>
      <c r="G555" s="114" t="s">
        <v>50</v>
      </c>
      <c r="H555" s="114" t="s">
        <v>383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445</v>
      </c>
      <c r="B556" s="114" t="s">
        <v>1056</v>
      </c>
      <c r="C556" s="114" t="s">
        <v>11</v>
      </c>
      <c r="D556" s="114" t="s">
        <v>11</v>
      </c>
      <c r="E556" s="114" t="s">
        <v>1177</v>
      </c>
      <c r="F556" s="115" t="s">
        <v>71</v>
      </c>
      <c r="G556" s="114" t="s">
        <v>72</v>
      </c>
      <c r="H556" s="114" t="s">
        <v>383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450</v>
      </c>
      <c r="B557" s="114" t="s">
        <v>1056</v>
      </c>
      <c r="C557" s="114" t="s">
        <v>11</v>
      </c>
      <c r="D557" s="114" t="s">
        <v>11</v>
      </c>
      <c r="E557" s="114" t="s">
        <v>182</v>
      </c>
      <c r="F557" s="115" t="s">
        <v>49</v>
      </c>
      <c r="G557" s="114" t="s">
        <v>50</v>
      </c>
      <c r="H557" s="114" t="s">
        <v>383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489</v>
      </c>
      <c r="B558" s="114" t="s">
        <v>1056</v>
      </c>
      <c r="C558" s="114" t="s">
        <v>558</v>
      </c>
      <c r="D558" s="114" t="s">
        <v>10</v>
      </c>
      <c r="E558" s="114" t="s">
        <v>180</v>
      </c>
      <c r="F558" s="115" t="s">
        <v>49</v>
      </c>
      <c r="G558" s="114" t="s">
        <v>50</v>
      </c>
      <c r="H558" s="114" t="s">
        <v>383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1178</v>
      </c>
      <c r="B559" s="114" t="s">
        <v>1056</v>
      </c>
      <c r="C559" s="114" t="s">
        <v>28</v>
      </c>
      <c r="D559" s="114" t="s">
        <v>28</v>
      </c>
      <c r="E559" s="114" t="s">
        <v>1179</v>
      </c>
      <c r="F559" s="115" t="s">
        <v>131</v>
      </c>
      <c r="G559" s="114" t="s">
        <v>132</v>
      </c>
      <c r="H559" s="114" t="s">
        <v>383</v>
      </c>
      <c r="I559" s="116" t="n">
        <v>0</v>
      </c>
      <c r="J559" s="116" t="n">
        <v>1</v>
      </c>
      <c r="K559" s="114"/>
      <c r="L559" s="114"/>
    </row>
    <row r="560" customFormat="false" ht="15" hidden="false" customHeight="false" outlineLevel="0" collapsed="false">
      <c r="A560" s="114" t="s">
        <v>1180</v>
      </c>
      <c r="B560" s="114" t="s">
        <v>1056</v>
      </c>
      <c r="C560" s="114" t="s">
        <v>28</v>
      </c>
      <c r="D560" s="114" t="s">
        <v>28</v>
      </c>
      <c r="E560" s="114" t="s">
        <v>1181</v>
      </c>
      <c r="F560" s="115" t="s">
        <v>131</v>
      </c>
      <c r="G560" s="114" t="s">
        <v>132</v>
      </c>
      <c r="H560" s="114" t="s">
        <v>383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1182</v>
      </c>
      <c r="B561" s="114" t="s">
        <v>1056</v>
      </c>
      <c r="C561" s="114" t="s">
        <v>28</v>
      </c>
      <c r="D561" s="114" t="s">
        <v>28</v>
      </c>
      <c r="E561" s="114" t="s">
        <v>1183</v>
      </c>
      <c r="F561" s="115" t="s">
        <v>131</v>
      </c>
      <c r="G561" s="114" t="s">
        <v>132</v>
      </c>
      <c r="H561" s="114" t="s">
        <v>383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1184</v>
      </c>
      <c r="B562" s="114" t="s">
        <v>1056</v>
      </c>
      <c r="C562" s="114" t="s">
        <v>28</v>
      </c>
      <c r="D562" s="114" t="s">
        <v>28</v>
      </c>
      <c r="E562" s="114" t="s">
        <v>1185</v>
      </c>
      <c r="F562" s="115" t="s">
        <v>131</v>
      </c>
      <c r="G562" s="114" t="s">
        <v>132</v>
      </c>
      <c r="H562" s="114" t="s">
        <v>383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399</v>
      </c>
      <c r="B563" s="114" t="s">
        <v>1056</v>
      </c>
      <c r="C563" s="114" t="s">
        <v>12</v>
      </c>
      <c r="D563" s="114" t="s">
        <v>12</v>
      </c>
      <c r="E563" s="114" t="s">
        <v>1186</v>
      </c>
      <c r="F563" s="115" t="s">
        <v>69</v>
      </c>
      <c r="G563" s="114" t="s">
        <v>70</v>
      </c>
      <c r="H563" s="114" t="s">
        <v>383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1003</v>
      </c>
      <c r="B564" s="114" t="s">
        <v>1056</v>
      </c>
      <c r="C564" s="114" t="s">
        <v>12</v>
      </c>
      <c r="D564" s="114" t="s">
        <v>12</v>
      </c>
      <c r="E564" s="114" t="s">
        <v>1187</v>
      </c>
      <c r="F564" s="115" t="s">
        <v>71</v>
      </c>
      <c r="G564" s="114" t="s">
        <v>72</v>
      </c>
      <c r="H564" s="114" t="s">
        <v>383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1005</v>
      </c>
      <c r="B565" s="114" t="s">
        <v>1056</v>
      </c>
      <c r="C565" s="114" t="s">
        <v>12</v>
      </c>
      <c r="D565" s="114" t="s">
        <v>12</v>
      </c>
      <c r="E565" s="114" t="s">
        <v>1188</v>
      </c>
      <c r="F565" s="115" t="s">
        <v>71</v>
      </c>
      <c r="G565" s="114" t="s">
        <v>72</v>
      </c>
      <c r="H565" s="114" t="s">
        <v>383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1007</v>
      </c>
      <c r="B566" s="114" t="s">
        <v>1056</v>
      </c>
      <c r="C566" s="114" t="s">
        <v>12</v>
      </c>
      <c r="D566" s="114" t="s">
        <v>12</v>
      </c>
      <c r="E566" s="114" t="s">
        <v>1189</v>
      </c>
      <c r="F566" s="115" t="s">
        <v>71</v>
      </c>
      <c r="G566" s="114" t="s">
        <v>72</v>
      </c>
      <c r="H566" s="114" t="s">
        <v>383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623</v>
      </c>
      <c r="B567" s="114" t="s">
        <v>1190</v>
      </c>
      <c r="C567" s="114" t="s">
        <v>19</v>
      </c>
      <c r="D567" s="114" t="s">
        <v>19</v>
      </c>
      <c r="E567" s="114" t="s">
        <v>1191</v>
      </c>
      <c r="F567" s="115" t="s">
        <v>97</v>
      </c>
      <c r="G567" s="114" t="s">
        <v>98</v>
      </c>
      <c r="H567" s="114" t="s">
        <v>383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1029</v>
      </c>
      <c r="B568" s="114" t="s">
        <v>1190</v>
      </c>
      <c r="C568" s="114" t="s">
        <v>19</v>
      </c>
      <c r="D568" s="114" t="s">
        <v>19</v>
      </c>
      <c r="E568" s="114" t="s">
        <v>256</v>
      </c>
      <c r="F568" s="115" t="s">
        <v>135</v>
      </c>
      <c r="G568" s="114" t="s">
        <v>136</v>
      </c>
      <c r="H568" s="114" t="s">
        <v>383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1031</v>
      </c>
      <c r="B569" s="114" t="s">
        <v>1190</v>
      </c>
      <c r="C569" s="114" t="s">
        <v>19</v>
      </c>
      <c r="D569" s="114" t="s">
        <v>19</v>
      </c>
      <c r="E569" s="114" t="s">
        <v>262</v>
      </c>
      <c r="F569" s="115" t="s">
        <v>135</v>
      </c>
      <c r="G569" s="114" t="s">
        <v>136</v>
      </c>
      <c r="H569" s="114" t="s">
        <v>383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1033</v>
      </c>
      <c r="B570" s="114" t="s">
        <v>1190</v>
      </c>
      <c r="C570" s="114" t="s">
        <v>19</v>
      </c>
      <c r="D570" s="114" t="s">
        <v>19</v>
      </c>
      <c r="E570" s="114" t="s">
        <v>1192</v>
      </c>
      <c r="F570" s="115" t="s">
        <v>137</v>
      </c>
      <c r="G570" s="114" t="s">
        <v>138</v>
      </c>
      <c r="H570" s="114" t="s">
        <v>383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503</v>
      </c>
      <c r="B571" s="114" t="s">
        <v>1190</v>
      </c>
      <c r="C571" s="114" t="s">
        <v>1193</v>
      </c>
      <c r="D571" s="114" t="s">
        <v>27</v>
      </c>
      <c r="E571" s="114" t="s">
        <v>299</v>
      </c>
      <c r="F571" s="115" t="s">
        <v>135</v>
      </c>
      <c r="G571" s="114" t="s">
        <v>136</v>
      </c>
      <c r="H571" s="114" t="s">
        <v>383</v>
      </c>
      <c r="I571" s="116" t="n">
        <v>0</v>
      </c>
      <c r="J571" s="116" t="n">
        <v>1</v>
      </c>
      <c r="K571" s="114"/>
      <c r="L571" s="114"/>
    </row>
    <row r="572" customFormat="false" ht="15" hidden="false" customHeight="false" outlineLevel="0" collapsed="false">
      <c r="A572" s="114" t="s">
        <v>504</v>
      </c>
      <c r="B572" s="114" t="s">
        <v>1190</v>
      </c>
      <c r="C572" s="114" t="s">
        <v>1193</v>
      </c>
      <c r="D572" s="114" t="s">
        <v>27</v>
      </c>
      <c r="E572" s="114" t="s">
        <v>293</v>
      </c>
      <c r="F572" s="115" t="s">
        <v>135</v>
      </c>
      <c r="G572" s="114" t="s">
        <v>136</v>
      </c>
      <c r="H572" s="114" t="s">
        <v>383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1194</v>
      </c>
      <c r="B573" s="114" t="s">
        <v>1190</v>
      </c>
      <c r="C573" s="114" t="s">
        <v>1195</v>
      </c>
      <c r="D573" s="114" t="s">
        <v>26</v>
      </c>
      <c r="E573" s="114" t="s">
        <v>286</v>
      </c>
      <c r="F573" s="115" t="s">
        <v>135</v>
      </c>
      <c r="G573" s="114" t="s">
        <v>136</v>
      </c>
      <c r="H573" s="114" t="s">
        <v>383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557</v>
      </c>
      <c r="B574" s="114" t="s">
        <v>1190</v>
      </c>
      <c r="C574" s="114" t="s">
        <v>387</v>
      </c>
      <c r="D574" s="114" t="s">
        <v>22</v>
      </c>
      <c r="E574" s="114" t="s">
        <v>1196</v>
      </c>
      <c r="F574" s="115" t="s">
        <v>137</v>
      </c>
      <c r="G574" s="114" t="s">
        <v>138</v>
      </c>
      <c r="H574" s="114" t="s">
        <v>383</v>
      </c>
      <c r="I574" s="116" t="n">
        <v>0</v>
      </c>
      <c r="J574" s="116" t="n">
        <v>1</v>
      </c>
      <c r="K574" s="114"/>
      <c r="L574" s="114"/>
    </row>
    <row r="575" customFormat="false" ht="15" hidden="false" customHeight="false" outlineLevel="0" collapsed="false">
      <c r="A575" s="114" t="s">
        <v>1045</v>
      </c>
      <c r="B575" s="114" t="s">
        <v>1190</v>
      </c>
      <c r="C575" s="114" t="s">
        <v>13</v>
      </c>
      <c r="D575" s="114" t="s">
        <v>13</v>
      </c>
      <c r="E575" s="114" t="s">
        <v>223</v>
      </c>
      <c r="F575" s="115" t="s">
        <v>51</v>
      </c>
      <c r="G575" s="114" t="s">
        <v>52</v>
      </c>
      <c r="H575" s="114" t="s">
        <v>383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1047</v>
      </c>
      <c r="B576" s="114" t="s">
        <v>1190</v>
      </c>
      <c r="C576" s="114" t="s">
        <v>13</v>
      </c>
      <c r="D576" s="114" t="s">
        <v>13</v>
      </c>
      <c r="E576" s="114" t="s">
        <v>225</v>
      </c>
      <c r="F576" s="115" t="s">
        <v>51</v>
      </c>
      <c r="G576" s="114" t="s">
        <v>52</v>
      </c>
      <c r="H576" s="114" t="s">
        <v>383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445</v>
      </c>
      <c r="B577" s="114" t="s">
        <v>1190</v>
      </c>
      <c r="C577" s="114" t="s">
        <v>1197</v>
      </c>
      <c r="D577" s="114" t="s">
        <v>16</v>
      </c>
      <c r="E577" s="114" t="s">
        <v>1198</v>
      </c>
      <c r="F577" s="115" t="s">
        <v>89</v>
      </c>
      <c r="G577" s="114" t="s">
        <v>90</v>
      </c>
      <c r="H577" s="114" t="s">
        <v>383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448</v>
      </c>
      <c r="B578" s="114" t="s">
        <v>1190</v>
      </c>
      <c r="C578" s="114" t="s">
        <v>1197</v>
      </c>
      <c r="D578" s="114" t="s">
        <v>16</v>
      </c>
      <c r="E578" s="114" t="s">
        <v>1199</v>
      </c>
      <c r="F578" s="115" t="s">
        <v>89</v>
      </c>
      <c r="G578" s="114" t="s">
        <v>90</v>
      </c>
      <c r="H578" s="114" t="s">
        <v>383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450</v>
      </c>
      <c r="B579" s="114" t="s">
        <v>1190</v>
      </c>
      <c r="C579" s="114" t="s">
        <v>1197</v>
      </c>
      <c r="D579" s="114" t="s">
        <v>16</v>
      </c>
      <c r="E579" s="114" t="s">
        <v>1200</v>
      </c>
      <c r="F579" s="115" t="s">
        <v>89</v>
      </c>
      <c r="G579" s="114" t="s">
        <v>90</v>
      </c>
      <c r="H579" s="114" t="s">
        <v>383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452</v>
      </c>
      <c r="B580" s="114" t="s">
        <v>1190</v>
      </c>
      <c r="C580" s="114" t="s">
        <v>1197</v>
      </c>
      <c r="D580" s="114" t="s">
        <v>16</v>
      </c>
      <c r="E580" s="114" t="s">
        <v>1201</v>
      </c>
      <c r="F580" s="115" t="s">
        <v>89</v>
      </c>
      <c r="G580" s="114" t="s">
        <v>90</v>
      </c>
      <c r="H580" s="114" t="s">
        <v>383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454</v>
      </c>
      <c r="B581" s="114" t="s">
        <v>1190</v>
      </c>
      <c r="C581" s="114" t="s">
        <v>1197</v>
      </c>
      <c r="D581" s="114" t="s">
        <v>16</v>
      </c>
      <c r="E581" s="114" t="s">
        <v>1202</v>
      </c>
      <c r="F581" s="115" t="s">
        <v>89</v>
      </c>
      <c r="G581" s="114" t="s">
        <v>90</v>
      </c>
      <c r="H581" s="114" t="s">
        <v>383</v>
      </c>
      <c r="I581" s="116" t="n">
        <v>1</v>
      </c>
      <c r="J581" s="116" t="n">
        <v>1</v>
      </c>
      <c r="K581" s="114"/>
      <c r="L581" s="114"/>
    </row>
    <row r="582" customFormat="false" ht="15" hidden="false" customHeight="false" outlineLevel="0" collapsed="false">
      <c r="A582" s="114" t="s">
        <v>456</v>
      </c>
      <c r="B582" s="114" t="s">
        <v>1190</v>
      </c>
      <c r="C582" s="114" t="s">
        <v>1197</v>
      </c>
      <c r="D582" s="114" t="s">
        <v>16</v>
      </c>
      <c r="E582" s="114" t="s">
        <v>1203</v>
      </c>
      <c r="F582" s="115" t="s">
        <v>89</v>
      </c>
      <c r="G582" s="114" t="s">
        <v>90</v>
      </c>
      <c r="H582" s="114" t="s">
        <v>383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458</v>
      </c>
      <c r="B583" s="114" t="s">
        <v>1190</v>
      </c>
      <c r="C583" s="114" t="s">
        <v>1197</v>
      </c>
      <c r="D583" s="114" t="s">
        <v>16</v>
      </c>
      <c r="E583" s="114" t="s">
        <v>1204</v>
      </c>
      <c r="F583" s="115" t="s">
        <v>89</v>
      </c>
      <c r="G583" s="114" t="s">
        <v>90</v>
      </c>
      <c r="H583" s="114" t="s">
        <v>383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460</v>
      </c>
      <c r="B584" s="114" t="s">
        <v>1190</v>
      </c>
      <c r="C584" s="114" t="s">
        <v>1197</v>
      </c>
      <c r="D584" s="114" t="s">
        <v>16</v>
      </c>
      <c r="E584" s="114" t="s">
        <v>1205</v>
      </c>
      <c r="F584" s="115" t="s">
        <v>89</v>
      </c>
      <c r="G584" s="114" t="s">
        <v>90</v>
      </c>
      <c r="H584" s="114" t="s">
        <v>383</v>
      </c>
      <c r="I584" s="116" t="n">
        <v>0</v>
      </c>
      <c r="J584" s="116" t="n">
        <v>1</v>
      </c>
      <c r="K584" s="114"/>
      <c r="L584" s="114"/>
    </row>
    <row r="585" customFormat="false" ht="15" hidden="false" customHeight="false" outlineLevel="0" collapsed="false">
      <c r="A585" s="114" t="s">
        <v>462</v>
      </c>
      <c r="B585" s="114" t="s">
        <v>1190</v>
      </c>
      <c r="C585" s="114" t="s">
        <v>1197</v>
      </c>
      <c r="D585" s="114" t="s">
        <v>16</v>
      </c>
      <c r="E585" s="114" t="s">
        <v>1206</v>
      </c>
      <c r="F585" s="115" t="s">
        <v>89</v>
      </c>
      <c r="G585" s="114" t="s">
        <v>90</v>
      </c>
      <c r="H585" s="114" t="s">
        <v>383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463</v>
      </c>
      <c r="B586" s="114" t="s">
        <v>1190</v>
      </c>
      <c r="C586" s="114" t="s">
        <v>1197</v>
      </c>
      <c r="D586" s="114" t="s">
        <v>16</v>
      </c>
      <c r="E586" s="114" t="s">
        <v>1207</v>
      </c>
      <c r="F586" s="115" t="s">
        <v>89</v>
      </c>
      <c r="G586" s="114" t="s">
        <v>90</v>
      </c>
      <c r="H586" s="114" t="s">
        <v>383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465</v>
      </c>
      <c r="B587" s="114" t="s">
        <v>1190</v>
      </c>
      <c r="C587" s="114" t="s">
        <v>1197</v>
      </c>
      <c r="D587" s="114" t="s">
        <v>16</v>
      </c>
      <c r="E587" s="114" t="s">
        <v>1208</v>
      </c>
      <c r="F587" s="115" t="s">
        <v>89</v>
      </c>
      <c r="G587" s="114" t="s">
        <v>90</v>
      </c>
      <c r="H587" s="114" t="s">
        <v>383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466</v>
      </c>
      <c r="B588" s="114" t="s">
        <v>1190</v>
      </c>
      <c r="C588" s="114" t="s">
        <v>1197</v>
      </c>
      <c r="D588" s="114" t="s">
        <v>16</v>
      </c>
      <c r="E588" s="114" t="s">
        <v>1209</v>
      </c>
      <c r="F588" s="115" t="s">
        <v>89</v>
      </c>
      <c r="G588" s="114" t="s">
        <v>90</v>
      </c>
      <c r="H588" s="114" t="s">
        <v>383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468</v>
      </c>
      <c r="B589" s="114" t="s">
        <v>1190</v>
      </c>
      <c r="C589" s="114" t="s">
        <v>1197</v>
      </c>
      <c r="D589" s="114" t="s">
        <v>16</v>
      </c>
      <c r="E589" s="114" t="s">
        <v>1210</v>
      </c>
      <c r="F589" s="115" t="s">
        <v>89</v>
      </c>
      <c r="G589" s="114" t="s">
        <v>90</v>
      </c>
      <c r="H589" s="114" t="s">
        <v>383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529</v>
      </c>
      <c r="B590" s="114" t="s">
        <v>1190</v>
      </c>
      <c r="C590" s="114" t="s">
        <v>1197</v>
      </c>
      <c r="D590" s="114" t="s">
        <v>16</v>
      </c>
      <c r="E590" s="114" t="s">
        <v>1211</v>
      </c>
      <c r="F590" s="115" t="s">
        <v>89</v>
      </c>
      <c r="G590" s="114" t="s">
        <v>90</v>
      </c>
      <c r="H590" s="114" t="s">
        <v>383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469</v>
      </c>
      <c r="B591" s="114" t="s">
        <v>1190</v>
      </c>
      <c r="C591" s="114" t="s">
        <v>1197</v>
      </c>
      <c r="D591" s="114" t="s">
        <v>16</v>
      </c>
      <c r="E591" s="114" t="s">
        <v>1212</v>
      </c>
      <c r="F591" s="115" t="s">
        <v>89</v>
      </c>
      <c r="G591" s="114" t="s">
        <v>90</v>
      </c>
      <c r="H591" s="114" t="s">
        <v>383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892</v>
      </c>
      <c r="B592" s="114" t="s">
        <v>1190</v>
      </c>
      <c r="C592" s="114" t="s">
        <v>1197</v>
      </c>
      <c r="D592" s="114" t="s">
        <v>16</v>
      </c>
      <c r="E592" s="114" t="s">
        <v>1213</v>
      </c>
      <c r="F592" s="115" t="s">
        <v>89</v>
      </c>
      <c r="G592" s="114" t="s">
        <v>90</v>
      </c>
      <c r="H592" s="114" t="s">
        <v>383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470</v>
      </c>
      <c r="B593" s="114" t="s">
        <v>1190</v>
      </c>
      <c r="C593" s="114" t="s">
        <v>1197</v>
      </c>
      <c r="D593" s="114" t="s">
        <v>16</v>
      </c>
      <c r="E593" s="114" t="s">
        <v>1214</v>
      </c>
      <c r="F593" s="115" t="s">
        <v>89</v>
      </c>
      <c r="G593" s="114" t="s">
        <v>90</v>
      </c>
      <c r="H593" s="114" t="s">
        <v>383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380</v>
      </c>
      <c r="B594" s="114" t="s">
        <v>1190</v>
      </c>
      <c r="C594" s="114" t="s">
        <v>1197</v>
      </c>
      <c r="D594" s="114" t="s">
        <v>16</v>
      </c>
      <c r="E594" s="114" t="s">
        <v>1215</v>
      </c>
      <c r="F594" s="115" t="s">
        <v>89</v>
      </c>
      <c r="G594" s="114" t="s">
        <v>90</v>
      </c>
      <c r="H594" s="114" t="s">
        <v>383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471</v>
      </c>
      <c r="B595" s="114" t="s">
        <v>1190</v>
      </c>
      <c r="C595" s="114" t="s">
        <v>1197</v>
      </c>
      <c r="D595" s="114" t="s">
        <v>16</v>
      </c>
      <c r="E595" s="114" t="s">
        <v>1216</v>
      </c>
      <c r="F595" s="115" t="s">
        <v>89</v>
      </c>
      <c r="G595" s="114" t="s">
        <v>90</v>
      </c>
      <c r="H595" s="114" t="s">
        <v>383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384</v>
      </c>
      <c r="B596" s="114" t="s">
        <v>1190</v>
      </c>
      <c r="C596" s="114" t="s">
        <v>1197</v>
      </c>
      <c r="D596" s="114" t="s">
        <v>16</v>
      </c>
      <c r="E596" s="114" t="s">
        <v>1217</v>
      </c>
      <c r="F596" s="115" t="s">
        <v>89</v>
      </c>
      <c r="G596" s="114" t="s">
        <v>90</v>
      </c>
      <c r="H596" s="114" t="s">
        <v>383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1015</v>
      </c>
      <c r="B597" s="114" t="s">
        <v>1190</v>
      </c>
      <c r="C597" s="114" t="s">
        <v>1197</v>
      </c>
      <c r="D597" s="114" t="s">
        <v>16</v>
      </c>
      <c r="E597" s="114" t="s">
        <v>232</v>
      </c>
      <c r="F597" s="115" t="s">
        <v>59</v>
      </c>
      <c r="G597" s="114" t="s">
        <v>60</v>
      </c>
      <c r="H597" s="114" t="s">
        <v>383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472</v>
      </c>
      <c r="B598" s="114" t="s">
        <v>1190</v>
      </c>
      <c r="C598" s="114" t="s">
        <v>1197</v>
      </c>
      <c r="D598" s="114" t="s">
        <v>16</v>
      </c>
      <c r="E598" s="114" t="s">
        <v>1218</v>
      </c>
      <c r="F598" s="115" t="s">
        <v>89</v>
      </c>
      <c r="G598" s="114" t="s">
        <v>90</v>
      </c>
      <c r="H598" s="114" t="s">
        <v>383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385</v>
      </c>
      <c r="B599" s="114" t="s">
        <v>1190</v>
      </c>
      <c r="C599" s="114" t="s">
        <v>1197</v>
      </c>
      <c r="D599" s="114" t="s">
        <v>16</v>
      </c>
      <c r="E599" s="114" t="s">
        <v>1219</v>
      </c>
      <c r="F599" s="115" t="s">
        <v>89</v>
      </c>
      <c r="G599" s="114" t="s">
        <v>90</v>
      </c>
      <c r="H599" s="114" t="s">
        <v>383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1017</v>
      </c>
      <c r="B600" s="114" t="s">
        <v>1190</v>
      </c>
      <c r="C600" s="114" t="s">
        <v>1197</v>
      </c>
      <c r="D600" s="114" t="s">
        <v>16</v>
      </c>
      <c r="E600" s="114" t="s">
        <v>365</v>
      </c>
      <c r="F600" s="115" t="s">
        <v>135</v>
      </c>
      <c r="G600" s="114" t="s">
        <v>136</v>
      </c>
      <c r="H600" s="114" t="s">
        <v>383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473</v>
      </c>
      <c r="B601" s="114" t="s">
        <v>1190</v>
      </c>
      <c r="C601" s="114" t="s">
        <v>1197</v>
      </c>
      <c r="D601" s="114" t="s">
        <v>16</v>
      </c>
      <c r="E601" s="114" t="s">
        <v>1220</v>
      </c>
      <c r="F601" s="115" t="s">
        <v>89</v>
      </c>
      <c r="G601" s="114" t="s">
        <v>90</v>
      </c>
      <c r="H601" s="114" t="s">
        <v>383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897</v>
      </c>
      <c r="B602" s="114" t="s">
        <v>1190</v>
      </c>
      <c r="C602" s="114" t="s">
        <v>1197</v>
      </c>
      <c r="D602" s="114" t="s">
        <v>16</v>
      </c>
      <c r="E602" s="114" t="s">
        <v>1221</v>
      </c>
      <c r="F602" s="115" t="s">
        <v>89</v>
      </c>
      <c r="G602" s="114" t="s">
        <v>90</v>
      </c>
      <c r="H602" s="114" t="s">
        <v>383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662</v>
      </c>
      <c r="B603" s="114" t="s">
        <v>1190</v>
      </c>
      <c r="C603" s="114" t="s">
        <v>1197</v>
      </c>
      <c r="D603" s="114" t="s">
        <v>16</v>
      </c>
      <c r="E603" s="114" t="s">
        <v>1222</v>
      </c>
      <c r="F603" s="115" t="s">
        <v>89</v>
      </c>
      <c r="G603" s="114" t="s">
        <v>90</v>
      </c>
      <c r="H603" s="114" t="s">
        <v>383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498</v>
      </c>
      <c r="B604" s="114" t="s">
        <v>1190</v>
      </c>
      <c r="C604" s="114" t="s">
        <v>412</v>
      </c>
      <c r="D604" s="114" t="s">
        <v>14</v>
      </c>
      <c r="E604" s="114" t="s">
        <v>230</v>
      </c>
      <c r="F604" s="115" t="s">
        <v>59</v>
      </c>
      <c r="G604" s="114" t="s">
        <v>60</v>
      </c>
      <c r="H604" s="114" t="s">
        <v>383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706</v>
      </c>
      <c r="B605" s="114" t="s">
        <v>1190</v>
      </c>
      <c r="C605" s="114" t="s">
        <v>412</v>
      </c>
      <c r="D605" s="114" t="s">
        <v>14</v>
      </c>
      <c r="E605" s="114" t="s">
        <v>227</v>
      </c>
      <c r="F605" s="115" t="s">
        <v>51</v>
      </c>
      <c r="G605" s="114" t="s">
        <v>52</v>
      </c>
      <c r="H605" s="114" t="s">
        <v>383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416</v>
      </c>
      <c r="B606" s="114" t="s">
        <v>1190</v>
      </c>
      <c r="C606" s="114" t="s">
        <v>7</v>
      </c>
      <c r="D606" s="114" t="s">
        <v>7</v>
      </c>
      <c r="E606" s="114" t="s">
        <v>222</v>
      </c>
      <c r="F606" s="115" t="s">
        <v>59</v>
      </c>
      <c r="G606" s="114" t="s">
        <v>60</v>
      </c>
      <c r="H606" s="114" t="s">
        <v>383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419</v>
      </c>
      <c r="B607" s="114" t="s">
        <v>1190</v>
      </c>
      <c r="C607" s="114" t="s">
        <v>7</v>
      </c>
      <c r="D607" s="114" t="s">
        <v>7</v>
      </c>
      <c r="E607" s="114" t="s">
        <v>310</v>
      </c>
      <c r="F607" s="115" t="s">
        <v>55</v>
      </c>
      <c r="G607" s="114" t="s">
        <v>56</v>
      </c>
      <c r="H607" s="114" t="s">
        <v>383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421</v>
      </c>
      <c r="B608" s="114" t="s">
        <v>1190</v>
      </c>
      <c r="C608" s="114" t="s">
        <v>7</v>
      </c>
      <c r="D608" s="114" t="s">
        <v>7</v>
      </c>
      <c r="E608" s="114" t="s">
        <v>1223</v>
      </c>
      <c r="F608" s="115" t="s">
        <v>111</v>
      </c>
      <c r="G608" s="114" t="s">
        <v>112</v>
      </c>
      <c r="H608" s="114" t="s">
        <v>383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1224</v>
      </c>
      <c r="B609" s="114" t="s">
        <v>1190</v>
      </c>
      <c r="C609" s="114" t="s">
        <v>7</v>
      </c>
      <c r="D609" s="114" t="s">
        <v>7</v>
      </c>
      <c r="E609" s="114" t="s">
        <v>1225</v>
      </c>
      <c r="F609" s="115" t="s">
        <v>111</v>
      </c>
      <c r="G609" s="114" t="s">
        <v>112</v>
      </c>
      <c r="H609" s="114" t="s">
        <v>383</v>
      </c>
      <c r="I609" s="116" t="n">
        <v>0</v>
      </c>
      <c r="J609" s="116" t="n">
        <v>1</v>
      </c>
      <c r="K609" s="114"/>
      <c r="L609" s="114"/>
    </row>
    <row r="610" customFormat="false" ht="15" hidden="false" customHeight="false" outlineLevel="0" collapsed="false">
      <c r="A610" s="114" t="s">
        <v>423</v>
      </c>
      <c r="B610" s="114" t="s">
        <v>1190</v>
      </c>
      <c r="C610" s="114" t="s">
        <v>7</v>
      </c>
      <c r="D610" s="114" t="s">
        <v>7</v>
      </c>
      <c r="E610" s="114" t="s">
        <v>215</v>
      </c>
      <c r="F610" s="115" t="s">
        <v>51</v>
      </c>
      <c r="G610" s="114" t="s">
        <v>52</v>
      </c>
      <c r="H610" s="114" t="s">
        <v>383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428</v>
      </c>
      <c r="B611" s="114" t="s">
        <v>1190</v>
      </c>
      <c r="C611" s="114" t="s">
        <v>8</v>
      </c>
      <c r="D611" s="114" t="s">
        <v>8</v>
      </c>
      <c r="E611" s="114" t="s">
        <v>316</v>
      </c>
      <c r="F611" s="115" t="s">
        <v>55</v>
      </c>
      <c r="G611" s="114" t="s">
        <v>56</v>
      </c>
      <c r="H611" s="114" t="s">
        <v>383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675</v>
      </c>
      <c r="B612" s="114" t="s">
        <v>1190</v>
      </c>
      <c r="C612" s="114" t="s">
        <v>8</v>
      </c>
      <c r="D612" s="114" t="s">
        <v>8</v>
      </c>
      <c r="E612" s="114" t="s">
        <v>217</v>
      </c>
      <c r="F612" s="115" t="s">
        <v>51</v>
      </c>
      <c r="G612" s="114" t="s">
        <v>52</v>
      </c>
      <c r="H612" s="114" t="s">
        <v>383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677</v>
      </c>
      <c r="B613" s="114" t="s">
        <v>1190</v>
      </c>
      <c r="C613" s="114" t="s">
        <v>8</v>
      </c>
      <c r="D613" s="114" t="s">
        <v>8</v>
      </c>
      <c r="E613" s="114" t="s">
        <v>1226</v>
      </c>
      <c r="F613" s="115" t="s">
        <v>147</v>
      </c>
      <c r="G613" s="114" t="s">
        <v>148</v>
      </c>
      <c r="H613" s="114" t="s">
        <v>383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679</v>
      </c>
      <c r="B614" s="114" t="s">
        <v>1190</v>
      </c>
      <c r="C614" s="114" t="s">
        <v>8</v>
      </c>
      <c r="D614" s="114" t="s">
        <v>8</v>
      </c>
      <c r="E614" s="114" t="s">
        <v>1227</v>
      </c>
      <c r="F614" s="115" t="s">
        <v>147</v>
      </c>
      <c r="G614" s="114" t="s">
        <v>148</v>
      </c>
      <c r="H614" s="114" t="s">
        <v>383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572</v>
      </c>
      <c r="B615" s="114" t="s">
        <v>1190</v>
      </c>
      <c r="C615" s="114" t="s">
        <v>8</v>
      </c>
      <c r="D615" s="114" t="s">
        <v>8</v>
      </c>
      <c r="E615" s="114" t="s">
        <v>1228</v>
      </c>
      <c r="F615" s="115" t="s">
        <v>147</v>
      </c>
      <c r="G615" s="114" t="s">
        <v>148</v>
      </c>
      <c r="H615" s="114" t="s">
        <v>383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573</v>
      </c>
      <c r="B616" s="114" t="s">
        <v>1190</v>
      </c>
      <c r="C616" s="114" t="s">
        <v>8</v>
      </c>
      <c r="D616" s="114" t="s">
        <v>8</v>
      </c>
      <c r="E616" s="114" t="s">
        <v>1229</v>
      </c>
      <c r="F616" s="115" t="s">
        <v>147</v>
      </c>
      <c r="G616" s="114" t="s">
        <v>148</v>
      </c>
      <c r="H616" s="114" t="s">
        <v>383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1123</v>
      </c>
      <c r="B617" s="114" t="s">
        <v>1190</v>
      </c>
      <c r="C617" s="114" t="s">
        <v>8</v>
      </c>
      <c r="D617" s="114" t="s">
        <v>8</v>
      </c>
      <c r="E617" s="114" t="s">
        <v>1230</v>
      </c>
      <c r="F617" s="115" t="s">
        <v>147</v>
      </c>
      <c r="G617" s="114" t="s">
        <v>148</v>
      </c>
      <c r="H617" s="114" t="s">
        <v>383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430</v>
      </c>
      <c r="B618" s="114" t="s">
        <v>1190</v>
      </c>
      <c r="C618" s="114" t="s">
        <v>9</v>
      </c>
      <c r="D618" s="114" t="s">
        <v>9</v>
      </c>
      <c r="E618" s="114" t="s">
        <v>226</v>
      </c>
      <c r="F618" s="115" t="s">
        <v>59</v>
      </c>
      <c r="G618" s="114" t="s">
        <v>60</v>
      </c>
      <c r="H618" s="114" t="s">
        <v>383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432</v>
      </c>
      <c r="B619" s="114" t="s">
        <v>1190</v>
      </c>
      <c r="C619" s="114" t="s">
        <v>9</v>
      </c>
      <c r="D619" s="114" t="s">
        <v>9</v>
      </c>
      <c r="E619" s="114" t="s">
        <v>321</v>
      </c>
      <c r="F619" s="115" t="s">
        <v>55</v>
      </c>
      <c r="G619" s="114" t="s">
        <v>56</v>
      </c>
      <c r="H619" s="114" t="s">
        <v>383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434</v>
      </c>
      <c r="B620" s="114" t="s">
        <v>1190</v>
      </c>
      <c r="C620" s="114" t="s">
        <v>9</v>
      </c>
      <c r="D620" s="114" t="s">
        <v>9</v>
      </c>
      <c r="E620" s="114" t="s">
        <v>1231</v>
      </c>
      <c r="F620" s="115" t="s">
        <v>111</v>
      </c>
      <c r="G620" s="114" t="s">
        <v>112</v>
      </c>
      <c r="H620" s="114" t="s">
        <v>383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435</v>
      </c>
      <c r="B621" s="114" t="s">
        <v>1190</v>
      </c>
      <c r="C621" s="114" t="s">
        <v>9</v>
      </c>
      <c r="D621" s="114" t="s">
        <v>9</v>
      </c>
      <c r="E621" s="114" t="s">
        <v>219</v>
      </c>
      <c r="F621" s="115" t="s">
        <v>51</v>
      </c>
      <c r="G621" s="114" t="s">
        <v>52</v>
      </c>
      <c r="H621" s="114" t="s">
        <v>383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436</v>
      </c>
      <c r="B622" s="114" t="s">
        <v>1190</v>
      </c>
      <c r="C622" s="114" t="s">
        <v>9</v>
      </c>
      <c r="D622" s="114" t="s">
        <v>9</v>
      </c>
      <c r="E622" s="114" t="s">
        <v>220</v>
      </c>
      <c r="F622" s="115" t="s">
        <v>51</v>
      </c>
      <c r="G622" s="114" t="s">
        <v>52</v>
      </c>
      <c r="H622" s="114" t="s">
        <v>383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1232</v>
      </c>
      <c r="B623" s="114" t="s">
        <v>1190</v>
      </c>
      <c r="C623" s="114" t="s">
        <v>1233</v>
      </c>
      <c r="D623" s="114" t="s">
        <v>15</v>
      </c>
      <c r="E623" s="114" t="s">
        <v>343</v>
      </c>
      <c r="F623" s="115" t="s">
        <v>55</v>
      </c>
      <c r="G623" s="114" t="s">
        <v>56</v>
      </c>
      <c r="H623" s="114" t="s">
        <v>383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399</v>
      </c>
      <c r="B624" s="114" t="s">
        <v>1190</v>
      </c>
      <c r="C624" s="114" t="s">
        <v>23</v>
      </c>
      <c r="D624" s="114" t="s">
        <v>23</v>
      </c>
      <c r="E624" s="114" t="s">
        <v>1234</v>
      </c>
      <c r="F624" s="115" t="s">
        <v>117</v>
      </c>
      <c r="G624" s="114" t="s">
        <v>118</v>
      </c>
      <c r="H624" s="114" t="s">
        <v>383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1003</v>
      </c>
      <c r="B625" s="114" t="s">
        <v>1190</v>
      </c>
      <c r="C625" s="114" t="s">
        <v>23</v>
      </c>
      <c r="D625" s="114" t="s">
        <v>23</v>
      </c>
      <c r="E625" s="114" t="s">
        <v>1235</v>
      </c>
      <c r="F625" s="115" t="s">
        <v>117</v>
      </c>
      <c r="G625" s="114" t="s">
        <v>118</v>
      </c>
      <c r="H625" s="114" t="s">
        <v>383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1005</v>
      </c>
      <c r="B626" s="114" t="s">
        <v>1190</v>
      </c>
      <c r="C626" s="114" t="s">
        <v>23</v>
      </c>
      <c r="D626" s="114" t="s">
        <v>23</v>
      </c>
      <c r="E626" s="114" t="s">
        <v>1236</v>
      </c>
      <c r="F626" s="115" t="s">
        <v>117</v>
      </c>
      <c r="G626" s="114" t="s">
        <v>118</v>
      </c>
      <c r="H626" s="114" t="s">
        <v>383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1007</v>
      </c>
      <c r="B627" s="114" t="s">
        <v>1190</v>
      </c>
      <c r="C627" s="114" t="s">
        <v>23</v>
      </c>
      <c r="D627" s="114" t="s">
        <v>23</v>
      </c>
      <c r="E627" s="114" t="s">
        <v>1237</v>
      </c>
      <c r="F627" s="115" t="s">
        <v>117</v>
      </c>
      <c r="G627" s="114" t="s">
        <v>118</v>
      </c>
      <c r="H627" s="114" t="s">
        <v>383</v>
      </c>
      <c r="I627" s="116" t="n">
        <v>0</v>
      </c>
      <c r="J627" s="116" t="n">
        <v>1</v>
      </c>
      <c r="K627" s="114"/>
      <c r="L627" s="114"/>
    </row>
    <row r="628" customFormat="false" ht="15" hidden="false" customHeight="false" outlineLevel="0" collapsed="false">
      <c r="A628" s="114" t="s">
        <v>386</v>
      </c>
      <c r="B628" s="114" t="s">
        <v>1190</v>
      </c>
      <c r="C628" s="114" t="s">
        <v>528</v>
      </c>
      <c r="D628" s="114" t="s">
        <v>20</v>
      </c>
      <c r="E628" s="114" t="s">
        <v>236</v>
      </c>
      <c r="F628" s="115" t="s">
        <v>59</v>
      </c>
      <c r="G628" s="114" t="s">
        <v>60</v>
      </c>
      <c r="H628" s="114" t="s">
        <v>383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389</v>
      </c>
      <c r="B629" s="114" t="s">
        <v>1190</v>
      </c>
      <c r="C629" s="114" t="s">
        <v>528</v>
      </c>
      <c r="D629" s="114" t="s">
        <v>20</v>
      </c>
      <c r="E629" s="114" t="s">
        <v>238</v>
      </c>
      <c r="F629" s="115" t="s">
        <v>59</v>
      </c>
      <c r="G629" s="114" t="s">
        <v>60</v>
      </c>
      <c r="H629" s="114" t="s">
        <v>383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391</v>
      </c>
      <c r="B630" s="114" t="s">
        <v>1190</v>
      </c>
      <c r="C630" s="114" t="s">
        <v>528</v>
      </c>
      <c r="D630" s="114" t="s">
        <v>20</v>
      </c>
      <c r="E630" s="114" t="s">
        <v>240</v>
      </c>
      <c r="F630" s="115" t="s">
        <v>59</v>
      </c>
      <c r="G630" s="114" t="s">
        <v>60</v>
      </c>
      <c r="H630" s="114" t="s">
        <v>383</v>
      </c>
      <c r="I630" s="116" t="n">
        <v>0</v>
      </c>
      <c r="J630" s="116" t="n">
        <v>1</v>
      </c>
      <c r="K630" s="114"/>
      <c r="L630" s="114"/>
    </row>
    <row r="631" customFormat="false" ht="15" hidden="false" customHeight="false" outlineLevel="0" collapsed="false">
      <c r="A631" s="114" t="s">
        <v>393</v>
      </c>
      <c r="B631" s="114" t="s">
        <v>1190</v>
      </c>
      <c r="C631" s="114" t="s">
        <v>528</v>
      </c>
      <c r="D631" s="114" t="s">
        <v>20</v>
      </c>
      <c r="E631" s="114" t="s">
        <v>242</v>
      </c>
      <c r="F631" s="115" t="s">
        <v>59</v>
      </c>
      <c r="G631" s="114" t="s">
        <v>60</v>
      </c>
      <c r="H631" s="114" t="s">
        <v>383</v>
      </c>
      <c r="I631" s="116" t="n">
        <v>0</v>
      </c>
      <c r="J631" s="116" t="n">
        <v>1</v>
      </c>
      <c r="K631" s="114"/>
      <c r="L631" s="114"/>
    </row>
    <row r="632" customFormat="false" ht="15" hidden="false" customHeight="false" outlineLevel="0" collapsed="false">
      <c r="A632" s="114" t="s">
        <v>395</v>
      </c>
      <c r="B632" s="114" t="s">
        <v>1190</v>
      </c>
      <c r="C632" s="114" t="s">
        <v>528</v>
      </c>
      <c r="D632" s="114" t="s">
        <v>20</v>
      </c>
      <c r="E632" s="114" t="s">
        <v>244</v>
      </c>
      <c r="F632" s="115" t="s">
        <v>59</v>
      </c>
      <c r="G632" s="114" t="s">
        <v>60</v>
      </c>
      <c r="H632" s="114" t="s">
        <v>383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739</v>
      </c>
      <c r="B633" s="114" t="s">
        <v>1190</v>
      </c>
      <c r="C633" s="114" t="s">
        <v>528</v>
      </c>
      <c r="D633" s="114" t="s">
        <v>20</v>
      </c>
      <c r="E633" s="114" t="s">
        <v>354</v>
      </c>
      <c r="F633" s="115" t="s">
        <v>55</v>
      </c>
      <c r="G633" s="114" t="s">
        <v>56</v>
      </c>
      <c r="H633" s="114" t="s">
        <v>383</v>
      </c>
      <c r="I633" s="116" t="n">
        <v>0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741</v>
      </c>
      <c r="B634" s="114" t="s">
        <v>1190</v>
      </c>
      <c r="C634" s="114" t="s">
        <v>528</v>
      </c>
      <c r="D634" s="114" t="s">
        <v>20</v>
      </c>
      <c r="E634" s="114" t="s">
        <v>360</v>
      </c>
      <c r="F634" s="115" t="s">
        <v>55</v>
      </c>
      <c r="G634" s="114" t="s">
        <v>56</v>
      </c>
      <c r="H634" s="114" t="s">
        <v>383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743</v>
      </c>
      <c r="B635" s="114" t="s">
        <v>1190</v>
      </c>
      <c r="C635" s="114" t="s">
        <v>528</v>
      </c>
      <c r="D635" s="114" t="s">
        <v>20</v>
      </c>
      <c r="E635" s="114" t="s">
        <v>366</v>
      </c>
      <c r="F635" s="115" t="s">
        <v>55</v>
      </c>
      <c r="G635" s="114" t="s">
        <v>56</v>
      </c>
      <c r="H635" s="114" t="s">
        <v>383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745</v>
      </c>
      <c r="B636" s="114" t="s">
        <v>1190</v>
      </c>
      <c r="C636" s="114" t="s">
        <v>528</v>
      </c>
      <c r="D636" s="114" t="s">
        <v>20</v>
      </c>
      <c r="E636" s="114" t="s">
        <v>163</v>
      </c>
      <c r="F636" s="115" t="s">
        <v>55</v>
      </c>
      <c r="G636" s="114" t="s">
        <v>56</v>
      </c>
      <c r="H636" s="114" t="s">
        <v>383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747</v>
      </c>
      <c r="B637" s="114" t="s">
        <v>1190</v>
      </c>
      <c r="C637" s="114" t="s">
        <v>528</v>
      </c>
      <c r="D637" s="114" t="s">
        <v>20</v>
      </c>
      <c r="E637" s="114" t="s">
        <v>165</v>
      </c>
      <c r="F637" s="115" t="s">
        <v>55</v>
      </c>
      <c r="G637" s="114" t="s">
        <v>56</v>
      </c>
      <c r="H637" s="114" t="s">
        <v>383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749</v>
      </c>
      <c r="B638" s="114" t="s">
        <v>1190</v>
      </c>
      <c r="C638" s="114" t="s">
        <v>528</v>
      </c>
      <c r="D638" s="114" t="s">
        <v>20</v>
      </c>
      <c r="E638" s="114" t="s">
        <v>167</v>
      </c>
      <c r="F638" s="115" t="s">
        <v>55</v>
      </c>
      <c r="G638" s="114" t="s">
        <v>56</v>
      </c>
      <c r="H638" s="114" t="s">
        <v>383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641</v>
      </c>
      <c r="B639" s="114" t="s">
        <v>1190</v>
      </c>
      <c r="C639" s="114" t="s">
        <v>528</v>
      </c>
      <c r="D639" s="114" t="s">
        <v>20</v>
      </c>
      <c r="E639" s="114" t="s">
        <v>169</v>
      </c>
      <c r="F639" s="115" t="s">
        <v>55</v>
      </c>
      <c r="G639" s="114" t="s">
        <v>56</v>
      </c>
      <c r="H639" s="114" t="s">
        <v>383</v>
      </c>
      <c r="I639" s="116" t="n">
        <v>1</v>
      </c>
      <c r="J639" s="116" t="n">
        <v>0</v>
      </c>
      <c r="K639" s="114"/>
      <c r="L639" s="114"/>
    </row>
    <row r="640" customFormat="false" ht="15" hidden="false" customHeight="false" outlineLevel="0" collapsed="false">
      <c r="A640" s="114" t="s">
        <v>643</v>
      </c>
      <c r="B640" s="114" t="s">
        <v>1190</v>
      </c>
      <c r="C640" s="114" t="s">
        <v>528</v>
      </c>
      <c r="D640" s="114" t="s">
        <v>20</v>
      </c>
      <c r="E640" s="114" t="s">
        <v>171</v>
      </c>
      <c r="F640" s="115" t="s">
        <v>55</v>
      </c>
      <c r="G640" s="114" t="s">
        <v>56</v>
      </c>
      <c r="H640" s="114" t="s">
        <v>383</v>
      </c>
      <c r="I640" s="116" t="n">
        <v>0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570</v>
      </c>
      <c r="B641" s="114" t="s">
        <v>1190</v>
      </c>
      <c r="C641" s="114" t="s">
        <v>528</v>
      </c>
      <c r="D641" s="114" t="s">
        <v>20</v>
      </c>
      <c r="E641" s="114" t="s">
        <v>173</v>
      </c>
      <c r="F641" s="115" t="s">
        <v>55</v>
      </c>
      <c r="G641" s="114" t="s">
        <v>56</v>
      </c>
      <c r="H641" s="114" t="s">
        <v>383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646</v>
      </c>
      <c r="B642" s="114" t="s">
        <v>1190</v>
      </c>
      <c r="C642" s="114" t="s">
        <v>528</v>
      </c>
      <c r="D642" s="114" t="s">
        <v>20</v>
      </c>
      <c r="E642" s="114" t="s">
        <v>268</v>
      </c>
      <c r="F642" s="115" t="s">
        <v>135</v>
      </c>
      <c r="G642" s="114" t="s">
        <v>136</v>
      </c>
      <c r="H642" s="114" t="s">
        <v>383</v>
      </c>
      <c r="I642" s="116" t="n">
        <v>1</v>
      </c>
      <c r="J642" s="116" t="n">
        <v>1</v>
      </c>
      <c r="K642" s="114"/>
      <c r="L642" s="114"/>
    </row>
    <row r="643" customFormat="false" ht="15" hidden="false" customHeight="false" outlineLevel="0" collapsed="false">
      <c r="A643" s="114" t="s">
        <v>648</v>
      </c>
      <c r="B643" s="114" t="s">
        <v>1190</v>
      </c>
      <c r="C643" s="114" t="s">
        <v>528</v>
      </c>
      <c r="D643" s="114" t="s">
        <v>20</v>
      </c>
      <c r="E643" s="114" t="s">
        <v>274</v>
      </c>
      <c r="F643" s="115" t="s">
        <v>135</v>
      </c>
      <c r="G643" s="114" t="s">
        <v>136</v>
      </c>
      <c r="H643" s="114" t="s">
        <v>383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1169</v>
      </c>
      <c r="B644" s="114" t="s">
        <v>1190</v>
      </c>
      <c r="C644" s="114" t="s">
        <v>18</v>
      </c>
      <c r="D644" s="114" t="s">
        <v>18</v>
      </c>
      <c r="E644" s="114" t="s">
        <v>348</v>
      </c>
      <c r="F644" s="115" t="s">
        <v>55</v>
      </c>
      <c r="G644" s="114" t="s">
        <v>56</v>
      </c>
      <c r="H644" s="114" t="s">
        <v>383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509</v>
      </c>
      <c r="B645" s="114" t="s">
        <v>1190</v>
      </c>
      <c r="C645" s="114" t="s">
        <v>18</v>
      </c>
      <c r="D645" s="114" t="s">
        <v>18</v>
      </c>
      <c r="E645" s="114" t="s">
        <v>371</v>
      </c>
      <c r="F645" s="115" t="s">
        <v>135</v>
      </c>
      <c r="G645" s="114" t="s">
        <v>136</v>
      </c>
      <c r="H645" s="114" t="s">
        <v>383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788</v>
      </c>
      <c r="B646" s="114" t="s">
        <v>1190</v>
      </c>
      <c r="C646" s="114" t="s">
        <v>485</v>
      </c>
      <c r="D646" s="114" t="s">
        <v>11</v>
      </c>
      <c r="E646" s="114" t="s">
        <v>228</v>
      </c>
      <c r="F646" s="115" t="s">
        <v>59</v>
      </c>
      <c r="G646" s="114" t="s">
        <v>60</v>
      </c>
      <c r="H646" s="114" t="s">
        <v>383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790</v>
      </c>
      <c r="B647" s="114" t="s">
        <v>1190</v>
      </c>
      <c r="C647" s="114" t="s">
        <v>485</v>
      </c>
      <c r="D647" s="114" t="s">
        <v>11</v>
      </c>
      <c r="E647" s="114" t="s">
        <v>332</v>
      </c>
      <c r="F647" s="115" t="s">
        <v>55</v>
      </c>
      <c r="G647" s="114" t="s">
        <v>56</v>
      </c>
      <c r="H647" s="114" t="s">
        <v>383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792</v>
      </c>
      <c r="B648" s="114" t="s">
        <v>1190</v>
      </c>
      <c r="C648" s="114" t="s">
        <v>485</v>
      </c>
      <c r="D648" s="114" t="s">
        <v>11</v>
      </c>
      <c r="E648" s="114" t="s">
        <v>221</v>
      </c>
      <c r="F648" s="115" t="s">
        <v>51</v>
      </c>
      <c r="G648" s="114" t="s">
        <v>52</v>
      </c>
      <c r="H648" s="114" t="s">
        <v>383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1238</v>
      </c>
      <c r="B649" s="114" t="s">
        <v>1190</v>
      </c>
      <c r="C649" s="114" t="s">
        <v>1239</v>
      </c>
      <c r="D649" s="114" t="s">
        <v>10</v>
      </c>
      <c r="E649" s="114" t="s">
        <v>326</v>
      </c>
      <c r="F649" s="115" t="s">
        <v>55</v>
      </c>
      <c r="G649" s="114" t="s">
        <v>56</v>
      </c>
      <c r="H649" s="114" t="s">
        <v>383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491</v>
      </c>
      <c r="B650" s="114" t="s">
        <v>1190</v>
      </c>
      <c r="C650" s="114" t="s">
        <v>1240</v>
      </c>
      <c r="D650" s="114" t="s">
        <v>12</v>
      </c>
      <c r="E650" s="114" t="s">
        <v>229</v>
      </c>
      <c r="F650" s="115" t="s">
        <v>59</v>
      </c>
      <c r="G650" s="114" t="s">
        <v>60</v>
      </c>
      <c r="H650" s="114" t="s">
        <v>383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494</v>
      </c>
      <c r="B651" s="114" t="s">
        <v>1190</v>
      </c>
      <c r="C651" s="114" t="s">
        <v>1240</v>
      </c>
      <c r="D651" s="114" t="s">
        <v>12</v>
      </c>
      <c r="E651" s="114" t="s">
        <v>338</v>
      </c>
      <c r="F651" s="115" t="s">
        <v>55</v>
      </c>
      <c r="G651" s="114" t="s">
        <v>56</v>
      </c>
      <c r="H651" s="114" t="s">
        <v>383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496</v>
      </c>
      <c r="B652" s="114" t="s">
        <v>1190</v>
      </c>
      <c r="C652" s="114" t="s">
        <v>1240</v>
      </c>
      <c r="D652" s="114" t="s">
        <v>12</v>
      </c>
      <c r="E652" s="114" t="s">
        <v>1241</v>
      </c>
      <c r="F652" s="115" t="s">
        <v>111</v>
      </c>
      <c r="G652" s="114" t="s">
        <v>112</v>
      </c>
      <c r="H652" s="114" t="s">
        <v>383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561</v>
      </c>
      <c r="B653" s="114" t="s">
        <v>1190</v>
      </c>
      <c r="C653" s="114" t="s">
        <v>1240</v>
      </c>
      <c r="D653" s="114" t="s">
        <v>12</v>
      </c>
      <c r="E653" s="114" t="s">
        <v>1242</v>
      </c>
      <c r="F653" s="115" t="s">
        <v>111</v>
      </c>
      <c r="G653" s="114" t="s">
        <v>112</v>
      </c>
      <c r="H653" s="114" t="s">
        <v>383</v>
      </c>
      <c r="I653" s="116" t="n">
        <v>1</v>
      </c>
      <c r="J653" s="116" t="n">
        <v>0</v>
      </c>
      <c r="K653" s="114"/>
      <c r="L653" s="114"/>
    </row>
    <row r="654" customFormat="false" ht="15" hidden="false" customHeight="false" outlineLevel="0" collapsed="false">
      <c r="A654" s="114" t="s">
        <v>869</v>
      </c>
      <c r="B654" s="114" t="s">
        <v>1190</v>
      </c>
      <c r="C654" s="114" t="s">
        <v>1240</v>
      </c>
      <c r="D654" s="114" t="s">
        <v>12</v>
      </c>
      <c r="E654" s="114" t="s">
        <v>1243</v>
      </c>
      <c r="F654" s="115" t="s">
        <v>111</v>
      </c>
      <c r="G654" s="114" t="s">
        <v>112</v>
      </c>
      <c r="H654" s="114" t="s">
        <v>383</v>
      </c>
      <c r="I654" s="116" t="n">
        <v>1</v>
      </c>
      <c r="J654" s="116" t="n">
        <v>0</v>
      </c>
      <c r="K654" s="114"/>
      <c r="L654" s="114"/>
    </row>
  </sheetData>
  <autoFilter ref="A1:L6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2026-10-23T11:16:07Z</dcterms:created>
  <dc:creator>openpyxl</dc:creator>
  <dc:description/>
  <dc:language>en-US</dc:language>
  <cp:lastModifiedBy/>
  <dcterms:modified xsi:type="dcterms:W3CDTF">2026-10-23T11:16:09Z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